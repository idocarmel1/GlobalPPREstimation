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mappings'!$A$4:$M$568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LME_036 — South China Sea</t>
        </is>
      </c>
    </row>
    <row r="2">
      <c r="A2" s="2" t="inlineStr">
        <is>
          <t>Ecopath model: 36_2_South_China_Sea_SCS-2007_Northern_South_China_Sea_(1970s)</t>
        </is>
      </c>
    </row>
    <row r="3">
      <c r="A3" s="3" t="inlineStr">
        <is>
          <t>Northern South China Sea subregion; 2000s preferred, 1970s retained separately. Northern South China Sea, 1970s: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14.57461</t>
        </is>
      </c>
    </row>
    <row r="7">
      <c r="A7" t="inlineStr">
        <is>
          <t>longitude</t>
        </is>
      </c>
      <c r="B7" t="inlineStr">
        <is>
          <t>111.57788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374</v>
      </c>
    </row>
    <row r="10">
      <c r="A10" t="inlineStr">
        <is>
          <t>taxa apportioned across groups</t>
        </is>
      </c>
      <c r="B10" t="n">
        <v>163</v>
      </c>
    </row>
    <row r="11">
      <c r="A11" t="inlineStr">
        <is>
          <t>taxa unresolved</t>
        </is>
      </c>
      <c r="B11" t="n">
        <v>12</v>
      </c>
    </row>
    <row r="12">
      <c r="A12" t="inlineStr">
        <is>
          <t>catch tonnage on a named group, %</t>
        </is>
      </c>
      <c r="B12" t="n">
        <v>99.8</v>
      </c>
    </row>
    <row r="13">
      <c r="A13" t="inlineStr">
        <is>
          <t>SPPR methods</t>
        </is>
      </c>
      <c r="B13" t="n">
        <v>22</v>
      </c>
    </row>
    <row r="14">
      <c r="A14" t="inlineStr">
        <is>
          <t>methods flagged as unusable</t>
        </is>
      </c>
      <c r="B14" t="n">
        <v>2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669965.931</v>
      </c>
      <c r="C18" t="n">
        <v>529201121.408</v>
      </c>
      <c r="D18" t="n">
        <v>5340072572.594</v>
      </c>
    </row>
    <row r="19">
      <c r="A19" t="n">
        <v>1951</v>
      </c>
      <c r="B19" t="n">
        <v>806956.982</v>
      </c>
      <c r="C19" t="n">
        <v>671908727.003</v>
      </c>
      <c r="D19" t="n">
        <v>6769291557.962</v>
      </c>
    </row>
    <row r="20">
      <c r="A20" t="n">
        <v>1952</v>
      </c>
      <c r="B20" t="n">
        <v>928289.0330000001</v>
      </c>
      <c r="C20" t="n">
        <v>809476842.367</v>
      </c>
      <c r="D20" t="n">
        <v>8164556708.785</v>
      </c>
    </row>
    <row r="21">
      <c r="A21" t="n">
        <v>1953</v>
      </c>
      <c r="B21" t="n">
        <v>943988.694</v>
      </c>
      <c r="C21" t="n">
        <v>823020425.451</v>
      </c>
      <c r="D21" t="n">
        <v>8340909675.554</v>
      </c>
    </row>
    <row r="22">
      <c r="A22" t="n">
        <v>1954</v>
      </c>
      <c r="B22" t="n">
        <v>1232458.654</v>
      </c>
      <c r="C22" t="n">
        <v>1066341433.782</v>
      </c>
      <c r="D22" t="n">
        <v>10126933469.149</v>
      </c>
    </row>
    <row r="23">
      <c r="A23" t="n">
        <v>1955</v>
      </c>
      <c r="B23" t="n">
        <v>1361957.271</v>
      </c>
      <c r="C23" t="n">
        <v>1291769291.911</v>
      </c>
      <c r="D23" t="n">
        <v>11600292619.83</v>
      </c>
    </row>
    <row r="24">
      <c r="A24" t="n">
        <v>1956</v>
      </c>
      <c r="B24" t="n">
        <v>1512529.118</v>
      </c>
      <c r="C24" t="n">
        <v>1410283387.042</v>
      </c>
      <c r="D24" t="n">
        <v>12952016465.106</v>
      </c>
    </row>
    <row r="25">
      <c r="A25" t="n">
        <v>1957</v>
      </c>
      <c r="B25" t="n">
        <v>1487897.884</v>
      </c>
      <c r="C25" t="n">
        <v>1410658519.899</v>
      </c>
      <c r="D25" t="n">
        <v>12850113538.404</v>
      </c>
    </row>
    <row r="26">
      <c r="A26" t="n">
        <v>1958</v>
      </c>
      <c r="B26" t="n">
        <v>1610483.524</v>
      </c>
      <c r="C26" t="n">
        <v>1442459390.052</v>
      </c>
      <c r="D26" t="n">
        <v>13566499932.817</v>
      </c>
    </row>
    <row r="27">
      <c r="A27" t="n">
        <v>1959</v>
      </c>
      <c r="B27" t="n">
        <v>1691417.686</v>
      </c>
      <c r="C27" t="n">
        <v>1582528198.463</v>
      </c>
      <c r="D27" t="n">
        <v>14496515164.818</v>
      </c>
    </row>
    <row r="28">
      <c r="A28" t="n">
        <v>1960</v>
      </c>
      <c r="B28" t="n">
        <v>1891940.773</v>
      </c>
      <c r="C28" t="n">
        <v>1744051142.508</v>
      </c>
      <c r="D28" t="n">
        <v>16308704405.031</v>
      </c>
    </row>
    <row r="29">
      <c r="A29" t="n">
        <v>1961</v>
      </c>
      <c r="B29" t="n">
        <v>1828357.238</v>
      </c>
      <c r="C29" t="n">
        <v>1704972049.741</v>
      </c>
      <c r="D29" t="n">
        <v>15788073155.656</v>
      </c>
    </row>
    <row r="30">
      <c r="A30" t="n">
        <v>1962</v>
      </c>
      <c r="B30" t="n">
        <v>2052043.929</v>
      </c>
      <c r="C30" t="n">
        <v>1871921089.826</v>
      </c>
      <c r="D30" t="n">
        <v>17871025011.586</v>
      </c>
    </row>
    <row r="31">
      <c r="A31" t="n">
        <v>1963</v>
      </c>
      <c r="B31" t="n">
        <v>2168856.394</v>
      </c>
      <c r="C31" t="n">
        <v>2012519229.388</v>
      </c>
      <c r="D31" t="n">
        <v>18729830484.902</v>
      </c>
    </row>
    <row r="32">
      <c r="A32" t="n">
        <v>1964</v>
      </c>
      <c r="B32" t="n">
        <v>2255150.948</v>
      </c>
      <c r="C32" t="n">
        <v>2021690999.084</v>
      </c>
      <c r="D32" t="n">
        <v>19130404644.272</v>
      </c>
    </row>
    <row r="33">
      <c r="A33" t="n">
        <v>1965</v>
      </c>
      <c r="B33" t="n">
        <v>2379063.629</v>
      </c>
      <c r="C33" t="n">
        <v>2140043508.014</v>
      </c>
      <c r="D33" t="n">
        <v>20740259265.68</v>
      </c>
    </row>
    <row r="34">
      <c r="A34" t="n">
        <v>1966</v>
      </c>
      <c r="B34" t="n">
        <v>2500228.528</v>
      </c>
      <c r="C34" t="n">
        <v>2201497309.604</v>
      </c>
      <c r="D34" t="n">
        <v>21847512083.016</v>
      </c>
    </row>
    <row r="35">
      <c r="A35" t="n">
        <v>1967</v>
      </c>
      <c r="B35" t="n">
        <v>2442944.969</v>
      </c>
      <c r="C35" t="n">
        <v>2207225976.168</v>
      </c>
      <c r="D35" t="n">
        <v>21839740232.475</v>
      </c>
    </row>
    <row r="36">
      <c r="A36" t="n">
        <v>1968</v>
      </c>
      <c r="B36" t="n">
        <v>2551091.651</v>
      </c>
      <c r="C36" t="n">
        <v>2274005904.799</v>
      </c>
      <c r="D36" t="n">
        <v>23047048062.481</v>
      </c>
    </row>
    <row r="37">
      <c r="A37" t="n">
        <v>1969</v>
      </c>
      <c r="B37" t="n">
        <v>2636413.23</v>
      </c>
      <c r="C37" t="n">
        <v>2254954379.378</v>
      </c>
      <c r="D37" t="n">
        <v>23747341407.186</v>
      </c>
    </row>
    <row r="38">
      <c r="A38" t="n">
        <v>1970</v>
      </c>
      <c r="B38" t="n">
        <v>2718628.097</v>
      </c>
      <c r="C38" t="n">
        <v>2183640185.353</v>
      </c>
      <c r="D38" t="n">
        <v>22863880013.321</v>
      </c>
    </row>
    <row r="39">
      <c r="A39" t="n">
        <v>1971</v>
      </c>
      <c r="B39" t="n">
        <v>2690880.955</v>
      </c>
      <c r="C39" t="n">
        <v>2258568174.156</v>
      </c>
      <c r="D39" t="n">
        <v>23335682890.385</v>
      </c>
    </row>
    <row r="40">
      <c r="A40" t="n">
        <v>1972</v>
      </c>
      <c r="B40" t="n">
        <v>2808594.835</v>
      </c>
      <c r="C40" t="n">
        <v>2456380945.333</v>
      </c>
      <c r="D40" t="n">
        <v>24401391960.77</v>
      </c>
    </row>
    <row r="41">
      <c r="A41" t="n">
        <v>1973</v>
      </c>
      <c r="B41" t="n">
        <v>3078361.561</v>
      </c>
      <c r="C41" t="n">
        <v>2623704166.609</v>
      </c>
      <c r="D41" t="n">
        <v>26769035110.077</v>
      </c>
    </row>
    <row r="42">
      <c r="A42" t="n">
        <v>1974</v>
      </c>
      <c r="B42" t="n">
        <v>3138126.251</v>
      </c>
      <c r="C42" t="n">
        <v>2632179468.044</v>
      </c>
      <c r="D42" t="n">
        <v>26492184962.719</v>
      </c>
    </row>
    <row r="43">
      <c r="A43" t="n">
        <v>1975</v>
      </c>
      <c r="B43" t="n">
        <v>3209233.522</v>
      </c>
      <c r="C43" t="n">
        <v>2585898633.144</v>
      </c>
      <c r="D43" t="n">
        <v>26430673773.8</v>
      </c>
    </row>
    <row r="44">
      <c r="A44" t="n">
        <v>1976</v>
      </c>
      <c r="B44" t="n">
        <v>3237894.779</v>
      </c>
      <c r="C44" t="n">
        <v>2584707409.545</v>
      </c>
      <c r="D44" t="n">
        <v>26597277214.998</v>
      </c>
    </row>
    <row r="45">
      <c r="A45" t="n">
        <v>1977</v>
      </c>
      <c r="B45" t="n">
        <v>3426079.919</v>
      </c>
      <c r="C45" t="n">
        <v>2600006598.381</v>
      </c>
      <c r="D45" t="n">
        <v>27145228585.217</v>
      </c>
    </row>
    <row r="46">
      <c r="A46" t="n">
        <v>1978</v>
      </c>
      <c r="B46" t="n">
        <v>3401029.485</v>
      </c>
      <c r="C46" t="n">
        <v>2475430599.232</v>
      </c>
      <c r="D46" t="n">
        <v>26653477435.276</v>
      </c>
    </row>
    <row r="47">
      <c r="A47" t="n">
        <v>1979</v>
      </c>
      <c r="B47" t="n">
        <v>3453178.508</v>
      </c>
      <c r="C47" t="n">
        <v>2648685511.595</v>
      </c>
      <c r="D47" t="n">
        <v>27611385084.974</v>
      </c>
    </row>
    <row r="48">
      <c r="A48" t="n">
        <v>1980</v>
      </c>
      <c r="B48" t="n">
        <v>3442875.736</v>
      </c>
      <c r="C48" t="n">
        <v>2583552999.876</v>
      </c>
      <c r="D48" t="n">
        <v>27388290930.956</v>
      </c>
    </row>
    <row r="49">
      <c r="A49" t="n">
        <v>1981</v>
      </c>
      <c r="B49" t="n">
        <v>3575474.739</v>
      </c>
      <c r="C49" t="n">
        <v>2698533692.361</v>
      </c>
      <c r="D49" t="n">
        <v>28840226559.922</v>
      </c>
    </row>
    <row r="50">
      <c r="A50" t="n">
        <v>1982</v>
      </c>
      <c r="B50" t="n">
        <v>3845630.664</v>
      </c>
      <c r="C50" t="n">
        <v>2856220420.731</v>
      </c>
      <c r="D50" t="n">
        <v>30660416279.63</v>
      </c>
    </row>
    <row r="51">
      <c r="A51" t="n">
        <v>1983</v>
      </c>
      <c r="B51" t="n">
        <v>4087304.699</v>
      </c>
      <c r="C51" t="n">
        <v>2970787071.719</v>
      </c>
      <c r="D51" t="n">
        <v>31173279448.594</v>
      </c>
    </row>
    <row r="52">
      <c r="A52" t="n">
        <v>1984</v>
      </c>
      <c r="B52" t="n">
        <v>4286143.158</v>
      </c>
      <c r="C52" t="n">
        <v>3009747423.799</v>
      </c>
      <c r="D52" t="n">
        <v>32535407178.245</v>
      </c>
    </row>
    <row r="53">
      <c r="A53" t="n">
        <v>1985</v>
      </c>
      <c r="B53" t="n">
        <v>4596895.936</v>
      </c>
      <c r="C53" t="n">
        <v>3058991582.644</v>
      </c>
      <c r="D53" t="n">
        <v>33536181131.975</v>
      </c>
    </row>
    <row r="54">
      <c r="A54" t="n">
        <v>1986</v>
      </c>
      <c r="B54" t="n">
        <v>4717045.375</v>
      </c>
      <c r="C54" t="n">
        <v>3144725004.555</v>
      </c>
      <c r="D54" t="n">
        <v>33939217891.846</v>
      </c>
    </row>
    <row r="55">
      <c r="A55" t="n">
        <v>1987</v>
      </c>
      <c r="B55" t="n">
        <v>5132754.261</v>
      </c>
      <c r="C55" t="n">
        <v>3277813240.519</v>
      </c>
      <c r="D55" t="n">
        <v>35677643973.56</v>
      </c>
    </row>
    <row r="56">
      <c r="A56" t="n">
        <v>1988</v>
      </c>
      <c r="B56" t="n">
        <v>5302606.554</v>
      </c>
      <c r="C56" t="n">
        <v>3384829112.511</v>
      </c>
      <c r="D56" t="n">
        <v>34543022562.664</v>
      </c>
    </row>
    <row r="57">
      <c r="A57" t="n">
        <v>1989</v>
      </c>
      <c r="B57" t="n">
        <v>5388107.118</v>
      </c>
      <c r="C57" t="n">
        <v>3547193273.059</v>
      </c>
      <c r="D57" t="n">
        <v>36112686603.842</v>
      </c>
    </row>
    <row r="58">
      <c r="A58" t="n">
        <v>1990</v>
      </c>
      <c r="B58" t="n">
        <v>5763467.721</v>
      </c>
      <c r="C58" t="n">
        <v>3829433702.847</v>
      </c>
      <c r="D58" t="n">
        <v>38401458605.319</v>
      </c>
    </row>
    <row r="59">
      <c r="A59" t="n">
        <v>1991</v>
      </c>
      <c r="B59" t="n">
        <v>5951229.03</v>
      </c>
      <c r="C59" t="n">
        <v>4118840962.499</v>
      </c>
      <c r="D59" t="n">
        <v>40121190743.972</v>
      </c>
    </row>
    <row r="60">
      <c r="A60" t="n">
        <v>1992</v>
      </c>
      <c r="B60" t="n">
        <v>6490788.167</v>
      </c>
      <c r="C60" t="n">
        <v>4344567911.978</v>
      </c>
      <c r="D60" t="n">
        <v>41527576436</v>
      </c>
    </row>
    <row r="61">
      <c r="A61" t="n">
        <v>1993</v>
      </c>
      <c r="B61" t="n">
        <v>6562955.631</v>
      </c>
      <c r="C61" t="n">
        <v>4270965924.346</v>
      </c>
      <c r="D61" t="n">
        <v>39858730393.97</v>
      </c>
    </row>
    <row r="62">
      <c r="A62" t="n">
        <v>1994</v>
      </c>
      <c r="B62" t="n">
        <v>7599333.635</v>
      </c>
      <c r="C62" t="n">
        <v>5032726638.098</v>
      </c>
      <c r="D62" t="n">
        <v>46364379109.494</v>
      </c>
    </row>
    <row r="63">
      <c r="A63" t="n">
        <v>1995</v>
      </c>
      <c r="B63" t="n">
        <v>8236554.752</v>
      </c>
      <c r="C63" t="n">
        <v>5514843622.143</v>
      </c>
      <c r="D63" t="n">
        <v>49564012143.525</v>
      </c>
    </row>
    <row r="64">
      <c r="A64" t="n">
        <v>1996</v>
      </c>
      <c r="B64" t="n">
        <v>8955512.307</v>
      </c>
      <c r="C64" t="n">
        <v>6135156638.927</v>
      </c>
      <c r="D64" t="n">
        <v>53418537133.755</v>
      </c>
    </row>
    <row r="65">
      <c r="A65" t="n">
        <v>1997</v>
      </c>
      <c r="B65" t="n">
        <v>9393814.149</v>
      </c>
      <c r="C65" t="n">
        <v>6159835614.401</v>
      </c>
      <c r="D65" t="n">
        <v>52535126179.987</v>
      </c>
    </row>
    <row r="66">
      <c r="A66" t="n">
        <v>1998</v>
      </c>
      <c r="B66" t="n">
        <v>9427982.941</v>
      </c>
      <c r="C66" t="n">
        <v>6424693700.808</v>
      </c>
      <c r="D66" t="n">
        <v>52692761575.156</v>
      </c>
      <c r="E66" t="n">
        <v>93.5921</v>
      </c>
      <c r="F66" t="n">
        <v>767.6046</v>
      </c>
    </row>
    <row r="67">
      <c r="A67" t="n">
        <v>1999</v>
      </c>
      <c r="B67" t="n">
        <v>8998792.808</v>
      </c>
      <c r="C67" t="n">
        <v>6298431019.347</v>
      </c>
      <c r="D67" t="n">
        <v>54895125621.11</v>
      </c>
      <c r="E67" t="n">
        <v>89.0022</v>
      </c>
      <c r="F67" t="n">
        <v>775.7146</v>
      </c>
    </row>
    <row r="68">
      <c r="A68" t="n">
        <v>2000</v>
      </c>
      <c r="B68" t="n">
        <v>8955156.374</v>
      </c>
      <c r="C68" t="n">
        <v>6084812039.217</v>
      </c>
      <c r="D68" t="n">
        <v>53398660822.344</v>
      </c>
      <c r="E68" t="n">
        <v>83.9378</v>
      </c>
      <c r="F68" t="n">
        <v>736.6158</v>
      </c>
    </row>
    <row r="69">
      <c r="A69" t="n">
        <v>2001</v>
      </c>
      <c r="B69" t="n">
        <v>9368329.589</v>
      </c>
      <c r="C69" t="n">
        <v>6396671197.315</v>
      </c>
      <c r="D69" t="n">
        <v>54648937853.421</v>
      </c>
      <c r="E69" t="n">
        <v>86.4836</v>
      </c>
      <c r="F69" t="n">
        <v>738.8588999999999</v>
      </c>
    </row>
    <row r="70">
      <c r="A70" t="n">
        <v>2002</v>
      </c>
      <c r="B70" t="n">
        <v>9424216.998</v>
      </c>
      <c r="C70" t="n">
        <v>6524855902.472</v>
      </c>
      <c r="D70" t="n">
        <v>55709186437.646</v>
      </c>
      <c r="E70" t="n">
        <v>88.5421</v>
      </c>
      <c r="F70" t="n">
        <v>755.9719</v>
      </c>
    </row>
    <row r="71">
      <c r="A71" t="n">
        <v>2003</v>
      </c>
      <c r="B71" t="n">
        <v>9708651.657</v>
      </c>
      <c r="C71" t="n">
        <v>6904839599.908</v>
      </c>
      <c r="D71" t="n">
        <v>59198944189.215</v>
      </c>
      <c r="E71" t="n">
        <v>90.28700000000001</v>
      </c>
      <c r="F71" t="n">
        <v>774.0793</v>
      </c>
    </row>
    <row r="72">
      <c r="A72" t="n">
        <v>2004</v>
      </c>
      <c r="B72" t="n">
        <v>9366115.01</v>
      </c>
      <c r="C72" t="n">
        <v>6843063361.043</v>
      </c>
      <c r="D72" t="n">
        <v>59422686506.773</v>
      </c>
      <c r="E72" t="n">
        <v>89.5762</v>
      </c>
      <c r="F72" t="n">
        <v>777.8471</v>
      </c>
    </row>
    <row r="73">
      <c r="A73" t="n">
        <v>2005</v>
      </c>
      <c r="B73" t="n">
        <v>9302529.285</v>
      </c>
      <c r="C73" t="n">
        <v>6716452500.005</v>
      </c>
      <c r="D73" t="n">
        <v>57074486152.91</v>
      </c>
      <c r="E73" t="n">
        <v>90.3605</v>
      </c>
      <c r="F73" t="n">
        <v>767.8579</v>
      </c>
    </row>
    <row r="74">
      <c r="A74" t="n">
        <v>2006</v>
      </c>
      <c r="B74" t="n">
        <v>9263716.927999999</v>
      </c>
      <c r="C74" t="n">
        <v>6840669943.079</v>
      </c>
      <c r="D74" t="n">
        <v>57753079172.884</v>
      </c>
      <c r="E74" t="n">
        <v>91.598</v>
      </c>
      <c r="F74" t="n">
        <v>773.326</v>
      </c>
    </row>
    <row r="75">
      <c r="A75" t="n">
        <v>2007</v>
      </c>
      <c r="B75" t="n">
        <v>9245603.318</v>
      </c>
      <c r="C75" t="n">
        <v>6829467293.882</v>
      </c>
      <c r="D75" t="n">
        <v>56680358677.975</v>
      </c>
      <c r="E75" t="n">
        <v>90.06319999999999</v>
      </c>
      <c r="F75" t="n">
        <v>747.4687</v>
      </c>
    </row>
    <row r="76">
      <c r="A76" t="n">
        <v>2008</v>
      </c>
      <c r="B76" t="n">
        <v>9102816.991</v>
      </c>
      <c r="C76" t="n">
        <v>6697773972.205</v>
      </c>
      <c r="D76" t="n">
        <v>56821420071.374</v>
      </c>
      <c r="E76" t="n">
        <v>89.14619999999999</v>
      </c>
      <c r="F76" t="n">
        <v>756.2832</v>
      </c>
    </row>
    <row r="77">
      <c r="A77" t="n">
        <v>2009</v>
      </c>
      <c r="B77" t="n">
        <v>9880541.380000001</v>
      </c>
      <c r="C77" t="n">
        <v>7224822488.669</v>
      </c>
      <c r="D77" t="n">
        <v>61339711904.471</v>
      </c>
      <c r="E77" t="n">
        <v>96.0042</v>
      </c>
      <c r="F77" t="n">
        <v>815.0889</v>
      </c>
    </row>
    <row r="78">
      <c r="A78" t="n">
        <v>2010</v>
      </c>
      <c r="B78" t="n">
        <v>9971712.202</v>
      </c>
      <c r="C78" t="n">
        <v>7270196645.183</v>
      </c>
      <c r="D78" t="n">
        <v>60734685215.699</v>
      </c>
      <c r="E78" t="n">
        <v>95.2953</v>
      </c>
      <c r="F78" t="n">
        <v>796.0898</v>
      </c>
    </row>
    <row r="79">
      <c r="A79" t="n">
        <v>2011</v>
      </c>
      <c r="B79" t="n">
        <v>9542030.117000001</v>
      </c>
      <c r="C79" t="n">
        <v>6892165290.281</v>
      </c>
      <c r="D79" t="n">
        <v>57731266428.729</v>
      </c>
      <c r="E79" t="n">
        <v>93.4233</v>
      </c>
      <c r="F79" t="n">
        <v>782.5475</v>
      </c>
    </row>
    <row r="80">
      <c r="A80" t="n">
        <v>2012</v>
      </c>
      <c r="B80" t="n">
        <v>10296918.266</v>
      </c>
      <c r="C80" t="n">
        <v>7362882325.306</v>
      </c>
      <c r="D80" t="n">
        <v>60909222738.387</v>
      </c>
      <c r="E80" t="n">
        <v>102.9596</v>
      </c>
      <c r="F80" t="n">
        <v>851.7304</v>
      </c>
    </row>
    <row r="81">
      <c r="A81" t="n">
        <v>2013</v>
      </c>
      <c r="B81" t="n">
        <v>10905149.767</v>
      </c>
      <c r="C81" t="n">
        <v>7806376031.998</v>
      </c>
      <c r="D81" t="n">
        <v>64823923943.923</v>
      </c>
      <c r="E81" t="n">
        <v>108.1437</v>
      </c>
      <c r="F81" t="n">
        <v>898.022</v>
      </c>
    </row>
    <row r="82">
      <c r="A82" t="n">
        <v>2014</v>
      </c>
      <c r="B82" t="n">
        <v>10670503.474</v>
      </c>
      <c r="C82" t="n">
        <v>7660623072.467</v>
      </c>
      <c r="D82" t="n">
        <v>62592062769.805</v>
      </c>
      <c r="E82" t="n">
        <v>105.7543</v>
      </c>
      <c r="F82" t="n">
        <v>864.0782</v>
      </c>
    </row>
    <row r="83">
      <c r="A83" t="n">
        <v>2015</v>
      </c>
      <c r="B83" t="n">
        <v>11028225.246</v>
      </c>
      <c r="C83" t="n">
        <v>7923551080.904</v>
      </c>
      <c r="D83" t="n">
        <v>64930829925.851</v>
      </c>
      <c r="E83" t="n">
        <v>107.3035</v>
      </c>
      <c r="F83" t="n">
        <v>879.3163</v>
      </c>
    </row>
    <row r="84">
      <c r="A84" t="n">
        <v>2016</v>
      </c>
      <c r="B84" t="n">
        <v>11044837.089</v>
      </c>
      <c r="C84" t="n">
        <v>7965661872.902</v>
      </c>
      <c r="D84" t="n">
        <v>65374943890.853</v>
      </c>
      <c r="E84" t="n">
        <v>104.1606</v>
      </c>
      <c r="F84" t="n">
        <v>854.8556</v>
      </c>
    </row>
    <row r="85">
      <c r="A85" t="n">
        <v>2017</v>
      </c>
      <c r="B85" t="n">
        <v>10779884.431</v>
      </c>
      <c r="C85" t="n">
        <v>7905591515.317</v>
      </c>
      <c r="D85" t="n">
        <v>64582742489.671</v>
      </c>
      <c r="E85" t="n">
        <v>103.4204</v>
      </c>
      <c r="F85" t="n">
        <v>844.8671000000001</v>
      </c>
    </row>
    <row r="86">
      <c r="A86" t="n">
        <v>2018</v>
      </c>
      <c r="B86" t="n">
        <v>10754384.17</v>
      </c>
      <c r="C86" t="n">
        <v>7864812392.776</v>
      </c>
      <c r="D86" t="n">
        <v>65268580832.157</v>
      </c>
      <c r="E86" t="n">
        <v>104.4116</v>
      </c>
      <c r="F86" t="n">
        <v>866.4915999999999</v>
      </c>
    </row>
    <row r="87">
      <c r="A87" t="n">
        <v>2019</v>
      </c>
      <c r="B87" t="n">
        <v>11101666.087</v>
      </c>
      <c r="C87" t="n">
        <v>8070990710.106</v>
      </c>
      <c r="D87" t="n">
        <v>67221200544.74</v>
      </c>
      <c r="E87" t="n">
        <v>106.7668</v>
      </c>
      <c r="F87" t="n">
        <v>889.2331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Demesral fish (≤ 30 cm) | Juvenile demersal fish (&gt; 30 cm) | Adult demersal fish (&gt; 30 cm)</t>
        </is>
      </c>
      <c r="F5" t="inlineStr">
        <is>
          <t>0.386 | 0.123 | 0.491</t>
        </is>
      </c>
      <c r="G5" t="inlineStr">
        <is>
          <t>model_catch</t>
        </is>
      </c>
      <c r="H5" t="inlineStr">
        <is>
          <t>low</t>
        </is>
      </c>
      <c r="I5" t="inlineStr">
        <is>
          <t>composite_split</t>
        </is>
      </c>
      <c r="J5" t="n">
        <v>36494986.294</v>
      </c>
      <c r="K5" t="n">
        <v>9.4161</v>
      </c>
      <c r="L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6">
      <c r="A6" t="inlineStr">
        <is>
          <t>Trichiurus lepturus</t>
        </is>
      </c>
      <c r="B6" t="inlineStr">
        <is>
          <t>Largehead hairtail</t>
        </is>
      </c>
      <c r="C6" t="inlineStr">
        <is>
          <t>Large benthopelagics (&gt;=90 cm)</t>
        </is>
      </c>
      <c r="D6" t="inlineStr">
        <is>
          <t>Perch-likes</t>
        </is>
      </c>
      <c r="E6" s="7" t="inlineStr">
        <is>
          <t>Juvenile Hairtail (trichiurids) | Adult hairtail (trichiurids)</t>
        </is>
      </c>
      <c r="F6" t="inlineStr">
        <is>
          <t>0.200 | 0.800</t>
        </is>
      </c>
      <c r="G6" t="inlineStr">
        <is>
          <t>model_catch</t>
        </is>
      </c>
      <c r="H6" t="inlineStr">
        <is>
          <t>medium</t>
        </is>
      </c>
      <c r="I6" t="inlineStr">
        <is>
          <t>composite_split</t>
        </is>
      </c>
      <c r="J6" t="n">
        <v>20943613.088</v>
      </c>
      <c r="K6" t="n">
        <v>5.4037</v>
      </c>
      <c r="L6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7">
      <c r="A7" t="inlineStr">
        <is>
          <t>Scyphozoa</t>
        </is>
      </c>
      <c r="B7" t="inlineStr">
        <is>
          <t>True jellyfishes</t>
        </is>
      </c>
      <c r="C7" t="inlineStr">
        <is>
          <t>Jellyfish</t>
        </is>
      </c>
      <c r="D7" t="inlineStr">
        <is>
          <t>Other fishes &amp; inverts</t>
        </is>
      </c>
      <c r="E7" s="8" t="inlineStr">
        <is>
          <t>Jellyfish</t>
        </is>
      </c>
      <c r="F7" t="inlineStr"/>
      <c r="G7" t="inlineStr"/>
      <c r="H7" t="inlineStr">
        <is>
          <t>high</t>
        </is>
      </c>
      <c r="I7" t="inlineStr">
        <is>
          <t>taxonomic_containment</t>
        </is>
      </c>
      <c r="J7" t="n">
        <v>19842389.932</v>
      </c>
      <c r="K7" t="n">
        <v>5.1195</v>
      </c>
      <c r="L7" s="6" t="inlineStr">
        <is>
          <t>Appendix 6.1.4 p.324 defines jellyfish as cnidarian medusae.</t>
        </is>
      </c>
    </row>
    <row r="8">
      <c r="A8" t="inlineStr">
        <is>
          <t>Synodontidae</t>
        </is>
      </c>
      <c r="B8" t="inlineStr">
        <is>
          <t>Lizardfishes, sauries</t>
        </is>
      </c>
      <c r="C8" t="inlineStr">
        <is>
          <t>Medium demersals (30 - 89 cm)</t>
        </is>
      </c>
      <c r="D8" t="inlineStr">
        <is>
          <t>Other fishes &amp; inverts</t>
        </is>
      </c>
      <c r="E8" s="8" t="inlineStr">
        <is>
          <t>Lizard fish (synodontids)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13852255.834</v>
      </c>
      <c r="K8" t="n">
        <v>3.574</v>
      </c>
      <c r="L8" s="6" t="inlineStr">
        <is>
          <t>Appendix 6.1 pp.327-335 defines Lizard fish (synodontids) by this family or explicitly names Synodontidae; dedicated source placement overrides the SAU class Medium demersals (30 - 89 cm).</t>
        </is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s="7" t="inlineStr">
        <is>
          <t>Juvenile large pelagic fish | Pelagic fish (&gt; 30 cm)</t>
        </is>
      </c>
      <c r="F9" t="inlineStr">
        <is>
          <t>0.202 | 0.798</t>
        </is>
      </c>
      <c r="G9" t="inlineStr">
        <is>
          <t>model_catch</t>
        </is>
      </c>
      <c r="H9" t="inlineStr">
        <is>
          <t>medium</t>
        </is>
      </c>
      <c r="I9" t="inlineStr">
        <is>
          <t>composite_split</t>
        </is>
      </c>
      <c r="J9" t="n">
        <v>13356624.376</v>
      </c>
      <c r="K9" t="n">
        <v>3.4461</v>
      </c>
      <c r="L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Pelagic fish (≤ 30 cm) | Juvenile large pelagic fish | Pelagic fish (&gt; 30 cm)</t>
        </is>
      </c>
      <c r="F10" t="inlineStr">
        <is>
          <t>0.754 | 0.050 | 0.196</t>
        </is>
      </c>
      <c r="G10" t="inlineStr">
        <is>
          <t>model_catch</t>
        </is>
      </c>
      <c r="H10" t="inlineStr">
        <is>
          <t>low</t>
        </is>
      </c>
      <c r="I10" t="inlineStr">
        <is>
          <t>composite_split</t>
        </is>
      </c>
      <c r="J10" t="n">
        <v>11518481.788</v>
      </c>
      <c r="K10" t="n">
        <v>2.9719</v>
      </c>
      <c r="L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s="8" t="inlineStr">
        <is>
          <t>Non-ceph molluscs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10987962.459</v>
      </c>
      <c r="K11" t="n">
        <v>2.835</v>
      </c>
      <c r="L11" s="6" t="inlineStr">
        <is>
          <t>Taxonomic containment in the source benthos subdivision (Appendix 6.1.5 pp.324-325), keeping non-cephalopod molluscs separate from echinoderms and sessile invertebrates.</t>
        </is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s="8" t="inlineStr">
        <is>
          <t>Zooplankton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9781314.523</v>
      </c>
      <c r="K12" t="n">
        <v>2.5237</v>
      </c>
      <c r="L12" s="6" t="inlineStr">
        <is>
          <t>Appendix 6.1.3 p.323 explicitly records Acetes spp. (Mo shrimp) catch in Zooplankton, overriding the SAU shrimp class.</t>
        </is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s="5" t="inlineStr">
        <is>
          <t>Demesral fish (≤ 30 cm) | Juvenile demersal fish (&gt; 30 cm) | Adult demersal fish (&gt; 30 cm)</t>
        </is>
      </c>
      <c r="F13" t="inlineStr">
        <is>
          <t>0.386 | 0.123 | 0.491</t>
        </is>
      </c>
      <c r="G13" t="inlineStr">
        <is>
          <t>model_catch</t>
        </is>
      </c>
      <c r="H13" t="inlineStr">
        <is>
          <t>low</t>
        </is>
      </c>
      <c r="I13" t="inlineStr">
        <is>
          <t>composite_split</t>
        </is>
      </c>
      <c r="J13" t="n">
        <v>9772010.148</v>
      </c>
      <c r="K13" t="n">
        <v>2.5213</v>
      </c>
      <c r="L1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s="8" t="inlineStr">
        <is>
          <t>Threadfin bream (nemipterids)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9101609.18</v>
      </c>
      <c r="K14" t="n">
        <v>2.3483</v>
      </c>
      <c r="L14" s="6" t="inlineStr">
        <is>
          <t>Appendix 6.1 pp.327-335 defines Threadfin bream (nemipterids) by this family or explicitly names Nemipterus; dedicated source placement overrides the SAU class Small demersals (&lt;30 cm).</t>
        </is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s="5" t="inlineStr">
        <is>
          <t>Zooplankton | Benthic crustaceans | Shrimps | Crabs</t>
        </is>
      </c>
      <c r="F15" t="inlineStr">
        <is>
          <t>0.257 | 0.052 | 0.486 | 0.205</t>
        </is>
      </c>
      <c r="G15" t="inlineStr">
        <is>
          <t>catch_composition</t>
        </is>
      </c>
      <c r="H15" t="inlineStr">
        <is>
          <t>low</t>
        </is>
      </c>
      <c r="I15" t="inlineStr">
        <is>
          <t>composite_split</t>
        </is>
      </c>
      <c r="J15" t="n">
        <v>8992342.448000001</v>
      </c>
      <c r="K15" t="n">
        <v>2.3201</v>
      </c>
      <c r="L1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6">
      <c r="A16" t="inlineStr">
        <is>
          <t>Leiognathidae</t>
        </is>
      </c>
      <c r="B16" t="inlineStr">
        <is>
          <t>Slipmouths, ponyfishes</t>
        </is>
      </c>
      <c r="C16" t="inlineStr">
        <is>
          <t>Small benthopelagics (&lt;30 cm)</t>
        </is>
      </c>
      <c r="D16" t="inlineStr">
        <is>
          <t>Perch-likes</t>
        </is>
      </c>
      <c r="E16" s="5" t="inlineStr">
        <is>
          <t>Benthopelagic fish</t>
        </is>
      </c>
      <c r="F16" t="inlineStr"/>
      <c r="G16" t="inlineStr"/>
      <c r="H16" t="inlineStr">
        <is>
          <t>low</t>
        </is>
      </c>
      <c r="I16" t="inlineStr">
        <is>
          <t>habitat_size_guild</t>
        </is>
      </c>
      <c r="J16" t="n">
        <v>8732446.540999999</v>
      </c>
      <c r="K16" t="n">
        <v>2.2531</v>
      </c>
      <c r="L1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7">
      <c r="A17" t="inlineStr">
        <is>
          <t>Engraulis japonicus</t>
        </is>
      </c>
      <c r="B17" t="inlineStr">
        <is>
          <t>Japanese anchovy</t>
        </is>
      </c>
      <c r="C17" t="inlineStr">
        <is>
          <t>Small pelagics (&lt;30 cm)</t>
        </is>
      </c>
      <c r="D17" t="inlineStr">
        <is>
          <t>Anchovies</t>
        </is>
      </c>
      <c r="E17" s="7" t="inlineStr">
        <is>
          <t>Pelagic fish (≤ 30 cm)</t>
        </is>
      </c>
      <c r="F17" t="inlineStr"/>
      <c r="G17" t="inlineStr"/>
      <c r="H17" t="inlineStr">
        <is>
          <t>medium</t>
        </is>
      </c>
      <c r="I17" t="inlineStr">
        <is>
          <t>habitat_size_guild</t>
        </is>
      </c>
      <c r="J17" t="n">
        <v>8554508.117000001</v>
      </c>
      <c r="K17" t="n">
        <v>2.2071</v>
      </c>
      <c r="L1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s="7" t="inlineStr">
        <is>
          <t>Juvenile large pelagic fish | Pelagic fish (&gt; 30 cm)</t>
        </is>
      </c>
      <c r="F18" t="inlineStr">
        <is>
          <t>0.202 | 0.798</t>
        </is>
      </c>
      <c r="G18" t="inlineStr">
        <is>
          <t>model_catch</t>
        </is>
      </c>
      <c r="H18" t="inlineStr">
        <is>
          <t>medium</t>
        </is>
      </c>
      <c r="I18" t="inlineStr">
        <is>
          <t>composite_split</t>
        </is>
      </c>
      <c r="J18" t="n">
        <v>7754915.997</v>
      </c>
      <c r="K18" t="n">
        <v>2.0008</v>
      </c>
      <c r="L18" s="6" t="inlineStr">
        <is>
          <t>Analyst habitat/size inference to source &gt;30 cm pelagic fish (Appendix 6.1.24 p.339); no age data, so split juvenile/adult using the period model catch.</t>
        </is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s="7" t="inlineStr">
        <is>
          <t>Juvenile large pelagic fish | Pelagic fish (&gt; 30 cm)</t>
        </is>
      </c>
      <c r="F19" t="inlineStr">
        <is>
          <t>0.202 | 0.798</t>
        </is>
      </c>
      <c r="G19" t="inlineStr">
        <is>
          <t>model_catch</t>
        </is>
      </c>
      <c r="H19" t="inlineStr">
        <is>
          <t>medium</t>
        </is>
      </c>
      <c r="I19" t="inlineStr">
        <is>
          <t>composite_split</t>
        </is>
      </c>
      <c r="J19" t="n">
        <v>7594397.678</v>
      </c>
      <c r="K19" t="n">
        <v>1.9594</v>
      </c>
      <c r="L19" s="6" t="inlineStr">
        <is>
          <t>Analyst habitat/size inference to source &gt;30 cm pelagic fish (Appendix 6.1.24 p.339); no age data, so split juvenile/adult using the period model catch.</t>
        </is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s="5" t="inlineStr">
        <is>
          <t>Benthopelagic fish</t>
        </is>
      </c>
      <c r="F20" t="inlineStr"/>
      <c r="G20" t="inlineStr"/>
      <c r="H20" t="inlineStr">
        <is>
          <t>low</t>
        </is>
      </c>
      <c r="I20" t="inlineStr">
        <is>
          <t>habitat_size_guild</t>
        </is>
      </c>
      <c r="J20" t="n">
        <v>7364108.588</v>
      </c>
      <c r="K20" t="n">
        <v>1.9</v>
      </c>
      <c r="L2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s="5" t="inlineStr">
        <is>
          <t>Croakers (≤ 30 cm) | Juvenile large croakers | Croakers (&gt; 30 cm)</t>
        </is>
      </c>
      <c r="F21" t="inlineStr">
        <is>
          <t>0.225 | 0.155 | 0.620</t>
        </is>
      </c>
      <c r="G21" t="inlineStr">
        <is>
          <t>model_catch</t>
        </is>
      </c>
      <c r="H21" t="inlineStr">
        <is>
          <t>low</t>
        </is>
      </c>
      <c r="I21" t="inlineStr">
        <is>
          <t>composite_split</t>
        </is>
      </c>
      <c r="J21" t="n">
        <v>6844598.676</v>
      </c>
      <c r="K21" t="n">
        <v>1.766</v>
      </c>
      <c r="L2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s="8" t="inlineStr">
        <is>
          <t>Shrimps</t>
        </is>
      </c>
      <c r="F22" t="inlineStr"/>
      <c r="G22" t="inlineStr"/>
      <c r="H22" t="inlineStr">
        <is>
          <t>high</t>
        </is>
      </c>
      <c r="I22" t="inlineStr">
        <is>
          <t>taxonomic_containment</t>
        </is>
      </c>
      <c r="J22" t="n">
        <v>5867364.45</v>
      </c>
      <c r="K22" t="n">
        <v>1.5138</v>
      </c>
      <c r="L22" s="6" t="inlineStr">
        <is>
          <t>Stomatopods belong to the residual benthic crustaceans; other shrimp taxa belong to Shrimps after the explicitly separated Acetes records (Appendix 6.1 pp.323-326).</t>
        </is>
      </c>
    </row>
    <row r="23">
      <c r="A23" t="inlineStr">
        <is>
          <t>Sardinella</t>
        </is>
      </c>
      <c r="B23" t="inlineStr">
        <is>
          <t>Sardinellas</t>
        </is>
      </c>
      <c r="C23" t="inlineStr">
        <is>
          <t>Small pelagics (&lt;30 cm)</t>
        </is>
      </c>
      <c r="D23" t="inlineStr">
        <is>
          <t>Herring-likes</t>
        </is>
      </c>
      <c r="E23" s="7" t="inlineStr">
        <is>
          <t>Pelagic fish (≤ 30 cm)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5559746.225</v>
      </c>
      <c r="K23" t="n">
        <v>1.4345</v>
      </c>
      <c r="L2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s="5" t="inlineStr">
        <is>
          <t>Demesral fish (≤ 30 cm) | Juvenile demersal fish (&gt; 30 cm) | Adult demersal fish (&gt; 30 cm)</t>
        </is>
      </c>
      <c r="F24" t="inlineStr">
        <is>
          <t>0.386 | 0.123 | 0.491</t>
        </is>
      </c>
      <c r="G24" t="inlineStr">
        <is>
          <t>model_catch</t>
        </is>
      </c>
      <c r="H24" t="inlineStr">
        <is>
          <t>low</t>
        </is>
      </c>
      <c r="I24" t="inlineStr">
        <is>
          <t>composite_split</t>
        </is>
      </c>
      <c r="J24" t="n">
        <v>5351658.523</v>
      </c>
      <c r="K24" t="n">
        <v>1.3808</v>
      </c>
      <c r="L2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5">
      <c r="A25" t="inlineStr">
        <is>
          <t>Priacanthus</t>
        </is>
      </c>
      <c r="B25" t="inlineStr">
        <is>
          <t>Bigeyes</t>
        </is>
      </c>
      <c r="C25" t="inlineStr">
        <is>
          <t>Medium reef assoc. fish (30 - 89 cm)</t>
        </is>
      </c>
      <c r="D25" t="inlineStr">
        <is>
          <t>Perch-likes</t>
        </is>
      </c>
      <c r="E25" s="8" t="inlineStr">
        <is>
          <t>Bigeyes (priacanthids)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4439431.951</v>
      </c>
      <c r="K25" t="n">
        <v>1.1454</v>
      </c>
      <c r="L25" s="6" t="inlineStr">
        <is>
          <t>Appendix 6.1 pp.327-335 defines Bigeyes (priacanthids) by this family or explicitly names Priacanthus; dedicated source placement overrides the SAU class Medium reef assoc. fish (30 - 89 cm).</t>
        </is>
      </c>
    </row>
    <row r="26">
      <c r="A26" t="inlineStr">
        <is>
          <t>Penaeidae</t>
        </is>
      </c>
      <c r="B26" t="inlineStr">
        <is>
          <t>Commercial shrimps and prawns</t>
        </is>
      </c>
      <c r="C26" t="inlineStr">
        <is>
          <t>Shrimps</t>
        </is>
      </c>
      <c r="D26" t="inlineStr">
        <is>
          <t>Crustaceans</t>
        </is>
      </c>
      <c r="E26" s="8" t="inlineStr">
        <is>
          <t>Shrimps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4293768.542</v>
      </c>
      <c r="K26" t="n">
        <v>1.1078</v>
      </c>
      <c r="L26" s="6" t="inlineStr">
        <is>
          <t>Stomatopods belong to the residual benthic crustaceans; other shrimp taxa belong to Shrimps after the explicitly separated Acetes records (Appendix 6.1 pp.323-326).</t>
        </is>
      </c>
    </row>
    <row r="27">
      <c r="A27" t="inlineStr">
        <is>
          <t>Loliginidae</t>
        </is>
      </c>
      <c r="B27" t="inlineStr">
        <is>
          <t>Common pencil squids</t>
        </is>
      </c>
      <c r="C27" t="inlineStr">
        <is>
          <t>Cephalopods</t>
        </is>
      </c>
      <c r="D27" t="inlineStr">
        <is>
          <t>Other fishes &amp; inverts</t>
        </is>
      </c>
      <c r="E27" s="8" t="inlineStr">
        <is>
          <t>Cephalopods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4279272.653</v>
      </c>
      <c r="K27" t="n">
        <v>1.1041</v>
      </c>
      <c r="L27" s="6" t="inlineStr">
        <is>
          <t>Cephalopoda is contained by the single source Cephalopods group, Appendix 6.1.8 pp.326-327.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7" t="inlineStr">
        <is>
          <t>Juvenile large pelagic fish | Pelagic fish (&gt; 30 cm)</t>
        </is>
      </c>
      <c r="F28" t="inlineStr">
        <is>
          <t>0.202 | 0.798</t>
        </is>
      </c>
      <c r="G28" t="inlineStr">
        <is>
          <t>model_catch</t>
        </is>
      </c>
      <c r="H28" t="inlineStr">
        <is>
          <t>medium</t>
        </is>
      </c>
      <c r="I28" t="inlineStr">
        <is>
          <t>composite_split</t>
        </is>
      </c>
      <c r="J28" t="n">
        <v>4253440.103</v>
      </c>
      <c r="K28" t="n">
        <v>1.0974</v>
      </c>
      <c r="L28" s="6" t="inlineStr">
        <is>
          <t>Analyst habitat/size inference to source &gt;30 cm pelagic fish (Appendix 6.1.24 p.339); no age data, so split juvenile/adult using the period model catch.</t>
        </is>
      </c>
    </row>
    <row r="29">
      <c r="A29" t="inlineStr">
        <is>
          <t>Portunus trituberculatus</t>
        </is>
      </c>
      <c r="B29" t="inlineStr">
        <is>
          <t>Gazami crab</t>
        </is>
      </c>
      <c r="C29" t="inlineStr">
        <is>
          <t>Lobsters, crabs</t>
        </is>
      </c>
      <c r="D29" t="inlineStr">
        <is>
          <t>Crustaceans</t>
        </is>
      </c>
      <c r="E29" s="8" t="inlineStr">
        <is>
          <t>Crabs</t>
        </is>
      </c>
      <c r="F29" t="inlineStr"/>
      <c r="G29" t="inlineStr"/>
      <c r="H29" t="inlineStr">
        <is>
          <t>high</t>
        </is>
      </c>
      <c r="I29" t="inlineStr">
        <is>
          <t>taxonomic_containment</t>
        </is>
      </c>
      <c r="J29" t="n">
        <v>3963780.828</v>
      </c>
      <c r="K29" t="n">
        <v>1.0227</v>
      </c>
      <c r="L29" s="6" t="inlineStr">
        <is>
          <t>Source benthic crustaceans exclude shrimps and crabs (Appendix 6.1.5 p.324); lobsters remain in that residual, while true crabs use Crabs.</t>
        </is>
      </c>
    </row>
    <row r="30">
      <c r="A30" t="inlineStr">
        <is>
          <t>Monacanthidae</t>
        </is>
      </c>
      <c r="B30" t="inlineStr">
        <is>
          <t>Filefishes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s="7" t="inlineStr">
        <is>
          <t>Juvenile demersal fish (&gt; 30 cm) | Adult demersal fish (&gt; 30 cm)</t>
        </is>
      </c>
      <c r="F30" t="inlineStr">
        <is>
          <t>0.200 | 0.800</t>
        </is>
      </c>
      <c r="G30" t="inlineStr">
        <is>
          <t>model_catch</t>
        </is>
      </c>
      <c r="H30" t="inlineStr">
        <is>
          <t>medium</t>
        </is>
      </c>
      <c r="I30" t="inlineStr">
        <is>
          <t>composite_split</t>
        </is>
      </c>
      <c r="J30" t="n">
        <v>3962408.345</v>
      </c>
      <c r="K30" t="n">
        <v>1.0223</v>
      </c>
      <c r="L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">
      <c r="A31" t="inlineStr">
        <is>
          <t>Trachysalambria curvirostris</t>
        </is>
      </c>
      <c r="B31" t="inlineStr">
        <is>
          <t>Southern rough shrimp</t>
        </is>
      </c>
      <c r="C31" t="inlineStr">
        <is>
          <t>Shrimps</t>
        </is>
      </c>
      <c r="D31" t="inlineStr">
        <is>
          <t>Crustaceans</t>
        </is>
      </c>
      <c r="E31" s="8" t="inlineStr">
        <is>
          <t>Shrimps</t>
        </is>
      </c>
      <c r="F31" t="inlineStr"/>
      <c r="G31" t="inlineStr"/>
      <c r="H31" t="inlineStr">
        <is>
          <t>high</t>
        </is>
      </c>
      <c r="I31" t="inlineStr">
        <is>
          <t>taxonomic_containment</t>
        </is>
      </c>
      <c r="J31" t="n">
        <v>3907800.117</v>
      </c>
      <c r="K31" t="n">
        <v>1.0083</v>
      </c>
      <c r="L31" s="6" t="inlineStr">
        <is>
          <t>Stomatopods belong to the residual benthic crustaceans; other shrimp taxa belong to Shrimps after the explicitly separated Acetes records (Appendix 6.1 pp.323-326).</t>
        </is>
      </c>
    </row>
    <row r="32">
      <c r="A32" t="inlineStr">
        <is>
          <t>Larimichthys crocea</t>
        </is>
      </c>
      <c r="B32" t="inlineStr">
        <is>
          <t>Large yellow croaker</t>
        </is>
      </c>
      <c r="C32" t="inlineStr">
        <is>
          <t>Medium benthopelagics (30 - 89 cm)</t>
        </is>
      </c>
      <c r="D32" t="inlineStr">
        <is>
          <t>Perch-likes</t>
        </is>
      </c>
      <c r="E32" s="7" t="inlineStr">
        <is>
          <t>Juvenile large croakers | Croakers (&gt; 30 cm)</t>
        </is>
      </c>
      <c r="F32" t="inlineStr">
        <is>
          <t>0.200 | 0.800</t>
        </is>
      </c>
      <c r="G32" t="inlineStr">
        <is>
          <t>model_catch</t>
        </is>
      </c>
      <c r="H32" t="inlineStr">
        <is>
          <t>medium</t>
        </is>
      </c>
      <c r="I32" t="inlineStr">
        <is>
          <t>composite_split</t>
        </is>
      </c>
      <c r="J32" t="n">
        <v>3769190.843</v>
      </c>
      <c r="K32" t="n">
        <v>0.9725</v>
      </c>
      <c r="L3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s="5" t="inlineStr">
        <is>
          <t>Pelagic fish (≤ 30 cm) | Juvenile large pelagic fish | Pelagic fish (&gt; 30 cm)</t>
        </is>
      </c>
      <c r="F33" t="inlineStr">
        <is>
          <t>0.754 | 0.050 | 0.196</t>
        </is>
      </c>
      <c r="G33" t="inlineStr">
        <is>
          <t>model_catch</t>
        </is>
      </c>
      <c r="H33" t="inlineStr">
        <is>
          <t>low</t>
        </is>
      </c>
      <c r="I33" t="inlineStr">
        <is>
          <t>composite_split</t>
        </is>
      </c>
      <c r="J33" t="n">
        <v>3540793.614</v>
      </c>
      <c r="K33" t="n">
        <v>0.9136</v>
      </c>
      <c r="L3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34">
      <c r="A34" t="inlineStr">
        <is>
          <t>Muraenesox cinereus</t>
        </is>
      </c>
      <c r="B34" t="inlineStr">
        <is>
          <t>Daggertooth pike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s="7" t="inlineStr">
        <is>
          <t>Juvenile demersal fish (&gt; 30 cm) | Adult demersal fish (&gt; 30 cm)</t>
        </is>
      </c>
      <c r="F34" t="inlineStr">
        <is>
          <t>0.200 | 0.800</t>
        </is>
      </c>
      <c r="G34" t="inlineStr">
        <is>
          <t>model_catch</t>
        </is>
      </c>
      <c r="H34" t="inlineStr">
        <is>
          <t>medium</t>
        </is>
      </c>
      <c r="I34" t="inlineStr">
        <is>
          <t>composite_split</t>
        </is>
      </c>
      <c r="J34" t="n">
        <v>3307959.703</v>
      </c>
      <c r="K34" t="n">
        <v>0.8535</v>
      </c>
      <c r="L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">
      <c r="A35" t="inlineStr">
        <is>
          <t>Portunus pelagicus</t>
        </is>
      </c>
      <c r="B35" t="inlineStr">
        <is>
          <t>Blue swimming crab</t>
        </is>
      </c>
      <c r="C35" t="inlineStr">
        <is>
          <t>Lobsters, crabs</t>
        </is>
      </c>
      <c r="D35" t="inlineStr">
        <is>
          <t>Crustaceans</t>
        </is>
      </c>
      <c r="E35" s="8" t="inlineStr">
        <is>
          <t>Crabs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3288014.824</v>
      </c>
      <c r="K35" t="n">
        <v>0.8483000000000001</v>
      </c>
      <c r="L35" s="6" t="inlineStr">
        <is>
          <t>Source benthic crustaceans exclude shrimps and crabs (Appendix 6.1.5 p.324); lobsters remain in that residual, while true crabs use Crabs.</t>
        </is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s="7" t="inlineStr">
        <is>
          <t>Pelagic fish (≤ 30 cm)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3259139.244</v>
      </c>
      <c r="K36" t="n">
        <v>0.8409</v>
      </c>
      <c r="L3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7">
      <c r="A37" t="inlineStr">
        <is>
          <t>Pampus</t>
        </is>
      </c>
      <c r="B37" t="inlineStr">
        <is>
          <t>Silver pomfrets</t>
        </is>
      </c>
      <c r="C37" t="inlineStr">
        <is>
          <t>Medium benthopelagics (30 - 89 cm)</t>
        </is>
      </c>
      <c r="D37" t="inlineStr">
        <is>
          <t>Perch-likes</t>
        </is>
      </c>
      <c r="E37" s="8" t="inlineStr">
        <is>
          <t>Pomfret (stromateids)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3141062.387</v>
      </c>
      <c r="K37" t="n">
        <v>0.8104</v>
      </c>
      <c r="L37" s="6" t="inlineStr">
        <is>
          <t>Appendix 6.1 pp.327-335 defines Pomfret (stromateids) by this family or explicitly names Pampus; dedicated source placement overrides the SAU class Medium benthopelagics (30 - 89 cm).</t>
        </is>
      </c>
    </row>
    <row r="38">
      <c r="A38" t="inlineStr">
        <is>
          <t>Nemipteridae</t>
        </is>
      </c>
      <c r="B38" t="inlineStr">
        <is>
          <t>Threadfins, whiptail breams</t>
        </is>
      </c>
      <c r="C38" t="inlineStr">
        <is>
          <t>Small demersals (&lt;30 cm)</t>
        </is>
      </c>
      <c r="D38" t="inlineStr">
        <is>
          <t>Perch-likes</t>
        </is>
      </c>
      <c r="E38" s="8" t="inlineStr">
        <is>
          <t>Threadfin bream (nemipterids)</t>
        </is>
      </c>
      <c r="F38" t="inlineStr"/>
      <c r="G38" t="inlineStr"/>
      <c r="H38" t="inlineStr">
        <is>
          <t>high</t>
        </is>
      </c>
      <c r="I38" t="inlineStr">
        <is>
          <t>taxonomic_containment</t>
        </is>
      </c>
      <c r="J38" t="n">
        <v>3102945.198</v>
      </c>
      <c r="K38" t="n">
        <v>0.8006</v>
      </c>
      <c r="L38" s="6" t="inlineStr">
        <is>
          <t>Appendix 6.1 pp.327-335 defines Threadfin bream (nemipterids) by this family or explicitly names Nemipteridae; dedicated source placement overrides the SAU class Small demersals (&lt;30 cm).</t>
        </is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s="8" t="inlineStr">
        <is>
          <t>Cephalopods</t>
        </is>
      </c>
      <c r="F39" t="inlineStr"/>
      <c r="G39" t="inlineStr"/>
      <c r="H39" t="inlineStr">
        <is>
          <t>high</t>
        </is>
      </c>
      <c r="I39" t="inlineStr">
        <is>
          <t>taxonomic_containment</t>
        </is>
      </c>
      <c r="J39" t="n">
        <v>2938421.515</v>
      </c>
      <c r="K39" t="n">
        <v>0.7581</v>
      </c>
      <c r="L39" s="6" t="inlineStr">
        <is>
          <t>Cephalopoda is contained by the single source Cephalopods group, Appendix 6.1.8 pp.326-327.</t>
        </is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s="7" t="inlineStr">
        <is>
          <t>Juvenile large pelagic fish | Pelagic fish (&gt; 30 cm)</t>
        </is>
      </c>
      <c r="F40" t="inlineStr">
        <is>
          <t>0.202 | 0.798</t>
        </is>
      </c>
      <c r="G40" t="inlineStr">
        <is>
          <t>model_catch</t>
        </is>
      </c>
      <c r="H40" t="inlineStr">
        <is>
          <t>medium</t>
        </is>
      </c>
      <c r="I40" t="inlineStr">
        <is>
          <t>composite_split</t>
        </is>
      </c>
      <c r="J40" t="n">
        <v>2787864.256</v>
      </c>
      <c r="K40" t="n">
        <v>0.7193000000000001</v>
      </c>
      <c r="L40" s="6" t="inlineStr">
        <is>
          <t>Analyst habitat/size inference to source &gt;30 cm pelagic fish (Appendix 6.1.24 p.339); no age data, so split juvenile/adult using the period model catch.</t>
        </is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s="8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taxonomic_containment</t>
        </is>
      </c>
      <c r="J41" t="n">
        <v>2520688.549</v>
      </c>
      <c r="K41" t="n">
        <v>0.6504</v>
      </c>
      <c r="L41" s="6" t="inlineStr">
        <is>
          <t>Cephalopoda is contained by the single source Cephalopods group, Appendix 6.1.8 pp.326-327.</t>
        </is>
      </c>
    </row>
    <row r="42">
      <c r="A42" t="inlineStr">
        <is>
          <t>Saurida tumbil</t>
        </is>
      </c>
      <c r="B42" t="inlineStr">
        <is>
          <t>Greater lizardfish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s="8" t="inlineStr">
        <is>
          <t>Lizard fish (synodontids)</t>
        </is>
      </c>
      <c r="F42" t="inlineStr"/>
      <c r="G42" t="inlineStr"/>
      <c r="H42" t="inlineStr">
        <is>
          <t>high</t>
        </is>
      </c>
      <c r="I42" t="inlineStr">
        <is>
          <t>explicit_member</t>
        </is>
      </c>
      <c r="J42" t="n">
        <v>2376467.307</v>
      </c>
      <c r="K42" t="n">
        <v>0.6132</v>
      </c>
      <c r="L42" s="6" t="inlineStr">
        <is>
          <t>Appendix 6.1 pp.327-335 defines Lizard fish (synodontids) by this family or explicitly names Saurida tumbil; dedicated source placement overrides the SAU class Medium demersals (30 - 89 cm).</t>
        </is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s="7" t="inlineStr">
        <is>
          <t>Juvenile large pelagic fish | Pelagic fish (&gt; 30 cm)</t>
        </is>
      </c>
      <c r="F43" t="inlineStr">
        <is>
          <t>0.202 | 0.798</t>
        </is>
      </c>
      <c r="G43" t="inlineStr">
        <is>
          <t>model_catch</t>
        </is>
      </c>
      <c r="H43" t="inlineStr">
        <is>
          <t>medium</t>
        </is>
      </c>
      <c r="I43" t="inlineStr">
        <is>
          <t>composite_split</t>
        </is>
      </c>
      <c r="J43" t="n">
        <v>2367798.338</v>
      </c>
      <c r="K43" t="n">
        <v>0.6109</v>
      </c>
      <c r="L43" s="6" t="inlineStr">
        <is>
          <t>Analyst habitat/size inference to source &gt;30 cm pelagic fish (Appendix 6.1.24 p.339); no age data, so split juvenile/adult using the period model catch.</t>
        </is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s="5" t="inlineStr">
        <is>
          <t>Zooplankton | Benthic crustaceans | Shrimps | Crabs</t>
        </is>
      </c>
      <c r="F44" t="inlineStr">
        <is>
          <t>0.257 | 0.052 | 0.486 | 0.205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2362914.419</v>
      </c>
      <c r="K44" t="n">
        <v>0.6097</v>
      </c>
      <c r="L4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s="7" t="inlineStr">
        <is>
          <t>Juvenile large pelagic fish | Pelagic fish (&gt; 30 cm)</t>
        </is>
      </c>
      <c r="F45" t="inlineStr">
        <is>
          <t>0.202 | 0.798</t>
        </is>
      </c>
      <c r="G45" t="inlineStr">
        <is>
          <t>model_catch</t>
        </is>
      </c>
      <c r="H45" t="inlineStr">
        <is>
          <t>medium</t>
        </is>
      </c>
      <c r="I45" t="inlineStr">
        <is>
          <t>composite_split</t>
        </is>
      </c>
      <c r="J45" t="n">
        <v>2320946.733</v>
      </c>
      <c r="K45" t="n">
        <v>0.5988</v>
      </c>
      <c r="L45" s="6" t="inlineStr">
        <is>
          <t>Analyst habitat/size inference to source &gt;30 cm pelagic fish (Appendix 6.1.24 p.339); no age data, so split juvenile/adult using the period model catch.</t>
        </is>
      </c>
    </row>
    <row r="46">
      <c r="A46" t="inlineStr">
        <is>
          <t>Priacanthidae</t>
        </is>
      </c>
      <c r="B46" t="inlineStr">
        <is>
          <t>Bigeyes, catalufas</t>
        </is>
      </c>
      <c r="C46" t="inlineStr">
        <is>
          <t>Medium reef assoc. fish (30 - 89 cm)</t>
        </is>
      </c>
      <c r="D46" t="inlineStr">
        <is>
          <t>Perch-likes</t>
        </is>
      </c>
      <c r="E46" s="8" t="inlineStr">
        <is>
          <t>Bigeyes (priacanthids)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2037784.634</v>
      </c>
      <c r="K46" t="n">
        <v>0.5258</v>
      </c>
      <c r="L46" s="6" t="inlineStr">
        <is>
          <t>Appendix 6.1 pp.327-335 defines Bigeyes (priacanthids) by this family or explicitly names Priacanthidae; dedicated source placement overrides the SAU class Medium reef assoc. fish (30 - 89 cm).</t>
        </is>
      </c>
    </row>
    <row r="47">
      <c r="A47" t="inlineStr">
        <is>
          <t>Ariidae</t>
        </is>
      </c>
      <c r="B47" t="inlineStr">
        <is>
          <t>Sea catfishes, coblers</t>
        </is>
      </c>
      <c r="C47" t="inlineStr">
        <is>
          <t>Medium demersals (30 - 89 cm)</t>
        </is>
      </c>
      <c r="D47" t="inlineStr">
        <is>
          <t>Other fishes &amp; inverts</t>
        </is>
      </c>
      <c r="E47" s="7" t="inlineStr">
        <is>
          <t>Juvenile demersal fish (&gt; 30 cm) | Adult demersal fish (&gt; 30 cm)</t>
        </is>
      </c>
      <c r="F47" t="inlineStr">
        <is>
          <t>0.200 | 0.800</t>
        </is>
      </c>
      <c r="G47" t="inlineStr">
        <is>
          <t>model_catch</t>
        </is>
      </c>
      <c r="H47" t="inlineStr">
        <is>
          <t>medium</t>
        </is>
      </c>
      <c r="I47" t="inlineStr">
        <is>
          <t>composite_split</t>
        </is>
      </c>
      <c r="J47" t="n">
        <v>2011554.05</v>
      </c>
      <c r="K47" t="n">
        <v>0.519</v>
      </c>
      <c r="L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48">
      <c r="A48" t="inlineStr">
        <is>
          <t>Sepiida</t>
        </is>
      </c>
      <c r="B48" t="inlineStr">
        <is>
          <t>Cuttlefishes, bobtail squids</t>
        </is>
      </c>
      <c r="C48" t="inlineStr">
        <is>
          <t>Cephalopods</t>
        </is>
      </c>
      <c r="D48" t="inlineStr">
        <is>
          <t>Other fishes &amp; inverts</t>
        </is>
      </c>
      <c r="E48" s="8" t="inlineStr">
        <is>
          <t>Cephalopods</t>
        </is>
      </c>
      <c r="F48" t="inlineStr"/>
      <c r="G48" t="inlineStr"/>
      <c r="H48" t="inlineStr">
        <is>
          <t>high</t>
        </is>
      </c>
      <c r="I48" t="inlineStr">
        <is>
          <t>taxonomic_containment</t>
        </is>
      </c>
      <c r="J48" t="n">
        <v>1933877.398</v>
      </c>
      <c r="K48" t="n">
        <v>0.499</v>
      </c>
      <c r="L48" s="6" t="inlineStr">
        <is>
          <t>Cephalopoda is contained by the single source Cephalopods group, Appendix 6.1.8 pp.326-327.</t>
        </is>
      </c>
    </row>
    <row r="49">
      <c r="A49" t="inlineStr">
        <is>
          <t>Harpadon nehereus</t>
        </is>
      </c>
      <c r="B49" t="inlineStr">
        <is>
          <t>Bombay-duck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s="8" t="inlineStr">
        <is>
          <t>Lizard fish (synodontids)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1914727.921</v>
      </c>
      <c r="K49" t="n">
        <v>0.494</v>
      </c>
      <c r="L49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</row>
    <row r="50">
      <c r="A50" t="inlineStr">
        <is>
          <t>Squillidae</t>
        </is>
      </c>
      <c r="B50" t="inlineStr">
        <is>
          <t>Squilla mantis shrimps</t>
        </is>
      </c>
      <c r="C50" t="inlineStr">
        <is>
          <t>Shrimps</t>
        </is>
      </c>
      <c r="D50" t="inlineStr">
        <is>
          <t>Crustaceans</t>
        </is>
      </c>
      <c r="E50" s="8" t="inlineStr">
        <is>
          <t>Benthic crustaceans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1800383.614</v>
      </c>
      <c r="K50" t="n">
        <v>0.4645</v>
      </c>
      <c r="L50" s="6" t="inlineStr">
        <is>
          <t>Stomatopods belong to the residual benthic crustaceans; other shrimp taxa belong to Shrimps after the explicitly separated Acetes records (Appendix 6.1 pp.323-326).</t>
        </is>
      </c>
    </row>
    <row r="51">
      <c r="A51" t="inlineStr">
        <is>
          <t>Todarodes pacificus</t>
        </is>
      </c>
      <c r="B51" t="inlineStr">
        <is>
          <t>Japanese flying squid</t>
        </is>
      </c>
      <c r="C51" t="inlineStr">
        <is>
          <t>Cephalopods</t>
        </is>
      </c>
      <c r="D51" t="inlineStr">
        <is>
          <t>Other fishes &amp; inverts</t>
        </is>
      </c>
      <c r="E51" s="8" t="inlineStr">
        <is>
          <t>Cephalopods</t>
        </is>
      </c>
      <c r="F51" t="inlineStr"/>
      <c r="G51" t="inlineStr"/>
      <c r="H51" t="inlineStr">
        <is>
          <t>high</t>
        </is>
      </c>
      <c r="I51" t="inlineStr">
        <is>
          <t>taxonomic_containment</t>
        </is>
      </c>
      <c r="J51" t="n">
        <v>1752301.258</v>
      </c>
      <c r="K51" t="n">
        <v>0.4521</v>
      </c>
      <c r="L51" s="6" t="inlineStr">
        <is>
          <t>Cephalopoda is contained by the single source Cephalopods group, Appendix 6.1.8 pp.326-327.</t>
        </is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s="5" t="inlineStr">
        <is>
          <t>Demersal sharks and rays | Pelagic sharks and rays</t>
        </is>
      </c>
      <c r="F52" t="inlineStr">
        <is>
          <t>0.813 | 0.187</t>
        </is>
      </c>
      <c r="G52" t="inlineStr">
        <is>
          <t>catch_composition</t>
        </is>
      </c>
      <c r="H52" t="inlineStr">
        <is>
          <t>low</t>
        </is>
      </c>
      <c r="I52" t="inlineStr">
        <is>
          <t>composite_split</t>
        </is>
      </c>
      <c r="J52" t="n">
        <v>1751877.718</v>
      </c>
      <c r="K52" t="n">
        <v>0.452</v>
      </c>
      <c r="L52" s="6" t="inlineStr">
        <is>
          <t>Coarse or habitat-ambiguous elasmobranch record spans the two source habitat compartments; SAU shark/ray size is insufficient to select one.</t>
        </is>
      </c>
    </row>
    <row r="53">
      <c r="A53" t="inlineStr">
        <is>
          <t>Rastrelliger brachysoma</t>
        </is>
      </c>
      <c r="B53" t="inlineStr">
        <is>
          <t>Short mackerel</t>
        </is>
      </c>
      <c r="C53" t="inlineStr">
        <is>
          <t>Medium pelagics (30 - 89 cm)</t>
        </is>
      </c>
      <c r="D53" t="inlineStr">
        <is>
          <t>Perch-likes</t>
        </is>
      </c>
      <c r="E53" s="7" t="inlineStr">
        <is>
          <t>Juvenile large pelagic fish | Pelagic fish (&gt; 30 cm)</t>
        </is>
      </c>
      <c r="F53" t="inlineStr">
        <is>
          <t>0.202 | 0.798</t>
        </is>
      </c>
      <c r="G53" t="inlineStr">
        <is>
          <t>model_catch</t>
        </is>
      </c>
      <c r="H53" t="inlineStr">
        <is>
          <t>medium</t>
        </is>
      </c>
      <c r="I53" t="inlineStr">
        <is>
          <t>composite_split</t>
        </is>
      </c>
      <c r="J53" t="n">
        <v>1719985.069</v>
      </c>
      <c r="K53" t="n">
        <v>0.4438</v>
      </c>
      <c r="L53" s="6" t="inlineStr">
        <is>
          <t>Analyst habitat/size inference to source &gt;30 cm pelagic fish (Appendix 6.1.24 p.339); no age data, so split juvenile/adult using the period model catch.</t>
        </is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s="5" t="inlineStr">
        <is>
          <t>Demersal sharks and rays | Pelagic sharks and rays</t>
        </is>
      </c>
      <c r="F54" t="inlineStr">
        <is>
          <t>0.813 | 0.187</t>
        </is>
      </c>
      <c r="G54" t="inlineStr">
        <is>
          <t>catch_composition</t>
        </is>
      </c>
      <c r="H54" t="inlineStr">
        <is>
          <t>low</t>
        </is>
      </c>
      <c r="I54" t="inlineStr">
        <is>
          <t>composite_split</t>
        </is>
      </c>
      <c r="J54" t="n">
        <v>1707091.817</v>
      </c>
      <c r="K54" t="n">
        <v>0.4404</v>
      </c>
      <c r="L54" s="6" t="inlineStr">
        <is>
          <t>Coarse or habitat-ambiguous elasmobranch record spans the two source habitat compartments; SAU shark/ray size is insufficient to select one.</t>
        </is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s="7" t="inlineStr">
        <is>
          <t>Juvenile large pelagic fish | Pelagic fish (&gt; 30 cm)</t>
        </is>
      </c>
      <c r="F55" t="inlineStr">
        <is>
          <t>0.202 | 0.798</t>
        </is>
      </c>
      <c r="G55" t="inlineStr">
        <is>
          <t>model_catch</t>
        </is>
      </c>
      <c r="H55" t="inlineStr">
        <is>
          <t>medium</t>
        </is>
      </c>
      <c r="I55" t="inlineStr">
        <is>
          <t>composite_split</t>
        </is>
      </c>
      <c r="J55" t="n">
        <v>1626326.169</v>
      </c>
      <c r="K55" t="n">
        <v>0.4196</v>
      </c>
      <c r="L55" s="6" t="inlineStr">
        <is>
          <t>Analyst habitat/size inference to source &gt;30 cm pelagic fish (Appendix 6.1.24 p.339); no age data, so split juvenile/adult using the period model catch.</t>
        </is>
      </c>
    </row>
    <row r="56">
      <c r="A56" t="inlineStr">
        <is>
          <t>Stolephorus</t>
        </is>
      </c>
      <c r="B56" t="inlineStr">
        <is>
          <t>Garment anchovies</t>
        </is>
      </c>
      <c r="C56" t="inlineStr">
        <is>
          <t>Small pelagics (&lt;30 cm)</t>
        </is>
      </c>
      <c r="D56" t="inlineStr">
        <is>
          <t>Anchovies</t>
        </is>
      </c>
      <c r="E56" s="7" t="inlineStr">
        <is>
          <t>Pelagic fish (≤ 30 cm)</t>
        </is>
      </c>
      <c r="F56" t="inlineStr"/>
      <c r="G56" t="inlineStr"/>
      <c r="H56" t="inlineStr">
        <is>
          <t>medium</t>
        </is>
      </c>
      <c r="I56" t="inlineStr">
        <is>
          <t>habitat_size_guild</t>
        </is>
      </c>
      <c r="J56" t="n">
        <v>1518853.453</v>
      </c>
      <c r="K56" t="n">
        <v>0.3919</v>
      </c>
      <c r="L5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s="7" t="inlineStr">
        <is>
          <t>Juvenile large pelagic fish | Pelagic fish (&gt; 30 cm)</t>
        </is>
      </c>
      <c r="F57" t="inlineStr">
        <is>
          <t>0.202 | 0.798</t>
        </is>
      </c>
      <c r="G57" t="inlineStr">
        <is>
          <t>model_catch</t>
        </is>
      </c>
      <c r="H57" t="inlineStr">
        <is>
          <t>medium</t>
        </is>
      </c>
      <c r="I57" t="inlineStr">
        <is>
          <t>composite_split</t>
        </is>
      </c>
      <c r="J57" t="n">
        <v>1502865.98</v>
      </c>
      <c r="K57" t="n">
        <v>0.3878</v>
      </c>
      <c r="L57" s="6" t="inlineStr">
        <is>
          <t>Analyst habitat/size inference to source &gt;30 cm pelagic fish (Appendix 6.1.24 p.339); no age data, so split juvenile/adult using the period model catch.</t>
        </is>
      </c>
    </row>
    <row r="58">
      <c r="A58" t="inlineStr">
        <is>
          <t>Rastrelliger kanagurta</t>
        </is>
      </c>
      <c r="B58" t="inlineStr">
        <is>
          <t>Indian mackerel</t>
        </is>
      </c>
      <c r="C58" t="inlineStr">
        <is>
          <t>Medium pelagics (30 - 89 cm)</t>
        </is>
      </c>
      <c r="D58" t="inlineStr">
        <is>
          <t>Perch-likes</t>
        </is>
      </c>
      <c r="E58" s="7" t="inlineStr">
        <is>
          <t>Juvenile large pelagic fish | Pelagic fish (&gt; 30 cm)</t>
        </is>
      </c>
      <c r="F58" t="inlineStr">
        <is>
          <t>0.202 | 0.798</t>
        </is>
      </c>
      <c r="G58" t="inlineStr">
        <is>
          <t>model_catch</t>
        </is>
      </c>
      <c r="H58" t="inlineStr">
        <is>
          <t>medium</t>
        </is>
      </c>
      <c r="I58" t="inlineStr">
        <is>
          <t>composite_split</t>
        </is>
      </c>
      <c r="J58" t="n">
        <v>1469580.931</v>
      </c>
      <c r="K58" t="n">
        <v>0.3792</v>
      </c>
      <c r="L58" s="6" t="inlineStr">
        <is>
          <t>Analyst habitat/size inference to source &gt;30 cm pelagic fish (Appendix 6.1.24 p.339); no age data, so split juvenile/adult using the period model catch.</t>
        </is>
      </c>
    </row>
    <row r="59">
      <c r="A59" t="inlineStr">
        <is>
          <t>Rastrelliger</t>
        </is>
      </c>
      <c r="B59" t="inlineStr">
        <is>
          <t>Indian mackerels</t>
        </is>
      </c>
      <c r="C59" t="inlineStr">
        <is>
          <t>Medium pelagics (30 - 89 cm)</t>
        </is>
      </c>
      <c r="D59" t="inlineStr">
        <is>
          <t>Perch-likes</t>
        </is>
      </c>
      <c r="E59" s="7" t="inlineStr">
        <is>
          <t>Juvenile large pelagic fish | Pelagic fish (&gt; 30 cm)</t>
        </is>
      </c>
      <c r="F59" t="inlineStr">
        <is>
          <t>0.202 | 0.798</t>
        </is>
      </c>
      <c r="G59" t="inlineStr">
        <is>
          <t>model_catch</t>
        </is>
      </c>
      <c r="H59" t="inlineStr">
        <is>
          <t>medium</t>
        </is>
      </c>
      <c r="I59" t="inlineStr">
        <is>
          <t>composite_split</t>
        </is>
      </c>
      <c r="J59" t="n">
        <v>1441250.177</v>
      </c>
      <c r="K59" t="n">
        <v>0.3719</v>
      </c>
      <c r="L59" s="6" t="inlineStr">
        <is>
          <t>Analyst habitat/size inference to source &gt;30 cm pelagic fish (Appendix 6.1.24 p.339); no age data, so split juvenile/adult using the period model catch.</t>
        </is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s="8" t="inlineStr">
        <is>
          <t>Adult groupers</t>
        </is>
      </c>
      <c r="F60" t="inlineStr"/>
      <c r="G60" t="inlineStr"/>
      <c r="H60" t="inlineStr">
        <is>
          <t>high</t>
        </is>
      </c>
      <c r="I60" t="inlineStr">
        <is>
          <t>taxonomic_containment</t>
        </is>
      </c>
      <c r="J60" t="n">
        <v>1384242.323</v>
      </c>
      <c r="K60" t="n">
        <v>0.3571</v>
      </c>
      <c r="L60" s="6" t="inlineStr">
        <is>
          <t>Appendix 6.1 pp.327-335 defines Adult groupers by this family or explicitly names Epinephelus; dedicated source placement overrides the SAU class Medium reef assoc. fish (30 - 89 cm).</t>
        </is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s="7" t="inlineStr">
        <is>
          <t>Juvenile demersal fish (&gt; 30 cm) | Adult demersal fish (&gt; 30 cm)</t>
        </is>
      </c>
      <c r="F61" t="inlineStr">
        <is>
          <t>0.200 | 0.800</t>
        </is>
      </c>
      <c r="G61" t="inlineStr">
        <is>
          <t>model_catch</t>
        </is>
      </c>
      <c r="H61" t="inlineStr">
        <is>
          <t>medium</t>
        </is>
      </c>
      <c r="I61" t="inlineStr">
        <is>
          <t>composite_split</t>
        </is>
      </c>
      <c r="J61" t="n">
        <v>1371662.314</v>
      </c>
      <c r="K61" t="n">
        <v>0.3539</v>
      </c>
      <c r="L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2">
      <c r="A62" t="inlineStr">
        <is>
          <t>Decapterus macrosoma</t>
        </is>
      </c>
      <c r="B62" t="inlineStr">
        <is>
          <t>Shortfin scad</t>
        </is>
      </c>
      <c r="C62" t="inlineStr">
        <is>
          <t>Medium pelagics (30 - 89 cm)</t>
        </is>
      </c>
      <c r="D62" t="inlineStr">
        <is>
          <t>Perch-likes</t>
        </is>
      </c>
      <c r="E62" s="7" t="inlineStr">
        <is>
          <t>Juvenile large pelagic fish | Pelagic fish (&gt; 30 cm)</t>
        </is>
      </c>
      <c r="F62" t="inlineStr">
        <is>
          <t>0.202 | 0.798</t>
        </is>
      </c>
      <c r="G62" t="inlineStr">
        <is>
          <t>model_catch</t>
        </is>
      </c>
      <c r="H62" t="inlineStr">
        <is>
          <t>medium</t>
        </is>
      </c>
      <c r="I62" t="inlineStr">
        <is>
          <t>composite_split</t>
        </is>
      </c>
      <c r="J62" t="n">
        <v>1347860.293</v>
      </c>
      <c r="K62" t="n">
        <v>0.3478</v>
      </c>
      <c r="L62" s="6" t="inlineStr">
        <is>
          <t>Analyst habitat/size inference to source &gt;30 cm pelagic fish (Appendix 6.1.24 p.339); no age data, so split juvenile/adult using the period model catch.</t>
        </is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s="7" t="inlineStr">
        <is>
          <t>Juvenile large pelagic fish | Pelagic fish (&gt; 30 cm)</t>
        </is>
      </c>
      <c r="F63" t="inlineStr">
        <is>
          <t>0.202 | 0.798</t>
        </is>
      </c>
      <c r="G63" t="inlineStr">
        <is>
          <t>model_catch</t>
        </is>
      </c>
      <c r="H63" t="inlineStr">
        <is>
          <t>medium</t>
        </is>
      </c>
      <c r="I63" t="inlineStr">
        <is>
          <t>composite_split</t>
        </is>
      </c>
      <c r="J63" t="n">
        <v>1285182</v>
      </c>
      <c r="K63" t="n">
        <v>0.3316</v>
      </c>
      <c r="L63" s="6" t="inlineStr">
        <is>
          <t>Analyst habitat/size inference to source &gt;30 cm pelagic fish (Appendix 6.1.24 p.339); no age data, so split juvenile/adult using the period model catch.</t>
        </is>
      </c>
    </row>
    <row r="64">
      <c r="A64" t="inlineStr">
        <is>
          <t>Penaeus chinensis</t>
        </is>
      </c>
      <c r="B64" t="inlineStr">
        <is>
          <t>Fleshy prawn</t>
        </is>
      </c>
      <c r="C64" t="inlineStr">
        <is>
          <t>Shrimps</t>
        </is>
      </c>
      <c r="D64" t="inlineStr">
        <is>
          <t>Crustaceans</t>
        </is>
      </c>
      <c r="E64" s="8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1236075.23</v>
      </c>
      <c r="K64" t="n">
        <v>0.3189</v>
      </c>
      <c r="L64" s="6" t="inlineStr">
        <is>
          <t>Stomatopods belong to the residual benthic crustaceans; other shrimp taxa belong to Shrimps after the explicitly separated Acetes records (Appendix 6.1 pp.323-326).</t>
        </is>
      </c>
    </row>
    <row r="65">
      <c r="A65" t="inlineStr">
        <is>
          <t>Selaroides leptolepis</t>
        </is>
      </c>
      <c r="B65" t="inlineStr">
        <is>
          <t>Yellowstripe scad</t>
        </is>
      </c>
      <c r="C65" t="inlineStr">
        <is>
          <t>Small pelagics (&lt;30 cm)</t>
        </is>
      </c>
      <c r="D65" t="inlineStr">
        <is>
          <t>Perch-likes</t>
        </is>
      </c>
      <c r="E65" s="7" t="inlineStr">
        <is>
          <t>Pelagic fish (≤ 30 cm)</t>
        </is>
      </c>
      <c r="F65" t="inlineStr"/>
      <c r="G65" t="inlineStr"/>
      <c r="H65" t="inlineStr">
        <is>
          <t>medium</t>
        </is>
      </c>
      <c r="I65" t="inlineStr">
        <is>
          <t>habitat_size_guild</t>
        </is>
      </c>
      <c r="J65" t="n">
        <v>1185036.56</v>
      </c>
      <c r="K65" t="n">
        <v>0.3058</v>
      </c>
      <c r="L65" s="6" t="inlineStr">
        <is>
          <t>Analyst habitat/size inference: SAU small-pelagic class matches the source &lt;=30 cm pelagic pool after dedicated source taxa were handled (Appendix 6.1.23 p.338).</t>
        </is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s="7" t="inlineStr">
        <is>
          <t>Juvenile demersal fish (&gt; 30 cm) | Adult demersal fish (&gt; 30 cm)</t>
        </is>
      </c>
      <c r="F66" t="inlineStr">
        <is>
          <t>0.200 | 0.800</t>
        </is>
      </c>
      <c r="G66" t="inlineStr">
        <is>
          <t>model_catch</t>
        </is>
      </c>
      <c r="H66" t="inlineStr">
        <is>
          <t>medium</t>
        </is>
      </c>
      <c r="I66" t="inlineStr">
        <is>
          <t>composite_split</t>
        </is>
      </c>
      <c r="J66" t="n">
        <v>1175466.212</v>
      </c>
      <c r="K66" t="n">
        <v>0.3033</v>
      </c>
      <c r="L6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7">
      <c r="A67" t="inlineStr">
        <is>
          <t>Ilisha elongata</t>
        </is>
      </c>
      <c r="B67" t="inlineStr">
        <is>
          <t>Elongate ilisha</t>
        </is>
      </c>
      <c r="C67" t="inlineStr">
        <is>
          <t>Medium pelagics (30 - 89 cm)</t>
        </is>
      </c>
      <c r="D67" t="inlineStr">
        <is>
          <t>Herring-likes</t>
        </is>
      </c>
      <c r="E67" s="7" t="inlineStr">
        <is>
          <t>Juvenile large pelagic fish | Pelagic fish (&gt; 30 cm)</t>
        </is>
      </c>
      <c r="F67" t="inlineStr">
        <is>
          <t>0.202 | 0.798</t>
        </is>
      </c>
      <c r="G67" t="inlineStr">
        <is>
          <t>model_catch</t>
        </is>
      </c>
      <c r="H67" t="inlineStr">
        <is>
          <t>medium</t>
        </is>
      </c>
      <c r="I67" t="inlineStr">
        <is>
          <t>composite_split</t>
        </is>
      </c>
      <c r="J67" t="n">
        <v>1163810.882</v>
      </c>
      <c r="K67" t="n">
        <v>0.3003</v>
      </c>
      <c r="L67" s="6" t="inlineStr">
        <is>
          <t>Analyst habitat/size inference to source &gt;30 cm pelagic fish (Appendix 6.1.24 p.339); no age data, so split juvenile/adult using the period model catch.</t>
        </is>
      </c>
    </row>
    <row r="68">
      <c r="A68" t="inlineStr">
        <is>
          <t>Sardinops sagax</t>
        </is>
      </c>
      <c r="B68" t="inlineStr">
        <is>
          <t>South American pilchard</t>
        </is>
      </c>
      <c r="C68" t="inlineStr">
        <is>
          <t>Medium pelagics (30 - 89 cm)</t>
        </is>
      </c>
      <c r="D68" t="inlineStr">
        <is>
          <t>Herring-likes</t>
        </is>
      </c>
      <c r="E68" s="7" t="inlineStr">
        <is>
          <t>Juvenile large pelagic fish | Pelagic fish (&gt; 30 cm)</t>
        </is>
      </c>
      <c r="F68" t="inlineStr">
        <is>
          <t>0.202 | 0.798</t>
        </is>
      </c>
      <c r="G68" t="inlineStr">
        <is>
          <t>model_catch</t>
        </is>
      </c>
      <c r="H68" t="inlineStr">
        <is>
          <t>medium</t>
        </is>
      </c>
      <c r="I68" t="inlineStr">
        <is>
          <t>composite_split</t>
        </is>
      </c>
      <c r="J68" t="n">
        <v>1101836.203</v>
      </c>
      <c r="K68" t="n">
        <v>0.2843</v>
      </c>
      <c r="L68" s="6" t="inlineStr">
        <is>
          <t>Analyst habitat/size inference to source &gt;30 cm pelagic fish (Appendix 6.1.24 p.339); no age data, so split juvenile/adult using the period model catch.</t>
        </is>
      </c>
    </row>
    <row r="69">
      <c r="A69" t="inlineStr">
        <is>
          <t>Sardinella lemuru</t>
        </is>
      </c>
      <c r="B69" t="inlineStr">
        <is>
          <t>Bali sardinella</t>
        </is>
      </c>
      <c r="C69" t="inlineStr">
        <is>
          <t>Small pelagics (&lt;30 cm)</t>
        </is>
      </c>
      <c r="D69" t="inlineStr">
        <is>
          <t>Herring-likes</t>
        </is>
      </c>
      <c r="E69" s="7" t="inlineStr">
        <is>
          <t>Pelagic fish (≤ 30 cm)</t>
        </is>
      </c>
      <c r="F69" t="inlineStr"/>
      <c r="G69" t="inlineStr"/>
      <c r="H69" t="inlineStr">
        <is>
          <t>medium</t>
        </is>
      </c>
      <c r="I69" t="inlineStr">
        <is>
          <t>habitat_size_guild</t>
        </is>
      </c>
      <c r="J69" t="n">
        <v>1092321.186</v>
      </c>
      <c r="K69" t="n">
        <v>0.2818</v>
      </c>
      <c r="L69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s="7" t="inlineStr">
        <is>
          <t>Juvenile large pelagic fish | Pelagic fish (&gt; 30 cm)</t>
        </is>
      </c>
      <c r="F70" t="inlineStr">
        <is>
          <t>0.202 | 0.798</t>
        </is>
      </c>
      <c r="G70" t="inlineStr">
        <is>
          <t>model_catch</t>
        </is>
      </c>
      <c r="H70" t="inlineStr">
        <is>
          <t>medium</t>
        </is>
      </c>
      <c r="I70" t="inlineStr">
        <is>
          <t>composite_split</t>
        </is>
      </c>
      <c r="J70" t="n">
        <v>1078982.717</v>
      </c>
      <c r="K70" t="n">
        <v>0.2784</v>
      </c>
      <c r="L70" s="6" t="inlineStr">
        <is>
          <t>Analyst habitat/size inference to source &gt;30 cm pelagic fish (Appendix 6.1.24 p.339); no age data, so split juvenile/adult using the period model catch.</t>
        </is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7" t="inlineStr">
        <is>
          <t>Juvenile large pelagic fish | Pelagic fish (&gt; 30 cm)</t>
        </is>
      </c>
      <c r="F71" t="inlineStr">
        <is>
          <t>0.202 | 0.798</t>
        </is>
      </c>
      <c r="G71" t="inlineStr">
        <is>
          <t>model_catch</t>
        </is>
      </c>
      <c r="H71" t="inlineStr">
        <is>
          <t>medium</t>
        </is>
      </c>
      <c r="I71" t="inlineStr">
        <is>
          <t>composite_split</t>
        </is>
      </c>
      <c r="J71" t="n">
        <v>1035519.84</v>
      </c>
      <c r="K71" t="n">
        <v>0.2672</v>
      </c>
      <c r="L71" s="6" t="inlineStr">
        <is>
          <t>Analyst habitat/size inference to source &gt;30 cm pelagic fish (Appendix 6.1.24 p.339); no age data, so split juvenile/adult using the period model catch.</t>
        </is>
      </c>
    </row>
    <row r="72">
      <c r="A72" t="inlineStr">
        <is>
          <t>Netuma thalassina</t>
        </is>
      </c>
      <c r="B72" t="inlineStr">
        <is>
          <t>Giant catfish</t>
        </is>
      </c>
      <c r="C72" t="inlineStr">
        <is>
          <t>Large demersals (&gt;=90 cm)</t>
        </is>
      </c>
      <c r="D72" t="inlineStr">
        <is>
          <t>Other fishes &amp; inverts</t>
        </is>
      </c>
      <c r="E72" s="7" t="inlineStr">
        <is>
          <t>Juvenile demersal fish (&gt; 30 cm) | Adult demersal fish (&gt; 30 cm)</t>
        </is>
      </c>
      <c r="F72" t="inlineStr">
        <is>
          <t>0.200 | 0.800</t>
        </is>
      </c>
      <c r="G72" t="inlineStr">
        <is>
          <t>model_catch</t>
        </is>
      </c>
      <c r="H72" t="inlineStr">
        <is>
          <t>medium</t>
        </is>
      </c>
      <c r="I72" t="inlineStr">
        <is>
          <t>composite_split</t>
        </is>
      </c>
      <c r="J72" t="n">
        <v>1021214.891</v>
      </c>
      <c r="K72" t="n">
        <v>0.2635</v>
      </c>
      <c r="L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73">
      <c r="A73" t="inlineStr">
        <is>
          <t>Priacanthus macracanthus</t>
        </is>
      </c>
      <c r="B73" t="inlineStr">
        <is>
          <t>Red bigeye</t>
        </is>
      </c>
      <c r="C73" t="inlineStr">
        <is>
          <t>Medium reef assoc. fish (30 - 89 cm)</t>
        </is>
      </c>
      <c r="D73" t="inlineStr">
        <is>
          <t>Perch-likes</t>
        </is>
      </c>
      <c r="E73" s="8" t="inlineStr">
        <is>
          <t>Bigeyes (priacanthids)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991701.4620000001</v>
      </c>
      <c r="K73" t="n">
        <v>0.2559</v>
      </c>
      <c r="L73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</row>
    <row r="74">
      <c r="A74" t="inlineStr">
        <is>
          <t>Nemipterus virgatus</t>
        </is>
      </c>
      <c r="B74" t="inlineStr">
        <is>
          <t>Golden threadfin bream</t>
        </is>
      </c>
      <c r="C74" t="inlineStr">
        <is>
          <t>Medium demersals (30 - 89 cm)</t>
        </is>
      </c>
      <c r="D74" t="inlineStr">
        <is>
          <t>Perch-likes</t>
        </is>
      </c>
      <c r="E74" s="8" t="inlineStr">
        <is>
          <t>Threadfin bream (nemipterids)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970413.986</v>
      </c>
      <c r="K74" t="n">
        <v>0.2504</v>
      </c>
      <c r="L74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</row>
    <row r="75">
      <c r="A75" t="inlineStr">
        <is>
          <t>Parastromateus niger</t>
        </is>
      </c>
      <c r="B75" t="inlineStr">
        <is>
          <t>Black pomfret</t>
        </is>
      </c>
      <c r="C75" t="inlineStr">
        <is>
          <t>Medium benthopelagics (30 - 89 cm)</t>
        </is>
      </c>
      <c r="D75" t="inlineStr">
        <is>
          <t>Perch-likes</t>
        </is>
      </c>
      <c r="E75" s="5" t="inlineStr">
        <is>
          <t>Benthopelagic fish</t>
        </is>
      </c>
      <c r="F75" t="inlineStr"/>
      <c r="G75" t="inlineStr"/>
      <c r="H75" t="inlineStr">
        <is>
          <t>low</t>
        </is>
      </c>
      <c r="I75" t="inlineStr">
        <is>
          <t>habitat_size_guild</t>
        </is>
      </c>
      <c r="J75" t="n">
        <v>961636.33</v>
      </c>
      <c r="K75" t="n">
        <v>0.2481</v>
      </c>
      <c r="L7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6">
      <c r="A76" t="inlineStr">
        <is>
          <t>Mugil cephalus</t>
        </is>
      </c>
      <c r="B76" t="inlineStr">
        <is>
          <t>Flathead grey mullet</t>
        </is>
      </c>
      <c r="C76" t="inlineStr">
        <is>
          <t>Large benthopelagics (&gt;=90 cm)</t>
        </is>
      </c>
      <c r="D76" t="inlineStr">
        <is>
          <t>Perch-likes</t>
        </is>
      </c>
      <c r="E76" s="5" t="inlineStr">
        <is>
          <t>Benthopelagic fish</t>
        </is>
      </c>
      <c r="F76" t="inlineStr"/>
      <c r="G76" t="inlineStr"/>
      <c r="H76" t="inlineStr">
        <is>
          <t>low</t>
        </is>
      </c>
      <c r="I76" t="inlineStr">
        <is>
          <t>habitat_size_guild</t>
        </is>
      </c>
      <c r="J76" t="n">
        <v>949666.595</v>
      </c>
      <c r="K76" t="n">
        <v>0.245</v>
      </c>
      <c r="L7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s="8" t="inlineStr">
        <is>
          <t>Cephalopods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945101.13</v>
      </c>
      <c r="K77" t="n">
        <v>0.2438</v>
      </c>
      <c r="L77" s="6" t="inlineStr">
        <is>
          <t>Cephalopoda is contained by the single source Cephalopods group, Appendix 6.1.8 pp.326-327.</t>
        </is>
      </c>
    </row>
    <row r="78">
      <c r="A78" t="inlineStr">
        <is>
          <t>Leiognathus</t>
        </is>
      </c>
      <c r="B78" t="inlineStr">
        <is>
          <t>Ponyfishes</t>
        </is>
      </c>
      <c r="C78" t="inlineStr">
        <is>
          <t>Small benthopelagics (&lt;30 cm)</t>
        </is>
      </c>
      <c r="D78" t="inlineStr">
        <is>
          <t>Perch-likes</t>
        </is>
      </c>
      <c r="E78" s="5" t="inlineStr">
        <is>
          <t>Benthopelagic fish</t>
        </is>
      </c>
      <c r="F78" t="inlineStr"/>
      <c r="G78" t="inlineStr"/>
      <c r="H78" t="inlineStr">
        <is>
          <t>low</t>
        </is>
      </c>
      <c r="I78" t="inlineStr">
        <is>
          <t>habitat_size_guild</t>
        </is>
      </c>
      <c r="J78" t="n">
        <v>891413.643</v>
      </c>
      <c r="K78" t="n">
        <v>0.23</v>
      </c>
      <c r="L7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s="8" t="inlineStr">
        <is>
          <t>Cephalopods</t>
        </is>
      </c>
      <c r="F79" t="inlineStr"/>
      <c r="G79" t="inlineStr"/>
      <c r="H79" t="inlineStr">
        <is>
          <t>high</t>
        </is>
      </c>
      <c r="I79" t="inlineStr">
        <is>
          <t>taxonomic_containment</t>
        </is>
      </c>
      <c r="J79" t="n">
        <v>841025.851</v>
      </c>
      <c r="K79" t="n">
        <v>0.217</v>
      </c>
      <c r="L79" s="6" t="inlineStr">
        <is>
          <t>Cephalopoda is contained by the single source Cephalopods group, Appendix 6.1.8 pp.326-327.</t>
        </is>
      </c>
    </row>
    <row r="80">
      <c r="A80" t="inlineStr">
        <is>
          <t>Dasyatis</t>
        </is>
      </c>
      <c r="B80" t="inlineStr">
        <is>
          <t>Rough whip stingrays</t>
        </is>
      </c>
      <c r="C80" t="inlineStr">
        <is>
          <t>Large rays (&gt;=90 cm)</t>
        </is>
      </c>
      <c r="D80" t="inlineStr">
        <is>
          <t>Sharks &amp; rays</t>
        </is>
      </c>
      <c r="E80" s="7" t="inlineStr">
        <is>
          <t>Demersal sharks and rays</t>
        </is>
      </c>
      <c r="F80" t="inlineStr"/>
      <c r="G80" t="inlineStr"/>
      <c r="H80" t="inlineStr">
        <is>
          <t>medium</t>
        </is>
      </c>
      <c r="I80" t="inlineStr">
        <is>
          <t>habitat_size_guild</t>
        </is>
      </c>
      <c r="J80" t="n">
        <v>824451.936</v>
      </c>
      <c r="K80" t="n">
        <v>0.2127</v>
      </c>
      <c r="L80" s="6" t="inlineStr">
        <is>
          <t>Demersal/benthic ray or houndshark lineage matches the demersal elasmobranch definition, Appendix 6.1.25 p.340; species placement is analyst inference.</t>
        </is>
      </c>
    </row>
    <row r="81">
      <c r="A81" t="inlineStr">
        <is>
          <t>Euthynnus affinis</t>
        </is>
      </c>
      <c r="B81" t="inlineStr">
        <is>
          <t>Kawakawa</t>
        </is>
      </c>
      <c r="C81" t="inlineStr">
        <is>
          <t>Large pelagics (&gt;=90 cm)</t>
        </is>
      </c>
      <c r="D81" t="inlineStr">
        <is>
          <t>Tuna &amp; billfishes</t>
        </is>
      </c>
      <c r="E81" s="7" t="inlineStr">
        <is>
          <t>Juvenile large pelagic fish | Pelagic fish (&gt; 30 cm)</t>
        </is>
      </c>
      <c r="F81" t="inlineStr">
        <is>
          <t>0.202 | 0.798</t>
        </is>
      </c>
      <c r="G81" t="inlineStr">
        <is>
          <t>model_catch</t>
        </is>
      </c>
      <c r="H81" t="inlineStr">
        <is>
          <t>medium</t>
        </is>
      </c>
      <c r="I81" t="inlineStr">
        <is>
          <t>composite_split</t>
        </is>
      </c>
      <c r="J81" t="n">
        <v>816087.965</v>
      </c>
      <c r="K81" t="n">
        <v>0.2106</v>
      </c>
      <c r="L81" s="6" t="inlineStr">
        <is>
          <t>Analyst habitat/size inference to source &gt;30 cm pelagic fish (Appendix 6.1.24 p.339); no age data, so split juvenile/adult using the period model catch.</t>
        </is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s="7" t="inlineStr">
        <is>
          <t>Juvenile large pelagic fish | Pelagic fish (&gt; 30 cm)</t>
        </is>
      </c>
      <c r="F82" t="inlineStr">
        <is>
          <t>0.202 | 0.798</t>
        </is>
      </c>
      <c r="G82" t="inlineStr">
        <is>
          <t>model_catch</t>
        </is>
      </c>
      <c r="H82" t="inlineStr">
        <is>
          <t>medium</t>
        </is>
      </c>
      <c r="I82" t="inlineStr">
        <is>
          <t>composite_split</t>
        </is>
      </c>
      <c r="J82" t="n">
        <v>803741.611</v>
      </c>
      <c r="K82" t="n">
        <v>0.2074</v>
      </c>
      <c r="L82" s="6" t="inlineStr">
        <is>
          <t>Analyst habitat/size inference to source &gt;30 cm pelagic fish (Appendix 6.1.24 p.339); no age data, so split juvenile/adult using the period model catch.</t>
        </is>
      </c>
    </row>
    <row r="83">
      <c r="A83" t="inlineStr">
        <is>
          <t>Pampus argenteus</t>
        </is>
      </c>
      <c r="B83" t="inlineStr">
        <is>
          <t>Silver pomfret</t>
        </is>
      </c>
      <c r="C83" t="inlineStr">
        <is>
          <t>Medium benthopelagics (30 - 89 cm)</t>
        </is>
      </c>
      <c r="D83" t="inlineStr">
        <is>
          <t>Perch-likes</t>
        </is>
      </c>
      <c r="E83" s="8" t="inlineStr">
        <is>
          <t>Pomfret (stromateids)</t>
        </is>
      </c>
      <c r="F83" t="inlineStr"/>
      <c r="G83" t="inlineStr"/>
      <c r="H83" t="inlineStr">
        <is>
          <t>high</t>
        </is>
      </c>
      <c r="I83" t="inlineStr">
        <is>
          <t>taxonomic_containment</t>
        </is>
      </c>
      <c r="J83" t="n">
        <v>794370.862</v>
      </c>
      <c r="K83" t="n">
        <v>0.205</v>
      </c>
      <c r="L83" s="6" t="inlineStr">
        <is>
          <t>Appendix 6.1 pp.327-335 defines Pomfret (stromateids) by this family or explicitly names Pampus argenteus; dedicated source placement overrides the SAU class Medium benthopelagics (30 - 89 cm).</t>
        </is>
      </c>
    </row>
    <row r="84">
      <c r="A84" t="inlineStr">
        <is>
          <t>Spratelloides gracilis</t>
        </is>
      </c>
      <c r="B84" t="inlineStr">
        <is>
          <t>Silver-stripe round herring</t>
        </is>
      </c>
      <c r="C84" t="inlineStr">
        <is>
          <t>Small pelagics (&lt;30 cm)</t>
        </is>
      </c>
      <c r="D84" t="inlineStr">
        <is>
          <t>Herring-likes</t>
        </is>
      </c>
      <c r="E84" s="7" t="inlineStr">
        <is>
          <t>Pelagic fish (≤ 30 cm)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757719.1850000001</v>
      </c>
      <c r="K84" t="n">
        <v>0.1955</v>
      </c>
      <c r="L84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s="8" t="inlineStr">
        <is>
          <t>Non-ceph molluscs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749929.762</v>
      </c>
      <c r="K85" t="n">
        <v>0.1935</v>
      </c>
      <c r="L85" s="6" t="inlineStr">
        <is>
          <t>Taxonomic containment in the source benthos subdivision (Appendix 6.1.5 pp.324-325), keeping non-cephalopod molluscs separate from echinoderms and sessile invertebrates.</t>
        </is>
      </c>
    </row>
    <row r="86">
      <c r="A86" t="inlineStr">
        <is>
          <t>Dussumieria</t>
        </is>
      </c>
      <c r="B86" t="inlineStr">
        <is>
          <t>Rainbow sardines</t>
        </is>
      </c>
      <c r="C86" t="inlineStr">
        <is>
          <t>Small pelagics (&lt;30 cm)</t>
        </is>
      </c>
      <c r="D86" t="inlineStr">
        <is>
          <t>Herring-likes</t>
        </is>
      </c>
      <c r="E86" s="7" t="inlineStr">
        <is>
          <t>Pelagic fish (≤ 30 cm)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697208.687</v>
      </c>
      <c r="K86" t="n">
        <v>0.1799</v>
      </c>
      <c r="L8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s="5" t="inlineStr">
        <is>
          <t>Demersal sharks and rays | Pelagic sharks and rays</t>
        </is>
      </c>
      <c r="F87" t="inlineStr">
        <is>
          <t>0.813 | 0.187</t>
        </is>
      </c>
      <c r="G87" t="inlineStr">
        <is>
          <t>catch_composition</t>
        </is>
      </c>
      <c r="H87" t="inlineStr">
        <is>
          <t>low</t>
        </is>
      </c>
      <c r="I87" t="inlineStr">
        <is>
          <t>composite_split</t>
        </is>
      </c>
      <c r="J87" t="n">
        <v>685947.922</v>
      </c>
      <c r="K87" t="n">
        <v>0.177</v>
      </c>
      <c r="L87" s="6" t="inlineStr">
        <is>
          <t>Coarse or habitat-ambiguous elasmobranch record spans the two source habitat compartments; SAU shark/ray size is insufficient to select one.</t>
        </is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s="8" t="inlineStr">
        <is>
          <t>Snappers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665694.576</v>
      </c>
      <c r="K88" t="n">
        <v>0.1718</v>
      </c>
      <c r="L88" s="6" t="inlineStr">
        <is>
          <t>Appendix 6.1 pp.327-335 defines Snappers by this family or explicitly names Lutjanus; dedicated source placement overrides the SAU class Medium reef assoc. fish (30 - 89 cm).</t>
        </is>
      </c>
    </row>
    <row r="89">
      <c r="A89" t="inlineStr">
        <is>
          <t>Penaeus merguiensis</t>
        </is>
      </c>
      <c r="B89" t="inlineStr">
        <is>
          <t>Banana prawn</t>
        </is>
      </c>
      <c r="C89" t="inlineStr">
        <is>
          <t>Shrimps</t>
        </is>
      </c>
      <c r="D89" t="inlineStr">
        <is>
          <t>Crustaceans</t>
        </is>
      </c>
      <c r="E89" s="8" t="inlineStr">
        <is>
          <t>Shrimps</t>
        </is>
      </c>
      <c r="F89" t="inlineStr"/>
      <c r="G89" t="inlineStr"/>
      <c r="H89" t="inlineStr">
        <is>
          <t>high</t>
        </is>
      </c>
      <c r="I89" t="inlineStr">
        <is>
          <t>taxonomic_containment</t>
        </is>
      </c>
      <c r="J89" t="n">
        <v>664922.307</v>
      </c>
      <c r="K89" t="n">
        <v>0.1716</v>
      </c>
      <c r="L89" s="6" t="inlineStr">
        <is>
          <t>Stomatopods belong to the residual benthic crustaceans; other shrimp taxa belong to Shrimps after the explicitly separated Acetes records (Appendix 6.1 pp.323-326).</t>
        </is>
      </c>
    </row>
    <row r="90">
      <c r="A90" t="inlineStr">
        <is>
          <t>Octopoda</t>
        </is>
      </c>
      <c r="B90" t="inlineStr">
        <is>
          <t>Octopuses, argonauts</t>
        </is>
      </c>
      <c r="C90" t="inlineStr">
        <is>
          <t>Cephalopods</t>
        </is>
      </c>
      <c r="D90" t="inlineStr">
        <is>
          <t>Other fishes &amp; inverts</t>
        </is>
      </c>
      <c r="E90" s="8" t="inlineStr">
        <is>
          <t>Cephalopods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662621.716</v>
      </c>
      <c r="K90" t="n">
        <v>0.171</v>
      </c>
      <c r="L90" s="6" t="inlineStr">
        <is>
          <t>Cephalopoda is contained by the single source Cephalopods group, Appendix 6.1.8 pp.326-327.</t>
        </is>
      </c>
    </row>
    <row r="91">
      <c r="A91" t="inlineStr">
        <is>
          <t>Clupanodon thrissa</t>
        </is>
      </c>
      <c r="B91" t="inlineStr">
        <is>
          <t>Chinese gizzard shad</t>
        </is>
      </c>
      <c r="C91" t="inlineStr">
        <is>
          <t>Small pelagics (&lt;30 cm)</t>
        </is>
      </c>
      <c r="D91" t="inlineStr">
        <is>
          <t>Herring-likes</t>
        </is>
      </c>
      <c r="E91" s="7" t="inlineStr">
        <is>
          <t>Pelagic fish (≤ 30 cm)</t>
        </is>
      </c>
      <c r="F91" t="inlineStr"/>
      <c r="G91" t="inlineStr"/>
      <c r="H91" t="inlineStr">
        <is>
          <t>medium</t>
        </is>
      </c>
      <c r="I91" t="inlineStr">
        <is>
          <t>habitat_size_guild</t>
        </is>
      </c>
      <c r="J91" t="n">
        <v>647036.927</v>
      </c>
      <c r="K91" t="n">
        <v>0.1669</v>
      </c>
      <c r="L91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2">
      <c r="A92" t="inlineStr">
        <is>
          <t>Sardinella fimbriata</t>
        </is>
      </c>
      <c r="B92" t="inlineStr">
        <is>
          <t>Fringescale sardinella</t>
        </is>
      </c>
      <c r="C92" t="inlineStr">
        <is>
          <t>Small pelagics (&lt;30 cm)</t>
        </is>
      </c>
      <c r="D92" t="inlineStr">
        <is>
          <t>Herring-likes</t>
        </is>
      </c>
      <c r="E92" s="7" t="inlineStr">
        <is>
          <t>Pelagic fish (≤ 30 cm)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639879.15</v>
      </c>
      <c r="K92" t="n">
        <v>0.1651</v>
      </c>
      <c r="L9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635369.554</v>
      </c>
      <c r="K93" t="n">
        <v>0.1639</v>
      </c>
      <c r="L93" s="6" t="inlineStr">
        <is>
          <t>Northern continental-shelf model lacks a documented oceanic billfish or deep-pelagic compartment; assigning coastal juvenile/adult pelagic SPPR would be unsupported.</t>
        </is>
      </c>
    </row>
    <row r="94">
      <c r="A94" t="inlineStr">
        <is>
          <t>Lates calcarifer</t>
        </is>
      </c>
      <c r="B94" t="inlineStr">
        <is>
          <t>Barramundi</t>
        </is>
      </c>
      <c r="C94" t="inlineStr">
        <is>
          <t>Large demersals (&gt;=90 cm)</t>
        </is>
      </c>
      <c r="D94" t="inlineStr">
        <is>
          <t>Perch-likes</t>
        </is>
      </c>
      <c r="E94" s="7" t="inlineStr">
        <is>
          <t>Juvenile demersal fish (&gt; 30 cm) | Adult demersal fish (&gt; 30 cm)</t>
        </is>
      </c>
      <c r="F94" t="inlineStr">
        <is>
          <t>0.200 | 0.800</t>
        </is>
      </c>
      <c r="G94" t="inlineStr">
        <is>
          <t>model_catch</t>
        </is>
      </c>
      <c r="H94" t="inlineStr">
        <is>
          <t>medium</t>
        </is>
      </c>
      <c r="I94" t="inlineStr">
        <is>
          <t>composite_split</t>
        </is>
      </c>
      <c r="J94" t="n">
        <v>632668.965</v>
      </c>
      <c r="K94" t="n">
        <v>0.1632</v>
      </c>
      <c r="L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95">
      <c r="A95" t="inlineStr">
        <is>
          <t>Carangoides</t>
        </is>
      </c>
      <c r="B95" t="inlineStr">
        <is>
          <t>Trevallies</t>
        </is>
      </c>
      <c r="C95" t="inlineStr">
        <is>
          <t>Medium reef assoc. fish (30 - 89 cm)</t>
        </is>
      </c>
      <c r="D95" t="inlineStr">
        <is>
          <t>Perch-likes</t>
        </is>
      </c>
      <c r="E95" s="7" t="inlineStr">
        <is>
          <t>Juvenile large pelagic fish | Pelagic fish (&gt; 30 cm)</t>
        </is>
      </c>
      <c r="F95" t="inlineStr">
        <is>
          <t>0.202 | 0.798</t>
        </is>
      </c>
      <c r="G95" t="inlineStr">
        <is>
          <t>model_catch</t>
        </is>
      </c>
      <c r="H95" t="inlineStr">
        <is>
          <t>medium</t>
        </is>
      </c>
      <c r="I95" t="inlineStr">
        <is>
          <t>composite_split</t>
        </is>
      </c>
      <c r="J95" t="n">
        <v>616681.8</v>
      </c>
      <c r="K95" t="n">
        <v>0.1591</v>
      </c>
      <c r="L9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6">
      <c r="A96" t="inlineStr">
        <is>
          <t>Scomberomorus niphonius</t>
        </is>
      </c>
      <c r="B96" t="inlineStr">
        <is>
          <t>Japanese Spanish mackerel</t>
        </is>
      </c>
      <c r="C96" t="inlineStr">
        <is>
          <t>Large pelagics (&gt;=90 cm)</t>
        </is>
      </c>
      <c r="D96" t="inlineStr">
        <is>
          <t>Perch-likes</t>
        </is>
      </c>
      <c r="E96" s="7" t="inlineStr">
        <is>
          <t>Juvenile large pelagic fish | Pelagic fish (&gt; 30 cm)</t>
        </is>
      </c>
      <c r="F96" t="inlineStr">
        <is>
          <t>0.202 | 0.798</t>
        </is>
      </c>
      <c r="G96" t="inlineStr">
        <is>
          <t>model_catch</t>
        </is>
      </c>
      <c r="H96" t="inlineStr">
        <is>
          <t>medium</t>
        </is>
      </c>
      <c r="I96" t="inlineStr">
        <is>
          <t>composite_split</t>
        </is>
      </c>
      <c r="J96" t="n">
        <v>615678.066</v>
      </c>
      <c r="K96" t="n">
        <v>0.1589</v>
      </c>
      <c r="L96" s="6" t="inlineStr">
        <is>
          <t>Analyst habitat/size inference to source &gt;30 cm pelagic fish (Appendix 6.1.24 p.339); no age data, so split juvenile/adult using the period model catch.</t>
        </is>
      </c>
    </row>
    <row r="97">
      <c r="A97" t="inlineStr">
        <is>
          <t>Megalaspis cordyla</t>
        </is>
      </c>
      <c r="B97" t="inlineStr">
        <is>
          <t>Torpedo scad</t>
        </is>
      </c>
      <c r="C97" t="inlineStr">
        <is>
          <t>Medium pelagics (30 - 89 cm)</t>
        </is>
      </c>
      <c r="D97" t="inlineStr">
        <is>
          <t>Perch-likes</t>
        </is>
      </c>
      <c r="E97" s="7" t="inlineStr">
        <is>
          <t>Juvenile large pelagic fish | Pelagic fish (&gt; 30 cm)</t>
        </is>
      </c>
      <c r="F97" t="inlineStr">
        <is>
          <t>0.202 | 0.798</t>
        </is>
      </c>
      <c r="G97" t="inlineStr">
        <is>
          <t>model_catch</t>
        </is>
      </c>
      <c r="H97" t="inlineStr">
        <is>
          <t>medium</t>
        </is>
      </c>
      <c r="I97" t="inlineStr">
        <is>
          <t>composite_split</t>
        </is>
      </c>
      <c r="J97" t="n">
        <v>612069.759</v>
      </c>
      <c r="K97" t="n">
        <v>0.1579</v>
      </c>
      <c r="L9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s="7" t="inlineStr">
        <is>
          <t>Juvenile large pelagic fish | Pelagic fish (&gt; 30 cm)</t>
        </is>
      </c>
      <c r="F98" t="inlineStr">
        <is>
          <t>0.202 | 0.798</t>
        </is>
      </c>
      <c r="G98" t="inlineStr">
        <is>
          <t>model_catch</t>
        </is>
      </c>
      <c r="H98" t="inlineStr">
        <is>
          <t>medium</t>
        </is>
      </c>
      <c r="I98" t="inlineStr">
        <is>
          <t>composite_split</t>
        </is>
      </c>
      <c r="J98" t="n">
        <v>588900.767</v>
      </c>
      <c r="K98" t="n">
        <v>0.1519</v>
      </c>
      <c r="L98" s="6" t="inlineStr">
        <is>
          <t>Analyst habitat/size inference to source &gt;30 cm pelagic fish (Appendix 6.1.24 p.339); no age data, so split juvenile/adult using the period model catch.</t>
        </is>
      </c>
    </row>
    <row r="99">
      <c r="A99" t="inlineStr">
        <is>
          <t>Atrobucca nibe</t>
        </is>
      </c>
      <c r="B99" t="inlineStr">
        <is>
          <t>Blackmouth croaker</t>
        </is>
      </c>
      <c r="C99" t="inlineStr">
        <is>
          <t>Medium demersals (30 - 89 cm)</t>
        </is>
      </c>
      <c r="D99" t="inlineStr">
        <is>
          <t>Perch-likes</t>
        </is>
      </c>
      <c r="E99" s="5" t="inlineStr">
        <is>
          <t>Juvenile large croakers | Croakers (&gt; 30 cm)</t>
        </is>
      </c>
      <c r="F99" t="inlineStr">
        <is>
          <t>0.200 | 0.800</t>
        </is>
      </c>
      <c r="G99" t="inlineStr">
        <is>
          <t>model_catch</t>
        </is>
      </c>
      <c r="H99" t="inlineStr">
        <is>
          <t>low</t>
        </is>
      </c>
      <c r="I99" t="inlineStr">
        <is>
          <t>composite_split</t>
        </is>
      </c>
      <c r="J99" t="n">
        <v>588586.829</v>
      </c>
      <c r="K99" t="n">
        <v>0.1519</v>
      </c>
      <c r="L9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s="7" t="inlineStr">
        <is>
          <t>Juvenile Hairtail (trichiurids) | Adult hairtail (trichiurids)</t>
        </is>
      </c>
      <c r="F100" t="inlineStr">
        <is>
          <t>0.200 | 0.800</t>
        </is>
      </c>
      <c r="G100" t="inlineStr">
        <is>
          <t>model_catch</t>
        </is>
      </c>
      <c r="H100" t="inlineStr">
        <is>
          <t>medium</t>
        </is>
      </c>
      <c r="I100" t="inlineStr">
        <is>
          <t>composite_split</t>
        </is>
      </c>
      <c r="J100" t="n">
        <v>577893.819</v>
      </c>
      <c r="K100" t="n">
        <v>0.1491</v>
      </c>
      <c r="L100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01">
      <c r="A101" t="inlineStr">
        <is>
          <t>Thunnus tonggol</t>
        </is>
      </c>
      <c r="B101" t="inlineStr">
        <is>
          <t>Longtail tuna</t>
        </is>
      </c>
      <c r="C101" t="inlineStr">
        <is>
          <t>Large pelagics (&gt;=90 cm)</t>
        </is>
      </c>
      <c r="D101" t="inlineStr">
        <is>
          <t>Tuna &amp; billfishes</t>
        </is>
      </c>
      <c r="E101" s="7" t="inlineStr">
        <is>
          <t>Juvenile large pelagic fish | Pelagic fish (&gt; 30 cm)</t>
        </is>
      </c>
      <c r="F101" t="inlineStr">
        <is>
          <t>0.202 | 0.798</t>
        </is>
      </c>
      <c r="G101" t="inlineStr">
        <is>
          <t>model_catch</t>
        </is>
      </c>
      <c r="H101" t="inlineStr">
        <is>
          <t>medium</t>
        </is>
      </c>
      <c r="I101" t="inlineStr">
        <is>
          <t>composite_split</t>
        </is>
      </c>
      <c r="J101" t="n">
        <v>559808.0919999999</v>
      </c>
      <c r="K101" t="n">
        <v>0.1444</v>
      </c>
      <c r="L101" s="6" t="inlineStr">
        <is>
          <t>Analyst habitat/size inference to source &gt;30 cm pelagic fish (Appendix 6.1.24 p.339); no age data, so split juvenile/adult using the period model catch.</t>
        </is>
      </c>
    </row>
    <row r="102">
      <c r="A102" t="inlineStr">
        <is>
          <t>Penaeus indicus</t>
        </is>
      </c>
      <c r="B102" t="inlineStr">
        <is>
          <t>Indian white prawn</t>
        </is>
      </c>
      <c r="C102" t="inlineStr">
        <is>
          <t>Shrimps</t>
        </is>
      </c>
      <c r="D102" t="inlineStr">
        <is>
          <t>Crustaceans</t>
        </is>
      </c>
      <c r="E102" s="8" t="inlineStr">
        <is>
          <t>Shrimps</t>
        </is>
      </c>
      <c r="F102" t="inlineStr"/>
      <c r="G102" t="inlineStr"/>
      <c r="H102" t="inlineStr">
        <is>
          <t>high</t>
        </is>
      </c>
      <c r="I102" t="inlineStr">
        <is>
          <t>taxonomic_containment</t>
        </is>
      </c>
      <c r="J102" t="n">
        <v>555200.22</v>
      </c>
      <c r="K102" t="n">
        <v>0.1432</v>
      </c>
      <c r="L102" s="6" t="inlineStr">
        <is>
          <t>Stomatopods belong to the residual benthic crustaceans; other shrimp taxa belong to Shrimps after the explicitly separated Acetes records (Appendix 6.1 pp.323-326).</t>
        </is>
      </c>
    </row>
    <row r="103">
      <c r="A103" t="inlineStr">
        <is>
          <t>Rhopilema esculentum</t>
        </is>
      </c>
      <c r="B103" t="inlineStr">
        <is>
          <t>Flame jellyfish</t>
        </is>
      </c>
      <c r="C103" t="inlineStr">
        <is>
          <t>Jellyfish</t>
        </is>
      </c>
      <c r="D103" t="inlineStr">
        <is>
          <t>Other fishes &amp; inverts</t>
        </is>
      </c>
      <c r="E103" s="8" t="inlineStr">
        <is>
          <t>Jellyfish</t>
        </is>
      </c>
      <c r="F103" t="inlineStr"/>
      <c r="G103" t="inlineStr"/>
      <c r="H103" t="inlineStr">
        <is>
          <t>high</t>
        </is>
      </c>
      <c r="I103" t="inlineStr">
        <is>
          <t>taxonomic_containment</t>
        </is>
      </c>
      <c r="J103" t="n">
        <v>548978.368</v>
      </c>
      <c r="K103" t="n">
        <v>0.1416</v>
      </c>
      <c r="L103" s="6" t="inlineStr">
        <is>
          <t>Appendix 6.1.4 p.324 defines jellyfish as cnidarian medusae.</t>
        </is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s="5" t="inlineStr">
        <is>
          <t>Pelagic fish (≤ 30 cm) | Juvenile large pelagic fish | Pelagic fish (&gt; 30 cm)</t>
        </is>
      </c>
      <c r="F104" t="inlineStr">
        <is>
          <t>0.754 | 0.050 | 0.196</t>
        </is>
      </c>
      <c r="G104" t="inlineStr">
        <is>
          <t>model_catch</t>
        </is>
      </c>
      <c r="H104" t="inlineStr">
        <is>
          <t>low</t>
        </is>
      </c>
      <c r="I104" t="inlineStr">
        <is>
          <t>composite_split</t>
        </is>
      </c>
      <c r="J104" t="n">
        <v>539337.373</v>
      </c>
      <c r="K104" t="n">
        <v>0.1392</v>
      </c>
      <c r="L104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105">
      <c r="A105" t="inlineStr">
        <is>
          <t>Miichthys miiuy</t>
        </is>
      </c>
      <c r="B105" t="inlineStr">
        <is>
          <t>Mi-iuy croaker</t>
        </is>
      </c>
      <c r="C105" t="inlineStr">
        <is>
          <t>Medium demersals (30 - 89 cm)</t>
        </is>
      </c>
      <c r="D105" t="inlineStr">
        <is>
          <t>Perch-likes</t>
        </is>
      </c>
      <c r="E105" s="5" t="inlineStr">
        <is>
          <t>Juvenile large croakers | Croakers (&gt; 30 cm)</t>
        </is>
      </c>
      <c r="F105" t="inlineStr">
        <is>
          <t>0.200 | 0.800</t>
        </is>
      </c>
      <c r="G105" t="inlineStr">
        <is>
          <t>model_catch</t>
        </is>
      </c>
      <c r="H105" t="inlineStr">
        <is>
          <t>low</t>
        </is>
      </c>
      <c r="I105" t="inlineStr">
        <is>
          <t>composite_split</t>
        </is>
      </c>
      <c r="J105" t="n">
        <v>538900.161</v>
      </c>
      <c r="K105" t="n">
        <v>0.139</v>
      </c>
      <c r="L10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6">
      <c r="A106" t="inlineStr">
        <is>
          <t>Platycephalidae</t>
        </is>
      </c>
      <c r="B106" t="inlineStr">
        <is>
          <t>Flatheads</t>
        </is>
      </c>
      <c r="C106" t="inlineStr">
        <is>
          <t>Medium demersals (30 - 89 cm)</t>
        </is>
      </c>
      <c r="D106" t="inlineStr">
        <is>
          <t>Scorpionfishes</t>
        </is>
      </c>
      <c r="E106" s="7" t="inlineStr">
        <is>
          <t>Juvenile demersal fish (&gt; 30 cm) | Adult demersal fish (&gt; 30 cm)</t>
        </is>
      </c>
      <c r="F106" t="inlineStr">
        <is>
          <t>0.200 | 0.800</t>
        </is>
      </c>
      <c r="G106" t="inlineStr">
        <is>
          <t>model_catch</t>
        </is>
      </c>
      <c r="H106" t="inlineStr">
        <is>
          <t>medium</t>
        </is>
      </c>
      <c r="I106" t="inlineStr">
        <is>
          <t>composite_split</t>
        </is>
      </c>
      <c r="J106" t="n">
        <v>533637.836</v>
      </c>
      <c r="K106" t="n">
        <v>0.1377</v>
      </c>
      <c r="L1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s="8" t="inlineStr">
        <is>
          <t>Snappers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517939.381</v>
      </c>
      <c r="K107" t="n">
        <v>0.1336</v>
      </c>
      <c r="L107" s="6" t="inlineStr">
        <is>
          <t>Appendix 6.1 pp.327-335 defines Snappers by this family or explicitly names Lutjanidae; dedicated source placement overrides the SAU class Medium reef assoc. fish (30 - 89 cm).</t>
        </is>
      </c>
    </row>
    <row r="108">
      <c r="A108" t="inlineStr">
        <is>
          <t>Chelidonichthys kumu</t>
        </is>
      </c>
      <c r="B108" t="inlineStr">
        <is>
          <t>Bluefin gurnard</t>
        </is>
      </c>
      <c r="C108" t="inlineStr">
        <is>
          <t>Medium demersals (30 - 89 cm)</t>
        </is>
      </c>
      <c r="D108" t="inlineStr">
        <is>
          <t>Scorpionfishes</t>
        </is>
      </c>
      <c r="E108" s="7" t="inlineStr">
        <is>
          <t>Juvenile demersal fish (&gt; 30 cm) | Adult demersal fish (&gt; 30 cm)</t>
        </is>
      </c>
      <c r="F108" t="inlineStr">
        <is>
          <t>0.200 | 0.800</t>
        </is>
      </c>
      <c r="G108" t="inlineStr">
        <is>
          <t>model_catch</t>
        </is>
      </c>
      <c r="H108" t="inlineStr">
        <is>
          <t>medium</t>
        </is>
      </c>
      <c r="I108" t="inlineStr">
        <is>
          <t>composite_split</t>
        </is>
      </c>
      <c r="J108" t="n">
        <v>511849.701</v>
      </c>
      <c r="K108" t="n">
        <v>0.1321</v>
      </c>
      <c r="L10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s="5" t="inlineStr">
        <is>
          <t>Benthopelagic fish</t>
        </is>
      </c>
      <c r="F109" t="inlineStr"/>
      <c r="G109" t="inlineStr"/>
      <c r="H109" t="inlineStr">
        <is>
          <t>low</t>
        </is>
      </c>
      <c r="I109" t="inlineStr">
        <is>
          <t>habitat_size_guild</t>
        </is>
      </c>
      <c r="J109" t="n">
        <v>505880.763</v>
      </c>
      <c r="K109" t="n">
        <v>0.1305</v>
      </c>
      <c r="L10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10">
      <c r="A110" t="inlineStr">
        <is>
          <t>Parapenaeopsis</t>
        </is>
      </c>
      <c r="B110" t="inlineStr">
        <is>
          <t>Leafy-legged shrimps</t>
        </is>
      </c>
      <c r="C110" t="inlineStr">
        <is>
          <t>Shrimps</t>
        </is>
      </c>
      <c r="D110" t="inlineStr">
        <is>
          <t>Crustaceans</t>
        </is>
      </c>
      <c r="E110" s="8" t="inlineStr">
        <is>
          <t>Shrimps</t>
        </is>
      </c>
      <c r="F110" t="inlineStr"/>
      <c r="G110" t="inlineStr"/>
      <c r="H110" t="inlineStr">
        <is>
          <t>high</t>
        </is>
      </c>
      <c r="I110" t="inlineStr">
        <is>
          <t>taxonomic_containment</t>
        </is>
      </c>
      <c r="J110" t="n">
        <v>502329.698</v>
      </c>
      <c r="K110" t="n">
        <v>0.1296</v>
      </c>
      <c r="L110" s="6" t="inlineStr">
        <is>
          <t>Stomatopods belong to the residual benthic crustaceans; other shrimp taxa belong to Shrimps after the explicitly separated Acetes records (Appendix 6.1 pp.323-326).</t>
        </is>
      </c>
    </row>
    <row r="111">
      <c r="A111" t="inlineStr">
        <is>
          <t>Lutjanus malabaricus</t>
        </is>
      </c>
      <c r="B111" t="inlineStr">
        <is>
          <t>Malabar blood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Snappers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484204.484</v>
      </c>
      <c r="K111" t="n">
        <v>0.1249</v>
      </c>
      <c r="L111" s="6" t="inlineStr">
        <is>
          <t>Appendix 6.1 pp.327-335 defines Snappers by this family or explicitly names Lutjanus malabaricus; dedicated source placement overrides the SAU class Medium reef assoc. fish (30 - 89 cm).</t>
        </is>
      </c>
    </row>
    <row r="112">
      <c r="A112" t="inlineStr">
        <is>
          <t>Charybdis</t>
        </is>
      </c>
      <c r="B112" t="inlineStr">
        <is>
          <t>Whirlpool swimming crabs</t>
        </is>
      </c>
      <c r="C112" t="inlineStr">
        <is>
          <t>Lobsters, crabs</t>
        </is>
      </c>
      <c r="D112" t="inlineStr">
        <is>
          <t>Crustaceans</t>
        </is>
      </c>
      <c r="E112" s="8" t="inlineStr">
        <is>
          <t>Crabs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478310.795</v>
      </c>
      <c r="K112" t="n">
        <v>0.1234</v>
      </c>
      <c r="L112" s="6" t="inlineStr">
        <is>
          <t>Source benthic crustaceans exclude shrimps and crabs (Appendix 6.1.5 p.324); lobsters remain in that residual, while true crabs use Crabs.</t>
        </is>
      </c>
    </row>
    <row r="113">
      <c r="A113" t="inlineStr">
        <is>
          <t>Penaeus japonicus</t>
        </is>
      </c>
      <c r="B113" t="inlineStr">
        <is>
          <t>Kuruma prawn</t>
        </is>
      </c>
      <c r="C113" t="inlineStr">
        <is>
          <t>Shrimps</t>
        </is>
      </c>
      <c r="D113" t="inlineStr">
        <is>
          <t>Crustaceans</t>
        </is>
      </c>
      <c r="E113" s="8" t="inlineStr">
        <is>
          <t>Shrimps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464825.23</v>
      </c>
      <c r="K113" t="n">
        <v>0.1199</v>
      </c>
      <c r="L113" s="6" t="inlineStr">
        <is>
          <t>Stomatopods belong to the residual benthic crustaceans; other shrimp taxa belong to Shrimps after the explicitly separated Acetes records (Appendix 6.1 pp.323-326).</t>
        </is>
      </c>
    </row>
    <row r="114">
      <c r="A114" t="inlineStr">
        <is>
          <t>Caesionidae</t>
        </is>
      </c>
      <c r="B114" t="inlineStr">
        <is>
          <t>Fusiliers</t>
        </is>
      </c>
      <c r="C114" t="inlineStr">
        <is>
          <t>Medium reef assoc. fish (30 - 89 cm)</t>
        </is>
      </c>
      <c r="D114" t="inlineStr">
        <is>
          <t>Perch-likes</t>
        </is>
      </c>
      <c r="E114" s="7" t="inlineStr">
        <is>
          <t>Juvenile demersal fish (&gt; 30 cm) | Adult demersal fish (&gt; 30 cm)</t>
        </is>
      </c>
      <c r="F114" t="inlineStr">
        <is>
          <t>0.200 | 0.800</t>
        </is>
      </c>
      <c r="G114" t="inlineStr">
        <is>
          <t>model_catch</t>
        </is>
      </c>
      <c r="H114" t="inlineStr">
        <is>
          <t>medium</t>
        </is>
      </c>
      <c r="I114" t="inlineStr">
        <is>
          <t>composite_split</t>
        </is>
      </c>
      <c r="J114" t="n">
        <v>463221.115</v>
      </c>
      <c r="K114" t="n">
        <v>0.1195</v>
      </c>
      <c r="L1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15">
      <c r="A115" t="inlineStr">
        <is>
          <t>Trichiurus</t>
        </is>
      </c>
      <c r="B115" t="inlineStr">
        <is>
          <t>Hairtails</t>
        </is>
      </c>
      <c r="C115" t="inlineStr">
        <is>
          <t>Large benthopelagics (&gt;=90 cm)</t>
        </is>
      </c>
      <c r="D115" t="inlineStr">
        <is>
          <t>Perch-likes</t>
        </is>
      </c>
      <c r="E115" s="7" t="inlineStr">
        <is>
          <t>Juvenile Hairtail (trichiurids) | Adult hairtail (trichiurids)</t>
        </is>
      </c>
      <c r="F115" t="inlineStr">
        <is>
          <t>0.200 | 0.800</t>
        </is>
      </c>
      <c r="G115" t="inlineStr">
        <is>
          <t>model_catch</t>
        </is>
      </c>
      <c r="H115" t="inlineStr">
        <is>
          <t>medium</t>
        </is>
      </c>
      <c r="I115" t="inlineStr">
        <is>
          <t>composite_split</t>
        </is>
      </c>
      <c r="J115" t="n">
        <v>448520.701</v>
      </c>
      <c r="K115" t="n">
        <v>0.1157</v>
      </c>
      <c r="L115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16">
      <c r="A116" t="inlineStr">
        <is>
          <t>Sphyraena</t>
        </is>
      </c>
      <c r="B116" t="inlineStr">
        <is>
          <t>Barracudas, sennets</t>
        </is>
      </c>
      <c r="C116" t="inlineStr">
        <is>
          <t>Large pelagics (&gt;=90 cm)</t>
        </is>
      </c>
      <c r="D116" t="inlineStr">
        <is>
          <t>Perch-likes</t>
        </is>
      </c>
      <c r="E116" s="7" t="inlineStr">
        <is>
          <t>Juvenile large pelagic fish | Pelagic fish (&gt; 30 cm)</t>
        </is>
      </c>
      <c r="F116" t="inlineStr">
        <is>
          <t>0.202 | 0.798</t>
        </is>
      </c>
      <c r="G116" t="inlineStr">
        <is>
          <t>model_catch</t>
        </is>
      </c>
      <c r="H116" t="inlineStr">
        <is>
          <t>medium</t>
        </is>
      </c>
      <c r="I116" t="inlineStr">
        <is>
          <t>composite_split</t>
        </is>
      </c>
      <c r="J116" t="n">
        <v>444174.863</v>
      </c>
      <c r="K116" t="n">
        <v>0.1146</v>
      </c>
      <c r="L116" s="6" t="inlineStr">
        <is>
          <t>Analyst habitat/size inference to source &gt;30 cm pelagic fish (Appendix 6.1.24 p.339); no age data, so split juvenile/adult using the period model catch.</t>
        </is>
      </c>
    </row>
    <row r="117">
      <c r="A117" t="inlineStr">
        <is>
          <t>Metapenaeus</t>
        </is>
      </c>
      <c r="B117" t="inlineStr">
        <is>
          <t>Indo-Pacific prawns</t>
        </is>
      </c>
      <c r="C117" t="inlineStr">
        <is>
          <t>Shrimps</t>
        </is>
      </c>
      <c r="D117" t="inlineStr">
        <is>
          <t>Crustaceans</t>
        </is>
      </c>
      <c r="E117" s="8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taxonomic_containment</t>
        </is>
      </c>
      <c r="J117" t="n">
        <v>443125.392</v>
      </c>
      <c r="K117" t="n">
        <v>0.1143</v>
      </c>
      <c r="L117" s="6" t="inlineStr">
        <is>
          <t>Stomatopods belong to the residual benthic crustaceans; other shrimp taxa belong to Shrimps after the explicitly separated Acetes records (Appendix 6.1 pp.323-326).</t>
        </is>
      </c>
    </row>
    <row r="118">
      <c r="A118" t="inlineStr">
        <is>
          <t>Pennahia</t>
        </is>
      </c>
      <c r="B118" t="inlineStr">
        <is>
          <t>Pennah croakers</t>
        </is>
      </c>
      <c r="C118" t="inlineStr">
        <is>
          <t>Medium benthopelagics (30 - 89 cm)</t>
        </is>
      </c>
      <c r="D118" t="inlineStr">
        <is>
          <t>Perch-likes</t>
        </is>
      </c>
      <c r="E118" s="8" t="inlineStr">
        <is>
          <t>Croakers (≤ 30 cm)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433578.719</v>
      </c>
      <c r="K118" t="n">
        <v>0.1119</v>
      </c>
      <c r="L118" s="6" t="inlineStr">
        <is>
          <t>Appendix 6.1 pp.327-335 defines Croakers (≤ 30 cm) by this family or explicitly names Pennahia; dedicated source placement overrides the SAU class Medium benthopelagics (30 - 89 cm).</t>
        </is>
      </c>
    </row>
    <row r="119">
      <c r="A119" t="inlineStr">
        <is>
          <t>Selar crumenophthalmus</t>
        </is>
      </c>
      <c r="B119" t="inlineStr">
        <is>
          <t>Bigeye scad</t>
        </is>
      </c>
      <c r="C119" t="inlineStr">
        <is>
          <t>Medium pelagics (30 - 89 cm)</t>
        </is>
      </c>
      <c r="D119" t="inlineStr">
        <is>
          <t>Perch-likes</t>
        </is>
      </c>
      <c r="E119" s="7" t="inlineStr">
        <is>
          <t>Juvenile large pelagic fish | Pelagic fish (&gt; 30 cm)</t>
        </is>
      </c>
      <c r="F119" t="inlineStr">
        <is>
          <t>0.202 | 0.798</t>
        </is>
      </c>
      <c r="G119" t="inlineStr">
        <is>
          <t>model_catch</t>
        </is>
      </c>
      <c r="H119" t="inlineStr">
        <is>
          <t>medium</t>
        </is>
      </c>
      <c r="I119" t="inlineStr">
        <is>
          <t>composite_split</t>
        </is>
      </c>
      <c r="J119" t="n">
        <v>421913.755</v>
      </c>
      <c r="K119" t="n">
        <v>0.1089</v>
      </c>
      <c r="L1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s="8" t="inlineStr">
        <is>
          <t>Shrimps</t>
        </is>
      </c>
      <c r="F120" t="inlineStr"/>
      <c r="G120" t="inlineStr"/>
      <c r="H120" t="inlineStr">
        <is>
          <t>high</t>
        </is>
      </c>
      <c r="I120" t="inlineStr">
        <is>
          <t>taxonomic_containment</t>
        </is>
      </c>
      <c r="J120" t="n">
        <v>403968.297</v>
      </c>
      <c r="K120" t="n">
        <v>0.1042</v>
      </c>
      <c r="L120" s="6" t="inlineStr">
        <is>
          <t>Stomatopods belong to the residual benthic crustaceans; other shrimp taxa belong to Shrimps after the explicitly separated Acetes records (Appendix 6.1 pp.323-326).</t>
        </is>
      </c>
    </row>
    <row r="121">
      <c r="A121" t="inlineStr">
        <is>
          <t>Himantura</t>
        </is>
      </c>
      <c r="B121" t="inlineStr">
        <is>
          <t>Whiprays</t>
        </is>
      </c>
      <c r="C121" t="inlineStr">
        <is>
          <t>Large rays (&gt;=90 cm)</t>
        </is>
      </c>
      <c r="D121" t="inlineStr">
        <is>
          <t>Sharks &amp; rays</t>
        </is>
      </c>
      <c r="E121" s="7" t="inlineStr">
        <is>
          <t>Demersal sharks and rays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379841.387</v>
      </c>
      <c r="K121" t="n">
        <v>0.098</v>
      </c>
      <c r="L121" s="6" t="inlineStr">
        <is>
          <t>Demersal/benthic ray or houndshark lineage matches the demersal elasmobranch definition, Appendix 6.1.25 p.340; species placement is analyst inference.</t>
        </is>
      </c>
    </row>
    <row r="122">
      <c r="A122" t="inlineStr">
        <is>
          <t>Menidae</t>
        </is>
      </c>
      <c r="B122" t="inlineStr">
        <is>
          <t>Moonfishes</t>
        </is>
      </c>
      <c r="C122" t="inlineStr">
        <is>
          <t>Medium reef assoc. fish (30 - 89 cm)</t>
        </is>
      </c>
      <c r="D122" t="inlineStr">
        <is>
          <t>Perch-likes</t>
        </is>
      </c>
      <c r="E122" s="5" t="inlineStr">
        <is>
          <t>Benthopelagic fish</t>
        </is>
      </c>
      <c r="F122" t="inlineStr"/>
      <c r="G122" t="inlineStr"/>
      <c r="H122" t="inlineStr">
        <is>
          <t>low</t>
        </is>
      </c>
      <c r="I122" t="inlineStr">
        <is>
          <t>habitat_size_guild</t>
        </is>
      </c>
      <c r="J122" t="n">
        <v>371399.477</v>
      </c>
      <c r="K122" t="n">
        <v>0.0958</v>
      </c>
      <c r="L1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23">
      <c r="A123" t="inlineStr">
        <is>
          <t>Scolopsis</t>
        </is>
      </c>
      <c r="B123" t="inlineStr">
        <is>
          <t>Monocle breams</t>
        </is>
      </c>
      <c r="C123" t="inlineStr">
        <is>
          <t>Small reef assoc. fish (&lt;30 cm)</t>
        </is>
      </c>
      <c r="D123" t="inlineStr">
        <is>
          <t>Perch-likes</t>
        </is>
      </c>
      <c r="E123" s="8" t="inlineStr">
        <is>
          <t>Threadfin bream (nemipterids)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364074.701</v>
      </c>
      <c r="K123" t="n">
        <v>0.0939</v>
      </c>
      <c r="L123" s="6" t="inlineStr">
        <is>
          <t>Appendix 6.1 pp.327-335 defines Threadfin bream (nemipterids) by this family or explicitly names Scolopsis; dedicated source placement overrides the SAU class Small reef assoc. fish (&lt;30 cm).</t>
        </is>
      </c>
    </row>
    <row r="124">
      <c r="A124" t="inlineStr">
        <is>
          <t>Siganus</t>
        </is>
      </c>
      <c r="B124" t="inlineStr">
        <is>
          <t>Spinefoots</t>
        </is>
      </c>
      <c r="C124" t="inlineStr">
        <is>
          <t>Medium reef assoc. fish (30 - 89 cm)</t>
        </is>
      </c>
      <c r="D124" t="inlineStr">
        <is>
          <t>Perch-likes</t>
        </is>
      </c>
      <c r="E124" s="7" t="inlineStr">
        <is>
          <t>Juvenile demersal fish (&gt; 30 cm) | Adult demersal fish (&gt; 30 cm)</t>
        </is>
      </c>
      <c r="F124" t="inlineStr">
        <is>
          <t>0.200 | 0.800</t>
        </is>
      </c>
      <c r="G124" t="inlineStr">
        <is>
          <t>model_catch</t>
        </is>
      </c>
      <c r="H124" t="inlineStr">
        <is>
          <t>medium</t>
        </is>
      </c>
      <c r="I124" t="inlineStr">
        <is>
          <t>composite_split</t>
        </is>
      </c>
      <c r="J124" t="n">
        <v>362007.933</v>
      </c>
      <c r="K124" t="n">
        <v>0.0934</v>
      </c>
      <c r="L1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5">
      <c r="A125" t="inlineStr">
        <is>
          <t>Pagrus auratus</t>
        </is>
      </c>
      <c r="B125" t="inlineStr">
        <is>
          <t>Silver seabream</t>
        </is>
      </c>
      <c r="C125" t="inlineStr">
        <is>
          <t>Large demersals (&gt;=90 cm)</t>
        </is>
      </c>
      <c r="D125" t="inlineStr">
        <is>
          <t>Perch-likes</t>
        </is>
      </c>
      <c r="E125" s="7" t="inlineStr">
        <is>
          <t>Juvenile demersal fish (&gt; 30 cm) | Adult demersal fish (&gt; 30 cm)</t>
        </is>
      </c>
      <c r="F125" t="inlineStr">
        <is>
          <t>0.200 | 0.800</t>
        </is>
      </c>
      <c r="G125" t="inlineStr">
        <is>
          <t>model_catch</t>
        </is>
      </c>
      <c r="H125" t="inlineStr">
        <is>
          <t>medium</t>
        </is>
      </c>
      <c r="I125" t="inlineStr">
        <is>
          <t>composite_split</t>
        </is>
      </c>
      <c r="J125" t="n">
        <v>354062.162</v>
      </c>
      <c r="K125" t="n">
        <v>0.0914</v>
      </c>
      <c r="L1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6">
      <c r="A126" t="inlineStr">
        <is>
          <t>Nemipterus hexodon</t>
        </is>
      </c>
      <c r="B126" t="inlineStr">
        <is>
          <t>Ornate threadfin bream</t>
        </is>
      </c>
      <c r="C126" t="inlineStr">
        <is>
          <t>Small demersals (&lt;30 cm)</t>
        </is>
      </c>
      <c r="D126" t="inlineStr">
        <is>
          <t>Perch-likes</t>
        </is>
      </c>
      <c r="E126" s="8" t="inlineStr">
        <is>
          <t>Threadfin bream (nemipterids)</t>
        </is>
      </c>
      <c r="F126" t="inlineStr"/>
      <c r="G126" t="inlineStr"/>
      <c r="H126" t="inlineStr">
        <is>
          <t>high</t>
        </is>
      </c>
      <c r="I126" t="inlineStr">
        <is>
          <t>taxonomic_containment</t>
        </is>
      </c>
      <c r="J126" t="n">
        <v>353362.395</v>
      </c>
      <c r="K126" t="n">
        <v>0.0912</v>
      </c>
      <c r="L126" s="6" t="inlineStr">
        <is>
          <t>Appendix 6.1 pp.327-335 defines Threadfin bream (nemipterids) by this family or explicitly names Nemipterus hexodon; dedicated source placement overrides the SAU class Small demersals (&lt;30 cm).</t>
        </is>
      </c>
    </row>
    <row r="127">
      <c r="A127" t="inlineStr">
        <is>
          <t>Penaeus penicillatus</t>
        </is>
      </c>
      <c r="B127" t="inlineStr">
        <is>
          <t>Redtail prawn</t>
        </is>
      </c>
      <c r="C127" t="inlineStr">
        <is>
          <t>Shrimps</t>
        </is>
      </c>
      <c r="D127" t="inlineStr">
        <is>
          <t>Crustaceans</t>
        </is>
      </c>
      <c r="E127" s="8" t="inlineStr">
        <is>
          <t>Shrimps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343865.889</v>
      </c>
      <c r="K127" t="n">
        <v>0.0887</v>
      </c>
      <c r="L127" s="6" t="inlineStr">
        <is>
          <t>Stomatopods belong to the residual benthic crustaceans; other shrimp taxa belong to Shrimps after the explicitly separated Acetes records (Appendix 6.1 pp.323-326).</t>
        </is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s="7" t="inlineStr">
        <is>
          <t>Juvenile large pelagic fish | Pelagic fish (&gt; 30 cm)</t>
        </is>
      </c>
      <c r="F128" t="inlineStr">
        <is>
          <t>0.202 | 0.798</t>
        </is>
      </c>
      <c r="G128" t="inlineStr">
        <is>
          <t>model_catch</t>
        </is>
      </c>
      <c r="H128" t="inlineStr">
        <is>
          <t>medium</t>
        </is>
      </c>
      <c r="I128" t="inlineStr">
        <is>
          <t>composite_split</t>
        </is>
      </c>
      <c r="J128" t="n">
        <v>339239.903</v>
      </c>
      <c r="K128" t="n">
        <v>0.08749999999999999</v>
      </c>
      <c r="L128" s="6" t="inlineStr">
        <is>
          <t>Analyst habitat/size inference to source &gt;30 cm pelagic fish (Appendix 6.1.24 p.339); no age data, so split juvenile/adult using the period model catch.</t>
        </is>
      </c>
    </row>
    <row r="129">
      <c r="A129" t="inlineStr">
        <is>
          <t>Muraenesocidae</t>
        </is>
      </c>
      <c r="B129" t="inlineStr">
        <is>
          <t>Pike congers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s="7" t="inlineStr">
        <is>
          <t>Juvenile demersal fish (&gt; 30 cm) | Adult demersal fish (&gt; 30 cm)</t>
        </is>
      </c>
      <c r="F129" t="inlineStr">
        <is>
          <t>0.200 | 0.800</t>
        </is>
      </c>
      <c r="G129" t="inlineStr">
        <is>
          <t>model_catch</t>
        </is>
      </c>
      <c r="H129" t="inlineStr">
        <is>
          <t>medium</t>
        </is>
      </c>
      <c r="I129" t="inlineStr">
        <is>
          <t>composite_split</t>
        </is>
      </c>
      <c r="J129" t="n">
        <v>332602.937</v>
      </c>
      <c r="K129" t="n">
        <v>0.0858</v>
      </c>
      <c r="L12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s="7" t="inlineStr">
        <is>
          <t>Pelagic fish (≤ 30 cm)</t>
        </is>
      </c>
      <c r="F130" t="inlineStr"/>
      <c r="G130" t="inlineStr"/>
      <c r="H130" t="inlineStr">
        <is>
          <t>medium</t>
        </is>
      </c>
      <c r="I130" t="inlineStr">
        <is>
          <t>habitat_size_guild</t>
        </is>
      </c>
      <c r="J130" t="n">
        <v>321622.662</v>
      </c>
      <c r="K130" t="n">
        <v>0.083</v>
      </c>
      <c r="L13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31">
      <c r="A131" t="inlineStr">
        <is>
          <t>Pennahia argentata</t>
        </is>
      </c>
      <c r="B131" t="inlineStr">
        <is>
          <t>Silver croaker</t>
        </is>
      </c>
      <c r="C131" t="inlineStr">
        <is>
          <t>Medium benthopelagics (30 - 89 cm)</t>
        </is>
      </c>
      <c r="D131" t="inlineStr">
        <is>
          <t>Perch-likes</t>
        </is>
      </c>
      <c r="E131" s="8" t="inlineStr">
        <is>
          <t>Croakers (≤ 30 cm)</t>
        </is>
      </c>
      <c r="F131" t="inlineStr"/>
      <c r="G131" t="inlineStr"/>
      <c r="H131" t="inlineStr">
        <is>
          <t>high</t>
        </is>
      </c>
      <c r="I131" t="inlineStr">
        <is>
          <t>explicit_member</t>
        </is>
      </c>
      <c r="J131" t="n">
        <v>317044.811</v>
      </c>
      <c r="K131" t="n">
        <v>0.0818</v>
      </c>
      <c r="L131" s="6" t="inlineStr">
        <is>
          <t>Appendix 6.1 pp.327-335 defines Croakers (≤ 30 cm) by this family or explicitly names Pennahia argentata; dedicated source placement overrides the SAU class Medium benthopelagics (30 - 89 cm).</t>
        </is>
      </c>
    </row>
    <row r="132">
      <c r="A132" t="inlineStr">
        <is>
          <t>Stephanolepis cirrhifer</t>
        </is>
      </c>
      <c r="B132" t="inlineStr">
        <is>
          <t>Threadsail filefish</t>
        </is>
      </c>
      <c r="C132" t="inlineStr">
        <is>
          <t>Small demersals (&lt;30 cm)</t>
        </is>
      </c>
      <c r="D132" t="inlineStr">
        <is>
          <t>Other fishes &amp; inverts</t>
        </is>
      </c>
      <c r="E132" s="7" t="inlineStr">
        <is>
          <t>Demesral fish (≤ 30 cm)</t>
        </is>
      </c>
      <c r="F132" t="inlineStr"/>
      <c r="G132" t="inlineStr"/>
      <c r="H132" t="inlineStr">
        <is>
          <t>medium</t>
        </is>
      </c>
      <c r="I132" t="inlineStr">
        <is>
          <t>habitat_size_guild</t>
        </is>
      </c>
      <c r="J132" t="n">
        <v>314941.948</v>
      </c>
      <c r="K132" t="n">
        <v>0.0813</v>
      </c>
      <c r="L132" s="6" t="inlineStr">
        <is>
          <t>Analyst habitat/size inference: small demersal or reef-associated fish after excluding dedicated taxonomic groups, matching Appendix 6.1.19 &lt;=30 cm residual demersal pool.</t>
        </is>
      </c>
    </row>
    <row r="133">
      <c r="A133" t="inlineStr">
        <is>
          <t>Stromateidae</t>
        </is>
      </c>
      <c r="B133" t="inlineStr">
        <is>
          <t>Butterfishes</t>
        </is>
      </c>
      <c r="C133" t="inlineStr">
        <is>
          <t>Small benthopelagics (&lt;30 cm)</t>
        </is>
      </c>
      <c r="D133" t="inlineStr">
        <is>
          <t>Perch-likes</t>
        </is>
      </c>
      <c r="E133" s="8" t="inlineStr">
        <is>
          <t>Pomfret (stromateids)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314846.403</v>
      </c>
      <c r="K133" t="n">
        <v>0.08119999999999999</v>
      </c>
      <c r="L133" s="6" t="inlineStr">
        <is>
          <t>Appendix 6.1 pp.327-335 defines Pomfret (stromateids) by this family or explicitly names Stromateidae; dedicated source placement overrides the SAU class Small benthopelagics (&lt;30 cm).</t>
        </is>
      </c>
    </row>
    <row r="134">
      <c r="A134" t="inlineStr">
        <is>
          <t>Lutjanus johnii</t>
        </is>
      </c>
      <c r="B134" t="inlineStr">
        <is>
          <t>John's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s="8" t="inlineStr">
        <is>
          <t>Snappers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313146.66</v>
      </c>
      <c r="K134" t="n">
        <v>0.0808</v>
      </c>
      <c r="L134" s="6" t="inlineStr">
        <is>
          <t>Appendix 6.1 pp.327-335 defines Snappers by this family or explicitly names Lutjanus johnii; dedicated source placement overrides the SAU class Medium reef assoc. fish (30 - 89 cm).</t>
        </is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s="7" t="inlineStr">
        <is>
          <t>Juvenile large pelagic fish | Pelagic fish (&gt; 30 cm)</t>
        </is>
      </c>
      <c r="F135" t="inlineStr">
        <is>
          <t>0.202 | 0.798</t>
        </is>
      </c>
      <c r="G135" t="inlineStr">
        <is>
          <t>model_catch</t>
        </is>
      </c>
      <c r="H135" t="inlineStr">
        <is>
          <t>medium</t>
        </is>
      </c>
      <c r="I135" t="inlineStr">
        <is>
          <t>composite_split</t>
        </is>
      </c>
      <c r="J135" t="n">
        <v>311414.499</v>
      </c>
      <c r="K135" t="n">
        <v>0.0803</v>
      </c>
      <c r="L135" s="6" t="inlineStr">
        <is>
          <t>Analyst habitat/size inference to source &gt;30 cm pelagic fish (Appendix 6.1.24 p.339); no age data, so split juvenile/adult using the period model catch.</t>
        </is>
      </c>
    </row>
    <row r="136">
      <c r="A136" t="inlineStr">
        <is>
          <t>Saurida</t>
        </is>
      </c>
      <c r="B136" t="inlineStr">
        <is>
          <t>Lizardfishes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s="8" t="inlineStr">
        <is>
          <t>Lizard fish (synodontids)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306283.862</v>
      </c>
      <c r="K136" t="n">
        <v>0.079</v>
      </c>
      <c r="L136" s="6" t="inlineStr">
        <is>
          <t>Appendix 6.1 pp.327-335 defines Lizard fish (synodontids) by this family or explicitly names Saurida; dedicated source placement overrides the SAU class Medium demersals (30 - 89 cm).</t>
        </is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s="8" t="inlineStr">
        <is>
          <t>Adult groupers</t>
        </is>
      </c>
      <c r="F137" t="inlineStr"/>
      <c r="G137" t="inlineStr"/>
      <c r="H137" t="inlineStr">
        <is>
          <t>high</t>
        </is>
      </c>
      <c r="I137" t="inlineStr">
        <is>
          <t>taxonomic_containment</t>
        </is>
      </c>
      <c r="J137" t="n">
        <v>301377.47</v>
      </c>
      <c r="K137" t="n">
        <v>0.07779999999999999</v>
      </c>
      <c r="L137" s="6" t="inlineStr">
        <is>
          <t>Appendix 6.1 pp.327-335 defines Adult groupers by this family or explicitly names Serranidae; dedicated source placement overrides the SAU class Medium reef assoc. fish (30 - 89 cm).</t>
        </is>
      </c>
    </row>
    <row r="138">
      <c r="A138" t="inlineStr">
        <is>
          <t>Tegillarca granosa</t>
        </is>
      </c>
      <c r="B138" t="inlineStr">
        <is>
          <t>Granular ark</t>
        </is>
      </c>
      <c r="C138" t="inlineStr">
        <is>
          <t>Other demersal invertebrates</t>
        </is>
      </c>
      <c r="D138" t="inlineStr">
        <is>
          <t>Molluscs</t>
        </is>
      </c>
      <c r="E138" s="8" t="inlineStr">
        <is>
          <t>Non-ceph molluscs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300639.32</v>
      </c>
      <c r="K138" t="n">
        <v>0.0776</v>
      </c>
      <c r="L138" s="6" t="inlineStr">
        <is>
          <t>Taxonomic containment in the source benthos subdivision (Appendix 6.1.5 pp.324-325), keeping non-cephalopod molluscs separate from echinoderms and sessile invertebrates.</t>
        </is>
      </c>
    </row>
    <row r="139">
      <c r="A139" t="inlineStr">
        <is>
          <t>Pristipomoides</t>
        </is>
      </c>
      <c r="B139" t="inlineStr">
        <is>
          <t>Jobfishes</t>
        </is>
      </c>
      <c r="C139" t="inlineStr">
        <is>
          <t>Medium demersals (30 - 89 cm)</t>
        </is>
      </c>
      <c r="D139" t="inlineStr">
        <is>
          <t>Perch-likes</t>
        </is>
      </c>
      <c r="E139" s="8" t="inlineStr">
        <is>
          <t>Snappers</t>
        </is>
      </c>
      <c r="F139" t="inlineStr"/>
      <c r="G139" t="inlineStr"/>
      <c r="H139" t="inlineStr">
        <is>
          <t>high</t>
        </is>
      </c>
      <c r="I139" t="inlineStr">
        <is>
          <t>taxonomic_containment</t>
        </is>
      </c>
      <c r="J139" t="n">
        <v>297656.63</v>
      </c>
      <c r="K139" t="n">
        <v>0.07679999999999999</v>
      </c>
      <c r="L139" s="6" t="inlineStr">
        <is>
          <t>Appendix 6.1 pp.327-335 defines Snappers by this family or explicitly names Pristipomoides; dedicated source placement overrides the SAU class Medium demersals (30 - 89 cm).</t>
        </is>
      </c>
    </row>
    <row r="140">
      <c r="A140" t="inlineStr">
        <is>
          <t>Apogonidae</t>
        </is>
      </c>
      <c r="B140" t="inlineStr">
        <is>
          <t>Cardinalfishes</t>
        </is>
      </c>
      <c r="C140" t="inlineStr">
        <is>
          <t>Small reef assoc. fish (&lt;30 cm)</t>
        </is>
      </c>
      <c r="D140" t="inlineStr">
        <is>
          <t>Perch-likes</t>
        </is>
      </c>
      <c r="E140" s="7" t="inlineStr">
        <is>
          <t>Demesral fish (≤ 30 cm)</t>
        </is>
      </c>
      <c r="F140" t="inlineStr"/>
      <c r="G140" t="inlineStr"/>
      <c r="H140" t="inlineStr">
        <is>
          <t>medium</t>
        </is>
      </c>
      <c r="I140" t="inlineStr">
        <is>
          <t>habitat_size_guild</t>
        </is>
      </c>
      <c r="J140" t="n">
        <v>284226.152</v>
      </c>
      <c r="K140" t="n">
        <v>0.0733</v>
      </c>
      <c r="L140" s="6" t="inlineStr">
        <is>
          <t>Analyst habitat/size inference: small demersal or reef-associated fish after excluding dedicated taxonomic groups, matching Appendix 6.1.19 &lt;=30 cm residual demersal pool.</t>
        </is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s="5" t="inlineStr">
        <is>
          <t>Polychaetes | Echinoderms | Benthic crustaceans | Non-ceph molluscs | Sessile/other invertebrates</t>
        </is>
      </c>
      <c r="F141" t="inlineStr">
        <is>
          <t>0.000 | 0.009 | 0.136 | 0.855 | 0.000</t>
        </is>
      </c>
      <c r="G141" t="inlineStr">
        <is>
          <t>catch_composition</t>
        </is>
      </c>
      <c r="H141" t="inlineStr">
        <is>
          <t>low</t>
        </is>
      </c>
      <c r="I141" t="inlineStr">
        <is>
          <t>composite_split</t>
        </is>
      </c>
      <c r="J141" t="n">
        <v>281172.914</v>
      </c>
      <c r="K141" t="n">
        <v>0.0725</v>
      </c>
      <c r="L141" s="6" t="inlineStr">
        <is>
          <t>Unidentified benthic invertebrates span the five benthos pools in Appendix 6.1.5 pp.324-325; the source does not establish narrower composition.</t>
        </is>
      </c>
    </row>
    <row r="142">
      <c r="A142" t="inlineStr">
        <is>
          <t>Scomber australasicus</t>
        </is>
      </c>
      <c r="B142" t="inlineStr">
        <is>
          <t>Blue mackerel</t>
        </is>
      </c>
      <c r="C142" t="inlineStr">
        <is>
          <t>Medium pelagics (30 - 89 cm)</t>
        </is>
      </c>
      <c r="D142" t="inlineStr">
        <is>
          <t>Perch-likes</t>
        </is>
      </c>
      <c r="E142" s="7" t="inlineStr">
        <is>
          <t>Juvenile large pelagic fish | Pelagic fish (&gt; 30 cm)</t>
        </is>
      </c>
      <c r="F142" t="inlineStr">
        <is>
          <t>0.202 | 0.798</t>
        </is>
      </c>
      <c r="G142" t="inlineStr">
        <is>
          <t>model_catch</t>
        </is>
      </c>
      <c r="H142" t="inlineStr">
        <is>
          <t>medium</t>
        </is>
      </c>
      <c r="I142" t="inlineStr">
        <is>
          <t>composite_split</t>
        </is>
      </c>
      <c r="J142" t="n">
        <v>273604.383</v>
      </c>
      <c r="K142" t="n">
        <v>0.0706</v>
      </c>
      <c r="L142" s="6" t="inlineStr">
        <is>
          <t>Analyst habitat/size inference to source &gt;30 cm pelagic fish (Appendix 6.1.24 p.339); no age data, so split juvenile/adult using the period model catch.</t>
        </is>
      </c>
    </row>
    <row r="143">
      <c r="A143" t="inlineStr">
        <is>
          <t>Sepia</t>
        </is>
      </c>
      <c r="B143" t="inlineStr">
        <is>
          <t>Sepia cuttlefishes</t>
        </is>
      </c>
      <c r="C143" t="inlineStr">
        <is>
          <t>Cephalopods</t>
        </is>
      </c>
      <c r="D143" t="inlineStr">
        <is>
          <t>Other fishes &amp; inverts</t>
        </is>
      </c>
      <c r="E143" s="8" t="inlineStr">
        <is>
          <t>Cephalopods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265683.914</v>
      </c>
      <c r="K143" t="n">
        <v>0.06850000000000001</v>
      </c>
      <c r="L143" s="6" t="inlineStr">
        <is>
          <t>Cephalopoda is contained by the single source Cephalopods group, Appendix 6.1.8 pp.326-327.</t>
        </is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s="8" t="inlineStr">
        <is>
          <t>Adult groupers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264464.845</v>
      </c>
      <c r="K144" t="n">
        <v>0.0682</v>
      </c>
      <c r="L144" s="6" t="inlineStr">
        <is>
          <t>Appendix 6.1 pp.327-335 defines Adult groupers by this family or explicitly names Epinephelus coioides; dedicated source placement overrides the SAU class Large reef assoc. fish (&gt;=90 cm).</t>
        </is>
      </c>
    </row>
    <row r="145">
      <c r="A145" t="inlineStr">
        <is>
          <t>Larimichthys polyactis</t>
        </is>
      </c>
      <c r="B145" t="inlineStr">
        <is>
          <t>Yellow croaker</t>
        </is>
      </c>
      <c r="C145" t="inlineStr">
        <is>
          <t>Medium benthopelagics (30 - 89 cm)</t>
        </is>
      </c>
      <c r="D145" t="inlineStr">
        <is>
          <t>Perch-likes</t>
        </is>
      </c>
      <c r="E145" s="5" t="inlineStr">
        <is>
          <t>Croakers (≤ 30 cm) | Juvenile large croakers | Croakers (&gt; 30 cm)</t>
        </is>
      </c>
      <c r="F145" t="inlineStr">
        <is>
          <t>0.225 | 0.155 | 0.620</t>
        </is>
      </c>
      <c r="G145" t="inlineStr">
        <is>
          <t>model_catch</t>
        </is>
      </c>
      <c r="H145" t="inlineStr">
        <is>
          <t>low</t>
        </is>
      </c>
      <c r="I145" t="inlineStr">
        <is>
          <t>composite_split</t>
        </is>
      </c>
      <c r="J145" t="n">
        <v>263763.118</v>
      </c>
      <c r="K145" t="n">
        <v>0.06809999999999999</v>
      </c>
      <c r="L14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46">
      <c r="A146" t="inlineStr">
        <is>
          <t>Tetraodontidae</t>
        </is>
      </c>
      <c r="B146" t="inlineStr">
        <is>
          <t>Puffers, tobies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s="7" t="inlineStr">
        <is>
          <t>Juvenile demersal fish (&gt; 30 cm) | Adult demersal fish (&gt; 30 cm)</t>
        </is>
      </c>
      <c r="F146" t="inlineStr">
        <is>
          <t>0.200 | 0.800</t>
        </is>
      </c>
      <c r="G146" t="inlineStr">
        <is>
          <t>model_catch</t>
        </is>
      </c>
      <c r="H146" t="inlineStr">
        <is>
          <t>medium</t>
        </is>
      </c>
      <c r="I146" t="inlineStr">
        <is>
          <t>composite_split</t>
        </is>
      </c>
      <c r="J146" t="n">
        <v>263264.128</v>
      </c>
      <c r="K146" t="n">
        <v>0.0679</v>
      </c>
      <c r="L1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s="7" t="inlineStr">
        <is>
          <t>Pelagic fish (≤ 30 cm)</t>
        </is>
      </c>
      <c r="F147" t="inlineStr"/>
      <c r="G147" t="inlineStr"/>
      <c r="H147" t="inlineStr">
        <is>
          <t>medium</t>
        </is>
      </c>
      <c r="I147" t="inlineStr">
        <is>
          <t>habitat_size_guild</t>
        </is>
      </c>
      <c r="J147" t="n">
        <v>259369.398</v>
      </c>
      <c r="K147" t="n">
        <v>0.0669</v>
      </c>
      <c r="L147" s="6" t="inlineStr">
        <is>
          <t>Analyst habitat/size inference: SAU small-pelagic class matches the source &lt;=30 cm pelagic pool after dedicated source taxa were handled (Appendix 6.1.23 p.338).</t>
        </is>
      </c>
    </row>
    <row r="148">
      <c r="A148" t="inlineStr">
        <is>
          <t>Upeneus</t>
        </is>
      </c>
      <c r="B148" t="inlineStr">
        <is>
          <t>Upeneid goatfishes</t>
        </is>
      </c>
      <c r="C148" t="inlineStr">
        <is>
          <t>Small reef assoc. fish (&lt;30 cm)</t>
        </is>
      </c>
      <c r="D148" t="inlineStr">
        <is>
          <t>Perch-likes</t>
        </is>
      </c>
      <c r="E148" s="7" t="inlineStr">
        <is>
          <t>Demesral fish (≤ 30 cm)</t>
        </is>
      </c>
      <c r="F148" t="inlineStr"/>
      <c r="G148" t="inlineStr"/>
      <c r="H148" t="inlineStr">
        <is>
          <t>medium</t>
        </is>
      </c>
      <c r="I148" t="inlineStr">
        <is>
          <t>habitat_size_guild</t>
        </is>
      </c>
      <c r="J148" t="n">
        <v>257735.526</v>
      </c>
      <c r="K148" t="n">
        <v>0.0665</v>
      </c>
      <c r="L148" s="6" t="inlineStr">
        <is>
          <t>Analyst habitat/size inference: small demersal or reef-associated fish after excluding dedicated taxonomic groups, matching Appendix 6.1.19 &lt;=30 cm residual demersal pool.</t>
        </is>
      </c>
    </row>
    <row r="149">
      <c r="A149" t="inlineStr">
        <is>
          <t>Seriola</t>
        </is>
      </c>
      <c r="B149" t="inlineStr">
        <is>
          <t>Amberjacks</t>
        </is>
      </c>
      <c r="C149" t="inlineStr">
        <is>
          <t>Large benthopelagics (&gt;=90 cm)</t>
        </is>
      </c>
      <c r="D149" t="inlineStr">
        <is>
          <t>Perch-likes</t>
        </is>
      </c>
      <c r="E149" s="7" t="inlineStr">
        <is>
          <t>Juvenile large pelagic fish | Pelagic fish (&gt; 30 cm)</t>
        </is>
      </c>
      <c r="F149" t="inlineStr">
        <is>
          <t>0.202 | 0.798</t>
        </is>
      </c>
      <c r="G149" t="inlineStr">
        <is>
          <t>model_catch</t>
        </is>
      </c>
      <c r="H149" t="inlineStr">
        <is>
          <t>medium</t>
        </is>
      </c>
      <c r="I149" t="inlineStr">
        <is>
          <t>composite_split</t>
        </is>
      </c>
      <c r="J149" t="n">
        <v>256610.285</v>
      </c>
      <c r="K149" t="n">
        <v>0.06619999999999999</v>
      </c>
      <c r="L1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0">
      <c r="A150" t="inlineStr">
        <is>
          <t>Conger myriaster</t>
        </is>
      </c>
      <c r="B150" t="inlineStr">
        <is>
          <t>Whitespotted conger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s="7" t="inlineStr">
        <is>
          <t>Juvenile demersal fish (&gt; 30 cm) | Adult demersal fish (&gt; 30 cm)</t>
        </is>
      </c>
      <c r="F150" t="inlineStr">
        <is>
          <t>0.200 | 0.800</t>
        </is>
      </c>
      <c r="G150" t="inlineStr">
        <is>
          <t>model_catch</t>
        </is>
      </c>
      <c r="H150" t="inlineStr">
        <is>
          <t>medium</t>
        </is>
      </c>
      <c r="I150" t="inlineStr">
        <is>
          <t>composite_split</t>
        </is>
      </c>
      <c r="J150" t="n">
        <v>251358.773</v>
      </c>
      <c r="K150" t="n">
        <v>0.0649</v>
      </c>
      <c r="L1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1">
      <c r="A151" t="inlineStr">
        <is>
          <t>Mugil</t>
        </is>
      </c>
      <c r="B151" t="inlineStr">
        <is>
          <t>Grey mullets</t>
        </is>
      </c>
      <c r="C151" t="inlineStr">
        <is>
          <t>Medium demersals (30 - 89 cm)</t>
        </is>
      </c>
      <c r="D151" t="inlineStr">
        <is>
          <t>Perch-likes</t>
        </is>
      </c>
      <c r="E151" s="7" t="inlineStr">
        <is>
          <t>Juvenile demersal fish (&gt; 30 cm) | Adult demersal fish (&gt; 30 cm)</t>
        </is>
      </c>
      <c r="F151" t="inlineStr">
        <is>
          <t>0.200 | 0.800</t>
        </is>
      </c>
      <c r="G151" t="inlineStr">
        <is>
          <t>model_catch</t>
        </is>
      </c>
      <c r="H151" t="inlineStr">
        <is>
          <t>medium</t>
        </is>
      </c>
      <c r="I151" t="inlineStr">
        <is>
          <t>composite_split</t>
        </is>
      </c>
      <c r="J151" t="n">
        <v>250541.412</v>
      </c>
      <c r="K151" t="n">
        <v>0.0646</v>
      </c>
      <c r="L1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2">
      <c r="A152" t="inlineStr">
        <is>
          <t>Psettodes erumei</t>
        </is>
      </c>
      <c r="B152" t="inlineStr">
        <is>
          <t>Indian halibut</t>
        </is>
      </c>
      <c r="C152" t="inlineStr">
        <is>
          <t>Small to medium flatfishes (&lt;90 cm)</t>
        </is>
      </c>
      <c r="D152" t="inlineStr">
        <is>
          <t>Flatfishes</t>
        </is>
      </c>
      <c r="E152" s="5" t="inlineStr">
        <is>
          <t>Demesral fish (≤ 30 cm) | Juvenile demersal fish (&gt; 30 cm) | Adult demersal fish (&gt; 30 cm)</t>
        </is>
      </c>
      <c r="F152" t="inlineStr">
        <is>
          <t>0.386 | 0.123 | 0.491</t>
        </is>
      </c>
      <c r="G152" t="inlineStr">
        <is>
          <t>model_catch</t>
        </is>
      </c>
      <c r="H152" t="inlineStr">
        <is>
          <t>low</t>
        </is>
      </c>
      <c r="I152" t="inlineStr">
        <is>
          <t>composite_split</t>
        </is>
      </c>
      <c r="J152" t="n">
        <v>243309.877</v>
      </c>
      <c r="K152" t="n">
        <v>0.06279999999999999</v>
      </c>
      <c r="L152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s="8" t="inlineStr">
        <is>
          <t>Zooplankton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228664.177</v>
      </c>
      <c r="K153" t="n">
        <v>0.059</v>
      </c>
      <c r="L153" s="6" t="inlineStr">
        <is>
          <t>Appendix 6.1.3 p.323 explicitly records Acetes spp. (Mo shrimp) catch in Zooplankton, overriding the SAU shrimp class.</t>
        </is>
      </c>
    </row>
    <row r="154">
      <c r="A154" t="inlineStr">
        <is>
          <t>Cypselurus poecilopterus</t>
        </is>
      </c>
      <c r="B154" t="inlineStr">
        <is>
          <t>Yellowing flyingfish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s="7" t="inlineStr">
        <is>
          <t>Pelagic fish (≤ 30 cm)</t>
        </is>
      </c>
      <c r="F154" t="inlineStr"/>
      <c r="G154" t="inlineStr"/>
      <c r="H154" t="inlineStr">
        <is>
          <t>medium</t>
        </is>
      </c>
      <c r="I154" t="inlineStr">
        <is>
          <t>habitat_size_guild</t>
        </is>
      </c>
      <c r="J154" t="n">
        <v>227463.169</v>
      </c>
      <c r="K154" t="n">
        <v>0.0587</v>
      </c>
      <c r="L154" s="6" t="inlineStr">
        <is>
          <t>Analyst habitat/size inference: SAU small-pelagic class matches the source &lt;=30 cm pelagic pool after dedicated source taxa were handled (Appendix 6.1.23 p.338).</t>
        </is>
      </c>
    </row>
    <row r="155">
      <c r="A155" t="inlineStr">
        <is>
          <t>Decapterus russelli</t>
        </is>
      </c>
      <c r="B155" t="inlineStr">
        <is>
          <t>Indian scad</t>
        </is>
      </c>
      <c r="C155" t="inlineStr">
        <is>
          <t>Medium pelagics (30 - 89 cm)</t>
        </is>
      </c>
      <c r="D155" t="inlineStr">
        <is>
          <t>Perch-likes</t>
        </is>
      </c>
      <c r="E155" s="7" t="inlineStr">
        <is>
          <t>Juvenile large pelagic fish | Pelagic fish (&gt; 30 cm)</t>
        </is>
      </c>
      <c r="F155" t="inlineStr">
        <is>
          <t>0.202 | 0.798</t>
        </is>
      </c>
      <c r="G155" t="inlineStr">
        <is>
          <t>model_catch</t>
        </is>
      </c>
      <c r="H155" t="inlineStr">
        <is>
          <t>medium</t>
        </is>
      </c>
      <c r="I155" t="inlineStr">
        <is>
          <t>composite_split</t>
        </is>
      </c>
      <c r="J155" t="n">
        <v>223374.635</v>
      </c>
      <c r="K155" t="n">
        <v>0.0576</v>
      </c>
      <c r="L155" s="6" t="inlineStr">
        <is>
          <t>Analyst habitat/size inference to source &gt;30 cm pelagic fish (Appendix 6.1.24 p.339); no age data, so split juvenile/adult using the period model catch.</t>
        </is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s="7" t="inlineStr">
        <is>
          <t>Juvenile demersal fish (&gt; 30 cm) | Adult demersal fish (&gt; 30 cm)</t>
        </is>
      </c>
      <c r="F156" t="inlineStr">
        <is>
          <t>0.200 | 0.800</t>
        </is>
      </c>
      <c r="G156" t="inlineStr">
        <is>
          <t>model_catch</t>
        </is>
      </c>
      <c r="H156" t="inlineStr">
        <is>
          <t>medium</t>
        </is>
      </c>
      <c r="I156" t="inlineStr">
        <is>
          <t>composite_split</t>
        </is>
      </c>
      <c r="J156" t="n">
        <v>223228.683</v>
      </c>
      <c r="K156" t="n">
        <v>0.0576</v>
      </c>
      <c r="L1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7">
      <c r="A157" t="inlineStr">
        <is>
          <t>Scomberoides</t>
        </is>
      </c>
      <c r="B157" t="inlineStr">
        <is>
          <t>Queenfishes</t>
        </is>
      </c>
      <c r="C157" t="inlineStr">
        <is>
          <t>Medium pelagics (30 - 89 cm)</t>
        </is>
      </c>
      <c r="D157" t="inlineStr">
        <is>
          <t>Perch-likes</t>
        </is>
      </c>
      <c r="E157" s="7" t="inlineStr">
        <is>
          <t>Juvenile large pelagic fish | Pelagic fish (&gt; 30 cm)</t>
        </is>
      </c>
      <c r="F157" t="inlineStr">
        <is>
          <t>0.202 | 0.798</t>
        </is>
      </c>
      <c r="G157" t="inlineStr">
        <is>
          <t>model_catch</t>
        </is>
      </c>
      <c r="H157" t="inlineStr">
        <is>
          <t>medium</t>
        </is>
      </c>
      <c r="I157" t="inlineStr">
        <is>
          <t>composite_split</t>
        </is>
      </c>
      <c r="J157" t="n">
        <v>213902.867</v>
      </c>
      <c r="K157" t="n">
        <v>0.0552</v>
      </c>
      <c r="L15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s="7" t="inlineStr">
        <is>
          <t>Juvenile large pelagic fish | Pelagic fish (&gt; 30 cm)</t>
        </is>
      </c>
      <c r="F158" t="inlineStr">
        <is>
          <t>0.202 | 0.798</t>
        </is>
      </c>
      <c r="G158" t="inlineStr">
        <is>
          <t>model_catch</t>
        </is>
      </c>
      <c r="H158" t="inlineStr">
        <is>
          <t>medium</t>
        </is>
      </c>
      <c r="I158" t="inlineStr">
        <is>
          <t>composite_split</t>
        </is>
      </c>
      <c r="J158" t="n">
        <v>208223.393</v>
      </c>
      <c r="K158" t="n">
        <v>0.0537</v>
      </c>
      <c r="L15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9">
      <c r="A159" t="inlineStr">
        <is>
          <t>Muraenesox</t>
        </is>
      </c>
      <c r="B159" t="inlineStr">
        <is>
          <t>Congers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s="7" t="inlineStr">
        <is>
          <t>Juvenile demersal fish (&gt; 30 cm) | Adult demersal fish (&gt; 30 cm)</t>
        </is>
      </c>
      <c r="F159" t="inlineStr">
        <is>
          <t>0.200 | 0.800</t>
        </is>
      </c>
      <c r="G159" t="inlineStr">
        <is>
          <t>model_catch</t>
        </is>
      </c>
      <c r="H159" t="inlineStr">
        <is>
          <t>medium</t>
        </is>
      </c>
      <c r="I159" t="inlineStr">
        <is>
          <t>composite_split</t>
        </is>
      </c>
      <c r="J159" t="n">
        <v>206325.739</v>
      </c>
      <c r="K159" t="n">
        <v>0.0532</v>
      </c>
      <c r="L15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60">
      <c r="A160" t="inlineStr">
        <is>
          <t>Cephalopholis boenak</t>
        </is>
      </c>
      <c r="B160" t="inlineStr">
        <is>
          <t>Chocolate hind</t>
        </is>
      </c>
      <c r="C160" t="inlineStr">
        <is>
          <t>Small reef assoc. fish (&lt;30 cm)</t>
        </is>
      </c>
      <c r="D160" t="inlineStr">
        <is>
          <t>Perch-likes</t>
        </is>
      </c>
      <c r="E160" s="8" t="inlineStr">
        <is>
          <t>Adult groupers</t>
        </is>
      </c>
      <c r="F160" t="inlineStr"/>
      <c r="G160" t="inlineStr"/>
      <c r="H160" t="inlineStr">
        <is>
          <t>high</t>
        </is>
      </c>
      <c r="I160" t="inlineStr">
        <is>
          <t>taxonomic_containment</t>
        </is>
      </c>
      <c r="J160" t="n">
        <v>195009.722</v>
      </c>
      <c r="K160" t="n">
        <v>0.0503</v>
      </c>
      <c r="L160" s="6" t="inlineStr">
        <is>
          <t>Appendix 6.1 pp.327-335 defines Adult groupers by this family or explicitly names Cephalopholis boenak; dedicated source placement overrides the SAU class Small reef assoc. fish (&lt;30 cm).</t>
        </is>
      </c>
    </row>
    <row r="161">
      <c r="A161" t="inlineStr">
        <is>
          <t>Decapterus maruadsi</t>
        </is>
      </c>
      <c r="B161" t="inlineStr">
        <is>
          <t>Japanese scad</t>
        </is>
      </c>
      <c r="C161" t="inlineStr">
        <is>
          <t>Small pelagics (&lt;30 cm)</t>
        </is>
      </c>
      <c r="D161" t="inlineStr">
        <is>
          <t>Perch-likes</t>
        </is>
      </c>
      <c r="E161" s="7" t="inlineStr">
        <is>
          <t>Pelagic fish (≤ 30 cm)</t>
        </is>
      </c>
      <c r="F161" t="inlineStr"/>
      <c r="G161" t="inlineStr"/>
      <c r="H161" t="inlineStr">
        <is>
          <t>medium</t>
        </is>
      </c>
      <c r="I161" t="inlineStr">
        <is>
          <t>habitat_size_guild</t>
        </is>
      </c>
      <c r="J161" t="n">
        <v>185635.069</v>
      </c>
      <c r="K161" t="n">
        <v>0.0479</v>
      </c>
      <c r="L161" s="6" t="inlineStr">
        <is>
          <t>Analyst habitat/size inference: SAU small-pelagic class matches the source &lt;=30 cm pelagic pool after dedicated source taxa were handled (Appendix 6.1.23 p.338).</t>
        </is>
      </c>
    </row>
    <row r="162">
      <c r="A162" t="inlineStr">
        <is>
          <t>Veneridae</t>
        </is>
      </c>
      <c r="B162" t="inlineStr">
        <is>
          <t>Venus clams</t>
        </is>
      </c>
      <c r="C162" t="inlineStr">
        <is>
          <t>Other demersal invertebrates</t>
        </is>
      </c>
      <c r="D162" t="inlineStr">
        <is>
          <t>Molluscs</t>
        </is>
      </c>
      <c r="E162" s="8" t="inlineStr">
        <is>
          <t>Non-ceph molluscs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185556.572</v>
      </c>
      <c r="K162" t="n">
        <v>0.0479</v>
      </c>
      <c r="L162" s="6" t="inlineStr">
        <is>
          <t>Taxonomic containment in the source benthos subdivision (Appendix 6.1.5 pp.324-325), keeping non-cephalopod molluscs separate from echinoderms and sessile invertebrates.</t>
        </is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s="7" t="inlineStr">
        <is>
          <t>Pelagic sharks and rays</t>
        </is>
      </c>
      <c r="F163" t="inlineStr"/>
      <c r="G163" t="inlineStr"/>
      <c r="H163" t="inlineStr">
        <is>
          <t>medium</t>
        </is>
      </c>
      <c r="I163" t="inlineStr">
        <is>
          <t>habitat_size_guild</t>
        </is>
      </c>
      <c r="J163" t="n">
        <v>177314.833</v>
      </c>
      <c r="K163" t="n">
        <v>0.0457</v>
      </c>
      <c r="L163" s="6" t="inlineStr">
        <is>
          <t>Pelagic shark lineage matches the pelagic elasmobranch definition, Appendix 6.1.25 p.340; species placement is analyst inference.</t>
        </is>
      </c>
    </row>
    <row r="164">
      <c r="A164" t="inlineStr">
        <is>
          <t>Sphyraenidae</t>
        </is>
      </c>
      <c r="B164" t="inlineStr">
        <is>
          <t>Barracudas</t>
        </is>
      </c>
      <c r="C164" t="inlineStr">
        <is>
          <t>Medium reef assoc. fish (30 - 89 cm)</t>
        </is>
      </c>
      <c r="D164" t="inlineStr">
        <is>
          <t>Perch-likes</t>
        </is>
      </c>
      <c r="E164" s="7" t="inlineStr">
        <is>
          <t>Juvenile large pelagic fish | Pelagic fish (&gt; 30 cm)</t>
        </is>
      </c>
      <c r="F164" t="inlineStr">
        <is>
          <t>0.202 | 0.798</t>
        </is>
      </c>
      <c r="G164" t="inlineStr">
        <is>
          <t>model_catch</t>
        </is>
      </c>
      <c r="H164" t="inlineStr">
        <is>
          <t>medium</t>
        </is>
      </c>
      <c r="I164" t="inlineStr">
        <is>
          <t>composite_split</t>
        </is>
      </c>
      <c r="J164" t="n">
        <v>173833.433</v>
      </c>
      <c r="K164" t="n">
        <v>0.0449</v>
      </c>
      <c r="L164" s="6" t="inlineStr">
        <is>
          <t>Analyst habitat/size inference to source &gt;30 cm pelagic fish (Appendix 6.1.24 p.339); no age data, so split juvenile/adult using the period model catch.</t>
        </is>
      </c>
    </row>
    <row r="165">
      <c r="A165" t="inlineStr">
        <is>
          <t>Mene maculata</t>
        </is>
      </c>
      <c r="B165" t="inlineStr">
        <is>
          <t>Moonfish</t>
        </is>
      </c>
      <c r="C165" t="inlineStr">
        <is>
          <t>Medium reef assoc. fish (30 - 89 cm)</t>
        </is>
      </c>
      <c r="D165" t="inlineStr">
        <is>
          <t>Perch-likes</t>
        </is>
      </c>
      <c r="E165" s="5" t="inlineStr">
        <is>
          <t>Benthopelagic fish</t>
        </is>
      </c>
      <c r="F165" t="inlineStr"/>
      <c r="G165" t="inlineStr"/>
      <c r="H165" t="inlineStr">
        <is>
          <t>low</t>
        </is>
      </c>
      <c r="I165" t="inlineStr">
        <is>
          <t>habitat_size_guild</t>
        </is>
      </c>
      <c r="J165" t="n">
        <v>172674.819</v>
      </c>
      <c r="K165" t="n">
        <v>0.0446</v>
      </c>
      <c r="L16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66">
      <c r="A166" t="inlineStr">
        <is>
          <t>Chirocentrus</t>
        </is>
      </c>
      <c r="B166" t="inlineStr">
        <is>
          <t>Wolf herrings</t>
        </is>
      </c>
      <c r="C166" t="inlineStr">
        <is>
          <t>Large pelagics (&gt;=90 cm)</t>
        </is>
      </c>
      <c r="D166" t="inlineStr">
        <is>
          <t>Herring-likes</t>
        </is>
      </c>
      <c r="E166" s="7" t="inlineStr">
        <is>
          <t>Juvenile large pelagic fish | Pelagic fish (&gt; 30 cm)</t>
        </is>
      </c>
      <c r="F166" t="inlineStr">
        <is>
          <t>0.202 | 0.798</t>
        </is>
      </c>
      <c r="G166" t="inlineStr">
        <is>
          <t>model_catch</t>
        </is>
      </c>
      <c r="H166" t="inlineStr">
        <is>
          <t>medium</t>
        </is>
      </c>
      <c r="I166" t="inlineStr">
        <is>
          <t>composite_split</t>
        </is>
      </c>
      <c r="J166" t="n">
        <v>164669.443</v>
      </c>
      <c r="K166" t="n">
        <v>0.0425</v>
      </c>
      <c r="L166" s="6" t="inlineStr">
        <is>
          <t>Analyst habitat/size inference to source &gt;30 cm pelagic fish (Appendix 6.1.24 p.339); no age data, so split juvenile/adult using the period model catch.</t>
        </is>
      </c>
    </row>
    <row r="167">
      <c r="A167" t="inlineStr">
        <is>
          <t>Portunus</t>
        </is>
      </c>
      <c r="B167" t="inlineStr">
        <is>
          <t>Swimmer crabs</t>
        </is>
      </c>
      <c r="C167" t="inlineStr">
        <is>
          <t>Lobsters, crabs</t>
        </is>
      </c>
      <c r="D167" t="inlineStr">
        <is>
          <t>Crustaceans</t>
        </is>
      </c>
      <c r="E167" s="8" t="inlineStr">
        <is>
          <t>Crabs</t>
        </is>
      </c>
      <c r="F167" t="inlineStr"/>
      <c r="G167" t="inlineStr"/>
      <c r="H167" t="inlineStr">
        <is>
          <t>high</t>
        </is>
      </c>
      <c r="I167" t="inlineStr">
        <is>
          <t>taxonomic_containment</t>
        </is>
      </c>
      <c r="J167" t="n">
        <v>163445.867</v>
      </c>
      <c r="K167" t="n">
        <v>0.0422</v>
      </c>
      <c r="L167" s="6" t="inlineStr">
        <is>
          <t>Source benthic crustaceans exclude shrimps and crabs (Appendix 6.1.5 p.324); lobsters remain in that residual, while true crabs use Crabs.</t>
        </is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s="5" t="inlineStr">
        <is>
          <t>Demesral fish (≤ 30 cm) | Juvenile demersal fish (&gt; 30 cm) | Adult demersal fish (&gt; 30 cm)</t>
        </is>
      </c>
      <c r="F168" t="inlineStr">
        <is>
          <t>0.386 | 0.123 | 0.491</t>
        </is>
      </c>
      <c r="G168" t="inlineStr">
        <is>
          <t>model_catch</t>
        </is>
      </c>
      <c r="H168" t="inlineStr">
        <is>
          <t>low</t>
        </is>
      </c>
      <c r="I168" t="inlineStr">
        <is>
          <t>composite_split</t>
        </is>
      </c>
      <c r="J168" t="n">
        <v>161684.721</v>
      </c>
      <c r="K168" t="n">
        <v>0.0417</v>
      </c>
      <c r="L168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s="5" t="inlineStr">
        <is>
          <t>Demesral fish (≤ 30 cm) | Juvenile demersal fish (&gt; 30 cm) | Adult demersal fish (&gt; 30 cm)</t>
        </is>
      </c>
      <c r="F169" t="inlineStr">
        <is>
          <t>0.386 | 0.123 | 0.491</t>
        </is>
      </c>
      <c r="G169" t="inlineStr">
        <is>
          <t>model_catch</t>
        </is>
      </c>
      <c r="H169" t="inlineStr">
        <is>
          <t>low</t>
        </is>
      </c>
      <c r="I169" t="inlineStr">
        <is>
          <t>composite_split</t>
        </is>
      </c>
      <c r="J169" t="n">
        <v>146826.077</v>
      </c>
      <c r="K169" t="n">
        <v>0.0379</v>
      </c>
      <c r="L169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70">
      <c r="A170" t="inlineStr">
        <is>
          <t>Polynemidae</t>
        </is>
      </c>
      <c r="B170" t="inlineStr">
        <is>
          <t>Threadfins</t>
        </is>
      </c>
      <c r="C170" t="inlineStr">
        <is>
          <t>Small demersals (&lt;30 cm)</t>
        </is>
      </c>
      <c r="D170" t="inlineStr">
        <is>
          <t>Perch-likes</t>
        </is>
      </c>
      <c r="E170" s="7" t="inlineStr">
        <is>
          <t>Demesral fish (≤ 30 cm)</t>
        </is>
      </c>
      <c r="F170" t="inlineStr"/>
      <c r="G170" t="inlineStr"/>
      <c r="H170" t="inlineStr">
        <is>
          <t>medium</t>
        </is>
      </c>
      <c r="I170" t="inlineStr">
        <is>
          <t>habitat_size_guild</t>
        </is>
      </c>
      <c r="J170" t="n">
        <v>140604.644</v>
      </c>
      <c r="K170" t="n">
        <v>0.0363</v>
      </c>
      <c r="L170" s="6" t="inlineStr">
        <is>
          <t>Analyst habitat/size inference: small demersal or reef-associated fish after excluding dedicated taxonomic groups, matching Appendix 6.1.19 &lt;=30 cm residual demersal pool.</t>
        </is>
      </c>
    </row>
    <row r="171">
      <c r="A171" t="inlineStr">
        <is>
          <t>Caranx ignobilis</t>
        </is>
      </c>
      <c r="B171" t="inlineStr">
        <is>
          <t>Giant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s="7" t="inlineStr">
        <is>
          <t>Juvenile large pelagic fish | Pelagic fish (&gt; 30 cm)</t>
        </is>
      </c>
      <c r="F171" t="inlineStr">
        <is>
          <t>0.202 | 0.798</t>
        </is>
      </c>
      <c r="G171" t="inlineStr">
        <is>
          <t>model_catch</t>
        </is>
      </c>
      <c r="H171" t="inlineStr">
        <is>
          <t>medium</t>
        </is>
      </c>
      <c r="I171" t="inlineStr">
        <is>
          <t>composite_split</t>
        </is>
      </c>
      <c r="J171" t="n">
        <v>138824.233</v>
      </c>
      <c r="K171" t="n">
        <v>0.0358</v>
      </c>
      <c r="L17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72">
      <c r="A172" t="inlineStr">
        <is>
          <t>Pomadasys</t>
        </is>
      </c>
      <c r="B172" t="inlineStr">
        <is>
          <t>Grunters</t>
        </is>
      </c>
      <c r="C172" t="inlineStr">
        <is>
          <t>Medium demersals (30 - 89 cm)</t>
        </is>
      </c>
      <c r="D172" t="inlineStr">
        <is>
          <t>Perch-likes</t>
        </is>
      </c>
      <c r="E172" s="7" t="inlineStr">
        <is>
          <t>Juvenile demersal fish (&gt; 30 cm) | Adult demersal fish (&gt; 30 cm)</t>
        </is>
      </c>
      <c r="F172" t="inlineStr">
        <is>
          <t>0.200 | 0.800</t>
        </is>
      </c>
      <c r="G172" t="inlineStr">
        <is>
          <t>model_catch</t>
        </is>
      </c>
      <c r="H172" t="inlineStr">
        <is>
          <t>medium</t>
        </is>
      </c>
      <c r="I172" t="inlineStr">
        <is>
          <t>composite_split</t>
        </is>
      </c>
      <c r="J172" t="n">
        <v>133963.582</v>
      </c>
      <c r="K172" t="n">
        <v>0.0346</v>
      </c>
      <c r="L1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3">
      <c r="A173" t="inlineStr">
        <is>
          <t>Gastropoda</t>
        </is>
      </c>
      <c r="B173" t="inlineStr">
        <is>
          <t>Sea snails</t>
        </is>
      </c>
      <c r="C173" t="inlineStr">
        <is>
          <t>Other demersal invertebrates</t>
        </is>
      </c>
      <c r="D173" t="inlineStr">
        <is>
          <t>Molluscs</t>
        </is>
      </c>
      <c r="E173" s="8" t="inlineStr">
        <is>
          <t>Non-ceph molluscs</t>
        </is>
      </c>
      <c r="F173" t="inlineStr"/>
      <c r="G173" t="inlineStr"/>
      <c r="H173" t="inlineStr">
        <is>
          <t>high</t>
        </is>
      </c>
      <c r="I173" t="inlineStr">
        <is>
          <t>taxonomic_containment</t>
        </is>
      </c>
      <c r="J173" t="n">
        <v>133445.785</v>
      </c>
      <c r="K173" t="n">
        <v>0.0344</v>
      </c>
      <c r="L173" s="6" t="inlineStr">
        <is>
          <t>Taxonomic containment in the source benthos subdivision (Appendix 6.1.5 pp.324-325), keeping non-cephalopod molluscs separate from echinoderms and sessile invertebrates.</t>
        </is>
      </c>
    </row>
    <row r="174">
      <c r="A174" t="inlineStr">
        <is>
          <t>Psenopsis anomala</t>
        </is>
      </c>
      <c r="B174" t="inlineStr">
        <is>
          <t>Pacific rudderfish</t>
        </is>
      </c>
      <c r="C174" t="inlineStr">
        <is>
          <t>Small benthopelagics (&lt;30 cm)</t>
        </is>
      </c>
      <c r="D174" t="inlineStr">
        <is>
          <t>Perch-likes</t>
        </is>
      </c>
      <c r="E174" s="8" t="inlineStr">
        <is>
          <t>Melon seed</t>
        </is>
      </c>
      <c r="F174" t="inlineStr"/>
      <c r="G174" t="inlineStr"/>
      <c r="H174" t="inlineStr">
        <is>
          <t>high</t>
        </is>
      </c>
      <c r="I174" t="inlineStr">
        <is>
          <t>explicit_member</t>
        </is>
      </c>
      <c r="J174" t="n">
        <v>132192.441</v>
      </c>
      <c r="K174" t="n">
        <v>0.0341</v>
      </c>
      <c r="L174" s="6" t="inlineStr">
        <is>
          <t>Appendix 6.1 pp.327-335 defines Melon seed by this family or explicitly names Psenopsis anomala; dedicated source placement overrides the SAU class Small benthopelagics (&lt;30 cm).</t>
        </is>
      </c>
    </row>
    <row r="175">
      <c r="A175" t="inlineStr">
        <is>
          <t>Platycephalus indicus</t>
        </is>
      </c>
      <c r="B175" t="inlineStr">
        <is>
          <t>Bartail flathead</t>
        </is>
      </c>
      <c r="C175" t="inlineStr">
        <is>
          <t>Medium demersals (30 - 89 cm)</t>
        </is>
      </c>
      <c r="D175" t="inlineStr">
        <is>
          <t>Scorpionfishes</t>
        </is>
      </c>
      <c r="E175" s="7" t="inlineStr">
        <is>
          <t>Juvenile demersal fish (&gt; 30 cm) | Adult demersal fish (&gt; 30 cm)</t>
        </is>
      </c>
      <c r="F175" t="inlineStr">
        <is>
          <t>0.200 | 0.800</t>
        </is>
      </c>
      <c r="G175" t="inlineStr">
        <is>
          <t>model_catch</t>
        </is>
      </c>
      <c r="H175" t="inlineStr">
        <is>
          <t>medium</t>
        </is>
      </c>
      <c r="I175" t="inlineStr">
        <is>
          <t>composite_split</t>
        </is>
      </c>
      <c r="J175" t="n">
        <v>128648.431</v>
      </c>
      <c r="K175" t="n">
        <v>0.0332</v>
      </c>
      <c r="L17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s="8" t="inlineStr">
        <is>
          <t>Cephalopods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125296.493</v>
      </c>
      <c r="K176" t="n">
        <v>0.0323</v>
      </c>
      <c r="L176" s="6" t="inlineStr">
        <is>
          <t>Cephalopoda is contained by the single source Cephalopods group, Appendix 6.1.8 pp.326-327.</t>
        </is>
      </c>
    </row>
    <row r="177">
      <c r="A177" t="inlineStr">
        <is>
          <t>Gobiidae</t>
        </is>
      </c>
      <c r="B177" t="inlineStr">
        <is>
          <t>Gobies</t>
        </is>
      </c>
      <c r="C177" t="inlineStr">
        <is>
          <t>Small reef assoc. fish (&lt;30 cm)</t>
        </is>
      </c>
      <c r="D177" t="inlineStr">
        <is>
          <t>Perch-likes</t>
        </is>
      </c>
      <c r="E177" s="7" t="inlineStr">
        <is>
          <t>Demesral fish (≤ 30 cm)</t>
        </is>
      </c>
      <c r="F177" t="inlineStr"/>
      <c r="G177" t="inlineStr"/>
      <c r="H177" t="inlineStr">
        <is>
          <t>medium</t>
        </is>
      </c>
      <c r="I177" t="inlineStr">
        <is>
          <t>habitat_size_guild</t>
        </is>
      </c>
      <c r="J177" t="n">
        <v>123268.174</v>
      </c>
      <c r="K177" t="n">
        <v>0.0318</v>
      </c>
      <c r="L177" s="6" t="inlineStr">
        <is>
          <t>Analyst habitat/size inference: small demersal or reef-associated fish after excluding dedicated taxonomic groups, matching Appendix 6.1.19 &lt;=30 cm residual demersal pool.</t>
        </is>
      </c>
    </row>
    <row r="178">
      <c r="A178" t="inlineStr">
        <is>
          <t>Cephea</t>
        </is>
      </c>
      <c r="B178" t="inlineStr">
        <is>
          <t>Cepheid jellyfishes</t>
        </is>
      </c>
      <c r="C178" t="inlineStr">
        <is>
          <t>Jellyfish</t>
        </is>
      </c>
      <c r="D178" t="inlineStr">
        <is>
          <t>Other fishes &amp; inverts</t>
        </is>
      </c>
      <c r="E178" s="8" t="inlineStr">
        <is>
          <t>Jellyfish</t>
        </is>
      </c>
      <c r="F178" t="inlineStr"/>
      <c r="G178" t="inlineStr"/>
      <c r="H178" t="inlineStr">
        <is>
          <t>high</t>
        </is>
      </c>
      <c r="I178" t="inlineStr">
        <is>
          <t>taxonomic_containment</t>
        </is>
      </c>
      <c r="J178" t="n">
        <v>120878.508</v>
      </c>
      <c r="K178" t="n">
        <v>0.0312</v>
      </c>
      <c r="L178" s="6" t="inlineStr">
        <is>
          <t>Appendix 6.1.4 p.324 defines jellyfish as cnidarian medusae.</t>
        </is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s="7" t="inlineStr">
        <is>
          <t>Juvenile demersal fish (&gt; 30 cm) | Adult demersal fish (&gt; 30 cm)</t>
        </is>
      </c>
      <c r="F179" t="inlineStr">
        <is>
          <t>0.200 | 0.800</t>
        </is>
      </c>
      <c r="G179" t="inlineStr">
        <is>
          <t>model_catch</t>
        </is>
      </c>
      <c r="H179" t="inlineStr">
        <is>
          <t>medium</t>
        </is>
      </c>
      <c r="I179" t="inlineStr">
        <is>
          <t>composite_split</t>
        </is>
      </c>
      <c r="J179" t="n">
        <v>117050.836</v>
      </c>
      <c r="K179" t="n">
        <v>0.0302</v>
      </c>
      <c r="L1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s="8" t="inlineStr">
        <is>
          <t>Non-ceph molluscs</t>
        </is>
      </c>
      <c r="F180" t="inlineStr"/>
      <c r="G180" t="inlineStr"/>
      <c r="H180" t="inlineStr">
        <is>
          <t>high</t>
        </is>
      </c>
      <c r="I180" t="inlineStr">
        <is>
          <t>taxonomic_containment</t>
        </is>
      </c>
      <c r="J180" t="n">
        <v>115007.309</v>
      </c>
      <c r="K180" t="n">
        <v>0.0297</v>
      </c>
      <c r="L180" s="6" t="inlineStr">
        <is>
          <t>Taxonomic containment in the source benthos subdivision (Appendix 6.1.5 pp.324-325), keeping non-cephalopod molluscs separate from echinoderms and sessile invertebrates.</t>
        </is>
      </c>
    </row>
    <row r="181">
      <c r="A181" t="inlineStr">
        <is>
          <t>Upeneus moluccensis</t>
        </is>
      </c>
      <c r="B181" t="inlineStr">
        <is>
          <t>Goldband goatfish</t>
        </is>
      </c>
      <c r="C181" t="inlineStr">
        <is>
          <t>Small reef assoc. fish (&lt;30 cm)</t>
        </is>
      </c>
      <c r="D181" t="inlineStr">
        <is>
          <t>Perch-likes</t>
        </is>
      </c>
      <c r="E181" s="7" t="inlineStr">
        <is>
          <t>Demesral fish (≤ 30 cm)</t>
        </is>
      </c>
      <c r="F181" t="inlineStr"/>
      <c r="G181" t="inlineStr"/>
      <c r="H181" t="inlineStr">
        <is>
          <t>medium</t>
        </is>
      </c>
      <c r="I181" t="inlineStr">
        <is>
          <t>habitat_size_guild</t>
        </is>
      </c>
      <c r="J181" t="n">
        <v>108216.654</v>
      </c>
      <c r="K181" t="n">
        <v>0.0279</v>
      </c>
      <c r="L181" s="6" t="inlineStr">
        <is>
          <t>Analyst habitat/size inference: small demersal or reef-associated fish after excluding dedicated taxonomic groups, matching Appendix 6.1.19 &lt;=30 cm residual demersal pool.</t>
        </is>
      </c>
    </row>
    <row r="182">
      <c r="A182" t="inlineStr">
        <is>
          <t>Perna viridis</t>
        </is>
      </c>
      <c r="B182" t="inlineStr">
        <is>
          <t>Brown mussel</t>
        </is>
      </c>
      <c r="C182" t="inlineStr">
        <is>
          <t>Other demersal invertebrates</t>
        </is>
      </c>
      <c r="D182" t="inlineStr">
        <is>
          <t>Molluscs</t>
        </is>
      </c>
      <c r="E182" s="8" t="inlineStr">
        <is>
          <t>Non-ceph molluscs</t>
        </is>
      </c>
      <c r="F182" t="inlineStr"/>
      <c r="G182" t="inlineStr"/>
      <c r="H182" t="inlineStr">
        <is>
          <t>high</t>
        </is>
      </c>
      <c r="I182" t="inlineStr">
        <is>
          <t>taxonomic_containment</t>
        </is>
      </c>
      <c r="J182" t="n">
        <v>102837.253</v>
      </c>
      <c r="K182" t="n">
        <v>0.0265</v>
      </c>
      <c r="L182" s="6" t="inlineStr">
        <is>
          <t>Taxonomic containment in the source benthos subdivision (Appendix 6.1.5 pp.324-325), keeping non-cephalopod molluscs separate from echinoderms and sessile invertebrates.</t>
        </is>
      </c>
    </row>
    <row r="183">
      <c r="A183" t="inlineStr">
        <is>
          <t>Terapon</t>
        </is>
      </c>
      <c r="B183" t="inlineStr">
        <is>
          <t>Terapons</t>
        </is>
      </c>
      <c r="C183" t="inlineStr">
        <is>
          <t>Medium demersals (30 - 89 cm)</t>
        </is>
      </c>
      <c r="D183" t="inlineStr">
        <is>
          <t>Perch-likes</t>
        </is>
      </c>
      <c r="E183" s="7" t="inlineStr">
        <is>
          <t>Juvenile demersal fish (&gt; 30 cm) | Adult demersal fish (&gt; 30 cm)</t>
        </is>
      </c>
      <c r="F183" t="inlineStr">
        <is>
          <t>0.200 | 0.800</t>
        </is>
      </c>
      <c r="G183" t="inlineStr">
        <is>
          <t>model_catch</t>
        </is>
      </c>
      <c r="H183" t="inlineStr">
        <is>
          <t>medium</t>
        </is>
      </c>
      <c r="I183" t="inlineStr">
        <is>
          <t>composite_split</t>
        </is>
      </c>
      <c r="J183" t="n">
        <v>101597.254</v>
      </c>
      <c r="K183" t="n">
        <v>0.0262</v>
      </c>
      <c r="L1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4">
      <c r="A184" t="inlineStr">
        <is>
          <t>Pampus chinensis</t>
        </is>
      </c>
      <c r="B184" t="inlineStr">
        <is>
          <t>Chinese silver pomfret</t>
        </is>
      </c>
      <c r="C184" t="inlineStr">
        <is>
          <t>Medium benthopelagics (30 - 89 cm)</t>
        </is>
      </c>
      <c r="D184" t="inlineStr">
        <is>
          <t>Perch-likes</t>
        </is>
      </c>
      <c r="E184" s="8" t="inlineStr">
        <is>
          <t>Pomfret (stromateids)</t>
        </is>
      </c>
      <c r="F184" t="inlineStr"/>
      <c r="G184" t="inlineStr"/>
      <c r="H184" t="inlineStr">
        <is>
          <t>high</t>
        </is>
      </c>
      <c r="I184" t="inlineStr">
        <is>
          <t>taxonomic_containment</t>
        </is>
      </c>
      <c r="J184" t="n">
        <v>100274.619</v>
      </c>
      <c r="K184" t="n">
        <v>0.0259</v>
      </c>
      <c r="L184" s="6" t="inlineStr">
        <is>
          <t>Appendix 6.1 pp.327-335 defines Pomfret (stromateids) by this family or explicitly names Pampus chinensis; dedicated source placement overrides the SAU class Medium benthopelagics (30 - 89 cm).</t>
        </is>
      </c>
    </row>
    <row r="185">
      <c r="A185" t="inlineStr">
        <is>
          <t>Rhizostomeae</t>
        </is>
      </c>
      <c r="B185" t="inlineStr">
        <is>
          <t>Oral arm jellyfishes</t>
        </is>
      </c>
      <c r="C185" t="inlineStr">
        <is>
          <t>Jellyfish</t>
        </is>
      </c>
      <c r="D185" t="inlineStr">
        <is>
          <t>Other fishes &amp; inverts</t>
        </is>
      </c>
      <c r="E185" s="8" t="inlineStr">
        <is>
          <t>Jellyfish</t>
        </is>
      </c>
      <c r="F185" t="inlineStr"/>
      <c r="G185" t="inlineStr"/>
      <c r="H185" t="inlineStr">
        <is>
          <t>high</t>
        </is>
      </c>
      <c r="I185" t="inlineStr">
        <is>
          <t>taxonomic_containment</t>
        </is>
      </c>
      <c r="J185" t="n">
        <v>98320.45699999999</v>
      </c>
      <c r="K185" t="n">
        <v>0.0254</v>
      </c>
      <c r="L185" s="6" t="inlineStr">
        <is>
          <t>Appendix 6.1.4 p.324 defines jellyfish as cnidarian medusae.</t>
        </is>
      </c>
    </row>
    <row r="186">
      <c r="A186" t="inlineStr">
        <is>
          <t>Sillago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s="7" t="inlineStr">
        <is>
          <t>Juvenile demersal fish (&gt; 30 cm) | Adult demersal fish (&gt; 30 cm)</t>
        </is>
      </c>
      <c r="F186" t="inlineStr">
        <is>
          <t>0.200 | 0.800</t>
        </is>
      </c>
      <c r="G186" t="inlineStr">
        <is>
          <t>model_catch</t>
        </is>
      </c>
      <c r="H186" t="inlineStr">
        <is>
          <t>medium</t>
        </is>
      </c>
      <c r="I186" t="inlineStr">
        <is>
          <t>composite_split</t>
        </is>
      </c>
      <c r="J186" t="n">
        <v>91698.603</v>
      </c>
      <c r="K186" t="n">
        <v>0.0237</v>
      </c>
      <c r="L1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7">
      <c r="A187" t="inlineStr">
        <is>
          <t>Scyllaridae</t>
        </is>
      </c>
      <c r="B187" t="inlineStr">
        <is>
          <t>Slipper lobsters</t>
        </is>
      </c>
      <c r="C187" t="inlineStr">
        <is>
          <t>Lobsters, crabs</t>
        </is>
      </c>
      <c r="D187" t="inlineStr">
        <is>
          <t>Crustaceans</t>
        </is>
      </c>
      <c r="E187" s="8" t="inlineStr">
        <is>
          <t>Benthic crustaceans</t>
        </is>
      </c>
      <c r="F187" t="inlineStr"/>
      <c r="G187" t="inlineStr"/>
      <c r="H187" t="inlineStr">
        <is>
          <t>high</t>
        </is>
      </c>
      <c r="I187" t="inlineStr">
        <is>
          <t>taxonomic_containment</t>
        </is>
      </c>
      <c r="J187" t="n">
        <v>91368.08100000001</v>
      </c>
      <c r="K187" t="n">
        <v>0.0236</v>
      </c>
      <c r="L187" s="6" t="inlineStr">
        <is>
          <t>Source benthic crustaceans exclude shrimps and crabs (Appendix 6.1.5 p.324); lobsters remain in that residual, while true crabs use Crabs.</t>
        </is>
      </c>
    </row>
    <row r="188">
      <c r="A188" t="inlineStr">
        <is>
          <t>Anodontostoma chacunda</t>
        </is>
      </c>
      <c r="B188" t="inlineStr">
        <is>
          <t>Chacunda gizzard shad</t>
        </is>
      </c>
      <c r="C188" t="inlineStr">
        <is>
          <t>Small pelagics (&lt;30 cm)</t>
        </is>
      </c>
      <c r="D188" t="inlineStr">
        <is>
          <t>Herring-likes</t>
        </is>
      </c>
      <c r="E188" s="7" t="inlineStr">
        <is>
          <t>Pelagic fish (≤ 30 cm)</t>
        </is>
      </c>
      <c r="F188" t="inlineStr"/>
      <c r="G188" t="inlineStr"/>
      <c r="H188" t="inlineStr">
        <is>
          <t>medium</t>
        </is>
      </c>
      <c r="I188" t="inlineStr">
        <is>
          <t>habitat_size_guild</t>
        </is>
      </c>
      <c r="J188" t="n">
        <v>90336.00900000001</v>
      </c>
      <c r="K188" t="n">
        <v>0.0233</v>
      </c>
      <c r="L188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s="8" t="inlineStr">
        <is>
          <t>Echinoderms</t>
        </is>
      </c>
      <c r="F189" t="inlineStr"/>
      <c r="G189" t="inlineStr"/>
      <c r="H189" t="inlineStr">
        <is>
          <t>high</t>
        </is>
      </c>
      <c r="I189" t="inlineStr">
        <is>
          <t>taxonomic_containment</t>
        </is>
      </c>
      <c r="J189" t="n">
        <v>87912.766</v>
      </c>
      <c r="K189" t="n">
        <v>0.0227</v>
      </c>
      <c r="L189" s="6" t="inlineStr">
        <is>
          <t>Taxonomic containment in the source benthos subdivision (Appendix 6.1.5 pp.324-325), keeping non-cephalopod molluscs separate from echinoderms and sessile invertebrates.</t>
        </is>
      </c>
    </row>
    <row r="190">
      <c r="A190" t="inlineStr">
        <is>
          <t>Ariomma indica</t>
        </is>
      </c>
      <c r="B190" t="inlineStr">
        <is>
          <t>Indian driftfish</t>
        </is>
      </c>
      <c r="C190" t="inlineStr">
        <is>
          <t>Small benthopelagics (&lt;30 cm)</t>
        </is>
      </c>
      <c r="D190" t="inlineStr">
        <is>
          <t>Perch-likes</t>
        </is>
      </c>
      <c r="E190" s="5" t="inlineStr">
        <is>
          <t>Benthopelagic fish</t>
        </is>
      </c>
      <c r="F190" t="inlineStr"/>
      <c r="G190" t="inlineStr"/>
      <c r="H190" t="inlineStr">
        <is>
          <t>low</t>
        </is>
      </c>
      <c r="I190" t="inlineStr">
        <is>
          <t>habitat_size_guild</t>
        </is>
      </c>
      <c r="J190" t="n">
        <v>86849.351</v>
      </c>
      <c r="K190" t="n">
        <v>0.0224</v>
      </c>
      <c r="L1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91">
      <c r="A191" t="inlineStr">
        <is>
          <t>Lutjanus quinquelineatus</t>
        </is>
      </c>
      <c r="B191" t="inlineStr">
        <is>
          <t>Five-lined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s="8" t="inlineStr">
        <is>
          <t>Snappers</t>
        </is>
      </c>
      <c r="F191" t="inlineStr"/>
      <c r="G191" t="inlineStr"/>
      <c r="H191" t="inlineStr">
        <is>
          <t>high</t>
        </is>
      </c>
      <c r="I191" t="inlineStr">
        <is>
          <t>taxonomic_containment</t>
        </is>
      </c>
      <c r="J191" t="n">
        <v>85439.462</v>
      </c>
      <c r="K191" t="n">
        <v>0.022</v>
      </c>
      <c r="L191" s="6" t="inlineStr">
        <is>
          <t>Appendix 6.1 pp.327-335 defines Snappers by this family or explicitly names Lutjanus quinquelineatus; dedicated source placement overrides the SAU class Medium reef assoc. fish (30 - 89 cm).</t>
        </is>
      </c>
    </row>
    <row r="192">
      <c r="A192" t="inlineStr">
        <is>
          <t>Platycaranx talamparoides</t>
        </is>
      </c>
      <c r="B192" t="inlineStr">
        <is>
          <t>Imposter trevally</t>
        </is>
      </c>
      <c r="C192" t="inlineStr">
        <is>
          <t>Medium pelagics (30 - 89 cm)</t>
        </is>
      </c>
      <c r="D192" t="inlineStr">
        <is>
          <t>Perch-likes</t>
        </is>
      </c>
      <c r="E192" s="7" t="inlineStr">
        <is>
          <t>Juvenile large pelagic fish | Pelagic fish (&gt; 30 cm)</t>
        </is>
      </c>
      <c r="F192" t="inlineStr">
        <is>
          <t>0.202 | 0.798</t>
        </is>
      </c>
      <c r="G192" t="inlineStr">
        <is>
          <t>model_catch</t>
        </is>
      </c>
      <c r="H192" t="inlineStr">
        <is>
          <t>medium</t>
        </is>
      </c>
      <c r="I192" t="inlineStr">
        <is>
          <t>composite_split</t>
        </is>
      </c>
      <c r="J192" t="n">
        <v>85261.257</v>
      </c>
      <c r="K192" t="n">
        <v>0.022</v>
      </c>
      <c r="L1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93">
      <c r="A193" t="inlineStr">
        <is>
          <t>Planiliza haematocheilus</t>
        </is>
      </c>
      <c r="B193" t="inlineStr">
        <is>
          <t>So-iny mullet</t>
        </is>
      </c>
      <c r="C193" t="inlineStr">
        <is>
          <t>Medium demersals (30 - 89 cm)</t>
        </is>
      </c>
      <c r="D193" t="inlineStr">
        <is>
          <t>Perch-likes</t>
        </is>
      </c>
      <c r="E193" s="7" t="inlineStr">
        <is>
          <t>Juvenile demersal fish (&gt; 30 cm) | Adult demersal fish (&gt; 30 cm)</t>
        </is>
      </c>
      <c r="F193" t="inlineStr">
        <is>
          <t>0.200 | 0.800</t>
        </is>
      </c>
      <c r="G193" t="inlineStr">
        <is>
          <t>model_catch</t>
        </is>
      </c>
      <c r="H193" t="inlineStr">
        <is>
          <t>medium</t>
        </is>
      </c>
      <c r="I193" t="inlineStr">
        <is>
          <t>composite_split</t>
        </is>
      </c>
      <c r="J193" t="n">
        <v>83320.213</v>
      </c>
      <c r="K193" t="n">
        <v>0.0215</v>
      </c>
      <c r="L1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4">
      <c r="A194" t="inlineStr">
        <is>
          <t>Plotosus</t>
        </is>
      </c>
      <c r="B194" t="inlineStr">
        <is>
          <t>Eel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s="7" t="inlineStr">
        <is>
          <t>Juvenile demersal fish (&gt; 30 cm) | Adult demersal fish (&gt; 30 cm)</t>
        </is>
      </c>
      <c r="F194" t="inlineStr">
        <is>
          <t>0.200 | 0.800</t>
        </is>
      </c>
      <c r="G194" t="inlineStr">
        <is>
          <t>model_catch</t>
        </is>
      </c>
      <c r="H194" t="inlineStr">
        <is>
          <t>medium</t>
        </is>
      </c>
      <c r="I194" t="inlineStr">
        <is>
          <t>composite_split</t>
        </is>
      </c>
      <c r="J194" t="n">
        <v>82892.16800000001</v>
      </c>
      <c r="K194" t="n">
        <v>0.0214</v>
      </c>
      <c r="L1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5">
      <c r="A195" t="inlineStr">
        <is>
          <t>Hemiramphus</t>
        </is>
      </c>
      <c r="B195" t="inlineStr">
        <is>
          <t>Halfbeaks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s="7" t="inlineStr">
        <is>
          <t>Juvenile large pelagic fish | Pelagic fish (&gt; 30 cm)</t>
        </is>
      </c>
      <c r="F195" t="inlineStr">
        <is>
          <t>0.202 | 0.798</t>
        </is>
      </c>
      <c r="G195" t="inlineStr">
        <is>
          <t>model_catch</t>
        </is>
      </c>
      <c r="H195" t="inlineStr">
        <is>
          <t>medium</t>
        </is>
      </c>
      <c r="I195" t="inlineStr">
        <is>
          <t>composite_split</t>
        </is>
      </c>
      <c r="J195" t="n">
        <v>82219.06299999999</v>
      </c>
      <c r="K195" t="n">
        <v>0.0212</v>
      </c>
      <c r="L195" s="6" t="inlineStr">
        <is>
          <t>Analyst habitat/size inference to source &gt;30 cm pelagic fish (Appendix 6.1.24 p.339); no age data, so split juvenile/adult using the period model catch.</t>
        </is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s="7" t="inlineStr">
        <is>
          <t>Juvenile large pelagic fish | Pelagic fish (&gt; 30 cm)</t>
        </is>
      </c>
      <c r="F196" t="inlineStr">
        <is>
          <t>0.202 | 0.798</t>
        </is>
      </c>
      <c r="G196" t="inlineStr">
        <is>
          <t>model_catch</t>
        </is>
      </c>
      <c r="H196" t="inlineStr">
        <is>
          <t>medium</t>
        </is>
      </c>
      <c r="I196" t="inlineStr">
        <is>
          <t>composite_split</t>
        </is>
      </c>
      <c r="J196" t="n">
        <v>80523.34299999999</v>
      </c>
      <c r="K196" t="n">
        <v>0.0208</v>
      </c>
      <c r="L196" s="6" t="inlineStr">
        <is>
          <t>Analyst habitat/size inference to source &gt;30 cm pelagic fish (Appendix 6.1.24 p.339); no age data, so split juvenile/adult using the period model catch.</t>
        </is>
      </c>
    </row>
    <row r="197">
      <c r="A197" t="inlineStr">
        <is>
          <t>Cypselurus</t>
        </is>
      </c>
      <c r="B197" t="inlineStr">
        <is>
          <t>Cypselurid 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s="7" t="inlineStr">
        <is>
          <t>Pelagic fish (≤ 30 cm)</t>
        </is>
      </c>
      <c r="F197" t="inlineStr"/>
      <c r="G197" t="inlineStr"/>
      <c r="H197" t="inlineStr">
        <is>
          <t>medium</t>
        </is>
      </c>
      <c r="I197" t="inlineStr">
        <is>
          <t>habitat_size_guild</t>
        </is>
      </c>
      <c r="J197" t="n">
        <v>78674.91099999999</v>
      </c>
      <c r="K197" t="n">
        <v>0.0203</v>
      </c>
      <c r="L197" s="6" t="inlineStr">
        <is>
          <t>Analyst habitat/size inference: SAU small-pelagic class matches the source &lt;=30 cm pelagic pool after dedicated source taxa were handled (Appendix 6.1.23 p.338).</t>
        </is>
      </c>
    </row>
    <row r="198">
      <c r="A198" t="inlineStr">
        <is>
          <t>Sergestidae</t>
        </is>
      </c>
      <c r="B198" t="inlineStr">
        <is>
          <t>Sergestid shrimp</t>
        </is>
      </c>
      <c r="C198" t="inlineStr">
        <is>
          <t>Shrimps</t>
        </is>
      </c>
      <c r="D198" t="inlineStr">
        <is>
          <t>Crustaceans</t>
        </is>
      </c>
      <c r="E198" s="5" t="inlineStr">
        <is>
          <t>Zooplankton | Shrimps</t>
        </is>
      </c>
      <c r="F198" t="inlineStr">
        <is>
          <t>0.346 | 0.654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77708.344</v>
      </c>
      <c r="K198" t="n">
        <v>0.02</v>
      </c>
      <c r="L19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s="7" t="inlineStr">
        <is>
          <t>Pelagic sharks and rays</t>
        </is>
      </c>
      <c r="F199" t="inlineStr"/>
      <c r="G199" t="inlineStr"/>
      <c r="H199" t="inlineStr">
        <is>
          <t>medium</t>
        </is>
      </c>
      <c r="I199" t="inlineStr">
        <is>
          <t>habitat_size_guild</t>
        </is>
      </c>
      <c r="J199" t="n">
        <v>76937.868</v>
      </c>
      <c r="K199" t="n">
        <v>0.0199</v>
      </c>
      <c r="L199" s="6" t="inlineStr">
        <is>
          <t>Pelagic shark lineage matches the pelagic elasmobranch definition, Appendix 6.1.25 p.340; species placement is analyst inference.</t>
        </is>
      </c>
    </row>
    <row r="200">
      <c r="A200" t="inlineStr">
        <is>
          <t>Xiphias gladius</t>
        </is>
      </c>
      <c r="B200" t="inlineStr">
        <is>
          <t>Swordfish</t>
        </is>
      </c>
      <c r="C200" t="inlineStr">
        <is>
          <t>Large pelagics (&gt;=90 cm)</t>
        </is>
      </c>
      <c r="D200" t="inlineStr">
        <is>
          <t>Tuna &amp; billfishes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75931.501</v>
      </c>
      <c r="K200" t="n">
        <v>0.0196</v>
      </c>
      <c r="L200" s="6" t="inlineStr">
        <is>
          <t>Northern continental-shelf model lacks a documented oceanic billfish or deep-pelagic compartment; assigning coastal juvenile/adult pelagic SPPR would be unsupported.</t>
        </is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s="8" t="inlineStr">
        <is>
          <t>Crabs</t>
        </is>
      </c>
      <c r="F201" t="inlineStr"/>
      <c r="G201" t="inlineStr"/>
      <c r="H201" t="inlineStr">
        <is>
          <t>high</t>
        </is>
      </c>
      <c r="I201" t="inlineStr">
        <is>
          <t>taxonomic_containment</t>
        </is>
      </c>
      <c r="J201" t="n">
        <v>73959.967</v>
      </c>
      <c r="K201" t="n">
        <v>0.0191</v>
      </c>
      <c r="L201" s="6" t="inlineStr">
        <is>
          <t>Source benthic crustaceans exclude shrimps and crabs (Appendix 6.1.5 p.324); lobsters remain in that residual, while true crabs use Crabs.</t>
        </is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s="5" t="inlineStr">
        <is>
          <t>Zooplankton | Benthic crustaceans | Shrimps | Crabs</t>
        </is>
      </c>
      <c r="F202" t="inlineStr">
        <is>
          <t>0.257 | 0.052 | 0.486 | 0.205</t>
        </is>
      </c>
      <c r="G202" t="inlineStr">
        <is>
          <t>catch_composition</t>
        </is>
      </c>
      <c r="H202" t="inlineStr">
        <is>
          <t>low</t>
        </is>
      </c>
      <c r="I202" t="inlineStr">
        <is>
          <t>composite_split</t>
        </is>
      </c>
      <c r="J202" t="n">
        <v>72517.89</v>
      </c>
      <c r="K202" t="n">
        <v>0.0187</v>
      </c>
      <c r="L20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203">
      <c r="A203" t="inlineStr">
        <is>
          <t>Scyris indica</t>
        </is>
      </c>
      <c r="B203" t="inlineStr">
        <is>
          <t>Indian threadfish</t>
        </is>
      </c>
      <c r="C203" t="inlineStr">
        <is>
          <t>Large reef assoc. fish (&gt;=90 cm)</t>
        </is>
      </c>
      <c r="D203" t="inlineStr">
        <is>
          <t>Perch-likes</t>
        </is>
      </c>
      <c r="E203" s="7" t="inlineStr">
        <is>
          <t>Juvenile large pelagic fish | Pelagic fish (&gt; 30 cm)</t>
        </is>
      </c>
      <c r="F203" t="inlineStr">
        <is>
          <t>0.202 | 0.798</t>
        </is>
      </c>
      <c r="G203" t="inlineStr">
        <is>
          <t>model_catch</t>
        </is>
      </c>
      <c r="H203" t="inlineStr">
        <is>
          <t>medium</t>
        </is>
      </c>
      <c r="I203" t="inlineStr">
        <is>
          <t>composite_split</t>
        </is>
      </c>
      <c r="J203" t="n">
        <v>67627.495</v>
      </c>
      <c r="K203" t="n">
        <v>0.0174</v>
      </c>
      <c r="L20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04">
      <c r="A204" t="inlineStr">
        <is>
          <t>Metapenaeus joyneri</t>
        </is>
      </c>
      <c r="B204" t="inlineStr">
        <is>
          <t>Shiba shrimp</t>
        </is>
      </c>
      <c r="C204" t="inlineStr">
        <is>
          <t>Shrimps</t>
        </is>
      </c>
      <c r="D204" t="inlineStr">
        <is>
          <t>Crustaceans</t>
        </is>
      </c>
      <c r="E204" s="8" t="inlineStr">
        <is>
          <t>Shrimps</t>
        </is>
      </c>
      <c r="F204" t="inlineStr"/>
      <c r="G204" t="inlineStr"/>
      <c r="H204" t="inlineStr">
        <is>
          <t>high</t>
        </is>
      </c>
      <c r="I204" t="inlineStr">
        <is>
          <t>taxonomic_containment</t>
        </is>
      </c>
      <c r="J204" t="n">
        <v>67586.25999999999</v>
      </c>
      <c r="K204" t="n">
        <v>0.0174</v>
      </c>
      <c r="L204" s="6" t="inlineStr">
        <is>
          <t>Stomatopods belong to the residual benthic crustaceans; other shrimp taxa belong to Shrimps after the explicitly separated Acetes records (Appendix 6.1 pp.323-326).</t>
        </is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s="5" t="inlineStr">
        <is>
          <t>Demesral fish (≤ 30 cm) | Juvenile demersal fish (&gt; 30 cm) | Adult demersal fish (&gt; 30 cm)</t>
        </is>
      </c>
      <c r="F205" t="inlineStr">
        <is>
          <t>0.386 | 0.123 | 0.491</t>
        </is>
      </c>
      <c r="G205" t="inlineStr">
        <is>
          <t>model_catch</t>
        </is>
      </c>
      <c r="H205" t="inlineStr">
        <is>
          <t>low</t>
        </is>
      </c>
      <c r="I205" t="inlineStr">
        <is>
          <t>composite_split</t>
        </is>
      </c>
      <c r="J205" t="n">
        <v>64264.466</v>
      </c>
      <c r="K205" t="n">
        <v>0.0166</v>
      </c>
      <c r="L205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Demesral fish (≤ 30 cm) | Juvenile demersal fish (&gt; 30 cm) | Adult demersal fish (&gt; 30 cm)</t>
        </is>
      </c>
      <c r="F206" t="inlineStr">
        <is>
          <t>0.386 | 0.123 | 0.491</t>
        </is>
      </c>
      <c r="G206" t="inlineStr">
        <is>
          <t>model_catch</t>
        </is>
      </c>
      <c r="H206" t="inlineStr">
        <is>
          <t>low</t>
        </is>
      </c>
      <c r="I206" t="inlineStr">
        <is>
          <t>composite_split</t>
        </is>
      </c>
      <c r="J206" t="n">
        <v>63100.538</v>
      </c>
      <c r="K206" t="n">
        <v>0.0163</v>
      </c>
      <c r="L2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07">
      <c r="A207" t="inlineStr">
        <is>
          <t>Gerreidae</t>
        </is>
      </c>
      <c r="B207" t="inlineStr">
        <is>
          <t>Mojarras, silverbellies</t>
        </is>
      </c>
      <c r="C207" t="inlineStr">
        <is>
          <t>Small benthopelagics (&lt;30 cm)</t>
        </is>
      </c>
      <c r="D207" t="inlineStr">
        <is>
          <t>Perch-likes</t>
        </is>
      </c>
      <c r="E207" s="5" t="inlineStr">
        <is>
          <t>Benthopelagic fish</t>
        </is>
      </c>
      <c r="F207" t="inlineStr"/>
      <c r="G207" t="inlineStr"/>
      <c r="H207" t="inlineStr">
        <is>
          <t>low</t>
        </is>
      </c>
      <c r="I207" t="inlineStr">
        <is>
          <t>habitat_size_guild</t>
        </is>
      </c>
      <c r="J207" t="n">
        <v>61206.386</v>
      </c>
      <c r="K207" t="n">
        <v>0.0158</v>
      </c>
      <c r="L20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08">
      <c r="A208" t="inlineStr">
        <is>
          <t>Panulirus longipes</t>
        </is>
      </c>
      <c r="B208" t="inlineStr">
        <is>
          <t>Longlegged spiny lobster</t>
        </is>
      </c>
      <c r="C208" t="inlineStr">
        <is>
          <t>Lobsters, crabs</t>
        </is>
      </c>
      <c r="D208" t="inlineStr">
        <is>
          <t>Crustaceans</t>
        </is>
      </c>
      <c r="E208" s="8" t="inlineStr">
        <is>
          <t>Benthic crustaceans</t>
        </is>
      </c>
      <c r="F208" t="inlineStr"/>
      <c r="G208" t="inlineStr"/>
      <c r="H208" t="inlineStr">
        <is>
          <t>high</t>
        </is>
      </c>
      <c r="I208" t="inlineStr">
        <is>
          <t>taxonomic_containment</t>
        </is>
      </c>
      <c r="J208" t="n">
        <v>61158.427</v>
      </c>
      <c r="K208" t="n">
        <v>0.0158</v>
      </c>
      <c r="L208" s="6" t="inlineStr">
        <is>
          <t>Source benthic crustaceans exclude shrimps and crabs (Appendix 6.1.5 p.324); lobsters remain in that residual, while true crabs use Crabs.</t>
        </is>
      </c>
    </row>
    <row r="209">
      <c r="A209" t="inlineStr">
        <is>
          <t>Epinephelus maculatus</t>
        </is>
      </c>
      <c r="B209" t="inlineStr">
        <is>
          <t>Highfin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s="8" t="inlineStr">
        <is>
          <t>Adult groupers</t>
        </is>
      </c>
      <c r="F209" t="inlineStr"/>
      <c r="G209" t="inlineStr"/>
      <c r="H209" t="inlineStr">
        <is>
          <t>high</t>
        </is>
      </c>
      <c r="I209" t="inlineStr">
        <is>
          <t>taxonomic_containment</t>
        </is>
      </c>
      <c r="J209" t="n">
        <v>60882.607</v>
      </c>
      <c r="K209" t="n">
        <v>0.0157</v>
      </c>
      <c r="L209" s="6" t="inlineStr">
        <is>
          <t>Appendix 6.1 pp.327-335 defines Adult groupers by this family or explicitly names Epinephelus maculatus; dedicated source placement overrides the SAU class Medium reef assoc. fish (30 - 89 cm).</t>
        </is>
      </c>
    </row>
    <row r="210">
      <c r="A210" t="inlineStr">
        <is>
          <t>Pagrus major</t>
        </is>
      </c>
      <c r="B210" t="inlineStr">
        <is>
          <t>Japanese seabream</t>
        </is>
      </c>
      <c r="C210" t="inlineStr">
        <is>
          <t>Large demersals (&gt;=90 cm)</t>
        </is>
      </c>
      <c r="D210" t="inlineStr">
        <is>
          <t>Perch-likes</t>
        </is>
      </c>
      <c r="E210" s="7" t="inlineStr">
        <is>
          <t>Juvenile demersal fish (&gt; 30 cm) | Adult demersal fish (&gt; 30 cm)</t>
        </is>
      </c>
      <c r="F210" t="inlineStr">
        <is>
          <t>0.200 | 0.800</t>
        </is>
      </c>
      <c r="G210" t="inlineStr">
        <is>
          <t>model_catch</t>
        </is>
      </c>
      <c r="H210" t="inlineStr">
        <is>
          <t>medium</t>
        </is>
      </c>
      <c r="I210" t="inlineStr">
        <is>
          <t>composite_split</t>
        </is>
      </c>
      <c r="J210" t="n">
        <v>60001.739</v>
      </c>
      <c r="K210" t="n">
        <v>0.0155</v>
      </c>
      <c r="L21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1">
      <c r="A211" t="inlineStr">
        <is>
          <t>Caesio</t>
        </is>
      </c>
      <c r="B211" t="inlineStr">
        <is>
          <t>Caesios</t>
        </is>
      </c>
      <c r="C211" t="inlineStr">
        <is>
          <t>Medium reef assoc. fish (30 - 89 cm)</t>
        </is>
      </c>
      <c r="D211" t="inlineStr">
        <is>
          <t>Perch-likes</t>
        </is>
      </c>
      <c r="E211" s="7" t="inlineStr">
        <is>
          <t>Juvenile demersal fish (&gt; 30 cm) | Adult demersal fish (&gt; 30 cm)</t>
        </is>
      </c>
      <c r="F211" t="inlineStr">
        <is>
          <t>0.200 | 0.800</t>
        </is>
      </c>
      <c r="G211" t="inlineStr">
        <is>
          <t>model_catch</t>
        </is>
      </c>
      <c r="H211" t="inlineStr">
        <is>
          <t>medium</t>
        </is>
      </c>
      <c r="I211" t="inlineStr">
        <is>
          <t>composite_split</t>
        </is>
      </c>
      <c r="J211" t="n">
        <v>58951.688</v>
      </c>
      <c r="K211" t="n">
        <v>0.0152</v>
      </c>
      <c r="L2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s="8" t="inlineStr">
        <is>
          <t>Shrimps</t>
        </is>
      </c>
      <c r="F212" t="inlineStr"/>
      <c r="G212" t="inlineStr"/>
      <c r="H212" t="inlineStr">
        <is>
          <t>high</t>
        </is>
      </c>
      <c r="I212" t="inlineStr">
        <is>
          <t>taxonomic_containment</t>
        </is>
      </c>
      <c r="J212" t="n">
        <v>56190.894</v>
      </c>
      <c r="K212" t="n">
        <v>0.0145</v>
      </c>
      <c r="L212" s="6" t="inlineStr">
        <is>
          <t>Stomatopods belong to the residual benthic crustaceans; other shrimp taxa belong to Shrimps after the explicitly separated Acetes records (Appendix 6.1 pp.323-326).</t>
        </is>
      </c>
    </row>
    <row r="213">
      <c r="A213" t="inlineStr">
        <is>
          <t>Carcharhinidae</t>
        </is>
      </c>
      <c r="B213" t="inlineStr">
        <is>
          <t>Requiem sharks</t>
        </is>
      </c>
      <c r="C213" t="inlineStr">
        <is>
          <t>Large sharks (&gt;=90 cm)</t>
        </is>
      </c>
      <c r="D213" t="inlineStr">
        <is>
          <t>Sharks &amp; rays</t>
        </is>
      </c>
      <c r="E213" s="5" t="inlineStr">
        <is>
          <t>Demersal sharks and rays | Pelagic sharks and rays</t>
        </is>
      </c>
      <c r="F213" t="inlineStr">
        <is>
          <t>0.813 | 0.187</t>
        </is>
      </c>
      <c r="G213" t="inlineStr">
        <is>
          <t>catch_composition</t>
        </is>
      </c>
      <c r="H213" t="inlineStr">
        <is>
          <t>low</t>
        </is>
      </c>
      <c r="I213" t="inlineStr">
        <is>
          <t>composite_split</t>
        </is>
      </c>
      <c r="J213" t="n">
        <v>55100.053</v>
      </c>
      <c r="K213" t="n">
        <v>0.0142</v>
      </c>
      <c r="L213" s="6" t="inlineStr">
        <is>
          <t>Coarse or habitat-ambiguous elasmobranch record spans the two source habitat compartments; SAU shark/ray size is insufficient to select one.</t>
        </is>
      </c>
    </row>
    <row r="214">
      <c r="A214" t="inlineStr">
        <is>
          <t>Paralichthyidae</t>
        </is>
      </c>
      <c r="B214" t="inlineStr">
        <is>
          <t>Largetooth flounders</t>
        </is>
      </c>
      <c r="C214" t="inlineStr">
        <is>
          <t>Small to medium flatfishes (&lt;90 cm)</t>
        </is>
      </c>
      <c r="D214" t="inlineStr">
        <is>
          <t>Flatfishes</t>
        </is>
      </c>
      <c r="E214" s="5" t="inlineStr">
        <is>
          <t>Demesral fish (≤ 30 cm) | Juvenile demersal fish (&gt; 30 cm) | Adult demersal fish (&gt; 30 cm)</t>
        </is>
      </c>
      <c r="F214" t="inlineStr">
        <is>
          <t>0.386 | 0.123 | 0.491</t>
        </is>
      </c>
      <c r="G214" t="inlineStr">
        <is>
          <t>model_catch</t>
        </is>
      </c>
      <c r="H214" t="inlineStr">
        <is>
          <t>low</t>
        </is>
      </c>
      <c r="I214" t="inlineStr">
        <is>
          <t>composite_split</t>
        </is>
      </c>
      <c r="J214" t="n">
        <v>52148.543</v>
      </c>
      <c r="K214" t="n">
        <v>0.0135</v>
      </c>
      <c r="L214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15">
      <c r="A215" t="inlineStr">
        <is>
          <t>Sillaginidae</t>
        </is>
      </c>
      <c r="B215" t="inlineStr">
        <is>
          <t>Smelt-whitings</t>
        </is>
      </c>
      <c r="C215" t="inlineStr">
        <is>
          <t>Medium demersals (30 - 89 cm)</t>
        </is>
      </c>
      <c r="D215" t="inlineStr">
        <is>
          <t>Perch-likes</t>
        </is>
      </c>
      <c r="E215" s="7" t="inlineStr">
        <is>
          <t>Juvenile demersal fish (&gt; 30 cm) | Adult demersal fish (&gt; 30 cm)</t>
        </is>
      </c>
      <c r="F215" t="inlineStr">
        <is>
          <t>0.200 | 0.800</t>
        </is>
      </c>
      <c r="G215" t="inlineStr">
        <is>
          <t>model_catch</t>
        </is>
      </c>
      <c r="H215" t="inlineStr">
        <is>
          <t>medium</t>
        </is>
      </c>
      <c r="I215" t="inlineStr">
        <is>
          <t>composite_split</t>
        </is>
      </c>
      <c r="J215" t="n">
        <v>50464.447</v>
      </c>
      <c r="K215" t="n">
        <v>0.013</v>
      </c>
      <c r="L2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6">
      <c r="A216" t="inlineStr">
        <is>
          <t>Thryssa</t>
        </is>
      </c>
      <c r="B216" t="inlineStr">
        <is>
          <t>Thryssas</t>
        </is>
      </c>
      <c r="C216" t="inlineStr">
        <is>
          <t>Small pelagics (&lt;30 cm)</t>
        </is>
      </c>
      <c r="D216" t="inlineStr">
        <is>
          <t>Anchovies</t>
        </is>
      </c>
      <c r="E216" s="7" t="inlineStr">
        <is>
          <t>Pelagic fish (≤ 30 cm)</t>
        </is>
      </c>
      <c r="F216" t="inlineStr"/>
      <c r="G216" t="inlineStr"/>
      <c r="H216" t="inlineStr">
        <is>
          <t>medium</t>
        </is>
      </c>
      <c r="I216" t="inlineStr">
        <is>
          <t>habitat_size_guild</t>
        </is>
      </c>
      <c r="J216" t="n">
        <v>48625.9</v>
      </c>
      <c r="K216" t="n">
        <v>0.0125</v>
      </c>
      <c r="L21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s="7" t="inlineStr">
        <is>
          <t>Juvenile large pelagic fish | Pelagic fish (&gt; 30 cm)</t>
        </is>
      </c>
      <c r="F217" t="inlineStr">
        <is>
          <t>0.202 | 0.798</t>
        </is>
      </c>
      <c r="G217" t="inlineStr">
        <is>
          <t>model_catch</t>
        </is>
      </c>
      <c r="H217" t="inlineStr">
        <is>
          <t>medium</t>
        </is>
      </c>
      <c r="I217" t="inlineStr">
        <is>
          <t>composite_split</t>
        </is>
      </c>
      <c r="J217" t="n">
        <v>48027.036</v>
      </c>
      <c r="K217" t="n">
        <v>0.0124</v>
      </c>
      <c r="L217" s="6" t="inlineStr">
        <is>
          <t>Analyst habitat/size inference to source &gt;30 cm pelagic fish (Appendix 6.1.24 p.339); no age data, so split juvenile/adult using the period model catch.</t>
        </is>
      </c>
    </row>
    <row r="218">
      <c r="A218" t="inlineStr">
        <is>
          <t>Tylosurus crocodilus</t>
        </is>
      </c>
      <c r="B218" t="inlineStr">
        <is>
          <t>Hound needlefish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s="7" t="inlineStr">
        <is>
          <t>Juvenile large pelagic fish | Pelagic fish (&gt; 30 cm)</t>
        </is>
      </c>
      <c r="F218" t="inlineStr">
        <is>
          <t>0.202 | 0.798</t>
        </is>
      </c>
      <c r="G218" t="inlineStr">
        <is>
          <t>model_catch</t>
        </is>
      </c>
      <c r="H218" t="inlineStr">
        <is>
          <t>medium</t>
        </is>
      </c>
      <c r="I218" t="inlineStr">
        <is>
          <t>composite_split</t>
        </is>
      </c>
      <c r="J218" t="n">
        <v>47317.771</v>
      </c>
      <c r="K218" t="n">
        <v>0.0122</v>
      </c>
      <c r="L218" s="6" t="inlineStr">
        <is>
          <t>Analyst habitat/size inference to source &gt;30 cm pelagic fish (Appendix 6.1.24 p.339); no age data, so split juvenile/adult using the period model catch.</t>
        </is>
      </c>
    </row>
    <row r="219">
      <c r="A219" t="inlineStr">
        <is>
          <t>Acanthuridae</t>
        </is>
      </c>
      <c r="B219" t="inlineStr">
        <is>
          <t>Surgeons, tangs, unicornfishes</t>
        </is>
      </c>
      <c r="C219" t="inlineStr">
        <is>
          <t>Small reef assoc. fish (&lt;30 cm)</t>
        </is>
      </c>
      <c r="D219" t="inlineStr">
        <is>
          <t>Perch-likes</t>
        </is>
      </c>
      <c r="E219" s="7" t="inlineStr">
        <is>
          <t>Demesral fish (≤ 30 cm)</t>
        </is>
      </c>
      <c r="F219" t="inlineStr"/>
      <c r="G219" t="inlineStr"/>
      <c r="H219" t="inlineStr">
        <is>
          <t>medium</t>
        </is>
      </c>
      <c r="I219" t="inlineStr">
        <is>
          <t>habitat_size_guild</t>
        </is>
      </c>
      <c r="J219" t="n">
        <v>46027.118</v>
      </c>
      <c r="K219" t="n">
        <v>0.0119</v>
      </c>
      <c r="L219" s="6" t="inlineStr">
        <is>
          <t>Analyst habitat/size inference: small demersal or reef-associated fish after excluding dedicated taxonomic groups, matching Appendix 6.1.19 &lt;=30 cm residual demersal pool.</t>
        </is>
      </c>
    </row>
    <row r="220">
      <c r="A220" t="inlineStr">
        <is>
          <t>Trachurus japonicus</t>
        </is>
      </c>
      <c r="B220" t="inlineStr">
        <is>
          <t>Japanese jack mackerel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Juvenile large pelagic fish | Pelagic fish (&gt; 30 cm)</t>
        </is>
      </c>
      <c r="F220" t="inlineStr">
        <is>
          <t>0.202 | 0.798</t>
        </is>
      </c>
      <c r="G220" t="inlineStr">
        <is>
          <t>model_catch</t>
        </is>
      </c>
      <c r="H220" t="inlineStr">
        <is>
          <t>medium</t>
        </is>
      </c>
      <c r="I220" t="inlineStr">
        <is>
          <t>composite_split</t>
        </is>
      </c>
      <c r="J220" t="n">
        <v>44027.554</v>
      </c>
      <c r="K220" t="n">
        <v>0.0114</v>
      </c>
      <c r="L22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21">
      <c r="A221" t="inlineStr">
        <is>
          <t>Lactarius lactarius</t>
        </is>
      </c>
      <c r="B221" t="inlineStr">
        <is>
          <t>False trevally</t>
        </is>
      </c>
      <c r="C221" t="inlineStr">
        <is>
          <t>Medium pelagics (30 - 89 cm)</t>
        </is>
      </c>
      <c r="D221" t="inlineStr">
        <is>
          <t>Perch-likes</t>
        </is>
      </c>
      <c r="E221" s="7" t="inlineStr">
        <is>
          <t>Juvenile large pelagic fish | Pelagic fish (&gt; 30 cm)</t>
        </is>
      </c>
      <c r="F221" t="inlineStr">
        <is>
          <t>0.202 | 0.798</t>
        </is>
      </c>
      <c r="G221" t="inlineStr">
        <is>
          <t>model_catch</t>
        </is>
      </c>
      <c r="H221" t="inlineStr">
        <is>
          <t>medium</t>
        </is>
      </c>
      <c r="I221" t="inlineStr">
        <is>
          <t>composite_split</t>
        </is>
      </c>
      <c r="J221" t="n">
        <v>43593</v>
      </c>
      <c r="K221" t="n">
        <v>0.0112</v>
      </c>
      <c r="L221" s="6" t="inlineStr">
        <is>
          <t>Analyst habitat/size inference to source &gt;30 cm pelagic fish (Appendix 6.1.24 p.339); no age data, so split juvenile/adult using the period model catch.</t>
        </is>
      </c>
    </row>
    <row r="222">
      <c r="A222" t="inlineStr">
        <is>
          <t>Lethrinus</t>
        </is>
      </c>
      <c r="B222" t="inlineStr">
        <is>
          <t>Emperors</t>
        </is>
      </c>
      <c r="C222" t="inlineStr">
        <is>
          <t>Medium reef assoc. fish (30 - 89 cm)</t>
        </is>
      </c>
      <c r="D222" t="inlineStr">
        <is>
          <t>Perch-likes</t>
        </is>
      </c>
      <c r="E222" s="7" t="inlineStr">
        <is>
          <t>Juvenile demersal fish (&gt; 30 cm) | Adult demersal fish (&gt; 30 cm)</t>
        </is>
      </c>
      <c r="F222" t="inlineStr">
        <is>
          <t>0.200 | 0.800</t>
        </is>
      </c>
      <c r="G222" t="inlineStr">
        <is>
          <t>model_catch</t>
        </is>
      </c>
      <c r="H222" t="inlineStr">
        <is>
          <t>medium</t>
        </is>
      </c>
      <c r="I222" t="inlineStr">
        <is>
          <t>composite_split</t>
        </is>
      </c>
      <c r="J222" t="n">
        <v>43238.767</v>
      </c>
      <c r="K222" t="n">
        <v>0.0112</v>
      </c>
      <c r="L2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3">
      <c r="A223" t="inlineStr">
        <is>
          <t>Balistidae</t>
        </is>
      </c>
      <c r="B223" t="inlineStr">
        <is>
          <t>Triggerfishes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s="7" t="inlineStr">
        <is>
          <t>Juvenile demersal fish (&gt; 30 cm) | Adult demersal fish (&gt; 30 cm)</t>
        </is>
      </c>
      <c r="F223" t="inlineStr">
        <is>
          <t>0.200 | 0.800</t>
        </is>
      </c>
      <c r="G223" t="inlineStr">
        <is>
          <t>model_catch</t>
        </is>
      </c>
      <c r="H223" t="inlineStr">
        <is>
          <t>medium</t>
        </is>
      </c>
      <c r="I223" t="inlineStr">
        <is>
          <t>composite_split</t>
        </is>
      </c>
      <c r="J223" t="n">
        <v>42725.167</v>
      </c>
      <c r="K223" t="n">
        <v>0.011</v>
      </c>
      <c r="L22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s="7" t="inlineStr">
        <is>
          <t>Juvenile demersal fish (&gt; 30 cm) | Adult demersal fish (&gt; 30 cm)</t>
        </is>
      </c>
      <c r="F224" t="inlineStr">
        <is>
          <t>0.200 | 0.800</t>
        </is>
      </c>
      <c r="G224" t="inlineStr">
        <is>
          <t>model_catch</t>
        </is>
      </c>
      <c r="H224" t="inlineStr">
        <is>
          <t>medium</t>
        </is>
      </c>
      <c r="I224" t="inlineStr">
        <is>
          <t>composite_split</t>
        </is>
      </c>
      <c r="J224" t="n">
        <v>40575.83</v>
      </c>
      <c r="K224" t="n">
        <v>0.0105</v>
      </c>
      <c r="L2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5">
      <c r="A225" t="inlineStr">
        <is>
          <t>Penaeus latisulcatus</t>
        </is>
      </c>
      <c r="B225" t="inlineStr">
        <is>
          <t>Western king prawn</t>
        </is>
      </c>
      <c r="C225" t="inlineStr">
        <is>
          <t>Shrimps</t>
        </is>
      </c>
      <c r="D225" t="inlineStr">
        <is>
          <t>Crustaceans</t>
        </is>
      </c>
      <c r="E225" s="8" t="inlineStr">
        <is>
          <t>Shrimps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39116.178</v>
      </c>
      <c r="K225" t="n">
        <v>0.0101</v>
      </c>
      <c r="L225" s="6" t="inlineStr">
        <is>
          <t>Stomatopods belong to the residual benthic crustaceans; other shrimp taxa belong to Shrimps after the explicitly separated Acetes records (Appendix 6.1 pp.323-326).</t>
        </is>
      </c>
    </row>
    <row r="226">
      <c r="A226" t="inlineStr">
        <is>
          <t>Dussumieria elopsoides</t>
        </is>
      </c>
      <c r="B226" t="inlineStr">
        <is>
          <t>Slender rainbow sardine</t>
        </is>
      </c>
      <c r="C226" t="inlineStr">
        <is>
          <t>Small pelagics (&lt;30 cm)</t>
        </is>
      </c>
      <c r="D226" t="inlineStr">
        <is>
          <t>Herring-likes</t>
        </is>
      </c>
      <c r="E226" s="7" t="inlineStr">
        <is>
          <t>Pelagic fish (≤ 30 cm)</t>
        </is>
      </c>
      <c r="F226" t="inlineStr"/>
      <c r="G226" t="inlineStr"/>
      <c r="H226" t="inlineStr">
        <is>
          <t>medium</t>
        </is>
      </c>
      <c r="I226" t="inlineStr">
        <is>
          <t>habitat_size_guild</t>
        </is>
      </c>
      <c r="J226" t="n">
        <v>38768.359</v>
      </c>
      <c r="K226" t="n">
        <v>0.01</v>
      </c>
      <c r="L22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27">
      <c r="A227" t="inlineStr">
        <is>
          <t>Megalops cyprinoides</t>
        </is>
      </c>
      <c r="B227" t="inlineStr">
        <is>
          <t>Indo-Pacific tarpon</t>
        </is>
      </c>
      <c r="C227" t="inlineStr">
        <is>
          <t>Large pelagics (&gt;=90 cm)</t>
        </is>
      </c>
      <c r="D227" t="inlineStr">
        <is>
          <t>Other fishes &amp; inverts</t>
        </is>
      </c>
      <c r="E227" s="7" t="inlineStr">
        <is>
          <t>Juvenile large pelagic fish | Pelagic fish (&gt; 30 cm)</t>
        </is>
      </c>
      <c r="F227" t="inlineStr">
        <is>
          <t>0.202 | 0.798</t>
        </is>
      </c>
      <c r="G227" t="inlineStr">
        <is>
          <t>model_catch</t>
        </is>
      </c>
      <c r="H227" t="inlineStr">
        <is>
          <t>medium</t>
        </is>
      </c>
      <c r="I227" t="inlineStr">
        <is>
          <t>composite_split</t>
        </is>
      </c>
      <c r="J227" t="n">
        <v>37102.675</v>
      </c>
      <c r="K227" t="n">
        <v>0.009599999999999999</v>
      </c>
      <c r="L227" s="6" t="inlineStr">
        <is>
          <t>Analyst habitat/size inference to source &gt;30 cm pelagic fish (Appendix 6.1.24 p.339); no age data, so split juvenile/adult using the period model catch.</t>
        </is>
      </c>
    </row>
    <row r="228">
      <c r="A228" t="inlineStr">
        <is>
          <t>Plectorhinchus</t>
        </is>
      </c>
      <c r="B228" t="inlineStr">
        <is>
          <t>Sweetlips</t>
        </is>
      </c>
      <c r="C228" t="inlineStr">
        <is>
          <t>Medium reef assoc. fish (30 - 89 cm)</t>
        </is>
      </c>
      <c r="D228" t="inlineStr">
        <is>
          <t>Perch-likes</t>
        </is>
      </c>
      <c r="E228" s="7" t="inlineStr">
        <is>
          <t>Juvenile demersal fish (&gt; 30 cm) | Adult demersal fish (&gt; 30 cm)</t>
        </is>
      </c>
      <c r="F228" t="inlineStr">
        <is>
          <t>0.200 | 0.800</t>
        </is>
      </c>
      <c r="G228" t="inlineStr">
        <is>
          <t>model_catch</t>
        </is>
      </c>
      <c r="H228" t="inlineStr">
        <is>
          <t>medium</t>
        </is>
      </c>
      <c r="I228" t="inlineStr">
        <is>
          <t>composite_split</t>
        </is>
      </c>
      <c r="J228" t="n">
        <v>36703.879</v>
      </c>
      <c r="K228" t="n">
        <v>0.0095</v>
      </c>
      <c r="L2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9">
      <c r="A229" t="inlineStr">
        <is>
          <t>Apostichopus japonicus</t>
        </is>
      </c>
      <c r="B229" t="inlineStr">
        <is>
          <t>Japanese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s="8" t="inlineStr">
        <is>
          <t>Echinoderms</t>
        </is>
      </c>
      <c r="F229" t="inlineStr"/>
      <c r="G229" t="inlineStr"/>
      <c r="H229" t="inlineStr">
        <is>
          <t>high</t>
        </is>
      </c>
      <c r="I229" t="inlineStr">
        <is>
          <t>taxonomic_containment</t>
        </is>
      </c>
      <c r="J229" t="n">
        <v>35013.082</v>
      </c>
      <c r="K229" t="n">
        <v>0.008999999999999999</v>
      </c>
      <c r="L229" s="6" t="inlineStr">
        <is>
          <t>Taxonomic containment in the source benthos subdivision (Appendix 6.1.5 pp.324-325), keeping non-cephalopod molluscs separate from echinoderms and sessile invertebrates.</t>
        </is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s="8" t="inlineStr">
        <is>
          <t>Crabs</t>
        </is>
      </c>
      <c r="F230" t="inlineStr"/>
      <c r="G230" t="inlineStr"/>
      <c r="H230" t="inlineStr">
        <is>
          <t>high</t>
        </is>
      </c>
      <c r="I230" t="inlineStr">
        <is>
          <t>taxonomic_containment</t>
        </is>
      </c>
      <c r="J230" t="n">
        <v>34494.118</v>
      </c>
      <c r="K230" t="n">
        <v>0.0089</v>
      </c>
      <c r="L230" s="6" t="inlineStr">
        <is>
          <t>Source benthic crustaceans exclude shrimps and crabs (Appendix 6.1.5 p.324); lobsters remain in that residual, while true crabs use Crabs.</t>
        </is>
      </c>
    </row>
    <row r="231">
      <c r="A231" t="inlineStr">
        <is>
          <t>Haliotidae</t>
        </is>
      </c>
      <c r="B231" t="inlineStr">
        <is>
          <t>Abalones, ear shells</t>
        </is>
      </c>
      <c r="C231" t="inlineStr">
        <is>
          <t>Other demersal invertebrates</t>
        </is>
      </c>
      <c r="D231" t="inlineStr">
        <is>
          <t>Molluscs</t>
        </is>
      </c>
      <c r="E231" s="8" t="inlineStr">
        <is>
          <t>Non-ceph molluscs</t>
        </is>
      </c>
      <c r="F231" t="inlineStr"/>
      <c r="G231" t="inlineStr"/>
      <c r="H231" t="inlineStr">
        <is>
          <t>high</t>
        </is>
      </c>
      <c r="I231" t="inlineStr">
        <is>
          <t>taxonomic_containment</t>
        </is>
      </c>
      <c r="J231" t="n">
        <v>33815.298</v>
      </c>
      <c r="K231" t="n">
        <v>0.008699999999999999</v>
      </c>
      <c r="L231" s="6" t="inlineStr">
        <is>
          <t>Taxonomic containment in the source benthos subdivision (Appendix 6.1.5 pp.324-325), keeping non-cephalopod molluscs separate from echinoderms and sessile invertebrates.</t>
        </is>
      </c>
    </row>
    <row r="232">
      <c r="A232" t="inlineStr">
        <is>
          <t>Batoidea</t>
        </is>
      </c>
      <c r="B232" t="inlineStr">
        <is>
          <t>Batoids, skates, rays, sawfishes</t>
        </is>
      </c>
      <c r="C232" t="inlineStr">
        <is>
          <t>Large rays (&gt;=90 cm)</t>
        </is>
      </c>
      <c r="D232" t="inlineStr">
        <is>
          <t>Sharks &amp; rays</t>
        </is>
      </c>
      <c r="E232" s="5" t="inlineStr">
        <is>
          <t>Demersal sharks and rays | Pelagic sharks and rays</t>
        </is>
      </c>
      <c r="F232" t="inlineStr">
        <is>
          <t>0.813 | 0.187</t>
        </is>
      </c>
      <c r="G232" t="inlineStr">
        <is>
          <t>catch_composition</t>
        </is>
      </c>
      <c r="H232" t="inlineStr">
        <is>
          <t>low</t>
        </is>
      </c>
      <c r="I232" t="inlineStr">
        <is>
          <t>composite_split</t>
        </is>
      </c>
      <c r="J232" t="n">
        <v>31524.153</v>
      </c>
      <c r="K232" t="n">
        <v>0.0081</v>
      </c>
      <c r="L232" s="6" t="inlineStr">
        <is>
          <t>Coarse or habitat-ambiguous elasmobranch record spans the two source habitat compartments; SAU shark/ray size is insufficient to select one.</t>
        </is>
      </c>
    </row>
    <row r="233">
      <c r="A233" t="inlineStr">
        <is>
          <t>Istiophorus</t>
        </is>
      </c>
      <c r="B233" t="inlineStr">
        <is>
          <t>Sailfishes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s="9" t="inlineStr">
        <is>
          <t>Unresolved</t>
        </is>
      </c>
      <c r="F233" t="inlineStr"/>
      <c r="G233" t="inlineStr"/>
      <c r="H233" t="inlineStr">
        <is>
          <t>unresolved</t>
        </is>
      </c>
      <c r="I233" t="inlineStr">
        <is>
          <t>none</t>
        </is>
      </c>
      <c r="J233" t="n">
        <v>30687.338</v>
      </c>
      <c r="K233" t="n">
        <v>0.007900000000000001</v>
      </c>
      <c r="L233" s="6" t="inlineStr">
        <is>
          <t>Northern continental-shelf model lacks a documented oceanic billfish or deep-pelagic compartment; assigning coastal juvenile/adult pelagic SPPR would be unsupported.</t>
        </is>
      </c>
    </row>
    <row r="234">
      <c r="A234" t="inlineStr">
        <is>
          <t>Platycaranx malabaricus</t>
        </is>
      </c>
      <c r="B234" t="inlineStr">
        <is>
          <t>Malabar trevally</t>
        </is>
      </c>
      <c r="C234" t="inlineStr">
        <is>
          <t>Medium reef assoc. fish (30 - 89 cm)</t>
        </is>
      </c>
      <c r="D234" t="inlineStr">
        <is>
          <t>Perch-likes</t>
        </is>
      </c>
      <c r="E234" s="7" t="inlineStr">
        <is>
          <t>Juvenile large pelagic fish | Pelagic fish (&gt; 30 cm)</t>
        </is>
      </c>
      <c r="F234" t="inlineStr">
        <is>
          <t>0.202 | 0.798</t>
        </is>
      </c>
      <c r="G234" t="inlineStr">
        <is>
          <t>model_catch</t>
        </is>
      </c>
      <c r="H234" t="inlineStr">
        <is>
          <t>medium</t>
        </is>
      </c>
      <c r="I234" t="inlineStr">
        <is>
          <t>composite_split</t>
        </is>
      </c>
      <c r="J234" t="n">
        <v>30428.7</v>
      </c>
      <c r="K234" t="n">
        <v>0.007900000000000001</v>
      </c>
      <c r="L23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35">
      <c r="A235" t="inlineStr">
        <is>
          <t>Nemipterus japonicus</t>
        </is>
      </c>
      <c r="B235" t="inlineStr">
        <is>
          <t>Japanese threadfin bream</t>
        </is>
      </c>
      <c r="C235" t="inlineStr">
        <is>
          <t>Small demersals (&lt;30 cm)</t>
        </is>
      </c>
      <c r="D235" t="inlineStr">
        <is>
          <t>Perch-likes</t>
        </is>
      </c>
      <c r="E235" s="8" t="inlineStr">
        <is>
          <t>Threadfin bream (nemipterids)</t>
        </is>
      </c>
      <c r="F235" t="inlineStr"/>
      <c r="G235" t="inlineStr"/>
      <c r="H235" t="inlineStr">
        <is>
          <t>high</t>
        </is>
      </c>
      <c r="I235" t="inlineStr">
        <is>
          <t>explicit_member</t>
        </is>
      </c>
      <c r="J235" t="n">
        <v>29856.401</v>
      </c>
      <c r="K235" t="n">
        <v>0.0077</v>
      </c>
      <c r="L235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</row>
    <row r="236">
      <c r="A236" t="inlineStr">
        <is>
          <t>Bothidae</t>
        </is>
      </c>
      <c r="B236" t="inlineStr">
        <is>
          <t>Lefteye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s="5" t="inlineStr">
        <is>
          <t>Demesral fish (≤ 30 cm) | Juvenile demersal fish (&gt; 30 cm) | Adult demersal fish (&gt; 30 cm)</t>
        </is>
      </c>
      <c r="F236" t="inlineStr">
        <is>
          <t>0.386 | 0.123 | 0.491</t>
        </is>
      </c>
      <c r="G236" t="inlineStr">
        <is>
          <t>model_catch</t>
        </is>
      </c>
      <c r="H236" t="inlineStr">
        <is>
          <t>low</t>
        </is>
      </c>
      <c r="I236" t="inlineStr">
        <is>
          <t>composite_split</t>
        </is>
      </c>
      <c r="J236" t="n">
        <v>29599.082</v>
      </c>
      <c r="K236" t="n">
        <v>0.0076</v>
      </c>
      <c r="L23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37">
      <c r="A237" t="inlineStr">
        <is>
          <t>Drepane</t>
        </is>
      </c>
      <c r="B237" t="inlineStr">
        <is>
          <t>Sicklefishes</t>
        </is>
      </c>
      <c r="C237" t="inlineStr">
        <is>
          <t>Medium benthopelagics (30 - 89 cm)</t>
        </is>
      </c>
      <c r="D237" t="inlineStr">
        <is>
          <t>Perch-likes</t>
        </is>
      </c>
      <c r="E237" s="5" t="inlineStr">
        <is>
          <t>Benthopelagic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26691.157</v>
      </c>
      <c r="K237" t="n">
        <v>0.0069</v>
      </c>
      <c r="L23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38">
      <c r="A238" t="inlineStr">
        <is>
          <t>Lateolabrax japonicus</t>
        </is>
      </c>
      <c r="B238" t="inlineStr">
        <is>
          <t>Japanese seabass</t>
        </is>
      </c>
      <c r="C238" t="inlineStr">
        <is>
          <t>Medium reef assoc. fish (30 - 89 cm)</t>
        </is>
      </c>
      <c r="D238" t="inlineStr">
        <is>
          <t>Perch-likes</t>
        </is>
      </c>
      <c r="E238" s="7" t="inlineStr">
        <is>
          <t>Juvenile demersal fish (&gt; 30 cm) | Adult demersal fish (&gt; 30 cm)</t>
        </is>
      </c>
      <c r="F238" t="inlineStr">
        <is>
          <t>0.200 | 0.800</t>
        </is>
      </c>
      <c r="G238" t="inlineStr">
        <is>
          <t>model_catch</t>
        </is>
      </c>
      <c r="H238" t="inlineStr">
        <is>
          <t>medium</t>
        </is>
      </c>
      <c r="I238" t="inlineStr">
        <is>
          <t>composite_split</t>
        </is>
      </c>
      <c r="J238" t="n">
        <v>25443.239</v>
      </c>
      <c r="K238" t="n">
        <v>0.0066</v>
      </c>
      <c r="L2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39">
      <c r="A239" t="inlineStr">
        <is>
          <t>Auxis rochei</t>
        </is>
      </c>
      <c r="B239" t="inlineStr">
        <is>
          <t>Bullet tuna</t>
        </is>
      </c>
      <c r="C239" t="inlineStr">
        <is>
          <t>Medium pelagics (30 - 89 cm)</t>
        </is>
      </c>
      <c r="D239" t="inlineStr">
        <is>
          <t>Tuna &amp; billfishes</t>
        </is>
      </c>
      <c r="E239" s="7" t="inlineStr">
        <is>
          <t>Juvenile large pelagic fish | Pelagic fish (&gt; 30 cm)</t>
        </is>
      </c>
      <c r="F239" t="inlineStr">
        <is>
          <t>0.202 | 0.798</t>
        </is>
      </c>
      <c r="G239" t="inlineStr">
        <is>
          <t>model_catch</t>
        </is>
      </c>
      <c r="H239" t="inlineStr">
        <is>
          <t>medium</t>
        </is>
      </c>
      <c r="I239" t="inlineStr">
        <is>
          <t>composite_split</t>
        </is>
      </c>
      <c r="J239" t="n">
        <v>25390.636</v>
      </c>
      <c r="K239" t="n">
        <v>0.0066</v>
      </c>
      <c r="L239" s="6" t="inlineStr">
        <is>
          <t>Analyst habitat/size inference to source &gt;30 cm pelagic fish (Appendix 6.1.24 p.339); no age data, so split juvenile/adult using the period model catch.</t>
        </is>
      </c>
    </row>
    <row r="240">
      <c r="A240" t="inlineStr">
        <is>
          <t>Nibea mitsukurii</t>
        </is>
      </c>
      <c r="B240" t="inlineStr">
        <is>
          <t>Honnibe croaker</t>
        </is>
      </c>
      <c r="C240" t="inlineStr">
        <is>
          <t>Medium benthopelagics (30 - 89 cm)</t>
        </is>
      </c>
      <c r="D240" t="inlineStr">
        <is>
          <t>Perch-likes</t>
        </is>
      </c>
      <c r="E240" s="5" t="inlineStr">
        <is>
          <t>Juvenile large croakers | Croakers (&gt; 30 cm)</t>
        </is>
      </c>
      <c r="F240" t="inlineStr">
        <is>
          <t>0.200 | 0.800</t>
        </is>
      </c>
      <c r="G240" t="inlineStr">
        <is>
          <t>model_catch</t>
        </is>
      </c>
      <c r="H240" t="inlineStr">
        <is>
          <t>low</t>
        </is>
      </c>
      <c r="I240" t="inlineStr">
        <is>
          <t>composite_split</t>
        </is>
      </c>
      <c r="J240" t="n">
        <v>24744.639</v>
      </c>
      <c r="K240" t="n">
        <v>0.0064</v>
      </c>
      <c r="L24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41">
      <c r="A241" t="inlineStr">
        <is>
          <t>Meretrix lusoria</t>
        </is>
      </c>
      <c r="B241" t="inlineStr">
        <is>
          <t>Japanese hard clam</t>
        </is>
      </c>
      <c r="C241" t="inlineStr">
        <is>
          <t>Other demersal invertebrates</t>
        </is>
      </c>
      <c r="D241" t="inlineStr">
        <is>
          <t>Molluscs</t>
        </is>
      </c>
      <c r="E241" s="8" t="inlineStr">
        <is>
          <t>Non-ceph molluscs</t>
        </is>
      </c>
      <c r="F241" t="inlineStr"/>
      <c r="G241" t="inlineStr"/>
      <c r="H241" t="inlineStr">
        <is>
          <t>high</t>
        </is>
      </c>
      <c r="I241" t="inlineStr">
        <is>
          <t>taxonomic_containment</t>
        </is>
      </c>
      <c r="J241" t="n">
        <v>24335.411</v>
      </c>
      <c r="K241" t="n">
        <v>0.0063</v>
      </c>
      <c r="L241" s="6" t="inlineStr">
        <is>
          <t>Taxonomic containment in the source benthos subdivision (Appendix 6.1.5 pp.324-325), keeping non-cephalopod molluscs separate from echinoderms and sessile invertebrates.</t>
        </is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s="7" t="inlineStr">
        <is>
          <t>Juvenile large pelagic fish | Pelagic fish (&gt; 30 cm)</t>
        </is>
      </c>
      <c r="F242" t="inlineStr">
        <is>
          <t>0.202 | 0.798</t>
        </is>
      </c>
      <c r="G242" t="inlineStr">
        <is>
          <t>model_catch</t>
        </is>
      </c>
      <c r="H242" t="inlineStr">
        <is>
          <t>medium</t>
        </is>
      </c>
      <c r="I242" t="inlineStr">
        <is>
          <t>composite_split</t>
        </is>
      </c>
      <c r="J242" t="n">
        <v>23563.899</v>
      </c>
      <c r="K242" t="n">
        <v>0.0061</v>
      </c>
      <c r="L242" s="6" t="inlineStr">
        <is>
          <t>Analyst habitat/size inference to source &gt;30 cm pelagic fish (Appendix 6.1.24 p.339); no age data, so split juvenile/adult using the period model catch.</t>
        </is>
      </c>
    </row>
    <row r="243">
      <c r="A243" t="inlineStr">
        <is>
          <t>Istiophorus platypterus</t>
        </is>
      </c>
      <c r="B243" t="inlineStr">
        <is>
          <t>Indo-Pacific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s="9" t="inlineStr">
        <is>
          <t>Unresolved</t>
        </is>
      </c>
      <c r="F243" t="inlineStr"/>
      <c r="G243" t="inlineStr"/>
      <c r="H243" t="inlineStr">
        <is>
          <t>unresolved</t>
        </is>
      </c>
      <c r="I243" t="inlineStr">
        <is>
          <t>none</t>
        </is>
      </c>
      <c r="J243" t="n">
        <v>23341.264</v>
      </c>
      <c r="K243" t="n">
        <v>0.006</v>
      </c>
      <c r="L243" s="6" t="inlineStr">
        <is>
          <t>Northern continental-shelf model lacks a documented oceanic billfish or deep-pelagic compartment; assigning coastal juvenile/adult pelagic SPPR would be unsupported.</t>
        </is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s="8" t="inlineStr">
        <is>
          <t>Non-ceph molluscs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22196.523</v>
      </c>
      <c r="K244" t="n">
        <v>0.0057</v>
      </c>
      <c r="L244" s="6" t="inlineStr">
        <is>
          <t>Taxonomic containment in the source benthos subdivision (Appendix 6.1.5 pp.324-325), keeping non-cephalopod molluscs separate from echinoderms and sessile invertebrates.</t>
        </is>
      </c>
    </row>
    <row r="245">
      <c r="A245" t="inlineStr">
        <is>
          <t>Istiompax indica</t>
        </is>
      </c>
      <c r="B245" t="inlineStr">
        <is>
          <t>Black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s="9" t="inlineStr">
        <is>
          <t>Unresolved</t>
        </is>
      </c>
      <c r="F245" t="inlineStr"/>
      <c r="G245" t="inlineStr"/>
      <c r="H245" t="inlineStr">
        <is>
          <t>unresolved</t>
        </is>
      </c>
      <c r="I245" t="inlineStr">
        <is>
          <t>none</t>
        </is>
      </c>
      <c r="J245" t="n">
        <v>21703.939</v>
      </c>
      <c r="K245" t="n">
        <v>0.0056</v>
      </c>
      <c r="L245" s="6" t="inlineStr">
        <is>
          <t>Northern continental-shelf model lacks a documented oceanic billfish or deep-pelagic compartment; assigning coastal juvenile/adult pelagic SPPR would be unsupported.</t>
        </is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s="5" t="inlineStr">
        <is>
          <t>Pelagic fish (≤ 30 cm) | Juvenile large pelagic fish | Pelagic fish (&gt; 30 cm)</t>
        </is>
      </c>
      <c r="F246" t="inlineStr">
        <is>
          <t>0.754 | 0.050 | 0.196</t>
        </is>
      </c>
      <c r="G246" t="inlineStr">
        <is>
          <t>model_catch</t>
        </is>
      </c>
      <c r="H246" t="inlineStr">
        <is>
          <t>low</t>
        </is>
      </c>
      <c r="I246" t="inlineStr">
        <is>
          <t>composite_split</t>
        </is>
      </c>
      <c r="J246" t="n">
        <v>20944.814</v>
      </c>
      <c r="K246" t="n">
        <v>0.0054</v>
      </c>
      <c r="L246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</row>
    <row r="247">
      <c r="A247" t="inlineStr">
        <is>
          <t>Sardinella zunasi</t>
        </is>
      </c>
      <c r="B247" t="inlineStr">
        <is>
          <t>Japanese sardinella</t>
        </is>
      </c>
      <c r="C247" t="inlineStr">
        <is>
          <t>Small pelagics (&lt;30 cm)</t>
        </is>
      </c>
      <c r="D247" t="inlineStr">
        <is>
          <t>Herring-likes</t>
        </is>
      </c>
      <c r="E247" s="7" t="inlineStr">
        <is>
          <t>Pelagic fish (≤ 30 cm)</t>
        </is>
      </c>
      <c r="F247" t="inlineStr"/>
      <c r="G247" t="inlineStr"/>
      <c r="H247" t="inlineStr">
        <is>
          <t>medium</t>
        </is>
      </c>
      <c r="I247" t="inlineStr">
        <is>
          <t>habitat_size_guild</t>
        </is>
      </c>
      <c r="J247" t="n">
        <v>20915.65</v>
      </c>
      <c r="K247" t="n">
        <v>0.0054</v>
      </c>
      <c r="L24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8">
      <c r="A248" t="inlineStr">
        <is>
          <t>Muraenidae</t>
        </is>
      </c>
      <c r="B248" t="inlineStr">
        <is>
          <t>Moray eels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s="7" t="inlineStr">
        <is>
          <t>Juvenile demersal fish (&gt; 30 cm) | Adult demersal fish (&gt; 30 cm)</t>
        </is>
      </c>
      <c r="F248" t="inlineStr">
        <is>
          <t>0.200 | 0.800</t>
        </is>
      </c>
      <c r="G248" t="inlineStr">
        <is>
          <t>model_catch</t>
        </is>
      </c>
      <c r="H248" t="inlineStr">
        <is>
          <t>medium</t>
        </is>
      </c>
      <c r="I248" t="inlineStr">
        <is>
          <t>composite_split</t>
        </is>
      </c>
      <c r="J248" t="n">
        <v>20766.035</v>
      </c>
      <c r="K248" t="n">
        <v>0.0054</v>
      </c>
      <c r="L2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49">
      <c r="A249" t="inlineStr">
        <is>
          <t>Rachycentron canadum</t>
        </is>
      </c>
      <c r="B249" t="inlineStr">
        <is>
          <t>Cobia</t>
        </is>
      </c>
      <c r="C249" t="inlineStr">
        <is>
          <t>Large pelagics (&gt;=90 cm)</t>
        </is>
      </c>
      <c r="D249" t="inlineStr">
        <is>
          <t>Perch-likes</t>
        </is>
      </c>
      <c r="E249" s="7" t="inlineStr">
        <is>
          <t>Juvenile large pelagic fish | Pelagic fish (&gt; 30 cm)</t>
        </is>
      </c>
      <c r="F249" t="inlineStr">
        <is>
          <t>0.202 | 0.798</t>
        </is>
      </c>
      <c r="G249" t="inlineStr">
        <is>
          <t>model_catch</t>
        </is>
      </c>
      <c r="H249" t="inlineStr">
        <is>
          <t>medium</t>
        </is>
      </c>
      <c r="I249" t="inlineStr">
        <is>
          <t>composite_split</t>
        </is>
      </c>
      <c r="J249" t="n">
        <v>20754.162</v>
      </c>
      <c r="K249" t="n">
        <v>0.0054</v>
      </c>
      <c r="L249" s="6" t="inlineStr">
        <is>
          <t>Analyst habitat/size inference to source &gt;30 cm pelagic fish (Appendix 6.1.24 p.339); no age data, so split juvenile/adult using the period model catch.</t>
        </is>
      </c>
    </row>
    <row r="250">
      <c r="A250" t="inlineStr">
        <is>
          <t>Mierspenaeopsis hardwickii</t>
        </is>
      </c>
      <c r="B250" t="inlineStr">
        <is>
          <t>Spear shrimp</t>
        </is>
      </c>
      <c r="C250" t="inlineStr">
        <is>
          <t>Shrimps</t>
        </is>
      </c>
      <c r="D250" t="inlineStr">
        <is>
          <t>Crustaceans</t>
        </is>
      </c>
      <c r="E250" s="8" t="inlineStr">
        <is>
          <t>Shrimps</t>
        </is>
      </c>
      <c r="F250" t="inlineStr"/>
      <c r="G250" t="inlineStr"/>
      <c r="H250" t="inlineStr">
        <is>
          <t>high</t>
        </is>
      </c>
      <c r="I250" t="inlineStr">
        <is>
          <t>taxonomic_containment</t>
        </is>
      </c>
      <c r="J250" t="n">
        <v>19835.727</v>
      </c>
      <c r="K250" t="n">
        <v>0.0051</v>
      </c>
      <c r="L250" s="6" t="inlineStr">
        <is>
          <t>Stomatopods belong to the residual benthic crustaceans; other shrimp taxa belong to Shrimps after the explicitly separated Acetes records (Appendix 6.1 pp.323-326).</t>
        </is>
      </c>
    </row>
    <row r="251">
      <c r="A251" t="inlineStr">
        <is>
          <t>Ibacus ciliatus</t>
        </is>
      </c>
      <c r="B251" t="inlineStr">
        <is>
          <t>Sand Crayfish</t>
        </is>
      </c>
      <c r="C251" t="inlineStr">
        <is>
          <t>Lobsters, crabs</t>
        </is>
      </c>
      <c r="D251" t="inlineStr">
        <is>
          <t>Crustaceans</t>
        </is>
      </c>
      <c r="E251" s="8" t="inlineStr">
        <is>
          <t>Benthic crustaceans</t>
        </is>
      </c>
      <c r="F251" t="inlineStr"/>
      <c r="G251" t="inlineStr"/>
      <c r="H251" t="inlineStr">
        <is>
          <t>high</t>
        </is>
      </c>
      <c r="I251" t="inlineStr">
        <is>
          <t>taxonomic_containment</t>
        </is>
      </c>
      <c r="J251" t="n">
        <v>19683.139</v>
      </c>
      <c r="K251" t="n">
        <v>0.0051</v>
      </c>
      <c r="L251" s="6" t="inlineStr">
        <is>
          <t>Source benthic crustaceans exclude shrimps and crabs (Appendix 6.1.5 p.324); lobsters remain in that residual, while true crabs use Crabs.</t>
        </is>
      </c>
    </row>
    <row r="252">
      <c r="A252" t="inlineStr">
        <is>
          <t>Istiophoridae</t>
        </is>
      </c>
      <c r="B252" t="inlineStr">
        <is>
          <t>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s="9" t="inlineStr">
        <is>
          <t>Unresolved</t>
        </is>
      </c>
      <c r="F252" t="inlineStr"/>
      <c r="G252" t="inlineStr"/>
      <c r="H252" t="inlineStr">
        <is>
          <t>unresolved</t>
        </is>
      </c>
      <c r="I252" t="inlineStr">
        <is>
          <t>none</t>
        </is>
      </c>
      <c r="J252" t="n">
        <v>19283.905</v>
      </c>
      <c r="K252" t="n">
        <v>0.005</v>
      </c>
      <c r="L252" s="6" t="inlineStr">
        <is>
          <t>Northern continental-shelf model lacks a documented oceanic billfish or deep-pelagic compartment; assigning coastal juvenile/adult pelagic SPPR would be unsupported.</t>
        </is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s="8" t="inlineStr">
        <is>
          <t>Benthic crustaceans</t>
        </is>
      </c>
      <c r="F253" t="inlineStr"/>
      <c r="G253" t="inlineStr"/>
      <c r="H253" t="inlineStr">
        <is>
          <t>high</t>
        </is>
      </c>
      <c r="I253" t="inlineStr">
        <is>
          <t>taxonomic_containment</t>
        </is>
      </c>
      <c r="J253" t="n">
        <v>19219.693</v>
      </c>
      <c r="K253" t="n">
        <v>0.005</v>
      </c>
      <c r="L253" s="6" t="inlineStr">
        <is>
          <t>Source benthic crustaceans exclude shrimps and crabs (Appendix 6.1.5 p.324); lobsters remain in that residual, while true crabs use Crabs.</t>
        </is>
      </c>
    </row>
    <row r="254">
      <c r="A254" t="inlineStr">
        <is>
          <t>Mierspenaeopsis sculptilis</t>
        </is>
      </c>
      <c r="B254" t="inlineStr">
        <is>
          <t>Rainbow shrimp</t>
        </is>
      </c>
      <c r="C254" t="inlineStr">
        <is>
          <t>Shrimps</t>
        </is>
      </c>
      <c r="D254" t="inlineStr">
        <is>
          <t>Crustaceans</t>
        </is>
      </c>
      <c r="E254" s="8" t="inlineStr">
        <is>
          <t>Shrimps</t>
        </is>
      </c>
      <c r="F254" t="inlineStr"/>
      <c r="G254" t="inlineStr"/>
      <c r="H254" t="inlineStr">
        <is>
          <t>high</t>
        </is>
      </c>
      <c r="I254" t="inlineStr">
        <is>
          <t>taxonomic_containment</t>
        </is>
      </c>
      <c r="J254" t="n">
        <v>17707.035</v>
      </c>
      <c r="K254" t="n">
        <v>0.0046</v>
      </c>
      <c r="L254" s="6" t="inlineStr">
        <is>
          <t>Stomatopods belong to the residual benthic crustaceans; other shrimp taxa belong to Shrimps after the explicitly separated Acetes records (Appendix 6.1 pp.323-326).</t>
        </is>
      </c>
    </row>
    <row r="255">
      <c r="A255" t="inlineStr">
        <is>
          <t>Acanthurus</t>
        </is>
      </c>
      <c r="B255" t="inlineStr">
        <is>
          <t>Surgeonfishes</t>
        </is>
      </c>
      <c r="C255" t="inlineStr">
        <is>
          <t>Small reef assoc. fish (&lt;30 cm)</t>
        </is>
      </c>
      <c r="D255" t="inlineStr">
        <is>
          <t>Perch-likes</t>
        </is>
      </c>
      <c r="E255" s="7" t="inlineStr">
        <is>
          <t>Demesral fish (≤ 30 cm)</t>
        </is>
      </c>
      <c r="F255" t="inlineStr"/>
      <c r="G255" t="inlineStr"/>
      <c r="H255" t="inlineStr">
        <is>
          <t>medium</t>
        </is>
      </c>
      <c r="I255" t="inlineStr">
        <is>
          <t>habitat_size_guild</t>
        </is>
      </c>
      <c r="J255" t="n">
        <v>17607.441</v>
      </c>
      <c r="K255" t="n">
        <v>0.0045</v>
      </c>
      <c r="L255" s="6" t="inlineStr">
        <is>
          <t>Analyst habitat/size inference: small demersal or reef-associated fish after excluding dedicated taxonomic groups, matching Appendix 6.1.19 &lt;=30 cm residual demersal pool.</t>
        </is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s="8" t="inlineStr">
        <is>
          <t>Benthic crustaceans</t>
        </is>
      </c>
      <c r="F256" t="inlineStr"/>
      <c r="G256" t="inlineStr"/>
      <c r="H256" t="inlineStr">
        <is>
          <t>high</t>
        </is>
      </c>
      <c r="I256" t="inlineStr">
        <is>
          <t>taxonomic_containment</t>
        </is>
      </c>
      <c r="J256" t="n">
        <v>17531.046</v>
      </c>
      <c r="K256" t="n">
        <v>0.0045</v>
      </c>
      <c r="L256" s="6" t="inlineStr">
        <is>
          <t>Source benthic crustaceans exclude shrimps and crabs (Appendix 6.1.5 p.324); lobsters remain in that residual, while true crabs use Crabs.</t>
        </is>
      </c>
    </row>
    <row r="257">
      <c r="A257" t="inlineStr">
        <is>
          <t>Terapontidae</t>
        </is>
      </c>
      <c r="B257" t="inlineStr">
        <is>
          <t>Grunters, tigerperches</t>
        </is>
      </c>
      <c r="C257" t="inlineStr">
        <is>
          <t>Medium demersals (30 - 89 cm)</t>
        </is>
      </c>
      <c r="D257" t="inlineStr">
        <is>
          <t>Perch-likes</t>
        </is>
      </c>
      <c r="E257" s="7" t="inlineStr">
        <is>
          <t>Juvenile demersal fish (&gt; 30 cm) | Adult demersal fish (&gt; 30 cm)</t>
        </is>
      </c>
      <c r="F257" t="inlineStr">
        <is>
          <t>0.200 | 0.800</t>
        </is>
      </c>
      <c r="G257" t="inlineStr">
        <is>
          <t>model_catch</t>
        </is>
      </c>
      <c r="H257" t="inlineStr">
        <is>
          <t>medium</t>
        </is>
      </c>
      <c r="I257" t="inlineStr">
        <is>
          <t>composite_split</t>
        </is>
      </c>
      <c r="J257" t="n">
        <v>16551.359</v>
      </c>
      <c r="K257" t="n">
        <v>0.0043</v>
      </c>
      <c r="L2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58">
      <c r="A258" t="inlineStr">
        <is>
          <t>Octopus vulgaris</t>
        </is>
      </c>
      <c r="B258" t="inlineStr">
        <is>
          <t>Common octopus</t>
        </is>
      </c>
      <c r="C258" t="inlineStr">
        <is>
          <t>Cephalopods</t>
        </is>
      </c>
      <c r="D258" t="inlineStr">
        <is>
          <t>Other fishes &amp; inverts</t>
        </is>
      </c>
      <c r="E258" s="8" t="inlineStr">
        <is>
          <t>Cephalopods</t>
        </is>
      </c>
      <c r="F258" t="inlineStr"/>
      <c r="G258" t="inlineStr"/>
      <c r="H258" t="inlineStr">
        <is>
          <t>high</t>
        </is>
      </c>
      <c r="I258" t="inlineStr">
        <is>
          <t>taxonomic_containment</t>
        </is>
      </c>
      <c r="J258" t="n">
        <v>16488.043</v>
      </c>
      <c r="K258" t="n">
        <v>0.0043</v>
      </c>
      <c r="L258" s="6" t="inlineStr">
        <is>
          <t>Cephalopoda is contained by the single source Cephalopods group, Appendix 6.1.8 pp.326-327.</t>
        </is>
      </c>
    </row>
    <row r="259">
      <c r="A259" t="inlineStr">
        <is>
          <t>Solenocera crassicornis</t>
        </is>
      </c>
      <c r="B259" t="inlineStr">
        <is>
          <t>Coastal mud shrimp</t>
        </is>
      </c>
      <c r="C259" t="inlineStr">
        <is>
          <t>Shrimps</t>
        </is>
      </c>
      <c r="D259" t="inlineStr">
        <is>
          <t>Crustaceans</t>
        </is>
      </c>
      <c r="E259" s="8" t="inlineStr">
        <is>
          <t>Shrimps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16465.839</v>
      </c>
      <c r="K259" t="n">
        <v>0.0042</v>
      </c>
      <c r="L259" s="6" t="inlineStr">
        <is>
          <t>Stomatopods belong to the residual benthic crustaceans; other shrimp taxa belong to Shrimps after the explicitly separated Acetes records (Appendix 6.1 pp.323-326).</t>
        </is>
      </c>
    </row>
    <row r="260">
      <c r="A260" t="inlineStr">
        <is>
          <t>Thunnus alalunga</t>
        </is>
      </c>
      <c r="B260" t="inlineStr">
        <is>
          <t>Albacore</t>
        </is>
      </c>
      <c r="C260" t="inlineStr">
        <is>
          <t>Large pelagics (&gt;=90 cm)</t>
        </is>
      </c>
      <c r="D260" t="inlineStr">
        <is>
          <t>Tuna &amp; billfishes</t>
        </is>
      </c>
      <c r="E260" s="7" t="inlineStr">
        <is>
          <t>Juvenile large pelagic fish | Pelagic fish (&gt; 30 cm)</t>
        </is>
      </c>
      <c r="F260" t="inlineStr">
        <is>
          <t>0.202 | 0.798</t>
        </is>
      </c>
      <c r="G260" t="inlineStr">
        <is>
          <t>model_catch</t>
        </is>
      </c>
      <c r="H260" t="inlineStr">
        <is>
          <t>medium</t>
        </is>
      </c>
      <c r="I260" t="inlineStr">
        <is>
          <t>composite_split</t>
        </is>
      </c>
      <c r="J260" t="n">
        <v>15291.709</v>
      </c>
      <c r="K260" t="n">
        <v>0.0039</v>
      </c>
      <c r="L260" s="6" t="inlineStr">
        <is>
          <t>Analyst habitat/size inference to source &gt;30 cm pelagic fish (Appendix 6.1.24 p.339); no age data, so split juvenile/adult using the period model catch.</t>
        </is>
      </c>
    </row>
    <row r="261">
      <c r="A261" t="inlineStr">
        <is>
          <t>Scorpaenidae</t>
        </is>
      </c>
      <c r="B261" t="inlineStr">
        <is>
          <t>Scorpionfishes, rockfishes</t>
        </is>
      </c>
      <c r="C261" t="inlineStr">
        <is>
          <t>Large reef assoc. fish (&gt;=90 cm)</t>
        </is>
      </c>
      <c r="D261" t="inlineStr">
        <is>
          <t>Scorpionfishes</t>
        </is>
      </c>
      <c r="E261" s="7" t="inlineStr">
        <is>
          <t>Juvenile demersal fish (&gt; 30 cm) | Adult demersal fish (&gt; 30 cm)</t>
        </is>
      </c>
      <c r="F261" t="inlineStr">
        <is>
          <t>0.200 | 0.800</t>
        </is>
      </c>
      <c r="G261" t="inlineStr">
        <is>
          <t>model_catch</t>
        </is>
      </c>
      <c r="H261" t="inlineStr">
        <is>
          <t>medium</t>
        </is>
      </c>
      <c r="I261" t="inlineStr">
        <is>
          <t>composite_split</t>
        </is>
      </c>
      <c r="J261" t="n">
        <v>15243.441</v>
      </c>
      <c r="K261" t="n">
        <v>0.0039</v>
      </c>
      <c r="L2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2">
      <c r="A262" t="inlineStr">
        <is>
          <t>Carcharhinus falciformis</t>
        </is>
      </c>
      <c r="B262" t="inlineStr">
        <is>
          <t>Silky shark</t>
        </is>
      </c>
      <c r="C262" t="inlineStr">
        <is>
          <t>Large sharks (&gt;=90 cm)</t>
        </is>
      </c>
      <c r="D262" t="inlineStr">
        <is>
          <t>Sharks &amp; rays</t>
        </is>
      </c>
      <c r="E262" s="7" t="inlineStr">
        <is>
          <t>Pelagic sharks and rays</t>
        </is>
      </c>
      <c r="F262" t="inlineStr"/>
      <c r="G262" t="inlineStr"/>
      <c r="H262" t="inlineStr">
        <is>
          <t>medium</t>
        </is>
      </c>
      <c r="I262" t="inlineStr">
        <is>
          <t>habitat_size_guild</t>
        </is>
      </c>
      <c r="J262" t="n">
        <v>14833.368</v>
      </c>
      <c r="K262" t="n">
        <v>0.0038</v>
      </c>
      <c r="L262" s="6" t="inlineStr">
        <is>
          <t>Pelagic shark lineage matches the pelagic elasmobranch definition, Appendix 6.1.25 p.340; species placement is analyst inference.</t>
        </is>
      </c>
    </row>
    <row r="263">
      <c r="A263" t="inlineStr">
        <is>
          <t>Metapenaeus affinis</t>
        </is>
      </c>
      <c r="B263" t="inlineStr">
        <is>
          <t>Jinga shrimp</t>
        </is>
      </c>
      <c r="C263" t="inlineStr">
        <is>
          <t>Shrimps</t>
        </is>
      </c>
      <c r="D263" t="inlineStr">
        <is>
          <t>Crustaceans</t>
        </is>
      </c>
      <c r="E263" s="8" t="inlineStr">
        <is>
          <t>Shrimps</t>
        </is>
      </c>
      <c r="F263" t="inlineStr"/>
      <c r="G263" t="inlineStr"/>
      <c r="H263" t="inlineStr">
        <is>
          <t>high</t>
        </is>
      </c>
      <c r="I263" t="inlineStr">
        <is>
          <t>taxonomic_containment</t>
        </is>
      </c>
      <c r="J263" t="n">
        <v>14209.515</v>
      </c>
      <c r="K263" t="n">
        <v>0.0037</v>
      </c>
      <c r="L263" s="6" t="inlineStr">
        <is>
          <t>Stomatopods belong to the residual benthic crustaceans; other shrimp taxa belong to Shrimps after the explicitly separated Acetes records (Appendix 6.1 pp.323-326).</t>
        </is>
      </c>
    </row>
    <row r="264">
      <c r="A264" t="inlineStr">
        <is>
          <t>Marine groundfishes not identified</t>
        </is>
      </c>
      <c r="B264" t="inlineStr">
        <is>
          <t>Groundfishes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s="5" t="inlineStr">
        <is>
          <t>Demesral fish (≤ 30 cm) | Juvenile demersal fish (&gt; 30 cm) | Adult demersal fish (&gt; 30 cm)</t>
        </is>
      </c>
      <c r="F264" t="inlineStr">
        <is>
          <t>0.386 | 0.123 | 0.491</t>
        </is>
      </c>
      <c r="G264" t="inlineStr">
        <is>
          <t>model_catch</t>
        </is>
      </c>
      <c r="H264" t="inlineStr">
        <is>
          <t>low</t>
        </is>
      </c>
      <c r="I264" t="inlineStr">
        <is>
          <t>composite_split</t>
        </is>
      </c>
      <c r="J264" t="n">
        <v>14183.877</v>
      </c>
      <c r="K264" t="n">
        <v>0.0037</v>
      </c>
      <c r="L26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65">
      <c r="A265" t="inlineStr">
        <is>
          <t>Sardinella albella</t>
        </is>
      </c>
      <c r="B265" t="inlineStr">
        <is>
          <t>White sardinella</t>
        </is>
      </c>
      <c r="C265" t="inlineStr">
        <is>
          <t>Small reef assoc. fish (&lt;30 cm)</t>
        </is>
      </c>
      <c r="D265" t="inlineStr">
        <is>
          <t>Herring-likes</t>
        </is>
      </c>
      <c r="E265" s="7" t="inlineStr">
        <is>
          <t>Pelagic fish (≤ 30 cm)</t>
        </is>
      </c>
      <c r="F265" t="inlineStr"/>
      <c r="G265" t="inlineStr"/>
      <c r="H265" t="inlineStr">
        <is>
          <t>medium</t>
        </is>
      </c>
      <c r="I265" t="inlineStr">
        <is>
          <t>habitat_size_guild</t>
        </is>
      </c>
      <c r="J265" t="n">
        <v>13862.136</v>
      </c>
      <c r="K265" t="n">
        <v>0.0036</v>
      </c>
      <c r="L26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66">
      <c r="A266" t="inlineStr">
        <is>
          <t>Placuna placenta</t>
        </is>
      </c>
      <c r="B266" t="inlineStr">
        <is>
          <t>Windowpane oyster</t>
        </is>
      </c>
      <c r="C266" t="inlineStr">
        <is>
          <t>Other demersal invertebrates</t>
        </is>
      </c>
      <c r="D266" t="inlineStr">
        <is>
          <t>Molluscs</t>
        </is>
      </c>
      <c r="E266" s="8" t="inlineStr">
        <is>
          <t>Non-ceph molluscs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13498.128</v>
      </c>
      <c r="K266" t="n">
        <v>0.0035</v>
      </c>
      <c r="L266" s="6" t="inlineStr">
        <is>
          <t>Taxonomic containment in the source benthos subdivision (Appendix 6.1.5 pp.324-325), keeping non-cephalopod molluscs separate from echinoderms and sessile invertebrates.</t>
        </is>
      </c>
    </row>
    <row r="267">
      <c r="A267" t="inlineStr">
        <is>
          <t>Scaridae</t>
        </is>
      </c>
      <c r="B267" t="inlineStr">
        <is>
          <t>Parrotfishes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s="7" t="inlineStr">
        <is>
          <t>Juvenile demersal fish (&gt; 30 cm) | Adult demersal fish (&gt; 30 cm)</t>
        </is>
      </c>
      <c r="F267" t="inlineStr">
        <is>
          <t>0.200 | 0.800</t>
        </is>
      </c>
      <c r="G267" t="inlineStr">
        <is>
          <t>model_catch</t>
        </is>
      </c>
      <c r="H267" t="inlineStr">
        <is>
          <t>medium</t>
        </is>
      </c>
      <c r="I267" t="inlineStr">
        <is>
          <t>composite_split</t>
        </is>
      </c>
      <c r="J267" t="n">
        <v>13212.304</v>
      </c>
      <c r="K267" t="n">
        <v>0.0034</v>
      </c>
      <c r="L2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8">
      <c r="A268" t="inlineStr">
        <is>
          <t>Seriolina nigrofasciata</t>
        </is>
      </c>
      <c r="B268" t="inlineStr">
        <is>
          <t>Blackbanded trevally</t>
        </is>
      </c>
      <c r="C268" t="inlineStr">
        <is>
          <t>Medium reef assoc. fish (30 - 89 cm)</t>
        </is>
      </c>
      <c r="D268" t="inlineStr">
        <is>
          <t>Perch-likes</t>
        </is>
      </c>
      <c r="E268" s="7" t="inlineStr">
        <is>
          <t>Juvenile large pelagic fish | Pelagic fish (&gt; 30 cm)</t>
        </is>
      </c>
      <c r="F268" t="inlineStr">
        <is>
          <t>0.202 | 0.798</t>
        </is>
      </c>
      <c r="G268" t="inlineStr">
        <is>
          <t>model_catch</t>
        </is>
      </c>
      <c r="H268" t="inlineStr">
        <is>
          <t>medium</t>
        </is>
      </c>
      <c r="I268" t="inlineStr">
        <is>
          <t>composite_split</t>
        </is>
      </c>
      <c r="J268" t="n">
        <v>12661.116</v>
      </c>
      <c r="K268" t="n">
        <v>0.0033</v>
      </c>
      <c r="L26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69">
      <c r="A269" t="inlineStr">
        <is>
          <t>Saurida undosquamis</t>
        </is>
      </c>
      <c r="B269" t="inlineStr">
        <is>
          <t>Brushtooth lizardfish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s="8" t="inlineStr">
        <is>
          <t>Lizard fish (synodontids)</t>
        </is>
      </c>
      <c r="F269" t="inlineStr"/>
      <c r="G269" t="inlineStr"/>
      <c r="H269" t="inlineStr">
        <is>
          <t>high</t>
        </is>
      </c>
      <c r="I269" t="inlineStr">
        <is>
          <t>explicit_member</t>
        </is>
      </c>
      <c r="J269" t="n">
        <v>12120.406</v>
      </c>
      <c r="K269" t="n">
        <v>0.0031</v>
      </c>
      <c r="L269" s="6" t="inlineStr">
        <is>
          <t>Appendix 6.1 pp.327-335 defines Lizard fish (synodontids) by this family or explicitly names Saurida undosquamis; dedicated source placement overrides the SAU class Medium demersals (30 - 89 cm).</t>
        </is>
      </c>
    </row>
    <row r="270">
      <c r="A270" t="inlineStr">
        <is>
          <t>Atule mate</t>
        </is>
      </c>
      <c r="B270" t="inlineStr">
        <is>
          <t>Yellowtail scad</t>
        </is>
      </c>
      <c r="C270" t="inlineStr">
        <is>
          <t>Small pelagics (&lt;30 cm)</t>
        </is>
      </c>
      <c r="D270" t="inlineStr">
        <is>
          <t>Perch-likes</t>
        </is>
      </c>
      <c r="E270" s="7" t="inlineStr">
        <is>
          <t>Pelagic fish (≤ 30 cm)</t>
        </is>
      </c>
      <c r="F270" t="inlineStr"/>
      <c r="G270" t="inlineStr"/>
      <c r="H270" t="inlineStr">
        <is>
          <t>medium</t>
        </is>
      </c>
      <c r="I270" t="inlineStr">
        <is>
          <t>habitat_size_guild</t>
        </is>
      </c>
      <c r="J270" t="n">
        <v>11736.971</v>
      </c>
      <c r="K270" t="n">
        <v>0.003</v>
      </c>
      <c r="L270" s="6" t="inlineStr">
        <is>
          <t>Analyst habitat/size inference: SAU small-pelagic class matches the source &lt;=30 cm pelagic pool after dedicated source taxa were handled (Appendix 6.1.23 p.338).</t>
        </is>
      </c>
    </row>
    <row r="271">
      <c r="A271" t="inlineStr">
        <is>
          <t>Scarus</t>
        </is>
      </c>
      <c r="B271" t="inlineStr">
        <is>
          <t>Parrots</t>
        </is>
      </c>
      <c r="C271" t="inlineStr">
        <is>
          <t>Medium reef assoc. fish (30 - 89 cm)</t>
        </is>
      </c>
      <c r="D271" t="inlineStr">
        <is>
          <t>Perch-likes</t>
        </is>
      </c>
      <c r="E271" s="7" t="inlineStr">
        <is>
          <t>Juvenile demersal fish (&gt; 30 cm) | Adult demersal fish (&gt; 30 cm)</t>
        </is>
      </c>
      <c r="F271" t="inlineStr">
        <is>
          <t>0.200 | 0.800</t>
        </is>
      </c>
      <c r="G271" t="inlineStr">
        <is>
          <t>model_catch</t>
        </is>
      </c>
      <c r="H271" t="inlineStr">
        <is>
          <t>medium</t>
        </is>
      </c>
      <c r="I271" t="inlineStr">
        <is>
          <t>composite_split</t>
        </is>
      </c>
      <c r="J271" t="n">
        <v>11669.973</v>
      </c>
      <c r="K271" t="n">
        <v>0.003</v>
      </c>
      <c r="L27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s="7" t="inlineStr">
        <is>
          <t>Juvenile large pelagic fish | Pelagic fish (&gt; 30 cm)</t>
        </is>
      </c>
      <c r="F272" t="inlineStr">
        <is>
          <t>0.202 | 0.798</t>
        </is>
      </c>
      <c r="G272" t="inlineStr">
        <is>
          <t>model_catch</t>
        </is>
      </c>
      <c r="H272" t="inlineStr">
        <is>
          <t>medium</t>
        </is>
      </c>
      <c r="I272" t="inlineStr">
        <is>
          <t>composite_split</t>
        </is>
      </c>
      <c r="J272" t="n">
        <v>11596.064</v>
      </c>
      <c r="K272" t="n">
        <v>0.003</v>
      </c>
      <c r="L272" s="6" t="inlineStr">
        <is>
          <t>Analyst habitat/size inference to source &gt;30 cm pelagic fish (Appendix 6.1.24 p.339); no age data, so split juvenile/adult using the period model catch.</t>
        </is>
      </c>
    </row>
    <row r="273">
      <c r="A273" t="inlineStr">
        <is>
          <t>Ruditapes philippinarum</t>
        </is>
      </c>
      <c r="B273" t="inlineStr">
        <is>
          <t>Japanese carpet shell</t>
        </is>
      </c>
      <c r="C273" t="inlineStr">
        <is>
          <t>Other demersal invertebrates</t>
        </is>
      </c>
      <c r="D273" t="inlineStr">
        <is>
          <t>Molluscs</t>
        </is>
      </c>
      <c r="E273" s="8" t="inlineStr">
        <is>
          <t>Non-ceph molluscs</t>
        </is>
      </c>
      <c r="F273" t="inlineStr"/>
      <c r="G273" t="inlineStr"/>
      <c r="H273" t="inlineStr">
        <is>
          <t>high</t>
        </is>
      </c>
      <c r="I273" t="inlineStr">
        <is>
          <t>taxonomic_containment</t>
        </is>
      </c>
      <c r="J273" t="n">
        <v>11438.522</v>
      </c>
      <c r="K273" t="n">
        <v>0.003</v>
      </c>
      <c r="L273" s="6" t="inlineStr">
        <is>
          <t>Taxonomic containment in the source benthos subdivision (Appendix 6.1.5 pp.324-325), keeping non-cephalopod molluscs separate from echinoderms and sessile invertebrates.</t>
        </is>
      </c>
    </row>
    <row r="274">
      <c r="A274" t="inlineStr">
        <is>
          <t>Metapenaeus tenuipes</t>
        </is>
      </c>
      <c r="B274" t="inlineStr">
        <is>
          <t>Stork shrimp</t>
        </is>
      </c>
      <c r="C274" t="inlineStr">
        <is>
          <t>Shrimps</t>
        </is>
      </c>
      <c r="D274" t="inlineStr">
        <is>
          <t>Crustaceans</t>
        </is>
      </c>
      <c r="E274" s="8" t="inlineStr">
        <is>
          <t>Shrimps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11158.1</v>
      </c>
      <c r="K274" t="n">
        <v>0.0029</v>
      </c>
      <c r="L274" s="6" t="inlineStr">
        <is>
          <t>Stomatopods belong to the residual benthic crustaceans; other shrimp taxa belong to Shrimps after the explicitly separated Acetes records (Appendix 6.1 pp.323-326).</t>
        </is>
      </c>
    </row>
    <row r="275">
      <c r="A275" t="inlineStr">
        <is>
          <t>Acanthocybium solandri</t>
        </is>
      </c>
      <c r="B275" t="inlineStr">
        <is>
          <t>Wahoo</t>
        </is>
      </c>
      <c r="C275" t="inlineStr">
        <is>
          <t>Large pelagics (&gt;=90 cm)</t>
        </is>
      </c>
      <c r="D275" t="inlineStr">
        <is>
          <t>Perch-likes</t>
        </is>
      </c>
      <c r="E275" s="7" t="inlineStr">
        <is>
          <t>Juvenile large pelagic fish | Pelagic fish (&gt; 30 cm)</t>
        </is>
      </c>
      <c r="F275" t="inlineStr">
        <is>
          <t>0.202 | 0.798</t>
        </is>
      </c>
      <c r="G275" t="inlineStr">
        <is>
          <t>model_catch</t>
        </is>
      </c>
      <c r="H275" t="inlineStr">
        <is>
          <t>medium</t>
        </is>
      </c>
      <c r="I275" t="inlineStr">
        <is>
          <t>composite_split</t>
        </is>
      </c>
      <c r="J275" t="n">
        <v>10923.631</v>
      </c>
      <c r="K275" t="n">
        <v>0.0028</v>
      </c>
      <c r="L275" s="6" t="inlineStr">
        <is>
          <t>Analyst habitat/size inference to source &gt;30 cm pelagic fish (Appendix 6.1.24 p.339); no age data, so split juvenile/adult using the period model catch.</t>
        </is>
      </c>
    </row>
    <row r="276">
      <c r="A276" t="inlineStr">
        <is>
          <t>Acanthopagrus schlegelii</t>
        </is>
      </c>
      <c r="B276" t="inlineStr">
        <is>
          <t>Blackhead seabream</t>
        </is>
      </c>
      <c r="C276" t="inlineStr">
        <is>
          <t>Medium demersals (30 - 89 cm)</t>
        </is>
      </c>
      <c r="D276" t="inlineStr">
        <is>
          <t>Perch-likes</t>
        </is>
      </c>
      <c r="E276" s="7" t="inlineStr">
        <is>
          <t>Juvenile demersal fish (&gt; 30 cm) | Adult demersal fish (&gt; 30 cm)</t>
        </is>
      </c>
      <c r="F276" t="inlineStr">
        <is>
          <t>0.200 | 0.800</t>
        </is>
      </c>
      <c r="G276" t="inlineStr">
        <is>
          <t>model_catch</t>
        </is>
      </c>
      <c r="H276" t="inlineStr">
        <is>
          <t>medium</t>
        </is>
      </c>
      <c r="I276" t="inlineStr">
        <is>
          <t>composite_split</t>
        </is>
      </c>
      <c r="J276" t="n">
        <v>10716.315</v>
      </c>
      <c r="K276" t="n">
        <v>0.0028</v>
      </c>
      <c r="L2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7">
      <c r="A277" t="inlineStr">
        <is>
          <t>Lobotes surinamensis</t>
        </is>
      </c>
      <c r="B277" t="inlineStr">
        <is>
          <t>Tripletail</t>
        </is>
      </c>
      <c r="C277" t="inlineStr">
        <is>
          <t>Large benthopelagics (&gt;=90 cm)</t>
        </is>
      </c>
      <c r="D277" t="inlineStr">
        <is>
          <t>Perch-likes</t>
        </is>
      </c>
      <c r="E277" s="5" t="inlineStr">
        <is>
          <t>Benthopelagic fish</t>
        </is>
      </c>
      <c r="F277" t="inlineStr"/>
      <c r="G277" t="inlineStr"/>
      <c r="H277" t="inlineStr">
        <is>
          <t>low</t>
        </is>
      </c>
      <c r="I277" t="inlineStr">
        <is>
          <t>habitat_size_guild</t>
        </is>
      </c>
      <c r="J277" t="n">
        <v>10347.218</v>
      </c>
      <c r="K277" t="n">
        <v>0.0027</v>
      </c>
      <c r="L27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78">
      <c r="A278" t="inlineStr">
        <is>
          <t>Sepioteuthis lessoniana</t>
        </is>
      </c>
      <c r="B278" t="inlineStr">
        <is>
          <t>Bigfin reef squid</t>
        </is>
      </c>
      <c r="C278" t="inlineStr">
        <is>
          <t>Cephalopods</t>
        </is>
      </c>
      <c r="D278" t="inlineStr">
        <is>
          <t>Other fishes &amp; inverts</t>
        </is>
      </c>
      <c r="E278" s="8" t="inlineStr">
        <is>
          <t>Cephalopods</t>
        </is>
      </c>
      <c r="F278" t="inlineStr"/>
      <c r="G278" t="inlineStr"/>
      <c r="H278" t="inlineStr">
        <is>
          <t>high</t>
        </is>
      </c>
      <c r="I278" t="inlineStr">
        <is>
          <t>taxonomic_containment</t>
        </is>
      </c>
      <c r="J278" t="n">
        <v>10311.411</v>
      </c>
      <c r="K278" t="n">
        <v>0.0027</v>
      </c>
      <c r="L278" s="6" t="inlineStr">
        <is>
          <t>Cephalopoda is contained by the single source Cephalopods group, Appendix 6.1.8 pp.326-327.</t>
        </is>
      </c>
    </row>
    <row r="279">
      <c r="A279" t="inlineStr">
        <is>
          <t>Eleutheronema tetradactylum</t>
        </is>
      </c>
      <c r="B279" t="inlineStr">
        <is>
          <t>Fourfinger threadfin</t>
        </is>
      </c>
      <c r="C279" t="inlineStr">
        <is>
          <t>Large demersals (&gt;=90 cm)</t>
        </is>
      </c>
      <c r="D279" t="inlineStr">
        <is>
          <t>Perch-likes</t>
        </is>
      </c>
      <c r="E279" s="7" t="inlineStr">
        <is>
          <t>Juvenile demersal fish (&gt; 30 cm) | Adult demersal fish (&gt; 30 cm)</t>
        </is>
      </c>
      <c r="F279" t="inlineStr">
        <is>
          <t>0.200 | 0.800</t>
        </is>
      </c>
      <c r="G279" t="inlineStr">
        <is>
          <t>model_catch</t>
        </is>
      </c>
      <c r="H279" t="inlineStr">
        <is>
          <t>medium</t>
        </is>
      </c>
      <c r="I279" t="inlineStr">
        <is>
          <t>composite_split</t>
        </is>
      </c>
      <c r="J279" t="n">
        <v>9740.129999999999</v>
      </c>
      <c r="K279" t="n">
        <v>0.0025</v>
      </c>
      <c r="L2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0">
      <c r="A280" t="inlineStr">
        <is>
          <t>Scatophagus</t>
        </is>
      </c>
      <c r="B280" t="inlineStr">
        <is>
          <t>Scats</t>
        </is>
      </c>
      <c r="C280" t="inlineStr">
        <is>
          <t>Medium demersals (30 - 89 cm)</t>
        </is>
      </c>
      <c r="D280" t="inlineStr">
        <is>
          <t>Perch-likes</t>
        </is>
      </c>
      <c r="E280" s="7" t="inlineStr">
        <is>
          <t>Juvenile demersal fish (&gt; 30 cm) | Adult demersal fish (&gt; 30 cm)</t>
        </is>
      </c>
      <c r="F280" t="inlineStr">
        <is>
          <t>0.200 | 0.800</t>
        </is>
      </c>
      <c r="G280" t="inlineStr">
        <is>
          <t>model_catch</t>
        </is>
      </c>
      <c r="H280" t="inlineStr">
        <is>
          <t>medium</t>
        </is>
      </c>
      <c r="I280" t="inlineStr">
        <is>
          <t>composite_split</t>
        </is>
      </c>
      <c r="J280" t="n">
        <v>9252.174000000001</v>
      </c>
      <c r="K280" t="n">
        <v>0.0024</v>
      </c>
      <c r="L28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1">
      <c r="A281" t="inlineStr">
        <is>
          <t>Thunnus orientalis</t>
        </is>
      </c>
      <c r="B281" t="inlineStr">
        <is>
          <t>Pacific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s="7" t="inlineStr">
        <is>
          <t>Juvenile large pelagic fish | Pelagic fish (&gt; 30 cm)</t>
        </is>
      </c>
      <c r="F281" t="inlineStr">
        <is>
          <t>0.202 | 0.798</t>
        </is>
      </c>
      <c r="G281" t="inlineStr">
        <is>
          <t>model_catch</t>
        </is>
      </c>
      <c r="H281" t="inlineStr">
        <is>
          <t>medium</t>
        </is>
      </c>
      <c r="I281" t="inlineStr">
        <is>
          <t>composite_split</t>
        </is>
      </c>
      <c r="J281" t="n">
        <v>9130.268</v>
      </c>
      <c r="K281" t="n">
        <v>0.0024</v>
      </c>
      <c r="L281" s="6" t="inlineStr">
        <is>
          <t>Analyst habitat/size inference to source &gt;30 cm pelagic fish (Appendix 6.1.24 p.339); no age data, so split juvenile/adult using the period model catch.</t>
        </is>
      </c>
    </row>
    <row r="282">
      <c r="A282" t="inlineStr">
        <is>
          <t>Siganus canaliculatus</t>
        </is>
      </c>
      <c r="B282" t="inlineStr">
        <is>
          <t>White-spotted spinefoot</t>
        </is>
      </c>
      <c r="C282" t="inlineStr">
        <is>
          <t>Small reef assoc. fish (&lt;30 cm)</t>
        </is>
      </c>
      <c r="D282" t="inlineStr">
        <is>
          <t>Perch-likes</t>
        </is>
      </c>
      <c r="E282" s="7" t="inlineStr">
        <is>
          <t>Demesral fish (≤ 30 cm)</t>
        </is>
      </c>
      <c r="F282" t="inlineStr"/>
      <c r="G282" t="inlineStr"/>
      <c r="H282" t="inlineStr">
        <is>
          <t>medium</t>
        </is>
      </c>
      <c r="I282" t="inlineStr">
        <is>
          <t>habitat_size_guild</t>
        </is>
      </c>
      <c r="J282" t="n">
        <v>8874.617</v>
      </c>
      <c r="K282" t="n">
        <v>0.0023</v>
      </c>
      <c r="L282" s="6" t="inlineStr">
        <is>
          <t>Analyst habitat/size inference: small demersal or reef-associated fish after excluding dedicated taxonomic groups, matching Appendix 6.1.19 &lt;=30 cm residual demersal pool.</t>
        </is>
      </c>
    </row>
    <row r="283">
      <c r="A283" t="inlineStr">
        <is>
          <t>Polydactylus sexfilis</t>
        </is>
      </c>
      <c r="B283" t="inlineStr">
        <is>
          <t>Sixfinger threadfin</t>
        </is>
      </c>
      <c r="C283" t="inlineStr">
        <is>
          <t>Medium demersals (30 - 89 cm)</t>
        </is>
      </c>
      <c r="D283" t="inlineStr">
        <is>
          <t>Perch-likes</t>
        </is>
      </c>
      <c r="E283" s="7" t="inlineStr">
        <is>
          <t>Juvenile demersal fish (&gt; 30 cm) | Adult demersal fish (&gt; 30 cm)</t>
        </is>
      </c>
      <c r="F283" t="inlineStr">
        <is>
          <t>0.200 | 0.800</t>
        </is>
      </c>
      <c r="G283" t="inlineStr">
        <is>
          <t>model_catch</t>
        </is>
      </c>
      <c r="H283" t="inlineStr">
        <is>
          <t>medium</t>
        </is>
      </c>
      <c r="I283" t="inlineStr">
        <is>
          <t>composite_split</t>
        </is>
      </c>
      <c r="J283" t="n">
        <v>8212.799999999999</v>
      </c>
      <c r="K283" t="n">
        <v>0.0021</v>
      </c>
      <c r="L2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4">
      <c r="A284" t="inlineStr">
        <is>
          <t>Hilsa kelee</t>
        </is>
      </c>
      <c r="B284" t="inlineStr">
        <is>
          <t>Kelee shad</t>
        </is>
      </c>
      <c r="C284" t="inlineStr">
        <is>
          <t>Small pelagics (&lt;30 cm)</t>
        </is>
      </c>
      <c r="D284" t="inlineStr">
        <is>
          <t>Herring-likes</t>
        </is>
      </c>
      <c r="E284" s="7" t="inlineStr">
        <is>
          <t>Pelagic fish (≤ 30 cm)</t>
        </is>
      </c>
      <c r="F284" t="inlineStr"/>
      <c r="G284" t="inlineStr"/>
      <c r="H284" t="inlineStr">
        <is>
          <t>medium</t>
        </is>
      </c>
      <c r="I284" t="inlineStr">
        <is>
          <t>habitat_size_guild</t>
        </is>
      </c>
      <c r="J284" t="n">
        <v>8128.315</v>
      </c>
      <c r="K284" t="n">
        <v>0.0021</v>
      </c>
      <c r="L284" s="6" t="inlineStr">
        <is>
          <t>Analyst habitat/size inference: SAU small-pelagic class matches the source &lt;=30 cm pelagic pool after dedicated source taxa were handled (Appendix 6.1.23 p.338).</t>
        </is>
      </c>
    </row>
    <row r="285">
      <c r="A285" t="inlineStr">
        <is>
          <t>Thenus orientalis</t>
        </is>
      </c>
      <c r="B285" t="inlineStr">
        <is>
          <t>Flathead lobster</t>
        </is>
      </c>
      <c r="C285" t="inlineStr">
        <is>
          <t>Lobsters, crabs</t>
        </is>
      </c>
      <c r="D285" t="inlineStr">
        <is>
          <t>Crustaceans</t>
        </is>
      </c>
      <c r="E285" s="8" t="inlineStr">
        <is>
          <t>Benthic crustaceans</t>
        </is>
      </c>
      <c r="F285" t="inlineStr"/>
      <c r="G285" t="inlineStr"/>
      <c r="H285" t="inlineStr">
        <is>
          <t>high</t>
        </is>
      </c>
      <c r="I285" t="inlineStr">
        <is>
          <t>taxonomic_containment</t>
        </is>
      </c>
      <c r="J285" t="n">
        <v>7779.469</v>
      </c>
      <c r="K285" t="n">
        <v>0.002</v>
      </c>
      <c r="L285" s="6" t="inlineStr">
        <is>
          <t>Source benthic crustaceans exclude shrimps and crabs (Appendix 6.1.5 p.324); lobsters remain in that residual, while true crabs use Crabs.</t>
        </is>
      </c>
    </row>
    <row r="286">
      <c r="A286" t="inlineStr">
        <is>
          <t>Acetes sibogae</t>
        </is>
      </c>
      <c r="B286" t="inlineStr">
        <is>
          <t>Alamang shrimp</t>
        </is>
      </c>
      <c r="C286" t="inlineStr">
        <is>
          <t>Shrimps</t>
        </is>
      </c>
      <c r="D286" t="inlineStr">
        <is>
          <t>Crustaceans</t>
        </is>
      </c>
      <c r="E286" s="8" t="inlineStr">
        <is>
          <t>Zooplankton</t>
        </is>
      </c>
      <c r="F286" t="inlineStr"/>
      <c r="G286" t="inlineStr"/>
      <c r="H286" t="inlineStr">
        <is>
          <t>high</t>
        </is>
      </c>
      <c r="I286" t="inlineStr">
        <is>
          <t>explicit_member</t>
        </is>
      </c>
      <c r="J286" t="n">
        <v>7634.911</v>
      </c>
      <c r="K286" t="n">
        <v>0.002</v>
      </c>
      <c r="L286" s="6" t="inlineStr">
        <is>
          <t>Appendix 6.1.3 p.323 explicitly records Acetes spp. (Mo shrimp) catch in Zooplankton, overriding the SAU shrimp class.</t>
        </is>
      </c>
    </row>
    <row r="287">
      <c r="A287" t="inlineStr">
        <is>
          <t>Kajikia audax</t>
        </is>
      </c>
      <c r="B287" t="inlineStr">
        <is>
          <t>Striped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7428.343</v>
      </c>
      <c r="K287" t="n">
        <v>0.0019</v>
      </c>
      <c r="L287" s="6" t="inlineStr">
        <is>
          <t>Northern continental-shelf model lacks a documented oceanic billfish or deep-pelagic compartment; assigning coastal juvenile/adult pelagic SPPR would be unsupported.</t>
        </is>
      </c>
    </row>
    <row r="288">
      <c r="A288" t="inlineStr">
        <is>
          <t>Penaeus semisulcatus</t>
        </is>
      </c>
      <c r="B288" t="inlineStr">
        <is>
          <t>Green tiger prawn</t>
        </is>
      </c>
      <c r="C288" t="inlineStr">
        <is>
          <t>Shrimps</t>
        </is>
      </c>
      <c r="D288" t="inlineStr">
        <is>
          <t>Crustaceans</t>
        </is>
      </c>
      <c r="E288" s="8" t="inlineStr">
        <is>
          <t>Shrimps</t>
        </is>
      </c>
      <c r="F288" t="inlineStr"/>
      <c r="G288" t="inlineStr"/>
      <c r="H288" t="inlineStr">
        <is>
          <t>high</t>
        </is>
      </c>
      <c r="I288" t="inlineStr">
        <is>
          <t>taxonomic_containment</t>
        </is>
      </c>
      <c r="J288" t="n">
        <v>7114.411</v>
      </c>
      <c r="K288" t="n">
        <v>0.0018</v>
      </c>
      <c r="L288" s="6" t="inlineStr">
        <is>
          <t>Stomatopods belong to the residual benthic crustaceans; other shrimp taxa belong to Shrimps after the explicitly separated Acetes records (Appendix 6.1 pp.323-326).</t>
        </is>
      </c>
    </row>
    <row r="289">
      <c r="A289" t="inlineStr">
        <is>
          <t>Siganidae</t>
        </is>
      </c>
      <c r="B289" t="inlineStr">
        <is>
          <t>Rabbitfishes</t>
        </is>
      </c>
      <c r="C289" t="inlineStr">
        <is>
          <t>Medium reef assoc. fish (30 - 89 cm)</t>
        </is>
      </c>
      <c r="D289" t="inlineStr">
        <is>
          <t>Perch-likes</t>
        </is>
      </c>
      <c r="E289" s="7" t="inlineStr">
        <is>
          <t>Juvenile demersal fish (&gt; 30 cm) | Adult demersal fish (&gt; 30 cm)</t>
        </is>
      </c>
      <c r="F289" t="inlineStr">
        <is>
          <t>0.200 | 0.800</t>
        </is>
      </c>
      <c r="G289" t="inlineStr">
        <is>
          <t>model_catch</t>
        </is>
      </c>
      <c r="H289" t="inlineStr">
        <is>
          <t>medium</t>
        </is>
      </c>
      <c r="I289" t="inlineStr">
        <is>
          <t>composite_split</t>
        </is>
      </c>
      <c r="J289" t="n">
        <v>6713.755</v>
      </c>
      <c r="K289" t="n">
        <v>0.0017</v>
      </c>
      <c r="L2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90">
      <c r="A290" t="inlineStr">
        <is>
          <t>Gerres</t>
        </is>
      </c>
      <c r="B290" t="inlineStr">
        <is>
          <t>Silver biddies</t>
        </is>
      </c>
      <c r="C290" t="inlineStr">
        <is>
          <t>Small benthopelagics (&lt;30 cm)</t>
        </is>
      </c>
      <c r="D290" t="inlineStr">
        <is>
          <t>Perch-likes</t>
        </is>
      </c>
      <c r="E290" s="5" t="inlineStr">
        <is>
          <t>Benthopelagic fish</t>
        </is>
      </c>
      <c r="F290" t="inlineStr"/>
      <c r="G290" t="inlineStr"/>
      <c r="H290" t="inlineStr">
        <is>
          <t>low</t>
        </is>
      </c>
      <c r="I290" t="inlineStr">
        <is>
          <t>habitat_size_guild</t>
        </is>
      </c>
      <c r="J290" t="n">
        <v>6285.002</v>
      </c>
      <c r="K290" t="n">
        <v>0.0016</v>
      </c>
      <c r="L2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91">
      <c r="A291" t="inlineStr">
        <is>
          <t>Gnathanodon speciosus</t>
        </is>
      </c>
      <c r="B291" t="inlineStr">
        <is>
          <t>Golden trevally</t>
        </is>
      </c>
      <c r="C291" t="inlineStr">
        <is>
          <t>Large reef assoc. fish (&gt;=90 cm)</t>
        </is>
      </c>
      <c r="D291" t="inlineStr">
        <is>
          <t>Perch-likes</t>
        </is>
      </c>
      <c r="E291" s="7" t="inlineStr">
        <is>
          <t>Juvenile large pelagic fish | Pelagic fish (&gt; 30 cm)</t>
        </is>
      </c>
      <c r="F291" t="inlineStr">
        <is>
          <t>0.202 | 0.798</t>
        </is>
      </c>
      <c r="G291" t="inlineStr">
        <is>
          <t>model_catch</t>
        </is>
      </c>
      <c r="H291" t="inlineStr">
        <is>
          <t>medium</t>
        </is>
      </c>
      <c r="I291" t="inlineStr">
        <is>
          <t>composite_split</t>
        </is>
      </c>
      <c r="J291" t="n">
        <v>5965.227</v>
      </c>
      <c r="K291" t="n">
        <v>0.0015</v>
      </c>
      <c r="L29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92">
      <c r="A292" t="inlineStr">
        <is>
          <t>Epinephelus malabaricus</t>
        </is>
      </c>
      <c r="B292" t="inlineStr">
        <is>
          <t>Malabar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s="8" t="inlineStr">
        <is>
          <t>Adult groupers</t>
        </is>
      </c>
      <c r="F292" t="inlineStr"/>
      <c r="G292" t="inlineStr"/>
      <c r="H292" t="inlineStr">
        <is>
          <t>high</t>
        </is>
      </c>
      <c r="I292" t="inlineStr">
        <is>
          <t>taxonomic_containment</t>
        </is>
      </c>
      <c r="J292" t="n">
        <v>5061.698</v>
      </c>
      <c r="K292" t="n">
        <v>0.0013</v>
      </c>
      <c r="L292" s="6" t="inlineStr">
        <is>
          <t>Appendix 6.1 pp.327-335 defines Adult groupers by this family or explicitly names Epinephelus malabaricus; dedicated source placement overrides the SAU class Large reef assoc. fish (&gt;=90 cm).</t>
        </is>
      </c>
    </row>
    <row r="293">
      <c r="A293" t="inlineStr">
        <is>
          <t>Hyporhamphus</t>
        </is>
      </c>
      <c r="B293" t="inlineStr">
        <is>
          <t>Sea garfishes</t>
        </is>
      </c>
      <c r="C293" t="inlineStr">
        <is>
          <t>Small reef assoc. fish (&lt;30 cm)</t>
        </is>
      </c>
      <c r="D293" t="inlineStr">
        <is>
          <t>Other fishes &amp; inverts</t>
        </is>
      </c>
      <c r="E293" s="7" t="inlineStr">
        <is>
          <t>Juvenile large pelagic fish | Pelagic fish (&gt; 30 cm)</t>
        </is>
      </c>
      <c r="F293" t="inlineStr">
        <is>
          <t>0.202 | 0.798</t>
        </is>
      </c>
      <c r="G293" t="inlineStr">
        <is>
          <t>model_catch</t>
        </is>
      </c>
      <c r="H293" t="inlineStr">
        <is>
          <t>medium</t>
        </is>
      </c>
      <c r="I293" t="inlineStr">
        <is>
          <t>composite_split</t>
        </is>
      </c>
      <c r="J293" t="n">
        <v>4858.584</v>
      </c>
      <c r="K293" t="n">
        <v>0.0013</v>
      </c>
      <c r="L293" s="6" t="inlineStr">
        <is>
          <t>Analyst habitat/size inference to source &gt;30 cm pelagic fish (Appendix 6.1.24 p.339); no age data, so split juvenile/adult using the period model catch.</t>
        </is>
      </c>
    </row>
    <row r="294">
      <c r="A294" t="inlineStr">
        <is>
          <t>Makaira mazara</t>
        </is>
      </c>
      <c r="B294" t="inlineStr">
        <is>
          <t>Indo-Pacific blue marlin</t>
        </is>
      </c>
      <c r="C294" t="inlineStr">
        <is>
          <t>Large pelagics (&gt;=90 cm)</t>
        </is>
      </c>
      <c r="D294" t="inlineStr">
        <is>
          <t>Tuna &amp; billfishes</t>
        </is>
      </c>
      <c r="E294" s="9" t="inlineStr">
        <is>
          <t>Unresolved</t>
        </is>
      </c>
      <c r="F294" t="inlineStr"/>
      <c r="G294" t="inlineStr"/>
      <c r="H294" t="inlineStr">
        <is>
          <t>unresolved</t>
        </is>
      </c>
      <c r="I294" t="inlineStr">
        <is>
          <t>none</t>
        </is>
      </c>
      <c r="J294" t="n">
        <v>4702.079</v>
      </c>
      <c r="K294" t="n">
        <v>0.0012</v>
      </c>
      <c r="L294" s="6" t="inlineStr">
        <is>
          <t>Northern continental-shelf model lacks a documented oceanic billfish or deep-pelagic compartment; assigning coastal juvenile/adult pelagic SPPR would be unsupported.</t>
        </is>
      </c>
    </row>
    <row r="295">
      <c r="A295" t="inlineStr">
        <is>
          <t>Hyporhamphus sajori</t>
        </is>
      </c>
      <c r="B295" t="inlineStr">
        <is>
          <t>Japanese halfbeak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s="7" t="inlineStr">
        <is>
          <t>Juvenile large pelagic fish | Pelagic fish (&gt; 30 cm)</t>
        </is>
      </c>
      <c r="F295" t="inlineStr">
        <is>
          <t>0.202 | 0.798</t>
        </is>
      </c>
      <c r="G295" t="inlineStr">
        <is>
          <t>model_catch</t>
        </is>
      </c>
      <c r="H295" t="inlineStr">
        <is>
          <t>medium</t>
        </is>
      </c>
      <c r="I295" t="inlineStr">
        <is>
          <t>composite_split</t>
        </is>
      </c>
      <c r="J295" t="n">
        <v>4656.816</v>
      </c>
      <c r="K295" t="n">
        <v>0.0012</v>
      </c>
      <c r="L295" s="6" t="inlineStr">
        <is>
          <t>Analyst habitat/size inference to source &gt;30 cm pelagic fish (Appendix 6.1.24 p.339); no age data, so split juvenile/adult using the period model catch.</t>
        </is>
      </c>
    </row>
    <row r="296">
      <c r="A296" t="inlineStr">
        <is>
          <t>Carcharhinus longimanus</t>
        </is>
      </c>
      <c r="B296" t="inlineStr">
        <is>
          <t>Oceanic whitetip shark</t>
        </is>
      </c>
      <c r="C296" t="inlineStr">
        <is>
          <t>Large sharks (&gt;=90 cm)</t>
        </is>
      </c>
      <c r="D296" t="inlineStr">
        <is>
          <t>Sharks &amp; rays</t>
        </is>
      </c>
      <c r="E296" s="7" t="inlineStr">
        <is>
          <t>Pelagic sharks and rays</t>
        </is>
      </c>
      <c r="F296" t="inlineStr"/>
      <c r="G296" t="inlineStr"/>
      <c r="H296" t="inlineStr">
        <is>
          <t>medium</t>
        </is>
      </c>
      <c r="I296" t="inlineStr">
        <is>
          <t>habitat_size_guild</t>
        </is>
      </c>
      <c r="J296" t="n">
        <v>4463.839</v>
      </c>
      <c r="K296" t="n">
        <v>0.0012</v>
      </c>
      <c r="L296" s="6" t="inlineStr">
        <is>
          <t>Pelagic shark lineage matches the pelagic elasmobranch definition, Appendix 6.1.25 p.340; species placement is analyst inference.</t>
        </is>
      </c>
    </row>
    <row r="297">
      <c r="A297" t="inlineStr">
        <is>
          <t>Ambassidae</t>
        </is>
      </c>
      <c r="B297" t="inlineStr">
        <is>
          <t>Asiatic glassfishes</t>
        </is>
      </c>
      <c r="C297" t="inlineStr">
        <is>
          <t>Small demersals (&lt;30 cm)</t>
        </is>
      </c>
      <c r="D297" t="inlineStr">
        <is>
          <t>Perch-likes</t>
        </is>
      </c>
      <c r="E297" s="7" t="inlineStr">
        <is>
          <t>Demesral fish (≤ 30 cm)</t>
        </is>
      </c>
      <c r="F297" t="inlineStr"/>
      <c r="G297" t="inlineStr"/>
      <c r="H297" t="inlineStr">
        <is>
          <t>medium</t>
        </is>
      </c>
      <c r="I297" t="inlineStr">
        <is>
          <t>habitat_size_guild</t>
        </is>
      </c>
      <c r="J297" t="n">
        <v>4224.4</v>
      </c>
      <c r="K297" t="n">
        <v>0.0011</v>
      </c>
      <c r="L297" s="6" t="inlineStr">
        <is>
          <t>Analyst habitat/size inference: small demersal or reef-associated fish after excluding dedicated taxonomic groups, matching Appendix 6.1.19 &lt;=30 cm residual demersal pool.</t>
        </is>
      </c>
    </row>
    <row r="298">
      <c r="A298" t="inlineStr">
        <is>
          <t>Gazza minuta</t>
        </is>
      </c>
      <c r="B298" t="inlineStr">
        <is>
          <t>Toothpony</t>
        </is>
      </c>
      <c r="C298" t="inlineStr">
        <is>
          <t>Small demersals (&lt;30 cm)</t>
        </is>
      </c>
      <c r="D298" t="inlineStr">
        <is>
          <t>Perch-likes</t>
        </is>
      </c>
      <c r="E298" s="7" t="inlineStr">
        <is>
          <t>Demesral fish (≤ 30 cm)</t>
        </is>
      </c>
      <c r="F298" t="inlineStr"/>
      <c r="G298" t="inlineStr"/>
      <c r="H298" t="inlineStr">
        <is>
          <t>medium</t>
        </is>
      </c>
      <c r="I298" t="inlineStr">
        <is>
          <t>habitat_size_guild</t>
        </is>
      </c>
      <c r="J298" t="n">
        <v>3981.449</v>
      </c>
      <c r="K298" t="n">
        <v>0.001</v>
      </c>
      <c r="L298" s="6" t="inlineStr">
        <is>
          <t>Analyst habitat/size inference: small demersal or reef-associated fish after excluding dedicated taxonomic groups, matching Appendix 6.1.19 &lt;=30 cm residual demersal pool.</t>
        </is>
      </c>
    </row>
    <row r="299">
      <c r="A299" t="inlineStr">
        <is>
          <t>Aluterus</t>
        </is>
      </c>
      <c r="B299" t="inlineStr">
        <is>
          <t>Aluterid filefishes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s="7" t="inlineStr">
        <is>
          <t>Juvenile demersal fish (&gt; 30 cm) | Adult demersal fish (&gt; 30 cm)</t>
        </is>
      </c>
      <c r="F299" t="inlineStr">
        <is>
          <t>0.200 | 0.800</t>
        </is>
      </c>
      <c r="G299" t="inlineStr">
        <is>
          <t>model_catch</t>
        </is>
      </c>
      <c r="H299" t="inlineStr">
        <is>
          <t>medium</t>
        </is>
      </c>
      <c r="I299" t="inlineStr">
        <is>
          <t>composite_split</t>
        </is>
      </c>
      <c r="J299" t="n">
        <v>3973.355</v>
      </c>
      <c r="K299" t="n">
        <v>0.001</v>
      </c>
      <c r="L2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0">
      <c r="A300" t="inlineStr">
        <is>
          <t>Hemitriakis japanica</t>
        </is>
      </c>
      <c r="B300" t="inlineStr">
        <is>
          <t>Japanese topeshark</t>
        </is>
      </c>
      <c r="C300" t="inlineStr">
        <is>
          <t>Large sharks (&gt;=90 cm)</t>
        </is>
      </c>
      <c r="D300" t="inlineStr">
        <is>
          <t>Sharks &amp; rays</t>
        </is>
      </c>
      <c r="E300" s="7" t="inlineStr">
        <is>
          <t>Demersal sharks and rays</t>
        </is>
      </c>
      <c r="F300" t="inlineStr"/>
      <c r="G300" t="inlineStr"/>
      <c r="H300" t="inlineStr">
        <is>
          <t>medium</t>
        </is>
      </c>
      <c r="I300" t="inlineStr">
        <is>
          <t>habitat_size_guild</t>
        </is>
      </c>
      <c r="J300" t="n">
        <v>3667.995</v>
      </c>
      <c r="K300" t="n">
        <v>0.0009</v>
      </c>
      <c r="L300" s="6" t="inlineStr">
        <is>
          <t>Demersal/benthic ray or houndshark lineage matches the demersal elasmobranch definition, Appendix 6.1.25 p.340; species placement is analyst inference.</t>
        </is>
      </c>
    </row>
    <row r="301">
      <c r="A301" t="inlineStr">
        <is>
          <t>Echinodermata</t>
        </is>
      </c>
      <c r="B301" t="inlineStr">
        <is>
          <t>Sea urchins, stars, cucumbers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s="8" t="inlineStr">
        <is>
          <t>Echinoderms</t>
        </is>
      </c>
      <c r="F301" t="inlineStr"/>
      <c r="G301" t="inlineStr"/>
      <c r="H301" t="inlineStr">
        <is>
          <t>high</t>
        </is>
      </c>
      <c r="I301" t="inlineStr">
        <is>
          <t>taxonomic_containment</t>
        </is>
      </c>
      <c r="J301" t="n">
        <v>3665.334</v>
      </c>
      <c r="K301" t="n">
        <v>0.0009</v>
      </c>
      <c r="L301" s="6" t="inlineStr">
        <is>
          <t>Taxonomic containment in the source benthos subdivision (Appendix 6.1.5 pp.324-325), keeping non-cephalopod molluscs separate from echinoderms and sessile invertebrates.</t>
        </is>
      </c>
    </row>
    <row r="302">
      <c r="A302" t="inlineStr">
        <is>
          <t>Dasyatidae</t>
        </is>
      </c>
      <c r="B302" t="inlineStr">
        <is>
          <t>Whiptail stingrays</t>
        </is>
      </c>
      <c r="C302" t="inlineStr">
        <is>
          <t>Large rays (&gt;=90 cm)</t>
        </is>
      </c>
      <c r="D302" t="inlineStr">
        <is>
          <t>Sharks &amp; rays</t>
        </is>
      </c>
      <c r="E302" s="7" t="inlineStr">
        <is>
          <t>Demersal sharks and rays</t>
        </is>
      </c>
      <c r="F302" t="inlineStr"/>
      <c r="G302" t="inlineStr"/>
      <c r="H302" t="inlineStr">
        <is>
          <t>medium</t>
        </is>
      </c>
      <c r="I302" t="inlineStr">
        <is>
          <t>habitat_size_guild</t>
        </is>
      </c>
      <c r="J302" t="n">
        <v>3656.496</v>
      </c>
      <c r="K302" t="n">
        <v>0.0009</v>
      </c>
      <c r="L302" s="6" t="inlineStr">
        <is>
          <t>Demersal/benthic ray or houndshark lineage matches the demersal elasmobranch definition, Appendix 6.1.25 p.340; species placement is analyst inference.</t>
        </is>
      </c>
    </row>
    <row r="303">
      <c r="A303" t="inlineStr">
        <is>
          <t>Chanos chanos</t>
        </is>
      </c>
      <c r="B303" t="inlineStr">
        <is>
          <t>Milkfish</t>
        </is>
      </c>
      <c r="C303" t="inlineStr">
        <is>
          <t>Large benthopelagics (&gt;=90 cm)</t>
        </is>
      </c>
      <c r="D303" t="inlineStr">
        <is>
          <t>Other fishes &amp; inverts</t>
        </is>
      </c>
      <c r="E303" s="5" t="inlineStr">
        <is>
          <t>Benthopelagic fish</t>
        </is>
      </c>
      <c r="F303" t="inlineStr"/>
      <c r="G303" t="inlineStr"/>
      <c r="H303" t="inlineStr">
        <is>
          <t>low</t>
        </is>
      </c>
      <c r="I303" t="inlineStr">
        <is>
          <t>habitat_size_guild</t>
        </is>
      </c>
      <c r="J303" t="n">
        <v>3455.243</v>
      </c>
      <c r="K303" t="n">
        <v>0.0009</v>
      </c>
      <c r="L303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04">
      <c r="A304" t="inlineStr">
        <is>
          <t>Sphyraena obtusata</t>
        </is>
      </c>
      <c r="B304" t="inlineStr">
        <is>
          <t>Obtuse barracuda</t>
        </is>
      </c>
      <c r="C304" t="inlineStr">
        <is>
          <t>Medium reef assoc. fish (30 - 89 cm)</t>
        </is>
      </c>
      <c r="D304" t="inlineStr">
        <is>
          <t>Perch-likes</t>
        </is>
      </c>
      <c r="E304" s="7" t="inlineStr">
        <is>
          <t>Juvenile large pelagic fish | Pelagic fish (&gt; 30 cm)</t>
        </is>
      </c>
      <c r="F304" t="inlineStr">
        <is>
          <t>0.202 | 0.798</t>
        </is>
      </c>
      <c r="G304" t="inlineStr">
        <is>
          <t>model_catch</t>
        </is>
      </c>
      <c r="H304" t="inlineStr">
        <is>
          <t>medium</t>
        </is>
      </c>
      <c r="I304" t="inlineStr">
        <is>
          <t>composite_split</t>
        </is>
      </c>
      <c r="J304" t="n">
        <v>3432.521</v>
      </c>
      <c r="K304" t="n">
        <v>0.0009</v>
      </c>
      <c r="L304" s="6" t="inlineStr">
        <is>
          <t>Analyst habitat/size inference to source &gt;30 cm pelagic fish (Appendix 6.1.24 p.339); no age data, so split juvenile/adult using the period model catch.</t>
        </is>
      </c>
    </row>
    <row r="305">
      <c r="A305" t="inlineStr">
        <is>
          <t>Parupeneus barberinus</t>
        </is>
      </c>
      <c r="B305" t="inlineStr">
        <is>
          <t>Dash-and-dot goatfish</t>
        </is>
      </c>
      <c r="C305" t="inlineStr">
        <is>
          <t>Medium reef assoc. fish (30 - 89 cm)</t>
        </is>
      </c>
      <c r="D305" t="inlineStr">
        <is>
          <t>Perch-likes</t>
        </is>
      </c>
      <c r="E305" s="7" t="inlineStr">
        <is>
          <t>Juvenile demersal fish (&gt; 30 cm) | Adult demersal fish (&gt; 30 cm)</t>
        </is>
      </c>
      <c r="F305" t="inlineStr">
        <is>
          <t>0.200 | 0.800</t>
        </is>
      </c>
      <c r="G305" t="inlineStr">
        <is>
          <t>model_catch</t>
        </is>
      </c>
      <c r="H305" t="inlineStr">
        <is>
          <t>medium</t>
        </is>
      </c>
      <c r="I305" t="inlineStr">
        <is>
          <t>composite_split</t>
        </is>
      </c>
      <c r="J305" t="n">
        <v>3360.208</v>
      </c>
      <c r="K305" t="n">
        <v>0.0009</v>
      </c>
      <c r="L3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6">
      <c r="A306" t="inlineStr">
        <is>
          <t>Psettodidae</t>
        </is>
      </c>
      <c r="B306" t="inlineStr">
        <is>
          <t>Turbots, Indian halibuts</t>
        </is>
      </c>
      <c r="C306" t="inlineStr">
        <is>
          <t>Small to medium flatfishes (&lt;90 cm)</t>
        </is>
      </c>
      <c r="D306" t="inlineStr">
        <is>
          <t>Flatfishes</t>
        </is>
      </c>
      <c r="E306" s="5" t="inlineStr">
        <is>
          <t>Demesral fish (≤ 30 cm) | Juvenile demersal fish (&gt; 30 cm) | Adult demersal fish (&gt; 30 cm)</t>
        </is>
      </c>
      <c r="F306" t="inlineStr">
        <is>
          <t>0.386 | 0.123 | 0.491</t>
        </is>
      </c>
      <c r="G306" t="inlineStr">
        <is>
          <t>model_catch</t>
        </is>
      </c>
      <c r="H306" t="inlineStr">
        <is>
          <t>low</t>
        </is>
      </c>
      <c r="I306" t="inlineStr">
        <is>
          <t>composite_split</t>
        </is>
      </c>
      <c r="J306" t="n">
        <v>3237.753</v>
      </c>
      <c r="K306" t="n">
        <v>0.0008</v>
      </c>
      <c r="L3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s="8" t="inlineStr">
        <is>
          <t>Benthic crustaceans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3061.562</v>
      </c>
      <c r="K307" t="n">
        <v>0.0008</v>
      </c>
      <c r="L307" s="6" t="inlineStr">
        <is>
          <t>Source benthic crustaceans exclude shrimps and crabs (Appendix 6.1.5 p.324); lobsters remain in that residual, while true crabs use Crabs.</t>
        </is>
      </c>
    </row>
    <row r="308">
      <c r="A308" t="inlineStr">
        <is>
          <t>Rhincodon typus</t>
        </is>
      </c>
      <c r="B308" t="inlineStr">
        <is>
          <t>Whale shark</t>
        </is>
      </c>
      <c r="C308" t="inlineStr">
        <is>
          <t>Large sharks (&gt;=90 cm)</t>
        </is>
      </c>
      <c r="D308" t="inlineStr">
        <is>
          <t>Sharks &amp; rays</t>
        </is>
      </c>
      <c r="E308" s="7" t="inlineStr">
        <is>
          <t>Pelagic sharks and rays</t>
        </is>
      </c>
      <c r="F308" t="inlineStr"/>
      <c r="G308" t="inlineStr"/>
      <c r="H308" t="inlineStr">
        <is>
          <t>medium</t>
        </is>
      </c>
      <c r="I308" t="inlineStr">
        <is>
          <t>habitat_size_guild</t>
        </is>
      </c>
      <c r="J308" t="n">
        <v>2948.897</v>
      </c>
      <c r="K308" t="n">
        <v>0.0008</v>
      </c>
      <c r="L308" s="6" t="inlineStr">
        <is>
          <t>Pelagic shark lineage matches the pelagic elasmobranch definition, Appendix 6.1.25 p.340; species placement is analyst inference.</t>
        </is>
      </c>
    </row>
    <row r="309">
      <c r="A309" t="inlineStr">
        <is>
          <t>Cheilopogon unicolor</t>
        </is>
      </c>
      <c r="B309" t="inlineStr">
        <is>
          <t>Limpidwing flyingfish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s="7" t="inlineStr">
        <is>
          <t>Juvenile large pelagic fish | Pelagic fish (&gt; 30 cm)</t>
        </is>
      </c>
      <c r="F309" t="inlineStr">
        <is>
          <t>0.202 | 0.798</t>
        </is>
      </c>
      <c r="G309" t="inlineStr">
        <is>
          <t>model_catch</t>
        </is>
      </c>
      <c r="H309" t="inlineStr">
        <is>
          <t>medium</t>
        </is>
      </c>
      <c r="I309" t="inlineStr">
        <is>
          <t>composite_split</t>
        </is>
      </c>
      <c r="J309" t="n">
        <v>2888.49</v>
      </c>
      <c r="K309" t="n">
        <v>0.0007</v>
      </c>
      <c r="L309" s="6" t="inlineStr">
        <is>
          <t>Analyst habitat/size inference to source &gt;30 cm pelagic fish (Appendix 6.1.24 p.339); no age data, so split juvenile/adult using the period model catch.</t>
        </is>
      </c>
    </row>
    <row r="310">
      <c r="A310" t="inlineStr">
        <is>
          <t>Mizuhopecten yessoensis</t>
        </is>
      </c>
      <c r="B310" t="inlineStr">
        <is>
          <t>Yesso scallop</t>
        </is>
      </c>
      <c r="C310" t="inlineStr">
        <is>
          <t>Other demersal invertebrates</t>
        </is>
      </c>
      <c r="D310" t="inlineStr">
        <is>
          <t>Molluscs</t>
        </is>
      </c>
      <c r="E310" s="8" t="inlineStr">
        <is>
          <t>Non-ceph molluscs</t>
        </is>
      </c>
      <c r="F310" t="inlineStr"/>
      <c r="G310" t="inlineStr"/>
      <c r="H310" t="inlineStr">
        <is>
          <t>high</t>
        </is>
      </c>
      <c r="I310" t="inlineStr">
        <is>
          <t>taxonomic_containment</t>
        </is>
      </c>
      <c r="J310" t="n">
        <v>2876.232</v>
      </c>
      <c r="K310" t="n">
        <v>0.0007</v>
      </c>
      <c r="L310" s="6" t="inlineStr">
        <is>
          <t>Taxonomic containment in the source benthos subdivision (Appendix 6.1.5 pp.324-325), keeping non-cephalopod molluscs separate from echinoderms and sessile invertebrates.</t>
        </is>
      </c>
    </row>
    <row r="311">
      <c r="A311" t="inlineStr">
        <is>
          <t>Evynnis tumifrons</t>
        </is>
      </c>
      <c r="B311" t="inlineStr">
        <is>
          <t>Yellowback seabream</t>
        </is>
      </c>
      <c r="C311" t="inlineStr">
        <is>
          <t>Medium demersals (30 - 89 cm)</t>
        </is>
      </c>
      <c r="D311" t="inlineStr">
        <is>
          <t>Perch-likes</t>
        </is>
      </c>
      <c r="E311" s="7" t="inlineStr">
        <is>
          <t>Juvenile demersal fish (&gt; 30 cm) | Adult demersal fish (&gt; 30 cm)</t>
        </is>
      </c>
      <c r="F311" t="inlineStr">
        <is>
          <t>0.200 | 0.800</t>
        </is>
      </c>
      <c r="G311" t="inlineStr">
        <is>
          <t>model_catch</t>
        </is>
      </c>
      <c r="H311" t="inlineStr">
        <is>
          <t>medium</t>
        </is>
      </c>
      <c r="I311" t="inlineStr">
        <is>
          <t>composite_split</t>
        </is>
      </c>
      <c r="J311" t="n">
        <v>2533.488</v>
      </c>
      <c r="K311" t="n">
        <v>0.0007</v>
      </c>
      <c r="L3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2">
      <c r="A312" t="inlineStr">
        <is>
          <t>Ephippidae</t>
        </is>
      </c>
      <c r="B312" t="inlineStr">
        <is>
          <t>Spade-, batfishes, scats</t>
        </is>
      </c>
      <c r="C312" t="inlineStr">
        <is>
          <t>Medium reef assoc. fish (30 - 89 cm)</t>
        </is>
      </c>
      <c r="D312" t="inlineStr">
        <is>
          <t>Perch-likes</t>
        </is>
      </c>
      <c r="E312" s="7" t="inlineStr">
        <is>
          <t>Juvenile demersal fish (&gt; 30 cm) | Adult demersal fish (&gt; 30 cm)</t>
        </is>
      </c>
      <c r="F312" t="inlineStr">
        <is>
          <t>0.200 | 0.800</t>
        </is>
      </c>
      <c r="G312" t="inlineStr">
        <is>
          <t>model_catch</t>
        </is>
      </c>
      <c r="H312" t="inlineStr">
        <is>
          <t>medium</t>
        </is>
      </c>
      <c r="I312" t="inlineStr">
        <is>
          <t>composite_split</t>
        </is>
      </c>
      <c r="J312" t="n">
        <v>2517.788</v>
      </c>
      <c r="K312" t="n">
        <v>0.0005999999999999999</v>
      </c>
      <c r="L3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3">
      <c r="A313" t="inlineStr">
        <is>
          <t>Mola mola</t>
        </is>
      </c>
      <c r="B313" t="inlineStr">
        <is>
          <t>Ocean sunfish</t>
        </is>
      </c>
      <c r="C313" t="inlineStr">
        <is>
          <t>Large pelagics (&gt;=90 cm)</t>
        </is>
      </c>
      <c r="D313" t="inlineStr">
        <is>
          <t>Other fishes &amp; inverts</t>
        </is>
      </c>
      <c r="E313" s="7" t="inlineStr">
        <is>
          <t>Juvenile large pelagic fish | Pelagic fish (&gt; 30 cm)</t>
        </is>
      </c>
      <c r="F313" t="inlineStr">
        <is>
          <t>0.202 | 0.798</t>
        </is>
      </c>
      <c r="G313" t="inlineStr">
        <is>
          <t>model_catch</t>
        </is>
      </c>
      <c r="H313" t="inlineStr">
        <is>
          <t>medium</t>
        </is>
      </c>
      <c r="I313" t="inlineStr">
        <is>
          <t>composite_split</t>
        </is>
      </c>
      <c r="J313" t="n">
        <v>2469.949</v>
      </c>
      <c r="K313" t="n">
        <v>0.0005999999999999999</v>
      </c>
      <c r="L313" s="6" t="inlineStr">
        <is>
          <t>Analyst habitat/size inference to source &gt;30 cm pelagic fish (Appendix 6.1.24 p.339); no age data, so split juvenile/adult using the period model catch.</t>
        </is>
      </c>
    </row>
    <row r="314">
      <c r="A314" t="inlineStr">
        <is>
          <t>Latidae</t>
        </is>
      </c>
      <c r="B314" t="inlineStr">
        <is>
          <t>Lates perches</t>
        </is>
      </c>
      <c r="C314" t="inlineStr">
        <is>
          <t>Large demersals (&gt;=90 cm)</t>
        </is>
      </c>
      <c r="D314" t="inlineStr">
        <is>
          <t>Perch-likes</t>
        </is>
      </c>
      <c r="E314" s="7" t="inlineStr">
        <is>
          <t>Juvenile demersal fish (&gt; 30 cm) | Adult demersal fish (&gt; 30 cm)</t>
        </is>
      </c>
      <c r="F314" t="inlineStr">
        <is>
          <t>0.200 | 0.800</t>
        </is>
      </c>
      <c r="G314" t="inlineStr">
        <is>
          <t>model_catch</t>
        </is>
      </c>
      <c r="H314" t="inlineStr">
        <is>
          <t>medium</t>
        </is>
      </c>
      <c r="I314" t="inlineStr">
        <is>
          <t>composite_split</t>
        </is>
      </c>
      <c r="J314" t="n">
        <v>2466.176</v>
      </c>
      <c r="K314" t="n">
        <v>0.0005999999999999999</v>
      </c>
      <c r="L3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5">
      <c r="A315" t="inlineStr">
        <is>
          <t>Ranina ranina</t>
        </is>
      </c>
      <c r="B315" t="inlineStr">
        <is>
          <t xml:space="preserve">Kona crab </t>
        </is>
      </c>
      <c r="C315" t="inlineStr">
        <is>
          <t>Lobsters, crabs</t>
        </is>
      </c>
      <c r="D315" t="inlineStr">
        <is>
          <t>Crustaceans</t>
        </is>
      </c>
      <c r="E315" s="8" t="inlineStr">
        <is>
          <t>Crabs</t>
        </is>
      </c>
      <c r="F315" t="inlineStr"/>
      <c r="G315" t="inlineStr"/>
      <c r="H315" t="inlineStr">
        <is>
          <t>high</t>
        </is>
      </c>
      <c r="I315" t="inlineStr">
        <is>
          <t>taxonomic_containment</t>
        </is>
      </c>
      <c r="J315" t="n">
        <v>2346.908</v>
      </c>
      <c r="K315" t="n">
        <v>0.0005999999999999999</v>
      </c>
      <c r="L315" s="6" t="inlineStr">
        <is>
          <t>Source benthic crustaceans exclude shrimps and crabs (Appendix 6.1.5 p.324); lobsters remain in that residual, while true crabs use Crabs.</t>
        </is>
      </c>
    </row>
    <row r="316">
      <c r="A316" t="inlineStr">
        <is>
          <t>Ozius guttatus</t>
        </is>
      </c>
      <c r="B316" t="inlineStr">
        <is>
          <t>Spottedbelly rock crab</t>
        </is>
      </c>
      <c r="C316" t="inlineStr">
        <is>
          <t>Lobsters, crabs</t>
        </is>
      </c>
      <c r="D316" t="inlineStr">
        <is>
          <t>Crustaceans</t>
        </is>
      </c>
      <c r="E316" s="8" t="inlineStr">
        <is>
          <t>Crabs</t>
        </is>
      </c>
      <c r="F316" t="inlineStr"/>
      <c r="G316" t="inlineStr"/>
      <c r="H316" t="inlineStr">
        <is>
          <t>high</t>
        </is>
      </c>
      <c r="I316" t="inlineStr">
        <is>
          <t>taxonomic_containment</t>
        </is>
      </c>
      <c r="J316" t="n">
        <v>2123.853</v>
      </c>
      <c r="K316" t="n">
        <v>0.0005</v>
      </c>
      <c r="L316" s="6" t="inlineStr">
        <is>
          <t>Source benthic crustaceans exclude shrimps and crabs (Appendix 6.1.5 p.324); lobsters remain in that residual, while true crabs use Crabs.</t>
        </is>
      </c>
    </row>
    <row r="317">
      <c r="A317" t="inlineStr">
        <is>
          <t>Sphyraena barracuda</t>
        </is>
      </c>
      <c r="B317" t="inlineStr">
        <is>
          <t>Great barracuda</t>
        </is>
      </c>
      <c r="C317" t="inlineStr">
        <is>
          <t>Large pelagics (&gt;=90 cm)</t>
        </is>
      </c>
      <c r="D317" t="inlineStr">
        <is>
          <t>Perch-likes</t>
        </is>
      </c>
      <c r="E317" s="7" t="inlineStr">
        <is>
          <t>Juvenile large pelagic fish | Pelagic fish (&gt; 30 cm)</t>
        </is>
      </c>
      <c r="F317" t="inlineStr">
        <is>
          <t>0.202 | 0.798</t>
        </is>
      </c>
      <c r="G317" t="inlineStr">
        <is>
          <t>model_catch</t>
        </is>
      </c>
      <c r="H317" t="inlineStr">
        <is>
          <t>medium</t>
        </is>
      </c>
      <c r="I317" t="inlineStr">
        <is>
          <t>composite_split</t>
        </is>
      </c>
      <c r="J317" t="n">
        <v>2055.219</v>
      </c>
      <c r="K317" t="n">
        <v>0.0005</v>
      </c>
      <c r="L317" s="6" t="inlineStr">
        <is>
          <t>Analyst habitat/size inference to source &gt;30 cm pelagic fish (Appendix 6.1.24 p.339); no age data, so split juvenile/adult using the period model catch.</t>
        </is>
      </c>
    </row>
    <row r="318">
      <c r="A318" t="inlineStr">
        <is>
          <t>Melicertus canaliculatus</t>
        </is>
      </c>
      <c r="B318" t="inlineStr">
        <is>
          <t>Witch prawn</t>
        </is>
      </c>
      <c r="C318" t="inlineStr">
        <is>
          <t>Shrimps</t>
        </is>
      </c>
      <c r="D318" t="inlineStr">
        <is>
          <t>Crustaceans</t>
        </is>
      </c>
      <c r="E318" s="8" t="inlineStr">
        <is>
          <t>Shrimps</t>
        </is>
      </c>
      <c r="F318" t="inlineStr"/>
      <c r="G318" t="inlineStr"/>
      <c r="H318" t="inlineStr">
        <is>
          <t>high</t>
        </is>
      </c>
      <c r="I318" t="inlineStr">
        <is>
          <t>taxonomic_containment</t>
        </is>
      </c>
      <c r="J318" t="n">
        <v>1949.386</v>
      </c>
      <c r="K318" t="n">
        <v>0.0005</v>
      </c>
      <c r="L318" s="6" t="inlineStr">
        <is>
          <t>Stomatopods belong to the residual benthic crustaceans; other shrimp taxa belong to Shrimps after the explicitly separated Acetes records (Appendix 6.1 pp.323-326).</t>
        </is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s="7" t="inlineStr">
        <is>
          <t>Juvenile large pelagic fish | Pelagic fish (&gt; 30 cm)</t>
        </is>
      </c>
      <c r="F319" t="inlineStr">
        <is>
          <t>0.202 | 0.798</t>
        </is>
      </c>
      <c r="G319" t="inlineStr">
        <is>
          <t>model_catch</t>
        </is>
      </c>
      <c r="H319" t="inlineStr">
        <is>
          <t>medium</t>
        </is>
      </c>
      <c r="I319" t="inlineStr">
        <is>
          <t>composite_split</t>
        </is>
      </c>
      <c r="J319" t="n">
        <v>1918.315</v>
      </c>
      <c r="K319" t="n">
        <v>0.0005</v>
      </c>
      <c r="L3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s="7" t="inlineStr">
        <is>
          <t>Juvenile demersal fish (&gt; 30 cm) | Adult demersal fish (&gt; 30 cm)</t>
        </is>
      </c>
      <c r="F320" t="inlineStr">
        <is>
          <t>0.200 | 0.800</t>
        </is>
      </c>
      <c r="G320" t="inlineStr">
        <is>
          <t>model_catch</t>
        </is>
      </c>
      <c r="H320" t="inlineStr">
        <is>
          <t>medium</t>
        </is>
      </c>
      <c r="I320" t="inlineStr">
        <is>
          <t>composite_split</t>
        </is>
      </c>
      <c r="J320" t="n">
        <v>1659.59</v>
      </c>
      <c r="K320" t="n">
        <v>0.0004</v>
      </c>
      <c r="L3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1">
      <c r="A321" t="inlineStr">
        <is>
          <t>Octopus</t>
        </is>
      </c>
      <c r="B321" t="inlineStr">
        <is>
          <t>Octopuses, pikas</t>
        </is>
      </c>
      <c r="C321" t="inlineStr">
        <is>
          <t>Cephalopods</t>
        </is>
      </c>
      <c r="D321" t="inlineStr">
        <is>
          <t>Other fishes &amp; inverts</t>
        </is>
      </c>
      <c r="E321" s="8" t="inlineStr">
        <is>
          <t>Cephalopods</t>
        </is>
      </c>
      <c r="F321" t="inlineStr"/>
      <c r="G321" t="inlineStr"/>
      <c r="H321" t="inlineStr">
        <is>
          <t>high</t>
        </is>
      </c>
      <c r="I321" t="inlineStr">
        <is>
          <t>taxonomic_containment</t>
        </is>
      </c>
      <c r="J321" t="n">
        <v>1608.1</v>
      </c>
      <c r="K321" t="n">
        <v>0.0004</v>
      </c>
      <c r="L321" s="6" t="inlineStr">
        <is>
          <t>Cephalopoda is contained by the single source Cephalopods group, Appendix 6.1.8 pp.326-327.</t>
        </is>
      </c>
    </row>
    <row r="322">
      <c r="A322" t="inlineStr">
        <is>
          <t>Plotosidae</t>
        </is>
      </c>
      <c r="B322" t="inlineStr">
        <is>
          <t>Eeltail catfishes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s="7" t="inlineStr">
        <is>
          <t>Juvenile demersal fish (&gt; 30 cm) | Adult demersal fish (&gt; 30 cm)</t>
        </is>
      </c>
      <c r="F322" t="inlineStr">
        <is>
          <t>0.200 | 0.800</t>
        </is>
      </c>
      <c r="G322" t="inlineStr">
        <is>
          <t>model_catch</t>
        </is>
      </c>
      <c r="H322" t="inlineStr">
        <is>
          <t>medium</t>
        </is>
      </c>
      <c r="I322" t="inlineStr">
        <is>
          <t>composite_split</t>
        </is>
      </c>
      <c r="J322" t="n">
        <v>1501.512</v>
      </c>
      <c r="K322" t="n">
        <v>0.0004</v>
      </c>
      <c r="L3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3">
      <c r="A323" t="inlineStr">
        <is>
          <t>Alopias</t>
        </is>
      </c>
      <c r="B323" t="inlineStr">
        <is>
          <t>Thresher sharks</t>
        </is>
      </c>
      <c r="C323" t="inlineStr">
        <is>
          <t>Large sharks (&gt;=90 cm)</t>
        </is>
      </c>
      <c r="D323" t="inlineStr">
        <is>
          <t>Sharks &amp; rays</t>
        </is>
      </c>
      <c r="E323" s="7" t="inlineStr">
        <is>
          <t>Pelagic sharks and rays</t>
        </is>
      </c>
      <c r="F323" t="inlineStr"/>
      <c r="G323" t="inlineStr"/>
      <c r="H323" t="inlineStr">
        <is>
          <t>medium</t>
        </is>
      </c>
      <c r="I323" t="inlineStr">
        <is>
          <t>habitat_size_guild</t>
        </is>
      </c>
      <c r="J323" t="n">
        <v>1462.068</v>
      </c>
      <c r="K323" t="n">
        <v>0.0004</v>
      </c>
      <c r="L323" s="6" t="inlineStr">
        <is>
          <t>Pelagic shark lineage matches the pelagic elasmobranch definition, Appendix 6.1.25 p.340; species placement is analyst inference.</t>
        </is>
      </c>
    </row>
    <row r="324">
      <c r="A324" t="inlineStr">
        <is>
          <t>Elops machnata</t>
        </is>
      </c>
      <c r="B324" t="inlineStr">
        <is>
          <t>Tenpounder</t>
        </is>
      </c>
      <c r="C324" t="inlineStr">
        <is>
          <t>Large pelagics (&gt;=90 cm)</t>
        </is>
      </c>
      <c r="D324" t="inlineStr">
        <is>
          <t>Other fishes &amp; inverts</t>
        </is>
      </c>
      <c r="E324" s="7" t="inlineStr">
        <is>
          <t>Juvenile large pelagic fish | Pelagic fish (&gt; 30 cm)</t>
        </is>
      </c>
      <c r="F324" t="inlineStr">
        <is>
          <t>0.202 | 0.798</t>
        </is>
      </c>
      <c r="G324" t="inlineStr">
        <is>
          <t>model_catch</t>
        </is>
      </c>
      <c r="H324" t="inlineStr">
        <is>
          <t>medium</t>
        </is>
      </c>
      <c r="I324" t="inlineStr">
        <is>
          <t>composite_split</t>
        </is>
      </c>
      <c r="J324" t="n">
        <v>1459.13</v>
      </c>
      <c r="K324" t="n">
        <v>0.0004</v>
      </c>
      <c r="L324" s="6" t="inlineStr">
        <is>
          <t>Analyst habitat/size inference to source &gt;30 cm pelagic fish (Appendix 6.1.24 p.339); no age data, so split juvenile/adult using the period model catch.</t>
        </is>
      </c>
    </row>
    <row r="325">
      <c r="A325" t="inlineStr">
        <is>
          <t>Pellona ditchela</t>
        </is>
      </c>
      <c r="B325" t="inlineStr">
        <is>
          <t>Indian pellona</t>
        </is>
      </c>
      <c r="C325" t="inlineStr">
        <is>
          <t>Small pelagics (&lt;30 cm)</t>
        </is>
      </c>
      <c r="D325" t="inlineStr">
        <is>
          <t>Herring-likes</t>
        </is>
      </c>
      <c r="E325" s="7" t="inlineStr">
        <is>
          <t>Pelagic fish (≤ 30 cm)</t>
        </is>
      </c>
      <c r="F325" t="inlineStr"/>
      <c r="G325" t="inlineStr"/>
      <c r="H325" t="inlineStr">
        <is>
          <t>medium</t>
        </is>
      </c>
      <c r="I325" t="inlineStr">
        <is>
          <t>habitat_size_guild</t>
        </is>
      </c>
      <c r="J325" t="n">
        <v>1410</v>
      </c>
      <c r="K325" t="n">
        <v>0.0004</v>
      </c>
      <c r="L32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26">
      <c r="A326" t="inlineStr">
        <is>
          <t>Chaetodontidae</t>
        </is>
      </c>
      <c r="B326" t="inlineStr">
        <is>
          <t>Butterflyfishes</t>
        </is>
      </c>
      <c r="C326" t="inlineStr">
        <is>
          <t>Small reef assoc. fish (&lt;30 cm)</t>
        </is>
      </c>
      <c r="D326" t="inlineStr">
        <is>
          <t>Perch-likes</t>
        </is>
      </c>
      <c r="E326" s="7" t="inlineStr">
        <is>
          <t>Demesral fish (≤ 30 cm)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1378.652</v>
      </c>
      <c r="K326" t="n">
        <v>0.0004</v>
      </c>
      <c r="L326" s="6" t="inlineStr">
        <is>
          <t>Analyst habitat/size inference: small demersal or reef-associated fish after excluding dedicated taxonomic groups, matching Appendix 6.1.19 &lt;=30 cm residual demersal pool.</t>
        </is>
      </c>
    </row>
    <row r="327">
      <c r="A327" t="inlineStr">
        <is>
          <t>Congridae</t>
        </is>
      </c>
      <c r="B327" t="inlineStr">
        <is>
          <t>Conger, garden eels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s="7" t="inlineStr">
        <is>
          <t>Juvenile demersal fish (&gt; 30 cm) | Adult demersal fish (&gt; 30 cm)</t>
        </is>
      </c>
      <c r="F327" t="inlineStr">
        <is>
          <t>0.200 | 0.800</t>
        </is>
      </c>
      <c r="G327" t="inlineStr">
        <is>
          <t>model_catch</t>
        </is>
      </c>
      <c r="H327" t="inlineStr">
        <is>
          <t>medium</t>
        </is>
      </c>
      <c r="I327" t="inlineStr">
        <is>
          <t>composite_split</t>
        </is>
      </c>
      <c r="J327" t="n">
        <v>1376.036</v>
      </c>
      <c r="K327" t="n">
        <v>0.0004</v>
      </c>
      <c r="L32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8">
      <c r="A328" t="inlineStr">
        <is>
          <t>Lethrinus miniatus</t>
        </is>
      </c>
      <c r="B328" t="inlineStr">
        <is>
          <t>Trumpet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s="7" t="inlineStr">
        <is>
          <t>Juvenile demersal fish (&gt; 30 cm) | Adult demersal fish (&gt; 30 cm)</t>
        </is>
      </c>
      <c r="F328" t="inlineStr">
        <is>
          <t>0.200 | 0.800</t>
        </is>
      </c>
      <c r="G328" t="inlineStr">
        <is>
          <t>model_catch</t>
        </is>
      </c>
      <c r="H328" t="inlineStr">
        <is>
          <t>medium</t>
        </is>
      </c>
      <c r="I328" t="inlineStr">
        <is>
          <t>composite_split</t>
        </is>
      </c>
      <c r="J328" t="n">
        <v>1362.411</v>
      </c>
      <c r="K328" t="n">
        <v>0.0004</v>
      </c>
      <c r="L3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9">
      <c r="A329" t="inlineStr">
        <is>
          <t>Scylla</t>
        </is>
      </c>
      <c r="B329" t="inlineStr">
        <is>
          <t>Mud crabs</t>
        </is>
      </c>
      <c r="C329" t="inlineStr">
        <is>
          <t>Lobsters, crabs</t>
        </is>
      </c>
      <c r="D329" t="inlineStr">
        <is>
          <t>Crustaceans</t>
        </is>
      </c>
      <c r="E329" s="8" t="inlineStr">
        <is>
          <t>Crabs</t>
        </is>
      </c>
      <c r="F329" t="inlineStr"/>
      <c r="G329" t="inlineStr"/>
      <c r="H329" t="inlineStr">
        <is>
          <t>high</t>
        </is>
      </c>
      <c r="I329" t="inlineStr">
        <is>
          <t>taxonomic_containment</t>
        </is>
      </c>
      <c r="J329" t="n">
        <v>1336.642</v>
      </c>
      <c r="K329" t="n">
        <v>0.0003</v>
      </c>
      <c r="L329" s="6" t="inlineStr">
        <is>
          <t>Source benthic crustaceans exclude shrimps and crabs (Appendix 6.1.5 p.324); lobsters remain in that residual, while true crabs use Crabs.</t>
        </is>
      </c>
    </row>
    <row r="330">
      <c r="A330" t="inlineStr">
        <is>
          <t>Hemitrygon akajei</t>
        </is>
      </c>
      <c r="B330" t="inlineStr">
        <is>
          <t>Whip stingray</t>
        </is>
      </c>
      <c r="C330" t="inlineStr">
        <is>
          <t>Large rays (&gt;=90 cm)</t>
        </is>
      </c>
      <c r="D330" t="inlineStr">
        <is>
          <t>Sharks &amp; rays</t>
        </is>
      </c>
      <c r="E330" s="7" t="inlineStr">
        <is>
          <t>Demersal sharks and rays</t>
        </is>
      </c>
      <c r="F330" t="inlineStr"/>
      <c r="G330" t="inlineStr"/>
      <c r="H330" t="inlineStr">
        <is>
          <t>medium</t>
        </is>
      </c>
      <c r="I330" t="inlineStr">
        <is>
          <t>habitat_size_guild</t>
        </is>
      </c>
      <c r="J330" t="n">
        <v>1189.845</v>
      </c>
      <c r="K330" t="n">
        <v>0.0003</v>
      </c>
      <c r="L330" s="6" t="inlineStr">
        <is>
          <t>Demersal/benthic ray or houndshark lineage matches the demersal elasmobranch definition, Appendix 6.1.25 p.340; species placement is analyst inference.</t>
        </is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s="9" t="inlineStr">
        <is>
          <t>Unresolved</t>
        </is>
      </c>
      <c r="F331" t="inlineStr"/>
      <c r="G331" t="inlineStr"/>
      <c r="H331" t="inlineStr">
        <is>
          <t>unresolved</t>
        </is>
      </c>
      <c r="I331" t="inlineStr">
        <is>
          <t>none</t>
        </is>
      </c>
      <c r="J331" t="n">
        <v>1186.217</v>
      </c>
      <c r="K331" t="n">
        <v>0.0003</v>
      </c>
      <c r="L331" s="6" t="inlineStr">
        <is>
          <t>Northern continental-shelf model lacks a documented oceanic billfish or deep-pelagic compartment; assigning coastal juvenile/adult pelagic SPPR would be unsupported.</t>
        </is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s="8" t="inlineStr">
        <is>
          <t>Crabs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1155.289</v>
      </c>
      <c r="K332" t="n">
        <v>0.0003</v>
      </c>
      <c r="L332" s="6" t="inlineStr">
        <is>
          <t>Source benthic crustaceans exclude shrimps and crabs (Appendix 6.1.5 p.324); lobsters remain in that residual, while true crabs use Crabs.</t>
        </is>
      </c>
    </row>
    <row r="333">
      <c r="A333" t="inlineStr">
        <is>
          <t>Encrasicholina punctifer</t>
        </is>
      </c>
      <c r="B333" t="inlineStr">
        <is>
          <t>Buccaneer anchovy</t>
        </is>
      </c>
      <c r="C333" t="inlineStr">
        <is>
          <t>Small pelagics (&lt;30 cm)</t>
        </is>
      </c>
      <c r="D333" t="inlineStr">
        <is>
          <t>Anchovies</t>
        </is>
      </c>
      <c r="E333" s="7" t="inlineStr">
        <is>
          <t>Pelagic fish (≤ 30 cm)</t>
        </is>
      </c>
      <c r="F333" t="inlineStr"/>
      <c r="G333" t="inlineStr"/>
      <c r="H333" t="inlineStr">
        <is>
          <t>medium</t>
        </is>
      </c>
      <c r="I333" t="inlineStr">
        <is>
          <t>habitat_size_guild</t>
        </is>
      </c>
      <c r="J333" t="n">
        <v>1099.779</v>
      </c>
      <c r="K333" t="n">
        <v>0.0003</v>
      </c>
      <c r="L33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34">
      <c r="A334" t="inlineStr">
        <is>
          <t>Spongia</t>
        </is>
      </c>
      <c r="B334" t="inlineStr">
        <is>
          <t>Bathing sponges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s="8" t="inlineStr">
        <is>
          <t>Sessile/other invertebrates</t>
        </is>
      </c>
      <c r="F334" t="inlineStr"/>
      <c r="G334" t="inlineStr"/>
      <c r="H334" t="inlineStr">
        <is>
          <t>high</t>
        </is>
      </c>
      <c r="I334" t="inlineStr">
        <is>
          <t>taxonomic_containment</t>
        </is>
      </c>
      <c r="J334" t="n">
        <v>1092.827</v>
      </c>
      <c r="K334" t="n">
        <v>0.0003</v>
      </c>
      <c r="L334" s="6" t="inlineStr">
        <is>
          <t>Taxonomic containment in the source benthos subdivision (Appendix 6.1.5 pp.324-325), keeping non-cephalopod molluscs separate from echinoderms and sessile invertebrates.</t>
        </is>
      </c>
    </row>
    <row r="335">
      <c r="A335" t="inlineStr">
        <is>
          <t>Amusium pleuronectes</t>
        </is>
      </c>
      <c r="B335" t="inlineStr">
        <is>
          <t>Asian moon scallop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Non-ceph molluscs</t>
        </is>
      </c>
      <c r="F335" t="inlineStr"/>
      <c r="G335" t="inlineStr"/>
      <c r="H335" t="inlineStr">
        <is>
          <t>high</t>
        </is>
      </c>
      <c r="I335" t="inlineStr">
        <is>
          <t>taxonomic_containment</t>
        </is>
      </c>
      <c r="J335" t="n">
        <v>994.826</v>
      </c>
      <c r="K335" t="n">
        <v>0.0003</v>
      </c>
      <c r="L335" s="6" t="inlineStr">
        <is>
          <t>Taxonomic containment in the source benthos subdivision (Appendix 6.1.5 pp.324-325), keeping non-cephalopod molluscs separate from echinoderms and sessile invertebrates.</t>
        </is>
      </c>
    </row>
    <row r="336">
      <c r="A336" t="inlineStr">
        <is>
          <t>Scatophagus argus</t>
        </is>
      </c>
      <c r="B336" t="inlineStr">
        <is>
          <t>Spotted scat</t>
        </is>
      </c>
      <c r="C336" t="inlineStr">
        <is>
          <t>Medium demersals (30 - 89 cm)</t>
        </is>
      </c>
      <c r="D336" t="inlineStr">
        <is>
          <t>Perch-likes</t>
        </is>
      </c>
      <c r="E336" s="7" t="inlineStr">
        <is>
          <t>Juvenile demersal fish (&gt; 30 cm) | Adult demersal fish (&gt; 30 cm)</t>
        </is>
      </c>
      <c r="F336" t="inlineStr">
        <is>
          <t>0.200 | 0.800</t>
        </is>
      </c>
      <c r="G336" t="inlineStr">
        <is>
          <t>model_catch</t>
        </is>
      </c>
      <c r="H336" t="inlineStr">
        <is>
          <t>medium</t>
        </is>
      </c>
      <c r="I336" t="inlineStr">
        <is>
          <t>composite_split</t>
        </is>
      </c>
      <c r="J336" t="n">
        <v>950.5069999999999</v>
      </c>
      <c r="K336" t="n">
        <v>0.0002</v>
      </c>
      <c r="L3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7">
      <c r="A337" t="inlineStr">
        <is>
          <t>Podophthalmus vigil</t>
        </is>
      </c>
      <c r="B337" t="inlineStr">
        <is>
          <t>Periscope crab</t>
        </is>
      </c>
      <c r="C337" t="inlineStr">
        <is>
          <t>Lobsters, crabs</t>
        </is>
      </c>
      <c r="D337" t="inlineStr">
        <is>
          <t>Crustaceans</t>
        </is>
      </c>
      <c r="E337" s="8" t="inlineStr">
        <is>
          <t>Crabs</t>
        </is>
      </c>
      <c r="F337" t="inlineStr"/>
      <c r="G337" t="inlineStr"/>
      <c r="H337" t="inlineStr">
        <is>
          <t>high</t>
        </is>
      </c>
      <c r="I337" t="inlineStr">
        <is>
          <t>taxonomic_containment</t>
        </is>
      </c>
      <c r="J337" t="n">
        <v>923.3339999999999</v>
      </c>
      <c r="K337" t="n">
        <v>0.0002</v>
      </c>
      <c r="L337" s="6" t="inlineStr">
        <is>
          <t>Source benthic crustaceans exclude shrimps and crabs (Appendix 6.1.5 p.324); lobsters remain in that residual, while true crabs use Crabs.</t>
        </is>
      </c>
    </row>
    <row r="338">
      <c r="A338" t="inlineStr">
        <is>
          <t>Drepane punctata</t>
        </is>
      </c>
      <c r="B338" t="inlineStr">
        <is>
          <t>Spotted sicklefish</t>
        </is>
      </c>
      <c r="C338" t="inlineStr">
        <is>
          <t>Medium reef assoc. fish (30 - 89 cm)</t>
        </is>
      </c>
      <c r="D338" t="inlineStr">
        <is>
          <t>Perch-likes</t>
        </is>
      </c>
      <c r="E338" s="7" t="inlineStr">
        <is>
          <t>Juvenile demersal fish (&gt; 30 cm) | Adult demersal fish (&gt; 30 cm)</t>
        </is>
      </c>
      <c r="F338" t="inlineStr">
        <is>
          <t>0.200 | 0.800</t>
        </is>
      </c>
      <c r="G338" t="inlineStr">
        <is>
          <t>model_catch</t>
        </is>
      </c>
      <c r="H338" t="inlineStr">
        <is>
          <t>medium</t>
        </is>
      </c>
      <c r="I338" t="inlineStr">
        <is>
          <t>composite_split</t>
        </is>
      </c>
      <c r="J338" t="n">
        <v>918.996</v>
      </c>
      <c r="K338" t="n">
        <v>0.0002</v>
      </c>
      <c r="L3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9">
      <c r="A339" t="inlineStr">
        <is>
          <t>Charybdis anisodon</t>
        </is>
      </c>
      <c r="B339" t="inlineStr">
        <is>
          <t>Twospined arm swimming crab</t>
        </is>
      </c>
      <c r="C339" t="inlineStr">
        <is>
          <t>Lobsters, crabs</t>
        </is>
      </c>
      <c r="D339" t="inlineStr">
        <is>
          <t>Crustaceans</t>
        </is>
      </c>
      <c r="E339" s="8" t="inlineStr">
        <is>
          <t>Crabs</t>
        </is>
      </c>
      <c r="F339" t="inlineStr"/>
      <c r="G339" t="inlineStr"/>
      <c r="H339" t="inlineStr">
        <is>
          <t>high</t>
        </is>
      </c>
      <c r="I339" t="inlineStr">
        <is>
          <t>taxonomic_containment</t>
        </is>
      </c>
      <c r="J339" t="n">
        <v>914.4930000000001</v>
      </c>
      <c r="K339" t="n">
        <v>0.0002</v>
      </c>
      <c r="L339" s="6" t="inlineStr">
        <is>
          <t>Source benthic crustaceans exclude shrimps and crabs (Appendix 6.1.5 p.324); lobsters remain in that residual, while true crabs use Crabs.</t>
        </is>
      </c>
    </row>
    <row r="340">
      <c r="A340" t="inlineStr">
        <is>
          <t>Beryx</t>
        </is>
      </c>
      <c r="B340" t="inlineStr">
        <is>
          <t>Alfonsinos</t>
        </is>
      </c>
      <c r="C340" t="inlineStr">
        <is>
          <t>Medium benthopelagics (30 - 89 cm)</t>
        </is>
      </c>
      <c r="D340" t="inlineStr">
        <is>
          <t>Other fishes &amp; inverts</t>
        </is>
      </c>
      <c r="E340" s="5" t="inlineStr">
        <is>
          <t>Benthopelagic fish</t>
        </is>
      </c>
      <c r="F340" t="inlineStr"/>
      <c r="G340" t="inlineStr"/>
      <c r="H340" t="inlineStr">
        <is>
          <t>low</t>
        </is>
      </c>
      <c r="I340" t="inlineStr">
        <is>
          <t>habitat_size_guild</t>
        </is>
      </c>
      <c r="J340" t="n">
        <v>809.3</v>
      </c>
      <c r="K340" t="n">
        <v>0.0002</v>
      </c>
      <c r="L34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1">
      <c r="A341" t="inlineStr">
        <is>
          <t>Magallana gigas</t>
        </is>
      </c>
      <c r="B341" t="inlineStr">
        <is>
          <t>Pacific cupped oyster</t>
        </is>
      </c>
      <c r="C341" t="inlineStr">
        <is>
          <t>Other demersal invertebrates</t>
        </is>
      </c>
      <c r="D341" t="inlineStr">
        <is>
          <t>Molluscs</t>
        </is>
      </c>
      <c r="E341" s="8" t="inlineStr">
        <is>
          <t>Non-ceph molluscs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797.27</v>
      </c>
      <c r="K341" t="n">
        <v>0.0002</v>
      </c>
      <c r="L341" s="6" t="inlineStr">
        <is>
          <t>Taxonomic containment in the source benthos subdivision (Appendix 6.1.5 pp.324-325), keeping non-cephalopod molluscs separate from echinoderms and sessile invertebrates.</t>
        </is>
      </c>
    </row>
    <row r="342">
      <c r="A342" t="inlineStr">
        <is>
          <t>Sillago sihama</t>
        </is>
      </c>
      <c r="B342" t="inlineStr">
        <is>
          <t>Silver sillago</t>
        </is>
      </c>
      <c r="C342" t="inlineStr">
        <is>
          <t>Medium demersals (30 - 89 cm)</t>
        </is>
      </c>
      <c r="D342" t="inlineStr">
        <is>
          <t>Perch-likes</t>
        </is>
      </c>
      <c r="E342" s="7" t="inlineStr">
        <is>
          <t>Juvenile demersal fish (&gt; 30 cm) | Adult demersal fish (&gt; 30 cm)</t>
        </is>
      </c>
      <c r="F342" t="inlineStr">
        <is>
          <t>0.200 | 0.800</t>
        </is>
      </c>
      <c r="G342" t="inlineStr">
        <is>
          <t>model_catch</t>
        </is>
      </c>
      <c r="H342" t="inlineStr">
        <is>
          <t>medium</t>
        </is>
      </c>
      <c r="I342" t="inlineStr">
        <is>
          <t>composite_split</t>
        </is>
      </c>
      <c r="J342" t="n">
        <v>685.749</v>
      </c>
      <c r="K342" t="n">
        <v>0.0002</v>
      </c>
      <c r="L3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43">
      <c r="A343" t="inlineStr">
        <is>
          <t>Pteriomorphia</t>
        </is>
      </c>
      <c r="B343" t="inlineStr">
        <is>
          <t>Clams, cockles, arkshells</t>
        </is>
      </c>
      <c r="C343" t="inlineStr">
        <is>
          <t>Other demersal invertebrates</t>
        </is>
      </c>
      <c r="D343" t="inlineStr">
        <is>
          <t>Molluscs</t>
        </is>
      </c>
      <c r="E343" s="8" t="inlineStr">
        <is>
          <t>Non-ceph molluscs</t>
        </is>
      </c>
      <c r="F343" t="inlineStr"/>
      <c r="G343" t="inlineStr"/>
      <c r="H343" t="inlineStr">
        <is>
          <t>high</t>
        </is>
      </c>
      <c r="I343" t="inlineStr">
        <is>
          <t>taxonomic_containment</t>
        </is>
      </c>
      <c r="J343" t="n">
        <v>674.704</v>
      </c>
      <c r="K343" t="n">
        <v>0.0002</v>
      </c>
      <c r="L343" s="6" t="inlineStr">
        <is>
          <t>Taxonomic containment in the source benthos subdivision (Appendix 6.1.5 pp.324-325), keeping non-cephalopod molluscs separate from echinoderms and sessile invertebrates.</t>
        </is>
      </c>
    </row>
    <row r="344">
      <c r="A344" t="inlineStr">
        <is>
          <t>Metapenaeus ensis</t>
        </is>
      </c>
      <c r="B344" t="inlineStr">
        <is>
          <t>Greasyback shrimp</t>
        </is>
      </c>
      <c r="C344" t="inlineStr">
        <is>
          <t>Shrimps</t>
        </is>
      </c>
      <c r="D344" t="inlineStr">
        <is>
          <t>Crustaceans</t>
        </is>
      </c>
      <c r="E344" s="8" t="inlineStr">
        <is>
          <t>Shrimps</t>
        </is>
      </c>
      <c r="F344" t="inlineStr"/>
      <c r="G344" t="inlineStr"/>
      <c r="H344" t="inlineStr">
        <is>
          <t>high</t>
        </is>
      </c>
      <c r="I344" t="inlineStr">
        <is>
          <t>taxonomic_containment</t>
        </is>
      </c>
      <c r="J344" t="n">
        <v>648.1900000000001</v>
      </c>
      <c r="K344" t="n">
        <v>0.0002</v>
      </c>
      <c r="L344" s="6" t="inlineStr">
        <is>
          <t>Stomatopods belong to the residual benthic crustaceans; other shrimp taxa belong to Shrimps after the explicitly separated Acetes records (Appendix 6.1 pp.323-326).</t>
        </is>
      </c>
    </row>
    <row r="345">
      <c r="A345" t="inlineStr">
        <is>
          <t>Macolor</t>
        </is>
      </c>
      <c r="B345" t="inlineStr">
        <is>
          <t>Snappers</t>
        </is>
      </c>
      <c r="C345" t="inlineStr">
        <is>
          <t>Medium reef assoc. fish (30 - 89 cm)</t>
        </is>
      </c>
      <c r="D345" t="inlineStr">
        <is>
          <t>Perch-likes</t>
        </is>
      </c>
      <c r="E345" s="8" t="inlineStr">
        <is>
          <t>Snappers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625.67</v>
      </c>
      <c r="K345" t="n">
        <v>0.0002</v>
      </c>
      <c r="L345" s="6" t="inlineStr">
        <is>
          <t>Appendix 6.1 pp.327-335 defines Snappers by this family or explicitly names Macolor; dedicated source placement overrides the SAU class Medium reef assoc. fish (30 - 89 cm).</t>
        </is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Non-ceph molluscs</t>
        </is>
      </c>
      <c r="F346" t="inlineStr"/>
      <c r="G346" t="inlineStr"/>
      <c r="H346" t="inlineStr">
        <is>
          <t>high</t>
        </is>
      </c>
      <c r="I346" t="inlineStr">
        <is>
          <t>taxonomic_containment</t>
        </is>
      </c>
      <c r="J346" t="n">
        <v>566.4690000000001</v>
      </c>
      <c r="K346" t="n">
        <v>0.0001</v>
      </c>
      <c r="L346" s="6" t="inlineStr">
        <is>
          <t>Taxonomic containment in the source benthos subdivision (Appendix 6.1.5 pp.324-325), keeping non-cephalopod molluscs separate from echinoderms and sessile invertebrates.</t>
        </is>
      </c>
    </row>
    <row r="347">
      <c r="A347" t="inlineStr">
        <is>
          <t>Berycidae</t>
        </is>
      </c>
      <c r="B347" t="inlineStr">
        <is>
          <t>Alfonsinos, redfishes</t>
        </is>
      </c>
      <c r="C347" t="inlineStr">
        <is>
          <t>Medium benthopelagics (30 - 89 cm)</t>
        </is>
      </c>
      <c r="D347" t="inlineStr">
        <is>
          <t>Other fishes &amp; inverts</t>
        </is>
      </c>
      <c r="E347" s="5" t="inlineStr">
        <is>
          <t>Benthopelagic fish</t>
        </is>
      </c>
      <c r="F347" t="inlineStr"/>
      <c r="G347" t="inlineStr"/>
      <c r="H347" t="inlineStr">
        <is>
          <t>low</t>
        </is>
      </c>
      <c r="I347" t="inlineStr">
        <is>
          <t>habitat_size_guild</t>
        </is>
      </c>
      <c r="J347" t="n">
        <v>507.146</v>
      </c>
      <c r="K347" t="n">
        <v>0.0001</v>
      </c>
      <c r="L34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8">
      <c r="A348" t="inlineStr">
        <is>
          <t>Makaira</t>
        </is>
      </c>
      <c r="B348" t="inlineStr">
        <is>
          <t>Blue marlins</t>
        </is>
      </c>
      <c r="C348" t="inlineStr">
        <is>
          <t>Large pelagics (&gt;=90 cm)</t>
        </is>
      </c>
      <c r="D348" t="inlineStr">
        <is>
          <t>Tuna &amp; billfishes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455.099</v>
      </c>
      <c r="K348" t="n">
        <v>0.0001</v>
      </c>
      <c r="L348" s="6" t="inlineStr">
        <is>
          <t>Northern continental-shelf model lacks a documented oceanic billfish or deep-pelagic compartment; assigning coastal juvenile/adult pelagic SPPR would be unsupported.</t>
        </is>
      </c>
    </row>
    <row r="349">
      <c r="A349" t="inlineStr">
        <is>
          <t>Lutjanus bohar</t>
        </is>
      </c>
      <c r="B349" t="inlineStr">
        <is>
          <t>Two-spot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s="8" t="inlineStr">
        <is>
          <t>Snappers</t>
        </is>
      </c>
      <c r="F349" t="inlineStr"/>
      <c r="G349" t="inlineStr"/>
      <c r="H349" t="inlineStr">
        <is>
          <t>high</t>
        </is>
      </c>
      <c r="I349" t="inlineStr">
        <is>
          <t>taxonomic_containment</t>
        </is>
      </c>
      <c r="J349" t="n">
        <v>430.281</v>
      </c>
      <c r="K349" t="n">
        <v>0.0001</v>
      </c>
      <c r="L349" s="6" t="inlineStr">
        <is>
          <t>Appendix 6.1 pp.327-335 defines Snappers by this family or explicitly names Lutjanus bohar; dedicated source placement overrides the SAU class Medium reef assoc. fish (30 - 89 cm).</t>
        </is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s="7" t="inlineStr">
        <is>
          <t>Juvenile demersal fish (&gt; 30 cm) | Adult demersal fish (&gt; 30 cm)</t>
        </is>
      </c>
      <c r="F350" t="inlineStr">
        <is>
          <t>0.200 | 0.800</t>
        </is>
      </c>
      <c r="G350" t="inlineStr">
        <is>
          <t>model_catch</t>
        </is>
      </c>
      <c r="H350" t="inlineStr">
        <is>
          <t>medium</t>
        </is>
      </c>
      <c r="I350" t="inlineStr">
        <is>
          <t>composite_split</t>
        </is>
      </c>
      <c r="J350" t="n">
        <v>346.7</v>
      </c>
      <c r="K350" t="n">
        <v>0.0001</v>
      </c>
      <c r="L3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1">
      <c r="A351" t="inlineStr">
        <is>
          <t>Caranx sexfasciatus</t>
        </is>
      </c>
      <c r="B351" t="inlineStr">
        <is>
          <t>Bigeye trevally</t>
        </is>
      </c>
      <c r="C351" t="inlineStr">
        <is>
          <t>Large reef assoc. fish (&gt;=90 cm)</t>
        </is>
      </c>
      <c r="D351" t="inlineStr">
        <is>
          <t>Perch-likes</t>
        </is>
      </c>
      <c r="E351" s="7" t="inlineStr">
        <is>
          <t>Juvenile large pelagic fish | Pelagic fish (&gt; 30 cm)</t>
        </is>
      </c>
      <c r="F351" t="inlineStr">
        <is>
          <t>0.202 | 0.798</t>
        </is>
      </c>
      <c r="G351" t="inlineStr">
        <is>
          <t>model_catch</t>
        </is>
      </c>
      <c r="H351" t="inlineStr">
        <is>
          <t>medium</t>
        </is>
      </c>
      <c r="I351" t="inlineStr">
        <is>
          <t>composite_split</t>
        </is>
      </c>
      <c r="J351" t="n">
        <v>293.675</v>
      </c>
      <c r="K351" t="n">
        <v>0.0001</v>
      </c>
      <c r="L35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52">
      <c r="A352" t="inlineStr">
        <is>
          <t>Spratelloides</t>
        </is>
      </c>
      <c r="B352" t="inlineStr">
        <is>
          <t>Round herrings</t>
        </is>
      </c>
      <c r="C352" t="inlineStr">
        <is>
          <t>Small reef assoc. fish (&lt;30 cm)</t>
        </is>
      </c>
      <c r="D352" t="inlineStr">
        <is>
          <t>Herring-likes</t>
        </is>
      </c>
      <c r="E352" s="7" t="inlineStr">
        <is>
          <t>Pelagic fish (≤ 30 cm)</t>
        </is>
      </c>
      <c r="F352" t="inlineStr"/>
      <c r="G352" t="inlineStr"/>
      <c r="H352" t="inlineStr">
        <is>
          <t>medium</t>
        </is>
      </c>
      <c r="I352" t="inlineStr">
        <is>
          <t>habitat_size_guild</t>
        </is>
      </c>
      <c r="J352" t="n">
        <v>262.48</v>
      </c>
      <c r="K352" t="n">
        <v>0.0001</v>
      </c>
      <c r="L35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53">
      <c r="A353" t="inlineStr">
        <is>
          <t>Nibea albiflora</t>
        </is>
      </c>
      <c r="B353" t="inlineStr">
        <is>
          <t>Yellow drum</t>
        </is>
      </c>
      <c r="C353" t="inlineStr">
        <is>
          <t>Medium benthopelagics (30 - 89 cm)</t>
        </is>
      </c>
      <c r="D353" t="inlineStr">
        <is>
          <t>Perch-likes</t>
        </is>
      </c>
      <c r="E353" s="5" t="inlineStr">
        <is>
          <t>Juvenile large croakers | Croakers (&gt; 30 cm)</t>
        </is>
      </c>
      <c r="F353" t="inlineStr">
        <is>
          <t>0.200 | 0.800</t>
        </is>
      </c>
      <c r="G353" t="inlineStr">
        <is>
          <t>model_catch</t>
        </is>
      </c>
      <c r="H353" t="inlineStr">
        <is>
          <t>low</t>
        </is>
      </c>
      <c r="I353" t="inlineStr">
        <is>
          <t>composite_split</t>
        </is>
      </c>
      <c r="J353" t="n">
        <v>252.85</v>
      </c>
      <c r="K353" t="n">
        <v>0.0001</v>
      </c>
      <c r="L35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54">
      <c r="A354" t="inlineStr">
        <is>
          <t>Bramidae</t>
        </is>
      </c>
      <c r="B354" t="inlineStr">
        <is>
          <t>Pomfrets</t>
        </is>
      </c>
      <c r="C354" t="inlineStr">
        <is>
          <t>Medium pelagics (30 - 89 cm)</t>
        </is>
      </c>
      <c r="D354" t="inlineStr">
        <is>
          <t>Perch-likes</t>
        </is>
      </c>
      <c r="E354" s="7" t="inlineStr">
        <is>
          <t>Juvenile large pelagic fish | Pelagic fish (&gt; 30 cm)</t>
        </is>
      </c>
      <c r="F354" t="inlineStr">
        <is>
          <t>0.202 | 0.798</t>
        </is>
      </c>
      <c r="G354" t="inlineStr">
        <is>
          <t>model_catch</t>
        </is>
      </c>
      <c r="H354" t="inlineStr">
        <is>
          <t>medium</t>
        </is>
      </c>
      <c r="I354" t="inlineStr">
        <is>
          <t>composite_split</t>
        </is>
      </c>
      <c r="J354" t="n">
        <v>243.184</v>
      </c>
      <c r="K354" t="n">
        <v>0.0001</v>
      </c>
      <c r="L354" s="6" t="inlineStr">
        <is>
          <t>Analyst habitat/size inference to source &gt;30 cm pelagic fish (Appendix 6.1.24 p.339); no age data, so split juvenile/adult using the period model catch.</t>
        </is>
      </c>
    </row>
    <row r="355">
      <c r="A355" t="inlineStr">
        <is>
          <t>Anguilliformes</t>
        </is>
      </c>
      <c r="B355" t="inlineStr">
        <is>
          <t>Eels, morays</t>
        </is>
      </c>
      <c r="C355" t="inlineStr">
        <is>
          <t>Large demersals (&gt;=90 cm)</t>
        </is>
      </c>
      <c r="D355" t="inlineStr">
        <is>
          <t>Other fishes &amp; inverts</t>
        </is>
      </c>
      <c r="E355" s="7" t="inlineStr">
        <is>
          <t>Juvenile demersal fish (&gt; 30 cm) | Adult demersal fish (&gt; 30 cm)</t>
        </is>
      </c>
      <c r="F355" t="inlineStr">
        <is>
          <t>0.200 | 0.800</t>
        </is>
      </c>
      <c r="G355" t="inlineStr">
        <is>
          <t>model_catch</t>
        </is>
      </c>
      <c r="H355" t="inlineStr">
        <is>
          <t>medium</t>
        </is>
      </c>
      <c r="I355" t="inlineStr">
        <is>
          <t>composite_split</t>
        </is>
      </c>
      <c r="J355" t="n">
        <v>186.602</v>
      </c>
      <c r="K355" t="n">
        <v>0</v>
      </c>
      <c r="L35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6">
      <c r="A356" t="inlineStr">
        <is>
          <t>Crassostrea</t>
        </is>
      </c>
      <c r="B356" t="inlineStr">
        <is>
          <t>Cupped oysters</t>
        </is>
      </c>
      <c r="C356" t="inlineStr">
        <is>
          <t>Other demersal invertebrates</t>
        </is>
      </c>
      <c r="D356" t="inlineStr">
        <is>
          <t>Molluscs</t>
        </is>
      </c>
      <c r="E356" s="8" t="inlineStr">
        <is>
          <t>Non-ceph molluscs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159.458</v>
      </c>
      <c r="K356" t="n">
        <v>0</v>
      </c>
      <c r="L356" s="6" t="inlineStr">
        <is>
          <t>Taxonomic containment in the source benthos subdivision (Appendix 6.1.5 pp.324-325), keeping non-cephalopod molluscs separate from echinoderms and sessile invertebrates.</t>
        </is>
      </c>
    </row>
    <row r="357">
      <c r="A357" t="inlineStr">
        <is>
          <t>Hippocampus</t>
        </is>
      </c>
      <c r="B357" t="inlineStr">
        <is>
          <t>Seahorses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s="7" t="inlineStr">
        <is>
          <t>Demesral fish (≤ 30 cm)</t>
        </is>
      </c>
      <c r="F357" t="inlineStr"/>
      <c r="G357" t="inlineStr"/>
      <c r="H357" t="inlineStr">
        <is>
          <t>medium</t>
        </is>
      </c>
      <c r="I357" t="inlineStr">
        <is>
          <t>habitat_size_guild</t>
        </is>
      </c>
      <c r="J357" t="n">
        <v>148.11</v>
      </c>
      <c r="K357" t="n">
        <v>0</v>
      </c>
      <c r="L357" s="6" t="inlineStr">
        <is>
          <t>Analyst habitat/size inference: small demersal or reef-associated fish after excluding dedicated taxonomic groups, matching Appendix 6.1.19 &lt;=30 cm residual demersal pool.</t>
        </is>
      </c>
    </row>
    <row r="358">
      <c r="A358" t="inlineStr">
        <is>
          <t>Holothuriidae</t>
        </is>
      </c>
      <c r="B358" t="inlineStr">
        <is>
          <t>Fleshy sea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s="8" t="inlineStr">
        <is>
          <t>Echinoderms</t>
        </is>
      </c>
      <c r="F358" t="inlineStr"/>
      <c r="G358" t="inlineStr"/>
      <c r="H358" t="inlineStr">
        <is>
          <t>high</t>
        </is>
      </c>
      <c r="I358" t="inlineStr">
        <is>
          <t>taxonomic_containment</t>
        </is>
      </c>
      <c r="J358" t="n">
        <v>111.296</v>
      </c>
      <c r="K358" t="n">
        <v>0</v>
      </c>
      <c r="L358" s="6" t="inlineStr">
        <is>
          <t>Taxonomic containment in the source benthos subdivision (Appendix 6.1.5 pp.324-325), keeping non-cephalopod molluscs separate from echinoderms and sessile invertebrates.</t>
        </is>
      </c>
    </row>
    <row r="359">
      <c r="A359" t="inlineStr">
        <is>
          <t>Isurus oxyrinchus</t>
        </is>
      </c>
      <c r="B359" t="inlineStr">
        <is>
          <t>Shortfin mako</t>
        </is>
      </c>
      <c r="C359" t="inlineStr">
        <is>
          <t>Large sharks (&gt;=90 cm)</t>
        </is>
      </c>
      <c r="D359" t="inlineStr">
        <is>
          <t>Sharks &amp; rays</t>
        </is>
      </c>
      <c r="E359" s="7" t="inlineStr">
        <is>
          <t>Pelagic sharks and rays</t>
        </is>
      </c>
      <c r="F359" t="inlineStr"/>
      <c r="G359" t="inlineStr"/>
      <c r="H359" t="inlineStr">
        <is>
          <t>medium</t>
        </is>
      </c>
      <c r="I359" t="inlineStr">
        <is>
          <t>habitat_size_guild</t>
        </is>
      </c>
      <c r="J359" t="n">
        <v>107.259</v>
      </c>
      <c r="K359" t="n">
        <v>0</v>
      </c>
      <c r="L359" s="6" t="inlineStr">
        <is>
          <t>Pelagic shark lineage matches the pelagic elasmobranch definition, Appendix 6.1.25 p.340; species placement is analyst inference.</t>
        </is>
      </c>
    </row>
    <row r="360">
      <c r="A360" t="inlineStr">
        <is>
          <t>Amblygaster sirm</t>
        </is>
      </c>
      <c r="B360" t="inlineStr">
        <is>
          <t>Spotted sardinella</t>
        </is>
      </c>
      <c r="C360" t="inlineStr">
        <is>
          <t>Small pelagics (&lt;30 cm)</t>
        </is>
      </c>
      <c r="D360" t="inlineStr">
        <is>
          <t>Herring-likes</t>
        </is>
      </c>
      <c r="E360" s="7" t="inlineStr">
        <is>
          <t>Pelagic fish (≤ 30 cm)</t>
        </is>
      </c>
      <c r="F360" t="inlineStr"/>
      <c r="G360" t="inlineStr"/>
      <c r="H360" t="inlineStr">
        <is>
          <t>medium</t>
        </is>
      </c>
      <c r="I360" t="inlineStr">
        <is>
          <t>habitat_size_guild</t>
        </is>
      </c>
      <c r="J360" t="n">
        <v>103.074</v>
      </c>
      <c r="K360" t="n">
        <v>0</v>
      </c>
      <c r="L36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61">
      <c r="A361" t="inlineStr">
        <is>
          <t>Lampris guttatus</t>
        </is>
      </c>
      <c r="B361" t="inlineStr">
        <is>
          <t>Opah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88.896</v>
      </c>
      <c r="K361" t="n">
        <v>0</v>
      </c>
      <c r="L361" s="6" t="inlineStr">
        <is>
          <t>Northern continental-shelf model lacks a documented oceanic billfish or deep-pelagic compartment; assigning coastal juvenile/adult pelagic SPPR would be unsupported.</t>
        </is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s="8" t="inlineStr">
        <is>
          <t>Non-ceph molluscs</t>
        </is>
      </c>
      <c r="F362" t="inlineStr"/>
      <c r="G362" t="inlineStr"/>
      <c r="H362" t="inlineStr">
        <is>
          <t>high</t>
        </is>
      </c>
      <c r="I362" t="inlineStr">
        <is>
          <t>taxonomic_containment</t>
        </is>
      </c>
      <c r="J362" t="n">
        <v>85.381</v>
      </c>
      <c r="K362" t="n">
        <v>0</v>
      </c>
      <c r="L362" s="6" t="inlineStr">
        <is>
          <t>Taxonomic containment in the source benthos subdivision (Appendix 6.1.5 pp.324-325), keeping non-cephalopod molluscs separate from echinoderms and sessile invertebrates.</t>
        </is>
      </c>
    </row>
    <row r="363">
      <c r="A363" t="inlineStr">
        <is>
          <t>Gymnosarda unicolor</t>
        </is>
      </c>
      <c r="B363" t="inlineStr">
        <is>
          <t>Dogtooth tuna</t>
        </is>
      </c>
      <c r="C363" t="inlineStr">
        <is>
          <t>Large reef assoc. fish (&gt;=90 cm)</t>
        </is>
      </c>
      <c r="D363" t="inlineStr">
        <is>
          <t>Tuna &amp; billfishes</t>
        </is>
      </c>
      <c r="E363" s="7" t="inlineStr">
        <is>
          <t>Juvenile large pelagic fish | Pelagic fish (&gt; 30 cm)</t>
        </is>
      </c>
      <c r="F363" t="inlineStr">
        <is>
          <t>0.202 | 0.798</t>
        </is>
      </c>
      <c r="G363" t="inlineStr">
        <is>
          <t>model_catch</t>
        </is>
      </c>
      <c r="H363" t="inlineStr">
        <is>
          <t>medium</t>
        </is>
      </c>
      <c r="I363" t="inlineStr">
        <is>
          <t>composite_split</t>
        </is>
      </c>
      <c r="J363" t="n">
        <v>44.08</v>
      </c>
      <c r="K363" t="n">
        <v>0</v>
      </c>
      <c r="L363" s="6" t="inlineStr">
        <is>
          <t>Analyst habitat/size inference to source &gt;30 cm pelagic fish (Appendix 6.1.24 p.339); no age data, so split juvenile/adult using the period model catch.</t>
        </is>
      </c>
    </row>
    <row r="364">
      <c r="A364" t="inlineStr">
        <is>
          <t>Tenualosa toli</t>
        </is>
      </c>
      <c r="B364" t="inlineStr">
        <is>
          <t>Toli shad</t>
        </is>
      </c>
      <c r="C364" t="inlineStr">
        <is>
          <t>Medium pelagics (30 - 89 cm)</t>
        </is>
      </c>
      <c r="D364" t="inlineStr">
        <is>
          <t>Herring-likes</t>
        </is>
      </c>
      <c r="E364" s="7" t="inlineStr">
        <is>
          <t>Juvenile large pelagic fish | Pelagic fish (&gt; 30 cm)</t>
        </is>
      </c>
      <c r="F364" t="inlineStr">
        <is>
          <t>0.202 | 0.798</t>
        </is>
      </c>
      <c r="G364" t="inlineStr">
        <is>
          <t>model_catch</t>
        </is>
      </c>
      <c r="H364" t="inlineStr">
        <is>
          <t>medium</t>
        </is>
      </c>
      <c r="I364" t="inlineStr">
        <is>
          <t>composite_split</t>
        </is>
      </c>
      <c r="J364" t="n">
        <v>35.53</v>
      </c>
      <c r="K364" t="n">
        <v>0</v>
      </c>
      <c r="L364" s="6" t="inlineStr">
        <is>
          <t>Analyst habitat/size inference to source &gt;30 cm pelagic fish (Appendix 6.1.24 p.339); no age data, so split juvenile/adult using the period model catch.</t>
        </is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s="7" t="inlineStr">
        <is>
          <t>Pelagic sharks and rays</t>
        </is>
      </c>
      <c r="F365" t="inlineStr"/>
      <c r="G365" t="inlineStr"/>
      <c r="H365" t="inlineStr">
        <is>
          <t>medium</t>
        </is>
      </c>
      <c r="I365" t="inlineStr">
        <is>
          <t>habitat_size_guild</t>
        </is>
      </c>
      <c r="J365" t="n">
        <v>33.286</v>
      </c>
      <c r="K365" t="n">
        <v>0</v>
      </c>
      <c r="L365" s="6" t="inlineStr">
        <is>
          <t>Pelagic shark lineage matches the pelagic elasmobranch definition, Appendix 6.1.25 p.340; species placement is analyst inference.</t>
        </is>
      </c>
    </row>
    <row r="366">
      <c r="A366" t="inlineStr">
        <is>
          <t>Ostreidae</t>
        </is>
      </c>
      <c r="B366" t="inlineStr">
        <is>
          <t>True oysters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Non-ceph molluscs</t>
        </is>
      </c>
      <c r="F366" t="inlineStr"/>
      <c r="G366" t="inlineStr"/>
      <c r="H366" t="inlineStr">
        <is>
          <t>high</t>
        </is>
      </c>
      <c r="I366" t="inlineStr">
        <is>
          <t>taxonomic_containment</t>
        </is>
      </c>
      <c r="J366" t="n">
        <v>29.373</v>
      </c>
      <c r="K366" t="n">
        <v>0</v>
      </c>
      <c r="L366" s="6" t="inlineStr">
        <is>
          <t>Taxonomic containment in the source benthos subdivision (Appendix 6.1.5 pp.324-325), keeping non-cephalopod molluscs separate from echinoderms and sessile invertebrates.</t>
        </is>
      </c>
    </row>
    <row r="367">
      <c r="A367" t="inlineStr">
        <is>
          <t>Tripneustes gratilla</t>
        </is>
      </c>
      <c r="B367" t="inlineStr">
        <is>
          <t>Shortspine urchin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s="8" t="inlineStr">
        <is>
          <t>Echinoderms</t>
        </is>
      </c>
      <c r="F367" t="inlineStr"/>
      <c r="G367" t="inlineStr"/>
      <c r="H367" t="inlineStr">
        <is>
          <t>high</t>
        </is>
      </c>
      <c r="I367" t="inlineStr">
        <is>
          <t>taxonomic_containment</t>
        </is>
      </c>
      <c r="J367" t="n">
        <v>23.761</v>
      </c>
      <c r="K367" t="n">
        <v>0</v>
      </c>
      <c r="L367" s="6" t="inlineStr">
        <is>
          <t>Taxonomic containment in the source benthos subdivision (Appendix 6.1.5 pp.324-325), keeping non-cephalopod molluscs separate from echinoderms and sessile invertebrates.</t>
        </is>
      </c>
    </row>
    <row r="368">
      <c r="A368" t="inlineStr">
        <is>
          <t>Lutjanus argentimaculatus</t>
        </is>
      </c>
      <c r="B368" t="inlineStr">
        <is>
          <t>Mangrove red snapper</t>
        </is>
      </c>
      <c r="C368" t="inlineStr">
        <is>
          <t>Large reef assoc. fish (&gt;=90 cm)</t>
        </is>
      </c>
      <c r="D368" t="inlineStr">
        <is>
          <t>Perch-likes</t>
        </is>
      </c>
      <c r="E368" s="8" t="inlineStr">
        <is>
          <t>Snappers</t>
        </is>
      </c>
      <c r="F368" t="inlineStr"/>
      <c r="G368" t="inlineStr"/>
      <c r="H368" t="inlineStr">
        <is>
          <t>high</t>
        </is>
      </c>
      <c r="I368" t="inlineStr">
        <is>
          <t>taxonomic_containment</t>
        </is>
      </c>
      <c r="J368" t="n">
        <v>11.548</v>
      </c>
      <c r="K368" t="n">
        <v>0</v>
      </c>
      <c r="L368" s="6" t="inlineStr">
        <is>
          <t>Appendix 6.1 pp.327-335 defines Snappers by this family or explicitly names Lutjanus argentimaculatus; dedicated source placement overrides the SAU class Large reef assoc. fish (&gt;=90 cm).</t>
        </is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s="7" t="inlineStr">
        <is>
          <t>Juvenile large pelagic fish | Pelagic fish (&gt; 30 cm)</t>
        </is>
      </c>
      <c r="F369" t="inlineStr">
        <is>
          <t>0.202 | 0.798</t>
        </is>
      </c>
      <c r="G369" t="inlineStr">
        <is>
          <t>model_catch</t>
        </is>
      </c>
      <c r="H369" t="inlineStr">
        <is>
          <t>medium</t>
        </is>
      </c>
      <c r="I369" t="inlineStr">
        <is>
          <t>composite_split</t>
        </is>
      </c>
      <c r="J369" t="n">
        <v>8.972</v>
      </c>
      <c r="K369" t="n">
        <v>0</v>
      </c>
      <c r="L369" s="6" t="inlineStr">
        <is>
          <t>Analyst habitat/size inference to source &gt;30 cm pelagic fish (Appendix 6.1.24 p.339); no age data, so split juvenile/adult using the period model catch.</t>
        </is>
      </c>
    </row>
    <row r="370">
      <c r="A370" t="inlineStr">
        <is>
          <t>Sphyraena jello</t>
        </is>
      </c>
      <c r="B370" t="inlineStr">
        <is>
          <t>Pickhandle barracuda</t>
        </is>
      </c>
      <c r="C370" t="inlineStr">
        <is>
          <t>Large reef assoc. fish (&gt;=90 cm)</t>
        </is>
      </c>
      <c r="D370" t="inlineStr">
        <is>
          <t>Perch-likes</t>
        </is>
      </c>
      <c r="E370" s="7" t="inlineStr">
        <is>
          <t>Juvenile large pelagic fish | Pelagic fish (&gt; 30 cm)</t>
        </is>
      </c>
      <c r="F370" t="inlineStr">
        <is>
          <t>0.202 | 0.798</t>
        </is>
      </c>
      <c r="G370" t="inlineStr">
        <is>
          <t>model_catch</t>
        </is>
      </c>
      <c r="H370" t="inlineStr">
        <is>
          <t>medium</t>
        </is>
      </c>
      <c r="I370" t="inlineStr">
        <is>
          <t>composite_split</t>
        </is>
      </c>
      <c r="J370" t="n">
        <v>5.98</v>
      </c>
      <c r="K370" t="n">
        <v>0</v>
      </c>
      <c r="L370" s="6" t="inlineStr">
        <is>
          <t>Analyst habitat/size inference to source &gt;30 cm pelagic fish (Appendix 6.1.24 p.339); no age data, so split juvenile/adult using the period model catch.</t>
        </is>
      </c>
    </row>
    <row r="371">
      <c r="A371" t="inlineStr">
        <is>
          <t>Echinozoa</t>
        </is>
      </c>
      <c r="B371" t="inlineStr">
        <is>
          <t>Sea urchins and sea cucumbers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s="8" t="inlineStr">
        <is>
          <t>Echinoderms</t>
        </is>
      </c>
      <c r="F371" t="inlineStr"/>
      <c r="G371" t="inlineStr"/>
      <c r="H371" t="inlineStr">
        <is>
          <t>high</t>
        </is>
      </c>
      <c r="I371" t="inlineStr">
        <is>
          <t>taxonomic_containment</t>
        </is>
      </c>
      <c r="J371" t="n">
        <v>4.765</v>
      </c>
      <c r="K371" t="n">
        <v>0</v>
      </c>
      <c r="L371" s="6" t="inlineStr">
        <is>
          <t>Taxonomic containment in the source benthos subdivision (Appendix 6.1.5 pp.324-325), keeping non-cephalopod molluscs separate from echinoderms and sessile invertebrates.</t>
        </is>
      </c>
    </row>
    <row r="372">
      <c r="A372" t="inlineStr">
        <is>
          <t>Tetrapturus angustirostris</t>
        </is>
      </c>
      <c r="B372" t="inlineStr">
        <is>
          <t>Shortbill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1.605</v>
      </c>
      <c r="K372" t="n">
        <v>0</v>
      </c>
      <c r="L372" s="6" t="inlineStr">
        <is>
          <t>Northern continental-shelf model lacks a documented oceanic billfish or deep-pelagic compartment; assigning coastal juvenile/adult pelagic SPPR would be unsupported.</t>
        </is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s="7" t="inlineStr">
        <is>
          <t>Pelagic sharks and rays</t>
        </is>
      </c>
      <c r="F373" t="inlineStr"/>
      <c r="G373" t="inlineStr"/>
      <c r="H373" t="inlineStr">
        <is>
          <t>medium</t>
        </is>
      </c>
      <c r="I373" t="inlineStr">
        <is>
          <t>habitat_size_guild</t>
        </is>
      </c>
      <c r="J373" t="n">
        <v>0.97</v>
      </c>
      <c r="K373" t="n">
        <v>0</v>
      </c>
      <c r="L373" s="6" t="inlineStr">
        <is>
          <t>Pelagic shark lineage matches the pelagic elasmobranch definition, Appendix 6.1.25 p.340; species placement is analyst inference.</t>
        </is>
      </c>
    </row>
    <row r="374">
      <c r="A374" t="inlineStr">
        <is>
          <t>Trochus niloticus</t>
        </is>
      </c>
      <c r="B374" t="inlineStr">
        <is>
          <t>Commercial top</t>
        </is>
      </c>
      <c r="C374" t="inlineStr">
        <is>
          <t>Other demersal invertebrates</t>
        </is>
      </c>
      <c r="D374" t="inlineStr">
        <is>
          <t>Molluscs</t>
        </is>
      </c>
      <c r="E374" s="8" t="inlineStr">
        <is>
          <t>Non-ceph molluscs</t>
        </is>
      </c>
      <c r="F374" t="inlineStr"/>
      <c r="G374" t="inlineStr"/>
      <c r="H374" t="inlineStr">
        <is>
          <t>high</t>
        </is>
      </c>
      <c r="I374" t="inlineStr">
        <is>
          <t>taxonomic_containment</t>
        </is>
      </c>
      <c r="J374" t="n">
        <v>0.955</v>
      </c>
      <c r="K374" t="n">
        <v>0</v>
      </c>
      <c r="L374" s="6" t="inlineStr">
        <is>
          <t>Taxonomic containment in the source benthos subdivision (Appendix 6.1.5 pp.324-325), keeping non-cephalopod molluscs separate from echinoderms and sessile invertebrates.</t>
        </is>
      </c>
    </row>
    <row r="375">
      <c r="A375" t="inlineStr">
        <is>
          <t>Holothuroidea</t>
        </is>
      </c>
      <c r="B375" t="inlineStr">
        <is>
          <t>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s="8" t="inlineStr">
        <is>
          <t>Echinoderms</t>
        </is>
      </c>
      <c r="F375" t="inlineStr"/>
      <c r="G375" t="inlineStr"/>
      <c r="H375" t="inlineStr">
        <is>
          <t>high</t>
        </is>
      </c>
      <c r="I375" t="inlineStr">
        <is>
          <t>taxonomic_containment</t>
        </is>
      </c>
      <c r="J375" t="n">
        <v>0.761</v>
      </c>
      <c r="K375" t="n">
        <v>0</v>
      </c>
      <c r="L375" s="6" t="inlineStr">
        <is>
          <t>Taxonomic containment in the source benthos subdivision (Appendix 6.1.5 pp.324-325), keeping non-cephalopod molluscs separate from echinoderms and sessile invertebrates.</t>
        </is>
      </c>
    </row>
    <row r="376">
      <c r="A376" t="inlineStr">
        <is>
          <t>Pinctada</t>
        </is>
      </c>
      <c r="B376" t="inlineStr">
        <is>
          <t>Mother of pearl oysters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Non-ceph molluscs</t>
        </is>
      </c>
      <c r="F376" t="inlineStr"/>
      <c r="G376" t="inlineStr"/>
      <c r="H376" t="inlineStr">
        <is>
          <t>high</t>
        </is>
      </c>
      <c r="I376" t="inlineStr">
        <is>
          <t>taxonomic_containment</t>
        </is>
      </c>
      <c r="J376" t="n">
        <v>0.106</v>
      </c>
      <c r="K376" t="n">
        <v>0</v>
      </c>
      <c r="L376" s="6" t="inlineStr">
        <is>
          <t>Taxonomic containment in the source benthos subdivision (Appendix 6.1.5 pp.324-325), keeping non-cephalopod molluscs separate from echinoderms and sessile invertebrates.</t>
        </is>
      </c>
    </row>
    <row r="377">
      <c r="A377" t="inlineStr">
        <is>
          <t>Carcharhinus amblyrhynchos</t>
        </is>
      </c>
      <c r="B377" t="inlineStr">
        <is>
          <t>Blacktail reef shark</t>
        </is>
      </c>
      <c r="C377" t="inlineStr">
        <is>
          <t>Large sharks (&gt;=90 cm)</t>
        </is>
      </c>
      <c r="D377" t="inlineStr">
        <is>
          <t>Sharks &amp; rays</t>
        </is>
      </c>
      <c r="E377" s="7" t="inlineStr">
        <is>
          <t>Demersal sharks and rays</t>
        </is>
      </c>
      <c r="F377" t="inlineStr"/>
      <c r="G377" t="inlineStr"/>
      <c r="H377" t="inlineStr">
        <is>
          <t>medium</t>
        </is>
      </c>
      <c r="I377" t="inlineStr">
        <is>
          <t>habitat_size_guild</t>
        </is>
      </c>
      <c r="J377" t="n">
        <v>0.002</v>
      </c>
      <c r="K377" t="n">
        <v>0</v>
      </c>
      <c r="L377" s="6" t="inlineStr">
        <is>
          <t>Reef-associated shark inferred to the demersal rather than pelagic elasmobranch pool (Appendix 6.1.25 p.340).</t>
        </is>
      </c>
    </row>
    <row r="378">
      <c r="A378" t="inlineStr">
        <is>
          <t>Sphyrnidae</t>
        </is>
      </c>
      <c r="B378" t="inlineStr">
        <is>
          <t>Hammer, bonnet, scoophead sharks</t>
        </is>
      </c>
      <c r="C378" t="inlineStr">
        <is>
          <t>Large sharks (&gt;=90 cm)</t>
        </is>
      </c>
      <c r="D378" t="inlineStr">
        <is>
          <t>Sharks &amp; rays</t>
        </is>
      </c>
      <c r="E378" s="7" t="inlineStr">
        <is>
          <t>Pelagic sharks and rays</t>
        </is>
      </c>
      <c r="F378" t="inlineStr"/>
      <c r="G378" t="inlineStr"/>
      <c r="H378" t="inlineStr">
        <is>
          <t>medium</t>
        </is>
      </c>
      <c r="I378" t="inlineStr">
        <is>
          <t>habitat_size_guild</t>
        </is>
      </c>
      <c r="J378" t="n">
        <v>0</v>
      </c>
      <c r="K378" t="n">
        <v>0</v>
      </c>
      <c r="L378" s="6" t="inlineStr">
        <is>
          <t>Pelagic shark lineage matches the pelagic elasmobranch definition, Appendix 6.1.25 p.340; species placement is analyst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51" customHeight="1">
      <c r="A5" s="10" t="inlineStr">
        <is>
          <t>LME_036</t>
        </is>
      </c>
      <c r="B5" s="11" t="inlineStr">
        <is>
          <t>36_2_South_China_Sea_SCS-2007_Northern_South_China_Sea_(1970s)</t>
        </is>
      </c>
      <c r="C5" s="11" t="inlineStr">
        <is>
          <t>Marine fishes not identified</t>
        </is>
      </c>
      <c r="D5" s="10" t="inlineStr">
        <is>
          <t>Marine fishes nei</t>
        </is>
      </c>
      <c r="E5" s="10" t="inlineStr">
        <is>
          <t>Medium demersals (30 - 89 cm)</t>
        </is>
      </c>
      <c r="F5" s="10" t="inlineStr">
        <is>
          <t>Other fishes &amp; inverts</t>
        </is>
      </c>
      <c r="G5" s="11" t="inlineStr">
        <is>
          <t>Demesral fish (≤ 30 cm)</t>
        </is>
      </c>
      <c r="H5" s="12" t="n">
        <v>0.3854700854700854</v>
      </c>
      <c r="I5" s="10" t="inlineStr">
        <is>
          <t>model_catch</t>
        </is>
      </c>
      <c r="J5" s="13" t="inlineStr">
        <is>
          <t>low</t>
        </is>
      </c>
      <c r="K5" s="10" t="inlineStr">
        <is>
          <t>composite_split</t>
        </is>
      </c>
      <c r="L5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" s="10" t="n">
        <v>36494986.294</v>
      </c>
    </row>
    <row r="6" ht="51" customHeight="1">
      <c r="A6" s="10" t="inlineStr">
        <is>
          <t>LME_036</t>
        </is>
      </c>
      <c r="B6" s="11" t="inlineStr">
        <is>
          <t>36_2_South_China_Sea_SCS-2007_Northern_South_China_Sea_(1970s)</t>
        </is>
      </c>
      <c r="C6" s="11" t="inlineStr">
        <is>
          <t>Marine fishes not identified</t>
        </is>
      </c>
      <c r="D6" s="10" t="inlineStr">
        <is>
          <t>Marine fishes nei</t>
        </is>
      </c>
      <c r="E6" s="10" t="inlineStr">
        <is>
          <t>Medium demersals (30 - 89 cm)</t>
        </is>
      </c>
      <c r="F6" s="10" t="inlineStr">
        <is>
          <t>Other fishes &amp; inverts</t>
        </is>
      </c>
      <c r="G6" s="11" t="inlineStr">
        <is>
          <t>Juvenile demersal fish (&gt; 30 cm)</t>
        </is>
      </c>
      <c r="H6" s="12" t="n">
        <v>0.1230769230769231</v>
      </c>
      <c r="I6" s="10" t="inlineStr">
        <is>
          <t>model_catch</t>
        </is>
      </c>
      <c r="J6" s="13" t="inlineStr">
        <is>
          <t>low</t>
        </is>
      </c>
      <c r="K6" s="10" t="inlineStr">
        <is>
          <t>composite_split</t>
        </is>
      </c>
      <c r="L6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" s="10" t="n">
        <v>36494986.294</v>
      </c>
    </row>
    <row r="7" ht="51" customHeight="1">
      <c r="A7" s="10" t="inlineStr">
        <is>
          <t>LME_036</t>
        </is>
      </c>
      <c r="B7" s="11" t="inlineStr">
        <is>
          <t>36_2_South_China_Sea_SCS-2007_Northern_South_China_Sea_(1970s)</t>
        </is>
      </c>
      <c r="C7" s="11" t="inlineStr">
        <is>
          <t>Marine fishes not identified</t>
        </is>
      </c>
      <c r="D7" s="10" t="inlineStr">
        <is>
          <t>Marine fishes nei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Adult demersal fish (&gt; 30 cm)</t>
        </is>
      </c>
      <c r="H7" s="12" t="n">
        <v>0.4914529914529914</v>
      </c>
      <c r="I7" s="10" t="inlineStr">
        <is>
          <t>model_catch</t>
        </is>
      </c>
      <c r="J7" s="13" t="inlineStr">
        <is>
          <t>low</t>
        </is>
      </c>
      <c r="K7" s="10" t="inlineStr">
        <is>
          <t>composite_split</t>
        </is>
      </c>
      <c r="L7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7" s="10" t="n">
        <v>36494986.294</v>
      </c>
    </row>
    <row r="8" ht="36" customHeight="1">
      <c r="A8" s="10" t="inlineStr">
        <is>
          <t>LME_036</t>
        </is>
      </c>
      <c r="B8" s="11" t="inlineStr">
        <is>
          <t>36_2_South_China_Sea_SCS-2007_Northern_South_China_Sea_(1970s)</t>
        </is>
      </c>
      <c r="C8" s="11" t="inlineStr">
        <is>
          <t>Trichiurus lepturus</t>
        </is>
      </c>
      <c r="D8" s="10" t="inlineStr">
        <is>
          <t>Largehead hairtail</t>
        </is>
      </c>
      <c r="E8" s="10" t="inlineStr">
        <is>
          <t>Large benthopelagics (&gt;=90 cm)</t>
        </is>
      </c>
      <c r="F8" s="10" t="inlineStr">
        <is>
          <t>Perch-likes</t>
        </is>
      </c>
      <c r="G8" s="11" t="inlineStr">
        <is>
          <t>Juvenile Hairtail (trichiurids)</t>
        </is>
      </c>
      <c r="H8" s="12" t="n">
        <v>0.2</v>
      </c>
      <c r="I8" s="10" t="inlineStr">
        <is>
          <t>model_catch</t>
        </is>
      </c>
      <c r="J8" s="14" t="inlineStr">
        <is>
          <t>medium</t>
        </is>
      </c>
      <c r="K8" s="10" t="inlineStr">
        <is>
          <t>composite_split</t>
        </is>
      </c>
      <c r="L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8" s="10" t="n">
        <v>20943613.088</v>
      </c>
    </row>
    <row r="9" ht="36" customHeight="1">
      <c r="A9" s="10" t="inlineStr">
        <is>
          <t>LME_036</t>
        </is>
      </c>
      <c r="B9" s="11" t="inlineStr">
        <is>
          <t>36_2_South_China_Sea_SCS-2007_Northern_South_China_Sea_(1970s)</t>
        </is>
      </c>
      <c r="C9" s="11" t="inlineStr">
        <is>
          <t>Trichiurus lepturus</t>
        </is>
      </c>
      <c r="D9" s="10" t="inlineStr">
        <is>
          <t>Largehead hairtail</t>
        </is>
      </c>
      <c r="E9" s="10" t="inlineStr">
        <is>
          <t>Large benthopelagics (&gt;=90 cm)</t>
        </is>
      </c>
      <c r="F9" s="10" t="inlineStr">
        <is>
          <t>Perch-likes</t>
        </is>
      </c>
      <c r="G9" s="11" t="inlineStr">
        <is>
          <t>Adult hairtail (trichiurids)</t>
        </is>
      </c>
      <c r="H9" s="12" t="n">
        <v>0.8</v>
      </c>
      <c r="I9" s="10" t="inlineStr">
        <is>
          <t>model_catch</t>
        </is>
      </c>
      <c r="J9" s="14" t="inlineStr">
        <is>
          <t>medium</t>
        </is>
      </c>
      <c r="K9" s="10" t="inlineStr">
        <is>
          <t>composite_split</t>
        </is>
      </c>
      <c r="L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9" s="10" t="n">
        <v>20943613.088</v>
      </c>
    </row>
    <row r="10" ht="36" customHeight="1">
      <c r="A10" s="10" t="inlineStr">
        <is>
          <t>LME_036</t>
        </is>
      </c>
      <c r="B10" s="11" t="inlineStr">
        <is>
          <t>36_2_South_China_Sea_SCS-2007_Northern_South_China_Sea_(1970s)</t>
        </is>
      </c>
      <c r="C10" s="11" t="inlineStr">
        <is>
          <t>Scyphozoa</t>
        </is>
      </c>
      <c r="D10" s="10" t="inlineStr">
        <is>
          <t>True jellyfishes</t>
        </is>
      </c>
      <c r="E10" s="10" t="inlineStr">
        <is>
          <t>Jellyfish</t>
        </is>
      </c>
      <c r="F10" s="10" t="inlineStr">
        <is>
          <t>Other fishes &amp; inverts</t>
        </is>
      </c>
      <c r="G10" s="11" t="inlineStr">
        <is>
          <t>Jellyfish</t>
        </is>
      </c>
      <c r="H10" s="12" t="n">
        <v>1</v>
      </c>
      <c r="I10" s="10" t="inlineStr">
        <is>
          <t>single</t>
        </is>
      </c>
      <c r="J10" s="15" t="inlineStr">
        <is>
          <t>high</t>
        </is>
      </c>
      <c r="K10" s="10" t="inlineStr">
        <is>
          <t>taxonomic_containment</t>
        </is>
      </c>
      <c r="L10" s="11" t="inlineStr">
        <is>
          <t>Appendix 6.1.4 p.324 defines jellyfish as cnidarian medusae.</t>
        </is>
      </c>
      <c r="M10" s="10" t="n">
        <v>19842389.932</v>
      </c>
    </row>
    <row r="11" ht="51" customHeight="1">
      <c r="A11" s="10" t="inlineStr">
        <is>
          <t>LME_036</t>
        </is>
      </c>
      <c r="B11" s="11" t="inlineStr">
        <is>
          <t>36_2_South_China_Sea_SCS-2007_Northern_South_China_Sea_(1970s)</t>
        </is>
      </c>
      <c r="C11" s="11" t="inlineStr">
        <is>
          <t>Synodontidae</t>
        </is>
      </c>
      <c r="D11" s="10" t="inlineStr">
        <is>
          <t>Lizardfishes, sauries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Lizard fish (synodontids)</t>
        </is>
      </c>
      <c r="H11" s="12" t="n">
        <v>1</v>
      </c>
      <c r="I11" s="10" t="inlineStr">
        <is>
          <t>single</t>
        </is>
      </c>
      <c r="J11" s="15" t="inlineStr">
        <is>
          <t>high</t>
        </is>
      </c>
      <c r="K11" s="10" t="inlineStr">
        <is>
          <t>taxonomic_containment</t>
        </is>
      </c>
      <c r="L11" s="11" t="inlineStr">
        <is>
          <t>Appendix 6.1 pp.327-335 defines Lizard fish (synodontids) by this family or explicitly names Synodontidae; dedicated source placement overrides the SAU class Medium demersals (30 - 89 cm).</t>
        </is>
      </c>
      <c r="M11" s="10" t="n">
        <v>13852255.834</v>
      </c>
    </row>
    <row r="12" ht="51" customHeight="1">
      <c r="A12" s="10" t="inlineStr">
        <is>
          <t>LME_036</t>
        </is>
      </c>
      <c r="B12" s="11" t="inlineStr">
        <is>
          <t>36_2_South_China_Sea_SCS-2007_Northern_South_China_Sea_(1970s)</t>
        </is>
      </c>
      <c r="C12" s="11" t="inlineStr">
        <is>
          <t>Alepes</t>
        </is>
      </c>
      <c r="D12" s="10" t="inlineStr">
        <is>
          <t>Crevalles</t>
        </is>
      </c>
      <c r="E12" s="10" t="inlineStr">
        <is>
          <t>Medium reef assoc. fish (30 - 89 cm)</t>
        </is>
      </c>
      <c r="F12" s="10" t="inlineStr">
        <is>
          <t>Perch-likes</t>
        </is>
      </c>
      <c r="G12" s="11" t="inlineStr">
        <is>
          <t>Juvenile large pelagic fish</t>
        </is>
      </c>
      <c r="H12" s="12" t="n">
        <v>0.2016806722689076</v>
      </c>
      <c r="I12" s="10" t="inlineStr">
        <is>
          <t>model_catch</t>
        </is>
      </c>
      <c r="J12" s="14" t="inlineStr">
        <is>
          <t>medium</t>
        </is>
      </c>
      <c r="K12" s="10" t="inlineStr">
        <is>
          <t>composite_split</t>
        </is>
      </c>
      <c r="L1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2" s="10" t="n">
        <v>13356624.376</v>
      </c>
    </row>
    <row r="13" ht="51" customHeight="1">
      <c r="A13" s="10" t="inlineStr">
        <is>
          <t>LME_036</t>
        </is>
      </c>
      <c r="B13" s="11" t="inlineStr">
        <is>
          <t>36_2_South_China_Sea_SCS-2007_Northern_South_China_Sea_(1970s)</t>
        </is>
      </c>
      <c r="C13" s="11" t="inlineStr">
        <is>
          <t>Alepes</t>
        </is>
      </c>
      <c r="D13" s="10" t="inlineStr">
        <is>
          <t>Crevalles</t>
        </is>
      </c>
      <c r="E13" s="10" t="inlineStr">
        <is>
          <t>Medium reef assoc. fish (30 - 89 cm)</t>
        </is>
      </c>
      <c r="F13" s="10" t="inlineStr">
        <is>
          <t>Perch-likes</t>
        </is>
      </c>
      <c r="G13" s="11" t="inlineStr">
        <is>
          <t>Pelagic fish (&gt; 30 cm)</t>
        </is>
      </c>
      <c r="H13" s="12" t="n">
        <v>0.7983193277310925</v>
      </c>
      <c r="I13" s="10" t="inlineStr">
        <is>
          <t>model_catch</t>
        </is>
      </c>
      <c r="J13" s="14" t="inlineStr">
        <is>
          <t>medium</t>
        </is>
      </c>
      <c r="K13" s="10" t="inlineStr">
        <is>
          <t>composite_split</t>
        </is>
      </c>
      <c r="L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3" s="10" t="n">
        <v>13356624.376</v>
      </c>
    </row>
    <row r="14" ht="51" customHeight="1">
      <c r="A14" s="10" t="inlineStr">
        <is>
          <t>LME_036</t>
        </is>
      </c>
      <c r="B14" s="11" t="inlineStr">
        <is>
          <t>36_2_South_China_Sea_SCS-2007_Northern_South_China_Sea_(1970s)</t>
        </is>
      </c>
      <c r="C14" s="11" t="inlineStr">
        <is>
          <t>Carangidae</t>
        </is>
      </c>
      <c r="D14" s="10" t="inlineStr">
        <is>
          <t>Jacks, pompanos</t>
        </is>
      </c>
      <c r="E14" s="10" t="inlineStr">
        <is>
          <t>Medium pelagics (30 - 89 cm)</t>
        </is>
      </c>
      <c r="F14" s="10" t="inlineStr">
        <is>
          <t>Perch-likes</t>
        </is>
      </c>
      <c r="G14" s="11" t="inlineStr">
        <is>
          <t>Pelagic fish (≤ 30 cm)</t>
        </is>
      </c>
      <c r="H14" s="12" t="n">
        <v>0.7541322314049587</v>
      </c>
      <c r="I14" s="10" t="inlineStr">
        <is>
          <t>model_catch</t>
        </is>
      </c>
      <c r="J14" s="13" t="inlineStr">
        <is>
          <t>low</t>
        </is>
      </c>
      <c r="K14" s="10" t="inlineStr">
        <is>
          <t>composite_split</t>
        </is>
      </c>
      <c r="L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" s="10" t="n">
        <v>11518481.788</v>
      </c>
    </row>
    <row r="15" ht="51" customHeight="1">
      <c r="A15" s="10" t="inlineStr">
        <is>
          <t>LME_036</t>
        </is>
      </c>
      <c r="B15" s="11" t="inlineStr">
        <is>
          <t>36_2_South_China_Sea_SCS-2007_Northern_South_China_Sea_(1970s)</t>
        </is>
      </c>
      <c r="C15" s="11" t="inlineStr">
        <is>
          <t>Carangidae</t>
        </is>
      </c>
      <c r="D15" s="10" t="inlineStr">
        <is>
          <t>Jacks, pompanos</t>
        </is>
      </c>
      <c r="E15" s="10" t="inlineStr">
        <is>
          <t>Medium pelagics (30 - 89 cm)</t>
        </is>
      </c>
      <c r="F15" s="10" t="inlineStr">
        <is>
          <t>Perch-likes</t>
        </is>
      </c>
      <c r="G15" s="11" t="inlineStr">
        <is>
          <t>Juvenile large pelagic fish</t>
        </is>
      </c>
      <c r="H15" s="12" t="n">
        <v>0.04958677685950413</v>
      </c>
      <c r="I15" s="10" t="inlineStr">
        <is>
          <t>model_catch</t>
        </is>
      </c>
      <c r="J15" s="13" t="inlineStr">
        <is>
          <t>low</t>
        </is>
      </c>
      <c r="K15" s="10" t="inlineStr">
        <is>
          <t>composite_split</t>
        </is>
      </c>
      <c r="L1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" s="10" t="n">
        <v>11518481.788</v>
      </c>
    </row>
    <row r="16" ht="51" customHeight="1">
      <c r="A16" s="10" t="inlineStr">
        <is>
          <t>LME_036</t>
        </is>
      </c>
      <c r="B16" s="11" t="inlineStr">
        <is>
          <t>36_2_South_China_Sea_SCS-2007_Northern_South_China_Sea_(1970s)</t>
        </is>
      </c>
      <c r="C16" s="11" t="inlineStr">
        <is>
          <t>Carangidae</t>
        </is>
      </c>
      <c r="D16" s="10" t="inlineStr">
        <is>
          <t>Jacks, pompanos</t>
        </is>
      </c>
      <c r="E16" s="10" t="inlineStr">
        <is>
          <t>Medium pelagics (30 - 89 cm)</t>
        </is>
      </c>
      <c r="F16" s="10" t="inlineStr">
        <is>
          <t>Perch-likes</t>
        </is>
      </c>
      <c r="G16" s="11" t="inlineStr">
        <is>
          <t>Pelagic fish (&gt; 30 cm)</t>
        </is>
      </c>
      <c r="H16" s="12" t="n">
        <v>0.1962809917355372</v>
      </c>
      <c r="I16" s="10" t="inlineStr">
        <is>
          <t>model_catch</t>
        </is>
      </c>
      <c r="J16" s="13" t="inlineStr">
        <is>
          <t>low</t>
        </is>
      </c>
      <c r="K16" s="10" t="inlineStr">
        <is>
          <t>composite_split</t>
        </is>
      </c>
      <c r="L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6" s="10" t="n">
        <v>11518481.788</v>
      </c>
    </row>
    <row r="17" ht="36" customHeight="1">
      <c r="A17" s="10" t="inlineStr">
        <is>
          <t>LME_036</t>
        </is>
      </c>
      <c r="B17" s="11" t="inlineStr">
        <is>
          <t>36_2_South_China_Sea_SCS-2007_Northern_South_China_Sea_(1970s)</t>
        </is>
      </c>
      <c r="C17" s="11" t="inlineStr">
        <is>
          <t>Mollusca</t>
        </is>
      </c>
      <c r="D17" s="10" t="inlineStr">
        <is>
          <t>Clams, seasnails, squids, octopuses</t>
        </is>
      </c>
      <c r="E17" s="10" t="inlineStr">
        <is>
          <t>Other demersal invertebrates</t>
        </is>
      </c>
      <c r="F17" s="10" t="inlineStr">
        <is>
          <t>Molluscs</t>
        </is>
      </c>
      <c r="G17" s="11" t="inlineStr">
        <is>
          <t>Non-ceph molluscs</t>
        </is>
      </c>
      <c r="H17" s="12" t="n">
        <v>1</v>
      </c>
      <c r="I17" s="10" t="inlineStr">
        <is>
          <t>single</t>
        </is>
      </c>
      <c r="J17" s="15" t="inlineStr">
        <is>
          <t>high</t>
        </is>
      </c>
      <c r="K17" s="10" t="inlineStr">
        <is>
          <t>taxonomic_containment</t>
        </is>
      </c>
      <c r="L17" s="11" t="inlineStr">
        <is>
          <t>Taxonomic containment in the source benthos subdivision (Appendix 6.1.5 pp.324-325), keeping non-cephalopod molluscs separate from echinoderms and sessile invertebrates.</t>
        </is>
      </c>
      <c r="M17" s="10" t="n">
        <v>10987962.459</v>
      </c>
    </row>
    <row r="18" ht="36" customHeight="1">
      <c r="A18" s="10" t="inlineStr">
        <is>
          <t>LME_036</t>
        </is>
      </c>
      <c r="B18" s="11" t="inlineStr">
        <is>
          <t>36_2_South_China_Sea_SCS-2007_Northern_South_China_Sea_(1970s)</t>
        </is>
      </c>
      <c r="C18" s="11" t="inlineStr">
        <is>
          <t>Acetes japonicus</t>
        </is>
      </c>
      <c r="D18" s="10" t="inlineStr">
        <is>
          <t>Akiami paste shrimp</t>
        </is>
      </c>
      <c r="E18" s="10" t="inlineStr">
        <is>
          <t>Shrimps</t>
        </is>
      </c>
      <c r="F18" s="10" t="inlineStr">
        <is>
          <t>Crustaceans</t>
        </is>
      </c>
      <c r="G18" s="11" t="inlineStr">
        <is>
          <t>Zooplankton</t>
        </is>
      </c>
      <c r="H18" s="12" t="n">
        <v>1</v>
      </c>
      <c r="I18" s="10" t="inlineStr">
        <is>
          <t>single</t>
        </is>
      </c>
      <c r="J18" s="15" t="inlineStr">
        <is>
          <t>high</t>
        </is>
      </c>
      <c r="K18" s="10" t="inlineStr">
        <is>
          <t>explicit_member</t>
        </is>
      </c>
      <c r="L18" s="11" t="inlineStr">
        <is>
          <t>Appendix 6.1.3 p.323 explicitly records Acetes spp. (Mo shrimp) catch in Zooplankton, overriding the SAU shrimp class.</t>
        </is>
      </c>
      <c r="M18" s="10" t="n">
        <v>9781314.523</v>
      </c>
    </row>
    <row r="19" ht="51" customHeight="1">
      <c r="A19" s="10" t="inlineStr">
        <is>
          <t>LME_036</t>
        </is>
      </c>
      <c r="B19" s="11" t="inlineStr">
        <is>
          <t>36_2_South_China_Sea_SCS-2007_Northern_South_China_Sea_(1970s)</t>
        </is>
      </c>
      <c r="C19" s="11" t="inlineStr">
        <is>
          <t>Perciformes</t>
        </is>
      </c>
      <c r="D19" s="10" t="inlineStr">
        <is>
          <t>Perch-likes</t>
        </is>
      </c>
      <c r="E19" s="10" t="inlineStr">
        <is>
          <t>Medium demersals (30 - 89 cm)</t>
        </is>
      </c>
      <c r="F19" s="10" t="inlineStr">
        <is>
          <t>Perch-likes</t>
        </is>
      </c>
      <c r="G19" s="11" t="inlineStr">
        <is>
          <t>Demesral fish (≤ 30 cm)</t>
        </is>
      </c>
      <c r="H19" s="12" t="n">
        <v>0.3854700854700854</v>
      </c>
      <c r="I19" s="10" t="inlineStr">
        <is>
          <t>model_catch</t>
        </is>
      </c>
      <c r="J19" s="13" t="inlineStr">
        <is>
          <t>low</t>
        </is>
      </c>
      <c r="K19" s="10" t="inlineStr">
        <is>
          <t>composite_split</t>
        </is>
      </c>
      <c r="L1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19" s="10" t="n">
        <v>9772010.148</v>
      </c>
    </row>
    <row r="20" ht="51" customHeight="1">
      <c r="A20" s="10" t="inlineStr">
        <is>
          <t>LME_036</t>
        </is>
      </c>
      <c r="B20" s="11" t="inlineStr">
        <is>
          <t>36_2_South_China_Sea_SCS-2007_Northern_South_China_Sea_(1970s)</t>
        </is>
      </c>
      <c r="C20" s="11" t="inlineStr">
        <is>
          <t>Perciformes</t>
        </is>
      </c>
      <c r="D20" s="10" t="inlineStr">
        <is>
          <t>Perch-likes</t>
        </is>
      </c>
      <c r="E20" s="10" t="inlineStr">
        <is>
          <t>Medium demersals (30 - 89 cm)</t>
        </is>
      </c>
      <c r="F20" s="10" t="inlineStr">
        <is>
          <t>Perch-likes</t>
        </is>
      </c>
      <c r="G20" s="11" t="inlineStr">
        <is>
          <t>Juvenile demersal fish (&gt; 30 cm)</t>
        </is>
      </c>
      <c r="H20" s="12" t="n">
        <v>0.1230769230769231</v>
      </c>
      <c r="I20" s="10" t="inlineStr">
        <is>
          <t>model_catch</t>
        </is>
      </c>
      <c r="J20" s="13" t="inlineStr">
        <is>
          <t>low</t>
        </is>
      </c>
      <c r="K20" s="10" t="inlineStr">
        <is>
          <t>composite_split</t>
        </is>
      </c>
      <c r="L2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0" s="10" t="n">
        <v>9772010.148</v>
      </c>
    </row>
    <row r="21" ht="51" customHeight="1">
      <c r="A21" s="10" t="inlineStr">
        <is>
          <t>LME_036</t>
        </is>
      </c>
      <c r="B21" s="11" t="inlineStr">
        <is>
          <t>36_2_South_China_Sea_SCS-2007_Northern_South_China_Sea_(1970s)</t>
        </is>
      </c>
      <c r="C21" s="11" t="inlineStr">
        <is>
          <t>Perciformes</t>
        </is>
      </c>
      <c r="D21" s="10" t="inlineStr">
        <is>
          <t>Perch-likes</t>
        </is>
      </c>
      <c r="E21" s="10" t="inlineStr">
        <is>
          <t>Medium demersals (30 - 89 cm)</t>
        </is>
      </c>
      <c r="F21" s="10" t="inlineStr">
        <is>
          <t>Perch-likes</t>
        </is>
      </c>
      <c r="G21" s="11" t="inlineStr">
        <is>
          <t>Adult demersal fish (&gt; 30 cm)</t>
        </is>
      </c>
      <c r="H21" s="12" t="n">
        <v>0.4914529914529914</v>
      </c>
      <c r="I21" s="10" t="inlineStr">
        <is>
          <t>model_catch</t>
        </is>
      </c>
      <c r="J21" s="13" t="inlineStr">
        <is>
          <t>low</t>
        </is>
      </c>
      <c r="K21" s="10" t="inlineStr">
        <is>
          <t>composite_split</t>
        </is>
      </c>
      <c r="L2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1" s="10" t="n">
        <v>9772010.148</v>
      </c>
    </row>
    <row r="22" ht="51" customHeight="1">
      <c r="A22" s="10" t="inlineStr">
        <is>
          <t>LME_036</t>
        </is>
      </c>
      <c r="B22" s="11" t="inlineStr">
        <is>
          <t>36_2_South_China_Sea_SCS-2007_Northern_South_China_Sea_(1970s)</t>
        </is>
      </c>
      <c r="C22" s="11" t="inlineStr">
        <is>
          <t>Nemipterus</t>
        </is>
      </c>
      <c r="D22" s="10" t="inlineStr">
        <is>
          <t>Threadfin breams</t>
        </is>
      </c>
      <c r="E22" s="10" t="inlineStr">
        <is>
          <t>Small demersals (&lt;30 cm)</t>
        </is>
      </c>
      <c r="F22" s="10" t="inlineStr">
        <is>
          <t>Perch-likes</t>
        </is>
      </c>
      <c r="G22" s="11" t="inlineStr">
        <is>
          <t>Threadfin bream (nemipterids)</t>
        </is>
      </c>
      <c r="H22" s="12" t="n">
        <v>1</v>
      </c>
      <c r="I22" s="10" t="inlineStr">
        <is>
          <t>single</t>
        </is>
      </c>
      <c r="J22" s="15" t="inlineStr">
        <is>
          <t>high</t>
        </is>
      </c>
      <c r="K22" s="10" t="inlineStr">
        <is>
          <t>taxonomic_containment</t>
        </is>
      </c>
      <c r="L22" s="11" t="inlineStr">
        <is>
          <t>Appendix 6.1 pp.327-335 defines Threadfin bream (nemipterids) by this family or explicitly names Nemipterus; dedicated source placement overrides the SAU class Small demersals (&lt;30 cm).</t>
        </is>
      </c>
      <c r="M22" s="10" t="n">
        <v>9101609.18</v>
      </c>
    </row>
    <row r="23" ht="51" customHeight="1">
      <c r="A23" s="10" t="inlineStr">
        <is>
          <t>LME_036</t>
        </is>
      </c>
      <c r="B23" s="11" t="inlineStr">
        <is>
          <t>36_2_South_China_Sea_SCS-2007_Northern_South_China_Sea_(1970s)</t>
        </is>
      </c>
      <c r="C23" s="11" t="inlineStr">
        <is>
          <t>Miscellaneous marine crustaceans</t>
        </is>
      </c>
      <c r="D23" s="10" t="inlineStr">
        <is>
          <t>Marine crabs, shrimps, lobsters nei</t>
        </is>
      </c>
      <c r="E23" s="10" t="inlineStr">
        <is>
          <t>Shrimps</t>
        </is>
      </c>
      <c r="F23" s="10" t="inlineStr">
        <is>
          <t>Crustaceans</t>
        </is>
      </c>
      <c r="G23" s="11" t="inlineStr">
        <is>
          <t>Zooplankton</t>
        </is>
      </c>
      <c r="H23" s="12" t="n">
        <v>0.2569684142645532</v>
      </c>
      <c r="I23" s="10" t="inlineStr">
        <is>
          <t>catch_composition</t>
        </is>
      </c>
      <c r="J23" s="13" t="inlineStr">
        <is>
          <t>low</t>
        </is>
      </c>
      <c r="K23" s="10" t="inlineStr">
        <is>
          <t>composite_split</t>
        </is>
      </c>
      <c r="L23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3" s="10" t="n">
        <v>8992342.448000001</v>
      </c>
    </row>
    <row r="24" ht="51" customHeight="1">
      <c r="A24" s="10" t="inlineStr">
        <is>
          <t>LME_036</t>
        </is>
      </c>
      <c r="B24" s="11" t="inlineStr">
        <is>
          <t>36_2_South_China_Sea_SCS-2007_Northern_South_China_Sea_(1970s)</t>
        </is>
      </c>
      <c r="C24" s="11" t="inlineStr">
        <is>
          <t>Miscellaneous marine crustaceans</t>
        </is>
      </c>
      <c r="D24" s="10" t="inlineStr">
        <is>
          <t>Marine crabs, shrimps, lobsters nei</t>
        </is>
      </c>
      <c r="E24" s="10" t="inlineStr">
        <is>
          <t>Shrimps</t>
        </is>
      </c>
      <c r="F24" s="10" t="inlineStr">
        <is>
          <t>Crustaceans</t>
        </is>
      </c>
      <c r="G24" s="11" t="inlineStr">
        <is>
          <t>Benthic crustaceans</t>
        </is>
      </c>
      <c r="H24" s="12" t="n">
        <v>0.05182109872625006</v>
      </c>
      <c r="I24" s="10" t="inlineStr">
        <is>
          <t>catch_composition</t>
        </is>
      </c>
      <c r="J24" s="13" t="inlineStr">
        <is>
          <t>low</t>
        </is>
      </c>
      <c r="K24" s="10" t="inlineStr">
        <is>
          <t>composite_split</t>
        </is>
      </c>
      <c r="L2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4" s="10" t="n">
        <v>8992342.448000001</v>
      </c>
    </row>
    <row r="25" ht="51" customHeight="1">
      <c r="A25" s="10" t="inlineStr">
        <is>
          <t>LME_036</t>
        </is>
      </c>
      <c r="B25" s="11" t="inlineStr">
        <is>
          <t>36_2_South_China_Sea_SCS-2007_Northern_South_China_Sea_(1970s)</t>
        </is>
      </c>
      <c r="C25" s="11" t="inlineStr">
        <is>
          <t>Miscellaneous marine crustaceans</t>
        </is>
      </c>
      <c r="D25" s="10" t="inlineStr">
        <is>
          <t>Marine crabs, shrimps, lobsters nei</t>
        </is>
      </c>
      <c r="E25" s="10" t="inlineStr">
        <is>
          <t>Shrimps</t>
        </is>
      </c>
      <c r="F25" s="10" t="inlineStr">
        <is>
          <t>Crustaceans</t>
        </is>
      </c>
      <c r="G25" s="11" t="inlineStr">
        <is>
          <t>Shrimps</t>
        </is>
      </c>
      <c r="H25" s="12" t="n">
        <v>0.4857199948986228</v>
      </c>
      <c r="I25" s="10" t="inlineStr">
        <is>
          <t>catch_composition</t>
        </is>
      </c>
      <c r="J25" s="13" t="inlineStr">
        <is>
          <t>low</t>
        </is>
      </c>
      <c r="K25" s="10" t="inlineStr">
        <is>
          <t>composite_split</t>
        </is>
      </c>
      <c r="L2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5" s="10" t="n">
        <v>8992342.448000001</v>
      </c>
    </row>
    <row r="26" ht="51" customHeight="1">
      <c r="A26" s="10" t="inlineStr">
        <is>
          <t>LME_036</t>
        </is>
      </c>
      <c r="B26" s="11" t="inlineStr">
        <is>
          <t>36_2_South_China_Sea_SCS-2007_Northern_South_China_Sea_(1970s)</t>
        </is>
      </c>
      <c r="C26" s="11" t="inlineStr">
        <is>
          <t>Miscellaneous marine crustaceans</t>
        </is>
      </c>
      <c r="D26" s="10" t="inlineStr">
        <is>
          <t>Marine crabs, shrimps, lobsters nei</t>
        </is>
      </c>
      <c r="E26" s="10" t="inlineStr">
        <is>
          <t>Shrimps</t>
        </is>
      </c>
      <c r="F26" s="10" t="inlineStr">
        <is>
          <t>Crustaceans</t>
        </is>
      </c>
      <c r="G26" s="11" t="inlineStr">
        <is>
          <t>Crabs</t>
        </is>
      </c>
      <c r="H26" s="12" t="n">
        <v>0.2054904921105739</v>
      </c>
      <c r="I26" s="10" t="inlineStr">
        <is>
          <t>catch_composition</t>
        </is>
      </c>
      <c r="J26" s="13" t="inlineStr">
        <is>
          <t>low</t>
        </is>
      </c>
      <c r="K26" s="10" t="inlineStr">
        <is>
          <t>composite_split</t>
        </is>
      </c>
      <c r="L26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6" s="10" t="n">
        <v>8992342.448000001</v>
      </c>
    </row>
    <row r="27" ht="51" customHeight="1">
      <c r="A27" s="10" t="inlineStr">
        <is>
          <t>LME_036</t>
        </is>
      </c>
      <c r="B27" s="11" t="inlineStr">
        <is>
          <t>36_2_South_China_Sea_SCS-2007_Northern_South_China_Sea_(1970s)</t>
        </is>
      </c>
      <c r="C27" s="11" t="inlineStr">
        <is>
          <t>Leiognathidae</t>
        </is>
      </c>
      <c r="D27" s="10" t="inlineStr">
        <is>
          <t>Slipmouths, ponyfishes</t>
        </is>
      </c>
      <c r="E27" s="10" t="inlineStr">
        <is>
          <t>Small benthopelagics (&lt;30 cm)</t>
        </is>
      </c>
      <c r="F27" s="10" t="inlineStr">
        <is>
          <t>Perch-likes</t>
        </is>
      </c>
      <c r="G27" s="11" t="inlineStr">
        <is>
          <t>Benthopelagic fish</t>
        </is>
      </c>
      <c r="H27" s="12" t="n">
        <v>1</v>
      </c>
      <c r="I27" s="10" t="inlineStr">
        <is>
          <t>single</t>
        </is>
      </c>
      <c r="J27" s="13" t="inlineStr">
        <is>
          <t>low</t>
        </is>
      </c>
      <c r="K27" s="10" t="inlineStr">
        <is>
          <t>habitat_size_guild</t>
        </is>
      </c>
      <c r="L27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7" s="10" t="n">
        <v>8732446.540999999</v>
      </c>
    </row>
    <row r="28" ht="51" customHeight="1">
      <c r="A28" s="10" t="inlineStr">
        <is>
          <t>LME_036</t>
        </is>
      </c>
      <c r="B28" s="11" t="inlineStr">
        <is>
          <t>36_2_South_China_Sea_SCS-2007_Northern_South_China_Sea_(1970s)</t>
        </is>
      </c>
      <c r="C28" s="11" t="inlineStr">
        <is>
          <t>Engraulis japonicus</t>
        </is>
      </c>
      <c r="D28" s="10" t="inlineStr">
        <is>
          <t>Japanese anchovy</t>
        </is>
      </c>
      <c r="E28" s="10" t="inlineStr">
        <is>
          <t>Small pelagics (&lt;30 cm)</t>
        </is>
      </c>
      <c r="F28" s="10" t="inlineStr">
        <is>
          <t>Anchovies</t>
        </is>
      </c>
      <c r="G28" s="11" t="inlineStr">
        <is>
          <t>Pelagic fish (≤ 30 cm)</t>
        </is>
      </c>
      <c r="H28" s="12" t="n">
        <v>1</v>
      </c>
      <c r="I28" s="10" t="inlineStr">
        <is>
          <t>single</t>
        </is>
      </c>
      <c r="J28" s="14" t="inlineStr">
        <is>
          <t>medium</t>
        </is>
      </c>
      <c r="K28" s="10" t="inlineStr">
        <is>
          <t>habitat_size_guild</t>
        </is>
      </c>
      <c r="L2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" s="10" t="n">
        <v>8554508.117000001</v>
      </c>
    </row>
    <row r="29" ht="36" customHeight="1">
      <c r="A29" s="10" t="inlineStr">
        <is>
          <t>LME_036</t>
        </is>
      </c>
      <c r="B29" s="11" t="inlineStr">
        <is>
          <t>36_2_South_China_Sea_SCS-2007_Northern_South_China_Sea_(1970s)</t>
        </is>
      </c>
      <c r="C29" s="11" t="inlineStr">
        <is>
          <t>Scomberomorus</t>
        </is>
      </c>
      <c r="D29" s="10" t="inlineStr">
        <is>
          <t>Spanish mackerels</t>
        </is>
      </c>
      <c r="E29" s="10" t="inlineStr">
        <is>
          <t>Large pelagics (&gt;=90 cm)</t>
        </is>
      </c>
      <c r="F29" s="10" t="inlineStr">
        <is>
          <t>Perch-likes</t>
        </is>
      </c>
      <c r="G29" s="11" t="inlineStr">
        <is>
          <t>Juvenile large pelagic fish</t>
        </is>
      </c>
      <c r="H29" s="12" t="n">
        <v>0.2016806722689076</v>
      </c>
      <c r="I29" s="10" t="inlineStr">
        <is>
          <t>model_catch</t>
        </is>
      </c>
      <c r="J29" s="14" t="inlineStr">
        <is>
          <t>medium</t>
        </is>
      </c>
      <c r="K29" s="10" t="inlineStr">
        <is>
          <t>composite_split</t>
        </is>
      </c>
      <c r="L29" s="11" t="inlineStr">
        <is>
          <t>Analyst habitat/size inference to source &gt;30 cm pelagic fish (Appendix 6.1.24 p.339); no age data, so split juvenile/adult using the period model catch.</t>
        </is>
      </c>
      <c r="M29" s="10" t="n">
        <v>7754915.997</v>
      </c>
    </row>
    <row r="30" ht="36" customHeight="1">
      <c r="A30" s="10" t="inlineStr">
        <is>
          <t>LME_036</t>
        </is>
      </c>
      <c r="B30" s="11" t="inlineStr">
        <is>
          <t>36_2_South_China_Sea_SCS-2007_Northern_South_China_Sea_(1970s)</t>
        </is>
      </c>
      <c r="C30" s="11" t="inlineStr">
        <is>
          <t>Scomberomorus</t>
        </is>
      </c>
      <c r="D30" s="10" t="inlineStr">
        <is>
          <t>Spanish mackerels</t>
        </is>
      </c>
      <c r="E30" s="10" t="inlineStr">
        <is>
          <t>Large pelagics (&gt;=90 cm)</t>
        </is>
      </c>
      <c r="F30" s="10" t="inlineStr">
        <is>
          <t>Perch-likes</t>
        </is>
      </c>
      <c r="G30" s="11" t="inlineStr">
        <is>
          <t>Pelagic fish (&gt; 30 cm)</t>
        </is>
      </c>
      <c r="H30" s="12" t="n">
        <v>0.7983193277310925</v>
      </c>
      <c r="I30" s="10" t="inlineStr">
        <is>
          <t>model_catch</t>
        </is>
      </c>
      <c r="J30" s="14" t="inlineStr">
        <is>
          <t>medium</t>
        </is>
      </c>
      <c r="K30" s="10" t="inlineStr">
        <is>
          <t>composite_split</t>
        </is>
      </c>
      <c r="L30" s="11" t="inlineStr">
        <is>
          <t>Analyst habitat/size inference to source &gt;30 cm pelagic fish (Appendix 6.1.24 p.339); no age data, so split juvenile/adult using the period model catch.</t>
        </is>
      </c>
      <c r="M30" s="10" t="n">
        <v>7754915.997</v>
      </c>
    </row>
    <row r="31" ht="36" customHeight="1">
      <c r="A31" s="10" t="inlineStr">
        <is>
          <t>LME_036</t>
        </is>
      </c>
      <c r="B31" s="11" t="inlineStr">
        <is>
          <t>36_2_South_China_Sea_SCS-2007_Northern_South_China_Sea_(1970s)</t>
        </is>
      </c>
      <c r="C31" s="11" t="inlineStr">
        <is>
          <t>Scombridae</t>
        </is>
      </c>
      <c r="D31" s="10" t="inlineStr">
        <is>
          <t>Mackerels, tunas, bonitos</t>
        </is>
      </c>
      <c r="E31" s="10" t="inlineStr">
        <is>
          <t>Medium pelagics (30 - 89 cm)</t>
        </is>
      </c>
      <c r="F31" s="10" t="inlineStr">
        <is>
          <t>Perch-likes</t>
        </is>
      </c>
      <c r="G31" s="11" t="inlineStr">
        <is>
          <t>Juvenile large pelagic fish</t>
        </is>
      </c>
      <c r="H31" s="12" t="n">
        <v>0.2016806722689076</v>
      </c>
      <c r="I31" s="10" t="inlineStr">
        <is>
          <t>model_catch</t>
        </is>
      </c>
      <c r="J31" s="14" t="inlineStr">
        <is>
          <t>medium</t>
        </is>
      </c>
      <c r="K31" s="10" t="inlineStr">
        <is>
          <t>composite_split</t>
        </is>
      </c>
      <c r="L31" s="11" t="inlineStr">
        <is>
          <t>Analyst habitat/size inference to source &gt;30 cm pelagic fish (Appendix 6.1.24 p.339); no age data, so split juvenile/adult using the period model catch.</t>
        </is>
      </c>
      <c r="M31" s="10" t="n">
        <v>7594397.678</v>
      </c>
    </row>
    <row r="32" ht="36" customHeight="1">
      <c r="A32" s="10" t="inlineStr">
        <is>
          <t>LME_036</t>
        </is>
      </c>
      <c r="B32" s="11" t="inlineStr">
        <is>
          <t>36_2_South_China_Sea_SCS-2007_Northern_South_China_Sea_(1970s)</t>
        </is>
      </c>
      <c r="C32" s="11" t="inlineStr">
        <is>
          <t>Scombridae</t>
        </is>
      </c>
      <c r="D32" s="10" t="inlineStr">
        <is>
          <t>Mackerels, tunas, bonitos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Pelagic fish (&gt; 30 cm)</t>
        </is>
      </c>
      <c r="H32" s="12" t="n">
        <v>0.7983193277310925</v>
      </c>
      <c r="I32" s="10" t="inlineStr">
        <is>
          <t>model_catch</t>
        </is>
      </c>
      <c r="J32" s="14" t="inlineStr">
        <is>
          <t>medium</t>
        </is>
      </c>
      <c r="K32" s="10" t="inlineStr">
        <is>
          <t>composite_split</t>
        </is>
      </c>
      <c r="L32" s="11" t="inlineStr">
        <is>
          <t>Analyst habitat/size inference to source &gt;30 cm pelagic fish (Appendix 6.1.24 p.339); no age data, so split juvenile/adult using the period model catch.</t>
        </is>
      </c>
      <c r="M32" s="10" t="n">
        <v>7594397.678</v>
      </c>
    </row>
    <row r="33" ht="51" customHeight="1">
      <c r="A33" s="10" t="inlineStr">
        <is>
          <t>LME_036</t>
        </is>
      </c>
      <c r="B33" s="11" t="inlineStr">
        <is>
          <t>36_2_South_China_Sea_SCS-2007_Northern_South_China_Sea_(1970s)</t>
        </is>
      </c>
      <c r="C33" s="11" t="inlineStr">
        <is>
          <t>Sparidae</t>
        </is>
      </c>
      <c r="D33" s="10" t="inlineStr">
        <is>
          <t>Porgies, seabreams</t>
        </is>
      </c>
      <c r="E33" s="10" t="inlineStr">
        <is>
          <t>Medium benthopelagics (30 - 89 cm)</t>
        </is>
      </c>
      <c r="F33" s="10" t="inlineStr">
        <is>
          <t>Perch-likes</t>
        </is>
      </c>
      <c r="G33" s="11" t="inlineStr">
        <is>
          <t>Benthopelagic fish</t>
        </is>
      </c>
      <c r="H33" s="12" t="n">
        <v>1</v>
      </c>
      <c r="I33" s="10" t="inlineStr">
        <is>
          <t>single</t>
        </is>
      </c>
      <c r="J33" s="13" t="inlineStr">
        <is>
          <t>low</t>
        </is>
      </c>
      <c r="K33" s="10" t="inlineStr">
        <is>
          <t>habitat_size_guild</t>
        </is>
      </c>
      <c r="L33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3" s="10" t="n">
        <v>7364108.588</v>
      </c>
    </row>
    <row r="34" ht="51" customHeight="1">
      <c r="A34" s="10" t="inlineStr">
        <is>
          <t>LME_036</t>
        </is>
      </c>
      <c r="B34" s="11" t="inlineStr">
        <is>
          <t>36_2_South_China_Sea_SCS-2007_Northern_South_China_Sea_(1970s)</t>
        </is>
      </c>
      <c r="C34" s="11" t="inlineStr">
        <is>
          <t>Sciaenidae</t>
        </is>
      </c>
      <c r="D34" s="10" t="inlineStr">
        <is>
          <t>Drums, croakers</t>
        </is>
      </c>
      <c r="E34" s="10" t="inlineStr">
        <is>
          <t>Medium demersals (30 - 89 cm)</t>
        </is>
      </c>
      <c r="F34" s="10" t="inlineStr">
        <is>
          <t>Perch-likes</t>
        </is>
      </c>
      <c r="G34" s="11" t="inlineStr">
        <is>
          <t>Croakers (≤ 30 cm)</t>
        </is>
      </c>
      <c r="H34" s="12" t="n">
        <v>0.2253521126760564</v>
      </c>
      <c r="I34" s="10" t="inlineStr">
        <is>
          <t>model_catch</t>
        </is>
      </c>
      <c r="J34" s="13" t="inlineStr">
        <is>
          <t>low</t>
        </is>
      </c>
      <c r="K34" s="10" t="inlineStr">
        <is>
          <t>composite_split</t>
        </is>
      </c>
      <c r="L3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4" s="10" t="n">
        <v>6844598.676</v>
      </c>
    </row>
    <row r="35" ht="51" customHeight="1">
      <c r="A35" s="10" t="inlineStr">
        <is>
          <t>LME_036</t>
        </is>
      </c>
      <c r="B35" s="11" t="inlineStr">
        <is>
          <t>36_2_South_China_Sea_SCS-2007_Northern_South_China_Sea_(1970s)</t>
        </is>
      </c>
      <c r="C35" s="11" t="inlineStr">
        <is>
          <t>Sciaenidae</t>
        </is>
      </c>
      <c r="D35" s="10" t="inlineStr">
        <is>
          <t>Drums, croakers</t>
        </is>
      </c>
      <c r="E35" s="10" t="inlineStr">
        <is>
          <t>Medium demersals (30 - 89 cm)</t>
        </is>
      </c>
      <c r="F35" s="10" t="inlineStr">
        <is>
          <t>Perch-likes</t>
        </is>
      </c>
      <c r="G35" s="11" t="inlineStr">
        <is>
          <t>Juvenile large croakers</t>
        </is>
      </c>
      <c r="H35" s="12" t="n">
        <v>0.1549295774647887</v>
      </c>
      <c r="I35" s="10" t="inlineStr">
        <is>
          <t>model_catch</t>
        </is>
      </c>
      <c r="J35" s="13" t="inlineStr">
        <is>
          <t>low</t>
        </is>
      </c>
      <c r="K35" s="10" t="inlineStr">
        <is>
          <t>composite_split</t>
        </is>
      </c>
      <c r="L3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5" s="10" t="n">
        <v>6844598.676</v>
      </c>
    </row>
    <row r="36" ht="51" customHeight="1">
      <c r="A36" s="10" t="inlineStr">
        <is>
          <t>LME_036</t>
        </is>
      </c>
      <c r="B36" s="11" t="inlineStr">
        <is>
          <t>36_2_South_China_Sea_SCS-2007_Northern_South_China_Sea_(1970s)</t>
        </is>
      </c>
      <c r="C36" s="11" t="inlineStr">
        <is>
          <t>Sciaenidae</t>
        </is>
      </c>
      <c r="D36" s="10" t="inlineStr">
        <is>
          <t>Drums, croakers</t>
        </is>
      </c>
      <c r="E36" s="10" t="inlineStr">
        <is>
          <t>Medium demersals (30 - 89 cm)</t>
        </is>
      </c>
      <c r="F36" s="10" t="inlineStr">
        <is>
          <t>Perch-likes</t>
        </is>
      </c>
      <c r="G36" s="11" t="inlineStr">
        <is>
          <t>Croakers (&gt; 30 cm)</t>
        </is>
      </c>
      <c r="H36" s="12" t="n">
        <v>0.619718309859155</v>
      </c>
      <c r="I36" s="10" t="inlineStr">
        <is>
          <t>model_catch</t>
        </is>
      </c>
      <c r="J36" s="13" t="inlineStr">
        <is>
          <t>low</t>
        </is>
      </c>
      <c r="K36" s="10" t="inlineStr">
        <is>
          <t>composite_split</t>
        </is>
      </c>
      <c r="L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6" s="10" t="n">
        <v>6844598.676</v>
      </c>
    </row>
    <row r="37" ht="36" customHeight="1">
      <c r="A37" s="10" t="inlineStr">
        <is>
          <t>LME_036</t>
        </is>
      </c>
      <c r="B37" s="11" t="inlineStr">
        <is>
          <t>36_2_South_China_Sea_SCS-2007_Northern_South_China_Sea_(1970s)</t>
        </is>
      </c>
      <c r="C37" s="11" t="inlineStr">
        <is>
          <t>Dendrobranchiata</t>
        </is>
      </c>
      <c r="D37" s="10" t="inlineStr">
        <is>
          <t>Shrimps and prawns</t>
        </is>
      </c>
      <c r="E37" s="10" t="inlineStr">
        <is>
          <t>Shrimps</t>
        </is>
      </c>
      <c r="F37" s="10" t="inlineStr">
        <is>
          <t>Crustaceans</t>
        </is>
      </c>
      <c r="G37" s="11" t="inlineStr">
        <is>
          <t>Shrimps</t>
        </is>
      </c>
      <c r="H37" s="12" t="n">
        <v>1</v>
      </c>
      <c r="I37" s="10" t="inlineStr">
        <is>
          <t>single</t>
        </is>
      </c>
      <c r="J37" s="15" t="inlineStr">
        <is>
          <t>high</t>
        </is>
      </c>
      <c r="K37" s="10" t="inlineStr">
        <is>
          <t>taxonomic_containment</t>
        </is>
      </c>
      <c r="L37" s="11" t="inlineStr">
        <is>
          <t>Stomatopods belong to the residual benthic crustaceans; other shrimp taxa belong to Shrimps after the explicitly separated Acetes records (Appendix 6.1 pp.323-326).</t>
        </is>
      </c>
      <c r="M37" s="10" t="n">
        <v>5867364.45</v>
      </c>
    </row>
    <row r="38" ht="51" customHeight="1">
      <c r="A38" s="10" t="inlineStr">
        <is>
          <t>LME_036</t>
        </is>
      </c>
      <c r="B38" s="11" t="inlineStr">
        <is>
          <t>36_2_South_China_Sea_SCS-2007_Northern_South_China_Sea_(1970s)</t>
        </is>
      </c>
      <c r="C38" s="11" t="inlineStr">
        <is>
          <t>Sardinella</t>
        </is>
      </c>
      <c r="D38" s="10" t="inlineStr">
        <is>
          <t>Sardinellas</t>
        </is>
      </c>
      <c r="E38" s="10" t="inlineStr">
        <is>
          <t>Small pelagics (&lt;30 cm)</t>
        </is>
      </c>
      <c r="F38" s="10" t="inlineStr">
        <is>
          <t>Herring-likes</t>
        </is>
      </c>
      <c r="G38" s="11" t="inlineStr">
        <is>
          <t>Pelagic fish (≤ 30 cm)</t>
        </is>
      </c>
      <c r="H38" s="12" t="n">
        <v>1</v>
      </c>
      <c r="I38" s="10" t="inlineStr">
        <is>
          <t>single</t>
        </is>
      </c>
      <c r="J38" s="14" t="inlineStr">
        <is>
          <t>medium</t>
        </is>
      </c>
      <c r="K38" s="10" t="inlineStr">
        <is>
          <t>habitat_size_guild</t>
        </is>
      </c>
      <c r="L3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" s="10" t="n">
        <v>5559746.225</v>
      </c>
    </row>
    <row r="39" ht="51" customHeight="1">
      <c r="A39" s="10" t="inlineStr">
        <is>
          <t>LME_036</t>
        </is>
      </c>
      <c r="B39" s="11" t="inlineStr">
        <is>
          <t>36_2_South_China_Sea_SCS-2007_Northern_South_China_Sea_(1970s)</t>
        </is>
      </c>
      <c r="C39" s="11" t="inlineStr">
        <is>
          <t>Marine finfishes not identified</t>
        </is>
      </c>
      <c r="D39" s="10" t="inlineStr">
        <is>
          <t>Finfishes</t>
        </is>
      </c>
      <c r="E39" s="10" t="inlineStr">
        <is>
          <t>Medium demersals (30 - 89 cm)</t>
        </is>
      </c>
      <c r="F39" s="10" t="inlineStr">
        <is>
          <t>Other fishes &amp; inverts</t>
        </is>
      </c>
      <c r="G39" s="11" t="inlineStr">
        <is>
          <t>Demesral fish (≤ 30 cm)</t>
        </is>
      </c>
      <c r="H39" s="12" t="n">
        <v>0.3854700854700854</v>
      </c>
      <c r="I39" s="10" t="inlineStr">
        <is>
          <t>model_catch</t>
        </is>
      </c>
      <c r="J39" s="13" t="inlineStr">
        <is>
          <t>low</t>
        </is>
      </c>
      <c r="K39" s="10" t="inlineStr">
        <is>
          <t>composite_split</t>
        </is>
      </c>
      <c r="L3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39" s="10" t="n">
        <v>5351658.523</v>
      </c>
    </row>
    <row r="40" ht="51" customHeight="1">
      <c r="A40" s="10" t="inlineStr">
        <is>
          <t>LME_036</t>
        </is>
      </c>
      <c r="B40" s="11" t="inlineStr">
        <is>
          <t>36_2_South_China_Sea_SCS-2007_Northern_South_China_Sea_(1970s)</t>
        </is>
      </c>
      <c r="C40" s="11" t="inlineStr">
        <is>
          <t>Marine finfishes not identified</t>
        </is>
      </c>
      <c r="D40" s="10" t="inlineStr">
        <is>
          <t>Finfishes</t>
        </is>
      </c>
      <c r="E40" s="10" t="inlineStr">
        <is>
          <t>Medium demersals (30 - 89 cm)</t>
        </is>
      </c>
      <c r="F40" s="10" t="inlineStr">
        <is>
          <t>Other fishes &amp; inverts</t>
        </is>
      </c>
      <c r="G40" s="11" t="inlineStr">
        <is>
          <t>Juvenile demersal fish (&gt; 30 cm)</t>
        </is>
      </c>
      <c r="H40" s="12" t="n">
        <v>0.1230769230769231</v>
      </c>
      <c r="I40" s="10" t="inlineStr">
        <is>
          <t>model_catch</t>
        </is>
      </c>
      <c r="J40" s="13" t="inlineStr">
        <is>
          <t>low</t>
        </is>
      </c>
      <c r="K40" s="10" t="inlineStr">
        <is>
          <t>composite_split</t>
        </is>
      </c>
      <c r="L4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" s="10" t="n">
        <v>5351658.523</v>
      </c>
    </row>
    <row r="41" ht="51" customHeight="1">
      <c r="A41" s="10" t="inlineStr">
        <is>
          <t>LME_036</t>
        </is>
      </c>
      <c r="B41" s="11" t="inlineStr">
        <is>
          <t>36_2_South_China_Sea_SCS-2007_Northern_South_China_Sea_(1970s)</t>
        </is>
      </c>
      <c r="C41" s="11" t="inlineStr">
        <is>
          <t>Marine finfishes not identified</t>
        </is>
      </c>
      <c r="D41" s="10" t="inlineStr">
        <is>
          <t>Finfishes</t>
        </is>
      </c>
      <c r="E41" s="10" t="inlineStr">
        <is>
          <t>Medium demersals (30 - 89 cm)</t>
        </is>
      </c>
      <c r="F41" s="10" t="inlineStr">
        <is>
          <t>Other fishes &amp; inverts</t>
        </is>
      </c>
      <c r="G41" s="11" t="inlineStr">
        <is>
          <t>Adult demersal fish (&gt; 30 cm)</t>
        </is>
      </c>
      <c r="H41" s="12" t="n">
        <v>0.4914529914529914</v>
      </c>
      <c r="I41" s="10" t="inlineStr">
        <is>
          <t>model_catch</t>
        </is>
      </c>
      <c r="J41" s="13" t="inlineStr">
        <is>
          <t>low</t>
        </is>
      </c>
      <c r="K41" s="10" t="inlineStr">
        <is>
          <t>composite_split</t>
        </is>
      </c>
      <c r="L4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" s="10" t="n">
        <v>5351658.523</v>
      </c>
    </row>
    <row r="42" ht="51" customHeight="1">
      <c r="A42" s="10" t="inlineStr">
        <is>
          <t>LME_036</t>
        </is>
      </c>
      <c r="B42" s="11" t="inlineStr">
        <is>
          <t>36_2_South_China_Sea_SCS-2007_Northern_South_China_Sea_(1970s)</t>
        </is>
      </c>
      <c r="C42" s="11" t="inlineStr">
        <is>
          <t>Priacanthus</t>
        </is>
      </c>
      <c r="D42" s="10" t="inlineStr">
        <is>
          <t>Bigeyes</t>
        </is>
      </c>
      <c r="E42" s="10" t="inlineStr">
        <is>
          <t>Medium reef assoc. fish (30 - 89 cm)</t>
        </is>
      </c>
      <c r="F42" s="10" t="inlineStr">
        <is>
          <t>Perch-likes</t>
        </is>
      </c>
      <c r="G42" s="11" t="inlineStr">
        <is>
          <t>Bigeyes (priacanthids)</t>
        </is>
      </c>
      <c r="H42" s="12" t="n">
        <v>1</v>
      </c>
      <c r="I42" s="10" t="inlineStr">
        <is>
          <t>single</t>
        </is>
      </c>
      <c r="J42" s="15" t="inlineStr">
        <is>
          <t>high</t>
        </is>
      </c>
      <c r="K42" s="10" t="inlineStr">
        <is>
          <t>taxonomic_containment</t>
        </is>
      </c>
      <c r="L42" s="11" t="inlineStr">
        <is>
          <t>Appendix 6.1 pp.327-335 defines Bigeyes (priacanthids) by this family or explicitly names Priacanthus; dedicated source placement overrides the SAU class Medium reef assoc. fish (30 - 89 cm).</t>
        </is>
      </c>
      <c r="M42" s="10" t="n">
        <v>4439431.951</v>
      </c>
    </row>
    <row r="43" ht="36" customHeight="1">
      <c r="A43" s="10" t="inlineStr">
        <is>
          <t>LME_036</t>
        </is>
      </c>
      <c r="B43" s="11" t="inlineStr">
        <is>
          <t>36_2_South_China_Sea_SCS-2007_Northern_South_China_Sea_(1970s)</t>
        </is>
      </c>
      <c r="C43" s="11" t="inlineStr">
        <is>
          <t>Penaeidae</t>
        </is>
      </c>
      <c r="D43" s="10" t="inlineStr">
        <is>
          <t>Commercial shrimps and prawns</t>
        </is>
      </c>
      <c r="E43" s="10" t="inlineStr">
        <is>
          <t>Shrimps</t>
        </is>
      </c>
      <c r="F43" s="10" t="inlineStr">
        <is>
          <t>Crustaceans</t>
        </is>
      </c>
      <c r="G43" s="11" t="inlineStr">
        <is>
          <t>Shrimps</t>
        </is>
      </c>
      <c r="H43" s="12" t="n">
        <v>1</v>
      </c>
      <c r="I43" s="10" t="inlineStr">
        <is>
          <t>single</t>
        </is>
      </c>
      <c r="J43" s="15" t="inlineStr">
        <is>
          <t>high</t>
        </is>
      </c>
      <c r="K43" s="10" t="inlineStr">
        <is>
          <t>taxonomic_containment</t>
        </is>
      </c>
      <c r="L43" s="11" t="inlineStr">
        <is>
          <t>Stomatopods belong to the residual benthic crustaceans; other shrimp taxa belong to Shrimps after the explicitly separated Acetes records (Appendix 6.1 pp.323-326).</t>
        </is>
      </c>
      <c r="M43" s="10" t="n">
        <v>4293768.542</v>
      </c>
    </row>
    <row r="44" ht="36" customHeight="1">
      <c r="A44" s="10" t="inlineStr">
        <is>
          <t>LME_036</t>
        </is>
      </c>
      <c r="B44" s="11" t="inlineStr">
        <is>
          <t>36_2_South_China_Sea_SCS-2007_Northern_South_China_Sea_(1970s)</t>
        </is>
      </c>
      <c r="C44" s="11" t="inlineStr">
        <is>
          <t>Loliginidae</t>
        </is>
      </c>
      <c r="D44" s="10" t="inlineStr">
        <is>
          <t>Common pencil squids</t>
        </is>
      </c>
      <c r="E44" s="10" t="inlineStr">
        <is>
          <t>Cephalopods</t>
        </is>
      </c>
      <c r="F44" s="10" t="inlineStr">
        <is>
          <t>Other fishes &amp; inverts</t>
        </is>
      </c>
      <c r="G44" s="11" t="inlineStr">
        <is>
          <t>Cephalopods</t>
        </is>
      </c>
      <c r="H44" s="12" t="n">
        <v>1</v>
      </c>
      <c r="I44" s="10" t="inlineStr">
        <is>
          <t>single</t>
        </is>
      </c>
      <c r="J44" s="15" t="inlineStr">
        <is>
          <t>high</t>
        </is>
      </c>
      <c r="K44" s="10" t="inlineStr">
        <is>
          <t>taxonomic_containment</t>
        </is>
      </c>
      <c r="L44" s="11" t="inlineStr">
        <is>
          <t>Cephalopoda is contained by the single source Cephalopods group, Appendix 6.1.8 pp.326-327.</t>
        </is>
      </c>
      <c r="M44" s="10" t="n">
        <v>4279272.653</v>
      </c>
    </row>
    <row r="45" ht="36" customHeight="1">
      <c r="A45" s="10" t="inlineStr">
        <is>
          <t>LME_036</t>
        </is>
      </c>
      <c r="B45" s="11" t="inlineStr">
        <is>
          <t>36_2_South_China_Sea_SCS-2007_Northern_South_China_Sea_(1970s)</t>
        </is>
      </c>
      <c r="C45" s="11" t="inlineStr">
        <is>
          <t>Scomber japonicus</t>
        </is>
      </c>
      <c r="D45" s="10" t="inlineStr">
        <is>
          <t>Pacific chub mackerel</t>
        </is>
      </c>
      <c r="E45" s="10" t="inlineStr">
        <is>
          <t>Medium pelagics (30 - 89 cm)</t>
        </is>
      </c>
      <c r="F45" s="10" t="inlineStr">
        <is>
          <t>Perch-likes</t>
        </is>
      </c>
      <c r="G45" s="11" t="inlineStr">
        <is>
          <t>Juvenile large pelagic fish</t>
        </is>
      </c>
      <c r="H45" s="12" t="n">
        <v>0.2016806722689076</v>
      </c>
      <c r="I45" s="10" t="inlineStr">
        <is>
          <t>model_catch</t>
        </is>
      </c>
      <c r="J45" s="14" t="inlineStr">
        <is>
          <t>medium</t>
        </is>
      </c>
      <c r="K45" s="10" t="inlineStr">
        <is>
          <t>composite_split</t>
        </is>
      </c>
      <c r="L45" s="11" t="inlineStr">
        <is>
          <t>Analyst habitat/size inference to source &gt;30 cm pelagic fish (Appendix 6.1.24 p.339); no age data, so split juvenile/adult using the period model catch.</t>
        </is>
      </c>
      <c r="M45" s="10" t="n">
        <v>4253440.103</v>
      </c>
    </row>
    <row r="46" ht="36" customHeight="1">
      <c r="A46" s="10" t="inlineStr">
        <is>
          <t>LME_036</t>
        </is>
      </c>
      <c r="B46" s="11" t="inlineStr">
        <is>
          <t>36_2_South_China_Sea_SCS-2007_Northern_South_China_Sea_(1970s)</t>
        </is>
      </c>
      <c r="C46" s="11" t="inlineStr">
        <is>
          <t>Scomber japonicus</t>
        </is>
      </c>
      <c r="D46" s="10" t="inlineStr">
        <is>
          <t>Pacific chub mackerel</t>
        </is>
      </c>
      <c r="E46" s="10" t="inlineStr">
        <is>
          <t>Medium pelagics (30 - 89 cm)</t>
        </is>
      </c>
      <c r="F46" s="10" t="inlineStr">
        <is>
          <t>Perch-likes</t>
        </is>
      </c>
      <c r="G46" s="11" t="inlineStr">
        <is>
          <t>Pelagic fish (&gt; 30 cm)</t>
        </is>
      </c>
      <c r="H46" s="12" t="n">
        <v>0.7983193277310925</v>
      </c>
      <c r="I46" s="10" t="inlineStr">
        <is>
          <t>model_catch</t>
        </is>
      </c>
      <c r="J46" s="14" t="inlineStr">
        <is>
          <t>medium</t>
        </is>
      </c>
      <c r="K46" s="10" t="inlineStr">
        <is>
          <t>composite_split</t>
        </is>
      </c>
      <c r="L46" s="11" t="inlineStr">
        <is>
          <t>Analyst habitat/size inference to source &gt;30 cm pelagic fish (Appendix 6.1.24 p.339); no age data, so split juvenile/adult using the period model catch.</t>
        </is>
      </c>
      <c r="M46" s="10" t="n">
        <v>4253440.103</v>
      </c>
    </row>
    <row r="47" ht="36" customHeight="1">
      <c r="A47" s="10" t="inlineStr">
        <is>
          <t>LME_036</t>
        </is>
      </c>
      <c r="B47" s="11" t="inlineStr">
        <is>
          <t>36_2_South_China_Sea_SCS-2007_Northern_South_China_Sea_(1970s)</t>
        </is>
      </c>
      <c r="C47" s="11" t="inlineStr">
        <is>
          <t>Portunus trituberculatus</t>
        </is>
      </c>
      <c r="D47" s="10" t="inlineStr">
        <is>
          <t>Gazami crab</t>
        </is>
      </c>
      <c r="E47" s="10" t="inlineStr">
        <is>
          <t>Lobsters, crabs</t>
        </is>
      </c>
      <c r="F47" s="10" t="inlineStr">
        <is>
          <t>Crustaceans</t>
        </is>
      </c>
      <c r="G47" s="11" t="inlineStr">
        <is>
          <t>Crabs</t>
        </is>
      </c>
      <c r="H47" s="12" t="n">
        <v>1</v>
      </c>
      <c r="I47" s="10" t="inlineStr">
        <is>
          <t>single</t>
        </is>
      </c>
      <c r="J47" s="15" t="inlineStr">
        <is>
          <t>high</t>
        </is>
      </c>
      <c r="K47" s="10" t="inlineStr">
        <is>
          <t>taxonomic_containment</t>
        </is>
      </c>
      <c r="L47" s="11" t="inlineStr">
        <is>
          <t>Source benthic crustaceans exclude shrimps and crabs (Appendix 6.1.5 p.324); lobsters remain in that residual, while true crabs use Crabs.</t>
        </is>
      </c>
      <c r="M47" s="10" t="n">
        <v>3963780.828</v>
      </c>
    </row>
    <row r="48" ht="51" customHeight="1">
      <c r="A48" s="10" t="inlineStr">
        <is>
          <t>LME_036</t>
        </is>
      </c>
      <c r="B48" s="11" t="inlineStr">
        <is>
          <t>36_2_South_China_Sea_SCS-2007_Northern_South_China_Sea_(1970s)</t>
        </is>
      </c>
      <c r="C48" s="11" t="inlineStr">
        <is>
          <t>Monacanthidae</t>
        </is>
      </c>
      <c r="D48" s="10" t="inlineStr">
        <is>
          <t>Filefishes</t>
        </is>
      </c>
      <c r="E48" s="10" t="inlineStr">
        <is>
          <t>Medium reef assoc. fish (30 - 89 cm)</t>
        </is>
      </c>
      <c r="F48" s="10" t="inlineStr">
        <is>
          <t>Other fishes &amp; inverts</t>
        </is>
      </c>
      <c r="G48" s="11" t="inlineStr">
        <is>
          <t>Juvenile demersal fish (&gt; 30 cm)</t>
        </is>
      </c>
      <c r="H48" s="12" t="n">
        <v>0.2002781641168289</v>
      </c>
      <c r="I48" s="10" t="inlineStr">
        <is>
          <t>model_catch</t>
        </is>
      </c>
      <c r="J48" s="14" t="inlineStr">
        <is>
          <t>medium</t>
        </is>
      </c>
      <c r="K48" s="10" t="inlineStr">
        <is>
          <t>composite_split</t>
        </is>
      </c>
      <c r="L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" s="10" t="n">
        <v>3962408.345</v>
      </c>
    </row>
    <row r="49" ht="51" customHeight="1">
      <c r="A49" s="10" t="inlineStr">
        <is>
          <t>LME_036</t>
        </is>
      </c>
      <c r="B49" s="11" t="inlineStr">
        <is>
          <t>36_2_South_China_Sea_SCS-2007_Northern_South_China_Sea_(1970s)</t>
        </is>
      </c>
      <c r="C49" s="11" t="inlineStr">
        <is>
          <t>Monacanthidae</t>
        </is>
      </c>
      <c r="D49" s="10" t="inlineStr">
        <is>
          <t>Filefishes</t>
        </is>
      </c>
      <c r="E49" s="10" t="inlineStr">
        <is>
          <t>Medium reef assoc. fish (30 - 89 cm)</t>
        </is>
      </c>
      <c r="F49" s="10" t="inlineStr">
        <is>
          <t>Other fishes &amp; inverts</t>
        </is>
      </c>
      <c r="G49" s="11" t="inlineStr">
        <is>
          <t>Adult demersal fish (&gt; 30 cm)</t>
        </is>
      </c>
      <c r="H49" s="12" t="n">
        <v>0.799721835883171</v>
      </c>
      <c r="I49" s="10" t="inlineStr">
        <is>
          <t>model_catch</t>
        </is>
      </c>
      <c r="J49" s="14" t="inlineStr">
        <is>
          <t>medium</t>
        </is>
      </c>
      <c r="K49" s="10" t="inlineStr">
        <is>
          <t>composite_split</t>
        </is>
      </c>
      <c r="L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" s="10" t="n">
        <v>3962408.345</v>
      </c>
    </row>
    <row r="50" ht="36" customHeight="1">
      <c r="A50" s="10" t="inlineStr">
        <is>
          <t>LME_036</t>
        </is>
      </c>
      <c r="B50" s="11" t="inlineStr">
        <is>
          <t>36_2_South_China_Sea_SCS-2007_Northern_South_China_Sea_(1970s)</t>
        </is>
      </c>
      <c r="C50" s="11" t="inlineStr">
        <is>
          <t>Trachysalambria curvirostris</t>
        </is>
      </c>
      <c r="D50" s="10" t="inlineStr">
        <is>
          <t>Southern rough shrimp</t>
        </is>
      </c>
      <c r="E50" s="10" t="inlineStr">
        <is>
          <t>Shrimps</t>
        </is>
      </c>
      <c r="F50" s="10" t="inlineStr">
        <is>
          <t>Crustaceans</t>
        </is>
      </c>
      <c r="G50" s="11" t="inlineStr">
        <is>
          <t>Shrimps</t>
        </is>
      </c>
      <c r="H50" s="12" t="n">
        <v>1</v>
      </c>
      <c r="I50" s="10" t="inlineStr">
        <is>
          <t>single</t>
        </is>
      </c>
      <c r="J50" s="15" t="inlineStr">
        <is>
          <t>high</t>
        </is>
      </c>
      <c r="K50" s="10" t="inlineStr">
        <is>
          <t>taxonomic_containment</t>
        </is>
      </c>
      <c r="L50" s="11" t="inlineStr">
        <is>
          <t>Stomatopods belong to the residual benthic crustaceans; other shrimp taxa belong to Shrimps after the explicitly separated Acetes records (Appendix 6.1 pp.323-326).</t>
        </is>
      </c>
      <c r="M50" s="10" t="n">
        <v>3907800.117</v>
      </c>
    </row>
    <row r="51" ht="51" customHeight="1">
      <c r="A51" s="10" t="inlineStr">
        <is>
          <t>LME_036</t>
        </is>
      </c>
      <c r="B51" s="11" t="inlineStr">
        <is>
          <t>36_2_South_China_Sea_SCS-2007_Northern_South_China_Sea_(1970s)</t>
        </is>
      </c>
      <c r="C51" s="11" t="inlineStr">
        <is>
          <t>Larimichthys crocea</t>
        </is>
      </c>
      <c r="D51" s="10" t="inlineStr">
        <is>
          <t>Large yellow croaker</t>
        </is>
      </c>
      <c r="E51" s="10" t="inlineStr">
        <is>
          <t>Medium benthopelagics (30 - 89 cm)</t>
        </is>
      </c>
      <c r="F51" s="10" t="inlineStr">
        <is>
          <t>Perch-likes</t>
        </is>
      </c>
      <c r="G51" s="11" t="inlineStr">
        <is>
          <t>Juvenile large croakers</t>
        </is>
      </c>
      <c r="H51" s="12" t="n">
        <v>0.2</v>
      </c>
      <c r="I51" s="10" t="inlineStr">
        <is>
          <t>model_catch</t>
        </is>
      </c>
      <c r="J51" s="14" t="inlineStr">
        <is>
          <t>medium</t>
        </is>
      </c>
      <c r="K51" s="10" t="inlineStr">
        <is>
          <t>composite_split</t>
        </is>
      </c>
      <c r="L5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1" s="10" t="n">
        <v>3769190.843</v>
      </c>
    </row>
    <row r="52" ht="51" customHeight="1">
      <c r="A52" s="10" t="inlineStr">
        <is>
          <t>LME_036</t>
        </is>
      </c>
      <c r="B52" s="11" t="inlineStr">
        <is>
          <t>36_2_South_China_Sea_SCS-2007_Northern_South_China_Sea_(1970s)</t>
        </is>
      </c>
      <c r="C52" s="11" t="inlineStr">
        <is>
          <t>Larimichthys crocea</t>
        </is>
      </c>
      <c r="D52" s="10" t="inlineStr">
        <is>
          <t>Large yellow croaker</t>
        </is>
      </c>
      <c r="E52" s="10" t="inlineStr">
        <is>
          <t>Medium benthopelagics (30 - 89 cm)</t>
        </is>
      </c>
      <c r="F52" s="10" t="inlineStr">
        <is>
          <t>Perch-likes</t>
        </is>
      </c>
      <c r="G52" s="11" t="inlineStr">
        <is>
          <t>Croakers (&gt; 30 cm)</t>
        </is>
      </c>
      <c r="H52" s="12" t="n">
        <v>0.8</v>
      </c>
      <c r="I52" s="10" t="inlineStr">
        <is>
          <t>model_catch</t>
        </is>
      </c>
      <c r="J52" s="14" t="inlineStr">
        <is>
          <t>medium</t>
        </is>
      </c>
      <c r="K52" s="10" t="inlineStr">
        <is>
          <t>composite_split</t>
        </is>
      </c>
      <c r="L5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2" s="10" t="n">
        <v>3769190.843</v>
      </c>
    </row>
    <row r="53" ht="51" customHeight="1">
      <c r="A53" s="10" t="inlineStr">
        <is>
          <t>LME_036</t>
        </is>
      </c>
      <c r="B53" s="11" t="inlineStr">
        <is>
          <t>36_2_South_China_Sea_SCS-2007_Northern_South_China_Sea_(1970s)</t>
        </is>
      </c>
      <c r="C53" s="11" t="inlineStr">
        <is>
          <t>Clupeidae</t>
        </is>
      </c>
      <c r="D53" s="10" t="inlineStr">
        <is>
          <t>Herrings, sardines, menhadens</t>
        </is>
      </c>
      <c r="E53" s="10" t="inlineStr">
        <is>
          <t>Small pelagics (&lt;30 cm)</t>
        </is>
      </c>
      <c r="F53" s="10" t="inlineStr">
        <is>
          <t>Herring-likes</t>
        </is>
      </c>
      <c r="G53" s="11" t="inlineStr">
        <is>
          <t>Pelagic fish (≤ 30 cm)</t>
        </is>
      </c>
      <c r="H53" s="12" t="n">
        <v>0.7541322314049587</v>
      </c>
      <c r="I53" s="10" t="inlineStr">
        <is>
          <t>model_catch</t>
        </is>
      </c>
      <c r="J53" s="13" t="inlineStr">
        <is>
          <t>low</t>
        </is>
      </c>
      <c r="K53" s="10" t="inlineStr">
        <is>
          <t>composite_split</t>
        </is>
      </c>
      <c r="L5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3" s="10" t="n">
        <v>3540793.614</v>
      </c>
    </row>
    <row r="54" ht="51" customHeight="1">
      <c r="A54" s="10" t="inlineStr">
        <is>
          <t>LME_036</t>
        </is>
      </c>
      <c r="B54" s="11" t="inlineStr">
        <is>
          <t>36_2_South_China_Sea_SCS-2007_Northern_South_China_Sea_(1970s)</t>
        </is>
      </c>
      <c r="C54" s="11" t="inlineStr">
        <is>
          <t>Clupeidae</t>
        </is>
      </c>
      <c r="D54" s="10" t="inlineStr">
        <is>
          <t>Herrings, sardines, menhadens</t>
        </is>
      </c>
      <c r="E54" s="10" t="inlineStr">
        <is>
          <t>Small pelagics (&lt;30 cm)</t>
        </is>
      </c>
      <c r="F54" s="10" t="inlineStr">
        <is>
          <t>Herring-likes</t>
        </is>
      </c>
      <c r="G54" s="11" t="inlineStr">
        <is>
          <t>Juvenile large pelagic fish</t>
        </is>
      </c>
      <c r="H54" s="12" t="n">
        <v>0.04958677685950413</v>
      </c>
      <c r="I54" s="10" t="inlineStr">
        <is>
          <t>model_catch</t>
        </is>
      </c>
      <c r="J54" s="13" t="inlineStr">
        <is>
          <t>low</t>
        </is>
      </c>
      <c r="K54" s="10" t="inlineStr">
        <is>
          <t>composite_split</t>
        </is>
      </c>
      <c r="L54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4" s="10" t="n">
        <v>3540793.614</v>
      </c>
    </row>
    <row r="55" ht="51" customHeight="1">
      <c r="A55" s="10" t="inlineStr">
        <is>
          <t>LME_036</t>
        </is>
      </c>
      <c r="B55" s="11" t="inlineStr">
        <is>
          <t>36_2_South_China_Sea_SCS-2007_Northern_South_China_Sea_(1970s)</t>
        </is>
      </c>
      <c r="C55" s="11" t="inlineStr">
        <is>
          <t>Clupeidae</t>
        </is>
      </c>
      <c r="D55" s="10" t="inlineStr">
        <is>
          <t>Herrings, sardines, menhadens</t>
        </is>
      </c>
      <c r="E55" s="10" t="inlineStr">
        <is>
          <t>Small pelagics (&lt;30 cm)</t>
        </is>
      </c>
      <c r="F55" s="10" t="inlineStr">
        <is>
          <t>Herring-likes</t>
        </is>
      </c>
      <c r="G55" s="11" t="inlineStr">
        <is>
          <t>Pelagic fish (&gt; 30 cm)</t>
        </is>
      </c>
      <c r="H55" s="12" t="n">
        <v>0.1962809917355372</v>
      </c>
      <c r="I55" s="10" t="inlineStr">
        <is>
          <t>model_catch</t>
        </is>
      </c>
      <c r="J55" s="13" t="inlineStr">
        <is>
          <t>low</t>
        </is>
      </c>
      <c r="K55" s="10" t="inlineStr">
        <is>
          <t>composite_split</t>
        </is>
      </c>
      <c r="L55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5" s="10" t="n">
        <v>3540793.614</v>
      </c>
    </row>
    <row r="56" ht="51" customHeight="1">
      <c r="A56" s="10" t="inlineStr">
        <is>
          <t>LME_036</t>
        </is>
      </c>
      <c r="B56" s="11" t="inlineStr">
        <is>
          <t>36_2_South_China_Sea_SCS-2007_Northern_South_China_Sea_(1970s)</t>
        </is>
      </c>
      <c r="C56" s="11" t="inlineStr">
        <is>
          <t>Muraenesox cinereus</t>
        </is>
      </c>
      <c r="D56" s="10" t="inlineStr">
        <is>
          <t>Daggertooth pike conger</t>
        </is>
      </c>
      <c r="E56" s="10" t="inlineStr">
        <is>
          <t>Large demersals (&gt;=90 cm)</t>
        </is>
      </c>
      <c r="F56" s="10" t="inlineStr">
        <is>
          <t>Other fishes &amp; inverts</t>
        </is>
      </c>
      <c r="G56" s="11" t="inlineStr">
        <is>
          <t>Juvenile demersal fish (&gt; 30 cm)</t>
        </is>
      </c>
      <c r="H56" s="12" t="n">
        <v>0.2002781641168289</v>
      </c>
      <c r="I56" s="10" t="inlineStr">
        <is>
          <t>model_catch</t>
        </is>
      </c>
      <c r="J56" s="14" t="inlineStr">
        <is>
          <t>medium</t>
        </is>
      </c>
      <c r="K56" s="10" t="inlineStr">
        <is>
          <t>composite_split</t>
        </is>
      </c>
      <c r="L5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6" s="10" t="n">
        <v>3307959.703</v>
      </c>
    </row>
    <row r="57" ht="51" customHeight="1">
      <c r="A57" s="10" t="inlineStr">
        <is>
          <t>LME_036</t>
        </is>
      </c>
      <c r="B57" s="11" t="inlineStr">
        <is>
          <t>36_2_South_China_Sea_SCS-2007_Northern_South_China_Sea_(1970s)</t>
        </is>
      </c>
      <c r="C57" s="11" t="inlineStr">
        <is>
          <t>Muraenesox cinereus</t>
        </is>
      </c>
      <c r="D57" s="10" t="inlineStr">
        <is>
          <t>Daggertooth pike conger</t>
        </is>
      </c>
      <c r="E57" s="10" t="inlineStr">
        <is>
          <t>Large demersals (&gt;=90 cm)</t>
        </is>
      </c>
      <c r="F57" s="10" t="inlineStr">
        <is>
          <t>Other fishes &amp; inverts</t>
        </is>
      </c>
      <c r="G57" s="11" t="inlineStr">
        <is>
          <t>Adult demersal fish (&gt; 30 cm)</t>
        </is>
      </c>
      <c r="H57" s="12" t="n">
        <v>0.799721835883171</v>
      </c>
      <c r="I57" s="10" t="inlineStr">
        <is>
          <t>model_catch</t>
        </is>
      </c>
      <c r="J57" s="14" t="inlineStr">
        <is>
          <t>medium</t>
        </is>
      </c>
      <c r="K57" s="10" t="inlineStr">
        <is>
          <t>composite_split</t>
        </is>
      </c>
      <c r="L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7" s="10" t="n">
        <v>3307959.703</v>
      </c>
    </row>
    <row r="58" ht="36" customHeight="1">
      <c r="A58" s="10" t="inlineStr">
        <is>
          <t>LME_036</t>
        </is>
      </c>
      <c r="B58" s="11" t="inlineStr">
        <is>
          <t>36_2_South_China_Sea_SCS-2007_Northern_South_China_Sea_(1970s)</t>
        </is>
      </c>
      <c r="C58" s="11" t="inlineStr">
        <is>
          <t>Portunus pelagicus</t>
        </is>
      </c>
      <c r="D58" s="10" t="inlineStr">
        <is>
          <t>Blue swimming crab</t>
        </is>
      </c>
      <c r="E58" s="10" t="inlineStr">
        <is>
          <t>Lobsters, crabs</t>
        </is>
      </c>
      <c r="F58" s="10" t="inlineStr">
        <is>
          <t>Crustaceans</t>
        </is>
      </c>
      <c r="G58" s="11" t="inlineStr">
        <is>
          <t>Crabs</t>
        </is>
      </c>
      <c r="H58" s="12" t="n">
        <v>1</v>
      </c>
      <c r="I58" s="10" t="inlineStr">
        <is>
          <t>single</t>
        </is>
      </c>
      <c r="J58" s="15" t="inlineStr">
        <is>
          <t>high</t>
        </is>
      </c>
      <c r="K58" s="10" t="inlineStr">
        <is>
          <t>taxonomic_containment</t>
        </is>
      </c>
      <c r="L58" s="11" t="inlineStr">
        <is>
          <t>Source benthic crustaceans exclude shrimps and crabs (Appendix 6.1.5 p.324); lobsters remain in that residual, while true crabs use Crabs.</t>
        </is>
      </c>
      <c r="M58" s="10" t="n">
        <v>3288014.824</v>
      </c>
    </row>
    <row r="59" ht="51" customHeight="1">
      <c r="A59" s="10" t="inlineStr">
        <is>
          <t>LME_036</t>
        </is>
      </c>
      <c r="B59" s="11" t="inlineStr">
        <is>
          <t>36_2_South_China_Sea_SCS-2007_Northern_South_China_Sea_(1970s)</t>
        </is>
      </c>
      <c r="C59" s="11" t="inlineStr">
        <is>
          <t>Engraulidae</t>
        </is>
      </c>
      <c r="D59" s="10" t="inlineStr">
        <is>
          <t>Anchovies, round herrings</t>
        </is>
      </c>
      <c r="E59" s="10" t="inlineStr">
        <is>
          <t>Small pelagics (&lt;30 cm)</t>
        </is>
      </c>
      <c r="F59" s="10" t="inlineStr">
        <is>
          <t>Anchovies</t>
        </is>
      </c>
      <c r="G59" s="11" t="inlineStr">
        <is>
          <t>Pelagic fish (≤ 30 cm)</t>
        </is>
      </c>
      <c r="H59" s="12" t="n">
        <v>1</v>
      </c>
      <c r="I59" s="10" t="inlineStr">
        <is>
          <t>single</t>
        </is>
      </c>
      <c r="J59" s="14" t="inlineStr">
        <is>
          <t>medium</t>
        </is>
      </c>
      <c r="K59" s="10" t="inlineStr">
        <is>
          <t>habitat_size_guild</t>
        </is>
      </c>
      <c r="L5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9" s="10" t="n">
        <v>3259139.244</v>
      </c>
    </row>
    <row r="60" ht="51" customHeight="1">
      <c r="A60" s="10" t="inlineStr">
        <is>
          <t>LME_036</t>
        </is>
      </c>
      <c r="B60" s="11" t="inlineStr">
        <is>
          <t>36_2_South_China_Sea_SCS-2007_Northern_South_China_Sea_(1970s)</t>
        </is>
      </c>
      <c r="C60" s="11" t="inlineStr">
        <is>
          <t>Pampus</t>
        </is>
      </c>
      <c r="D60" s="10" t="inlineStr">
        <is>
          <t>Silver pomfrets</t>
        </is>
      </c>
      <c r="E60" s="10" t="inlineStr">
        <is>
          <t>Medium benthopelagics (30 - 89 cm)</t>
        </is>
      </c>
      <c r="F60" s="10" t="inlineStr">
        <is>
          <t>Perch-likes</t>
        </is>
      </c>
      <c r="G60" s="11" t="inlineStr">
        <is>
          <t>Pomfret (stromateids)</t>
        </is>
      </c>
      <c r="H60" s="12" t="n">
        <v>1</v>
      </c>
      <c r="I60" s="10" t="inlineStr">
        <is>
          <t>single</t>
        </is>
      </c>
      <c r="J60" s="15" t="inlineStr">
        <is>
          <t>high</t>
        </is>
      </c>
      <c r="K60" s="10" t="inlineStr">
        <is>
          <t>taxonomic_containment</t>
        </is>
      </c>
      <c r="L60" s="11" t="inlineStr">
        <is>
          <t>Appendix 6.1 pp.327-335 defines Pomfret (stromateids) by this family or explicitly names Pampus; dedicated source placement overrides the SAU class Medium benthopelagics (30 - 89 cm).</t>
        </is>
      </c>
      <c r="M60" s="10" t="n">
        <v>3141062.387</v>
      </c>
    </row>
    <row r="61" ht="51" customHeight="1">
      <c r="A61" s="10" t="inlineStr">
        <is>
          <t>LME_036</t>
        </is>
      </c>
      <c r="B61" s="11" t="inlineStr">
        <is>
          <t>36_2_South_China_Sea_SCS-2007_Northern_South_China_Sea_(1970s)</t>
        </is>
      </c>
      <c r="C61" s="11" t="inlineStr">
        <is>
          <t>Nemipteridae</t>
        </is>
      </c>
      <c r="D61" s="10" t="inlineStr">
        <is>
          <t>Threadfins, whiptail breams</t>
        </is>
      </c>
      <c r="E61" s="10" t="inlineStr">
        <is>
          <t>Small demersals (&lt;30 cm)</t>
        </is>
      </c>
      <c r="F61" s="10" t="inlineStr">
        <is>
          <t>Perch-likes</t>
        </is>
      </c>
      <c r="G61" s="11" t="inlineStr">
        <is>
          <t>Threadfin bream (nemipterids)</t>
        </is>
      </c>
      <c r="H61" s="12" t="n">
        <v>1</v>
      </c>
      <c r="I61" s="10" t="inlineStr">
        <is>
          <t>single</t>
        </is>
      </c>
      <c r="J61" s="15" t="inlineStr">
        <is>
          <t>high</t>
        </is>
      </c>
      <c r="K61" s="10" t="inlineStr">
        <is>
          <t>taxonomic_containment</t>
        </is>
      </c>
      <c r="L61" s="11" t="inlineStr">
        <is>
          <t>Appendix 6.1 pp.327-335 defines Threadfin bream (nemipterids) by this family or explicitly names Nemipteridae; dedicated source placement overrides the SAU class Small demersals (&lt;30 cm).</t>
        </is>
      </c>
      <c r="M61" s="10" t="n">
        <v>3102945.198</v>
      </c>
    </row>
    <row r="62" ht="36" customHeight="1">
      <c r="A62" s="10" t="inlineStr">
        <is>
          <t>LME_036</t>
        </is>
      </c>
      <c r="B62" s="11" t="inlineStr">
        <is>
          <t>36_2_South_China_Sea_SCS-2007_Northern_South_China_Sea_(1970s)</t>
        </is>
      </c>
      <c r="C62" s="11" t="inlineStr">
        <is>
          <t>Sepiidae</t>
        </is>
      </c>
      <c r="D62" s="10" t="inlineStr">
        <is>
          <t>Cuttlefishes</t>
        </is>
      </c>
      <c r="E62" s="10" t="inlineStr">
        <is>
          <t>Cephalopods</t>
        </is>
      </c>
      <c r="F62" s="10" t="inlineStr">
        <is>
          <t>Other fishes &amp; inverts</t>
        </is>
      </c>
      <c r="G62" s="11" t="inlineStr">
        <is>
          <t>Cephalopods</t>
        </is>
      </c>
      <c r="H62" s="12" t="n">
        <v>1</v>
      </c>
      <c r="I62" s="10" t="inlineStr">
        <is>
          <t>single</t>
        </is>
      </c>
      <c r="J62" s="15" t="inlineStr">
        <is>
          <t>high</t>
        </is>
      </c>
      <c r="K62" s="10" t="inlineStr">
        <is>
          <t>taxonomic_containment</t>
        </is>
      </c>
      <c r="L62" s="11" t="inlineStr">
        <is>
          <t>Cephalopoda is contained by the single source Cephalopods group, Appendix 6.1.8 pp.326-327.</t>
        </is>
      </c>
      <c r="M62" s="10" t="n">
        <v>2938421.515</v>
      </c>
    </row>
    <row r="63" ht="36" customHeight="1">
      <c r="A63" s="10" t="inlineStr">
        <is>
          <t>LME_036</t>
        </is>
      </c>
      <c r="B63" s="11" t="inlineStr">
        <is>
          <t>36_2_South_China_Sea_SCS-2007_Northern_South_China_Sea_(1970s)</t>
        </is>
      </c>
      <c r="C63" s="11" t="inlineStr">
        <is>
          <t>Decapterus</t>
        </is>
      </c>
      <c r="D63" s="10" t="inlineStr">
        <is>
          <t>Scads</t>
        </is>
      </c>
      <c r="E63" s="10" t="inlineStr">
        <is>
          <t>Medium pelagics (30 - 89 cm)</t>
        </is>
      </c>
      <c r="F63" s="10" t="inlineStr">
        <is>
          <t>Perch-likes</t>
        </is>
      </c>
      <c r="G63" s="11" t="inlineStr">
        <is>
          <t>Juvenile large pelagic fish</t>
        </is>
      </c>
      <c r="H63" s="12" t="n">
        <v>0.2016806722689076</v>
      </c>
      <c r="I63" s="10" t="inlineStr">
        <is>
          <t>model_catch</t>
        </is>
      </c>
      <c r="J63" s="14" t="inlineStr">
        <is>
          <t>medium</t>
        </is>
      </c>
      <c r="K63" s="10" t="inlineStr">
        <is>
          <t>composite_split</t>
        </is>
      </c>
      <c r="L63" s="11" t="inlineStr">
        <is>
          <t>Analyst habitat/size inference to source &gt;30 cm pelagic fish (Appendix 6.1.24 p.339); no age data, so split juvenile/adult using the period model catch.</t>
        </is>
      </c>
      <c r="M63" s="10" t="n">
        <v>2787864.256</v>
      </c>
    </row>
    <row r="64" ht="36" customHeight="1">
      <c r="A64" s="10" t="inlineStr">
        <is>
          <t>LME_036</t>
        </is>
      </c>
      <c r="B64" s="11" t="inlineStr">
        <is>
          <t>36_2_South_China_Sea_SCS-2007_Northern_South_China_Sea_(1970s)</t>
        </is>
      </c>
      <c r="C64" s="11" t="inlineStr">
        <is>
          <t>Decapterus</t>
        </is>
      </c>
      <c r="D64" s="10" t="inlineStr">
        <is>
          <t>Scads</t>
        </is>
      </c>
      <c r="E64" s="10" t="inlineStr">
        <is>
          <t>Medium pelagics (30 - 89 cm)</t>
        </is>
      </c>
      <c r="F64" s="10" t="inlineStr">
        <is>
          <t>Perch-likes</t>
        </is>
      </c>
      <c r="G64" s="11" t="inlineStr">
        <is>
          <t>Pelagic fish (&gt; 30 cm)</t>
        </is>
      </c>
      <c r="H64" s="12" t="n">
        <v>0.7983193277310925</v>
      </c>
      <c r="I64" s="10" t="inlineStr">
        <is>
          <t>model_catch</t>
        </is>
      </c>
      <c r="J64" s="14" t="inlineStr">
        <is>
          <t>medium</t>
        </is>
      </c>
      <c r="K64" s="10" t="inlineStr">
        <is>
          <t>composite_split</t>
        </is>
      </c>
      <c r="L64" s="11" t="inlineStr">
        <is>
          <t>Analyst habitat/size inference to source &gt;30 cm pelagic fish (Appendix 6.1.24 p.339); no age data, so split juvenile/adult using the period model catch.</t>
        </is>
      </c>
      <c r="M64" s="10" t="n">
        <v>2787864.256</v>
      </c>
    </row>
    <row r="65" ht="36" customHeight="1">
      <c r="A65" s="10" t="inlineStr">
        <is>
          <t>LME_036</t>
        </is>
      </c>
      <c r="B65" s="11" t="inlineStr">
        <is>
          <t>36_2_South_China_Sea_SCS-2007_Northern_South_China_Sea_(1970s)</t>
        </is>
      </c>
      <c r="C65" s="11" t="inlineStr">
        <is>
          <t>Teuthida</t>
        </is>
      </c>
      <c r="D65" s="10" t="inlineStr">
        <is>
          <t>Squids</t>
        </is>
      </c>
      <c r="E65" s="10" t="inlineStr">
        <is>
          <t>Cephalopods</t>
        </is>
      </c>
      <c r="F65" s="10" t="inlineStr">
        <is>
          <t>Other fishes &amp; inverts</t>
        </is>
      </c>
      <c r="G65" s="11" t="inlineStr">
        <is>
          <t>Cephalopods</t>
        </is>
      </c>
      <c r="H65" s="12" t="n">
        <v>1</v>
      </c>
      <c r="I65" s="10" t="inlineStr">
        <is>
          <t>single</t>
        </is>
      </c>
      <c r="J65" s="15" t="inlineStr">
        <is>
          <t>high</t>
        </is>
      </c>
      <c r="K65" s="10" t="inlineStr">
        <is>
          <t>taxonomic_containment</t>
        </is>
      </c>
      <c r="L65" s="11" t="inlineStr">
        <is>
          <t>Cephalopoda is contained by the single source Cephalopods group, Appendix 6.1.8 pp.326-327.</t>
        </is>
      </c>
      <c r="M65" s="10" t="n">
        <v>2520688.549</v>
      </c>
    </row>
    <row r="66" ht="51" customHeight="1">
      <c r="A66" s="10" t="inlineStr">
        <is>
          <t>LME_036</t>
        </is>
      </c>
      <c r="B66" s="11" t="inlineStr">
        <is>
          <t>36_2_South_China_Sea_SCS-2007_Northern_South_China_Sea_(1970s)</t>
        </is>
      </c>
      <c r="C66" s="11" t="inlineStr">
        <is>
          <t>Saurida tumbil</t>
        </is>
      </c>
      <c r="D66" s="10" t="inlineStr">
        <is>
          <t>Greater lizardfish</t>
        </is>
      </c>
      <c r="E66" s="10" t="inlineStr">
        <is>
          <t>Medium demersals (30 - 89 cm)</t>
        </is>
      </c>
      <c r="F66" s="10" t="inlineStr">
        <is>
          <t>Other fishes &amp; inverts</t>
        </is>
      </c>
      <c r="G66" s="11" t="inlineStr">
        <is>
          <t>Lizard fish (synodontids)</t>
        </is>
      </c>
      <c r="H66" s="12" t="n">
        <v>1</v>
      </c>
      <c r="I66" s="10" t="inlineStr">
        <is>
          <t>single</t>
        </is>
      </c>
      <c r="J66" s="15" t="inlineStr">
        <is>
          <t>high</t>
        </is>
      </c>
      <c r="K66" s="10" t="inlineStr">
        <is>
          <t>explicit_member</t>
        </is>
      </c>
      <c r="L66" s="11" t="inlineStr">
        <is>
          <t>Appendix 6.1 pp.327-335 defines Lizard fish (synodontids) by this family or explicitly names Saurida tumbil; dedicated source placement overrides the SAU class Medium demersals (30 - 89 cm).</t>
        </is>
      </c>
      <c r="M66" s="10" t="n">
        <v>2376467.307</v>
      </c>
    </row>
    <row r="67" ht="36" customHeight="1">
      <c r="A67" s="10" t="inlineStr">
        <is>
          <t>LME_036</t>
        </is>
      </c>
      <c r="B67" s="11" t="inlineStr">
        <is>
          <t>36_2_South_China_Sea_SCS-2007_Northern_South_China_Sea_(1970s)</t>
        </is>
      </c>
      <c r="C67" s="11" t="inlineStr">
        <is>
          <t>Scombroidei</t>
        </is>
      </c>
      <c r="D67" s="10" t="inlineStr">
        <is>
          <t>Tunas, bonitos, billfishes</t>
        </is>
      </c>
      <c r="E67" s="10" t="inlineStr">
        <is>
          <t>Large pelagics (&gt;=90 cm)</t>
        </is>
      </c>
      <c r="F67" s="10" t="inlineStr">
        <is>
          <t>Tuna &amp; billfishes</t>
        </is>
      </c>
      <c r="G67" s="11" t="inlineStr">
        <is>
          <t>Juvenile large pelagic fish</t>
        </is>
      </c>
      <c r="H67" s="12" t="n">
        <v>0.2016806722689076</v>
      </c>
      <c r="I67" s="10" t="inlineStr">
        <is>
          <t>model_catch</t>
        </is>
      </c>
      <c r="J67" s="14" t="inlineStr">
        <is>
          <t>medium</t>
        </is>
      </c>
      <c r="K67" s="10" t="inlineStr">
        <is>
          <t>composite_split</t>
        </is>
      </c>
      <c r="L67" s="11" t="inlineStr">
        <is>
          <t>Analyst habitat/size inference to source &gt;30 cm pelagic fish (Appendix 6.1.24 p.339); no age data, so split juvenile/adult using the period model catch.</t>
        </is>
      </c>
      <c r="M67" s="10" t="n">
        <v>2367798.338</v>
      </c>
    </row>
    <row r="68" ht="36" customHeight="1">
      <c r="A68" s="10" t="inlineStr">
        <is>
          <t>LME_036</t>
        </is>
      </c>
      <c r="B68" s="11" t="inlineStr">
        <is>
          <t>36_2_South_China_Sea_SCS-2007_Northern_South_China_Sea_(1970s)</t>
        </is>
      </c>
      <c r="C68" s="11" t="inlineStr">
        <is>
          <t>Scombroidei</t>
        </is>
      </c>
      <c r="D68" s="10" t="inlineStr">
        <is>
          <t>Tunas, bonitos, billfishes</t>
        </is>
      </c>
      <c r="E68" s="10" t="inlineStr">
        <is>
          <t>Large pelagics (&gt;=90 cm)</t>
        </is>
      </c>
      <c r="F68" s="10" t="inlineStr">
        <is>
          <t>Tuna &amp; billfishes</t>
        </is>
      </c>
      <c r="G68" s="11" t="inlineStr">
        <is>
          <t>Pelagic fish (&gt; 30 cm)</t>
        </is>
      </c>
      <c r="H68" s="12" t="n">
        <v>0.7983193277310925</v>
      </c>
      <c r="I68" s="10" t="inlineStr">
        <is>
          <t>model_catch</t>
        </is>
      </c>
      <c r="J68" s="14" t="inlineStr">
        <is>
          <t>medium</t>
        </is>
      </c>
      <c r="K68" s="10" t="inlineStr">
        <is>
          <t>composite_split</t>
        </is>
      </c>
      <c r="L68" s="11" t="inlineStr">
        <is>
          <t>Analyst habitat/size inference to source &gt;30 cm pelagic fish (Appendix 6.1.24 p.339); no age data, so split juvenile/adult using the period model catch.</t>
        </is>
      </c>
      <c r="M68" s="10" t="n">
        <v>2367798.338</v>
      </c>
    </row>
    <row r="69" ht="51" customHeight="1">
      <c r="A69" s="10" t="inlineStr">
        <is>
          <t>LME_036</t>
        </is>
      </c>
      <c r="B69" s="11" t="inlineStr">
        <is>
          <t>36_2_South_China_Sea_SCS-2007_Northern_South_China_Sea_(1970s)</t>
        </is>
      </c>
      <c r="C69" s="11" t="inlineStr">
        <is>
          <t>Decapoda</t>
        </is>
      </c>
      <c r="D69" s="10" t="inlineStr">
        <is>
          <t>Crabs, lobsters, shrimps</t>
        </is>
      </c>
      <c r="E69" s="10" t="inlineStr">
        <is>
          <t>Lobsters, crabs</t>
        </is>
      </c>
      <c r="F69" s="10" t="inlineStr">
        <is>
          <t>Crustaceans</t>
        </is>
      </c>
      <c r="G69" s="11" t="inlineStr">
        <is>
          <t>Zooplankton</t>
        </is>
      </c>
      <c r="H69" s="12" t="n">
        <v>0.2569684142645532</v>
      </c>
      <c r="I69" s="10" t="inlineStr">
        <is>
          <t>catch_composition</t>
        </is>
      </c>
      <c r="J69" s="13" t="inlineStr">
        <is>
          <t>low</t>
        </is>
      </c>
      <c r="K69" s="10" t="inlineStr">
        <is>
          <t>composite_split</t>
        </is>
      </c>
      <c r="L6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9" s="10" t="n">
        <v>2362914.419</v>
      </c>
    </row>
    <row r="70" ht="51" customHeight="1">
      <c r="A70" s="10" t="inlineStr">
        <is>
          <t>LME_036</t>
        </is>
      </c>
      <c r="B70" s="11" t="inlineStr">
        <is>
          <t>36_2_South_China_Sea_SCS-2007_Northern_South_China_Sea_(1970s)</t>
        </is>
      </c>
      <c r="C70" s="11" t="inlineStr">
        <is>
          <t>Decapoda</t>
        </is>
      </c>
      <c r="D70" s="10" t="inlineStr">
        <is>
          <t>Crabs, lobsters, shrimps</t>
        </is>
      </c>
      <c r="E70" s="10" t="inlineStr">
        <is>
          <t>Lobsters, crabs</t>
        </is>
      </c>
      <c r="F70" s="10" t="inlineStr">
        <is>
          <t>Crustaceans</t>
        </is>
      </c>
      <c r="G70" s="11" t="inlineStr">
        <is>
          <t>Benthic crustaceans</t>
        </is>
      </c>
      <c r="H70" s="12" t="n">
        <v>0.05182109872625006</v>
      </c>
      <c r="I70" s="10" t="inlineStr">
        <is>
          <t>catch_composition</t>
        </is>
      </c>
      <c r="J70" s="13" t="inlineStr">
        <is>
          <t>low</t>
        </is>
      </c>
      <c r="K70" s="10" t="inlineStr">
        <is>
          <t>composite_split</t>
        </is>
      </c>
      <c r="L7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0" s="10" t="n">
        <v>2362914.419</v>
      </c>
    </row>
    <row r="71" ht="51" customHeight="1">
      <c r="A71" s="10" t="inlineStr">
        <is>
          <t>LME_036</t>
        </is>
      </c>
      <c r="B71" s="11" t="inlineStr">
        <is>
          <t>36_2_South_China_Sea_SCS-2007_Northern_South_China_Sea_(1970s)</t>
        </is>
      </c>
      <c r="C71" s="11" t="inlineStr">
        <is>
          <t>Decapoda</t>
        </is>
      </c>
      <c r="D71" s="10" t="inlineStr">
        <is>
          <t>Crabs, lobsters, shrimps</t>
        </is>
      </c>
      <c r="E71" s="10" t="inlineStr">
        <is>
          <t>Lobsters, crabs</t>
        </is>
      </c>
      <c r="F71" s="10" t="inlineStr">
        <is>
          <t>Crustaceans</t>
        </is>
      </c>
      <c r="G71" s="11" t="inlineStr">
        <is>
          <t>Shrimps</t>
        </is>
      </c>
      <c r="H71" s="12" t="n">
        <v>0.4857199948986228</v>
      </c>
      <c r="I71" s="10" t="inlineStr">
        <is>
          <t>catch_composition</t>
        </is>
      </c>
      <c r="J71" s="13" t="inlineStr">
        <is>
          <t>low</t>
        </is>
      </c>
      <c r="K71" s="10" t="inlineStr">
        <is>
          <t>composite_split</t>
        </is>
      </c>
      <c r="L7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1" s="10" t="n">
        <v>2362914.419</v>
      </c>
    </row>
    <row r="72" ht="51" customHeight="1">
      <c r="A72" s="10" t="inlineStr">
        <is>
          <t>LME_036</t>
        </is>
      </c>
      <c r="B72" s="11" t="inlineStr">
        <is>
          <t>36_2_South_China_Sea_SCS-2007_Northern_South_China_Sea_(1970s)</t>
        </is>
      </c>
      <c r="C72" s="11" t="inlineStr">
        <is>
          <t>Decapoda</t>
        </is>
      </c>
      <c r="D72" s="10" t="inlineStr">
        <is>
          <t>Crabs, lobsters, shrimps</t>
        </is>
      </c>
      <c r="E72" s="10" t="inlineStr">
        <is>
          <t>Lobsters, crabs</t>
        </is>
      </c>
      <c r="F72" s="10" t="inlineStr">
        <is>
          <t>Crustaceans</t>
        </is>
      </c>
      <c r="G72" s="11" t="inlineStr">
        <is>
          <t>Crabs</t>
        </is>
      </c>
      <c r="H72" s="12" t="n">
        <v>0.2054904921105739</v>
      </c>
      <c r="I72" s="10" t="inlineStr">
        <is>
          <t>catch_composition</t>
        </is>
      </c>
      <c r="J72" s="13" t="inlineStr">
        <is>
          <t>low</t>
        </is>
      </c>
      <c r="K72" s="10" t="inlineStr">
        <is>
          <t>composite_split</t>
        </is>
      </c>
      <c r="L7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2" s="10" t="n">
        <v>2362914.419</v>
      </c>
    </row>
    <row r="73" ht="36" customHeight="1">
      <c r="A73" s="10" t="inlineStr">
        <is>
          <t>LME_036</t>
        </is>
      </c>
      <c r="B73" s="11" t="inlineStr">
        <is>
          <t>36_2_South_China_Sea_SCS-2007_Northern_South_China_Sea_(1970s)</t>
        </is>
      </c>
      <c r="C73" s="11" t="inlineStr">
        <is>
          <t>Auxis thazard</t>
        </is>
      </c>
      <c r="D73" s="10" t="inlineStr">
        <is>
          <t>Frigate tuna</t>
        </is>
      </c>
      <c r="E73" s="10" t="inlineStr">
        <is>
          <t>Medium pelagics (30 - 89 cm)</t>
        </is>
      </c>
      <c r="F73" s="10" t="inlineStr">
        <is>
          <t>Tuna &amp; billfishes</t>
        </is>
      </c>
      <c r="G73" s="11" t="inlineStr">
        <is>
          <t>Juvenile large pelagic fish</t>
        </is>
      </c>
      <c r="H73" s="12" t="n">
        <v>0.2016806722689076</v>
      </c>
      <c r="I73" s="10" t="inlineStr">
        <is>
          <t>model_catch</t>
        </is>
      </c>
      <c r="J73" s="14" t="inlineStr">
        <is>
          <t>medium</t>
        </is>
      </c>
      <c r="K73" s="10" t="inlineStr">
        <is>
          <t>composite_split</t>
        </is>
      </c>
      <c r="L73" s="11" t="inlineStr">
        <is>
          <t>Analyst habitat/size inference to source &gt;30 cm pelagic fish (Appendix 6.1.24 p.339); no age data, so split juvenile/adult using the period model catch.</t>
        </is>
      </c>
      <c r="M73" s="10" t="n">
        <v>2320946.733</v>
      </c>
    </row>
    <row r="74" ht="36" customHeight="1">
      <c r="A74" s="10" t="inlineStr">
        <is>
          <t>LME_036</t>
        </is>
      </c>
      <c r="B74" s="11" t="inlineStr">
        <is>
          <t>36_2_South_China_Sea_SCS-2007_Northern_South_China_Sea_(1970s)</t>
        </is>
      </c>
      <c r="C74" s="11" t="inlineStr">
        <is>
          <t>Auxis thazard</t>
        </is>
      </c>
      <c r="D74" s="10" t="inlineStr">
        <is>
          <t>Frigate tuna</t>
        </is>
      </c>
      <c r="E74" s="10" t="inlineStr">
        <is>
          <t>Medium pelagics (30 - 89 cm)</t>
        </is>
      </c>
      <c r="F74" s="10" t="inlineStr">
        <is>
          <t>Tuna &amp; billfishes</t>
        </is>
      </c>
      <c r="G74" s="11" t="inlineStr">
        <is>
          <t>Pelagic fish (&gt; 30 cm)</t>
        </is>
      </c>
      <c r="H74" s="12" t="n">
        <v>0.7983193277310925</v>
      </c>
      <c r="I74" s="10" t="inlineStr">
        <is>
          <t>model_catch</t>
        </is>
      </c>
      <c r="J74" s="14" t="inlineStr">
        <is>
          <t>medium</t>
        </is>
      </c>
      <c r="K74" s="10" t="inlineStr">
        <is>
          <t>composite_split</t>
        </is>
      </c>
      <c r="L74" s="11" t="inlineStr">
        <is>
          <t>Analyst habitat/size inference to source &gt;30 cm pelagic fish (Appendix 6.1.24 p.339); no age data, so split juvenile/adult using the period model catch.</t>
        </is>
      </c>
      <c r="M74" s="10" t="n">
        <v>2320946.733</v>
      </c>
    </row>
    <row r="75" ht="51" customHeight="1">
      <c r="A75" s="10" t="inlineStr">
        <is>
          <t>LME_036</t>
        </is>
      </c>
      <c r="B75" s="11" t="inlineStr">
        <is>
          <t>36_2_South_China_Sea_SCS-2007_Northern_South_China_Sea_(1970s)</t>
        </is>
      </c>
      <c r="C75" s="11" t="inlineStr">
        <is>
          <t>Priacanthidae</t>
        </is>
      </c>
      <c r="D75" s="10" t="inlineStr">
        <is>
          <t>Bigeyes, catalufas</t>
        </is>
      </c>
      <c r="E75" s="10" t="inlineStr">
        <is>
          <t>Medium reef assoc. fish (30 - 89 cm)</t>
        </is>
      </c>
      <c r="F75" s="10" t="inlineStr">
        <is>
          <t>Perch-likes</t>
        </is>
      </c>
      <c r="G75" s="11" t="inlineStr">
        <is>
          <t>Bigeyes (priacanthids)</t>
        </is>
      </c>
      <c r="H75" s="12" t="n">
        <v>1</v>
      </c>
      <c r="I75" s="10" t="inlineStr">
        <is>
          <t>single</t>
        </is>
      </c>
      <c r="J75" s="15" t="inlineStr">
        <is>
          <t>high</t>
        </is>
      </c>
      <c r="K75" s="10" t="inlineStr">
        <is>
          <t>taxonomic_containment</t>
        </is>
      </c>
      <c r="L75" s="11" t="inlineStr">
        <is>
          <t>Appendix 6.1 pp.327-335 defines Bigeyes (priacanthids) by this family or explicitly names Priacanthidae; dedicated source placement overrides the SAU class Medium reef assoc. fish (30 - 89 cm).</t>
        </is>
      </c>
      <c r="M75" s="10" t="n">
        <v>2037784.634</v>
      </c>
    </row>
    <row r="76" ht="51" customHeight="1">
      <c r="A76" s="10" t="inlineStr">
        <is>
          <t>LME_036</t>
        </is>
      </c>
      <c r="B76" s="11" t="inlineStr">
        <is>
          <t>36_2_South_China_Sea_SCS-2007_Northern_South_China_Sea_(1970s)</t>
        </is>
      </c>
      <c r="C76" s="11" t="inlineStr">
        <is>
          <t>Ariidae</t>
        </is>
      </c>
      <c r="D76" s="10" t="inlineStr">
        <is>
          <t>Sea catfishes, coblers</t>
        </is>
      </c>
      <c r="E76" s="10" t="inlineStr">
        <is>
          <t>Medium demersals (30 - 89 cm)</t>
        </is>
      </c>
      <c r="F76" s="10" t="inlineStr">
        <is>
          <t>Other fishes &amp; inverts</t>
        </is>
      </c>
      <c r="G76" s="11" t="inlineStr">
        <is>
          <t>Juvenile demersal fish (&gt; 30 cm)</t>
        </is>
      </c>
      <c r="H76" s="12" t="n">
        <v>0.2002781641168289</v>
      </c>
      <c r="I76" s="10" t="inlineStr">
        <is>
          <t>model_catch</t>
        </is>
      </c>
      <c r="J76" s="14" t="inlineStr">
        <is>
          <t>medium</t>
        </is>
      </c>
      <c r="K76" s="10" t="inlineStr">
        <is>
          <t>composite_split</t>
        </is>
      </c>
      <c r="L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" s="10" t="n">
        <v>2011554.05</v>
      </c>
    </row>
    <row r="77" ht="51" customHeight="1">
      <c r="A77" s="10" t="inlineStr">
        <is>
          <t>LME_036</t>
        </is>
      </c>
      <c r="B77" s="11" t="inlineStr">
        <is>
          <t>36_2_South_China_Sea_SCS-2007_Northern_South_China_Sea_(1970s)</t>
        </is>
      </c>
      <c r="C77" s="11" t="inlineStr">
        <is>
          <t>Ariidae</t>
        </is>
      </c>
      <c r="D77" s="10" t="inlineStr">
        <is>
          <t>Sea catfishes, coblers</t>
        </is>
      </c>
      <c r="E77" s="10" t="inlineStr">
        <is>
          <t>Medium demersals (30 - 89 cm)</t>
        </is>
      </c>
      <c r="F77" s="10" t="inlineStr">
        <is>
          <t>Other fishes &amp; inverts</t>
        </is>
      </c>
      <c r="G77" s="11" t="inlineStr">
        <is>
          <t>Adult demersal fish (&gt; 30 cm)</t>
        </is>
      </c>
      <c r="H77" s="12" t="n">
        <v>0.799721835883171</v>
      </c>
      <c r="I77" s="10" t="inlineStr">
        <is>
          <t>model_catch</t>
        </is>
      </c>
      <c r="J77" s="14" t="inlineStr">
        <is>
          <t>medium</t>
        </is>
      </c>
      <c r="K77" s="10" t="inlineStr">
        <is>
          <t>composite_split</t>
        </is>
      </c>
      <c r="L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7" s="10" t="n">
        <v>2011554.05</v>
      </c>
    </row>
    <row r="78" ht="36" customHeight="1">
      <c r="A78" s="10" t="inlineStr">
        <is>
          <t>LME_036</t>
        </is>
      </c>
      <c r="B78" s="11" t="inlineStr">
        <is>
          <t>36_2_South_China_Sea_SCS-2007_Northern_South_China_Sea_(1970s)</t>
        </is>
      </c>
      <c r="C78" s="11" t="inlineStr">
        <is>
          <t>Sepiida</t>
        </is>
      </c>
      <c r="D78" s="10" t="inlineStr">
        <is>
          <t>Cuttlefishes, bobtail squids</t>
        </is>
      </c>
      <c r="E78" s="10" t="inlineStr">
        <is>
          <t>Cephalopods</t>
        </is>
      </c>
      <c r="F78" s="10" t="inlineStr">
        <is>
          <t>Other fishes &amp; inverts</t>
        </is>
      </c>
      <c r="G78" s="11" t="inlineStr">
        <is>
          <t>Cephalopods</t>
        </is>
      </c>
      <c r="H78" s="12" t="n">
        <v>1</v>
      </c>
      <c r="I78" s="10" t="inlineStr">
        <is>
          <t>single</t>
        </is>
      </c>
      <c r="J78" s="15" t="inlineStr">
        <is>
          <t>high</t>
        </is>
      </c>
      <c r="K78" s="10" t="inlineStr">
        <is>
          <t>taxonomic_containment</t>
        </is>
      </c>
      <c r="L78" s="11" t="inlineStr">
        <is>
          <t>Cephalopoda is contained by the single source Cephalopods group, Appendix 6.1.8 pp.326-327.</t>
        </is>
      </c>
      <c r="M78" s="10" t="n">
        <v>1933877.398</v>
      </c>
    </row>
    <row r="79" ht="51" customHeight="1">
      <c r="A79" s="10" t="inlineStr">
        <is>
          <t>LME_036</t>
        </is>
      </c>
      <c r="B79" s="11" t="inlineStr">
        <is>
          <t>36_2_South_China_Sea_SCS-2007_Northern_South_China_Sea_(1970s)</t>
        </is>
      </c>
      <c r="C79" s="11" t="inlineStr">
        <is>
          <t>Harpadon nehereus</t>
        </is>
      </c>
      <c r="D79" s="10" t="inlineStr">
        <is>
          <t>Bombay-duck</t>
        </is>
      </c>
      <c r="E79" s="10" t="inlineStr">
        <is>
          <t>Medium benthopelagics (30 - 89 cm)</t>
        </is>
      </c>
      <c r="F79" s="10" t="inlineStr">
        <is>
          <t>Other fishes &amp; inverts</t>
        </is>
      </c>
      <c r="G79" s="11" t="inlineStr">
        <is>
          <t>Lizard fish (synodontids)</t>
        </is>
      </c>
      <c r="H79" s="12" t="n">
        <v>1</v>
      </c>
      <c r="I79" s="10" t="inlineStr">
        <is>
          <t>single</t>
        </is>
      </c>
      <c r="J79" s="15" t="inlineStr">
        <is>
          <t>high</t>
        </is>
      </c>
      <c r="K79" s="10" t="inlineStr">
        <is>
          <t>taxonomic_containment</t>
        </is>
      </c>
      <c r="L79" s="11" t="inlineStr">
        <is>
          <t>Appendix 6.1 pp.327-335 defines Lizard fish (synodontids) by this family or explicitly names Harpadon nehereus; dedicated source placement overrides the SAU class Medium benthopelagics (30 - 89 cm).</t>
        </is>
      </c>
      <c r="M79" s="10" t="n">
        <v>1914727.921</v>
      </c>
    </row>
    <row r="80" ht="36" customHeight="1">
      <c r="A80" s="10" t="inlineStr">
        <is>
          <t>LME_036</t>
        </is>
      </c>
      <c r="B80" s="11" t="inlineStr">
        <is>
          <t>36_2_South_China_Sea_SCS-2007_Northern_South_China_Sea_(1970s)</t>
        </is>
      </c>
      <c r="C80" s="11" t="inlineStr">
        <is>
          <t>Squillidae</t>
        </is>
      </c>
      <c r="D80" s="10" t="inlineStr">
        <is>
          <t>Squilla mantis shrimps</t>
        </is>
      </c>
      <c r="E80" s="10" t="inlineStr">
        <is>
          <t>Shrimps</t>
        </is>
      </c>
      <c r="F80" s="10" t="inlineStr">
        <is>
          <t>Crustaceans</t>
        </is>
      </c>
      <c r="G80" s="11" t="inlineStr">
        <is>
          <t>Benthic crustaceans</t>
        </is>
      </c>
      <c r="H80" s="12" t="n">
        <v>1</v>
      </c>
      <c r="I80" s="10" t="inlineStr">
        <is>
          <t>single</t>
        </is>
      </c>
      <c r="J80" s="15" t="inlineStr">
        <is>
          <t>high</t>
        </is>
      </c>
      <c r="K80" s="10" t="inlineStr">
        <is>
          <t>taxonomic_containment</t>
        </is>
      </c>
      <c r="L80" s="11" t="inlineStr">
        <is>
          <t>Stomatopods belong to the residual benthic crustaceans; other shrimp taxa belong to Shrimps after the explicitly separated Acetes records (Appendix 6.1 pp.323-326).</t>
        </is>
      </c>
      <c r="M80" s="10" t="n">
        <v>1800383.614</v>
      </c>
    </row>
    <row r="81" ht="36" customHeight="1">
      <c r="A81" s="10" t="inlineStr">
        <is>
          <t>LME_036</t>
        </is>
      </c>
      <c r="B81" s="11" t="inlineStr">
        <is>
          <t>36_2_South_China_Sea_SCS-2007_Northern_South_China_Sea_(1970s)</t>
        </is>
      </c>
      <c r="C81" s="11" t="inlineStr">
        <is>
          <t>Todarodes pacificus</t>
        </is>
      </c>
      <c r="D81" s="10" t="inlineStr">
        <is>
          <t>Japanese flying squid</t>
        </is>
      </c>
      <c r="E81" s="10" t="inlineStr">
        <is>
          <t>Cephalopods</t>
        </is>
      </c>
      <c r="F81" s="10" t="inlineStr">
        <is>
          <t>Other fishes &amp; inverts</t>
        </is>
      </c>
      <c r="G81" s="11" t="inlineStr">
        <is>
          <t>Cephalopods</t>
        </is>
      </c>
      <c r="H81" s="12" t="n">
        <v>1</v>
      </c>
      <c r="I81" s="10" t="inlineStr">
        <is>
          <t>single</t>
        </is>
      </c>
      <c r="J81" s="15" t="inlineStr">
        <is>
          <t>high</t>
        </is>
      </c>
      <c r="K81" s="10" t="inlineStr">
        <is>
          <t>taxonomic_containment</t>
        </is>
      </c>
      <c r="L81" s="11" t="inlineStr">
        <is>
          <t>Cephalopoda is contained by the single source Cephalopods group, Appendix 6.1.8 pp.326-327.</t>
        </is>
      </c>
      <c r="M81" s="10" t="n">
        <v>1752301.258</v>
      </c>
    </row>
    <row r="82" ht="36" customHeight="1">
      <c r="A82" s="10" t="inlineStr">
        <is>
          <t>LME_036</t>
        </is>
      </c>
      <c r="B82" s="11" t="inlineStr">
        <is>
          <t>36_2_South_China_Sea_SCS-2007_Northern_South_China_Sea_(1970s)</t>
        </is>
      </c>
      <c r="C82" s="11" t="inlineStr">
        <is>
          <t>Elasmobranchii</t>
        </is>
      </c>
      <c r="D82" s="10" t="inlineStr">
        <is>
          <t>Sharks, rays, skates</t>
        </is>
      </c>
      <c r="E82" s="10" t="inlineStr">
        <is>
          <t>Large sharks (&gt;=90 cm)</t>
        </is>
      </c>
      <c r="F82" s="10" t="inlineStr">
        <is>
          <t>Sharks &amp; rays</t>
        </is>
      </c>
      <c r="G82" s="11" t="inlineStr">
        <is>
          <t>Demersal sharks and rays</t>
        </is>
      </c>
      <c r="H82" s="12" t="n">
        <v>0.8134680303573432</v>
      </c>
      <c r="I82" s="10" t="inlineStr">
        <is>
          <t>catch_composition</t>
        </is>
      </c>
      <c r="J82" s="13" t="inlineStr">
        <is>
          <t>low</t>
        </is>
      </c>
      <c r="K82" s="10" t="inlineStr">
        <is>
          <t>composite_split</t>
        </is>
      </c>
      <c r="L82" s="11" t="inlineStr">
        <is>
          <t>Coarse or habitat-ambiguous elasmobranch record spans the two source habitat compartments; SAU shark/ray size is insufficient to select one.</t>
        </is>
      </c>
      <c r="M82" s="10" t="n">
        <v>1751877.718</v>
      </c>
    </row>
    <row r="83" ht="36" customHeight="1">
      <c r="A83" s="10" t="inlineStr">
        <is>
          <t>LME_036</t>
        </is>
      </c>
      <c r="B83" s="11" t="inlineStr">
        <is>
          <t>36_2_South_China_Sea_SCS-2007_Northern_South_China_Sea_(1970s)</t>
        </is>
      </c>
      <c r="C83" s="11" t="inlineStr">
        <is>
          <t>Elasmobranchii</t>
        </is>
      </c>
      <c r="D83" s="10" t="inlineStr">
        <is>
          <t>Sharks, rays, skates</t>
        </is>
      </c>
      <c r="E83" s="10" t="inlineStr">
        <is>
          <t>Large sharks (&gt;=90 cm)</t>
        </is>
      </c>
      <c r="F83" s="10" t="inlineStr">
        <is>
          <t>Sharks &amp; rays</t>
        </is>
      </c>
      <c r="G83" s="11" t="inlineStr">
        <is>
          <t>Pelagic sharks and rays</t>
        </is>
      </c>
      <c r="H83" s="12" t="n">
        <v>0.1865319696426568</v>
      </c>
      <c r="I83" s="10" t="inlineStr">
        <is>
          <t>catch_composition</t>
        </is>
      </c>
      <c r="J83" s="13" t="inlineStr">
        <is>
          <t>low</t>
        </is>
      </c>
      <c r="K83" s="10" t="inlineStr">
        <is>
          <t>composite_split</t>
        </is>
      </c>
      <c r="L83" s="11" t="inlineStr">
        <is>
          <t>Coarse or habitat-ambiguous elasmobranch record spans the two source habitat compartments; SAU shark/ray size is insufficient to select one.</t>
        </is>
      </c>
      <c r="M83" s="10" t="n">
        <v>1751877.718</v>
      </c>
    </row>
    <row r="84" ht="36" customHeight="1">
      <c r="A84" s="10" t="inlineStr">
        <is>
          <t>LME_036</t>
        </is>
      </c>
      <c r="B84" s="11" t="inlineStr">
        <is>
          <t>36_2_South_China_Sea_SCS-2007_Northern_South_China_Sea_(1970s)</t>
        </is>
      </c>
      <c r="C84" s="11" t="inlineStr">
        <is>
          <t>Rastrelliger brachysoma</t>
        </is>
      </c>
      <c r="D84" s="10" t="inlineStr">
        <is>
          <t>Short mackerel</t>
        </is>
      </c>
      <c r="E84" s="10" t="inlineStr">
        <is>
          <t>Medium pelagics (30 - 89 cm)</t>
        </is>
      </c>
      <c r="F84" s="10" t="inlineStr">
        <is>
          <t>Perch-likes</t>
        </is>
      </c>
      <c r="G84" s="11" t="inlineStr">
        <is>
          <t>Juvenile large pelagic fish</t>
        </is>
      </c>
      <c r="H84" s="12" t="n">
        <v>0.2016806722689076</v>
      </c>
      <c r="I84" s="10" t="inlineStr">
        <is>
          <t>model_catch</t>
        </is>
      </c>
      <c r="J84" s="14" t="inlineStr">
        <is>
          <t>medium</t>
        </is>
      </c>
      <c r="K84" s="10" t="inlineStr">
        <is>
          <t>composite_split</t>
        </is>
      </c>
      <c r="L84" s="11" t="inlineStr">
        <is>
          <t>Analyst habitat/size inference to source &gt;30 cm pelagic fish (Appendix 6.1.24 p.339); no age data, so split juvenile/adult using the period model catch.</t>
        </is>
      </c>
      <c r="M84" s="10" t="n">
        <v>1719985.069</v>
      </c>
    </row>
    <row r="85" ht="36" customHeight="1">
      <c r="A85" s="10" t="inlineStr">
        <is>
          <t>LME_036</t>
        </is>
      </c>
      <c r="B85" s="11" t="inlineStr">
        <is>
          <t>36_2_South_China_Sea_SCS-2007_Northern_South_China_Sea_(1970s)</t>
        </is>
      </c>
      <c r="C85" s="11" t="inlineStr">
        <is>
          <t>Rastrelliger brachysoma</t>
        </is>
      </c>
      <c r="D85" s="10" t="inlineStr">
        <is>
          <t>Short mackerel</t>
        </is>
      </c>
      <c r="E85" s="10" t="inlineStr">
        <is>
          <t>Medium pelagics (30 - 89 cm)</t>
        </is>
      </c>
      <c r="F85" s="10" t="inlineStr">
        <is>
          <t>Perch-likes</t>
        </is>
      </c>
      <c r="G85" s="11" t="inlineStr">
        <is>
          <t>Pelagic fish (&gt; 30 cm)</t>
        </is>
      </c>
      <c r="H85" s="12" t="n">
        <v>0.7983193277310925</v>
      </c>
      <c r="I85" s="10" t="inlineStr">
        <is>
          <t>model_catch</t>
        </is>
      </c>
      <c r="J85" s="14" t="inlineStr">
        <is>
          <t>medium</t>
        </is>
      </c>
      <c r="K85" s="10" t="inlineStr">
        <is>
          <t>composite_split</t>
        </is>
      </c>
      <c r="L85" s="11" t="inlineStr">
        <is>
          <t>Analyst habitat/size inference to source &gt;30 cm pelagic fish (Appendix 6.1.24 p.339); no age data, so split juvenile/adult using the period model catch.</t>
        </is>
      </c>
      <c r="M85" s="10" t="n">
        <v>1719985.069</v>
      </c>
    </row>
    <row r="86" ht="36" customHeight="1">
      <c r="A86" s="10" t="inlineStr">
        <is>
          <t>LME_036</t>
        </is>
      </c>
      <c r="B86" s="11" t="inlineStr">
        <is>
          <t>36_2_South_China_Sea_SCS-2007_Northern_South_China_Sea_(1970s)</t>
        </is>
      </c>
      <c r="C86" s="11" t="inlineStr">
        <is>
          <t>Chondrichthyes</t>
        </is>
      </c>
      <c r="D86" s="10" t="inlineStr">
        <is>
          <t>Sharks, rays, chimaeras</t>
        </is>
      </c>
      <c r="E86" s="10" t="inlineStr">
        <is>
          <t>Large sharks (&gt;=90 cm)</t>
        </is>
      </c>
      <c r="F86" s="10" t="inlineStr">
        <is>
          <t>Sharks &amp; rays</t>
        </is>
      </c>
      <c r="G86" s="11" t="inlineStr">
        <is>
          <t>Demersal sharks and rays</t>
        </is>
      </c>
      <c r="H86" s="12" t="n">
        <v>0.8134680303573432</v>
      </c>
      <c r="I86" s="10" t="inlineStr">
        <is>
          <t>catch_composition</t>
        </is>
      </c>
      <c r="J86" s="13" t="inlineStr">
        <is>
          <t>low</t>
        </is>
      </c>
      <c r="K86" s="10" t="inlineStr">
        <is>
          <t>composite_split</t>
        </is>
      </c>
      <c r="L86" s="11" t="inlineStr">
        <is>
          <t>Coarse or habitat-ambiguous elasmobranch record spans the two source habitat compartments; SAU shark/ray size is insufficient to select one.</t>
        </is>
      </c>
      <c r="M86" s="10" t="n">
        <v>1707091.817</v>
      </c>
    </row>
    <row r="87" ht="36" customHeight="1">
      <c r="A87" s="10" t="inlineStr">
        <is>
          <t>LME_036</t>
        </is>
      </c>
      <c r="B87" s="11" t="inlineStr">
        <is>
          <t>36_2_South_China_Sea_SCS-2007_Northern_South_China_Sea_(1970s)</t>
        </is>
      </c>
      <c r="C87" s="11" t="inlineStr">
        <is>
          <t>Chondrichthyes</t>
        </is>
      </c>
      <c r="D87" s="10" t="inlineStr">
        <is>
          <t>Sharks, rays, chimaeras</t>
        </is>
      </c>
      <c r="E87" s="10" t="inlineStr">
        <is>
          <t>Large sharks (&gt;=90 cm)</t>
        </is>
      </c>
      <c r="F87" s="10" t="inlineStr">
        <is>
          <t>Sharks &amp; rays</t>
        </is>
      </c>
      <c r="G87" s="11" t="inlineStr">
        <is>
          <t>Pelagic sharks and rays</t>
        </is>
      </c>
      <c r="H87" s="12" t="n">
        <v>0.1865319696426568</v>
      </c>
      <c r="I87" s="10" t="inlineStr">
        <is>
          <t>catch_composition</t>
        </is>
      </c>
      <c r="J87" s="13" t="inlineStr">
        <is>
          <t>low</t>
        </is>
      </c>
      <c r="K87" s="10" t="inlineStr">
        <is>
          <t>composite_split</t>
        </is>
      </c>
      <c r="L87" s="11" t="inlineStr">
        <is>
          <t>Coarse or habitat-ambiguous elasmobranch record spans the two source habitat compartments; SAU shark/ray size is insufficient to select one.</t>
        </is>
      </c>
      <c r="M87" s="10" t="n">
        <v>1707091.817</v>
      </c>
    </row>
    <row r="88" ht="36" customHeight="1">
      <c r="A88" s="10" t="inlineStr">
        <is>
          <t>LME_036</t>
        </is>
      </c>
      <c r="B88" s="11" t="inlineStr">
        <is>
          <t>36_2_South_China_Sea_SCS-2007_Northern_South_China_Sea_(1970s)</t>
        </is>
      </c>
      <c r="C88" s="11" t="inlineStr">
        <is>
          <t>Thunnus albacares</t>
        </is>
      </c>
      <c r="D88" s="10" t="inlineStr">
        <is>
          <t>Yellowfin tuna</t>
        </is>
      </c>
      <c r="E88" s="10" t="inlineStr">
        <is>
          <t>Large pelagics (&gt;=90 cm)</t>
        </is>
      </c>
      <c r="F88" s="10" t="inlineStr">
        <is>
          <t>Tuna &amp; billfishes</t>
        </is>
      </c>
      <c r="G88" s="11" t="inlineStr">
        <is>
          <t>Juvenile large pelagic fish</t>
        </is>
      </c>
      <c r="H88" s="12" t="n">
        <v>0.2016806722689076</v>
      </c>
      <c r="I88" s="10" t="inlineStr">
        <is>
          <t>model_catch</t>
        </is>
      </c>
      <c r="J88" s="14" t="inlineStr">
        <is>
          <t>medium</t>
        </is>
      </c>
      <c r="K88" s="10" t="inlineStr">
        <is>
          <t>composite_split</t>
        </is>
      </c>
      <c r="L88" s="11" t="inlineStr">
        <is>
          <t>Analyst habitat/size inference to source &gt;30 cm pelagic fish (Appendix 6.1.24 p.339); no age data, so split juvenile/adult using the period model catch.</t>
        </is>
      </c>
      <c r="M88" s="10" t="n">
        <v>1626326.169</v>
      </c>
    </row>
    <row r="89" ht="36" customHeight="1">
      <c r="A89" s="10" t="inlineStr">
        <is>
          <t>LME_036</t>
        </is>
      </c>
      <c r="B89" s="11" t="inlineStr">
        <is>
          <t>36_2_South_China_Sea_SCS-2007_Northern_South_China_Sea_(1970s)</t>
        </is>
      </c>
      <c r="C89" s="11" t="inlineStr">
        <is>
          <t>Thunnus albacares</t>
        </is>
      </c>
      <c r="D89" s="10" t="inlineStr">
        <is>
          <t>Yellowfin tuna</t>
        </is>
      </c>
      <c r="E89" s="10" t="inlineStr">
        <is>
          <t>Large pelagics (&gt;=90 cm)</t>
        </is>
      </c>
      <c r="F89" s="10" t="inlineStr">
        <is>
          <t>Tuna &amp; billfishes</t>
        </is>
      </c>
      <c r="G89" s="11" t="inlineStr">
        <is>
          <t>Pelagic fish (&gt; 30 cm)</t>
        </is>
      </c>
      <c r="H89" s="12" t="n">
        <v>0.7983193277310925</v>
      </c>
      <c r="I89" s="10" t="inlineStr">
        <is>
          <t>model_catch</t>
        </is>
      </c>
      <c r="J89" s="14" t="inlineStr">
        <is>
          <t>medium</t>
        </is>
      </c>
      <c r="K89" s="10" t="inlineStr">
        <is>
          <t>composite_split</t>
        </is>
      </c>
      <c r="L89" s="11" t="inlineStr">
        <is>
          <t>Analyst habitat/size inference to source &gt;30 cm pelagic fish (Appendix 6.1.24 p.339); no age data, so split juvenile/adult using the period model catch.</t>
        </is>
      </c>
      <c r="M89" s="10" t="n">
        <v>1626326.169</v>
      </c>
    </row>
    <row r="90" ht="51" customHeight="1">
      <c r="A90" s="10" t="inlineStr">
        <is>
          <t>LME_036</t>
        </is>
      </c>
      <c r="B90" s="11" t="inlineStr">
        <is>
          <t>36_2_South_China_Sea_SCS-2007_Northern_South_China_Sea_(1970s)</t>
        </is>
      </c>
      <c r="C90" s="11" t="inlineStr">
        <is>
          <t>Stolephorus</t>
        </is>
      </c>
      <c r="D90" s="10" t="inlineStr">
        <is>
          <t>Garment anchovies</t>
        </is>
      </c>
      <c r="E90" s="10" t="inlineStr">
        <is>
          <t>Small pelagics (&lt;30 cm)</t>
        </is>
      </c>
      <c r="F90" s="10" t="inlineStr">
        <is>
          <t>Anchovies</t>
        </is>
      </c>
      <c r="G90" s="11" t="inlineStr">
        <is>
          <t>Pelagic fish (≤ 30 cm)</t>
        </is>
      </c>
      <c r="H90" s="12" t="n">
        <v>1</v>
      </c>
      <c r="I90" s="10" t="inlineStr">
        <is>
          <t>single</t>
        </is>
      </c>
      <c r="J90" s="14" t="inlineStr">
        <is>
          <t>medium</t>
        </is>
      </c>
      <c r="K90" s="10" t="inlineStr">
        <is>
          <t>habitat_size_guild</t>
        </is>
      </c>
      <c r="L9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90" s="10" t="n">
        <v>1518853.453</v>
      </c>
    </row>
    <row r="91" ht="36" customHeight="1">
      <c r="A91" s="10" t="inlineStr">
        <is>
          <t>LME_036</t>
        </is>
      </c>
      <c r="B91" s="11" t="inlineStr">
        <is>
          <t>36_2_South_China_Sea_SCS-2007_Northern_South_China_Sea_(1970s)</t>
        </is>
      </c>
      <c r="C91" s="11" t="inlineStr">
        <is>
          <t>Scomberomorus commerson</t>
        </is>
      </c>
      <c r="D91" s="10" t="inlineStr">
        <is>
          <t>Narrow-barred Spanish mackerel</t>
        </is>
      </c>
      <c r="E91" s="10" t="inlineStr">
        <is>
          <t>Large pelagics (&gt;=90 cm)</t>
        </is>
      </c>
      <c r="F91" s="10" t="inlineStr">
        <is>
          <t>Perch-likes</t>
        </is>
      </c>
      <c r="G91" s="11" t="inlineStr">
        <is>
          <t>Juvenile large pelagic fish</t>
        </is>
      </c>
      <c r="H91" s="12" t="n">
        <v>0.2016806722689076</v>
      </c>
      <c r="I91" s="10" t="inlineStr">
        <is>
          <t>model_catch</t>
        </is>
      </c>
      <c r="J91" s="14" t="inlineStr">
        <is>
          <t>medium</t>
        </is>
      </c>
      <c r="K91" s="10" t="inlineStr">
        <is>
          <t>composite_split</t>
        </is>
      </c>
      <c r="L91" s="11" t="inlineStr">
        <is>
          <t>Analyst habitat/size inference to source &gt;30 cm pelagic fish (Appendix 6.1.24 p.339); no age data, so split juvenile/adult using the period model catch.</t>
        </is>
      </c>
      <c r="M91" s="10" t="n">
        <v>1502865.98</v>
      </c>
    </row>
    <row r="92" ht="36" customHeight="1">
      <c r="A92" s="10" t="inlineStr">
        <is>
          <t>LME_036</t>
        </is>
      </c>
      <c r="B92" s="11" t="inlineStr">
        <is>
          <t>36_2_South_China_Sea_SCS-2007_Northern_South_China_Sea_(1970s)</t>
        </is>
      </c>
      <c r="C92" s="11" t="inlineStr">
        <is>
          <t>Scomberomorus commerson</t>
        </is>
      </c>
      <c r="D92" s="10" t="inlineStr">
        <is>
          <t>Narrow-barred Spanish mackerel</t>
        </is>
      </c>
      <c r="E92" s="10" t="inlineStr">
        <is>
          <t>Large pelagics (&gt;=90 cm)</t>
        </is>
      </c>
      <c r="F92" s="10" t="inlineStr">
        <is>
          <t>Perch-likes</t>
        </is>
      </c>
      <c r="G92" s="11" t="inlineStr">
        <is>
          <t>Pelagic fish (&gt; 30 cm)</t>
        </is>
      </c>
      <c r="H92" s="12" t="n">
        <v>0.7983193277310925</v>
      </c>
      <c r="I92" s="10" t="inlineStr">
        <is>
          <t>model_catch</t>
        </is>
      </c>
      <c r="J92" s="14" t="inlineStr">
        <is>
          <t>medium</t>
        </is>
      </c>
      <c r="K92" s="10" t="inlineStr">
        <is>
          <t>composite_split</t>
        </is>
      </c>
      <c r="L92" s="11" t="inlineStr">
        <is>
          <t>Analyst habitat/size inference to source &gt;30 cm pelagic fish (Appendix 6.1.24 p.339); no age data, so split juvenile/adult using the period model catch.</t>
        </is>
      </c>
      <c r="M92" s="10" t="n">
        <v>1502865.98</v>
      </c>
    </row>
    <row r="93" ht="36" customHeight="1">
      <c r="A93" s="10" t="inlineStr">
        <is>
          <t>LME_036</t>
        </is>
      </c>
      <c r="B93" s="11" t="inlineStr">
        <is>
          <t>36_2_South_China_Sea_SCS-2007_Northern_South_China_Sea_(1970s)</t>
        </is>
      </c>
      <c r="C93" s="11" t="inlineStr">
        <is>
          <t>Rastrelliger kanagurta</t>
        </is>
      </c>
      <c r="D93" s="10" t="inlineStr">
        <is>
          <t>Indian mackerel</t>
        </is>
      </c>
      <c r="E93" s="10" t="inlineStr">
        <is>
          <t>Medium pelagics (30 - 89 cm)</t>
        </is>
      </c>
      <c r="F93" s="10" t="inlineStr">
        <is>
          <t>Perch-likes</t>
        </is>
      </c>
      <c r="G93" s="11" t="inlineStr">
        <is>
          <t>Juvenile large pelagic fish</t>
        </is>
      </c>
      <c r="H93" s="12" t="n">
        <v>0.2016806722689076</v>
      </c>
      <c r="I93" s="10" t="inlineStr">
        <is>
          <t>model_catch</t>
        </is>
      </c>
      <c r="J93" s="14" t="inlineStr">
        <is>
          <t>medium</t>
        </is>
      </c>
      <c r="K93" s="10" t="inlineStr">
        <is>
          <t>composite_split</t>
        </is>
      </c>
      <c r="L93" s="11" t="inlineStr">
        <is>
          <t>Analyst habitat/size inference to source &gt;30 cm pelagic fish (Appendix 6.1.24 p.339); no age data, so split juvenile/adult using the period model catch.</t>
        </is>
      </c>
      <c r="M93" s="10" t="n">
        <v>1469580.931</v>
      </c>
    </row>
    <row r="94" ht="36" customHeight="1">
      <c r="A94" s="10" t="inlineStr">
        <is>
          <t>LME_036</t>
        </is>
      </c>
      <c r="B94" s="11" t="inlineStr">
        <is>
          <t>36_2_South_China_Sea_SCS-2007_Northern_South_China_Sea_(1970s)</t>
        </is>
      </c>
      <c r="C94" s="11" t="inlineStr">
        <is>
          <t>Rastrelliger kanagurta</t>
        </is>
      </c>
      <c r="D94" s="10" t="inlineStr">
        <is>
          <t>Indian mackerel</t>
        </is>
      </c>
      <c r="E94" s="10" t="inlineStr">
        <is>
          <t>Medium pelagics (30 - 89 cm)</t>
        </is>
      </c>
      <c r="F94" s="10" t="inlineStr">
        <is>
          <t>Perch-likes</t>
        </is>
      </c>
      <c r="G94" s="11" t="inlineStr">
        <is>
          <t>Pelagic fish (&gt; 30 cm)</t>
        </is>
      </c>
      <c r="H94" s="12" t="n">
        <v>0.7983193277310925</v>
      </c>
      <c r="I94" s="10" t="inlineStr">
        <is>
          <t>model_catch</t>
        </is>
      </c>
      <c r="J94" s="14" t="inlineStr">
        <is>
          <t>medium</t>
        </is>
      </c>
      <c r="K94" s="10" t="inlineStr">
        <is>
          <t>composite_split</t>
        </is>
      </c>
      <c r="L94" s="11" t="inlineStr">
        <is>
          <t>Analyst habitat/size inference to source &gt;30 cm pelagic fish (Appendix 6.1.24 p.339); no age data, so split juvenile/adult using the period model catch.</t>
        </is>
      </c>
      <c r="M94" s="10" t="n">
        <v>1469580.931</v>
      </c>
    </row>
    <row r="95" ht="36" customHeight="1">
      <c r="A95" s="10" t="inlineStr">
        <is>
          <t>LME_036</t>
        </is>
      </c>
      <c r="B95" s="11" t="inlineStr">
        <is>
          <t>36_2_South_China_Sea_SCS-2007_Northern_South_China_Sea_(1970s)</t>
        </is>
      </c>
      <c r="C95" s="11" t="inlineStr">
        <is>
          <t>Rastrelliger</t>
        </is>
      </c>
      <c r="D95" s="10" t="inlineStr">
        <is>
          <t>Indian mackerels</t>
        </is>
      </c>
      <c r="E95" s="10" t="inlineStr">
        <is>
          <t>Medium pelagics (30 - 89 cm)</t>
        </is>
      </c>
      <c r="F95" s="10" t="inlineStr">
        <is>
          <t>Perch-likes</t>
        </is>
      </c>
      <c r="G95" s="11" t="inlineStr">
        <is>
          <t>Juvenile large pelagic fish</t>
        </is>
      </c>
      <c r="H95" s="12" t="n">
        <v>0.2016806722689076</v>
      </c>
      <c r="I95" s="10" t="inlineStr">
        <is>
          <t>model_catch</t>
        </is>
      </c>
      <c r="J95" s="14" t="inlineStr">
        <is>
          <t>medium</t>
        </is>
      </c>
      <c r="K95" s="10" t="inlineStr">
        <is>
          <t>composite_split</t>
        </is>
      </c>
      <c r="L95" s="11" t="inlineStr">
        <is>
          <t>Analyst habitat/size inference to source &gt;30 cm pelagic fish (Appendix 6.1.24 p.339); no age data, so split juvenile/adult using the period model catch.</t>
        </is>
      </c>
      <c r="M95" s="10" t="n">
        <v>1441250.177</v>
      </c>
    </row>
    <row r="96" ht="36" customHeight="1">
      <c r="A96" s="10" t="inlineStr">
        <is>
          <t>LME_036</t>
        </is>
      </c>
      <c r="B96" s="11" t="inlineStr">
        <is>
          <t>36_2_South_China_Sea_SCS-2007_Northern_South_China_Sea_(1970s)</t>
        </is>
      </c>
      <c r="C96" s="11" t="inlineStr">
        <is>
          <t>Rastrelliger</t>
        </is>
      </c>
      <c r="D96" s="10" t="inlineStr">
        <is>
          <t>Indian mackerels</t>
        </is>
      </c>
      <c r="E96" s="10" t="inlineStr">
        <is>
          <t>Medium pelagics (30 - 89 cm)</t>
        </is>
      </c>
      <c r="F96" s="10" t="inlineStr">
        <is>
          <t>Perch-likes</t>
        </is>
      </c>
      <c r="G96" s="11" t="inlineStr">
        <is>
          <t>Pelagic fish (&gt; 30 cm)</t>
        </is>
      </c>
      <c r="H96" s="12" t="n">
        <v>0.7983193277310925</v>
      </c>
      <c r="I96" s="10" t="inlineStr">
        <is>
          <t>model_catch</t>
        </is>
      </c>
      <c r="J96" s="14" t="inlineStr">
        <is>
          <t>medium</t>
        </is>
      </c>
      <c r="K96" s="10" t="inlineStr">
        <is>
          <t>composite_split</t>
        </is>
      </c>
      <c r="L96" s="11" t="inlineStr">
        <is>
          <t>Analyst habitat/size inference to source &gt;30 cm pelagic fish (Appendix 6.1.24 p.339); no age data, so split juvenile/adult using the period model catch.</t>
        </is>
      </c>
      <c r="M96" s="10" t="n">
        <v>1441250.177</v>
      </c>
    </row>
    <row r="97" ht="51" customHeight="1">
      <c r="A97" s="10" t="inlineStr">
        <is>
          <t>LME_036</t>
        </is>
      </c>
      <c r="B97" s="11" t="inlineStr">
        <is>
          <t>36_2_South_China_Sea_SCS-2007_Northern_South_China_Sea_(1970s)</t>
        </is>
      </c>
      <c r="C97" s="11" t="inlineStr">
        <is>
          <t>Epinephelus</t>
        </is>
      </c>
      <c r="D97" s="10" t="inlineStr">
        <is>
          <t>Seabasses, hinds</t>
        </is>
      </c>
      <c r="E97" s="10" t="inlineStr">
        <is>
          <t>Medium reef assoc. fish (30 - 89 cm)</t>
        </is>
      </c>
      <c r="F97" s="10" t="inlineStr">
        <is>
          <t>Perch-likes</t>
        </is>
      </c>
      <c r="G97" s="11" t="inlineStr">
        <is>
          <t>Adult groupers</t>
        </is>
      </c>
      <c r="H97" s="12" t="n">
        <v>1</v>
      </c>
      <c r="I97" s="10" t="inlineStr">
        <is>
          <t>single</t>
        </is>
      </c>
      <c r="J97" s="15" t="inlineStr">
        <is>
          <t>high</t>
        </is>
      </c>
      <c r="K97" s="10" t="inlineStr">
        <is>
          <t>taxonomic_containment</t>
        </is>
      </c>
      <c r="L97" s="11" t="inlineStr">
        <is>
          <t>Appendix 6.1 pp.327-335 defines Adult groupers by this family or explicitly names Epinephelus; dedicated source placement overrides the SAU class Medium reef assoc. fish (30 - 89 cm).</t>
        </is>
      </c>
      <c r="M97" s="10" t="n">
        <v>1384242.323</v>
      </c>
    </row>
    <row r="98" ht="51" customHeight="1">
      <c r="A98" s="10" t="inlineStr">
        <is>
          <t>LME_036</t>
        </is>
      </c>
      <c r="B98" s="11" t="inlineStr">
        <is>
          <t>36_2_South_China_Sea_SCS-2007_Northern_South_China_Sea_(1970s)</t>
        </is>
      </c>
      <c r="C98" s="11" t="inlineStr">
        <is>
          <t>Mullidae</t>
        </is>
      </c>
      <c r="D98" s="10" t="inlineStr">
        <is>
          <t>Goatfishes</t>
        </is>
      </c>
      <c r="E98" s="10" t="inlineStr">
        <is>
          <t>Medium reef assoc. fish (30 - 89 cm)</t>
        </is>
      </c>
      <c r="F98" s="10" t="inlineStr">
        <is>
          <t>Perch-likes</t>
        </is>
      </c>
      <c r="G98" s="11" t="inlineStr">
        <is>
          <t>Juvenile demersal fish (&gt; 30 cm)</t>
        </is>
      </c>
      <c r="H98" s="12" t="n">
        <v>0.2002781641168289</v>
      </c>
      <c r="I98" s="10" t="inlineStr">
        <is>
          <t>model_catch</t>
        </is>
      </c>
      <c r="J98" s="14" t="inlineStr">
        <is>
          <t>medium</t>
        </is>
      </c>
      <c r="K98" s="10" t="inlineStr">
        <is>
          <t>composite_split</t>
        </is>
      </c>
      <c r="L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" s="10" t="n">
        <v>1371662.314</v>
      </c>
    </row>
    <row r="99" ht="51" customHeight="1">
      <c r="A99" s="10" t="inlineStr">
        <is>
          <t>LME_036</t>
        </is>
      </c>
      <c r="B99" s="11" t="inlineStr">
        <is>
          <t>36_2_South_China_Sea_SCS-2007_Northern_South_China_Sea_(1970s)</t>
        </is>
      </c>
      <c r="C99" s="11" t="inlineStr">
        <is>
          <t>Mullidae</t>
        </is>
      </c>
      <c r="D99" s="10" t="inlineStr">
        <is>
          <t>Goatfishes</t>
        </is>
      </c>
      <c r="E99" s="10" t="inlineStr">
        <is>
          <t>Medium reef assoc. fish (30 - 89 cm)</t>
        </is>
      </c>
      <c r="F99" s="10" t="inlineStr">
        <is>
          <t>Perch-likes</t>
        </is>
      </c>
      <c r="G99" s="11" t="inlineStr">
        <is>
          <t>Adult demersal fish (&gt; 30 cm)</t>
        </is>
      </c>
      <c r="H99" s="12" t="n">
        <v>0.799721835883171</v>
      </c>
      <c r="I99" s="10" t="inlineStr">
        <is>
          <t>model_catch</t>
        </is>
      </c>
      <c r="J99" s="14" t="inlineStr">
        <is>
          <t>medium</t>
        </is>
      </c>
      <c r="K99" s="10" t="inlineStr">
        <is>
          <t>composite_split</t>
        </is>
      </c>
      <c r="L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" s="10" t="n">
        <v>1371662.314</v>
      </c>
    </row>
    <row r="100" ht="36" customHeight="1">
      <c r="A100" s="10" t="inlineStr">
        <is>
          <t>LME_036</t>
        </is>
      </c>
      <c r="B100" s="11" t="inlineStr">
        <is>
          <t>36_2_South_China_Sea_SCS-2007_Northern_South_China_Sea_(1970s)</t>
        </is>
      </c>
      <c r="C100" s="11" t="inlineStr">
        <is>
          <t>Decapterus macrosoma</t>
        </is>
      </c>
      <c r="D100" s="10" t="inlineStr">
        <is>
          <t>Shortfin scad</t>
        </is>
      </c>
      <c r="E100" s="10" t="inlineStr">
        <is>
          <t>Medium pelagics (30 - 89 cm)</t>
        </is>
      </c>
      <c r="F100" s="10" t="inlineStr">
        <is>
          <t>Perch-likes</t>
        </is>
      </c>
      <c r="G100" s="11" t="inlineStr">
        <is>
          <t>Juvenile large pelagic fish</t>
        </is>
      </c>
      <c r="H100" s="12" t="n">
        <v>0.2016806722689076</v>
      </c>
      <c r="I100" s="10" t="inlineStr">
        <is>
          <t>model_catch</t>
        </is>
      </c>
      <c r="J100" s="14" t="inlineStr">
        <is>
          <t>medium</t>
        </is>
      </c>
      <c r="K100" s="10" t="inlineStr">
        <is>
          <t>composite_split</t>
        </is>
      </c>
      <c r="L100" s="11" t="inlineStr">
        <is>
          <t>Analyst habitat/size inference to source &gt;30 cm pelagic fish (Appendix 6.1.24 p.339); no age data, so split juvenile/adult using the period model catch.</t>
        </is>
      </c>
      <c r="M100" s="10" t="n">
        <v>1347860.293</v>
      </c>
    </row>
    <row r="101" ht="36" customHeight="1">
      <c r="A101" s="10" t="inlineStr">
        <is>
          <t>LME_036</t>
        </is>
      </c>
      <c r="B101" s="11" t="inlineStr">
        <is>
          <t>36_2_South_China_Sea_SCS-2007_Northern_South_China_Sea_(1970s)</t>
        </is>
      </c>
      <c r="C101" s="11" t="inlineStr">
        <is>
          <t>Decapterus macrosoma</t>
        </is>
      </c>
      <c r="D101" s="10" t="inlineStr">
        <is>
          <t>Shortfin scad</t>
        </is>
      </c>
      <c r="E101" s="10" t="inlineStr">
        <is>
          <t>Medium pelagics (30 - 89 cm)</t>
        </is>
      </c>
      <c r="F101" s="10" t="inlineStr">
        <is>
          <t>Perch-likes</t>
        </is>
      </c>
      <c r="G101" s="11" t="inlineStr">
        <is>
          <t>Pelagic fish (&gt; 30 cm)</t>
        </is>
      </c>
      <c r="H101" s="12" t="n">
        <v>0.7983193277310925</v>
      </c>
      <c r="I101" s="10" t="inlineStr">
        <is>
          <t>model_catch</t>
        </is>
      </c>
      <c r="J101" s="14" t="inlineStr">
        <is>
          <t>medium</t>
        </is>
      </c>
      <c r="K101" s="10" t="inlineStr">
        <is>
          <t>composite_split</t>
        </is>
      </c>
      <c r="L101" s="11" t="inlineStr">
        <is>
          <t>Analyst habitat/size inference to source &gt;30 cm pelagic fish (Appendix 6.1.24 p.339); no age data, so split juvenile/adult using the period model catch.</t>
        </is>
      </c>
      <c r="M101" s="10" t="n">
        <v>1347860.293</v>
      </c>
    </row>
    <row r="102" ht="36" customHeight="1">
      <c r="A102" s="10" t="inlineStr">
        <is>
          <t>LME_036</t>
        </is>
      </c>
      <c r="B102" s="11" t="inlineStr">
        <is>
          <t>36_2_South_China_Sea_SCS-2007_Northern_South_China_Sea_(1970s)</t>
        </is>
      </c>
      <c r="C102" s="11" t="inlineStr">
        <is>
          <t>Katsuwonus pelamis</t>
        </is>
      </c>
      <c r="D102" s="10" t="inlineStr">
        <is>
          <t>Skipjack tuna</t>
        </is>
      </c>
      <c r="E102" s="10" t="inlineStr">
        <is>
          <t>Large pelagics (&gt;=90 cm)</t>
        </is>
      </c>
      <c r="F102" s="10" t="inlineStr">
        <is>
          <t>Tuna &amp; billfishes</t>
        </is>
      </c>
      <c r="G102" s="11" t="inlineStr">
        <is>
          <t>Juvenile large pelagic fish</t>
        </is>
      </c>
      <c r="H102" s="12" t="n">
        <v>0.2016806722689076</v>
      </c>
      <c r="I102" s="10" t="inlineStr">
        <is>
          <t>model_catch</t>
        </is>
      </c>
      <c r="J102" s="14" t="inlineStr">
        <is>
          <t>medium</t>
        </is>
      </c>
      <c r="K102" s="10" t="inlineStr">
        <is>
          <t>composite_split</t>
        </is>
      </c>
      <c r="L102" s="11" t="inlineStr">
        <is>
          <t>Analyst habitat/size inference to source &gt;30 cm pelagic fish (Appendix 6.1.24 p.339); no age data, so split juvenile/adult using the period model catch.</t>
        </is>
      </c>
      <c r="M102" s="10" t="n">
        <v>1285182</v>
      </c>
    </row>
    <row r="103" ht="36" customHeight="1">
      <c r="A103" s="10" t="inlineStr">
        <is>
          <t>LME_036</t>
        </is>
      </c>
      <c r="B103" s="11" t="inlineStr">
        <is>
          <t>36_2_South_China_Sea_SCS-2007_Northern_South_China_Sea_(1970s)</t>
        </is>
      </c>
      <c r="C103" s="11" t="inlineStr">
        <is>
          <t>Katsuwonus pelamis</t>
        </is>
      </c>
      <c r="D103" s="10" t="inlineStr">
        <is>
          <t>Skipjack tuna</t>
        </is>
      </c>
      <c r="E103" s="10" t="inlineStr">
        <is>
          <t>Large pelagics (&gt;=90 cm)</t>
        </is>
      </c>
      <c r="F103" s="10" t="inlineStr">
        <is>
          <t>Tuna &amp; billfishes</t>
        </is>
      </c>
      <c r="G103" s="11" t="inlineStr">
        <is>
          <t>Pelagic fish (&gt; 30 cm)</t>
        </is>
      </c>
      <c r="H103" s="12" t="n">
        <v>0.7983193277310925</v>
      </c>
      <c r="I103" s="10" t="inlineStr">
        <is>
          <t>model_catch</t>
        </is>
      </c>
      <c r="J103" s="14" t="inlineStr">
        <is>
          <t>medium</t>
        </is>
      </c>
      <c r="K103" s="10" t="inlineStr">
        <is>
          <t>composite_split</t>
        </is>
      </c>
      <c r="L103" s="11" t="inlineStr">
        <is>
          <t>Analyst habitat/size inference to source &gt;30 cm pelagic fish (Appendix 6.1.24 p.339); no age data, so split juvenile/adult using the period model catch.</t>
        </is>
      </c>
      <c r="M103" s="10" t="n">
        <v>1285182</v>
      </c>
    </row>
    <row r="104" ht="36" customHeight="1">
      <c r="A104" s="10" t="inlineStr">
        <is>
          <t>LME_036</t>
        </is>
      </c>
      <c r="B104" s="11" t="inlineStr">
        <is>
          <t>36_2_South_China_Sea_SCS-2007_Northern_South_China_Sea_(1970s)</t>
        </is>
      </c>
      <c r="C104" s="11" t="inlineStr">
        <is>
          <t>Penaeus chinensis</t>
        </is>
      </c>
      <c r="D104" s="10" t="inlineStr">
        <is>
          <t>Fleshy prawn</t>
        </is>
      </c>
      <c r="E104" s="10" t="inlineStr">
        <is>
          <t>Shrimps</t>
        </is>
      </c>
      <c r="F104" s="10" t="inlineStr">
        <is>
          <t>Crustaceans</t>
        </is>
      </c>
      <c r="G104" s="11" t="inlineStr">
        <is>
          <t>Shrimps</t>
        </is>
      </c>
      <c r="H104" s="12" t="n">
        <v>1</v>
      </c>
      <c r="I104" s="10" t="inlineStr">
        <is>
          <t>single</t>
        </is>
      </c>
      <c r="J104" s="15" t="inlineStr">
        <is>
          <t>high</t>
        </is>
      </c>
      <c r="K104" s="10" t="inlineStr">
        <is>
          <t>taxonomic_containment</t>
        </is>
      </c>
      <c r="L104" s="11" t="inlineStr">
        <is>
          <t>Stomatopods belong to the residual benthic crustaceans; other shrimp taxa belong to Shrimps after the explicitly separated Acetes records (Appendix 6.1 pp.323-326).</t>
        </is>
      </c>
      <c r="M104" s="10" t="n">
        <v>1236075.23</v>
      </c>
    </row>
    <row r="105" ht="36" customHeight="1">
      <c r="A105" s="10" t="inlineStr">
        <is>
          <t>LME_036</t>
        </is>
      </c>
      <c r="B105" s="11" t="inlineStr">
        <is>
          <t>36_2_South_China_Sea_SCS-2007_Northern_South_China_Sea_(1970s)</t>
        </is>
      </c>
      <c r="C105" s="11" t="inlineStr">
        <is>
          <t>Selaroides leptolepis</t>
        </is>
      </c>
      <c r="D105" s="10" t="inlineStr">
        <is>
          <t>Yellowstripe scad</t>
        </is>
      </c>
      <c r="E105" s="10" t="inlineStr">
        <is>
          <t>Small pelagics (&lt;30 cm)</t>
        </is>
      </c>
      <c r="F105" s="10" t="inlineStr">
        <is>
          <t>Perch-likes</t>
        </is>
      </c>
      <c r="G105" s="11" t="inlineStr">
        <is>
          <t>Pelagic fish (≤ 30 cm)</t>
        </is>
      </c>
      <c r="H105" s="12" t="n">
        <v>1</v>
      </c>
      <c r="I105" s="10" t="inlineStr">
        <is>
          <t>single</t>
        </is>
      </c>
      <c r="J105" s="14" t="inlineStr">
        <is>
          <t>medium</t>
        </is>
      </c>
      <c r="K105" s="10" t="inlineStr">
        <is>
          <t>habitat_size_guild</t>
        </is>
      </c>
      <c r="L105" s="11" t="inlineStr">
        <is>
          <t>Analyst habitat/size inference: SAU small-pelagic class matches the source &lt;=30 cm pelagic pool after dedicated source taxa were handled (Appendix 6.1.23 p.338).</t>
        </is>
      </c>
      <c r="M105" s="10" t="n">
        <v>1185036.56</v>
      </c>
    </row>
    <row r="106" ht="51" customHeight="1">
      <c r="A106" s="10" t="inlineStr">
        <is>
          <t>LME_036</t>
        </is>
      </c>
      <c r="B106" s="11" t="inlineStr">
        <is>
          <t>36_2_South_China_Sea_SCS-2007_Northern_South_China_Sea_(1970s)</t>
        </is>
      </c>
      <c r="C106" s="11" t="inlineStr">
        <is>
          <t>Mugilidae</t>
        </is>
      </c>
      <c r="D106" s="10" t="inlineStr">
        <is>
          <t>Mullets, grey mullets</t>
        </is>
      </c>
      <c r="E106" s="10" t="inlineStr">
        <is>
          <t>Medium reef assoc. fish (30 - 89 cm)</t>
        </is>
      </c>
      <c r="F106" s="10" t="inlineStr">
        <is>
          <t>Perch-likes</t>
        </is>
      </c>
      <c r="G106" s="11" t="inlineStr">
        <is>
          <t>Juvenile demersal fish (&gt; 30 cm)</t>
        </is>
      </c>
      <c r="H106" s="12" t="n">
        <v>0.2002781641168289</v>
      </c>
      <c r="I106" s="10" t="inlineStr">
        <is>
          <t>model_catch</t>
        </is>
      </c>
      <c r="J106" s="14" t="inlineStr">
        <is>
          <t>medium</t>
        </is>
      </c>
      <c r="K106" s="10" t="inlineStr">
        <is>
          <t>composite_split</t>
        </is>
      </c>
      <c r="L1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" s="10" t="n">
        <v>1175466.212</v>
      </c>
    </row>
    <row r="107" ht="51" customHeight="1">
      <c r="A107" s="10" t="inlineStr">
        <is>
          <t>LME_036</t>
        </is>
      </c>
      <c r="B107" s="11" t="inlineStr">
        <is>
          <t>36_2_South_China_Sea_SCS-2007_Northern_South_China_Sea_(1970s)</t>
        </is>
      </c>
      <c r="C107" s="11" t="inlineStr">
        <is>
          <t>Mugilidae</t>
        </is>
      </c>
      <c r="D107" s="10" t="inlineStr">
        <is>
          <t>Mullets, grey mullets</t>
        </is>
      </c>
      <c r="E107" s="10" t="inlineStr">
        <is>
          <t>Medium reef assoc. fish (30 - 89 cm)</t>
        </is>
      </c>
      <c r="F107" s="10" t="inlineStr">
        <is>
          <t>Perch-likes</t>
        </is>
      </c>
      <c r="G107" s="11" t="inlineStr">
        <is>
          <t>Adult demersal fish (&gt; 30 cm)</t>
        </is>
      </c>
      <c r="H107" s="12" t="n">
        <v>0.799721835883171</v>
      </c>
      <c r="I107" s="10" t="inlineStr">
        <is>
          <t>model_catch</t>
        </is>
      </c>
      <c r="J107" s="14" t="inlineStr">
        <is>
          <t>medium</t>
        </is>
      </c>
      <c r="K107" s="10" t="inlineStr">
        <is>
          <t>composite_split</t>
        </is>
      </c>
      <c r="L10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" s="10" t="n">
        <v>1175466.212</v>
      </c>
    </row>
    <row r="108" ht="36" customHeight="1">
      <c r="A108" s="10" t="inlineStr">
        <is>
          <t>LME_036</t>
        </is>
      </c>
      <c r="B108" s="11" t="inlineStr">
        <is>
          <t>36_2_South_China_Sea_SCS-2007_Northern_South_China_Sea_(1970s)</t>
        </is>
      </c>
      <c r="C108" s="11" t="inlineStr">
        <is>
          <t>Ilisha elongata</t>
        </is>
      </c>
      <c r="D108" s="10" t="inlineStr">
        <is>
          <t>Elongate ilisha</t>
        </is>
      </c>
      <c r="E108" s="10" t="inlineStr">
        <is>
          <t>Medium pelagics (30 - 89 cm)</t>
        </is>
      </c>
      <c r="F108" s="10" t="inlineStr">
        <is>
          <t>Herring-likes</t>
        </is>
      </c>
      <c r="G108" s="11" t="inlineStr">
        <is>
          <t>Juvenile large pelagic fish</t>
        </is>
      </c>
      <c r="H108" s="12" t="n">
        <v>0.2016806722689076</v>
      </c>
      <c r="I108" s="10" t="inlineStr">
        <is>
          <t>model_catch</t>
        </is>
      </c>
      <c r="J108" s="14" t="inlineStr">
        <is>
          <t>medium</t>
        </is>
      </c>
      <c r="K108" s="10" t="inlineStr">
        <is>
          <t>composite_split</t>
        </is>
      </c>
      <c r="L108" s="11" t="inlineStr">
        <is>
          <t>Analyst habitat/size inference to source &gt;30 cm pelagic fish (Appendix 6.1.24 p.339); no age data, so split juvenile/adult using the period model catch.</t>
        </is>
      </c>
      <c r="M108" s="10" t="n">
        <v>1163810.882</v>
      </c>
    </row>
    <row r="109" ht="36" customHeight="1">
      <c r="A109" s="10" t="inlineStr">
        <is>
          <t>LME_036</t>
        </is>
      </c>
      <c r="B109" s="11" t="inlineStr">
        <is>
          <t>36_2_South_China_Sea_SCS-2007_Northern_South_China_Sea_(1970s)</t>
        </is>
      </c>
      <c r="C109" s="11" t="inlineStr">
        <is>
          <t>Ilisha elongata</t>
        </is>
      </c>
      <c r="D109" s="10" t="inlineStr">
        <is>
          <t>Elongate ilisha</t>
        </is>
      </c>
      <c r="E109" s="10" t="inlineStr">
        <is>
          <t>Medium pelagics (30 - 89 cm)</t>
        </is>
      </c>
      <c r="F109" s="10" t="inlineStr">
        <is>
          <t>Herring-likes</t>
        </is>
      </c>
      <c r="G109" s="11" t="inlineStr">
        <is>
          <t>Pelagic fish (&gt; 30 cm)</t>
        </is>
      </c>
      <c r="H109" s="12" t="n">
        <v>0.7983193277310925</v>
      </c>
      <c r="I109" s="10" t="inlineStr">
        <is>
          <t>model_catch</t>
        </is>
      </c>
      <c r="J109" s="14" t="inlineStr">
        <is>
          <t>medium</t>
        </is>
      </c>
      <c r="K109" s="10" t="inlineStr">
        <is>
          <t>composite_split</t>
        </is>
      </c>
      <c r="L109" s="11" t="inlineStr">
        <is>
          <t>Analyst habitat/size inference to source &gt;30 cm pelagic fish (Appendix 6.1.24 p.339); no age data, so split juvenile/adult using the period model catch.</t>
        </is>
      </c>
      <c r="M109" s="10" t="n">
        <v>1163810.882</v>
      </c>
    </row>
    <row r="110" ht="36" customHeight="1">
      <c r="A110" s="10" t="inlineStr">
        <is>
          <t>LME_036</t>
        </is>
      </c>
      <c r="B110" s="11" t="inlineStr">
        <is>
          <t>36_2_South_China_Sea_SCS-2007_Northern_South_China_Sea_(1970s)</t>
        </is>
      </c>
      <c r="C110" s="11" t="inlineStr">
        <is>
          <t>Sardinops sagax</t>
        </is>
      </c>
      <c r="D110" s="10" t="inlineStr">
        <is>
          <t>South American pilchard</t>
        </is>
      </c>
      <c r="E110" s="10" t="inlineStr">
        <is>
          <t>Medium pelagics (30 - 89 cm)</t>
        </is>
      </c>
      <c r="F110" s="10" t="inlineStr">
        <is>
          <t>Herring-likes</t>
        </is>
      </c>
      <c r="G110" s="11" t="inlineStr">
        <is>
          <t>Juvenile large pelagic fish</t>
        </is>
      </c>
      <c r="H110" s="12" t="n">
        <v>0.2016806722689076</v>
      </c>
      <c r="I110" s="10" t="inlineStr">
        <is>
          <t>model_catch</t>
        </is>
      </c>
      <c r="J110" s="14" t="inlineStr">
        <is>
          <t>medium</t>
        </is>
      </c>
      <c r="K110" s="10" t="inlineStr">
        <is>
          <t>composite_split</t>
        </is>
      </c>
      <c r="L110" s="11" t="inlineStr">
        <is>
          <t>Analyst habitat/size inference to source &gt;30 cm pelagic fish (Appendix 6.1.24 p.339); no age data, so split juvenile/adult using the period model catch.</t>
        </is>
      </c>
      <c r="M110" s="10" t="n">
        <v>1101836.203</v>
      </c>
    </row>
    <row r="111" ht="36" customHeight="1">
      <c r="A111" s="10" t="inlineStr">
        <is>
          <t>LME_036</t>
        </is>
      </c>
      <c r="B111" s="11" t="inlineStr">
        <is>
          <t>36_2_South_China_Sea_SCS-2007_Northern_South_China_Sea_(1970s)</t>
        </is>
      </c>
      <c r="C111" s="11" t="inlineStr">
        <is>
          <t>Sardinops sagax</t>
        </is>
      </c>
      <c r="D111" s="10" t="inlineStr">
        <is>
          <t>South American pilchard</t>
        </is>
      </c>
      <c r="E111" s="10" t="inlineStr">
        <is>
          <t>Medium pelagics (30 - 89 cm)</t>
        </is>
      </c>
      <c r="F111" s="10" t="inlineStr">
        <is>
          <t>Herring-likes</t>
        </is>
      </c>
      <c r="G111" s="11" t="inlineStr">
        <is>
          <t>Pelagic fish (&gt; 30 cm)</t>
        </is>
      </c>
      <c r="H111" s="12" t="n">
        <v>0.7983193277310925</v>
      </c>
      <c r="I111" s="10" t="inlineStr">
        <is>
          <t>model_catch</t>
        </is>
      </c>
      <c r="J111" s="14" t="inlineStr">
        <is>
          <t>medium</t>
        </is>
      </c>
      <c r="K111" s="10" t="inlineStr">
        <is>
          <t>composite_split</t>
        </is>
      </c>
      <c r="L111" s="11" t="inlineStr">
        <is>
          <t>Analyst habitat/size inference to source &gt;30 cm pelagic fish (Appendix 6.1.24 p.339); no age data, so split juvenile/adult using the period model catch.</t>
        </is>
      </c>
      <c r="M111" s="10" t="n">
        <v>1101836.203</v>
      </c>
    </row>
    <row r="112" ht="51" customHeight="1">
      <c r="A112" s="10" t="inlineStr">
        <is>
          <t>LME_036</t>
        </is>
      </c>
      <c r="B112" s="11" t="inlineStr">
        <is>
          <t>36_2_South_China_Sea_SCS-2007_Northern_South_China_Sea_(1970s)</t>
        </is>
      </c>
      <c r="C112" s="11" t="inlineStr">
        <is>
          <t>Sardinella lemuru</t>
        </is>
      </c>
      <c r="D112" s="10" t="inlineStr">
        <is>
          <t>Bali sardinella</t>
        </is>
      </c>
      <c r="E112" s="10" t="inlineStr">
        <is>
          <t>Small pelagics (&lt;30 cm)</t>
        </is>
      </c>
      <c r="F112" s="10" t="inlineStr">
        <is>
          <t>Herring-likes</t>
        </is>
      </c>
      <c r="G112" s="11" t="inlineStr">
        <is>
          <t>Pelagic fish (≤ 30 cm)</t>
        </is>
      </c>
      <c r="H112" s="12" t="n">
        <v>1</v>
      </c>
      <c r="I112" s="10" t="inlineStr">
        <is>
          <t>single</t>
        </is>
      </c>
      <c r="J112" s="14" t="inlineStr">
        <is>
          <t>medium</t>
        </is>
      </c>
      <c r="K112" s="10" t="inlineStr">
        <is>
          <t>habitat_size_guild</t>
        </is>
      </c>
      <c r="L1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12" s="10" t="n">
        <v>1092321.186</v>
      </c>
    </row>
    <row r="113" ht="36" customHeight="1">
      <c r="A113" s="10" t="inlineStr">
        <is>
          <t>LME_036</t>
        </is>
      </c>
      <c r="B113" s="11" t="inlineStr">
        <is>
          <t>36_2_South_China_Sea_SCS-2007_Northern_South_China_Sea_(1970s)</t>
        </is>
      </c>
      <c r="C113" s="11" t="inlineStr">
        <is>
          <t>Coryphaena hippurus</t>
        </is>
      </c>
      <c r="D113" s="10" t="inlineStr">
        <is>
          <t>Common dolphinfish</t>
        </is>
      </c>
      <c r="E113" s="10" t="inlineStr">
        <is>
          <t>Large pelagics (&gt;=90 cm)</t>
        </is>
      </c>
      <c r="F113" s="10" t="inlineStr">
        <is>
          <t>Perch-likes</t>
        </is>
      </c>
      <c r="G113" s="11" t="inlineStr">
        <is>
          <t>Juvenile large pelagic fish</t>
        </is>
      </c>
      <c r="H113" s="12" t="n">
        <v>0.2016806722689076</v>
      </c>
      <c r="I113" s="10" t="inlineStr">
        <is>
          <t>model_catch</t>
        </is>
      </c>
      <c r="J113" s="14" t="inlineStr">
        <is>
          <t>medium</t>
        </is>
      </c>
      <c r="K113" s="10" t="inlineStr">
        <is>
          <t>composite_split</t>
        </is>
      </c>
      <c r="L113" s="11" t="inlineStr">
        <is>
          <t>Analyst habitat/size inference to source &gt;30 cm pelagic fish (Appendix 6.1.24 p.339); no age data, so split juvenile/adult using the period model catch.</t>
        </is>
      </c>
      <c r="M113" s="10" t="n">
        <v>1078982.717</v>
      </c>
    </row>
    <row r="114" ht="36" customHeight="1">
      <c r="A114" s="10" t="inlineStr">
        <is>
          <t>LME_036</t>
        </is>
      </c>
      <c r="B114" s="11" t="inlineStr">
        <is>
          <t>36_2_South_China_Sea_SCS-2007_Northern_South_China_Sea_(1970s)</t>
        </is>
      </c>
      <c r="C114" s="11" t="inlineStr">
        <is>
          <t>Coryphaena hippurus</t>
        </is>
      </c>
      <c r="D114" s="10" t="inlineStr">
        <is>
          <t>Common dolphinfish</t>
        </is>
      </c>
      <c r="E114" s="10" t="inlineStr">
        <is>
          <t>Large pelagics (&gt;=90 cm)</t>
        </is>
      </c>
      <c r="F114" s="10" t="inlineStr">
        <is>
          <t>Perch-likes</t>
        </is>
      </c>
      <c r="G114" s="11" t="inlineStr">
        <is>
          <t>Pelagic fish (&gt; 30 cm)</t>
        </is>
      </c>
      <c r="H114" s="12" t="n">
        <v>0.7983193277310925</v>
      </c>
      <c r="I114" s="10" t="inlineStr">
        <is>
          <t>model_catch</t>
        </is>
      </c>
      <c r="J114" s="14" t="inlineStr">
        <is>
          <t>medium</t>
        </is>
      </c>
      <c r="K114" s="10" t="inlineStr">
        <is>
          <t>composite_split</t>
        </is>
      </c>
      <c r="L114" s="11" t="inlineStr">
        <is>
          <t>Analyst habitat/size inference to source &gt;30 cm pelagic fish (Appendix 6.1.24 p.339); no age data, so split juvenile/adult using the period model catch.</t>
        </is>
      </c>
      <c r="M114" s="10" t="n">
        <v>1078982.717</v>
      </c>
    </row>
    <row r="115" ht="36" customHeight="1">
      <c r="A115" s="10" t="inlineStr">
        <is>
          <t>LME_036</t>
        </is>
      </c>
      <c r="B115" s="11" t="inlineStr">
        <is>
          <t>36_2_South_China_Sea_SCS-2007_Northern_South_China_Sea_(1970s)</t>
        </is>
      </c>
      <c r="C115" s="11" t="inlineStr">
        <is>
          <t>Cololabis saira</t>
        </is>
      </c>
      <c r="D115" s="10" t="inlineStr">
        <is>
          <t>Pacific saury</t>
        </is>
      </c>
      <c r="E115" s="10" t="inlineStr">
        <is>
          <t>Medium pelagics (30 - 89 cm)</t>
        </is>
      </c>
      <c r="F115" s="10" t="inlineStr">
        <is>
          <t>Other fishes &amp; inverts</t>
        </is>
      </c>
      <c r="G115" s="11" t="inlineStr">
        <is>
          <t>Juvenile large pelagic fish</t>
        </is>
      </c>
      <c r="H115" s="12" t="n">
        <v>0.2016806722689076</v>
      </c>
      <c r="I115" s="10" t="inlineStr">
        <is>
          <t>model_catch</t>
        </is>
      </c>
      <c r="J115" s="14" t="inlineStr">
        <is>
          <t>medium</t>
        </is>
      </c>
      <c r="K115" s="10" t="inlineStr">
        <is>
          <t>composite_split</t>
        </is>
      </c>
      <c r="L115" s="11" t="inlineStr">
        <is>
          <t>Analyst habitat/size inference to source &gt;30 cm pelagic fish (Appendix 6.1.24 p.339); no age data, so split juvenile/adult using the period model catch.</t>
        </is>
      </c>
      <c r="M115" s="10" t="n">
        <v>1035519.84</v>
      </c>
    </row>
    <row r="116" ht="36" customHeight="1">
      <c r="A116" s="10" t="inlineStr">
        <is>
          <t>LME_036</t>
        </is>
      </c>
      <c r="B116" s="11" t="inlineStr">
        <is>
          <t>36_2_South_China_Sea_SCS-2007_Northern_South_China_Sea_(1970s)</t>
        </is>
      </c>
      <c r="C116" s="11" t="inlineStr">
        <is>
          <t>Cololabis saira</t>
        </is>
      </c>
      <c r="D116" s="10" t="inlineStr">
        <is>
          <t>Pacific saury</t>
        </is>
      </c>
      <c r="E116" s="10" t="inlineStr">
        <is>
          <t>Medium pelagics (30 - 89 cm)</t>
        </is>
      </c>
      <c r="F116" s="10" t="inlineStr">
        <is>
          <t>Other fishes &amp; inverts</t>
        </is>
      </c>
      <c r="G116" s="11" t="inlineStr">
        <is>
          <t>Pelagic fish (&gt; 30 cm)</t>
        </is>
      </c>
      <c r="H116" s="12" t="n">
        <v>0.7983193277310925</v>
      </c>
      <c r="I116" s="10" t="inlineStr">
        <is>
          <t>model_catch</t>
        </is>
      </c>
      <c r="J116" s="14" t="inlineStr">
        <is>
          <t>medium</t>
        </is>
      </c>
      <c r="K116" s="10" t="inlineStr">
        <is>
          <t>composite_split</t>
        </is>
      </c>
      <c r="L116" s="11" t="inlineStr">
        <is>
          <t>Analyst habitat/size inference to source &gt;30 cm pelagic fish (Appendix 6.1.24 p.339); no age data, so split juvenile/adult using the period model catch.</t>
        </is>
      </c>
      <c r="M116" s="10" t="n">
        <v>1035519.84</v>
      </c>
    </row>
    <row r="117" ht="51" customHeight="1">
      <c r="A117" s="10" t="inlineStr">
        <is>
          <t>LME_036</t>
        </is>
      </c>
      <c r="B117" s="11" t="inlineStr">
        <is>
          <t>36_2_South_China_Sea_SCS-2007_Northern_South_China_Sea_(1970s)</t>
        </is>
      </c>
      <c r="C117" s="11" t="inlineStr">
        <is>
          <t>Netuma thalassina</t>
        </is>
      </c>
      <c r="D117" s="10" t="inlineStr">
        <is>
          <t>Giant catfish</t>
        </is>
      </c>
      <c r="E117" s="10" t="inlineStr">
        <is>
          <t>Large demersals (&gt;=90 cm)</t>
        </is>
      </c>
      <c r="F117" s="10" t="inlineStr">
        <is>
          <t>Other fishes &amp; inverts</t>
        </is>
      </c>
      <c r="G117" s="11" t="inlineStr">
        <is>
          <t>Juvenile demersal fish (&gt; 30 cm)</t>
        </is>
      </c>
      <c r="H117" s="12" t="n">
        <v>0.2002781641168289</v>
      </c>
      <c r="I117" s="10" t="inlineStr">
        <is>
          <t>model_catch</t>
        </is>
      </c>
      <c r="J117" s="14" t="inlineStr">
        <is>
          <t>medium</t>
        </is>
      </c>
      <c r="K117" s="10" t="inlineStr">
        <is>
          <t>composite_split</t>
        </is>
      </c>
      <c r="L1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7" s="10" t="n">
        <v>1021214.891</v>
      </c>
    </row>
    <row r="118" ht="51" customHeight="1">
      <c r="A118" s="10" t="inlineStr">
        <is>
          <t>LME_036</t>
        </is>
      </c>
      <c r="B118" s="11" t="inlineStr">
        <is>
          <t>36_2_South_China_Sea_SCS-2007_Northern_South_China_Sea_(1970s)</t>
        </is>
      </c>
      <c r="C118" s="11" t="inlineStr">
        <is>
          <t>Netuma thalassina</t>
        </is>
      </c>
      <c r="D118" s="10" t="inlineStr">
        <is>
          <t>Giant catfish</t>
        </is>
      </c>
      <c r="E118" s="10" t="inlineStr">
        <is>
          <t>Large demersals (&gt;=90 cm)</t>
        </is>
      </c>
      <c r="F118" s="10" t="inlineStr">
        <is>
          <t>Other fishes &amp; inverts</t>
        </is>
      </c>
      <c r="G118" s="11" t="inlineStr">
        <is>
          <t>Adult demersal fish (&gt; 30 cm)</t>
        </is>
      </c>
      <c r="H118" s="12" t="n">
        <v>0.799721835883171</v>
      </c>
      <c r="I118" s="10" t="inlineStr">
        <is>
          <t>model_catch</t>
        </is>
      </c>
      <c r="J118" s="14" t="inlineStr">
        <is>
          <t>medium</t>
        </is>
      </c>
      <c r="K118" s="10" t="inlineStr">
        <is>
          <t>composite_split</t>
        </is>
      </c>
      <c r="L1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8" s="10" t="n">
        <v>1021214.891</v>
      </c>
    </row>
    <row r="119" ht="51" customHeight="1">
      <c r="A119" s="10" t="inlineStr">
        <is>
          <t>LME_036</t>
        </is>
      </c>
      <c r="B119" s="11" t="inlineStr">
        <is>
          <t>36_2_South_China_Sea_SCS-2007_Northern_South_China_Sea_(1970s)</t>
        </is>
      </c>
      <c r="C119" s="11" t="inlineStr">
        <is>
          <t>Priacanthus macracanthus</t>
        </is>
      </c>
      <c r="D119" s="10" t="inlineStr">
        <is>
          <t>Red bigeye</t>
        </is>
      </c>
      <c r="E119" s="10" t="inlineStr">
        <is>
          <t>Medium reef assoc. fish (30 - 89 cm)</t>
        </is>
      </c>
      <c r="F119" s="10" t="inlineStr">
        <is>
          <t>Perch-likes</t>
        </is>
      </c>
      <c r="G119" s="11" t="inlineStr">
        <is>
          <t>Bigeyes (priacanthids)</t>
        </is>
      </c>
      <c r="H119" s="12" t="n">
        <v>1</v>
      </c>
      <c r="I119" s="10" t="inlineStr">
        <is>
          <t>single</t>
        </is>
      </c>
      <c r="J119" s="15" t="inlineStr">
        <is>
          <t>high</t>
        </is>
      </c>
      <c r="K119" s="10" t="inlineStr">
        <is>
          <t>taxonomic_containment</t>
        </is>
      </c>
      <c r="L119" s="11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  <c r="M119" s="10" t="n">
        <v>991701.4620000001</v>
      </c>
    </row>
    <row r="120" ht="51" customHeight="1">
      <c r="A120" s="10" t="inlineStr">
        <is>
          <t>LME_036</t>
        </is>
      </c>
      <c r="B120" s="11" t="inlineStr">
        <is>
          <t>36_2_South_China_Sea_SCS-2007_Northern_South_China_Sea_(1970s)</t>
        </is>
      </c>
      <c r="C120" s="11" t="inlineStr">
        <is>
          <t>Nemipterus virgatus</t>
        </is>
      </c>
      <c r="D120" s="10" t="inlineStr">
        <is>
          <t>Golden threadfin bream</t>
        </is>
      </c>
      <c r="E120" s="10" t="inlineStr">
        <is>
          <t>Medium demersals (30 - 89 cm)</t>
        </is>
      </c>
      <c r="F120" s="10" t="inlineStr">
        <is>
          <t>Perch-likes</t>
        </is>
      </c>
      <c r="G120" s="11" t="inlineStr">
        <is>
          <t>Threadfin bream (nemipterids)</t>
        </is>
      </c>
      <c r="H120" s="12" t="n">
        <v>1</v>
      </c>
      <c r="I120" s="10" t="inlineStr">
        <is>
          <t>single</t>
        </is>
      </c>
      <c r="J120" s="15" t="inlineStr">
        <is>
          <t>high</t>
        </is>
      </c>
      <c r="K120" s="10" t="inlineStr">
        <is>
          <t>explicit_member</t>
        </is>
      </c>
      <c r="L120" s="11" t="inlineStr">
        <is>
          <t>Appendix 6.1 pp.327-335 defines Threadfin bream (nemipterids) by this family or explicitly names Nemipterus virgatus; dedicated source placement overrides the SAU class Medium demersals (30 - 89 cm).</t>
        </is>
      </c>
      <c r="M120" s="10" t="n">
        <v>970413.986</v>
      </c>
    </row>
    <row r="121" ht="51" customHeight="1">
      <c r="A121" s="10" t="inlineStr">
        <is>
          <t>LME_036</t>
        </is>
      </c>
      <c r="B121" s="11" t="inlineStr">
        <is>
          <t>36_2_South_China_Sea_SCS-2007_Northern_South_China_Sea_(1970s)</t>
        </is>
      </c>
      <c r="C121" s="11" t="inlineStr">
        <is>
          <t>Parastromateus niger</t>
        </is>
      </c>
      <c r="D121" s="10" t="inlineStr">
        <is>
          <t>Black pomfret</t>
        </is>
      </c>
      <c r="E121" s="10" t="inlineStr">
        <is>
          <t>Medium benthopelagics (30 - 89 cm)</t>
        </is>
      </c>
      <c r="F121" s="10" t="inlineStr">
        <is>
          <t>Perch-likes</t>
        </is>
      </c>
      <c r="G121" s="11" t="inlineStr">
        <is>
          <t>Benthopelagic fish</t>
        </is>
      </c>
      <c r="H121" s="12" t="n">
        <v>1</v>
      </c>
      <c r="I121" s="10" t="inlineStr">
        <is>
          <t>single</t>
        </is>
      </c>
      <c r="J121" s="13" t="inlineStr">
        <is>
          <t>low</t>
        </is>
      </c>
      <c r="K121" s="10" t="inlineStr">
        <is>
          <t>habitat_size_guild</t>
        </is>
      </c>
      <c r="L12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1" s="10" t="n">
        <v>961636.33</v>
      </c>
    </row>
    <row r="122" ht="51" customHeight="1">
      <c r="A122" s="10" t="inlineStr">
        <is>
          <t>LME_036</t>
        </is>
      </c>
      <c r="B122" s="11" t="inlineStr">
        <is>
          <t>36_2_South_China_Sea_SCS-2007_Northern_South_China_Sea_(1970s)</t>
        </is>
      </c>
      <c r="C122" s="11" t="inlineStr">
        <is>
          <t>Mugil cephalus</t>
        </is>
      </c>
      <c r="D122" s="10" t="inlineStr">
        <is>
          <t>Flathead grey mullet</t>
        </is>
      </c>
      <c r="E122" s="10" t="inlineStr">
        <is>
          <t>Large benthopelagics (&gt;=90 cm)</t>
        </is>
      </c>
      <c r="F122" s="10" t="inlineStr">
        <is>
          <t>Perch-likes</t>
        </is>
      </c>
      <c r="G122" s="11" t="inlineStr">
        <is>
          <t>Benthopelagic fish</t>
        </is>
      </c>
      <c r="H122" s="12" t="n">
        <v>1</v>
      </c>
      <c r="I122" s="10" t="inlineStr">
        <is>
          <t>single</t>
        </is>
      </c>
      <c r="J122" s="13" t="inlineStr">
        <is>
          <t>low</t>
        </is>
      </c>
      <c r="K122" s="10" t="inlineStr">
        <is>
          <t>habitat_size_guild</t>
        </is>
      </c>
      <c r="L1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2" s="10" t="n">
        <v>949666.595</v>
      </c>
    </row>
    <row r="123" ht="36" customHeight="1">
      <c r="A123" s="10" t="inlineStr">
        <is>
          <t>LME_036</t>
        </is>
      </c>
      <c r="B123" s="11" t="inlineStr">
        <is>
          <t>36_2_South_China_Sea_SCS-2007_Northern_South_China_Sea_(1970s)</t>
        </is>
      </c>
      <c r="C123" s="11" t="inlineStr">
        <is>
          <t>Cephalopoda</t>
        </is>
      </c>
      <c r="D123" s="10" t="inlineStr">
        <is>
          <t>Squids, cuttlefishes, octopuses</t>
        </is>
      </c>
      <c r="E123" s="10" t="inlineStr">
        <is>
          <t>Cephalopods</t>
        </is>
      </c>
      <c r="F123" s="10" t="inlineStr">
        <is>
          <t>Other fishes &amp; inverts</t>
        </is>
      </c>
      <c r="G123" s="11" t="inlineStr">
        <is>
          <t>Cephalopods</t>
        </is>
      </c>
      <c r="H123" s="12" t="n">
        <v>1</v>
      </c>
      <c r="I123" s="10" t="inlineStr">
        <is>
          <t>single</t>
        </is>
      </c>
      <c r="J123" s="15" t="inlineStr">
        <is>
          <t>high</t>
        </is>
      </c>
      <c r="K123" s="10" t="inlineStr">
        <is>
          <t>taxonomic_containment</t>
        </is>
      </c>
      <c r="L123" s="11" t="inlineStr">
        <is>
          <t>Cephalopoda is contained by the single source Cephalopods group, Appendix 6.1.8 pp.326-327.</t>
        </is>
      </c>
      <c r="M123" s="10" t="n">
        <v>945101.13</v>
      </c>
    </row>
    <row r="124" ht="51" customHeight="1">
      <c r="A124" s="10" t="inlineStr">
        <is>
          <t>LME_036</t>
        </is>
      </c>
      <c r="B124" s="11" t="inlineStr">
        <is>
          <t>36_2_South_China_Sea_SCS-2007_Northern_South_China_Sea_(1970s)</t>
        </is>
      </c>
      <c r="C124" s="11" t="inlineStr">
        <is>
          <t>Leiognathus</t>
        </is>
      </c>
      <c r="D124" s="10" t="inlineStr">
        <is>
          <t>Ponyfishes</t>
        </is>
      </c>
      <c r="E124" s="10" t="inlineStr">
        <is>
          <t>Small benthopelagics (&lt;30 cm)</t>
        </is>
      </c>
      <c r="F124" s="10" t="inlineStr">
        <is>
          <t>Perch-likes</t>
        </is>
      </c>
      <c r="G124" s="11" t="inlineStr">
        <is>
          <t>Benthopelagic fish</t>
        </is>
      </c>
      <c r="H124" s="12" t="n">
        <v>1</v>
      </c>
      <c r="I124" s="10" t="inlineStr">
        <is>
          <t>single</t>
        </is>
      </c>
      <c r="J124" s="13" t="inlineStr">
        <is>
          <t>low</t>
        </is>
      </c>
      <c r="K124" s="10" t="inlineStr">
        <is>
          <t>habitat_size_guild</t>
        </is>
      </c>
      <c r="L124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4" s="10" t="n">
        <v>891413.643</v>
      </c>
    </row>
    <row r="125" ht="36" customHeight="1">
      <c r="A125" s="10" t="inlineStr">
        <is>
          <t>LME_036</t>
        </is>
      </c>
      <c r="B125" s="11" t="inlineStr">
        <is>
          <t>36_2_South_China_Sea_SCS-2007_Northern_South_China_Sea_(1970s)</t>
        </is>
      </c>
      <c r="C125" s="11" t="inlineStr">
        <is>
          <t>Octopodidae</t>
        </is>
      </c>
      <c r="D125" s="10" t="inlineStr">
        <is>
          <t>Octopuses</t>
        </is>
      </c>
      <c r="E125" s="10" t="inlineStr">
        <is>
          <t>Cephalopods</t>
        </is>
      </c>
      <c r="F125" s="10" t="inlineStr">
        <is>
          <t>Other fishes &amp; inverts</t>
        </is>
      </c>
      <c r="G125" s="11" t="inlineStr">
        <is>
          <t>Cephalopods</t>
        </is>
      </c>
      <c r="H125" s="12" t="n">
        <v>1</v>
      </c>
      <c r="I125" s="10" t="inlineStr">
        <is>
          <t>single</t>
        </is>
      </c>
      <c r="J125" s="15" t="inlineStr">
        <is>
          <t>high</t>
        </is>
      </c>
      <c r="K125" s="10" t="inlineStr">
        <is>
          <t>taxonomic_containment</t>
        </is>
      </c>
      <c r="L125" s="11" t="inlineStr">
        <is>
          <t>Cephalopoda is contained by the single source Cephalopods group, Appendix 6.1.8 pp.326-327.</t>
        </is>
      </c>
      <c r="M125" s="10" t="n">
        <v>841025.851</v>
      </c>
    </row>
    <row r="126" ht="36" customHeight="1">
      <c r="A126" s="10" t="inlineStr">
        <is>
          <t>LME_036</t>
        </is>
      </c>
      <c r="B126" s="11" t="inlineStr">
        <is>
          <t>36_2_South_China_Sea_SCS-2007_Northern_South_China_Sea_(1970s)</t>
        </is>
      </c>
      <c r="C126" s="11" t="inlineStr">
        <is>
          <t>Dasyatis</t>
        </is>
      </c>
      <c r="D126" s="10" t="inlineStr">
        <is>
          <t>Rough whip stingrays</t>
        </is>
      </c>
      <c r="E126" s="10" t="inlineStr">
        <is>
          <t>Large rays (&gt;=90 cm)</t>
        </is>
      </c>
      <c r="F126" s="10" t="inlineStr">
        <is>
          <t>Sharks &amp; rays</t>
        </is>
      </c>
      <c r="G126" s="11" t="inlineStr">
        <is>
          <t>Demersal sharks and rays</t>
        </is>
      </c>
      <c r="H126" s="12" t="n">
        <v>1</v>
      </c>
      <c r="I126" s="10" t="inlineStr">
        <is>
          <t>single</t>
        </is>
      </c>
      <c r="J126" s="14" t="inlineStr">
        <is>
          <t>medium</t>
        </is>
      </c>
      <c r="K126" s="10" t="inlineStr">
        <is>
          <t>habitat_size_guild</t>
        </is>
      </c>
      <c r="L126" s="11" t="inlineStr">
        <is>
          <t>Demersal/benthic ray or houndshark lineage matches the demersal elasmobranch definition, Appendix 6.1.25 p.340; species placement is analyst inference.</t>
        </is>
      </c>
      <c r="M126" s="10" t="n">
        <v>824451.936</v>
      </c>
    </row>
    <row r="127" ht="36" customHeight="1">
      <c r="A127" s="10" t="inlineStr">
        <is>
          <t>LME_036</t>
        </is>
      </c>
      <c r="B127" s="11" t="inlineStr">
        <is>
          <t>36_2_South_China_Sea_SCS-2007_Northern_South_China_Sea_(1970s)</t>
        </is>
      </c>
      <c r="C127" s="11" t="inlineStr">
        <is>
          <t>Euthynnus affinis</t>
        </is>
      </c>
      <c r="D127" s="10" t="inlineStr">
        <is>
          <t>Kawakawa</t>
        </is>
      </c>
      <c r="E127" s="10" t="inlineStr">
        <is>
          <t>Large pelagics (&gt;=90 cm)</t>
        </is>
      </c>
      <c r="F127" s="10" t="inlineStr">
        <is>
          <t>Tuna &amp; billfishes</t>
        </is>
      </c>
      <c r="G127" s="11" t="inlineStr">
        <is>
          <t>Juvenile large pelagic fish</t>
        </is>
      </c>
      <c r="H127" s="12" t="n">
        <v>0.2016806722689076</v>
      </c>
      <c r="I127" s="10" t="inlineStr">
        <is>
          <t>model_catch</t>
        </is>
      </c>
      <c r="J127" s="14" t="inlineStr">
        <is>
          <t>medium</t>
        </is>
      </c>
      <c r="K127" s="10" t="inlineStr">
        <is>
          <t>composite_split</t>
        </is>
      </c>
      <c r="L127" s="11" t="inlineStr">
        <is>
          <t>Analyst habitat/size inference to source &gt;30 cm pelagic fish (Appendix 6.1.24 p.339); no age data, so split juvenile/adult using the period model catch.</t>
        </is>
      </c>
      <c r="M127" s="10" t="n">
        <v>816087.965</v>
      </c>
    </row>
    <row r="128" ht="36" customHeight="1">
      <c r="A128" s="10" t="inlineStr">
        <is>
          <t>LME_036</t>
        </is>
      </c>
      <c r="B128" s="11" t="inlineStr">
        <is>
          <t>36_2_South_China_Sea_SCS-2007_Northern_South_China_Sea_(1970s)</t>
        </is>
      </c>
      <c r="C128" s="11" t="inlineStr">
        <is>
          <t>Euthynnus affinis</t>
        </is>
      </c>
      <c r="D128" s="10" t="inlineStr">
        <is>
          <t>Kawakawa</t>
        </is>
      </c>
      <c r="E128" s="10" t="inlineStr">
        <is>
          <t>Large pelagics (&gt;=90 cm)</t>
        </is>
      </c>
      <c r="F128" s="10" t="inlineStr">
        <is>
          <t>Tuna &amp; billfishes</t>
        </is>
      </c>
      <c r="G128" s="11" t="inlineStr">
        <is>
          <t>Pelagic fish (&gt; 30 cm)</t>
        </is>
      </c>
      <c r="H128" s="12" t="n">
        <v>0.7983193277310925</v>
      </c>
      <c r="I128" s="10" t="inlineStr">
        <is>
          <t>model_catch</t>
        </is>
      </c>
      <c r="J128" s="14" t="inlineStr">
        <is>
          <t>medium</t>
        </is>
      </c>
      <c r="K128" s="10" t="inlineStr">
        <is>
          <t>composite_split</t>
        </is>
      </c>
      <c r="L128" s="11" t="inlineStr">
        <is>
          <t>Analyst habitat/size inference to source &gt;30 cm pelagic fish (Appendix 6.1.24 p.339); no age data, so split juvenile/adult using the period model catch.</t>
        </is>
      </c>
      <c r="M128" s="10" t="n">
        <v>816087.965</v>
      </c>
    </row>
    <row r="129" ht="36" customHeight="1">
      <c r="A129" s="10" t="inlineStr">
        <is>
          <t>LME_036</t>
        </is>
      </c>
      <c r="B129" s="11" t="inlineStr">
        <is>
          <t>36_2_South_China_Sea_SCS-2007_Northern_South_China_Sea_(1970s)</t>
        </is>
      </c>
      <c r="C129" s="11" t="inlineStr">
        <is>
          <t>Auxis</t>
        </is>
      </c>
      <c r="D129" s="10" t="inlineStr">
        <is>
          <t>Bullet and frigate tunas</t>
        </is>
      </c>
      <c r="E129" s="10" t="inlineStr">
        <is>
          <t>Medium pelagics (30 - 89 cm)</t>
        </is>
      </c>
      <c r="F129" s="10" t="inlineStr">
        <is>
          <t>Tuna &amp; billfishes</t>
        </is>
      </c>
      <c r="G129" s="11" t="inlineStr">
        <is>
          <t>Juvenile large pelagic fish</t>
        </is>
      </c>
      <c r="H129" s="12" t="n">
        <v>0.2016806722689076</v>
      </c>
      <c r="I129" s="10" t="inlineStr">
        <is>
          <t>model_catch</t>
        </is>
      </c>
      <c r="J129" s="14" t="inlineStr">
        <is>
          <t>medium</t>
        </is>
      </c>
      <c r="K129" s="10" t="inlineStr">
        <is>
          <t>composite_split</t>
        </is>
      </c>
      <c r="L129" s="11" t="inlineStr">
        <is>
          <t>Analyst habitat/size inference to source &gt;30 cm pelagic fish (Appendix 6.1.24 p.339); no age data, so split juvenile/adult using the period model catch.</t>
        </is>
      </c>
      <c r="M129" s="10" t="n">
        <v>803741.611</v>
      </c>
    </row>
    <row r="130" ht="36" customHeight="1">
      <c r="A130" s="10" t="inlineStr">
        <is>
          <t>LME_036</t>
        </is>
      </c>
      <c r="B130" s="11" t="inlineStr">
        <is>
          <t>36_2_South_China_Sea_SCS-2007_Northern_South_China_Sea_(1970s)</t>
        </is>
      </c>
      <c r="C130" s="11" t="inlineStr">
        <is>
          <t>Auxis</t>
        </is>
      </c>
      <c r="D130" s="10" t="inlineStr">
        <is>
          <t>Bullet and frigate tunas</t>
        </is>
      </c>
      <c r="E130" s="10" t="inlineStr">
        <is>
          <t>Medium pelagics (30 - 89 cm)</t>
        </is>
      </c>
      <c r="F130" s="10" t="inlineStr">
        <is>
          <t>Tuna &amp; billfishes</t>
        </is>
      </c>
      <c r="G130" s="11" t="inlineStr">
        <is>
          <t>Pelagic fish (&gt; 30 cm)</t>
        </is>
      </c>
      <c r="H130" s="12" t="n">
        <v>0.7983193277310925</v>
      </c>
      <c r="I130" s="10" t="inlineStr">
        <is>
          <t>model_catch</t>
        </is>
      </c>
      <c r="J130" s="14" t="inlineStr">
        <is>
          <t>medium</t>
        </is>
      </c>
      <c r="K130" s="10" t="inlineStr">
        <is>
          <t>composite_split</t>
        </is>
      </c>
      <c r="L130" s="11" t="inlineStr">
        <is>
          <t>Analyst habitat/size inference to source &gt;30 cm pelagic fish (Appendix 6.1.24 p.339); no age data, so split juvenile/adult using the period model catch.</t>
        </is>
      </c>
      <c r="M130" s="10" t="n">
        <v>803741.611</v>
      </c>
    </row>
    <row r="131" ht="51" customHeight="1">
      <c r="A131" s="10" t="inlineStr">
        <is>
          <t>LME_036</t>
        </is>
      </c>
      <c r="B131" s="11" t="inlineStr">
        <is>
          <t>36_2_South_China_Sea_SCS-2007_Northern_South_China_Sea_(1970s)</t>
        </is>
      </c>
      <c r="C131" s="11" t="inlineStr">
        <is>
          <t>Pampus argenteus</t>
        </is>
      </c>
      <c r="D131" s="10" t="inlineStr">
        <is>
          <t>Silver pomfret</t>
        </is>
      </c>
      <c r="E131" s="10" t="inlineStr">
        <is>
          <t>Medium benthopelagics (30 - 89 cm)</t>
        </is>
      </c>
      <c r="F131" s="10" t="inlineStr">
        <is>
          <t>Perch-likes</t>
        </is>
      </c>
      <c r="G131" s="11" t="inlineStr">
        <is>
          <t>Pomfret (stromateids)</t>
        </is>
      </c>
      <c r="H131" s="12" t="n">
        <v>1</v>
      </c>
      <c r="I131" s="10" t="inlineStr">
        <is>
          <t>single</t>
        </is>
      </c>
      <c r="J131" s="15" t="inlineStr">
        <is>
          <t>high</t>
        </is>
      </c>
      <c r="K131" s="10" t="inlineStr">
        <is>
          <t>taxonomic_containment</t>
        </is>
      </c>
      <c r="L131" s="11" t="inlineStr">
        <is>
          <t>Appendix 6.1 pp.327-335 defines Pomfret (stromateids) by this family or explicitly names Pampus argenteus; dedicated source placement overrides the SAU class Medium benthopelagics (30 - 89 cm).</t>
        </is>
      </c>
      <c r="M131" s="10" t="n">
        <v>794370.862</v>
      </c>
    </row>
    <row r="132" ht="51" customHeight="1">
      <c r="A132" s="10" t="inlineStr">
        <is>
          <t>LME_036</t>
        </is>
      </c>
      <c r="B132" s="11" t="inlineStr">
        <is>
          <t>36_2_South_China_Sea_SCS-2007_Northern_South_China_Sea_(1970s)</t>
        </is>
      </c>
      <c r="C132" s="11" t="inlineStr">
        <is>
          <t>Spratelloides gracilis</t>
        </is>
      </c>
      <c r="D132" s="10" t="inlineStr">
        <is>
          <t>Silver-stripe round herring</t>
        </is>
      </c>
      <c r="E132" s="10" t="inlineStr">
        <is>
          <t>Small pelagics (&lt;30 cm)</t>
        </is>
      </c>
      <c r="F132" s="10" t="inlineStr">
        <is>
          <t>Herring-likes</t>
        </is>
      </c>
      <c r="G132" s="11" t="inlineStr">
        <is>
          <t>Pelagic fish (≤ 30 cm)</t>
        </is>
      </c>
      <c r="H132" s="12" t="n">
        <v>1</v>
      </c>
      <c r="I132" s="10" t="inlineStr">
        <is>
          <t>single</t>
        </is>
      </c>
      <c r="J132" s="14" t="inlineStr">
        <is>
          <t>medium</t>
        </is>
      </c>
      <c r="K132" s="10" t="inlineStr">
        <is>
          <t>habitat_size_guild</t>
        </is>
      </c>
      <c r="L13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2" s="10" t="n">
        <v>757719.1850000001</v>
      </c>
    </row>
    <row r="133" ht="36" customHeight="1">
      <c r="A133" s="10" t="inlineStr">
        <is>
          <t>LME_036</t>
        </is>
      </c>
      <c r="B133" s="11" t="inlineStr">
        <is>
          <t>36_2_South_China_Sea_SCS-2007_Northern_South_China_Sea_(1970s)</t>
        </is>
      </c>
      <c r="C133" s="11" t="inlineStr">
        <is>
          <t>Bivalvia</t>
        </is>
      </c>
      <c r="D133" s="10" t="inlineStr">
        <is>
          <t>Clams</t>
        </is>
      </c>
      <c r="E133" s="10" t="inlineStr">
        <is>
          <t>Other demersal invertebrates</t>
        </is>
      </c>
      <c r="F133" s="10" t="inlineStr">
        <is>
          <t>Molluscs</t>
        </is>
      </c>
      <c r="G133" s="11" t="inlineStr">
        <is>
          <t>Non-ceph molluscs</t>
        </is>
      </c>
      <c r="H133" s="12" t="n">
        <v>1</v>
      </c>
      <c r="I133" s="10" t="inlineStr">
        <is>
          <t>single</t>
        </is>
      </c>
      <c r="J133" s="15" t="inlineStr">
        <is>
          <t>high</t>
        </is>
      </c>
      <c r="K133" s="10" t="inlineStr">
        <is>
          <t>taxonomic_containment</t>
        </is>
      </c>
      <c r="L133" s="11" t="inlineStr">
        <is>
          <t>Taxonomic containment in the source benthos subdivision (Appendix 6.1.5 pp.324-325), keeping non-cephalopod molluscs separate from echinoderms and sessile invertebrates.</t>
        </is>
      </c>
      <c r="M133" s="10" t="n">
        <v>749929.762</v>
      </c>
    </row>
    <row r="134" ht="51" customHeight="1">
      <c r="A134" s="10" t="inlineStr">
        <is>
          <t>LME_036</t>
        </is>
      </c>
      <c r="B134" s="11" t="inlineStr">
        <is>
          <t>36_2_South_China_Sea_SCS-2007_Northern_South_China_Sea_(1970s)</t>
        </is>
      </c>
      <c r="C134" s="11" t="inlineStr">
        <is>
          <t>Dussumieria</t>
        </is>
      </c>
      <c r="D134" s="10" t="inlineStr">
        <is>
          <t>Rainbow sardines</t>
        </is>
      </c>
      <c r="E134" s="10" t="inlineStr">
        <is>
          <t>Small pelagics (&lt;30 cm)</t>
        </is>
      </c>
      <c r="F134" s="10" t="inlineStr">
        <is>
          <t>Herring-likes</t>
        </is>
      </c>
      <c r="G134" s="11" t="inlineStr">
        <is>
          <t>Pelagic fish (≤ 30 cm)</t>
        </is>
      </c>
      <c r="H134" s="12" t="n">
        <v>1</v>
      </c>
      <c r="I134" s="10" t="inlineStr">
        <is>
          <t>single</t>
        </is>
      </c>
      <c r="J134" s="14" t="inlineStr">
        <is>
          <t>medium</t>
        </is>
      </c>
      <c r="K134" s="10" t="inlineStr">
        <is>
          <t>habitat_size_guild</t>
        </is>
      </c>
      <c r="L13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4" s="10" t="n">
        <v>697208.687</v>
      </c>
    </row>
    <row r="135" ht="36" customHeight="1">
      <c r="A135" s="10" t="inlineStr">
        <is>
          <t>LME_036</t>
        </is>
      </c>
      <c r="B135" s="11" t="inlineStr">
        <is>
          <t>36_2_South_China_Sea_SCS-2007_Northern_South_China_Sea_(1970s)</t>
        </is>
      </c>
      <c r="C135" s="11" t="inlineStr">
        <is>
          <t>Carcharhinus</t>
        </is>
      </c>
      <c r="D135" s="10" t="inlineStr">
        <is>
          <t>Sharp-nosed sharks</t>
        </is>
      </c>
      <c r="E135" s="10" t="inlineStr">
        <is>
          <t>Large sharks (&gt;=90 cm)</t>
        </is>
      </c>
      <c r="F135" s="10" t="inlineStr">
        <is>
          <t>Sharks &amp; rays</t>
        </is>
      </c>
      <c r="G135" s="11" t="inlineStr">
        <is>
          <t>Demersal sharks and rays</t>
        </is>
      </c>
      <c r="H135" s="12" t="n">
        <v>0.8134680303573432</v>
      </c>
      <c r="I135" s="10" t="inlineStr">
        <is>
          <t>catch_composition</t>
        </is>
      </c>
      <c r="J135" s="13" t="inlineStr">
        <is>
          <t>low</t>
        </is>
      </c>
      <c r="K135" s="10" t="inlineStr">
        <is>
          <t>composite_split</t>
        </is>
      </c>
      <c r="L135" s="11" t="inlineStr">
        <is>
          <t>Coarse or habitat-ambiguous elasmobranch record spans the two source habitat compartments; SAU shark/ray size is insufficient to select one.</t>
        </is>
      </c>
      <c r="M135" s="10" t="n">
        <v>685947.922</v>
      </c>
    </row>
    <row r="136" ht="36" customHeight="1">
      <c r="A136" s="10" t="inlineStr">
        <is>
          <t>LME_036</t>
        </is>
      </c>
      <c r="B136" s="11" t="inlineStr">
        <is>
          <t>36_2_South_China_Sea_SCS-2007_Northern_South_China_Sea_(1970s)</t>
        </is>
      </c>
      <c r="C136" s="11" t="inlineStr">
        <is>
          <t>Carcharhinus</t>
        </is>
      </c>
      <c r="D136" s="10" t="inlineStr">
        <is>
          <t>Sharp-nosed sharks</t>
        </is>
      </c>
      <c r="E136" s="10" t="inlineStr">
        <is>
          <t>Large sharks (&gt;=90 cm)</t>
        </is>
      </c>
      <c r="F136" s="10" t="inlineStr">
        <is>
          <t>Sharks &amp; rays</t>
        </is>
      </c>
      <c r="G136" s="11" t="inlineStr">
        <is>
          <t>Pelagic sharks and rays</t>
        </is>
      </c>
      <c r="H136" s="12" t="n">
        <v>0.1865319696426568</v>
      </c>
      <c r="I136" s="10" t="inlineStr">
        <is>
          <t>catch_composition</t>
        </is>
      </c>
      <c r="J136" s="13" t="inlineStr">
        <is>
          <t>low</t>
        </is>
      </c>
      <c r="K136" s="10" t="inlineStr">
        <is>
          <t>composite_split</t>
        </is>
      </c>
      <c r="L136" s="11" t="inlineStr">
        <is>
          <t>Coarse or habitat-ambiguous elasmobranch record spans the two source habitat compartments; SAU shark/ray size is insufficient to select one.</t>
        </is>
      </c>
      <c r="M136" s="10" t="n">
        <v>685947.922</v>
      </c>
    </row>
    <row r="137" ht="36" customHeight="1">
      <c r="A137" s="10" t="inlineStr">
        <is>
          <t>LME_036</t>
        </is>
      </c>
      <c r="B137" s="11" t="inlineStr">
        <is>
          <t>36_2_South_China_Sea_SCS-2007_Northern_South_China_Sea_(1970s)</t>
        </is>
      </c>
      <c r="C137" s="11" t="inlineStr">
        <is>
          <t>Lutjanus</t>
        </is>
      </c>
      <c r="D137" s="10" t="inlineStr">
        <is>
          <t>Snappers</t>
        </is>
      </c>
      <c r="E137" s="10" t="inlineStr">
        <is>
          <t>Medium reef assoc. fish (30 - 89 cm)</t>
        </is>
      </c>
      <c r="F137" s="10" t="inlineStr">
        <is>
          <t>Perch-likes</t>
        </is>
      </c>
      <c r="G137" s="11" t="inlineStr">
        <is>
          <t>Snappers</t>
        </is>
      </c>
      <c r="H137" s="12" t="n">
        <v>1</v>
      </c>
      <c r="I137" s="10" t="inlineStr">
        <is>
          <t>single</t>
        </is>
      </c>
      <c r="J137" s="15" t="inlineStr">
        <is>
          <t>high</t>
        </is>
      </c>
      <c r="K137" s="10" t="inlineStr">
        <is>
          <t>taxonomic_containment</t>
        </is>
      </c>
      <c r="L137" s="11" t="inlineStr">
        <is>
          <t>Appendix 6.1 pp.327-335 defines Snappers by this family or explicitly names Lutjanus; dedicated source placement overrides the SAU class Medium reef assoc. fish (30 - 89 cm).</t>
        </is>
      </c>
      <c r="M137" s="10" t="n">
        <v>665694.576</v>
      </c>
    </row>
    <row r="138" ht="36" customHeight="1">
      <c r="A138" s="10" t="inlineStr">
        <is>
          <t>LME_036</t>
        </is>
      </c>
      <c r="B138" s="11" t="inlineStr">
        <is>
          <t>36_2_South_China_Sea_SCS-2007_Northern_South_China_Sea_(1970s)</t>
        </is>
      </c>
      <c r="C138" s="11" t="inlineStr">
        <is>
          <t>Penaeus merguiensis</t>
        </is>
      </c>
      <c r="D138" s="10" t="inlineStr">
        <is>
          <t>Banana prawn</t>
        </is>
      </c>
      <c r="E138" s="10" t="inlineStr">
        <is>
          <t>Shrimps</t>
        </is>
      </c>
      <c r="F138" s="10" t="inlineStr">
        <is>
          <t>Crustaceans</t>
        </is>
      </c>
      <c r="G138" s="11" t="inlineStr">
        <is>
          <t>Shrimps</t>
        </is>
      </c>
      <c r="H138" s="12" t="n">
        <v>1</v>
      </c>
      <c r="I138" s="10" t="inlineStr">
        <is>
          <t>single</t>
        </is>
      </c>
      <c r="J138" s="15" t="inlineStr">
        <is>
          <t>high</t>
        </is>
      </c>
      <c r="K138" s="10" t="inlineStr">
        <is>
          <t>taxonomic_containment</t>
        </is>
      </c>
      <c r="L138" s="11" t="inlineStr">
        <is>
          <t>Stomatopods belong to the residual benthic crustaceans; other shrimp taxa belong to Shrimps after the explicitly separated Acetes records (Appendix 6.1 pp.323-326).</t>
        </is>
      </c>
      <c r="M138" s="10" t="n">
        <v>664922.307</v>
      </c>
    </row>
    <row r="139" ht="36" customHeight="1">
      <c r="A139" s="10" t="inlineStr">
        <is>
          <t>LME_036</t>
        </is>
      </c>
      <c r="B139" s="11" t="inlineStr">
        <is>
          <t>36_2_South_China_Sea_SCS-2007_Northern_South_China_Sea_(1970s)</t>
        </is>
      </c>
      <c r="C139" s="11" t="inlineStr">
        <is>
          <t>Octopoda</t>
        </is>
      </c>
      <c r="D139" s="10" t="inlineStr">
        <is>
          <t>Octopuses, argonauts</t>
        </is>
      </c>
      <c r="E139" s="10" t="inlineStr">
        <is>
          <t>Cephalopods</t>
        </is>
      </c>
      <c r="F139" s="10" t="inlineStr">
        <is>
          <t>Other fishes &amp; inverts</t>
        </is>
      </c>
      <c r="G139" s="11" t="inlineStr">
        <is>
          <t>Cephalopods</t>
        </is>
      </c>
      <c r="H139" s="12" t="n">
        <v>1</v>
      </c>
      <c r="I139" s="10" t="inlineStr">
        <is>
          <t>single</t>
        </is>
      </c>
      <c r="J139" s="15" t="inlineStr">
        <is>
          <t>high</t>
        </is>
      </c>
      <c r="K139" s="10" t="inlineStr">
        <is>
          <t>taxonomic_containment</t>
        </is>
      </c>
      <c r="L139" s="11" t="inlineStr">
        <is>
          <t>Cephalopoda is contained by the single source Cephalopods group, Appendix 6.1.8 pp.326-327.</t>
        </is>
      </c>
      <c r="M139" s="10" t="n">
        <v>662621.716</v>
      </c>
    </row>
    <row r="140" ht="51" customHeight="1">
      <c r="A140" s="10" t="inlineStr">
        <is>
          <t>LME_036</t>
        </is>
      </c>
      <c r="B140" s="11" t="inlineStr">
        <is>
          <t>36_2_South_China_Sea_SCS-2007_Northern_South_China_Sea_(1970s)</t>
        </is>
      </c>
      <c r="C140" s="11" t="inlineStr">
        <is>
          <t>Clupanodon thrissa</t>
        </is>
      </c>
      <c r="D140" s="10" t="inlineStr">
        <is>
          <t>Chinese gizzard shad</t>
        </is>
      </c>
      <c r="E140" s="10" t="inlineStr">
        <is>
          <t>Small pelagics (&lt;30 cm)</t>
        </is>
      </c>
      <c r="F140" s="10" t="inlineStr">
        <is>
          <t>Herring-likes</t>
        </is>
      </c>
      <c r="G140" s="11" t="inlineStr">
        <is>
          <t>Pelagic fish (≤ 30 cm)</t>
        </is>
      </c>
      <c r="H140" s="12" t="n">
        <v>1</v>
      </c>
      <c r="I140" s="10" t="inlineStr">
        <is>
          <t>single</t>
        </is>
      </c>
      <c r="J140" s="14" t="inlineStr">
        <is>
          <t>medium</t>
        </is>
      </c>
      <c r="K140" s="10" t="inlineStr">
        <is>
          <t>habitat_size_guild</t>
        </is>
      </c>
      <c r="L14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0" s="10" t="n">
        <v>647036.927</v>
      </c>
    </row>
    <row r="141" ht="51" customHeight="1">
      <c r="A141" s="10" t="inlineStr">
        <is>
          <t>LME_036</t>
        </is>
      </c>
      <c r="B141" s="11" t="inlineStr">
        <is>
          <t>36_2_South_China_Sea_SCS-2007_Northern_South_China_Sea_(1970s)</t>
        </is>
      </c>
      <c r="C141" s="11" t="inlineStr">
        <is>
          <t>Sardinella fimbriata</t>
        </is>
      </c>
      <c r="D141" s="10" t="inlineStr">
        <is>
          <t>Fringescale sardinella</t>
        </is>
      </c>
      <c r="E141" s="10" t="inlineStr">
        <is>
          <t>Small pelagics (&lt;30 cm)</t>
        </is>
      </c>
      <c r="F141" s="10" t="inlineStr">
        <is>
          <t>Herring-likes</t>
        </is>
      </c>
      <c r="G141" s="11" t="inlineStr">
        <is>
          <t>Pelagic fish (≤ 30 cm)</t>
        </is>
      </c>
      <c r="H141" s="12" t="n">
        <v>1</v>
      </c>
      <c r="I141" s="10" t="inlineStr">
        <is>
          <t>single</t>
        </is>
      </c>
      <c r="J141" s="14" t="inlineStr">
        <is>
          <t>medium</t>
        </is>
      </c>
      <c r="K141" s="10" t="inlineStr">
        <is>
          <t>habitat_size_guild</t>
        </is>
      </c>
      <c r="L14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1" s="10" t="n">
        <v>639879.15</v>
      </c>
    </row>
    <row r="142" ht="36" customHeight="1">
      <c r="A142" s="10" t="inlineStr">
        <is>
          <t>LME_036</t>
        </is>
      </c>
      <c r="B142" s="11" t="inlineStr">
        <is>
          <t>36_2_South_China_Sea_SCS-2007_Northern_South_China_Sea_(1970s)</t>
        </is>
      </c>
      <c r="C142" s="11" t="inlineStr">
        <is>
          <t>Ruvettus pretiosus</t>
        </is>
      </c>
      <c r="D142" s="10" t="inlineStr">
        <is>
          <t>Oilfish</t>
        </is>
      </c>
      <c r="E142" s="10" t="inlineStr">
        <is>
          <t>Large benthopelagics (&gt;=90 cm)</t>
        </is>
      </c>
      <c r="F142" s="10" t="inlineStr">
        <is>
          <t>Perch-likes</t>
        </is>
      </c>
      <c r="G142" s="11" t="inlineStr">
        <is>
          <t>Unresolved</t>
        </is>
      </c>
      <c r="H142" s="12" t="n"/>
      <c r="I142" s="10" t="inlineStr"/>
      <c r="J142" s="16" t="inlineStr">
        <is>
          <t>unresolved</t>
        </is>
      </c>
      <c r="K142" s="10" t="inlineStr">
        <is>
          <t>none</t>
        </is>
      </c>
      <c r="L142" s="11" t="inlineStr">
        <is>
          <t>Northern continental-shelf model lacks a documented oceanic billfish or deep-pelagic compartment; assigning coastal juvenile/adult pelagic SPPR would be unsupported.</t>
        </is>
      </c>
      <c r="M142" s="10" t="n">
        <v>635369.554</v>
      </c>
    </row>
    <row r="143" ht="51" customHeight="1">
      <c r="A143" s="10" t="inlineStr">
        <is>
          <t>LME_036</t>
        </is>
      </c>
      <c r="B143" s="11" t="inlineStr">
        <is>
          <t>36_2_South_China_Sea_SCS-2007_Northern_South_China_Sea_(1970s)</t>
        </is>
      </c>
      <c r="C143" s="11" t="inlineStr">
        <is>
          <t>Lates calcarifer</t>
        </is>
      </c>
      <c r="D143" s="10" t="inlineStr">
        <is>
          <t>Barramundi</t>
        </is>
      </c>
      <c r="E143" s="10" t="inlineStr">
        <is>
          <t>Large demersals (&gt;=90 cm)</t>
        </is>
      </c>
      <c r="F143" s="10" t="inlineStr">
        <is>
          <t>Perch-likes</t>
        </is>
      </c>
      <c r="G143" s="11" t="inlineStr">
        <is>
          <t>Juvenile demersal fish (&gt; 30 cm)</t>
        </is>
      </c>
      <c r="H143" s="12" t="n">
        <v>0.2002781641168289</v>
      </c>
      <c r="I143" s="10" t="inlineStr">
        <is>
          <t>model_catch</t>
        </is>
      </c>
      <c r="J143" s="14" t="inlineStr">
        <is>
          <t>medium</t>
        </is>
      </c>
      <c r="K143" s="10" t="inlineStr">
        <is>
          <t>composite_split</t>
        </is>
      </c>
      <c r="L14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3" s="10" t="n">
        <v>632668.965</v>
      </c>
    </row>
    <row r="144" ht="51" customHeight="1">
      <c r="A144" s="10" t="inlineStr">
        <is>
          <t>LME_036</t>
        </is>
      </c>
      <c r="B144" s="11" t="inlineStr">
        <is>
          <t>36_2_South_China_Sea_SCS-2007_Northern_South_China_Sea_(1970s)</t>
        </is>
      </c>
      <c r="C144" s="11" t="inlineStr">
        <is>
          <t>Lates calcarifer</t>
        </is>
      </c>
      <c r="D144" s="10" t="inlineStr">
        <is>
          <t>Barramundi</t>
        </is>
      </c>
      <c r="E144" s="10" t="inlineStr">
        <is>
          <t>Large demersals (&gt;=90 cm)</t>
        </is>
      </c>
      <c r="F144" s="10" t="inlineStr">
        <is>
          <t>Perch-likes</t>
        </is>
      </c>
      <c r="G144" s="11" t="inlineStr">
        <is>
          <t>Adult demersal fish (&gt; 30 cm)</t>
        </is>
      </c>
      <c r="H144" s="12" t="n">
        <v>0.799721835883171</v>
      </c>
      <c r="I144" s="10" t="inlineStr">
        <is>
          <t>model_catch</t>
        </is>
      </c>
      <c r="J144" s="14" t="inlineStr">
        <is>
          <t>medium</t>
        </is>
      </c>
      <c r="K144" s="10" t="inlineStr">
        <is>
          <t>composite_split</t>
        </is>
      </c>
      <c r="L14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4" s="10" t="n">
        <v>632668.965</v>
      </c>
    </row>
    <row r="145" ht="51" customHeight="1">
      <c r="A145" s="10" t="inlineStr">
        <is>
          <t>LME_036</t>
        </is>
      </c>
      <c r="B145" s="11" t="inlineStr">
        <is>
          <t>36_2_South_China_Sea_SCS-2007_Northern_South_China_Sea_(1970s)</t>
        </is>
      </c>
      <c r="C145" s="11" t="inlineStr">
        <is>
          <t>Carangoides</t>
        </is>
      </c>
      <c r="D145" s="10" t="inlineStr">
        <is>
          <t>Trevallies</t>
        </is>
      </c>
      <c r="E145" s="10" t="inlineStr">
        <is>
          <t>Medium reef assoc. fish (30 - 89 cm)</t>
        </is>
      </c>
      <c r="F145" s="10" t="inlineStr">
        <is>
          <t>Perch-likes</t>
        </is>
      </c>
      <c r="G145" s="11" t="inlineStr">
        <is>
          <t>Juvenile large pelagic fish</t>
        </is>
      </c>
      <c r="H145" s="12" t="n">
        <v>0.2016806722689076</v>
      </c>
      <c r="I145" s="10" t="inlineStr">
        <is>
          <t>model_catch</t>
        </is>
      </c>
      <c r="J145" s="14" t="inlineStr">
        <is>
          <t>medium</t>
        </is>
      </c>
      <c r="K145" s="10" t="inlineStr">
        <is>
          <t>composite_split</t>
        </is>
      </c>
      <c r="L1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5" s="10" t="n">
        <v>616681.8</v>
      </c>
    </row>
    <row r="146" ht="51" customHeight="1">
      <c r="A146" s="10" t="inlineStr">
        <is>
          <t>LME_036</t>
        </is>
      </c>
      <c r="B146" s="11" t="inlineStr">
        <is>
          <t>36_2_South_China_Sea_SCS-2007_Northern_South_China_Sea_(1970s)</t>
        </is>
      </c>
      <c r="C146" s="11" t="inlineStr">
        <is>
          <t>Carangoides</t>
        </is>
      </c>
      <c r="D146" s="10" t="inlineStr">
        <is>
          <t>Trevallies</t>
        </is>
      </c>
      <c r="E146" s="10" t="inlineStr">
        <is>
          <t>Medium reef assoc. fish (30 - 89 cm)</t>
        </is>
      </c>
      <c r="F146" s="10" t="inlineStr">
        <is>
          <t>Perch-likes</t>
        </is>
      </c>
      <c r="G146" s="11" t="inlineStr">
        <is>
          <t>Pelagic fish (&gt; 30 cm)</t>
        </is>
      </c>
      <c r="H146" s="12" t="n">
        <v>0.7983193277310925</v>
      </c>
      <c r="I146" s="10" t="inlineStr">
        <is>
          <t>model_catch</t>
        </is>
      </c>
      <c r="J146" s="14" t="inlineStr">
        <is>
          <t>medium</t>
        </is>
      </c>
      <c r="K146" s="10" t="inlineStr">
        <is>
          <t>composite_split</t>
        </is>
      </c>
      <c r="L1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6" s="10" t="n">
        <v>616681.8</v>
      </c>
    </row>
    <row r="147" ht="36" customHeight="1">
      <c r="A147" s="10" t="inlineStr">
        <is>
          <t>LME_036</t>
        </is>
      </c>
      <c r="B147" s="11" t="inlineStr">
        <is>
          <t>36_2_South_China_Sea_SCS-2007_Northern_South_China_Sea_(1970s)</t>
        </is>
      </c>
      <c r="C147" s="11" t="inlineStr">
        <is>
          <t>Scomberomorus niphonius</t>
        </is>
      </c>
      <c r="D147" s="10" t="inlineStr">
        <is>
          <t>Japanese Spanish mackerel</t>
        </is>
      </c>
      <c r="E147" s="10" t="inlineStr">
        <is>
          <t>Large pelagics (&gt;=90 cm)</t>
        </is>
      </c>
      <c r="F147" s="10" t="inlineStr">
        <is>
          <t>Perch-likes</t>
        </is>
      </c>
      <c r="G147" s="11" t="inlineStr">
        <is>
          <t>Juvenile large pelagic fish</t>
        </is>
      </c>
      <c r="H147" s="12" t="n">
        <v>0.2016806722689076</v>
      </c>
      <c r="I147" s="10" t="inlineStr">
        <is>
          <t>model_catch</t>
        </is>
      </c>
      <c r="J147" s="14" t="inlineStr">
        <is>
          <t>medium</t>
        </is>
      </c>
      <c r="K147" s="10" t="inlineStr">
        <is>
          <t>composite_split</t>
        </is>
      </c>
      <c r="L147" s="11" t="inlineStr">
        <is>
          <t>Analyst habitat/size inference to source &gt;30 cm pelagic fish (Appendix 6.1.24 p.339); no age data, so split juvenile/adult using the period model catch.</t>
        </is>
      </c>
      <c r="M147" s="10" t="n">
        <v>615678.066</v>
      </c>
    </row>
    <row r="148" ht="36" customHeight="1">
      <c r="A148" s="10" t="inlineStr">
        <is>
          <t>LME_036</t>
        </is>
      </c>
      <c r="B148" s="11" t="inlineStr">
        <is>
          <t>36_2_South_China_Sea_SCS-2007_Northern_South_China_Sea_(1970s)</t>
        </is>
      </c>
      <c r="C148" s="11" t="inlineStr">
        <is>
          <t>Scomberomorus niphonius</t>
        </is>
      </c>
      <c r="D148" s="10" t="inlineStr">
        <is>
          <t>Japanese Spanish mackerel</t>
        </is>
      </c>
      <c r="E148" s="10" t="inlineStr">
        <is>
          <t>Large pelagics (&gt;=90 cm)</t>
        </is>
      </c>
      <c r="F148" s="10" t="inlineStr">
        <is>
          <t>Perch-likes</t>
        </is>
      </c>
      <c r="G148" s="11" t="inlineStr">
        <is>
          <t>Pelagic fish (&gt; 30 cm)</t>
        </is>
      </c>
      <c r="H148" s="12" t="n">
        <v>0.7983193277310925</v>
      </c>
      <c r="I148" s="10" t="inlineStr">
        <is>
          <t>model_catch</t>
        </is>
      </c>
      <c r="J148" s="14" t="inlineStr">
        <is>
          <t>medium</t>
        </is>
      </c>
      <c r="K148" s="10" t="inlineStr">
        <is>
          <t>composite_split</t>
        </is>
      </c>
      <c r="L148" s="11" t="inlineStr">
        <is>
          <t>Analyst habitat/size inference to source &gt;30 cm pelagic fish (Appendix 6.1.24 p.339); no age data, so split juvenile/adult using the period model catch.</t>
        </is>
      </c>
      <c r="M148" s="10" t="n">
        <v>615678.066</v>
      </c>
    </row>
    <row r="149" ht="51" customHeight="1">
      <c r="A149" s="10" t="inlineStr">
        <is>
          <t>LME_036</t>
        </is>
      </c>
      <c r="B149" s="11" t="inlineStr">
        <is>
          <t>36_2_South_China_Sea_SCS-2007_Northern_South_China_Sea_(1970s)</t>
        </is>
      </c>
      <c r="C149" s="11" t="inlineStr">
        <is>
          <t>Megalaspis cordyla</t>
        </is>
      </c>
      <c r="D149" s="10" t="inlineStr">
        <is>
          <t>Torpedo scad</t>
        </is>
      </c>
      <c r="E149" s="10" t="inlineStr">
        <is>
          <t>Medium pelagics (30 - 89 cm)</t>
        </is>
      </c>
      <c r="F149" s="10" t="inlineStr">
        <is>
          <t>Perch-likes</t>
        </is>
      </c>
      <c r="G149" s="11" t="inlineStr">
        <is>
          <t>Juvenile large pelagic fish</t>
        </is>
      </c>
      <c r="H149" s="12" t="n">
        <v>0.2016806722689076</v>
      </c>
      <c r="I149" s="10" t="inlineStr">
        <is>
          <t>model_catch</t>
        </is>
      </c>
      <c r="J149" s="14" t="inlineStr">
        <is>
          <t>medium</t>
        </is>
      </c>
      <c r="K149" s="10" t="inlineStr">
        <is>
          <t>composite_split</t>
        </is>
      </c>
      <c r="L1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9" s="10" t="n">
        <v>612069.759</v>
      </c>
    </row>
    <row r="150" ht="51" customHeight="1">
      <c r="A150" s="10" t="inlineStr">
        <is>
          <t>LME_036</t>
        </is>
      </c>
      <c r="B150" s="11" t="inlineStr">
        <is>
          <t>36_2_South_China_Sea_SCS-2007_Northern_South_China_Sea_(1970s)</t>
        </is>
      </c>
      <c r="C150" s="11" t="inlineStr">
        <is>
          <t>Megalaspis cordyla</t>
        </is>
      </c>
      <c r="D150" s="10" t="inlineStr">
        <is>
          <t>Torpedo scad</t>
        </is>
      </c>
      <c r="E150" s="10" t="inlineStr">
        <is>
          <t>Medium pelagics (30 - 89 cm)</t>
        </is>
      </c>
      <c r="F150" s="10" t="inlineStr">
        <is>
          <t>Perch-likes</t>
        </is>
      </c>
      <c r="G150" s="11" t="inlineStr">
        <is>
          <t>Pelagic fish (&gt; 30 cm)</t>
        </is>
      </c>
      <c r="H150" s="12" t="n">
        <v>0.7983193277310925</v>
      </c>
      <c r="I150" s="10" t="inlineStr">
        <is>
          <t>model_catch</t>
        </is>
      </c>
      <c r="J150" s="14" t="inlineStr">
        <is>
          <t>medium</t>
        </is>
      </c>
      <c r="K150" s="10" t="inlineStr">
        <is>
          <t>composite_split</t>
        </is>
      </c>
      <c r="L1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0" s="10" t="n">
        <v>612069.759</v>
      </c>
    </row>
    <row r="151" ht="36" customHeight="1">
      <c r="A151" s="10" t="inlineStr">
        <is>
          <t>LME_036</t>
        </is>
      </c>
      <c r="B151" s="11" t="inlineStr">
        <is>
          <t>36_2_South_China_Sea_SCS-2007_Northern_South_China_Sea_(1970s)</t>
        </is>
      </c>
      <c r="C151" s="11" t="inlineStr">
        <is>
          <t>Scomberomorus guttatus</t>
        </is>
      </c>
      <c r="D151" s="10" t="inlineStr">
        <is>
          <t>Indo-Pacific king mackerel</t>
        </is>
      </c>
      <c r="E151" s="10" t="inlineStr">
        <is>
          <t>Medium pelagics (30 - 89 cm)</t>
        </is>
      </c>
      <c r="F151" s="10" t="inlineStr">
        <is>
          <t>Perch-likes</t>
        </is>
      </c>
      <c r="G151" s="11" t="inlineStr">
        <is>
          <t>Juvenile large pelagic fish</t>
        </is>
      </c>
      <c r="H151" s="12" t="n">
        <v>0.2016806722689076</v>
      </c>
      <c r="I151" s="10" t="inlineStr">
        <is>
          <t>model_catch</t>
        </is>
      </c>
      <c r="J151" s="14" t="inlineStr">
        <is>
          <t>medium</t>
        </is>
      </c>
      <c r="K151" s="10" t="inlineStr">
        <is>
          <t>composite_split</t>
        </is>
      </c>
      <c r="L151" s="11" t="inlineStr">
        <is>
          <t>Analyst habitat/size inference to source &gt;30 cm pelagic fish (Appendix 6.1.24 p.339); no age data, so split juvenile/adult using the period model catch.</t>
        </is>
      </c>
      <c r="M151" s="10" t="n">
        <v>588900.767</v>
      </c>
    </row>
    <row r="152" ht="36" customHeight="1">
      <c r="A152" s="10" t="inlineStr">
        <is>
          <t>LME_036</t>
        </is>
      </c>
      <c r="B152" s="11" t="inlineStr">
        <is>
          <t>36_2_South_China_Sea_SCS-2007_Northern_South_China_Sea_(1970s)</t>
        </is>
      </c>
      <c r="C152" s="11" t="inlineStr">
        <is>
          <t>Scomberomorus guttatus</t>
        </is>
      </c>
      <c r="D152" s="10" t="inlineStr">
        <is>
          <t>Indo-Pacific king mackerel</t>
        </is>
      </c>
      <c r="E152" s="10" t="inlineStr">
        <is>
          <t>Medium pelagics (30 - 89 cm)</t>
        </is>
      </c>
      <c r="F152" s="10" t="inlineStr">
        <is>
          <t>Perch-likes</t>
        </is>
      </c>
      <c r="G152" s="11" t="inlineStr">
        <is>
          <t>Pelagic fish (&gt; 30 cm)</t>
        </is>
      </c>
      <c r="H152" s="12" t="n">
        <v>0.7983193277310925</v>
      </c>
      <c r="I152" s="10" t="inlineStr">
        <is>
          <t>model_catch</t>
        </is>
      </c>
      <c r="J152" s="14" t="inlineStr">
        <is>
          <t>medium</t>
        </is>
      </c>
      <c r="K152" s="10" t="inlineStr">
        <is>
          <t>composite_split</t>
        </is>
      </c>
      <c r="L152" s="11" t="inlineStr">
        <is>
          <t>Analyst habitat/size inference to source &gt;30 cm pelagic fish (Appendix 6.1.24 p.339); no age data, so split juvenile/adult using the period model catch.</t>
        </is>
      </c>
      <c r="M152" s="10" t="n">
        <v>588900.767</v>
      </c>
    </row>
    <row r="153" ht="51" customHeight="1">
      <c r="A153" s="10" t="inlineStr">
        <is>
          <t>LME_036</t>
        </is>
      </c>
      <c r="B153" s="11" t="inlineStr">
        <is>
          <t>36_2_South_China_Sea_SCS-2007_Northern_South_China_Sea_(1970s)</t>
        </is>
      </c>
      <c r="C153" s="11" t="inlineStr">
        <is>
          <t>Atrobucca nibe</t>
        </is>
      </c>
      <c r="D153" s="10" t="inlineStr">
        <is>
          <t>Blackmouth croaker</t>
        </is>
      </c>
      <c r="E153" s="10" t="inlineStr">
        <is>
          <t>Medium demersals (30 - 89 cm)</t>
        </is>
      </c>
      <c r="F153" s="10" t="inlineStr">
        <is>
          <t>Perch-likes</t>
        </is>
      </c>
      <c r="G153" s="11" t="inlineStr">
        <is>
          <t>Juvenile large croakers</t>
        </is>
      </c>
      <c r="H153" s="12" t="n">
        <v>0.2</v>
      </c>
      <c r="I153" s="10" t="inlineStr">
        <is>
          <t>model_catch</t>
        </is>
      </c>
      <c r="J153" s="13" t="inlineStr">
        <is>
          <t>low</t>
        </is>
      </c>
      <c r="K153" s="10" t="inlineStr">
        <is>
          <t>composite_split</t>
        </is>
      </c>
      <c r="L15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3" s="10" t="n">
        <v>588586.829</v>
      </c>
    </row>
    <row r="154" ht="51" customHeight="1">
      <c r="A154" s="10" t="inlineStr">
        <is>
          <t>LME_036</t>
        </is>
      </c>
      <c r="B154" s="11" t="inlineStr">
        <is>
          <t>36_2_South_China_Sea_SCS-2007_Northern_South_China_Sea_(1970s)</t>
        </is>
      </c>
      <c r="C154" s="11" t="inlineStr">
        <is>
          <t>Atrobucca nibe</t>
        </is>
      </c>
      <c r="D154" s="10" t="inlineStr">
        <is>
          <t>Blackmouth croaker</t>
        </is>
      </c>
      <c r="E154" s="10" t="inlineStr">
        <is>
          <t>Medium demersals (30 - 89 cm)</t>
        </is>
      </c>
      <c r="F154" s="10" t="inlineStr">
        <is>
          <t>Perch-likes</t>
        </is>
      </c>
      <c r="G154" s="11" t="inlineStr">
        <is>
          <t>Croakers (&gt; 30 cm)</t>
        </is>
      </c>
      <c r="H154" s="12" t="n">
        <v>0.8</v>
      </c>
      <c r="I154" s="10" t="inlineStr">
        <is>
          <t>model_catch</t>
        </is>
      </c>
      <c r="J154" s="13" t="inlineStr">
        <is>
          <t>low</t>
        </is>
      </c>
      <c r="K154" s="10" t="inlineStr">
        <is>
          <t>composite_split</t>
        </is>
      </c>
      <c r="L15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4" s="10" t="n">
        <v>588586.829</v>
      </c>
    </row>
    <row r="155" ht="36" customHeight="1">
      <c r="A155" s="10" t="inlineStr">
        <is>
          <t>LME_036</t>
        </is>
      </c>
      <c r="B155" s="11" t="inlineStr">
        <is>
          <t>36_2_South_China_Sea_SCS-2007_Northern_South_China_Sea_(1970s)</t>
        </is>
      </c>
      <c r="C155" s="11" t="inlineStr">
        <is>
          <t>Trichiuridae</t>
        </is>
      </c>
      <c r="D155" s="10" t="inlineStr">
        <is>
          <t>Cutlassfishes</t>
        </is>
      </c>
      <c r="E155" s="10" t="inlineStr">
        <is>
          <t>Large benthopelagics (&gt;=90 cm)</t>
        </is>
      </c>
      <c r="F155" s="10" t="inlineStr">
        <is>
          <t>Perch-likes</t>
        </is>
      </c>
      <c r="G155" s="11" t="inlineStr">
        <is>
          <t>Juvenile Hairtail (trichiurids)</t>
        </is>
      </c>
      <c r="H155" s="12" t="n">
        <v>0.2</v>
      </c>
      <c r="I155" s="10" t="inlineStr">
        <is>
          <t>model_catch</t>
        </is>
      </c>
      <c r="J155" s="14" t="inlineStr">
        <is>
          <t>medium</t>
        </is>
      </c>
      <c r="K155" s="10" t="inlineStr">
        <is>
          <t>composite_split</t>
        </is>
      </c>
      <c r="L155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5" s="10" t="n">
        <v>577893.819</v>
      </c>
    </row>
    <row r="156" ht="36" customHeight="1">
      <c r="A156" s="10" t="inlineStr">
        <is>
          <t>LME_036</t>
        </is>
      </c>
      <c r="B156" s="11" t="inlineStr">
        <is>
          <t>36_2_South_China_Sea_SCS-2007_Northern_South_China_Sea_(1970s)</t>
        </is>
      </c>
      <c r="C156" s="11" t="inlineStr">
        <is>
          <t>Trichiuridae</t>
        </is>
      </c>
      <c r="D156" s="10" t="inlineStr">
        <is>
          <t>Cutlassfishes</t>
        </is>
      </c>
      <c r="E156" s="10" t="inlineStr">
        <is>
          <t>Large benthopelagics (&gt;=90 cm)</t>
        </is>
      </c>
      <c r="F156" s="10" t="inlineStr">
        <is>
          <t>Perch-likes</t>
        </is>
      </c>
      <c r="G156" s="11" t="inlineStr">
        <is>
          <t>Adult hairtail (trichiurids)</t>
        </is>
      </c>
      <c r="H156" s="12" t="n">
        <v>0.8</v>
      </c>
      <c r="I156" s="10" t="inlineStr">
        <is>
          <t>model_catch</t>
        </is>
      </c>
      <c r="J156" s="14" t="inlineStr">
        <is>
          <t>medium</t>
        </is>
      </c>
      <c r="K156" s="10" t="inlineStr">
        <is>
          <t>composite_split</t>
        </is>
      </c>
      <c r="L156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6" s="10" t="n">
        <v>577893.819</v>
      </c>
    </row>
    <row r="157" ht="36" customHeight="1">
      <c r="A157" s="10" t="inlineStr">
        <is>
          <t>LME_036</t>
        </is>
      </c>
      <c r="B157" s="11" t="inlineStr">
        <is>
          <t>36_2_South_China_Sea_SCS-2007_Northern_South_China_Sea_(1970s)</t>
        </is>
      </c>
      <c r="C157" s="11" t="inlineStr">
        <is>
          <t>Thunnus tonggol</t>
        </is>
      </c>
      <c r="D157" s="10" t="inlineStr">
        <is>
          <t>Longtail tuna</t>
        </is>
      </c>
      <c r="E157" s="10" t="inlineStr">
        <is>
          <t>Large pelagics (&gt;=90 cm)</t>
        </is>
      </c>
      <c r="F157" s="10" t="inlineStr">
        <is>
          <t>Tuna &amp; billfishes</t>
        </is>
      </c>
      <c r="G157" s="11" t="inlineStr">
        <is>
          <t>Juvenile large pelagic fish</t>
        </is>
      </c>
      <c r="H157" s="12" t="n">
        <v>0.2016806722689076</v>
      </c>
      <c r="I157" s="10" t="inlineStr">
        <is>
          <t>model_catch</t>
        </is>
      </c>
      <c r="J157" s="14" t="inlineStr">
        <is>
          <t>medium</t>
        </is>
      </c>
      <c r="K157" s="10" t="inlineStr">
        <is>
          <t>composite_split</t>
        </is>
      </c>
      <c r="L157" s="11" t="inlineStr">
        <is>
          <t>Analyst habitat/size inference to source &gt;30 cm pelagic fish (Appendix 6.1.24 p.339); no age data, so split juvenile/adult using the period model catch.</t>
        </is>
      </c>
      <c r="M157" s="10" t="n">
        <v>559808.0919999999</v>
      </c>
    </row>
    <row r="158" ht="36" customHeight="1">
      <c r="A158" s="10" t="inlineStr">
        <is>
          <t>LME_036</t>
        </is>
      </c>
      <c r="B158" s="11" t="inlineStr">
        <is>
          <t>36_2_South_China_Sea_SCS-2007_Northern_South_China_Sea_(1970s)</t>
        </is>
      </c>
      <c r="C158" s="11" t="inlineStr">
        <is>
          <t>Thunnus tonggol</t>
        </is>
      </c>
      <c r="D158" s="10" t="inlineStr">
        <is>
          <t>Longtail tuna</t>
        </is>
      </c>
      <c r="E158" s="10" t="inlineStr">
        <is>
          <t>Large pelagics (&gt;=90 cm)</t>
        </is>
      </c>
      <c r="F158" s="10" t="inlineStr">
        <is>
          <t>Tuna &amp; billfishes</t>
        </is>
      </c>
      <c r="G158" s="11" t="inlineStr">
        <is>
          <t>Pelagic fish (&gt; 30 cm)</t>
        </is>
      </c>
      <c r="H158" s="12" t="n">
        <v>0.7983193277310925</v>
      </c>
      <c r="I158" s="10" t="inlineStr">
        <is>
          <t>model_catch</t>
        </is>
      </c>
      <c r="J158" s="14" t="inlineStr">
        <is>
          <t>medium</t>
        </is>
      </c>
      <c r="K158" s="10" t="inlineStr">
        <is>
          <t>composite_split</t>
        </is>
      </c>
      <c r="L158" s="11" t="inlineStr">
        <is>
          <t>Analyst habitat/size inference to source &gt;30 cm pelagic fish (Appendix 6.1.24 p.339); no age data, so split juvenile/adult using the period model catch.</t>
        </is>
      </c>
      <c r="M158" s="10" t="n">
        <v>559808.0919999999</v>
      </c>
    </row>
    <row r="159" ht="36" customHeight="1">
      <c r="A159" s="10" t="inlineStr">
        <is>
          <t>LME_036</t>
        </is>
      </c>
      <c r="B159" s="11" t="inlineStr">
        <is>
          <t>36_2_South_China_Sea_SCS-2007_Northern_South_China_Sea_(1970s)</t>
        </is>
      </c>
      <c r="C159" s="11" t="inlineStr">
        <is>
          <t>Penaeus indicus</t>
        </is>
      </c>
      <c r="D159" s="10" t="inlineStr">
        <is>
          <t>Indian white prawn</t>
        </is>
      </c>
      <c r="E159" s="10" t="inlineStr">
        <is>
          <t>Shrimps</t>
        </is>
      </c>
      <c r="F159" s="10" t="inlineStr">
        <is>
          <t>Crustaceans</t>
        </is>
      </c>
      <c r="G159" s="11" t="inlineStr">
        <is>
          <t>Shrimps</t>
        </is>
      </c>
      <c r="H159" s="12" t="n">
        <v>1</v>
      </c>
      <c r="I159" s="10" t="inlineStr">
        <is>
          <t>single</t>
        </is>
      </c>
      <c r="J159" s="15" t="inlineStr">
        <is>
          <t>high</t>
        </is>
      </c>
      <c r="K159" s="10" t="inlineStr">
        <is>
          <t>taxonomic_containment</t>
        </is>
      </c>
      <c r="L159" s="11" t="inlineStr">
        <is>
          <t>Stomatopods belong to the residual benthic crustaceans; other shrimp taxa belong to Shrimps after the explicitly separated Acetes records (Appendix 6.1 pp.323-326).</t>
        </is>
      </c>
      <c r="M159" s="10" t="n">
        <v>555200.22</v>
      </c>
    </row>
    <row r="160" ht="36" customHeight="1">
      <c r="A160" s="10" t="inlineStr">
        <is>
          <t>LME_036</t>
        </is>
      </c>
      <c r="B160" s="11" t="inlineStr">
        <is>
          <t>36_2_South_China_Sea_SCS-2007_Northern_South_China_Sea_(1970s)</t>
        </is>
      </c>
      <c r="C160" s="11" t="inlineStr">
        <is>
          <t>Rhopilema esculentum</t>
        </is>
      </c>
      <c r="D160" s="10" t="inlineStr">
        <is>
          <t>Flame jellyfish</t>
        </is>
      </c>
      <c r="E160" s="10" t="inlineStr">
        <is>
          <t>Jellyfish</t>
        </is>
      </c>
      <c r="F160" s="10" t="inlineStr">
        <is>
          <t>Other fishes &amp; inverts</t>
        </is>
      </c>
      <c r="G160" s="11" t="inlineStr">
        <is>
          <t>Jellyfish</t>
        </is>
      </c>
      <c r="H160" s="12" t="n">
        <v>1</v>
      </c>
      <c r="I160" s="10" t="inlineStr">
        <is>
          <t>single</t>
        </is>
      </c>
      <c r="J160" s="15" t="inlineStr">
        <is>
          <t>high</t>
        </is>
      </c>
      <c r="K160" s="10" t="inlineStr">
        <is>
          <t>taxonomic_containment</t>
        </is>
      </c>
      <c r="L160" s="11" t="inlineStr">
        <is>
          <t>Appendix 6.1.4 p.324 defines jellyfish as cnidarian medusae.</t>
        </is>
      </c>
      <c r="M160" s="10" t="n">
        <v>548978.368</v>
      </c>
    </row>
    <row r="161" ht="51" customHeight="1">
      <c r="A161" s="10" t="inlineStr">
        <is>
          <t>LME_036</t>
        </is>
      </c>
      <c r="B161" s="11" t="inlineStr">
        <is>
          <t>36_2_South_China_Sea_SCS-2007_Northern_South_China_Sea_(1970s)</t>
        </is>
      </c>
      <c r="C161" s="11" t="inlineStr">
        <is>
          <t>Clupeiformes</t>
        </is>
      </c>
      <c r="D161" s="10" t="inlineStr">
        <is>
          <t>Herrings, shads, anchovies</t>
        </is>
      </c>
      <c r="E161" s="10" t="inlineStr">
        <is>
          <t>Small pelagics (&lt;30 cm)</t>
        </is>
      </c>
      <c r="F161" s="10" t="inlineStr">
        <is>
          <t>Other fishes &amp; inverts</t>
        </is>
      </c>
      <c r="G161" s="11" t="inlineStr">
        <is>
          <t>Pelagic fish (≤ 30 cm)</t>
        </is>
      </c>
      <c r="H161" s="12" t="n">
        <v>0.7541322314049587</v>
      </c>
      <c r="I161" s="10" t="inlineStr">
        <is>
          <t>model_catch</t>
        </is>
      </c>
      <c r="J161" s="13" t="inlineStr">
        <is>
          <t>low</t>
        </is>
      </c>
      <c r="K161" s="10" t="inlineStr">
        <is>
          <t>composite_split</t>
        </is>
      </c>
      <c r="L161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1" s="10" t="n">
        <v>539337.373</v>
      </c>
    </row>
    <row r="162" ht="51" customHeight="1">
      <c r="A162" s="10" t="inlineStr">
        <is>
          <t>LME_036</t>
        </is>
      </c>
      <c r="B162" s="11" t="inlineStr">
        <is>
          <t>36_2_South_China_Sea_SCS-2007_Northern_South_China_Sea_(1970s)</t>
        </is>
      </c>
      <c r="C162" s="11" t="inlineStr">
        <is>
          <t>Clupeiformes</t>
        </is>
      </c>
      <c r="D162" s="10" t="inlineStr">
        <is>
          <t>Herrings, shads, anchovies</t>
        </is>
      </c>
      <c r="E162" s="10" t="inlineStr">
        <is>
          <t>Small pelagics (&lt;30 cm)</t>
        </is>
      </c>
      <c r="F162" s="10" t="inlineStr">
        <is>
          <t>Other fishes &amp; inverts</t>
        </is>
      </c>
      <c r="G162" s="11" t="inlineStr">
        <is>
          <t>Juvenile large pelagic fish</t>
        </is>
      </c>
      <c r="H162" s="12" t="n">
        <v>0.04958677685950413</v>
      </c>
      <c r="I162" s="10" t="inlineStr">
        <is>
          <t>model_catch</t>
        </is>
      </c>
      <c r="J162" s="13" t="inlineStr">
        <is>
          <t>low</t>
        </is>
      </c>
      <c r="K162" s="10" t="inlineStr">
        <is>
          <t>composite_split</t>
        </is>
      </c>
      <c r="L162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2" s="10" t="n">
        <v>539337.373</v>
      </c>
    </row>
    <row r="163" ht="51" customHeight="1">
      <c r="A163" s="10" t="inlineStr">
        <is>
          <t>LME_036</t>
        </is>
      </c>
      <c r="B163" s="11" t="inlineStr">
        <is>
          <t>36_2_South_China_Sea_SCS-2007_Northern_South_China_Sea_(1970s)</t>
        </is>
      </c>
      <c r="C163" s="11" t="inlineStr">
        <is>
          <t>Clupeiformes</t>
        </is>
      </c>
      <c r="D163" s="10" t="inlineStr">
        <is>
          <t>Herrings, shads, anchovies</t>
        </is>
      </c>
      <c r="E163" s="10" t="inlineStr">
        <is>
          <t>Small pelagics (&lt;30 cm)</t>
        </is>
      </c>
      <c r="F163" s="10" t="inlineStr">
        <is>
          <t>Other fishes &amp; inverts</t>
        </is>
      </c>
      <c r="G163" s="11" t="inlineStr">
        <is>
          <t>Pelagic fish (&gt; 30 cm)</t>
        </is>
      </c>
      <c r="H163" s="12" t="n">
        <v>0.1962809917355372</v>
      </c>
      <c r="I163" s="10" t="inlineStr">
        <is>
          <t>model_catch</t>
        </is>
      </c>
      <c r="J163" s="13" t="inlineStr">
        <is>
          <t>low</t>
        </is>
      </c>
      <c r="K163" s="10" t="inlineStr">
        <is>
          <t>composite_split</t>
        </is>
      </c>
      <c r="L16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3" s="10" t="n">
        <v>539337.373</v>
      </c>
    </row>
    <row r="164" ht="51" customHeight="1">
      <c r="A164" s="10" t="inlineStr">
        <is>
          <t>LME_036</t>
        </is>
      </c>
      <c r="B164" s="11" t="inlineStr">
        <is>
          <t>36_2_South_China_Sea_SCS-2007_Northern_South_China_Sea_(1970s)</t>
        </is>
      </c>
      <c r="C164" s="11" t="inlineStr">
        <is>
          <t>Miichthys miiuy</t>
        </is>
      </c>
      <c r="D164" s="10" t="inlineStr">
        <is>
          <t>Mi-iuy croaker</t>
        </is>
      </c>
      <c r="E164" s="10" t="inlineStr">
        <is>
          <t>Medium demersals (30 - 89 cm)</t>
        </is>
      </c>
      <c r="F164" s="10" t="inlineStr">
        <is>
          <t>Perch-likes</t>
        </is>
      </c>
      <c r="G164" s="11" t="inlineStr">
        <is>
          <t>Juvenile large croakers</t>
        </is>
      </c>
      <c r="H164" s="12" t="n">
        <v>0.2</v>
      </c>
      <c r="I164" s="10" t="inlineStr">
        <is>
          <t>model_catch</t>
        </is>
      </c>
      <c r="J164" s="13" t="inlineStr">
        <is>
          <t>low</t>
        </is>
      </c>
      <c r="K164" s="10" t="inlineStr">
        <is>
          <t>composite_split</t>
        </is>
      </c>
      <c r="L16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4" s="10" t="n">
        <v>538900.161</v>
      </c>
    </row>
    <row r="165" ht="51" customHeight="1">
      <c r="A165" s="10" t="inlineStr">
        <is>
          <t>LME_036</t>
        </is>
      </c>
      <c r="B165" s="11" t="inlineStr">
        <is>
          <t>36_2_South_China_Sea_SCS-2007_Northern_South_China_Sea_(1970s)</t>
        </is>
      </c>
      <c r="C165" s="11" t="inlineStr">
        <is>
          <t>Miichthys miiuy</t>
        </is>
      </c>
      <c r="D165" s="10" t="inlineStr">
        <is>
          <t>Mi-iuy croaker</t>
        </is>
      </c>
      <c r="E165" s="10" t="inlineStr">
        <is>
          <t>Medium demersals (30 - 89 cm)</t>
        </is>
      </c>
      <c r="F165" s="10" t="inlineStr">
        <is>
          <t>Perch-likes</t>
        </is>
      </c>
      <c r="G165" s="11" t="inlineStr">
        <is>
          <t>Croakers (&gt; 30 cm)</t>
        </is>
      </c>
      <c r="H165" s="12" t="n">
        <v>0.8</v>
      </c>
      <c r="I165" s="10" t="inlineStr">
        <is>
          <t>model_catch</t>
        </is>
      </c>
      <c r="J165" s="13" t="inlineStr">
        <is>
          <t>low</t>
        </is>
      </c>
      <c r="K165" s="10" t="inlineStr">
        <is>
          <t>composite_split</t>
        </is>
      </c>
      <c r="L16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5" s="10" t="n">
        <v>538900.161</v>
      </c>
    </row>
    <row r="166" ht="51" customHeight="1">
      <c r="A166" s="10" t="inlineStr">
        <is>
          <t>LME_036</t>
        </is>
      </c>
      <c r="B166" s="11" t="inlineStr">
        <is>
          <t>36_2_South_China_Sea_SCS-2007_Northern_South_China_Sea_(1970s)</t>
        </is>
      </c>
      <c r="C166" s="11" t="inlineStr">
        <is>
          <t>Platycephalidae</t>
        </is>
      </c>
      <c r="D166" s="10" t="inlineStr">
        <is>
          <t>Flatheads</t>
        </is>
      </c>
      <c r="E166" s="10" t="inlineStr">
        <is>
          <t>Medium demersals (30 - 89 cm)</t>
        </is>
      </c>
      <c r="F166" s="10" t="inlineStr">
        <is>
          <t>Scorpionfishes</t>
        </is>
      </c>
      <c r="G166" s="11" t="inlineStr">
        <is>
          <t>Juvenile demersal fish (&gt; 30 cm)</t>
        </is>
      </c>
      <c r="H166" s="12" t="n">
        <v>0.2002781641168289</v>
      </c>
      <c r="I166" s="10" t="inlineStr">
        <is>
          <t>model_catch</t>
        </is>
      </c>
      <c r="J166" s="14" t="inlineStr">
        <is>
          <t>medium</t>
        </is>
      </c>
      <c r="K166" s="10" t="inlineStr">
        <is>
          <t>composite_split</t>
        </is>
      </c>
      <c r="L16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6" s="10" t="n">
        <v>533637.836</v>
      </c>
    </row>
    <row r="167" ht="51" customHeight="1">
      <c r="A167" s="10" t="inlineStr">
        <is>
          <t>LME_036</t>
        </is>
      </c>
      <c r="B167" s="11" t="inlineStr">
        <is>
          <t>36_2_South_China_Sea_SCS-2007_Northern_South_China_Sea_(1970s)</t>
        </is>
      </c>
      <c r="C167" s="11" t="inlineStr">
        <is>
          <t>Platycephalidae</t>
        </is>
      </c>
      <c r="D167" s="10" t="inlineStr">
        <is>
          <t>Flatheads</t>
        </is>
      </c>
      <c r="E167" s="10" t="inlineStr">
        <is>
          <t>Medium demersals (30 - 89 cm)</t>
        </is>
      </c>
      <c r="F167" s="10" t="inlineStr">
        <is>
          <t>Scorpionfishes</t>
        </is>
      </c>
      <c r="G167" s="11" t="inlineStr">
        <is>
          <t>Adult demersal fish (&gt; 30 cm)</t>
        </is>
      </c>
      <c r="H167" s="12" t="n">
        <v>0.799721835883171</v>
      </c>
      <c r="I167" s="10" t="inlineStr">
        <is>
          <t>model_catch</t>
        </is>
      </c>
      <c r="J167" s="14" t="inlineStr">
        <is>
          <t>medium</t>
        </is>
      </c>
      <c r="K167" s="10" t="inlineStr">
        <is>
          <t>composite_split</t>
        </is>
      </c>
      <c r="L16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7" s="10" t="n">
        <v>533637.836</v>
      </c>
    </row>
    <row r="168" ht="36" customHeight="1">
      <c r="A168" s="10" t="inlineStr">
        <is>
          <t>LME_036</t>
        </is>
      </c>
      <c r="B168" s="11" t="inlineStr">
        <is>
          <t>36_2_South_China_Sea_SCS-2007_Northern_South_China_Sea_(1970s)</t>
        </is>
      </c>
      <c r="C168" s="11" t="inlineStr">
        <is>
          <t>Lutjanidae</t>
        </is>
      </c>
      <c r="D168" s="10" t="inlineStr">
        <is>
          <t>Snappers</t>
        </is>
      </c>
      <c r="E168" s="10" t="inlineStr">
        <is>
          <t>Medium reef assoc. fish (30 - 89 cm)</t>
        </is>
      </c>
      <c r="F168" s="10" t="inlineStr">
        <is>
          <t>Perch-likes</t>
        </is>
      </c>
      <c r="G168" s="11" t="inlineStr">
        <is>
          <t>Snappers</t>
        </is>
      </c>
      <c r="H168" s="12" t="n">
        <v>1</v>
      </c>
      <c r="I168" s="10" t="inlineStr">
        <is>
          <t>single</t>
        </is>
      </c>
      <c r="J168" s="15" t="inlineStr">
        <is>
          <t>high</t>
        </is>
      </c>
      <c r="K168" s="10" t="inlineStr">
        <is>
          <t>taxonomic_containment</t>
        </is>
      </c>
      <c r="L168" s="11" t="inlineStr">
        <is>
          <t>Appendix 6.1 pp.327-335 defines Snappers by this family or explicitly names Lutjanidae; dedicated source placement overrides the SAU class Medium reef assoc. fish (30 - 89 cm).</t>
        </is>
      </c>
      <c r="M168" s="10" t="n">
        <v>517939.381</v>
      </c>
    </row>
    <row r="169" ht="51" customHeight="1">
      <c r="A169" s="10" t="inlineStr">
        <is>
          <t>LME_036</t>
        </is>
      </c>
      <c r="B169" s="11" t="inlineStr">
        <is>
          <t>36_2_South_China_Sea_SCS-2007_Northern_South_China_Sea_(1970s)</t>
        </is>
      </c>
      <c r="C169" s="11" t="inlineStr">
        <is>
          <t>Chelidonichthys kumu</t>
        </is>
      </c>
      <c r="D169" s="10" t="inlineStr">
        <is>
          <t>Bluefin gurnard</t>
        </is>
      </c>
      <c r="E169" s="10" t="inlineStr">
        <is>
          <t>Medium demersals (30 - 89 cm)</t>
        </is>
      </c>
      <c r="F169" s="10" t="inlineStr">
        <is>
          <t>Scorpionfishes</t>
        </is>
      </c>
      <c r="G169" s="11" t="inlineStr">
        <is>
          <t>Juvenile demersal fish (&gt; 30 cm)</t>
        </is>
      </c>
      <c r="H169" s="12" t="n">
        <v>0.2002781641168289</v>
      </c>
      <c r="I169" s="10" t="inlineStr">
        <is>
          <t>model_catch</t>
        </is>
      </c>
      <c r="J169" s="14" t="inlineStr">
        <is>
          <t>medium</t>
        </is>
      </c>
      <c r="K169" s="10" t="inlineStr">
        <is>
          <t>composite_split</t>
        </is>
      </c>
      <c r="L1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9" s="10" t="n">
        <v>511849.701</v>
      </c>
    </row>
    <row r="170" ht="51" customHeight="1">
      <c r="A170" s="10" t="inlineStr">
        <is>
          <t>LME_036</t>
        </is>
      </c>
      <c r="B170" s="11" t="inlineStr">
        <is>
          <t>36_2_South_China_Sea_SCS-2007_Northern_South_China_Sea_(1970s)</t>
        </is>
      </c>
      <c r="C170" s="11" t="inlineStr">
        <is>
          <t>Chelidonichthys kumu</t>
        </is>
      </c>
      <c r="D170" s="10" t="inlineStr">
        <is>
          <t>Bluefin gurnard</t>
        </is>
      </c>
      <c r="E170" s="10" t="inlineStr">
        <is>
          <t>Medium demersals (30 - 89 cm)</t>
        </is>
      </c>
      <c r="F170" s="10" t="inlineStr">
        <is>
          <t>Scorpionfishes</t>
        </is>
      </c>
      <c r="G170" s="11" t="inlineStr">
        <is>
          <t>Adult demersal fish (&gt; 30 cm)</t>
        </is>
      </c>
      <c r="H170" s="12" t="n">
        <v>0.799721835883171</v>
      </c>
      <c r="I170" s="10" t="inlineStr">
        <is>
          <t>model_catch</t>
        </is>
      </c>
      <c r="J170" s="14" t="inlineStr">
        <is>
          <t>medium</t>
        </is>
      </c>
      <c r="K170" s="10" t="inlineStr">
        <is>
          <t>composite_split</t>
        </is>
      </c>
      <c r="L17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0" s="10" t="n">
        <v>511849.701</v>
      </c>
    </row>
    <row r="171" ht="51" customHeight="1">
      <c r="A171" s="10" t="inlineStr">
        <is>
          <t>LME_036</t>
        </is>
      </c>
      <c r="B171" s="11" t="inlineStr">
        <is>
          <t>36_2_South_China_Sea_SCS-2007_Northern_South_China_Sea_(1970s)</t>
        </is>
      </c>
      <c r="C171" s="11" t="inlineStr">
        <is>
          <t>Chirocentrus dorab</t>
        </is>
      </c>
      <c r="D171" s="10" t="inlineStr">
        <is>
          <t>Dorab wolf-herring</t>
        </is>
      </c>
      <c r="E171" s="10" t="inlineStr">
        <is>
          <t>Large benthopelagics (&gt;=90 cm)</t>
        </is>
      </c>
      <c r="F171" s="10" t="inlineStr">
        <is>
          <t>Herring-likes</t>
        </is>
      </c>
      <c r="G171" s="11" t="inlineStr">
        <is>
          <t>Benthopelagic fish</t>
        </is>
      </c>
      <c r="H171" s="12" t="n">
        <v>1</v>
      </c>
      <c r="I171" s="10" t="inlineStr">
        <is>
          <t>single</t>
        </is>
      </c>
      <c r="J171" s="13" t="inlineStr">
        <is>
          <t>low</t>
        </is>
      </c>
      <c r="K171" s="10" t="inlineStr">
        <is>
          <t>habitat_size_guild</t>
        </is>
      </c>
      <c r="L1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71" s="10" t="n">
        <v>505880.763</v>
      </c>
    </row>
    <row r="172" ht="36" customHeight="1">
      <c r="A172" s="10" t="inlineStr">
        <is>
          <t>LME_036</t>
        </is>
      </c>
      <c r="B172" s="11" t="inlineStr">
        <is>
          <t>36_2_South_China_Sea_SCS-2007_Northern_South_China_Sea_(1970s)</t>
        </is>
      </c>
      <c r="C172" s="11" t="inlineStr">
        <is>
          <t>Parapenaeopsis</t>
        </is>
      </c>
      <c r="D172" s="10" t="inlineStr">
        <is>
          <t>Leafy-legged shrimps</t>
        </is>
      </c>
      <c r="E172" s="10" t="inlineStr">
        <is>
          <t>Shrimps</t>
        </is>
      </c>
      <c r="F172" s="10" t="inlineStr">
        <is>
          <t>Crustaceans</t>
        </is>
      </c>
      <c r="G172" s="11" t="inlineStr">
        <is>
          <t>Shrimps</t>
        </is>
      </c>
      <c r="H172" s="12" t="n">
        <v>1</v>
      </c>
      <c r="I172" s="10" t="inlineStr">
        <is>
          <t>single</t>
        </is>
      </c>
      <c r="J172" s="15" t="inlineStr">
        <is>
          <t>high</t>
        </is>
      </c>
      <c r="K172" s="10" t="inlineStr">
        <is>
          <t>taxonomic_containment</t>
        </is>
      </c>
      <c r="L172" s="11" t="inlineStr">
        <is>
          <t>Stomatopods belong to the residual benthic crustaceans; other shrimp taxa belong to Shrimps after the explicitly separated Acetes records (Appendix 6.1 pp.323-326).</t>
        </is>
      </c>
      <c r="M172" s="10" t="n">
        <v>502329.698</v>
      </c>
    </row>
    <row r="173" ht="51" customHeight="1">
      <c r="A173" s="10" t="inlineStr">
        <is>
          <t>LME_036</t>
        </is>
      </c>
      <c r="B173" s="11" t="inlineStr">
        <is>
          <t>36_2_South_China_Sea_SCS-2007_Northern_South_China_Sea_(1970s)</t>
        </is>
      </c>
      <c r="C173" s="11" t="inlineStr">
        <is>
          <t>Lutjanus malabaricus</t>
        </is>
      </c>
      <c r="D173" s="10" t="inlineStr">
        <is>
          <t>Malabar blood snapper</t>
        </is>
      </c>
      <c r="E173" s="10" t="inlineStr">
        <is>
          <t>Medium reef assoc. fish (30 - 89 cm)</t>
        </is>
      </c>
      <c r="F173" s="10" t="inlineStr">
        <is>
          <t>Perch-likes</t>
        </is>
      </c>
      <c r="G173" s="11" t="inlineStr">
        <is>
          <t>Snappers</t>
        </is>
      </c>
      <c r="H173" s="12" t="n">
        <v>1</v>
      </c>
      <c r="I173" s="10" t="inlineStr">
        <is>
          <t>single</t>
        </is>
      </c>
      <c r="J173" s="15" t="inlineStr">
        <is>
          <t>high</t>
        </is>
      </c>
      <c r="K173" s="10" t="inlineStr">
        <is>
          <t>taxonomic_containment</t>
        </is>
      </c>
      <c r="L173" s="11" t="inlineStr">
        <is>
          <t>Appendix 6.1 pp.327-335 defines Snappers by this family or explicitly names Lutjanus malabaricus; dedicated source placement overrides the SAU class Medium reef assoc. fish (30 - 89 cm).</t>
        </is>
      </c>
      <c r="M173" s="10" t="n">
        <v>484204.484</v>
      </c>
    </row>
    <row r="174" ht="36" customHeight="1">
      <c r="A174" s="10" t="inlineStr">
        <is>
          <t>LME_036</t>
        </is>
      </c>
      <c r="B174" s="11" t="inlineStr">
        <is>
          <t>36_2_South_China_Sea_SCS-2007_Northern_South_China_Sea_(1970s)</t>
        </is>
      </c>
      <c r="C174" s="11" t="inlineStr">
        <is>
          <t>Charybdis</t>
        </is>
      </c>
      <c r="D174" s="10" t="inlineStr">
        <is>
          <t>Whirlpool swimming crabs</t>
        </is>
      </c>
      <c r="E174" s="10" t="inlineStr">
        <is>
          <t>Lobsters, crabs</t>
        </is>
      </c>
      <c r="F174" s="10" t="inlineStr">
        <is>
          <t>Crustaceans</t>
        </is>
      </c>
      <c r="G174" s="11" t="inlineStr">
        <is>
          <t>Crabs</t>
        </is>
      </c>
      <c r="H174" s="12" t="n">
        <v>1</v>
      </c>
      <c r="I174" s="10" t="inlineStr">
        <is>
          <t>single</t>
        </is>
      </c>
      <c r="J174" s="15" t="inlineStr">
        <is>
          <t>high</t>
        </is>
      </c>
      <c r="K174" s="10" t="inlineStr">
        <is>
          <t>taxonomic_containment</t>
        </is>
      </c>
      <c r="L174" s="11" t="inlineStr">
        <is>
          <t>Source benthic crustaceans exclude shrimps and crabs (Appendix 6.1.5 p.324); lobsters remain in that residual, while true crabs use Crabs.</t>
        </is>
      </c>
      <c r="M174" s="10" t="n">
        <v>478310.795</v>
      </c>
    </row>
    <row r="175" ht="36" customHeight="1">
      <c r="A175" s="10" t="inlineStr">
        <is>
          <t>LME_036</t>
        </is>
      </c>
      <c r="B175" s="11" t="inlineStr">
        <is>
          <t>36_2_South_China_Sea_SCS-2007_Northern_South_China_Sea_(1970s)</t>
        </is>
      </c>
      <c r="C175" s="11" t="inlineStr">
        <is>
          <t>Penaeus japonicus</t>
        </is>
      </c>
      <c r="D175" s="10" t="inlineStr">
        <is>
          <t>Kuruma prawn</t>
        </is>
      </c>
      <c r="E175" s="10" t="inlineStr">
        <is>
          <t>Shrimps</t>
        </is>
      </c>
      <c r="F175" s="10" t="inlineStr">
        <is>
          <t>Crustaceans</t>
        </is>
      </c>
      <c r="G175" s="11" t="inlineStr">
        <is>
          <t>Shrimps</t>
        </is>
      </c>
      <c r="H175" s="12" t="n">
        <v>1</v>
      </c>
      <c r="I175" s="10" t="inlineStr">
        <is>
          <t>single</t>
        </is>
      </c>
      <c r="J175" s="15" t="inlineStr">
        <is>
          <t>high</t>
        </is>
      </c>
      <c r="K175" s="10" t="inlineStr">
        <is>
          <t>taxonomic_containment</t>
        </is>
      </c>
      <c r="L175" s="11" t="inlineStr">
        <is>
          <t>Stomatopods belong to the residual benthic crustaceans; other shrimp taxa belong to Shrimps after the explicitly separated Acetes records (Appendix 6.1 pp.323-326).</t>
        </is>
      </c>
      <c r="M175" s="10" t="n">
        <v>464825.23</v>
      </c>
    </row>
    <row r="176" ht="51" customHeight="1">
      <c r="A176" s="10" t="inlineStr">
        <is>
          <t>LME_036</t>
        </is>
      </c>
      <c r="B176" s="11" t="inlineStr">
        <is>
          <t>36_2_South_China_Sea_SCS-2007_Northern_South_China_Sea_(1970s)</t>
        </is>
      </c>
      <c r="C176" s="11" t="inlineStr">
        <is>
          <t>Caesionidae</t>
        </is>
      </c>
      <c r="D176" s="10" t="inlineStr">
        <is>
          <t>Fusiliers</t>
        </is>
      </c>
      <c r="E176" s="10" t="inlineStr">
        <is>
          <t>Medium reef assoc. fish (30 - 89 cm)</t>
        </is>
      </c>
      <c r="F176" s="10" t="inlineStr">
        <is>
          <t>Perch-likes</t>
        </is>
      </c>
      <c r="G176" s="11" t="inlineStr">
        <is>
          <t>Juvenile demersal fish (&gt; 30 cm)</t>
        </is>
      </c>
      <c r="H176" s="12" t="n">
        <v>0.2002781641168289</v>
      </c>
      <c r="I176" s="10" t="inlineStr">
        <is>
          <t>model_catch</t>
        </is>
      </c>
      <c r="J176" s="14" t="inlineStr">
        <is>
          <t>medium</t>
        </is>
      </c>
      <c r="K176" s="10" t="inlineStr">
        <is>
          <t>composite_split</t>
        </is>
      </c>
      <c r="L1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6" s="10" t="n">
        <v>463221.115</v>
      </c>
    </row>
    <row r="177" ht="51" customHeight="1">
      <c r="A177" s="10" t="inlineStr">
        <is>
          <t>LME_036</t>
        </is>
      </c>
      <c r="B177" s="11" t="inlineStr">
        <is>
          <t>36_2_South_China_Sea_SCS-2007_Northern_South_China_Sea_(1970s)</t>
        </is>
      </c>
      <c r="C177" s="11" t="inlineStr">
        <is>
          <t>Caesionidae</t>
        </is>
      </c>
      <c r="D177" s="10" t="inlineStr">
        <is>
          <t>Fusiliers</t>
        </is>
      </c>
      <c r="E177" s="10" t="inlineStr">
        <is>
          <t>Medium reef assoc. fish (30 - 89 cm)</t>
        </is>
      </c>
      <c r="F177" s="10" t="inlineStr">
        <is>
          <t>Perch-likes</t>
        </is>
      </c>
      <c r="G177" s="11" t="inlineStr">
        <is>
          <t>Adult demersal fish (&gt; 30 cm)</t>
        </is>
      </c>
      <c r="H177" s="12" t="n">
        <v>0.799721835883171</v>
      </c>
      <c r="I177" s="10" t="inlineStr">
        <is>
          <t>model_catch</t>
        </is>
      </c>
      <c r="J177" s="14" t="inlineStr">
        <is>
          <t>medium</t>
        </is>
      </c>
      <c r="K177" s="10" t="inlineStr">
        <is>
          <t>composite_split</t>
        </is>
      </c>
      <c r="L1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7" s="10" t="n">
        <v>463221.115</v>
      </c>
    </row>
    <row r="178" ht="36" customHeight="1">
      <c r="A178" s="10" t="inlineStr">
        <is>
          <t>LME_036</t>
        </is>
      </c>
      <c r="B178" s="11" t="inlineStr">
        <is>
          <t>36_2_South_China_Sea_SCS-2007_Northern_South_China_Sea_(1970s)</t>
        </is>
      </c>
      <c r="C178" s="11" t="inlineStr">
        <is>
          <t>Trichiurus</t>
        </is>
      </c>
      <c r="D178" s="10" t="inlineStr">
        <is>
          <t>Hairtails</t>
        </is>
      </c>
      <c r="E178" s="10" t="inlineStr">
        <is>
          <t>Large benthopelagics (&gt;=90 cm)</t>
        </is>
      </c>
      <c r="F178" s="10" t="inlineStr">
        <is>
          <t>Perch-likes</t>
        </is>
      </c>
      <c r="G178" s="11" t="inlineStr">
        <is>
          <t>Juvenile Hairtail (trichiurids)</t>
        </is>
      </c>
      <c r="H178" s="12" t="n">
        <v>0.2</v>
      </c>
      <c r="I178" s="10" t="inlineStr">
        <is>
          <t>model_catch</t>
        </is>
      </c>
      <c r="J178" s="14" t="inlineStr">
        <is>
          <t>medium</t>
        </is>
      </c>
      <c r="K178" s="10" t="inlineStr">
        <is>
          <t>composite_split</t>
        </is>
      </c>
      <c r="L17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8" s="10" t="n">
        <v>448520.701</v>
      </c>
    </row>
    <row r="179" ht="36" customHeight="1">
      <c r="A179" s="10" t="inlineStr">
        <is>
          <t>LME_036</t>
        </is>
      </c>
      <c r="B179" s="11" t="inlineStr">
        <is>
          <t>36_2_South_China_Sea_SCS-2007_Northern_South_China_Sea_(1970s)</t>
        </is>
      </c>
      <c r="C179" s="11" t="inlineStr">
        <is>
          <t>Trichiurus</t>
        </is>
      </c>
      <c r="D179" s="10" t="inlineStr">
        <is>
          <t>Hairtails</t>
        </is>
      </c>
      <c r="E179" s="10" t="inlineStr">
        <is>
          <t>Large benthopelagics (&gt;=90 cm)</t>
        </is>
      </c>
      <c r="F179" s="10" t="inlineStr">
        <is>
          <t>Perch-likes</t>
        </is>
      </c>
      <c r="G179" s="11" t="inlineStr">
        <is>
          <t>Adult hairtail (trichiurids)</t>
        </is>
      </c>
      <c r="H179" s="12" t="n">
        <v>0.8</v>
      </c>
      <c r="I179" s="10" t="inlineStr">
        <is>
          <t>model_catch</t>
        </is>
      </c>
      <c r="J179" s="14" t="inlineStr">
        <is>
          <t>medium</t>
        </is>
      </c>
      <c r="K179" s="10" t="inlineStr">
        <is>
          <t>composite_split</t>
        </is>
      </c>
      <c r="L17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9" s="10" t="n">
        <v>448520.701</v>
      </c>
    </row>
    <row r="180" ht="36" customHeight="1">
      <c r="A180" s="10" t="inlineStr">
        <is>
          <t>LME_036</t>
        </is>
      </c>
      <c r="B180" s="11" t="inlineStr">
        <is>
          <t>36_2_South_China_Sea_SCS-2007_Northern_South_China_Sea_(1970s)</t>
        </is>
      </c>
      <c r="C180" s="11" t="inlineStr">
        <is>
          <t>Sphyraena</t>
        </is>
      </c>
      <c r="D180" s="10" t="inlineStr">
        <is>
          <t>Barracudas, sennets</t>
        </is>
      </c>
      <c r="E180" s="10" t="inlineStr">
        <is>
          <t>Large pelagics (&gt;=90 cm)</t>
        </is>
      </c>
      <c r="F180" s="10" t="inlineStr">
        <is>
          <t>Perch-likes</t>
        </is>
      </c>
      <c r="G180" s="11" t="inlineStr">
        <is>
          <t>Juvenile large pelagic fish</t>
        </is>
      </c>
      <c r="H180" s="12" t="n">
        <v>0.2016806722689076</v>
      </c>
      <c r="I180" s="10" t="inlineStr">
        <is>
          <t>model_catch</t>
        </is>
      </c>
      <c r="J180" s="14" t="inlineStr">
        <is>
          <t>medium</t>
        </is>
      </c>
      <c r="K180" s="10" t="inlineStr">
        <is>
          <t>composite_split</t>
        </is>
      </c>
      <c r="L180" s="11" t="inlineStr">
        <is>
          <t>Analyst habitat/size inference to source &gt;30 cm pelagic fish (Appendix 6.1.24 p.339); no age data, so split juvenile/adult using the period model catch.</t>
        </is>
      </c>
      <c r="M180" s="10" t="n">
        <v>444174.863</v>
      </c>
    </row>
    <row r="181" ht="36" customHeight="1">
      <c r="A181" s="10" t="inlineStr">
        <is>
          <t>LME_036</t>
        </is>
      </c>
      <c r="B181" s="11" t="inlineStr">
        <is>
          <t>36_2_South_China_Sea_SCS-2007_Northern_South_China_Sea_(1970s)</t>
        </is>
      </c>
      <c r="C181" s="11" t="inlineStr">
        <is>
          <t>Sphyraena</t>
        </is>
      </c>
      <c r="D181" s="10" t="inlineStr">
        <is>
          <t>Barracudas, sennets</t>
        </is>
      </c>
      <c r="E181" s="10" t="inlineStr">
        <is>
          <t>Large pelagics (&gt;=90 cm)</t>
        </is>
      </c>
      <c r="F181" s="10" t="inlineStr">
        <is>
          <t>Perch-likes</t>
        </is>
      </c>
      <c r="G181" s="11" t="inlineStr">
        <is>
          <t>Pelagic fish (&gt; 30 cm)</t>
        </is>
      </c>
      <c r="H181" s="12" t="n">
        <v>0.7983193277310925</v>
      </c>
      <c r="I181" s="10" t="inlineStr">
        <is>
          <t>model_catch</t>
        </is>
      </c>
      <c r="J181" s="14" t="inlineStr">
        <is>
          <t>medium</t>
        </is>
      </c>
      <c r="K181" s="10" t="inlineStr">
        <is>
          <t>composite_split</t>
        </is>
      </c>
      <c r="L181" s="11" t="inlineStr">
        <is>
          <t>Analyst habitat/size inference to source &gt;30 cm pelagic fish (Appendix 6.1.24 p.339); no age data, so split juvenile/adult using the period model catch.</t>
        </is>
      </c>
      <c r="M181" s="10" t="n">
        <v>444174.863</v>
      </c>
    </row>
    <row r="182" ht="36" customHeight="1">
      <c r="A182" s="10" t="inlineStr">
        <is>
          <t>LME_036</t>
        </is>
      </c>
      <c r="B182" s="11" t="inlineStr">
        <is>
          <t>36_2_South_China_Sea_SCS-2007_Northern_South_China_Sea_(1970s)</t>
        </is>
      </c>
      <c r="C182" s="11" t="inlineStr">
        <is>
          <t>Metapenaeus</t>
        </is>
      </c>
      <c r="D182" s="10" t="inlineStr">
        <is>
          <t>Indo-Pacific prawns</t>
        </is>
      </c>
      <c r="E182" s="10" t="inlineStr">
        <is>
          <t>Shrimps</t>
        </is>
      </c>
      <c r="F182" s="10" t="inlineStr">
        <is>
          <t>Crustaceans</t>
        </is>
      </c>
      <c r="G182" s="11" t="inlineStr">
        <is>
          <t>Shrimps</t>
        </is>
      </c>
      <c r="H182" s="12" t="n">
        <v>1</v>
      </c>
      <c r="I182" s="10" t="inlineStr">
        <is>
          <t>single</t>
        </is>
      </c>
      <c r="J182" s="15" t="inlineStr">
        <is>
          <t>high</t>
        </is>
      </c>
      <c r="K182" s="10" t="inlineStr">
        <is>
          <t>taxonomic_containment</t>
        </is>
      </c>
      <c r="L182" s="11" t="inlineStr">
        <is>
          <t>Stomatopods belong to the residual benthic crustaceans; other shrimp taxa belong to Shrimps after the explicitly separated Acetes records (Appendix 6.1 pp.323-326).</t>
        </is>
      </c>
      <c r="M182" s="10" t="n">
        <v>443125.392</v>
      </c>
    </row>
    <row r="183" ht="51" customHeight="1">
      <c r="A183" s="10" t="inlineStr">
        <is>
          <t>LME_036</t>
        </is>
      </c>
      <c r="B183" s="11" t="inlineStr">
        <is>
          <t>36_2_South_China_Sea_SCS-2007_Northern_South_China_Sea_(1970s)</t>
        </is>
      </c>
      <c r="C183" s="11" t="inlineStr">
        <is>
          <t>Pennahia</t>
        </is>
      </c>
      <c r="D183" s="10" t="inlineStr">
        <is>
          <t>Pennah croakers</t>
        </is>
      </c>
      <c r="E183" s="10" t="inlineStr">
        <is>
          <t>Medium benthopelagics (30 - 89 cm)</t>
        </is>
      </c>
      <c r="F183" s="10" t="inlineStr">
        <is>
          <t>Perch-likes</t>
        </is>
      </c>
      <c r="G183" s="11" t="inlineStr">
        <is>
          <t>Croakers (≤ 30 cm)</t>
        </is>
      </c>
      <c r="H183" s="12" t="n">
        <v>1</v>
      </c>
      <c r="I183" s="10" t="inlineStr">
        <is>
          <t>single</t>
        </is>
      </c>
      <c r="J183" s="15" t="inlineStr">
        <is>
          <t>high</t>
        </is>
      </c>
      <c r="K183" s="10" t="inlineStr">
        <is>
          <t>explicit_member</t>
        </is>
      </c>
      <c r="L183" s="11" t="inlineStr">
        <is>
          <t>Appendix 6.1 pp.327-335 defines Croakers (≤ 30 cm) by this family or explicitly names Pennahia; dedicated source placement overrides the SAU class Medium benthopelagics (30 - 89 cm).</t>
        </is>
      </c>
      <c r="M183" s="10" t="n">
        <v>433578.719</v>
      </c>
    </row>
    <row r="184" ht="51" customHeight="1">
      <c r="A184" s="10" t="inlineStr">
        <is>
          <t>LME_036</t>
        </is>
      </c>
      <c r="B184" s="11" t="inlineStr">
        <is>
          <t>36_2_South_China_Sea_SCS-2007_Northern_South_China_Sea_(1970s)</t>
        </is>
      </c>
      <c r="C184" s="11" t="inlineStr">
        <is>
          <t>Selar crumenophthalmus</t>
        </is>
      </c>
      <c r="D184" s="10" t="inlineStr">
        <is>
          <t>Bigeye scad</t>
        </is>
      </c>
      <c r="E184" s="10" t="inlineStr">
        <is>
          <t>Medium pelagics (30 - 89 cm)</t>
        </is>
      </c>
      <c r="F184" s="10" t="inlineStr">
        <is>
          <t>Perch-likes</t>
        </is>
      </c>
      <c r="G184" s="11" t="inlineStr">
        <is>
          <t>Juvenile large pelagic fish</t>
        </is>
      </c>
      <c r="H184" s="12" t="n">
        <v>0.2016806722689076</v>
      </c>
      <c r="I184" s="10" t="inlineStr">
        <is>
          <t>model_catch</t>
        </is>
      </c>
      <c r="J184" s="14" t="inlineStr">
        <is>
          <t>medium</t>
        </is>
      </c>
      <c r="K184" s="10" t="inlineStr">
        <is>
          <t>composite_split</t>
        </is>
      </c>
      <c r="L18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4" s="10" t="n">
        <v>421913.755</v>
      </c>
    </row>
    <row r="185" ht="51" customHeight="1">
      <c r="A185" s="10" t="inlineStr">
        <is>
          <t>LME_036</t>
        </is>
      </c>
      <c r="B185" s="11" t="inlineStr">
        <is>
          <t>36_2_South_China_Sea_SCS-2007_Northern_South_China_Sea_(1970s)</t>
        </is>
      </c>
      <c r="C185" s="11" t="inlineStr">
        <is>
          <t>Selar crumenophthalmus</t>
        </is>
      </c>
      <c r="D185" s="10" t="inlineStr">
        <is>
          <t>Bigeye scad</t>
        </is>
      </c>
      <c r="E185" s="10" t="inlineStr">
        <is>
          <t>Medium pelagics (30 - 89 cm)</t>
        </is>
      </c>
      <c r="F185" s="10" t="inlineStr">
        <is>
          <t>Perch-likes</t>
        </is>
      </c>
      <c r="G185" s="11" t="inlineStr">
        <is>
          <t>Pelagic fish (&gt; 30 cm)</t>
        </is>
      </c>
      <c r="H185" s="12" t="n">
        <v>0.7983193277310925</v>
      </c>
      <c r="I185" s="10" t="inlineStr">
        <is>
          <t>model_catch</t>
        </is>
      </c>
      <c r="J185" s="14" t="inlineStr">
        <is>
          <t>medium</t>
        </is>
      </c>
      <c r="K185" s="10" t="inlineStr">
        <is>
          <t>composite_split</t>
        </is>
      </c>
      <c r="L18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5" s="10" t="n">
        <v>421913.755</v>
      </c>
    </row>
    <row r="186" ht="36" customHeight="1">
      <c r="A186" s="10" t="inlineStr">
        <is>
          <t>LME_036</t>
        </is>
      </c>
      <c r="B186" s="11" t="inlineStr">
        <is>
          <t>36_2_South_China_Sea_SCS-2007_Northern_South_China_Sea_(1970s)</t>
        </is>
      </c>
      <c r="C186" s="11" t="inlineStr">
        <is>
          <t>Penaeus</t>
        </is>
      </c>
      <c r="D186" s="10" t="inlineStr">
        <is>
          <t>Tiger prawns</t>
        </is>
      </c>
      <c r="E186" s="10" t="inlineStr">
        <is>
          <t>Shrimps</t>
        </is>
      </c>
      <c r="F186" s="10" t="inlineStr">
        <is>
          <t>Crustaceans</t>
        </is>
      </c>
      <c r="G186" s="11" t="inlineStr">
        <is>
          <t>Shrimps</t>
        </is>
      </c>
      <c r="H186" s="12" t="n">
        <v>1</v>
      </c>
      <c r="I186" s="10" t="inlineStr">
        <is>
          <t>single</t>
        </is>
      </c>
      <c r="J186" s="15" t="inlineStr">
        <is>
          <t>high</t>
        </is>
      </c>
      <c r="K186" s="10" t="inlineStr">
        <is>
          <t>taxonomic_containment</t>
        </is>
      </c>
      <c r="L186" s="11" t="inlineStr">
        <is>
          <t>Stomatopods belong to the residual benthic crustaceans; other shrimp taxa belong to Shrimps after the explicitly separated Acetes records (Appendix 6.1 pp.323-326).</t>
        </is>
      </c>
      <c r="M186" s="10" t="n">
        <v>403968.297</v>
      </c>
    </row>
    <row r="187" ht="36" customHeight="1">
      <c r="A187" s="10" t="inlineStr">
        <is>
          <t>LME_036</t>
        </is>
      </c>
      <c r="B187" s="11" t="inlineStr">
        <is>
          <t>36_2_South_China_Sea_SCS-2007_Northern_South_China_Sea_(1970s)</t>
        </is>
      </c>
      <c r="C187" s="11" t="inlineStr">
        <is>
          <t>Himantura</t>
        </is>
      </c>
      <c r="D187" s="10" t="inlineStr">
        <is>
          <t>Whiprays</t>
        </is>
      </c>
      <c r="E187" s="10" t="inlineStr">
        <is>
          <t>Large rays (&gt;=90 cm)</t>
        </is>
      </c>
      <c r="F187" s="10" t="inlineStr">
        <is>
          <t>Sharks &amp; rays</t>
        </is>
      </c>
      <c r="G187" s="11" t="inlineStr">
        <is>
          <t>Demersal sharks and rays</t>
        </is>
      </c>
      <c r="H187" s="12" t="n">
        <v>1</v>
      </c>
      <c r="I187" s="10" t="inlineStr">
        <is>
          <t>single</t>
        </is>
      </c>
      <c r="J187" s="14" t="inlineStr">
        <is>
          <t>medium</t>
        </is>
      </c>
      <c r="K187" s="10" t="inlineStr">
        <is>
          <t>habitat_size_guild</t>
        </is>
      </c>
      <c r="L187" s="11" t="inlineStr">
        <is>
          <t>Demersal/benthic ray or houndshark lineage matches the demersal elasmobranch definition, Appendix 6.1.25 p.340; species placement is analyst inference.</t>
        </is>
      </c>
      <c r="M187" s="10" t="n">
        <v>379841.387</v>
      </c>
    </row>
    <row r="188" ht="51" customHeight="1">
      <c r="A188" s="10" t="inlineStr">
        <is>
          <t>LME_036</t>
        </is>
      </c>
      <c r="B188" s="11" t="inlineStr">
        <is>
          <t>36_2_South_China_Sea_SCS-2007_Northern_South_China_Sea_(1970s)</t>
        </is>
      </c>
      <c r="C188" s="11" t="inlineStr">
        <is>
          <t>Menidae</t>
        </is>
      </c>
      <c r="D188" s="10" t="inlineStr">
        <is>
          <t>Moonfishes</t>
        </is>
      </c>
      <c r="E188" s="10" t="inlineStr">
        <is>
          <t>Medium reef assoc. fish (30 - 89 cm)</t>
        </is>
      </c>
      <c r="F188" s="10" t="inlineStr">
        <is>
          <t>Perch-likes</t>
        </is>
      </c>
      <c r="G188" s="11" t="inlineStr">
        <is>
          <t>Benthopelagic fish</t>
        </is>
      </c>
      <c r="H188" s="12" t="n">
        <v>1</v>
      </c>
      <c r="I188" s="10" t="inlineStr">
        <is>
          <t>single</t>
        </is>
      </c>
      <c r="J188" s="13" t="inlineStr">
        <is>
          <t>low</t>
        </is>
      </c>
      <c r="K188" s="10" t="inlineStr">
        <is>
          <t>habitat_size_guild</t>
        </is>
      </c>
      <c r="L18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88" s="10" t="n">
        <v>371399.477</v>
      </c>
    </row>
    <row r="189" ht="51" customHeight="1">
      <c r="A189" s="10" t="inlineStr">
        <is>
          <t>LME_036</t>
        </is>
      </c>
      <c r="B189" s="11" t="inlineStr">
        <is>
          <t>36_2_South_China_Sea_SCS-2007_Northern_South_China_Sea_(1970s)</t>
        </is>
      </c>
      <c r="C189" s="11" t="inlineStr">
        <is>
          <t>Scolopsis</t>
        </is>
      </c>
      <c r="D189" s="10" t="inlineStr">
        <is>
          <t>Monocle breams</t>
        </is>
      </c>
      <c r="E189" s="10" t="inlineStr">
        <is>
          <t>Small reef assoc. fish (&lt;30 cm)</t>
        </is>
      </c>
      <c r="F189" s="10" t="inlineStr">
        <is>
          <t>Perch-likes</t>
        </is>
      </c>
      <c r="G189" s="11" t="inlineStr">
        <is>
          <t>Threadfin bream (nemipterids)</t>
        </is>
      </c>
      <c r="H189" s="12" t="n">
        <v>1</v>
      </c>
      <c r="I189" s="10" t="inlineStr">
        <is>
          <t>single</t>
        </is>
      </c>
      <c r="J189" s="15" t="inlineStr">
        <is>
          <t>high</t>
        </is>
      </c>
      <c r="K189" s="10" t="inlineStr">
        <is>
          <t>taxonomic_containment</t>
        </is>
      </c>
      <c r="L189" s="11" t="inlineStr">
        <is>
          <t>Appendix 6.1 pp.327-335 defines Threadfin bream (nemipterids) by this family or explicitly names Scolopsis; dedicated source placement overrides the SAU class Small reef assoc. fish (&lt;30 cm).</t>
        </is>
      </c>
      <c r="M189" s="10" t="n">
        <v>364074.701</v>
      </c>
    </row>
    <row r="190" ht="51" customHeight="1">
      <c r="A190" s="10" t="inlineStr">
        <is>
          <t>LME_036</t>
        </is>
      </c>
      <c r="B190" s="11" t="inlineStr">
        <is>
          <t>36_2_South_China_Sea_SCS-2007_Northern_South_China_Sea_(1970s)</t>
        </is>
      </c>
      <c r="C190" s="11" t="inlineStr">
        <is>
          <t>Siganus</t>
        </is>
      </c>
      <c r="D190" s="10" t="inlineStr">
        <is>
          <t>Spinefoots</t>
        </is>
      </c>
      <c r="E190" s="10" t="inlineStr">
        <is>
          <t>Medium reef assoc. fish (30 - 89 cm)</t>
        </is>
      </c>
      <c r="F190" s="10" t="inlineStr">
        <is>
          <t>Perch-likes</t>
        </is>
      </c>
      <c r="G190" s="11" t="inlineStr">
        <is>
          <t>Juvenile demersal fish (&gt; 30 cm)</t>
        </is>
      </c>
      <c r="H190" s="12" t="n">
        <v>0.2002781641168289</v>
      </c>
      <c r="I190" s="10" t="inlineStr">
        <is>
          <t>model_catch</t>
        </is>
      </c>
      <c r="J190" s="14" t="inlineStr">
        <is>
          <t>medium</t>
        </is>
      </c>
      <c r="K190" s="10" t="inlineStr">
        <is>
          <t>composite_split</t>
        </is>
      </c>
      <c r="L19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0" s="10" t="n">
        <v>362007.933</v>
      </c>
    </row>
    <row r="191" ht="51" customHeight="1">
      <c r="A191" s="10" t="inlineStr">
        <is>
          <t>LME_036</t>
        </is>
      </c>
      <c r="B191" s="11" t="inlineStr">
        <is>
          <t>36_2_South_China_Sea_SCS-2007_Northern_South_China_Sea_(1970s)</t>
        </is>
      </c>
      <c r="C191" s="11" t="inlineStr">
        <is>
          <t>Siganus</t>
        </is>
      </c>
      <c r="D191" s="10" t="inlineStr">
        <is>
          <t>Spinefoots</t>
        </is>
      </c>
      <c r="E191" s="10" t="inlineStr">
        <is>
          <t>Medium reef assoc. fish (30 - 89 cm)</t>
        </is>
      </c>
      <c r="F191" s="10" t="inlineStr">
        <is>
          <t>Perch-likes</t>
        </is>
      </c>
      <c r="G191" s="11" t="inlineStr">
        <is>
          <t>Adult demersal fish (&gt; 30 cm)</t>
        </is>
      </c>
      <c r="H191" s="12" t="n">
        <v>0.799721835883171</v>
      </c>
      <c r="I191" s="10" t="inlineStr">
        <is>
          <t>model_catch</t>
        </is>
      </c>
      <c r="J191" s="14" t="inlineStr">
        <is>
          <t>medium</t>
        </is>
      </c>
      <c r="K191" s="10" t="inlineStr">
        <is>
          <t>composite_split</t>
        </is>
      </c>
      <c r="L19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1" s="10" t="n">
        <v>362007.933</v>
      </c>
    </row>
    <row r="192" ht="51" customHeight="1">
      <c r="A192" s="10" t="inlineStr">
        <is>
          <t>LME_036</t>
        </is>
      </c>
      <c r="B192" s="11" t="inlineStr">
        <is>
          <t>36_2_South_China_Sea_SCS-2007_Northern_South_China_Sea_(1970s)</t>
        </is>
      </c>
      <c r="C192" s="11" t="inlineStr">
        <is>
          <t>Pagrus auratus</t>
        </is>
      </c>
      <c r="D192" s="10" t="inlineStr">
        <is>
          <t>Silver seabream</t>
        </is>
      </c>
      <c r="E192" s="10" t="inlineStr">
        <is>
          <t>Large demersals (&gt;=90 cm)</t>
        </is>
      </c>
      <c r="F192" s="10" t="inlineStr">
        <is>
          <t>Perch-likes</t>
        </is>
      </c>
      <c r="G192" s="11" t="inlineStr">
        <is>
          <t>Juvenile demersal fish (&gt; 30 cm)</t>
        </is>
      </c>
      <c r="H192" s="12" t="n">
        <v>0.2002781641168289</v>
      </c>
      <c r="I192" s="10" t="inlineStr">
        <is>
          <t>model_catch</t>
        </is>
      </c>
      <c r="J192" s="14" t="inlineStr">
        <is>
          <t>medium</t>
        </is>
      </c>
      <c r="K192" s="10" t="inlineStr">
        <is>
          <t>composite_split</t>
        </is>
      </c>
      <c r="L19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2" s="10" t="n">
        <v>354062.162</v>
      </c>
    </row>
    <row r="193" ht="51" customHeight="1">
      <c r="A193" s="10" t="inlineStr">
        <is>
          <t>LME_036</t>
        </is>
      </c>
      <c r="B193" s="11" t="inlineStr">
        <is>
          <t>36_2_South_China_Sea_SCS-2007_Northern_South_China_Sea_(1970s)</t>
        </is>
      </c>
      <c r="C193" s="11" t="inlineStr">
        <is>
          <t>Pagrus auratus</t>
        </is>
      </c>
      <c r="D193" s="10" t="inlineStr">
        <is>
          <t>Silver seabream</t>
        </is>
      </c>
      <c r="E193" s="10" t="inlineStr">
        <is>
          <t>Large demersals (&gt;=90 cm)</t>
        </is>
      </c>
      <c r="F193" s="10" t="inlineStr">
        <is>
          <t>Perch-likes</t>
        </is>
      </c>
      <c r="G193" s="11" t="inlineStr">
        <is>
          <t>Adult demersal fish (&gt; 30 cm)</t>
        </is>
      </c>
      <c r="H193" s="12" t="n">
        <v>0.799721835883171</v>
      </c>
      <c r="I193" s="10" t="inlineStr">
        <is>
          <t>model_catch</t>
        </is>
      </c>
      <c r="J193" s="14" t="inlineStr">
        <is>
          <t>medium</t>
        </is>
      </c>
      <c r="K193" s="10" t="inlineStr">
        <is>
          <t>composite_split</t>
        </is>
      </c>
      <c r="L1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3" s="10" t="n">
        <v>354062.162</v>
      </c>
    </row>
    <row r="194" ht="51" customHeight="1">
      <c r="A194" s="10" t="inlineStr">
        <is>
          <t>LME_036</t>
        </is>
      </c>
      <c r="B194" s="11" t="inlineStr">
        <is>
          <t>36_2_South_China_Sea_SCS-2007_Northern_South_China_Sea_(1970s)</t>
        </is>
      </c>
      <c r="C194" s="11" t="inlineStr">
        <is>
          <t>Nemipterus hexodon</t>
        </is>
      </c>
      <c r="D194" s="10" t="inlineStr">
        <is>
          <t>Ornate threadfin bream</t>
        </is>
      </c>
      <c r="E194" s="10" t="inlineStr">
        <is>
          <t>Small demersals (&lt;30 cm)</t>
        </is>
      </c>
      <c r="F194" s="10" t="inlineStr">
        <is>
          <t>Perch-likes</t>
        </is>
      </c>
      <c r="G194" s="11" t="inlineStr">
        <is>
          <t>Threadfin bream (nemipterids)</t>
        </is>
      </c>
      <c r="H194" s="12" t="n">
        <v>1</v>
      </c>
      <c r="I194" s="10" t="inlineStr">
        <is>
          <t>single</t>
        </is>
      </c>
      <c r="J194" s="15" t="inlineStr">
        <is>
          <t>high</t>
        </is>
      </c>
      <c r="K194" s="10" t="inlineStr">
        <is>
          <t>taxonomic_containment</t>
        </is>
      </c>
      <c r="L194" s="11" t="inlineStr">
        <is>
          <t>Appendix 6.1 pp.327-335 defines Threadfin bream (nemipterids) by this family or explicitly names Nemipterus hexodon; dedicated source placement overrides the SAU class Small demersals (&lt;30 cm).</t>
        </is>
      </c>
      <c r="M194" s="10" t="n">
        <v>353362.395</v>
      </c>
    </row>
    <row r="195" ht="36" customHeight="1">
      <c r="A195" s="10" t="inlineStr">
        <is>
          <t>LME_036</t>
        </is>
      </c>
      <c r="B195" s="11" t="inlineStr">
        <is>
          <t>36_2_South_China_Sea_SCS-2007_Northern_South_China_Sea_(1970s)</t>
        </is>
      </c>
      <c r="C195" s="11" t="inlineStr">
        <is>
          <t>Penaeus penicillatus</t>
        </is>
      </c>
      <c r="D195" s="10" t="inlineStr">
        <is>
          <t>Redtail prawn</t>
        </is>
      </c>
      <c r="E195" s="10" t="inlineStr">
        <is>
          <t>Shrimps</t>
        </is>
      </c>
      <c r="F195" s="10" t="inlineStr">
        <is>
          <t>Crustaceans</t>
        </is>
      </c>
      <c r="G195" s="11" t="inlineStr">
        <is>
          <t>Shrimps</t>
        </is>
      </c>
      <c r="H195" s="12" t="n">
        <v>1</v>
      </c>
      <c r="I195" s="10" t="inlineStr">
        <is>
          <t>single</t>
        </is>
      </c>
      <c r="J195" s="15" t="inlineStr">
        <is>
          <t>high</t>
        </is>
      </c>
      <c r="K195" s="10" t="inlineStr">
        <is>
          <t>taxonomic_containment</t>
        </is>
      </c>
      <c r="L195" s="11" t="inlineStr">
        <is>
          <t>Stomatopods belong to the residual benthic crustaceans; other shrimp taxa belong to Shrimps after the explicitly separated Acetes records (Appendix 6.1 pp.323-326).</t>
        </is>
      </c>
      <c r="M195" s="10" t="n">
        <v>343865.889</v>
      </c>
    </row>
    <row r="196" ht="36" customHeight="1">
      <c r="A196" s="10" t="inlineStr">
        <is>
          <t>LME_036</t>
        </is>
      </c>
      <c r="B196" s="11" t="inlineStr">
        <is>
          <t>36_2_South_China_Sea_SCS-2007_Northern_South_China_Sea_(1970s)</t>
        </is>
      </c>
      <c r="C196" s="11" t="inlineStr">
        <is>
          <t>Thunnus obesus</t>
        </is>
      </c>
      <c r="D196" s="10" t="inlineStr">
        <is>
          <t>Bigeye tuna</t>
        </is>
      </c>
      <c r="E196" s="10" t="inlineStr">
        <is>
          <t>Large pelagics (&gt;=90 cm)</t>
        </is>
      </c>
      <c r="F196" s="10" t="inlineStr">
        <is>
          <t>Tuna &amp; billfishes</t>
        </is>
      </c>
      <c r="G196" s="11" t="inlineStr">
        <is>
          <t>Juvenile large pelagic fish</t>
        </is>
      </c>
      <c r="H196" s="12" t="n">
        <v>0.2016806722689076</v>
      </c>
      <c r="I196" s="10" t="inlineStr">
        <is>
          <t>model_catch</t>
        </is>
      </c>
      <c r="J196" s="14" t="inlineStr">
        <is>
          <t>medium</t>
        </is>
      </c>
      <c r="K196" s="10" t="inlineStr">
        <is>
          <t>composite_split</t>
        </is>
      </c>
      <c r="L196" s="11" t="inlineStr">
        <is>
          <t>Analyst habitat/size inference to source &gt;30 cm pelagic fish (Appendix 6.1.24 p.339); no age data, so split juvenile/adult using the period model catch.</t>
        </is>
      </c>
      <c r="M196" s="10" t="n">
        <v>339239.903</v>
      </c>
    </row>
    <row r="197" ht="36" customHeight="1">
      <c r="A197" s="10" t="inlineStr">
        <is>
          <t>LME_036</t>
        </is>
      </c>
      <c r="B197" s="11" t="inlineStr">
        <is>
          <t>36_2_South_China_Sea_SCS-2007_Northern_South_China_Sea_(1970s)</t>
        </is>
      </c>
      <c r="C197" s="11" t="inlineStr">
        <is>
          <t>Thunnus obesus</t>
        </is>
      </c>
      <c r="D197" s="10" t="inlineStr">
        <is>
          <t>Bigeye tuna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Pelagic fish (&gt; 30 cm)</t>
        </is>
      </c>
      <c r="H197" s="12" t="n">
        <v>0.7983193277310925</v>
      </c>
      <c r="I197" s="10" t="inlineStr">
        <is>
          <t>model_catch</t>
        </is>
      </c>
      <c r="J197" s="14" t="inlineStr">
        <is>
          <t>medium</t>
        </is>
      </c>
      <c r="K197" s="10" t="inlineStr">
        <is>
          <t>composite_split</t>
        </is>
      </c>
      <c r="L197" s="11" t="inlineStr">
        <is>
          <t>Analyst habitat/size inference to source &gt;30 cm pelagic fish (Appendix 6.1.24 p.339); no age data, so split juvenile/adult using the period model catch.</t>
        </is>
      </c>
      <c r="M197" s="10" t="n">
        <v>339239.903</v>
      </c>
    </row>
    <row r="198" ht="51" customHeight="1">
      <c r="A198" s="10" t="inlineStr">
        <is>
          <t>LME_036</t>
        </is>
      </c>
      <c r="B198" s="11" t="inlineStr">
        <is>
          <t>36_2_South_China_Sea_SCS-2007_Northern_South_China_Sea_(1970s)</t>
        </is>
      </c>
      <c r="C198" s="11" t="inlineStr">
        <is>
          <t>Muraenesocidae</t>
        </is>
      </c>
      <c r="D198" s="10" t="inlineStr">
        <is>
          <t>Pike congers</t>
        </is>
      </c>
      <c r="E198" s="10" t="inlineStr">
        <is>
          <t>Large demersals (&gt;=90 cm)</t>
        </is>
      </c>
      <c r="F198" s="10" t="inlineStr">
        <is>
          <t>Other fishes &amp; inverts</t>
        </is>
      </c>
      <c r="G198" s="11" t="inlineStr">
        <is>
          <t>Juvenile demersal fish (&gt; 30 cm)</t>
        </is>
      </c>
      <c r="H198" s="12" t="n">
        <v>0.2002781641168289</v>
      </c>
      <c r="I198" s="10" t="inlineStr">
        <is>
          <t>model_catch</t>
        </is>
      </c>
      <c r="J198" s="14" t="inlineStr">
        <is>
          <t>medium</t>
        </is>
      </c>
      <c r="K198" s="10" t="inlineStr">
        <is>
          <t>composite_split</t>
        </is>
      </c>
      <c r="L1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8" s="10" t="n">
        <v>332602.937</v>
      </c>
    </row>
    <row r="199" ht="51" customHeight="1">
      <c r="A199" s="10" t="inlineStr">
        <is>
          <t>LME_036</t>
        </is>
      </c>
      <c r="B199" s="11" t="inlineStr">
        <is>
          <t>36_2_South_China_Sea_SCS-2007_Northern_South_China_Sea_(1970s)</t>
        </is>
      </c>
      <c r="C199" s="11" t="inlineStr">
        <is>
          <t>Muraenesocidae</t>
        </is>
      </c>
      <c r="D199" s="10" t="inlineStr">
        <is>
          <t>Pike congers</t>
        </is>
      </c>
      <c r="E199" s="10" t="inlineStr">
        <is>
          <t>Large demersals (&gt;=90 cm)</t>
        </is>
      </c>
      <c r="F199" s="10" t="inlineStr">
        <is>
          <t>Other fishes &amp; inverts</t>
        </is>
      </c>
      <c r="G199" s="11" t="inlineStr">
        <is>
          <t>Adult demersal fish (&gt; 30 cm)</t>
        </is>
      </c>
      <c r="H199" s="12" t="n">
        <v>0.799721835883171</v>
      </c>
      <c r="I199" s="10" t="inlineStr">
        <is>
          <t>model_catch</t>
        </is>
      </c>
      <c r="J199" s="14" t="inlineStr">
        <is>
          <t>medium</t>
        </is>
      </c>
      <c r="K199" s="10" t="inlineStr">
        <is>
          <t>composite_split</t>
        </is>
      </c>
      <c r="L1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9" s="10" t="n">
        <v>332602.937</v>
      </c>
    </row>
    <row r="200" ht="51" customHeight="1">
      <c r="A200" s="10" t="inlineStr">
        <is>
          <t>LME_036</t>
        </is>
      </c>
      <c r="B200" s="11" t="inlineStr">
        <is>
          <t>36_2_South_China_Sea_SCS-2007_Northern_South_China_Sea_(1970s)</t>
        </is>
      </c>
      <c r="C200" s="11" t="inlineStr">
        <is>
          <t>Dussumieria acuta</t>
        </is>
      </c>
      <c r="D200" s="10" t="inlineStr">
        <is>
          <t>Rainbow sardine</t>
        </is>
      </c>
      <c r="E200" s="10" t="inlineStr">
        <is>
          <t>Small pelagics (&lt;30 cm)</t>
        </is>
      </c>
      <c r="F200" s="10" t="inlineStr">
        <is>
          <t>Herring-likes</t>
        </is>
      </c>
      <c r="G200" s="11" t="inlineStr">
        <is>
          <t>Pelagic fish (≤ 30 cm)</t>
        </is>
      </c>
      <c r="H200" s="12" t="n">
        <v>1</v>
      </c>
      <c r="I200" s="10" t="inlineStr">
        <is>
          <t>single</t>
        </is>
      </c>
      <c r="J200" s="14" t="inlineStr">
        <is>
          <t>medium</t>
        </is>
      </c>
      <c r="K200" s="10" t="inlineStr">
        <is>
          <t>habitat_size_guild</t>
        </is>
      </c>
      <c r="L20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00" s="10" t="n">
        <v>321622.662</v>
      </c>
    </row>
    <row r="201" ht="51" customHeight="1">
      <c r="A201" s="10" t="inlineStr">
        <is>
          <t>LME_036</t>
        </is>
      </c>
      <c r="B201" s="11" t="inlineStr">
        <is>
          <t>36_2_South_China_Sea_SCS-2007_Northern_South_China_Sea_(1970s)</t>
        </is>
      </c>
      <c r="C201" s="11" t="inlineStr">
        <is>
          <t>Pennahia argentata</t>
        </is>
      </c>
      <c r="D201" s="10" t="inlineStr">
        <is>
          <t>Silver croaker</t>
        </is>
      </c>
      <c r="E201" s="10" t="inlineStr">
        <is>
          <t>Medium benthopelagics (30 - 89 cm)</t>
        </is>
      </c>
      <c r="F201" s="10" t="inlineStr">
        <is>
          <t>Perch-likes</t>
        </is>
      </c>
      <c r="G201" s="11" t="inlineStr">
        <is>
          <t>Croakers (≤ 30 cm)</t>
        </is>
      </c>
      <c r="H201" s="12" t="n">
        <v>1</v>
      </c>
      <c r="I201" s="10" t="inlineStr">
        <is>
          <t>single</t>
        </is>
      </c>
      <c r="J201" s="15" t="inlineStr">
        <is>
          <t>high</t>
        </is>
      </c>
      <c r="K201" s="10" t="inlineStr">
        <is>
          <t>explicit_member</t>
        </is>
      </c>
      <c r="L201" s="11" t="inlineStr">
        <is>
          <t>Appendix 6.1 pp.327-335 defines Croakers (≤ 30 cm) by this family or explicitly names Pennahia argentata; dedicated source placement overrides the SAU class Medium benthopelagics (30 - 89 cm).</t>
        </is>
      </c>
      <c r="M201" s="10" t="n">
        <v>317044.811</v>
      </c>
    </row>
    <row r="202" ht="36" customHeight="1">
      <c r="A202" s="10" t="inlineStr">
        <is>
          <t>LME_036</t>
        </is>
      </c>
      <c r="B202" s="11" t="inlineStr">
        <is>
          <t>36_2_South_China_Sea_SCS-2007_Northern_South_China_Sea_(1970s)</t>
        </is>
      </c>
      <c r="C202" s="11" t="inlineStr">
        <is>
          <t>Stephanolepis cirrhifer</t>
        </is>
      </c>
      <c r="D202" s="10" t="inlineStr">
        <is>
          <t>Threadsail filefish</t>
        </is>
      </c>
      <c r="E202" s="10" t="inlineStr">
        <is>
          <t>Small demersals (&lt;30 cm)</t>
        </is>
      </c>
      <c r="F202" s="10" t="inlineStr">
        <is>
          <t>Other fishes &amp; inverts</t>
        </is>
      </c>
      <c r="G202" s="11" t="inlineStr">
        <is>
          <t>Demesral fish (≤ 30 cm)</t>
        </is>
      </c>
      <c r="H202" s="12" t="n">
        <v>1</v>
      </c>
      <c r="I202" s="10" t="inlineStr">
        <is>
          <t>single</t>
        </is>
      </c>
      <c r="J202" s="14" t="inlineStr">
        <is>
          <t>medium</t>
        </is>
      </c>
      <c r="K202" s="10" t="inlineStr">
        <is>
          <t>habitat_size_guild</t>
        </is>
      </c>
      <c r="L202" s="11" t="inlineStr">
        <is>
          <t>Analyst habitat/size inference: small demersal or reef-associated fish after excluding dedicated taxonomic groups, matching Appendix 6.1.19 &lt;=30 cm residual demersal pool.</t>
        </is>
      </c>
      <c r="M202" s="10" t="n">
        <v>314941.948</v>
      </c>
    </row>
    <row r="203" ht="51" customHeight="1">
      <c r="A203" s="10" t="inlineStr">
        <is>
          <t>LME_036</t>
        </is>
      </c>
      <c r="B203" s="11" t="inlineStr">
        <is>
          <t>36_2_South_China_Sea_SCS-2007_Northern_South_China_Sea_(1970s)</t>
        </is>
      </c>
      <c r="C203" s="11" t="inlineStr">
        <is>
          <t>Stromateidae</t>
        </is>
      </c>
      <c r="D203" s="10" t="inlineStr">
        <is>
          <t>Butterfishes</t>
        </is>
      </c>
      <c r="E203" s="10" t="inlineStr">
        <is>
          <t>Small benthopelagics (&lt;30 cm)</t>
        </is>
      </c>
      <c r="F203" s="10" t="inlineStr">
        <is>
          <t>Perch-likes</t>
        </is>
      </c>
      <c r="G203" s="11" t="inlineStr">
        <is>
          <t>Pomfret (stromateids)</t>
        </is>
      </c>
      <c r="H203" s="12" t="n">
        <v>1</v>
      </c>
      <c r="I203" s="10" t="inlineStr">
        <is>
          <t>single</t>
        </is>
      </c>
      <c r="J203" s="15" t="inlineStr">
        <is>
          <t>high</t>
        </is>
      </c>
      <c r="K203" s="10" t="inlineStr">
        <is>
          <t>taxonomic_containment</t>
        </is>
      </c>
      <c r="L203" s="11" t="inlineStr">
        <is>
          <t>Appendix 6.1 pp.327-335 defines Pomfret (stromateids) by this family or explicitly names Stromateidae; dedicated source placement overrides the SAU class Small benthopelagics (&lt;30 cm).</t>
        </is>
      </c>
      <c r="M203" s="10" t="n">
        <v>314846.403</v>
      </c>
    </row>
    <row r="204" ht="36" customHeight="1">
      <c r="A204" s="10" t="inlineStr">
        <is>
          <t>LME_036</t>
        </is>
      </c>
      <c r="B204" s="11" t="inlineStr">
        <is>
          <t>36_2_South_China_Sea_SCS-2007_Northern_South_China_Sea_(1970s)</t>
        </is>
      </c>
      <c r="C204" s="11" t="inlineStr">
        <is>
          <t>Lutjanus johnii</t>
        </is>
      </c>
      <c r="D204" s="10" t="inlineStr">
        <is>
          <t>John's snapper</t>
        </is>
      </c>
      <c r="E204" s="10" t="inlineStr">
        <is>
          <t>Medium reef assoc. fish (30 - 89 cm)</t>
        </is>
      </c>
      <c r="F204" s="10" t="inlineStr">
        <is>
          <t>Perch-likes</t>
        </is>
      </c>
      <c r="G204" s="11" t="inlineStr">
        <is>
          <t>Snappers</t>
        </is>
      </c>
      <c r="H204" s="12" t="n">
        <v>1</v>
      </c>
      <c r="I204" s="10" t="inlineStr">
        <is>
          <t>single</t>
        </is>
      </c>
      <c r="J204" s="15" t="inlineStr">
        <is>
          <t>high</t>
        </is>
      </c>
      <c r="K204" s="10" t="inlineStr">
        <is>
          <t>taxonomic_containment</t>
        </is>
      </c>
      <c r="L204" s="11" t="inlineStr">
        <is>
          <t>Appendix 6.1 pp.327-335 defines Snappers by this family or explicitly names Lutjanus johnii; dedicated source placement overrides the SAU class Medium reef assoc. fish (30 - 89 cm).</t>
        </is>
      </c>
      <c r="M204" s="10" t="n">
        <v>313146.66</v>
      </c>
    </row>
    <row r="205" ht="36" customHeight="1">
      <c r="A205" s="10" t="inlineStr">
        <is>
          <t>LME_036</t>
        </is>
      </c>
      <c r="B205" s="11" t="inlineStr">
        <is>
          <t>36_2_South_China_Sea_SCS-2007_Northern_South_China_Sea_(1970s)</t>
        </is>
      </c>
      <c r="C205" s="11" t="inlineStr">
        <is>
          <t>Elagatis bipinnulata</t>
        </is>
      </c>
      <c r="D205" s="10" t="inlineStr">
        <is>
          <t>Rainbow runner</t>
        </is>
      </c>
      <c r="E205" s="10" t="inlineStr">
        <is>
          <t>Large pelagics (&gt;=90 cm)</t>
        </is>
      </c>
      <c r="F205" s="10" t="inlineStr">
        <is>
          <t>Perch-likes</t>
        </is>
      </c>
      <c r="G205" s="11" t="inlineStr">
        <is>
          <t>Juvenile large pelagic fish</t>
        </is>
      </c>
      <c r="H205" s="12" t="n">
        <v>0.2016806722689076</v>
      </c>
      <c r="I205" s="10" t="inlineStr">
        <is>
          <t>model_catch</t>
        </is>
      </c>
      <c r="J205" s="14" t="inlineStr">
        <is>
          <t>medium</t>
        </is>
      </c>
      <c r="K205" s="10" t="inlineStr">
        <is>
          <t>composite_split</t>
        </is>
      </c>
      <c r="L205" s="11" t="inlineStr">
        <is>
          <t>Analyst habitat/size inference to source &gt;30 cm pelagic fish (Appendix 6.1.24 p.339); no age data, so split juvenile/adult using the period model catch.</t>
        </is>
      </c>
      <c r="M205" s="10" t="n">
        <v>311414.499</v>
      </c>
    </row>
    <row r="206" ht="36" customHeight="1">
      <c r="A206" s="10" t="inlineStr">
        <is>
          <t>LME_036</t>
        </is>
      </c>
      <c r="B206" s="11" t="inlineStr">
        <is>
          <t>36_2_South_China_Sea_SCS-2007_Northern_South_China_Sea_(1970s)</t>
        </is>
      </c>
      <c r="C206" s="11" t="inlineStr">
        <is>
          <t>Elagatis bipinnulata</t>
        </is>
      </c>
      <c r="D206" s="10" t="inlineStr">
        <is>
          <t>Rainbow runner</t>
        </is>
      </c>
      <c r="E206" s="10" t="inlineStr">
        <is>
          <t>Large pelagics (&gt;=90 cm)</t>
        </is>
      </c>
      <c r="F206" s="10" t="inlineStr">
        <is>
          <t>Perch-likes</t>
        </is>
      </c>
      <c r="G206" s="11" t="inlineStr">
        <is>
          <t>Pelagic fish (&gt; 30 cm)</t>
        </is>
      </c>
      <c r="H206" s="12" t="n">
        <v>0.7983193277310925</v>
      </c>
      <c r="I206" s="10" t="inlineStr">
        <is>
          <t>model_catch</t>
        </is>
      </c>
      <c r="J206" s="14" t="inlineStr">
        <is>
          <t>medium</t>
        </is>
      </c>
      <c r="K206" s="10" t="inlineStr">
        <is>
          <t>composite_split</t>
        </is>
      </c>
      <c r="L206" s="11" t="inlineStr">
        <is>
          <t>Analyst habitat/size inference to source &gt;30 cm pelagic fish (Appendix 6.1.24 p.339); no age data, so split juvenile/adult using the period model catch.</t>
        </is>
      </c>
      <c r="M206" s="10" t="n">
        <v>311414.499</v>
      </c>
    </row>
    <row r="207" ht="36" customHeight="1">
      <c r="A207" s="10" t="inlineStr">
        <is>
          <t>LME_036</t>
        </is>
      </c>
      <c r="B207" s="11" t="inlineStr">
        <is>
          <t>36_2_South_China_Sea_SCS-2007_Northern_South_China_Sea_(1970s)</t>
        </is>
      </c>
      <c r="C207" s="11" t="inlineStr">
        <is>
          <t>Saurida</t>
        </is>
      </c>
      <c r="D207" s="10" t="inlineStr">
        <is>
          <t>Lizardfishes</t>
        </is>
      </c>
      <c r="E207" s="10" t="inlineStr">
        <is>
          <t>Medium demersals (30 - 89 cm)</t>
        </is>
      </c>
      <c r="F207" s="10" t="inlineStr">
        <is>
          <t>Other fishes &amp; inverts</t>
        </is>
      </c>
      <c r="G207" s="11" t="inlineStr">
        <is>
          <t>Lizard fish (synodontids)</t>
        </is>
      </c>
      <c r="H207" s="12" t="n">
        <v>1</v>
      </c>
      <c r="I207" s="10" t="inlineStr">
        <is>
          <t>single</t>
        </is>
      </c>
      <c r="J207" s="15" t="inlineStr">
        <is>
          <t>high</t>
        </is>
      </c>
      <c r="K207" s="10" t="inlineStr">
        <is>
          <t>taxonomic_containment</t>
        </is>
      </c>
      <c r="L207" s="11" t="inlineStr">
        <is>
          <t>Appendix 6.1 pp.327-335 defines Lizard fish (synodontids) by this family or explicitly names Saurida; dedicated source placement overrides the SAU class Medium demersals (30 - 89 cm).</t>
        </is>
      </c>
      <c r="M207" s="10" t="n">
        <v>306283.862</v>
      </c>
    </row>
    <row r="208" ht="36" customHeight="1">
      <c r="A208" s="10" t="inlineStr">
        <is>
          <t>LME_036</t>
        </is>
      </c>
      <c r="B208" s="11" t="inlineStr">
        <is>
          <t>36_2_South_China_Sea_SCS-2007_Northern_South_China_Sea_(1970s)</t>
        </is>
      </c>
      <c r="C208" s="11" t="inlineStr">
        <is>
          <t>Serranidae</t>
        </is>
      </c>
      <c r="D208" s="10" t="inlineStr">
        <is>
          <t>Basses, groupers, hinds</t>
        </is>
      </c>
      <c r="E208" s="10" t="inlineStr">
        <is>
          <t>Medium reef assoc. fish (30 - 89 cm)</t>
        </is>
      </c>
      <c r="F208" s="10" t="inlineStr">
        <is>
          <t>Perch-likes</t>
        </is>
      </c>
      <c r="G208" s="11" t="inlineStr">
        <is>
          <t>Adult groupers</t>
        </is>
      </c>
      <c r="H208" s="12" t="n">
        <v>1</v>
      </c>
      <c r="I208" s="10" t="inlineStr">
        <is>
          <t>single</t>
        </is>
      </c>
      <c r="J208" s="15" t="inlineStr">
        <is>
          <t>high</t>
        </is>
      </c>
      <c r="K208" s="10" t="inlineStr">
        <is>
          <t>taxonomic_containment</t>
        </is>
      </c>
      <c r="L208" s="11" t="inlineStr">
        <is>
          <t>Appendix 6.1 pp.327-335 defines Adult groupers by this family or explicitly names Serranidae; dedicated source placement overrides the SAU class Medium reef assoc. fish (30 - 89 cm).</t>
        </is>
      </c>
      <c r="M208" s="10" t="n">
        <v>301377.47</v>
      </c>
    </row>
    <row r="209" ht="36" customHeight="1">
      <c r="A209" s="10" t="inlineStr">
        <is>
          <t>LME_036</t>
        </is>
      </c>
      <c r="B209" s="11" t="inlineStr">
        <is>
          <t>36_2_South_China_Sea_SCS-2007_Northern_South_China_Sea_(1970s)</t>
        </is>
      </c>
      <c r="C209" s="11" t="inlineStr">
        <is>
          <t>Tegillarca granosa</t>
        </is>
      </c>
      <c r="D209" s="10" t="inlineStr">
        <is>
          <t>Granular ark</t>
        </is>
      </c>
      <c r="E209" s="10" t="inlineStr">
        <is>
          <t>Other demersal invertebrates</t>
        </is>
      </c>
      <c r="F209" s="10" t="inlineStr">
        <is>
          <t>Molluscs</t>
        </is>
      </c>
      <c r="G209" s="11" t="inlineStr">
        <is>
          <t>Non-ceph molluscs</t>
        </is>
      </c>
      <c r="H209" s="12" t="n">
        <v>1</v>
      </c>
      <c r="I209" s="10" t="inlineStr">
        <is>
          <t>single</t>
        </is>
      </c>
      <c r="J209" s="15" t="inlineStr">
        <is>
          <t>high</t>
        </is>
      </c>
      <c r="K209" s="10" t="inlineStr">
        <is>
          <t>taxonomic_containment</t>
        </is>
      </c>
      <c r="L209" s="11" t="inlineStr">
        <is>
          <t>Taxonomic containment in the source benthos subdivision (Appendix 6.1.5 pp.324-325), keeping non-cephalopod molluscs separate from echinoderms and sessile invertebrates.</t>
        </is>
      </c>
      <c r="M209" s="10" t="n">
        <v>300639.32</v>
      </c>
    </row>
    <row r="210" ht="36" customHeight="1">
      <c r="A210" s="10" t="inlineStr">
        <is>
          <t>LME_036</t>
        </is>
      </c>
      <c r="B210" s="11" t="inlineStr">
        <is>
          <t>36_2_South_China_Sea_SCS-2007_Northern_South_China_Sea_(1970s)</t>
        </is>
      </c>
      <c r="C210" s="11" t="inlineStr">
        <is>
          <t>Pristipomoides</t>
        </is>
      </c>
      <c r="D210" s="10" t="inlineStr">
        <is>
          <t>Jobfishes</t>
        </is>
      </c>
      <c r="E210" s="10" t="inlineStr">
        <is>
          <t>Medium demersals (30 - 89 cm)</t>
        </is>
      </c>
      <c r="F210" s="10" t="inlineStr">
        <is>
          <t>Perch-likes</t>
        </is>
      </c>
      <c r="G210" s="11" t="inlineStr">
        <is>
          <t>Snappers</t>
        </is>
      </c>
      <c r="H210" s="12" t="n">
        <v>1</v>
      </c>
      <c r="I210" s="10" t="inlineStr">
        <is>
          <t>single</t>
        </is>
      </c>
      <c r="J210" s="15" t="inlineStr">
        <is>
          <t>high</t>
        </is>
      </c>
      <c r="K210" s="10" t="inlineStr">
        <is>
          <t>taxonomic_containment</t>
        </is>
      </c>
      <c r="L210" s="11" t="inlineStr">
        <is>
          <t>Appendix 6.1 pp.327-335 defines Snappers by this family or explicitly names Pristipomoides; dedicated source placement overrides the SAU class Medium demersals (30 - 89 cm).</t>
        </is>
      </c>
      <c r="M210" s="10" t="n">
        <v>297656.63</v>
      </c>
    </row>
    <row r="211" ht="36" customHeight="1">
      <c r="A211" s="10" t="inlineStr">
        <is>
          <t>LME_036</t>
        </is>
      </c>
      <c r="B211" s="11" t="inlineStr">
        <is>
          <t>36_2_South_China_Sea_SCS-2007_Northern_South_China_Sea_(1970s)</t>
        </is>
      </c>
      <c r="C211" s="11" t="inlineStr">
        <is>
          <t>Apogonidae</t>
        </is>
      </c>
      <c r="D211" s="10" t="inlineStr">
        <is>
          <t>Cardinalfishes</t>
        </is>
      </c>
      <c r="E211" s="10" t="inlineStr">
        <is>
          <t>Small reef assoc. fish (&lt;30 cm)</t>
        </is>
      </c>
      <c r="F211" s="10" t="inlineStr">
        <is>
          <t>Perch-likes</t>
        </is>
      </c>
      <c r="G211" s="11" t="inlineStr">
        <is>
          <t>Demesral fish (≤ 30 cm)</t>
        </is>
      </c>
      <c r="H211" s="12" t="n">
        <v>1</v>
      </c>
      <c r="I211" s="10" t="inlineStr">
        <is>
          <t>single</t>
        </is>
      </c>
      <c r="J211" s="14" t="inlineStr">
        <is>
          <t>medium</t>
        </is>
      </c>
      <c r="K211" s="10" t="inlineStr">
        <is>
          <t>habitat_size_guild</t>
        </is>
      </c>
      <c r="L211" s="11" t="inlineStr">
        <is>
          <t>Analyst habitat/size inference: small demersal or reef-associated fish after excluding dedicated taxonomic groups, matching Appendix 6.1.19 &lt;=30 cm residual demersal pool.</t>
        </is>
      </c>
      <c r="M211" s="10" t="n">
        <v>284226.152</v>
      </c>
    </row>
    <row r="212" ht="36" customHeight="1">
      <c r="A212" s="10" t="inlineStr">
        <is>
          <t>LME_036</t>
        </is>
      </c>
      <c r="B212" s="11" t="inlineStr">
        <is>
          <t>36_2_South_China_Sea_SCS-2007_Northern_South_China_Sea_(1970s)</t>
        </is>
      </c>
      <c r="C212" s="11" t="inlineStr">
        <is>
          <t>Miscellaneous aquatic invertebrates</t>
        </is>
      </c>
      <c r="D212" s="10" t="inlineStr">
        <is>
          <t>Aquatic invertebrates</t>
        </is>
      </c>
      <c r="E212" s="10" t="inlineStr">
        <is>
          <t>Other demersal invertebrates</t>
        </is>
      </c>
      <c r="F212" s="10" t="inlineStr">
        <is>
          <t>Other fishes &amp; inverts</t>
        </is>
      </c>
      <c r="G212" s="11" t="inlineStr">
        <is>
          <t>Polychaetes</t>
        </is>
      </c>
      <c r="H212" s="12" t="n">
        <v>0</v>
      </c>
      <c r="I212" s="10" t="inlineStr">
        <is>
          <t>catch_composition</t>
        </is>
      </c>
      <c r="J212" s="13" t="inlineStr">
        <is>
          <t>low</t>
        </is>
      </c>
      <c r="K212" s="10" t="inlineStr">
        <is>
          <t>composite_split</t>
        </is>
      </c>
      <c r="L212" s="11" t="inlineStr">
        <is>
          <t>Unidentified benthic invertebrates span the five benthos pools in Appendix 6.1.5 pp.324-325; the source does not establish narrower composition.</t>
        </is>
      </c>
      <c r="M212" s="10" t="n">
        <v>281172.914</v>
      </c>
    </row>
    <row r="213" ht="36" customHeight="1">
      <c r="A213" s="10" t="inlineStr">
        <is>
          <t>LME_036</t>
        </is>
      </c>
      <c r="B213" s="11" t="inlineStr">
        <is>
          <t>36_2_South_China_Sea_SCS-2007_Northern_South_China_Sea_(1970s)</t>
        </is>
      </c>
      <c r="C213" s="11" t="inlineStr">
        <is>
          <t>Miscellaneous aquatic invertebrates</t>
        </is>
      </c>
      <c r="D213" s="10" t="inlineStr">
        <is>
          <t>Aquatic invertebrates</t>
        </is>
      </c>
      <c r="E213" s="10" t="inlineStr">
        <is>
          <t>Other demersal invertebrates</t>
        </is>
      </c>
      <c r="F213" s="10" t="inlineStr">
        <is>
          <t>Other fishes &amp; inverts</t>
        </is>
      </c>
      <c r="G213" s="11" t="inlineStr">
        <is>
          <t>Echinoderms</t>
        </is>
      </c>
      <c r="H213" s="12" t="n">
        <v>0.0085428371321463</v>
      </c>
      <c r="I213" s="10" t="inlineStr">
        <is>
          <t>catch_composition</t>
        </is>
      </c>
      <c r="J213" s="13" t="inlineStr">
        <is>
          <t>low</t>
        </is>
      </c>
      <c r="K213" s="10" t="inlineStr">
        <is>
          <t>composite_split</t>
        </is>
      </c>
      <c r="L213" s="11" t="inlineStr">
        <is>
          <t>Unidentified benthic invertebrates span the five benthos pools in Appendix 6.1.5 pp.324-325; the source does not establish narrower composition.</t>
        </is>
      </c>
      <c r="M213" s="10" t="n">
        <v>281172.914</v>
      </c>
    </row>
    <row r="214" ht="36" customHeight="1">
      <c r="A214" s="10" t="inlineStr">
        <is>
          <t>LME_036</t>
        </is>
      </c>
      <c r="B214" s="11" t="inlineStr">
        <is>
          <t>36_2_South_China_Sea_SCS-2007_Northern_South_China_Sea_(1970s)</t>
        </is>
      </c>
      <c r="C214" s="11" t="inlineStr">
        <is>
          <t>Miscellaneous aquatic invertebrates</t>
        </is>
      </c>
      <c r="D214" s="10" t="inlineStr">
        <is>
          <t>Aquatic invertebrates</t>
        </is>
      </c>
      <c r="E214" s="10" t="inlineStr">
        <is>
          <t>Other demersal invertebrates</t>
        </is>
      </c>
      <c r="F214" s="10" t="inlineStr">
        <is>
          <t>Other fishes &amp; inverts</t>
        </is>
      </c>
      <c r="G214" s="11" t="inlineStr">
        <is>
          <t>Benthic crustaceans</t>
        </is>
      </c>
      <c r="H214" s="12" t="n">
        <v>0.136178263568198</v>
      </c>
      <c r="I214" s="10" t="inlineStr">
        <is>
          <t>catch_composition</t>
        </is>
      </c>
      <c r="J214" s="13" t="inlineStr">
        <is>
          <t>low</t>
        </is>
      </c>
      <c r="K214" s="10" t="inlineStr">
        <is>
          <t>composite_split</t>
        </is>
      </c>
      <c r="L214" s="11" t="inlineStr">
        <is>
          <t>Unidentified benthic invertebrates span the five benthos pools in Appendix 6.1.5 pp.324-325; the source does not establish narrower composition.</t>
        </is>
      </c>
      <c r="M214" s="10" t="n">
        <v>281172.914</v>
      </c>
    </row>
    <row r="215" ht="36" customHeight="1">
      <c r="A215" s="10" t="inlineStr">
        <is>
          <t>LME_036</t>
        </is>
      </c>
      <c r="B215" s="11" t="inlineStr">
        <is>
          <t>36_2_South_China_Sea_SCS-2007_Northern_South_China_Sea_(1970s)</t>
        </is>
      </c>
      <c r="C215" s="11" t="inlineStr">
        <is>
          <t>Miscellaneous aquatic invertebrates</t>
        </is>
      </c>
      <c r="D215" s="10" t="inlineStr">
        <is>
          <t>Aquatic invertebrates</t>
        </is>
      </c>
      <c r="E215" s="10" t="inlineStr">
        <is>
          <t>Other demersal invertebrates</t>
        </is>
      </c>
      <c r="F215" s="10" t="inlineStr">
        <is>
          <t>Other fishes &amp; inverts</t>
        </is>
      </c>
      <c r="G215" s="11" t="inlineStr">
        <is>
          <t>Non-ceph molluscs</t>
        </is>
      </c>
      <c r="H215" s="12" t="n">
        <v>0.8552052331349447</v>
      </c>
      <c r="I215" s="10" t="inlineStr">
        <is>
          <t>catch_composition</t>
        </is>
      </c>
      <c r="J215" s="13" t="inlineStr">
        <is>
          <t>low</t>
        </is>
      </c>
      <c r="K215" s="10" t="inlineStr">
        <is>
          <t>composite_split</t>
        </is>
      </c>
      <c r="L215" s="11" t="inlineStr">
        <is>
          <t>Unidentified benthic invertebrates span the five benthos pools in Appendix 6.1.5 pp.324-325; the source does not establish narrower composition.</t>
        </is>
      </c>
      <c r="M215" s="10" t="n">
        <v>281172.914</v>
      </c>
    </row>
    <row r="216" ht="36" customHeight="1">
      <c r="A216" s="10" t="inlineStr">
        <is>
          <t>LME_036</t>
        </is>
      </c>
      <c r="B216" s="11" t="inlineStr">
        <is>
          <t>36_2_South_China_Sea_SCS-2007_Northern_South_China_Sea_(1970s)</t>
        </is>
      </c>
      <c r="C216" s="11" t="inlineStr">
        <is>
          <t>Miscellaneous aquatic invertebrates</t>
        </is>
      </c>
      <c r="D216" s="10" t="inlineStr">
        <is>
          <t>Aquatic invertebrates</t>
        </is>
      </c>
      <c r="E216" s="10" t="inlineStr">
        <is>
          <t>Other demersal invertebrates</t>
        </is>
      </c>
      <c r="F216" s="10" t="inlineStr">
        <is>
          <t>Other fishes &amp; inverts</t>
        </is>
      </c>
      <c r="G216" s="11" t="inlineStr">
        <is>
          <t>Sessile/other invertebrates</t>
        </is>
      </c>
      <c r="H216" s="12" t="n">
        <v>7.36661647110497e-05</v>
      </c>
      <c r="I216" s="10" t="inlineStr">
        <is>
          <t>catch_composition</t>
        </is>
      </c>
      <c r="J216" s="13" t="inlineStr">
        <is>
          <t>low</t>
        </is>
      </c>
      <c r="K216" s="10" t="inlineStr">
        <is>
          <t>composite_split</t>
        </is>
      </c>
      <c r="L216" s="11" t="inlineStr">
        <is>
          <t>Unidentified benthic invertebrates span the five benthos pools in Appendix 6.1.5 pp.324-325; the source does not establish narrower composition.</t>
        </is>
      </c>
      <c r="M216" s="10" t="n">
        <v>281172.914</v>
      </c>
    </row>
    <row r="217" ht="36" customHeight="1">
      <c r="A217" s="10" t="inlineStr">
        <is>
          <t>LME_036</t>
        </is>
      </c>
      <c r="B217" s="11" t="inlineStr">
        <is>
          <t>36_2_South_China_Sea_SCS-2007_Northern_South_China_Sea_(1970s)</t>
        </is>
      </c>
      <c r="C217" s="11" t="inlineStr">
        <is>
          <t>Scomber australasicus</t>
        </is>
      </c>
      <c r="D217" s="10" t="inlineStr">
        <is>
          <t>Blue mackerel</t>
        </is>
      </c>
      <c r="E217" s="10" t="inlineStr">
        <is>
          <t>Medium pelagics (30 - 89 cm)</t>
        </is>
      </c>
      <c r="F217" s="10" t="inlineStr">
        <is>
          <t>Perch-likes</t>
        </is>
      </c>
      <c r="G217" s="11" t="inlineStr">
        <is>
          <t>Juvenile large pelagic fish</t>
        </is>
      </c>
      <c r="H217" s="12" t="n">
        <v>0.2016806722689076</v>
      </c>
      <c r="I217" s="10" t="inlineStr">
        <is>
          <t>model_catch</t>
        </is>
      </c>
      <c r="J217" s="14" t="inlineStr">
        <is>
          <t>medium</t>
        </is>
      </c>
      <c r="K217" s="10" t="inlineStr">
        <is>
          <t>composite_split</t>
        </is>
      </c>
      <c r="L217" s="11" t="inlineStr">
        <is>
          <t>Analyst habitat/size inference to source &gt;30 cm pelagic fish (Appendix 6.1.24 p.339); no age data, so split juvenile/adult using the period model catch.</t>
        </is>
      </c>
      <c r="M217" s="10" t="n">
        <v>273604.383</v>
      </c>
    </row>
    <row r="218" ht="36" customHeight="1">
      <c r="A218" s="10" t="inlineStr">
        <is>
          <t>LME_036</t>
        </is>
      </c>
      <c r="B218" s="11" t="inlineStr">
        <is>
          <t>36_2_South_China_Sea_SCS-2007_Northern_South_China_Sea_(1970s)</t>
        </is>
      </c>
      <c r="C218" s="11" t="inlineStr">
        <is>
          <t>Scomber australasicus</t>
        </is>
      </c>
      <c r="D218" s="10" t="inlineStr">
        <is>
          <t>Blue mackerel</t>
        </is>
      </c>
      <c r="E218" s="10" t="inlineStr">
        <is>
          <t>Medium pelagics (30 - 89 cm)</t>
        </is>
      </c>
      <c r="F218" s="10" t="inlineStr">
        <is>
          <t>Perch-likes</t>
        </is>
      </c>
      <c r="G218" s="11" t="inlineStr">
        <is>
          <t>Pelagic fish (&gt; 30 cm)</t>
        </is>
      </c>
      <c r="H218" s="12" t="n">
        <v>0.7983193277310925</v>
      </c>
      <c r="I218" s="10" t="inlineStr">
        <is>
          <t>model_catch</t>
        </is>
      </c>
      <c r="J218" s="14" t="inlineStr">
        <is>
          <t>medium</t>
        </is>
      </c>
      <c r="K218" s="10" t="inlineStr">
        <is>
          <t>composite_split</t>
        </is>
      </c>
      <c r="L218" s="11" t="inlineStr">
        <is>
          <t>Analyst habitat/size inference to source &gt;30 cm pelagic fish (Appendix 6.1.24 p.339); no age data, so split juvenile/adult using the period model catch.</t>
        </is>
      </c>
      <c r="M218" s="10" t="n">
        <v>273604.383</v>
      </c>
    </row>
    <row r="219" ht="36" customHeight="1">
      <c r="A219" s="10" t="inlineStr">
        <is>
          <t>LME_036</t>
        </is>
      </c>
      <c r="B219" s="11" t="inlineStr">
        <is>
          <t>36_2_South_China_Sea_SCS-2007_Northern_South_China_Sea_(1970s)</t>
        </is>
      </c>
      <c r="C219" s="11" t="inlineStr">
        <is>
          <t>Sepia</t>
        </is>
      </c>
      <c r="D219" s="10" t="inlineStr">
        <is>
          <t>Sepia cuttlefishes</t>
        </is>
      </c>
      <c r="E219" s="10" t="inlineStr">
        <is>
          <t>Cephalopods</t>
        </is>
      </c>
      <c r="F219" s="10" t="inlineStr">
        <is>
          <t>Other fishes &amp; inverts</t>
        </is>
      </c>
      <c r="G219" s="11" t="inlineStr">
        <is>
          <t>Cephalopods</t>
        </is>
      </c>
      <c r="H219" s="12" t="n">
        <v>1</v>
      </c>
      <c r="I219" s="10" t="inlineStr">
        <is>
          <t>single</t>
        </is>
      </c>
      <c r="J219" s="15" t="inlineStr">
        <is>
          <t>high</t>
        </is>
      </c>
      <c r="K219" s="10" t="inlineStr">
        <is>
          <t>taxonomic_containment</t>
        </is>
      </c>
      <c r="L219" s="11" t="inlineStr">
        <is>
          <t>Cephalopoda is contained by the single source Cephalopods group, Appendix 6.1.8 pp.326-327.</t>
        </is>
      </c>
      <c r="M219" s="10" t="n">
        <v>265683.914</v>
      </c>
    </row>
    <row r="220" ht="51" customHeight="1">
      <c r="A220" s="10" t="inlineStr">
        <is>
          <t>LME_036</t>
        </is>
      </c>
      <c r="B220" s="11" t="inlineStr">
        <is>
          <t>36_2_South_China_Sea_SCS-2007_Northern_South_China_Sea_(1970s)</t>
        </is>
      </c>
      <c r="C220" s="11" t="inlineStr">
        <is>
          <t>Epinephelus coioides</t>
        </is>
      </c>
      <c r="D220" s="10" t="inlineStr">
        <is>
          <t>Orange-spotted grouper</t>
        </is>
      </c>
      <c r="E220" s="10" t="inlineStr">
        <is>
          <t>Large reef assoc. fish (&gt;=90 cm)</t>
        </is>
      </c>
      <c r="F220" s="10" t="inlineStr">
        <is>
          <t>Perch-likes</t>
        </is>
      </c>
      <c r="G220" s="11" t="inlineStr">
        <is>
          <t>Adult groupers</t>
        </is>
      </c>
      <c r="H220" s="12" t="n">
        <v>1</v>
      </c>
      <c r="I220" s="10" t="inlineStr">
        <is>
          <t>single</t>
        </is>
      </c>
      <c r="J220" s="15" t="inlineStr">
        <is>
          <t>high</t>
        </is>
      </c>
      <c r="K220" s="10" t="inlineStr">
        <is>
          <t>taxonomic_containment</t>
        </is>
      </c>
      <c r="L220" s="11" t="inlineStr">
        <is>
          <t>Appendix 6.1 pp.327-335 defines Adult groupers by this family or explicitly names Epinephelus coioides; dedicated source placement overrides the SAU class Large reef assoc. fish (&gt;=90 cm).</t>
        </is>
      </c>
      <c r="M220" s="10" t="n">
        <v>264464.845</v>
      </c>
    </row>
    <row r="221" ht="51" customHeight="1">
      <c r="A221" s="10" t="inlineStr">
        <is>
          <t>LME_036</t>
        </is>
      </c>
      <c r="B221" s="11" t="inlineStr">
        <is>
          <t>36_2_South_China_Sea_SCS-2007_Northern_South_China_Sea_(1970s)</t>
        </is>
      </c>
      <c r="C221" s="11" t="inlineStr">
        <is>
          <t>Larimichthys polyactis</t>
        </is>
      </c>
      <c r="D221" s="10" t="inlineStr">
        <is>
          <t>Yellow croaker</t>
        </is>
      </c>
      <c r="E221" s="10" t="inlineStr">
        <is>
          <t>Medium benthopelagics (30 - 89 cm)</t>
        </is>
      </c>
      <c r="F221" s="10" t="inlineStr">
        <is>
          <t>Perch-likes</t>
        </is>
      </c>
      <c r="G221" s="11" t="inlineStr">
        <is>
          <t>Croakers (≤ 30 cm)</t>
        </is>
      </c>
      <c r="H221" s="12" t="n">
        <v>0.2253521126760564</v>
      </c>
      <c r="I221" s="10" t="inlineStr">
        <is>
          <t>model_catch</t>
        </is>
      </c>
      <c r="J221" s="13" t="inlineStr">
        <is>
          <t>low</t>
        </is>
      </c>
      <c r="K221" s="10" t="inlineStr">
        <is>
          <t>composite_split</t>
        </is>
      </c>
      <c r="L22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1" s="10" t="n">
        <v>263763.118</v>
      </c>
    </row>
    <row r="222" ht="51" customHeight="1">
      <c r="A222" s="10" t="inlineStr">
        <is>
          <t>LME_036</t>
        </is>
      </c>
      <c r="B222" s="11" t="inlineStr">
        <is>
          <t>36_2_South_China_Sea_SCS-2007_Northern_South_China_Sea_(1970s)</t>
        </is>
      </c>
      <c r="C222" s="11" t="inlineStr">
        <is>
          <t>Larimichthys polyactis</t>
        </is>
      </c>
      <c r="D222" s="10" t="inlineStr">
        <is>
          <t>Yellow croaker</t>
        </is>
      </c>
      <c r="E222" s="10" t="inlineStr">
        <is>
          <t>Medium benthopelagics (30 - 89 cm)</t>
        </is>
      </c>
      <c r="F222" s="10" t="inlineStr">
        <is>
          <t>Perch-likes</t>
        </is>
      </c>
      <c r="G222" s="11" t="inlineStr">
        <is>
          <t>Juvenile large croakers</t>
        </is>
      </c>
      <c r="H222" s="12" t="n">
        <v>0.1549295774647887</v>
      </c>
      <c r="I222" s="10" t="inlineStr">
        <is>
          <t>model_catch</t>
        </is>
      </c>
      <c r="J222" s="13" t="inlineStr">
        <is>
          <t>low</t>
        </is>
      </c>
      <c r="K222" s="10" t="inlineStr">
        <is>
          <t>composite_split</t>
        </is>
      </c>
      <c r="L22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2" s="10" t="n">
        <v>263763.118</v>
      </c>
    </row>
    <row r="223" ht="51" customHeight="1">
      <c r="A223" s="10" t="inlineStr">
        <is>
          <t>LME_036</t>
        </is>
      </c>
      <c r="B223" s="11" t="inlineStr">
        <is>
          <t>36_2_South_China_Sea_SCS-2007_Northern_South_China_Sea_(1970s)</t>
        </is>
      </c>
      <c r="C223" s="11" t="inlineStr">
        <is>
          <t>Larimichthys polyactis</t>
        </is>
      </c>
      <c r="D223" s="10" t="inlineStr">
        <is>
          <t>Yellow croaker</t>
        </is>
      </c>
      <c r="E223" s="10" t="inlineStr">
        <is>
          <t>Medium benthopelagics (30 - 89 cm)</t>
        </is>
      </c>
      <c r="F223" s="10" t="inlineStr">
        <is>
          <t>Perch-likes</t>
        </is>
      </c>
      <c r="G223" s="11" t="inlineStr">
        <is>
          <t>Croakers (&gt; 30 cm)</t>
        </is>
      </c>
      <c r="H223" s="12" t="n">
        <v>0.619718309859155</v>
      </c>
      <c r="I223" s="10" t="inlineStr">
        <is>
          <t>model_catch</t>
        </is>
      </c>
      <c r="J223" s="13" t="inlineStr">
        <is>
          <t>low</t>
        </is>
      </c>
      <c r="K223" s="10" t="inlineStr">
        <is>
          <t>composite_split</t>
        </is>
      </c>
      <c r="L22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3" s="10" t="n">
        <v>263763.118</v>
      </c>
    </row>
    <row r="224" ht="51" customHeight="1">
      <c r="A224" s="10" t="inlineStr">
        <is>
          <t>LME_036</t>
        </is>
      </c>
      <c r="B224" s="11" t="inlineStr">
        <is>
          <t>36_2_South_China_Sea_SCS-2007_Northern_South_China_Sea_(1970s)</t>
        </is>
      </c>
      <c r="C224" s="11" t="inlineStr">
        <is>
          <t>Tetraodontidae</t>
        </is>
      </c>
      <c r="D224" s="10" t="inlineStr">
        <is>
          <t>Puffers, tobies</t>
        </is>
      </c>
      <c r="E224" s="10" t="inlineStr">
        <is>
          <t>Large reef assoc. fish (&gt;=90 cm)</t>
        </is>
      </c>
      <c r="F224" s="10" t="inlineStr">
        <is>
          <t>Other fishes &amp; inverts</t>
        </is>
      </c>
      <c r="G224" s="11" t="inlineStr">
        <is>
          <t>Juvenile demersal fish (&gt; 30 cm)</t>
        </is>
      </c>
      <c r="H224" s="12" t="n">
        <v>0.2002781641168289</v>
      </c>
      <c r="I224" s="10" t="inlineStr">
        <is>
          <t>model_catch</t>
        </is>
      </c>
      <c r="J224" s="14" t="inlineStr">
        <is>
          <t>medium</t>
        </is>
      </c>
      <c r="K224" s="10" t="inlineStr">
        <is>
          <t>composite_split</t>
        </is>
      </c>
      <c r="L22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4" s="10" t="n">
        <v>263264.128</v>
      </c>
    </row>
    <row r="225" ht="51" customHeight="1">
      <c r="A225" s="10" t="inlineStr">
        <is>
          <t>LME_036</t>
        </is>
      </c>
      <c r="B225" s="11" t="inlineStr">
        <is>
          <t>36_2_South_China_Sea_SCS-2007_Northern_South_China_Sea_(1970s)</t>
        </is>
      </c>
      <c r="C225" s="11" t="inlineStr">
        <is>
          <t>Tetraodontidae</t>
        </is>
      </c>
      <c r="D225" s="10" t="inlineStr">
        <is>
          <t>Puffers, tobies</t>
        </is>
      </c>
      <c r="E225" s="10" t="inlineStr">
        <is>
          <t>Large reef assoc. fish (&gt;=90 cm)</t>
        </is>
      </c>
      <c r="F225" s="10" t="inlineStr">
        <is>
          <t>Other fishes &amp; inverts</t>
        </is>
      </c>
      <c r="G225" s="11" t="inlineStr">
        <is>
          <t>Adult demersal fish (&gt; 30 cm)</t>
        </is>
      </c>
      <c r="H225" s="12" t="n">
        <v>0.799721835883171</v>
      </c>
      <c r="I225" s="10" t="inlineStr">
        <is>
          <t>model_catch</t>
        </is>
      </c>
      <c r="J225" s="14" t="inlineStr">
        <is>
          <t>medium</t>
        </is>
      </c>
      <c r="K225" s="10" t="inlineStr">
        <is>
          <t>composite_split</t>
        </is>
      </c>
      <c r="L2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5" s="10" t="n">
        <v>263264.128</v>
      </c>
    </row>
    <row r="226" ht="36" customHeight="1">
      <c r="A226" s="10" t="inlineStr">
        <is>
          <t>LME_036</t>
        </is>
      </c>
      <c r="B226" s="11" t="inlineStr">
        <is>
          <t>36_2_South_China_Sea_SCS-2007_Northern_South_China_Sea_(1970s)</t>
        </is>
      </c>
      <c r="C226" s="11" t="inlineStr">
        <is>
          <t>Exocoetidae</t>
        </is>
      </c>
      <c r="D226" s="10" t="inlineStr">
        <is>
          <t>Flyingfishes</t>
        </is>
      </c>
      <c r="E226" s="10" t="inlineStr">
        <is>
          <t>Small pelagics (&lt;30 cm)</t>
        </is>
      </c>
      <c r="F226" s="10" t="inlineStr">
        <is>
          <t>Other fishes &amp; inverts</t>
        </is>
      </c>
      <c r="G226" s="11" t="inlineStr">
        <is>
          <t>Pelagic fish (≤ 30 cm)</t>
        </is>
      </c>
      <c r="H226" s="12" t="n">
        <v>1</v>
      </c>
      <c r="I226" s="10" t="inlineStr">
        <is>
          <t>single</t>
        </is>
      </c>
      <c r="J226" s="14" t="inlineStr">
        <is>
          <t>medium</t>
        </is>
      </c>
      <c r="K226" s="10" t="inlineStr">
        <is>
          <t>habitat_size_guild</t>
        </is>
      </c>
      <c r="L226" s="11" t="inlineStr">
        <is>
          <t>Analyst habitat/size inference: SAU small-pelagic class matches the source &lt;=30 cm pelagic pool after dedicated source taxa were handled (Appendix 6.1.23 p.338).</t>
        </is>
      </c>
      <c r="M226" s="10" t="n">
        <v>259369.398</v>
      </c>
    </row>
    <row r="227" ht="36" customHeight="1">
      <c r="A227" s="10" t="inlineStr">
        <is>
          <t>LME_036</t>
        </is>
      </c>
      <c r="B227" s="11" t="inlineStr">
        <is>
          <t>36_2_South_China_Sea_SCS-2007_Northern_South_China_Sea_(1970s)</t>
        </is>
      </c>
      <c r="C227" s="11" t="inlineStr">
        <is>
          <t>Upeneus</t>
        </is>
      </c>
      <c r="D227" s="10" t="inlineStr">
        <is>
          <t>Upeneid goatfishes</t>
        </is>
      </c>
      <c r="E227" s="10" t="inlineStr">
        <is>
          <t>Small reef assoc. fish (&lt;30 cm)</t>
        </is>
      </c>
      <c r="F227" s="10" t="inlineStr">
        <is>
          <t>Perch-likes</t>
        </is>
      </c>
      <c r="G227" s="11" t="inlineStr">
        <is>
          <t>Demesral fish (≤ 30 cm)</t>
        </is>
      </c>
      <c r="H227" s="12" t="n">
        <v>1</v>
      </c>
      <c r="I227" s="10" t="inlineStr">
        <is>
          <t>single</t>
        </is>
      </c>
      <c r="J227" s="14" t="inlineStr">
        <is>
          <t>medium</t>
        </is>
      </c>
      <c r="K227" s="10" t="inlineStr">
        <is>
          <t>habitat_size_guild</t>
        </is>
      </c>
      <c r="L227" s="11" t="inlineStr">
        <is>
          <t>Analyst habitat/size inference: small demersal or reef-associated fish after excluding dedicated taxonomic groups, matching Appendix 6.1.19 &lt;=30 cm residual demersal pool.</t>
        </is>
      </c>
      <c r="M227" s="10" t="n">
        <v>257735.526</v>
      </c>
    </row>
    <row r="228" ht="51" customHeight="1">
      <c r="A228" s="10" t="inlineStr">
        <is>
          <t>LME_036</t>
        </is>
      </c>
      <c r="B228" s="11" t="inlineStr">
        <is>
          <t>36_2_South_China_Sea_SCS-2007_Northern_South_China_Sea_(1970s)</t>
        </is>
      </c>
      <c r="C228" s="11" t="inlineStr">
        <is>
          <t>Seriola</t>
        </is>
      </c>
      <c r="D228" s="10" t="inlineStr">
        <is>
          <t>Amberjacks</t>
        </is>
      </c>
      <c r="E228" s="10" t="inlineStr">
        <is>
          <t>Large benthopelagics (&gt;=90 cm)</t>
        </is>
      </c>
      <c r="F228" s="10" t="inlineStr">
        <is>
          <t>Perch-likes</t>
        </is>
      </c>
      <c r="G228" s="11" t="inlineStr">
        <is>
          <t>Juvenile large pelagic fish</t>
        </is>
      </c>
      <c r="H228" s="12" t="n">
        <v>0.2016806722689076</v>
      </c>
      <c r="I228" s="10" t="inlineStr">
        <is>
          <t>model_catch</t>
        </is>
      </c>
      <c r="J228" s="14" t="inlineStr">
        <is>
          <t>medium</t>
        </is>
      </c>
      <c r="K228" s="10" t="inlineStr">
        <is>
          <t>composite_split</t>
        </is>
      </c>
      <c r="L228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8" s="10" t="n">
        <v>256610.285</v>
      </c>
    </row>
    <row r="229" ht="51" customHeight="1">
      <c r="A229" s="10" t="inlineStr">
        <is>
          <t>LME_036</t>
        </is>
      </c>
      <c r="B229" s="11" t="inlineStr">
        <is>
          <t>36_2_South_China_Sea_SCS-2007_Northern_South_China_Sea_(1970s)</t>
        </is>
      </c>
      <c r="C229" s="11" t="inlineStr">
        <is>
          <t>Seriola</t>
        </is>
      </c>
      <c r="D229" s="10" t="inlineStr">
        <is>
          <t>Amberjacks</t>
        </is>
      </c>
      <c r="E229" s="10" t="inlineStr">
        <is>
          <t>Large benthopelagics (&gt;=90 cm)</t>
        </is>
      </c>
      <c r="F229" s="10" t="inlineStr">
        <is>
          <t>Perch-likes</t>
        </is>
      </c>
      <c r="G229" s="11" t="inlineStr">
        <is>
          <t>Pelagic fish (&gt; 30 cm)</t>
        </is>
      </c>
      <c r="H229" s="12" t="n">
        <v>0.7983193277310925</v>
      </c>
      <c r="I229" s="10" t="inlineStr">
        <is>
          <t>model_catch</t>
        </is>
      </c>
      <c r="J229" s="14" t="inlineStr">
        <is>
          <t>medium</t>
        </is>
      </c>
      <c r="K229" s="10" t="inlineStr">
        <is>
          <t>composite_split</t>
        </is>
      </c>
      <c r="L22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9" s="10" t="n">
        <v>256610.285</v>
      </c>
    </row>
    <row r="230" ht="51" customHeight="1">
      <c r="A230" s="10" t="inlineStr">
        <is>
          <t>LME_036</t>
        </is>
      </c>
      <c r="B230" s="11" t="inlineStr">
        <is>
          <t>36_2_South_China_Sea_SCS-2007_Northern_South_China_Sea_(1970s)</t>
        </is>
      </c>
      <c r="C230" s="11" t="inlineStr">
        <is>
          <t>Conger myriaster</t>
        </is>
      </c>
      <c r="D230" s="10" t="inlineStr">
        <is>
          <t>Whitespotted conger</t>
        </is>
      </c>
      <c r="E230" s="10" t="inlineStr">
        <is>
          <t>Medium demersals (30 - 89 cm)</t>
        </is>
      </c>
      <c r="F230" s="10" t="inlineStr">
        <is>
          <t>Other fishes &amp; inverts</t>
        </is>
      </c>
      <c r="G230" s="11" t="inlineStr">
        <is>
          <t>Juvenile demersal fish (&gt; 30 cm)</t>
        </is>
      </c>
      <c r="H230" s="12" t="n">
        <v>0.2002781641168289</v>
      </c>
      <c r="I230" s="10" t="inlineStr">
        <is>
          <t>model_catch</t>
        </is>
      </c>
      <c r="J230" s="14" t="inlineStr">
        <is>
          <t>medium</t>
        </is>
      </c>
      <c r="K230" s="10" t="inlineStr">
        <is>
          <t>composite_split</t>
        </is>
      </c>
      <c r="L23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0" s="10" t="n">
        <v>251358.773</v>
      </c>
    </row>
    <row r="231" ht="51" customHeight="1">
      <c r="A231" s="10" t="inlineStr">
        <is>
          <t>LME_036</t>
        </is>
      </c>
      <c r="B231" s="11" t="inlineStr">
        <is>
          <t>36_2_South_China_Sea_SCS-2007_Northern_South_China_Sea_(1970s)</t>
        </is>
      </c>
      <c r="C231" s="11" t="inlineStr">
        <is>
          <t>Conger myriaster</t>
        </is>
      </c>
      <c r="D231" s="10" t="inlineStr">
        <is>
          <t>Whitespotted conger</t>
        </is>
      </c>
      <c r="E231" s="10" t="inlineStr">
        <is>
          <t>Medium demersals (30 - 89 cm)</t>
        </is>
      </c>
      <c r="F231" s="10" t="inlineStr">
        <is>
          <t>Other fishes &amp; inverts</t>
        </is>
      </c>
      <c r="G231" s="11" t="inlineStr">
        <is>
          <t>Adult demersal fish (&gt; 30 cm)</t>
        </is>
      </c>
      <c r="H231" s="12" t="n">
        <v>0.799721835883171</v>
      </c>
      <c r="I231" s="10" t="inlineStr">
        <is>
          <t>model_catch</t>
        </is>
      </c>
      <c r="J231" s="14" t="inlineStr">
        <is>
          <t>medium</t>
        </is>
      </c>
      <c r="K231" s="10" t="inlineStr">
        <is>
          <t>composite_split</t>
        </is>
      </c>
      <c r="L2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1" s="10" t="n">
        <v>251358.773</v>
      </c>
    </row>
    <row r="232" ht="51" customHeight="1">
      <c r="A232" s="10" t="inlineStr">
        <is>
          <t>LME_036</t>
        </is>
      </c>
      <c r="B232" s="11" t="inlineStr">
        <is>
          <t>36_2_South_China_Sea_SCS-2007_Northern_South_China_Sea_(1970s)</t>
        </is>
      </c>
      <c r="C232" s="11" t="inlineStr">
        <is>
          <t>Mugil</t>
        </is>
      </c>
      <c r="D232" s="10" t="inlineStr">
        <is>
          <t>Grey mullets</t>
        </is>
      </c>
      <c r="E232" s="10" t="inlineStr">
        <is>
          <t>Medium demersals (30 - 89 cm)</t>
        </is>
      </c>
      <c r="F232" s="10" t="inlineStr">
        <is>
          <t>Perch-likes</t>
        </is>
      </c>
      <c r="G232" s="11" t="inlineStr">
        <is>
          <t>Juvenile demersal fish (&gt; 30 cm)</t>
        </is>
      </c>
      <c r="H232" s="12" t="n">
        <v>0.2002781641168289</v>
      </c>
      <c r="I232" s="10" t="inlineStr">
        <is>
          <t>model_catch</t>
        </is>
      </c>
      <c r="J232" s="14" t="inlineStr">
        <is>
          <t>medium</t>
        </is>
      </c>
      <c r="K232" s="10" t="inlineStr">
        <is>
          <t>composite_split</t>
        </is>
      </c>
      <c r="L2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2" s="10" t="n">
        <v>250541.412</v>
      </c>
    </row>
    <row r="233" ht="51" customHeight="1">
      <c r="A233" s="10" t="inlineStr">
        <is>
          <t>LME_036</t>
        </is>
      </c>
      <c r="B233" s="11" t="inlineStr">
        <is>
          <t>36_2_South_China_Sea_SCS-2007_Northern_South_China_Sea_(1970s)</t>
        </is>
      </c>
      <c r="C233" s="11" t="inlineStr">
        <is>
          <t>Mugil</t>
        </is>
      </c>
      <c r="D233" s="10" t="inlineStr">
        <is>
          <t>Grey mullets</t>
        </is>
      </c>
      <c r="E233" s="10" t="inlineStr">
        <is>
          <t>Medium demersals (30 - 89 cm)</t>
        </is>
      </c>
      <c r="F233" s="10" t="inlineStr">
        <is>
          <t>Perch-likes</t>
        </is>
      </c>
      <c r="G233" s="11" t="inlineStr">
        <is>
          <t>Adult demersal fish (&gt; 30 cm)</t>
        </is>
      </c>
      <c r="H233" s="12" t="n">
        <v>0.799721835883171</v>
      </c>
      <c r="I233" s="10" t="inlineStr">
        <is>
          <t>model_catch</t>
        </is>
      </c>
      <c r="J233" s="14" t="inlineStr">
        <is>
          <t>medium</t>
        </is>
      </c>
      <c r="K233" s="10" t="inlineStr">
        <is>
          <t>composite_split</t>
        </is>
      </c>
      <c r="L2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3" s="10" t="n">
        <v>250541.412</v>
      </c>
    </row>
    <row r="234" ht="36" customHeight="1">
      <c r="A234" s="10" t="inlineStr">
        <is>
          <t>LME_036</t>
        </is>
      </c>
      <c r="B234" s="11" t="inlineStr">
        <is>
          <t>36_2_South_China_Sea_SCS-2007_Northern_South_China_Sea_(1970s)</t>
        </is>
      </c>
      <c r="C234" s="11" t="inlineStr">
        <is>
          <t>Psettodes erumei</t>
        </is>
      </c>
      <c r="D234" s="10" t="inlineStr">
        <is>
          <t>Indian halibut</t>
        </is>
      </c>
      <c r="E234" s="10" t="inlineStr">
        <is>
          <t>Small to medium flatfishes (&lt;90 cm)</t>
        </is>
      </c>
      <c r="F234" s="10" t="inlineStr">
        <is>
          <t>Flatfishes</t>
        </is>
      </c>
      <c r="G234" s="11" t="inlineStr">
        <is>
          <t>Demesral fish (≤ 30 cm)</t>
        </is>
      </c>
      <c r="H234" s="12" t="n">
        <v>0.3854700854700854</v>
      </c>
      <c r="I234" s="10" t="inlineStr">
        <is>
          <t>model_catch</t>
        </is>
      </c>
      <c r="J234" s="13" t="inlineStr">
        <is>
          <t>low</t>
        </is>
      </c>
      <c r="K234" s="10" t="inlineStr">
        <is>
          <t>composite_split</t>
        </is>
      </c>
      <c r="L2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4" s="10" t="n">
        <v>243309.877</v>
      </c>
    </row>
    <row r="235" ht="36" customHeight="1">
      <c r="A235" s="10" t="inlineStr">
        <is>
          <t>LME_036</t>
        </is>
      </c>
      <c r="B235" s="11" t="inlineStr">
        <is>
          <t>36_2_South_China_Sea_SCS-2007_Northern_South_China_Sea_(1970s)</t>
        </is>
      </c>
      <c r="C235" s="11" t="inlineStr">
        <is>
          <t>Psettodes erumei</t>
        </is>
      </c>
      <c r="D235" s="10" t="inlineStr">
        <is>
          <t>Indian halibut</t>
        </is>
      </c>
      <c r="E235" s="10" t="inlineStr">
        <is>
          <t>Small to medium flatfishes (&lt;90 cm)</t>
        </is>
      </c>
      <c r="F235" s="10" t="inlineStr">
        <is>
          <t>Flatfishes</t>
        </is>
      </c>
      <c r="G235" s="11" t="inlineStr">
        <is>
          <t>Juvenile demersal fish (&gt; 30 cm)</t>
        </is>
      </c>
      <c r="H235" s="12" t="n">
        <v>0.1230769230769231</v>
      </c>
      <c r="I235" s="10" t="inlineStr">
        <is>
          <t>model_catch</t>
        </is>
      </c>
      <c r="J235" s="13" t="inlineStr">
        <is>
          <t>low</t>
        </is>
      </c>
      <c r="K235" s="10" t="inlineStr">
        <is>
          <t>composite_split</t>
        </is>
      </c>
      <c r="L235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5" s="10" t="n">
        <v>243309.877</v>
      </c>
    </row>
    <row r="236" ht="36" customHeight="1">
      <c r="A236" s="10" t="inlineStr">
        <is>
          <t>LME_036</t>
        </is>
      </c>
      <c r="B236" s="11" t="inlineStr">
        <is>
          <t>36_2_South_China_Sea_SCS-2007_Northern_South_China_Sea_(1970s)</t>
        </is>
      </c>
      <c r="C236" s="11" t="inlineStr">
        <is>
          <t>Psettodes erumei</t>
        </is>
      </c>
      <c r="D236" s="10" t="inlineStr">
        <is>
          <t>Indian halibut</t>
        </is>
      </c>
      <c r="E236" s="10" t="inlineStr">
        <is>
          <t>Small to medium flatfishes (&lt;90 cm)</t>
        </is>
      </c>
      <c r="F236" s="10" t="inlineStr">
        <is>
          <t>Flatfishes</t>
        </is>
      </c>
      <c r="G236" s="11" t="inlineStr">
        <is>
          <t>Adult demersal fish (&gt; 30 cm)</t>
        </is>
      </c>
      <c r="H236" s="12" t="n">
        <v>0.4914529914529914</v>
      </c>
      <c r="I236" s="10" t="inlineStr">
        <is>
          <t>model_catch</t>
        </is>
      </c>
      <c r="J236" s="13" t="inlineStr">
        <is>
          <t>low</t>
        </is>
      </c>
      <c r="K236" s="10" t="inlineStr">
        <is>
          <t>composite_split</t>
        </is>
      </c>
      <c r="L236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6" s="10" t="n">
        <v>243309.877</v>
      </c>
    </row>
    <row r="237" ht="36" customHeight="1">
      <c r="A237" s="10" t="inlineStr">
        <is>
          <t>LME_036</t>
        </is>
      </c>
      <c r="B237" s="11" t="inlineStr">
        <is>
          <t>36_2_South_China_Sea_SCS-2007_Northern_South_China_Sea_(1970s)</t>
        </is>
      </c>
      <c r="C237" s="11" t="inlineStr">
        <is>
          <t>Acetes</t>
        </is>
      </c>
      <c r="D237" s="10" t="inlineStr">
        <is>
          <t>Acetes shrimps</t>
        </is>
      </c>
      <c r="E237" s="10" t="inlineStr">
        <is>
          <t>Shrimps</t>
        </is>
      </c>
      <c r="F237" s="10" t="inlineStr">
        <is>
          <t>Crustaceans</t>
        </is>
      </c>
      <c r="G237" s="11" t="inlineStr">
        <is>
          <t>Zooplankton</t>
        </is>
      </c>
      <c r="H237" s="12" t="n">
        <v>1</v>
      </c>
      <c r="I237" s="10" t="inlineStr">
        <is>
          <t>single</t>
        </is>
      </c>
      <c r="J237" s="15" t="inlineStr">
        <is>
          <t>high</t>
        </is>
      </c>
      <c r="K237" s="10" t="inlineStr">
        <is>
          <t>explicit_member</t>
        </is>
      </c>
      <c r="L237" s="11" t="inlineStr">
        <is>
          <t>Appendix 6.1.3 p.323 explicitly records Acetes spp. (Mo shrimp) catch in Zooplankton, overriding the SAU shrimp class.</t>
        </is>
      </c>
      <c r="M237" s="10" t="n">
        <v>228664.177</v>
      </c>
    </row>
    <row r="238" ht="36" customHeight="1">
      <c r="A238" s="10" t="inlineStr">
        <is>
          <t>LME_036</t>
        </is>
      </c>
      <c r="B238" s="11" t="inlineStr">
        <is>
          <t>36_2_South_China_Sea_SCS-2007_Northern_South_China_Sea_(1970s)</t>
        </is>
      </c>
      <c r="C238" s="11" t="inlineStr">
        <is>
          <t>Cypselurus poecilopterus</t>
        </is>
      </c>
      <c r="D238" s="10" t="inlineStr">
        <is>
          <t>Yellowing flyingfish</t>
        </is>
      </c>
      <c r="E238" s="10" t="inlineStr">
        <is>
          <t>Small pelagics (&lt;30 cm)</t>
        </is>
      </c>
      <c r="F238" s="10" t="inlineStr">
        <is>
          <t>Other fishes &amp; inverts</t>
        </is>
      </c>
      <c r="G238" s="11" t="inlineStr">
        <is>
          <t>Pelagic fish (≤ 30 cm)</t>
        </is>
      </c>
      <c r="H238" s="12" t="n">
        <v>1</v>
      </c>
      <c r="I238" s="10" t="inlineStr">
        <is>
          <t>single</t>
        </is>
      </c>
      <c r="J238" s="14" t="inlineStr">
        <is>
          <t>medium</t>
        </is>
      </c>
      <c r="K238" s="10" t="inlineStr">
        <is>
          <t>habitat_size_guild</t>
        </is>
      </c>
      <c r="L238" s="11" t="inlineStr">
        <is>
          <t>Analyst habitat/size inference: SAU small-pelagic class matches the source &lt;=30 cm pelagic pool after dedicated source taxa were handled (Appendix 6.1.23 p.338).</t>
        </is>
      </c>
      <c r="M238" s="10" t="n">
        <v>227463.169</v>
      </c>
    </row>
    <row r="239" ht="36" customHeight="1">
      <c r="A239" s="10" t="inlineStr">
        <is>
          <t>LME_036</t>
        </is>
      </c>
      <c r="B239" s="11" t="inlineStr">
        <is>
          <t>36_2_South_China_Sea_SCS-2007_Northern_South_China_Sea_(1970s)</t>
        </is>
      </c>
      <c r="C239" s="11" t="inlineStr">
        <is>
          <t>Decapterus russelli</t>
        </is>
      </c>
      <c r="D239" s="10" t="inlineStr">
        <is>
          <t>Indian scad</t>
        </is>
      </c>
      <c r="E239" s="10" t="inlineStr">
        <is>
          <t>Medium pelagics (30 - 89 cm)</t>
        </is>
      </c>
      <c r="F239" s="10" t="inlineStr">
        <is>
          <t>Perch-likes</t>
        </is>
      </c>
      <c r="G239" s="11" t="inlineStr">
        <is>
          <t>Juvenile large pelagic fish</t>
        </is>
      </c>
      <c r="H239" s="12" t="n">
        <v>0.2016806722689076</v>
      </c>
      <c r="I239" s="10" t="inlineStr">
        <is>
          <t>model_catch</t>
        </is>
      </c>
      <c r="J239" s="14" t="inlineStr">
        <is>
          <t>medium</t>
        </is>
      </c>
      <c r="K239" s="10" t="inlineStr">
        <is>
          <t>composite_split</t>
        </is>
      </c>
      <c r="L239" s="11" t="inlineStr">
        <is>
          <t>Analyst habitat/size inference to source &gt;30 cm pelagic fish (Appendix 6.1.24 p.339); no age data, so split juvenile/adult using the period model catch.</t>
        </is>
      </c>
      <c r="M239" s="10" t="n">
        <v>223374.635</v>
      </c>
    </row>
    <row r="240" ht="36" customHeight="1">
      <c r="A240" s="10" t="inlineStr">
        <is>
          <t>LME_036</t>
        </is>
      </c>
      <c r="B240" s="11" t="inlineStr">
        <is>
          <t>36_2_South_China_Sea_SCS-2007_Northern_South_China_Sea_(1970s)</t>
        </is>
      </c>
      <c r="C240" s="11" t="inlineStr">
        <is>
          <t>Decapterus russelli</t>
        </is>
      </c>
      <c r="D240" s="10" t="inlineStr">
        <is>
          <t>Indian scad</t>
        </is>
      </c>
      <c r="E240" s="10" t="inlineStr">
        <is>
          <t>Medium pelagics (30 - 89 cm)</t>
        </is>
      </c>
      <c r="F240" s="10" t="inlineStr">
        <is>
          <t>Perch-likes</t>
        </is>
      </c>
      <c r="G240" s="11" t="inlineStr">
        <is>
          <t>Pelagic fish (&gt; 30 cm)</t>
        </is>
      </c>
      <c r="H240" s="12" t="n">
        <v>0.7983193277310925</v>
      </c>
      <c r="I240" s="10" t="inlineStr">
        <is>
          <t>model_catch</t>
        </is>
      </c>
      <c r="J240" s="14" t="inlineStr">
        <is>
          <t>medium</t>
        </is>
      </c>
      <c r="K240" s="10" t="inlineStr">
        <is>
          <t>composite_split</t>
        </is>
      </c>
      <c r="L240" s="11" t="inlineStr">
        <is>
          <t>Analyst habitat/size inference to source &gt;30 cm pelagic fish (Appendix 6.1.24 p.339); no age data, so split juvenile/adult using the period model catch.</t>
        </is>
      </c>
      <c r="M240" s="10" t="n">
        <v>223374.635</v>
      </c>
    </row>
    <row r="241" ht="51" customHeight="1">
      <c r="A241" s="10" t="inlineStr">
        <is>
          <t>LME_036</t>
        </is>
      </c>
      <c r="B241" s="11" t="inlineStr">
        <is>
          <t>36_2_South_China_Sea_SCS-2007_Northern_South_China_Sea_(1970s)</t>
        </is>
      </c>
      <c r="C241" s="11" t="inlineStr">
        <is>
          <t>Lethrinidae</t>
        </is>
      </c>
      <c r="D241" s="10" t="inlineStr">
        <is>
          <t>Emperors, scavengers</t>
        </is>
      </c>
      <c r="E241" s="10" t="inlineStr">
        <is>
          <t>Medium reef assoc. fish (30 - 89 cm)</t>
        </is>
      </c>
      <c r="F241" s="10" t="inlineStr">
        <is>
          <t>Perch-likes</t>
        </is>
      </c>
      <c r="G241" s="11" t="inlineStr">
        <is>
          <t>Juvenile demersal fish (&gt; 30 cm)</t>
        </is>
      </c>
      <c r="H241" s="12" t="n">
        <v>0.2002781641168289</v>
      </c>
      <c r="I241" s="10" t="inlineStr">
        <is>
          <t>model_catch</t>
        </is>
      </c>
      <c r="J241" s="14" t="inlineStr">
        <is>
          <t>medium</t>
        </is>
      </c>
      <c r="K241" s="10" t="inlineStr">
        <is>
          <t>composite_split</t>
        </is>
      </c>
      <c r="L2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1" s="10" t="n">
        <v>223228.683</v>
      </c>
    </row>
    <row r="242" ht="51" customHeight="1">
      <c r="A242" s="10" t="inlineStr">
        <is>
          <t>LME_036</t>
        </is>
      </c>
      <c r="B242" s="11" t="inlineStr">
        <is>
          <t>36_2_South_China_Sea_SCS-2007_Northern_South_China_Sea_(1970s)</t>
        </is>
      </c>
      <c r="C242" s="11" t="inlineStr">
        <is>
          <t>Lethrinidae</t>
        </is>
      </c>
      <c r="D242" s="10" t="inlineStr">
        <is>
          <t>Emperors, scavengers</t>
        </is>
      </c>
      <c r="E242" s="10" t="inlineStr">
        <is>
          <t>Medium reef assoc. fish (30 - 89 cm)</t>
        </is>
      </c>
      <c r="F242" s="10" t="inlineStr">
        <is>
          <t>Perch-likes</t>
        </is>
      </c>
      <c r="G242" s="11" t="inlineStr">
        <is>
          <t>Adult demersal fish (&gt; 30 cm)</t>
        </is>
      </c>
      <c r="H242" s="12" t="n">
        <v>0.799721835883171</v>
      </c>
      <c r="I242" s="10" t="inlineStr">
        <is>
          <t>model_catch</t>
        </is>
      </c>
      <c r="J242" s="14" t="inlineStr">
        <is>
          <t>medium</t>
        </is>
      </c>
      <c r="K242" s="10" t="inlineStr">
        <is>
          <t>composite_split</t>
        </is>
      </c>
      <c r="L24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2" s="10" t="n">
        <v>223228.683</v>
      </c>
    </row>
    <row r="243" ht="51" customHeight="1">
      <c r="A243" s="10" t="inlineStr">
        <is>
          <t>LME_036</t>
        </is>
      </c>
      <c r="B243" s="11" t="inlineStr">
        <is>
          <t>36_2_South_China_Sea_SCS-2007_Northern_South_China_Sea_(1970s)</t>
        </is>
      </c>
      <c r="C243" s="11" t="inlineStr">
        <is>
          <t>Scomberoides</t>
        </is>
      </c>
      <c r="D243" s="10" t="inlineStr">
        <is>
          <t>Queenfishes</t>
        </is>
      </c>
      <c r="E243" s="10" t="inlineStr">
        <is>
          <t>Medium pelagics (30 - 89 cm)</t>
        </is>
      </c>
      <c r="F243" s="10" t="inlineStr">
        <is>
          <t>Perch-likes</t>
        </is>
      </c>
      <c r="G243" s="11" t="inlineStr">
        <is>
          <t>Juvenile large pelagic fish</t>
        </is>
      </c>
      <c r="H243" s="12" t="n">
        <v>0.2016806722689076</v>
      </c>
      <c r="I243" s="10" t="inlineStr">
        <is>
          <t>model_catch</t>
        </is>
      </c>
      <c r="J243" s="14" t="inlineStr">
        <is>
          <t>medium</t>
        </is>
      </c>
      <c r="K243" s="10" t="inlineStr">
        <is>
          <t>composite_split</t>
        </is>
      </c>
      <c r="L2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3" s="10" t="n">
        <v>213902.867</v>
      </c>
    </row>
    <row r="244" ht="51" customHeight="1">
      <c r="A244" s="10" t="inlineStr">
        <is>
          <t>LME_036</t>
        </is>
      </c>
      <c r="B244" s="11" t="inlineStr">
        <is>
          <t>36_2_South_China_Sea_SCS-2007_Northern_South_China_Sea_(1970s)</t>
        </is>
      </c>
      <c r="C244" s="11" t="inlineStr">
        <is>
          <t>Scomberoides</t>
        </is>
      </c>
      <c r="D244" s="10" t="inlineStr">
        <is>
          <t>Queenfishes</t>
        </is>
      </c>
      <c r="E244" s="10" t="inlineStr">
        <is>
          <t>Medium pelagics (30 - 89 cm)</t>
        </is>
      </c>
      <c r="F244" s="10" t="inlineStr">
        <is>
          <t>Perch-likes</t>
        </is>
      </c>
      <c r="G244" s="11" t="inlineStr">
        <is>
          <t>Pelagic fish (&gt; 30 cm)</t>
        </is>
      </c>
      <c r="H244" s="12" t="n">
        <v>0.7983193277310925</v>
      </c>
      <c r="I244" s="10" t="inlineStr">
        <is>
          <t>model_catch</t>
        </is>
      </c>
      <c r="J244" s="14" t="inlineStr">
        <is>
          <t>medium</t>
        </is>
      </c>
      <c r="K244" s="10" t="inlineStr">
        <is>
          <t>composite_split</t>
        </is>
      </c>
      <c r="L2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4" s="10" t="n">
        <v>213902.867</v>
      </c>
    </row>
    <row r="245" ht="51" customHeight="1">
      <c r="A245" s="10" t="inlineStr">
        <is>
          <t>LME_036</t>
        </is>
      </c>
      <c r="B245" s="11" t="inlineStr">
        <is>
          <t>36_2_South_China_Sea_SCS-2007_Northern_South_China_Sea_(1970s)</t>
        </is>
      </c>
      <c r="C245" s="11" t="inlineStr">
        <is>
          <t>Caranx</t>
        </is>
      </c>
      <c r="D245" s="10" t="inlineStr">
        <is>
          <t>Jacks</t>
        </is>
      </c>
      <c r="E245" s="10" t="inlineStr">
        <is>
          <t>Medium reef assoc. fish (30 - 89 cm)</t>
        </is>
      </c>
      <c r="F245" s="10" t="inlineStr">
        <is>
          <t>Perch-likes</t>
        </is>
      </c>
      <c r="G245" s="11" t="inlineStr">
        <is>
          <t>Juvenile large pelagic fish</t>
        </is>
      </c>
      <c r="H245" s="12" t="n">
        <v>0.2016806722689076</v>
      </c>
      <c r="I245" s="10" t="inlineStr">
        <is>
          <t>model_catch</t>
        </is>
      </c>
      <c r="J245" s="14" t="inlineStr">
        <is>
          <t>medium</t>
        </is>
      </c>
      <c r="K245" s="10" t="inlineStr">
        <is>
          <t>composite_split</t>
        </is>
      </c>
      <c r="L2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5" s="10" t="n">
        <v>208223.393</v>
      </c>
    </row>
    <row r="246" ht="51" customHeight="1">
      <c r="A246" s="10" t="inlineStr">
        <is>
          <t>LME_036</t>
        </is>
      </c>
      <c r="B246" s="11" t="inlineStr">
        <is>
          <t>36_2_South_China_Sea_SCS-2007_Northern_South_China_Sea_(1970s)</t>
        </is>
      </c>
      <c r="C246" s="11" t="inlineStr">
        <is>
          <t>Caranx</t>
        </is>
      </c>
      <c r="D246" s="10" t="inlineStr">
        <is>
          <t>Jacks</t>
        </is>
      </c>
      <c r="E246" s="10" t="inlineStr">
        <is>
          <t>Medium reef assoc. fish (30 - 89 cm)</t>
        </is>
      </c>
      <c r="F246" s="10" t="inlineStr">
        <is>
          <t>Perch-likes</t>
        </is>
      </c>
      <c r="G246" s="11" t="inlineStr">
        <is>
          <t>Pelagic fish (&gt; 30 cm)</t>
        </is>
      </c>
      <c r="H246" s="12" t="n">
        <v>0.7983193277310925</v>
      </c>
      <c r="I246" s="10" t="inlineStr">
        <is>
          <t>model_catch</t>
        </is>
      </c>
      <c r="J246" s="14" t="inlineStr">
        <is>
          <t>medium</t>
        </is>
      </c>
      <c r="K246" s="10" t="inlineStr">
        <is>
          <t>composite_split</t>
        </is>
      </c>
      <c r="L2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6" s="10" t="n">
        <v>208223.393</v>
      </c>
    </row>
    <row r="247" ht="51" customHeight="1">
      <c r="A247" s="10" t="inlineStr">
        <is>
          <t>LME_036</t>
        </is>
      </c>
      <c r="B247" s="11" t="inlineStr">
        <is>
          <t>36_2_South_China_Sea_SCS-2007_Northern_South_China_Sea_(1970s)</t>
        </is>
      </c>
      <c r="C247" s="11" t="inlineStr">
        <is>
          <t>Muraenesox</t>
        </is>
      </c>
      <c r="D247" s="10" t="inlineStr">
        <is>
          <t>Congers</t>
        </is>
      </c>
      <c r="E247" s="10" t="inlineStr">
        <is>
          <t>Large demersals (&gt;=90 cm)</t>
        </is>
      </c>
      <c r="F247" s="10" t="inlineStr">
        <is>
          <t>Other fishes &amp; inverts</t>
        </is>
      </c>
      <c r="G247" s="11" t="inlineStr">
        <is>
          <t>Juvenile demersal fish (&gt; 30 cm)</t>
        </is>
      </c>
      <c r="H247" s="12" t="n">
        <v>0.2002781641168289</v>
      </c>
      <c r="I247" s="10" t="inlineStr">
        <is>
          <t>model_catch</t>
        </is>
      </c>
      <c r="J247" s="14" t="inlineStr">
        <is>
          <t>medium</t>
        </is>
      </c>
      <c r="K247" s="10" t="inlineStr">
        <is>
          <t>composite_split</t>
        </is>
      </c>
      <c r="L2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7" s="10" t="n">
        <v>206325.739</v>
      </c>
    </row>
    <row r="248" ht="51" customHeight="1">
      <c r="A248" s="10" t="inlineStr">
        <is>
          <t>LME_036</t>
        </is>
      </c>
      <c r="B248" s="11" t="inlineStr">
        <is>
          <t>36_2_South_China_Sea_SCS-2007_Northern_South_China_Sea_(1970s)</t>
        </is>
      </c>
      <c r="C248" s="11" t="inlineStr">
        <is>
          <t>Muraenesox</t>
        </is>
      </c>
      <c r="D248" s="10" t="inlineStr">
        <is>
          <t>Congers</t>
        </is>
      </c>
      <c r="E248" s="10" t="inlineStr">
        <is>
          <t>Large demersals (&gt;=90 cm)</t>
        </is>
      </c>
      <c r="F248" s="10" t="inlineStr">
        <is>
          <t>Other fishes &amp; inverts</t>
        </is>
      </c>
      <c r="G248" s="11" t="inlineStr">
        <is>
          <t>Adult demersal fish (&gt; 30 cm)</t>
        </is>
      </c>
      <c r="H248" s="12" t="n">
        <v>0.799721835883171</v>
      </c>
      <c r="I248" s="10" t="inlineStr">
        <is>
          <t>model_catch</t>
        </is>
      </c>
      <c r="J248" s="14" t="inlineStr">
        <is>
          <t>medium</t>
        </is>
      </c>
      <c r="K248" s="10" t="inlineStr">
        <is>
          <t>composite_split</t>
        </is>
      </c>
      <c r="L2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8" s="10" t="n">
        <v>206325.739</v>
      </c>
    </row>
    <row r="249" ht="51" customHeight="1">
      <c r="A249" s="10" t="inlineStr">
        <is>
          <t>LME_036</t>
        </is>
      </c>
      <c r="B249" s="11" t="inlineStr">
        <is>
          <t>36_2_South_China_Sea_SCS-2007_Northern_South_China_Sea_(1970s)</t>
        </is>
      </c>
      <c r="C249" s="11" t="inlineStr">
        <is>
          <t>Cephalopholis boenak</t>
        </is>
      </c>
      <c r="D249" s="10" t="inlineStr">
        <is>
          <t>Chocolate hind</t>
        </is>
      </c>
      <c r="E249" s="10" t="inlineStr">
        <is>
          <t>Small reef assoc. fish (&lt;30 cm)</t>
        </is>
      </c>
      <c r="F249" s="10" t="inlineStr">
        <is>
          <t>Perch-likes</t>
        </is>
      </c>
      <c r="G249" s="11" t="inlineStr">
        <is>
          <t>Adult groupers</t>
        </is>
      </c>
      <c r="H249" s="12" t="n">
        <v>1</v>
      </c>
      <c r="I249" s="10" t="inlineStr">
        <is>
          <t>single</t>
        </is>
      </c>
      <c r="J249" s="15" t="inlineStr">
        <is>
          <t>high</t>
        </is>
      </c>
      <c r="K249" s="10" t="inlineStr">
        <is>
          <t>taxonomic_containment</t>
        </is>
      </c>
      <c r="L249" s="11" t="inlineStr">
        <is>
          <t>Appendix 6.1 pp.327-335 defines Adult groupers by this family or explicitly names Cephalopholis boenak; dedicated source placement overrides the SAU class Small reef assoc. fish (&lt;30 cm).</t>
        </is>
      </c>
      <c r="M249" s="10" t="n">
        <v>195009.722</v>
      </c>
    </row>
    <row r="250" ht="36" customHeight="1">
      <c r="A250" s="10" t="inlineStr">
        <is>
          <t>LME_036</t>
        </is>
      </c>
      <c r="B250" s="11" t="inlineStr">
        <is>
          <t>36_2_South_China_Sea_SCS-2007_Northern_South_China_Sea_(1970s)</t>
        </is>
      </c>
      <c r="C250" s="11" t="inlineStr">
        <is>
          <t>Decapterus maruadsi</t>
        </is>
      </c>
      <c r="D250" s="10" t="inlineStr">
        <is>
          <t>Japanese scad</t>
        </is>
      </c>
      <c r="E250" s="10" t="inlineStr">
        <is>
          <t>Small pelagics (&lt;30 cm)</t>
        </is>
      </c>
      <c r="F250" s="10" t="inlineStr">
        <is>
          <t>Perch-likes</t>
        </is>
      </c>
      <c r="G250" s="11" t="inlineStr">
        <is>
          <t>Pelagic fish (≤ 30 cm)</t>
        </is>
      </c>
      <c r="H250" s="12" t="n">
        <v>1</v>
      </c>
      <c r="I250" s="10" t="inlineStr">
        <is>
          <t>single</t>
        </is>
      </c>
      <c r="J250" s="14" t="inlineStr">
        <is>
          <t>medium</t>
        </is>
      </c>
      <c r="K250" s="10" t="inlineStr">
        <is>
          <t>habitat_size_guild</t>
        </is>
      </c>
      <c r="L250" s="11" t="inlineStr">
        <is>
          <t>Analyst habitat/size inference: SAU small-pelagic class matches the source &lt;=30 cm pelagic pool after dedicated source taxa were handled (Appendix 6.1.23 p.338).</t>
        </is>
      </c>
      <c r="M250" s="10" t="n">
        <v>185635.069</v>
      </c>
    </row>
    <row r="251" ht="36" customHeight="1">
      <c r="A251" s="10" t="inlineStr">
        <is>
          <t>LME_036</t>
        </is>
      </c>
      <c r="B251" s="11" t="inlineStr">
        <is>
          <t>36_2_South_China_Sea_SCS-2007_Northern_South_China_Sea_(1970s)</t>
        </is>
      </c>
      <c r="C251" s="11" t="inlineStr">
        <is>
          <t>Veneridae</t>
        </is>
      </c>
      <c r="D251" s="10" t="inlineStr">
        <is>
          <t>Venus clams</t>
        </is>
      </c>
      <c r="E251" s="10" t="inlineStr">
        <is>
          <t>Other demersal invertebrates</t>
        </is>
      </c>
      <c r="F251" s="10" t="inlineStr">
        <is>
          <t>Molluscs</t>
        </is>
      </c>
      <c r="G251" s="11" t="inlineStr">
        <is>
          <t>Non-ceph molluscs</t>
        </is>
      </c>
      <c r="H251" s="12" t="n">
        <v>1</v>
      </c>
      <c r="I251" s="10" t="inlineStr">
        <is>
          <t>single</t>
        </is>
      </c>
      <c r="J251" s="15" t="inlineStr">
        <is>
          <t>high</t>
        </is>
      </c>
      <c r="K251" s="10" t="inlineStr">
        <is>
          <t>taxonomic_containment</t>
        </is>
      </c>
      <c r="L251" s="11" t="inlineStr">
        <is>
          <t>Taxonomic containment in the source benthos subdivision (Appendix 6.1.5 pp.324-325), keeping non-cephalopod molluscs separate from echinoderms and sessile invertebrates.</t>
        </is>
      </c>
      <c r="M251" s="10" t="n">
        <v>185556.572</v>
      </c>
    </row>
    <row r="252" ht="36" customHeight="1">
      <c r="A252" s="10" t="inlineStr">
        <is>
          <t>LME_036</t>
        </is>
      </c>
      <c r="B252" s="11" t="inlineStr">
        <is>
          <t>36_2_South_China_Sea_SCS-2007_Northern_South_China_Sea_(1970s)</t>
        </is>
      </c>
      <c r="C252" s="11" t="inlineStr">
        <is>
          <t>Isurus</t>
        </is>
      </c>
      <c r="D252" s="10" t="inlineStr">
        <is>
          <t>Mako sharks</t>
        </is>
      </c>
      <c r="E252" s="10" t="inlineStr">
        <is>
          <t>Large sharks (&gt;=90 cm)</t>
        </is>
      </c>
      <c r="F252" s="10" t="inlineStr">
        <is>
          <t>Sharks &amp; rays</t>
        </is>
      </c>
      <c r="G252" s="11" t="inlineStr">
        <is>
          <t>Pelagic sharks and rays</t>
        </is>
      </c>
      <c r="H252" s="12" t="n">
        <v>1</v>
      </c>
      <c r="I252" s="10" t="inlineStr">
        <is>
          <t>single</t>
        </is>
      </c>
      <c r="J252" s="14" t="inlineStr">
        <is>
          <t>medium</t>
        </is>
      </c>
      <c r="K252" s="10" t="inlineStr">
        <is>
          <t>habitat_size_guild</t>
        </is>
      </c>
      <c r="L252" s="11" t="inlineStr">
        <is>
          <t>Pelagic shark lineage matches the pelagic elasmobranch definition, Appendix 6.1.25 p.340; species placement is analyst inference.</t>
        </is>
      </c>
      <c r="M252" s="10" t="n">
        <v>177314.833</v>
      </c>
    </row>
    <row r="253" ht="36" customHeight="1">
      <c r="A253" s="10" t="inlineStr">
        <is>
          <t>LME_036</t>
        </is>
      </c>
      <c r="B253" s="11" t="inlineStr">
        <is>
          <t>36_2_South_China_Sea_SCS-2007_Northern_South_China_Sea_(1970s)</t>
        </is>
      </c>
      <c r="C253" s="11" t="inlineStr">
        <is>
          <t>Sphyraenidae</t>
        </is>
      </c>
      <c r="D253" s="10" t="inlineStr">
        <is>
          <t>Barracudas</t>
        </is>
      </c>
      <c r="E253" s="10" t="inlineStr">
        <is>
          <t>Medium reef assoc. fish (30 - 89 cm)</t>
        </is>
      </c>
      <c r="F253" s="10" t="inlineStr">
        <is>
          <t>Perch-likes</t>
        </is>
      </c>
      <c r="G253" s="11" t="inlineStr">
        <is>
          <t>Juvenile large pelagic fish</t>
        </is>
      </c>
      <c r="H253" s="12" t="n">
        <v>0.2016806722689076</v>
      </c>
      <c r="I253" s="10" t="inlineStr">
        <is>
          <t>model_catch</t>
        </is>
      </c>
      <c r="J253" s="14" t="inlineStr">
        <is>
          <t>medium</t>
        </is>
      </c>
      <c r="K253" s="10" t="inlineStr">
        <is>
          <t>composite_split</t>
        </is>
      </c>
      <c r="L253" s="11" t="inlineStr">
        <is>
          <t>Analyst habitat/size inference to source &gt;30 cm pelagic fish (Appendix 6.1.24 p.339); no age data, so split juvenile/adult using the period model catch.</t>
        </is>
      </c>
      <c r="M253" s="10" t="n">
        <v>173833.433</v>
      </c>
    </row>
    <row r="254" ht="36" customHeight="1">
      <c r="A254" s="10" t="inlineStr">
        <is>
          <t>LME_036</t>
        </is>
      </c>
      <c r="B254" s="11" t="inlineStr">
        <is>
          <t>36_2_South_China_Sea_SCS-2007_Northern_South_China_Sea_(1970s)</t>
        </is>
      </c>
      <c r="C254" s="11" t="inlineStr">
        <is>
          <t>Sphyraenidae</t>
        </is>
      </c>
      <c r="D254" s="10" t="inlineStr">
        <is>
          <t>Barracudas</t>
        </is>
      </c>
      <c r="E254" s="10" t="inlineStr">
        <is>
          <t>Medium reef assoc. fish (30 - 89 cm)</t>
        </is>
      </c>
      <c r="F254" s="10" t="inlineStr">
        <is>
          <t>Perch-likes</t>
        </is>
      </c>
      <c r="G254" s="11" t="inlineStr">
        <is>
          <t>Pelagic fish (&gt; 30 cm)</t>
        </is>
      </c>
      <c r="H254" s="12" t="n">
        <v>0.7983193277310925</v>
      </c>
      <c r="I254" s="10" t="inlineStr">
        <is>
          <t>model_catch</t>
        </is>
      </c>
      <c r="J254" s="14" t="inlineStr">
        <is>
          <t>medium</t>
        </is>
      </c>
      <c r="K254" s="10" t="inlineStr">
        <is>
          <t>composite_split</t>
        </is>
      </c>
      <c r="L254" s="11" t="inlineStr">
        <is>
          <t>Analyst habitat/size inference to source &gt;30 cm pelagic fish (Appendix 6.1.24 p.339); no age data, so split juvenile/adult using the period model catch.</t>
        </is>
      </c>
      <c r="M254" s="10" t="n">
        <v>173833.433</v>
      </c>
    </row>
    <row r="255" ht="51" customHeight="1">
      <c r="A255" s="10" t="inlineStr">
        <is>
          <t>LME_036</t>
        </is>
      </c>
      <c r="B255" s="11" t="inlineStr">
        <is>
          <t>36_2_South_China_Sea_SCS-2007_Northern_South_China_Sea_(1970s)</t>
        </is>
      </c>
      <c r="C255" s="11" t="inlineStr">
        <is>
          <t>Mene maculata</t>
        </is>
      </c>
      <c r="D255" s="10" t="inlineStr">
        <is>
          <t>Moonfish</t>
        </is>
      </c>
      <c r="E255" s="10" t="inlineStr">
        <is>
          <t>Medium reef assoc. fish (30 - 89 cm)</t>
        </is>
      </c>
      <c r="F255" s="10" t="inlineStr">
        <is>
          <t>Perch-likes</t>
        </is>
      </c>
      <c r="G255" s="11" t="inlineStr">
        <is>
          <t>Benthopelagic fish</t>
        </is>
      </c>
      <c r="H255" s="12" t="n">
        <v>1</v>
      </c>
      <c r="I255" s="10" t="inlineStr">
        <is>
          <t>single</t>
        </is>
      </c>
      <c r="J255" s="13" t="inlineStr">
        <is>
          <t>low</t>
        </is>
      </c>
      <c r="K255" s="10" t="inlineStr">
        <is>
          <t>habitat_size_guild</t>
        </is>
      </c>
      <c r="L25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55" s="10" t="n">
        <v>172674.819</v>
      </c>
    </row>
    <row r="256" ht="36" customHeight="1">
      <c r="A256" s="10" t="inlineStr">
        <is>
          <t>LME_036</t>
        </is>
      </c>
      <c r="B256" s="11" t="inlineStr">
        <is>
          <t>36_2_South_China_Sea_SCS-2007_Northern_South_China_Sea_(1970s)</t>
        </is>
      </c>
      <c r="C256" s="11" t="inlineStr">
        <is>
          <t>Chirocentrus</t>
        </is>
      </c>
      <c r="D256" s="10" t="inlineStr">
        <is>
          <t>Wolf herrings</t>
        </is>
      </c>
      <c r="E256" s="10" t="inlineStr">
        <is>
          <t>Large pelagics (&gt;=90 cm)</t>
        </is>
      </c>
      <c r="F256" s="10" t="inlineStr">
        <is>
          <t>Herring-likes</t>
        </is>
      </c>
      <c r="G256" s="11" t="inlineStr">
        <is>
          <t>Juvenile large pelagic fish</t>
        </is>
      </c>
      <c r="H256" s="12" t="n">
        <v>0.2016806722689076</v>
      </c>
      <c r="I256" s="10" t="inlineStr">
        <is>
          <t>model_catch</t>
        </is>
      </c>
      <c r="J256" s="14" t="inlineStr">
        <is>
          <t>medium</t>
        </is>
      </c>
      <c r="K256" s="10" t="inlineStr">
        <is>
          <t>composite_split</t>
        </is>
      </c>
      <c r="L256" s="11" t="inlineStr">
        <is>
          <t>Analyst habitat/size inference to source &gt;30 cm pelagic fish (Appendix 6.1.24 p.339); no age data, so split juvenile/adult using the period model catch.</t>
        </is>
      </c>
      <c r="M256" s="10" t="n">
        <v>164669.443</v>
      </c>
    </row>
    <row r="257" ht="36" customHeight="1">
      <c r="A257" s="10" t="inlineStr">
        <is>
          <t>LME_036</t>
        </is>
      </c>
      <c r="B257" s="11" t="inlineStr">
        <is>
          <t>36_2_South_China_Sea_SCS-2007_Northern_South_China_Sea_(1970s)</t>
        </is>
      </c>
      <c r="C257" s="11" t="inlineStr">
        <is>
          <t>Chirocentrus</t>
        </is>
      </c>
      <c r="D257" s="10" t="inlineStr">
        <is>
          <t>Wolf herrings</t>
        </is>
      </c>
      <c r="E257" s="10" t="inlineStr">
        <is>
          <t>Large pelagics (&gt;=90 cm)</t>
        </is>
      </c>
      <c r="F257" s="10" t="inlineStr">
        <is>
          <t>Herring-likes</t>
        </is>
      </c>
      <c r="G257" s="11" t="inlineStr">
        <is>
          <t>Pelagic fish (&gt; 30 cm)</t>
        </is>
      </c>
      <c r="H257" s="12" t="n">
        <v>0.7983193277310925</v>
      </c>
      <c r="I257" s="10" t="inlineStr">
        <is>
          <t>model_catch</t>
        </is>
      </c>
      <c r="J257" s="14" t="inlineStr">
        <is>
          <t>medium</t>
        </is>
      </c>
      <c r="K257" s="10" t="inlineStr">
        <is>
          <t>composite_split</t>
        </is>
      </c>
      <c r="L257" s="11" t="inlineStr">
        <is>
          <t>Analyst habitat/size inference to source &gt;30 cm pelagic fish (Appendix 6.1.24 p.339); no age data, so split juvenile/adult using the period model catch.</t>
        </is>
      </c>
      <c r="M257" s="10" t="n">
        <v>164669.443</v>
      </c>
    </row>
    <row r="258" ht="36" customHeight="1">
      <c r="A258" s="10" t="inlineStr">
        <is>
          <t>LME_036</t>
        </is>
      </c>
      <c r="B258" s="11" t="inlineStr">
        <is>
          <t>36_2_South_China_Sea_SCS-2007_Northern_South_China_Sea_(1970s)</t>
        </is>
      </c>
      <c r="C258" s="11" t="inlineStr">
        <is>
          <t>Portunus</t>
        </is>
      </c>
      <c r="D258" s="10" t="inlineStr">
        <is>
          <t>Swimmer crabs</t>
        </is>
      </c>
      <c r="E258" s="10" t="inlineStr">
        <is>
          <t>Lobsters, crabs</t>
        </is>
      </c>
      <c r="F258" s="10" t="inlineStr">
        <is>
          <t>Crustaceans</t>
        </is>
      </c>
      <c r="G258" s="11" t="inlineStr">
        <is>
          <t>Crabs</t>
        </is>
      </c>
      <c r="H258" s="12" t="n">
        <v>1</v>
      </c>
      <c r="I258" s="10" t="inlineStr">
        <is>
          <t>single</t>
        </is>
      </c>
      <c r="J258" s="15" t="inlineStr">
        <is>
          <t>high</t>
        </is>
      </c>
      <c r="K258" s="10" t="inlineStr">
        <is>
          <t>taxonomic_containment</t>
        </is>
      </c>
      <c r="L258" s="11" t="inlineStr">
        <is>
          <t>Source benthic crustaceans exclude shrimps and crabs (Appendix 6.1.5 p.324); lobsters remain in that residual, while true crabs use Crabs.</t>
        </is>
      </c>
      <c r="M258" s="10" t="n">
        <v>163445.867</v>
      </c>
    </row>
    <row r="259" ht="36" customHeight="1">
      <c r="A259" s="10" t="inlineStr">
        <is>
          <t>LME_036</t>
        </is>
      </c>
      <c r="B259" s="11" t="inlineStr">
        <is>
          <t>36_2_South_China_Sea_SCS-2007_Northern_South_China_Sea_(1970s)</t>
        </is>
      </c>
      <c r="C259" s="11" t="inlineStr">
        <is>
          <t>Pleuronectiformes</t>
        </is>
      </c>
      <c r="D259" s="10" t="inlineStr">
        <is>
          <t>Flatfishes</t>
        </is>
      </c>
      <c r="E259" s="10" t="inlineStr">
        <is>
          <t>Small to medium flatfishes (&lt;90 cm)</t>
        </is>
      </c>
      <c r="F259" s="10" t="inlineStr">
        <is>
          <t>Flatfishes</t>
        </is>
      </c>
      <c r="G259" s="11" t="inlineStr">
        <is>
          <t>Demesral fish (≤ 30 cm)</t>
        </is>
      </c>
      <c r="H259" s="12" t="n">
        <v>0.3854700854700854</v>
      </c>
      <c r="I259" s="10" t="inlineStr">
        <is>
          <t>model_catch</t>
        </is>
      </c>
      <c r="J259" s="13" t="inlineStr">
        <is>
          <t>low</t>
        </is>
      </c>
      <c r="K259" s="10" t="inlineStr">
        <is>
          <t>composite_split</t>
        </is>
      </c>
      <c r="L25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59" s="10" t="n">
        <v>161684.721</v>
      </c>
    </row>
    <row r="260" ht="36" customHeight="1">
      <c r="A260" s="10" t="inlineStr">
        <is>
          <t>LME_036</t>
        </is>
      </c>
      <c r="B260" s="11" t="inlineStr">
        <is>
          <t>36_2_South_China_Sea_SCS-2007_Northern_South_China_Sea_(1970s)</t>
        </is>
      </c>
      <c r="C260" s="11" t="inlineStr">
        <is>
          <t>Pleuronectiformes</t>
        </is>
      </c>
      <c r="D260" s="10" t="inlineStr">
        <is>
          <t>Flatfishes</t>
        </is>
      </c>
      <c r="E260" s="10" t="inlineStr">
        <is>
          <t>Small to medium flatfishes (&lt;90 cm)</t>
        </is>
      </c>
      <c r="F260" s="10" t="inlineStr">
        <is>
          <t>Flatfishes</t>
        </is>
      </c>
      <c r="G260" s="11" t="inlineStr">
        <is>
          <t>Juvenile demersal fish (&gt; 30 cm)</t>
        </is>
      </c>
      <c r="H260" s="12" t="n">
        <v>0.1230769230769231</v>
      </c>
      <c r="I260" s="10" t="inlineStr">
        <is>
          <t>model_catch</t>
        </is>
      </c>
      <c r="J260" s="13" t="inlineStr">
        <is>
          <t>low</t>
        </is>
      </c>
      <c r="K260" s="10" t="inlineStr">
        <is>
          <t>composite_split</t>
        </is>
      </c>
      <c r="L26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0" s="10" t="n">
        <v>161684.721</v>
      </c>
    </row>
    <row r="261" ht="36" customHeight="1">
      <c r="A261" s="10" t="inlineStr">
        <is>
          <t>LME_036</t>
        </is>
      </c>
      <c r="B261" s="11" t="inlineStr">
        <is>
          <t>36_2_South_China_Sea_SCS-2007_Northern_South_China_Sea_(1970s)</t>
        </is>
      </c>
      <c r="C261" s="11" t="inlineStr">
        <is>
          <t>Pleuronectiformes</t>
        </is>
      </c>
      <c r="D261" s="10" t="inlineStr">
        <is>
          <t>Flatfishes</t>
        </is>
      </c>
      <c r="E261" s="10" t="inlineStr">
        <is>
          <t>Small to medium flatfishes (&lt;90 cm)</t>
        </is>
      </c>
      <c r="F261" s="10" t="inlineStr">
        <is>
          <t>Flatfishes</t>
        </is>
      </c>
      <c r="G261" s="11" t="inlineStr">
        <is>
          <t>Adult demersal fish (&gt; 30 cm)</t>
        </is>
      </c>
      <c r="H261" s="12" t="n">
        <v>0.4914529914529914</v>
      </c>
      <c r="I261" s="10" t="inlineStr">
        <is>
          <t>model_catch</t>
        </is>
      </c>
      <c r="J261" s="13" t="inlineStr">
        <is>
          <t>low</t>
        </is>
      </c>
      <c r="K261" s="10" t="inlineStr">
        <is>
          <t>composite_split</t>
        </is>
      </c>
      <c r="L26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1" s="10" t="n">
        <v>161684.721</v>
      </c>
    </row>
    <row r="262" ht="36" customHeight="1">
      <c r="A262" s="10" t="inlineStr">
        <is>
          <t>LME_036</t>
        </is>
      </c>
      <c r="B262" s="11" t="inlineStr">
        <is>
          <t>36_2_South_China_Sea_SCS-2007_Northern_South_China_Sea_(1970s)</t>
        </is>
      </c>
      <c r="C262" s="11" t="inlineStr">
        <is>
          <t>Paralichthys olivaceus</t>
        </is>
      </c>
      <c r="D262" s="10" t="inlineStr">
        <is>
          <t>Bastard halibut</t>
        </is>
      </c>
      <c r="E262" s="10" t="inlineStr">
        <is>
          <t>Large flatfishes (&gt;=90 cm)</t>
        </is>
      </c>
      <c r="F262" s="10" t="inlineStr">
        <is>
          <t>Flatfishes</t>
        </is>
      </c>
      <c r="G262" s="11" t="inlineStr">
        <is>
          <t>Demesral fish (≤ 30 cm)</t>
        </is>
      </c>
      <c r="H262" s="12" t="n">
        <v>0.3854700854700854</v>
      </c>
      <c r="I262" s="10" t="inlineStr">
        <is>
          <t>model_catch</t>
        </is>
      </c>
      <c r="J262" s="13" t="inlineStr">
        <is>
          <t>low</t>
        </is>
      </c>
      <c r="K262" s="10" t="inlineStr">
        <is>
          <t>composite_split</t>
        </is>
      </c>
      <c r="L26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2" s="10" t="n">
        <v>146826.077</v>
      </c>
    </row>
    <row r="263" ht="36" customHeight="1">
      <c r="A263" s="10" t="inlineStr">
        <is>
          <t>LME_036</t>
        </is>
      </c>
      <c r="B263" s="11" t="inlineStr">
        <is>
          <t>36_2_South_China_Sea_SCS-2007_Northern_South_China_Sea_(1970s)</t>
        </is>
      </c>
      <c r="C263" s="11" t="inlineStr">
        <is>
          <t>Paralichthys olivaceus</t>
        </is>
      </c>
      <c r="D263" s="10" t="inlineStr">
        <is>
          <t>Bastard halibut</t>
        </is>
      </c>
      <c r="E263" s="10" t="inlineStr">
        <is>
          <t>Large flatfishes (&gt;=90 cm)</t>
        </is>
      </c>
      <c r="F263" s="10" t="inlineStr">
        <is>
          <t>Flatfishes</t>
        </is>
      </c>
      <c r="G263" s="11" t="inlineStr">
        <is>
          <t>Juvenile demersal fish (&gt; 30 cm)</t>
        </is>
      </c>
      <c r="H263" s="12" t="n">
        <v>0.1230769230769231</v>
      </c>
      <c r="I263" s="10" t="inlineStr">
        <is>
          <t>model_catch</t>
        </is>
      </c>
      <c r="J263" s="13" t="inlineStr">
        <is>
          <t>low</t>
        </is>
      </c>
      <c r="K263" s="10" t="inlineStr">
        <is>
          <t>composite_split</t>
        </is>
      </c>
      <c r="L26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3" s="10" t="n">
        <v>146826.077</v>
      </c>
    </row>
    <row r="264" ht="36" customHeight="1">
      <c r="A264" s="10" t="inlineStr">
        <is>
          <t>LME_036</t>
        </is>
      </c>
      <c r="B264" s="11" t="inlineStr">
        <is>
          <t>36_2_South_China_Sea_SCS-2007_Northern_South_China_Sea_(1970s)</t>
        </is>
      </c>
      <c r="C264" s="11" t="inlineStr">
        <is>
          <t>Paralichthys olivaceus</t>
        </is>
      </c>
      <c r="D264" s="10" t="inlineStr">
        <is>
          <t>Bastard halibut</t>
        </is>
      </c>
      <c r="E264" s="10" t="inlineStr">
        <is>
          <t>Large flatfishes (&gt;=90 cm)</t>
        </is>
      </c>
      <c r="F264" s="10" t="inlineStr">
        <is>
          <t>Flatfishes</t>
        </is>
      </c>
      <c r="G264" s="11" t="inlineStr">
        <is>
          <t>Adult demersal fish (&gt; 30 cm)</t>
        </is>
      </c>
      <c r="H264" s="12" t="n">
        <v>0.4914529914529914</v>
      </c>
      <c r="I264" s="10" t="inlineStr">
        <is>
          <t>model_catch</t>
        </is>
      </c>
      <c r="J264" s="13" t="inlineStr">
        <is>
          <t>low</t>
        </is>
      </c>
      <c r="K264" s="10" t="inlineStr">
        <is>
          <t>composite_split</t>
        </is>
      </c>
      <c r="L26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4" s="10" t="n">
        <v>146826.077</v>
      </c>
    </row>
    <row r="265" ht="36" customHeight="1">
      <c r="A265" s="10" t="inlineStr">
        <is>
          <t>LME_036</t>
        </is>
      </c>
      <c r="B265" s="11" t="inlineStr">
        <is>
          <t>36_2_South_China_Sea_SCS-2007_Northern_South_China_Sea_(1970s)</t>
        </is>
      </c>
      <c r="C265" s="11" t="inlineStr">
        <is>
          <t>Polynemidae</t>
        </is>
      </c>
      <c r="D265" s="10" t="inlineStr">
        <is>
          <t>Threadfins</t>
        </is>
      </c>
      <c r="E265" s="10" t="inlineStr">
        <is>
          <t>Small demersals (&lt;30 cm)</t>
        </is>
      </c>
      <c r="F265" s="10" t="inlineStr">
        <is>
          <t>Perch-likes</t>
        </is>
      </c>
      <c r="G265" s="11" t="inlineStr">
        <is>
          <t>Demesral fish (≤ 30 cm)</t>
        </is>
      </c>
      <c r="H265" s="12" t="n">
        <v>1</v>
      </c>
      <c r="I265" s="10" t="inlineStr">
        <is>
          <t>single</t>
        </is>
      </c>
      <c r="J265" s="14" t="inlineStr">
        <is>
          <t>medium</t>
        </is>
      </c>
      <c r="K265" s="10" t="inlineStr">
        <is>
          <t>habitat_size_guild</t>
        </is>
      </c>
      <c r="L265" s="11" t="inlineStr">
        <is>
          <t>Analyst habitat/size inference: small demersal or reef-associated fish after excluding dedicated taxonomic groups, matching Appendix 6.1.19 &lt;=30 cm residual demersal pool.</t>
        </is>
      </c>
      <c r="M265" s="10" t="n">
        <v>140604.644</v>
      </c>
    </row>
    <row r="266" ht="51" customHeight="1">
      <c r="A266" s="10" t="inlineStr">
        <is>
          <t>LME_036</t>
        </is>
      </c>
      <c r="B266" s="11" t="inlineStr">
        <is>
          <t>36_2_South_China_Sea_SCS-2007_Northern_South_China_Sea_(1970s)</t>
        </is>
      </c>
      <c r="C266" s="11" t="inlineStr">
        <is>
          <t>Caranx ignobilis</t>
        </is>
      </c>
      <c r="D266" s="10" t="inlineStr">
        <is>
          <t>Giant trevally</t>
        </is>
      </c>
      <c r="E266" s="10" t="inlineStr">
        <is>
          <t>Large reef assoc. fish (&gt;=90 cm)</t>
        </is>
      </c>
      <c r="F266" s="10" t="inlineStr">
        <is>
          <t>Perch-likes</t>
        </is>
      </c>
      <c r="G266" s="11" t="inlineStr">
        <is>
          <t>Juvenile large pelagic fish</t>
        </is>
      </c>
      <c r="H266" s="12" t="n">
        <v>0.2016806722689076</v>
      </c>
      <c r="I266" s="10" t="inlineStr">
        <is>
          <t>model_catch</t>
        </is>
      </c>
      <c r="J266" s="14" t="inlineStr">
        <is>
          <t>medium</t>
        </is>
      </c>
      <c r="K266" s="10" t="inlineStr">
        <is>
          <t>composite_split</t>
        </is>
      </c>
      <c r="L2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6" s="10" t="n">
        <v>138824.233</v>
      </c>
    </row>
    <row r="267" ht="51" customHeight="1">
      <c r="A267" s="10" t="inlineStr">
        <is>
          <t>LME_036</t>
        </is>
      </c>
      <c r="B267" s="11" t="inlineStr">
        <is>
          <t>36_2_South_China_Sea_SCS-2007_Northern_South_China_Sea_(1970s)</t>
        </is>
      </c>
      <c r="C267" s="11" t="inlineStr">
        <is>
          <t>Caranx ignobilis</t>
        </is>
      </c>
      <c r="D267" s="10" t="inlineStr">
        <is>
          <t>Giant trevally</t>
        </is>
      </c>
      <c r="E267" s="10" t="inlineStr">
        <is>
          <t>Large reef assoc. fish (&gt;=90 cm)</t>
        </is>
      </c>
      <c r="F267" s="10" t="inlineStr">
        <is>
          <t>Perch-likes</t>
        </is>
      </c>
      <c r="G267" s="11" t="inlineStr">
        <is>
          <t>Pelagic fish (&gt; 30 cm)</t>
        </is>
      </c>
      <c r="H267" s="12" t="n">
        <v>0.7983193277310925</v>
      </c>
      <c r="I267" s="10" t="inlineStr">
        <is>
          <t>model_catch</t>
        </is>
      </c>
      <c r="J267" s="14" t="inlineStr">
        <is>
          <t>medium</t>
        </is>
      </c>
      <c r="K267" s="10" t="inlineStr">
        <is>
          <t>composite_split</t>
        </is>
      </c>
      <c r="L26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7" s="10" t="n">
        <v>138824.233</v>
      </c>
    </row>
    <row r="268" ht="51" customHeight="1">
      <c r="A268" s="10" t="inlineStr">
        <is>
          <t>LME_036</t>
        </is>
      </c>
      <c r="B268" s="11" t="inlineStr">
        <is>
          <t>36_2_South_China_Sea_SCS-2007_Northern_South_China_Sea_(1970s)</t>
        </is>
      </c>
      <c r="C268" s="11" t="inlineStr">
        <is>
          <t>Pomadasys</t>
        </is>
      </c>
      <c r="D268" s="10" t="inlineStr">
        <is>
          <t>Grunters</t>
        </is>
      </c>
      <c r="E268" s="10" t="inlineStr">
        <is>
          <t>Medium demersals (30 - 89 cm)</t>
        </is>
      </c>
      <c r="F268" s="10" t="inlineStr">
        <is>
          <t>Perch-likes</t>
        </is>
      </c>
      <c r="G268" s="11" t="inlineStr">
        <is>
          <t>Juvenile demersal fish (&gt; 30 cm)</t>
        </is>
      </c>
      <c r="H268" s="12" t="n">
        <v>0.2002781641168289</v>
      </c>
      <c r="I268" s="10" t="inlineStr">
        <is>
          <t>model_catch</t>
        </is>
      </c>
      <c r="J268" s="14" t="inlineStr">
        <is>
          <t>medium</t>
        </is>
      </c>
      <c r="K268" s="10" t="inlineStr">
        <is>
          <t>composite_split</t>
        </is>
      </c>
      <c r="L2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8" s="10" t="n">
        <v>133963.582</v>
      </c>
    </row>
    <row r="269" ht="51" customHeight="1">
      <c r="A269" s="10" t="inlineStr">
        <is>
          <t>LME_036</t>
        </is>
      </c>
      <c r="B269" s="11" t="inlineStr">
        <is>
          <t>36_2_South_China_Sea_SCS-2007_Northern_South_China_Sea_(1970s)</t>
        </is>
      </c>
      <c r="C269" s="11" t="inlineStr">
        <is>
          <t>Pomadasys</t>
        </is>
      </c>
      <c r="D269" s="10" t="inlineStr">
        <is>
          <t>Grunters</t>
        </is>
      </c>
      <c r="E269" s="10" t="inlineStr">
        <is>
          <t>Medium demersals (30 - 89 cm)</t>
        </is>
      </c>
      <c r="F269" s="10" t="inlineStr">
        <is>
          <t>Perch-likes</t>
        </is>
      </c>
      <c r="G269" s="11" t="inlineStr">
        <is>
          <t>Adult demersal fish (&gt; 30 cm)</t>
        </is>
      </c>
      <c r="H269" s="12" t="n">
        <v>0.799721835883171</v>
      </c>
      <c r="I269" s="10" t="inlineStr">
        <is>
          <t>model_catch</t>
        </is>
      </c>
      <c r="J269" s="14" t="inlineStr">
        <is>
          <t>medium</t>
        </is>
      </c>
      <c r="K269" s="10" t="inlineStr">
        <is>
          <t>composite_split</t>
        </is>
      </c>
      <c r="L2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9" s="10" t="n">
        <v>133963.582</v>
      </c>
    </row>
    <row r="270" ht="36" customHeight="1">
      <c r="A270" s="10" t="inlineStr">
        <is>
          <t>LME_036</t>
        </is>
      </c>
      <c r="B270" s="11" t="inlineStr">
        <is>
          <t>36_2_South_China_Sea_SCS-2007_Northern_South_China_Sea_(1970s)</t>
        </is>
      </c>
      <c r="C270" s="11" t="inlineStr">
        <is>
          <t>Gastropoda</t>
        </is>
      </c>
      <c r="D270" s="10" t="inlineStr">
        <is>
          <t>Sea snails</t>
        </is>
      </c>
      <c r="E270" s="10" t="inlineStr">
        <is>
          <t>Other demersal invertebrates</t>
        </is>
      </c>
      <c r="F270" s="10" t="inlineStr">
        <is>
          <t>Molluscs</t>
        </is>
      </c>
      <c r="G270" s="11" t="inlineStr">
        <is>
          <t>Non-ceph molluscs</t>
        </is>
      </c>
      <c r="H270" s="12" t="n">
        <v>1</v>
      </c>
      <c r="I270" s="10" t="inlineStr">
        <is>
          <t>single</t>
        </is>
      </c>
      <c r="J270" s="15" t="inlineStr">
        <is>
          <t>high</t>
        </is>
      </c>
      <c r="K270" s="10" t="inlineStr">
        <is>
          <t>taxonomic_containment</t>
        </is>
      </c>
      <c r="L270" s="11" t="inlineStr">
        <is>
          <t>Taxonomic containment in the source benthos subdivision (Appendix 6.1.5 pp.324-325), keeping non-cephalopod molluscs separate from echinoderms and sessile invertebrates.</t>
        </is>
      </c>
      <c r="M270" s="10" t="n">
        <v>133445.785</v>
      </c>
    </row>
    <row r="271" ht="36" customHeight="1">
      <c r="A271" s="10" t="inlineStr">
        <is>
          <t>LME_036</t>
        </is>
      </c>
      <c r="B271" s="11" t="inlineStr">
        <is>
          <t>36_2_South_China_Sea_SCS-2007_Northern_South_China_Sea_(1970s)</t>
        </is>
      </c>
      <c r="C271" s="11" t="inlineStr">
        <is>
          <t>Psenopsis anomala</t>
        </is>
      </c>
      <c r="D271" s="10" t="inlineStr">
        <is>
          <t>Pacific rudderfish</t>
        </is>
      </c>
      <c r="E271" s="10" t="inlineStr">
        <is>
          <t>Small benthopelagics (&lt;30 cm)</t>
        </is>
      </c>
      <c r="F271" s="10" t="inlineStr">
        <is>
          <t>Perch-likes</t>
        </is>
      </c>
      <c r="G271" s="11" t="inlineStr">
        <is>
          <t>Melon seed</t>
        </is>
      </c>
      <c r="H271" s="12" t="n">
        <v>1</v>
      </c>
      <c r="I271" s="10" t="inlineStr">
        <is>
          <t>single</t>
        </is>
      </c>
      <c r="J271" s="15" t="inlineStr">
        <is>
          <t>high</t>
        </is>
      </c>
      <c r="K271" s="10" t="inlineStr">
        <is>
          <t>explicit_member</t>
        </is>
      </c>
      <c r="L271" s="11" t="inlineStr">
        <is>
          <t>Appendix 6.1 pp.327-335 defines Melon seed by this family or explicitly names Psenopsis anomala; dedicated source placement overrides the SAU class Small benthopelagics (&lt;30 cm).</t>
        </is>
      </c>
      <c r="M271" s="10" t="n">
        <v>132192.441</v>
      </c>
    </row>
    <row r="272" ht="51" customHeight="1">
      <c r="A272" s="10" t="inlineStr">
        <is>
          <t>LME_036</t>
        </is>
      </c>
      <c r="B272" s="11" t="inlineStr">
        <is>
          <t>36_2_South_China_Sea_SCS-2007_Northern_South_China_Sea_(1970s)</t>
        </is>
      </c>
      <c r="C272" s="11" t="inlineStr">
        <is>
          <t>Platycephalus indicus</t>
        </is>
      </c>
      <c r="D272" s="10" t="inlineStr">
        <is>
          <t>Bartail flathead</t>
        </is>
      </c>
      <c r="E272" s="10" t="inlineStr">
        <is>
          <t>Medium demersals (30 - 89 cm)</t>
        </is>
      </c>
      <c r="F272" s="10" t="inlineStr">
        <is>
          <t>Scorpionfishes</t>
        </is>
      </c>
      <c r="G272" s="11" t="inlineStr">
        <is>
          <t>Juvenile demersal fish (&gt; 30 cm)</t>
        </is>
      </c>
      <c r="H272" s="12" t="n">
        <v>0.2002781641168289</v>
      </c>
      <c r="I272" s="10" t="inlineStr">
        <is>
          <t>model_catch</t>
        </is>
      </c>
      <c r="J272" s="14" t="inlineStr">
        <is>
          <t>medium</t>
        </is>
      </c>
      <c r="K272" s="10" t="inlineStr">
        <is>
          <t>composite_split</t>
        </is>
      </c>
      <c r="L2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2" s="10" t="n">
        <v>128648.431</v>
      </c>
    </row>
    <row r="273" ht="51" customHeight="1">
      <c r="A273" s="10" t="inlineStr">
        <is>
          <t>LME_036</t>
        </is>
      </c>
      <c r="B273" s="11" t="inlineStr">
        <is>
          <t>36_2_South_China_Sea_SCS-2007_Northern_South_China_Sea_(1970s)</t>
        </is>
      </c>
      <c r="C273" s="11" t="inlineStr">
        <is>
          <t>Platycephalus indicus</t>
        </is>
      </c>
      <c r="D273" s="10" t="inlineStr">
        <is>
          <t>Bartail flathead</t>
        </is>
      </c>
      <c r="E273" s="10" t="inlineStr">
        <is>
          <t>Medium demersals (30 - 89 cm)</t>
        </is>
      </c>
      <c r="F273" s="10" t="inlineStr">
        <is>
          <t>Scorpionfishes</t>
        </is>
      </c>
      <c r="G273" s="11" t="inlineStr">
        <is>
          <t>Adult demersal fish (&gt; 30 cm)</t>
        </is>
      </c>
      <c r="H273" s="12" t="n">
        <v>0.799721835883171</v>
      </c>
      <c r="I273" s="10" t="inlineStr">
        <is>
          <t>model_catch</t>
        </is>
      </c>
      <c r="J273" s="14" t="inlineStr">
        <is>
          <t>medium</t>
        </is>
      </c>
      <c r="K273" s="10" t="inlineStr">
        <is>
          <t>composite_split</t>
        </is>
      </c>
      <c r="L2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3" s="10" t="n">
        <v>128648.431</v>
      </c>
    </row>
    <row r="274" ht="36" customHeight="1">
      <c r="A274" s="10" t="inlineStr">
        <is>
          <t>LME_036</t>
        </is>
      </c>
      <c r="B274" s="11" t="inlineStr">
        <is>
          <t>36_2_South_China_Sea_SCS-2007_Northern_South_China_Sea_(1970s)</t>
        </is>
      </c>
      <c r="C274" s="11" t="inlineStr">
        <is>
          <t>Ommastrephidae</t>
        </is>
      </c>
      <c r="D274" s="10" t="inlineStr">
        <is>
          <t>Arrow squids</t>
        </is>
      </c>
      <c r="E274" s="10" t="inlineStr">
        <is>
          <t>Cephalopods</t>
        </is>
      </c>
      <c r="F274" s="10" t="inlineStr">
        <is>
          <t>Other fishes &amp; inverts</t>
        </is>
      </c>
      <c r="G274" s="11" t="inlineStr">
        <is>
          <t>Cephalopods</t>
        </is>
      </c>
      <c r="H274" s="12" t="n">
        <v>1</v>
      </c>
      <c r="I274" s="10" t="inlineStr">
        <is>
          <t>single</t>
        </is>
      </c>
      <c r="J274" s="15" t="inlineStr">
        <is>
          <t>high</t>
        </is>
      </c>
      <c r="K274" s="10" t="inlineStr">
        <is>
          <t>taxonomic_containment</t>
        </is>
      </c>
      <c r="L274" s="11" t="inlineStr">
        <is>
          <t>Cephalopoda is contained by the single source Cephalopods group, Appendix 6.1.8 pp.326-327.</t>
        </is>
      </c>
      <c r="M274" s="10" t="n">
        <v>125296.493</v>
      </c>
    </row>
    <row r="275" ht="36" customHeight="1">
      <c r="A275" s="10" t="inlineStr">
        <is>
          <t>LME_036</t>
        </is>
      </c>
      <c r="B275" s="11" t="inlineStr">
        <is>
          <t>36_2_South_China_Sea_SCS-2007_Northern_South_China_Sea_(1970s)</t>
        </is>
      </c>
      <c r="C275" s="11" t="inlineStr">
        <is>
          <t>Gobiidae</t>
        </is>
      </c>
      <c r="D275" s="10" t="inlineStr">
        <is>
          <t>Gobies</t>
        </is>
      </c>
      <c r="E275" s="10" t="inlineStr">
        <is>
          <t>Small reef assoc. fish (&lt;30 cm)</t>
        </is>
      </c>
      <c r="F275" s="10" t="inlineStr">
        <is>
          <t>Perch-likes</t>
        </is>
      </c>
      <c r="G275" s="11" t="inlineStr">
        <is>
          <t>Demesral fish (≤ 30 cm)</t>
        </is>
      </c>
      <c r="H275" s="12" t="n">
        <v>1</v>
      </c>
      <c r="I275" s="10" t="inlineStr">
        <is>
          <t>single</t>
        </is>
      </c>
      <c r="J275" s="14" t="inlineStr">
        <is>
          <t>medium</t>
        </is>
      </c>
      <c r="K275" s="10" t="inlineStr">
        <is>
          <t>habitat_size_guild</t>
        </is>
      </c>
      <c r="L275" s="11" t="inlineStr">
        <is>
          <t>Analyst habitat/size inference: small demersal or reef-associated fish after excluding dedicated taxonomic groups, matching Appendix 6.1.19 &lt;=30 cm residual demersal pool.</t>
        </is>
      </c>
      <c r="M275" s="10" t="n">
        <v>123268.174</v>
      </c>
    </row>
    <row r="276" ht="36" customHeight="1">
      <c r="A276" s="10" t="inlineStr">
        <is>
          <t>LME_036</t>
        </is>
      </c>
      <c r="B276" s="11" t="inlineStr">
        <is>
          <t>36_2_South_China_Sea_SCS-2007_Northern_South_China_Sea_(1970s)</t>
        </is>
      </c>
      <c r="C276" s="11" t="inlineStr">
        <is>
          <t>Cephea</t>
        </is>
      </c>
      <c r="D276" s="10" t="inlineStr">
        <is>
          <t>Cepheid jellyfishes</t>
        </is>
      </c>
      <c r="E276" s="10" t="inlineStr">
        <is>
          <t>Jellyfish</t>
        </is>
      </c>
      <c r="F276" s="10" t="inlineStr">
        <is>
          <t>Other fishes &amp; inverts</t>
        </is>
      </c>
      <c r="G276" s="11" t="inlineStr">
        <is>
          <t>Jellyfish</t>
        </is>
      </c>
      <c r="H276" s="12" t="n">
        <v>1</v>
      </c>
      <c r="I276" s="10" t="inlineStr">
        <is>
          <t>single</t>
        </is>
      </c>
      <c r="J276" s="15" t="inlineStr">
        <is>
          <t>high</t>
        </is>
      </c>
      <c r="K276" s="10" t="inlineStr">
        <is>
          <t>taxonomic_containment</t>
        </is>
      </c>
      <c r="L276" s="11" t="inlineStr">
        <is>
          <t>Appendix 6.1.4 p.324 defines jellyfish as cnidarian medusae.</t>
        </is>
      </c>
      <c r="M276" s="10" t="n">
        <v>120878.508</v>
      </c>
    </row>
    <row r="277" ht="51" customHeight="1">
      <c r="A277" s="10" t="inlineStr">
        <is>
          <t>LME_036</t>
        </is>
      </c>
      <c r="B277" s="11" t="inlineStr">
        <is>
          <t>36_2_South_China_Sea_SCS-2007_Northern_South_China_Sea_(1970s)</t>
        </is>
      </c>
      <c r="C277" s="11" t="inlineStr">
        <is>
          <t>Haemulidae</t>
        </is>
      </c>
      <c r="D277" s="10" t="inlineStr">
        <is>
          <t>Grunts, sweetlips, bonnetmouths</t>
        </is>
      </c>
      <c r="E277" s="10" t="inlineStr">
        <is>
          <t>Medium demersals (30 - 89 cm)</t>
        </is>
      </c>
      <c r="F277" s="10" t="inlineStr">
        <is>
          <t>Perch-likes</t>
        </is>
      </c>
      <c r="G277" s="11" t="inlineStr">
        <is>
          <t>Juvenile demersal fish (&gt; 30 cm)</t>
        </is>
      </c>
      <c r="H277" s="12" t="n">
        <v>0.2002781641168289</v>
      </c>
      <c r="I277" s="10" t="inlineStr">
        <is>
          <t>model_catch</t>
        </is>
      </c>
      <c r="J277" s="14" t="inlineStr">
        <is>
          <t>medium</t>
        </is>
      </c>
      <c r="K277" s="10" t="inlineStr">
        <is>
          <t>composite_split</t>
        </is>
      </c>
      <c r="L2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7" s="10" t="n">
        <v>117050.836</v>
      </c>
    </row>
    <row r="278" ht="51" customHeight="1">
      <c r="A278" s="10" t="inlineStr">
        <is>
          <t>LME_036</t>
        </is>
      </c>
      <c r="B278" s="11" t="inlineStr">
        <is>
          <t>36_2_South_China_Sea_SCS-2007_Northern_South_China_Sea_(1970s)</t>
        </is>
      </c>
      <c r="C278" s="11" t="inlineStr">
        <is>
          <t>Haemulidae</t>
        </is>
      </c>
      <c r="D278" s="10" t="inlineStr">
        <is>
          <t>Grunts, sweetlips, bonnetmouths</t>
        </is>
      </c>
      <c r="E278" s="10" t="inlineStr">
        <is>
          <t>Medium demersals (30 - 89 cm)</t>
        </is>
      </c>
      <c r="F278" s="10" t="inlineStr">
        <is>
          <t>Perch-likes</t>
        </is>
      </c>
      <c r="G278" s="11" t="inlineStr">
        <is>
          <t>Adult demersal fish (&gt; 30 cm)</t>
        </is>
      </c>
      <c r="H278" s="12" t="n">
        <v>0.799721835883171</v>
      </c>
      <c r="I278" s="10" t="inlineStr">
        <is>
          <t>model_catch</t>
        </is>
      </c>
      <c r="J278" s="14" t="inlineStr">
        <is>
          <t>medium</t>
        </is>
      </c>
      <c r="K278" s="10" t="inlineStr">
        <is>
          <t>composite_split</t>
        </is>
      </c>
      <c r="L2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8" s="10" t="n">
        <v>117050.836</v>
      </c>
    </row>
    <row r="279" ht="36" customHeight="1">
      <c r="A279" s="10" t="inlineStr">
        <is>
          <t>LME_036</t>
        </is>
      </c>
      <c r="B279" s="11" t="inlineStr">
        <is>
          <t>36_2_South_China_Sea_SCS-2007_Northern_South_China_Sea_(1970s)</t>
        </is>
      </c>
      <c r="C279" s="11" t="inlineStr">
        <is>
          <t>Mytilidae</t>
        </is>
      </c>
      <c r="D279" s="10" t="inlineStr">
        <is>
          <t>Sea mussels</t>
        </is>
      </c>
      <c r="E279" s="10" t="inlineStr">
        <is>
          <t>Other demersal invertebrates</t>
        </is>
      </c>
      <c r="F279" s="10" t="inlineStr">
        <is>
          <t>Molluscs</t>
        </is>
      </c>
      <c r="G279" s="11" t="inlineStr">
        <is>
          <t>Non-ceph molluscs</t>
        </is>
      </c>
      <c r="H279" s="12" t="n">
        <v>1</v>
      </c>
      <c r="I279" s="10" t="inlineStr">
        <is>
          <t>single</t>
        </is>
      </c>
      <c r="J279" s="15" t="inlineStr">
        <is>
          <t>high</t>
        </is>
      </c>
      <c r="K279" s="10" t="inlineStr">
        <is>
          <t>taxonomic_containment</t>
        </is>
      </c>
      <c r="L279" s="11" t="inlineStr">
        <is>
          <t>Taxonomic containment in the source benthos subdivision (Appendix 6.1.5 pp.324-325), keeping non-cephalopod molluscs separate from echinoderms and sessile invertebrates.</t>
        </is>
      </c>
      <c r="M279" s="10" t="n">
        <v>115007.309</v>
      </c>
    </row>
    <row r="280" ht="36" customHeight="1">
      <c r="A280" s="10" t="inlineStr">
        <is>
          <t>LME_036</t>
        </is>
      </c>
      <c r="B280" s="11" t="inlineStr">
        <is>
          <t>36_2_South_China_Sea_SCS-2007_Northern_South_China_Sea_(1970s)</t>
        </is>
      </c>
      <c r="C280" s="11" t="inlineStr">
        <is>
          <t>Upeneus moluccensis</t>
        </is>
      </c>
      <c r="D280" s="10" t="inlineStr">
        <is>
          <t>Goldband goatfish</t>
        </is>
      </c>
      <c r="E280" s="10" t="inlineStr">
        <is>
          <t>Small reef assoc. fish (&lt;30 cm)</t>
        </is>
      </c>
      <c r="F280" s="10" t="inlineStr">
        <is>
          <t>Perch-likes</t>
        </is>
      </c>
      <c r="G280" s="11" t="inlineStr">
        <is>
          <t>Demesral fish (≤ 30 cm)</t>
        </is>
      </c>
      <c r="H280" s="12" t="n">
        <v>1</v>
      </c>
      <c r="I280" s="10" t="inlineStr">
        <is>
          <t>single</t>
        </is>
      </c>
      <c r="J280" s="14" t="inlineStr">
        <is>
          <t>medium</t>
        </is>
      </c>
      <c r="K280" s="10" t="inlineStr">
        <is>
          <t>habitat_size_guild</t>
        </is>
      </c>
      <c r="L280" s="11" t="inlineStr">
        <is>
          <t>Analyst habitat/size inference: small demersal or reef-associated fish after excluding dedicated taxonomic groups, matching Appendix 6.1.19 &lt;=30 cm residual demersal pool.</t>
        </is>
      </c>
      <c r="M280" s="10" t="n">
        <v>108216.654</v>
      </c>
    </row>
    <row r="281" ht="36" customHeight="1">
      <c r="A281" s="10" t="inlineStr">
        <is>
          <t>LME_036</t>
        </is>
      </c>
      <c r="B281" s="11" t="inlineStr">
        <is>
          <t>36_2_South_China_Sea_SCS-2007_Northern_South_China_Sea_(1970s)</t>
        </is>
      </c>
      <c r="C281" s="11" t="inlineStr">
        <is>
          <t>Perna viridis</t>
        </is>
      </c>
      <c r="D281" s="10" t="inlineStr">
        <is>
          <t>Brown mussel</t>
        </is>
      </c>
      <c r="E281" s="10" t="inlineStr">
        <is>
          <t>Other demersal invertebrates</t>
        </is>
      </c>
      <c r="F281" s="10" t="inlineStr">
        <is>
          <t>Molluscs</t>
        </is>
      </c>
      <c r="G281" s="11" t="inlineStr">
        <is>
          <t>Non-ceph molluscs</t>
        </is>
      </c>
      <c r="H281" s="12" t="n">
        <v>1</v>
      </c>
      <c r="I281" s="10" t="inlineStr">
        <is>
          <t>single</t>
        </is>
      </c>
      <c r="J281" s="15" t="inlineStr">
        <is>
          <t>high</t>
        </is>
      </c>
      <c r="K281" s="10" t="inlineStr">
        <is>
          <t>taxonomic_containment</t>
        </is>
      </c>
      <c r="L281" s="11" t="inlineStr">
        <is>
          <t>Taxonomic containment in the source benthos subdivision (Appendix 6.1.5 pp.324-325), keeping non-cephalopod molluscs separate from echinoderms and sessile invertebrates.</t>
        </is>
      </c>
      <c r="M281" s="10" t="n">
        <v>102837.253</v>
      </c>
    </row>
    <row r="282" ht="51" customHeight="1">
      <c r="A282" s="10" t="inlineStr">
        <is>
          <t>LME_036</t>
        </is>
      </c>
      <c r="B282" s="11" t="inlineStr">
        <is>
          <t>36_2_South_China_Sea_SCS-2007_Northern_South_China_Sea_(1970s)</t>
        </is>
      </c>
      <c r="C282" s="11" t="inlineStr">
        <is>
          <t>Terapon</t>
        </is>
      </c>
      <c r="D282" s="10" t="inlineStr">
        <is>
          <t>Terapons</t>
        </is>
      </c>
      <c r="E282" s="10" t="inlineStr">
        <is>
          <t>Medium demersals (30 - 89 cm)</t>
        </is>
      </c>
      <c r="F282" s="10" t="inlineStr">
        <is>
          <t>Perch-likes</t>
        </is>
      </c>
      <c r="G282" s="11" t="inlineStr">
        <is>
          <t>Juvenile demersal fish (&gt; 30 cm)</t>
        </is>
      </c>
      <c r="H282" s="12" t="n">
        <v>0.2002781641168289</v>
      </c>
      <c r="I282" s="10" t="inlineStr">
        <is>
          <t>model_catch</t>
        </is>
      </c>
      <c r="J282" s="14" t="inlineStr">
        <is>
          <t>medium</t>
        </is>
      </c>
      <c r="K282" s="10" t="inlineStr">
        <is>
          <t>composite_split</t>
        </is>
      </c>
      <c r="L28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2" s="10" t="n">
        <v>101597.254</v>
      </c>
    </row>
    <row r="283" ht="51" customHeight="1">
      <c r="A283" s="10" t="inlineStr">
        <is>
          <t>LME_036</t>
        </is>
      </c>
      <c r="B283" s="11" t="inlineStr">
        <is>
          <t>36_2_South_China_Sea_SCS-2007_Northern_South_China_Sea_(1970s)</t>
        </is>
      </c>
      <c r="C283" s="11" t="inlineStr">
        <is>
          <t>Terapon</t>
        </is>
      </c>
      <c r="D283" s="10" t="inlineStr">
        <is>
          <t>Terapons</t>
        </is>
      </c>
      <c r="E283" s="10" t="inlineStr">
        <is>
          <t>Medium demersals (30 - 89 cm)</t>
        </is>
      </c>
      <c r="F283" s="10" t="inlineStr">
        <is>
          <t>Perch-likes</t>
        </is>
      </c>
      <c r="G283" s="11" t="inlineStr">
        <is>
          <t>Adult demersal fish (&gt; 30 cm)</t>
        </is>
      </c>
      <c r="H283" s="12" t="n">
        <v>0.799721835883171</v>
      </c>
      <c r="I283" s="10" t="inlineStr">
        <is>
          <t>model_catch</t>
        </is>
      </c>
      <c r="J283" s="14" t="inlineStr">
        <is>
          <t>medium</t>
        </is>
      </c>
      <c r="K283" s="10" t="inlineStr">
        <is>
          <t>composite_split</t>
        </is>
      </c>
      <c r="L28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3" s="10" t="n">
        <v>101597.254</v>
      </c>
    </row>
    <row r="284" ht="51" customHeight="1">
      <c r="A284" s="10" t="inlineStr">
        <is>
          <t>LME_036</t>
        </is>
      </c>
      <c r="B284" s="11" t="inlineStr">
        <is>
          <t>36_2_South_China_Sea_SCS-2007_Northern_South_China_Sea_(1970s)</t>
        </is>
      </c>
      <c r="C284" s="11" t="inlineStr">
        <is>
          <t>Pampus chinensis</t>
        </is>
      </c>
      <c r="D284" s="10" t="inlineStr">
        <is>
          <t>Chinese silver pomfret</t>
        </is>
      </c>
      <c r="E284" s="10" t="inlineStr">
        <is>
          <t>Medium benthopelagics (30 - 89 cm)</t>
        </is>
      </c>
      <c r="F284" s="10" t="inlineStr">
        <is>
          <t>Perch-likes</t>
        </is>
      </c>
      <c r="G284" s="11" t="inlineStr">
        <is>
          <t>Pomfret (stromateids)</t>
        </is>
      </c>
      <c r="H284" s="12" t="n">
        <v>1</v>
      </c>
      <c r="I284" s="10" t="inlineStr">
        <is>
          <t>single</t>
        </is>
      </c>
      <c r="J284" s="15" t="inlineStr">
        <is>
          <t>high</t>
        </is>
      </c>
      <c r="K284" s="10" t="inlineStr">
        <is>
          <t>taxonomic_containment</t>
        </is>
      </c>
      <c r="L284" s="11" t="inlineStr">
        <is>
          <t>Appendix 6.1 pp.327-335 defines Pomfret (stromateids) by this family or explicitly names Pampus chinensis; dedicated source placement overrides the SAU class Medium benthopelagics (30 - 89 cm).</t>
        </is>
      </c>
      <c r="M284" s="10" t="n">
        <v>100274.619</v>
      </c>
    </row>
    <row r="285" ht="36" customHeight="1">
      <c r="A285" s="10" t="inlineStr">
        <is>
          <t>LME_036</t>
        </is>
      </c>
      <c r="B285" s="11" t="inlineStr">
        <is>
          <t>36_2_South_China_Sea_SCS-2007_Northern_South_China_Sea_(1970s)</t>
        </is>
      </c>
      <c r="C285" s="11" t="inlineStr">
        <is>
          <t>Rhizostomeae</t>
        </is>
      </c>
      <c r="D285" s="10" t="inlineStr">
        <is>
          <t>Oral arm jellyfishes</t>
        </is>
      </c>
      <c r="E285" s="10" t="inlineStr">
        <is>
          <t>Jellyfish</t>
        </is>
      </c>
      <c r="F285" s="10" t="inlineStr">
        <is>
          <t>Other fishes &amp; inverts</t>
        </is>
      </c>
      <c r="G285" s="11" t="inlineStr">
        <is>
          <t>Jellyfish</t>
        </is>
      </c>
      <c r="H285" s="12" t="n">
        <v>1</v>
      </c>
      <c r="I285" s="10" t="inlineStr">
        <is>
          <t>single</t>
        </is>
      </c>
      <c r="J285" s="15" t="inlineStr">
        <is>
          <t>high</t>
        </is>
      </c>
      <c r="K285" s="10" t="inlineStr">
        <is>
          <t>taxonomic_containment</t>
        </is>
      </c>
      <c r="L285" s="11" t="inlineStr">
        <is>
          <t>Appendix 6.1.4 p.324 defines jellyfish as cnidarian medusae.</t>
        </is>
      </c>
      <c r="M285" s="10" t="n">
        <v>98320.45699999999</v>
      </c>
    </row>
    <row r="286" ht="51" customHeight="1">
      <c r="A286" s="10" t="inlineStr">
        <is>
          <t>LME_036</t>
        </is>
      </c>
      <c r="B286" s="11" t="inlineStr">
        <is>
          <t>36_2_South_China_Sea_SCS-2007_Northern_South_China_Sea_(1970s)</t>
        </is>
      </c>
      <c r="C286" s="11" t="inlineStr">
        <is>
          <t>Sillago</t>
        </is>
      </c>
      <c r="D286" s="10" t="inlineStr">
        <is>
          <t>Smelt-whitings</t>
        </is>
      </c>
      <c r="E286" s="10" t="inlineStr">
        <is>
          <t>Medium demersals (30 - 89 cm)</t>
        </is>
      </c>
      <c r="F286" s="10" t="inlineStr">
        <is>
          <t>Perch-likes</t>
        </is>
      </c>
      <c r="G286" s="11" t="inlineStr">
        <is>
          <t>Juvenile demersal fish (&gt; 30 cm)</t>
        </is>
      </c>
      <c r="H286" s="12" t="n">
        <v>0.2002781641168289</v>
      </c>
      <c r="I286" s="10" t="inlineStr">
        <is>
          <t>model_catch</t>
        </is>
      </c>
      <c r="J286" s="14" t="inlineStr">
        <is>
          <t>medium</t>
        </is>
      </c>
      <c r="K286" s="10" t="inlineStr">
        <is>
          <t>composite_split</t>
        </is>
      </c>
      <c r="L28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6" s="10" t="n">
        <v>91698.603</v>
      </c>
    </row>
    <row r="287" ht="51" customHeight="1">
      <c r="A287" s="10" t="inlineStr">
        <is>
          <t>LME_036</t>
        </is>
      </c>
      <c r="B287" s="11" t="inlineStr">
        <is>
          <t>36_2_South_China_Sea_SCS-2007_Northern_South_China_Sea_(1970s)</t>
        </is>
      </c>
      <c r="C287" s="11" t="inlineStr">
        <is>
          <t>Sillago</t>
        </is>
      </c>
      <c r="D287" s="10" t="inlineStr">
        <is>
          <t>Smelt-whitings</t>
        </is>
      </c>
      <c r="E287" s="10" t="inlineStr">
        <is>
          <t>Medium demersals (30 - 89 cm)</t>
        </is>
      </c>
      <c r="F287" s="10" t="inlineStr">
        <is>
          <t>Perch-likes</t>
        </is>
      </c>
      <c r="G287" s="11" t="inlineStr">
        <is>
          <t>Adult demersal fish (&gt; 30 cm)</t>
        </is>
      </c>
      <c r="H287" s="12" t="n">
        <v>0.799721835883171</v>
      </c>
      <c r="I287" s="10" t="inlineStr">
        <is>
          <t>model_catch</t>
        </is>
      </c>
      <c r="J287" s="14" t="inlineStr">
        <is>
          <t>medium</t>
        </is>
      </c>
      <c r="K287" s="10" t="inlineStr">
        <is>
          <t>composite_split</t>
        </is>
      </c>
      <c r="L28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7" s="10" t="n">
        <v>91698.603</v>
      </c>
    </row>
    <row r="288" ht="36" customHeight="1">
      <c r="A288" s="10" t="inlineStr">
        <is>
          <t>LME_036</t>
        </is>
      </c>
      <c r="B288" s="11" t="inlineStr">
        <is>
          <t>36_2_South_China_Sea_SCS-2007_Northern_South_China_Sea_(1970s)</t>
        </is>
      </c>
      <c r="C288" s="11" t="inlineStr">
        <is>
          <t>Scyllaridae</t>
        </is>
      </c>
      <c r="D288" s="10" t="inlineStr">
        <is>
          <t>Slipper lobsters</t>
        </is>
      </c>
      <c r="E288" s="10" t="inlineStr">
        <is>
          <t>Lobsters, crabs</t>
        </is>
      </c>
      <c r="F288" s="10" t="inlineStr">
        <is>
          <t>Crustaceans</t>
        </is>
      </c>
      <c r="G288" s="11" t="inlineStr">
        <is>
          <t>Benthic crustaceans</t>
        </is>
      </c>
      <c r="H288" s="12" t="n">
        <v>1</v>
      </c>
      <c r="I288" s="10" t="inlineStr">
        <is>
          <t>single</t>
        </is>
      </c>
      <c r="J288" s="15" t="inlineStr">
        <is>
          <t>high</t>
        </is>
      </c>
      <c r="K288" s="10" t="inlineStr">
        <is>
          <t>taxonomic_containment</t>
        </is>
      </c>
      <c r="L288" s="11" t="inlineStr">
        <is>
          <t>Source benthic crustaceans exclude shrimps and crabs (Appendix 6.1.5 p.324); lobsters remain in that residual, while true crabs use Crabs.</t>
        </is>
      </c>
      <c r="M288" s="10" t="n">
        <v>91368.08100000001</v>
      </c>
    </row>
    <row r="289" ht="51" customHeight="1">
      <c r="A289" s="10" t="inlineStr">
        <is>
          <t>LME_036</t>
        </is>
      </c>
      <c r="B289" s="11" t="inlineStr">
        <is>
          <t>36_2_South_China_Sea_SCS-2007_Northern_South_China_Sea_(1970s)</t>
        </is>
      </c>
      <c r="C289" s="11" t="inlineStr">
        <is>
          <t>Anodontostoma chacunda</t>
        </is>
      </c>
      <c r="D289" s="10" t="inlineStr">
        <is>
          <t>Chacunda gizzard shad</t>
        </is>
      </c>
      <c r="E289" s="10" t="inlineStr">
        <is>
          <t>Small pelagics (&lt;30 cm)</t>
        </is>
      </c>
      <c r="F289" s="10" t="inlineStr">
        <is>
          <t>Herring-likes</t>
        </is>
      </c>
      <c r="G289" s="11" t="inlineStr">
        <is>
          <t>Pelagic fish (≤ 30 cm)</t>
        </is>
      </c>
      <c r="H289" s="12" t="n">
        <v>1</v>
      </c>
      <c r="I289" s="10" t="inlineStr">
        <is>
          <t>single</t>
        </is>
      </c>
      <c r="J289" s="14" t="inlineStr">
        <is>
          <t>medium</t>
        </is>
      </c>
      <c r="K289" s="10" t="inlineStr">
        <is>
          <t>habitat_size_guild</t>
        </is>
      </c>
      <c r="L28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9" s="10" t="n">
        <v>90336.00900000001</v>
      </c>
    </row>
    <row r="290" ht="36" customHeight="1">
      <c r="A290" s="10" t="inlineStr">
        <is>
          <t>LME_036</t>
        </is>
      </c>
      <c r="B290" s="11" t="inlineStr">
        <is>
          <t>36_2_South_China_Sea_SCS-2007_Northern_South_China_Sea_(1970s)</t>
        </is>
      </c>
      <c r="C290" s="11" t="inlineStr">
        <is>
          <t>Echinoidea</t>
        </is>
      </c>
      <c r="D290" s="10" t="inlineStr">
        <is>
          <t>Sea urchins, sea hedgehogs</t>
        </is>
      </c>
      <c r="E290" s="10" t="inlineStr">
        <is>
          <t>Other demersal invertebrates</t>
        </is>
      </c>
      <c r="F290" s="10" t="inlineStr">
        <is>
          <t>Other fishes &amp; inverts</t>
        </is>
      </c>
      <c r="G290" s="11" t="inlineStr">
        <is>
          <t>Echinoderms</t>
        </is>
      </c>
      <c r="H290" s="12" t="n">
        <v>1</v>
      </c>
      <c r="I290" s="10" t="inlineStr">
        <is>
          <t>single</t>
        </is>
      </c>
      <c r="J290" s="15" t="inlineStr">
        <is>
          <t>high</t>
        </is>
      </c>
      <c r="K290" s="10" t="inlineStr">
        <is>
          <t>taxonomic_containment</t>
        </is>
      </c>
      <c r="L290" s="11" t="inlineStr">
        <is>
          <t>Taxonomic containment in the source benthos subdivision (Appendix 6.1.5 pp.324-325), keeping non-cephalopod molluscs separate from echinoderms and sessile invertebrates.</t>
        </is>
      </c>
      <c r="M290" s="10" t="n">
        <v>87912.766</v>
      </c>
    </row>
    <row r="291" ht="51" customHeight="1">
      <c r="A291" s="10" t="inlineStr">
        <is>
          <t>LME_036</t>
        </is>
      </c>
      <c r="B291" s="11" t="inlineStr">
        <is>
          <t>36_2_South_China_Sea_SCS-2007_Northern_South_China_Sea_(1970s)</t>
        </is>
      </c>
      <c r="C291" s="11" t="inlineStr">
        <is>
          <t>Ariomma indica</t>
        </is>
      </c>
      <c r="D291" s="10" t="inlineStr">
        <is>
          <t>Indian driftfish</t>
        </is>
      </c>
      <c r="E291" s="10" t="inlineStr">
        <is>
          <t>Small benthopelagics (&lt;30 cm)</t>
        </is>
      </c>
      <c r="F291" s="10" t="inlineStr">
        <is>
          <t>Perch-likes</t>
        </is>
      </c>
      <c r="G291" s="11" t="inlineStr">
        <is>
          <t>Benthopelagic fish</t>
        </is>
      </c>
      <c r="H291" s="12" t="n">
        <v>1</v>
      </c>
      <c r="I291" s="10" t="inlineStr">
        <is>
          <t>single</t>
        </is>
      </c>
      <c r="J291" s="13" t="inlineStr">
        <is>
          <t>low</t>
        </is>
      </c>
      <c r="K291" s="10" t="inlineStr">
        <is>
          <t>habitat_size_guild</t>
        </is>
      </c>
      <c r="L29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91" s="10" t="n">
        <v>86849.351</v>
      </c>
    </row>
    <row r="292" ht="51" customHeight="1">
      <c r="A292" s="10" t="inlineStr">
        <is>
          <t>LME_036</t>
        </is>
      </c>
      <c r="B292" s="11" t="inlineStr">
        <is>
          <t>36_2_South_China_Sea_SCS-2007_Northern_South_China_Sea_(1970s)</t>
        </is>
      </c>
      <c r="C292" s="11" t="inlineStr">
        <is>
          <t>Lutjanus quinquelineatus</t>
        </is>
      </c>
      <c r="D292" s="10" t="inlineStr">
        <is>
          <t>Five-lined snapper</t>
        </is>
      </c>
      <c r="E292" s="10" t="inlineStr">
        <is>
          <t>Medium reef assoc. fish (30 - 89 cm)</t>
        </is>
      </c>
      <c r="F292" s="10" t="inlineStr">
        <is>
          <t>Perch-likes</t>
        </is>
      </c>
      <c r="G292" s="11" t="inlineStr">
        <is>
          <t>Snappers</t>
        </is>
      </c>
      <c r="H292" s="12" t="n">
        <v>1</v>
      </c>
      <c r="I292" s="10" t="inlineStr">
        <is>
          <t>single</t>
        </is>
      </c>
      <c r="J292" s="15" t="inlineStr">
        <is>
          <t>high</t>
        </is>
      </c>
      <c r="K292" s="10" t="inlineStr">
        <is>
          <t>taxonomic_containment</t>
        </is>
      </c>
      <c r="L292" s="11" t="inlineStr">
        <is>
          <t>Appendix 6.1 pp.327-335 defines Snappers by this family or explicitly names Lutjanus quinquelineatus; dedicated source placement overrides the SAU class Medium reef assoc. fish (30 - 89 cm).</t>
        </is>
      </c>
      <c r="M292" s="10" t="n">
        <v>85439.462</v>
      </c>
    </row>
    <row r="293" ht="51" customHeight="1">
      <c r="A293" s="10" t="inlineStr">
        <is>
          <t>LME_036</t>
        </is>
      </c>
      <c r="B293" s="11" t="inlineStr">
        <is>
          <t>36_2_South_China_Sea_SCS-2007_Northern_South_China_Sea_(1970s)</t>
        </is>
      </c>
      <c r="C293" s="11" t="inlineStr">
        <is>
          <t>Platycaranx talamparoides</t>
        </is>
      </c>
      <c r="D293" s="10" t="inlineStr">
        <is>
          <t>Imposter trevally</t>
        </is>
      </c>
      <c r="E293" s="10" t="inlineStr">
        <is>
          <t>Medium pelagics (30 - 89 cm)</t>
        </is>
      </c>
      <c r="F293" s="10" t="inlineStr">
        <is>
          <t>Perch-likes</t>
        </is>
      </c>
      <c r="G293" s="11" t="inlineStr">
        <is>
          <t>Juvenile large pelagic fish</t>
        </is>
      </c>
      <c r="H293" s="12" t="n">
        <v>0.2016806722689076</v>
      </c>
      <c r="I293" s="10" t="inlineStr">
        <is>
          <t>model_catch</t>
        </is>
      </c>
      <c r="J293" s="14" t="inlineStr">
        <is>
          <t>medium</t>
        </is>
      </c>
      <c r="K293" s="10" t="inlineStr">
        <is>
          <t>composite_split</t>
        </is>
      </c>
      <c r="L29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3" s="10" t="n">
        <v>85261.257</v>
      </c>
    </row>
    <row r="294" ht="51" customHeight="1">
      <c r="A294" s="10" t="inlineStr">
        <is>
          <t>LME_036</t>
        </is>
      </c>
      <c r="B294" s="11" t="inlineStr">
        <is>
          <t>36_2_South_China_Sea_SCS-2007_Northern_South_China_Sea_(1970s)</t>
        </is>
      </c>
      <c r="C294" s="11" t="inlineStr">
        <is>
          <t>Platycaranx talamparoides</t>
        </is>
      </c>
      <c r="D294" s="10" t="inlineStr">
        <is>
          <t>Imposter trevally</t>
        </is>
      </c>
      <c r="E294" s="10" t="inlineStr">
        <is>
          <t>Medium pelagics (30 - 89 cm)</t>
        </is>
      </c>
      <c r="F294" s="10" t="inlineStr">
        <is>
          <t>Perch-likes</t>
        </is>
      </c>
      <c r="G294" s="11" t="inlineStr">
        <is>
          <t>Pelagic fish (&gt; 30 cm)</t>
        </is>
      </c>
      <c r="H294" s="12" t="n">
        <v>0.7983193277310925</v>
      </c>
      <c r="I294" s="10" t="inlineStr">
        <is>
          <t>model_catch</t>
        </is>
      </c>
      <c r="J294" s="14" t="inlineStr">
        <is>
          <t>medium</t>
        </is>
      </c>
      <c r="K294" s="10" t="inlineStr">
        <is>
          <t>composite_split</t>
        </is>
      </c>
      <c r="L29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4" s="10" t="n">
        <v>85261.257</v>
      </c>
    </row>
    <row r="295" ht="51" customHeight="1">
      <c r="A295" s="10" t="inlineStr">
        <is>
          <t>LME_036</t>
        </is>
      </c>
      <c r="B295" s="11" t="inlineStr">
        <is>
          <t>36_2_South_China_Sea_SCS-2007_Northern_South_China_Sea_(1970s)</t>
        </is>
      </c>
      <c r="C295" s="11" t="inlineStr">
        <is>
          <t>Planiliza haematocheilus</t>
        </is>
      </c>
      <c r="D295" s="10" t="inlineStr">
        <is>
          <t>So-iny mullet</t>
        </is>
      </c>
      <c r="E295" s="10" t="inlineStr">
        <is>
          <t>Medium demersals (30 - 89 cm)</t>
        </is>
      </c>
      <c r="F295" s="10" t="inlineStr">
        <is>
          <t>Perch-likes</t>
        </is>
      </c>
      <c r="G295" s="11" t="inlineStr">
        <is>
          <t>Juvenile demersal fish (&gt; 30 cm)</t>
        </is>
      </c>
      <c r="H295" s="12" t="n">
        <v>0.2002781641168289</v>
      </c>
      <c r="I295" s="10" t="inlineStr">
        <is>
          <t>model_catch</t>
        </is>
      </c>
      <c r="J295" s="14" t="inlineStr">
        <is>
          <t>medium</t>
        </is>
      </c>
      <c r="K295" s="10" t="inlineStr">
        <is>
          <t>composite_split</t>
        </is>
      </c>
      <c r="L29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5" s="10" t="n">
        <v>83320.213</v>
      </c>
    </row>
    <row r="296" ht="51" customHeight="1">
      <c r="A296" s="10" t="inlineStr">
        <is>
          <t>LME_036</t>
        </is>
      </c>
      <c r="B296" s="11" t="inlineStr">
        <is>
          <t>36_2_South_China_Sea_SCS-2007_Northern_South_China_Sea_(1970s)</t>
        </is>
      </c>
      <c r="C296" s="11" t="inlineStr">
        <is>
          <t>Planiliza haematocheilus</t>
        </is>
      </c>
      <c r="D296" s="10" t="inlineStr">
        <is>
          <t>So-iny mullet</t>
        </is>
      </c>
      <c r="E296" s="10" t="inlineStr">
        <is>
          <t>Medium demersals (30 - 89 cm)</t>
        </is>
      </c>
      <c r="F296" s="10" t="inlineStr">
        <is>
          <t>Perch-likes</t>
        </is>
      </c>
      <c r="G296" s="11" t="inlineStr">
        <is>
          <t>Adult demersal fish (&gt; 30 cm)</t>
        </is>
      </c>
      <c r="H296" s="12" t="n">
        <v>0.799721835883171</v>
      </c>
      <c r="I296" s="10" t="inlineStr">
        <is>
          <t>model_catch</t>
        </is>
      </c>
      <c r="J296" s="14" t="inlineStr">
        <is>
          <t>medium</t>
        </is>
      </c>
      <c r="K296" s="10" t="inlineStr">
        <is>
          <t>composite_split</t>
        </is>
      </c>
      <c r="L2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6" s="10" t="n">
        <v>83320.213</v>
      </c>
    </row>
    <row r="297" ht="51" customHeight="1">
      <c r="A297" s="10" t="inlineStr">
        <is>
          <t>LME_036</t>
        </is>
      </c>
      <c r="B297" s="11" t="inlineStr">
        <is>
          <t>36_2_South_China_Sea_SCS-2007_Northern_South_China_Sea_(1970s)</t>
        </is>
      </c>
      <c r="C297" s="11" t="inlineStr">
        <is>
          <t>Plotosus</t>
        </is>
      </c>
      <c r="D297" s="10" t="inlineStr">
        <is>
          <t>Eel catfishes</t>
        </is>
      </c>
      <c r="E297" s="10" t="inlineStr">
        <is>
          <t>Medium reef assoc. fish (30 - 89 cm)</t>
        </is>
      </c>
      <c r="F297" s="10" t="inlineStr">
        <is>
          <t>Other fishes &amp; inverts</t>
        </is>
      </c>
      <c r="G297" s="11" t="inlineStr">
        <is>
          <t>Juvenile demersal fish (&gt; 30 cm)</t>
        </is>
      </c>
      <c r="H297" s="12" t="n">
        <v>0.2002781641168289</v>
      </c>
      <c r="I297" s="10" t="inlineStr">
        <is>
          <t>model_catch</t>
        </is>
      </c>
      <c r="J297" s="14" t="inlineStr">
        <is>
          <t>medium</t>
        </is>
      </c>
      <c r="K297" s="10" t="inlineStr">
        <is>
          <t>composite_split</t>
        </is>
      </c>
      <c r="L2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7" s="10" t="n">
        <v>82892.16800000001</v>
      </c>
    </row>
    <row r="298" ht="51" customHeight="1">
      <c r="A298" s="10" t="inlineStr">
        <is>
          <t>LME_036</t>
        </is>
      </c>
      <c r="B298" s="11" t="inlineStr">
        <is>
          <t>36_2_South_China_Sea_SCS-2007_Northern_South_China_Sea_(1970s)</t>
        </is>
      </c>
      <c r="C298" s="11" t="inlineStr">
        <is>
          <t>Plotosus</t>
        </is>
      </c>
      <c r="D298" s="10" t="inlineStr">
        <is>
          <t>Eel catfishes</t>
        </is>
      </c>
      <c r="E298" s="10" t="inlineStr">
        <is>
          <t>Medium reef assoc. fish (30 - 89 cm)</t>
        </is>
      </c>
      <c r="F298" s="10" t="inlineStr">
        <is>
          <t>Other fishes &amp; inverts</t>
        </is>
      </c>
      <c r="G298" s="11" t="inlineStr">
        <is>
          <t>Adult demersal fish (&gt; 30 cm)</t>
        </is>
      </c>
      <c r="H298" s="12" t="n">
        <v>0.799721835883171</v>
      </c>
      <c r="I298" s="10" t="inlineStr">
        <is>
          <t>model_catch</t>
        </is>
      </c>
      <c r="J298" s="14" t="inlineStr">
        <is>
          <t>medium</t>
        </is>
      </c>
      <c r="K298" s="10" t="inlineStr">
        <is>
          <t>composite_split</t>
        </is>
      </c>
      <c r="L2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8" s="10" t="n">
        <v>82892.16800000001</v>
      </c>
    </row>
    <row r="299" ht="36" customHeight="1">
      <c r="A299" s="10" t="inlineStr">
        <is>
          <t>LME_036</t>
        </is>
      </c>
      <c r="B299" s="11" t="inlineStr">
        <is>
          <t>36_2_South_China_Sea_SCS-2007_Northern_South_China_Sea_(1970s)</t>
        </is>
      </c>
      <c r="C299" s="11" t="inlineStr">
        <is>
          <t>Hemiramphus</t>
        </is>
      </c>
      <c r="D299" s="10" t="inlineStr">
        <is>
          <t>Halfbeaks</t>
        </is>
      </c>
      <c r="E299" s="10" t="inlineStr">
        <is>
          <t>Medium pelagics (30 - 89 cm)</t>
        </is>
      </c>
      <c r="F299" s="10" t="inlineStr">
        <is>
          <t>Other fishes &amp; inverts</t>
        </is>
      </c>
      <c r="G299" s="11" t="inlineStr">
        <is>
          <t>Juvenile large pelagic fish</t>
        </is>
      </c>
      <c r="H299" s="12" t="n">
        <v>0.2016806722689076</v>
      </c>
      <c r="I299" s="10" t="inlineStr">
        <is>
          <t>model_catch</t>
        </is>
      </c>
      <c r="J299" s="14" t="inlineStr">
        <is>
          <t>medium</t>
        </is>
      </c>
      <c r="K299" s="10" t="inlineStr">
        <is>
          <t>composite_split</t>
        </is>
      </c>
      <c r="L299" s="11" t="inlineStr">
        <is>
          <t>Analyst habitat/size inference to source &gt;30 cm pelagic fish (Appendix 6.1.24 p.339); no age data, so split juvenile/adult using the period model catch.</t>
        </is>
      </c>
      <c r="M299" s="10" t="n">
        <v>82219.06299999999</v>
      </c>
    </row>
    <row r="300" ht="36" customHeight="1">
      <c r="A300" s="10" t="inlineStr">
        <is>
          <t>LME_036</t>
        </is>
      </c>
      <c r="B300" s="11" t="inlineStr">
        <is>
          <t>36_2_South_China_Sea_SCS-2007_Northern_South_China_Sea_(1970s)</t>
        </is>
      </c>
      <c r="C300" s="11" t="inlineStr">
        <is>
          <t>Hemiramphus</t>
        </is>
      </c>
      <c r="D300" s="10" t="inlineStr">
        <is>
          <t>Halfbeaks</t>
        </is>
      </c>
      <c r="E300" s="10" t="inlineStr">
        <is>
          <t>Medium pelagics (30 - 89 cm)</t>
        </is>
      </c>
      <c r="F300" s="10" t="inlineStr">
        <is>
          <t>Other fishes &amp; inverts</t>
        </is>
      </c>
      <c r="G300" s="11" t="inlineStr">
        <is>
          <t>Pelagic fish (&gt; 30 cm)</t>
        </is>
      </c>
      <c r="H300" s="12" t="n">
        <v>0.7983193277310925</v>
      </c>
      <c r="I300" s="10" t="inlineStr">
        <is>
          <t>model_catch</t>
        </is>
      </c>
      <c r="J300" s="14" t="inlineStr">
        <is>
          <t>medium</t>
        </is>
      </c>
      <c r="K300" s="10" t="inlineStr">
        <is>
          <t>composite_split</t>
        </is>
      </c>
      <c r="L300" s="11" t="inlineStr">
        <is>
          <t>Analyst habitat/size inference to source &gt;30 cm pelagic fish (Appendix 6.1.24 p.339); no age data, so split juvenile/adult using the period model catch.</t>
        </is>
      </c>
      <c r="M300" s="10" t="n">
        <v>82219.06299999999</v>
      </c>
    </row>
    <row r="301" ht="36" customHeight="1">
      <c r="A301" s="10" t="inlineStr">
        <is>
          <t>LME_036</t>
        </is>
      </c>
      <c r="B301" s="11" t="inlineStr">
        <is>
          <t>36_2_South_China_Sea_SCS-2007_Northern_South_China_Sea_(1970s)</t>
        </is>
      </c>
      <c r="C301" s="11" t="inlineStr">
        <is>
          <t>Scomber</t>
        </is>
      </c>
      <c r="D301" s="10" t="inlineStr">
        <is>
          <t>Chub mackerels</t>
        </is>
      </c>
      <c r="E301" s="10" t="inlineStr">
        <is>
          <t>Medium pelagics (30 - 89 cm)</t>
        </is>
      </c>
      <c r="F301" s="10" t="inlineStr">
        <is>
          <t>Perch-likes</t>
        </is>
      </c>
      <c r="G301" s="11" t="inlineStr">
        <is>
          <t>Juvenile large pelagic fish</t>
        </is>
      </c>
      <c r="H301" s="12" t="n">
        <v>0.2016806722689076</v>
      </c>
      <c r="I301" s="10" t="inlineStr">
        <is>
          <t>model_catch</t>
        </is>
      </c>
      <c r="J301" s="14" t="inlineStr">
        <is>
          <t>medium</t>
        </is>
      </c>
      <c r="K301" s="10" t="inlineStr">
        <is>
          <t>composite_split</t>
        </is>
      </c>
      <c r="L301" s="11" t="inlineStr">
        <is>
          <t>Analyst habitat/size inference to source &gt;30 cm pelagic fish (Appendix 6.1.24 p.339); no age data, so split juvenile/adult using the period model catch.</t>
        </is>
      </c>
      <c r="M301" s="10" t="n">
        <v>80523.34299999999</v>
      </c>
    </row>
    <row r="302" ht="36" customHeight="1">
      <c r="A302" s="10" t="inlineStr">
        <is>
          <t>LME_036</t>
        </is>
      </c>
      <c r="B302" s="11" t="inlineStr">
        <is>
          <t>36_2_South_China_Sea_SCS-2007_Northern_South_China_Sea_(1970s)</t>
        </is>
      </c>
      <c r="C302" s="11" t="inlineStr">
        <is>
          <t>Scomber</t>
        </is>
      </c>
      <c r="D302" s="10" t="inlineStr">
        <is>
          <t>Chub mackerels</t>
        </is>
      </c>
      <c r="E302" s="10" t="inlineStr">
        <is>
          <t>Medium pelagics (30 - 89 cm)</t>
        </is>
      </c>
      <c r="F302" s="10" t="inlineStr">
        <is>
          <t>Perch-likes</t>
        </is>
      </c>
      <c r="G302" s="11" t="inlineStr">
        <is>
          <t>Pelagic fish (&gt; 30 cm)</t>
        </is>
      </c>
      <c r="H302" s="12" t="n">
        <v>0.7983193277310925</v>
      </c>
      <c r="I302" s="10" t="inlineStr">
        <is>
          <t>model_catch</t>
        </is>
      </c>
      <c r="J302" s="14" t="inlineStr">
        <is>
          <t>medium</t>
        </is>
      </c>
      <c r="K302" s="10" t="inlineStr">
        <is>
          <t>composite_split</t>
        </is>
      </c>
      <c r="L302" s="11" t="inlineStr">
        <is>
          <t>Analyst habitat/size inference to source &gt;30 cm pelagic fish (Appendix 6.1.24 p.339); no age data, so split juvenile/adult using the period model catch.</t>
        </is>
      </c>
      <c r="M302" s="10" t="n">
        <v>80523.34299999999</v>
      </c>
    </row>
    <row r="303" ht="36" customHeight="1">
      <c r="A303" s="10" t="inlineStr">
        <is>
          <t>LME_036</t>
        </is>
      </c>
      <c r="B303" s="11" t="inlineStr">
        <is>
          <t>36_2_South_China_Sea_SCS-2007_Northern_South_China_Sea_(1970s)</t>
        </is>
      </c>
      <c r="C303" s="11" t="inlineStr">
        <is>
          <t>Cypselurus</t>
        </is>
      </c>
      <c r="D303" s="10" t="inlineStr">
        <is>
          <t>Cypselurid flyingfishes</t>
        </is>
      </c>
      <c r="E303" s="10" t="inlineStr">
        <is>
          <t>Small pelagics (&lt;30 cm)</t>
        </is>
      </c>
      <c r="F303" s="10" t="inlineStr">
        <is>
          <t>Other fishes &amp; inverts</t>
        </is>
      </c>
      <c r="G303" s="11" t="inlineStr">
        <is>
          <t>Pelagic fish (≤ 30 cm)</t>
        </is>
      </c>
      <c r="H303" s="12" t="n">
        <v>1</v>
      </c>
      <c r="I303" s="10" t="inlineStr">
        <is>
          <t>single</t>
        </is>
      </c>
      <c r="J303" s="14" t="inlineStr">
        <is>
          <t>medium</t>
        </is>
      </c>
      <c r="K303" s="10" t="inlineStr">
        <is>
          <t>habitat_size_guild</t>
        </is>
      </c>
      <c r="L303" s="11" t="inlineStr">
        <is>
          <t>Analyst habitat/size inference: SAU small-pelagic class matches the source &lt;=30 cm pelagic pool after dedicated source taxa were handled (Appendix 6.1.23 p.338).</t>
        </is>
      </c>
      <c r="M303" s="10" t="n">
        <v>78674.91099999999</v>
      </c>
    </row>
    <row r="304" ht="51" customHeight="1">
      <c r="A304" s="10" t="inlineStr">
        <is>
          <t>LME_036</t>
        </is>
      </c>
      <c r="B304" s="11" t="inlineStr">
        <is>
          <t>36_2_South_China_Sea_SCS-2007_Northern_South_China_Sea_(1970s)</t>
        </is>
      </c>
      <c r="C304" s="11" t="inlineStr">
        <is>
          <t>Sergestidae</t>
        </is>
      </c>
      <c r="D304" s="10" t="inlineStr">
        <is>
          <t>Sergestid shrimp</t>
        </is>
      </c>
      <c r="E304" s="10" t="inlineStr">
        <is>
          <t>Shrimps</t>
        </is>
      </c>
      <c r="F304" s="10" t="inlineStr">
        <is>
          <t>Crustaceans</t>
        </is>
      </c>
      <c r="G304" s="11" t="inlineStr">
        <is>
          <t>Zooplankton</t>
        </is>
      </c>
      <c r="H304" s="12" t="n">
        <v>0.345997609622173</v>
      </c>
      <c r="I304" s="10" t="inlineStr">
        <is>
          <t>catch_composition</t>
        </is>
      </c>
      <c r="J304" s="13" t="inlineStr">
        <is>
          <t>low</t>
        </is>
      </c>
      <c r="K304" s="10" t="inlineStr">
        <is>
          <t>composite_split</t>
        </is>
      </c>
      <c r="L30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4" s="10" t="n">
        <v>77708.344</v>
      </c>
    </row>
    <row r="305" ht="51" customHeight="1">
      <c r="A305" s="10" t="inlineStr">
        <is>
          <t>LME_036</t>
        </is>
      </c>
      <c r="B305" s="11" t="inlineStr">
        <is>
          <t>36_2_South_China_Sea_SCS-2007_Northern_South_China_Sea_(1970s)</t>
        </is>
      </c>
      <c r="C305" s="11" t="inlineStr">
        <is>
          <t>Sergestidae</t>
        </is>
      </c>
      <c r="D305" s="10" t="inlineStr">
        <is>
          <t>Sergestid shrimp</t>
        </is>
      </c>
      <c r="E305" s="10" t="inlineStr">
        <is>
          <t>Shrimps</t>
        </is>
      </c>
      <c r="F305" s="10" t="inlineStr">
        <is>
          <t>Crustaceans</t>
        </is>
      </c>
      <c r="G305" s="11" t="inlineStr">
        <is>
          <t>Shrimps</t>
        </is>
      </c>
      <c r="H305" s="12" t="n">
        <v>0.654002390377827</v>
      </c>
      <c r="I305" s="10" t="inlineStr">
        <is>
          <t>catch_composition</t>
        </is>
      </c>
      <c r="J305" s="13" t="inlineStr">
        <is>
          <t>low</t>
        </is>
      </c>
      <c r="K305" s="10" t="inlineStr">
        <is>
          <t>composite_split</t>
        </is>
      </c>
      <c r="L30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5" s="10" t="n">
        <v>77708.344</v>
      </c>
    </row>
    <row r="306" ht="36" customHeight="1">
      <c r="A306" s="10" t="inlineStr">
        <is>
          <t>LME_036</t>
        </is>
      </c>
      <c r="B306" s="11" t="inlineStr">
        <is>
          <t>36_2_South_China_Sea_SCS-2007_Northern_South_China_Sea_(1970s)</t>
        </is>
      </c>
      <c r="C306" s="11" t="inlineStr">
        <is>
          <t>Prionace glauca</t>
        </is>
      </c>
      <c r="D306" s="10" t="inlineStr">
        <is>
          <t>Blue shark</t>
        </is>
      </c>
      <c r="E306" s="10" t="inlineStr">
        <is>
          <t>Large sharks (&gt;=90 cm)</t>
        </is>
      </c>
      <c r="F306" s="10" t="inlineStr">
        <is>
          <t>Sharks &amp; rays</t>
        </is>
      </c>
      <c r="G306" s="11" t="inlineStr">
        <is>
          <t>Pelagic sharks and rays</t>
        </is>
      </c>
      <c r="H306" s="12" t="n">
        <v>1</v>
      </c>
      <c r="I306" s="10" t="inlineStr">
        <is>
          <t>single</t>
        </is>
      </c>
      <c r="J306" s="14" t="inlineStr">
        <is>
          <t>medium</t>
        </is>
      </c>
      <c r="K306" s="10" t="inlineStr">
        <is>
          <t>habitat_size_guild</t>
        </is>
      </c>
      <c r="L306" s="11" t="inlineStr">
        <is>
          <t>Pelagic shark lineage matches the pelagic elasmobranch definition, Appendix 6.1.25 p.340; species placement is analyst inference.</t>
        </is>
      </c>
      <c r="M306" s="10" t="n">
        <v>76937.868</v>
      </c>
    </row>
    <row r="307" ht="36" customHeight="1">
      <c r="A307" s="10" t="inlineStr">
        <is>
          <t>LME_036</t>
        </is>
      </c>
      <c r="B307" s="11" t="inlineStr">
        <is>
          <t>36_2_South_China_Sea_SCS-2007_Northern_South_China_Sea_(1970s)</t>
        </is>
      </c>
      <c r="C307" s="11" t="inlineStr">
        <is>
          <t>Xiphias gladius</t>
        </is>
      </c>
      <c r="D307" s="10" t="inlineStr">
        <is>
          <t>Swordfish</t>
        </is>
      </c>
      <c r="E307" s="10" t="inlineStr">
        <is>
          <t>Large pelagics (&gt;=90 cm)</t>
        </is>
      </c>
      <c r="F307" s="10" t="inlineStr">
        <is>
          <t>Tuna &amp; billfishes</t>
        </is>
      </c>
      <c r="G307" s="11" t="inlineStr">
        <is>
          <t>Unresolved</t>
        </is>
      </c>
      <c r="H307" s="12" t="n"/>
      <c r="I307" s="10" t="inlineStr"/>
      <c r="J307" s="16" t="inlineStr">
        <is>
          <t>unresolved</t>
        </is>
      </c>
      <c r="K307" s="10" t="inlineStr">
        <is>
          <t>none</t>
        </is>
      </c>
      <c r="L307" s="11" t="inlineStr">
        <is>
          <t>Northern continental-shelf model lacks a documented oceanic billfish or deep-pelagic compartment; assigning coastal juvenile/adult pelagic SPPR would be unsupported.</t>
        </is>
      </c>
      <c r="M307" s="10" t="n">
        <v>75931.501</v>
      </c>
    </row>
    <row r="308" ht="36" customHeight="1">
      <c r="A308" s="10" t="inlineStr">
        <is>
          <t>LME_036</t>
        </is>
      </c>
      <c r="B308" s="11" t="inlineStr">
        <is>
          <t>36_2_South_China_Sea_SCS-2007_Northern_South_China_Sea_(1970s)</t>
        </is>
      </c>
      <c r="C308" s="11" t="inlineStr">
        <is>
          <t>Scylla serrata</t>
        </is>
      </c>
      <c r="D308" s="10" t="inlineStr">
        <is>
          <t>Indo-Pacific swamp crab</t>
        </is>
      </c>
      <c r="E308" s="10" t="inlineStr">
        <is>
          <t>Lobsters, crabs</t>
        </is>
      </c>
      <c r="F308" s="10" t="inlineStr">
        <is>
          <t>Crustaceans</t>
        </is>
      </c>
      <c r="G308" s="11" t="inlineStr">
        <is>
          <t>Crabs</t>
        </is>
      </c>
      <c r="H308" s="12" t="n">
        <v>1</v>
      </c>
      <c r="I308" s="10" t="inlineStr">
        <is>
          <t>single</t>
        </is>
      </c>
      <c r="J308" s="15" t="inlineStr">
        <is>
          <t>high</t>
        </is>
      </c>
      <c r="K308" s="10" t="inlineStr">
        <is>
          <t>taxonomic_containment</t>
        </is>
      </c>
      <c r="L308" s="11" t="inlineStr">
        <is>
          <t>Source benthic crustaceans exclude shrimps and crabs (Appendix 6.1.5 p.324); lobsters remain in that residual, while true crabs use Crabs.</t>
        </is>
      </c>
      <c r="M308" s="10" t="n">
        <v>73959.967</v>
      </c>
    </row>
    <row r="309" ht="51" customHeight="1">
      <c r="A309" s="10" t="inlineStr">
        <is>
          <t>LME_036</t>
        </is>
      </c>
      <c r="B309" s="11" t="inlineStr">
        <is>
          <t>36_2_South_China_Sea_SCS-2007_Northern_South_China_Sea_(1970s)</t>
        </is>
      </c>
      <c r="C309" s="11" t="inlineStr">
        <is>
          <t>Malacostraca</t>
        </is>
      </c>
      <c r="D309" s="10" t="inlineStr">
        <is>
          <t>Lobsters, crabs, shrimps, krill</t>
        </is>
      </c>
      <c r="E309" s="10" t="inlineStr">
        <is>
          <t>Shrimps</t>
        </is>
      </c>
      <c r="F309" s="10" t="inlineStr">
        <is>
          <t>Crustaceans</t>
        </is>
      </c>
      <c r="G309" s="11" t="inlineStr">
        <is>
          <t>Zooplankton</t>
        </is>
      </c>
      <c r="H309" s="12" t="n">
        <v>0.2569684142645532</v>
      </c>
      <c r="I309" s="10" t="inlineStr">
        <is>
          <t>catch_composition</t>
        </is>
      </c>
      <c r="J309" s="13" t="inlineStr">
        <is>
          <t>low</t>
        </is>
      </c>
      <c r="K309" s="10" t="inlineStr">
        <is>
          <t>composite_split</t>
        </is>
      </c>
      <c r="L30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9" s="10" t="n">
        <v>72517.89</v>
      </c>
    </row>
    <row r="310" ht="51" customHeight="1">
      <c r="A310" s="10" t="inlineStr">
        <is>
          <t>LME_036</t>
        </is>
      </c>
      <c r="B310" s="11" t="inlineStr">
        <is>
          <t>36_2_South_China_Sea_SCS-2007_Northern_South_China_Sea_(1970s)</t>
        </is>
      </c>
      <c r="C310" s="11" t="inlineStr">
        <is>
          <t>Malacostraca</t>
        </is>
      </c>
      <c r="D310" s="10" t="inlineStr">
        <is>
          <t>Lobsters, crabs, shrimps, krill</t>
        </is>
      </c>
      <c r="E310" s="10" t="inlineStr">
        <is>
          <t>Shrimps</t>
        </is>
      </c>
      <c r="F310" s="10" t="inlineStr">
        <is>
          <t>Crustaceans</t>
        </is>
      </c>
      <c r="G310" s="11" t="inlineStr">
        <is>
          <t>Benthic crustaceans</t>
        </is>
      </c>
      <c r="H310" s="12" t="n">
        <v>0.05182109872625006</v>
      </c>
      <c r="I310" s="10" t="inlineStr">
        <is>
          <t>catch_composition</t>
        </is>
      </c>
      <c r="J310" s="13" t="inlineStr">
        <is>
          <t>low</t>
        </is>
      </c>
      <c r="K310" s="10" t="inlineStr">
        <is>
          <t>composite_split</t>
        </is>
      </c>
      <c r="L31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0" s="10" t="n">
        <v>72517.89</v>
      </c>
    </row>
    <row r="311" ht="51" customHeight="1">
      <c r="A311" s="10" t="inlineStr">
        <is>
          <t>LME_036</t>
        </is>
      </c>
      <c r="B311" s="11" t="inlineStr">
        <is>
          <t>36_2_South_China_Sea_SCS-2007_Northern_South_China_Sea_(1970s)</t>
        </is>
      </c>
      <c r="C311" s="11" t="inlineStr">
        <is>
          <t>Malacostraca</t>
        </is>
      </c>
      <c r="D311" s="10" t="inlineStr">
        <is>
          <t>Lobsters, crabs, shrimps, krill</t>
        </is>
      </c>
      <c r="E311" s="10" t="inlineStr">
        <is>
          <t>Shrimps</t>
        </is>
      </c>
      <c r="F311" s="10" t="inlineStr">
        <is>
          <t>Crustaceans</t>
        </is>
      </c>
      <c r="G311" s="11" t="inlineStr">
        <is>
          <t>Shrimps</t>
        </is>
      </c>
      <c r="H311" s="12" t="n">
        <v>0.4857199948986228</v>
      </c>
      <c r="I311" s="10" t="inlineStr">
        <is>
          <t>catch_composition</t>
        </is>
      </c>
      <c r="J311" s="13" t="inlineStr">
        <is>
          <t>low</t>
        </is>
      </c>
      <c r="K311" s="10" t="inlineStr">
        <is>
          <t>composite_split</t>
        </is>
      </c>
      <c r="L31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1" s="10" t="n">
        <v>72517.89</v>
      </c>
    </row>
    <row r="312" ht="51" customHeight="1">
      <c r="A312" s="10" t="inlineStr">
        <is>
          <t>LME_036</t>
        </is>
      </c>
      <c r="B312" s="11" t="inlineStr">
        <is>
          <t>36_2_South_China_Sea_SCS-2007_Northern_South_China_Sea_(1970s)</t>
        </is>
      </c>
      <c r="C312" s="11" t="inlineStr">
        <is>
          <t>Malacostraca</t>
        </is>
      </c>
      <c r="D312" s="10" t="inlineStr">
        <is>
          <t>Lobsters, crabs, shrimps, krill</t>
        </is>
      </c>
      <c r="E312" s="10" t="inlineStr">
        <is>
          <t>Shrimps</t>
        </is>
      </c>
      <c r="F312" s="10" t="inlineStr">
        <is>
          <t>Crustaceans</t>
        </is>
      </c>
      <c r="G312" s="11" t="inlineStr">
        <is>
          <t>Crabs</t>
        </is>
      </c>
      <c r="H312" s="12" t="n">
        <v>0.2054904921105739</v>
      </c>
      <c r="I312" s="10" t="inlineStr">
        <is>
          <t>catch_composition</t>
        </is>
      </c>
      <c r="J312" s="13" t="inlineStr">
        <is>
          <t>low</t>
        </is>
      </c>
      <c r="K312" s="10" t="inlineStr">
        <is>
          <t>composite_split</t>
        </is>
      </c>
      <c r="L31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2" s="10" t="n">
        <v>72517.89</v>
      </c>
    </row>
    <row r="313" ht="51" customHeight="1">
      <c r="A313" s="10" t="inlineStr">
        <is>
          <t>LME_036</t>
        </is>
      </c>
      <c r="B313" s="11" t="inlineStr">
        <is>
          <t>36_2_South_China_Sea_SCS-2007_Northern_South_China_Sea_(1970s)</t>
        </is>
      </c>
      <c r="C313" s="11" t="inlineStr">
        <is>
          <t>Scyris indica</t>
        </is>
      </c>
      <c r="D313" s="10" t="inlineStr">
        <is>
          <t>Indian threadfish</t>
        </is>
      </c>
      <c r="E313" s="10" t="inlineStr">
        <is>
          <t>Large reef assoc. fish (&gt;=90 cm)</t>
        </is>
      </c>
      <c r="F313" s="10" t="inlineStr">
        <is>
          <t>Perch-likes</t>
        </is>
      </c>
      <c r="G313" s="11" t="inlineStr">
        <is>
          <t>Juvenile large pelagic fish</t>
        </is>
      </c>
      <c r="H313" s="12" t="n">
        <v>0.2016806722689076</v>
      </c>
      <c r="I313" s="10" t="inlineStr">
        <is>
          <t>model_catch</t>
        </is>
      </c>
      <c r="J313" s="14" t="inlineStr">
        <is>
          <t>medium</t>
        </is>
      </c>
      <c r="K313" s="10" t="inlineStr">
        <is>
          <t>composite_split</t>
        </is>
      </c>
      <c r="L3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3" s="10" t="n">
        <v>67627.495</v>
      </c>
    </row>
    <row r="314" ht="51" customHeight="1">
      <c r="A314" s="10" t="inlineStr">
        <is>
          <t>LME_036</t>
        </is>
      </c>
      <c r="B314" s="11" t="inlineStr">
        <is>
          <t>36_2_South_China_Sea_SCS-2007_Northern_South_China_Sea_(1970s)</t>
        </is>
      </c>
      <c r="C314" s="11" t="inlineStr">
        <is>
          <t>Scyris indica</t>
        </is>
      </c>
      <c r="D314" s="10" t="inlineStr">
        <is>
          <t>Indian threadfish</t>
        </is>
      </c>
      <c r="E314" s="10" t="inlineStr">
        <is>
          <t>Large reef assoc. fish (&gt;=90 cm)</t>
        </is>
      </c>
      <c r="F314" s="10" t="inlineStr">
        <is>
          <t>Perch-likes</t>
        </is>
      </c>
      <c r="G314" s="11" t="inlineStr">
        <is>
          <t>Pelagic fish (&gt; 30 cm)</t>
        </is>
      </c>
      <c r="H314" s="12" t="n">
        <v>0.7983193277310925</v>
      </c>
      <c r="I314" s="10" t="inlineStr">
        <is>
          <t>model_catch</t>
        </is>
      </c>
      <c r="J314" s="14" t="inlineStr">
        <is>
          <t>medium</t>
        </is>
      </c>
      <c r="K314" s="10" t="inlineStr">
        <is>
          <t>composite_split</t>
        </is>
      </c>
      <c r="L3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4" s="10" t="n">
        <v>67627.495</v>
      </c>
    </row>
    <row r="315" ht="36" customHeight="1">
      <c r="A315" s="10" t="inlineStr">
        <is>
          <t>LME_036</t>
        </is>
      </c>
      <c r="B315" s="11" t="inlineStr">
        <is>
          <t>36_2_South_China_Sea_SCS-2007_Northern_South_China_Sea_(1970s)</t>
        </is>
      </c>
      <c r="C315" s="11" t="inlineStr">
        <is>
          <t>Metapenaeus joyneri</t>
        </is>
      </c>
      <c r="D315" s="10" t="inlineStr">
        <is>
          <t>Shiba shrimp</t>
        </is>
      </c>
      <c r="E315" s="10" t="inlineStr">
        <is>
          <t>Shrimps</t>
        </is>
      </c>
      <c r="F315" s="10" t="inlineStr">
        <is>
          <t>Crustaceans</t>
        </is>
      </c>
      <c r="G315" s="11" t="inlineStr">
        <is>
          <t>Shrimps</t>
        </is>
      </c>
      <c r="H315" s="12" t="n">
        <v>1</v>
      </c>
      <c r="I315" s="10" t="inlineStr">
        <is>
          <t>single</t>
        </is>
      </c>
      <c r="J315" s="15" t="inlineStr">
        <is>
          <t>high</t>
        </is>
      </c>
      <c r="K315" s="10" t="inlineStr">
        <is>
          <t>taxonomic_containment</t>
        </is>
      </c>
      <c r="L315" s="11" t="inlineStr">
        <is>
          <t>Stomatopods belong to the residual benthic crustaceans; other shrimp taxa belong to Shrimps after the explicitly separated Acetes records (Appendix 6.1 pp.323-326).</t>
        </is>
      </c>
      <c r="M315" s="10" t="n">
        <v>67586.25999999999</v>
      </c>
    </row>
    <row r="316" ht="51" customHeight="1">
      <c r="A316" s="10" t="inlineStr">
        <is>
          <t>LME_036</t>
        </is>
      </c>
      <c r="B316" s="11" t="inlineStr">
        <is>
          <t>36_2_South_China_Sea_SCS-2007_Northern_South_China_Sea_(1970s)</t>
        </is>
      </c>
      <c r="C316" s="11" t="inlineStr">
        <is>
          <t>Gadiformes</t>
        </is>
      </c>
      <c r="D316" s="10" t="inlineStr">
        <is>
          <t>Cods</t>
        </is>
      </c>
      <c r="E316" s="10" t="inlineStr">
        <is>
          <t>Medium benthopelagics (30 - 89 cm)</t>
        </is>
      </c>
      <c r="F316" s="10" t="inlineStr">
        <is>
          <t>Cod-likes</t>
        </is>
      </c>
      <c r="G316" s="11" t="inlineStr">
        <is>
          <t>Demesral fish (≤ 30 cm)</t>
        </is>
      </c>
      <c r="H316" s="12" t="n">
        <v>0.3854700854700854</v>
      </c>
      <c r="I316" s="10" t="inlineStr">
        <is>
          <t>model_catch</t>
        </is>
      </c>
      <c r="J316" s="13" t="inlineStr">
        <is>
          <t>low</t>
        </is>
      </c>
      <c r="K316" s="10" t="inlineStr">
        <is>
          <t>composite_split</t>
        </is>
      </c>
      <c r="L316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6" s="10" t="n">
        <v>64264.466</v>
      </c>
    </row>
    <row r="317" ht="51" customHeight="1">
      <c r="A317" s="10" t="inlineStr">
        <is>
          <t>LME_036</t>
        </is>
      </c>
      <c r="B317" s="11" t="inlineStr">
        <is>
          <t>36_2_South_China_Sea_SCS-2007_Northern_South_China_Sea_(1970s)</t>
        </is>
      </c>
      <c r="C317" s="11" t="inlineStr">
        <is>
          <t>Gadiformes</t>
        </is>
      </c>
      <c r="D317" s="10" t="inlineStr">
        <is>
          <t>Cods</t>
        </is>
      </c>
      <c r="E317" s="10" t="inlineStr">
        <is>
          <t>Medium benthopelagics (30 - 89 cm)</t>
        </is>
      </c>
      <c r="F317" s="10" t="inlineStr">
        <is>
          <t>Cod-likes</t>
        </is>
      </c>
      <c r="G317" s="11" t="inlineStr">
        <is>
          <t>Juvenile demersal fish (&gt; 30 cm)</t>
        </is>
      </c>
      <c r="H317" s="12" t="n">
        <v>0.1230769230769231</v>
      </c>
      <c r="I317" s="10" t="inlineStr">
        <is>
          <t>model_catch</t>
        </is>
      </c>
      <c r="J317" s="13" t="inlineStr">
        <is>
          <t>low</t>
        </is>
      </c>
      <c r="K317" s="10" t="inlineStr">
        <is>
          <t>composite_split</t>
        </is>
      </c>
      <c r="L317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7" s="10" t="n">
        <v>64264.466</v>
      </c>
    </row>
    <row r="318" ht="51" customHeight="1">
      <c r="A318" s="10" t="inlineStr">
        <is>
          <t>LME_036</t>
        </is>
      </c>
      <c r="B318" s="11" t="inlineStr">
        <is>
          <t>36_2_South_China_Sea_SCS-2007_Northern_South_China_Sea_(1970s)</t>
        </is>
      </c>
      <c r="C318" s="11" t="inlineStr">
        <is>
          <t>Gadiformes</t>
        </is>
      </c>
      <c r="D318" s="10" t="inlineStr">
        <is>
          <t>Cods</t>
        </is>
      </c>
      <c r="E318" s="10" t="inlineStr">
        <is>
          <t>Medium benthopelagics (30 - 89 cm)</t>
        </is>
      </c>
      <c r="F318" s="10" t="inlineStr">
        <is>
          <t>Cod-likes</t>
        </is>
      </c>
      <c r="G318" s="11" t="inlineStr">
        <is>
          <t>Adult demersal fish (&gt; 30 cm)</t>
        </is>
      </c>
      <c r="H318" s="12" t="n">
        <v>0.4914529914529914</v>
      </c>
      <c r="I318" s="10" t="inlineStr">
        <is>
          <t>model_catch</t>
        </is>
      </c>
      <c r="J318" s="13" t="inlineStr">
        <is>
          <t>low</t>
        </is>
      </c>
      <c r="K318" s="10" t="inlineStr">
        <is>
          <t>composite_split</t>
        </is>
      </c>
      <c r="L318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8" s="10" t="n">
        <v>64264.466</v>
      </c>
    </row>
    <row r="319" ht="36" customHeight="1">
      <c r="A319" s="10" t="inlineStr">
        <is>
          <t>LME_036</t>
        </is>
      </c>
      <c r="B319" s="11" t="inlineStr">
        <is>
          <t>36_2_South_China_Sea_SCS-2007_Northern_South_China_Sea_(1970s)</t>
        </is>
      </c>
      <c r="C319" s="11" t="inlineStr">
        <is>
          <t>Cynoglossus</t>
        </is>
      </c>
      <c r="D319" s="10" t="inlineStr">
        <is>
          <t>Tonguesoles</t>
        </is>
      </c>
      <c r="E319" s="10" t="inlineStr">
        <is>
          <t>Small to medium flatfishes (&lt;90 cm)</t>
        </is>
      </c>
      <c r="F319" s="10" t="inlineStr">
        <is>
          <t>Flatfishes</t>
        </is>
      </c>
      <c r="G319" s="11" t="inlineStr">
        <is>
          <t>Demesral fish (≤ 30 cm)</t>
        </is>
      </c>
      <c r="H319" s="12" t="n">
        <v>0.3854700854700854</v>
      </c>
      <c r="I319" s="10" t="inlineStr">
        <is>
          <t>model_catch</t>
        </is>
      </c>
      <c r="J319" s="13" t="inlineStr">
        <is>
          <t>low</t>
        </is>
      </c>
      <c r="K319" s="10" t="inlineStr">
        <is>
          <t>composite_split</t>
        </is>
      </c>
      <c r="L31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19" s="10" t="n">
        <v>63100.538</v>
      </c>
    </row>
    <row r="320" ht="36" customHeight="1">
      <c r="A320" s="10" t="inlineStr">
        <is>
          <t>LME_036</t>
        </is>
      </c>
      <c r="B320" s="11" t="inlineStr">
        <is>
          <t>36_2_South_China_Sea_SCS-2007_Northern_South_China_Sea_(1970s)</t>
        </is>
      </c>
      <c r="C320" s="11" t="inlineStr">
        <is>
          <t>Cynoglossus</t>
        </is>
      </c>
      <c r="D320" s="10" t="inlineStr">
        <is>
          <t>Tonguesoles</t>
        </is>
      </c>
      <c r="E320" s="10" t="inlineStr">
        <is>
          <t>Small to medium flatfishes (&lt;90 cm)</t>
        </is>
      </c>
      <c r="F320" s="10" t="inlineStr">
        <is>
          <t>Flatfishes</t>
        </is>
      </c>
      <c r="G320" s="11" t="inlineStr">
        <is>
          <t>Juvenile demersal fish (&gt; 30 cm)</t>
        </is>
      </c>
      <c r="H320" s="12" t="n">
        <v>0.1230769230769231</v>
      </c>
      <c r="I320" s="10" t="inlineStr">
        <is>
          <t>model_catch</t>
        </is>
      </c>
      <c r="J320" s="13" t="inlineStr">
        <is>
          <t>low</t>
        </is>
      </c>
      <c r="K320" s="10" t="inlineStr">
        <is>
          <t>composite_split</t>
        </is>
      </c>
      <c r="L32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0" s="10" t="n">
        <v>63100.538</v>
      </c>
    </row>
    <row r="321" ht="36" customHeight="1">
      <c r="A321" s="10" t="inlineStr">
        <is>
          <t>LME_036</t>
        </is>
      </c>
      <c r="B321" s="11" t="inlineStr">
        <is>
          <t>36_2_South_China_Sea_SCS-2007_Northern_South_China_Sea_(1970s)</t>
        </is>
      </c>
      <c r="C321" s="11" t="inlineStr">
        <is>
          <t>Cynoglossus</t>
        </is>
      </c>
      <c r="D321" s="10" t="inlineStr">
        <is>
          <t>Tonguesoles</t>
        </is>
      </c>
      <c r="E321" s="10" t="inlineStr">
        <is>
          <t>Small to medium flatfishes (&lt;90 cm)</t>
        </is>
      </c>
      <c r="F321" s="10" t="inlineStr">
        <is>
          <t>Flatfishes</t>
        </is>
      </c>
      <c r="G321" s="11" t="inlineStr">
        <is>
          <t>Adult demersal fish (&gt; 30 cm)</t>
        </is>
      </c>
      <c r="H321" s="12" t="n">
        <v>0.4914529914529914</v>
      </c>
      <c r="I321" s="10" t="inlineStr">
        <is>
          <t>model_catch</t>
        </is>
      </c>
      <c r="J321" s="13" t="inlineStr">
        <is>
          <t>low</t>
        </is>
      </c>
      <c r="K321" s="10" t="inlineStr">
        <is>
          <t>composite_split</t>
        </is>
      </c>
      <c r="L32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1" s="10" t="n">
        <v>63100.538</v>
      </c>
    </row>
    <row r="322" ht="51" customHeight="1">
      <c r="A322" s="10" t="inlineStr">
        <is>
          <t>LME_036</t>
        </is>
      </c>
      <c r="B322" s="11" t="inlineStr">
        <is>
          <t>36_2_South_China_Sea_SCS-2007_Northern_South_China_Sea_(1970s)</t>
        </is>
      </c>
      <c r="C322" s="11" t="inlineStr">
        <is>
          <t>Gerreidae</t>
        </is>
      </c>
      <c r="D322" s="10" t="inlineStr">
        <is>
          <t>Mojarras, silverbellies</t>
        </is>
      </c>
      <c r="E322" s="10" t="inlineStr">
        <is>
          <t>Small benthopelagics (&lt;30 cm)</t>
        </is>
      </c>
      <c r="F322" s="10" t="inlineStr">
        <is>
          <t>Perch-likes</t>
        </is>
      </c>
      <c r="G322" s="11" t="inlineStr">
        <is>
          <t>Benthopelagic fish</t>
        </is>
      </c>
      <c r="H322" s="12" t="n">
        <v>1</v>
      </c>
      <c r="I322" s="10" t="inlineStr">
        <is>
          <t>single</t>
        </is>
      </c>
      <c r="J322" s="13" t="inlineStr">
        <is>
          <t>low</t>
        </is>
      </c>
      <c r="K322" s="10" t="inlineStr">
        <is>
          <t>habitat_size_guild</t>
        </is>
      </c>
      <c r="L3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22" s="10" t="n">
        <v>61206.386</v>
      </c>
    </row>
    <row r="323" ht="36" customHeight="1">
      <c r="A323" s="10" t="inlineStr">
        <is>
          <t>LME_036</t>
        </is>
      </c>
      <c r="B323" s="11" t="inlineStr">
        <is>
          <t>36_2_South_China_Sea_SCS-2007_Northern_South_China_Sea_(1970s)</t>
        </is>
      </c>
      <c r="C323" s="11" t="inlineStr">
        <is>
          <t>Panulirus longipes</t>
        </is>
      </c>
      <c r="D323" s="10" t="inlineStr">
        <is>
          <t>Longlegged spiny lobster</t>
        </is>
      </c>
      <c r="E323" s="10" t="inlineStr">
        <is>
          <t>Lobsters, crabs</t>
        </is>
      </c>
      <c r="F323" s="10" t="inlineStr">
        <is>
          <t>Crustaceans</t>
        </is>
      </c>
      <c r="G323" s="11" t="inlineStr">
        <is>
          <t>Benthic crustaceans</t>
        </is>
      </c>
      <c r="H323" s="12" t="n">
        <v>1</v>
      </c>
      <c r="I323" s="10" t="inlineStr">
        <is>
          <t>single</t>
        </is>
      </c>
      <c r="J323" s="15" t="inlineStr">
        <is>
          <t>high</t>
        </is>
      </c>
      <c r="K323" s="10" t="inlineStr">
        <is>
          <t>taxonomic_containment</t>
        </is>
      </c>
      <c r="L323" s="11" t="inlineStr">
        <is>
          <t>Source benthic crustaceans exclude shrimps and crabs (Appendix 6.1.5 p.324); lobsters remain in that residual, while true crabs use Crabs.</t>
        </is>
      </c>
      <c r="M323" s="10" t="n">
        <v>61158.427</v>
      </c>
    </row>
    <row r="324" ht="51" customHeight="1">
      <c r="A324" s="10" t="inlineStr">
        <is>
          <t>LME_036</t>
        </is>
      </c>
      <c r="B324" s="11" t="inlineStr">
        <is>
          <t>36_2_South_China_Sea_SCS-2007_Northern_South_China_Sea_(1970s)</t>
        </is>
      </c>
      <c r="C324" s="11" t="inlineStr">
        <is>
          <t>Epinephelus maculatus</t>
        </is>
      </c>
      <c r="D324" s="10" t="inlineStr">
        <is>
          <t>Highfin grouper</t>
        </is>
      </c>
      <c r="E324" s="10" t="inlineStr">
        <is>
          <t>Medium reef assoc. fish (30 - 89 cm)</t>
        </is>
      </c>
      <c r="F324" s="10" t="inlineStr">
        <is>
          <t>Perch-likes</t>
        </is>
      </c>
      <c r="G324" s="11" t="inlineStr">
        <is>
          <t>Adult groupers</t>
        </is>
      </c>
      <c r="H324" s="12" t="n">
        <v>1</v>
      </c>
      <c r="I324" s="10" t="inlineStr">
        <is>
          <t>single</t>
        </is>
      </c>
      <c r="J324" s="15" t="inlineStr">
        <is>
          <t>high</t>
        </is>
      </c>
      <c r="K324" s="10" t="inlineStr">
        <is>
          <t>taxonomic_containment</t>
        </is>
      </c>
      <c r="L324" s="11" t="inlineStr">
        <is>
          <t>Appendix 6.1 pp.327-335 defines Adult groupers by this family or explicitly names Epinephelus maculatus; dedicated source placement overrides the SAU class Medium reef assoc. fish (30 - 89 cm).</t>
        </is>
      </c>
      <c r="M324" s="10" t="n">
        <v>60882.607</v>
      </c>
    </row>
    <row r="325" ht="51" customHeight="1">
      <c r="A325" s="10" t="inlineStr">
        <is>
          <t>LME_036</t>
        </is>
      </c>
      <c r="B325" s="11" t="inlineStr">
        <is>
          <t>36_2_South_China_Sea_SCS-2007_Northern_South_China_Sea_(1970s)</t>
        </is>
      </c>
      <c r="C325" s="11" t="inlineStr">
        <is>
          <t>Pagrus major</t>
        </is>
      </c>
      <c r="D325" s="10" t="inlineStr">
        <is>
          <t>Japanese seabream</t>
        </is>
      </c>
      <c r="E325" s="10" t="inlineStr">
        <is>
          <t>Large demersals (&gt;=90 cm)</t>
        </is>
      </c>
      <c r="F325" s="10" t="inlineStr">
        <is>
          <t>Perch-likes</t>
        </is>
      </c>
      <c r="G325" s="11" t="inlineStr">
        <is>
          <t>Juvenile demersal fish (&gt; 30 cm)</t>
        </is>
      </c>
      <c r="H325" s="12" t="n">
        <v>0.2002781641168289</v>
      </c>
      <c r="I325" s="10" t="inlineStr">
        <is>
          <t>model_catch</t>
        </is>
      </c>
      <c r="J325" s="14" t="inlineStr">
        <is>
          <t>medium</t>
        </is>
      </c>
      <c r="K325" s="10" t="inlineStr">
        <is>
          <t>composite_split</t>
        </is>
      </c>
      <c r="L3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5" s="10" t="n">
        <v>60001.739</v>
      </c>
    </row>
    <row r="326" ht="51" customHeight="1">
      <c r="A326" s="10" t="inlineStr">
        <is>
          <t>LME_036</t>
        </is>
      </c>
      <c r="B326" s="11" t="inlineStr">
        <is>
          <t>36_2_South_China_Sea_SCS-2007_Northern_South_China_Sea_(1970s)</t>
        </is>
      </c>
      <c r="C326" s="11" t="inlineStr">
        <is>
          <t>Pagrus major</t>
        </is>
      </c>
      <c r="D326" s="10" t="inlineStr">
        <is>
          <t>Japanese seabream</t>
        </is>
      </c>
      <c r="E326" s="10" t="inlineStr">
        <is>
          <t>Large demersals (&gt;=90 cm)</t>
        </is>
      </c>
      <c r="F326" s="10" t="inlineStr">
        <is>
          <t>Perch-likes</t>
        </is>
      </c>
      <c r="G326" s="11" t="inlineStr">
        <is>
          <t>Adult demersal fish (&gt; 30 cm)</t>
        </is>
      </c>
      <c r="H326" s="12" t="n">
        <v>0.799721835883171</v>
      </c>
      <c r="I326" s="10" t="inlineStr">
        <is>
          <t>model_catch</t>
        </is>
      </c>
      <c r="J326" s="14" t="inlineStr">
        <is>
          <t>medium</t>
        </is>
      </c>
      <c r="K326" s="10" t="inlineStr">
        <is>
          <t>composite_split</t>
        </is>
      </c>
      <c r="L32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6" s="10" t="n">
        <v>60001.739</v>
      </c>
    </row>
    <row r="327" ht="51" customHeight="1">
      <c r="A327" s="10" t="inlineStr">
        <is>
          <t>LME_036</t>
        </is>
      </c>
      <c r="B327" s="11" t="inlineStr">
        <is>
          <t>36_2_South_China_Sea_SCS-2007_Northern_South_China_Sea_(1970s)</t>
        </is>
      </c>
      <c r="C327" s="11" t="inlineStr">
        <is>
          <t>Caesio</t>
        </is>
      </c>
      <c r="D327" s="10" t="inlineStr">
        <is>
          <t>Caesios</t>
        </is>
      </c>
      <c r="E327" s="10" t="inlineStr">
        <is>
          <t>Medium reef assoc. fish (30 - 89 cm)</t>
        </is>
      </c>
      <c r="F327" s="10" t="inlineStr">
        <is>
          <t>Perch-likes</t>
        </is>
      </c>
      <c r="G327" s="11" t="inlineStr">
        <is>
          <t>Juvenile demersal fish (&gt; 30 cm)</t>
        </is>
      </c>
      <c r="H327" s="12" t="n">
        <v>0.2002781641168289</v>
      </c>
      <c r="I327" s="10" t="inlineStr">
        <is>
          <t>model_catch</t>
        </is>
      </c>
      <c r="J327" s="14" t="inlineStr">
        <is>
          <t>medium</t>
        </is>
      </c>
      <c r="K327" s="10" t="inlineStr">
        <is>
          <t>composite_split</t>
        </is>
      </c>
      <c r="L32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7" s="10" t="n">
        <v>58951.688</v>
      </c>
    </row>
    <row r="328" ht="51" customHeight="1">
      <c r="A328" s="10" t="inlineStr">
        <is>
          <t>LME_036</t>
        </is>
      </c>
      <c r="B328" s="11" t="inlineStr">
        <is>
          <t>36_2_South_China_Sea_SCS-2007_Northern_South_China_Sea_(1970s)</t>
        </is>
      </c>
      <c r="C328" s="11" t="inlineStr">
        <is>
          <t>Caesio</t>
        </is>
      </c>
      <c r="D328" s="10" t="inlineStr">
        <is>
          <t>Caesios</t>
        </is>
      </c>
      <c r="E328" s="10" t="inlineStr">
        <is>
          <t>Medium reef assoc. fish (30 - 89 cm)</t>
        </is>
      </c>
      <c r="F328" s="10" t="inlineStr">
        <is>
          <t>Perch-likes</t>
        </is>
      </c>
      <c r="G328" s="11" t="inlineStr">
        <is>
          <t>Adult demersal fish (&gt; 30 cm)</t>
        </is>
      </c>
      <c r="H328" s="12" t="n">
        <v>0.799721835883171</v>
      </c>
      <c r="I328" s="10" t="inlineStr">
        <is>
          <t>model_catch</t>
        </is>
      </c>
      <c r="J328" s="14" t="inlineStr">
        <is>
          <t>medium</t>
        </is>
      </c>
      <c r="K328" s="10" t="inlineStr">
        <is>
          <t>composite_split</t>
        </is>
      </c>
      <c r="L3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8" s="10" t="n">
        <v>58951.688</v>
      </c>
    </row>
    <row r="329" ht="36" customHeight="1">
      <c r="A329" s="10" t="inlineStr">
        <is>
          <t>LME_036</t>
        </is>
      </c>
      <c r="B329" s="11" t="inlineStr">
        <is>
          <t>36_2_South_China_Sea_SCS-2007_Northern_South_China_Sea_(1970s)</t>
        </is>
      </c>
      <c r="C329" s="11" t="inlineStr">
        <is>
          <t>Penaeus monodon</t>
        </is>
      </c>
      <c r="D329" s="10" t="inlineStr">
        <is>
          <t>Giant tiger prawn</t>
        </is>
      </c>
      <c r="E329" s="10" t="inlineStr">
        <is>
          <t>Shrimps</t>
        </is>
      </c>
      <c r="F329" s="10" t="inlineStr">
        <is>
          <t>Crustaceans</t>
        </is>
      </c>
      <c r="G329" s="11" t="inlineStr">
        <is>
          <t>Shrimps</t>
        </is>
      </c>
      <c r="H329" s="12" t="n">
        <v>1</v>
      </c>
      <c r="I329" s="10" t="inlineStr">
        <is>
          <t>single</t>
        </is>
      </c>
      <c r="J329" s="15" t="inlineStr">
        <is>
          <t>high</t>
        </is>
      </c>
      <c r="K329" s="10" t="inlineStr">
        <is>
          <t>taxonomic_containment</t>
        </is>
      </c>
      <c r="L329" s="11" t="inlineStr">
        <is>
          <t>Stomatopods belong to the residual benthic crustaceans; other shrimp taxa belong to Shrimps after the explicitly separated Acetes records (Appendix 6.1 pp.323-326).</t>
        </is>
      </c>
      <c r="M329" s="10" t="n">
        <v>56190.894</v>
      </c>
    </row>
    <row r="330" ht="36" customHeight="1">
      <c r="A330" s="10" t="inlineStr">
        <is>
          <t>LME_036</t>
        </is>
      </c>
      <c r="B330" s="11" t="inlineStr">
        <is>
          <t>36_2_South_China_Sea_SCS-2007_Northern_South_China_Sea_(1970s)</t>
        </is>
      </c>
      <c r="C330" s="11" t="inlineStr">
        <is>
          <t>Carcharhinidae</t>
        </is>
      </c>
      <c r="D330" s="10" t="inlineStr">
        <is>
          <t>Requiem sharks</t>
        </is>
      </c>
      <c r="E330" s="10" t="inlineStr">
        <is>
          <t>Large sharks (&gt;=90 cm)</t>
        </is>
      </c>
      <c r="F330" s="10" t="inlineStr">
        <is>
          <t>Sharks &amp; rays</t>
        </is>
      </c>
      <c r="G330" s="11" t="inlineStr">
        <is>
          <t>Demersal sharks and rays</t>
        </is>
      </c>
      <c r="H330" s="12" t="n">
        <v>0.8134680303573432</v>
      </c>
      <c r="I330" s="10" t="inlineStr">
        <is>
          <t>catch_composition</t>
        </is>
      </c>
      <c r="J330" s="13" t="inlineStr">
        <is>
          <t>low</t>
        </is>
      </c>
      <c r="K330" s="10" t="inlineStr">
        <is>
          <t>composite_split</t>
        </is>
      </c>
      <c r="L330" s="11" t="inlineStr">
        <is>
          <t>Coarse or habitat-ambiguous elasmobranch record spans the two source habitat compartments; SAU shark/ray size is insufficient to select one.</t>
        </is>
      </c>
      <c r="M330" s="10" t="n">
        <v>55100.053</v>
      </c>
    </row>
    <row r="331" ht="36" customHeight="1">
      <c r="A331" s="10" t="inlineStr">
        <is>
          <t>LME_036</t>
        </is>
      </c>
      <c r="B331" s="11" t="inlineStr">
        <is>
          <t>36_2_South_China_Sea_SCS-2007_Northern_South_China_Sea_(1970s)</t>
        </is>
      </c>
      <c r="C331" s="11" t="inlineStr">
        <is>
          <t>Carcharhinidae</t>
        </is>
      </c>
      <c r="D331" s="10" t="inlineStr">
        <is>
          <t>Requiem sharks</t>
        </is>
      </c>
      <c r="E331" s="10" t="inlineStr">
        <is>
          <t>Large sharks (&gt;=90 cm)</t>
        </is>
      </c>
      <c r="F331" s="10" t="inlineStr">
        <is>
          <t>Sharks &amp; rays</t>
        </is>
      </c>
      <c r="G331" s="11" t="inlineStr">
        <is>
          <t>Pelagic sharks and rays</t>
        </is>
      </c>
      <c r="H331" s="12" t="n">
        <v>0.1865319696426568</v>
      </c>
      <c r="I331" s="10" t="inlineStr">
        <is>
          <t>catch_composition</t>
        </is>
      </c>
      <c r="J331" s="13" t="inlineStr">
        <is>
          <t>low</t>
        </is>
      </c>
      <c r="K331" s="10" t="inlineStr">
        <is>
          <t>composite_split</t>
        </is>
      </c>
      <c r="L331" s="11" t="inlineStr">
        <is>
          <t>Coarse or habitat-ambiguous elasmobranch record spans the two source habitat compartments; SAU shark/ray size is insufficient to select one.</t>
        </is>
      </c>
      <c r="M331" s="10" t="n">
        <v>55100.053</v>
      </c>
    </row>
    <row r="332" ht="36" customHeight="1">
      <c r="A332" s="10" t="inlineStr">
        <is>
          <t>LME_036</t>
        </is>
      </c>
      <c r="B332" s="11" t="inlineStr">
        <is>
          <t>36_2_South_China_Sea_SCS-2007_Northern_South_China_Sea_(1970s)</t>
        </is>
      </c>
      <c r="C332" s="11" t="inlineStr">
        <is>
          <t>Paralichthyidae</t>
        </is>
      </c>
      <c r="D332" s="10" t="inlineStr">
        <is>
          <t>Largetooth flounders</t>
        </is>
      </c>
      <c r="E332" s="10" t="inlineStr">
        <is>
          <t>Small to medium flatfishes (&lt;90 cm)</t>
        </is>
      </c>
      <c r="F332" s="10" t="inlineStr">
        <is>
          <t>Flatfishes</t>
        </is>
      </c>
      <c r="G332" s="11" t="inlineStr">
        <is>
          <t>Demesral fish (≤ 30 cm)</t>
        </is>
      </c>
      <c r="H332" s="12" t="n">
        <v>0.3854700854700854</v>
      </c>
      <c r="I332" s="10" t="inlineStr">
        <is>
          <t>model_catch</t>
        </is>
      </c>
      <c r="J332" s="13" t="inlineStr">
        <is>
          <t>low</t>
        </is>
      </c>
      <c r="K332" s="10" t="inlineStr">
        <is>
          <t>composite_split</t>
        </is>
      </c>
      <c r="L33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2" s="10" t="n">
        <v>52148.543</v>
      </c>
    </row>
    <row r="333" ht="36" customHeight="1">
      <c r="A333" s="10" t="inlineStr">
        <is>
          <t>LME_036</t>
        </is>
      </c>
      <c r="B333" s="11" t="inlineStr">
        <is>
          <t>36_2_South_China_Sea_SCS-2007_Northern_South_China_Sea_(1970s)</t>
        </is>
      </c>
      <c r="C333" s="11" t="inlineStr">
        <is>
          <t>Paralichthyidae</t>
        </is>
      </c>
      <c r="D333" s="10" t="inlineStr">
        <is>
          <t>Largetooth flounders</t>
        </is>
      </c>
      <c r="E333" s="10" t="inlineStr">
        <is>
          <t>Small to medium flatfishes (&lt;90 cm)</t>
        </is>
      </c>
      <c r="F333" s="10" t="inlineStr">
        <is>
          <t>Flatfishes</t>
        </is>
      </c>
      <c r="G333" s="11" t="inlineStr">
        <is>
          <t>Juvenile demersal fish (&gt; 30 cm)</t>
        </is>
      </c>
      <c r="H333" s="12" t="n">
        <v>0.1230769230769231</v>
      </c>
      <c r="I333" s="10" t="inlineStr">
        <is>
          <t>model_catch</t>
        </is>
      </c>
      <c r="J333" s="13" t="inlineStr">
        <is>
          <t>low</t>
        </is>
      </c>
      <c r="K333" s="10" t="inlineStr">
        <is>
          <t>composite_split</t>
        </is>
      </c>
      <c r="L33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3" s="10" t="n">
        <v>52148.543</v>
      </c>
    </row>
    <row r="334" ht="36" customHeight="1">
      <c r="A334" s="10" t="inlineStr">
        <is>
          <t>LME_036</t>
        </is>
      </c>
      <c r="B334" s="11" t="inlineStr">
        <is>
          <t>36_2_South_China_Sea_SCS-2007_Northern_South_China_Sea_(1970s)</t>
        </is>
      </c>
      <c r="C334" s="11" t="inlineStr">
        <is>
          <t>Paralichthyidae</t>
        </is>
      </c>
      <c r="D334" s="10" t="inlineStr">
        <is>
          <t>Largetooth flounders</t>
        </is>
      </c>
      <c r="E334" s="10" t="inlineStr">
        <is>
          <t>Small to medium flatfishes (&lt;90 cm)</t>
        </is>
      </c>
      <c r="F334" s="10" t="inlineStr">
        <is>
          <t>Flatfishes</t>
        </is>
      </c>
      <c r="G334" s="11" t="inlineStr">
        <is>
          <t>Adult demersal fish (&gt; 30 cm)</t>
        </is>
      </c>
      <c r="H334" s="12" t="n">
        <v>0.4914529914529914</v>
      </c>
      <c r="I334" s="10" t="inlineStr">
        <is>
          <t>model_catch</t>
        </is>
      </c>
      <c r="J334" s="13" t="inlineStr">
        <is>
          <t>low</t>
        </is>
      </c>
      <c r="K334" s="10" t="inlineStr">
        <is>
          <t>composite_split</t>
        </is>
      </c>
      <c r="L3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4" s="10" t="n">
        <v>52148.543</v>
      </c>
    </row>
    <row r="335" ht="51" customHeight="1">
      <c r="A335" s="10" t="inlineStr">
        <is>
          <t>LME_036</t>
        </is>
      </c>
      <c r="B335" s="11" t="inlineStr">
        <is>
          <t>36_2_South_China_Sea_SCS-2007_Northern_South_China_Sea_(1970s)</t>
        </is>
      </c>
      <c r="C335" s="11" t="inlineStr">
        <is>
          <t>Sillaginidae</t>
        </is>
      </c>
      <c r="D335" s="10" t="inlineStr">
        <is>
          <t>Smelt-whitings</t>
        </is>
      </c>
      <c r="E335" s="10" t="inlineStr">
        <is>
          <t>Medium demersals (30 - 89 cm)</t>
        </is>
      </c>
      <c r="F335" s="10" t="inlineStr">
        <is>
          <t>Perch-likes</t>
        </is>
      </c>
      <c r="G335" s="11" t="inlineStr">
        <is>
          <t>Juvenile demersal fish (&gt; 30 cm)</t>
        </is>
      </c>
      <c r="H335" s="12" t="n">
        <v>0.2002781641168289</v>
      </c>
      <c r="I335" s="10" t="inlineStr">
        <is>
          <t>model_catch</t>
        </is>
      </c>
      <c r="J335" s="14" t="inlineStr">
        <is>
          <t>medium</t>
        </is>
      </c>
      <c r="K335" s="10" t="inlineStr">
        <is>
          <t>composite_split</t>
        </is>
      </c>
      <c r="L3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5" s="10" t="n">
        <v>50464.447</v>
      </c>
    </row>
    <row r="336" ht="51" customHeight="1">
      <c r="A336" s="10" t="inlineStr">
        <is>
          <t>LME_036</t>
        </is>
      </c>
      <c r="B336" s="11" t="inlineStr">
        <is>
          <t>36_2_South_China_Sea_SCS-2007_Northern_South_China_Sea_(1970s)</t>
        </is>
      </c>
      <c r="C336" s="11" t="inlineStr">
        <is>
          <t>Sillaginidae</t>
        </is>
      </c>
      <c r="D336" s="10" t="inlineStr">
        <is>
          <t>Smelt-whitings</t>
        </is>
      </c>
      <c r="E336" s="10" t="inlineStr">
        <is>
          <t>Medium demersals (30 - 89 cm)</t>
        </is>
      </c>
      <c r="F336" s="10" t="inlineStr">
        <is>
          <t>Perch-likes</t>
        </is>
      </c>
      <c r="G336" s="11" t="inlineStr">
        <is>
          <t>Adult demersal fish (&gt; 30 cm)</t>
        </is>
      </c>
      <c r="H336" s="12" t="n">
        <v>0.799721835883171</v>
      </c>
      <c r="I336" s="10" t="inlineStr">
        <is>
          <t>model_catch</t>
        </is>
      </c>
      <c r="J336" s="14" t="inlineStr">
        <is>
          <t>medium</t>
        </is>
      </c>
      <c r="K336" s="10" t="inlineStr">
        <is>
          <t>composite_split</t>
        </is>
      </c>
      <c r="L33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6" s="10" t="n">
        <v>50464.447</v>
      </c>
    </row>
    <row r="337" ht="51" customHeight="1">
      <c r="A337" s="10" t="inlineStr">
        <is>
          <t>LME_036</t>
        </is>
      </c>
      <c r="B337" s="11" t="inlineStr">
        <is>
          <t>36_2_South_China_Sea_SCS-2007_Northern_South_China_Sea_(1970s)</t>
        </is>
      </c>
      <c r="C337" s="11" t="inlineStr">
        <is>
          <t>Thryssa</t>
        </is>
      </c>
      <c r="D337" s="10" t="inlineStr">
        <is>
          <t>Thryssas</t>
        </is>
      </c>
      <c r="E337" s="10" t="inlineStr">
        <is>
          <t>Small pelagics (&lt;30 cm)</t>
        </is>
      </c>
      <c r="F337" s="10" t="inlineStr">
        <is>
          <t>Anchovies</t>
        </is>
      </c>
      <c r="G337" s="11" t="inlineStr">
        <is>
          <t>Pelagic fish (≤ 30 cm)</t>
        </is>
      </c>
      <c r="H337" s="12" t="n">
        <v>1</v>
      </c>
      <c r="I337" s="10" t="inlineStr">
        <is>
          <t>single</t>
        </is>
      </c>
      <c r="J337" s="14" t="inlineStr">
        <is>
          <t>medium</t>
        </is>
      </c>
      <c r="K337" s="10" t="inlineStr">
        <is>
          <t>habitat_size_guild</t>
        </is>
      </c>
      <c r="L33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37" s="10" t="n">
        <v>48625.9</v>
      </c>
    </row>
    <row r="338" ht="36" customHeight="1">
      <c r="A338" s="10" t="inlineStr">
        <is>
          <t>LME_036</t>
        </is>
      </c>
      <c r="B338" s="11" t="inlineStr">
        <is>
          <t>36_2_South_China_Sea_SCS-2007_Northern_South_China_Sea_(1970s)</t>
        </is>
      </c>
      <c r="C338" s="11" t="inlineStr">
        <is>
          <t>Rachycentridae</t>
        </is>
      </c>
      <c r="D338" s="10" t="inlineStr">
        <is>
          <t>Cobias</t>
        </is>
      </c>
      <c r="E338" s="10" t="inlineStr">
        <is>
          <t>Large pelagics (&gt;=90 cm)</t>
        </is>
      </c>
      <c r="F338" s="10" t="inlineStr">
        <is>
          <t>Perch-likes</t>
        </is>
      </c>
      <c r="G338" s="11" t="inlineStr">
        <is>
          <t>Juvenile large pelagic fish</t>
        </is>
      </c>
      <c r="H338" s="12" t="n">
        <v>0.2016806722689076</v>
      </c>
      <c r="I338" s="10" t="inlineStr">
        <is>
          <t>model_catch</t>
        </is>
      </c>
      <c r="J338" s="14" t="inlineStr">
        <is>
          <t>medium</t>
        </is>
      </c>
      <c r="K338" s="10" t="inlineStr">
        <is>
          <t>composite_split</t>
        </is>
      </c>
      <c r="L338" s="11" t="inlineStr">
        <is>
          <t>Analyst habitat/size inference to source &gt;30 cm pelagic fish (Appendix 6.1.24 p.339); no age data, so split juvenile/adult using the period model catch.</t>
        </is>
      </c>
      <c r="M338" s="10" t="n">
        <v>48027.036</v>
      </c>
    </row>
    <row r="339" ht="36" customHeight="1">
      <c r="A339" s="10" t="inlineStr">
        <is>
          <t>LME_036</t>
        </is>
      </c>
      <c r="B339" s="11" t="inlineStr">
        <is>
          <t>36_2_South_China_Sea_SCS-2007_Northern_South_China_Sea_(1970s)</t>
        </is>
      </c>
      <c r="C339" s="11" t="inlineStr">
        <is>
          <t>Rachycentridae</t>
        </is>
      </c>
      <c r="D339" s="10" t="inlineStr">
        <is>
          <t>Cobias</t>
        </is>
      </c>
      <c r="E339" s="10" t="inlineStr">
        <is>
          <t>Large pelagics (&gt;=90 cm)</t>
        </is>
      </c>
      <c r="F339" s="10" t="inlineStr">
        <is>
          <t>Perch-likes</t>
        </is>
      </c>
      <c r="G339" s="11" t="inlineStr">
        <is>
          <t>Pelagic fish (&gt; 30 cm)</t>
        </is>
      </c>
      <c r="H339" s="12" t="n">
        <v>0.7983193277310925</v>
      </c>
      <c r="I339" s="10" t="inlineStr">
        <is>
          <t>model_catch</t>
        </is>
      </c>
      <c r="J339" s="14" t="inlineStr">
        <is>
          <t>medium</t>
        </is>
      </c>
      <c r="K339" s="10" t="inlineStr">
        <is>
          <t>composite_split</t>
        </is>
      </c>
      <c r="L339" s="11" t="inlineStr">
        <is>
          <t>Analyst habitat/size inference to source &gt;30 cm pelagic fish (Appendix 6.1.24 p.339); no age data, so split juvenile/adult using the period model catch.</t>
        </is>
      </c>
      <c r="M339" s="10" t="n">
        <v>48027.036</v>
      </c>
    </row>
    <row r="340" ht="36" customHeight="1">
      <c r="A340" s="10" t="inlineStr">
        <is>
          <t>LME_036</t>
        </is>
      </c>
      <c r="B340" s="11" t="inlineStr">
        <is>
          <t>36_2_South_China_Sea_SCS-2007_Northern_South_China_Sea_(1970s)</t>
        </is>
      </c>
      <c r="C340" s="11" t="inlineStr">
        <is>
          <t>Tylosurus crocodilus</t>
        </is>
      </c>
      <c r="D340" s="10" t="inlineStr">
        <is>
          <t>Hound needlefish</t>
        </is>
      </c>
      <c r="E340" s="10" t="inlineStr">
        <is>
          <t>Large pelagics (&gt;=90 cm)</t>
        </is>
      </c>
      <c r="F340" s="10" t="inlineStr">
        <is>
          <t>Other fishes &amp; inverts</t>
        </is>
      </c>
      <c r="G340" s="11" t="inlineStr">
        <is>
          <t>Juvenile large pelagic fish</t>
        </is>
      </c>
      <c r="H340" s="12" t="n">
        <v>0.2016806722689076</v>
      </c>
      <c r="I340" s="10" t="inlineStr">
        <is>
          <t>model_catch</t>
        </is>
      </c>
      <c r="J340" s="14" t="inlineStr">
        <is>
          <t>medium</t>
        </is>
      </c>
      <c r="K340" s="10" t="inlineStr">
        <is>
          <t>composite_split</t>
        </is>
      </c>
      <c r="L340" s="11" t="inlineStr">
        <is>
          <t>Analyst habitat/size inference to source &gt;30 cm pelagic fish (Appendix 6.1.24 p.339); no age data, so split juvenile/adult using the period model catch.</t>
        </is>
      </c>
      <c r="M340" s="10" t="n">
        <v>47317.771</v>
      </c>
    </row>
    <row r="341" ht="36" customHeight="1">
      <c r="A341" s="10" t="inlineStr">
        <is>
          <t>LME_036</t>
        </is>
      </c>
      <c r="B341" s="11" t="inlineStr">
        <is>
          <t>36_2_South_China_Sea_SCS-2007_Northern_South_China_Sea_(1970s)</t>
        </is>
      </c>
      <c r="C341" s="11" t="inlineStr">
        <is>
          <t>Tylosurus crocodilus</t>
        </is>
      </c>
      <c r="D341" s="10" t="inlineStr">
        <is>
          <t>Hound needlefish</t>
        </is>
      </c>
      <c r="E341" s="10" t="inlineStr">
        <is>
          <t>Large pelagics (&gt;=90 cm)</t>
        </is>
      </c>
      <c r="F341" s="10" t="inlineStr">
        <is>
          <t>Other fishes &amp; inverts</t>
        </is>
      </c>
      <c r="G341" s="11" t="inlineStr">
        <is>
          <t>Pelagic fish (&gt; 30 cm)</t>
        </is>
      </c>
      <c r="H341" s="12" t="n">
        <v>0.7983193277310925</v>
      </c>
      <c r="I341" s="10" t="inlineStr">
        <is>
          <t>model_catch</t>
        </is>
      </c>
      <c r="J341" s="14" t="inlineStr">
        <is>
          <t>medium</t>
        </is>
      </c>
      <c r="K341" s="10" t="inlineStr">
        <is>
          <t>composite_split</t>
        </is>
      </c>
      <c r="L341" s="11" t="inlineStr">
        <is>
          <t>Analyst habitat/size inference to source &gt;30 cm pelagic fish (Appendix 6.1.24 p.339); no age data, so split juvenile/adult using the period model catch.</t>
        </is>
      </c>
      <c r="M341" s="10" t="n">
        <v>47317.771</v>
      </c>
    </row>
    <row r="342" ht="36" customHeight="1">
      <c r="A342" s="10" t="inlineStr">
        <is>
          <t>LME_036</t>
        </is>
      </c>
      <c r="B342" s="11" t="inlineStr">
        <is>
          <t>36_2_South_China_Sea_SCS-2007_Northern_South_China_Sea_(1970s)</t>
        </is>
      </c>
      <c r="C342" s="11" t="inlineStr">
        <is>
          <t>Acanthuridae</t>
        </is>
      </c>
      <c r="D342" s="10" t="inlineStr">
        <is>
          <t>Surgeons, tangs, unicornfishes</t>
        </is>
      </c>
      <c r="E342" s="10" t="inlineStr">
        <is>
          <t>Small reef assoc. fish (&lt;30 cm)</t>
        </is>
      </c>
      <c r="F342" s="10" t="inlineStr">
        <is>
          <t>Perch-likes</t>
        </is>
      </c>
      <c r="G342" s="11" t="inlineStr">
        <is>
          <t>Demesral fish (≤ 30 cm)</t>
        </is>
      </c>
      <c r="H342" s="12" t="n">
        <v>1</v>
      </c>
      <c r="I342" s="10" t="inlineStr">
        <is>
          <t>single</t>
        </is>
      </c>
      <c r="J342" s="14" t="inlineStr">
        <is>
          <t>medium</t>
        </is>
      </c>
      <c r="K342" s="10" t="inlineStr">
        <is>
          <t>habitat_size_guild</t>
        </is>
      </c>
      <c r="L342" s="11" t="inlineStr">
        <is>
          <t>Analyst habitat/size inference: small demersal or reef-associated fish after excluding dedicated taxonomic groups, matching Appendix 6.1.19 &lt;=30 cm residual demersal pool.</t>
        </is>
      </c>
      <c r="M342" s="10" t="n">
        <v>46027.118</v>
      </c>
    </row>
    <row r="343" ht="51" customHeight="1">
      <c r="A343" s="10" t="inlineStr">
        <is>
          <t>LME_036</t>
        </is>
      </c>
      <c r="B343" s="11" t="inlineStr">
        <is>
          <t>36_2_South_China_Sea_SCS-2007_Northern_South_China_Sea_(1970s)</t>
        </is>
      </c>
      <c r="C343" s="11" t="inlineStr">
        <is>
          <t>Trachurus japonicus</t>
        </is>
      </c>
      <c r="D343" s="10" t="inlineStr">
        <is>
          <t>Japanese jack mackerel</t>
        </is>
      </c>
      <c r="E343" s="10" t="inlineStr">
        <is>
          <t>Medium demersals (30 - 89 cm)</t>
        </is>
      </c>
      <c r="F343" s="10" t="inlineStr">
        <is>
          <t>Perch-likes</t>
        </is>
      </c>
      <c r="G343" s="11" t="inlineStr">
        <is>
          <t>Juvenile large pelagic fish</t>
        </is>
      </c>
      <c r="H343" s="12" t="n">
        <v>0.2016806722689076</v>
      </c>
      <c r="I343" s="10" t="inlineStr">
        <is>
          <t>model_catch</t>
        </is>
      </c>
      <c r="J343" s="14" t="inlineStr">
        <is>
          <t>medium</t>
        </is>
      </c>
      <c r="K343" s="10" t="inlineStr">
        <is>
          <t>composite_split</t>
        </is>
      </c>
      <c r="L3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3" s="10" t="n">
        <v>44027.554</v>
      </c>
    </row>
    <row r="344" ht="51" customHeight="1">
      <c r="A344" s="10" t="inlineStr">
        <is>
          <t>LME_036</t>
        </is>
      </c>
      <c r="B344" s="11" t="inlineStr">
        <is>
          <t>36_2_South_China_Sea_SCS-2007_Northern_South_China_Sea_(1970s)</t>
        </is>
      </c>
      <c r="C344" s="11" t="inlineStr">
        <is>
          <t>Trachurus japonicus</t>
        </is>
      </c>
      <c r="D344" s="10" t="inlineStr">
        <is>
          <t>Japanese jack mackerel</t>
        </is>
      </c>
      <c r="E344" s="10" t="inlineStr">
        <is>
          <t>Medium demersals (30 - 89 cm)</t>
        </is>
      </c>
      <c r="F344" s="10" t="inlineStr">
        <is>
          <t>Perch-likes</t>
        </is>
      </c>
      <c r="G344" s="11" t="inlineStr">
        <is>
          <t>Pelagic fish (&gt; 30 cm)</t>
        </is>
      </c>
      <c r="H344" s="12" t="n">
        <v>0.7983193277310925</v>
      </c>
      <c r="I344" s="10" t="inlineStr">
        <is>
          <t>model_catch</t>
        </is>
      </c>
      <c r="J344" s="14" t="inlineStr">
        <is>
          <t>medium</t>
        </is>
      </c>
      <c r="K344" s="10" t="inlineStr">
        <is>
          <t>composite_split</t>
        </is>
      </c>
      <c r="L3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4" s="10" t="n">
        <v>44027.554</v>
      </c>
    </row>
    <row r="345" ht="36" customHeight="1">
      <c r="A345" s="10" t="inlineStr">
        <is>
          <t>LME_036</t>
        </is>
      </c>
      <c r="B345" s="11" t="inlineStr">
        <is>
          <t>36_2_South_China_Sea_SCS-2007_Northern_South_China_Sea_(1970s)</t>
        </is>
      </c>
      <c r="C345" s="11" t="inlineStr">
        <is>
          <t>Lactarius lactarius</t>
        </is>
      </c>
      <c r="D345" s="10" t="inlineStr">
        <is>
          <t>False trevally</t>
        </is>
      </c>
      <c r="E345" s="10" t="inlineStr">
        <is>
          <t>Medium pelagics (30 - 89 cm)</t>
        </is>
      </c>
      <c r="F345" s="10" t="inlineStr">
        <is>
          <t>Perch-likes</t>
        </is>
      </c>
      <c r="G345" s="11" t="inlineStr">
        <is>
          <t>Juvenile large pelagic fish</t>
        </is>
      </c>
      <c r="H345" s="12" t="n">
        <v>0.2016806722689076</v>
      </c>
      <c r="I345" s="10" t="inlineStr">
        <is>
          <t>model_catch</t>
        </is>
      </c>
      <c r="J345" s="14" t="inlineStr">
        <is>
          <t>medium</t>
        </is>
      </c>
      <c r="K345" s="10" t="inlineStr">
        <is>
          <t>composite_split</t>
        </is>
      </c>
      <c r="L345" s="11" t="inlineStr">
        <is>
          <t>Analyst habitat/size inference to source &gt;30 cm pelagic fish (Appendix 6.1.24 p.339); no age data, so split juvenile/adult using the period model catch.</t>
        </is>
      </c>
      <c r="M345" s="10" t="n">
        <v>43593</v>
      </c>
    </row>
    <row r="346" ht="36" customHeight="1">
      <c r="A346" s="10" t="inlineStr">
        <is>
          <t>LME_036</t>
        </is>
      </c>
      <c r="B346" s="11" t="inlineStr">
        <is>
          <t>36_2_South_China_Sea_SCS-2007_Northern_South_China_Sea_(1970s)</t>
        </is>
      </c>
      <c r="C346" s="11" t="inlineStr">
        <is>
          <t>Lactarius lactarius</t>
        </is>
      </c>
      <c r="D346" s="10" t="inlineStr">
        <is>
          <t>False trevally</t>
        </is>
      </c>
      <c r="E346" s="10" t="inlineStr">
        <is>
          <t>Medium pelagics (30 - 89 cm)</t>
        </is>
      </c>
      <c r="F346" s="10" t="inlineStr">
        <is>
          <t>Perch-likes</t>
        </is>
      </c>
      <c r="G346" s="11" t="inlineStr">
        <is>
          <t>Pelagic fish (&gt; 30 cm)</t>
        </is>
      </c>
      <c r="H346" s="12" t="n">
        <v>0.7983193277310925</v>
      </c>
      <c r="I346" s="10" t="inlineStr">
        <is>
          <t>model_catch</t>
        </is>
      </c>
      <c r="J346" s="14" t="inlineStr">
        <is>
          <t>medium</t>
        </is>
      </c>
      <c r="K346" s="10" t="inlineStr">
        <is>
          <t>composite_split</t>
        </is>
      </c>
      <c r="L346" s="11" t="inlineStr">
        <is>
          <t>Analyst habitat/size inference to source &gt;30 cm pelagic fish (Appendix 6.1.24 p.339); no age data, so split juvenile/adult using the period model catch.</t>
        </is>
      </c>
      <c r="M346" s="10" t="n">
        <v>43593</v>
      </c>
    </row>
    <row r="347" ht="51" customHeight="1">
      <c r="A347" s="10" t="inlineStr">
        <is>
          <t>LME_036</t>
        </is>
      </c>
      <c r="B347" s="11" t="inlineStr">
        <is>
          <t>36_2_South_China_Sea_SCS-2007_Northern_South_China_Sea_(1970s)</t>
        </is>
      </c>
      <c r="C347" s="11" t="inlineStr">
        <is>
          <t>Lethrinus</t>
        </is>
      </c>
      <c r="D347" s="10" t="inlineStr">
        <is>
          <t>Emperors</t>
        </is>
      </c>
      <c r="E347" s="10" t="inlineStr">
        <is>
          <t>Medium reef assoc. fish (30 - 89 cm)</t>
        </is>
      </c>
      <c r="F347" s="10" t="inlineStr">
        <is>
          <t>Perch-likes</t>
        </is>
      </c>
      <c r="G347" s="11" t="inlineStr">
        <is>
          <t>Juvenile demersal fish (&gt; 30 cm)</t>
        </is>
      </c>
      <c r="H347" s="12" t="n">
        <v>0.2002781641168289</v>
      </c>
      <c r="I347" s="10" t="inlineStr">
        <is>
          <t>model_catch</t>
        </is>
      </c>
      <c r="J347" s="14" t="inlineStr">
        <is>
          <t>medium</t>
        </is>
      </c>
      <c r="K347" s="10" t="inlineStr">
        <is>
          <t>composite_split</t>
        </is>
      </c>
      <c r="L3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7" s="10" t="n">
        <v>43238.767</v>
      </c>
    </row>
    <row r="348" ht="51" customHeight="1">
      <c r="A348" s="10" t="inlineStr">
        <is>
          <t>LME_036</t>
        </is>
      </c>
      <c r="B348" s="11" t="inlineStr">
        <is>
          <t>36_2_South_China_Sea_SCS-2007_Northern_South_China_Sea_(1970s)</t>
        </is>
      </c>
      <c r="C348" s="11" t="inlineStr">
        <is>
          <t>Lethrinus</t>
        </is>
      </c>
      <c r="D348" s="10" t="inlineStr">
        <is>
          <t>Emperors</t>
        </is>
      </c>
      <c r="E348" s="10" t="inlineStr">
        <is>
          <t>Medium reef assoc. fish (30 - 89 cm)</t>
        </is>
      </c>
      <c r="F348" s="10" t="inlineStr">
        <is>
          <t>Perch-likes</t>
        </is>
      </c>
      <c r="G348" s="11" t="inlineStr">
        <is>
          <t>Adult demersal fish (&gt; 30 cm)</t>
        </is>
      </c>
      <c r="H348" s="12" t="n">
        <v>0.799721835883171</v>
      </c>
      <c r="I348" s="10" t="inlineStr">
        <is>
          <t>model_catch</t>
        </is>
      </c>
      <c r="J348" s="14" t="inlineStr">
        <is>
          <t>medium</t>
        </is>
      </c>
      <c r="K348" s="10" t="inlineStr">
        <is>
          <t>composite_split</t>
        </is>
      </c>
      <c r="L3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8" s="10" t="n">
        <v>43238.767</v>
      </c>
    </row>
    <row r="349" ht="51" customHeight="1">
      <c r="A349" s="10" t="inlineStr">
        <is>
          <t>LME_036</t>
        </is>
      </c>
      <c r="B349" s="11" t="inlineStr">
        <is>
          <t>36_2_South_China_Sea_SCS-2007_Northern_South_China_Sea_(1970s)</t>
        </is>
      </c>
      <c r="C349" s="11" t="inlineStr">
        <is>
          <t>Balistidae</t>
        </is>
      </c>
      <c r="D349" s="10" t="inlineStr">
        <is>
          <t>Triggerfishes</t>
        </is>
      </c>
      <c r="E349" s="10" t="inlineStr">
        <is>
          <t>Medium reef assoc. fish (30 - 89 cm)</t>
        </is>
      </c>
      <c r="F349" s="10" t="inlineStr">
        <is>
          <t>Other fishes &amp; inverts</t>
        </is>
      </c>
      <c r="G349" s="11" t="inlineStr">
        <is>
          <t>Juvenile demersal fish (&gt; 30 cm)</t>
        </is>
      </c>
      <c r="H349" s="12" t="n">
        <v>0.2002781641168289</v>
      </c>
      <c r="I349" s="10" t="inlineStr">
        <is>
          <t>model_catch</t>
        </is>
      </c>
      <c r="J349" s="14" t="inlineStr">
        <is>
          <t>medium</t>
        </is>
      </c>
      <c r="K349" s="10" t="inlineStr">
        <is>
          <t>composite_split</t>
        </is>
      </c>
      <c r="L3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9" s="10" t="n">
        <v>42725.167</v>
      </c>
    </row>
    <row r="350" ht="51" customHeight="1">
      <c r="A350" s="10" t="inlineStr">
        <is>
          <t>LME_036</t>
        </is>
      </c>
      <c r="B350" s="11" t="inlineStr">
        <is>
          <t>36_2_South_China_Sea_SCS-2007_Northern_South_China_Sea_(1970s)</t>
        </is>
      </c>
      <c r="C350" s="11" t="inlineStr">
        <is>
          <t>Balistidae</t>
        </is>
      </c>
      <c r="D350" s="10" t="inlineStr">
        <is>
          <t>Triggerfishes</t>
        </is>
      </c>
      <c r="E350" s="10" t="inlineStr">
        <is>
          <t>Medium reef assoc. fish (30 - 89 cm)</t>
        </is>
      </c>
      <c r="F350" s="10" t="inlineStr">
        <is>
          <t>Other fishes &amp; inverts</t>
        </is>
      </c>
      <c r="G350" s="11" t="inlineStr">
        <is>
          <t>Adult demersal fish (&gt; 30 cm)</t>
        </is>
      </c>
      <c r="H350" s="12" t="n">
        <v>0.799721835883171</v>
      </c>
      <c r="I350" s="10" t="inlineStr">
        <is>
          <t>model_catch</t>
        </is>
      </c>
      <c r="J350" s="14" t="inlineStr">
        <is>
          <t>medium</t>
        </is>
      </c>
      <c r="K350" s="10" t="inlineStr">
        <is>
          <t>composite_split</t>
        </is>
      </c>
      <c r="L35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0" s="10" t="n">
        <v>42725.167</v>
      </c>
    </row>
    <row r="351" ht="51" customHeight="1">
      <c r="A351" s="10" t="inlineStr">
        <is>
          <t>LME_036</t>
        </is>
      </c>
      <c r="B351" s="11" t="inlineStr">
        <is>
          <t>36_2_South_China_Sea_SCS-2007_Northern_South_China_Sea_(1970s)</t>
        </is>
      </c>
      <c r="C351" s="11" t="inlineStr">
        <is>
          <t>Gymnocranius</t>
        </is>
      </c>
      <c r="D351" s="10" t="inlineStr">
        <is>
          <t>Largeeye breams</t>
        </is>
      </c>
      <c r="E351" s="10" t="inlineStr">
        <is>
          <t>Medium reef assoc. fish (30 - 89 cm)</t>
        </is>
      </c>
      <c r="F351" s="10" t="inlineStr">
        <is>
          <t>Perch-likes</t>
        </is>
      </c>
      <c r="G351" s="11" t="inlineStr">
        <is>
          <t>Juvenile demersal fish (&gt; 30 cm)</t>
        </is>
      </c>
      <c r="H351" s="12" t="n">
        <v>0.2002781641168289</v>
      </c>
      <c r="I351" s="10" t="inlineStr">
        <is>
          <t>model_catch</t>
        </is>
      </c>
      <c r="J351" s="14" t="inlineStr">
        <is>
          <t>medium</t>
        </is>
      </c>
      <c r="K351" s="10" t="inlineStr">
        <is>
          <t>composite_split</t>
        </is>
      </c>
      <c r="L35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1" s="10" t="n">
        <v>40575.83</v>
      </c>
    </row>
    <row r="352" ht="51" customHeight="1">
      <c r="A352" s="10" t="inlineStr">
        <is>
          <t>LME_036</t>
        </is>
      </c>
      <c r="B352" s="11" t="inlineStr">
        <is>
          <t>36_2_South_China_Sea_SCS-2007_Northern_South_China_Sea_(1970s)</t>
        </is>
      </c>
      <c r="C352" s="11" t="inlineStr">
        <is>
          <t>Gymnocranius</t>
        </is>
      </c>
      <c r="D352" s="10" t="inlineStr">
        <is>
          <t>Largeeye breams</t>
        </is>
      </c>
      <c r="E352" s="10" t="inlineStr">
        <is>
          <t>Medium reef assoc. fish (30 - 89 cm)</t>
        </is>
      </c>
      <c r="F352" s="10" t="inlineStr">
        <is>
          <t>Perch-likes</t>
        </is>
      </c>
      <c r="G352" s="11" t="inlineStr">
        <is>
          <t>Adult demersal fish (&gt; 30 cm)</t>
        </is>
      </c>
      <c r="H352" s="12" t="n">
        <v>0.799721835883171</v>
      </c>
      <c r="I352" s="10" t="inlineStr">
        <is>
          <t>model_catch</t>
        </is>
      </c>
      <c r="J352" s="14" t="inlineStr">
        <is>
          <t>medium</t>
        </is>
      </c>
      <c r="K352" s="10" t="inlineStr">
        <is>
          <t>composite_split</t>
        </is>
      </c>
      <c r="L35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2" s="10" t="n">
        <v>40575.83</v>
      </c>
    </row>
    <row r="353" ht="36" customHeight="1">
      <c r="A353" s="10" t="inlineStr">
        <is>
          <t>LME_036</t>
        </is>
      </c>
      <c r="B353" s="11" t="inlineStr">
        <is>
          <t>36_2_South_China_Sea_SCS-2007_Northern_South_China_Sea_(1970s)</t>
        </is>
      </c>
      <c r="C353" s="11" t="inlineStr">
        <is>
          <t>Penaeus latisulcatus</t>
        </is>
      </c>
      <c r="D353" s="10" t="inlineStr">
        <is>
          <t>Western king prawn</t>
        </is>
      </c>
      <c r="E353" s="10" t="inlineStr">
        <is>
          <t>Shrimps</t>
        </is>
      </c>
      <c r="F353" s="10" t="inlineStr">
        <is>
          <t>Crustaceans</t>
        </is>
      </c>
      <c r="G353" s="11" t="inlineStr">
        <is>
          <t>Shrimps</t>
        </is>
      </c>
      <c r="H353" s="12" t="n">
        <v>1</v>
      </c>
      <c r="I353" s="10" t="inlineStr">
        <is>
          <t>single</t>
        </is>
      </c>
      <c r="J353" s="15" t="inlineStr">
        <is>
          <t>high</t>
        </is>
      </c>
      <c r="K353" s="10" t="inlineStr">
        <is>
          <t>taxonomic_containment</t>
        </is>
      </c>
      <c r="L353" s="11" t="inlineStr">
        <is>
          <t>Stomatopods belong to the residual benthic crustaceans; other shrimp taxa belong to Shrimps after the explicitly separated Acetes records (Appendix 6.1 pp.323-326).</t>
        </is>
      </c>
      <c r="M353" s="10" t="n">
        <v>39116.178</v>
      </c>
    </row>
    <row r="354" ht="51" customHeight="1">
      <c r="A354" s="10" t="inlineStr">
        <is>
          <t>LME_036</t>
        </is>
      </c>
      <c r="B354" s="11" t="inlineStr">
        <is>
          <t>36_2_South_China_Sea_SCS-2007_Northern_South_China_Sea_(1970s)</t>
        </is>
      </c>
      <c r="C354" s="11" t="inlineStr">
        <is>
          <t>Dussumieria elopsoides</t>
        </is>
      </c>
      <c r="D354" s="10" t="inlineStr">
        <is>
          <t>Slender rainbow sardine</t>
        </is>
      </c>
      <c r="E354" s="10" t="inlineStr">
        <is>
          <t>Small pelagics (&lt;30 cm)</t>
        </is>
      </c>
      <c r="F354" s="10" t="inlineStr">
        <is>
          <t>Herring-likes</t>
        </is>
      </c>
      <c r="G354" s="11" t="inlineStr">
        <is>
          <t>Pelagic fish (≤ 30 cm)</t>
        </is>
      </c>
      <c r="H354" s="12" t="n">
        <v>1</v>
      </c>
      <c r="I354" s="10" t="inlineStr">
        <is>
          <t>single</t>
        </is>
      </c>
      <c r="J354" s="14" t="inlineStr">
        <is>
          <t>medium</t>
        </is>
      </c>
      <c r="K354" s="10" t="inlineStr">
        <is>
          <t>habitat_size_guild</t>
        </is>
      </c>
      <c r="L35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54" s="10" t="n">
        <v>38768.359</v>
      </c>
    </row>
    <row r="355" ht="36" customHeight="1">
      <c r="A355" s="10" t="inlineStr">
        <is>
          <t>LME_036</t>
        </is>
      </c>
      <c r="B355" s="11" t="inlineStr">
        <is>
          <t>36_2_South_China_Sea_SCS-2007_Northern_South_China_Sea_(1970s)</t>
        </is>
      </c>
      <c r="C355" s="11" t="inlineStr">
        <is>
          <t>Megalops cyprinoides</t>
        </is>
      </c>
      <c r="D355" s="10" t="inlineStr">
        <is>
          <t>Indo-Pacific tarpon</t>
        </is>
      </c>
      <c r="E355" s="10" t="inlineStr">
        <is>
          <t>Large pelagics (&gt;=90 cm)</t>
        </is>
      </c>
      <c r="F355" s="10" t="inlineStr">
        <is>
          <t>Other fishes &amp; inverts</t>
        </is>
      </c>
      <c r="G355" s="11" t="inlineStr">
        <is>
          <t>Juvenile large pelagic fish</t>
        </is>
      </c>
      <c r="H355" s="12" t="n">
        <v>0.2016806722689076</v>
      </c>
      <c r="I355" s="10" t="inlineStr">
        <is>
          <t>model_catch</t>
        </is>
      </c>
      <c r="J355" s="14" t="inlineStr">
        <is>
          <t>medium</t>
        </is>
      </c>
      <c r="K355" s="10" t="inlineStr">
        <is>
          <t>composite_split</t>
        </is>
      </c>
      <c r="L355" s="11" t="inlineStr">
        <is>
          <t>Analyst habitat/size inference to source &gt;30 cm pelagic fish (Appendix 6.1.24 p.339); no age data, so split juvenile/adult using the period model catch.</t>
        </is>
      </c>
      <c r="M355" s="10" t="n">
        <v>37102.675</v>
      </c>
    </row>
    <row r="356" ht="36" customHeight="1">
      <c r="A356" s="10" t="inlineStr">
        <is>
          <t>LME_036</t>
        </is>
      </c>
      <c r="B356" s="11" t="inlineStr">
        <is>
          <t>36_2_South_China_Sea_SCS-2007_Northern_South_China_Sea_(1970s)</t>
        </is>
      </c>
      <c r="C356" s="11" t="inlineStr">
        <is>
          <t>Megalops cyprinoides</t>
        </is>
      </c>
      <c r="D356" s="10" t="inlineStr">
        <is>
          <t>Indo-Pacific tarpon</t>
        </is>
      </c>
      <c r="E356" s="10" t="inlineStr">
        <is>
          <t>Large pelagics (&gt;=90 cm)</t>
        </is>
      </c>
      <c r="F356" s="10" t="inlineStr">
        <is>
          <t>Other fishes &amp; inverts</t>
        </is>
      </c>
      <c r="G356" s="11" t="inlineStr">
        <is>
          <t>Pelagic fish (&gt; 30 cm)</t>
        </is>
      </c>
      <c r="H356" s="12" t="n">
        <v>0.7983193277310925</v>
      </c>
      <c r="I356" s="10" t="inlineStr">
        <is>
          <t>model_catch</t>
        </is>
      </c>
      <c r="J356" s="14" t="inlineStr">
        <is>
          <t>medium</t>
        </is>
      </c>
      <c r="K356" s="10" t="inlineStr">
        <is>
          <t>composite_split</t>
        </is>
      </c>
      <c r="L356" s="11" t="inlineStr">
        <is>
          <t>Analyst habitat/size inference to source &gt;30 cm pelagic fish (Appendix 6.1.24 p.339); no age data, so split juvenile/adult using the period model catch.</t>
        </is>
      </c>
      <c r="M356" s="10" t="n">
        <v>37102.675</v>
      </c>
    </row>
    <row r="357" ht="51" customHeight="1">
      <c r="A357" s="10" t="inlineStr">
        <is>
          <t>LME_036</t>
        </is>
      </c>
      <c r="B357" s="11" t="inlineStr">
        <is>
          <t>36_2_South_China_Sea_SCS-2007_Northern_South_China_Sea_(1970s)</t>
        </is>
      </c>
      <c r="C357" s="11" t="inlineStr">
        <is>
          <t>Plectorhinchus</t>
        </is>
      </c>
      <c r="D357" s="10" t="inlineStr">
        <is>
          <t>Sweetlips</t>
        </is>
      </c>
      <c r="E357" s="10" t="inlineStr">
        <is>
          <t>Medium reef assoc. fish (30 - 89 cm)</t>
        </is>
      </c>
      <c r="F357" s="10" t="inlineStr">
        <is>
          <t>Perch-likes</t>
        </is>
      </c>
      <c r="G357" s="11" t="inlineStr">
        <is>
          <t>Juvenile demersal fish (&gt; 30 cm)</t>
        </is>
      </c>
      <c r="H357" s="12" t="n">
        <v>0.2002781641168289</v>
      </c>
      <c r="I357" s="10" t="inlineStr">
        <is>
          <t>model_catch</t>
        </is>
      </c>
      <c r="J357" s="14" t="inlineStr">
        <is>
          <t>medium</t>
        </is>
      </c>
      <c r="K357" s="10" t="inlineStr">
        <is>
          <t>composite_split</t>
        </is>
      </c>
      <c r="L3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7" s="10" t="n">
        <v>36703.879</v>
      </c>
    </row>
    <row r="358" ht="51" customHeight="1">
      <c r="A358" s="10" t="inlineStr">
        <is>
          <t>LME_036</t>
        </is>
      </c>
      <c r="B358" s="11" t="inlineStr">
        <is>
          <t>36_2_South_China_Sea_SCS-2007_Northern_South_China_Sea_(1970s)</t>
        </is>
      </c>
      <c r="C358" s="11" t="inlineStr">
        <is>
          <t>Plectorhinchus</t>
        </is>
      </c>
      <c r="D358" s="10" t="inlineStr">
        <is>
          <t>Sweetlips</t>
        </is>
      </c>
      <c r="E358" s="10" t="inlineStr">
        <is>
          <t>Medium reef assoc. fish (30 - 89 cm)</t>
        </is>
      </c>
      <c r="F358" s="10" t="inlineStr">
        <is>
          <t>Perch-likes</t>
        </is>
      </c>
      <c r="G358" s="11" t="inlineStr">
        <is>
          <t>Adult demersal fish (&gt; 30 cm)</t>
        </is>
      </c>
      <c r="H358" s="12" t="n">
        <v>0.799721835883171</v>
      </c>
      <c r="I358" s="10" t="inlineStr">
        <is>
          <t>model_catch</t>
        </is>
      </c>
      <c r="J358" s="14" t="inlineStr">
        <is>
          <t>medium</t>
        </is>
      </c>
      <c r="K358" s="10" t="inlineStr">
        <is>
          <t>composite_split</t>
        </is>
      </c>
      <c r="L35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8" s="10" t="n">
        <v>36703.879</v>
      </c>
    </row>
    <row r="359" ht="36" customHeight="1">
      <c r="A359" s="10" t="inlineStr">
        <is>
          <t>LME_036</t>
        </is>
      </c>
      <c r="B359" s="11" t="inlineStr">
        <is>
          <t>36_2_South_China_Sea_SCS-2007_Northern_South_China_Sea_(1970s)</t>
        </is>
      </c>
      <c r="C359" s="11" t="inlineStr">
        <is>
          <t>Apostichopus japonicus</t>
        </is>
      </c>
      <c r="D359" s="10" t="inlineStr">
        <is>
          <t>Japanese sea cucumber</t>
        </is>
      </c>
      <c r="E359" s="10" t="inlineStr">
        <is>
          <t>Other demersal invertebrates</t>
        </is>
      </c>
      <c r="F359" s="10" t="inlineStr">
        <is>
          <t>Other fishes &amp; inverts</t>
        </is>
      </c>
      <c r="G359" s="11" t="inlineStr">
        <is>
          <t>Echinoderms</t>
        </is>
      </c>
      <c r="H359" s="12" t="n">
        <v>1</v>
      </c>
      <c r="I359" s="10" t="inlineStr">
        <is>
          <t>single</t>
        </is>
      </c>
      <c r="J359" s="15" t="inlineStr">
        <is>
          <t>high</t>
        </is>
      </c>
      <c r="K359" s="10" t="inlineStr">
        <is>
          <t>taxonomic_containment</t>
        </is>
      </c>
      <c r="L359" s="11" t="inlineStr">
        <is>
          <t>Taxonomic containment in the source benthos subdivision (Appendix 6.1.5 pp.324-325), keeping non-cephalopod molluscs separate from echinoderms and sessile invertebrates.</t>
        </is>
      </c>
      <c r="M359" s="10" t="n">
        <v>35013.082</v>
      </c>
    </row>
    <row r="360" ht="36" customHeight="1">
      <c r="A360" s="10" t="inlineStr">
        <is>
          <t>LME_036</t>
        </is>
      </c>
      <c r="B360" s="11" t="inlineStr">
        <is>
          <t>36_2_South_China_Sea_SCS-2007_Northern_South_China_Sea_(1970s)</t>
        </is>
      </c>
      <c r="C360" s="11" t="inlineStr">
        <is>
          <t>Portunidae</t>
        </is>
      </c>
      <c r="D360" s="10" t="inlineStr">
        <is>
          <t>Swimming crabs</t>
        </is>
      </c>
      <c r="E360" s="10" t="inlineStr">
        <is>
          <t>Lobsters, crabs</t>
        </is>
      </c>
      <c r="F360" s="10" t="inlineStr">
        <is>
          <t>Crustaceans</t>
        </is>
      </c>
      <c r="G360" s="11" t="inlineStr">
        <is>
          <t>Crabs</t>
        </is>
      </c>
      <c r="H360" s="12" t="n">
        <v>1</v>
      </c>
      <c r="I360" s="10" t="inlineStr">
        <is>
          <t>single</t>
        </is>
      </c>
      <c r="J360" s="15" t="inlineStr">
        <is>
          <t>high</t>
        </is>
      </c>
      <c r="K360" s="10" t="inlineStr">
        <is>
          <t>taxonomic_containment</t>
        </is>
      </c>
      <c r="L360" s="11" t="inlineStr">
        <is>
          <t>Source benthic crustaceans exclude shrimps and crabs (Appendix 6.1.5 p.324); lobsters remain in that residual, while true crabs use Crabs.</t>
        </is>
      </c>
      <c r="M360" s="10" t="n">
        <v>34494.118</v>
      </c>
    </row>
    <row r="361" ht="36" customHeight="1">
      <c r="A361" s="10" t="inlineStr">
        <is>
          <t>LME_036</t>
        </is>
      </c>
      <c r="B361" s="11" t="inlineStr">
        <is>
          <t>36_2_South_China_Sea_SCS-2007_Northern_South_China_Sea_(1970s)</t>
        </is>
      </c>
      <c r="C361" s="11" t="inlineStr">
        <is>
          <t>Haliotidae</t>
        </is>
      </c>
      <c r="D361" s="10" t="inlineStr">
        <is>
          <t>Abalones, ear shells</t>
        </is>
      </c>
      <c r="E361" s="10" t="inlineStr">
        <is>
          <t>Other demersal invertebrates</t>
        </is>
      </c>
      <c r="F361" s="10" t="inlineStr">
        <is>
          <t>Molluscs</t>
        </is>
      </c>
      <c r="G361" s="11" t="inlineStr">
        <is>
          <t>Non-ceph molluscs</t>
        </is>
      </c>
      <c r="H361" s="12" t="n">
        <v>1</v>
      </c>
      <c r="I361" s="10" t="inlineStr">
        <is>
          <t>single</t>
        </is>
      </c>
      <c r="J361" s="15" t="inlineStr">
        <is>
          <t>high</t>
        </is>
      </c>
      <c r="K361" s="10" t="inlineStr">
        <is>
          <t>taxonomic_containment</t>
        </is>
      </c>
      <c r="L361" s="11" t="inlineStr">
        <is>
          <t>Taxonomic containment in the source benthos subdivision (Appendix 6.1.5 pp.324-325), keeping non-cephalopod molluscs separate from echinoderms and sessile invertebrates.</t>
        </is>
      </c>
      <c r="M361" s="10" t="n">
        <v>33815.298</v>
      </c>
    </row>
    <row r="362" ht="36" customHeight="1">
      <c r="A362" s="10" t="inlineStr">
        <is>
          <t>LME_036</t>
        </is>
      </c>
      <c r="B362" s="11" t="inlineStr">
        <is>
          <t>36_2_South_China_Sea_SCS-2007_Northern_South_China_Sea_(1970s)</t>
        </is>
      </c>
      <c r="C362" s="11" t="inlineStr">
        <is>
          <t>Batoidea</t>
        </is>
      </c>
      <c r="D362" s="10" t="inlineStr">
        <is>
          <t>Batoids, skates, rays, sawfishes</t>
        </is>
      </c>
      <c r="E362" s="10" t="inlineStr">
        <is>
          <t>Large rays (&gt;=90 cm)</t>
        </is>
      </c>
      <c r="F362" s="10" t="inlineStr">
        <is>
          <t>Sharks &amp; rays</t>
        </is>
      </c>
      <c r="G362" s="11" t="inlineStr">
        <is>
          <t>Demersal sharks and rays</t>
        </is>
      </c>
      <c r="H362" s="12" t="n">
        <v>0.8134680303573432</v>
      </c>
      <c r="I362" s="10" t="inlineStr">
        <is>
          <t>catch_composition</t>
        </is>
      </c>
      <c r="J362" s="13" t="inlineStr">
        <is>
          <t>low</t>
        </is>
      </c>
      <c r="K362" s="10" t="inlineStr">
        <is>
          <t>composite_split</t>
        </is>
      </c>
      <c r="L362" s="11" t="inlineStr">
        <is>
          <t>Coarse or habitat-ambiguous elasmobranch record spans the two source habitat compartments; SAU shark/ray size is insufficient to select one.</t>
        </is>
      </c>
      <c r="M362" s="10" t="n">
        <v>31524.153</v>
      </c>
    </row>
    <row r="363" ht="36" customHeight="1">
      <c r="A363" s="10" t="inlineStr">
        <is>
          <t>LME_036</t>
        </is>
      </c>
      <c r="B363" s="11" t="inlineStr">
        <is>
          <t>36_2_South_China_Sea_SCS-2007_Northern_South_China_Sea_(1970s)</t>
        </is>
      </c>
      <c r="C363" s="11" t="inlineStr">
        <is>
          <t>Batoidea</t>
        </is>
      </c>
      <c r="D363" s="10" t="inlineStr">
        <is>
          <t>Batoids, skates, rays, sawfishes</t>
        </is>
      </c>
      <c r="E363" s="10" t="inlineStr">
        <is>
          <t>Large rays (&gt;=90 cm)</t>
        </is>
      </c>
      <c r="F363" s="10" t="inlineStr">
        <is>
          <t>Sharks &amp; rays</t>
        </is>
      </c>
      <c r="G363" s="11" t="inlineStr">
        <is>
          <t>Pelagic sharks and rays</t>
        </is>
      </c>
      <c r="H363" s="12" t="n">
        <v>0.1865319696426568</v>
      </c>
      <c r="I363" s="10" t="inlineStr">
        <is>
          <t>catch_composition</t>
        </is>
      </c>
      <c r="J363" s="13" t="inlineStr">
        <is>
          <t>low</t>
        </is>
      </c>
      <c r="K363" s="10" t="inlineStr">
        <is>
          <t>composite_split</t>
        </is>
      </c>
      <c r="L363" s="11" t="inlineStr">
        <is>
          <t>Coarse or habitat-ambiguous elasmobranch record spans the two source habitat compartments; SAU shark/ray size is insufficient to select one.</t>
        </is>
      </c>
      <c r="M363" s="10" t="n">
        <v>31524.153</v>
      </c>
    </row>
    <row r="364" ht="36" customHeight="1">
      <c r="A364" s="10" t="inlineStr">
        <is>
          <t>LME_036</t>
        </is>
      </c>
      <c r="B364" s="11" t="inlineStr">
        <is>
          <t>36_2_South_China_Sea_SCS-2007_Northern_South_China_Sea_(1970s)</t>
        </is>
      </c>
      <c r="C364" s="11" t="inlineStr">
        <is>
          <t>Istiophorus</t>
        </is>
      </c>
      <c r="D364" s="10" t="inlineStr">
        <is>
          <t>Sailfishes</t>
        </is>
      </c>
      <c r="E364" s="10" t="inlineStr">
        <is>
          <t>Large pelagics (&gt;=90 cm)</t>
        </is>
      </c>
      <c r="F364" s="10" t="inlineStr">
        <is>
          <t>Tuna &amp; billfishes</t>
        </is>
      </c>
      <c r="G364" s="11" t="inlineStr">
        <is>
          <t>Unresolved</t>
        </is>
      </c>
      <c r="H364" s="12" t="n"/>
      <c r="I364" s="10" t="inlineStr"/>
      <c r="J364" s="16" t="inlineStr">
        <is>
          <t>unresolved</t>
        </is>
      </c>
      <c r="K364" s="10" t="inlineStr">
        <is>
          <t>none</t>
        </is>
      </c>
      <c r="L364" s="11" t="inlineStr">
        <is>
          <t>Northern continental-shelf model lacks a documented oceanic billfish or deep-pelagic compartment; assigning coastal juvenile/adult pelagic SPPR would be unsupported.</t>
        </is>
      </c>
      <c r="M364" s="10" t="n">
        <v>30687.338</v>
      </c>
    </row>
    <row r="365" ht="51" customHeight="1">
      <c r="A365" s="10" t="inlineStr">
        <is>
          <t>LME_036</t>
        </is>
      </c>
      <c r="B365" s="11" t="inlineStr">
        <is>
          <t>36_2_South_China_Sea_SCS-2007_Northern_South_China_Sea_(1970s)</t>
        </is>
      </c>
      <c r="C365" s="11" t="inlineStr">
        <is>
          <t>Platycaranx malabaricus</t>
        </is>
      </c>
      <c r="D365" s="10" t="inlineStr">
        <is>
          <t>Malabar trevally</t>
        </is>
      </c>
      <c r="E365" s="10" t="inlineStr">
        <is>
          <t>Medium reef assoc. fish (30 - 89 cm)</t>
        </is>
      </c>
      <c r="F365" s="10" t="inlineStr">
        <is>
          <t>Perch-likes</t>
        </is>
      </c>
      <c r="G365" s="11" t="inlineStr">
        <is>
          <t>Juvenile large pelagic fish</t>
        </is>
      </c>
      <c r="H365" s="12" t="n">
        <v>0.2016806722689076</v>
      </c>
      <c r="I365" s="10" t="inlineStr">
        <is>
          <t>model_catch</t>
        </is>
      </c>
      <c r="J365" s="14" t="inlineStr">
        <is>
          <t>medium</t>
        </is>
      </c>
      <c r="K365" s="10" t="inlineStr">
        <is>
          <t>composite_split</t>
        </is>
      </c>
      <c r="L36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5" s="10" t="n">
        <v>30428.7</v>
      </c>
    </row>
    <row r="366" ht="51" customHeight="1">
      <c r="A366" s="10" t="inlineStr">
        <is>
          <t>LME_036</t>
        </is>
      </c>
      <c r="B366" s="11" t="inlineStr">
        <is>
          <t>36_2_South_China_Sea_SCS-2007_Northern_South_China_Sea_(1970s)</t>
        </is>
      </c>
      <c r="C366" s="11" t="inlineStr">
        <is>
          <t>Platycaranx malabaricus</t>
        </is>
      </c>
      <c r="D366" s="10" t="inlineStr">
        <is>
          <t>Malabar trevally</t>
        </is>
      </c>
      <c r="E366" s="10" t="inlineStr">
        <is>
          <t>Medium reef assoc. fish (30 - 89 cm)</t>
        </is>
      </c>
      <c r="F366" s="10" t="inlineStr">
        <is>
          <t>Perch-likes</t>
        </is>
      </c>
      <c r="G366" s="11" t="inlineStr">
        <is>
          <t>Pelagic fish (&gt; 30 cm)</t>
        </is>
      </c>
      <c r="H366" s="12" t="n">
        <v>0.7983193277310925</v>
      </c>
      <c r="I366" s="10" t="inlineStr">
        <is>
          <t>model_catch</t>
        </is>
      </c>
      <c r="J366" s="14" t="inlineStr">
        <is>
          <t>medium</t>
        </is>
      </c>
      <c r="K366" s="10" t="inlineStr">
        <is>
          <t>composite_split</t>
        </is>
      </c>
      <c r="L3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6" s="10" t="n">
        <v>30428.7</v>
      </c>
    </row>
    <row r="367" ht="51" customHeight="1">
      <c r="A367" s="10" t="inlineStr">
        <is>
          <t>LME_036</t>
        </is>
      </c>
      <c r="B367" s="11" t="inlineStr">
        <is>
          <t>36_2_South_China_Sea_SCS-2007_Northern_South_China_Sea_(1970s)</t>
        </is>
      </c>
      <c r="C367" s="11" t="inlineStr">
        <is>
          <t>Nemipterus japonicus</t>
        </is>
      </c>
      <c r="D367" s="10" t="inlineStr">
        <is>
          <t>Japanese threadfin bream</t>
        </is>
      </c>
      <c r="E367" s="10" t="inlineStr">
        <is>
          <t>Small demersals (&lt;30 cm)</t>
        </is>
      </c>
      <c r="F367" s="10" t="inlineStr">
        <is>
          <t>Perch-likes</t>
        </is>
      </c>
      <c r="G367" s="11" t="inlineStr">
        <is>
          <t>Threadfin bream (nemipterids)</t>
        </is>
      </c>
      <c r="H367" s="12" t="n">
        <v>1</v>
      </c>
      <c r="I367" s="10" t="inlineStr">
        <is>
          <t>single</t>
        </is>
      </c>
      <c r="J367" s="15" t="inlineStr">
        <is>
          <t>high</t>
        </is>
      </c>
      <c r="K367" s="10" t="inlineStr">
        <is>
          <t>explicit_member</t>
        </is>
      </c>
      <c r="L367" s="11" t="inlineStr">
        <is>
          <t>Appendix 6.1 pp.327-335 defines Threadfin bream (nemipterids) by this family or explicitly names Nemipterus japonicus; dedicated source placement overrides the SAU class Small demersals (&lt;30 cm).</t>
        </is>
      </c>
      <c r="M367" s="10" t="n">
        <v>29856.401</v>
      </c>
    </row>
    <row r="368" ht="36" customHeight="1">
      <c r="A368" s="10" t="inlineStr">
        <is>
          <t>LME_036</t>
        </is>
      </c>
      <c r="B368" s="11" t="inlineStr">
        <is>
          <t>36_2_South_China_Sea_SCS-2007_Northern_South_China_Sea_(1970s)</t>
        </is>
      </c>
      <c r="C368" s="11" t="inlineStr">
        <is>
          <t>Bothidae</t>
        </is>
      </c>
      <c r="D368" s="10" t="inlineStr">
        <is>
          <t>Lefteye flounders</t>
        </is>
      </c>
      <c r="E368" s="10" t="inlineStr">
        <is>
          <t>Small to medium flatfishes (&lt;90 cm)</t>
        </is>
      </c>
      <c r="F368" s="10" t="inlineStr">
        <is>
          <t>Flatfishes</t>
        </is>
      </c>
      <c r="G368" s="11" t="inlineStr">
        <is>
          <t>Demesral fish (≤ 30 cm)</t>
        </is>
      </c>
      <c r="H368" s="12" t="n">
        <v>0.3854700854700854</v>
      </c>
      <c r="I368" s="10" t="inlineStr">
        <is>
          <t>model_catch</t>
        </is>
      </c>
      <c r="J368" s="13" t="inlineStr">
        <is>
          <t>low</t>
        </is>
      </c>
      <c r="K368" s="10" t="inlineStr">
        <is>
          <t>composite_split</t>
        </is>
      </c>
      <c r="L368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8" s="10" t="n">
        <v>29599.082</v>
      </c>
    </row>
    <row r="369" ht="36" customHeight="1">
      <c r="A369" s="10" t="inlineStr">
        <is>
          <t>LME_036</t>
        </is>
      </c>
      <c r="B369" s="11" t="inlineStr">
        <is>
          <t>36_2_South_China_Sea_SCS-2007_Northern_South_China_Sea_(1970s)</t>
        </is>
      </c>
      <c r="C369" s="11" t="inlineStr">
        <is>
          <t>Bothidae</t>
        </is>
      </c>
      <c r="D369" s="10" t="inlineStr">
        <is>
          <t>Lefteye flounders</t>
        </is>
      </c>
      <c r="E369" s="10" t="inlineStr">
        <is>
          <t>Small to medium flatfishes (&lt;90 cm)</t>
        </is>
      </c>
      <c r="F369" s="10" t="inlineStr">
        <is>
          <t>Flatfishes</t>
        </is>
      </c>
      <c r="G369" s="11" t="inlineStr">
        <is>
          <t>Juvenile demersal fish (&gt; 30 cm)</t>
        </is>
      </c>
      <c r="H369" s="12" t="n">
        <v>0.1230769230769231</v>
      </c>
      <c r="I369" s="10" t="inlineStr">
        <is>
          <t>model_catch</t>
        </is>
      </c>
      <c r="J369" s="13" t="inlineStr">
        <is>
          <t>low</t>
        </is>
      </c>
      <c r="K369" s="10" t="inlineStr">
        <is>
          <t>composite_split</t>
        </is>
      </c>
      <c r="L36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9" s="10" t="n">
        <v>29599.082</v>
      </c>
    </row>
    <row r="370" ht="36" customHeight="1">
      <c r="A370" s="10" t="inlineStr">
        <is>
          <t>LME_036</t>
        </is>
      </c>
      <c r="B370" s="11" t="inlineStr">
        <is>
          <t>36_2_South_China_Sea_SCS-2007_Northern_South_China_Sea_(1970s)</t>
        </is>
      </c>
      <c r="C370" s="11" t="inlineStr">
        <is>
          <t>Bothidae</t>
        </is>
      </c>
      <c r="D370" s="10" t="inlineStr">
        <is>
          <t>Lefteye flounders</t>
        </is>
      </c>
      <c r="E370" s="10" t="inlineStr">
        <is>
          <t>Small to medium flatfishes (&lt;90 cm)</t>
        </is>
      </c>
      <c r="F370" s="10" t="inlineStr">
        <is>
          <t>Flatfishes</t>
        </is>
      </c>
      <c r="G370" s="11" t="inlineStr">
        <is>
          <t>Adult demersal fish (&gt; 30 cm)</t>
        </is>
      </c>
      <c r="H370" s="12" t="n">
        <v>0.4914529914529914</v>
      </c>
      <c r="I370" s="10" t="inlineStr">
        <is>
          <t>model_catch</t>
        </is>
      </c>
      <c r="J370" s="13" t="inlineStr">
        <is>
          <t>low</t>
        </is>
      </c>
      <c r="K370" s="10" t="inlineStr">
        <is>
          <t>composite_split</t>
        </is>
      </c>
      <c r="L3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70" s="10" t="n">
        <v>29599.082</v>
      </c>
    </row>
    <row r="371" ht="51" customHeight="1">
      <c r="A371" s="10" t="inlineStr">
        <is>
          <t>LME_036</t>
        </is>
      </c>
      <c r="B371" s="11" t="inlineStr">
        <is>
          <t>36_2_South_China_Sea_SCS-2007_Northern_South_China_Sea_(1970s)</t>
        </is>
      </c>
      <c r="C371" s="11" t="inlineStr">
        <is>
          <t>Drepane</t>
        </is>
      </c>
      <c r="D371" s="10" t="inlineStr">
        <is>
          <t>Sicklefishes</t>
        </is>
      </c>
      <c r="E371" s="10" t="inlineStr">
        <is>
          <t>Medium benthopelagics (30 - 89 cm)</t>
        </is>
      </c>
      <c r="F371" s="10" t="inlineStr">
        <is>
          <t>Perch-likes</t>
        </is>
      </c>
      <c r="G371" s="11" t="inlineStr">
        <is>
          <t>Benthopelagic fish</t>
        </is>
      </c>
      <c r="H371" s="12" t="n">
        <v>1</v>
      </c>
      <c r="I371" s="10" t="inlineStr">
        <is>
          <t>single</t>
        </is>
      </c>
      <c r="J371" s="13" t="inlineStr">
        <is>
          <t>low</t>
        </is>
      </c>
      <c r="K371" s="10" t="inlineStr">
        <is>
          <t>habitat_size_guild</t>
        </is>
      </c>
      <c r="L3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71" s="10" t="n">
        <v>26691.157</v>
      </c>
    </row>
    <row r="372" ht="51" customHeight="1">
      <c r="A372" s="10" t="inlineStr">
        <is>
          <t>LME_036</t>
        </is>
      </c>
      <c r="B372" s="11" t="inlineStr">
        <is>
          <t>36_2_South_China_Sea_SCS-2007_Northern_South_China_Sea_(1970s)</t>
        </is>
      </c>
      <c r="C372" s="11" t="inlineStr">
        <is>
          <t>Lateolabrax japonicus</t>
        </is>
      </c>
      <c r="D372" s="10" t="inlineStr">
        <is>
          <t>Japanese seabass</t>
        </is>
      </c>
      <c r="E372" s="10" t="inlineStr">
        <is>
          <t>Medium reef assoc. fish (30 - 89 cm)</t>
        </is>
      </c>
      <c r="F372" s="10" t="inlineStr">
        <is>
          <t>Perch-likes</t>
        </is>
      </c>
      <c r="G372" s="11" t="inlineStr">
        <is>
          <t>Juvenile demersal fish (&gt; 30 cm)</t>
        </is>
      </c>
      <c r="H372" s="12" t="n">
        <v>0.2002781641168289</v>
      </c>
      <c r="I372" s="10" t="inlineStr">
        <is>
          <t>model_catch</t>
        </is>
      </c>
      <c r="J372" s="14" t="inlineStr">
        <is>
          <t>medium</t>
        </is>
      </c>
      <c r="K372" s="10" t="inlineStr">
        <is>
          <t>composite_split</t>
        </is>
      </c>
      <c r="L3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2" s="10" t="n">
        <v>25443.239</v>
      </c>
    </row>
    <row r="373" ht="51" customHeight="1">
      <c r="A373" s="10" t="inlineStr">
        <is>
          <t>LME_036</t>
        </is>
      </c>
      <c r="B373" s="11" t="inlineStr">
        <is>
          <t>36_2_South_China_Sea_SCS-2007_Northern_South_China_Sea_(1970s)</t>
        </is>
      </c>
      <c r="C373" s="11" t="inlineStr">
        <is>
          <t>Lateolabrax japonicus</t>
        </is>
      </c>
      <c r="D373" s="10" t="inlineStr">
        <is>
          <t>Japanese seabass</t>
        </is>
      </c>
      <c r="E373" s="10" t="inlineStr">
        <is>
          <t>Medium reef assoc. fish (30 - 89 cm)</t>
        </is>
      </c>
      <c r="F373" s="10" t="inlineStr">
        <is>
          <t>Perch-likes</t>
        </is>
      </c>
      <c r="G373" s="11" t="inlineStr">
        <is>
          <t>Adult demersal fish (&gt; 30 cm)</t>
        </is>
      </c>
      <c r="H373" s="12" t="n">
        <v>0.799721835883171</v>
      </c>
      <c r="I373" s="10" t="inlineStr">
        <is>
          <t>model_catch</t>
        </is>
      </c>
      <c r="J373" s="14" t="inlineStr">
        <is>
          <t>medium</t>
        </is>
      </c>
      <c r="K373" s="10" t="inlineStr">
        <is>
          <t>composite_split</t>
        </is>
      </c>
      <c r="L3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3" s="10" t="n">
        <v>25443.239</v>
      </c>
    </row>
    <row r="374" ht="36" customHeight="1">
      <c r="A374" s="10" t="inlineStr">
        <is>
          <t>LME_036</t>
        </is>
      </c>
      <c r="B374" s="11" t="inlineStr">
        <is>
          <t>36_2_South_China_Sea_SCS-2007_Northern_South_China_Sea_(1970s)</t>
        </is>
      </c>
      <c r="C374" s="11" t="inlineStr">
        <is>
          <t>Auxis rochei</t>
        </is>
      </c>
      <c r="D374" s="10" t="inlineStr">
        <is>
          <t>Bullet tuna</t>
        </is>
      </c>
      <c r="E374" s="10" t="inlineStr">
        <is>
          <t>Medium pelagics (30 - 89 cm)</t>
        </is>
      </c>
      <c r="F374" s="10" t="inlineStr">
        <is>
          <t>Tuna &amp; billfishes</t>
        </is>
      </c>
      <c r="G374" s="11" t="inlineStr">
        <is>
          <t>Juvenile large pelagic fish</t>
        </is>
      </c>
      <c r="H374" s="12" t="n">
        <v>0.2016806722689076</v>
      </c>
      <c r="I374" s="10" t="inlineStr">
        <is>
          <t>model_catch</t>
        </is>
      </c>
      <c r="J374" s="14" t="inlineStr">
        <is>
          <t>medium</t>
        </is>
      </c>
      <c r="K374" s="10" t="inlineStr">
        <is>
          <t>composite_split</t>
        </is>
      </c>
      <c r="L374" s="11" t="inlineStr">
        <is>
          <t>Analyst habitat/size inference to source &gt;30 cm pelagic fish (Appendix 6.1.24 p.339); no age data, so split juvenile/adult using the period model catch.</t>
        </is>
      </c>
      <c r="M374" s="10" t="n">
        <v>25390.636</v>
      </c>
    </row>
    <row r="375" ht="36" customHeight="1">
      <c r="A375" s="10" t="inlineStr">
        <is>
          <t>LME_036</t>
        </is>
      </c>
      <c r="B375" s="11" t="inlineStr">
        <is>
          <t>36_2_South_China_Sea_SCS-2007_Northern_South_China_Sea_(1970s)</t>
        </is>
      </c>
      <c r="C375" s="11" t="inlineStr">
        <is>
          <t>Auxis rochei</t>
        </is>
      </c>
      <c r="D375" s="10" t="inlineStr">
        <is>
          <t>Bullet tuna</t>
        </is>
      </c>
      <c r="E375" s="10" t="inlineStr">
        <is>
          <t>Medium pelagics (30 - 89 cm)</t>
        </is>
      </c>
      <c r="F375" s="10" t="inlineStr">
        <is>
          <t>Tuna &amp; billfishes</t>
        </is>
      </c>
      <c r="G375" s="11" t="inlineStr">
        <is>
          <t>Pelagic fish (&gt; 30 cm)</t>
        </is>
      </c>
      <c r="H375" s="12" t="n">
        <v>0.7983193277310925</v>
      </c>
      <c r="I375" s="10" t="inlineStr">
        <is>
          <t>model_catch</t>
        </is>
      </c>
      <c r="J375" s="14" t="inlineStr">
        <is>
          <t>medium</t>
        </is>
      </c>
      <c r="K375" s="10" t="inlineStr">
        <is>
          <t>composite_split</t>
        </is>
      </c>
      <c r="L375" s="11" t="inlineStr">
        <is>
          <t>Analyst habitat/size inference to source &gt;30 cm pelagic fish (Appendix 6.1.24 p.339); no age data, so split juvenile/adult using the period model catch.</t>
        </is>
      </c>
      <c r="M375" s="10" t="n">
        <v>25390.636</v>
      </c>
    </row>
    <row r="376" ht="51" customHeight="1">
      <c r="A376" s="10" t="inlineStr">
        <is>
          <t>LME_036</t>
        </is>
      </c>
      <c r="B376" s="11" t="inlineStr">
        <is>
          <t>36_2_South_China_Sea_SCS-2007_Northern_South_China_Sea_(1970s)</t>
        </is>
      </c>
      <c r="C376" s="11" t="inlineStr">
        <is>
          <t>Nibea mitsukurii</t>
        </is>
      </c>
      <c r="D376" s="10" t="inlineStr">
        <is>
          <t>Honnibe croaker</t>
        </is>
      </c>
      <c r="E376" s="10" t="inlineStr">
        <is>
          <t>Medium benthopelagics (30 - 89 cm)</t>
        </is>
      </c>
      <c r="F376" s="10" t="inlineStr">
        <is>
          <t>Perch-likes</t>
        </is>
      </c>
      <c r="G376" s="11" t="inlineStr">
        <is>
          <t>Juvenile large croakers</t>
        </is>
      </c>
      <c r="H376" s="12" t="n">
        <v>0.2</v>
      </c>
      <c r="I376" s="10" t="inlineStr">
        <is>
          <t>model_catch</t>
        </is>
      </c>
      <c r="J376" s="13" t="inlineStr">
        <is>
          <t>low</t>
        </is>
      </c>
      <c r="K376" s="10" t="inlineStr">
        <is>
          <t>composite_split</t>
        </is>
      </c>
      <c r="L37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6" s="10" t="n">
        <v>24744.639</v>
      </c>
    </row>
    <row r="377" ht="51" customHeight="1">
      <c r="A377" s="10" t="inlineStr">
        <is>
          <t>LME_036</t>
        </is>
      </c>
      <c r="B377" s="11" t="inlineStr">
        <is>
          <t>36_2_South_China_Sea_SCS-2007_Northern_South_China_Sea_(1970s)</t>
        </is>
      </c>
      <c r="C377" s="11" t="inlineStr">
        <is>
          <t>Nibea mitsukurii</t>
        </is>
      </c>
      <c r="D377" s="10" t="inlineStr">
        <is>
          <t>Honnibe croaker</t>
        </is>
      </c>
      <c r="E377" s="10" t="inlineStr">
        <is>
          <t>Medium benthopelagics (30 - 89 cm)</t>
        </is>
      </c>
      <c r="F377" s="10" t="inlineStr">
        <is>
          <t>Perch-likes</t>
        </is>
      </c>
      <c r="G377" s="11" t="inlineStr">
        <is>
          <t>Croakers (&gt; 30 cm)</t>
        </is>
      </c>
      <c r="H377" s="12" t="n">
        <v>0.8</v>
      </c>
      <c r="I377" s="10" t="inlineStr">
        <is>
          <t>model_catch</t>
        </is>
      </c>
      <c r="J377" s="13" t="inlineStr">
        <is>
          <t>low</t>
        </is>
      </c>
      <c r="K377" s="10" t="inlineStr">
        <is>
          <t>composite_split</t>
        </is>
      </c>
      <c r="L37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7" s="10" t="n">
        <v>24744.639</v>
      </c>
    </row>
    <row r="378" ht="36" customHeight="1">
      <c r="A378" s="10" t="inlineStr">
        <is>
          <t>LME_036</t>
        </is>
      </c>
      <c r="B378" s="11" t="inlineStr">
        <is>
          <t>36_2_South_China_Sea_SCS-2007_Northern_South_China_Sea_(1970s)</t>
        </is>
      </c>
      <c r="C378" s="11" t="inlineStr">
        <is>
          <t>Meretrix lusoria</t>
        </is>
      </c>
      <c r="D378" s="10" t="inlineStr">
        <is>
          <t>Japanese hard clam</t>
        </is>
      </c>
      <c r="E378" s="10" t="inlineStr">
        <is>
          <t>Other demersal invertebrates</t>
        </is>
      </c>
      <c r="F378" s="10" t="inlineStr">
        <is>
          <t>Molluscs</t>
        </is>
      </c>
      <c r="G378" s="11" t="inlineStr">
        <is>
          <t>Non-ceph molluscs</t>
        </is>
      </c>
      <c r="H378" s="12" t="n">
        <v>1</v>
      </c>
      <c r="I378" s="10" t="inlineStr">
        <is>
          <t>single</t>
        </is>
      </c>
      <c r="J378" s="15" t="inlineStr">
        <is>
          <t>high</t>
        </is>
      </c>
      <c r="K378" s="10" t="inlineStr">
        <is>
          <t>taxonomic_containment</t>
        </is>
      </c>
      <c r="L378" s="11" t="inlineStr">
        <is>
          <t>Taxonomic containment in the source benthos subdivision (Appendix 6.1.5 pp.324-325), keeping non-cephalopod molluscs separate from echinoderms and sessile invertebrates.</t>
        </is>
      </c>
      <c r="M378" s="10" t="n">
        <v>24335.411</v>
      </c>
    </row>
    <row r="379" ht="36" customHeight="1">
      <c r="A379" s="10" t="inlineStr">
        <is>
          <t>LME_036</t>
        </is>
      </c>
      <c r="B379" s="11" t="inlineStr">
        <is>
          <t>36_2_South_China_Sea_SCS-2007_Northern_South_China_Sea_(1970s)</t>
        </is>
      </c>
      <c r="C379" s="11" t="inlineStr">
        <is>
          <t>Hemiramphidae</t>
        </is>
      </c>
      <c r="D379" s="10" t="inlineStr">
        <is>
          <t>Halfbeaks, garfishes</t>
        </is>
      </c>
      <c r="E379" s="10" t="inlineStr">
        <is>
          <t>Medium pelagics (30 - 89 cm)</t>
        </is>
      </c>
      <c r="F379" s="10" t="inlineStr">
        <is>
          <t>Other fishes &amp; inverts</t>
        </is>
      </c>
      <c r="G379" s="11" t="inlineStr">
        <is>
          <t>Juvenile large pelagic fish</t>
        </is>
      </c>
      <c r="H379" s="12" t="n">
        <v>0.2016806722689076</v>
      </c>
      <c r="I379" s="10" t="inlineStr">
        <is>
          <t>model_catch</t>
        </is>
      </c>
      <c r="J379" s="14" t="inlineStr">
        <is>
          <t>medium</t>
        </is>
      </c>
      <c r="K379" s="10" t="inlineStr">
        <is>
          <t>composite_split</t>
        </is>
      </c>
      <c r="L379" s="11" t="inlineStr">
        <is>
          <t>Analyst habitat/size inference to source &gt;30 cm pelagic fish (Appendix 6.1.24 p.339); no age data, so split juvenile/adult using the period model catch.</t>
        </is>
      </c>
      <c r="M379" s="10" t="n">
        <v>23563.899</v>
      </c>
    </row>
    <row r="380" ht="36" customHeight="1">
      <c r="A380" s="10" t="inlineStr">
        <is>
          <t>LME_036</t>
        </is>
      </c>
      <c r="B380" s="11" t="inlineStr">
        <is>
          <t>36_2_South_China_Sea_SCS-2007_Northern_South_China_Sea_(1970s)</t>
        </is>
      </c>
      <c r="C380" s="11" t="inlineStr">
        <is>
          <t>Hemiramphidae</t>
        </is>
      </c>
      <c r="D380" s="10" t="inlineStr">
        <is>
          <t>Halfbeaks, garfishes</t>
        </is>
      </c>
      <c r="E380" s="10" t="inlineStr">
        <is>
          <t>Medium pelagics (30 - 89 cm)</t>
        </is>
      </c>
      <c r="F380" s="10" t="inlineStr">
        <is>
          <t>Other fishes &amp; inverts</t>
        </is>
      </c>
      <c r="G380" s="11" t="inlineStr">
        <is>
          <t>Pelagic fish (&gt; 30 cm)</t>
        </is>
      </c>
      <c r="H380" s="12" t="n">
        <v>0.7983193277310925</v>
      </c>
      <c r="I380" s="10" t="inlineStr">
        <is>
          <t>model_catch</t>
        </is>
      </c>
      <c r="J380" s="14" t="inlineStr">
        <is>
          <t>medium</t>
        </is>
      </c>
      <c r="K380" s="10" t="inlineStr">
        <is>
          <t>composite_split</t>
        </is>
      </c>
      <c r="L380" s="11" t="inlineStr">
        <is>
          <t>Analyst habitat/size inference to source &gt;30 cm pelagic fish (Appendix 6.1.24 p.339); no age data, so split juvenile/adult using the period model catch.</t>
        </is>
      </c>
      <c r="M380" s="10" t="n">
        <v>23563.899</v>
      </c>
    </row>
    <row r="381" ht="36" customHeight="1">
      <c r="A381" s="10" t="inlineStr">
        <is>
          <t>LME_036</t>
        </is>
      </c>
      <c r="B381" s="11" t="inlineStr">
        <is>
          <t>36_2_South_China_Sea_SCS-2007_Northern_South_China_Sea_(1970s)</t>
        </is>
      </c>
      <c r="C381" s="11" t="inlineStr">
        <is>
          <t>Istiophorus platypterus</t>
        </is>
      </c>
      <c r="D381" s="10" t="inlineStr">
        <is>
          <t>Indo-Pacific sailfish</t>
        </is>
      </c>
      <c r="E381" s="10" t="inlineStr">
        <is>
          <t>Large pelagics (&gt;=90 cm)</t>
        </is>
      </c>
      <c r="F381" s="10" t="inlineStr">
        <is>
          <t>Tuna &amp; billfishes</t>
        </is>
      </c>
      <c r="G381" s="11" t="inlineStr">
        <is>
          <t>Unresolved</t>
        </is>
      </c>
      <c r="H381" s="12" t="n"/>
      <c r="I381" s="10" t="inlineStr"/>
      <c r="J381" s="16" t="inlineStr">
        <is>
          <t>unresolved</t>
        </is>
      </c>
      <c r="K381" s="10" t="inlineStr">
        <is>
          <t>none</t>
        </is>
      </c>
      <c r="L381" s="11" t="inlineStr">
        <is>
          <t>Northern continental-shelf model lacks a documented oceanic billfish or deep-pelagic compartment; assigning coastal juvenile/adult pelagic SPPR would be unsupported.</t>
        </is>
      </c>
      <c r="M381" s="10" t="n">
        <v>23341.264</v>
      </c>
    </row>
    <row r="382" ht="36" customHeight="1">
      <c r="A382" s="10" t="inlineStr">
        <is>
          <t>LME_036</t>
        </is>
      </c>
      <c r="B382" s="11" t="inlineStr">
        <is>
          <t>36_2_South_China_Sea_SCS-2007_Northern_South_China_Sea_(1970s)</t>
        </is>
      </c>
      <c r="C382" s="11" t="inlineStr">
        <is>
          <t>Modiolus</t>
        </is>
      </c>
      <c r="D382" s="10" t="inlineStr">
        <is>
          <t>Horse mussels</t>
        </is>
      </c>
      <c r="E382" s="10" t="inlineStr">
        <is>
          <t>Other demersal invertebrates</t>
        </is>
      </c>
      <c r="F382" s="10" t="inlineStr">
        <is>
          <t>Molluscs</t>
        </is>
      </c>
      <c r="G382" s="11" t="inlineStr">
        <is>
          <t>Non-ceph molluscs</t>
        </is>
      </c>
      <c r="H382" s="12" t="n">
        <v>1</v>
      </c>
      <c r="I382" s="10" t="inlineStr">
        <is>
          <t>single</t>
        </is>
      </c>
      <c r="J382" s="15" t="inlineStr">
        <is>
          <t>high</t>
        </is>
      </c>
      <c r="K382" s="10" t="inlineStr">
        <is>
          <t>taxonomic_containment</t>
        </is>
      </c>
      <c r="L382" s="11" t="inlineStr">
        <is>
          <t>Taxonomic containment in the source benthos subdivision (Appendix 6.1.5 pp.324-325), keeping non-cephalopod molluscs separate from echinoderms and sessile invertebrates.</t>
        </is>
      </c>
      <c r="M382" s="10" t="n">
        <v>22196.523</v>
      </c>
    </row>
    <row r="383" ht="36" customHeight="1">
      <c r="A383" s="10" t="inlineStr">
        <is>
          <t>LME_036</t>
        </is>
      </c>
      <c r="B383" s="11" t="inlineStr">
        <is>
          <t>36_2_South_China_Sea_SCS-2007_Northern_South_China_Sea_(1970s)</t>
        </is>
      </c>
      <c r="C383" s="11" t="inlineStr">
        <is>
          <t>Istiompax indica</t>
        </is>
      </c>
      <c r="D383" s="10" t="inlineStr">
        <is>
          <t>Black marlin</t>
        </is>
      </c>
      <c r="E383" s="10" t="inlineStr">
        <is>
          <t>Large pelagics (&gt;=90 cm)</t>
        </is>
      </c>
      <c r="F383" s="10" t="inlineStr">
        <is>
          <t>Tuna &amp; billfishes</t>
        </is>
      </c>
      <c r="G383" s="11" t="inlineStr">
        <is>
          <t>Unresolved</t>
        </is>
      </c>
      <c r="H383" s="12" t="n"/>
      <c r="I383" s="10" t="inlineStr"/>
      <c r="J383" s="16" t="inlineStr">
        <is>
          <t>unresolved</t>
        </is>
      </c>
      <c r="K383" s="10" t="inlineStr">
        <is>
          <t>none</t>
        </is>
      </c>
      <c r="L383" s="11" t="inlineStr">
        <is>
          <t>Northern continental-shelf model lacks a documented oceanic billfish or deep-pelagic compartment; assigning coastal juvenile/adult pelagic SPPR would be unsupported.</t>
        </is>
      </c>
      <c r="M383" s="10" t="n">
        <v>21703.939</v>
      </c>
    </row>
    <row r="384" ht="51" customHeight="1">
      <c r="A384" s="10" t="inlineStr">
        <is>
          <t>LME_036</t>
        </is>
      </c>
      <c r="B384" s="11" t="inlineStr">
        <is>
          <t>36_2_South_China_Sea_SCS-2007_Northern_South_China_Sea_(1970s)</t>
        </is>
      </c>
      <c r="C384" s="11" t="inlineStr">
        <is>
          <t>Marine pelagic fishes not identified</t>
        </is>
      </c>
      <c r="D384" s="10" t="inlineStr">
        <is>
          <t>Pelagic fishes</t>
        </is>
      </c>
      <c r="E384" s="10" t="inlineStr">
        <is>
          <t>Medium pelagics (30 - 89 cm)</t>
        </is>
      </c>
      <c r="F384" s="10" t="inlineStr">
        <is>
          <t>Other fishes &amp; inverts</t>
        </is>
      </c>
      <c r="G384" s="11" t="inlineStr">
        <is>
          <t>Pelagic fish (≤ 30 cm)</t>
        </is>
      </c>
      <c r="H384" s="12" t="n">
        <v>0.7541322314049587</v>
      </c>
      <c r="I384" s="10" t="inlineStr">
        <is>
          <t>model_catch</t>
        </is>
      </c>
      <c r="J384" s="13" t="inlineStr">
        <is>
          <t>low</t>
        </is>
      </c>
      <c r="K384" s="10" t="inlineStr">
        <is>
          <t>composite_split</t>
        </is>
      </c>
      <c r="L384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4" s="10" t="n">
        <v>20944.814</v>
      </c>
    </row>
    <row r="385" ht="51" customHeight="1">
      <c r="A385" s="10" t="inlineStr">
        <is>
          <t>LME_036</t>
        </is>
      </c>
      <c r="B385" s="11" t="inlineStr">
        <is>
          <t>36_2_South_China_Sea_SCS-2007_Northern_South_China_Sea_(1970s)</t>
        </is>
      </c>
      <c r="C385" s="11" t="inlineStr">
        <is>
          <t>Marine pelagic fishes not identified</t>
        </is>
      </c>
      <c r="D385" s="10" t="inlineStr">
        <is>
          <t>Pelagic fishes</t>
        </is>
      </c>
      <c r="E385" s="10" t="inlineStr">
        <is>
          <t>Medium pelagics (30 - 89 cm)</t>
        </is>
      </c>
      <c r="F385" s="10" t="inlineStr">
        <is>
          <t>Other fishes &amp; inverts</t>
        </is>
      </c>
      <c r="G385" s="11" t="inlineStr">
        <is>
          <t>Juvenile large pelagic fish</t>
        </is>
      </c>
      <c r="H385" s="12" t="n">
        <v>0.04958677685950413</v>
      </c>
      <c r="I385" s="10" t="inlineStr">
        <is>
          <t>model_catch</t>
        </is>
      </c>
      <c r="J385" s="13" t="inlineStr">
        <is>
          <t>low</t>
        </is>
      </c>
      <c r="K385" s="10" t="inlineStr">
        <is>
          <t>composite_split</t>
        </is>
      </c>
      <c r="L385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5" s="10" t="n">
        <v>20944.814</v>
      </c>
    </row>
    <row r="386" ht="51" customHeight="1">
      <c r="A386" s="10" t="inlineStr">
        <is>
          <t>LME_036</t>
        </is>
      </c>
      <c r="B386" s="11" t="inlineStr">
        <is>
          <t>36_2_South_China_Sea_SCS-2007_Northern_South_China_Sea_(1970s)</t>
        </is>
      </c>
      <c r="C386" s="11" t="inlineStr">
        <is>
          <t>Marine pelagic fishes not identified</t>
        </is>
      </c>
      <c r="D386" s="10" t="inlineStr">
        <is>
          <t>Pelagic fishes</t>
        </is>
      </c>
      <c r="E386" s="10" t="inlineStr">
        <is>
          <t>Medium pelagics (30 - 89 cm)</t>
        </is>
      </c>
      <c r="F386" s="10" t="inlineStr">
        <is>
          <t>Other fishes &amp; inverts</t>
        </is>
      </c>
      <c r="G386" s="11" t="inlineStr">
        <is>
          <t>Pelagic fish (&gt; 30 cm)</t>
        </is>
      </c>
      <c r="H386" s="12" t="n">
        <v>0.1962809917355372</v>
      </c>
      <c r="I386" s="10" t="inlineStr">
        <is>
          <t>model_catch</t>
        </is>
      </c>
      <c r="J386" s="13" t="inlineStr">
        <is>
          <t>low</t>
        </is>
      </c>
      <c r="K386" s="10" t="inlineStr">
        <is>
          <t>composite_split</t>
        </is>
      </c>
      <c r="L386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6" s="10" t="n">
        <v>20944.814</v>
      </c>
    </row>
    <row r="387" ht="51" customHeight="1">
      <c r="A387" s="10" t="inlineStr">
        <is>
          <t>LME_036</t>
        </is>
      </c>
      <c r="B387" s="11" t="inlineStr">
        <is>
          <t>36_2_South_China_Sea_SCS-2007_Northern_South_China_Sea_(1970s)</t>
        </is>
      </c>
      <c r="C387" s="11" t="inlineStr">
        <is>
          <t>Sardinella zunasi</t>
        </is>
      </c>
      <c r="D387" s="10" t="inlineStr">
        <is>
          <t>Japanese sardinella</t>
        </is>
      </c>
      <c r="E387" s="10" t="inlineStr">
        <is>
          <t>Small pelagics (&lt;30 cm)</t>
        </is>
      </c>
      <c r="F387" s="10" t="inlineStr">
        <is>
          <t>Herring-likes</t>
        </is>
      </c>
      <c r="G387" s="11" t="inlineStr">
        <is>
          <t>Pelagic fish (≤ 30 cm)</t>
        </is>
      </c>
      <c r="H387" s="12" t="n">
        <v>1</v>
      </c>
      <c r="I387" s="10" t="inlineStr">
        <is>
          <t>single</t>
        </is>
      </c>
      <c r="J387" s="14" t="inlineStr">
        <is>
          <t>medium</t>
        </is>
      </c>
      <c r="K387" s="10" t="inlineStr">
        <is>
          <t>habitat_size_guild</t>
        </is>
      </c>
      <c r="L38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7" s="10" t="n">
        <v>20915.65</v>
      </c>
    </row>
    <row r="388" ht="51" customHeight="1">
      <c r="A388" s="10" t="inlineStr">
        <is>
          <t>LME_036</t>
        </is>
      </c>
      <c r="B388" s="11" t="inlineStr">
        <is>
          <t>36_2_South_China_Sea_SCS-2007_Northern_South_China_Sea_(1970s)</t>
        </is>
      </c>
      <c r="C388" s="11" t="inlineStr">
        <is>
          <t>Muraenidae</t>
        </is>
      </c>
      <c r="D388" s="10" t="inlineStr">
        <is>
          <t>Moray eels</t>
        </is>
      </c>
      <c r="E388" s="10" t="inlineStr">
        <is>
          <t>Large reef assoc. fish (&gt;=90 cm)</t>
        </is>
      </c>
      <c r="F388" s="10" t="inlineStr">
        <is>
          <t>Other fishes &amp; inverts</t>
        </is>
      </c>
      <c r="G388" s="11" t="inlineStr">
        <is>
          <t>Juvenile demersal fish (&gt; 30 cm)</t>
        </is>
      </c>
      <c r="H388" s="12" t="n">
        <v>0.2002781641168289</v>
      </c>
      <c r="I388" s="10" t="inlineStr">
        <is>
          <t>model_catch</t>
        </is>
      </c>
      <c r="J388" s="14" t="inlineStr">
        <is>
          <t>medium</t>
        </is>
      </c>
      <c r="K388" s="10" t="inlineStr">
        <is>
          <t>composite_split</t>
        </is>
      </c>
      <c r="L38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8" s="10" t="n">
        <v>20766.035</v>
      </c>
    </row>
    <row r="389" ht="51" customHeight="1">
      <c r="A389" s="10" t="inlineStr">
        <is>
          <t>LME_036</t>
        </is>
      </c>
      <c r="B389" s="11" t="inlineStr">
        <is>
          <t>36_2_South_China_Sea_SCS-2007_Northern_South_China_Sea_(1970s)</t>
        </is>
      </c>
      <c r="C389" s="11" t="inlineStr">
        <is>
          <t>Muraenidae</t>
        </is>
      </c>
      <c r="D389" s="10" t="inlineStr">
        <is>
          <t>Moray eels</t>
        </is>
      </c>
      <c r="E389" s="10" t="inlineStr">
        <is>
          <t>Large reef assoc. fish (&gt;=90 cm)</t>
        </is>
      </c>
      <c r="F389" s="10" t="inlineStr">
        <is>
          <t>Other fishes &amp; inverts</t>
        </is>
      </c>
      <c r="G389" s="11" t="inlineStr">
        <is>
          <t>Adult demersal fish (&gt; 30 cm)</t>
        </is>
      </c>
      <c r="H389" s="12" t="n">
        <v>0.799721835883171</v>
      </c>
      <c r="I389" s="10" t="inlineStr">
        <is>
          <t>model_catch</t>
        </is>
      </c>
      <c r="J389" s="14" t="inlineStr">
        <is>
          <t>medium</t>
        </is>
      </c>
      <c r="K389" s="10" t="inlineStr">
        <is>
          <t>composite_split</t>
        </is>
      </c>
      <c r="L38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9" s="10" t="n">
        <v>20766.035</v>
      </c>
    </row>
    <row r="390" ht="36" customHeight="1">
      <c r="A390" s="10" t="inlineStr">
        <is>
          <t>LME_036</t>
        </is>
      </c>
      <c r="B390" s="11" t="inlineStr">
        <is>
          <t>36_2_South_China_Sea_SCS-2007_Northern_South_China_Sea_(1970s)</t>
        </is>
      </c>
      <c r="C390" s="11" t="inlineStr">
        <is>
          <t>Rachycentron canadum</t>
        </is>
      </c>
      <c r="D390" s="10" t="inlineStr">
        <is>
          <t>Cobia</t>
        </is>
      </c>
      <c r="E390" s="10" t="inlineStr">
        <is>
          <t>Large pelagics (&gt;=90 cm)</t>
        </is>
      </c>
      <c r="F390" s="10" t="inlineStr">
        <is>
          <t>Perch-likes</t>
        </is>
      </c>
      <c r="G390" s="11" t="inlineStr">
        <is>
          <t>Juvenile large pelagic fish</t>
        </is>
      </c>
      <c r="H390" s="12" t="n">
        <v>0.2016806722689076</v>
      </c>
      <c r="I390" s="10" t="inlineStr">
        <is>
          <t>model_catch</t>
        </is>
      </c>
      <c r="J390" s="14" t="inlineStr">
        <is>
          <t>medium</t>
        </is>
      </c>
      <c r="K390" s="10" t="inlineStr">
        <is>
          <t>composite_split</t>
        </is>
      </c>
      <c r="L390" s="11" t="inlineStr">
        <is>
          <t>Analyst habitat/size inference to source &gt;30 cm pelagic fish (Appendix 6.1.24 p.339); no age data, so split juvenile/adult using the period model catch.</t>
        </is>
      </c>
      <c r="M390" s="10" t="n">
        <v>20754.162</v>
      </c>
    </row>
    <row r="391" ht="36" customHeight="1">
      <c r="A391" s="10" t="inlineStr">
        <is>
          <t>LME_036</t>
        </is>
      </c>
      <c r="B391" s="11" t="inlineStr">
        <is>
          <t>36_2_South_China_Sea_SCS-2007_Northern_South_China_Sea_(1970s)</t>
        </is>
      </c>
      <c r="C391" s="11" t="inlineStr">
        <is>
          <t>Rachycentron canadum</t>
        </is>
      </c>
      <c r="D391" s="10" t="inlineStr">
        <is>
          <t>Cobia</t>
        </is>
      </c>
      <c r="E391" s="10" t="inlineStr">
        <is>
          <t>Large pelagics (&gt;=90 cm)</t>
        </is>
      </c>
      <c r="F391" s="10" t="inlineStr">
        <is>
          <t>Perch-likes</t>
        </is>
      </c>
      <c r="G391" s="11" t="inlineStr">
        <is>
          <t>Pelagic fish (&gt; 30 cm)</t>
        </is>
      </c>
      <c r="H391" s="12" t="n">
        <v>0.7983193277310925</v>
      </c>
      <c r="I391" s="10" t="inlineStr">
        <is>
          <t>model_catch</t>
        </is>
      </c>
      <c r="J391" s="14" t="inlineStr">
        <is>
          <t>medium</t>
        </is>
      </c>
      <c r="K391" s="10" t="inlineStr">
        <is>
          <t>composite_split</t>
        </is>
      </c>
      <c r="L391" s="11" t="inlineStr">
        <is>
          <t>Analyst habitat/size inference to source &gt;30 cm pelagic fish (Appendix 6.1.24 p.339); no age data, so split juvenile/adult using the period model catch.</t>
        </is>
      </c>
      <c r="M391" s="10" t="n">
        <v>20754.162</v>
      </c>
    </row>
    <row r="392" ht="36" customHeight="1">
      <c r="A392" s="10" t="inlineStr">
        <is>
          <t>LME_036</t>
        </is>
      </c>
      <c r="B392" s="11" t="inlineStr">
        <is>
          <t>36_2_South_China_Sea_SCS-2007_Northern_South_China_Sea_(1970s)</t>
        </is>
      </c>
      <c r="C392" s="11" t="inlineStr">
        <is>
          <t>Mierspenaeopsis hardwickii</t>
        </is>
      </c>
      <c r="D392" s="10" t="inlineStr">
        <is>
          <t>Spear shrimp</t>
        </is>
      </c>
      <c r="E392" s="10" t="inlineStr">
        <is>
          <t>Shrimps</t>
        </is>
      </c>
      <c r="F392" s="10" t="inlineStr">
        <is>
          <t>Crustaceans</t>
        </is>
      </c>
      <c r="G392" s="11" t="inlineStr">
        <is>
          <t>Shrimps</t>
        </is>
      </c>
      <c r="H392" s="12" t="n">
        <v>1</v>
      </c>
      <c r="I392" s="10" t="inlineStr">
        <is>
          <t>single</t>
        </is>
      </c>
      <c r="J392" s="15" t="inlineStr">
        <is>
          <t>high</t>
        </is>
      </c>
      <c r="K392" s="10" t="inlineStr">
        <is>
          <t>taxonomic_containment</t>
        </is>
      </c>
      <c r="L392" s="11" t="inlineStr">
        <is>
          <t>Stomatopods belong to the residual benthic crustaceans; other shrimp taxa belong to Shrimps after the explicitly separated Acetes records (Appendix 6.1 pp.323-326).</t>
        </is>
      </c>
      <c r="M392" s="10" t="n">
        <v>19835.727</v>
      </c>
    </row>
    <row r="393" ht="36" customHeight="1">
      <c r="A393" s="10" t="inlineStr">
        <is>
          <t>LME_036</t>
        </is>
      </c>
      <c r="B393" s="11" t="inlineStr">
        <is>
          <t>36_2_South_China_Sea_SCS-2007_Northern_South_China_Sea_(1970s)</t>
        </is>
      </c>
      <c r="C393" s="11" t="inlineStr">
        <is>
          <t>Ibacus ciliatus</t>
        </is>
      </c>
      <c r="D393" s="10" t="inlineStr">
        <is>
          <t>Sand Crayfish</t>
        </is>
      </c>
      <c r="E393" s="10" t="inlineStr">
        <is>
          <t>Lobsters, crabs</t>
        </is>
      </c>
      <c r="F393" s="10" t="inlineStr">
        <is>
          <t>Crustaceans</t>
        </is>
      </c>
      <c r="G393" s="11" t="inlineStr">
        <is>
          <t>Benthic crustaceans</t>
        </is>
      </c>
      <c r="H393" s="12" t="n">
        <v>1</v>
      </c>
      <c r="I393" s="10" t="inlineStr">
        <is>
          <t>single</t>
        </is>
      </c>
      <c r="J393" s="15" t="inlineStr">
        <is>
          <t>high</t>
        </is>
      </c>
      <c r="K393" s="10" t="inlineStr">
        <is>
          <t>taxonomic_containment</t>
        </is>
      </c>
      <c r="L393" s="11" t="inlineStr">
        <is>
          <t>Source benthic crustaceans exclude shrimps and crabs (Appendix 6.1.5 p.324); lobsters remain in that residual, while true crabs use Crabs.</t>
        </is>
      </c>
      <c r="M393" s="10" t="n">
        <v>19683.139</v>
      </c>
    </row>
    <row r="394" ht="36" customHeight="1">
      <c r="A394" s="10" t="inlineStr">
        <is>
          <t>LME_036</t>
        </is>
      </c>
      <c r="B394" s="11" t="inlineStr">
        <is>
          <t>36_2_South_China_Sea_SCS-2007_Northern_South_China_Sea_(1970s)</t>
        </is>
      </c>
      <c r="C394" s="11" t="inlineStr">
        <is>
          <t>Istiophoridae</t>
        </is>
      </c>
      <c r="D394" s="10" t="inlineStr">
        <is>
          <t>Billfishes</t>
        </is>
      </c>
      <c r="E394" s="10" t="inlineStr">
        <is>
          <t>Large pelagics (&gt;=90 cm)</t>
        </is>
      </c>
      <c r="F394" s="10" t="inlineStr">
        <is>
          <t>Tuna &amp; billfishes</t>
        </is>
      </c>
      <c r="G394" s="11" t="inlineStr">
        <is>
          <t>Unresolved</t>
        </is>
      </c>
      <c r="H394" s="12" t="n"/>
      <c r="I394" s="10" t="inlineStr"/>
      <c r="J394" s="16" t="inlineStr">
        <is>
          <t>unresolved</t>
        </is>
      </c>
      <c r="K394" s="10" t="inlineStr">
        <is>
          <t>none</t>
        </is>
      </c>
      <c r="L394" s="11" t="inlineStr">
        <is>
          <t>Northern continental-shelf model lacks a documented oceanic billfish or deep-pelagic compartment; assigning coastal juvenile/adult pelagic SPPR would be unsupported.</t>
        </is>
      </c>
      <c r="M394" s="10" t="n">
        <v>19283.905</v>
      </c>
    </row>
    <row r="395" ht="36" customHeight="1">
      <c r="A395" s="10" t="inlineStr">
        <is>
          <t>LME_036</t>
        </is>
      </c>
      <c r="B395" s="11" t="inlineStr">
        <is>
          <t>36_2_South_China_Sea_SCS-2007_Northern_South_China_Sea_(1970s)</t>
        </is>
      </c>
      <c r="C395" s="11" t="inlineStr">
        <is>
          <t>Panulirus polyphagus</t>
        </is>
      </c>
      <c r="D395" s="10" t="inlineStr">
        <is>
          <t>Mud spiny lobster</t>
        </is>
      </c>
      <c r="E395" s="10" t="inlineStr">
        <is>
          <t>Lobsters, crabs</t>
        </is>
      </c>
      <c r="F395" s="10" t="inlineStr">
        <is>
          <t>Crustaceans</t>
        </is>
      </c>
      <c r="G395" s="11" t="inlineStr">
        <is>
          <t>Benthic crustaceans</t>
        </is>
      </c>
      <c r="H395" s="12" t="n">
        <v>1</v>
      </c>
      <c r="I395" s="10" t="inlineStr">
        <is>
          <t>single</t>
        </is>
      </c>
      <c r="J395" s="15" t="inlineStr">
        <is>
          <t>high</t>
        </is>
      </c>
      <c r="K395" s="10" t="inlineStr">
        <is>
          <t>taxonomic_containment</t>
        </is>
      </c>
      <c r="L395" s="11" t="inlineStr">
        <is>
          <t>Source benthic crustaceans exclude shrimps and crabs (Appendix 6.1.5 p.324); lobsters remain in that residual, while true crabs use Crabs.</t>
        </is>
      </c>
      <c r="M395" s="10" t="n">
        <v>19219.693</v>
      </c>
    </row>
    <row r="396" ht="36" customHeight="1">
      <c r="A396" s="10" t="inlineStr">
        <is>
          <t>LME_036</t>
        </is>
      </c>
      <c r="B396" s="11" t="inlineStr">
        <is>
          <t>36_2_South_China_Sea_SCS-2007_Northern_South_China_Sea_(1970s)</t>
        </is>
      </c>
      <c r="C396" s="11" t="inlineStr">
        <is>
          <t>Mierspenaeopsis sculptilis</t>
        </is>
      </c>
      <c r="D396" s="10" t="inlineStr">
        <is>
          <t>Rainbow shrimp</t>
        </is>
      </c>
      <c r="E396" s="10" t="inlineStr">
        <is>
          <t>Shrimps</t>
        </is>
      </c>
      <c r="F396" s="10" t="inlineStr">
        <is>
          <t>Crustaceans</t>
        </is>
      </c>
      <c r="G396" s="11" t="inlineStr">
        <is>
          <t>Shrimps</t>
        </is>
      </c>
      <c r="H396" s="12" t="n">
        <v>1</v>
      </c>
      <c r="I396" s="10" t="inlineStr">
        <is>
          <t>single</t>
        </is>
      </c>
      <c r="J396" s="15" t="inlineStr">
        <is>
          <t>high</t>
        </is>
      </c>
      <c r="K396" s="10" t="inlineStr">
        <is>
          <t>taxonomic_containment</t>
        </is>
      </c>
      <c r="L396" s="11" t="inlineStr">
        <is>
          <t>Stomatopods belong to the residual benthic crustaceans; other shrimp taxa belong to Shrimps after the explicitly separated Acetes records (Appendix 6.1 pp.323-326).</t>
        </is>
      </c>
      <c r="M396" s="10" t="n">
        <v>17707.035</v>
      </c>
    </row>
    <row r="397" ht="36" customHeight="1">
      <c r="A397" s="10" t="inlineStr">
        <is>
          <t>LME_036</t>
        </is>
      </c>
      <c r="B397" s="11" t="inlineStr">
        <is>
          <t>36_2_South_China_Sea_SCS-2007_Northern_South_China_Sea_(1970s)</t>
        </is>
      </c>
      <c r="C397" s="11" t="inlineStr">
        <is>
          <t>Acanthurus</t>
        </is>
      </c>
      <c r="D397" s="10" t="inlineStr">
        <is>
          <t>Surgeonfishes</t>
        </is>
      </c>
      <c r="E397" s="10" t="inlineStr">
        <is>
          <t>Small reef assoc. fish (&lt;30 cm)</t>
        </is>
      </c>
      <c r="F397" s="10" t="inlineStr">
        <is>
          <t>Perch-likes</t>
        </is>
      </c>
      <c r="G397" s="11" t="inlineStr">
        <is>
          <t>Demesral fish (≤ 30 cm)</t>
        </is>
      </c>
      <c r="H397" s="12" t="n">
        <v>1</v>
      </c>
      <c r="I397" s="10" t="inlineStr">
        <is>
          <t>single</t>
        </is>
      </c>
      <c r="J397" s="14" t="inlineStr">
        <is>
          <t>medium</t>
        </is>
      </c>
      <c r="K397" s="10" t="inlineStr">
        <is>
          <t>habitat_size_guild</t>
        </is>
      </c>
      <c r="L397" s="11" t="inlineStr">
        <is>
          <t>Analyst habitat/size inference: small demersal or reef-associated fish after excluding dedicated taxonomic groups, matching Appendix 6.1.19 &lt;=30 cm residual demersal pool.</t>
        </is>
      </c>
      <c r="M397" s="10" t="n">
        <v>17607.441</v>
      </c>
    </row>
    <row r="398" ht="36" customHeight="1">
      <c r="A398" s="10" t="inlineStr">
        <is>
          <t>LME_036</t>
        </is>
      </c>
      <c r="B398" s="11" t="inlineStr">
        <is>
          <t>36_2_South_China_Sea_SCS-2007_Northern_South_China_Sea_(1970s)</t>
        </is>
      </c>
      <c r="C398" s="11" t="inlineStr">
        <is>
          <t>Palinuridae</t>
        </is>
      </c>
      <c r="D398" s="10" t="inlineStr">
        <is>
          <t>Spiny lobsters</t>
        </is>
      </c>
      <c r="E398" s="10" t="inlineStr">
        <is>
          <t>Lobsters, crabs</t>
        </is>
      </c>
      <c r="F398" s="10" t="inlineStr">
        <is>
          <t>Crustaceans</t>
        </is>
      </c>
      <c r="G398" s="11" t="inlineStr">
        <is>
          <t>Benthic crustaceans</t>
        </is>
      </c>
      <c r="H398" s="12" t="n">
        <v>1</v>
      </c>
      <c r="I398" s="10" t="inlineStr">
        <is>
          <t>single</t>
        </is>
      </c>
      <c r="J398" s="15" t="inlineStr">
        <is>
          <t>high</t>
        </is>
      </c>
      <c r="K398" s="10" t="inlineStr">
        <is>
          <t>taxonomic_containment</t>
        </is>
      </c>
      <c r="L398" s="11" t="inlineStr">
        <is>
          <t>Source benthic crustaceans exclude shrimps and crabs (Appendix 6.1.5 p.324); lobsters remain in that residual, while true crabs use Crabs.</t>
        </is>
      </c>
      <c r="M398" s="10" t="n">
        <v>17531.046</v>
      </c>
    </row>
    <row r="399" ht="51" customHeight="1">
      <c r="A399" s="10" t="inlineStr">
        <is>
          <t>LME_036</t>
        </is>
      </c>
      <c r="B399" s="11" t="inlineStr">
        <is>
          <t>36_2_South_China_Sea_SCS-2007_Northern_South_China_Sea_(1970s)</t>
        </is>
      </c>
      <c r="C399" s="11" t="inlineStr">
        <is>
          <t>Terapontidae</t>
        </is>
      </c>
      <c r="D399" s="10" t="inlineStr">
        <is>
          <t>Grunters, tigerperches</t>
        </is>
      </c>
      <c r="E399" s="10" t="inlineStr">
        <is>
          <t>Medium demersals (30 - 89 cm)</t>
        </is>
      </c>
      <c r="F399" s="10" t="inlineStr">
        <is>
          <t>Perch-likes</t>
        </is>
      </c>
      <c r="G399" s="11" t="inlineStr">
        <is>
          <t>Juvenile demersal fish (&gt; 30 cm)</t>
        </is>
      </c>
      <c r="H399" s="12" t="n">
        <v>0.2002781641168289</v>
      </c>
      <c r="I399" s="10" t="inlineStr">
        <is>
          <t>model_catch</t>
        </is>
      </c>
      <c r="J399" s="14" t="inlineStr">
        <is>
          <t>medium</t>
        </is>
      </c>
      <c r="K399" s="10" t="inlineStr">
        <is>
          <t>composite_split</t>
        </is>
      </c>
      <c r="L3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99" s="10" t="n">
        <v>16551.359</v>
      </c>
    </row>
    <row r="400" ht="51" customHeight="1">
      <c r="A400" s="10" t="inlineStr">
        <is>
          <t>LME_036</t>
        </is>
      </c>
      <c r="B400" s="11" t="inlineStr">
        <is>
          <t>36_2_South_China_Sea_SCS-2007_Northern_South_China_Sea_(1970s)</t>
        </is>
      </c>
      <c r="C400" s="11" t="inlineStr">
        <is>
          <t>Terapontidae</t>
        </is>
      </c>
      <c r="D400" s="10" t="inlineStr">
        <is>
          <t>Grunters, tigerperches</t>
        </is>
      </c>
      <c r="E400" s="10" t="inlineStr">
        <is>
          <t>Medium demersals (30 - 89 cm)</t>
        </is>
      </c>
      <c r="F400" s="10" t="inlineStr">
        <is>
          <t>Perch-likes</t>
        </is>
      </c>
      <c r="G400" s="11" t="inlineStr">
        <is>
          <t>Adult demersal fish (&gt; 30 cm)</t>
        </is>
      </c>
      <c r="H400" s="12" t="n">
        <v>0.799721835883171</v>
      </c>
      <c r="I400" s="10" t="inlineStr">
        <is>
          <t>model_catch</t>
        </is>
      </c>
      <c r="J400" s="14" t="inlineStr">
        <is>
          <t>medium</t>
        </is>
      </c>
      <c r="K400" s="10" t="inlineStr">
        <is>
          <t>composite_split</t>
        </is>
      </c>
      <c r="L40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0" s="10" t="n">
        <v>16551.359</v>
      </c>
    </row>
    <row r="401" ht="36" customHeight="1">
      <c r="A401" s="10" t="inlineStr">
        <is>
          <t>LME_036</t>
        </is>
      </c>
      <c r="B401" s="11" t="inlineStr">
        <is>
          <t>36_2_South_China_Sea_SCS-2007_Northern_South_China_Sea_(1970s)</t>
        </is>
      </c>
      <c r="C401" s="11" t="inlineStr">
        <is>
          <t>Octopus vulgaris</t>
        </is>
      </c>
      <c r="D401" s="10" t="inlineStr">
        <is>
          <t>Common octopus</t>
        </is>
      </c>
      <c r="E401" s="10" t="inlineStr">
        <is>
          <t>Cephalopods</t>
        </is>
      </c>
      <c r="F401" s="10" t="inlineStr">
        <is>
          <t>Other fishes &amp; inverts</t>
        </is>
      </c>
      <c r="G401" s="11" t="inlineStr">
        <is>
          <t>Cephalopods</t>
        </is>
      </c>
      <c r="H401" s="12" t="n">
        <v>1</v>
      </c>
      <c r="I401" s="10" t="inlineStr">
        <is>
          <t>single</t>
        </is>
      </c>
      <c r="J401" s="15" t="inlineStr">
        <is>
          <t>high</t>
        </is>
      </c>
      <c r="K401" s="10" t="inlineStr">
        <is>
          <t>taxonomic_containment</t>
        </is>
      </c>
      <c r="L401" s="11" t="inlineStr">
        <is>
          <t>Cephalopoda is contained by the single source Cephalopods group, Appendix 6.1.8 pp.326-327.</t>
        </is>
      </c>
      <c r="M401" s="10" t="n">
        <v>16488.043</v>
      </c>
    </row>
    <row r="402" ht="36" customHeight="1">
      <c r="A402" s="10" t="inlineStr">
        <is>
          <t>LME_036</t>
        </is>
      </c>
      <c r="B402" s="11" t="inlineStr">
        <is>
          <t>36_2_South_China_Sea_SCS-2007_Northern_South_China_Sea_(1970s)</t>
        </is>
      </c>
      <c r="C402" s="11" t="inlineStr">
        <is>
          <t>Solenocera crassicornis</t>
        </is>
      </c>
      <c r="D402" s="10" t="inlineStr">
        <is>
          <t>Coastal mud shrimp</t>
        </is>
      </c>
      <c r="E402" s="10" t="inlineStr">
        <is>
          <t>Shrimps</t>
        </is>
      </c>
      <c r="F402" s="10" t="inlineStr">
        <is>
          <t>Crustaceans</t>
        </is>
      </c>
      <c r="G402" s="11" t="inlineStr">
        <is>
          <t>Shrimps</t>
        </is>
      </c>
      <c r="H402" s="12" t="n">
        <v>1</v>
      </c>
      <c r="I402" s="10" t="inlineStr">
        <is>
          <t>single</t>
        </is>
      </c>
      <c r="J402" s="15" t="inlineStr">
        <is>
          <t>high</t>
        </is>
      </c>
      <c r="K402" s="10" t="inlineStr">
        <is>
          <t>taxonomic_containment</t>
        </is>
      </c>
      <c r="L402" s="11" t="inlineStr">
        <is>
          <t>Stomatopods belong to the residual benthic crustaceans; other shrimp taxa belong to Shrimps after the explicitly separated Acetes records (Appendix 6.1 pp.323-326).</t>
        </is>
      </c>
      <c r="M402" s="10" t="n">
        <v>16465.839</v>
      </c>
    </row>
    <row r="403" ht="36" customHeight="1">
      <c r="A403" s="10" t="inlineStr">
        <is>
          <t>LME_036</t>
        </is>
      </c>
      <c r="B403" s="11" t="inlineStr">
        <is>
          <t>36_2_South_China_Sea_SCS-2007_Northern_South_China_Sea_(1970s)</t>
        </is>
      </c>
      <c r="C403" s="11" t="inlineStr">
        <is>
          <t>Thunnus alalunga</t>
        </is>
      </c>
      <c r="D403" s="10" t="inlineStr">
        <is>
          <t>Albacore</t>
        </is>
      </c>
      <c r="E403" s="10" t="inlineStr">
        <is>
          <t>Large pelagics (&gt;=90 cm)</t>
        </is>
      </c>
      <c r="F403" s="10" t="inlineStr">
        <is>
          <t>Tuna &amp; billfishes</t>
        </is>
      </c>
      <c r="G403" s="11" t="inlineStr">
        <is>
          <t>Juvenile large pelagic fish</t>
        </is>
      </c>
      <c r="H403" s="12" t="n">
        <v>0.2016806722689076</v>
      </c>
      <c r="I403" s="10" t="inlineStr">
        <is>
          <t>model_catch</t>
        </is>
      </c>
      <c r="J403" s="14" t="inlineStr">
        <is>
          <t>medium</t>
        </is>
      </c>
      <c r="K403" s="10" t="inlineStr">
        <is>
          <t>composite_split</t>
        </is>
      </c>
      <c r="L403" s="11" t="inlineStr">
        <is>
          <t>Analyst habitat/size inference to source &gt;30 cm pelagic fish (Appendix 6.1.24 p.339); no age data, so split juvenile/adult using the period model catch.</t>
        </is>
      </c>
      <c r="M403" s="10" t="n">
        <v>15291.709</v>
      </c>
    </row>
    <row r="404" ht="36" customHeight="1">
      <c r="A404" s="10" t="inlineStr">
        <is>
          <t>LME_036</t>
        </is>
      </c>
      <c r="B404" s="11" t="inlineStr">
        <is>
          <t>36_2_South_China_Sea_SCS-2007_Northern_South_China_Sea_(1970s)</t>
        </is>
      </c>
      <c r="C404" s="11" t="inlineStr">
        <is>
          <t>Thunnus alalunga</t>
        </is>
      </c>
      <c r="D404" s="10" t="inlineStr">
        <is>
          <t>Albacore</t>
        </is>
      </c>
      <c r="E404" s="10" t="inlineStr">
        <is>
          <t>Large pelagics (&gt;=90 cm)</t>
        </is>
      </c>
      <c r="F404" s="10" t="inlineStr">
        <is>
          <t>Tuna &amp; billfishes</t>
        </is>
      </c>
      <c r="G404" s="11" t="inlineStr">
        <is>
          <t>Pelagic fish (&gt; 30 cm)</t>
        </is>
      </c>
      <c r="H404" s="12" t="n">
        <v>0.7983193277310925</v>
      </c>
      <c r="I404" s="10" t="inlineStr">
        <is>
          <t>model_catch</t>
        </is>
      </c>
      <c r="J404" s="14" t="inlineStr">
        <is>
          <t>medium</t>
        </is>
      </c>
      <c r="K404" s="10" t="inlineStr">
        <is>
          <t>composite_split</t>
        </is>
      </c>
      <c r="L404" s="11" t="inlineStr">
        <is>
          <t>Analyst habitat/size inference to source &gt;30 cm pelagic fish (Appendix 6.1.24 p.339); no age data, so split juvenile/adult using the period model catch.</t>
        </is>
      </c>
      <c r="M404" s="10" t="n">
        <v>15291.709</v>
      </c>
    </row>
    <row r="405" ht="51" customHeight="1">
      <c r="A405" s="10" t="inlineStr">
        <is>
          <t>LME_036</t>
        </is>
      </c>
      <c r="B405" s="11" t="inlineStr">
        <is>
          <t>36_2_South_China_Sea_SCS-2007_Northern_South_China_Sea_(1970s)</t>
        </is>
      </c>
      <c r="C405" s="11" t="inlineStr">
        <is>
          <t>Scorpaenidae</t>
        </is>
      </c>
      <c r="D405" s="10" t="inlineStr">
        <is>
          <t>Scorpionfishes, rockfishes</t>
        </is>
      </c>
      <c r="E405" s="10" t="inlineStr">
        <is>
          <t>Large reef assoc. fish (&gt;=90 cm)</t>
        </is>
      </c>
      <c r="F405" s="10" t="inlineStr">
        <is>
          <t>Scorpionfishes</t>
        </is>
      </c>
      <c r="G405" s="11" t="inlineStr">
        <is>
          <t>Juvenile demersal fish (&gt; 30 cm)</t>
        </is>
      </c>
      <c r="H405" s="12" t="n">
        <v>0.2002781641168289</v>
      </c>
      <c r="I405" s="10" t="inlineStr">
        <is>
          <t>model_catch</t>
        </is>
      </c>
      <c r="J405" s="14" t="inlineStr">
        <is>
          <t>medium</t>
        </is>
      </c>
      <c r="K405" s="10" t="inlineStr">
        <is>
          <t>composite_split</t>
        </is>
      </c>
      <c r="L4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5" s="10" t="n">
        <v>15243.441</v>
      </c>
    </row>
    <row r="406" ht="51" customHeight="1">
      <c r="A406" s="10" t="inlineStr">
        <is>
          <t>LME_036</t>
        </is>
      </c>
      <c r="B406" s="11" t="inlineStr">
        <is>
          <t>36_2_South_China_Sea_SCS-2007_Northern_South_China_Sea_(1970s)</t>
        </is>
      </c>
      <c r="C406" s="11" t="inlineStr">
        <is>
          <t>Scorpaenidae</t>
        </is>
      </c>
      <c r="D406" s="10" t="inlineStr">
        <is>
          <t>Scorpionfishes, rockfishes</t>
        </is>
      </c>
      <c r="E406" s="10" t="inlineStr">
        <is>
          <t>Large reef assoc. fish (&gt;=90 cm)</t>
        </is>
      </c>
      <c r="F406" s="10" t="inlineStr">
        <is>
          <t>Scorpionfishes</t>
        </is>
      </c>
      <c r="G406" s="11" t="inlineStr">
        <is>
          <t>Adult demersal fish (&gt; 30 cm)</t>
        </is>
      </c>
      <c r="H406" s="12" t="n">
        <v>0.799721835883171</v>
      </c>
      <c r="I406" s="10" t="inlineStr">
        <is>
          <t>model_catch</t>
        </is>
      </c>
      <c r="J406" s="14" t="inlineStr">
        <is>
          <t>medium</t>
        </is>
      </c>
      <c r="K406" s="10" t="inlineStr">
        <is>
          <t>composite_split</t>
        </is>
      </c>
      <c r="L4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6" s="10" t="n">
        <v>15243.441</v>
      </c>
    </row>
    <row r="407" ht="36" customHeight="1">
      <c r="A407" s="10" t="inlineStr">
        <is>
          <t>LME_036</t>
        </is>
      </c>
      <c r="B407" s="11" t="inlineStr">
        <is>
          <t>36_2_South_China_Sea_SCS-2007_Northern_South_China_Sea_(1970s)</t>
        </is>
      </c>
      <c r="C407" s="11" t="inlineStr">
        <is>
          <t>Carcharhinus falciformis</t>
        </is>
      </c>
      <c r="D407" s="10" t="inlineStr">
        <is>
          <t>Silky shark</t>
        </is>
      </c>
      <c r="E407" s="10" t="inlineStr">
        <is>
          <t>Large sharks (&gt;=90 cm)</t>
        </is>
      </c>
      <c r="F407" s="10" t="inlineStr">
        <is>
          <t>Sharks &amp; rays</t>
        </is>
      </c>
      <c r="G407" s="11" t="inlineStr">
        <is>
          <t>Pelagic sharks and rays</t>
        </is>
      </c>
      <c r="H407" s="12" t="n">
        <v>1</v>
      </c>
      <c r="I407" s="10" t="inlineStr">
        <is>
          <t>single</t>
        </is>
      </c>
      <c r="J407" s="14" t="inlineStr">
        <is>
          <t>medium</t>
        </is>
      </c>
      <c r="K407" s="10" t="inlineStr">
        <is>
          <t>habitat_size_guild</t>
        </is>
      </c>
      <c r="L407" s="11" t="inlineStr">
        <is>
          <t>Pelagic shark lineage matches the pelagic elasmobranch definition, Appendix 6.1.25 p.340; species placement is analyst inference.</t>
        </is>
      </c>
      <c r="M407" s="10" t="n">
        <v>14833.368</v>
      </c>
    </row>
    <row r="408" ht="36" customHeight="1">
      <c r="A408" s="10" t="inlineStr">
        <is>
          <t>LME_036</t>
        </is>
      </c>
      <c r="B408" s="11" t="inlineStr">
        <is>
          <t>36_2_South_China_Sea_SCS-2007_Northern_South_China_Sea_(1970s)</t>
        </is>
      </c>
      <c r="C408" s="11" t="inlineStr">
        <is>
          <t>Metapenaeus affinis</t>
        </is>
      </c>
      <c r="D408" s="10" t="inlineStr">
        <is>
          <t>Jinga shrimp</t>
        </is>
      </c>
      <c r="E408" s="10" t="inlineStr">
        <is>
          <t>Shrimps</t>
        </is>
      </c>
      <c r="F408" s="10" t="inlineStr">
        <is>
          <t>Crustaceans</t>
        </is>
      </c>
      <c r="G408" s="11" t="inlineStr">
        <is>
          <t>Shrimps</t>
        </is>
      </c>
      <c r="H408" s="12" t="n">
        <v>1</v>
      </c>
      <c r="I408" s="10" t="inlineStr">
        <is>
          <t>single</t>
        </is>
      </c>
      <c r="J408" s="15" t="inlineStr">
        <is>
          <t>high</t>
        </is>
      </c>
      <c r="K408" s="10" t="inlineStr">
        <is>
          <t>taxonomic_containment</t>
        </is>
      </c>
      <c r="L408" s="11" t="inlineStr">
        <is>
          <t>Stomatopods belong to the residual benthic crustaceans; other shrimp taxa belong to Shrimps after the explicitly separated Acetes records (Appendix 6.1 pp.323-326).</t>
        </is>
      </c>
      <c r="M408" s="10" t="n">
        <v>14209.515</v>
      </c>
    </row>
    <row r="409" ht="51" customHeight="1">
      <c r="A409" s="10" t="inlineStr">
        <is>
          <t>LME_036</t>
        </is>
      </c>
      <c r="B409" s="11" t="inlineStr">
        <is>
          <t>36_2_South_China_Sea_SCS-2007_Northern_South_China_Sea_(1970s)</t>
        </is>
      </c>
      <c r="C409" s="11" t="inlineStr">
        <is>
          <t>Marine groundfishes not identified</t>
        </is>
      </c>
      <c r="D409" s="10" t="inlineStr">
        <is>
          <t>Groundfishes</t>
        </is>
      </c>
      <c r="E409" s="10" t="inlineStr">
        <is>
          <t>Medium demersals (30 - 89 cm)</t>
        </is>
      </c>
      <c r="F409" s="10" t="inlineStr">
        <is>
          <t>Other fishes &amp; inverts</t>
        </is>
      </c>
      <c r="G409" s="11" t="inlineStr">
        <is>
          <t>Demesral fish (≤ 30 cm)</t>
        </is>
      </c>
      <c r="H409" s="12" t="n">
        <v>0.3854700854700854</v>
      </c>
      <c r="I409" s="10" t="inlineStr">
        <is>
          <t>model_catch</t>
        </is>
      </c>
      <c r="J409" s="13" t="inlineStr">
        <is>
          <t>low</t>
        </is>
      </c>
      <c r="K409" s="10" t="inlineStr">
        <is>
          <t>composite_split</t>
        </is>
      </c>
      <c r="L40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9" s="10" t="n">
        <v>14183.877</v>
      </c>
    </row>
    <row r="410" ht="51" customHeight="1">
      <c r="A410" s="10" t="inlineStr">
        <is>
          <t>LME_036</t>
        </is>
      </c>
      <c r="B410" s="11" t="inlineStr">
        <is>
          <t>36_2_South_China_Sea_SCS-2007_Northern_South_China_Sea_(1970s)</t>
        </is>
      </c>
      <c r="C410" s="11" t="inlineStr">
        <is>
          <t>Marine groundfishes not identified</t>
        </is>
      </c>
      <c r="D410" s="10" t="inlineStr">
        <is>
          <t>Groundfishes</t>
        </is>
      </c>
      <c r="E410" s="10" t="inlineStr">
        <is>
          <t>Medium demersals (30 - 89 cm)</t>
        </is>
      </c>
      <c r="F410" s="10" t="inlineStr">
        <is>
          <t>Other fishes &amp; inverts</t>
        </is>
      </c>
      <c r="G410" s="11" t="inlineStr">
        <is>
          <t>Juvenile demersal fish (&gt; 30 cm)</t>
        </is>
      </c>
      <c r="H410" s="12" t="n">
        <v>0.1230769230769231</v>
      </c>
      <c r="I410" s="10" t="inlineStr">
        <is>
          <t>model_catch</t>
        </is>
      </c>
      <c r="J410" s="13" t="inlineStr">
        <is>
          <t>low</t>
        </is>
      </c>
      <c r="K410" s="10" t="inlineStr">
        <is>
          <t>composite_split</t>
        </is>
      </c>
      <c r="L41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0" s="10" t="n">
        <v>14183.877</v>
      </c>
    </row>
    <row r="411" ht="51" customHeight="1">
      <c r="A411" s="10" t="inlineStr">
        <is>
          <t>LME_036</t>
        </is>
      </c>
      <c r="B411" s="11" t="inlineStr">
        <is>
          <t>36_2_South_China_Sea_SCS-2007_Northern_South_China_Sea_(1970s)</t>
        </is>
      </c>
      <c r="C411" s="11" t="inlineStr">
        <is>
          <t>Marine groundfishes not identified</t>
        </is>
      </c>
      <c r="D411" s="10" t="inlineStr">
        <is>
          <t>Groundfishes</t>
        </is>
      </c>
      <c r="E411" s="10" t="inlineStr">
        <is>
          <t>Medium demersals (30 - 89 cm)</t>
        </is>
      </c>
      <c r="F411" s="10" t="inlineStr">
        <is>
          <t>Other fishes &amp; inverts</t>
        </is>
      </c>
      <c r="G411" s="11" t="inlineStr">
        <is>
          <t>Adult demersal fish (&gt; 30 cm)</t>
        </is>
      </c>
      <c r="H411" s="12" t="n">
        <v>0.4914529914529914</v>
      </c>
      <c r="I411" s="10" t="inlineStr">
        <is>
          <t>model_catch</t>
        </is>
      </c>
      <c r="J411" s="13" t="inlineStr">
        <is>
          <t>low</t>
        </is>
      </c>
      <c r="K411" s="10" t="inlineStr">
        <is>
          <t>composite_split</t>
        </is>
      </c>
      <c r="L41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1" s="10" t="n">
        <v>14183.877</v>
      </c>
    </row>
    <row r="412" ht="51" customHeight="1">
      <c r="A412" s="10" t="inlineStr">
        <is>
          <t>LME_036</t>
        </is>
      </c>
      <c r="B412" s="11" t="inlineStr">
        <is>
          <t>36_2_South_China_Sea_SCS-2007_Northern_South_China_Sea_(1970s)</t>
        </is>
      </c>
      <c r="C412" s="11" t="inlineStr">
        <is>
          <t>Sardinella albella</t>
        </is>
      </c>
      <c r="D412" s="10" t="inlineStr">
        <is>
          <t>White sardinella</t>
        </is>
      </c>
      <c r="E412" s="10" t="inlineStr">
        <is>
          <t>Small reef assoc. fish (&lt;30 cm)</t>
        </is>
      </c>
      <c r="F412" s="10" t="inlineStr">
        <is>
          <t>Herring-likes</t>
        </is>
      </c>
      <c r="G412" s="11" t="inlineStr">
        <is>
          <t>Pelagic fish (≤ 30 cm)</t>
        </is>
      </c>
      <c r="H412" s="12" t="n">
        <v>1</v>
      </c>
      <c r="I412" s="10" t="inlineStr">
        <is>
          <t>single</t>
        </is>
      </c>
      <c r="J412" s="14" t="inlineStr">
        <is>
          <t>medium</t>
        </is>
      </c>
      <c r="K412" s="10" t="inlineStr">
        <is>
          <t>habitat_size_guild</t>
        </is>
      </c>
      <c r="L4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412" s="10" t="n">
        <v>13862.136</v>
      </c>
    </row>
    <row r="413" ht="36" customHeight="1">
      <c r="A413" s="10" t="inlineStr">
        <is>
          <t>LME_036</t>
        </is>
      </c>
      <c r="B413" s="11" t="inlineStr">
        <is>
          <t>36_2_South_China_Sea_SCS-2007_Northern_South_China_Sea_(1970s)</t>
        </is>
      </c>
      <c r="C413" s="11" t="inlineStr">
        <is>
          <t>Placuna placenta</t>
        </is>
      </c>
      <c r="D413" s="10" t="inlineStr">
        <is>
          <t>Windowpane oyster</t>
        </is>
      </c>
      <c r="E413" s="10" t="inlineStr">
        <is>
          <t>Other demersal invertebrates</t>
        </is>
      </c>
      <c r="F413" s="10" t="inlineStr">
        <is>
          <t>Molluscs</t>
        </is>
      </c>
      <c r="G413" s="11" t="inlineStr">
        <is>
          <t>Non-ceph molluscs</t>
        </is>
      </c>
      <c r="H413" s="12" t="n">
        <v>1</v>
      </c>
      <c r="I413" s="10" t="inlineStr">
        <is>
          <t>single</t>
        </is>
      </c>
      <c r="J413" s="15" t="inlineStr">
        <is>
          <t>high</t>
        </is>
      </c>
      <c r="K413" s="10" t="inlineStr">
        <is>
          <t>taxonomic_containment</t>
        </is>
      </c>
      <c r="L413" s="11" t="inlineStr">
        <is>
          <t>Taxonomic containment in the source benthos subdivision (Appendix 6.1.5 pp.324-325), keeping non-cephalopod molluscs separate from echinoderms and sessile invertebrates.</t>
        </is>
      </c>
      <c r="M413" s="10" t="n">
        <v>13498.128</v>
      </c>
    </row>
    <row r="414" ht="51" customHeight="1">
      <c r="A414" s="10" t="inlineStr">
        <is>
          <t>LME_036</t>
        </is>
      </c>
      <c r="B414" s="11" t="inlineStr">
        <is>
          <t>36_2_South_China_Sea_SCS-2007_Northern_South_China_Sea_(1970s)</t>
        </is>
      </c>
      <c r="C414" s="11" t="inlineStr">
        <is>
          <t>Scaridae</t>
        </is>
      </c>
      <c r="D414" s="10" t="inlineStr">
        <is>
          <t>Parrotfishes</t>
        </is>
      </c>
      <c r="E414" s="10" t="inlineStr">
        <is>
          <t>Medium reef assoc. fish (30 - 89 cm)</t>
        </is>
      </c>
      <c r="F414" s="10" t="inlineStr">
        <is>
          <t>Perch-likes</t>
        </is>
      </c>
      <c r="G414" s="11" t="inlineStr">
        <is>
          <t>Juvenile demersal fish (&gt; 30 cm)</t>
        </is>
      </c>
      <c r="H414" s="12" t="n">
        <v>0.2002781641168289</v>
      </c>
      <c r="I414" s="10" t="inlineStr">
        <is>
          <t>model_catch</t>
        </is>
      </c>
      <c r="J414" s="14" t="inlineStr">
        <is>
          <t>medium</t>
        </is>
      </c>
      <c r="K414" s="10" t="inlineStr">
        <is>
          <t>composite_split</t>
        </is>
      </c>
      <c r="L4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4" s="10" t="n">
        <v>13212.304</v>
      </c>
    </row>
    <row r="415" ht="51" customHeight="1">
      <c r="A415" s="10" t="inlineStr">
        <is>
          <t>LME_036</t>
        </is>
      </c>
      <c r="B415" s="11" t="inlineStr">
        <is>
          <t>36_2_South_China_Sea_SCS-2007_Northern_South_China_Sea_(1970s)</t>
        </is>
      </c>
      <c r="C415" s="11" t="inlineStr">
        <is>
          <t>Scaridae</t>
        </is>
      </c>
      <c r="D415" s="10" t="inlineStr">
        <is>
          <t>Parrotfishes</t>
        </is>
      </c>
      <c r="E415" s="10" t="inlineStr">
        <is>
          <t>Medium reef assoc. fish (30 - 89 cm)</t>
        </is>
      </c>
      <c r="F415" s="10" t="inlineStr">
        <is>
          <t>Perch-likes</t>
        </is>
      </c>
      <c r="G415" s="11" t="inlineStr">
        <is>
          <t>Adult demersal fish (&gt; 30 cm)</t>
        </is>
      </c>
      <c r="H415" s="12" t="n">
        <v>0.799721835883171</v>
      </c>
      <c r="I415" s="10" t="inlineStr">
        <is>
          <t>model_catch</t>
        </is>
      </c>
      <c r="J415" s="14" t="inlineStr">
        <is>
          <t>medium</t>
        </is>
      </c>
      <c r="K415" s="10" t="inlineStr">
        <is>
          <t>composite_split</t>
        </is>
      </c>
      <c r="L4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5" s="10" t="n">
        <v>13212.304</v>
      </c>
    </row>
    <row r="416" ht="51" customHeight="1">
      <c r="A416" s="10" t="inlineStr">
        <is>
          <t>LME_036</t>
        </is>
      </c>
      <c r="B416" s="11" t="inlineStr">
        <is>
          <t>36_2_South_China_Sea_SCS-2007_Northern_South_China_Sea_(1970s)</t>
        </is>
      </c>
      <c r="C416" s="11" t="inlineStr">
        <is>
          <t>Seriolina nigrofasciata</t>
        </is>
      </c>
      <c r="D416" s="10" t="inlineStr">
        <is>
          <t>Blackbanded trevally</t>
        </is>
      </c>
      <c r="E416" s="10" t="inlineStr">
        <is>
          <t>Medium reef assoc. fish (30 - 89 cm)</t>
        </is>
      </c>
      <c r="F416" s="10" t="inlineStr">
        <is>
          <t>Perch-likes</t>
        </is>
      </c>
      <c r="G416" s="11" t="inlineStr">
        <is>
          <t>Juvenile large pelagic fish</t>
        </is>
      </c>
      <c r="H416" s="12" t="n">
        <v>0.2016806722689076</v>
      </c>
      <c r="I416" s="10" t="inlineStr">
        <is>
          <t>model_catch</t>
        </is>
      </c>
      <c r="J416" s="14" t="inlineStr">
        <is>
          <t>medium</t>
        </is>
      </c>
      <c r="K416" s="10" t="inlineStr">
        <is>
          <t>composite_split</t>
        </is>
      </c>
      <c r="L4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6" s="10" t="n">
        <v>12661.116</v>
      </c>
    </row>
    <row r="417" ht="51" customHeight="1">
      <c r="A417" s="10" t="inlineStr">
        <is>
          <t>LME_036</t>
        </is>
      </c>
      <c r="B417" s="11" t="inlineStr">
        <is>
          <t>36_2_South_China_Sea_SCS-2007_Northern_South_China_Sea_(1970s)</t>
        </is>
      </c>
      <c r="C417" s="11" t="inlineStr">
        <is>
          <t>Seriolina nigrofasciata</t>
        </is>
      </c>
      <c r="D417" s="10" t="inlineStr">
        <is>
          <t>Blackbanded trevally</t>
        </is>
      </c>
      <c r="E417" s="10" t="inlineStr">
        <is>
          <t>Medium reef assoc. fish (30 - 89 cm)</t>
        </is>
      </c>
      <c r="F417" s="10" t="inlineStr">
        <is>
          <t>Perch-likes</t>
        </is>
      </c>
      <c r="G417" s="11" t="inlineStr">
        <is>
          <t>Pelagic fish (&gt; 30 cm)</t>
        </is>
      </c>
      <c r="H417" s="12" t="n">
        <v>0.7983193277310925</v>
      </c>
      <c r="I417" s="10" t="inlineStr">
        <is>
          <t>model_catch</t>
        </is>
      </c>
      <c r="J417" s="14" t="inlineStr">
        <is>
          <t>medium</t>
        </is>
      </c>
      <c r="K417" s="10" t="inlineStr">
        <is>
          <t>composite_split</t>
        </is>
      </c>
      <c r="L41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7" s="10" t="n">
        <v>12661.116</v>
      </c>
    </row>
    <row r="418" ht="51" customHeight="1">
      <c r="A418" s="10" t="inlineStr">
        <is>
          <t>LME_036</t>
        </is>
      </c>
      <c r="B418" s="11" t="inlineStr">
        <is>
          <t>36_2_South_China_Sea_SCS-2007_Northern_South_China_Sea_(1970s)</t>
        </is>
      </c>
      <c r="C418" s="11" t="inlineStr">
        <is>
          <t>Saurida undosquamis</t>
        </is>
      </c>
      <c r="D418" s="10" t="inlineStr">
        <is>
          <t>Brushtooth lizardfish</t>
        </is>
      </c>
      <c r="E418" s="10" t="inlineStr">
        <is>
          <t>Medium demersals (30 - 89 cm)</t>
        </is>
      </c>
      <c r="F418" s="10" t="inlineStr">
        <is>
          <t>Other fishes &amp; inverts</t>
        </is>
      </c>
      <c r="G418" s="11" t="inlineStr">
        <is>
          <t>Lizard fish (synodontids)</t>
        </is>
      </c>
      <c r="H418" s="12" t="n">
        <v>1</v>
      </c>
      <c r="I418" s="10" t="inlineStr">
        <is>
          <t>single</t>
        </is>
      </c>
      <c r="J418" s="15" t="inlineStr">
        <is>
          <t>high</t>
        </is>
      </c>
      <c r="K418" s="10" t="inlineStr">
        <is>
          <t>explicit_member</t>
        </is>
      </c>
      <c r="L418" s="11" t="inlineStr">
        <is>
          <t>Appendix 6.1 pp.327-335 defines Lizard fish (synodontids) by this family or explicitly names Saurida undosquamis; dedicated source placement overrides the SAU class Medium demersals (30 - 89 cm).</t>
        </is>
      </c>
      <c r="M418" s="10" t="n">
        <v>12120.406</v>
      </c>
    </row>
    <row r="419" ht="36" customHeight="1">
      <c r="A419" s="10" t="inlineStr">
        <is>
          <t>LME_036</t>
        </is>
      </c>
      <c r="B419" s="11" t="inlineStr">
        <is>
          <t>36_2_South_China_Sea_SCS-2007_Northern_South_China_Sea_(1970s)</t>
        </is>
      </c>
      <c r="C419" s="11" t="inlineStr">
        <is>
          <t>Atule mate</t>
        </is>
      </c>
      <c r="D419" s="10" t="inlineStr">
        <is>
          <t>Yellowtail scad</t>
        </is>
      </c>
      <c r="E419" s="10" t="inlineStr">
        <is>
          <t>Small pelagics (&lt;30 cm)</t>
        </is>
      </c>
      <c r="F419" s="10" t="inlineStr">
        <is>
          <t>Perch-likes</t>
        </is>
      </c>
      <c r="G419" s="11" t="inlineStr">
        <is>
          <t>Pelagic fish (≤ 30 cm)</t>
        </is>
      </c>
      <c r="H419" s="12" t="n">
        <v>1</v>
      </c>
      <c r="I419" s="10" t="inlineStr">
        <is>
          <t>single</t>
        </is>
      </c>
      <c r="J419" s="14" t="inlineStr">
        <is>
          <t>medium</t>
        </is>
      </c>
      <c r="K419" s="10" t="inlineStr">
        <is>
          <t>habitat_size_guild</t>
        </is>
      </c>
      <c r="L419" s="11" t="inlineStr">
        <is>
          <t>Analyst habitat/size inference: SAU small-pelagic class matches the source &lt;=30 cm pelagic pool after dedicated source taxa were handled (Appendix 6.1.23 p.338).</t>
        </is>
      </c>
      <c r="M419" s="10" t="n">
        <v>11736.971</v>
      </c>
    </row>
    <row r="420" ht="51" customHeight="1">
      <c r="A420" s="10" t="inlineStr">
        <is>
          <t>LME_036</t>
        </is>
      </c>
      <c r="B420" s="11" t="inlineStr">
        <is>
          <t>36_2_South_China_Sea_SCS-2007_Northern_South_China_Sea_(1970s)</t>
        </is>
      </c>
      <c r="C420" s="11" t="inlineStr">
        <is>
          <t>Scarus</t>
        </is>
      </c>
      <c r="D420" s="10" t="inlineStr">
        <is>
          <t>Parrots</t>
        </is>
      </c>
      <c r="E420" s="10" t="inlineStr">
        <is>
          <t>Medium reef assoc. fish (30 - 89 cm)</t>
        </is>
      </c>
      <c r="F420" s="10" t="inlineStr">
        <is>
          <t>Perch-likes</t>
        </is>
      </c>
      <c r="G420" s="11" t="inlineStr">
        <is>
          <t>Juvenile demersal fish (&gt; 30 cm)</t>
        </is>
      </c>
      <c r="H420" s="12" t="n">
        <v>0.2002781641168289</v>
      </c>
      <c r="I420" s="10" t="inlineStr">
        <is>
          <t>model_catch</t>
        </is>
      </c>
      <c r="J420" s="14" t="inlineStr">
        <is>
          <t>medium</t>
        </is>
      </c>
      <c r="K420" s="10" t="inlineStr">
        <is>
          <t>composite_split</t>
        </is>
      </c>
      <c r="L42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0" s="10" t="n">
        <v>11669.973</v>
      </c>
    </row>
    <row r="421" ht="51" customHeight="1">
      <c r="A421" s="10" t="inlineStr">
        <is>
          <t>LME_036</t>
        </is>
      </c>
      <c r="B421" s="11" t="inlineStr">
        <is>
          <t>36_2_South_China_Sea_SCS-2007_Northern_South_China_Sea_(1970s)</t>
        </is>
      </c>
      <c r="C421" s="11" t="inlineStr">
        <is>
          <t>Scarus</t>
        </is>
      </c>
      <c r="D421" s="10" t="inlineStr">
        <is>
          <t>Parrots</t>
        </is>
      </c>
      <c r="E421" s="10" t="inlineStr">
        <is>
          <t>Medium reef assoc. fish (30 - 89 cm)</t>
        </is>
      </c>
      <c r="F421" s="10" t="inlineStr">
        <is>
          <t>Perch-likes</t>
        </is>
      </c>
      <c r="G421" s="11" t="inlineStr">
        <is>
          <t>Adult demersal fish (&gt; 30 cm)</t>
        </is>
      </c>
      <c r="H421" s="12" t="n">
        <v>0.799721835883171</v>
      </c>
      <c r="I421" s="10" t="inlineStr">
        <is>
          <t>model_catch</t>
        </is>
      </c>
      <c r="J421" s="14" t="inlineStr">
        <is>
          <t>medium</t>
        </is>
      </c>
      <c r="K421" s="10" t="inlineStr">
        <is>
          <t>composite_split</t>
        </is>
      </c>
      <c r="L42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1" s="10" t="n">
        <v>11669.973</v>
      </c>
    </row>
    <row r="422" ht="36" customHeight="1">
      <c r="A422" s="10" t="inlineStr">
        <is>
          <t>LME_036</t>
        </is>
      </c>
      <c r="B422" s="11" t="inlineStr">
        <is>
          <t>36_2_South_China_Sea_SCS-2007_Northern_South_China_Sea_(1970s)</t>
        </is>
      </c>
      <c r="C422" s="11" t="inlineStr">
        <is>
          <t>Thunnus</t>
        </is>
      </c>
      <c r="D422" s="10" t="inlineStr">
        <is>
          <t>Tunas</t>
        </is>
      </c>
      <c r="E422" s="10" t="inlineStr">
        <is>
          <t>Large pelagics (&gt;=90 cm)</t>
        </is>
      </c>
      <c r="F422" s="10" t="inlineStr">
        <is>
          <t>Tuna &amp; billfishes</t>
        </is>
      </c>
      <c r="G422" s="11" t="inlineStr">
        <is>
          <t>Juvenile large pelagic fish</t>
        </is>
      </c>
      <c r="H422" s="12" t="n">
        <v>0.2016806722689076</v>
      </c>
      <c r="I422" s="10" t="inlineStr">
        <is>
          <t>model_catch</t>
        </is>
      </c>
      <c r="J422" s="14" t="inlineStr">
        <is>
          <t>medium</t>
        </is>
      </c>
      <c r="K422" s="10" t="inlineStr">
        <is>
          <t>composite_split</t>
        </is>
      </c>
      <c r="L422" s="11" t="inlineStr">
        <is>
          <t>Analyst habitat/size inference to source &gt;30 cm pelagic fish (Appendix 6.1.24 p.339); no age data, so split juvenile/adult using the period model catch.</t>
        </is>
      </c>
      <c r="M422" s="10" t="n">
        <v>11596.064</v>
      </c>
    </row>
    <row r="423" ht="36" customHeight="1">
      <c r="A423" s="10" t="inlineStr">
        <is>
          <t>LME_036</t>
        </is>
      </c>
      <c r="B423" s="11" t="inlineStr">
        <is>
          <t>36_2_South_China_Sea_SCS-2007_Northern_South_China_Sea_(1970s)</t>
        </is>
      </c>
      <c r="C423" s="11" t="inlineStr">
        <is>
          <t>Thunnus</t>
        </is>
      </c>
      <c r="D423" s="10" t="inlineStr">
        <is>
          <t>Tunas</t>
        </is>
      </c>
      <c r="E423" s="10" t="inlineStr">
        <is>
          <t>Large pelagics (&gt;=90 cm)</t>
        </is>
      </c>
      <c r="F423" s="10" t="inlineStr">
        <is>
          <t>Tuna &amp; billfishes</t>
        </is>
      </c>
      <c r="G423" s="11" t="inlineStr">
        <is>
          <t>Pelagic fish (&gt; 30 cm)</t>
        </is>
      </c>
      <c r="H423" s="12" t="n">
        <v>0.7983193277310925</v>
      </c>
      <c r="I423" s="10" t="inlineStr">
        <is>
          <t>model_catch</t>
        </is>
      </c>
      <c r="J423" s="14" t="inlineStr">
        <is>
          <t>medium</t>
        </is>
      </c>
      <c r="K423" s="10" t="inlineStr">
        <is>
          <t>composite_split</t>
        </is>
      </c>
      <c r="L423" s="11" t="inlineStr">
        <is>
          <t>Analyst habitat/size inference to source &gt;30 cm pelagic fish (Appendix 6.1.24 p.339); no age data, so split juvenile/adult using the period model catch.</t>
        </is>
      </c>
      <c r="M423" s="10" t="n">
        <v>11596.064</v>
      </c>
    </row>
    <row r="424" ht="36" customHeight="1">
      <c r="A424" s="10" t="inlineStr">
        <is>
          <t>LME_036</t>
        </is>
      </c>
      <c r="B424" s="11" t="inlineStr">
        <is>
          <t>36_2_South_China_Sea_SCS-2007_Northern_South_China_Sea_(1970s)</t>
        </is>
      </c>
      <c r="C424" s="11" t="inlineStr">
        <is>
          <t>Ruditapes philippinarum</t>
        </is>
      </c>
      <c r="D424" s="10" t="inlineStr">
        <is>
          <t>Japanese carpet shell</t>
        </is>
      </c>
      <c r="E424" s="10" t="inlineStr">
        <is>
          <t>Other demersal invertebrates</t>
        </is>
      </c>
      <c r="F424" s="10" t="inlineStr">
        <is>
          <t>Molluscs</t>
        </is>
      </c>
      <c r="G424" s="11" t="inlineStr">
        <is>
          <t>Non-ceph molluscs</t>
        </is>
      </c>
      <c r="H424" s="12" t="n">
        <v>1</v>
      </c>
      <c r="I424" s="10" t="inlineStr">
        <is>
          <t>single</t>
        </is>
      </c>
      <c r="J424" s="15" t="inlineStr">
        <is>
          <t>high</t>
        </is>
      </c>
      <c r="K424" s="10" t="inlineStr">
        <is>
          <t>taxonomic_containment</t>
        </is>
      </c>
      <c r="L424" s="11" t="inlineStr">
        <is>
          <t>Taxonomic containment in the source benthos subdivision (Appendix 6.1.5 pp.324-325), keeping non-cephalopod molluscs separate from echinoderms and sessile invertebrates.</t>
        </is>
      </c>
      <c r="M424" s="10" t="n">
        <v>11438.522</v>
      </c>
    </row>
    <row r="425" ht="36" customHeight="1">
      <c r="A425" s="10" t="inlineStr">
        <is>
          <t>LME_036</t>
        </is>
      </c>
      <c r="B425" s="11" t="inlineStr">
        <is>
          <t>36_2_South_China_Sea_SCS-2007_Northern_South_China_Sea_(1970s)</t>
        </is>
      </c>
      <c r="C425" s="11" t="inlineStr">
        <is>
          <t>Metapenaeus tenuipes</t>
        </is>
      </c>
      <c r="D425" s="10" t="inlineStr">
        <is>
          <t>Stork shrimp</t>
        </is>
      </c>
      <c r="E425" s="10" t="inlineStr">
        <is>
          <t>Shrimps</t>
        </is>
      </c>
      <c r="F425" s="10" t="inlineStr">
        <is>
          <t>Crustaceans</t>
        </is>
      </c>
      <c r="G425" s="11" t="inlineStr">
        <is>
          <t>Shrimps</t>
        </is>
      </c>
      <c r="H425" s="12" t="n">
        <v>1</v>
      </c>
      <c r="I425" s="10" t="inlineStr">
        <is>
          <t>single</t>
        </is>
      </c>
      <c r="J425" s="15" t="inlineStr">
        <is>
          <t>high</t>
        </is>
      </c>
      <c r="K425" s="10" t="inlineStr">
        <is>
          <t>taxonomic_containment</t>
        </is>
      </c>
      <c r="L425" s="11" t="inlineStr">
        <is>
          <t>Stomatopods belong to the residual benthic crustaceans; other shrimp taxa belong to Shrimps after the explicitly separated Acetes records (Appendix 6.1 pp.323-326).</t>
        </is>
      </c>
      <c r="M425" s="10" t="n">
        <v>11158.1</v>
      </c>
    </row>
    <row r="426" ht="36" customHeight="1">
      <c r="A426" s="10" t="inlineStr">
        <is>
          <t>LME_036</t>
        </is>
      </c>
      <c r="B426" s="11" t="inlineStr">
        <is>
          <t>36_2_South_China_Sea_SCS-2007_Northern_South_China_Sea_(1970s)</t>
        </is>
      </c>
      <c r="C426" s="11" t="inlineStr">
        <is>
          <t>Acanthocybium solandri</t>
        </is>
      </c>
      <c r="D426" s="10" t="inlineStr">
        <is>
          <t>Wahoo</t>
        </is>
      </c>
      <c r="E426" s="10" t="inlineStr">
        <is>
          <t>Large pelagics (&gt;=90 cm)</t>
        </is>
      </c>
      <c r="F426" s="10" t="inlineStr">
        <is>
          <t>Perch-likes</t>
        </is>
      </c>
      <c r="G426" s="11" t="inlineStr">
        <is>
          <t>Juvenile large pelagic fish</t>
        </is>
      </c>
      <c r="H426" s="12" t="n">
        <v>0.2016806722689076</v>
      </c>
      <c r="I426" s="10" t="inlineStr">
        <is>
          <t>model_catch</t>
        </is>
      </c>
      <c r="J426" s="14" t="inlineStr">
        <is>
          <t>medium</t>
        </is>
      </c>
      <c r="K426" s="10" t="inlineStr">
        <is>
          <t>composite_split</t>
        </is>
      </c>
      <c r="L426" s="11" t="inlineStr">
        <is>
          <t>Analyst habitat/size inference to source &gt;30 cm pelagic fish (Appendix 6.1.24 p.339); no age data, so split juvenile/adult using the period model catch.</t>
        </is>
      </c>
      <c r="M426" s="10" t="n">
        <v>10923.631</v>
      </c>
    </row>
    <row r="427" ht="36" customHeight="1">
      <c r="A427" s="10" t="inlineStr">
        <is>
          <t>LME_036</t>
        </is>
      </c>
      <c r="B427" s="11" t="inlineStr">
        <is>
          <t>36_2_South_China_Sea_SCS-2007_Northern_South_China_Sea_(1970s)</t>
        </is>
      </c>
      <c r="C427" s="11" t="inlineStr">
        <is>
          <t>Acanthocybium solandri</t>
        </is>
      </c>
      <c r="D427" s="10" t="inlineStr">
        <is>
          <t>Wahoo</t>
        </is>
      </c>
      <c r="E427" s="10" t="inlineStr">
        <is>
          <t>Large pelagics (&gt;=90 cm)</t>
        </is>
      </c>
      <c r="F427" s="10" t="inlineStr">
        <is>
          <t>Perch-likes</t>
        </is>
      </c>
      <c r="G427" s="11" t="inlineStr">
        <is>
          <t>Pelagic fish (&gt; 30 cm)</t>
        </is>
      </c>
      <c r="H427" s="12" t="n">
        <v>0.7983193277310925</v>
      </c>
      <c r="I427" s="10" t="inlineStr">
        <is>
          <t>model_catch</t>
        </is>
      </c>
      <c r="J427" s="14" t="inlineStr">
        <is>
          <t>medium</t>
        </is>
      </c>
      <c r="K427" s="10" t="inlineStr">
        <is>
          <t>composite_split</t>
        </is>
      </c>
      <c r="L427" s="11" t="inlineStr">
        <is>
          <t>Analyst habitat/size inference to source &gt;30 cm pelagic fish (Appendix 6.1.24 p.339); no age data, so split juvenile/adult using the period model catch.</t>
        </is>
      </c>
      <c r="M427" s="10" t="n">
        <v>10923.631</v>
      </c>
    </row>
    <row r="428" ht="51" customHeight="1">
      <c r="A428" s="10" t="inlineStr">
        <is>
          <t>LME_036</t>
        </is>
      </c>
      <c r="B428" s="11" t="inlineStr">
        <is>
          <t>36_2_South_China_Sea_SCS-2007_Northern_South_China_Sea_(1970s)</t>
        </is>
      </c>
      <c r="C428" s="11" t="inlineStr">
        <is>
          <t>Acanthopagrus schlegelii</t>
        </is>
      </c>
      <c r="D428" s="10" t="inlineStr">
        <is>
          <t>Blackhead seabream</t>
        </is>
      </c>
      <c r="E428" s="10" t="inlineStr">
        <is>
          <t>Medium demersals (30 - 89 cm)</t>
        </is>
      </c>
      <c r="F428" s="10" t="inlineStr">
        <is>
          <t>Perch-likes</t>
        </is>
      </c>
      <c r="G428" s="11" t="inlineStr">
        <is>
          <t>Juvenile demersal fish (&gt; 30 cm)</t>
        </is>
      </c>
      <c r="H428" s="12" t="n">
        <v>0.2002781641168289</v>
      </c>
      <c r="I428" s="10" t="inlineStr">
        <is>
          <t>model_catch</t>
        </is>
      </c>
      <c r="J428" s="14" t="inlineStr">
        <is>
          <t>medium</t>
        </is>
      </c>
      <c r="K428" s="10" t="inlineStr">
        <is>
          <t>composite_split</t>
        </is>
      </c>
      <c r="L4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8" s="10" t="n">
        <v>10716.315</v>
      </c>
    </row>
    <row r="429" ht="51" customHeight="1">
      <c r="A429" s="10" t="inlineStr">
        <is>
          <t>LME_036</t>
        </is>
      </c>
      <c r="B429" s="11" t="inlineStr">
        <is>
          <t>36_2_South_China_Sea_SCS-2007_Northern_South_China_Sea_(1970s)</t>
        </is>
      </c>
      <c r="C429" s="11" t="inlineStr">
        <is>
          <t>Acanthopagrus schlegelii</t>
        </is>
      </c>
      <c r="D429" s="10" t="inlineStr">
        <is>
          <t>Blackhead seabream</t>
        </is>
      </c>
      <c r="E429" s="10" t="inlineStr">
        <is>
          <t>Medium demersals (30 - 89 cm)</t>
        </is>
      </c>
      <c r="F429" s="10" t="inlineStr">
        <is>
          <t>Perch-likes</t>
        </is>
      </c>
      <c r="G429" s="11" t="inlineStr">
        <is>
          <t>Adult demersal fish (&gt; 30 cm)</t>
        </is>
      </c>
      <c r="H429" s="12" t="n">
        <v>0.799721835883171</v>
      </c>
      <c r="I429" s="10" t="inlineStr">
        <is>
          <t>model_catch</t>
        </is>
      </c>
      <c r="J429" s="14" t="inlineStr">
        <is>
          <t>medium</t>
        </is>
      </c>
      <c r="K429" s="10" t="inlineStr">
        <is>
          <t>composite_split</t>
        </is>
      </c>
      <c r="L42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9" s="10" t="n">
        <v>10716.315</v>
      </c>
    </row>
    <row r="430" ht="51" customHeight="1">
      <c r="A430" s="10" t="inlineStr">
        <is>
          <t>LME_036</t>
        </is>
      </c>
      <c r="B430" s="11" t="inlineStr">
        <is>
          <t>36_2_South_China_Sea_SCS-2007_Northern_South_China_Sea_(1970s)</t>
        </is>
      </c>
      <c r="C430" s="11" t="inlineStr">
        <is>
          <t>Lobotes surinamensis</t>
        </is>
      </c>
      <c r="D430" s="10" t="inlineStr">
        <is>
          <t>Tripletail</t>
        </is>
      </c>
      <c r="E430" s="10" t="inlineStr">
        <is>
          <t>Large benthopelagics (&gt;=90 cm)</t>
        </is>
      </c>
      <c r="F430" s="10" t="inlineStr">
        <is>
          <t>Perch-likes</t>
        </is>
      </c>
      <c r="G430" s="11" t="inlineStr">
        <is>
          <t>Benthopelagic fish</t>
        </is>
      </c>
      <c r="H430" s="12" t="n">
        <v>1</v>
      </c>
      <c r="I430" s="10" t="inlineStr">
        <is>
          <t>single</t>
        </is>
      </c>
      <c r="J430" s="13" t="inlineStr">
        <is>
          <t>low</t>
        </is>
      </c>
      <c r="K430" s="10" t="inlineStr">
        <is>
          <t>habitat_size_guild</t>
        </is>
      </c>
      <c r="L43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30" s="10" t="n">
        <v>10347.218</v>
      </c>
    </row>
    <row r="431" ht="36" customHeight="1">
      <c r="A431" s="10" t="inlineStr">
        <is>
          <t>LME_036</t>
        </is>
      </c>
      <c r="B431" s="11" t="inlineStr">
        <is>
          <t>36_2_South_China_Sea_SCS-2007_Northern_South_China_Sea_(1970s)</t>
        </is>
      </c>
      <c r="C431" s="11" t="inlineStr">
        <is>
          <t>Sepioteuthis lessoniana</t>
        </is>
      </c>
      <c r="D431" s="10" t="inlineStr">
        <is>
          <t>Bigfin reef squid</t>
        </is>
      </c>
      <c r="E431" s="10" t="inlineStr">
        <is>
          <t>Cephalopods</t>
        </is>
      </c>
      <c r="F431" s="10" t="inlineStr">
        <is>
          <t>Other fishes &amp; inverts</t>
        </is>
      </c>
      <c r="G431" s="11" t="inlineStr">
        <is>
          <t>Cephalopods</t>
        </is>
      </c>
      <c r="H431" s="12" t="n">
        <v>1</v>
      </c>
      <c r="I431" s="10" t="inlineStr">
        <is>
          <t>single</t>
        </is>
      </c>
      <c r="J431" s="15" t="inlineStr">
        <is>
          <t>high</t>
        </is>
      </c>
      <c r="K431" s="10" t="inlineStr">
        <is>
          <t>taxonomic_containment</t>
        </is>
      </c>
      <c r="L431" s="11" t="inlineStr">
        <is>
          <t>Cephalopoda is contained by the single source Cephalopods group, Appendix 6.1.8 pp.326-327.</t>
        </is>
      </c>
      <c r="M431" s="10" t="n">
        <v>10311.411</v>
      </c>
    </row>
    <row r="432" ht="51" customHeight="1">
      <c r="A432" s="10" t="inlineStr">
        <is>
          <t>LME_036</t>
        </is>
      </c>
      <c r="B432" s="11" t="inlineStr">
        <is>
          <t>36_2_South_China_Sea_SCS-2007_Northern_South_China_Sea_(1970s)</t>
        </is>
      </c>
      <c r="C432" s="11" t="inlineStr">
        <is>
          <t>Eleutheronema tetradactylum</t>
        </is>
      </c>
      <c r="D432" s="10" t="inlineStr">
        <is>
          <t>Fourfinger threadfin</t>
        </is>
      </c>
      <c r="E432" s="10" t="inlineStr">
        <is>
          <t>Large demersals (&gt;=90 cm)</t>
        </is>
      </c>
      <c r="F432" s="10" t="inlineStr">
        <is>
          <t>Perch-likes</t>
        </is>
      </c>
      <c r="G432" s="11" t="inlineStr">
        <is>
          <t>Juvenile demersal fish (&gt; 30 cm)</t>
        </is>
      </c>
      <c r="H432" s="12" t="n">
        <v>0.2002781641168289</v>
      </c>
      <c r="I432" s="10" t="inlineStr">
        <is>
          <t>model_catch</t>
        </is>
      </c>
      <c r="J432" s="14" t="inlineStr">
        <is>
          <t>medium</t>
        </is>
      </c>
      <c r="K432" s="10" t="inlineStr">
        <is>
          <t>composite_split</t>
        </is>
      </c>
      <c r="L4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2" s="10" t="n">
        <v>9740.129999999999</v>
      </c>
    </row>
    <row r="433" ht="51" customHeight="1">
      <c r="A433" s="10" t="inlineStr">
        <is>
          <t>LME_036</t>
        </is>
      </c>
      <c r="B433" s="11" t="inlineStr">
        <is>
          <t>36_2_South_China_Sea_SCS-2007_Northern_South_China_Sea_(1970s)</t>
        </is>
      </c>
      <c r="C433" s="11" t="inlineStr">
        <is>
          <t>Eleutheronema tetradactylum</t>
        </is>
      </c>
      <c r="D433" s="10" t="inlineStr">
        <is>
          <t>Fourfinger threadfin</t>
        </is>
      </c>
      <c r="E433" s="10" t="inlineStr">
        <is>
          <t>Large demersals (&gt;=90 cm)</t>
        </is>
      </c>
      <c r="F433" s="10" t="inlineStr">
        <is>
          <t>Perch-likes</t>
        </is>
      </c>
      <c r="G433" s="11" t="inlineStr">
        <is>
          <t>Adult demersal fish (&gt; 30 cm)</t>
        </is>
      </c>
      <c r="H433" s="12" t="n">
        <v>0.799721835883171</v>
      </c>
      <c r="I433" s="10" t="inlineStr">
        <is>
          <t>model_catch</t>
        </is>
      </c>
      <c r="J433" s="14" t="inlineStr">
        <is>
          <t>medium</t>
        </is>
      </c>
      <c r="K433" s="10" t="inlineStr">
        <is>
          <t>composite_split</t>
        </is>
      </c>
      <c r="L4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3" s="10" t="n">
        <v>9740.129999999999</v>
      </c>
    </row>
    <row r="434" ht="51" customHeight="1">
      <c r="A434" s="10" t="inlineStr">
        <is>
          <t>LME_036</t>
        </is>
      </c>
      <c r="B434" s="11" t="inlineStr">
        <is>
          <t>36_2_South_China_Sea_SCS-2007_Northern_South_China_Sea_(1970s)</t>
        </is>
      </c>
      <c r="C434" s="11" t="inlineStr">
        <is>
          <t>Scatophagus</t>
        </is>
      </c>
      <c r="D434" s="10" t="inlineStr">
        <is>
          <t>Scats</t>
        </is>
      </c>
      <c r="E434" s="10" t="inlineStr">
        <is>
          <t>Medium demersals (30 - 89 cm)</t>
        </is>
      </c>
      <c r="F434" s="10" t="inlineStr">
        <is>
          <t>Perch-likes</t>
        </is>
      </c>
      <c r="G434" s="11" t="inlineStr">
        <is>
          <t>Juvenile demersal fish (&gt; 30 cm)</t>
        </is>
      </c>
      <c r="H434" s="12" t="n">
        <v>0.2002781641168289</v>
      </c>
      <c r="I434" s="10" t="inlineStr">
        <is>
          <t>model_catch</t>
        </is>
      </c>
      <c r="J434" s="14" t="inlineStr">
        <is>
          <t>medium</t>
        </is>
      </c>
      <c r="K434" s="10" t="inlineStr">
        <is>
          <t>composite_split</t>
        </is>
      </c>
      <c r="L43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4" s="10" t="n">
        <v>9252.174000000001</v>
      </c>
    </row>
    <row r="435" ht="51" customHeight="1">
      <c r="A435" s="10" t="inlineStr">
        <is>
          <t>LME_036</t>
        </is>
      </c>
      <c r="B435" s="11" t="inlineStr">
        <is>
          <t>36_2_South_China_Sea_SCS-2007_Northern_South_China_Sea_(1970s)</t>
        </is>
      </c>
      <c r="C435" s="11" t="inlineStr">
        <is>
          <t>Scatophagus</t>
        </is>
      </c>
      <c r="D435" s="10" t="inlineStr">
        <is>
          <t>Scats</t>
        </is>
      </c>
      <c r="E435" s="10" t="inlineStr">
        <is>
          <t>Medium demersals (30 - 89 cm)</t>
        </is>
      </c>
      <c r="F435" s="10" t="inlineStr">
        <is>
          <t>Perch-likes</t>
        </is>
      </c>
      <c r="G435" s="11" t="inlineStr">
        <is>
          <t>Adult demersal fish (&gt; 30 cm)</t>
        </is>
      </c>
      <c r="H435" s="12" t="n">
        <v>0.799721835883171</v>
      </c>
      <c r="I435" s="10" t="inlineStr">
        <is>
          <t>model_catch</t>
        </is>
      </c>
      <c r="J435" s="14" t="inlineStr">
        <is>
          <t>medium</t>
        </is>
      </c>
      <c r="K435" s="10" t="inlineStr">
        <is>
          <t>composite_split</t>
        </is>
      </c>
      <c r="L4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5" s="10" t="n">
        <v>9252.174000000001</v>
      </c>
    </row>
    <row r="436" ht="36" customHeight="1">
      <c r="A436" s="10" t="inlineStr">
        <is>
          <t>LME_036</t>
        </is>
      </c>
      <c r="B436" s="11" t="inlineStr">
        <is>
          <t>36_2_South_China_Sea_SCS-2007_Northern_South_China_Sea_(1970s)</t>
        </is>
      </c>
      <c r="C436" s="11" t="inlineStr">
        <is>
          <t>Thunnus orientalis</t>
        </is>
      </c>
      <c r="D436" s="10" t="inlineStr">
        <is>
          <t>Pacific bluefin tuna</t>
        </is>
      </c>
      <c r="E436" s="10" t="inlineStr">
        <is>
          <t>Large pelagics (&gt;=90 cm)</t>
        </is>
      </c>
      <c r="F436" s="10" t="inlineStr">
        <is>
          <t>Tuna &amp; billfishes</t>
        </is>
      </c>
      <c r="G436" s="11" t="inlineStr">
        <is>
          <t>Juvenile large pelagic fish</t>
        </is>
      </c>
      <c r="H436" s="12" t="n">
        <v>0.2016806722689076</v>
      </c>
      <c r="I436" s="10" t="inlineStr">
        <is>
          <t>model_catch</t>
        </is>
      </c>
      <c r="J436" s="14" t="inlineStr">
        <is>
          <t>medium</t>
        </is>
      </c>
      <c r="K436" s="10" t="inlineStr">
        <is>
          <t>composite_split</t>
        </is>
      </c>
      <c r="L436" s="11" t="inlineStr">
        <is>
          <t>Analyst habitat/size inference to source &gt;30 cm pelagic fish (Appendix 6.1.24 p.339); no age data, so split juvenile/adult using the period model catch.</t>
        </is>
      </c>
      <c r="M436" s="10" t="n">
        <v>9130.268</v>
      </c>
    </row>
    <row r="437" ht="36" customHeight="1">
      <c r="A437" s="10" t="inlineStr">
        <is>
          <t>LME_036</t>
        </is>
      </c>
      <c r="B437" s="11" t="inlineStr">
        <is>
          <t>36_2_South_China_Sea_SCS-2007_Northern_South_China_Sea_(1970s)</t>
        </is>
      </c>
      <c r="C437" s="11" t="inlineStr">
        <is>
          <t>Thunnus orientalis</t>
        </is>
      </c>
      <c r="D437" s="10" t="inlineStr">
        <is>
          <t>Pacific bluefin tuna</t>
        </is>
      </c>
      <c r="E437" s="10" t="inlineStr">
        <is>
          <t>Large pelagics (&gt;=90 cm)</t>
        </is>
      </c>
      <c r="F437" s="10" t="inlineStr">
        <is>
          <t>Tuna &amp; billfishes</t>
        </is>
      </c>
      <c r="G437" s="11" t="inlineStr">
        <is>
          <t>Pelagic fish (&gt; 30 cm)</t>
        </is>
      </c>
      <c r="H437" s="12" t="n">
        <v>0.7983193277310925</v>
      </c>
      <c r="I437" s="10" t="inlineStr">
        <is>
          <t>model_catch</t>
        </is>
      </c>
      <c r="J437" s="14" t="inlineStr">
        <is>
          <t>medium</t>
        </is>
      </c>
      <c r="K437" s="10" t="inlineStr">
        <is>
          <t>composite_split</t>
        </is>
      </c>
      <c r="L437" s="11" t="inlineStr">
        <is>
          <t>Analyst habitat/size inference to source &gt;30 cm pelagic fish (Appendix 6.1.24 p.339); no age data, so split juvenile/adult using the period model catch.</t>
        </is>
      </c>
      <c r="M437" s="10" t="n">
        <v>9130.268</v>
      </c>
    </row>
    <row r="438" ht="36" customHeight="1">
      <c r="A438" s="10" t="inlineStr">
        <is>
          <t>LME_036</t>
        </is>
      </c>
      <c r="B438" s="11" t="inlineStr">
        <is>
          <t>36_2_South_China_Sea_SCS-2007_Northern_South_China_Sea_(1970s)</t>
        </is>
      </c>
      <c r="C438" s="11" t="inlineStr">
        <is>
          <t>Siganus canaliculatus</t>
        </is>
      </c>
      <c r="D438" s="10" t="inlineStr">
        <is>
          <t>White-spotted spinefoot</t>
        </is>
      </c>
      <c r="E438" s="10" t="inlineStr">
        <is>
          <t>Small reef assoc. fish (&lt;30 cm)</t>
        </is>
      </c>
      <c r="F438" s="10" t="inlineStr">
        <is>
          <t>Perch-likes</t>
        </is>
      </c>
      <c r="G438" s="11" t="inlineStr">
        <is>
          <t>Demesral fish (≤ 30 cm)</t>
        </is>
      </c>
      <c r="H438" s="12" t="n">
        <v>1</v>
      </c>
      <c r="I438" s="10" t="inlineStr">
        <is>
          <t>single</t>
        </is>
      </c>
      <c r="J438" s="14" t="inlineStr">
        <is>
          <t>medium</t>
        </is>
      </c>
      <c r="K438" s="10" t="inlineStr">
        <is>
          <t>habitat_size_guild</t>
        </is>
      </c>
      <c r="L438" s="11" t="inlineStr">
        <is>
          <t>Analyst habitat/size inference: small demersal or reef-associated fish after excluding dedicated taxonomic groups, matching Appendix 6.1.19 &lt;=30 cm residual demersal pool.</t>
        </is>
      </c>
      <c r="M438" s="10" t="n">
        <v>8874.617</v>
      </c>
    </row>
    <row r="439" ht="51" customHeight="1">
      <c r="A439" s="10" t="inlineStr">
        <is>
          <t>LME_036</t>
        </is>
      </c>
      <c r="B439" s="11" t="inlineStr">
        <is>
          <t>36_2_South_China_Sea_SCS-2007_Northern_South_China_Sea_(1970s)</t>
        </is>
      </c>
      <c r="C439" s="11" t="inlineStr">
        <is>
          <t>Polydactylus sexfilis</t>
        </is>
      </c>
      <c r="D439" s="10" t="inlineStr">
        <is>
          <t>Sixfinger threadfin</t>
        </is>
      </c>
      <c r="E439" s="10" t="inlineStr">
        <is>
          <t>Medium demersals (30 - 89 cm)</t>
        </is>
      </c>
      <c r="F439" s="10" t="inlineStr">
        <is>
          <t>Perch-likes</t>
        </is>
      </c>
      <c r="G439" s="11" t="inlineStr">
        <is>
          <t>Juvenile demersal fish (&gt; 30 cm)</t>
        </is>
      </c>
      <c r="H439" s="12" t="n">
        <v>0.2002781641168289</v>
      </c>
      <c r="I439" s="10" t="inlineStr">
        <is>
          <t>model_catch</t>
        </is>
      </c>
      <c r="J439" s="14" t="inlineStr">
        <is>
          <t>medium</t>
        </is>
      </c>
      <c r="K439" s="10" t="inlineStr">
        <is>
          <t>composite_split</t>
        </is>
      </c>
      <c r="L43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9" s="10" t="n">
        <v>8212.799999999999</v>
      </c>
    </row>
    <row r="440" ht="51" customHeight="1">
      <c r="A440" s="10" t="inlineStr">
        <is>
          <t>LME_036</t>
        </is>
      </c>
      <c r="B440" s="11" t="inlineStr">
        <is>
          <t>36_2_South_China_Sea_SCS-2007_Northern_South_China_Sea_(1970s)</t>
        </is>
      </c>
      <c r="C440" s="11" t="inlineStr">
        <is>
          <t>Polydactylus sexfilis</t>
        </is>
      </c>
      <c r="D440" s="10" t="inlineStr">
        <is>
          <t>Sixfinger threadfin</t>
        </is>
      </c>
      <c r="E440" s="10" t="inlineStr">
        <is>
          <t>Medium demersals (30 - 89 cm)</t>
        </is>
      </c>
      <c r="F440" s="10" t="inlineStr">
        <is>
          <t>Perch-likes</t>
        </is>
      </c>
      <c r="G440" s="11" t="inlineStr">
        <is>
          <t>Adult demersal fish (&gt; 30 cm)</t>
        </is>
      </c>
      <c r="H440" s="12" t="n">
        <v>0.799721835883171</v>
      </c>
      <c r="I440" s="10" t="inlineStr">
        <is>
          <t>model_catch</t>
        </is>
      </c>
      <c r="J440" s="14" t="inlineStr">
        <is>
          <t>medium</t>
        </is>
      </c>
      <c r="K440" s="10" t="inlineStr">
        <is>
          <t>composite_split</t>
        </is>
      </c>
      <c r="L4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0" s="10" t="n">
        <v>8212.799999999999</v>
      </c>
    </row>
    <row r="441" ht="36" customHeight="1">
      <c r="A441" s="10" t="inlineStr">
        <is>
          <t>LME_036</t>
        </is>
      </c>
      <c r="B441" s="11" t="inlineStr">
        <is>
          <t>36_2_South_China_Sea_SCS-2007_Northern_South_China_Sea_(1970s)</t>
        </is>
      </c>
      <c r="C441" s="11" t="inlineStr">
        <is>
          <t>Hilsa kelee</t>
        </is>
      </c>
      <c r="D441" s="10" t="inlineStr">
        <is>
          <t>Kelee shad</t>
        </is>
      </c>
      <c r="E441" s="10" t="inlineStr">
        <is>
          <t>Small pelagics (&lt;30 cm)</t>
        </is>
      </c>
      <c r="F441" s="10" t="inlineStr">
        <is>
          <t>Herring-likes</t>
        </is>
      </c>
      <c r="G441" s="11" t="inlineStr">
        <is>
          <t>Pelagic fish (≤ 30 cm)</t>
        </is>
      </c>
      <c r="H441" s="12" t="n">
        <v>1</v>
      </c>
      <c r="I441" s="10" t="inlineStr">
        <is>
          <t>single</t>
        </is>
      </c>
      <c r="J441" s="14" t="inlineStr">
        <is>
          <t>medium</t>
        </is>
      </c>
      <c r="K441" s="10" t="inlineStr">
        <is>
          <t>habitat_size_guild</t>
        </is>
      </c>
      <c r="L441" s="11" t="inlineStr">
        <is>
          <t>Analyst habitat/size inference: SAU small-pelagic class matches the source &lt;=30 cm pelagic pool after dedicated source taxa were handled (Appendix 6.1.23 p.338).</t>
        </is>
      </c>
      <c r="M441" s="10" t="n">
        <v>8128.315</v>
      </c>
    </row>
    <row r="442" ht="36" customHeight="1">
      <c r="A442" s="10" t="inlineStr">
        <is>
          <t>LME_036</t>
        </is>
      </c>
      <c r="B442" s="11" t="inlineStr">
        <is>
          <t>36_2_South_China_Sea_SCS-2007_Northern_South_China_Sea_(1970s)</t>
        </is>
      </c>
      <c r="C442" s="11" t="inlineStr">
        <is>
          <t>Thenus orientalis</t>
        </is>
      </c>
      <c r="D442" s="10" t="inlineStr">
        <is>
          <t>Flathead lobster</t>
        </is>
      </c>
      <c r="E442" s="10" t="inlineStr">
        <is>
          <t>Lobsters, crabs</t>
        </is>
      </c>
      <c r="F442" s="10" t="inlineStr">
        <is>
          <t>Crustaceans</t>
        </is>
      </c>
      <c r="G442" s="11" t="inlineStr">
        <is>
          <t>Benthic crustaceans</t>
        </is>
      </c>
      <c r="H442" s="12" t="n">
        <v>1</v>
      </c>
      <c r="I442" s="10" t="inlineStr">
        <is>
          <t>single</t>
        </is>
      </c>
      <c r="J442" s="15" t="inlineStr">
        <is>
          <t>high</t>
        </is>
      </c>
      <c r="K442" s="10" t="inlineStr">
        <is>
          <t>taxonomic_containment</t>
        </is>
      </c>
      <c r="L442" s="11" t="inlineStr">
        <is>
          <t>Source benthic crustaceans exclude shrimps and crabs (Appendix 6.1.5 p.324); lobsters remain in that residual, while true crabs use Crabs.</t>
        </is>
      </c>
      <c r="M442" s="10" t="n">
        <v>7779.469</v>
      </c>
    </row>
    <row r="443" ht="36" customHeight="1">
      <c r="A443" s="10" t="inlineStr">
        <is>
          <t>LME_036</t>
        </is>
      </c>
      <c r="B443" s="11" t="inlineStr">
        <is>
          <t>36_2_South_China_Sea_SCS-2007_Northern_South_China_Sea_(1970s)</t>
        </is>
      </c>
      <c r="C443" s="11" t="inlineStr">
        <is>
          <t>Acetes sibogae</t>
        </is>
      </c>
      <c r="D443" s="10" t="inlineStr">
        <is>
          <t>Alamang shrimp</t>
        </is>
      </c>
      <c r="E443" s="10" t="inlineStr">
        <is>
          <t>Shrimps</t>
        </is>
      </c>
      <c r="F443" s="10" t="inlineStr">
        <is>
          <t>Crustaceans</t>
        </is>
      </c>
      <c r="G443" s="11" t="inlineStr">
        <is>
          <t>Zooplankton</t>
        </is>
      </c>
      <c r="H443" s="12" t="n">
        <v>1</v>
      </c>
      <c r="I443" s="10" t="inlineStr">
        <is>
          <t>single</t>
        </is>
      </c>
      <c r="J443" s="15" t="inlineStr">
        <is>
          <t>high</t>
        </is>
      </c>
      <c r="K443" s="10" t="inlineStr">
        <is>
          <t>explicit_member</t>
        </is>
      </c>
      <c r="L443" s="11" t="inlineStr">
        <is>
          <t>Appendix 6.1.3 p.323 explicitly records Acetes spp. (Mo shrimp) catch in Zooplankton, overriding the SAU shrimp class.</t>
        </is>
      </c>
      <c r="M443" s="10" t="n">
        <v>7634.911</v>
      </c>
    </row>
    <row r="444" ht="36" customHeight="1">
      <c r="A444" s="10" t="inlineStr">
        <is>
          <t>LME_036</t>
        </is>
      </c>
      <c r="B444" s="11" t="inlineStr">
        <is>
          <t>36_2_South_China_Sea_SCS-2007_Northern_South_China_Sea_(1970s)</t>
        </is>
      </c>
      <c r="C444" s="11" t="inlineStr">
        <is>
          <t>Kajikia audax</t>
        </is>
      </c>
      <c r="D444" s="10" t="inlineStr">
        <is>
          <t>Striped marlin</t>
        </is>
      </c>
      <c r="E444" s="10" t="inlineStr">
        <is>
          <t>Large pelagics (&gt;=90 cm)</t>
        </is>
      </c>
      <c r="F444" s="10" t="inlineStr">
        <is>
          <t>Tuna &amp; billfishes</t>
        </is>
      </c>
      <c r="G444" s="11" t="inlineStr">
        <is>
          <t>Unresolved</t>
        </is>
      </c>
      <c r="H444" s="12" t="n"/>
      <c r="I444" s="10" t="inlineStr"/>
      <c r="J444" s="16" t="inlineStr">
        <is>
          <t>unresolved</t>
        </is>
      </c>
      <c r="K444" s="10" t="inlineStr">
        <is>
          <t>none</t>
        </is>
      </c>
      <c r="L444" s="11" t="inlineStr">
        <is>
          <t>Northern continental-shelf model lacks a documented oceanic billfish or deep-pelagic compartment; assigning coastal juvenile/adult pelagic SPPR would be unsupported.</t>
        </is>
      </c>
      <c r="M444" s="10" t="n">
        <v>7428.343</v>
      </c>
    </row>
    <row r="445" ht="36" customHeight="1">
      <c r="A445" s="10" t="inlineStr">
        <is>
          <t>LME_036</t>
        </is>
      </c>
      <c r="B445" s="11" t="inlineStr">
        <is>
          <t>36_2_South_China_Sea_SCS-2007_Northern_South_China_Sea_(1970s)</t>
        </is>
      </c>
      <c r="C445" s="11" t="inlineStr">
        <is>
          <t>Penaeus semisulcatus</t>
        </is>
      </c>
      <c r="D445" s="10" t="inlineStr">
        <is>
          <t>Green tiger prawn</t>
        </is>
      </c>
      <c r="E445" s="10" t="inlineStr">
        <is>
          <t>Shrimps</t>
        </is>
      </c>
      <c r="F445" s="10" t="inlineStr">
        <is>
          <t>Crustaceans</t>
        </is>
      </c>
      <c r="G445" s="11" t="inlineStr">
        <is>
          <t>Shrimps</t>
        </is>
      </c>
      <c r="H445" s="12" t="n">
        <v>1</v>
      </c>
      <c r="I445" s="10" t="inlineStr">
        <is>
          <t>single</t>
        </is>
      </c>
      <c r="J445" s="15" t="inlineStr">
        <is>
          <t>high</t>
        </is>
      </c>
      <c r="K445" s="10" t="inlineStr">
        <is>
          <t>taxonomic_containment</t>
        </is>
      </c>
      <c r="L445" s="11" t="inlineStr">
        <is>
          <t>Stomatopods belong to the residual benthic crustaceans; other shrimp taxa belong to Shrimps after the explicitly separated Acetes records (Appendix 6.1 pp.323-326).</t>
        </is>
      </c>
      <c r="M445" s="10" t="n">
        <v>7114.411</v>
      </c>
    </row>
    <row r="446" ht="51" customHeight="1">
      <c r="A446" s="10" t="inlineStr">
        <is>
          <t>LME_036</t>
        </is>
      </c>
      <c r="B446" s="11" t="inlineStr">
        <is>
          <t>36_2_South_China_Sea_SCS-2007_Northern_South_China_Sea_(1970s)</t>
        </is>
      </c>
      <c r="C446" s="11" t="inlineStr">
        <is>
          <t>Siganidae</t>
        </is>
      </c>
      <c r="D446" s="10" t="inlineStr">
        <is>
          <t>Rabbitfishes</t>
        </is>
      </c>
      <c r="E446" s="10" t="inlineStr">
        <is>
          <t>Medium reef assoc. fish (30 - 89 cm)</t>
        </is>
      </c>
      <c r="F446" s="10" t="inlineStr">
        <is>
          <t>Perch-likes</t>
        </is>
      </c>
      <c r="G446" s="11" t="inlineStr">
        <is>
          <t>Juvenile demersal fish (&gt; 30 cm)</t>
        </is>
      </c>
      <c r="H446" s="12" t="n">
        <v>0.2002781641168289</v>
      </c>
      <c r="I446" s="10" t="inlineStr">
        <is>
          <t>model_catch</t>
        </is>
      </c>
      <c r="J446" s="14" t="inlineStr">
        <is>
          <t>medium</t>
        </is>
      </c>
      <c r="K446" s="10" t="inlineStr">
        <is>
          <t>composite_split</t>
        </is>
      </c>
      <c r="L44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6" s="10" t="n">
        <v>6713.755</v>
      </c>
    </row>
    <row r="447" ht="51" customHeight="1">
      <c r="A447" s="10" t="inlineStr">
        <is>
          <t>LME_036</t>
        </is>
      </c>
      <c r="B447" s="11" t="inlineStr">
        <is>
          <t>36_2_South_China_Sea_SCS-2007_Northern_South_China_Sea_(1970s)</t>
        </is>
      </c>
      <c r="C447" s="11" t="inlineStr">
        <is>
          <t>Siganidae</t>
        </is>
      </c>
      <c r="D447" s="10" t="inlineStr">
        <is>
          <t>Rabbitfishes</t>
        </is>
      </c>
      <c r="E447" s="10" t="inlineStr">
        <is>
          <t>Medium reef assoc. fish (30 - 89 cm)</t>
        </is>
      </c>
      <c r="F447" s="10" t="inlineStr">
        <is>
          <t>Perch-likes</t>
        </is>
      </c>
      <c r="G447" s="11" t="inlineStr">
        <is>
          <t>Adult demersal fish (&gt; 30 cm)</t>
        </is>
      </c>
      <c r="H447" s="12" t="n">
        <v>0.799721835883171</v>
      </c>
      <c r="I447" s="10" t="inlineStr">
        <is>
          <t>model_catch</t>
        </is>
      </c>
      <c r="J447" s="14" t="inlineStr">
        <is>
          <t>medium</t>
        </is>
      </c>
      <c r="K447" s="10" t="inlineStr">
        <is>
          <t>composite_split</t>
        </is>
      </c>
      <c r="L4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7" s="10" t="n">
        <v>6713.755</v>
      </c>
    </row>
    <row r="448" ht="51" customHeight="1">
      <c r="A448" s="10" t="inlineStr">
        <is>
          <t>LME_036</t>
        </is>
      </c>
      <c r="B448" s="11" t="inlineStr">
        <is>
          <t>36_2_South_China_Sea_SCS-2007_Northern_South_China_Sea_(1970s)</t>
        </is>
      </c>
      <c r="C448" s="11" t="inlineStr">
        <is>
          <t>Gerres</t>
        </is>
      </c>
      <c r="D448" s="10" t="inlineStr">
        <is>
          <t>Silver biddies</t>
        </is>
      </c>
      <c r="E448" s="10" t="inlineStr">
        <is>
          <t>Small benthopelagics (&lt;30 cm)</t>
        </is>
      </c>
      <c r="F448" s="10" t="inlineStr">
        <is>
          <t>Perch-likes</t>
        </is>
      </c>
      <c r="G448" s="11" t="inlineStr">
        <is>
          <t>Benthopelagic fish</t>
        </is>
      </c>
      <c r="H448" s="12" t="n">
        <v>1</v>
      </c>
      <c r="I448" s="10" t="inlineStr">
        <is>
          <t>single</t>
        </is>
      </c>
      <c r="J448" s="13" t="inlineStr">
        <is>
          <t>low</t>
        </is>
      </c>
      <c r="K448" s="10" t="inlineStr">
        <is>
          <t>habitat_size_guild</t>
        </is>
      </c>
      <c r="L44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48" s="10" t="n">
        <v>6285.002</v>
      </c>
    </row>
    <row r="449" ht="51" customHeight="1">
      <c r="A449" s="10" t="inlineStr">
        <is>
          <t>LME_036</t>
        </is>
      </c>
      <c r="B449" s="11" t="inlineStr">
        <is>
          <t>36_2_South_China_Sea_SCS-2007_Northern_South_China_Sea_(1970s)</t>
        </is>
      </c>
      <c r="C449" s="11" t="inlineStr">
        <is>
          <t>Gnathanodon speciosus</t>
        </is>
      </c>
      <c r="D449" s="10" t="inlineStr">
        <is>
          <t>Golden trevally</t>
        </is>
      </c>
      <c r="E449" s="10" t="inlineStr">
        <is>
          <t>Large reef assoc. fish (&gt;=90 cm)</t>
        </is>
      </c>
      <c r="F449" s="10" t="inlineStr">
        <is>
          <t>Perch-likes</t>
        </is>
      </c>
      <c r="G449" s="11" t="inlineStr">
        <is>
          <t>Juvenile large pelagic fish</t>
        </is>
      </c>
      <c r="H449" s="12" t="n">
        <v>0.2016806722689076</v>
      </c>
      <c r="I449" s="10" t="inlineStr">
        <is>
          <t>model_catch</t>
        </is>
      </c>
      <c r="J449" s="14" t="inlineStr">
        <is>
          <t>medium</t>
        </is>
      </c>
      <c r="K449" s="10" t="inlineStr">
        <is>
          <t>composite_split</t>
        </is>
      </c>
      <c r="L4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49" s="10" t="n">
        <v>5965.227</v>
      </c>
    </row>
    <row r="450" ht="51" customHeight="1">
      <c r="A450" s="10" t="inlineStr">
        <is>
          <t>LME_036</t>
        </is>
      </c>
      <c r="B450" s="11" t="inlineStr">
        <is>
          <t>36_2_South_China_Sea_SCS-2007_Northern_South_China_Sea_(1970s)</t>
        </is>
      </c>
      <c r="C450" s="11" t="inlineStr">
        <is>
          <t>Gnathanodon speciosus</t>
        </is>
      </c>
      <c r="D450" s="10" t="inlineStr">
        <is>
          <t>Golden trevally</t>
        </is>
      </c>
      <c r="E450" s="10" t="inlineStr">
        <is>
          <t>Large reef assoc. fish (&gt;=90 cm)</t>
        </is>
      </c>
      <c r="F450" s="10" t="inlineStr">
        <is>
          <t>Perch-likes</t>
        </is>
      </c>
      <c r="G450" s="11" t="inlineStr">
        <is>
          <t>Pelagic fish (&gt; 30 cm)</t>
        </is>
      </c>
      <c r="H450" s="12" t="n">
        <v>0.7983193277310925</v>
      </c>
      <c r="I450" s="10" t="inlineStr">
        <is>
          <t>model_catch</t>
        </is>
      </c>
      <c r="J450" s="14" t="inlineStr">
        <is>
          <t>medium</t>
        </is>
      </c>
      <c r="K450" s="10" t="inlineStr">
        <is>
          <t>composite_split</t>
        </is>
      </c>
      <c r="L4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50" s="10" t="n">
        <v>5965.227</v>
      </c>
    </row>
    <row r="451" ht="51" customHeight="1">
      <c r="A451" s="10" t="inlineStr">
        <is>
          <t>LME_036</t>
        </is>
      </c>
      <c r="B451" s="11" t="inlineStr">
        <is>
          <t>36_2_South_China_Sea_SCS-2007_Northern_South_China_Sea_(1970s)</t>
        </is>
      </c>
      <c r="C451" s="11" t="inlineStr">
        <is>
          <t>Epinephelus malabaricus</t>
        </is>
      </c>
      <c r="D451" s="10" t="inlineStr">
        <is>
          <t>Malabar grouper</t>
        </is>
      </c>
      <c r="E451" s="10" t="inlineStr">
        <is>
          <t>Large reef assoc. fish (&gt;=90 cm)</t>
        </is>
      </c>
      <c r="F451" s="10" t="inlineStr">
        <is>
          <t>Perch-likes</t>
        </is>
      </c>
      <c r="G451" s="11" t="inlineStr">
        <is>
          <t>Adult groupers</t>
        </is>
      </c>
      <c r="H451" s="12" t="n">
        <v>1</v>
      </c>
      <c r="I451" s="10" t="inlineStr">
        <is>
          <t>single</t>
        </is>
      </c>
      <c r="J451" s="15" t="inlineStr">
        <is>
          <t>high</t>
        </is>
      </c>
      <c r="K451" s="10" t="inlineStr">
        <is>
          <t>taxonomic_containment</t>
        </is>
      </c>
      <c r="L451" s="11" t="inlineStr">
        <is>
          <t>Appendix 6.1 pp.327-335 defines Adult groupers by this family or explicitly names Epinephelus malabaricus; dedicated source placement overrides the SAU class Large reef assoc. fish (&gt;=90 cm).</t>
        </is>
      </c>
      <c r="M451" s="10" t="n">
        <v>5061.698</v>
      </c>
    </row>
    <row r="452" ht="36" customHeight="1">
      <c r="A452" s="10" t="inlineStr">
        <is>
          <t>LME_036</t>
        </is>
      </c>
      <c r="B452" s="11" t="inlineStr">
        <is>
          <t>36_2_South_China_Sea_SCS-2007_Northern_South_China_Sea_(1970s)</t>
        </is>
      </c>
      <c r="C452" s="11" t="inlineStr">
        <is>
          <t>Hyporhamphus</t>
        </is>
      </c>
      <c r="D452" s="10" t="inlineStr">
        <is>
          <t>Sea garfishes</t>
        </is>
      </c>
      <c r="E452" s="10" t="inlineStr">
        <is>
          <t>Small reef assoc. fish (&lt;30 cm)</t>
        </is>
      </c>
      <c r="F452" s="10" t="inlineStr">
        <is>
          <t>Other fishes &amp; inverts</t>
        </is>
      </c>
      <c r="G452" s="11" t="inlineStr">
        <is>
          <t>Juvenile large pelagic fish</t>
        </is>
      </c>
      <c r="H452" s="12" t="n">
        <v>0.2016806722689076</v>
      </c>
      <c r="I452" s="10" t="inlineStr">
        <is>
          <t>model_catch</t>
        </is>
      </c>
      <c r="J452" s="14" t="inlineStr">
        <is>
          <t>medium</t>
        </is>
      </c>
      <c r="K452" s="10" t="inlineStr">
        <is>
          <t>composite_split</t>
        </is>
      </c>
      <c r="L452" s="11" t="inlineStr">
        <is>
          <t>Analyst habitat/size inference to source &gt;30 cm pelagic fish (Appendix 6.1.24 p.339); no age data, so split juvenile/adult using the period model catch.</t>
        </is>
      </c>
      <c r="M452" s="10" t="n">
        <v>4858.584</v>
      </c>
    </row>
    <row r="453" ht="36" customHeight="1">
      <c r="A453" s="10" t="inlineStr">
        <is>
          <t>LME_036</t>
        </is>
      </c>
      <c r="B453" s="11" t="inlineStr">
        <is>
          <t>36_2_South_China_Sea_SCS-2007_Northern_South_China_Sea_(1970s)</t>
        </is>
      </c>
      <c r="C453" s="11" t="inlineStr">
        <is>
          <t>Hyporhamphus</t>
        </is>
      </c>
      <c r="D453" s="10" t="inlineStr">
        <is>
          <t>Sea garfishes</t>
        </is>
      </c>
      <c r="E453" s="10" t="inlineStr">
        <is>
          <t>Small reef assoc. fish (&lt;30 cm)</t>
        </is>
      </c>
      <c r="F453" s="10" t="inlineStr">
        <is>
          <t>Other fishes &amp; inverts</t>
        </is>
      </c>
      <c r="G453" s="11" t="inlineStr">
        <is>
          <t>Pelagic fish (&gt; 30 cm)</t>
        </is>
      </c>
      <c r="H453" s="12" t="n">
        <v>0.7983193277310925</v>
      </c>
      <c r="I453" s="10" t="inlineStr">
        <is>
          <t>model_catch</t>
        </is>
      </c>
      <c r="J453" s="14" t="inlineStr">
        <is>
          <t>medium</t>
        </is>
      </c>
      <c r="K453" s="10" t="inlineStr">
        <is>
          <t>composite_split</t>
        </is>
      </c>
      <c r="L453" s="11" t="inlineStr">
        <is>
          <t>Analyst habitat/size inference to source &gt;30 cm pelagic fish (Appendix 6.1.24 p.339); no age data, so split juvenile/adult using the period model catch.</t>
        </is>
      </c>
      <c r="M453" s="10" t="n">
        <v>4858.584</v>
      </c>
    </row>
    <row r="454" ht="36" customHeight="1">
      <c r="A454" s="10" t="inlineStr">
        <is>
          <t>LME_036</t>
        </is>
      </c>
      <c r="B454" s="11" t="inlineStr">
        <is>
          <t>36_2_South_China_Sea_SCS-2007_Northern_South_China_Sea_(1970s)</t>
        </is>
      </c>
      <c r="C454" s="11" t="inlineStr">
        <is>
          <t>Makaira mazara</t>
        </is>
      </c>
      <c r="D454" s="10" t="inlineStr">
        <is>
          <t>Indo-Pacific blue marlin</t>
        </is>
      </c>
      <c r="E454" s="10" t="inlineStr">
        <is>
          <t>Large pelagics (&gt;=90 cm)</t>
        </is>
      </c>
      <c r="F454" s="10" t="inlineStr">
        <is>
          <t>Tuna &amp; billfishes</t>
        </is>
      </c>
      <c r="G454" s="11" t="inlineStr">
        <is>
          <t>Unresolved</t>
        </is>
      </c>
      <c r="H454" s="12" t="n"/>
      <c r="I454" s="10" t="inlineStr"/>
      <c r="J454" s="16" t="inlineStr">
        <is>
          <t>unresolved</t>
        </is>
      </c>
      <c r="K454" s="10" t="inlineStr">
        <is>
          <t>none</t>
        </is>
      </c>
      <c r="L454" s="11" t="inlineStr">
        <is>
          <t>Northern continental-shelf model lacks a documented oceanic billfish or deep-pelagic compartment; assigning coastal juvenile/adult pelagic SPPR would be unsupported.</t>
        </is>
      </c>
      <c r="M454" s="10" t="n">
        <v>4702.079</v>
      </c>
    </row>
    <row r="455" ht="36" customHeight="1">
      <c r="A455" s="10" t="inlineStr">
        <is>
          <t>LME_036</t>
        </is>
      </c>
      <c r="B455" s="11" t="inlineStr">
        <is>
          <t>36_2_South_China_Sea_SCS-2007_Northern_South_China_Sea_(1970s)</t>
        </is>
      </c>
      <c r="C455" s="11" t="inlineStr">
        <is>
          <t>Hyporhamphus sajori</t>
        </is>
      </c>
      <c r="D455" s="10" t="inlineStr">
        <is>
          <t>Japanese halfbeak</t>
        </is>
      </c>
      <c r="E455" s="10" t="inlineStr">
        <is>
          <t>Medium pelagics (30 - 89 cm)</t>
        </is>
      </c>
      <c r="F455" s="10" t="inlineStr">
        <is>
          <t>Other fishes &amp; inverts</t>
        </is>
      </c>
      <c r="G455" s="11" t="inlineStr">
        <is>
          <t>Juvenile large pelagic fish</t>
        </is>
      </c>
      <c r="H455" s="12" t="n">
        <v>0.2016806722689076</v>
      </c>
      <c r="I455" s="10" t="inlineStr">
        <is>
          <t>model_catch</t>
        </is>
      </c>
      <c r="J455" s="14" t="inlineStr">
        <is>
          <t>medium</t>
        </is>
      </c>
      <c r="K455" s="10" t="inlineStr">
        <is>
          <t>composite_split</t>
        </is>
      </c>
      <c r="L455" s="11" t="inlineStr">
        <is>
          <t>Analyst habitat/size inference to source &gt;30 cm pelagic fish (Appendix 6.1.24 p.339); no age data, so split juvenile/adult using the period model catch.</t>
        </is>
      </c>
      <c r="M455" s="10" t="n">
        <v>4656.816</v>
      </c>
    </row>
    <row r="456" ht="36" customHeight="1">
      <c r="A456" s="10" t="inlineStr">
        <is>
          <t>LME_036</t>
        </is>
      </c>
      <c r="B456" s="11" t="inlineStr">
        <is>
          <t>36_2_South_China_Sea_SCS-2007_Northern_South_China_Sea_(1970s)</t>
        </is>
      </c>
      <c r="C456" s="11" t="inlineStr">
        <is>
          <t>Hyporhamphus sajori</t>
        </is>
      </c>
      <c r="D456" s="10" t="inlineStr">
        <is>
          <t>Japanese halfbeak</t>
        </is>
      </c>
      <c r="E456" s="10" t="inlineStr">
        <is>
          <t>Medium pelagics (30 - 89 cm)</t>
        </is>
      </c>
      <c r="F456" s="10" t="inlineStr">
        <is>
          <t>Other fishes &amp; inverts</t>
        </is>
      </c>
      <c r="G456" s="11" t="inlineStr">
        <is>
          <t>Pelagic fish (&gt; 30 cm)</t>
        </is>
      </c>
      <c r="H456" s="12" t="n">
        <v>0.7983193277310925</v>
      </c>
      <c r="I456" s="10" t="inlineStr">
        <is>
          <t>model_catch</t>
        </is>
      </c>
      <c r="J456" s="14" t="inlineStr">
        <is>
          <t>medium</t>
        </is>
      </c>
      <c r="K456" s="10" t="inlineStr">
        <is>
          <t>composite_split</t>
        </is>
      </c>
      <c r="L456" s="11" t="inlineStr">
        <is>
          <t>Analyst habitat/size inference to source &gt;30 cm pelagic fish (Appendix 6.1.24 p.339); no age data, so split juvenile/adult using the period model catch.</t>
        </is>
      </c>
      <c r="M456" s="10" t="n">
        <v>4656.816</v>
      </c>
    </row>
    <row r="457" ht="36" customHeight="1">
      <c r="A457" s="10" t="inlineStr">
        <is>
          <t>LME_036</t>
        </is>
      </c>
      <c r="B457" s="11" t="inlineStr">
        <is>
          <t>36_2_South_China_Sea_SCS-2007_Northern_South_China_Sea_(1970s)</t>
        </is>
      </c>
      <c r="C457" s="11" t="inlineStr">
        <is>
          <t>Carcharhinus longimanus</t>
        </is>
      </c>
      <c r="D457" s="10" t="inlineStr">
        <is>
          <t>Oceanic whitetip shark</t>
        </is>
      </c>
      <c r="E457" s="10" t="inlineStr">
        <is>
          <t>Large sharks (&gt;=90 cm)</t>
        </is>
      </c>
      <c r="F457" s="10" t="inlineStr">
        <is>
          <t>Sharks &amp; rays</t>
        </is>
      </c>
      <c r="G457" s="11" t="inlineStr">
        <is>
          <t>Pelagic sharks and rays</t>
        </is>
      </c>
      <c r="H457" s="12" t="n">
        <v>1</v>
      </c>
      <c r="I457" s="10" t="inlineStr">
        <is>
          <t>single</t>
        </is>
      </c>
      <c r="J457" s="14" t="inlineStr">
        <is>
          <t>medium</t>
        </is>
      </c>
      <c r="K457" s="10" t="inlineStr">
        <is>
          <t>habitat_size_guild</t>
        </is>
      </c>
      <c r="L457" s="11" t="inlineStr">
        <is>
          <t>Pelagic shark lineage matches the pelagic elasmobranch definition, Appendix 6.1.25 p.340; species placement is analyst inference.</t>
        </is>
      </c>
      <c r="M457" s="10" t="n">
        <v>4463.839</v>
      </c>
    </row>
    <row r="458" ht="36" customHeight="1">
      <c r="A458" s="10" t="inlineStr">
        <is>
          <t>LME_036</t>
        </is>
      </c>
      <c r="B458" s="11" t="inlineStr">
        <is>
          <t>36_2_South_China_Sea_SCS-2007_Northern_South_China_Sea_(1970s)</t>
        </is>
      </c>
      <c r="C458" s="11" t="inlineStr">
        <is>
          <t>Ambassidae</t>
        </is>
      </c>
      <c r="D458" s="10" t="inlineStr">
        <is>
          <t>Asiatic glassfishes</t>
        </is>
      </c>
      <c r="E458" s="10" t="inlineStr">
        <is>
          <t>Small demersals (&lt;30 cm)</t>
        </is>
      </c>
      <c r="F458" s="10" t="inlineStr">
        <is>
          <t>Perch-likes</t>
        </is>
      </c>
      <c r="G458" s="11" t="inlineStr">
        <is>
          <t>Demesral fish (≤ 30 cm)</t>
        </is>
      </c>
      <c r="H458" s="12" t="n">
        <v>1</v>
      </c>
      <c r="I458" s="10" t="inlineStr">
        <is>
          <t>single</t>
        </is>
      </c>
      <c r="J458" s="14" t="inlineStr">
        <is>
          <t>medium</t>
        </is>
      </c>
      <c r="K458" s="10" t="inlineStr">
        <is>
          <t>habitat_size_guild</t>
        </is>
      </c>
      <c r="L458" s="11" t="inlineStr">
        <is>
          <t>Analyst habitat/size inference: small demersal or reef-associated fish after excluding dedicated taxonomic groups, matching Appendix 6.1.19 &lt;=30 cm residual demersal pool.</t>
        </is>
      </c>
      <c r="M458" s="10" t="n">
        <v>4224.4</v>
      </c>
    </row>
    <row r="459" ht="36" customHeight="1">
      <c r="A459" s="10" t="inlineStr">
        <is>
          <t>LME_036</t>
        </is>
      </c>
      <c r="B459" s="11" t="inlineStr">
        <is>
          <t>36_2_South_China_Sea_SCS-2007_Northern_South_China_Sea_(1970s)</t>
        </is>
      </c>
      <c r="C459" s="11" t="inlineStr">
        <is>
          <t>Gazza minuta</t>
        </is>
      </c>
      <c r="D459" s="10" t="inlineStr">
        <is>
          <t>Toothpony</t>
        </is>
      </c>
      <c r="E459" s="10" t="inlineStr">
        <is>
          <t>Small demersals (&lt;30 cm)</t>
        </is>
      </c>
      <c r="F459" s="10" t="inlineStr">
        <is>
          <t>Perch-likes</t>
        </is>
      </c>
      <c r="G459" s="11" t="inlineStr">
        <is>
          <t>Demesral fish (≤ 30 cm)</t>
        </is>
      </c>
      <c r="H459" s="12" t="n">
        <v>1</v>
      </c>
      <c r="I459" s="10" t="inlineStr">
        <is>
          <t>single</t>
        </is>
      </c>
      <c r="J459" s="14" t="inlineStr">
        <is>
          <t>medium</t>
        </is>
      </c>
      <c r="K459" s="10" t="inlineStr">
        <is>
          <t>habitat_size_guild</t>
        </is>
      </c>
      <c r="L459" s="11" t="inlineStr">
        <is>
          <t>Analyst habitat/size inference: small demersal or reef-associated fish after excluding dedicated taxonomic groups, matching Appendix 6.1.19 &lt;=30 cm residual demersal pool.</t>
        </is>
      </c>
      <c r="M459" s="10" t="n">
        <v>3981.449</v>
      </c>
    </row>
    <row r="460" ht="51" customHeight="1">
      <c r="A460" s="10" t="inlineStr">
        <is>
          <t>LME_036</t>
        </is>
      </c>
      <c r="B460" s="11" t="inlineStr">
        <is>
          <t>36_2_South_China_Sea_SCS-2007_Northern_South_China_Sea_(1970s)</t>
        </is>
      </c>
      <c r="C460" s="11" t="inlineStr">
        <is>
          <t>Aluterus</t>
        </is>
      </c>
      <c r="D460" s="10" t="inlineStr">
        <is>
          <t>Aluterid filefishes</t>
        </is>
      </c>
      <c r="E460" s="10" t="inlineStr">
        <is>
          <t>Large reef assoc. fish (&gt;=90 cm)</t>
        </is>
      </c>
      <c r="F460" s="10" t="inlineStr">
        <is>
          <t>Other fishes &amp; inverts</t>
        </is>
      </c>
      <c r="G460" s="11" t="inlineStr">
        <is>
          <t>Juvenile demersal fish (&gt; 30 cm)</t>
        </is>
      </c>
      <c r="H460" s="12" t="n">
        <v>0.2002781641168289</v>
      </c>
      <c r="I460" s="10" t="inlineStr">
        <is>
          <t>model_catch</t>
        </is>
      </c>
      <c r="J460" s="14" t="inlineStr">
        <is>
          <t>medium</t>
        </is>
      </c>
      <c r="K460" s="10" t="inlineStr">
        <is>
          <t>composite_split</t>
        </is>
      </c>
      <c r="L46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0" s="10" t="n">
        <v>3973.355</v>
      </c>
    </row>
    <row r="461" ht="51" customHeight="1">
      <c r="A461" s="10" t="inlineStr">
        <is>
          <t>LME_036</t>
        </is>
      </c>
      <c r="B461" s="11" t="inlineStr">
        <is>
          <t>36_2_South_China_Sea_SCS-2007_Northern_South_China_Sea_(1970s)</t>
        </is>
      </c>
      <c r="C461" s="11" t="inlineStr">
        <is>
          <t>Aluterus</t>
        </is>
      </c>
      <c r="D461" s="10" t="inlineStr">
        <is>
          <t>Aluterid filefishes</t>
        </is>
      </c>
      <c r="E461" s="10" t="inlineStr">
        <is>
          <t>Large reef assoc. fish (&gt;=90 cm)</t>
        </is>
      </c>
      <c r="F461" s="10" t="inlineStr">
        <is>
          <t>Other fishes &amp; inverts</t>
        </is>
      </c>
      <c r="G461" s="11" t="inlineStr">
        <is>
          <t>Adult demersal fish (&gt; 30 cm)</t>
        </is>
      </c>
      <c r="H461" s="12" t="n">
        <v>0.799721835883171</v>
      </c>
      <c r="I461" s="10" t="inlineStr">
        <is>
          <t>model_catch</t>
        </is>
      </c>
      <c r="J461" s="14" t="inlineStr">
        <is>
          <t>medium</t>
        </is>
      </c>
      <c r="K461" s="10" t="inlineStr">
        <is>
          <t>composite_split</t>
        </is>
      </c>
      <c r="L46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1" s="10" t="n">
        <v>3973.355</v>
      </c>
    </row>
    <row r="462" ht="36" customHeight="1">
      <c r="A462" s="10" t="inlineStr">
        <is>
          <t>LME_036</t>
        </is>
      </c>
      <c r="B462" s="11" t="inlineStr">
        <is>
          <t>36_2_South_China_Sea_SCS-2007_Northern_South_China_Sea_(1970s)</t>
        </is>
      </c>
      <c r="C462" s="11" t="inlineStr">
        <is>
          <t>Hemitriakis japanica</t>
        </is>
      </c>
      <c r="D462" s="10" t="inlineStr">
        <is>
          <t>Japanese topeshark</t>
        </is>
      </c>
      <c r="E462" s="10" t="inlineStr">
        <is>
          <t>Large sharks (&gt;=90 cm)</t>
        </is>
      </c>
      <c r="F462" s="10" t="inlineStr">
        <is>
          <t>Sharks &amp; rays</t>
        </is>
      </c>
      <c r="G462" s="11" t="inlineStr">
        <is>
          <t>Demersal sharks and rays</t>
        </is>
      </c>
      <c r="H462" s="12" t="n">
        <v>1</v>
      </c>
      <c r="I462" s="10" t="inlineStr">
        <is>
          <t>single</t>
        </is>
      </c>
      <c r="J462" s="14" t="inlineStr">
        <is>
          <t>medium</t>
        </is>
      </c>
      <c r="K462" s="10" t="inlineStr">
        <is>
          <t>habitat_size_guild</t>
        </is>
      </c>
      <c r="L462" s="11" t="inlineStr">
        <is>
          <t>Demersal/benthic ray or houndshark lineage matches the demersal elasmobranch definition, Appendix 6.1.25 p.340; species placement is analyst inference.</t>
        </is>
      </c>
      <c r="M462" s="10" t="n">
        <v>3667.995</v>
      </c>
    </row>
    <row r="463" ht="36" customHeight="1">
      <c r="A463" s="10" t="inlineStr">
        <is>
          <t>LME_036</t>
        </is>
      </c>
      <c r="B463" s="11" t="inlineStr">
        <is>
          <t>36_2_South_China_Sea_SCS-2007_Northern_South_China_Sea_(1970s)</t>
        </is>
      </c>
      <c r="C463" s="11" t="inlineStr">
        <is>
          <t>Echinodermata</t>
        </is>
      </c>
      <c r="D463" s="10" t="inlineStr">
        <is>
          <t>Sea urchins, stars, cucumbers</t>
        </is>
      </c>
      <c r="E463" s="10" t="inlineStr">
        <is>
          <t>Other demersal invertebrates</t>
        </is>
      </c>
      <c r="F463" s="10" t="inlineStr">
        <is>
          <t>Other fishes &amp; inverts</t>
        </is>
      </c>
      <c r="G463" s="11" t="inlineStr">
        <is>
          <t>Echinoderms</t>
        </is>
      </c>
      <c r="H463" s="12" t="n">
        <v>1</v>
      </c>
      <c r="I463" s="10" t="inlineStr">
        <is>
          <t>single</t>
        </is>
      </c>
      <c r="J463" s="15" t="inlineStr">
        <is>
          <t>high</t>
        </is>
      </c>
      <c r="K463" s="10" t="inlineStr">
        <is>
          <t>taxonomic_containment</t>
        </is>
      </c>
      <c r="L463" s="11" t="inlineStr">
        <is>
          <t>Taxonomic containment in the source benthos subdivision (Appendix 6.1.5 pp.324-325), keeping non-cephalopod molluscs separate from echinoderms and sessile invertebrates.</t>
        </is>
      </c>
      <c r="M463" s="10" t="n">
        <v>3665.334</v>
      </c>
    </row>
    <row r="464" ht="36" customHeight="1">
      <c r="A464" s="10" t="inlineStr">
        <is>
          <t>LME_036</t>
        </is>
      </c>
      <c r="B464" s="11" t="inlineStr">
        <is>
          <t>36_2_South_China_Sea_SCS-2007_Northern_South_China_Sea_(1970s)</t>
        </is>
      </c>
      <c r="C464" s="11" t="inlineStr">
        <is>
          <t>Dasyatidae</t>
        </is>
      </c>
      <c r="D464" s="10" t="inlineStr">
        <is>
          <t>Whiptail stingrays</t>
        </is>
      </c>
      <c r="E464" s="10" t="inlineStr">
        <is>
          <t>Large rays (&gt;=90 cm)</t>
        </is>
      </c>
      <c r="F464" s="10" t="inlineStr">
        <is>
          <t>Sharks &amp; rays</t>
        </is>
      </c>
      <c r="G464" s="11" t="inlineStr">
        <is>
          <t>Demersal sharks and rays</t>
        </is>
      </c>
      <c r="H464" s="12" t="n">
        <v>1</v>
      </c>
      <c r="I464" s="10" t="inlineStr">
        <is>
          <t>single</t>
        </is>
      </c>
      <c r="J464" s="14" t="inlineStr">
        <is>
          <t>medium</t>
        </is>
      </c>
      <c r="K464" s="10" t="inlineStr">
        <is>
          <t>habitat_size_guild</t>
        </is>
      </c>
      <c r="L464" s="11" t="inlineStr">
        <is>
          <t>Demersal/benthic ray or houndshark lineage matches the demersal elasmobranch definition, Appendix 6.1.25 p.340; species placement is analyst inference.</t>
        </is>
      </c>
      <c r="M464" s="10" t="n">
        <v>3656.496</v>
      </c>
    </row>
    <row r="465" ht="51" customHeight="1">
      <c r="A465" s="10" t="inlineStr">
        <is>
          <t>LME_036</t>
        </is>
      </c>
      <c r="B465" s="11" t="inlineStr">
        <is>
          <t>36_2_South_China_Sea_SCS-2007_Northern_South_China_Sea_(1970s)</t>
        </is>
      </c>
      <c r="C465" s="11" t="inlineStr">
        <is>
          <t>Chanos chanos</t>
        </is>
      </c>
      <c r="D465" s="10" t="inlineStr">
        <is>
          <t>Milkfish</t>
        </is>
      </c>
      <c r="E465" s="10" t="inlineStr">
        <is>
          <t>Large benthopelagics (&gt;=90 cm)</t>
        </is>
      </c>
      <c r="F465" s="10" t="inlineStr">
        <is>
          <t>Other fishes &amp; inverts</t>
        </is>
      </c>
      <c r="G465" s="11" t="inlineStr">
        <is>
          <t>Benthopelagic fish</t>
        </is>
      </c>
      <c r="H465" s="12" t="n">
        <v>1</v>
      </c>
      <c r="I465" s="10" t="inlineStr">
        <is>
          <t>single</t>
        </is>
      </c>
      <c r="J465" s="13" t="inlineStr">
        <is>
          <t>low</t>
        </is>
      </c>
      <c r="K465" s="10" t="inlineStr">
        <is>
          <t>habitat_size_guild</t>
        </is>
      </c>
      <c r="L46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65" s="10" t="n">
        <v>3455.243</v>
      </c>
    </row>
    <row r="466" ht="36" customHeight="1">
      <c r="A466" s="10" t="inlineStr">
        <is>
          <t>LME_036</t>
        </is>
      </c>
      <c r="B466" s="11" t="inlineStr">
        <is>
          <t>36_2_South_China_Sea_SCS-2007_Northern_South_China_Sea_(1970s)</t>
        </is>
      </c>
      <c r="C466" s="11" t="inlineStr">
        <is>
          <t>Sphyraena obtusata</t>
        </is>
      </c>
      <c r="D466" s="10" t="inlineStr">
        <is>
          <t>Obtuse barracuda</t>
        </is>
      </c>
      <c r="E466" s="10" t="inlineStr">
        <is>
          <t>Medium reef assoc. fish (30 - 89 cm)</t>
        </is>
      </c>
      <c r="F466" s="10" t="inlineStr">
        <is>
          <t>Perch-likes</t>
        </is>
      </c>
      <c r="G466" s="11" t="inlineStr">
        <is>
          <t>Juvenile large pelagic fish</t>
        </is>
      </c>
      <c r="H466" s="12" t="n">
        <v>0.2016806722689076</v>
      </c>
      <c r="I466" s="10" t="inlineStr">
        <is>
          <t>model_catch</t>
        </is>
      </c>
      <c r="J466" s="14" t="inlineStr">
        <is>
          <t>medium</t>
        </is>
      </c>
      <c r="K466" s="10" t="inlineStr">
        <is>
          <t>composite_split</t>
        </is>
      </c>
      <c r="L466" s="11" t="inlineStr">
        <is>
          <t>Analyst habitat/size inference to source &gt;30 cm pelagic fish (Appendix 6.1.24 p.339); no age data, so split juvenile/adult using the period model catch.</t>
        </is>
      </c>
      <c r="M466" s="10" t="n">
        <v>3432.521</v>
      </c>
    </row>
    <row r="467" ht="36" customHeight="1">
      <c r="A467" s="10" t="inlineStr">
        <is>
          <t>LME_036</t>
        </is>
      </c>
      <c r="B467" s="11" t="inlineStr">
        <is>
          <t>36_2_South_China_Sea_SCS-2007_Northern_South_China_Sea_(1970s)</t>
        </is>
      </c>
      <c r="C467" s="11" t="inlineStr">
        <is>
          <t>Sphyraena obtusata</t>
        </is>
      </c>
      <c r="D467" s="10" t="inlineStr">
        <is>
          <t>Obtuse barracuda</t>
        </is>
      </c>
      <c r="E467" s="10" t="inlineStr">
        <is>
          <t>Medium reef assoc. fish (30 - 89 cm)</t>
        </is>
      </c>
      <c r="F467" s="10" t="inlineStr">
        <is>
          <t>Perch-likes</t>
        </is>
      </c>
      <c r="G467" s="11" t="inlineStr">
        <is>
          <t>Pelagic fish (&gt; 30 cm)</t>
        </is>
      </c>
      <c r="H467" s="12" t="n">
        <v>0.7983193277310925</v>
      </c>
      <c r="I467" s="10" t="inlineStr">
        <is>
          <t>model_catch</t>
        </is>
      </c>
      <c r="J467" s="14" t="inlineStr">
        <is>
          <t>medium</t>
        </is>
      </c>
      <c r="K467" s="10" t="inlineStr">
        <is>
          <t>composite_split</t>
        </is>
      </c>
      <c r="L467" s="11" t="inlineStr">
        <is>
          <t>Analyst habitat/size inference to source &gt;30 cm pelagic fish (Appendix 6.1.24 p.339); no age data, so split juvenile/adult using the period model catch.</t>
        </is>
      </c>
      <c r="M467" s="10" t="n">
        <v>3432.521</v>
      </c>
    </row>
    <row r="468" ht="51" customHeight="1">
      <c r="A468" s="10" t="inlineStr">
        <is>
          <t>LME_036</t>
        </is>
      </c>
      <c r="B468" s="11" t="inlineStr">
        <is>
          <t>36_2_South_China_Sea_SCS-2007_Northern_South_China_Sea_(1970s)</t>
        </is>
      </c>
      <c r="C468" s="11" t="inlineStr">
        <is>
          <t>Parupeneus barberinus</t>
        </is>
      </c>
      <c r="D468" s="10" t="inlineStr">
        <is>
          <t>Dash-and-dot goatfish</t>
        </is>
      </c>
      <c r="E468" s="10" t="inlineStr">
        <is>
          <t>Medium reef assoc. fish (30 - 89 cm)</t>
        </is>
      </c>
      <c r="F468" s="10" t="inlineStr">
        <is>
          <t>Perch-likes</t>
        </is>
      </c>
      <c r="G468" s="11" t="inlineStr">
        <is>
          <t>Juvenile demersal fish (&gt; 30 cm)</t>
        </is>
      </c>
      <c r="H468" s="12" t="n">
        <v>0.2002781641168289</v>
      </c>
      <c r="I468" s="10" t="inlineStr">
        <is>
          <t>model_catch</t>
        </is>
      </c>
      <c r="J468" s="14" t="inlineStr">
        <is>
          <t>medium</t>
        </is>
      </c>
      <c r="K468" s="10" t="inlineStr">
        <is>
          <t>composite_split</t>
        </is>
      </c>
      <c r="L4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8" s="10" t="n">
        <v>3360.208</v>
      </c>
    </row>
    <row r="469" ht="51" customHeight="1">
      <c r="A469" s="10" t="inlineStr">
        <is>
          <t>LME_036</t>
        </is>
      </c>
      <c r="B469" s="11" t="inlineStr">
        <is>
          <t>36_2_South_China_Sea_SCS-2007_Northern_South_China_Sea_(1970s)</t>
        </is>
      </c>
      <c r="C469" s="11" t="inlineStr">
        <is>
          <t>Parupeneus barberinus</t>
        </is>
      </c>
      <c r="D469" s="10" t="inlineStr">
        <is>
          <t>Dash-and-dot goatfish</t>
        </is>
      </c>
      <c r="E469" s="10" t="inlineStr">
        <is>
          <t>Medium reef assoc. fish (30 - 89 cm)</t>
        </is>
      </c>
      <c r="F469" s="10" t="inlineStr">
        <is>
          <t>Perch-likes</t>
        </is>
      </c>
      <c r="G469" s="11" t="inlineStr">
        <is>
          <t>Adult demersal fish (&gt; 30 cm)</t>
        </is>
      </c>
      <c r="H469" s="12" t="n">
        <v>0.799721835883171</v>
      </c>
      <c r="I469" s="10" t="inlineStr">
        <is>
          <t>model_catch</t>
        </is>
      </c>
      <c r="J469" s="14" t="inlineStr">
        <is>
          <t>medium</t>
        </is>
      </c>
      <c r="K469" s="10" t="inlineStr">
        <is>
          <t>composite_split</t>
        </is>
      </c>
      <c r="L4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9" s="10" t="n">
        <v>3360.208</v>
      </c>
    </row>
    <row r="470" ht="36" customHeight="1">
      <c r="A470" s="10" t="inlineStr">
        <is>
          <t>LME_036</t>
        </is>
      </c>
      <c r="B470" s="11" t="inlineStr">
        <is>
          <t>36_2_South_China_Sea_SCS-2007_Northern_South_China_Sea_(1970s)</t>
        </is>
      </c>
      <c r="C470" s="11" t="inlineStr">
        <is>
          <t>Psettodidae</t>
        </is>
      </c>
      <c r="D470" s="10" t="inlineStr">
        <is>
          <t>Turbots, Indian halibuts</t>
        </is>
      </c>
      <c r="E470" s="10" t="inlineStr">
        <is>
          <t>Small to medium flatfishes (&lt;90 cm)</t>
        </is>
      </c>
      <c r="F470" s="10" t="inlineStr">
        <is>
          <t>Flatfishes</t>
        </is>
      </c>
      <c r="G470" s="11" t="inlineStr">
        <is>
          <t>Demesral fish (≤ 30 cm)</t>
        </is>
      </c>
      <c r="H470" s="12" t="n">
        <v>0.3854700854700854</v>
      </c>
      <c r="I470" s="10" t="inlineStr">
        <is>
          <t>model_catch</t>
        </is>
      </c>
      <c r="J470" s="13" t="inlineStr">
        <is>
          <t>low</t>
        </is>
      </c>
      <c r="K470" s="10" t="inlineStr">
        <is>
          <t>composite_split</t>
        </is>
      </c>
      <c r="L4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0" s="10" t="n">
        <v>3237.753</v>
      </c>
    </row>
    <row r="471" ht="36" customHeight="1">
      <c r="A471" s="10" t="inlineStr">
        <is>
          <t>LME_036</t>
        </is>
      </c>
      <c r="B471" s="11" t="inlineStr">
        <is>
          <t>36_2_South_China_Sea_SCS-2007_Northern_South_China_Sea_(1970s)</t>
        </is>
      </c>
      <c r="C471" s="11" t="inlineStr">
        <is>
          <t>Psettodidae</t>
        </is>
      </c>
      <c r="D471" s="10" t="inlineStr">
        <is>
          <t>Turbots, Indian halibuts</t>
        </is>
      </c>
      <c r="E471" s="10" t="inlineStr">
        <is>
          <t>Small to medium flatfishes (&lt;90 cm)</t>
        </is>
      </c>
      <c r="F471" s="10" t="inlineStr">
        <is>
          <t>Flatfishes</t>
        </is>
      </c>
      <c r="G471" s="11" t="inlineStr">
        <is>
          <t>Juvenile demersal fish (&gt; 30 cm)</t>
        </is>
      </c>
      <c r="H471" s="12" t="n">
        <v>0.1230769230769231</v>
      </c>
      <c r="I471" s="10" t="inlineStr">
        <is>
          <t>model_catch</t>
        </is>
      </c>
      <c r="J471" s="13" t="inlineStr">
        <is>
          <t>low</t>
        </is>
      </c>
      <c r="K471" s="10" t="inlineStr">
        <is>
          <t>composite_split</t>
        </is>
      </c>
      <c r="L47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1" s="10" t="n">
        <v>3237.753</v>
      </c>
    </row>
    <row r="472" ht="36" customHeight="1">
      <c r="A472" s="10" t="inlineStr">
        <is>
          <t>LME_036</t>
        </is>
      </c>
      <c r="B472" s="11" t="inlineStr">
        <is>
          <t>36_2_South_China_Sea_SCS-2007_Northern_South_China_Sea_(1970s)</t>
        </is>
      </c>
      <c r="C472" s="11" t="inlineStr">
        <is>
          <t>Psettodidae</t>
        </is>
      </c>
      <c r="D472" s="10" t="inlineStr">
        <is>
          <t>Turbots, Indian halibuts</t>
        </is>
      </c>
      <c r="E472" s="10" t="inlineStr">
        <is>
          <t>Small to medium flatfishes (&lt;90 cm)</t>
        </is>
      </c>
      <c r="F472" s="10" t="inlineStr">
        <is>
          <t>Flatfishes</t>
        </is>
      </c>
      <c r="G472" s="11" t="inlineStr">
        <is>
          <t>Adult demersal fish (&gt; 30 cm)</t>
        </is>
      </c>
      <c r="H472" s="12" t="n">
        <v>0.4914529914529914</v>
      </c>
      <c r="I472" s="10" t="inlineStr">
        <is>
          <t>model_catch</t>
        </is>
      </c>
      <c r="J472" s="13" t="inlineStr">
        <is>
          <t>low</t>
        </is>
      </c>
      <c r="K472" s="10" t="inlineStr">
        <is>
          <t>composite_split</t>
        </is>
      </c>
      <c r="L47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2" s="10" t="n">
        <v>3237.753</v>
      </c>
    </row>
    <row r="473" ht="36" customHeight="1">
      <c r="A473" s="10" t="inlineStr">
        <is>
          <t>LME_036</t>
        </is>
      </c>
      <c r="B473" s="11" t="inlineStr">
        <is>
          <t>36_2_South_China_Sea_SCS-2007_Northern_South_China_Sea_(1970s)</t>
        </is>
      </c>
      <c r="C473" s="11" t="inlineStr">
        <is>
          <t>Panulirus</t>
        </is>
      </c>
      <c r="D473" s="10" t="inlineStr">
        <is>
          <t>Spiny lobsters</t>
        </is>
      </c>
      <c r="E473" s="10" t="inlineStr">
        <is>
          <t>Lobsters, crabs</t>
        </is>
      </c>
      <c r="F473" s="10" t="inlineStr">
        <is>
          <t>Crustaceans</t>
        </is>
      </c>
      <c r="G473" s="11" t="inlineStr">
        <is>
          <t>Benthic crustaceans</t>
        </is>
      </c>
      <c r="H473" s="12" t="n">
        <v>1</v>
      </c>
      <c r="I473" s="10" t="inlineStr">
        <is>
          <t>single</t>
        </is>
      </c>
      <c r="J473" s="15" t="inlineStr">
        <is>
          <t>high</t>
        </is>
      </c>
      <c r="K473" s="10" t="inlineStr">
        <is>
          <t>taxonomic_containment</t>
        </is>
      </c>
      <c r="L473" s="11" t="inlineStr">
        <is>
          <t>Source benthic crustaceans exclude shrimps and crabs (Appendix 6.1.5 p.324); lobsters remain in that residual, while true crabs use Crabs.</t>
        </is>
      </c>
      <c r="M473" s="10" t="n">
        <v>3061.562</v>
      </c>
    </row>
    <row r="474" ht="36" customHeight="1">
      <c r="A474" s="10" t="inlineStr">
        <is>
          <t>LME_036</t>
        </is>
      </c>
      <c r="B474" s="11" t="inlineStr">
        <is>
          <t>36_2_South_China_Sea_SCS-2007_Northern_South_China_Sea_(1970s)</t>
        </is>
      </c>
      <c r="C474" s="11" t="inlineStr">
        <is>
          <t>Rhincodon typus</t>
        </is>
      </c>
      <c r="D474" s="10" t="inlineStr">
        <is>
          <t>Whale shark</t>
        </is>
      </c>
      <c r="E474" s="10" t="inlineStr">
        <is>
          <t>Large sharks (&gt;=90 cm)</t>
        </is>
      </c>
      <c r="F474" s="10" t="inlineStr">
        <is>
          <t>Sharks &amp; rays</t>
        </is>
      </c>
      <c r="G474" s="11" t="inlineStr">
        <is>
          <t>Pelagic sharks and rays</t>
        </is>
      </c>
      <c r="H474" s="12" t="n">
        <v>1</v>
      </c>
      <c r="I474" s="10" t="inlineStr">
        <is>
          <t>single</t>
        </is>
      </c>
      <c r="J474" s="14" t="inlineStr">
        <is>
          <t>medium</t>
        </is>
      </c>
      <c r="K474" s="10" t="inlineStr">
        <is>
          <t>habitat_size_guild</t>
        </is>
      </c>
      <c r="L474" s="11" t="inlineStr">
        <is>
          <t>Pelagic shark lineage matches the pelagic elasmobranch definition, Appendix 6.1.25 p.340; species placement is analyst inference.</t>
        </is>
      </c>
      <c r="M474" s="10" t="n">
        <v>2948.897</v>
      </c>
    </row>
    <row r="475" ht="36" customHeight="1">
      <c r="A475" s="10" t="inlineStr">
        <is>
          <t>LME_036</t>
        </is>
      </c>
      <c r="B475" s="11" t="inlineStr">
        <is>
          <t>36_2_South_China_Sea_SCS-2007_Northern_South_China_Sea_(1970s)</t>
        </is>
      </c>
      <c r="C475" s="11" t="inlineStr">
        <is>
          <t>Cheilopogon unicolor</t>
        </is>
      </c>
      <c r="D475" s="10" t="inlineStr">
        <is>
          <t>Limpidwing flyingfish</t>
        </is>
      </c>
      <c r="E475" s="10" t="inlineStr">
        <is>
          <t>Medium pelagics (30 - 89 cm)</t>
        </is>
      </c>
      <c r="F475" s="10" t="inlineStr">
        <is>
          <t>Other fishes &amp; inverts</t>
        </is>
      </c>
      <c r="G475" s="11" t="inlineStr">
        <is>
          <t>Juvenile large pelagic fish</t>
        </is>
      </c>
      <c r="H475" s="12" t="n">
        <v>0.2016806722689076</v>
      </c>
      <c r="I475" s="10" t="inlineStr">
        <is>
          <t>model_catch</t>
        </is>
      </c>
      <c r="J475" s="14" t="inlineStr">
        <is>
          <t>medium</t>
        </is>
      </c>
      <c r="K475" s="10" t="inlineStr">
        <is>
          <t>composite_split</t>
        </is>
      </c>
      <c r="L475" s="11" t="inlineStr">
        <is>
          <t>Analyst habitat/size inference to source &gt;30 cm pelagic fish (Appendix 6.1.24 p.339); no age data, so split juvenile/adult using the period model catch.</t>
        </is>
      </c>
      <c r="M475" s="10" t="n">
        <v>2888.49</v>
      </c>
    </row>
    <row r="476" ht="36" customHeight="1">
      <c r="A476" s="10" t="inlineStr">
        <is>
          <t>LME_036</t>
        </is>
      </c>
      <c r="B476" s="11" t="inlineStr">
        <is>
          <t>36_2_South_China_Sea_SCS-2007_Northern_South_China_Sea_(1970s)</t>
        </is>
      </c>
      <c r="C476" s="11" t="inlineStr">
        <is>
          <t>Cheilopogon unicolor</t>
        </is>
      </c>
      <c r="D476" s="10" t="inlineStr">
        <is>
          <t>Limpidwing flyingfish</t>
        </is>
      </c>
      <c r="E476" s="10" t="inlineStr">
        <is>
          <t>Medium pelagics (30 - 89 cm)</t>
        </is>
      </c>
      <c r="F476" s="10" t="inlineStr">
        <is>
          <t>Other fishes &amp; inverts</t>
        </is>
      </c>
      <c r="G476" s="11" t="inlineStr">
        <is>
          <t>Pelagic fish (&gt; 30 cm)</t>
        </is>
      </c>
      <c r="H476" s="12" t="n">
        <v>0.7983193277310925</v>
      </c>
      <c r="I476" s="10" t="inlineStr">
        <is>
          <t>model_catch</t>
        </is>
      </c>
      <c r="J476" s="14" t="inlineStr">
        <is>
          <t>medium</t>
        </is>
      </c>
      <c r="K476" s="10" t="inlineStr">
        <is>
          <t>composite_split</t>
        </is>
      </c>
      <c r="L476" s="11" t="inlineStr">
        <is>
          <t>Analyst habitat/size inference to source &gt;30 cm pelagic fish (Appendix 6.1.24 p.339); no age data, so split juvenile/adult using the period model catch.</t>
        </is>
      </c>
      <c r="M476" s="10" t="n">
        <v>2888.49</v>
      </c>
    </row>
    <row r="477" ht="36" customHeight="1">
      <c r="A477" s="10" t="inlineStr">
        <is>
          <t>LME_036</t>
        </is>
      </c>
      <c r="B477" s="11" t="inlineStr">
        <is>
          <t>36_2_South_China_Sea_SCS-2007_Northern_South_China_Sea_(1970s)</t>
        </is>
      </c>
      <c r="C477" s="11" t="inlineStr">
        <is>
          <t>Mizuhopecten yessoensis</t>
        </is>
      </c>
      <c r="D477" s="10" t="inlineStr">
        <is>
          <t>Yesso scallop</t>
        </is>
      </c>
      <c r="E477" s="10" t="inlineStr">
        <is>
          <t>Other demersal invertebrates</t>
        </is>
      </c>
      <c r="F477" s="10" t="inlineStr">
        <is>
          <t>Molluscs</t>
        </is>
      </c>
      <c r="G477" s="11" t="inlineStr">
        <is>
          <t>Non-ceph molluscs</t>
        </is>
      </c>
      <c r="H477" s="12" t="n">
        <v>1</v>
      </c>
      <c r="I477" s="10" t="inlineStr">
        <is>
          <t>single</t>
        </is>
      </c>
      <c r="J477" s="15" t="inlineStr">
        <is>
          <t>high</t>
        </is>
      </c>
      <c r="K477" s="10" t="inlineStr">
        <is>
          <t>taxonomic_containment</t>
        </is>
      </c>
      <c r="L477" s="11" t="inlineStr">
        <is>
          <t>Taxonomic containment in the source benthos subdivision (Appendix 6.1.5 pp.324-325), keeping non-cephalopod molluscs separate from echinoderms and sessile invertebrates.</t>
        </is>
      </c>
      <c r="M477" s="10" t="n">
        <v>2876.232</v>
      </c>
    </row>
    <row r="478" ht="51" customHeight="1">
      <c r="A478" s="10" t="inlineStr">
        <is>
          <t>LME_036</t>
        </is>
      </c>
      <c r="B478" s="11" t="inlineStr">
        <is>
          <t>36_2_South_China_Sea_SCS-2007_Northern_South_China_Sea_(1970s)</t>
        </is>
      </c>
      <c r="C478" s="11" t="inlineStr">
        <is>
          <t>Evynnis tumifrons</t>
        </is>
      </c>
      <c r="D478" s="10" t="inlineStr">
        <is>
          <t>Yellowback seabream</t>
        </is>
      </c>
      <c r="E478" s="10" t="inlineStr">
        <is>
          <t>Medium demersals (30 - 89 cm)</t>
        </is>
      </c>
      <c r="F478" s="10" t="inlineStr">
        <is>
          <t>Perch-likes</t>
        </is>
      </c>
      <c r="G478" s="11" t="inlineStr">
        <is>
          <t>Juvenile demersal fish (&gt; 30 cm)</t>
        </is>
      </c>
      <c r="H478" s="12" t="n">
        <v>0.2002781641168289</v>
      </c>
      <c r="I478" s="10" t="inlineStr">
        <is>
          <t>model_catch</t>
        </is>
      </c>
      <c r="J478" s="14" t="inlineStr">
        <is>
          <t>medium</t>
        </is>
      </c>
      <c r="K478" s="10" t="inlineStr">
        <is>
          <t>composite_split</t>
        </is>
      </c>
      <c r="L4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8" s="10" t="n">
        <v>2533.488</v>
      </c>
    </row>
    <row r="479" ht="51" customHeight="1">
      <c r="A479" s="10" t="inlineStr">
        <is>
          <t>LME_036</t>
        </is>
      </c>
      <c r="B479" s="11" t="inlineStr">
        <is>
          <t>36_2_South_China_Sea_SCS-2007_Northern_South_China_Sea_(1970s)</t>
        </is>
      </c>
      <c r="C479" s="11" t="inlineStr">
        <is>
          <t>Evynnis tumifrons</t>
        </is>
      </c>
      <c r="D479" s="10" t="inlineStr">
        <is>
          <t>Yellowback seabream</t>
        </is>
      </c>
      <c r="E479" s="10" t="inlineStr">
        <is>
          <t>Medium demersals (30 - 89 cm)</t>
        </is>
      </c>
      <c r="F479" s="10" t="inlineStr">
        <is>
          <t>Perch-likes</t>
        </is>
      </c>
      <c r="G479" s="11" t="inlineStr">
        <is>
          <t>Adult demersal fish (&gt; 30 cm)</t>
        </is>
      </c>
      <c r="H479" s="12" t="n">
        <v>0.799721835883171</v>
      </c>
      <c r="I479" s="10" t="inlineStr">
        <is>
          <t>model_catch</t>
        </is>
      </c>
      <c r="J479" s="14" t="inlineStr">
        <is>
          <t>medium</t>
        </is>
      </c>
      <c r="K479" s="10" t="inlineStr">
        <is>
          <t>composite_split</t>
        </is>
      </c>
      <c r="L47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9" s="10" t="n">
        <v>2533.488</v>
      </c>
    </row>
    <row r="480" ht="51" customHeight="1">
      <c r="A480" s="10" t="inlineStr">
        <is>
          <t>LME_036</t>
        </is>
      </c>
      <c r="B480" s="11" t="inlineStr">
        <is>
          <t>36_2_South_China_Sea_SCS-2007_Northern_South_China_Sea_(1970s)</t>
        </is>
      </c>
      <c r="C480" s="11" t="inlineStr">
        <is>
          <t>Ephippidae</t>
        </is>
      </c>
      <c r="D480" s="10" t="inlineStr">
        <is>
          <t>Spade-, batfishes, scats</t>
        </is>
      </c>
      <c r="E480" s="10" t="inlineStr">
        <is>
          <t>Medium reef assoc. fish (30 - 89 cm)</t>
        </is>
      </c>
      <c r="F480" s="10" t="inlineStr">
        <is>
          <t>Perch-likes</t>
        </is>
      </c>
      <c r="G480" s="11" t="inlineStr">
        <is>
          <t>Juvenile demersal fish (&gt; 30 cm)</t>
        </is>
      </c>
      <c r="H480" s="12" t="n">
        <v>0.2002781641168289</v>
      </c>
      <c r="I480" s="10" t="inlineStr">
        <is>
          <t>model_catch</t>
        </is>
      </c>
      <c r="J480" s="14" t="inlineStr">
        <is>
          <t>medium</t>
        </is>
      </c>
      <c r="K480" s="10" t="inlineStr">
        <is>
          <t>composite_split</t>
        </is>
      </c>
      <c r="L48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0" s="10" t="n">
        <v>2517.788</v>
      </c>
    </row>
    <row r="481" ht="51" customHeight="1">
      <c r="A481" s="10" t="inlineStr">
        <is>
          <t>LME_036</t>
        </is>
      </c>
      <c r="B481" s="11" t="inlineStr">
        <is>
          <t>36_2_South_China_Sea_SCS-2007_Northern_South_China_Sea_(1970s)</t>
        </is>
      </c>
      <c r="C481" s="11" t="inlineStr">
        <is>
          <t>Ephippidae</t>
        </is>
      </c>
      <c r="D481" s="10" t="inlineStr">
        <is>
          <t>Spade-, batfishes, scats</t>
        </is>
      </c>
      <c r="E481" s="10" t="inlineStr">
        <is>
          <t>Medium reef assoc. fish (30 - 89 cm)</t>
        </is>
      </c>
      <c r="F481" s="10" t="inlineStr">
        <is>
          <t>Perch-likes</t>
        </is>
      </c>
      <c r="G481" s="11" t="inlineStr">
        <is>
          <t>Adult demersal fish (&gt; 30 cm)</t>
        </is>
      </c>
      <c r="H481" s="12" t="n">
        <v>0.799721835883171</v>
      </c>
      <c r="I481" s="10" t="inlineStr">
        <is>
          <t>model_catch</t>
        </is>
      </c>
      <c r="J481" s="14" t="inlineStr">
        <is>
          <t>medium</t>
        </is>
      </c>
      <c r="K481" s="10" t="inlineStr">
        <is>
          <t>composite_split</t>
        </is>
      </c>
      <c r="L48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1" s="10" t="n">
        <v>2517.788</v>
      </c>
    </row>
    <row r="482" ht="36" customHeight="1">
      <c r="A482" s="10" t="inlineStr">
        <is>
          <t>LME_036</t>
        </is>
      </c>
      <c r="B482" s="11" t="inlineStr">
        <is>
          <t>36_2_South_China_Sea_SCS-2007_Northern_South_China_Sea_(1970s)</t>
        </is>
      </c>
      <c r="C482" s="11" t="inlineStr">
        <is>
          <t>Mola mola</t>
        </is>
      </c>
      <c r="D482" s="10" t="inlineStr">
        <is>
          <t>Ocean sunfish</t>
        </is>
      </c>
      <c r="E482" s="10" t="inlineStr">
        <is>
          <t>Large pelagics (&gt;=90 cm)</t>
        </is>
      </c>
      <c r="F482" s="10" t="inlineStr">
        <is>
          <t>Other fishes &amp; inverts</t>
        </is>
      </c>
      <c r="G482" s="11" t="inlineStr">
        <is>
          <t>Juvenile large pelagic fish</t>
        </is>
      </c>
      <c r="H482" s="12" t="n">
        <v>0.2016806722689076</v>
      </c>
      <c r="I482" s="10" t="inlineStr">
        <is>
          <t>model_catch</t>
        </is>
      </c>
      <c r="J482" s="14" t="inlineStr">
        <is>
          <t>medium</t>
        </is>
      </c>
      <c r="K482" s="10" t="inlineStr">
        <is>
          <t>composite_split</t>
        </is>
      </c>
      <c r="L482" s="11" t="inlineStr">
        <is>
          <t>Analyst habitat/size inference to source &gt;30 cm pelagic fish (Appendix 6.1.24 p.339); no age data, so split juvenile/adult using the period model catch.</t>
        </is>
      </c>
      <c r="M482" s="10" t="n">
        <v>2469.949</v>
      </c>
    </row>
    <row r="483" ht="36" customHeight="1">
      <c r="A483" s="10" t="inlineStr">
        <is>
          <t>LME_036</t>
        </is>
      </c>
      <c r="B483" s="11" t="inlineStr">
        <is>
          <t>36_2_South_China_Sea_SCS-2007_Northern_South_China_Sea_(1970s)</t>
        </is>
      </c>
      <c r="C483" s="11" t="inlineStr">
        <is>
          <t>Mola mola</t>
        </is>
      </c>
      <c r="D483" s="10" t="inlineStr">
        <is>
          <t>Ocean sunfish</t>
        </is>
      </c>
      <c r="E483" s="10" t="inlineStr">
        <is>
          <t>Large pelagics (&gt;=90 cm)</t>
        </is>
      </c>
      <c r="F483" s="10" t="inlineStr">
        <is>
          <t>Other fishes &amp; inverts</t>
        </is>
      </c>
      <c r="G483" s="11" t="inlineStr">
        <is>
          <t>Pelagic fish (&gt; 30 cm)</t>
        </is>
      </c>
      <c r="H483" s="12" t="n">
        <v>0.7983193277310925</v>
      </c>
      <c r="I483" s="10" t="inlineStr">
        <is>
          <t>model_catch</t>
        </is>
      </c>
      <c r="J483" s="14" t="inlineStr">
        <is>
          <t>medium</t>
        </is>
      </c>
      <c r="K483" s="10" t="inlineStr">
        <is>
          <t>composite_split</t>
        </is>
      </c>
      <c r="L483" s="11" t="inlineStr">
        <is>
          <t>Analyst habitat/size inference to source &gt;30 cm pelagic fish (Appendix 6.1.24 p.339); no age data, so split juvenile/adult using the period model catch.</t>
        </is>
      </c>
      <c r="M483" s="10" t="n">
        <v>2469.949</v>
      </c>
    </row>
    <row r="484" ht="51" customHeight="1">
      <c r="A484" s="10" t="inlineStr">
        <is>
          <t>LME_036</t>
        </is>
      </c>
      <c r="B484" s="11" t="inlineStr">
        <is>
          <t>36_2_South_China_Sea_SCS-2007_Northern_South_China_Sea_(1970s)</t>
        </is>
      </c>
      <c r="C484" s="11" t="inlineStr">
        <is>
          <t>Latidae</t>
        </is>
      </c>
      <c r="D484" s="10" t="inlineStr">
        <is>
          <t>Lates perches</t>
        </is>
      </c>
      <c r="E484" s="10" t="inlineStr">
        <is>
          <t>Large demersals (&gt;=90 cm)</t>
        </is>
      </c>
      <c r="F484" s="10" t="inlineStr">
        <is>
          <t>Perch-likes</t>
        </is>
      </c>
      <c r="G484" s="11" t="inlineStr">
        <is>
          <t>Juvenile demersal fish (&gt; 30 cm)</t>
        </is>
      </c>
      <c r="H484" s="12" t="n">
        <v>0.2002781641168289</v>
      </c>
      <c r="I484" s="10" t="inlineStr">
        <is>
          <t>model_catch</t>
        </is>
      </c>
      <c r="J484" s="14" t="inlineStr">
        <is>
          <t>medium</t>
        </is>
      </c>
      <c r="K484" s="10" t="inlineStr">
        <is>
          <t>composite_split</t>
        </is>
      </c>
      <c r="L48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4" s="10" t="n">
        <v>2466.176</v>
      </c>
    </row>
    <row r="485" ht="51" customHeight="1">
      <c r="A485" s="10" t="inlineStr">
        <is>
          <t>LME_036</t>
        </is>
      </c>
      <c r="B485" s="11" t="inlineStr">
        <is>
          <t>36_2_South_China_Sea_SCS-2007_Northern_South_China_Sea_(1970s)</t>
        </is>
      </c>
      <c r="C485" s="11" t="inlineStr">
        <is>
          <t>Latidae</t>
        </is>
      </c>
      <c r="D485" s="10" t="inlineStr">
        <is>
          <t>Lates perches</t>
        </is>
      </c>
      <c r="E485" s="10" t="inlineStr">
        <is>
          <t>Large demersals (&gt;=90 cm)</t>
        </is>
      </c>
      <c r="F485" s="10" t="inlineStr">
        <is>
          <t>Perch-likes</t>
        </is>
      </c>
      <c r="G485" s="11" t="inlineStr">
        <is>
          <t>Adult demersal fish (&gt; 30 cm)</t>
        </is>
      </c>
      <c r="H485" s="12" t="n">
        <v>0.799721835883171</v>
      </c>
      <c r="I485" s="10" t="inlineStr">
        <is>
          <t>model_catch</t>
        </is>
      </c>
      <c r="J485" s="14" t="inlineStr">
        <is>
          <t>medium</t>
        </is>
      </c>
      <c r="K485" s="10" t="inlineStr">
        <is>
          <t>composite_split</t>
        </is>
      </c>
      <c r="L48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5" s="10" t="n">
        <v>2466.176</v>
      </c>
    </row>
    <row r="486" ht="36" customHeight="1">
      <c r="A486" s="10" t="inlineStr">
        <is>
          <t>LME_036</t>
        </is>
      </c>
      <c r="B486" s="11" t="inlineStr">
        <is>
          <t>36_2_South_China_Sea_SCS-2007_Northern_South_China_Sea_(1970s)</t>
        </is>
      </c>
      <c r="C486" s="11" t="inlineStr">
        <is>
          <t>Ranina ranina</t>
        </is>
      </c>
      <c r="D486" s="10" t="inlineStr">
        <is>
          <t xml:space="preserve">Kona crab </t>
        </is>
      </c>
      <c r="E486" s="10" t="inlineStr">
        <is>
          <t>Lobsters, crabs</t>
        </is>
      </c>
      <c r="F486" s="10" t="inlineStr">
        <is>
          <t>Crustaceans</t>
        </is>
      </c>
      <c r="G486" s="11" t="inlineStr">
        <is>
          <t>Crabs</t>
        </is>
      </c>
      <c r="H486" s="12" t="n">
        <v>1</v>
      </c>
      <c r="I486" s="10" t="inlineStr">
        <is>
          <t>single</t>
        </is>
      </c>
      <c r="J486" s="15" t="inlineStr">
        <is>
          <t>high</t>
        </is>
      </c>
      <c r="K486" s="10" t="inlineStr">
        <is>
          <t>taxonomic_containment</t>
        </is>
      </c>
      <c r="L486" s="11" t="inlineStr">
        <is>
          <t>Source benthic crustaceans exclude shrimps and crabs (Appendix 6.1.5 p.324); lobsters remain in that residual, while true crabs use Crabs.</t>
        </is>
      </c>
      <c r="M486" s="10" t="n">
        <v>2346.908</v>
      </c>
    </row>
    <row r="487" ht="36" customHeight="1">
      <c r="A487" s="10" t="inlineStr">
        <is>
          <t>LME_036</t>
        </is>
      </c>
      <c r="B487" s="11" t="inlineStr">
        <is>
          <t>36_2_South_China_Sea_SCS-2007_Northern_South_China_Sea_(1970s)</t>
        </is>
      </c>
      <c r="C487" s="11" t="inlineStr">
        <is>
          <t>Ozius guttatus</t>
        </is>
      </c>
      <c r="D487" s="10" t="inlineStr">
        <is>
          <t>Spottedbelly rock crab</t>
        </is>
      </c>
      <c r="E487" s="10" t="inlineStr">
        <is>
          <t>Lobsters, crabs</t>
        </is>
      </c>
      <c r="F487" s="10" t="inlineStr">
        <is>
          <t>Crustaceans</t>
        </is>
      </c>
      <c r="G487" s="11" t="inlineStr">
        <is>
          <t>Crabs</t>
        </is>
      </c>
      <c r="H487" s="12" t="n">
        <v>1</v>
      </c>
      <c r="I487" s="10" t="inlineStr">
        <is>
          <t>single</t>
        </is>
      </c>
      <c r="J487" s="15" t="inlineStr">
        <is>
          <t>high</t>
        </is>
      </c>
      <c r="K487" s="10" t="inlineStr">
        <is>
          <t>taxonomic_containment</t>
        </is>
      </c>
      <c r="L487" s="11" t="inlineStr">
        <is>
          <t>Source benthic crustaceans exclude shrimps and crabs (Appendix 6.1.5 p.324); lobsters remain in that residual, while true crabs use Crabs.</t>
        </is>
      </c>
      <c r="M487" s="10" t="n">
        <v>2123.853</v>
      </c>
    </row>
    <row r="488" ht="36" customHeight="1">
      <c r="A488" s="10" t="inlineStr">
        <is>
          <t>LME_036</t>
        </is>
      </c>
      <c r="B488" s="11" t="inlineStr">
        <is>
          <t>36_2_South_China_Sea_SCS-2007_Northern_South_China_Sea_(1970s)</t>
        </is>
      </c>
      <c r="C488" s="11" t="inlineStr">
        <is>
          <t>Sphyraena barracuda</t>
        </is>
      </c>
      <c r="D488" s="10" t="inlineStr">
        <is>
          <t>Great barracuda</t>
        </is>
      </c>
      <c r="E488" s="10" t="inlineStr">
        <is>
          <t>Large pelagics (&gt;=90 cm)</t>
        </is>
      </c>
      <c r="F488" s="10" t="inlineStr">
        <is>
          <t>Perch-likes</t>
        </is>
      </c>
      <c r="G488" s="11" t="inlineStr">
        <is>
          <t>Juvenile large pelagic fish</t>
        </is>
      </c>
      <c r="H488" s="12" t="n">
        <v>0.2016806722689076</v>
      </c>
      <c r="I488" s="10" t="inlineStr">
        <is>
          <t>model_catch</t>
        </is>
      </c>
      <c r="J488" s="14" t="inlineStr">
        <is>
          <t>medium</t>
        </is>
      </c>
      <c r="K488" s="10" t="inlineStr">
        <is>
          <t>composite_split</t>
        </is>
      </c>
      <c r="L488" s="11" t="inlineStr">
        <is>
          <t>Analyst habitat/size inference to source &gt;30 cm pelagic fish (Appendix 6.1.24 p.339); no age data, so split juvenile/adult using the period model catch.</t>
        </is>
      </c>
      <c r="M488" s="10" t="n">
        <v>2055.219</v>
      </c>
    </row>
    <row r="489" ht="36" customHeight="1">
      <c r="A489" s="10" t="inlineStr">
        <is>
          <t>LME_036</t>
        </is>
      </c>
      <c r="B489" s="11" t="inlineStr">
        <is>
          <t>36_2_South_China_Sea_SCS-2007_Northern_South_China_Sea_(1970s)</t>
        </is>
      </c>
      <c r="C489" s="11" t="inlineStr">
        <is>
          <t>Sphyraena barracuda</t>
        </is>
      </c>
      <c r="D489" s="10" t="inlineStr">
        <is>
          <t>Great barracuda</t>
        </is>
      </c>
      <c r="E489" s="10" t="inlineStr">
        <is>
          <t>Large pelagics (&gt;=90 cm)</t>
        </is>
      </c>
      <c r="F489" s="10" t="inlineStr">
        <is>
          <t>Perch-likes</t>
        </is>
      </c>
      <c r="G489" s="11" t="inlineStr">
        <is>
          <t>Pelagic fish (&gt; 30 cm)</t>
        </is>
      </c>
      <c r="H489" s="12" t="n">
        <v>0.7983193277310925</v>
      </c>
      <c r="I489" s="10" t="inlineStr">
        <is>
          <t>model_catch</t>
        </is>
      </c>
      <c r="J489" s="14" t="inlineStr">
        <is>
          <t>medium</t>
        </is>
      </c>
      <c r="K489" s="10" t="inlineStr">
        <is>
          <t>composite_split</t>
        </is>
      </c>
      <c r="L489" s="11" t="inlineStr">
        <is>
          <t>Analyst habitat/size inference to source &gt;30 cm pelagic fish (Appendix 6.1.24 p.339); no age data, so split juvenile/adult using the period model catch.</t>
        </is>
      </c>
      <c r="M489" s="10" t="n">
        <v>2055.219</v>
      </c>
    </row>
    <row r="490" ht="36" customHeight="1">
      <c r="A490" s="10" t="inlineStr">
        <is>
          <t>LME_036</t>
        </is>
      </c>
      <c r="B490" s="11" t="inlineStr">
        <is>
          <t>36_2_South_China_Sea_SCS-2007_Northern_South_China_Sea_(1970s)</t>
        </is>
      </c>
      <c r="C490" s="11" t="inlineStr">
        <is>
          <t>Melicertus canaliculatus</t>
        </is>
      </c>
      <c r="D490" s="10" t="inlineStr">
        <is>
          <t>Witch prawn</t>
        </is>
      </c>
      <c r="E490" s="10" t="inlineStr">
        <is>
          <t>Shrimps</t>
        </is>
      </c>
      <c r="F490" s="10" t="inlineStr">
        <is>
          <t>Crustaceans</t>
        </is>
      </c>
      <c r="G490" s="11" t="inlineStr">
        <is>
          <t>Shrimps</t>
        </is>
      </c>
      <c r="H490" s="12" t="n">
        <v>1</v>
      </c>
      <c r="I490" s="10" t="inlineStr">
        <is>
          <t>single</t>
        </is>
      </c>
      <c r="J490" s="15" t="inlineStr">
        <is>
          <t>high</t>
        </is>
      </c>
      <c r="K490" s="10" t="inlineStr">
        <is>
          <t>taxonomic_containment</t>
        </is>
      </c>
      <c r="L490" s="11" t="inlineStr">
        <is>
          <t>Stomatopods belong to the residual benthic crustaceans; other shrimp taxa belong to Shrimps after the explicitly separated Acetes records (Appendix 6.1 pp.323-326).</t>
        </is>
      </c>
      <c r="M490" s="10" t="n">
        <v>1949.386</v>
      </c>
    </row>
    <row r="491" ht="51" customHeight="1">
      <c r="A491" s="10" t="inlineStr">
        <is>
          <t>LME_036</t>
        </is>
      </c>
      <c r="B491" s="11" t="inlineStr">
        <is>
          <t>36_2_South_China_Sea_SCS-2007_Northern_South_China_Sea_(1970s)</t>
        </is>
      </c>
      <c r="C491" s="11" t="inlineStr">
        <is>
          <t>Seriola dumerili</t>
        </is>
      </c>
      <c r="D491" s="10" t="inlineStr">
        <is>
          <t>Greater amberjack</t>
        </is>
      </c>
      <c r="E491" s="10" t="inlineStr">
        <is>
          <t>Large reef assoc. fish (&gt;=90 cm)</t>
        </is>
      </c>
      <c r="F491" s="10" t="inlineStr">
        <is>
          <t>Perch-likes</t>
        </is>
      </c>
      <c r="G491" s="11" t="inlineStr">
        <is>
          <t>Juvenile large pelagic fish</t>
        </is>
      </c>
      <c r="H491" s="12" t="n">
        <v>0.2016806722689076</v>
      </c>
      <c r="I491" s="10" t="inlineStr">
        <is>
          <t>model_catch</t>
        </is>
      </c>
      <c r="J491" s="14" t="inlineStr">
        <is>
          <t>medium</t>
        </is>
      </c>
      <c r="K491" s="10" t="inlineStr">
        <is>
          <t>composite_split</t>
        </is>
      </c>
      <c r="L491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1" s="10" t="n">
        <v>1918.315</v>
      </c>
    </row>
    <row r="492" ht="51" customHeight="1">
      <c r="A492" s="10" t="inlineStr">
        <is>
          <t>LME_036</t>
        </is>
      </c>
      <c r="B492" s="11" t="inlineStr">
        <is>
          <t>36_2_South_China_Sea_SCS-2007_Northern_South_China_Sea_(1970s)</t>
        </is>
      </c>
      <c r="C492" s="11" t="inlineStr">
        <is>
          <t>Seriola dumerili</t>
        </is>
      </c>
      <c r="D492" s="10" t="inlineStr">
        <is>
          <t>Greater amberjack</t>
        </is>
      </c>
      <c r="E492" s="10" t="inlineStr">
        <is>
          <t>Large reef assoc. fish (&gt;=90 cm)</t>
        </is>
      </c>
      <c r="F492" s="10" t="inlineStr">
        <is>
          <t>Perch-likes</t>
        </is>
      </c>
      <c r="G492" s="11" t="inlineStr">
        <is>
          <t>Pelagic fish (&gt; 30 cm)</t>
        </is>
      </c>
      <c r="H492" s="12" t="n">
        <v>0.7983193277310925</v>
      </c>
      <c r="I492" s="10" t="inlineStr">
        <is>
          <t>model_catch</t>
        </is>
      </c>
      <c r="J492" s="14" t="inlineStr">
        <is>
          <t>medium</t>
        </is>
      </c>
      <c r="K492" s="10" t="inlineStr">
        <is>
          <t>composite_split</t>
        </is>
      </c>
      <c r="L49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2" s="10" t="n">
        <v>1918.315</v>
      </c>
    </row>
    <row r="493" ht="51" customHeight="1">
      <c r="A493" s="10" t="inlineStr">
        <is>
          <t>LME_036</t>
        </is>
      </c>
      <c r="B493" s="11" t="inlineStr">
        <is>
          <t>36_2_South_China_Sea_SCS-2007_Northern_South_China_Sea_(1970s)</t>
        </is>
      </c>
      <c r="C493" s="11" t="inlineStr">
        <is>
          <t>Labridae</t>
        </is>
      </c>
      <c r="D493" s="10" t="inlineStr">
        <is>
          <t>Wrasses, gropers, tuskfishes</t>
        </is>
      </c>
      <c r="E493" s="10" t="inlineStr">
        <is>
          <t>Medium reef assoc. fish (30 - 89 cm)</t>
        </is>
      </c>
      <c r="F493" s="10" t="inlineStr">
        <is>
          <t>Perch-likes</t>
        </is>
      </c>
      <c r="G493" s="11" t="inlineStr">
        <is>
          <t>Juvenile demersal fish (&gt; 30 cm)</t>
        </is>
      </c>
      <c r="H493" s="12" t="n">
        <v>0.2002781641168289</v>
      </c>
      <c r="I493" s="10" t="inlineStr">
        <is>
          <t>model_catch</t>
        </is>
      </c>
      <c r="J493" s="14" t="inlineStr">
        <is>
          <t>medium</t>
        </is>
      </c>
      <c r="K493" s="10" t="inlineStr">
        <is>
          <t>composite_split</t>
        </is>
      </c>
      <c r="L4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3" s="10" t="n">
        <v>1659.59</v>
      </c>
    </row>
    <row r="494" ht="51" customHeight="1">
      <c r="A494" s="10" t="inlineStr">
        <is>
          <t>LME_036</t>
        </is>
      </c>
      <c r="B494" s="11" t="inlineStr">
        <is>
          <t>36_2_South_China_Sea_SCS-2007_Northern_South_China_Sea_(1970s)</t>
        </is>
      </c>
      <c r="C494" s="11" t="inlineStr">
        <is>
          <t>Labridae</t>
        </is>
      </c>
      <c r="D494" s="10" t="inlineStr">
        <is>
          <t>Wrasses, gropers, tuskfishes</t>
        </is>
      </c>
      <c r="E494" s="10" t="inlineStr">
        <is>
          <t>Medium reef assoc. fish (30 - 89 cm)</t>
        </is>
      </c>
      <c r="F494" s="10" t="inlineStr">
        <is>
          <t>Perch-likes</t>
        </is>
      </c>
      <c r="G494" s="11" t="inlineStr">
        <is>
          <t>Adult demersal fish (&gt; 30 cm)</t>
        </is>
      </c>
      <c r="H494" s="12" t="n">
        <v>0.799721835883171</v>
      </c>
      <c r="I494" s="10" t="inlineStr">
        <is>
          <t>model_catch</t>
        </is>
      </c>
      <c r="J494" s="14" t="inlineStr">
        <is>
          <t>medium</t>
        </is>
      </c>
      <c r="K494" s="10" t="inlineStr">
        <is>
          <t>composite_split</t>
        </is>
      </c>
      <c r="L49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4" s="10" t="n">
        <v>1659.59</v>
      </c>
    </row>
    <row r="495" ht="36" customHeight="1">
      <c r="A495" s="10" t="inlineStr">
        <is>
          <t>LME_036</t>
        </is>
      </c>
      <c r="B495" s="11" t="inlineStr">
        <is>
          <t>36_2_South_China_Sea_SCS-2007_Northern_South_China_Sea_(1970s)</t>
        </is>
      </c>
      <c r="C495" s="11" t="inlineStr">
        <is>
          <t>Octopus</t>
        </is>
      </c>
      <c r="D495" s="10" t="inlineStr">
        <is>
          <t>Octopuses, pikas</t>
        </is>
      </c>
      <c r="E495" s="10" t="inlineStr">
        <is>
          <t>Cephalopods</t>
        </is>
      </c>
      <c r="F495" s="10" t="inlineStr">
        <is>
          <t>Other fishes &amp; inverts</t>
        </is>
      </c>
      <c r="G495" s="11" t="inlineStr">
        <is>
          <t>Cephalopods</t>
        </is>
      </c>
      <c r="H495" s="12" t="n">
        <v>1</v>
      </c>
      <c r="I495" s="10" t="inlineStr">
        <is>
          <t>single</t>
        </is>
      </c>
      <c r="J495" s="15" t="inlineStr">
        <is>
          <t>high</t>
        </is>
      </c>
      <c r="K495" s="10" t="inlineStr">
        <is>
          <t>taxonomic_containment</t>
        </is>
      </c>
      <c r="L495" s="11" t="inlineStr">
        <is>
          <t>Cephalopoda is contained by the single source Cephalopods group, Appendix 6.1.8 pp.326-327.</t>
        </is>
      </c>
      <c r="M495" s="10" t="n">
        <v>1608.1</v>
      </c>
    </row>
    <row r="496" ht="51" customHeight="1">
      <c r="A496" s="10" t="inlineStr">
        <is>
          <t>LME_036</t>
        </is>
      </c>
      <c r="B496" s="11" t="inlineStr">
        <is>
          <t>36_2_South_China_Sea_SCS-2007_Northern_South_China_Sea_(1970s)</t>
        </is>
      </c>
      <c r="C496" s="11" t="inlineStr">
        <is>
          <t>Plotosidae</t>
        </is>
      </c>
      <c r="D496" s="10" t="inlineStr">
        <is>
          <t>Eeltail catfishes</t>
        </is>
      </c>
      <c r="E496" s="10" t="inlineStr">
        <is>
          <t>Medium reef assoc. fish (30 - 89 cm)</t>
        </is>
      </c>
      <c r="F496" s="10" t="inlineStr">
        <is>
          <t>Other fishes &amp; inverts</t>
        </is>
      </c>
      <c r="G496" s="11" t="inlineStr">
        <is>
          <t>Juvenile demersal fish (&gt; 30 cm)</t>
        </is>
      </c>
      <c r="H496" s="12" t="n">
        <v>0.2002781641168289</v>
      </c>
      <c r="I496" s="10" t="inlineStr">
        <is>
          <t>model_catch</t>
        </is>
      </c>
      <c r="J496" s="14" t="inlineStr">
        <is>
          <t>medium</t>
        </is>
      </c>
      <c r="K496" s="10" t="inlineStr">
        <is>
          <t>composite_split</t>
        </is>
      </c>
      <c r="L4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6" s="10" t="n">
        <v>1501.512</v>
      </c>
    </row>
    <row r="497" ht="51" customHeight="1">
      <c r="A497" s="10" t="inlineStr">
        <is>
          <t>LME_036</t>
        </is>
      </c>
      <c r="B497" s="11" t="inlineStr">
        <is>
          <t>36_2_South_China_Sea_SCS-2007_Northern_South_China_Sea_(1970s)</t>
        </is>
      </c>
      <c r="C497" s="11" t="inlineStr">
        <is>
          <t>Plotosidae</t>
        </is>
      </c>
      <c r="D497" s="10" t="inlineStr">
        <is>
          <t>Eeltail catfishes</t>
        </is>
      </c>
      <c r="E497" s="10" t="inlineStr">
        <is>
          <t>Medium reef assoc. fish (30 - 89 cm)</t>
        </is>
      </c>
      <c r="F497" s="10" t="inlineStr">
        <is>
          <t>Other fishes &amp; inverts</t>
        </is>
      </c>
      <c r="G497" s="11" t="inlineStr">
        <is>
          <t>Adult demersal fish (&gt; 30 cm)</t>
        </is>
      </c>
      <c r="H497" s="12" t="n">
        <v>0.799721835883171</v>
      </c>
      <c r="I497" s="10" t="inlineStr">
        <is>
          <t>model_catch</t>
        </is>
      </c>
      <c r="J497" s="14" t="inlineStr">
        <is>
          <t>medium</t>
        </is>
      </c>
      <c r="K497" s="10" t="inlineStr">
        <is>
          <t>composite_split</t>
        </is>
      </c>
      <c r="L4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7" s="10" t="n">
        <v>1501.512</v>
      </c>
    </row>
    <row r="498" ht="36" customHeight="1">
      <c r="A498" s="10" t="inlineStr">
        <is>
          <t>LME_036</t>
        </is>
      </c>
      <c r="B498" s="11" t="inlineStr">
        <is>
          <t>36_2_South_China_Sea_SCS-2007_Northern_South_China_Sea_(1970s)</t>
        </is>
      </c>
      <c r="C498" s="11" t="inlineStr">
        <is>
          <t>Alopias</t>
        </is>
      </c>
      <c r="D498" s="10" t="inlineStr">
        <is>
          <t>Thresher sharks</t>
        </is>
      </c>
      <c r="E498" s="10" t="inlineStr">
        <is>
          <t>Large sharks (&gt;=90 cm)</t>
        </is>
      </c>
      <c r="F498" s="10" t="inlineStr">
        <is>
          <t>Sharks &amp; rays</t>
        </is>
      </c>
      <c r="G498" s="11" t="inlineStr">
        <is>
          <t>Pelagic sharks and rays</t>
        </is>
      </c>
      <c r="H498" s="12" t="n">
        <v>1</v>
      </c>
      <c r="I498" s="10" t="inlineStr">
        <is>
          <t>single</t>
        </is>
      </c>
      <c r="J498" s="14" t="inlineStr">
        <is>
          <t>medium</t>
        </is>
      </c>
      <c r="K498" s="10" t="inlineStr">
        <is>
          <t>habitat_size_guild</t>
        </is>
      </c>
      <c r="L498" s="11" t="inlineStr">
        <is>
          <t>Pelagic shark lineage matches the pelagic elasmobranch definition, Appendix 6.1.25 p.340; species placement is analyst inference.</t>
        </is>
      </c>
      <c r="M498" s="10" t="n">
        <v>1462.068</v>
      </c>
    </row>
    <row r="499" ht="36" customHeight="1">
      <c r="A499" s="10" t="inlineStr">
        <is>
          <t>LME_036</t>
        </is>
      </c>
      <c r="B499" s="11" t="inlineStr">
        <is>
          <t>36_2_South_China_Sea_SCS-2007_Northern_South_China_Sea_(1970s)</t>
        </is>
      </c>
      <c r="C499" s="11" t="inlineStr">
        <is>
          <t>Elops machnata</t>
        </is>
      </c>
      <c r="D499" s="10" t="inlineStr">
        <is>
          <t>Tenpounder</t>
        </is>
      </c>
      <c r="E499" s="10" t="inlineStr">
        <is>
          <t>Large pelagics (&gt;=90 cm)</t>
        </is>
      </c>
      <c r="F499" s="10" t="inlineStr">
        <is>
          <t>Other fishes &amp; inverts</t>
        </is>
      </c>
      <c r="G499" s="11" t="inlineStr">
        <is>
          <t>Juvenile large pelagic fish</t>
        </is>
      </c>
      <c r="H499" s="12" t="n">
        <v>0.2016806722689076</v>
      </c>
      <c r="I499" s="10" t="inlineStr">
        <is>
          <t>model_catch</t>
        </is>
      </c>
      <c r="J499" s="14" t="inlineStr">
        <is>
          <t>medium</t>
        </is>
      </c>
      <c r="K499" s="10" t="inlineStr">
        <is>
          <t>composite_split</t>
        </is>
      </c>
      <c r="L499" s="11" t="inlineStr">
        <is>
          <t>Analyst habitat/size inference to source &gt;30 cm pelagic fish (Appendix 6.1.24 p.339); no age data, so split juvenile/adult using the period model catch.</t>
        </is>
      </c>
      <c r="M499" s="10" t="n">
        <v>1459.13</v>
      </c>
    </row>
    <row r="500" ht="36" customHeight="1">
      <c r="A500" s="10" t="inlineStr">
        <is>
          <t>LME_036</t>
        </is>
      </c>
      <c r="B500" s="11" t="inlineStr">
        <is>
          <t>36_2_South_China_Sea_SCS-2007_Northern_South_China_Sea_(1970s)</t>
        </is>
      </c>
      <c r="C500" s="11" t="inlineStr">
        <is>
          <t>Elops machnata</t>
        </is>
      </c>
      <c r="D500" s="10" t="inlineStr">
        <is>
          <t>Tenpounder</t>
        </is>
      </c>
      <c r="E500" s="10" t="inlineStr">
        <is>
          <t>Large pelagics (&gt;=90 cm)</t>
        </is>
      </c>
      <c r="F500" s="10" t="inlineStr">
        <is>
          <t>Other fishes &amp; inverts</t>
        </is>
      </c>
      <c r="G500" s="11" t="inlineStr">
        <is>
          <t>Pelagic fish (&gt; 30 cm)</t>
        </is>
      </c>
      <c r="H500" s="12" t="n">
        <v>0.7983193277310925</v>
      </c>
      <c r="I500" s="10" t="inlineStr">
        <is>
          <t>model_catch</t>
        </is>
      </c>
      <c r="J500" s="14" t="inlineStr">
        <is>
          <t>medium</t>
        </is>
      </c>
      <c r="K500" s="10" t="inlineStr">
        <is>
          <t>composite_split</t>
        </is>
      </c>
      <c r="L500" s="11" t="inlineStr">
        <is>
          <t>Analyst habitat/size inference to source &gt;30 cm pelagic fish (Appendix 6.1.24 p.339); no age data, so split juvenile/adult using the period model catch.</t>
        </is>
      </c>
      <c r="M500" s="10" t="n">
        <v>1459.13</v>
      </c>
    </row>
    <row r="501" ht="51" customHeight="1">
      <c r="A501" s="10" t="inlineStr">
        <is>
          <t>LME_036</t>
        </is>
      </c>
      <c r="B501" s="11" t="inlineStr">
        <is>
          <t>36_2_South_China_Sea_SCS-2007_Northern_South_China_Sea_(1970s)</t>
        </is>
      </c>
      <c r="C501" s="11" t="inlineStr">
        <is>
          <t>Pellona ditchela</t>
        </is>
      </c>
      <c r="D501" s="10" t="inlineStr">
        <is>
          <t>Indian pellona</t>
        </is>
      </c>
      <c r="E501" s="10" t="inlineStr">
        <is>
          <t>Small pelagics (&lt;30 cm)</t>
        </is>
      </c>
      <c r="F501" s="10" t="inlineStr">
        <is>
          <t>Herring-likes</t>
        </is>
      </c>
      <c r="G501" s="11" t="inlineStr">
        <is>
          <t>Pelagic fish (≤ 30 cm)</t>
        </is>
      </c>
      <c r="H501" s="12" t="n">
        <v>1</v>
      </c>
      <c r="I501" s="10" t="inlineStr">
        <is>
          <t>single</t>
        </is>
      </c>
      <c r="J501" s="14" t="inlineStr">
        <is>
          <t>medium</t>
        </is>
      </c>
      <c r="K501" s="10" t="inlineStr">
        <is>
          <t>habitat_size_guild</t>
        </is>
      </c>
      <c r="L50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01" s="10" t="n">
        <v>1410</v>
      </c>
    </row>
    <row r="502" ht="36" customHeight="1">
      <c r="A502" s="10" t="inlineStr">
        <is>
          <t>LME_036</t>
        </is>
      </c>
      <c r="B502" s="11" t="inlineStr">
        <is>
          <t>36_2_South_China_Sea_SCS-2007_Northern_South_China_Sea_(1970s)</t>
        </is>
      </c>
      <c r="C502" s="11" t="inlineStr">
        <is>
          <t>Chaetodontidae</t>
        </is>
      </c>
      <c r="D502" s="10" t="inlineStr">
        <is>
          <t>Butterflyfishes</t>
        </is>
      </c>
      <c r="E502" s="10" t="inlineStr">
        <is>
          <t>Small reef assoc. fish (&lt;30 cm)</t>
        </is>
      </c>
      <c r="F502" s="10" t="inlineStr">
        <is>
          <t>Perch-likes</t>
        </is>
      </c>
      <c r="G502" s="11" t="inlineStr">
        <is>
          <t>Demesral fish (≤ 30 cm)</t>
        </is>
      </c>
      <c r="H502" s="12" t="n">
        <v>1</v>
      </c>
      <c r="I502" s="10" t="inlineStr">
        <is>
          <t>single</t>
        </is>
      </c>
      <c r="J502" s="14" t="inlineStr">
        <is>
          <t>medium</t>
        </is>
      </c>
      <c r="K502" s="10" t="inlineStr">
        <is>
          <t>habitat_size_guild</t>
        </is>
      </c>
      <c r="L502" s="11" t="inlineStr">
        <is>
          <t>Analyst habitat/size inference: small demersal or reef-associated fish after excluding dedicated taxonomic groups, matching Appendix 6.1.19 &lt;=30 cm residual demersal pool.</t>
        </is>
      </c>
      <c r="M502" s="10" t="n">
        <v>1378.652</v>
      </c>
    </row>
    <row r="503" ht="51" customHeight="1">
      <c r="A503" s="10" t="inlineStr">
        <is>
          <t>LME_036</t>
        </is>
      </c>
      <c r="B503" s="11" t="inlineStr">
        <is>
          <t>36_2_South_China_Sea_SCS-2007_Northern_South_China_Sea_(1970s)</t>
        </is>
      </c>
      <c r="C503" s="11" t="inlineStr">
        <is>
          <t>Congridae</t>
        </is>
      </c>
      <c r="D503" s="10" t="inlineStr">
        <is>
          <t>Conger, garden eels</t>
        </is>
      </c>
      <c r="E503" s="10" t="inlineStr">
        <is>
          <t>Large demersals (&gt;=90 cm)</t>
        </is>
      </c>
      <c r="F503" s="10" t="inlineStr">
        <is>
          <t>Other fishes &amp; inverts</t>
        </is>
      </c>
      <c r="G503" s="11" t="inlineStr">
        <is>
          <t>Juvenile demersal fish (&gt; 30 cm)</t>
        </is>
      </c>
      <c r="H503" s="12" t="n">
        <v>0.2002781641168289</v>
      </c>
      <c r="I503" s="10" t="inlineStr">
        <is>
          <t>model_catch</t>
        </is>
      </c>
      <c r="J503" s="14" t="inlineStr">
        <is>
          <t>medium</t>
        </is>
      </c>
      <c r="K503" s="10" t="inlineStr">
        <is>
          <t>composite_split</t>
        </is>
      </c>
      <c r="L50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3" s="10" t="n">
        <v>1376.036</v>
      </c>
    </row>
    <row r="504" ht="51" customHeight="1">
      <c r="A504" s="10" t="inlineStr">
        <is>
          <t>LME_036</t>
        </is>
      </c>
      <c r="B504" s="11" t="inlineStr">
        <is>
          <t>36_2_South_China_Sea_SCS-2007_Northern_South_China_Sea_(1970s)</t>
        </is>
      </c>
      <c r="C504" s="11" t="inlineStr">
        <is>
          <t>Congridae</t>
        </is>
      </c>
      <c r="D504" s="10" t="inlineStr">
        <is>
          <t>Conger, garden eels</t>
        </is>
      </c>
      <c r="E504" s="10" t="inlineStr">
        <is>
          <t>Large demersals (&gt;=90 cm)</t>
        </is>
      </c>
      <c r="F504" s="10" t="inlineStr">
        <is>
          <t>Other fishes &amp; inverts</t>
        </is>
      </c>
      <c r="G504" s="11" t="inlineStr">
        <is>
          <t>Adult demersal fish (&gt; 30 cm)</t>
        </is>
      </c>
      <c r="H504" s="12" t="n">
        <v>0.799721835883171</v>
      </c>
      <c r="I504" s="10" t="inlineStr">
        <is>
          <t>model_catch</t>
        </is>
      </c>
      <c r="J504" s="14" t="inlineStr">
        <is>
          <t>medium</t>
        </is>
      </c>
      <c r="K504" s="10" t="inlineStr">
        <is>
          <t>composite_split</t>
        </is>
      </c>
      <c r="L50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4" s="10" t="n">
        <v>1376.036</v>
      </c>
    </row>
    <row r="505" ht="51" customHeight="1">
      <c r="A505" s="10" t="inlineStr">
        <is>
          <t>LME_036</t>
        </is>
      </c>
      <c r="B505" s="11" t="inlineStr">
        <is>
          <t>36_2_South_China_Sea_SCS-2007_Northern_South_China_Sea_(1970s)</t>
        </is>
      </c>
      <c r="C505" s="11" t="inlineStr">
        <is>
          <t>Lethrinus miniatus</t>
        </is>
      </c>
      <c r="D505" s="10" t="inlineStr">
        <is>
          <t>Trumpet emperor</t>
        </is>
      </c>
      <c r="E505" s="10" t="inlineStr">
        <is>
          <t>Medium reef assoc. fish (30 - 89 cm)</t>
        </is>
      </c>
      <c r="F505" s="10" t="inlineStr">
        <is>
          <t>Perch-likes</t>
        </is>
      </c>
      <c r="G505" s="11" t="inlineStr">
        <is>
          <t>Juvenile demersal fish (&gt; 30 cm)</t>
        </is>
      </c>
      <c r="H505" s="12" t="n">
        <v>0.2002781641168289</v>
      </c>
      <c r="I505" s="10" t="inlineStr">
        <is>
          <t>model_catch</t>
        </is>
      </c>
      <c r="J505" s="14" t="inlineStr">
        <is>
          <t>medium</t>
        </is>
      </c>
      <c r="K505" s="10" t="inlineStr">
        <is>
          <t>composite_split</t>
        </is>
      </c>
      <c r="L5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5" s="10" t="n">
        <v>1362.411</v>
      </c>
    </row>
    <row r="506" ht="51" customHeight="1">
      <c r="A506" s="10" t="inlineStr">
        <is>
          <t>LME_036</t>
        </is>
      </c>
      <c r="B506" s="11" t="inlineStr">
        <is>
          <t>36_2_South_China_Sea_SCS-2007_Northern_South_China_Sea_(1970s)</t>
        </is>
      </c>
      <c r="C506" s="11" t="inlineStr">
        <is>
          <t>Lethrinus miniatus</t>
        </is>
      </c>
      <c r="D506" s="10" t="inlineStr">
        <is>
          <t>Trumpet emperor</t>
        </is>
      </c>
      <c r="E506" s="10" t="inlineStr">
        <is>
          <t>Medium reef assoc. fish (30 - 89 cm)</t>
        </is>
      </c>
      <c r="F506" s="10" t="inlineStr">
        <is>
          <t>Perch-likes</t>
        </is>
      </c>
      <c r="G506" s="11" t="inlineStr">
        <is>
          <t>Adult demersal fish (&gt; 30 cm)</t>
        </is>
      </c>
      <c r="H506" s="12" t="n">
        <v>0.799721835883171</v>
      </c>
      <c r="I506" s="10" t="inlineStr">
        <is>
          <t>model_catch</t>
        </is>
      </c>
      <c r="J506" s="14" t="inlineStr">
        <is>
          <t>medium</t>
        </is>
      </c>
      <c r="K506" s="10" t="inlineStr">
        <is>
          <t>composite_split</t>
        </is>
      </c>
      <c r="L5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6" s="10" t="n">
        <v>1362.411</v>
      </c>
    </row>
    <row r="507" ht="36" customHeight="1">
      <c r="A507" s="10" t="inlineStr">
        <is>
          <t>LME_036</t>
        </is>
      </c>
      <c r="B507" s="11" t="inlineStr">
        <is>
          <t>36_2_South_China_Sea_SCS-2007_Northern_South_China_Sea_(1970s)</t>
        </is>
      </c>
      <c r="C507" s="11" t="inlineStr">
        <is>
          <t>Scylla</t>
        </is>
      </c>
      <c r="D507" s="10" t="inlineStr">
        <is>
          <t>Mud crabs</t>
        </is>
      </c>
      <c r="E507" s="10" t="inlineStr">
        <is>
          <t>Lobsters, crabs</t>
        </is>
      </c>
      <c r="F507" s="10" t="inlineStr">
        <is>
          <t>Crustaceans</t>
        </is>
      </c>
      <c r="G507" s="11" t="inlineStr">
        <is>
          <t>Crabs</t>
        </is>
      </c>
      <c r="H507" s="12" t="n">
        <v>1</v>
      </c>
      <c r="I507" s="10" t="inlineStr">
        <is>
          <t>single</t>
        </is>
      </c>
      <c r="J507" s="15" t="inlineStr">
        <is>
          <t>high</t>
        </is>
      </c>
      <c r="K507" s="10" t="inlineStr">
        <is>
          <t>taxonomic_containment</t>
        </is>
      </c>
      <c r="L507" s="11" t="inlineStr">
        <is>
          <t>Source benthic crustaceans exclude shrimps and crabs (Appendix 6.1.5 p.324); lobsters remain in that residual, while true crabs use Crabs.</t>
        </is>
      </c>
      <c r="M507" s="10" t="n">
        <v>1336.642</v>
      </c>
    </row>
    <row r="508" ht="36" customHeight="1">
      <c r="A508" s="10" t="inlineStr">
        <is>
          <t>LME_036</t>
        </is>
      </c>
      <c r="B508" s="11" t="inlineStr">
        <is>
          <t>36_2_South_China_Sea_SCS-2007_Northern_South_China_Sea_(1970s)</t>
        </is>
      </c>
      <c r="C508" s="11" t="inlineStr">
        <is>
          <t>Hemitrygon akajei</t>
        </is>
      </c>
      <c r="D508" s="10" t="inlineStr">
        <is>
          <t>Whip stingray</t>
        </is>
      </c>
      <c r="E508" s="10" t="inlineStr">
        <is>
          <t>Large rays (&gt;=90 cm)</t>
        </is>
      </c>
      <c r="F508" s="10" t="inlineStr">
        <is>
          <t>Sharks &amp; rays</t>
        </is>
      </c>
      <c r="G508" s="11" t="inlineStr">
        <is>
          <t>Demersal sharks and rays</t>
        </is>
      </c>
      <c r="H508" s="12" t="n">
        <v>1</v>
      </c>
      <c r="I508" s="10" t="inlineStr">
        <is>
          <t>single</t>
        </is>
      </c>
      <c r="J508" s="14" t="inlineStr">
        <is>
          <t>medium</t>
        </is>
      </c>
      <c r="K508" s="10" t="inlineStr">
        <is>
          <t>habitat_size_guild</t>
        </is>
      </c>
      <c r="L508" s="11" t="inlineStr">
        <is>
          <t>Demersal/benthic ray or houndshark lineage matches the demersal elasmobranch definition, Appendix 6.1.25 p.340; species placement is analyst inference.</t>
        </is>
      </c>
      <c r="M508" s="10" t="n">
        <v>1189.845</v>
      </c>
    </row>
    <row r="509" ht="36" customHeight="1">
      <c r="A509" s="10" t="inlineStr">
        <is>
          <t>LME_036</t>
        </is>
      </c>
      <c r="B509" s="11" t="inlineStr">
        <is>
          <t>36_2_South_China_Sea_SCS-2007_Northern_South_China_Sea_(1970s)</t>
        </is>
      </c>
      <c r="C509" s="11" t="inlineStr">
        <is>
          <t>Lepidocybium flavobrunneum</t>
        </is>
      </c>
      <c r="D509" s="10" t="inlineStr">
        <is>
          <t>Escolar</t>
        </is>
      </c>
      <c r="E509" s="10" t="inlineStr">
        <is>
          <t>Large bathypelagics (&gt;=90 cm)</t>
        </is>
      </c>
      <c r="F509" s="10" t="inlineStr">
        <is>
          <t>Perch-likes</t>
        </is>
      </c>
      <c r="G509" s="11" t="inlineStr">
        <is>
          <t>Unresolved</t>
        </is>
      </c>
      <c r="H509" s="12" t="n"/>
      <c r="I509" s="10" t="inlineStr"/>
      <c r="J509" s="16" t="inlineStr">
        <is>
          <t>unresolved</t>
        </is>
      </c>
      <c r="K509" s="10" t="inlineStr">
        <is>
          <t>none</t>
        </is>
      </c>
      <c r="L509" s="11" t="inlineStr">
        <is>
          <t>Northern continental-shelf model lacks a documented oceanic billfish or deep-pelagic compartment; assigning coastal juvenile/adult pelagic SPPR would be unsupported.</t>
        </is>
      </c>
      <c r="M509" s="10" t="n">
        <v>1186.217</v>
      </c>
    </row>
    <row r="510" ht="36" customHeight="1">
      <c r="A510" s="10" t="inlineStr">
        <is>
          <t>LME_036</t>
        </is>
      </c>
      <c r="B510" s="11" t="inlineStr">
        <is>
          <t>36_2_South_China_Sea_SCS-2007_Northern_South_China_Sea_(1970s)</t>
        </is>
      </c>
      <c r="C510" s="11" t="inlineStr">
        <is>
          <t>Charybdis feriatus</t>
        </is>
      </c>
      <c r="D510" s="10" t="inlineStr">
        <is>
          <t>Crucifix crab</t>
        </is>
      </c>
      <c r="E510" s="10" t="inlineStr">
        <is>
          <t>Lobsters, crabs</t>
        </is>
      </c>
      <c r="F510" s="10" t="inlineStr">
        <is>
          <t>Crustaceans</t>
        </is>
      </c>
      <c r="G510" s="11" t="inlineStr">
        <is>
          <t>Crabs</t>
        </is>
      </c>
      <c r="H510" s="12" t="n">
        <v>1</v>
      </c>
      <c r="I510" s="10" t="inlineStr">
        <is>
          <t>single</t>
        </is>
      </c>
      <c r="J510" s="15" t="inlineStr">
        <is>
          <t>high</t>
        </is>
      </c>
      <c r="K510" s="10" t="inlineStr">
        <is>
          <t>taxonomic_containment</t>
        </is>
      </c>
      <c r="L510" s="11" t="inlineStr">
        <is>
          <t>Source benthic crustaceans exclude shrimps and crabs (Appendix 6.1.5 p.324); lobsters remain in that residual, while true crabs use Crabs.</t>
        </is>
      </c>
      <c r="M510" s="10" t="n">
        <v>1155.289</v>
      </c>
    </row>
    <row r="511" ht="51" customHeight="1">
      <c r="A511" s="10" t="inlineStr">
        <is>
          <t>LME_036</t>
        </is>
      </c>
      <c r="B511" s="11" t="inlineStr">
        <is>
          <t>36_2_South_China_Sea_SCS-2007_Northern_South_China_Sea_(1970s)</t>
        </is>
      </c>
      <c r="C511" s="11" t="inlineStr">
        <is>
          <t>Encrasicholina punctifer</t>
        </is>
      </c>
      <c r="D511" s="10" t="inlineStr">
        <is>
          <t>Buccaneer anchovy</t>
        </is>
      </c>
      <c r="E511" s="10" t="inlineStr">
        <is>
          <t>Small pelagics (&lt;30 cm)</t>
        </is>
      </c>
      <c r="F511" s="10" t="inlineStr">
        <is>
          <t>Anchovies</t>
        </is>
      </c>
      <c r="G511" s="11" t="inlineStr">
        <is>
          <t>Pelagic fish (≤ 30 cm)</t>
        </is>
      </c>
      <c r="H511" s="12" t="n">
        <v>1</v>
      </c>
      <c r="I511" s="10" t="inlineStr">
        <is>
          <t>single</t>
        </is>
      </c>
      <c r="J511" s="14" t="inlineStr">
        <is>
          <t>medium</t>
        </is>
      </c>
      <c r="K511" s="10" t="inlineStr">
        <is>
          <t>habitat_size_guild</t>
        </is>
      </c>
      <c r="L51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11" s="10" t="n">
        <v>1099.779</v>
      </c>
    </row>
    <row r="512" ht="36" customHeight="1">
      <c r="A512" s="10" t="inlineStr">
        <is>
          <t>LME_036</t>
        </is>
      </c>
      <c r="B512" s="11" t="inlineStr">
        <is>
          <t>36_2_South_China_Sea_SCS-2007_Northern_South_China_Sea_(1970s)</t>
        </is>
      </c>
      <c r="C512" s="11" t="inlineStr">
        <is>
          <t>Spongia</t>
        </is>
      </c>
      <c r="D512" s="10" t="inlineStr">
        <is>
          <t>Bathing sponges</t>
        </is>
      </c>
      <c r="E512" s="10" t="inlineStr">
        <is>
          <t>Other demersal invertebrates</t>
        </is>
      </c>
      <c r="F512" s="10" t="inlineStr">
        <is>
          <t>Other fishes &amp; inverts</t>
        </is>
      </c>
      <c r="G512" s="11" t="inlineStr">
        <is>
          <t>Sessile/other invertebrates</t>
        </is>
      </c>
      <c r="H512" s="12" t="n">
        <v>1</v>
      </c>
      <c r="I512" s="10" t="inlineStr">
        <is>
          <t>single</t>
        </is>
      </c>
      <c r="J512" s="15" t="inlineStr">
        <is>
          <t>high</t>
        </is>
      </c>
      <c r="K512" s="10" t="inlineStr">
        <is>
          <t>taxonomic_containment</t>
        </is>
      </c>
      <c r="L512" s="11" t="inlineStr">
        <is>
          <t>Taxonomic containment in the source benthos subdivision (Appendix 6.1.5 pp.324-325), keeping non-cephalopod molluscs separate from echinoderms and sessile invertebrates.</t>
        </is>
      </c>
      <c r="M512" s="10" t="n">
        <v>1092.827</v>
      </c>
    </row>
    <row r="513" ht="36" customHeight="1">
      <c r="A513" s="10" t="inlineStr">
        <is>
          <t>LME_036</t>
        </is>
      </c>
      <c r="B513" s="11" t="inlineStr">
        <is>
          <t>36_2_South_China_Sea_SCS-2007_Northern_South_China_Sea_(1970s)</t>
        </is>
      </c>
      <c r="C513" s="11" t="inlineStr">
        <is>
          <t>Amusium pleuronectes</t>
        </is>
      </c>
      <c r="D513" s="10" t="inlineStr">
        <is>
          <t>Asian moon scallop</t>
        </is>
      </c>
      <c r="E513" s="10" t="inlineStr">
        <is>
          <t>Other demersal invertebrates</t>
        </is>
      </c>
      <c r="F513" s="10" t="inlineStr">
        <is>
          <t>Molluscs</t>
        </is>
      </c>
      <c r="G513" s="11" t="inlineStr">
        <is>
          <t>Non-ceph molluscs</t>
        </is>
      </c>
      <c r="H513" s="12" t="n">
        <v>1</v>
      </c>
      <c r="I513" s="10" t="inlineStr">
        <is>
          <t>single</t>
        </is>
      </c>
      <c r="J513" s="15" t="inlineStr">
        <is>
          <t>high</t>
        </is>
      </c>
      <c r="K513" s="10" t="inlineStr">
        <is>
          <t>taxonomic_containment</t>
        </is>
      </c>
      <c r="L513" s="11" t="inlineStr">
        <is>
          <t>Taxonomic containment in the source benthos subdivision (Appendix 6.1.5 pp.324-325), keeping non-cephalopod molluscs separate from echinoderms and sessile invertebrates.</t>
        </is>
      </c>
      <c r="M513" s="10" t="n">
        <v>994.826</v>
      </c>
    </row>
    <row r="514" ht="51" customHeight="1">
      <c r="A514" s="10" t="inlineStr">
        <is>
          <t>LME_036</t>
        </is>
      </c>
      <c r="B514" s="11" t="inlineStr">
        <is>
          <t>36_2_South_China_Sea_SCS-2007_Northern_South_China_Sea_(1970s)</t>
        </is>
      </c>
      <c r="C514" s="11" t="inlineStr">
        <is>
          <t>Scatophagus argus</t>
        </is>
      </c>
      <c r="D514" s="10" t="inlineStr">
        <is>
          <t>Spotted scat</t>
        </is>
      </c>
      <c r="E514" s="10" t="inlineStr">
        <is>
          <t>Medium demersals (30 - 89 cm)</t>
        </is>
      </c>
      <c r="F514" s="10" t="inlineStr">
        <is>
          <t>Perch-likes</t>
        </is>
      </c>
      <c r="G514" s="11" t="inlineStr">
        <is>
          <t>Juvenile demersal fish (&gt; 30 cm)</t>
        </is>
      </c>
      <c r="H514" s="12" t="n">
        <v>0.2002781641168289</v>
      </c>
      <c r="I514" s="10" t="inlineStr">
        <is>
          <t>model_catch</t>
        </is>
      </c>
      <c r="J514" s="14" t="inlineStr">
        <is>
          <t>medium</t>
        </is>
      </c>
      <c r="K514" s="10" t="inlineStr">
        <is>
          <t>composite_split</t>
        </is>
      </c>
      <c r="L5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4" s="10" t="n">
        <v>950.5069999999999</v>
      </c>
    </row>
    <row r="515" ht="51" customHeight="1">
      <c r="A515" s="10" t="inlineStr">
        <is>
          <t>LME_036</t>
        </is>
      </c>
      <c r="B515" s="11" t="inlineStr">
        <is>
          <t>36_2_South_China_Sea_SCS-2007_Northern_South_China_Sea_(1970s)</t>
        </is>
      </c>
      <c r="C515" s="11" t="inlineStr">
        <is>
          <t>Scatophagus argus</t>
        </is>
      </c>
      <c r="D515" s="10" t="inlineStr">
        <is>
          <t>Spotted scat</t>
        </is>
      </c>
      <c r="E515" s="10" t="inlineStr">
        <is>
          <t>Medium demersals (30 - 89 cm)</t>
        </is>
      </c>
      <c r="F515" s="10" t="inlineStr">
        <is>
          <t>Perch-likes</t>
        </is>
      </c>
      <c r="G515" s="11" t="inlineStr">
        <is>
          <t>Adult demersal fish (&gt; 30 cm)</t>
        </is>
      </c>
      <c r="H515" s="12" t="n">
        <v>0.799721835883171</v>
      </c>
      <c r="I515" s="10" t="inlineStr">
        <is>
          <t>model_catch</t>
        </is>
      </c>
      <c r="J515" s="14" t="inlineStr">
        <is>
          <t>medium</t>
        </is>
      </c>
      <c r="K515" s="10" t="inlineStr">
        <is>
          <t>composite_split</t>
        </is>
      </c>
      <c r="L5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5" s="10" t="n">
        <v>950.5069999999999</v>
      </c>
    </row>
    <row r="516" ht="36" customHeight="1">
      <c r="A516" s="10" t="inlineStr">
        <is>
          <t>LME_036</t>
        </is>
      </c>
      <c r="B516" s="11" t="inlineStr">
        <is>
          <t>36_2_South_China_Sea_SCS-2007_Northern_South_China_Sea_(1970s)</t>
        </is>
      </c>
      <c r="C516" s="11" t="inlineStr">
        <is>
          <t>Podophthalmus vigil</t>
        </is>
      </c>
      <c r="D516" s="10" t="inlineStr">
        <is>
          <t>Periscope crab</t>
        </is>
      </c>
      <c r="E516" s="10" t="inlineStr">
        <is>
          <t>Lobsters, crabs</t>
        </is>
      </c>
      <c r="F516" s="10" t="inlineStr">
        <is>
          <t>Crustaceans</t>
        </is>
      </c>
      <c r="G516" s="11" t="inlineStr">
        <is>
          <t>Crabs</t>
        </is>
      </c>
      <c r="H516" s="12" t="n">
        <v>1</v>
      </c>
      <c r="I516" s="10" t="inlineStr">
        <is>
          <t>single</t>
        </is>
      </c>
      <c r="J516" s="15" t="inlineStr">
        <is>
          <t>high</t>
        </is>
      </c>
      <c r="K516" s="10" t="inlineStr">
        <is>
          <t>taxonomic_containment</t>
        </is>
      </c>
      <c r="L516" s="11" t="inlineStr">
        <is>
          <t>Source benthic crustaceans exclude shrimps and crabs (Appendix 6.1.5 p.324); lobsters remain in that residual, while true crabs use Crabs.</t>
        </is>
      </c>
      <c r="M516" s="10" t="n">
        <v>923.3339999999999</v>
      </c>
    </row>
    <row r="517" ht="51" customHeight="1">
      <c r="A517" s="10" t="inlineStr">
        <is>
          <t>LME_036</t>
        </is>
      </c>
      <c r="B517" s="11" t="inlineStr">
        <is>
          <t>36_2_South_China_Sea_SCS-2007_Northern_South_China_Sea_(1970s)</t>
        </is>
      </c>
      <c r="C517" s="11" t="inlineStr">
        <is>
          <t>Drepane punctata</t>
        </is>
      </c>
      <c r="D517" s="10" t="inlineStr">
        <is>
          <t>Spotted sicklefish</t>
        </is>
      </c>
      <c r="E517" s="10" t="inlineStr">
        <is>
          <t>Medium reef assoc. fish (30 - 89 cm)</t>
        </is>
      </c>
      <c r="F517" s="10" t="inlineStr">
        <is>
          <t>Perch-likes</t>
        </is>
      </c>
      <c r="G517" s="11" t="inlineStr">
        <is>
          <t>Juvenile demersal fish (&gt; 30 cm)</t>
        </is>
      </c>
      <c r="H517" s="12" t="n">
        <v>0.2002781641168289</v>
      </c>
      <c r="I517" s="10" t="inlineStr">
        <is>
          <t>model_catch</t>
        </is>
      </c>
      <c r="J517" s="14" t="inlineStr">
        <is>
          <t>medium</t>
        </is>
      </c>
      <c r="K517" s="10" t="inlineStr">
        <is>
          <t>composite_split</t>
        </is>
      </c>
      <c r="L5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7" s="10" t="n">
        <v>918.996</v>
      </c>
    </row>
    <row r="518" ht="51" customHeight="1">
      <c r="A518" s="10" t="inlineStr">
        <is>
          <t>LME_036</t>
        </is>
      </c>
      <c r="B518" s="11" t="inlineStr">
        <is>
          <t>36_2_South_China_Sea_SCS-2007_Northern_South_China_Sea_(1970s)</t>
        </is>
      </c>
      <c r="C518" s="11" t="inlineStr">
        <is>
          <t>Drepane punctata</t>
        </is>
      </c>
      <c r="D518" s="10" t="inlineStr">
        <is>
          <t>Spotted sicklefish</t>
        </is>
      </c>
      <c r="E518" s="10" t="inlineStr">
        <is>
          <t>Medium reef assoc. fish (30 - 89 cm)</t>
        </is>
      </c>
      <c r="F518" s="10" t="inlineStr">
        <is>
          <t>Perch-likes</t>
        </is>
      </c>
      <c r="G518" s="11" t="inlineStr">
        <is>
          <t>Adult demersal fish (&gt; 30 cm)</t>
        </is>
      </c>
      <c r="H518" s="12" t="n">
        <v>0.799721835883171</v>
      </c>
      <c r="I518" s="10" t="inlineStr">
        <is>
          <t>model_catch</t>
        </is>
      </c>
      <c r="J518" s="14" t="inlineStr">
        <is>
          <t>medium</t>
        </is>
      </c>
      <c r="K518" s="10" t="inlineStr">
        <is>
          <t>composite_split</t>
        </is>
      </c>
      <c r="L5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8" s="10" t="n">
        <v>918.996</v>
      </c>
    </row>
    <row r="519" ht="36" customHeight="1">
      <c r="A519" s="10" t="inlineStr">
        <is>
          <t>LME_036</t>
        </is>
      </c>
      <c r="B519" s="11" t="inlineStr">
        <is>
          <t>36_2_South_China_Sea_SCS-2007_Northern_South_China_Sea_(1970s)</t>
        </is>
      </c>
      <c r="C519" s="11" t="inlineStr">
        <is>
          <t>Charybdis anisodon</t>
        </is>
      </c>
      <c r="D519" s="10" t="inlineStr">
        <is>
          <t>Twospined arm swimming crab</t>
        </is>
      </c>
      <c r="E519" s="10" t="inlineStr">
        <is>
          <t>Lobsters, crabs</t>
        </is>
      </c>
      <c r="F519" s="10" t="inlineStr">
        <is>
          <t>Crustaceans</t>
        </is>
      </c>
      <c r="G519" s="11" t="inlineStr">
        <is>
          <t>Crabs</t>
        </is>
      </c>
      <c r="H519" s="12" t="n">
        <v>1</v>
      </c>
      <c r="I519" s="10" t="inlineStr">
        <is>
          <t>single</t>
        </is>
      </c>
      <c r="J519" s="15" t="inlineStr">
        <is>
          <t>high</t>
        </is>
      </c>
      <c r="K519" s="10" t="inlineStr">
        <is>
          <t>taxonomic_containment</t>
        </is>
      </c>
      <c r="L519" s="11" t="inlineStr">
        <is>
          <t>Source benthic crustaceans exclude shrimps and crabs (Appendix 6.1.5 p.324); lobsters remain in that residual, while true crabs use Crabs.</t>
        </is>
      </c>
      <c r="M519" s="10" t="n">
        <v>914.4930000000001</v>
      </c>
    </row>
    <row r="520" ht="51" customHeight="1">
      <c r="A520" s="10" t="inlineStr">
        <is>
          <t>LME_036</t>
        </is>
      </c>
      <c r="B520" s="11" t="inlineStr">
        <is>
          <t>36_2_South_China_Sea_SCS-2007_Northern_South_China_Sea_(1970s)</t>
        </is>
      </c>
      <c r="C520" s="11" t="inlineStr">
        <is>
          <t>Beryx</t>
        </is>
      </c>
      <c r="D520" s="10" t="inlineStr">
        <is>
          <t>Alfonsinos</t>
        </is>
      </c>
      <c r="E520" s="10" t="inlineStr">
        <is>
          <t>Medium benthopelagics (30 - 89 cm)</t>
        </is>
      </c>
      <c r="F520" s="10" t="inlineStr">
        <is>
          <t>Other fishes &amp; inverts</t>
        </is>
      </c>
      <c r="G520" s="11" t="inlineStr">
        <is>
          <t>Benthopelagic fish</t>
        </is>
      </c>
      <c r="H520" s="12" t="n">
        <v>1</v>
      </c>
      <c r="I520" s="10" t="inlineStr">
        <is>
          <t>single</t>
        </is>
      </c>
      <c r="J520" s="13" t="inlineStr">
        <is>
          <t>low</t>
        </is>
      </c>
      <c r="K520" s="10" t="inlineStr">
        <is>
          <t>habitat_size_guild</t>
        </is>
      </c>
      <c r="L52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0" s="10" t="n">
        <v>809.3</v>
      </c>
    </row>
    <row r="521" ht="36" customHeight="1">
      <c r="A521" s="10" t="inlineStr">
        <is>
          <t>LME_036</t>
        </is>
      </c>
      <c r="B521" s="11" t="inlineStr">
        <is>
          <t>36_2_South_China_Sea_SCS-2007_Northern_South_China_Sea_(1970s)</t>
        </is>
      </c>
      <c r="C521" s="11" t="inlineStr">
        <is>
          <t>Magallana gigas</t>
        </is>
      </c>
      <c r="D521" s="10" t="inlineStr">
        <is>
          <t>Pacific cupped oyster</t>
        </is>
      </c>
      <c r="E521" s="10" t="inlineStr">
        <is>
          <t>Other demersal invertebrates</t>
        </is>
      </c>
      <c r="F521" s="10" t="inlineStr">
        <is>
          <t>Molluscs</t>
        </is>
      </c>
      <c r="G521" s="11" t="inlineStr">
        <is>
          <t>Non-ceph molluscs</t>
        </is>
      </c>
      <c r="H521" s="12" t="n">
        <v>1</v>
      </c>
      <c r="I521" s="10" t="inlineStr">
        <is>
          <t>single</t>
        </is>
      </c>
      <c r="J521" s="15" t="inlineStr">
        <is>
          <t>high</t>
        </is>
      </c>
      <c r="K521" s="10" t="inlineStr">
        <is>
          <t>taxonomic_containment</t>
        </is>
      </c>
      <c r="L521" s="11" t="inlineStr">
        <is>
          <t>Taxonomic containment in the source benthos subdivision (Appendix 6.1.5 pp.324-325), keeping non-cephalopod molluscs separate from echinoderms and sessile invertebrates.</t>
        </is>
      </c>
      <c r="M521" s="10" t="n">
        <v>797.27</v>
      </c>
    </row>
    <row r="522" ht="51" customHeight="1">
      <c r="A522" s="10" t="inlineStr">
        <is>
          <t>LME_036</t>
        </is>
      </c>
      <c r="B522" s="11" t="inlineStr">
        <is>
          <t>36_2_South_China_Sea_SCS-2007_Northern_South_China_Sea_(1970s)</t>
        </is>
      </c>
      <c r="C522" s="11" t="inlineStr">
        <is>
          <t>Sillago sihama</t>
        </is>
      </c>
      <c r="D522" s="10" t="inlineStr">
        <is>
          <t>Silver sillago</t>
        </is>
      </c>
      <c r="E522" s="10" t="inlineStr">
        <is>
          <t>Medium demersals (30 - 89 cm)</t>
        </is>
      </c>
      <c r="F522" s="10" t="inlineStr">
        <is>
          <t>Perch-likes</t>
        </is>
      </c>
      <c r="G522" s="11" t="inlineStr">
        <is>
          <t>Juvenile demersal fish (&gt; 30 cm)</t>
        </is>
      </c>
      <c r="H522" s="12" t="n">
        <v>0.2002781641168289</v>
      </c>
      <c r="I522" s="10" t="inlineStr">
        <is>
          <t>model_catch</t>
        </is>
      </c>
      <c r="J522" s="14" t="inlineStr">
        <is>
          <t>medium</t>
        </is>
      </c>
      <c r="K522" s="10" t="inlineStr">
        <is>
          <t>composite_split</t>
        </is>
      </c>
      <c r="L52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2" s="10" t="n">
        <v>685.749</v>
      </c>
    </row>
    <row r="523" ht="51" customHeight="1">
      <c r="A523" s="10" t="inlineStr">
        <is>
          <t>LME_036</t>
        </is>
      </c>
      <c r="B523" s="11" t="inlineStr">
        <is>
          <t>36_2_South_China_Sea_SCS-2007_Northern_South_China_Sea_(1970s)</t>
        </is>
      </c>
      <c r="C523" s="11" t="inlineStr">
        <is>
          <t>Sillago sihama</t>
        </is>
      </c>
      <c r="D523" s="10" t="inlineStr">
        <is>
          <t>Silver sillago</t>
        </is>
      </c>
      <c r="E523" s="10" t="inlineStr">
        <is>
          <t>Medium demersals (30 - 89 cm)</t>
        </is>
      </c>
      <c r="F523" s="10" t="inlineStr">
        <is>
          <t>Perch-likes</t>
        </is>
      </c>
      <c r="G523" s="11" t="inlineStr">
        <is>
          <t>Adult demersal fish (&gt; 30 cm)</t>
        </is>
      </c>
      <c r="H523" s="12" t="n">
        <v>0.799721835883171</v>
      </c>
      <c r="I523" s="10" t="inlineStr">
        <is>
          <t>model_catch</t>
        </is>
      </c>
      <c r="J523" s="14" t="inlineStr">
        <is>
          <t>medium</t>
        </is>
      </c>
      <c r="K523" s="10" t="inlineStr">
        <is>
          <t>composite_split</t>
        </is>
      </c>
      <c r="L52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3" s="10" t="n">
        <v>685.749</v>
      </c>
    </row>
    <row r="524" ht="36" customHeight="1">
      <c r="A524" s="10" t="inlineStr">
        <is>
          <t>LME_036</t>
        </is>
      </c>
      <c r="B524" s="11" t="inlineStr">
        <is>
          <t>36_2_South_China_Sea_SCS-2007_Northern_South_China_Sea_(1970s)</t>
        </is>
      </c>
      <c r="C524" s="11" t="inlineStr">
        <is>
          <t>Pteriomorphia</t>
        </is>
      </c>
      <c r="D524" s="10" t="inlineStr">
        <is>
          <t>Clams, cockles, arkshells</t>
        </is>
      </c>
      <c r="E524" s="10" t="inlineStr">
        <is>
          <t>Other demersal invertebrates</t>
        </is>
      </c>
      <c r="F524" s="10" t="inlineStr">
        <is>
          <t>Molluscs</t>
        </is>
      </c>
      <c r="G524" s="11" t="inlineStr">
        <is>
          <t>Non-ceph molluscs</t>
        </is>
      </c>
      <c r="H524" s="12" t="n">
        <v>1</v>
      </c>
      <c r="I524" s="10" t="inlineStr">
        <is>
          <t>single</t>
        </is>
      </c>
      <c r="J524" s="15" t="inlineStr">
        <is>
          <t>high</t>
        </is>
      </c>
      <c r="K524" s="10" t="inlineStr">
        <is>
          <t>taxonomic_containment</t>
        </is>
      </c>
      <c r="L524" s="11" t="inlineStr">
        <is>
          <t>Taxonomic containment in the source benthos subdivision (Appendix 6.1.5 pp.324-325), keeping non-cephalopod molluscs separate from echinoderms and sessile invertebrates.</t>
        </is>
      </c>
      <c r="M524" s="10" t="n">
        <v>674.704</v>
      </c>
    </row>
    <row r="525" ht="36" customHeight="1">
      <c r="A525" s="10" t="inlineStr">
        <is>
          <t>LME_036</t>
        </is>
      </c>
      <c r="B525" s="11" t="inlineStr">
        <is>
          <t>36_2_South_China_Sea_SCS-2007_Northern_South_China_Sea_(1970s)</t>
        </is>
      </c>
      <c r="C525" s="11" t="inlineStr">
        <is>
          <t>Metapenaeus ensis</t>
        </is>
      </c>
      <c r="D525" s="10" t="inlineStr">
        <is>
          <t>Greasyback shrimp</t>
        </is>
      </c>
      <c r="E525" s="10" t="inlineStr">
        <is>
          <t>Shrimps</t>
        </is>
      </c>
      <c r="F525" s="10" t="inlineStr">
        <is>
          <t>Crustaceans</t>
        </is>
      </c>
      <c r="G525" s="11" t="inlineStr">
        <is>
          <t>Shrimps</t>
        </is>
      </c>
      <c r="H525" s="12" t="n">
        <v>1</v>
      </c>
      <c r="I525" s="10" t="inlineStr">
        <is>
          <t>single</t>
        </is>
      </c>
      <c r="J525" s="15" t="inlineStr">
        <is>
          <t>high</t>
        </is>
      </c>
      <c r="K525" s="10" t="inlineStr">
        <is>
          <t>taxonomic_containment</t>
        </is>
      </c>
      <c r="L525" s="11" t="inlineStr">
        <is>
          <t>Stomatopods belong to the residual benthic crustaceans; other shrimp taxa belong to Shrimps after the explicitly separated Acetes records (Appendix 6.1 pp.323-326).</t>
        </is>
      </c>
      <c r="M525" s="10" t="n">
        <v>648.1900000000001</v>
      </c>
    </row>
    <row r="526" ht="36" customHeight="1">
      <c r="A526" s="10" t="inlineStr">
        <is>
          <t>LME_036</t>
        </is>
      </c>
      <c r="B526" s="11" t="inlineStr">
        <is>
          <t>36_2_South_China_Sea_SCS-2007_Northern_South_China_Sea_(1970s)</t>
        </is>
      </c>
      <c r="C526" s="11" t="inlineStr">
        <is>
          <t>Macolor</t>
        </is>
      </c>
      <c r="D526" s="10" t="inlineStr">
        <is>
          <t>Snappers</t>
        </is>
      </c>
      <c r="E526" s="10" t="inlineStr">
        <is>
          <t>Medium reef assoc. fish (30 - 89 cm)</t>
        </is>
      </c>
      <c r="F526" s="10" t="inlineStr">
        <is>
          <t>Perch-likes</t>
        </is>
      </c>
      <c r="G526" s="11" t="inlineStr">
        <is>
          <t>Snappers</t>
        </is>
      </c>
      <c r="H526" s="12" t="n">
        <v>1</v>
      </c>
      <c r="I526" s="10" t="inlineStr">
        <is>
          <t>single</t>
        </is>
      </c>
      <c r="J526" s="15" t="inlineStr">
        <is>
          <t>high</t>
        </is>
      </c>
      <c r="K526" s="10" t="inlineStr">
        <is>
          <t>taxonomic_containment</t>
        </is>
      </c>
      <c r="L526" s="11" t="inlineStr">
        <is>
          <t>Appendix 6.1 pp.327-335 defines Snappers by this family or explicitly names Macolor; dedicated source placement overrides the SAU class Medium reef assoc. fish (30 - 89 cm).</t>
        </is>
      </c>
      <c r="M526" s="10" t="n">
        <v>625.67</v>
      </c>
    </row>
    <row r="527" ht="36" customHeight="1">
      <c r="A527" s="10" t="inlineStr">
        <is>
          <t>LME_036</t>
        </is>
      </c>
      <c r="B527" s="11" t="inlineStr">
        <is>
          <t>36_2_South_China_Sea_SCS-2007_Northern_South_China_Sea_(1970s)</t>
        </is>
      </c>
      <c r="C527" s="11" t="inlineStr">
        <is>
          <t>Haliotis</t>
        </is>
      </c>
      <c r="D527" s="10" t="inlineStr">
        <is>
          <t>Abalones</t>
        </is>
      </c>
      <c r="E527" s="10" t="inlineStr">
        <is>
          <t>Other demersal invertebrates</t>
        </is>
      </c>
      <c r="F527" s="10" t="inlineStr">
        <is>
          <t>Molluscs</t>
        </is>
      </c>
      <c r="G527" s="11" t="inlineStr">
        <is>
          <t>Non-ceph molluscs</t>
        </is>
      </c>
      <c r="H527" s="12" t="n">
        <v>1</v>
      </c>
      <c r="I527" s="10" t="inlineStr">
        <is>
          <t>single</t>
        </is>
      </c>
      <c r="J527" s="15" t="inlineStr">
        <is>
          <t>high</t>
        </is>
      </c>
      <c r="K527" s="10" t="inlineStr">
        <is>
          <t>taxonomic_containment</t>
        </is>
      </c>
      <c r="L527" s="11" t="inlineStr">
        <is>
          <t>Taxonomic containment in the source benthos subdivision (Appendix 6.1.5 pp.324-325), keeping non-cephalopod molluscs separate from echinoderms and sessile invertebrates.</t>
        </is>
      </c>
      <c r="M527" s="10" t="n">
        <v>566.4690000000001</v>
      </c>
    </row>
    <row r="528" ht="51" customHeight="1">
      <c r="A528" s="10" t="inlineStr">
        <is>
          <t>LME_036</t>
        </is>
      </c>
      <c r="B528" s="11" t="inlineStr">
        <is>
          <t>36_2_South_China_Sea_SCS-2007_Northern_South_China_Sea_(1970s)</t>
        </is>
      </c>
      <c r="C528" s="11" t="inlineStr">
        <is>
          <t>Berycidae</t>
        </is>
      </c>
      <c r="D528" s="10" t="inlineStr">
        <is>
          <t>Alfonsinos, redfishes</t>
        </is>
      </c>
      <c r="E528" s="10" t="inlineStr">
        <is>
          <t>Medium benthopelagics (30 - 89 cm)</t>
        </is>
      </c>
      <c r="F528" s="10" t="inlineStr">
        <is>
          <t>Other fishes &amp; inverts</t>
        </is>
      </c>
      <c r="G528" s="11" t="inlineStr">
        <is>
          <t>Benthopelagic fish</t>
        </is>
      </c>
      <c r="H528" s="12" t="n">
        <v>1</v>
      </c>
      <c r="I528" s="10" t="inlineStr">
        <is>
          <t>single</t>
        </is>
      </c>
      <c r="J528" s="13" t="inlineStr">
        <is>
          <t>low</t>
        </is>
      </c>
      <c r="K528" s="10" t="inlineStr">
        <is>
          <t>habitat_size_guild</t>
        </is>
      </c>
      <c r="L52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8" s="10" t="n">
        <v>507.146</v>
      </c>
    </row>
    <row r="529" ht="36" customHeight="1">
      <c r="A529" s="10" t="inlineStr">
        <is>
          <t>LME_036</t>
        </is>
      </c>
      <c r="B529" s="11" t="inlineStr">
        <is>
          <t>36_2_South_China_Sea_SCS-2007_Northern_South_China_Sea_(1970s)</t>
        </is>
      </c>
      <c r="C529" s="11" t="inlineStr">
        <is>
          <t>Makaira</t>
        </is>
      </c>
      <c r="D529" s="10" t="inlineStr">
        <is>
          <t>Blue marlins</t>
        </is>
      </c>
      <c r="E529" s="10" t="inlineStr">
        <is>
          <t>Large pelagics (&gt;=90 cm)</t>
        </is>
      </c>
      <c r="F529" s="10" t="inlineStr">
        <is>
          <t>Tuna &amp; billfishes</t>
        </is>
      </c>
      <c r="G529" s="11" t="inlineStr">
        <is>
          <t>Unresolved</t>
        </is>
      </c>
      <c r="H529" s="12" t="n"/>
      <c r="I529" s="10" t="inlineStr"/>
      <c r="J529" s="16" t="inlineStr">
        <is>
          <t>unresolved</t>
        </is>
      </c>
      <c r="K529" s="10" t="inlineStr">
        <is>
          <t>none</t>
        </is>
      </c>
      <c r="L529" s="11" t="inlineStr">
        <is>
          <t>Northern continental-shelf model lacks a documented oceanic billfish or deep-pelagic compartment; assigning coastal juvenile/adult pelagic SPPR would be unsupported.</t>
        </is>
      </c>
      <c r="M529" s="10" t="n">
        <v>455.099</v>
      </c>
    </row>
    <row r="530" ht="36" customHeight="1">
      <c r="A530" s="10" t="inlineStr">
        <is>
          <t>LME_036</t>
        </is>
      </c>
      <c r="B530" s="11" t="inlineStr">
        <is>
          <t>36_2_South_China_Sea_SCS-2007_Northern_South_China_Sea_(1970s)</t>
        </is>
      </c>
      <c r="C530" s="11" t="inlineStr">
        <is>
          <t>Lutjanus bohar</t>
        </is>
      </c>
      <c r="D530" s="10" t="inlineStr">
        <is>
          <t>Two-spot red snapper</t>
        </is>
      </c>
      <c r="E530" s="10" t="inlineStr">
        <is>
          <t>Medium reef assoc. fish (30 - 89 cm)</t>
        </is>
      </c>
      <c r="F530" s="10" t="inlineStr">
        <is>
          <t>Perch-likes</t>
        </is>
      </c>
      <c r="G530" s="11" t="inlineStr">
        <is>
          <t>Snappers</t>
        </is>
      </c>
      <c r="H530" s="12" t="n">
        <v>1</v>
      </c>
      <c r="I530" s="10" t="inlineStr">
        <is>
          <t>single</t>
        </is>
      </c>
      <c r="J530" s="15" t="inlineStr">
        <is>
          <t>high</t>
        </is>
      </c>
      <c r="K530" s="10" t="inlineStr">
        <is>
          <t>taxonomic_containment</t>
        </is>
      </c>
      <c r="L530" s="11" t="inlineStr">
        <is>
          <t>Appendix 6.1 pp.327-335 defines Snappers by this family or explicitly names Lutjanus bohar; dedicated source placement overrides the SAU class Medium reef assoc. fish (30 - 89 cm).</t>
        </is>
      </c>
      <c r="M530" s="10" t="n">
        <v>430.281</v>
      </c>
    </row>
    <row r="531" ht="51" customHeight="1">
      <c r="A531" s="10" t="inlineStr">
        <is>
          <t>LME_036</t>
        </is>
      </c>
      <c r="B531" s="11" t="inlineStr">
        <is>
          <t>36_2_South_China_Sea_SCS-2007_Northern_South_China_Sea_(1970s)</t>
        </is>
      </c>
      <c r="C531" s="11" t="inlineStr">
        <is>
          <t>Pomadasys argenteus</t>
        </is>
      </c>
      <c r="D531" s="10" t="inlineStr">
        <is>
          <t>Silver grunt</t>
        </is>
      </c>
      <c r="E531" s="10" t="inlineStr">
        <is>
          <t>Medium demersals (30 - 89 cm)</t>
        </is>
      </c>
      <c r="F531" s="10" t="inlineStr">
        <is>
          <t>Perch-likes</t>
        </is>
      </c>
      <c r="G531" s="11" t="inlineStr">
        <is>
          <t>Juvenile demersal fish (&gt; 30 cm)</t>
        </is>
      </c>
      <c r="H531" s="12" t="n">
        <v>0.2002781641168289</v>
      </c>
      <c r="I531" s="10" t="inlineStr">
        <is>
          <t>model_catch</t>
        </is>
      </c>
      <c r="J531" s="14" t="inlineStr">
        <is>
          <t>medium</t>
        </is>
      </c>
      <c r="K531" s="10" t="inlineStr">
        <is>
          <t>composite_split</t>
        </is>
      </c>
      <c r="L5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1" s="10" t="n">
        <v>346.7</v>
      </c>
    </row>
    <row r="532" ht="51" customHeight="1">
      <c r="A532" s="10" t="inlineStr">
        <is>
          <t>LME_036</t>
        </is>
      </c>
      <c r="B532" s="11" t="inlineStr">
        <is>
          <t>36_2_South_China_Sea_SCS-2007_Northern_South_China_Sea_(1970s)</t>
        </is>
      </c>
      <c r="C532" s="11" t="inlineStr">
        <is>
          <t>Pomadasys argenteus</t>
        </is>
      </c>
      <c r="D532" s="10" t="inlineStr">
        <is>
          <t>Silver grunt</t>
        </is>
      </c>
      <c r="E532" s="10" t="inlineStr">
        <is>
          <t>Medium demersals (30 - 89 cm)</t>
        </is>
      </c>
      <c r="F532" s="10" t="inlineStr">
        <is>
          <t>Perch-likes</t>
        </is>
      </c>
      <c r="G532" s="11" t="inlineStr">
        <is>
          <t>Adult demersal fish (&gt; 30 cm)</t>
        </is>
      </c>
      <c r="H532" s="12" t="n">
        <v>0.799721835883171</v>
      </c>
      <c r="I532" s="10" t="inlineStr">
        <is>
          <t>model_catch</t>
        </is>
      </c>
      <c r="J532" s="14" t="inlineStr">
        <is>
          <t>medium</t>
        </is>
      </c>
      <c r="K532" s="10" t="inlineStr">
        <is>
          <t>composite_split</t>
        </is>
      </c>
      <c r="L5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2" s="10" t="n">
        <v>346.7</v>
      </c>
    </row>
    <row r="533" ht="51" customHeight="1">
      <c r="A533" s="10" t="inlineStr">
        <is>
          <t>LME_036</t>
        </is>
      </c>
      <c r="B533" s="11" t="inlineStr">
        <is>
          <t>36_2_South_China_Sea_SCS-2007_Northern_South_China_Sea_(1970s)</t>
        </is>
      </c>
      <c r="C533" s="11" t="inlineStr">
        <is>
          <t>Caranx sexfasciatus</t>
        </is>
      </c>
      <c r="D533" s="10" t="inlineStr">
        <is>
          <t>Bigeye trevally</t>
        </is>
      </c>
      <c r="E533" s="10" t="inlineStr">
        <is>
          <t>Large reef assoc. fish (&gt;=90 cm)</t>
        </is>
      </c>
      <c r="F533" s="10" t="inlineStr">
        <is>
          <t>Perch-likes</t>
        </is>
      </c>
      <c r="G533" s="11" t="inlineStr">
        <is>
          <t>Juvenile large pelagic fish</t>
        </is>
      </c>
      <c r="H533" s="12" t="n">
        <v>0.2016806722689076</v>
      </c>
      <c r="I533" s="10" t="inlineStr">
        <is>
          <t>model_catch</t>
        </is>
      </c>
      <c r="J533" s="14" t="inlineStr">
        <is>
          <t>medium</t>
        </is>
      </c>
      <c r="K533" s="10" t="inlineStr">
        <is>
          <t>composite_split</t>
        </is>
      </c>
      <c r="L53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3" s="10" t="n">
        <v>293.675</v>
      </c>
    </row>
    <row r="534" ht="51" customHeight="1">
      <c r="A534" s="10" t="inlineStr">
        <is>
          <t>LME_036</t>
        </is>
      </c>
      <c r="B534" s="11" t="inlineStr">
        <is>
          <t>36_2_South_China_Sea_SCS-2007_Northern_South_China_Sea_(1970s)</t>
        </is>
      </c>
      <c r="C534" s="11" t="inlineStr">
        <is>
          <t>Caranx sexfasciatus</t>
        </is>
      </c>
      <c r="D534" s="10" t="inlineStr">
        <is>
          <t>Bigeye trevally</t>
        </is>
      </c>
      <c r="E534" s="10" t="inlineStr">
        <is>
          <t>Large reef assoc. fish (&gt;=90 cm)</t>
        </is>
      </c>
      <c r="F534" s="10" t="inlineStr">
        <is>
          <t>Perch-likes</t>
        </is>
      </c>
      <c r="G534" s="11" t="inlineStr">
        <is>
          <t>Pelagic fish (&gt; 30 cm)</t>
        </is>
      </c>
      <c r="H534" s="12" t="n">
        <v>0.7983193277310925</v>
      </c>
      <c r="I534" s="10" t="inlineStr">
        <is>
          <t>model_catch</t>
        </is>
      </c>
      <c r="J534" s="14" t="inlineStr">
        <is>
          <t>medium</t>
        </is>
      </c>
      <c r="K534" s="10" t="inlineStr">
        <is>
          <t>composite_split</t>
        </is>
      </c>
      <c r="L53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4" s="10" t="n">
        <v>293.675</v>
      </c>
    </row>
    <row r="535" ht="51" customHeight="1">
      <c r="A535" s="10" t="inlineStr">
        <is>
          <t>LME_036</t>
        </is>
      </c>
      <c r="B535" s="11" t="inlineStr">
        <is>
          <t>36_2_South_China_Sea_SCS-2007_Northern_South_China_Sea_(1970s)</t>
        </is>
      </c>
      <c r="C535" s="11" t="inlineStr">
        <is>
          <t>Spratelloides</t>
        </is>
      </c>
      <c r="D535" s="10" t="inlineStr">
        <is>
          <t>Round herrings</t>
        </is>
      </c>
      <c r="E535" s="10" t="inlineStr">
        <is>
          <t>Small reef assoc. fish (&lt;30 cm)</t>
        </is>
      </c>
      <c r="F535" s="10" t="inlineStr">
        <is>
          <t>Herring-likes</t>
        </is>
      </c>
      <c r="G535" s="11" t="inlineStr">
        <is>
          <t>Pelagic fish (≤ 30 cm)</t>
        </is>
      </c>
      <c r="H535" s="12" t="n">
        <v>1</v>
      </c>
      <c r="I535" s="10" t="inlineStr">
        <is>
          <t>single</t>
        </is>
      </c>
      <c r="J535" s="14" t="inlineStr">
        <is>
          <t>medium</t>
        </is>
      </c>
      <c r="K535" s="10" t="inlineStr">
        <is>
          <t>habitat_size_guild</t>
        </is>
      </c>
      <c r="L535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35" s="10" t="n">
        <v>262.48</v>
      </c>
    </row>
    <row r="536" ht="51" customHeight="1">
      <c r="A536" s="10" t="inlineStr">
        <is>
          <t>LME_036</t>
        </is>
      </c>
      <c r="B536" s="11" t="inlineStr">
        <is>
          <t>36_2_South_China_Sea_SCS-2007_Northern_South_China_Sea_(1970s)</t>
        </is>
      </c>
      <c r="C536" s="11" t="inlineStr">
        <is>
          <t>Nibea albiflora</t>
        </is>
      </c>
      <c r="D536" s="10" t="inlineStr">
        <is>
          <t>Yellow drum</t>
        </is>
      </c>
      <c r="E536" s="10" t="inlineStr">
        <is>
          <t>Medium benthopelagics (30 - 89 cm)</t>
        </is>
      </c>
      <c r="F536" s="10" t="inlineStr">
        <is>
          <t>Perch-likes</t>
        </is>
      </c>
      <c r="G536" s="11" t="inlineStr">
        <is>
          <t>Juvenile large croakers</t>
        </is>
      </c>
      <c r="H536" s="12" t="n">
        <v>0.2</v>
      </c>
      <c r="I536" s="10" t="inlineStr">
        <is>
          <t>model_catch</t>
        </is>
      </c>
      <c r="J536" s="13" t="inlineStr">
        <is>
          <t>low</t>
        </is>
      </c>
      <c r="K536" s="10" t="inlineStr">
        <is>
          <t>composite_split</t>
        </is>
      </c>
      <c r="L5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6" s="10" t="n">
        <v>252.85</v>
      </c>
    </row>
    <row r="537" ht="51" customHeight="1">
      <c r="A537" s="10" t="inlineStr">
        <is>
          <t>LME_036</t>
        </is>
      </c>
      <c r="B537" s="11" t="inlineStr">
        <is>
          <t>36_2_South_China_Sea_SCS-2007_Northern_South_China_Sea_(1970s)</t>
        </is>
      </c>
      <c r="C537" s="11" t="inlineStr">
        <is>
          <t>Nibea albiflora</t>
        </is>
      </c>
      <c r="D537" s="10" t="inlineStr">
        <is>
          <t>Yellow drum</t>
        </is>
      </c>
      <c r="E537" s="10" t="inlineStr">
        <is>
          <t>Medium benthopelagics (30 - 89 cm)</t>
        </is>
      </c>
      <c r="F537" s="10" t="inlineStr">
        <is>
          <t>Perch-likes</t>
        </is>
      </c>
      <c r="G537" s="11" t="inlineStr">
        <is>
          <t>Croakers (&gt; 30 cm)</t>
        </is>
      </c>
      <c r="H537" s="12" t="n">
        <v>0.8</v>
      </c>
      <c r="I537" s="10" t="inlineStr">
        <is>
          <t>model_catch</t>
        </is>
      </c>
      <c r="J537" s="13" t="inlineStr">
        <is>
          <t>low</t>
        </is>
      </c>
      <c r="K537" s="10" t="inlineStr">
        <is>
          <t>composite_split</t>
        </is>
      </c>
      <c r="L53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7" s="10" t="n">
        <v>252.85</v>
      </c>
    </row>
    <row r="538" ht="36" customHeight="1">
      <c r="A538" s="10" t="inlineStr">
        <is>
          <t>LME_036</t>
        </is>
      </c>
      <c r="B538" s="11" t="inlineStr">
        <is>
          <t>36_2_South_China_Sea_SCS-2007_Northern_South_China_Sea_(1970s)</t>
        </is>
      </c>
      <c r="C538" s="11" t="inlineStr">
        <is>
          <t>Bramidae</t>
        </is>
      </c>
      <c r="D538" s="10" t="inlineStr">
        <is>
          <t>Pomfrets</t>
        </is>
      </c>
      <c r="E538" s="10" t="inlineStr">
        <is>
          <t>Medium pelagics (30 - 89 cm)</t>
        </is>
      </c>
      <c r="F538" s="10" t="inlineStr">
        <is>
          <t>Perch-likes</t>
        </is>
      </c>
      <c r="G538" s="11" t="inlineStr">
        <is>
          <t>Juvenile large pelagic fish</t>
        </is>
      </c>
      <c r="H538" s="12" t="n">
        <v>0.2016806722689076</v>
      </c>
      <c r="I538" s="10" t="inlineStr">
        <is>
          <t>model_catch</t>
        </is>
      </c>
      <c r="J538" s="14" t="inlineStr">
        <is>
          <t>medium</t>
        </is>
      </c>
      <c r="K538" s="10" t="inlineStr">
        <is>
          <t>composite_split</t>
        </is>
      </c>
      <c r="L538" s="11" t="inlineStr">
        <is>
          <t>Analyst habitat/size inference to source &gt;30 cm pelagic fish (Appendix 6.1.24 p.339); no age data, so split juvenile/adult using the period model catch.</t>
        </is>
      </c>
      <c r="M538" s="10" t="n">
        <v>243.184</v>
      </c>
    </row>
    <row r="539" ht="36" customHeight="1">
      <c r="A539" s="10" t="inlineStr">
        <is>
          <t>LME_036</t>
        </is>
      </c>
      <c r="B539" s="11" t="inlineStr">
        <is>
          <t>36_2_South_China_Sea_SCS-2007_Northern_South_China_Sea_(1970s)</t>
        </is>
      </c>
      <c r="C539" s="11" t="inlineStr">
        <is>
          <t>Bramidae</t>
        </is>
      </c>
      <c r="D539" s="10" t="inlineStr">
        <is>
          <t>Pomfrets</t>
        </is>
      </c>
      <c r="E539" s="10" t="inlineStr">
        <is>
          <t>Medium pelagics (30 - 89 cm)</t>
        </is>
      </c>
      <c r="F539" s="10" t="inlineStr">
        <is>
          <t>Perch-likes</t>
        </is>
      </c>
      <c r="G539" s="11" t="inlineStr">
        <is>
          <t>Pelagic fish (&gt; 30 cm)</t>
        </is>
      </c>
      <c r="H539" s="12" t="n">
        <v>0.7983193277310925</v>
      </c>
      <c r="I539" s="10" t="inlineStr">
        <is>
          <t>model_catch</t>
        </is>
      </c>
      <c r="J539" s="14" t="inlineStr">
        <is>
          <t>medium</t>
        </is>
      </c>
      <c r="K539" s="10" t="inlineStr">
        <is>
          <t>composite_split</t>
        </is>
      </c>
      <c r="L539" s="11" t="inlineStr">
        <is>
          <t>Analyst habitat/size inference to source &gt;30 cm pelagic fish (Appendix 6.1.24 p.339); no age data, so split juvenile/adult using the period model catch.</t>
        </is>
      </c>
      <c r="M539" s="10" t="n">
        <v>243.184</v>
      </c>
    </row>
    <row r="540" ht="51" customHeight="1">
      <c r="A540" s="10" t="inlineStr">
        <is>
          <t>LME_036</t>
        </is>
      </c>
      <c r="B540" s="11" t="inlineStr">
        <is>
          <t>36_2_South_China_Sea_SCS-2007_Northern_South_China_Sea_(1970s)</t>
        </is>
      </c>
      <c r="C540" s="11" t="inlineStr">
        <is>
          <t>Anguilliformes</t>
        </is>
      </c>
      <c r="D540" s="10" t="inlineStr">
        <is>
          <t>Eels, morays</t>
        </is>
      </c>
      <c r="E540" s="10" t="inlineStr">
        <is>
          <t>Large demersals (&gt;=90 cm)</t>
        </is>
      </c>
      <c r="F540" s="10" t="inlineStr">
        <is>
          <t>Other fishes &amp; inverts</t>
        </is>
      </c>
      <c r="G540" s="11" t="inlineStr">
        <is>
          <t>Juvenile demersal fish (&gt; 30 cm)</t>
        </is>
      </c>
      <c r="H540" s="12" t="n">
        <v>0.2002781641168289</v>
      </c>
      <c r="I540" s="10" t="inlineStr">
        <is>
          <t>model_catch</t>
        </is>
      </c>
      <c r="J540" s="14" t="inlineStr">
        <is>
          <t>medium</t>
        </is>
      </c>
      <c r="K540" s="10" t="inlineStr">
        <is>
          <t>composite_split</t>
        </is>
      </c>
      <c r="L5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0" s="10" t="n">
        <v>186.602</v>
      </c>
    </row>
    <row r="541" ht="51" customHeight="1">
      <c r="A541" s="10" t="inlineStr">
        <is>
          <t>LME_036</t>
        </is>
      </c>
      <c r="B541" s="11" t="inlineStr">
        <is>
          <t>36_2_South_China_Sea_SCS-2007_Northern_South_China_Sea_(1970s)</t>
        </is>
      </c>
      <c r="C541" s="11" t="inlineStr">
        <is>
          <t>Anguilliformes</t>
        </is>
      </c>
      <c r="D541" s="10" t="inlineStr">
        <is>
          <t>Eels, morays</t>
        </is>
      </c>
      <c r="E541" s="10" t="inlineStr">
        <is>
          <t>Large demersals (&gt;=90 cm)</t>
        </is>
      </c>
      <c r="F541" s="10" t="inlineStr">
        <is>
          <t>Other fishes &amp; inverts</t>
        </is>
      </c>
      <c r="G541" s="11" t="inlineStr">
        <is>
          <t>Adult demersal fish (&gt; 30 cm)</t>
        </is>
      </c>
      <c r="H541" s="12" t="n">
        <v>0.799721835883171</v>
      </c>
      <c r="I541" s="10" t="inlineStr">
        <is>
          <t>model_catch</t>
        </is>
      </c>
      <c r="J541" s="14" t="inlineStr">
        <is>
          <t>medium</t>
        </is>
      </c>
      <c r="K541" s="10" t="inlineStr">
        <is>
          <t>composite_split</t>
        </is>
      </c>
      <c r="L5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1" s="10" t="n">
        <v>186.602</v>
      </c>
    </row>
    <row r="542" ht="36" customHeight="1">
      <c r="A542" s="10" t="inlineStr">
        <is>
          <t>LME_036</t>
        </is>
      </c>
      <c r="B542" s="11" t="inlineStr">
        <is>
          <t>36_2_South_China_Sea_SCS-2007_Northern_South_China_Sea_(1970s)</t>
        </is>
      </c>
      <c r="C542" s="11" t="inlineStr">
        <is>
          <t>Crassostrea</t>
        </is>
      </c>
      <c r="D542" s="10" t="inlineStr">
        <is>
          <t>Cupped oysters</t>
        </is>
      </c>
      <c r="E542" s="10" t="inlineStr">
        <is>
          <t>Other demersal invertebrates</t>
        </is>
      </c>
      <c r="F542" s="10" t="inlineStr">
        <is>
          <t>Molluscs</t>
        </is>
      </c>
      <c r="G542" s="11" t="inlineStr">
        <is>
          <t>Non-ceph molluscs</t>
        </is>
      </c>
      <c r="H542" s="12" t="n">
        <v>1</v>
      </c>
      <c r="I542" s="10" t="inlineStr">
        <is>
          <t>single</t>
        </is>
      </c>
      <c r="J542" s="15" t="inlineStr">
        <is>
          <t>high</t>
        </is>
      </c>
      <c r="K542" s="10" t="inlineStr">
        <is>
          <t>taxonomic_containment</t>
        </is>
      </c>
      <c r="L542" s="11" t="inlineStr">
        <is>
          <t>Taxonomic containment in the source benthos subdivision (Appendix 6.1.5 pp.324-325), keeping non-cephalopod molluscs separate from echinoderms and sessile invertebrates.</t>
        </is>
      </c>
      <c r="M542" s="10" t="n">
        <v>159.458</v>
      </c>
    </row>
    <row r="543" ht="36" customHeight="1">
      <c r="A543" s="10" t="inlineStr">
        <is>
          <t>LME_036</t>
        </is>
      </c>
      <c r="B543" s="11" t="inlineStr">
        <is>
          <t>36_2_South_China_Sea_SCS-2007_Northern_South_China_Sea_(1970s)</t>
        </is>
      </c>
      <c r="C543" s="11" t="inlineStr">
        <is>
          <t>Hippocampus</t>
        </is>
      </c>
      <c r="D543" s="10" t="inlineStr">
        <is>
          <t>Seahorses</t>
        </is>
      </c>
      <c r="E543" s="10" t="inlineStr">
        <is>
          <t>Small reef assoc. fish (&lt;30 cm)</t>
        </is>
      </c>
      <c r="F543" s="10" t="inlineStr">
        <is>
          <t>Other fishes &amp; inverts</t>
        </is>
      </c>
      <c r="G543" s="11" t="inlineStr">
        <is>
          <t>Demesral fish (≤ 30 cm)</t>
        </is>
      </c>
      <c r="H543" s="12" t="n">
        <v>1</v>
      </c>
      <c r="I543" s="10" t="inlineStr">
        <is>
          <t>single</t>
        </is>
      </c>
      <c r="J543" s="14" t="inlineStr">
        <is>
          <t>medium</t>
        </is>
      </c>
      <c r="K543" s="10" t="inlineStr">
        <is>
          <t>habitat_size_guild</t>
        </is>
      </c>
      <c r="L543" s="11" t="inlineStr">
        <is>
          <t>Analyst habitat/size inference: small demersal or reef-associated fish after excluding dedicated taxonomic groups, matching Appendix 6.1.19 &lt;=30 cm residual demersal pool.</t>
        </is>
      </c>
      <c r="M543" s="10" t="n">
        <v>148.11</v>
      </c>
    </row>
    <row r="544" ht="36" customHeight="1">
      <c r="A544" s="10" t="inlineStr">
        <is>
          <t>LME_036</t>
        </is>
      </c>
      <c r="B544" s="11" t="inlineStr">
        <is>
          <t>36_2_South_China_Sea_SCS-2007_Northern_South_China_Sea_(1970s)</t>
        </is>
      </c>
      <c r="C544" s="11" t="inlineStr">
        <is>
          <t>Holothuriidae</t>
        </is>
      </c>
      <c r="D544" s="10" t="inlineStr">
        <is>
          <t>Fleshy sea cucumbers</t>
        </is>
      </c>
      <c r="E544" s="10" t="inlineStr">
        <is>
          <t>Other demersal invertebrates</t>
        </is>
      </c>
      <c r="F544" s="10" t="inlineStr">
        <is>
          <t>Other fishes &amp; inverts</t>
        </is>
      </c>
      <c r="G544" s="11" t="inlineStr">
        <is>
          <t>Echinoderms</t>
        </is>
      </c>
      <c r="H544" s="12" t="n">
        <v>1</v>
      </c>
      <c r="I544" s="10" t="inlineStr">
        <is>
          <t>single</t>
        </is>
      </c>
      <c r="J544" s="15" t="inlineStr">
        <is>
          <t>high</t>
        </is>
      </c>
      <c r="K544" s="10" t="inlineStr">
        <is>
          <t>taxonomic_containment</t>
        </is>
      </c>
      <c r="L544" s="11" t="inlineStr">
        <is>
          <t>Taxonomic containment in the source benthos subdivision (Appendix 6.1.5 pp.324-325), keeping non-cephalopod molluscs separate from echinoderms and sessile invertebrates.</t>
        </is>
      </c>
      <c r="M544" s="10" t="n">
        <v>111.296</v>
      </c>
    </row>
    <row r="545" ht="36" customHeight="1">
      <c r="A545" s="10" t="inlineStr">
        <is>
          <t>LME_036</t>
        </is>
      </c>
      <c r="B545" s="11" t="inlineStr">
        <is>
          <t>36_2_South_China_Sea_SCS-2007_Northern_South_China_Sea_(1970s)</t>
        </is>
      </c>
      <c r="C545" s="11" t="inlineStr">
        <is>
          <t>Isurus oxyrinchus</t>
        </is>
      </c>
      <c r="D545" s="10" t="inlineStr">
        <is>
          <t>Shortfin mako</t>
        </is>
      </c>
      <c r="E545" s="10" t="inlineStr">
        <is>
          <t>Large sharks (&gt;=90 cm)</t>
        </is>
      </c>
      <c r="F545" s="10" t="inlineStr">
        <is>
          <t>Sharks &amp; rays</t>
        </is>
      </c>
      <c r="G545" s="11" t="inlineStr">
        <is>
          <t>Pelagic sharks and rays</t>
        </is>
      </c>
      <c r="H545" s="12" t="n">
        <v>1</v>
      </c>
      <c r="I545" s="10" t="inlineStr">
        <is>
          <t>single</t>
        </is>
      </c>
      <c r="J545" s="14" t="inlineStr">
        <is>
          <t>medium</t>
        </is>
      </c>
      <c r="K545" s="10" t="inlineStr">
        <is>
          <t>habitat_size_guild</t>
        </is>
      </c>
      <c r="L545" s="11" t="inlineStr">
        <is>
          <t>Pelagic shark lineage matches the pelagic elasmobranch definition, Appendix 6.1.25 p.340; species placement is analyst inference.</t>
        </is>
      </c>
      <c r="M545" s="10" t="n">
        <v>107.259</v>
      </c>
    </row>
    <row r="546" ht="51" customHeight="1">
      <c r="A546" s="10" t="inlineStr">
        <is>
          <t>LME_036</t>
        </is>
      </c>
      <c r="B546" s="11" t="inlineStr">
        <is>
          <t>36_2_South_China_Sea_SCS-2007_Northern_South_China_Sea_(1970s)</t>
        </is>
      </c>
      <c r="C546" s="11" t="inlineStr">
        <is>
          <t>Amblygaster sirm</t>
        </is>
      </c>
      <c r="D546" s="10" t="inlineStr">
        <is>
          <t>Spotted sardinella</t>
        </is>
      </c>
      <c r="E546" s="10" t="inlineStr">
        <is>
          <t>Small pelagics (&lt;30 cm)</t>
        </is>
      </c>
      <c r="F546" s="10" t="inlineStr">
        <is>
          <t>Herring-likes</t>
        </is>
      </c>
      <c r="G546" s="11" t="inlineStr">
        <is>
          <t>Pelagic fish (≤ 30 cm)</t>
        </is>
      </c>
      <c r="H546" s="12" t="n">
        <v>1</v>
      </c>
      <c r="I546" s="10" t="inlineStr">
        <is>
          <t>single</t>
        </is>
      </c>
      <c r="J546" s="14" t="inlineStr">
        <is>
          <t>medium</t>
        </is>
      </c>
      <c r="K546" s="10" t="inlineStr">
        <is>
          <t>habitat_size_guild</t>
        </is>
      </c>
      <c r="L546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46" s="10" t="n">
        <v>103.074</v>
      </c>
    </row>
    <row r="547" ht="36" customHeight="1">
      <c r="A547" s="10" t="inlineStr">
        <is>
          <t>LME_036</t>
        </is>
      </c>
      <c r="B547" s="11" t="inlineStr">
        <is>
          <t>36_2_South_China_Sea_SCS-2007_Northern_South_China_Sea_(1970s)</t>
        </is>
      </c>
      <c r="C547" s="11" t="inlineStr">
        <is>
          <t>Lampris guttatus</t>
        </is>
      </c>
      <c r="D547" s="10" t="inlineStr">
        <is>
          <t>Opah</t>
        </is>
      </c>
      <c r="E547" s="10" t="inlineStr">
        <is>
          <t>Large bathypelagics (&gt;=90 cm)</t>
        </is>
      </c>
      <c r="F547" s="10" t="inlineStr">
        <is>
          <t>Other fishes &amp; inverts</t>
        </is>
      </c>
      <c r="G547" s="11" t="inlineStr">
        <is>
          <t>Unresolved</t>
        </is>
      </c>
      <c r="H547" s="12" t="n"/>
      <c r="I547" s="10" t="inlineStr"/>
      <c r="J547" s="16" t="inlineStr">
        <is>
          <t>unresolved</t>
        </is>
      </c>
      <c r="K547" s="10" t="inlineStr">
        <is>
          <t>none</t>
        </is>
      </c>
      <c r="L547" s="11" t="inlineStr">
        <is>
          <t>Northern continental-shelf model lacks a documented oceanic billfish or deep-pelagic compartment; assigning coastal juvenile/adult pelagic SPPR would be unsupported.</t>
        </is>
      </c>
      <c r="M547" s="10" t="n">
        <v>88.896</v>
      </c>
    </row>
    <row r="548" ht="36" customHeight="1">
      <c r="A548" s="10" t="inlineStr">
        <is>
          <t>LME_036</t>
        </is>
      </c>
      <c r="B548" s="11" t="inlineStr">
        <is>
          <t>36_2_South_China_Sea_SCS-2007_Northern_South_China_Sea_(1970s)</t>
        </is>
      </c>
      <c r="C548" s="11" t="inlineStr">
        <is>
          <t>Pectinidae</t>
        </is>
      </c>
      <c r="D548" s="10" t="inlineStr">
        <is>
          <t>Scallops</t>
        </is>
      </c>
      <c r="E548" s="10" t="inlineStr">
        <is>
          <t>Other demersal invertebrates</t>
        </is>
      </c>
      <c r="F548" s="10" t="inlineStr">
        <is>
          <t>Molluscs</t>
        </is>
      </c>
      <c r="G548" s="11" t="inlineStr">
        <is>
          <t>Non-ceph molluscs</t>
        </is>
      </c>
      <c r="H548" s="12" t="n">
        <v>1</v>
      </c>
      <c r="I548" s="10" t="inlineStr">
        <is>
          <t>single</t>
        </is>
      </c>
      <c r="J548" s="15" t="inlineStr">
        <is>
          <t>high</t>
        </is>
      </c>
      <c r="K548" s="10" t="inlineStr">
        <is>
          <t>taxonomic_containment</t>
        </is>
      </c>
      <c r="L548" s="11" t="inlineStr">
        <is>
          <t>Taxonomic containment in the source benthos subdivision (Appendix 6.1.5 pp.324-325), keeping non-cephalopod molluscs separate from echinoderms and sessile invertebrates.</t>
        </is>
      </c>
      <c r="M548" s="10" t="n">
        <v>85.381</v>
      </c>
    </row>
    <row r="549" ht="36" customHeight="1">
      <c r="A549" s="10" t="inlineStr">
        <is>
          <t>LME_036</t>
        </is>
      </c>
      <c r="B549" s="11" t="inlineStr">
        <is>
          <t>36_2_South_China_Sea_SCS-2007_Northern_South_China_Sea_(1970s)</t>
        </is>
      </c>
      <c r="C549" s="11" t="inlineStr">
        <is>
          <t>Gymnosarda unicolor</t>
        </is>
      </c>
      <c r="D549" s="10" t="inlineStr">
        <is>
          <t>Dogtooth tuna</t>
        </is>
      </c>
      <c r="E549" s="10" t="inlineStr">
        <is>
          <t>Large reef assoc. fish (&gt;=90 cm)</t>
        </is>
      </c>
      <c r="F549" s="10" t="inlineStr">
        <is>
          <t>Tuna &amp; billfishes</t>
        </is>
      </c>
      <c r="G549" s="11" t="inlineStr">
        <is>
          <t>Juvenile large pelagic fish</t>
        </is>
      </c>
      <c r="H549" s="12" t="n">
        <v>0.2016806722689076</v>
      </c>
      <c r="I549" s="10" t="inlineStr">
        <is>
          <t>model_catch</t>
        </is>
      </c>
      <c r="J549" s="14" t="inlineStr">
        <is>
          <t>medium</t>
        </is>
      </c>
      <c r="K549" s="10" t="inlineStr">
        <is>
          <t>composite_split</t>
        </is>
      </c>
      <c r="L549" s="11" t="inlineStr">
        <is>
          <t>Analyst habitat/size inference to source &gt;30 cm pelagic fish (Appendix 6.1.24 p.339); no age data, so split juvenile/adult using the period model catch.</t>
        </is>
      </c>
      <c r="M549" s="10" t="n">
        <v>44.08</v>
      </c>
    </row>
    <row r="550" ht="36" customHeight="1">
      <c r="A550" s="10" t="inlineStr">
        <is>
          <t>LME_036</t>
        </is>
      </c>
      <c r="B550" s="11" t="inlineStr">
        <is>
          <t>36_2_South_China_Sea_SCS-2007_Northern_South_China_Sea_(1970s)</t>
        </is>
      </c>
      <c r="C550" s="11" t="inlineStr">
        <is>
          <t>Gymnosarda unicolor</t>
        </is>
      </c>
      <c r="D550" s="10" t="inlineStr">
        <is>
          <t>Dogtooth tuna</t>
        </is>
      </c>
      <c r="E550" s="10" t="inlineStr">
        <is>
          <t>Large reef assoc. fish (&gt;=90 cm)</t>
        </is>
      </c>
      <c r="F550" s="10" t="inlineStr">
        <is>
          <t>Tuna &amp; billfishes</t>
        </is>
      </c>
      <c r="G550" s="11" t="inlineStr">
        <is>
          <t>Pelagic fish (&gt; 30 cm)</t>
        </is>
      </c>
      <c r="H550" s="12" t="n">
        <v>0.7983193277310925</v>
      </c>
      <c r="I550" s="10" t="inlineStr">
        <is>
          <t>model_catch</t>
        </is>
      </c>
      <c r="J550" s="14" t="inlineStr">
        <is>
          <t>medium</t>
        </is>
      </c>
      <c r="K550" s="10" t="inlineStr">
        <is>
          <t>composite_split</t>
        </is>
      </c>
      <c r="L550" s="11" t="inlineStr">
        <is>
          <t>Analyst habitat/size inference to source &gt;30 cm pelagic fish (Appendix 6.1.24 p.339); no age data, so split juvenile/adult using the period model catch.</t>
        </is>
      </c>
      <c r="M550" s="10" t="n">
        <v>44.08</v>
      </c>
    </row>
    <row r="551" ht="36" customHeight="1">
      <c r="A551" s="10" t="inlineStr">
        <is>
          <t>LME_036</t>
        </is>
      </c>
      <c r="B551" s="11" t="inlineStr">
        <is>
          <t>36_2_South_China_Sea_SCS-2007_Northern_South_China_Sea_(1970s)</t>
        </is>
      </c>
      <c r="C551" s="11" t="inlineStr">
        <is>
          <t>Tenualosa toli</t>
        </is>
      </c>
      <c r="D551" s="10" t="inlineStr">
        <is>
          <t>Toli shad</t>
        </is>
      </c>
      <c r="E551" s="10" t="inlineStr">
        <is>
          <t>Medium pelagics (30 - 89 cm)</t>
        </is>
      </c>
      <c r="F551" s="10" t="inlineStr">
        <is>
          <t>Herring-likes</t>
        </is>
      </c>
      <c r="G551" s="11" t="inlineStr">
        <is>
          <t>Juvenile large pelagic fish</t>
        </is>
      </c>
      <c r="H551" s="12" t="n">
        <v>0.2016806722689076</v>
      </c>
      <c r="I551" s="10" t="inlineStr">
        <is>
          <t>model_catch</t>
        </is>
      </c>
      <c r="J551" s="14" t="inlineStr">
        <is>
          <t>medium</t>
        </is>
      </c>
      <c r="K551" s="10" t="inlineStr">
        <is>
          <t>composite_split</t>
        </is>
      </c>
      <c r="L551" s="11" t="inlineStr">
        <is>
          <t>Analyst habitat/size inference to source &gt;30 cm pelagic fish (Appendix 6.1.24 p.339); no age data, so split juvenile/adult using the period model catch.</t>
        </is>
      </c>
      <c r="M551" s="10" t="n">
        <v>35.53</v>
      </c>
    </row>
    <row r="552" ht="36" customHeight="1">
      <c r="A552" s="10" t="inlineStr">
        <is>
          <t>LME_036</t>
        </is>
      </c>
      <c r="B552" s="11" t="inlineStr">
        <is>
          <t>36_2_South_China_Sea_SCS-2007_Northern_South_China_Sea_(1970s)</t>
        </is>
      </c>
      <c r="C552" s="11" t="inlineStr">
        <is>
          <t>Tenualosa toli</t>
        </is>
      </c>
      <c r="D552" s="10" t="inlineStr">
        <is>
          <t>Toli shad</t>
        </is>
      </c>
      <c r="E552" s="10" t="inlineStr">
        <is>
          <t>Medium pelagics (30 - 89 cm)</t>
        </is>
      </c>
      <c r="F552" s="10" t="inlineStr">
        <is>
          <t>Herring-likes</t>
        </is>
      </c>
      <c r="G552" s="11" t="inlineStr">
        <is>
          <t>Pelagic fish (&gt; 30 cm)</t>
        </is>
      </c>
      <c r="H552" s="12" t="n">
        <v>0.7983193277310925</v>
      </c>
      <c r="I552" s="10" t="inlineStr">
        <is>
          <t>model_catch</t>
        </is>
      </c>
      <c r="J552" s="14" t="inlineStr">
        <is>
          <t>medium</t>
        </is>
      </c>
      <c r="K552" s="10" t="inlineStr">
        <is>
          <t>composite_split</t>
        </is>
      </c>
      <c r="L552" s="11" t="inlineStr">
        <is>
          <t>Analyst habitat/size inference to source &gt;30 cm pelagic fish (Appendix 6.1.24 p.339); no age data, so split juvenile/adult using the period model catch.</t>
        </is>
      </c>
      <c r="M552" s="10" t="n">
        <v>35.53</v>
      </c>
    </row>
    <row r="553" ht="36" customHeight="1">
      <c r="A553" s="10" t="inlineStr">
        <is>
          <t>LME_036</t>
        </is>
      </c>
      <c r="B553" s="11" t="inlineStr">
        <is>
          <t>36_2_South_China_Sea_SCS-2007_Northern_South_China_Sea_(1970s)</t>
        </is>
      </c>
      <c r="C553" s="11" t="inlineStr">
        <is>
          <t>Sphyrna</t>
        </is>
      </c>
      <c r="D553" s="10" t="inlineStr">
        <is>
          <t>Hammerhead sharks</t>
        </is>
      </c>
      <c r="E553" s="10" t="inlineStr">
        <is>
          <t>Large sharks (&gt;=90 cm)</t>
        </is>
      </c>
      <c r="F553" s="10" t="inlineStr">
        <is>
          <t>Sharks &amp; rays</t>
        </is>
      </c>
      <c r="G553" s="11" t="inlineStr">
        <is>
          <t>Pelagic sharks and rays</t>
        </is>
      </c>
      <c r="H553" s="12" t="n">
        <v>1</v>
      </c>
      <c r="I553" s="10" t="inlineStr">
        <is>
          <t>single</t>
        </is>
      </c>
      <c r="J553" s="14" t="inlineStr">
        <is>
          <t>medium</t>
        </is>
      </c>
      <c r="K553" s="10" t="inlineStr">
        <is>
          <t>habitat_size_guild</t>
        </is>
      </c>
      <c r="L553" s="11" t="inlineStr">
        <is>
          <t>Pelagic shark lineage matches the pelagic elasmobranch definition, Appendix 6.1.25 p.340; species placement is analyst inference.</t>
        </is>
      </c>
      <c r="M553" s="10" t="n">
        <v>33.286</v>
      </c>
    </row>
    <row r="554" ht="36" customHeight="1">
      <c r="A554" s="10" t="inlineStr">
        <is>
          <t>LME_036</t>
        </is>
      </c>
      <c r="B554" s="11" t="inlineStr">
        <is>
          <t>36_2_South_China_Sea_SCS-2007_Northern_South_China_Sea_(1970s)</t>
        </is>
      </c>
      <c r="C554" s="11" t="inlineStr">
        <is>
          <t>Ostreidae</t>
        </is>
      </c>
      <c r="D554" s="10" t="inlineStr">
        <is>
          <t>True oysters</t>
        </is>
      </c>
      <c r="E554" s="10" t="inlineStr">
        <is>
          <t>Other demersal invertebrates</t>
        </is>
      </c>
      <c r="F554" s="10" t="inlineStr">
        <is>
          <t>Molluscs</t>
        </is>
      </c>
      <c r="G554" s="11" t="inlineStr">
        <is>
          <t>Non-ceph molluscs</t>
        </is>
      </c>
      <c r="H554" s="12" t="n">
        <v>1</v>
      </c>
      <c r="I554" s="10" t="inlineStr">
        <is>
          <t>single</t>
        </is>
      </c>
      <c r="J554" s="15" t="inlineStr">
        <is>
          <t>high</t>
        </is>
      </c>
      <c r="K554" s="10" t="inlineStr">
        <is>
          <t>taxonomic_containment</t>
        </is>
      </c>
      <c r="L554" s="11" t="inlineStr">
        <is>
          <t>Taxonomic containment in the source benthos subdivision (Appendix 6.1.5 pp.324-325), keeping non-cephalopod molluscs separate from echinoderms and sessile invertebrates.</t>
        </is>
      </c>
      <c r="M554" s="10" t="n">
        <v>29.373</v>
      </c>
    </row>
    <row r="555" ht="36" customHeight="1">
      <c r="A555" s="10" t="inlineStr">
        <is>
          <t>LME_036</t>
        </is>
      </c>
      <c r="B555" s="11" t="inlineStr">
        <is>
          <t>36_2_South_China_Sea_SCS-2007_Northern_South_China_Sea_(1970s)</t>
        </is>
      </c>
      <c r="C555" s="11" t="inlineStr">
        <is>
          <t>Tripneustes gratilla</t>
        </is>
      </c>
      <c r="D555" s="10" t="inlineStr">
        <is>
          <t>Shortspine urchin</t>
        </is>
      </c>
      <c r="E555" s="10" t="inlineStr">
        <is>
          <t>Other demersal invertebrates</t>
        </is>
      </c>
      <c r="F555" s="10" t="inlineStr">
        <is>
          <t>Other fishes &amp; inverts</t>
        </is>
      </c>
      <c r="G555" s="11" t="inlineStr">
        <is>
          <t>Echinoderms</t>
        </is>
      </c>
      <c r="H555" s="12" t="n">
        <v>1</v>
      </c>
      <c r="I555" s="10" t="inlineStr">
        <is>
          <t>single</t>
        </is>
      </c>
      <c r="J555" s="15" t="inlineStr">
        <is>
          <t>high</t>
        </is>
      </c>
      <c r="K555" s="10" t="inlineStr">
        <is>
          <t>taxonomic_containment</t>
        </is>
      </c>
      <c r="L555" s="11" t="inlineStr">
        <is>
          <t>Taxonomic containment in the source benthos subdivision (Appendix 6.1.5 pp.324-325), keeping non-cephalopod molluscs separate from echinoderms and sessile invertebrates.</t>
        </is>
      </c>
      <c r="M555" s="10" t="n">
        <v>23.761</v>
      </c>
    </row>
    <row r="556" ht="51" customHeight="1">
      <c r="A556" s="10" t="inlineStr">
        <is>
          <t>LME_036</t>
        </is>
      </c>
      <c r="B556" s="11" t="inlineStr">
        <is>
          <t>36_2_South_China_Sea_SCS-2007_Northern_South_China_Sea_(1970s)</t>
        </is>
      </c>
      <c r="C556" s="11" t="inlineStr">
        <is>
          <t>Lutjanus argentimaculatus</t>
        </is>
      </c>
      <c r="D556" s="10" t="inlineStr">
        <is>
          <t>Mangrove red snapper</t>
        </is>
      </c>
      <c r="E556" s="10" t="inlineStr">
        <is>
          <t>Large reef assoc. fish (&gt;=90 cm)</t>
        </is>
      </c>
      <c r="F556" s="10" t="inlineStr">
        <is>
          <t>Perch-likes</t>
        </is>
      </c>
      <c r="G556" s="11" t="inlineStr">
        <is>
          <t>Snappers</t>
        </is>
      </c>
      <c r="H556" s="12" t="n">
        <v>1</v>
      </c>
      <c r="I556" s="10" t="inlineStr">
        <is>
          <t>single</t>
        </is>
      </c>
      <c r="J556" s="15" t="inlineStr">
        <is>
          <t>high</t>
        </is>
      </c>
      <c r="K556" s="10" t="inlineStr">
        <is>
          <t>taxonomic_containment</t>
        </is>
      </c>
      <c r="L556" s="11" t="inlineStr">
        <is>
          <t>Appendix 6.1 pp.327-335 defines Snappers by this family or explicitly names Lutjanus argentimaculatus; dedicated source placement overrides the SAU class Large reef assoc. fish (&gt;=90 cm).</t>
        </is>
      </c>
      <c r="M556" s="10" t="n">
        <v>11.548</v>
      </c>
    </row>
    <row r="557" ht="36" customHeight="1">
      <c r="A557" s="10" t="inlineStr">
        <is>
          <t>LME_036</t>
        </is>
      </c>
      <c r="B557" s="11" t="inlineStr">
        <is>
          <t>36_2_South_China_Sea_SCS-2007_Northern_South_China_Sea_(1970s)</t>
        </is>
      </c>
      <c r="C557" s="11" t="inlineStr">
        <is>
          <t>Pomatomus saltatrix</t>
        </is>
      </c>
      <c r="D557" s="10" t="inlineStr">
        <is>
          <t>Bluefish</t>
        </is>
      </c>
      <c r="E557" s="10" t="inlineStr">
        <is>
          <t>Large pelagics (&gt;=90 cm)</t>
        </is>
      </c>
      <c r="F557" s="10" t="inlineStr">
        <is>
          <t>Perch-likes</t>
        </is>
      </c>
      <c r="G557" s="11" t="inlineStr">
        <is>
          <t>Juvenile large pelagic fish</t>
        </is>
      </c>
      <c r="H557" s="12" t="n">
        <v>0.2016806722689076</v>
      </c>
      <c r="I557" s="10" t="inlineStr">
        <is>
          <t>model_catch</t>
        </is>
      </c>
      <c r="J557" s="14" t="inlineStr">
        <is>
          <t>medium</t>
        </is>
      </c>
      <c r="K557" s="10" t="inlineStr">
        <is>
          <t>composite_split</t>
        </is>
      </c>
      <c r="L557" s="11" t="inlineStr">
        <is>
          <t>Analyst habitat/size inference to source &gt;30 cm pelagic fish (Appendix 6.1.24 p.339); no age data, so split juvenile/adult using the period model catch.</t>
        </is>
      </c>
      <c r="M557" s="10" t="n">
        <v>8.972</v>
      </c>
    </row>
    <row r="558" ht="36" customHeight="1">
      <c r="A558" s="10" t="inlineStr">
        <is>
          <t>LME_036</t>
        </is>
      </c>
      <c r="B558" s="11" t="inlineStr">
        <is>
          <t>36_2_South_China_Sea_SCS-2007_Northern_South_China_Sea_(1970s)</t>
        </is>
      </c>
      <c r="C558" s="11" t="inlineStr">
        <is>
          <t>Pomatomus saltatrix</t>
        </is>
      </c>
      <c r="D558" s="10" t="inlineStr">
        <is>
          <t>Bluefish</t>
        </is>
      </c>
      <c r="E558" s="10" t="inlineStr">
        <is>
          <t>Large pelagics (&gt;=90 cm)</t>
        </is>
      </c>
      <c r="F558" s="10" t="inlineStr">
        <is>
          <t>Perch-likes</t>
        </is>
      </c>
      <c r="G558" s="11" t="inlineStr">
        <is>
          <t>Pelagic fish (&gt; 30 cm)</t>
        </is>
      </c>
      <c r="H558" s="12" t="n">
        <v>0.7983193277310925</v>
      </c>
      <c r="I558" s="10" t="inlineStr">
        <is>
          <t>model_catch</t>
        </is>
      </c>
      <c r="J558" s="14" t="inlineStr">
        <is>
          <t>medium</t>
        </is>
      </c>
      <c r="K558" s="10" t="inlineStr">
        <is>
          <t>composite_split</t>
        </is>
      </c>
      <c r="L558" s="11" t="inlineStr">
        <is>
          <t>Analyst habitat/size inference to source &gt;30 cm pelagic fish (Appendix 6.1.24 p.339); no age data, so split juvenile/adult using the period model catch.</t>
        </is>
      </c>
      <c r="M558" s="10" t="n">
        <v>8.972</v>
      </c>
    </row>
    <row r="559" ht="36" customHeight="1">
      <c r="A559" s="10" t="inlineStr">
        <is>
          <t>LME_036</t>
        </is>
      </c>
      <c r="B559" s="11" t="inlineStr">
        <is>
          <t>36_2_South_China_Sea_SCS-2007_Northern_South_China_Sea_(1970s)</t>
        </is>
      </c>
      <c r="C559" s="11" t="inlineStr">
        <is>
          <t>Sphyraena jello</t>
        </is>
      </c>
      <c r="D559" s="10" t="inlineStr">
        <is>
          <t>Pickhandle barracuda</t>
        </is>
      </c>
      <c r="E559" s="10" t="inlineStr">
        <is>
          <t>Large reef assoc. fish (&gt;=90 cm)</t>
        </is>
      </c>
      <c r="F559" s="10" t="inlineStr">
        <is>
          <t>Perch-likes</t>
        </is>
      </c>
      <c r="G559" s="11" t="inlineStr">
        <is>
          <t>Juvenile large pelagic fish</t>
        </is>
      </c>
      <c r="H559" s="12" t="n">
        <v>0.2016806722689076</v>
      </c>
      <c r="I559" s="10" t="inlineStr">
        <is>
          <t>model_catch</t>
        </is>
      </c>
      <c r="J559" s="14" t="inlineStr">
        <is>
          <t>medium</t>
        </is>
      </c>
      <c r="K559" s="10" t="inlineStr">
        <is>
          <t>composite_split</t>
        </is>
      </c>
      <c r="L559" s="11" t="inlineStr">
        <is>
          <t>Analyst habitat/size inference to source &gt;30 cm pelagic fish (Appendix 6.1.24 p.339); no age data, so split juvenile/adult using the period model catch.</t>
        </is>
      </c>
      <c r="M559" s="10" t="n">
        <v>5.98</v>
      </c>
    </row>
    <row r="560" ht="36" customHeight="1">
      <c r="A560" s="10" t="inlineStr">
        <is>
          <t>LME_036</t>
        </is>
      </c>
      <c r="B560" s="11" t="inlineStr">
        <is>
          <t>36_2_South_China_Sea_SCS-2007_Northern_South_China_Sea_(1970s)</t>
        </is>
      </c>
      <c r="C560" s="11" t="inlineStr">
        <is>
          <t>Sphyraena jello</t>
        </is>
      </c>
      <c r="D560" s="10" t="inlineStr">
        <is>
          <t>Pickhandle barracuda</t>
        </is>
      </c>
      <c r="E560" s="10" t="inlineStr">
        <is>
          <t>Large reef assoc. fish (&gt;=90 cm)</t>
        </is>
      </c>
      <c r="F560" s="10" t="inlineStr">
        <is>
          <t>Perch-likes</t>
        </is>
      </c>
      <c r="G560" s="11" t="inlineStr">
        <is>
          <t>Pelagic fish (&gt; 30 cm)</t>
        </is>
      </c>
      <c r="H560" s="12" t="n">
        <v>0.7983193277310925</v>
      </c>
      <c r="I560" s="10" t="inlineStr">
        <is>
          <t>model_catch</t>
        </is>
      </c>
      <c r="J560" s="14" t="inlineStr">
        <is>
          <t>medium</t>
        </is>
      </c>
      <c r="K560" s="10" t="inlineStr">
        <is>
          <t>composite_split</t>
        </is>
      </c>
      <c r="L560" s="11" t="inlineStr">
        <is>
          <t>Analyst habitat/size inference to source &gt;30 cm pelagic fish (Appendix 6.1.24 p.339); no age data, so split juvenile/adult using the period model catch.</t>
        </is>
      </c>
      <c r="M560" s="10" t="n">
        <v>5.98</v>
      </c>
    </row>
    <row r="561" ht="36" customHeight="1">
      <c r="A561" s="10" t="inlineStr">
        <is>
          <t>LME_036</t>
        </is>
      </c>
      <c r="B561" s="11" t="inlineStr">
        <is>
          <t>36_2_South_China_Sea_SCS-2007_Northern_South_China_Sea_(1970s)</t>
        </is>
      </c>
      <c r="C561" s="11" t="inlineStr">
        <is>
          <t>Echinozoa</t>
        </is>
      </c>
      <c r="D561" s="10" t="inlineStr">
        <is>
          <t>Sea urchins and sea cucumbers</t>
        </is>
      </c>
      <c r="E561" s="10" t="inlineStr">
        <is>
          <t>Other demersal invertebrates</t>
        </is>
      </c>
      <c r="F561" s="10" t="inlineStr">
        <is>
          <t>Other fishes &amp; inverts</t>
        </is>
      </c>
      <c r="G561" s="11" t="inlineStr">
        <is>
          <t>Echinoderms</t>
        </is>
      </c>
      <c r="H561" s="12" t="n">
        <v>1</v>
      </c>
      <c r="I561" s="10" t="inlineStr">
        <is>
          <t>single</t>
        </is>
      </c>
      <c r="J561" s="15" t="inlineStr">
        <is>
          <t>high</t>
        </is>
      </c>
      <c r="K561" s="10" t="inlineStr">
        <is>
          <t>taxonomic_containment</t>
        </is>
      </c>
      <c r="L561" s="11" t="inlineStr">
        <is>
          <t>Taxonomic containment in the source benthos subdivision (Appendix 6.1.5 pp.324-325), keeping non-cephalopod molluscs separate from echinoderms and sessile invertebrates.</t>
        </is>
      </c>
      <c r="M561" s="10" t="n">
        <v>4.765</v>
      </c>
    </row>
    <row r="562" ht="36" customHeight="1">
      <c r="A562" s="10" t="inlineStr">
        <is>
          <t>LME_036</t>
        </is>
      </c>
      <c r="B562" s="11" t="inlineStr">
        <is>
          <t>36_2_South_China_Sea_SCS-2007_Northern_South_China_Sea_(1970s)</t>
        </is>
      </c>
      <c r="C562" s="11" t="inlineStr">
        <is>
          <t>Tetrapturus angustirostris</t>
        </is>
      </c>
      <c r="D562" s="10" t="inlineStr">
        <is>
          <t>Shortbill spearfish</t>
        </is>
      </c>
      <c r="E562" s="10" t="inlineStr">
        <is>
          <t>Large pelagics (&gt;=90 cm)</t>
        </is>
      </c>
      <c r="F562" s="10" t="inlineStr">
        <is>
          <t>Tuna &amp; billfishes</t>
        </is>
      </c>
      <c r="G562" s="11" t="inlineStr">
        <is>
          <t>Unresolved</t>
        </is>
      </c>
      <c r="H562" s="12" t="n"/>
      <c r="I562" s="10" t="inlineStr"/>
      <c r="J562" s="16" t="inlineStr">
        <is>
          <t>unresolved</t>
        </is>
      </c>
      <c r="K562" s="10" t="inlineStr">
        <is>
          <t>none</t>
        </is>
      </c>
      <c r="L562" s="11" t="inlineStr">
        <is>
          <t>Northern continental-shelf model lacks a documented oceanic billfish or deep-pelagic compartment; assigning coastal juvenile/adult pelagic SPPR would be unsupported.</t>
        </is>
      </c>
      <c r="M562" s="10" t="n">
        <v>1.605</v>
      </c>
    </row>
    <row r="563" ht="36" customHeight="1">
      <c r="A563" s="10" t="inlineStr">
        <is>
          <t>LME_036</t>
        </is>
      </c>
      <c r="B563" s="11" t="inlineStr">
        <is>
          <t>36_2_South_China_Sea_SCS-2007_Northern_South_China_Sea_(1970s)</t>
        </is>
      </c>
      <c r="C563" s="11" t="inlineStr">
        <is>
          <t>Sphyrna lewini</t>
        </is>
      </c>
      <c r="D563" s="10" t="inlineStr">
        <is>
          <t>Scalloped hammerhead</t>
        </is>
      </c>
      <c r="E563" s="10" t="inlineStr">
        <is>
          <t>Large sharks (&gt;=90 cm)</t>
        </is>
      </c>
      <c r="F563" s="10" t="inlineStr">
        <is>
          <t>Sharks &amp; rays</t>
        </is>
      </c>
      <c r="G563" s="11" t="inlineStr">
        <is>
          <t>Pelagic sharks and rays</t>
        </is>
      </c>
      <c r="H563" s="12" t="n">
        <v>1</v>
      </c>
      <c r="I563" s="10" t="inlineStr">
        <is>
          <t>single</t>
        </is>
      </c>
      <c r="J563" s="14" t="inlineStr">
        <is>
          <t>medium</t>
        </is>
      </c>
      <c r="K563" s="10" t="inlineStr">
        <is>
          <t>habitat_size_guild</t>
        </is>
      </c>
      <c r="L563" s="11" t="inlineStr">
        <is>
          <t>Pelagic shark lineage matches the pelagic elasmobranch definition, Appendix 6.1.25 p.340; species placement is analyst inference.</t>
        </is>
      </c>
      <c r="M563" s="10" t="n">
        <v>0.97</v>
      </c>
    </row>
    <row r="564" ht="36" customHeight="1">
      <c r="A564" s="10" t="inlineStr">
        <is>
          <t>LME_036</t>
        </is>
      </c>
      <c r="B564" s="11" t="inlineStr">
        <is>
          <t>36_2_South_China_Sea_SCS-2007_Northern_South_China_Sea_(1970s)</t>
        </is>
      </c>
      <c r="C564" s="11" t="inlineStr">
        <is>
          <t>Trochus niloticus</t>
        </is>
      </c>
      <c r="D564" s="10" t="inlineStr">
        <is>
          <t>Commercial top</t>
        </is>
      </c>
      <c r="E564" s="10" t="inlineStr">
        <is>
          <t>Other demersal invertebrates</t>
        </is>
      </c>
      <c r="F564" s="10" t="inlineStr">
        <is>
          <t>Molluscs</t>
        </is>
      </c>
      <c r="G564" s="11" t="inlineStr">
        <is>
          <t>Non-ceph molluscs</t>
        </is>
      </c>
      <c r="H564" s="12" t="n">
        <v>1</v>
      </c>
      <c r="I564" s="10" t="inlineStr">
        <is>
          <t>single</t>
        </is>
      </c>
      <c r="J564" s="15" t="inlineStr">
        <is>
          <t>high</t>
        </is>
      </c>
      <c r="K564" s="10" t="inlineStr">
        <is>
          <t>taxonomic_containment</t>
        </is>
      </c>
      <c r="L564" s="11" t="inlineStr">
        <is>
          <t>Taxonomic containment in the source benthos subdivision (Appendix 6.1.5 pp.324-325), keeping non-cephalopod molluscs separate from echinoderms and sessile invertebrates.</t>
        </is>
      </c>
      <c r="M564" s="10" t="n">
        <v>0.955</v>
      </c>
    </row>
    <row r="565" ht="36" customHeight="1">
      <c r="A565" s="10" t="inlineStr">
        <is>
          <t>LME_036</t>
        </is>
      </c>
      <c r="B565" s="11" t="inlineStr">
        <is>
          <t>36_2_South_China_Sea_SCS-2007_Northern_South_China_Sea_(1970s)</t>
        </is>
      </c>
      <c r="C565" s="11" t="inlineStr">
        <is>
          <t>Holothuroidea</t>
        </is>
      </c>
      <c r="D565" s="10" t="inlineStr">
        <is>
          <t>Sea cucumbers</t>
        </is>
      </c>
      <c r="E565" s="10" t="inlineStr">
        <is>
          <t>Other demersal invertebrates</t>
        </is>
      </c>
      <c r="F565" s="10" t="inlineStr">
        <is>
          <t>Other fishes &amp; inverts</t>
        </is>
      </c>
      <c r="G565" s="11" t="inlineStr">
        <is>
          <t>Echinoderms</t>
        </is>
      </c>
      <c r="H565" s="12" t="n">
        <v>1</v>
      </c>
      <c r="I565" s="10" t="inlineStr">
        <is>
          <t>single</t>
        </is>
      </c>
      <c r="J565" s="15" t="inlineStr">
        <is>
          <t>high</t>
        </is>
      </c>
      <c r="K565" s="10" t="inlineStr">
        <is>
          <t>taxonomic_containment</t>
        </is>
      </c>
      <c r="L565" s="11" t="inlineStr">
        <is>
          <t>Taxonomic containment in the source benthos subdivision (Appendix 6.1.5 pp.324-325), keeping non-cephalopod molluscs separate from echinoderms and sessile invertebrates.</t>
        </is>
      </c>
      <c r="M565" s="10" t="n">
        <v>0.761</v>
      </c>
    </row>
    <row r="566" ht="36" customHeight="1">
      <c r="A566" s="10" t="inlineStr">
        <is>
          <t>LME_036</t>
        </is>
      </c>
      <c r="B566" s="11" t="inlineStr">
        <is>
          <t>36_2_South_China_Sea_SCS-2007_Northern_South_China_Sea_(1970s)</t>
        </is>
      </c>
      <c r="C566" s="11" t="inlineStr">
        <is>
          <t>Pinctada</t>
        </is>
      </c>
      <c r="D566" s="10" t="inlineStr">
        <is>
          <t>Mother of pearl oysters</t>
        </is>
      </c>
      <c r="E566" s="10" t="inlineStr">
        <is>
          <t>Other demersal invertebrates</t>
        </is>
      </c>
      <c r="F566" s="10" t="inlineStr">
        <is>
          <t>Molluscs</t>
        </is>
      </c>
      <c r="G566" s="11" t="inlineStr">
        <is>
          <t>Non-ceph molluscs</t>
        </is>
      </c>
      <c r="H566" s="12" t="n">
        <v>1</v>
      </c>
      <c r="I566" s="10" t="inlineStr">
        <is>
          <t>single</t>
        </is>
      </c>
      <c r="J566" s="15" t="inlineStr">
        <is>
          <t>high</t>
        </is>
      </c>
      <c r="K566" s="10" t="inlineStr">
        <is>
          <t>taxonomic_containment</t>
        </is>
      </c>
      <c r="L566" s="11" t="inlineStr">
        <is>
          <t>Taxonomic containment in the source benthos subdivision (Appendix 6.1.5 pp.324-325), keeping non-cephalopod molluscs separate from echinoderms and sessile invertebrates.</t>
        </is>
      </c>
      <c r="M566" s="10" t="n">
        <v>0.106</v>
      </c>
    </row>
    <row r="567" ht="36" customHeight="1">
      <c r="A567" s="10" t="inlineStr">
        <is>
          <t>LME_036</t>
        </is>
      </c>
      <c r="B567" s="11" t="inlineStr">
        <is>
          <t>36_2_South_China_Sea_SCS-2007_Northern_South_China_Sea_(1970s)</t>
        </is>
      </c>
      <c r="C567" s="11" t="inlineStr">
        <is>
          <t>Carcharhinus amblyrhynchos</t>
        </is>
      </c>
      <c r="D567" s="10" t="inlineStr">
        <is>
          <t>Blacktail reef shark</t>
        </is>
      </c>
      <c r="E567" s="10" t="inlineStr">
        <is>
          <t>Large sharks (&gt;=90 cm)</t>
        </is>
      </c>
      <c r="F567" s="10" t="inlineStr">
        <is>
          <t>Sharks &amp; rays</t>
        </is>
      </c>
      <c r="G567" s="11" t="inlineStr">
        <is>
          <t>Demersal sharks and rays</t>
        </is>
      </c>
      <c r="H567" s="12" t="n">
        <v>1</v>
      </c>
      <c r="I567" s="10" t="inlineStr">
        <is>
          <t>single</t>
        </is>
      </c>
      <c r="J567" s="14" t="inlineStr">
        <is>
          <t>medium</t>
        </is>
      </c>
      <c r="K567" s="10" t="inlineStr">
        <is>
          <t>habitat_size_guild</t>
        </is>
      </c>
      <c r="L567" s="11" t="inlineStr">
        <is>
          <t>Reef-associated shark inferred to the demersal rather than pelagic elasmobranch pool (Appendix 6.1.25 p.340).</t>
        </is>
      </c>
      <c r="M567" s="10" t="n">
        <v>0.002</v>
      </c>
    </row>
    <row r="568" ht="36" customHeight="1">
      <c r="A568" s="10" t="inlineStr">
        <is>
          <t>LME_036</t>
        </is>
      </c>
      <c r="B568" s="11" t="inlineStr">
        <is>
          <t>36_2_South_China_Sea_SCS-2007_Northern_South_China_Sea_(1970s)</t>
        </is>
      </c>
      <c r="C568" s="11" t="inlineStr">
        <is>
          <t>Sphyrnidae</t>
        </is>
      </c>
      <c r="D568" s="10" t="inlineStr">
        <is>
          <t>Hammer, bonnet, scoophead sharks</t>
        </is>
      </c>
      <c r="E568" s="10" t="inlineStr">
        <is>
          <t>Large sharks (&gt;=90 cm)</t>
        </is>
      </c>
      <c r="F568" s="10" t="inlineStr">
        <is>
          <t>Sharks &amp; rays</t>
        </is>
      </c>
      <c r="G568" s="11" t="inlineStr">
        <is>
          <t>Pelagic sharks and rays</t>
        </is>
      </c>
      <c r="H568" s="12" t="n">
        <v>1</v>
      </c>
      <c r="I568" s="10" t="inlineStr">
        <is>
          <t>single</t>
        </is>
      </c>
      <c r="J568" s="14" t="inlineStr">
        <is>
          <t>medium</t>
        </is>
      </c>
      <c r="K568" s="10" t="inlineStr">
        <is>
          <t>habitat_size_guild</t>
        </is>
      </c>
      <c r="L568" s="11" t="inlineStr">
        <is>
          <t>Pelagic shark lineage matches the pelagic elasmobranch definition, Appendix 6.1.25 p.340; species placement is analyst inference.</t>
        </is>
      </c>
      <c r="M568" s="10" t="n">
        <v>0</v>
      </c>
    </row>
  </sheetData>
  <autoFilter ref="A4:M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  <c r="Y4" s="4" t="inlineStr">
        <is>
          <t>SPPR_1995_TEmean_catch</t>
        </is>
      </c>
      <c r="Z4" s="4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140.953883</v>
      </c>
      <c r="F5" t="n">
        <v>177.371403</v>
      </c>
      <c r="G5" t="n">
        <v>9540.408934999999</v>
      </c>
      <c r="H5" t="n">
        <v>70736320.08912501</v>
      </c>
      <c r="I5" t="n">
        <v>4269.898312</v>
      </c>
      <c r="J5" t="n">
        <v>4574.511297</v>
      </c>
      <c r="K5" t="n">
        <v>1801.225895</v>
      </c>
      <c r="L5" t="n">
        <v>6846.4367</v>
      </c>
      <c r="M5" t="n">
        <v>6846.4367</v>
      </c>
      <c r="N5" t="n">
        <v>6846.4367</v>
      </c>
      <c r="O5" t="n">
        <v>67.536573</v>
      </c>
      <c r="P5" t="n">
        <v>32.007796</v>
      </c>
      <c r="Q5" t="n">
        <v>6846.4367</v>
      </c>
      <c r="R5" t="n">
        <v>6846.4367</v>
      </c>
      <c r="S5" t="n">
        <v>67.536573</v>
      </c>
      <c r="T5" t="n">
        <v>67.536573</v>
      </c>
      <c r="U5" t="n">
        <v>32.007796</v>
      </c>
      <c r="V5" t="n">
        <v>32.007796</v>
      </c>
      <c r="W5" t="n">
        <v>70.113483</v>
      </c>
      <c r="X5" t="n">
        <v>7370.741192</v>
      </c>
      <c r="Y5" t="n">
        <v>90.145392</v>
      </c>
      <c r="Z5" t="n">
        <v>288.815865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140.953883</v>
      </c>
      <c r="F6" t="n">
        <v>759.29485</v>
      </c>
      <c r="G6" t="n">
        <v>106449.95281</v>
      </c>
      <c r="H6" t="n">
        <v>217978087.829156</v>
      </c>
      <c r="I6" t="n">
        <v>15387.334214</v>
      </c>
      <c r="J6" t="n">
        <v>16058.002117</v>
      </c>
      <c r="K6" t="n">
        <v>5258.842171</v>
      </c>
      <c r="L6" t="n">
        <v>26383.951313</v>
      </c>
      <c r="M6" t="n">
        <v>26383.951313</v>
      </c>
      <c r="N6" t="n">
        <v>26383.951313</v>
      </c>
      <c r="O6" t="n">
        <v>166.364336</v>
      </c>
      <c r="P6" t="n">
        <v>71.691328</v>
      </c>
      <c r="Q6" t="n">
        <v>26383.951313</v>
      </c>
      <c r="R6" t="n">
        <v>26383.951313</v>
      </c>
      <c r="S6" t="n">
        <v>166.364336</v>
      </c>
      <c r="T6" t="n">
        <v>166.364336</v>
      </c>
      <c r="U6" t="n">
        <v>71.691328</v>
      </c>
      <c r="V6" t="n">
        <v>71.691328</v>
      </c>
      <c r="W6" t="n">
        <v>176.786743</v>
      </c>
      <c r="X6" t="n">
        <v>28905.373115</v>
      </c>
      <c r="Y6" t="n">
        <v>324.052433</v>
      </c>
      <c r="Z6" t="n">
        <v>881.088486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140.953883</v>
      </c>
      <c r="F7" t="n">
        <v>103.790936</v>
      </c>
      <c r="G7" t="n">
        <v>3299.712955</v>
      </c>
      <c r="H7" t="n">
        <v>5979.61191</v>
      </c>
      <c r="I7" t="n">
        <v>468.918008</v>
      </c>
      <c r="J7" t="n">
        <v>473.97462</v>
      </c>
      <c r="K7" t="n">
        <v>450.275889</v>
      </c>
      <c r="L7" t="n">
        <v>711.02964</v>
      </c>
      <c r="M7" t="n">
        <v>711.02964</v>
      </c>
      <c r="N7" t="n">
        <v>711.02964</v>
      </c>
      <c r="O7" t="n">
        <v>34.656914</v>
      </c>
      <c r="P7" t="n">
        <v>19.970973</v>
      </c>
      <c r="Q7" t="n">
        <v>711.02964</v>
      </c>
      <c r="R7" t="n">
        <v>711.02964</v>
      </c>
      <c r="S7" t="n">
        <v>34.656914</v>
      </c>
      <c r="T7" t="n">
        <v>34.656914</v>
      </c>
      <c r="U7" t="n">
        <v>19.970973</v>
      </c>
      <c r="V7" t="n">
        <v>19.970973</v>
      </c>
      <c r="W7" t="n">
        <v>36.368369</v>
      </c>
      <c r="X7" t="n">
        <v>756.8536319999999</v>
      </c>
      <c r="Y7" t="n">
        <v>57.193376</v>
      </c>
      <c r="Z7" t="n">
        <v>56.260295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140.953883</v>
      </c>
      <c r="F8" t="n">
        <v>667.104795</v>
      </c>
      <c r="G8" t="n">
        <v>84841.433393</v>
      </c>
      <c r="H8" t="n">
        <v>62527803.444478</v>
      </c>
      <c r="I8" t="n">
        <v>9604.557183999999</v>
      </c>
      <c r="J8" t="n">
        <v>10115.319409</v>
      </c>
      <c r="K8" t="n">
        <v>2437.791978</v>
      </c>
      <c r="L8" t="n">
        <v>16798.641648</v>
      </c>
      <c r="M8" t="n">
        <v>16798.641648</v>
      </c>
      <c r="N8" t="n">
        <v>16798.641648</v>
      </c>
      <c r="O8" t="n">
        <v>88.03658900000001</v>
      </c>
      <c r="P8" t="n">
        <v>38.159556</v>
      </c>
      <c r="Q8" t="n">
        <v>16798.641648</v>
      </c>
      <c r="R8" t="n">
        <v>16798.641648</v>
      </c>
      <c r="S8" t="n">
        <v>88.03658900000001</v>
      </c>
      <c r="T8" t="n">
        <v>88.03658900000001</v>
      </c>
      <c r="U8" t="n">
        <v>38.159556</v>
      </c>
      <c r="V8" t="n">
        <v>38.159556</v>
      </c>
      <c r="W8" t="n">
        <v>92.54017</v>
      </c>
      <c r="X8" t="n">
        <v>18119.633615</v>
      </c>
      <c r="Y8" t="n">
        <v>289.503115</v>
      </c>
      <c r="Z8" t="n">
        <v>659.652259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140.953883</v>
      </c>
      <c r="F9" t="n">
        <v>200.641254</v>
      </c>
      <c r="G9" t="n">
        <v>11101.904562</v>
      </c>
      <c r="H9" t="n">
        <v>25660602.941085</v>
      </c>
      <c r="I9" t="n">
        <v>6244.222521</v>
      </c>
      <c r="J9" t="n">
        <v>6325.914048</v>
      </c>
      <c r="K9" t="n">
        <v>1872.204427</v>
      </c>
      <c r="L9" t="n">
        <v>7112.982475</v>
      </c>
      <c r="M9" t="n">
        <v>7112.982475</v>
      </c>
      <c r="N9" t="n">
        <v>7112.982475</v>
      </c>
      <c r="O9" t="n">
        <v>87.969483</v>
      </c>
      <c r="P9" t="n">
        <v>46.580547</v>
      </c>
      <c r="Q9" t="n">
        <v>7112.982475</v>
      </c>
      <c r="R9" t="n">
        <v>7112.982475</v>
      </c>
      <c r="S9" t="n">
        <v>87.969483</v>
      </c>
      <c r="T9" t="n">
        <v>87.969483</v>
      </c>
      <c r="U9" t="n">
        <v>46.580547</v>
      </c>
      <c r="V9" t="n">
        <v>46.580547</v>
      </c>
      <c r="W9" t="n">
        <v>93.060855</v>
      </c>
      <c r="X9" t="n">
        <v>7459.131892</v>
      </c>
      <c r="Y9" t="n">
        <v>100.902165</v>
      </c>
      <c r="Z9" t="n">
        <v>211.14634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140.953883</v>
      </c>
      <c r="F10" t="n">
        <v>94.940534</v>
      </c>
      <c r="G10" t="n">
        <v>3699.207408</v>
      </c>
      <c r="H10" t="n">
        <v>6311396.796745</v>
      </c>
      <c r="I10" t="n">
        <v>1833.804999</v>
      </c>
      <c r="J10" t="n">
        <v>1853.890312</v>
      </c>
      <c r="K10" t="n">
        <v>743.939069</v>
      </c>
      <c r="L10" t="n">
        <v>2045.820774</v>
      </c>
      <c r="M10" t="n">
        <v>2045.820774</v>
      </c>
      <c r="N10" t="n">
        <v>2045.820774</v>
      </c>
      <c r="O10" t="n">
        <v>37.402647</v>
      </c>
      <c r="P10" t="n">
        <v>21.641048</v>
      </c>
      <c r="Q10" t="n">
        <v>2045.820774</v>
      </c>
      <c r="R10" t="n">
        <v>2045.820774</v>
      </c>
      <c r="S10" t="n">
        <v>37.402647</v>
      </c>
      <c r="T10" t="n">
        <v>37.402647</v>
      </c>
      <c r="U10" t="n">
        <v>21.641048</v>
      </c>
      <c r="V10" t="n">
        <v>21.641048</v>
      </c>
      <c r="W10" t="n">
        <v>39.426311</v>
      </c>
      <c r="X10" t="n">
        <v>2139.974971</v>
      </c>
      <c r="Y10" t="n">
        <v>51.745601</v>
      </c>
      <c r="Z10" t="n">
        <v>86.20657300000001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140.953883</v>
      </c>
      <c r="F11" t="n">
        <v>14.712171</v>
      </c>
      <c r="G11" t="n">
        <v>109.082967</v>
      </c>
      <c r="H11" t="n">
        <v>1554.089564</v>
      </c>
      <c r="I11" t="n">
        <v>87.52377799999999</v>
      </c>
      <c r="J11" t="n">
        <v>87.52377799999999</v>
      </c>
      <c r="K11" t="n">
        <v>33.521607</v>
      </c>
      <c r="L11" t="n">
        <v>92.59366</v>
      </c>
      <c r="M11" t="n">
        <v>92.59366</v>
      </c>
      <c r="N11" t="n">
        <v>92.59366</v>
      </c>
      <c r="O11" t="n">
        <v>4.448657</v>
      </c>
      <c r="P11" t="n">
        <v>3.058348</v>
      </c>
      <c r="Q11" t="n">
        <v>92.59366</v>
      </c>
      <c r="R11" t="n">
        <v>92.59366</v>
      </c>
      <c r="S11" t="n">
        <v>4.448657</v>
      </c>
      <c r="T11" t="n">
        <v>4.448657</v>
      </c>
      <c r="U11" t="n">
        <v>3.058348</v>
      </c>
      <c r="V11" t="n">
        <v>3.058348</v>
      </c>
      <c r="W11" t="n">
        <v>4.556294</v>
      </c>
      <c r="X11" t="n">
        <v>96.447226</v>
      </c>
      <c r="Y11" t="n">
        <v>10.417956</v>
      </c>
      <c r="Z11" t="n">
        <v>17.174689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140.953883</v>
      </c>
      <c r="F12" t="n">
        <v>10</v>
      </c>
      <c r="G12" t="n">
        <v>55.608076</v>
      </c>
      <c r="H12" t="n">
        <v>55.608076</v>
      </c>
      <c r="I12" t="n">
        <v>115.384615</v>
      </c>
      <c r="J12" t="n">
        <v>115.384615</v>
      </c>
      <c r="K12" t="n">
        <v>6</v>
      </c>
      <c r="L12" t="n">
        <v>114.728394</v>
      </c>
      <c r="M12" t="n">
        <v>114.728394</v>
      </c>
      <c r="N12" t="n">
        <v>114.728394</v>
      </c>
      <c r="O12" t="n">
        <v>6.05984</v>
      </c>
      <c r="P12" t="n">
        <v>4.848511</v>
      </c>
      <c r="Q12" t="n">
        <v>114.728394</v>
      </c>
      <c r="R12" t="n">
        <v>114.728394</v>
      </c>
      <c r="S12" t="n">
        <v>6.05984</v>
      </c>
      <c r="T12" t="n">
        <v>6.05984</v>
      </c>
      <c r="U12" t="n">
        <v>4.848511</v>
      </c>
      <c r="V12" t="n">
        <v>4.848511</v>
      </c>
      <c r="W12" t="n">
        <v>6.224783</v>
      </c>
      <c r="X12" t="n">
        <v>116.846993</v>
      </c>
      <c r="Y12" t="n">
        <v>7.440984</v>
      </c>
      <c r="Z12" t="n">
        <v>7.440984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140.953883</v>
      </c>
      <c r="F13" t="n">
        <v>177.371403</v>
      </c>
      <c r="G13" t="n">
        <v>9540.408934999999</v>
      </c>
      <c r="H13" t="n">
        <v>70736320.08912501</v>
      </c>
      <c r="I13" t="n">
        <v>4269.898312</v>
      </c>
      <c r="J13" t="n">
        <v>4574.511297</v>
      </c>
      <c r="K13" t="n">
        <v>1801.225895</v>
      </c>
      <c r="L13" t="n">
        <v>6846.4367</v>
      </c>
      <c r="M13" t="n">
        <v>6846.4367</v>
      </c>
      <c r="N13" t="n">
        <v>6846.4367</v>
      </c>
      <c r="O13" t="n">
        <v>67.536573</v>
      </c>
      <c r="P13" t="n">
        <v>32.007796</v>
      </c>
      <c r="Q13" t="n">
        <v>6846.4367</v>
      </c>
      <c r="R13" t="n">
        <v>6846.4367</v>
      </c>
      <c r="S13" t="n">
        <v>67.536573</v>
      </c>
      <c r="T13" t="n">
        <v>67.536573</v>
      </c>
      <c r="U13" t="n">
        <v>32.007796</v>
      </c>
      <c r="V13" t="n">
        <v>32.007796</v>
      </c>
      <c r="W13" t="n">
        <v>70.113483</v>
      </c>
      <c r="X13" t="n">
        <v>7370.741192</v>
      </c>
      <c r="Y13" t="n">
        <v>90.145392</v>
      </c>
      <c r="Z13" t="n">
        <v>288.815865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140.953883</v>
      </c>
      <c r="F14" t="n">
        <v>158.552335</v>
      </c>
      <c r="G14" t="n">
        <v>6912.013677</v>
      </c>
      <c r="H14" t="n">
        <v>2905118.284102</v>
      </c>
      <c r="I14" t="n">
        <v>3502.459341</v>
      </c>
      <c r="J14" t="n">
        <v>3796.144916</v>
      </c>
      <c r="K14" t="n">
        <v>1780.391965</v>
      </c>
      <c r="L14" t="n">
        <v>4710.704014</v>
      </c>
      <c r="M14" t="n">
        <v>4710.704014</v>
      </c>
      <c r="N14" t="n">
        <v>4710.704014</v>
      </c>
      <c r="O14" t="n">
        <v>105.183965</v>
      </c>
      <c r="P14" t="n">
        <v>52.828865</v>
      </c>
      <c r="Q14" t="n">
        <v>4710.704014</v>
      </c>
      <c r="R14" t="n">
        <v>4710.704014</v>
      </c>
      <c r="S14" t="n">
        <v>105.183965</v>
      </c>
      <c r="T14" t="n">
        <v>105.183965</v>
      </c>
      <c r="U14" t="n">
        <v>52.828865</v>
      </c>
      <c r="V14" t="n">
        <v>52.828865</v>
      </c>
      <c r="W14" t="n">
        <v>109.611209</v>
      </c>
      <c r="X14" t="n">
        <v>5115.038689</v>
      </c>
      <c r="Y14" t="n">
        <v>82.74413800000001</v>
      </c>
      <c r="Z14" t="n">
        <v>193.416145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140.953883</v>
      </c>
      <c r="F15" t="n">
        <v>20.231565</v>
      </c>
      <c r="G15" t="n">
        <v>209.122647</v>
      </c>
      <c r="H15" t="n">
        <v>7911.235378</v>
      </c>
      <c r="I15" t="n">
        <v>130.411041</v>
      </c>
      <c r="J15" t="n">
        <v>130.411041</v>
      </c>
      <c r="K15" t="n">
        <v>95.393377</v>
      </c>
      <c r="L15" t="n">
        <v>134.682411</v>
      </c>
      <c r="M15" t="n">
        <v>134.682411</v>
      </c>
      <c r="N15" t="n">
        <v>134.682411</v>
      </c>
      <c r="O15" t="n">
        <v>10.649241</v>
      </c>
      <c r="P15" t="n">
        <v>7.289446</v>
      </c>
      <c r="Q15" t="n">
        <v>134.682411</v>
      </c>
      <c r="R15" t="n">
        <v>134.682411</v>
      </c>
      <c r="S15" t="n">
        <v>10.649241</v>
      </c>
      <c r="T15" t="n">
        <v>10.649241</v>
      </c>
      <c r="U15" t="n">
        <v>7.289446</v>
      </c>
      <c r="V15" t="n">
        <v>7.289446</v>
      </c>
      <c r="W15" t="n">
        <v>10.971178</v>
      </c>
      <c r="X15" t="n">
        <v>140.50161</v>
      </c>
      <c r="Y15" t="n">
        <v>13.632476</v>
      </c>
      <c r="Z15" t="n">
        <v>24.80153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140.953883</v>
      </c>
      <c r="F16" t="n">
        <v>57.638856</v>
      </c>
      <c r="G16" t="n">
        <v>1182.200226</v>
      </c>
      <c r="H16" t="n">
        <v>56775.373409</v>
      </c>
      <c r="I16" t="n">
        <v>512.103289</v>
      </c>
      <c r="J16" t="n">
        <v>553.467817</v>
      </c>
      <c r="K16" t="n">
        <v>525.794426</v>
      </c>
      <c r="L16" t="n">
        <v>602.712303</v>
      </c>
      <c r="M16" t="n">
        <v>602.712303</v>
      </c>
      <c r="N16" t="n">
        <v>602.712303</v>
      </c>
      <c r="O16" t="n">
        <v>31.190871</v>
      </c>
      <c r="P16" t="n">
        <v>18.283791</v>
      </c>
      <c r="Q16" t="n">
        <v>602.712303</v>
      </c>
      <c r="R16" t="n">
        <v>602.712303</v>
      </c>
      <c r="S16" t="n">
        <v>31.190871</v>
      </c>
      <c r="T16" t="n">
        <v>31.190871</v>
      </c>
      <c r="U16" t="n">
        <v>18.283791</v>
      </c>
      <c r="V16" t="n">
        <v>18.283791</v>
      </c>
      <c r="W16" t="n">
        <v>32.089433</v>
      </c>
      <c r="X16" t="n">
        <v>622.065443</v>
      </c>
      <c r="Y16" t="n">
        <v>34.252552</v>
      </c>
      <c r="Z16" t="n">
        <v>73.57281500000001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140.953883</v>
      </c>
      <c r="F17" t="n">
        <v>60.479203</v>
      </c>
      <c r="G17" t="n">
        <v>1285.725322</v>
      </c>
      <c r="H17" t="n">
        <v>3025.478454</v>
      </c>
      <c r="I17" t="n">
        <v>395.888053</v>
      </c>
      <c r="J17" t="n">
        <v>395.888053</v>
      </c>
      <c r="K17" t="n">
        <v>376.09365</v>
      </c>
      <c r="L17" t="n">
        <v>393.787233</v>
      </c>
      <c r="M17" t="n">
        <v>393.787233</v>
      </c>
      <c r="N17" t="n">
        <v>393.787233</v>
      </c>
      <c r="O17" t="n">
        <v>20.916473</v>
      </c>
      <c r="P17" t="n">
        <v>13.510088</v>
      </c>
      <c r="Q17" t="n">
        <v>393.787233</v>
      </c>
      <c r="R17" t="n">
        <v>393.787233</v>
      </c>
      <c r="S17" t="n">
        <v>20.916473</v>
      </c>
      <c r="T17" t="n">
        <v>20.916473</v>
      </c>
      <c r="U17" t="n">
        <v>13.510088</v>
      </c>
      <c r="V17" t="n">
        <v>13.510088</v>
      </c>
      <c r="W17" t="n">
        <v>21.939981</v>
      </c>
      <c r="X17" t="n">
        <v>405.784084</v>
      </c>
      <c r="Y17" t="n">
        <v>35.719215</v>
      </c>
      <c r="Z17" t="n">
        <v>45.472786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140.953883</v>
      </c>
      <c r="F18" t="n">
        <v>200.641254</v>
      </c>
      <c r="G18" t="n">
        <v>11101.904562</v>
      </c>
      <c r="H18" t="n">
        <v>25660602.941085</v>
      </c>
      <c r="I18" t="n">
        <v>6244.222521</v>
      </c>
      <c r="J18" t="n">
        <v>6325.914048</v>
      </c>
      <c r="K18" t="n">
        <v>1872.204427</v>
      </c>
      <c r="L18" t="n">
        <v>7112.982475</v>
      </c>
      <c r="M18" t="n">
        <v>7112.982475</v>
      </c>
      <c r="N18" t="n">
        <v>7112.982475</v>
      </c>
      <c r="O18" t="n">
        <v>87.969483</v>
      </c>
      <c r="P18" t="n">
        <v>46.580547</v>
      </c>
      <c r="Q18" t="n">
        <v>7112.982475</v>
      </c>
      <c r="R18" t="n">
        <v>7112.982475</v>
      </c>
      <c r="S18" t="n">
        <v>87.969483</v>
      </c>
      <c r="T18" t="n">
        <v>87.969483</v>
      </c>
      <c r="U18" t="n">
        <v>46.580547</v>
      </c>
      <c r="V18" t="n">
        <v>46.580547</v>
      </c>
      <c r="W18" t="n">
        <v>93.060855</v>
      </c>
      <c r="X18" t="n">
        <v>7459.131892</v>
      </c>
      <c r="Y18" t="n">
        <v>100.902165</v>
      </c>
      <c r="Z18" t="n">
        <v>211.14634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140.953883</v>
      </c>
      <c r="F19" t="n">
        <v>200.641254</v>
      </c>
      <c r="G19" t="n">
        <v>11101.904562</v>
      </c>
      <c r="H19" t="n">
        <v>25660602.941085</v>
      </c>
      <c r="I19" t="n">
        <v>6244.222521</v>
      </c>
      <c r="J19" t="n">
        <v>6325.914048</v>
      </c>
      <c r="K19" t="n">
        <v>1872.204427</v>
      </c>
      <c r="L19" t="n">
        <v>7112.982475</v>
      </c>
      <c r="M19" t="n">
        <v>7112.982475</v>
      </c>
      <c r="N19" t="n">
        <v>7112.982475</v>
      </c>
      <c r="O19" t="n">
        <v>87.969483</v>
      </c>
      <c r="P19" t="n">
        <v>46.580547</v>
      </c>
      <c r="Q19" t="n">
        <v>7112.982475</v>
      </c>
      <c r="R19" t="n">
        <v>7112.982475</v>
      </c>
      <c r="S19" t="n">
        <v>87.969483</v>
      </c>
      <c r="T19" t="n">
        <v>87.969483</v>
      </c>
      <c r="U19" t="n">
        <v>46.580547</v>
      </c>
      <c r="V19" t="n">
        <v>46.580547</v>
      </c>
      <c r="W19" t="n">
        <v>93.060855</v>
      </c>
      <c r="X19" t="n">
        <v>7459.131892</v>
      </c>
      <c r="Y19" t="n">
        <v>100.902165</v>
      </c>
      <c r="Z19" t="n">
        <v>211.14634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140.953883</v>
      </c>
      <c r="F20" t="n">
        <v>57.638856</v>
      </c>
      <c r="G20" t="n">
        <v>1182.200226</v>
      </c>
      <c r="H20" t="n">
        <v>56775.373409</v>
      </c>
      <c r="I20" t="n">
        <v>512.103289</v>
      </c>
      <c r="J20" t="n">
        <v>553.467817</v>
      </c>
      <c r="K20" t="n">
        <v>525.794426</v>
      </c>
      <c r="L20" t="n">
        <v>602.712303</v>
      </c>
      <c r="M20" t="n">
        <v>602.712303</v>
      </c>
      <c r="N20" t="n">
        <v>602.712303</v>
      </c>
      <c r="O20" t="n">
        <v>31.190871</v>
      </c>
      <c r="P20" t="n">
        <v>18.283791</v>
      </c>
      <c r="Q20" t="n">
        <v>602.712303</v>
      </c>
      <c r="R20" t="n">
        <v>602.712303</v>
      </c>
      <c r="S20" t="n">
        <v>31.190871</v>
      </c>
      <c r="T20" t="n">
        <v>31.190871</v>
      </c>
      <c r="U20" t="n">
        <v>18.283791</v>
      </c>
      <c r="V20" t="n">
        <v>18.283791</v>
      </c>
      <c r="W20" t="n">
        <v>32.089433</v>
      </c>
      <c r="X20" t="n">
        <v>622.065443</v>
      </c>
      <c r="Y20" t="n">
        <v>34.252552</v>
      </c>
      <c r="Z20" t="n">
        <v>73.57281500000001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140.953883</v>
      </c>
      <c r="F21" t="n">
        <v>251.096546</v>
      </c>
      <c r="G21" t="n">
        <v>15842.809489</v>
      </c>
      <c r="H21" t="n">
        <v>17515502.131016</v>
      </c>
      <c r="I21" t="n">
        <v>2592.828475</v>
      </c>
      <c r="J21" t="n">
        <v>2668.302146</v>
      </c>
      <c r="K21" t="n">
        <v>1626.885542</v>
      </c>
      <c r="L21" t="n">
        <v>3240.975912</v>
      </c>
      <c r="M21" t="n">
        <v>3240.975912</v>
      </c>
      <c r="N21" t="n">
        <v>3240.975912</v>
      </c>
      <c r="O21" t="n">
        <v>87.234846</v>
      </c>
      <c r="P21" t="n">
        <v>41.935227</v>
      </c>
      <c r="Q21" t="n">
        <v>3240.975912</v>
      </c>
      <c r="R21" t="n">
        <v>3240.975912</v>
      </c>
      <c r="S21" t="n">
        <v>87.234846</v>
      </c>
      <c r="T21" t="n">
        <v>87.234846</v>
      </c>
      <c r="U21" t="n">
        <v>41.935227</v>
      </c>
      <c r="V21" t="n">
        <v>41.935227</v>
      </c>
      <c r="W21" t="n">
        <v>91.178747</v>
      </c>
      <c r="X21" t="n">
        <v>3446.878316</v>
      </c>
      <c r="Y21" t="n">
        <v>123.223374</v>
      </c>
      <c r="Z21" t="n">
        <v>333.724839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140.953883</v>
      </c>
      <c r="F22" t="n">
        <v>20.606299</v>
      </c>
      <c r="G22" t="n">
        <v>196.386285</v>
      </c>
      <c r="H22" t="n">
        <v>1009.116172</v>
      </c>
      <c r="I22" t="n">
        <v>131.71072</v>
      </c>
      <c r="J22" t="n">
        <v>131.71072</v>
      </c>
      <c r="K22" t="n">
        <v>125.125184</v>
      </c>
      <c r="L22" t="n">
        <v>130.894857</v>
      </c>
      <c r="M22" t="n">
        <v>130.894857</v>
      </c>
      <c r="N22" t="n">
        <v>130.894857</v>
      </c>
      <c r="O22" t="n">
        <v>12.255972</v>
      </c>
      <c r="P22" t="n">
        <v>8.448598</v>
      </c>
      <c r="Q22" t="n">
        <v>130.894857</v>
      </c>
      <c r="R22" t="n">
        <v>130.894857</v>
      </c>
      <c r="S22" t="n">
        <v>12.255972</v>
      </c>
      <c r="T22" t="n">
        <v>12.255972</v>
      </c>
      <c r="U22" t="n">
        <v>8.448598</v>
      </c>
      <c r="V22" t="n">
        <v>8.448598</v>
      </c>
      <c r="W22" t="n">
        <v>12.680707</v>
      </c>
      <c r="X22" t="n">
        <v>136.520004</v>
      </c>
      <c r="Y22" t="n">
        <v>13.974049</v>
      </c>
      <c r="Z22" t="n">
        <v>22.490141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140.953883</v>
      </c>
      <c r="F23" t="n">
        <v>60.479203</v>
      </c>
      <c r="G23" t="n">
        <v>1285.725322</v>
      </c>
      <c r="H23" t="n">
        <v>3025.478454</v>
      </c>
      <c r="I23" t="n">
        <v>395.888053</v>
      </c>
      <c r="J23" t="n">
        <v>395.888053</v>
      </c>
      <c r="K23" t="n">
        <v>376.09365</v>
      </c>
      <c r="L23" t="n">
        <v>393.787233</v>
      </c>
      <c r="M23" t="n">
        <v>393.787233</v>
      </c>
      <c r="N23" t="n">
        <v>393.787233</v>
      </c>
      <c r="O23" t="n">
        <v>20.916473</v>
      </c>
      <c r="P23" t="n">
        <v>13.510088</v>
      </c>
      <c r="Q23" t="n">
        <v>393.787233</v>
      </c>
      <c r="R23" t="n">
        <v>393.787233</v>
      </c>
      <c r="S23" t="n">
        <v>20.916473</v>
      </c>
      <c r="T23" t="n">
        <v>20.916473</v>
      </c>
      <c r="U23" t="n">
        <v>13.510088</v>
      </c>
      <c r="V23" t="n">
        <v>13.510088</v>
      </c>
      <c r="W23" t="n">
        <v>21.939981</v>
      </c>
      <c r="X23" t="n">
        <v>405.784084</v>
      </c>
      <c r="Y23" t="n">
        <v>35.719215</v>
      </c>
      <c r="Z23" t="n">
        <v>45.472786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140.953883</v>
      </c>
      <c r="F24" t="n">
        <v>177.371403</v>
      </c>
      <c r="G24" t="n">
        <v>9540.408934999999</v>
      </c>
      <c r="H24" t="n">
        <v>70736320.08912501</v>
      </c>
      <c r="I24" t="n">
        <v>4269.898312</v>
      </c>
      <c r="J24" t="n">
        <v>4574.511297</v>
      </c>
      <c r="K24" t="n">
        <v>1801.225895</v>
      </c>
      <c r="L24" t="n">
        <v>6846.4367</v>
      </c>
      <c r="M24" t="n">
        <v>6846.4367</v>
      </c>
      <c r="N24" t="n">
        <v>6846.4367</v>
      </c>
      <c r="O24" t="n">
        <v>67.536573</v>
      </c>
      <c r="P24" t="n">
        <v>32.007796</v>
      </c>
      <c r="Q24" t="n">
        <v>6846.4367</v>
      </c>
      <c r="R24" t="n">
        <v>6846.4367</v>
      </c>
      <c r="S24" t="n">
        <v>67.536573</v>
      </c>
      <c r="T24" t="n">
        <v>67.536573</v>
      </c>
      <c r="U24" t="n">
        <v>32.007796</v>
      </c>
      <c r="V24" t="n">
        <v>32.007796</v>
      </c>
      <c r="W24" t="n">
        <v>70.113483</v>
      </c>
      <c r="X24" t="n">
        <v>7370.741192</v>
      </c>
      <c r="Y24" t="n">
        <v>90.145392</v>
      </c>
      <c r="Z24" t="n">
        <v>288.815865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140.953883</v>
      </c>
      <c r="F25" t="n">
        <v>283.896083</v>
      </c>
      <c r="G25" t="n">
        <v>19102.99048</v>
      </c>
      <c r="H25" t="n">
        <v>21093286.411087</v>
      </c>
      <c r="I25" t="n">
        <v>10688.374283</v>
      </c>
      <c r="J25" t="n">
        <v>10967.724493</v>
      </c>
      <c r="K25" t="n">
        <v>3597.413634</v>
      </c>
      <c r="L25" t="n">
        <v>16970.336092</v>
      </c>
      <c r="M25" t="n">
        <v>16970.336092</v>
      </c>
      <c r="N25" t="n">
        <v>16970.336092</v>
      </c>
      <c r="O25" t="n">
        <v>214.616191</v>
      </c>
      <c r="P25" t="n">
        <v>96.945487</v>
      </c>
      <c r="Q25" t="n">
        <v>16970.336092</v>
      </c>
      <c r="R25" t="n">
        <v>16970.336092</v>
      </c>
      <c r="S25" t="n">
        <v>214.616191</v>
      </c>
      <c r="T25" t="n">
        <v>214.616191</v>
      </c>
      <c r="U25" t="n">
        <v>96.945487</v>
      </c>
      <c r="V25" t="n">
        <v>96.945487</v>
      </c>
      <c r="W25" t="n">
        <v>226.201493</v>
      </c>
      <c r="X25" t="n">
        <v>17690.628268</v>
      </c>
      <c r="Y25" t="n">
        <v>137.482738</v>
      </c>
      <c r="Z25" t="n">
        <v>446.984531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140.953883</v>
      </c>
      <c r="F26" t="n">
        <v>20.606299</v>
      </c>
      <c r="G26" t="n">
        <v>196.386285</v>
      </c>
      <c r="H26" t="n">
        <v>1009.116172</v>
      </c>
      <c r="I26" t="n">
        <v>131.71072</v>
      </c>
      <c r="J26" t="n">
        <v>131.71072</v>
      </c>
      <c r="K26" t="n">
        <v>125.125184</v>
      </c>
      <c r="L26" t="n">
        <v>130.894857</v>
      </c>
      <c r="M26" t="n">
        <v>130.894857</v>
      </c>
      <c r="N26" t="n">
        <v>130.894857</v>
      </c>
      <c r="O26" t="n">
        <v>12.255972</v>
      </c>
      <c r="P26" t="n">
        <v>8.448598</v>
      </c>
      <c r="Q26" t="n">
        <v>130.894857</v>
      </c>
      <c r="R26" t="n">
        <v>130.894857</v>
      </c>
      <c r="S26" t="n">
        <v>12.255972</v>
      </c>
      <c r="T26" t="n">
        <v>12.255972</v>
      </c>
      <c r="U26" t="n">
        <v>8.448598</v>
      </c>
      <c r="V26" t="n">
        <v>8.448598</v>
      </c>
      <c r="W26" t="n">
        <v>12.680707</v>
      </c>
      <c r="X26" t="n">
        <v>136.520004</v>
      </c>
      <c r="Y26" t="n">
        <v>13.974049</v>
      </c>
      <c r="Z26" t="n">
        <v>22.490141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140.953883</v>
      </c>
      <c r="F27" t="n">
        <v>170.518341</v>
      </c>
      <c r="G27" t="n">
        <v>7847.80585</v>
      </c>
      <c r="H27" t="n">
        <v>421935.650343</v>
      </c>
      <c r="I27" t="n">
        <v>1050.872908</v>
      </c>
      <c r="J27" t="n">
        <v>1075.829695</v>
      </c>
      <c r="K27" t="n">
        <v>537.914847</v>
      </c>
      <c r="L27" t="n">
        <v>1659.687874</v>
      </c>
      <c r="M27" t="n">
        <v>1659.687874</v>
      </c>
      <c r="N27" t="n">
        <v>1659.687874</v>
      </c>
      <c r="O27" t="n">
        <v>31.362197</v>
      </c>
      <c r="P27" t="n">
        <v>16.184075</v>
      </c>
      <c r="Q27" t="n">
        <v>1659.687874</v>
      </c>
      <c r="R27" t="n">
        <v>1659.687874</v>
      </c>
      <c r="S27" t="n">
        <v>31.362197</v>
      </c>
      <c r="T27" t="n">
        <v>31.362197</v>
      </c>
      <c r="U27" t="n">
        <v>16.184075</v>
      </c>
      <c r="V27" t="n">
        <v>16.184075</v>
      </c>
      <c r="W27" t="n">
        <v>32.286772</v>
      </c>
      <c r="X27" t="n">
        <v>1775.112325</v>
      </c>
      <c r="Y27" t="n">
        <v>88.16158900000001</v>
      </c>
      <c r="Z27" t="n">
        <v>173.868813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140.953883</v>
      </c>
      <c r="F28" t="n">
        <v>200.641254</v>
      </c>
      <c r="G28" t="n">
        <v>11101.904562</v>
      </c>
      <c r="H28" t="n">
        <v>25660602.941085</v>
      </c>
      <c r="I28" t="n">
        <v>6244.222521</v>
      </c>
      <c r="J28" t="n">
        <v>6325.914048</v>
      </c>
      <c r="K28" t="n">
        <v>1872.204427</v>
      </c>
      <c r="L28" t="n">
        <v>7112.982475</v>
      </c>
      <c r="M28" t="n">
        <v>7112.982475</v>
      </c>
      <c r="N28" t="n">
        <v>7112.982475</v>
      </c>
      <c r="O28" t="n">
        <v>87.969483</v>
      </c>
      <c r="P28" t="n">
        <v>46.580547</v>
      </c>
      <c r="Q28" t="n">
        <v>7112.982475</v>
      </c>
      <c r="R28" t="n">
        <v>7112.982475</v>
      </c>
      <c r="S28" t="n">
        <v>87.969483</v>
      </c>
      <c r="T28" t="n">
        <v>87.969483</v>
      </c>
      <c r="U28" t="n">
        <v>46.580547</v>
      </c>
      <c r="V28" t="n">
        <v>46.580547</v>
      </c>
      <c r="W28" t="n">
        <v>93.060855</v>
      </c>
      <c r="X28" t="n">
        <v>7459.131892</v>
      </c>
      <c r="Y28" t="n">
        <v>100.902165</v>
      </c>
      <c r="Z28" t="n">
        <v>211.14634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140.953883</v>
      </c>
      <c r="F29" t="n">
        <v>33.254785</v>
      </c>
      <c r="G29" t="n">
        <v>452.736281</v>
      </c>
      <c r="H29" t="n">
        <v>34182.13294</v>
      </c>
      <c r="I29" t="n">
        <v>151.084056</v>
      </c>
      <c r="J29" t="n">
        <v>151.084056</v>
      </c>
      <c r="K29" t="n">
        <v>143.529853</v>
      </c>
      <c r="L29" t="n">
        <v>173.938876</v>
      </c>
      <c r="M29" t="n">
        <v>173.938876</v>
      </c>
      <c r="N29" t="n">
        <v>173.938876</v>
      </c>
      <c r="O29" t="n">
        <v>13.215653</v>
      </c>
      <c r="P29" t="n">
        <v>8.00437</v>
      </c>
      <c r="Q29" t="n">
        <v>173.938876</v>
      </c>
      <c r="R29" t="n">
        <v>173.938876</v>
      </c>
      <c r="S29" t="n">
        <v>13.215653</v>
      </c>
      <c r="T29" t="n">
        <v>13.215653</v>
      </c>
      <c r="U29" t="n">
        <v>8.00437</v>
      </c>
      <c r="V29" t="n">
        <v>8.00437</v>
      </c>
      <c r="W29" t="n">
        <v>13.539814</v>
      </c>
      <c r="X29" t="n">
        <v>184.933079</v>
      </c>
      <c r="Y29" t="n">
        <v>21.207733</v>
      </c>
      <c r="Z29" t="n">
        <v>52.601429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140.953883</v>
      </c>
      <c r="F30" t="n">
        <v>228.824285</v>
      </c>
      <c r="G30" t="n">
        <v>13739.954406</v>
      </c>
      <c r="H30" t="n">
        <v>114798702.260359</v>
      </c>
      <c r="I30" t="n">
        <v>6590.793316</v>
      </c>
      <c r="J30" t="n">
        <v>7071.146917</v>
      </c>
      <c r="K30" t="n">
        <v>2576.928919</v>
      </c>
      <c r="L30" t="n">
        <v>10677.999207</v>
      </c>
      <c r="M30" t="n">
        <v>10677.999207</v>
      </c>
      <c r="N30" t="n">
        <v>10677.999207</v>
      </c>
      <c r="O30" t="n">
        <v>85.006417</v>
      </c>
      <c r="P30" t="n">
        <v>38.52237</v>
      </c>
      <c r="Q30" t="n">
        <v>10677.999207</v>
      </c>
      <c r="R30" t="n">
        <v>10677.999207</v>
      </c>
      <c r="S30" t="n">
        <v>85.006417</v>
      </c>
      <c r="T30" t="n">
        <v>85.006417</v>
      </c>
      <c r="U30" t="n">
        <v>38.52237</v>
      </c>
      <c r="V30" t="n">
        <v>38.52237</v>
      </c>
      <c r="W30" t="n">
        <v>88.306245</v>
      </c>
      <c r="X30" t="n">
        <v>11509.306401</v>
      </c>
      <c r="Y30" t="n">
        <v>113.373643</v>
      </c>
      <c r="Z30" t="n">
        <v>399.574722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140.953883</v>
      </c>
      <c r="F31" t="n">
        <v>20.606299</v>
      </c>
      <c r="G31" t="n">
        <v>196.386285</v>
      </c>
      <c r="H31" t="n">
        <v>1009.116172</v>
      </c>
      <c r="I31" t="n">
        <v>131.71072</v>
      </c>
      <c r="J31" t="n">
        <v>131.71072</v>
      </c>
      <c r="K31" t="n">
        <v>125.125184</v>
      </c>
      <c r="L31" t="n">
        <v>130.894857</v>
      </c>
      <c r="M31" t="n">
        <v>130.894857</v>
      </c>
      <c r="N31" t="n">
        <v>130.894857</v>
      </c>
      <c r="O31" t="n">
        <v>12.255972</v>
      </c>
      <c r="P31" t="n">
        <v>8.448598</v>
      </c>
      <c r="Q31" t="n">
        <v>130.894857</v>
      </c>
      <c r="R31" t="n">
        <v>130.894857</v>
      </c>
      <c r="S31" t="n">
        <v>12.255972</v>
      </c>
      <c r="T31" t="n">
        <v>12.255972</v>
      </c>
      <c r="U31" t="n">
        <v>8.448598</v>
      </c>
      <c r="V31" t="n">
        <v>8.448598</v>
      </c>
      <c r="W31" t="n">
        <v>12.680707</v>
      </c>
      <c r="X31" t="n">
        <v>136.520004</v>
      </c>
      <c r="Y31" t="n">
        <v>13.974049</v>
      </c>
      <c r="Z31" t="n">
        <v>22.490141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140.953883</v>
      </c>
      <c r="F32" t="n">
        <v>265.549442</v>
      </c>
      <c r="G32" t="n">
        <v>17398.716094</v>
      </c>
      <c r="H32" t="n">
        <v>21722652.494621</v>
      </c>
      <c r="I32" t="n">
        <v>2939.153653</v>
      </c>
      <c r="J32" t="n">
        <v>3022.907916</v>
      </c>
      <c r="K32" t="n">
        <v>1769.605312</v>
      </c>
      <c r="L32" t="n">
        <v>3691.420719</v>
      </c>
      <c r="M32" t="n">
        <v>3691.420719</v>
      </c>
      <c r="N32" t="n">
        <v>3691.420719</v>
      </c>
      <c r="O32" t="n">
        <v>92.784491</v>
      </c>
      <c r="P32" t="n">
        <v>44.082214</v>
      </c>
      <c r="Q32" t="n">
        <v>3691.420719</v>
      </c>
      <c r="R32" t="n">
        <v>3691.420719</v>
      </c>
      <c r="S32" t="n">
        <v>92.784491</v>
      </c>
      <c r="T32" t="n">
        <v>92.784491</v>
      </c>
      <c r="U32" t="n">
        <v>44.082214</v>
      </c>
      <c r="V32" t="n">
        <v>44.082214</v>
      </c>
      <c r="W32" t="n">
        <v>96.91430099999999</v>
      </c>
      <c r="X32" t="n">
        <v>3937.988659</v>
      </c>
      <c r="Y32" t="n">
        <v>129.416869</v>
      </c>
      <c r="Z32" t="n">
        <v>360.506923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140.953883</v>
      </c>
      <c r="F33" t="n">
        <v>94.940534</v>
      </c>
      <c r="G33" t="n">
        <v>3699.207408</v>
      </c>
      <c r="H33" t="n">
        <v>6311396.796745</v>
      </c>
      <c r="I33" t="n">
        <v>1833.804999</v>
      </c>
      <c r="J33" t="n">
        <v>1853.890312</v>
      </c>
      <c r="K33" t="n">
        <v>743.939069</v>
      </c>
      <c r="L33" t="n">
        <v>2045.820774</v>
      </c>
      <c r="M33" t="n">
        <v>2045.820774</v>
      </c>
      <c r="N33" t="n">
        <v>2045.820774</v>
      </c>
      <c r="O33" t="n">
        <v>37.402647</v>
      </c>
      <c r="P33" t="n">
        <v>21.641048</v>
      </c>
      <c r="Q33" t="n">
        <v>2045.820774</v>
      </c>
      <c r="R33" t="n">
        <v>2045.820774</v>
      </c>
      <c r="S33" t="n">
        <v>37.402647</v>
      </c>
      <c r="T33" t="n">
        <v>37.402647</v>
      </c>
      <c r="U33" t="n">
        <v>21.641048</v>
      </c>
      <c r="V33" t="n">
        <v>21.641048</v>
      </c>
      <c r="W33" t="n">
        <v>39.426311</v>
      </c>
      <c r="X33" t="n">
        <v>2139.974971</v>
      </c>
      <c r="Y33" t="n">
        <v>51.745601</v>
      </c>
      <c r="Z33" t="n">
        <v>86.20657300000001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140.953883</v>
      </c>
      <c r="F34" t="n">
        <v>228.824285</v>
      </c>
      <c r="G34" t="n">
        <v>13739.954406</v>
      </c>
      <c r="H34" t="n">
        <v>114798702.260359</v>
      </c>
      <c r="I34" t="n">
        <v>6590.793316</v>
      </c>
      <c r="J34" t="n">
        <v>7071.146917</v>
      </c>
      <c r="K34" t="n">
        <v>2576.928919</v>
      </c>
      <c r="L34" t="n">
        <v>10677.999207</v>
      </c>
      <c r="M34" t="n">
        <v>10677.999207</v>
      </c>
      <c r="N34" t="n">
        <v>10677.999207</v>
      </c>
      <c r="O34" t="n">
        <v>85.006417</v>
      </c>
      <c r="P34" t="n">
        <v>38.52237</v>
      </c>
      <c r="Q34" t="n">
        <v>10677.999207</v>
      </c>
      <c r="R34" t="n">
        <v>10677.999207</v>
      </c>
      <c r="S34" t="n">
        <v>85.006417</v>
      </c>
      <c r="T34" t="n">
        <v>85.006417</v>
      </c>
      <c r="U34" t="n">
        <v>38.52237</v>
      </c>
      <c r="V34" t="n">
        <v>38.52237</v>
      </c>
      <c r="W34" t="n">
        <v>88.306245</v>
      </c>
      <c r="X34" t="n">
        <v>11509.306401</v>
      </c>
      <c r="Y34" t="n">
        <v>113.373643</v>
      </c>
      <c r="Z34" t="n">
        <v>399.574722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140.953883</v>
      </c>
      <c r="F35" t="n">
        <v>33.254785</v>
      </c>
      <c r="G35" t="n">
        <v>452.736281</v>
      </c>
      <c r="H35" t="n">
        <v>34182.13294</v>
      </c>
      <c r="I35" t="n">
        <v>151.084056</v>
      </c>
      <c r="J35" t="n">
        <v>151.084056</v>
      </c>
      <c r="K35" t="n">
        <v>143.529853</v>
      </c>
      <c r="L35" t="n">
        <v>173.938876</v>
      </c>
      <c r="M35" t="n">
        <v>173.938876</v>
      </c>
      <c r="N35" t="n">
        <v>173.938876</v>
      </c>
      <c r="O35" t="n">
        <v>13.215653</v>
      </c>
      <c r="P35" t="n">
        <v>8.00437</v>
      </c>
      <c r="Q35" t="n">
        <v>173.938876</v>
      </c>
      <c r="R35" t="n">
        <v>173.938876</v>
      </c>
      <c r="S35" t="n">
        <v>13.215653</v>
      </c>
      <c r="T35" t="n">
        <v>13.215653</v>
      </c>
      <c r="U35" t="n">
        <v>8.00437</v>
      </c>
      <c r="V35" t="n">
        <v>8.00437</v>
      </c>
      <c r="W35" t="n">
        <v>13.539814</v>
      </c>
      <c r="X35" t="n">
        <v>184.933079</v>
      </c>
      <c r="Y35" t="n">
        <v>21.207733</v>
      </c>
      <c r="Z35" t="n">
        <v>52.601429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140.953883</v>
      </c>
      <c r="F36" t="n">
        <v>60.479203</v>
      </c>
      <c r="G36" t="n">
        <v>1285.725322</v>
      </c>
      <c r="H36" t="n">
        <v>3025.478454</v>
      </c>
      <c r="I36" t="n">
        <v>395.888053</v>
      </c>
      <c r="J36" t="n">
        <v>395.888053</v>
      </c>
      <c r="K36" t="n">
        <v>376.09365</v>
      </c>
      <c r="L36" t="n">
        <v>393.787233</v>
      </c>
      <c r="M36" t="n">
        <v>393.787233</v>
      </c>
      <c r="N36" t="n">
        <v>393.787233</v>
      </c>
      <c r="O36" t="n">
        <v>20.916473</v>
      </c>
      <c r="P36" t="n">
        <v>13.510088</v>
      </c>
      <c r="Q36" t="n">
        <v>393.787233</v>
      </c>
      <c r="R36" t="n">
        <v>393.787233</v>
      </c>
      <c r="S36" t="n">
        <v>20.916473</v>
      </c>
      <c r="T36" t="n">
        <v>20.916473</v>
      </c>
      <c r="U36" t="n">
        <v>13.510088</v>
      </c>
      <c r="V36" t="n">
        <v>13.510088</v>
      </c>
      <c r="W36" t="n">
        <v>21.939981</v>
      </c>
      <c r="X36" t="n">
        <v>405.784084</v>
      </c>
      <c r="Y36" t="n">
        <v>35.719215</v>
      </c>
      <c r="Z36" t="n">
        <v>45.472786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140.953883</v>
      </c>
      <c r="F37" t="n">
        <v>342.280115</v>
      </c>
      <c r="G37" t="n">
        <v>26475.575966</v>
      </c>
      <c r="H37" t="n">
        <v>257355.857038</v>
      </c>
      <c r="I37" t="n">
        <v>1585.623721</v>
      </c>
      <c r="J37" t="n">
        <v>1650.152477</v>
      </c>
      <c r="K37" t="n">
        <v>1567.644853</v>
      </c>
      <c r="L37" t="n">
        <v>2274.19106</v>
      </c>
      <c r="M37" t="n">
        <v>2274.19106</v>
      </c>
      <c r="N37" t="n">
        <v>2274.19106</v>
      </c>
      <c r="O37" t="n">
        <v>105.127985</v>
      </c>
      <c r="P37" t="n">
        <v>50.974766</v>
      </c>
      <c r="Q37" t="n">
        <v>2274.19106</v>
      </c>
      <c r="R37" t="n">
        <v>2274.19106</v>
      </c>
      <c r="S37" t="n">
        <v>105.127985</v>
      </c>
      <c r="T37" t="n">
        <v>105.127985</v>
      </c>
      <c r="U37" t="n">
        <v>50.974766</v>
      </c>
      <c r="V37" t="n">
        <v>50.974766</v>
      </c>
      <c r="W37" t="n">
        <v>111.155847</v>
      </c>
      <c r="X37" t="n">
        <v>2438.947747</v>
      </c>
      <c r="Y37" t="n">
        <v>161.824385</v>
      </c>
      <c r="Z37" t="n">
        <v>255.683683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140.953883</v>
      </c>
      <c r="F38" t="n">
        <v>158.552335</v>
      </c>
      <c r="G38" t="n">
        <v>6912.013677</v>
      </c>
      <c r="H38" t="n">
        <v>2905118.284102</v>
      </c>
      <c r="I38" t="n">
        <v>3502.459341</v>
      </c>
      <c r="J38" t="n">
        <v>3796.144916</v>
      </c>
      <c r="K38" t="n">
        <v>1780.391965</v>
      </c>
      <c r="L38" t="n">
        <v>4710.704014</v>
      </c>
      <c r="M38" t="n">
        <v>4710.704014</v>
      </c>
      <c r="N38" t="n">
        <v>4710.704014</v>
      </c>
      <c r="O38" t="n">
        <v>105.183965</v>
      </c>
      <c r="P38" t="n">
        <v>52.828865</v>
      </c>
      <c r="Q38" t="n">
        <v>4710.704014</v>
      </c>
      <c r="R38" t="n">
        <v>4710.704014</v>
      </c>
      <c r="S38" t="n">
        <v>105.183965</v>
      </c>
      <c r="T38" t="n">
        <v>105.183965</v>
      </c>
      <c r="U38" t="n">
        <v>52.828865</v>
      </c>
      <c r="V38" t="n">
        <v>52.828865</v>
      </c>
      <c r="W38" t="n">
        <v>109.611209</v>
      </c>
      <c r="X38" t="n">
        <v>5115.038689</v>
      </c>
      <c r="Y38" t="n">
        <v>82.74413800000001</v>
      </c>
      <c r="Z38" t="n">
        <v>193.416145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140.953883</v>
      </c>
      <c r="F39" t="n">
        <v>170.518341</v>
      </c>
      <c r="G39" t="n">
        <v>7847.80585</v>
      </c>
      <c r="H39" t="n">
        <v>421935.650343</v>
      </c>
      <c r="I39" t="n">
        <v>1050.872908</v>
      </c>
      <c r="J39" t="n">
        <v>1075.829695</v>
      </c>
      <c r="K39" t="n">
        <v>537.914847</v>
      </c>
      <c r="L39" t="n">
        <v>1659.687874</v>
      </c>
      <c r="M39" t="n">
        <v>1659.687874</v>
      </c>
      <c r="N39" t="n">
        <v>1659.687874</v>
      </c>
      <c r="O39" t="n">
        <v>31.362197</v>
      </c>
      <c r="P39" t="n">
        <v>16.184075</v>
      </c>
      <c r="Q39" t="n">
        <v>1659.687874</v>
      </c>
      <c r="R39" t="n">
        <v>1659.687874</v>
      </c>
      <c r="S39" t="n">
        <v>31.362197</v>
      </c>
      <c r="T39" t="n">
        <v>31.362197</v>
      </c>
      <c r="U39" t="n">
        <v>16.184075</v>
      </c>
      <c r="V39" t="n">
        <v>16.184075</v>
      </c>
      <c r="W39" t="n">
        <v>32.286772</v>
      </c>
      <c r="X39" t="n">
        <v>1775.112325</v>
      </c>
      <c r="Y39" t="n">
        <v>88.16158900000001</v>
      </c>
      <c r="Z39" t="n">
        <v>173.868813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140.953883</v>
      </c>
      <c r="F40" t="n">
        <v>200.641254</v>
      </c>
      <c r="G40" t="n">
        <v>11101.904562</v>
      </c>
      <c r="H40" t="n">
        <v>25660602.941085</v>
      </c>
      <c r="I40" t="n">
        <v>6244.222521</v>
      </c>
      <c r="J40" t="n">
        <v>6325.914048</v>
      </c>
      <c r="K40" t="n">
        <v>1872.204427</v>
      </c>
      <c r="L40" t="n">
        <v>7112.982475</v>
      </c>
      <c r="M40" t="n">
        <v>7112.982475</v>
      </c>
      <c r="N40" t="n">
        <v>7112.982475</v>
      </c>
      <c r="O40" t="n">
        <v>87.969483</v>
      </c>
      <c r="P40" t="n">
        <v>46.580547</v>
      </c>
      <c r="Q40" t="n">
        <v>7112.982475</v>
      </c>
      <c r="R40" t="n">
        <v>7112.982475</v>
      </c>
      <c r="S40" t="n">
        <v>87.969483</v>
      </c>
      <c r="T40" t="n">
        <v>87.969483</v>
      </c>
      <c r="U40" t="n">
        <v>46.580547</v>
      </c>
      <c r="V40" t="n">
        <v>46.580547</v>
      </c>
      <c r="W40" t="n">
        <v>93.060855</v>
      </c>
      <c r="X40" t="n">
        <v>7459.131892</v>
      </c>
      <c r="Y40" t="n">
        <v>100.902165</v>
      </c>
      <c r="Z40" t="n">
        <v>211.14634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140.953883</v>
      </c>
      <c r="F41" t="n">
        <v>170.518341</v>
      </c>
      <c r="G41" t="n">
        <v>7847.80585</v>
      </c>
      <c r="H41" t="n">
        <v>421935.650343</v>
      </c>
      <c r="I41" t="n">
        <v>1050.872908</v>
      </c>
      <c r="J41" t="n">
        <v>1075.829695</v>
      </c>
      <c r="K41" t="n">
        <v>537.914847</v>
      </c>
      <c r="L41" t="n">
        <v>1659.687874</v>
      </c>
      <c r="M41" t="n">
        <v>1659.687874</v>
      </c>
      <c r="N41" t="n">
        <v>1659.687874</v>
      </c>
      <c r="O41" t="n">
        <v>31.362197</v>
      </c>
      <c r="P41" t="n">
        <v>16.184075</v>
      </c>
      <c r="Q41" t="n">
        <v>1659.687874</v>
      </c>
      <c r="R41" t="n">
        <v>1659.687874</v>
      </c>
      <c r="S41" t="n">
        <v>31.362197</v>
      </c>
      <c r="T41" t="n">
        <v>31.362197</v>
      </c>
      <c r="U41" t="n">
        <v>16.184075</v>
      </c>
      <c r="V41" t="n">
        <v>16.184075</v>
      </c>
      <c r="W41" t="n">
        <v>32.286772</v>
      </c>
      <c r="X41" t="n">
        <v>1775.112325</v>
      </c>
      <c r="Y41" t="n">
        <v>88.16158900000001</v>
      </c>
      <c r="Z41" t="n">
        <v>173.868813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140.953883</v>
      </c>
      <c r="F42" t="n">
        <v>667.104795</v>
      </c>
      <c r="G42" t="n">
        <v>84841.433393</v>
      </c>
      <c r="H42" t="n">
        <v>62527803.444478</v>
      </c>
      <c r="I42" t="n">
        <v>9604.557183999999</v>
      </c>
      <c r="J42" t="n">
        <v>10115.319409</v>
      </c>
      <c r="K42" t="n">
        <v>2437.791978</v>
      </c>
      <c r="L42" t="n">
        <v>16798.641648</v>
      </c>
      <c r="M42" t="n">
        <v>16798.641648</v>
      </c>
      <c r="N42" t="n">
        <v>16798.641648</v>
      </c>
      <c r="O42" t="n">
        <v>88.03658900000001</v>
      </c>
      <c r="P42" t="n">
        <v>38.159556</v>
      </c>
      <c r="Q42" t="n">
        <v>16798.641648</v>
      </c>
      <c r="R42" t="n">
        <v>16798.641648</v>
      </c>
      <c r="S42" t="n">
        <v>88.03658900000001</v>
      </c>
      <c r="T42" t="n">
        <v>88.03658900000001</v>
      </c>
      <c r="U42" t="n">
        <v>38.159556</v>
      </c>
      <c r="V42" t="n">
        <v>38.159556</v>
      </c>
      <c r="W42" t="n">
        <v>92.54017</v>
      </c>
      <c r="X42" t="n">
        <v>18119.633615</v>
      </c>
      <c r="Y42" t="n">
        <v>289.503115</v>
      </c>
      <c r="Z42" t="n">
        <v>659.652259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140.953883</v>
      </c>
      <c r="F43" t="n">
        <v>200.641254</v>
      </c>
      <c r="G43" t="n">
        <v>11101.904562</v>
      </c>
      <c r="H43" t="n">
        <v>25660602.941085</v>
      </c>
      <c r="I43" t="n">
        <v>6244.222521</v>
      </c>
      <c r="J43" t="n">
        <v>6325.914048</v>
      </c>
      <c r="K43" t="n">
        <v>1872.204427</v>
      </c>
      <c r="L43" t="n">
        <v>7112.982475</v>
      </c>
      <c r="M43" t="n">
        <v>7112.982475</v>
      </c>
      <c r="N43" t="n">
        <v>7112.982475</v>
      </c>
      <c r="O43" t="n">
        <v>87.969483</v>
      </c>
      <c r="P43" t="n">
        <v>46.580547</v>
      </c>
      <c r="Q43" t="n">
        <v>7112.982475</v>
      </c>
      <c r="R43" t="n">
        <v>7112.982475</v>
      </c>
      <c r="S43" t="n">
        <v>87.969483</v>
      </c>
      <c r="T43" t="n">
        <v>87.969483</v>
      </c>
      <c r="U43" t="n">
        <v>46.580547</v>
      </c>
      <c r="V43" t="n">
        <v>46.580547</v>
      </c>
      <c r="W43" t="n">
        <v>93.060855</v>
      </c>
      <c r="X43" t="n">
        <v>7459.131892</v>
      </c>
      <c r="Y43" t="n">
        <v>100.902165</v>
      </c>
      <c r="Z43" t="n">
        <v>211.14634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140.953883</v>
      </c>
      <c r="F44" t="n">
        <v>20.231565</v>
      </c>
      <c r="G44" t="n">
        <v>209.122647</v>
      </c>
      <c r="H44" t="n">
        <v>7911.235378</v>
      </c>
      <c r="I44" t="n">
        <v>130.411041</v>
      </c>
      <c r="J44" t="n">
        <v>130.411041</v>
      </c>
      <c r="K44" t="n">
        <v>95.393377</v>
      </c>
      <c r="L44" t="n">
        <v>134.682411</v>
      </c>
      <c r="M44" t="n">
        <v>134.682411</v>
      </c>
      <c r="N44" t="n">
        <v>134.682411</v>
      </c>
      <c r="O44" t="n">
        <v>10.649241</v>
      </c>
      <c r="P44" t="n">
        <v>7.289446</v>
      </c>
      <c r="Q44" t="n">
        <v>134.682411</v>
      </c>
      <c r="R44" t="n">
        <v>134.682411</v>
      </c>
      <c r="S44" t="n">
        <v>10.649241</v>
      </c>
      <c r="T44" t="n">
        <v>10.649241</v>
      </c>
      <c r="U44" t="n">
        <v>7.289446</v>
      </c>
      <c r="V44" t="n">
        <v>7.289446</v>
      </c>
      <c r="W44" t="n">
        <v>10.971178</v>
      </c>
      <c r="X44" t="n">
        <v>140.50161</v>
      </c>
      <c r="Y44" t="n">
        <v>13.632476</v>
      </c>
      <c r="Z44" t="n">
        <v>24.80153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140.953883</v>
      </c>
      <c r="F45" t="n">
        <v>200.641254</v>
      </c>
      <c r="G45" t="n">
        <v>11101.904562</v>
      </c>
      <c r="H45" t="n">
        <v>25660602.941085</v>
      </c>
      <c r="I45" t="n">
        <v>6244.222521</v>
      </c>
      <c r="J45" t="n">
        <v>6325.914048</v>
      </c>
      <c r="K45" t="n">
        <v>1872.204427</v>
      </c>
      <c r="L45" t="n">
        <v>7112.982475</v>
      </c>
      <c r="M45" t="n">
        <v>7112.982475</v>
      </c>
      <c r="N45" t="n">
        <v>7112.982475</v>
      </c>
      <c r="O45" t="n">
        <v>87.969483</v>
      </c>
      <c r="P45" t="n">
        <v>46.580547</v>
      </c>
      <c r="Q45" t="n">
        <v>7112.982475</v>
      </c>
      <c r="R45" t="n">
        <v>7112.982475</v>
      </c>
      <c r="S45" t="n">
        <v>87.969483</v>
      </c>
      <c r="T45" t="n">
        <v>87.969483</v>
      </c>
      <c r="U45" t="n">
        <v>46.580547</v>
      </c>
      <c r="V45" t="n">
        <v>46.580547</v>
      </c>
      <c r="W45" t="n">
        <v>93.060855</v>
      </c>
      <c r="X45" t="n">
        <v>7459.131892</v>
      </c>
      <c r="Y45" t="n">
        <v>100.902165</v>
      </c>
      <c r="Z45" t="n">
        <v>211.14634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140.953883</v>
      </c>
      <c r="F46" t="n">
        <v>283.896083</v>
      </c>
      <c r="G46" t="n">
        <v>19102.99048</v>
      </c>
      <c r="H46" t="n">
        <v>21093286.411087</v>
      </c>
      <c r="I46" t="n">
        <v>10688.374283</v>
      </c>
      <c r="J46" t="n">
        <v>10967.724493</v>
      </c>
      <c r="K46" t="n">
        <v>3597.413634</v>
      </c>
      <c r="L46" t="n">
        <v>16970.336092</v>
      </c>
      <c r="M46" t="n">
        <v>16970.336092</v>
      </c>
      <c r="N46" t="n">
        <v>16970.336092</v>
      </c>
      <c r="O46" t="n">
        <v>214.616191</v>
      </c>
      <c r="P46" t="n">
        <v>96.945487</v>
      </c>
      <c r="Q46" t="n">
        <v>16970.336092</v>
      </c>
      <c r="R46" t="n">
        <v>16970.336092</v>
      </c>
      <c r="S46" t="n">
        <v>214.616191</v>
      </c>
      <c r="T46" t="n">
        <v>214.616191</v>
      </c>
      <c r="U46" t="n">
        <v>96.945487</v>
      </c>
      <c r="V46" t="n">
        <v>96.945487</v>
      </c>
      <c r="W46" t="n">
        <v>226.201493</v>
      </c>
      <c r="X46" t="n">
        <v>17690.628268</v>
      </c>
      <c r="Y46" t="n">
        <v>137.482738</v>
      </c>
      <c r="Z46" t="n">
        <v>446.984531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140.953883</v>
      </c>
      <c r="F47" t="n">
        <v>228.824285</v>
      </c>
      <c r="G47" t="n">
        <v>13739.954406</v>
      </c>
      <c r="H47" t="n">
        <v>114798702.260359</v>
      </c>
      <c r="I47" t="n">
        <v>6590.793316</v>
      </c>
      <c r="J47" t="n">
        <v>7071.146917</v>
      </c>
      <c r="K47" t="n">
        <v>2576.928919</v>
      </c>
      <c r="L47" t="n">
        <v>10677.999207</v>
      </c>
      <c r="M47" t="n">
        <v>10677.999207</v>
      </c>
      <c r="N47" t="n">
        <v>10677.999207</v>
      </c>
      <c r="O47" t="n">
        <v>85.006417</v>
      </c>
      <c r="P47" t="n">
        <v>38.52237</v>
      </c>
      <c r="Q47" t="n">
        <v>10677.999207</v>
      </c>
      <c r="R47" t="n">
        <v>10677.999207</v>
      </c>
      <c r="S47" t="n">
        <v>85.006417</v>
      </c>
      <c r="T47" t="n">
        <v>85.006417</v>
      </c>
      <c r="U47" t="n">
        <v>38.52237</v>
      </c>
      <c r="V47" t="n">
        <v>38.52237</v>
      </c>
      <c r="W47" t="n">
        <v>88.306245</v>
      </c>
      <c r="X47" t="n">
        <v>11509.306401</v>
      </c>
      <c r="Y47" t="n">
        <v>113.373643</v>
      </c>
      <c r="Z47" t="n">
        <v>399.574722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140.953883</v>
      </c>
      <c r="F48" t="n">
        <v>170.518341</v>
      </c>
      <c r="G48" t="n">
        <v>7847.80585</v>
      </c>
      <c r="H48" t="n">
        <v>421935.650343</v>
      </c>
      <c r="I48" t="n">
        <v>1050.872908</v>
      </c>
      <c r="J48" t="n">
        <v>1075.829695</v>
      </c>
      <c r="K48" t="n">
        <v>537.914847</v>
      </c>
      <c r="L48" t="n">
        <v>1659.687874</v>
      </c>
      <c r="M48" t="n">
        <v>1659.687874</v>
      </c>
      <c r="N48" t="n">
        <v>1659.687874</v>
      </c>
      <c r="O48" t="n">
        <v>31.362197</v>
      </c>
      <c r="P48" t="n">
        <v>16.184075</v>
      </c>
      <c r="Q48" t="n">
        <v>1659.687874</v>
      </c>
      <c r="R48" t="n">
        <v>1659.687874</v>
      </c>
      <c r="S48" t="n">
        <v>31.362197</v>
      </c>
      <c r="T48" t="n">
        <v>31.362197</v>
      </c>
      <c r="U48" t="n">
        <v>16.184075</v>
      </c>
      <c r="V48" t="n">
        <v>16.184075</v>
      </c>
      <c r="W48" t="n">
        <v>32.286772</v>
      </c>
      <c r="X48" t="n">
        <v>1775.112325</v>
      </c>
      <c r="Y48" t="n">
        <v>88.16158900000001</v>
      </c>
      <c r="Z48" t="n">
        <v>173.868813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140.953883</v>
      </c>
      <c r="F49" t="n">
        <v>667.104795</v>
      </c>
      <c r="G49" t="n">
        <v>84841.433393</v>
      </c>
      <c r="H49" t="n">
        <v>62527803.444478</v>
      </c>
      <c r="I49" t="n">
        <v>9604.557183999999</v>
      </c>
      <c r="J49" t="n">
        <v>10115.319409</v>
      </c>
      <c r="K49" t="n">
        <v>2437.791978</v>
      </c>
      <c r="L49" t="n">
        <v>16798.641648</v>
      </c>
      <c r="M49" t="n">
        <v>16798.641648</v>
      </c>
      <c r="N49" t="n">
        <v>16798.641648</v>
      </c>
      <c r="O49" t="n">
        <v>88.03658900000001</v>
      </c>
      <c r="P49" t="n">
        <v>38.159556</v>
      </c>
      <c r="Q49" t="n">
        <v>16798.641648</v>
      </c>
      <c r="R49" t="n">
        <v>16798.641648</v>
      </c>
      <c r="S49" t="n">
        <v>88.03658900000001</v>
      </c>
      <c r="T49" t="n">
        <v>88.03658900000001</v>
      </c>
      <c r="U49" t="n">
        <v>38.159556</v>
      </c>
      <c r="V49" t="n">
        <v>38.159556</v>
      </c>
      <c r="W49" t="n">
        <v>92.54017</v>
      </c>
      <c r="X49" t="n">
        <v>18119.633615</v>
      </c>
      <c r="Y49" t="n">
        <v>289.503115</v>
      </c>
      <c r="Z49" t="n">
        <v>659.652259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140.953883</v>
      </c>
      <c r="F50" t="n">
        <v>15.812995</v>
      </c>
      <c r="G50" t="n">
        <v>123.721444</v>
      </c>
      <c r="H50" t="n">
        <v>7384.919423</v>
      </c>
      <c r="I50" t="n">
        <v>110.765161</v>
      </c>
      <c r="J50" t="n">
        <v>110.765161</v>
      </c>
      <c r="K50" t="n">
        <v>69.11746100000001</v>
      </c>
      <c r="L50" t="n">
        <v>113.463496</v>
      </c>
      <c r="M50" t="n">
        <v>113.463496</v>
      </c>
      <c r="N50" t="n">
        <v>113.463496</v>
      </c>
      <c r="O50" t="n">
        <v>8.170260000000001</v>
      </c>
      <c r="P50" t="n">
        <v>5.693764</v>
      </c>
      <c r="Q50" t="n">
        <v>113.463496</v>
      </c>
      <c r="R50" t="n">
        <v>113.463496</v>
      </c>
      <c r="S50" t="n">
        <v>8.170260000000001</v>
      </c>
      <c r="T50" t="n">
        <v>8.170260000000001</v>
      </c>
      <c r="U50" t="n">
        <v>5.693764</v>
      </c>
      <c r="V50" t="n">
        <v>5.693764</v>
      </c>
      <c r="W50" t="n">
        <v>8.298344999999999</v>
      </c>
      <c r="X50" t="n">
        <v>118.931059</v>
      </c>
      <c r="Y50" t="n">
        <v>11.094229</v>
      </c>
      <c r="Z50" t="n">
        <v>22.315768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140.953883</v>
      </c>
      <c r="F51" t="n">
        <v>170.518341</v>
      </c>
      <c r="G51" t="n">
        <v>7847.80585</v>
      </c>
      <c r="H51" t="n">
        <v>421935.650343</v>
      </c>
      <c r="I51" t="n">
        <v>1050.872908</v>
      </c>
      <c r="J51" t="n">
        <v>1075.829695</v>
      </c>
      <c r="K51" t="n">
        <v>537.914847</v>
      </c>
      <c r="L51" t="n">
        <v>1659.687874</v>
      </c>
      <c r="M51" t="n">
        <v>1659.687874</v>
      </c>
      <c r="N51" t="n">
        <v>1659.687874</v>
      </c>
      <c r="O51" t="n">
        <v>31.362197</v>
      </c>
      <c r="P51" t="n">
        <v>16.184075</v>
      </c>
      <c r="Q51" t="n">
        <v>1659.687874</v>
      </c>
      <c r="R51" t="n">
        <v>1659.687874</v>
      </c>
      <c r="S51" t="n">
        <v>31.362197</v>
      </c>
      <c r="T51" t="n">
        <v>31.362197</v>
      </c>
      <c r="U51" t="n">
        <v>16.184075</v>
      </c>
      <c r="V51" t="n">
        <v>16.184075</v>
      </c>
      <c r="W51" t="n">
        <v>32.286772</v>
      </c>
      <c r="X51" t="n">
        <v>1775.112325</v>
      </c>
      <c r="Y51" t="n">
        <v>88.16158900000001</v>
      </c>
      <c r="Z51" t="n">
        <v>173.868813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140.953883</v>
      </c>
      <c r="F52" t="n">
        <v>420.661524</v>
      </c>
      <c r="G52" t="n">
        <v>45138.893651</v>
      </c>
      <c r="H52" t="n">
        <v>168230573.682483</v>
      </c>
      <c r="I52" t="n">
        <v>32064.514055</v>
      </c>
      <c r="J52" t="n">
        <v>32388.465997</v>
      </c>
      <c r="K52" t="n">
        <v>15001.444266</v>
      </c>
      <c r="L52" t="n">
        <v>47447.371867</v>
      </c>
      <c r="M52" t="n">
        <v>47447.371867</v>
      </c>
      <c r="N52" t="n">
        <v>47447.371867</v>
      </c>
      <c r="O52" t="n">
        <v>134.659687</v>
      </c>
      <c r="P52" t="n">
        <v>58.748438</v>
      </c>
      <c r="Q52" t="n">
        <v>47447.371867</v>
      </c>
      <c r="R52" t="n">
        <v>47447.371867</v>
      </c>
      <c r="S52" t="n">
        <v>134.659687</v>
      </c>
      <c r="T52" t="n">
        <v>134.659687</v>
      </c>
      <c r="U52" t="n">
        <v>58.748438</v>
      </c>
      <c r="V52" t="n">
        <v>58.748438</v>
      </c>
      <c r="W52" t="n">
        <v>141.372985</v>
      </c>
      <c r="X52" t="n">
        <v>50905.953173</v>
      </c>
      <c r="Y52" t="n">
        <v>191.020462</v>
      </c>
      <c r="Z52" t="n">
        <v>621.6836510000001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140.953883</v>
      </c>
      <c r="F53" t="n">
        <v>200.641254</v>
      </c>
      <c r="G53" t="n">
        <v>11101.904562</v>
      </c>
      <c r="H53" t="n">
        <v>25660602.941085</v>
      </c>
      <c r="I53" t="n">
        <v>6244.222521</v>
      </c>
      <c r="J53" t="n">
        <v>6325.914048</v>
      </c>
      <c r="K53" t="n">
        <v>1872.204427</v>
      </c>
      <c r="L53" t="n">
        <v>7112.982475</v>
      </c>
      <c r="M53" t="n">
        <v>7112.982475</v>
      </c>
      <c r="N53" t="n">
        <v>7112.982475</v>
      </c>
      <c r="O53" t="n">
        <v>87.969483</v>
      </c>
      <c r="P53" t="n">
        <v>46.580547</v>
      </c>
      <c r="Q53" t="n">
        <v>7112.982475</v>
      </c>
      <c r="R53" t="n">
        <v>7112.982475</v>
      </c>
      <c r="S53" t="n">
        <v>87.969483</v>
      </c>
      <c r="T53" t="n">
        <v>87.969483</v>
      </c>
      <c r="U53" t="n">
        <v>46.580547</v>
      </c>
      <c r="V53" t="n">
        <v>46.580547</v>
      </c>
      <c r="W53" t="n">
        <v>93.060855</v>
      </c>
      <c r="X53" t="n">
        <v>7459.131892</v>
      </c>
      <c r="Y53" t="n">
        <v>100.902165</v>
      </c>
      <c r="Z53" t="n">
        <v>211.14634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140.953883</v>
      </c>
      <c r="F54" t="n">
        <v>420.661524</v>
      </c>
      <c r="G54" t="n">
        <v>45138.893651</v>
      </c>
      <c r="H54" t="n">
        <v>168230573.682483</v>
      </c>
      <c r="I54" t="n">
        <v>32064.514055</v>
      </c>
      <c r="J54" t="n">
        <v>32388.465997</v>
      </c>
      <c r="K54" t="n">
        <v>15001.444266</v>
      </c>
      <c r="L54" t="n">
        <v>47447.371867</v>
      </c>
      <c r="M54" t="n">
        <v>47447.371867</v>
      </c>
      <c r="N54" t="n">
        <v>47447.371867</v>
      </c>
      <c r="O54" t="n">
        <v>134.659687</v>
      </c>
      <c r="P54" t="n">
        <v>58.748438</v>
      </c>
      <c r="Q54" t="n">
        <v>47447.371867</v>
      </c>
      <c r="R54" t="n">
        <v>47447.371867</v>
      </c>
      <c r="S54" t="n">
        <v>134.659687</v>
      </c>
      <c r="T54" t="n">
        <v>134.659687</v>
      </c>
      <c r="U54" t="n">
        <v>58.748438</v>
      </c>
      <c r="V54" t="n">
        <v>58.748438</v>
      </c>
      <c r="W54" t="n">
        <v>141.372985</v>
      </c>
      <c r="X54" t="n">
        <v>50905.953173</v>
      </c>
      <c r="Y54" t="n">
        <v>191.020462</v>
      </c>
      <c r="Z54" t="n">
        <v>621.6836510000001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140.953883</v>
      </c>
      <c r="F55" t="n">
        <v>200.641254</v>
      </c>
      <c r="G55" t="n">
        <v>11101.904562</v>
      </c>
      <c r="H55" t="n">
        <v>25660602.941085</v>
      </c>
      <c r="I55" t="n">
        <v>6244.222521</v>
      </c>
      <c r="J55" t="n">
        <v>6325.914048</v>
      </c>
      <c r="K55" t="n">
        <v>1872.204427</v>
      </c>
      <c r="L55" t="n">
        <v>7112.982475</v>
      </c>
      <c r="M55" t="n">
        <v>7112.982475</v>
      </c>
      <c r="N55" t="n">
        <v>7112.982475</v>
      </c>
      <c r="O55" t="n">
        <v>87.969483</v>
      </c>
      <c r="P55" t="n">
        <v>46.580547</v>
      </c>
      <c r="Q55" t="n">
        <v>7112.982475</v>
      </c>
      <c r="R55" t="n">
        <v>7112.982475</v>
      </c>
      <c r="S55" t="n">
        <v>87.969483</v>
      </c>
      <c r="T55" t="n">
        <v>87.969483</v>
      </c>
      <c r="U55" t="n">
        <v>46.580547</v>
      </c>
      <c r="V55" t="n">
        <v>46.580547</v>
      </c>
      <c r="W55" t="n">
        <v>93.060855</v>
      </c>
      <c r="X55" t="n">
        <v>7459.131892</v>
      </c>
      <c r="Y55" t="n">
        <v>100.902165</v>
      </c>
      <c r="Z55" t="n">
        <v>211.14634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140.953883</v>
      </c>
      <c r="F56" t="n">
        <v>60.479203</v>
      </c>
      <c r="G56" t="n">
        <v>1285.725322</v>
      </c>
      <c r="H56" t="n">
        <v>3025.478454</v>
      </c>
      <c r="I56" t="n">
        <v>395.888053</v>
      </c>
      <c r="J56" t="n">
        <v>395.888053</v>
      </c>
      <c r="K56" t="n">
        <v>376.09365</v>
      </c>
      <c r="L56" t="n">
        <v>393.787233</v>
      </c>
      <c r="M56" t="n">
        <v>393.787233</v>
      </c>
      <c r="N56" t="n">
        <v>393.787233</v>
      </c>
      <c r="O56" t="n">
        <v>20.916473</v>
      </c>
      <c r="P56" t="n">
        <v>13.510088</v>
      </c>
      <c r="Q56" t="n">
        <v>393.787233</v>
      </c>
      <c r="R56" t="n">
        <v>393.787233</v>
      </c>
      <c r="S56" t="n">
        <v>20.916473</v>
      </c>
      <c r="T56" t="n">
        <v>20.916473</v>
      </c>
      <c r="U56" t="n">
        <v>13.510088</v>
      </c>
      <c r="V56" t="n">
        <v>13.510088</v>
      </c>
      <c r="W56" t="n">
        <v>21.939981</v>
      </c>
      <c r="X56" t="n">
        <v>405.784084</v>
      </c>
      <c r="Y56" t="n">
        <v>35.719215</v>
      </c>
      <c r="Z56" t="n">
        <v>45.472786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140.953883</v>
      </c>
      <c r="F57" t="n">
        <v>200.641254</v>
      </c>
      <c r="G57" t="n">
        <v>11101.904562</v>
      </c>
      <c r="H57" t="n">
        <v>25660602.941085</v>
      </c>
      <c r="I57" t="n">
        <v>6244.222521</v>
      </c>
      <c r="J57" t="n">
        <v>6325.914048</v>
      </c>
      <c r="K57" t="n">
        <v>1872.204427</v>
      </c>
      <c r="L57" t="n">
        <v>7112.982475</v>
      </c>
      <c r="M57" t="n">
        <v>7112.982475</v>
      </c>
      <c r="N57" t="n">
        <v>7112.982475</v>
      </c>
      <c r="O57" t="n">
        <v>87.969483</v>
      </c>
      <c r="P57" t="n">
        <v>46.580547</v>
      </c>
      <c r="Q57" t="n">
        <v>7112.982475</v>
      </c>
      <c r="R57" t="n">
        <v>7112.982475</v>
      </c>
      <c r="S57" t="n">
        <v>87.969483</v>
      </c>
      <c r="T57" t="n">
        <v>87.969483</v>
      </c>
      <c r="U57" t="n">
        <v>46.580547</v>
      </c>
      <c r="V57" t="n">
        <v>46.580547</v>
      </c>
      <c r="W57" t="n">
        <v>93.060855</v>
      </c>
      <c r="X57" t="n">
        <v>7459.131892</v>
      </c>
      <c r="Y57" t="n">
        <v>100.902165</v>
      </c>
      <c r="Z57" t="n">
        <v>211.14634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140.953883</v>
      </c>
      <c r="F58" t="n">
        <v>200.641254</v>
      </c>
      <c r="G58" t="n">
        <v>11101.904562</v>
      </c>
      <c r="H58" t="n">
        <v>25660602.941085</v>
      </c>
      <c r="I58" t="n">
        <v>6244.222521</v>
      </c>
      <c r="J58" t="n">
        <v>6325.914048</v>
      </c>
      <c r="K58" t="n">
        <v>1872.204427</v>
      </c>
      <c r="L58" t="n">
        <v>7112.982475</v>
      </c>
      <c r="M58" t="n">
        <v>7112.982475</v>
      </c>
      <c r="N58" t="n">
        <v>7112.982475</v>
      </c>
      <c r="O58" t="n">
        <v>87.969483</v>
      </c>
      <c r="P58" t="n">
        <v>46.580547</v>
      </c>
      <c r="Q58" t="n">
        <v>7112.982475</v>
      </c>
      <c r="R58" t="n">
        <v>7112.982475</v>
      </c>
      <c r="S58" t="n">
        <v>87.969483</v>
      </c>
      <c r="T58" t="n">
        <v>87.969483</v>
      </c>
      <c r="U58" t="n">
        <v>46.580547</v>
      </c>
      <c r="V58" t="n">
        <v>46.580547</v>
      </c>
      <c r="W58" t="n">
        <v>93.060855</v>
      </c>
      <c r="X58" t="n">
        <v>7459.131892</v>
      </c>
      <c r="Y58" t="n">
        <v>100.902165</v>
      </c>
      <c r="Z58" t="n">
        <v>211.14634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140.953883</v>
      </c>
      <c r="F59" t="n">
        <v>200.641254</v>
      </c>
      <c r="G59" t="n">
        <v>11101.904562</v>
      </c>
      <c r="H59" t="n">
        <v>25660602.941085</v>
      </c>
      <c r="I59" t="n">
        <v>6244.222521</v>
      </c>
      <c r="J59" t="n">
        <v>6325.914048</v>
      </c>
      <c r="K59" t="n">
        <v>1872.204427</v>
      </c>
      <c r="L59" t="n">
        <v>7112.982475</v>
      </c>
      <c r="M59" t="n">
        <v>7112.982475</v>
      </c>
      <c r="N59" t="n">
        <v>7112.982475</v>
      </c>
      <c r="O59" t="n">
        <v>87.969483</v>
      </c>
      <c r="P59" t="n">
        <v>46.580547</v>
      </c>
      <c r="Q59" t="n">
        <v>7112.982475</v>
      </c>
      <c r="R59" t="n">
        <v>7112.982475</v>
      </c>
      <c r="S59" t="n">
        <v>87.969483</v>
      </c>
      <c r="T59" t="n">
        <v>87.969483</v>
      </c>
      <c r="U59" t="n">
        <v>46.580547</v>
      </c>
      <c r="V59" t="n">
        <v>46.580547</v>
      </c>
      <c r="W59" t="n">
        <v>93.060855</v>
      </c>
      <c r="X59" t="n">
        <v>7459.131892</v>
      </c>
      <c r="Y59" t="n">
        <v>100.902165</v>
      </c>
      <c r="Z59" t="n">
        <v>211.14634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140.953883</v>
      </c>
      <c r="F60" t="n">
        <v>539.046528</v>
      </c>
      <c r="G60" t="n">
        <v>58487.681751</v>
      </c>
      <c r="H60" t="n">
        <v>89769700.66949099</v>
      </c>
      <c r="I60" t="n">
        <v>10399.759602</v>
      </c>
      <c r="J60" t="n">
        <v>10694.630086</v>
      </c>
      <c r="K60" t="n">
        <v>4010.486282</v>
      </c>
      <c r="L60" t="n">
        <v>14214.100911</v>
      </c>
      <c r="M60" t="n">
        <v>14214.100911</v>
      </c>
      <c r="N60" t="n">
        <v>14214.100911</v>
      </c>
      <c r="O60" t="n">
        <v>203.72024</v>
      </c>
      <c r="P60" t="n">
        <v>90.708206</v>
      </c>
      <c r="Q60" t="n">
        <v>14214.100911</v>
      </c>
      <c r="R60" t="n">
        <v>14214.100911</v>
      </c>
      <c r="S60" t="n">
        <v>203.72024</v>
      </c>
      <c r="T60" t="n">
        <v>203.72024</v>
      </c>
      <c r="U60" t="n">
        <v>90.708206</v>
      </c>
      <c r="V60" t="n">
        <v>90.708206</v>
      </c>
      <c r="W60" t="n">
        <v>213.076898</v>
      </c>
      <c r="X60" t="n">
        <v>15231.972848</v>
      </c>
      <c r="Y60" t="n">
        <v>240.418747</v>
      </c>
      <c r="Z60" t="n">
        <v>654.813563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140.953883</v>
      </c>
      <c r="F61" t="n">
        <v>228.824285</v>
      </c>
      <c r="G61" t="n">
        <v>13739.954406</v>
      </c>
      <c r="H61" t="n">
        <v>114798702.260359</v>
      </c>
      <c r="I61" t="n">
        <v>6590.793316</v>
      </c>
      <c r="J61" t="n">
        <v>7071.146917</v>
      </c>
      <c r="K61" t="n">
        <v>2576.928919</v>
      </c>
      <c r="L61" t="n">
        <v>10677.999207</v>
      </c>
      <c r="M61" t="n">
        <v>10677.999207</v>
      </c>
      <c r="N61" t="n">
        <v>10677.999207</v>
      </c>
      <c r="O61" t="n">
        <v>85.006417</v>
      </c>
      <c r="P61" t="n">
        <v>38.52237</v>
      </c>
      <c r="Q61" t="n">
        <v>10677.999207</v>
      </c>
      <c r="R61" t="n">
        <v>10677.999207</v>
      </c>
      <c r="S61" t="n">
        <v>85.006417</v>
      </c>
      <c r="T61" t="n">
        <v>85.006417</v>
      </c>
      <c r="U61" t="n">
        <v>38.52237</v>
      </c>
      <c r="V61" t="n">
        <v>38.52237</v>
      </c>
      <c r="W61" t="n">
        <v>88.306245</v>
      </c>
      <c r="X61" t="n">
        <v>11509.306401</v>
      </c>
      <c r="Y61" t="n">
        <v>113.373643</v>
      </c>
      <c r="Z61" t="n">
        <v>399.574722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140.953883</v>
      </c>
      <c r="F62" t="n">
        <v>200.641254</v>
      </c>
      <c r="G62" t="n">
        <v>11101.904562</v>
      </c>
      <c r="H62" t="n">
        <v>25660602.941085</v>
      </c>
      <c r="I62" t="n">
        <v>6244.222521</v>
      </c>
      <c r="J62" t="n">
        <v>6325.914048</v>
      </c>
      <c r="K62" t="n">
        <v>1872.204427</v>
      </c>
      <c r="L62" t="n">
        <v>7112.982475</v>
      </c>
      <c r="M62" t="n">
        <v>7112.982475</v>
      </c>
      <c r="N62" t="n">
        <v>7112.982475</v>
      </c>
      <c r="O62" t="n">
        <v>87.969483</v>
      </c>
      <c r="P62" t="n">
        <v>46.580547</v>
      </c>
      <c r="Q62" t="n">
        <v>7112.982475</v>
      </c>
      <c r="R62" t="n">
        <v>7112.982475</v>
      </c>
      <c r="S62" t="n">
        <v>87.969483</v>
      </c>
      <c r="T62" t="n">
        <v>87.969483</v>
      </c>
      <c r="U62" t="n">
        <v>46.580547</v>
      </c>
      <c r="V62" t="n">
        <v>46.580547</v>
      </c>
      <c r="W62" t="n">
        <v>93.060855</v>
      </c>
      <c r="X62" t="n">
        <v>7459.131892</v>
      </c>
      <c r="Y62" t="n">
        <v>100.902165</v>
      </c>
      <c r="Z62" t="n">
        <v>211.14634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140.953883</v>
      </c>
      <c r="F63" t="n">
        <v>200.641254</v>
      </c>
      <c r="G63" t="n">
        <v>11101.904562</v>
      </c>
      <c r="H63" t="n">
        <v>25660602.941085</v>
      </c>
      <c r="I63" t="n">
        <v>6244.222521</v>
      </c>
      <c r="J63" t="n">
        <v>6325.914048</v>
      </c>
      <c r="K63" t="n">
        <v>1872.204427</v>
      </c>
      <c r="L63" t="n">
        <v>7112.982475</v>
      </c>
      <c r="M63" t="n">
        <v>7112.982475</v>
      </c>
      <c r="N63" t="n">
        <v>7112.982475</v>
      </c>
      <c r="O63" t="n">
        <v>87.969483</v>
      </c>
      <c r="P63" t="n">
        <v>46.580547</v>
      </c>
      <c r="Q63" t="n">
        <v>7112.982475</v>
      </c>
      <c r="R63" t="n">
        <v>7112.982475</v>
      </c>
      <c r="S63" t="n">
        <v>87.969483</v>
      </c>
      <c r="T63" t="n">
        <v>87.969483</v>
      </c>
      <c r="U63" t="n">
        <v>46.580547</v>
      </c>
      <c r="V63" t="n">
        <v>46.580547</v>
      </c>
      <c r="W63" t="n">
        <v>93.060855</v>
      </c>
      <c r="X63" t="n">
        <v>7459.131892</v>
      </c>
      <c r="Y63" t="n">
        <v>100.902165</v>
      </c>
      <c r="Z63" t="n">
        <v>211.14634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140.953883</v>
      </c>
      <c r="F64" t="n">
        <v>20.606299</v>
      </c>
      <c r="G64" t="n">
        <v>196.386285</v>
      </c>
      <c r="H64" t="n">
        <v>1009.116172</v>
      </c>
      <c r="I64" t="n">
        <v>131.71072</v>
      </c>
      <c r="J64" t="n">
        <v>131.71072</v>
      </c>
      <c r="K64" t="n">
        <v>125.125184</v>
      </c>
      <c r="L64" t="n">
        <v>130.894857</v>
      </c>
      <c r="M64" t="n">
        <v>130.894857</v>
      </c>
      <c r="N64" t="n">
        <v>130.894857</v>
      </c>
      <c r="O64" t="n">
        <v>12.255972</v>
      </c>
      <c r="P64" t="n">
        <v>8.448598</v>
      </c>
      <c r="Q64" t="n">
        <v>130.894857</v>
      </c>
      <c r="R64" t="n">
        <v>130.894857</v>
      </c>
      <c r="S64" t="n">
        <v>12.255972</v>
      </c>
      <c r="T64" t="n">
        <v>12.255972</v>
      </c>
      <c r="U64" t="n">
        <v>8.448598</v>
      </c>
      <c r="V64" t="n">
        <v>8.448598</v>
      </c>
      <c r="W64" t="n">
        <v>12.680707</v>
      </c>
      <c r="X64" t="n">
        <v>136.520004</v>
      </c>
      <c r="Y64" t="n">
        <v>13.974049</v>
      </c>
      <c r="Z64" t="n">
        <v>22.490141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140.953883</v>
      </c>
      <c r="F65" t="n">
        <v>60.479203</v>
      </c>
      <c r="G65" t="n">
        <v>1285.725322</v>
      </c>
      <c r="H65" t="n">
        <v>3025.478454</v>
      </c>
      <c r="I65" t="n">
        <v>395.888053</v>
      </c>
      <c r="J65" t="n">
        <v>395.888053</v>
      </c>
      <c r="K65" t="n">
        <v>376.09365</v>
      </c>
      <c r="L65" t="n">
        <v>393.787233</v>
      </c>
      <c r="M65" t="n">
        <v>393.787233</v>
      </c>
      <c r="N65" t="n">
        <v>393.787233</v>
      </c>
      <c r="O65" t="n">
        <v>20.916473</v>
      </c>
      <c r="P65" t="n">
        <v>13.510088</v>
      </c>
      <c r="Q65" t="n">
        <v>393.787233</v>
      </c>
      <c r="R65" t="n">
        <v>393.787233</v>
      </c>
      <c r="S65" t="n">
        <v>20.916473</v>
      </c>
      <c r="T65" t="n">
        <v>20.916473</v>
      </c>
      <c r="U65" t="n">
        <v>13.510088</v>
      </c>
      <c r="V65" t="n">
        <v>13.510088</v>
      </c>
      <c r="W65" t="n">
        <v>21.939981</v>
      </c>
      <c r="X65" t="n">
        <v>405.784084</v>
      </c>
      <c r="Y65" t="n">
        <v>35.719215</v>
      </c>
      <c r="Z65" t="n">
        <v>45.472786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140.953883</v>
      </c>
      <c r="F66" t="n">
        <v>228.824285</v>
      </c>
      <c r="G66" t="n">
        <v>13739.954406</v>
      </c>
      <c r="H66" t="n">
        <v>114798702.260359</v>
      </c>
      <c r="I66" t="n">
        <v>6590.793316</v>
      </c>
      <c r="J66" t="n">
        <v>7071.146917</v>
      </c>
      <c r="K66" t="n">
        <v>2576.928919</v>
      </c>
      <c r="L66" t="n">
        <v>10677.999207</v>
      </c>
      <c r="M66" t="n">
        <v>10677.999207</v>
      </c>
      <c r="N66" t="n">
        <v>10677.999207</v>
      </c>
      <c r="O66" t="n">
        <v>85.006417</v>
      </c>
      <c r="P66" t="n">
        <v>38.52237</v>
      </c>
      <c r="Q66" t="n">
        <v>10677.999207</v>
      </c>
      <c r="R66" t="n">
        <v>10677.999207</v>
      </c>
      <c r="S66" t="n">
        <v>85.006417</v>
      </c>
      <c r="T66" t="n">
        <v>85.006417</v>
      </c>
      <c r="U66" t="n">
        <v>38.52237</v>
      </c>
      <c r="V66" t="n">
        <v>38.52237</v>
      </c>
      <c r="W66" t="n">
        <v>88.306245</v>
      </c>
      <c r="X66" t="n">
        <v>11509.306401</v>
      </c>
      <c r="Y66" t="n">
        <v>113.373643</v>
      </c>
      <c r="Z66" t="n">
        <v>399.574722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140.953883</v>
      </c>
      <c r="F67" t="n">
        <v>200.641254</v>
      </c>
      <c r="G67" t="n">
        <v>11101.904562</v>
      </c>
      <c r="H67" t="n">
        <v>25660602.941085</v>
      </c>
      <c r="I67" t="n">
        <v>6244.222521</v>
      </c>
      <c r="J67" t="n">
        <v>6325.914048</v>
      </c>
      <c r="K67" t="n">
        <v>1872.204427</v>
      </c>
      <c r="L67" t="n">
        <v>7112.982475</v>
      </c>
      <c r="M67" t="n">
        <v>7112.982475</v>
      </c>
      <c r="N67" t="n">
        <v>7112.982475</v>
      </c>
      <c r="O67" t="n">
        <v>87.969483</v>
      </c>
      <c r="P67" t="n">
        <v>46.580547</v>
      </c>
      <c r="Q67" t="n">
        <v>7112.982475</v>
      </c>
      <c r="R67" t="n">
        <v>7112.982475</v>
      </c>
      <c r="S67" t="n">
        <v>87.969483</v>
      </c>
      <c r="T67" t="n">
        <v>87.969483</v>
      </c>
      <c r="U67" t="n">
        <v>46.580547</v>
      </c>
      <c r="V67" t="n">
        <v>46.580547</v>
      </c>
      <c r="W67" t="n">
        <v>93.060855</v>
      </c>
      <c r="X67" t="n">
        <v>7459.131892</v>
      </c>
      <c r="Y67" t="n">
        <v>100.902165</v>
      </c>
      <c r="Z67" t="n">
        <v>211.14634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140.953883</v>
      </c>
      <c r="F68" t="n">
        <v>200.641254</v>
      </c>
      <c r="G68" t="n">
        <v>11101.904562</v>
      </c>
      <c r="H68" t="n">
        <v>25660602.941085</v>
      </c>
      <c r="I68" t="n">
        <v>6244.222521</v>
      </c>
      <c r="J68" t="n">
        <v>6325.914048</v>
      </c>
      <c r="K68" t="n">
        <v>1872.204427</v>
      </c>
      <c r="L68" t="n">
        <v>7112.982475</v>
      </c>
      <c r="M68" t="n">
        <v>7112.982475</v>
      </c>
      <c r="N68" t="n">
        <v>7112.982475</v>
      </c>
      <c r="O68" t="n">
        <v>87.969483</v>
      </c>
      <c r="P68" t="n">
        <v>46.580547</v>
      </c>
      <c r="Q68" t="n">
        <v>7112.982475</v>
      </c>
      <c r="R68" t="n">
        <v>7112.982475</v>
      </c>
      <c r="S68" t="n">
        <v>87.969483</v>
      </c>
      <c r="T68" t="n">
        <v>87.969483</v>
      </c>
      <c r="U68" t="n">
        <v>46.580547</v>
      </c>
      <c r="V68" t="n">
        <v>46.580547</v>
      </c>
      <c r="W68" t="n">
        <v>93.060855</v>
      </c>
      <c r="X68" t="n">
        <v>7459.131892</v>
      </c>
      <c r="Y68" t="n">
        <v>100.902165</v>
      </c>
      <c r="Z68" t="n">
        <v>211.14634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140.953883</v>
      </c>
      <c r="F69" t="n">
        <v>60.479203</v>
      </c>
      <c r="G69" t="n">
        <v>1285.725322</v>
      </c>
      <c r="H69" t="n">
        <v>3025.478454</v>
      </c>
      <c r="I69" t="n">
        <v>395.888053</v>
      </c>
      <c r="J69" t="n">
        <v>395.888053</v>
      </c>
      <c r="K69" t="n">
        <v>376.09365</v>
      </c>
      <c r="L69" t="n">
        <v>393.787233</v>
      </c>
      <c r="M69" t="n">
        <v>393.787233</v>
      </c>
      <c r="N69" t="n">
        <v>393.787233</v>
      </c>
      <c r="O69" t="n">
        <v>20.916473</v>
      </c>
      <c r="P69" t="n">
        <v>13.510088</v>
      </c>
      <c r="Q69" t="n">
        <v>393.787233</v>
      </c>
      <c r="R69" t="n">
        <v>393.787233</v>
      </c>
      <c r="S69" t="n">
        <v>20.916473</v>
      </c>
      <c r="T69" t="n">
        <v>20.916473</v>
      </c>
      <c r="U69" t="n">
        <v>13.510088</v>
      </c>
      <c r="V69" t="n">
        <v>13.510088</v>
      </c>
      <c r="W69" t="n">
        <v>21.939981</v>
      </c>
      <c r="X69" t="n">
        <v>405.784084</v>
      </c>
      <c r="Y69" t="n">
        <v>35.719215</v>
      </c>
      <c r="Z69" t="n">
        <v>45.472786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140.953883</v>
      </c>
      <c r="F70" t="n">
        <v>200.641254</v>
      </c>
      <c r="G70" t="n">
        <v>11101.904562</v>
      </c>
      <c r="H70" t="n">
        <v>25660602.941085</v>
      </c>
      <c r="I70" t="n">
        <v>6244.222521</v>
      </c>
      <c r="J70" t="n">
        <v>6325.914048</v>
      </c>
      <c r="K70" t="n">
        <v>1872.204427</v>
      </c>
      <c r="L70" t="n">
        <v>7112.982475</v>
      </c>
      <c r="M70" t="n">
        <v>7112.982475</v>
      </c>
      <c r="N70" t="n">
        <v>7112.982475</v>
      </c>
      <c r="O70" t="n">
        <v>87.969483</v>
      </c>
      <c r="P70" t="n">
        <v>46.580547</v>
      </c>
      <c r="Q70" t="n">
        <v>7112.982475</v>
      </c>
      <c r="R70" t="n">
        <v>7112.982475</v>
      </c>
      <c r="S70" t="n">
        <v>87.969483</v>
      </c>
      <c r="T70" t="n">
        <v>87.969483</v>
      </c>
      <c r="U70" t="n">
        <v>46.580547</v>
      </c>
      <c r="V70" t="n">
        <v>46.580547</v>
      </c>
      <c r="W70" t="n">
        <v>93.060855</v>
      </c>
      <c r="X70" t="n">
        <v>7459.131892</v>
      </c>
      <c r="Y70" t="n">
        <v>100.902165</v>
      </c>
      <c r="Z70" t="n">
        <v>211.14634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140.953883</v>
      </c>
      <c r="F71" t="n">
        <v>200.641254</v>
      </c>
      <c r="G71" t="n">
        <v>11101.904562</v>
      </c>
      <c r="H71" t="n">
        <v>25660602.941085</v>
      </c>
      <c r="I71" t="n">
        <v>6244.222521</v>
      </c>
      <c r="J71" t="n">
        <v>6325.914048</v>
      </c>
      <c r="K71" t="n">
        <v>1872.204427</v>
      </c>
      <c r="L71" t="n">
        <v>7112.982475</v>
      </c>
      <c r="M71" t="n">
        <v>7112.982475</v>
      </c>
      <c r="N71" t="n">
        <v>7112.982475</v>
      </c>
      <c r="O71" t="n">
        <v>87.969483</v>
      </c>
      <c r="P71" t="n">
        <v>46.580547</v>
      </c>
      <c r="Q71" t="n">
        <v>7112.982475</v>
      </c>
      <c r="R71" t="n">
        <v>7112.982475</v>
      </c>
      <c r="S71" t="n">
        <v>87.969483</v>
      </c>
      <c r="T71" t="n">
        <v>87.969483</v>
      </c>
      <c r="U71" t="n">
        <v>46.580547</v>
      </c>
      <c r="V71" t="n">
        <v>46.580547</v>
      </c>
      <c r="W71" t="n">
        <v>93.060855</v>
      </c>
      <c r="X71" t="n">
        <v>7459.131892</v>
      </c>
      <c r="Y71" t="n">
        <v>100.902165</v>
      </c>
      <c r="Z71" t="n">
        <v>211.14634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140.953883</v>
      </c>
      <c r="F72" t="n">
        <v>228.824285</v>
      </c>
      <c r="G72" t="n">
        <v>13739.954406</v>
      </c>
      <c r="H72" t="n">
        <v>114798702.260359</v>
      </c>
      <c r="I72" t="n">
        <v>6590.793316</v>
      </c>
      <c r="J72" t="n">
        <v>7071.146917</v>
      </c>
      <c r="K72" t="n">
        <v>2576.928919</v>
      </c>
      <c r="L72" t="n">
        <v>10677.999207</v>
      </c>
      <c r="M72" t="n">
        <v>10677.999207</v>
      </c>
      <c r="N72" t="n">
        <v>10677.999207</v>
      </c>
      <c r="O72" t="n">
        <v>85.006417</v>
      </c>
      <c r="P72" t="n">
        <v>38.52237</v>
      </c>
      <c r="Q72" t="n">
        <v>10677.999207</v>
      </c>
      <c r="R72" t="n">
        <v>10677.999207</v>
      </c>
      <c r="S72" t="n">
        <v>85.006417</v>
      </c>
      <c r="T72" t="n">
        <v>85.006417</v>
      </c>
      <c r="U72" t="n">
        <v>38.52237</v>
      </c>
      <c r="V72" t="n">
        <v>38.52237</v>
      </c>
      <c r="W72" t="n">
        <v>88.306245</v>
      </c>
      <c r="X72" t="n">
        <v>11509.306401</v>
      </c>
      <c r="Y72" t="n">
        <v>113.373643</v>
      </c>
      <c r="Z72" t="n">
        <v>399.574722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140.953883</v>
      </c>
      <c r="F73" t="n">
        <v>283.896083</v>
      </c>
      <c r="G73" t="n">
        <v>19102.99048</v>
      </c>
      <c r="H73" t="n">
        <v>21093286.411087</v>
      </c>
      <c r="I73" t="n">
        <v>10688.374283</v>
      </c>
      <c r="J73" t="n">
        <v>10967.724493</v>
      </c>
      <c r="K73" t="n">
        <v>3597.413634</v>
      </c>
      <c r="L73" t="n">
        <v>16970.336092</v>
      </c>
      <c r="M73" t="n">
        <v>16970.336092</v>
      </c>
      <c r="N73" t="n">
        <v>16970.336092</v>
      </c>
      <c r="O73" t="n">
        <v>214.616191</v>
      </c>
      <c r="P73" t="n">
        <v>96.945487</v>
      </c>
      <c r="Q73" t="n">
        <v>16970.336092</v>
      </c>
      <c r="R73" t="n">
        <v>16970.336092</v>
      </c>
      <c r="S73" t="n">
        <v>214.616191</v>
      </c>
      <c r="T73" t="n">
        <v>214.616191</v>
      </c>
      <c r="U73" t="n">
        <v>96.945487</v>
      </c>
      <c r="V73" t="n">
        <v>96.945487</v>
      </c>
      <c r="W73" t="n">
        <v>226.201493</v>
      </c>
      <c r="X73" t="n">
        <v>17690.628268</v>
      </c>
      <c r="Y73" t="n">
        <v>137.482738</v>
      </c>
      <c r="Z73" t="n">
        <v>446.984531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140.953883</v>
      </c>
      <c r="F74" t="n">
        <v>158.552335</v>
      </c>
      <c r="G74" t="n">
        <v>6912.013677</v>
      </c>
      <c r="H74" t="n">
        <v>2905118.284102</v>
      </c>
      <c r="I74" t="n">
        <v>3502.459341</v>
      </c>
      <c r="J74" t="n">
        <v>3796.144916</v>
      </c>
      <c r="K74" t="n">
        <v>1780.391965</v>
      </c>
      <c r="L74" t="n">
        <v>4710.704014</v>
      </c>
      <c r="M74" t="n">
        <v>4710.704014</v>
      </c>
      <c r="N74" t="n">
        <v>4710.704014</v>
      </c>
      <c r="O74" t="n">
        <v>105.183965</v>
      </c>
      <c r="P74" t="n">
        <v>52.828865</v>
      </c>
      <c r="Q74" t="n">
        <v>4710.704014</v>
      </c>
      <c r="R74" t="n">
        <v>4710.704014</v>
      </c>
      <c r="S74" t="n">
        <v>105.183965</v>
      </c>
      <c r="T74" t="n">
        <v>105.183965</v>
      </c>
      <c r="U74" t="n">
        <v>52.828865</v>
      </c>
      <c r="V74" t="n">
        <v>52.828865</v>
      </c>
      <c r="W74" t="n">
        <v>109.611209</v>
      </c>
      <c r="X74" t="n">
        <v>5115.038689</v>
      </c>
      <c r="Y74" t="n">
        <v>82.74413800000001</v>
      </c>
      <c r="Z74" t="n">
        <v>193.416145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140.953883</v>
      </c>
      <c r="F75" t="n">
        <v>57.638856</v>
      </c>
      <c r="G75" t="n">
        <v>1182.200226</v>
      </c>
      <c r="H75" t="n">
        <v>56775.373409</v>
      </c>
      <c r="I75" t="n">
        <v>512.103289</v>
      </c>
      <c r="J75" t="n">
        <v>553.467817</v>
      </c>
      <c r="K75" t="n">
        <v>525.794426</v>
      </c>
      <c r="L75" t="n">
        <v>602.712303</v>
      </c>
      <c r="M75" t="n">
        <v>602.712303</v>
      </c>
      <c r="N75" t="n">
        <v>602.712303</v>
      </c>
      <c r="O75" t="n">
        <v>31.190871</v>
      </c>
      <c r="P75" t="n">
        <v>18.283791</v>
      </c>
      <c r="Q75" t="n">
        <v>602.712303</v>
      </c>
      <c r="R75" t="n">
        <v>602.712303</v>
      </c>
      <c r="S75" t="n">
        <v>31.190871</v>
      </c>
      <c r="T75" t="n">
        <v>31.190871</v>
      </c>
      <c r="U75" t="n">
        <v>18.283791</v>
      </c>
      <c r="V75" t="n">
        <v>18.283791</v>
      </c>
      <c r="W75" t="n">
        <v>32.089433</v>
      </c>
      <c r="X75" t="n">
        <v>622.065443</v>
      </c>
      <c r="Y75" t="n">
        <v>34.252552</v>
      </c>
      <c r="Z75" t="n">
        <v>73.57281500000001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140.953883</v>
      </c>
      <c r="F76" t="n">
        <v>57.638856</v>
      </c>
      <c r="G76" t="n">
        <v>1182.200226</v>
      </c>
      <c r="H76" t="n">
        <v>56775.373409</v>
      </c>
      <c r="I76" t="n">
        <v>512.103289</v>
      </c>
      <c r="J76" t="n">
        <v>553.467817</v>
      </c>
      <c r="K76" t="n">
        <v>525.794426</v>
      </c>
      <c r="L76" t="n">
        <v>602.712303</v>
      </c>
      <c r="M76" t="n">
        <v>602.712303</v>
      </c>
      <c r="N76" t="n">
        <v>602.712303</v>
      </c>
      <c r="O76" t="n">
        <v>31.190871</v>
      </c>
      <c r="P76" t="n">
        <v>18.283791</v>
      </c>
      <c r="Q76" t="n">
        <v>602.712303</v>
      </c>
      <c r="R76" t="n">
        <v>602.712303</v>
      </c>
      <c r="S76" t="n">
        <v>31.190871</v>
      </c>
      <c r="T76" t="n">
        <v>31.190871</v>
      </c>
      <c r="U76" t="n">
        <v>18.283791</v>
      </c>
      <c r="V76" t="n">
        <v>18.283791</v>
      </c>
      <c r="W76" t="n">
        <v>32.089433</v>
      </c>
      <c r="X76" t="n">
        <v>622.065443</v>
      </c>
      <c r="Y76" t="n">
        <v>34.252552</v>
      </c>
      <c r="Z76" t="n">
        <v>73.57281500000001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140.953883</v>
      </c>
      <c r="F77" t="n">
        <v>170.518341</v>
      </c>
      <c r="G77" t="n">
        <v>7847.80585</v>
      </c>
      <c r="H77" t="n">
        <v>421935.650343</v>
      </c>
      <c r="I77" t="n">
        <v>1050.872908</v>
      </c>
      <c r="J77" t="n">
        <v>1075.829695</v>
      </c>
      <c r="K77" t="n">
        <v>537.914847</v>
      </c>
      <c r="L77" t="n">
        <v>1659.687874</v>
      </c>
      <c r="M77" t="n">
        <v>1659.687874</v>
      </c>
      <c r="N77" t="n">
        <v>1659.687874</v>
      </c>
      <c r="O77" t="n">
        <v>31.362197</v>
      </c>
      <c r="P77" t="n">
        <v>16.184075</v>
      </c>
      <c r="Q77" t="n">
        <v>1659.687874</v>
      </c>
      <c r="R77" t="n">
        <v>1659.687874</v>
      </c>
      <c r="S77" t="n">
        <v>31.362197</v>
      </c>
      <c r="T77" t="n">
        <v>31.362197</v>
      </c>
      <c r="U77" t="n">
        <v>16.184075</v>
      </c>
      <c r="V77" t="n">
        <v>16.184075</v>
      </c>
      <c r="W77" t="n">
        <v>32.286772</v>
      </c>
      <c r="X77" t="n">
        <v>1775.112325</v>
      </c>
      <c r="Y77" t="n">
        <v>88.16158900000001</v>
      </c>
      <c r="Z77" t="n">
        <v>173.868813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140.953883</v>
      </c>
      <c r="F78" t="n">
        <v>57.638856</v>
      </c>
      <c r="G78" t="n">
        <v>1182.200226</v>
      </c>
      <c r="H78" t="n">
        <v>56775.373409</v>
      </c>
      <c r="I78" t="n">
        <v>512.103289</v>
      </c>
      <c r="J78" t="n">
        <v>553.467817</v>
      </c>
      <c r="K78" t="n">
        <v>525.794426</v>
      </c>
      <c r="L78" t="n">
        <v>602.712303</v>
      </c>
      <c r="M78" t="n">
        <v>602.712303</v>
      </c>
      <c r="N78" t="n">
        <v>602.712303</v>
      </c>
      <c r="O78" t="n">
        <v>31.190871</v>
      </c>
      <c r="P78" t="n">
        <v>18.283791</v>
      </c>
      <c r="Q78" t="n">
        <v>602.712303</v>
      </c>
      <c r="R78" t="n">
        <v>602.712303</v>
      </c>
      <c r="S78" t="n">
        <v>31.190871</v>
      </c>
      <c r="T78" t="n">
        <v>31.190871</v>
      </c>
      <c r="U78" t="n">
        <v>18.283791</v>
      </c>
      <c r="V78" t="n">
        <v>18.283791</v>
      </c>
      <c r="W78" t="n">
        <v>32.089433</v>
      </c>
      <c r="X78" t="n">
        <v>622.065443</v>
      </c>
      <c r="Y78" t="n">
        <v>34.252552</v>
      </c>
      <c r="Z78" t="n">
        <v>73.57281500000001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140.953883</v>
      </c>
      <c r="F79" t="n">
        <v>170.518341</v>
      </c>
      <c r="G79" t="n">
        <v>7847.80585</v>
      </c>
      <c r="H79" t="n">
        <v>421935.650343</v>
      </c>
      <c r="I79" t="n">
        <v>1050.872908</v>
      </c>
      <c r="J79" t="n">
        <v>1075.829695</v>
      </c>
      <c r="K79" t="n">
        <v>537.914847</v>
      </c>
      <c r="L79" t="n">
        <v>1659.687874</v>
      </c>
      <c r="M79" t="n">
        <v>1659.687874</v>
      </c>
      <c r="N79" t="n">
        <v>1659.687874</v>
      </c>
      <c r="O79" t="n">
        <v>31.362197</v>
      </c>
      <c r="P79" t="n">
        <v>16.184075</v>
      </c>
      <c r="Q79" t="n">
        <v>1659.687874</v>
      </c>
      <c r="R79" t="n">
        <v>1659.687874</v>
      </c>
      <c r="S79" t="n">
        <v>31.362197</v>
      </c>
      <c r="T79" t="n">
        <v>31.362197</v>
      </c>
      <c r="U79" t="n">
        <v>16.184075</v>
      </c>
      <c r="V79" t="n">
        <v>16.184075</v>
      </c>
      <c r="W79" t="n">
        <v>32.286772</v>
      </c>
      <c r="X79" t="n">
        <v>1775.112325</v>
      </c>
      <c r="Y79" t="n">
        <v>88.16158900000001</v>
      </c>
      <c r="Z79" t="n">
        <v>173.868813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140.953883</v>
      </c>
      <c r="F80" t="n">
        <v>308.68601</v>
      </c>
      <c r="G80" t="n">
        <v>22108.042525</v>
      </c>
      <c r="H80" t="n">
        <v>195781560.03917</v>
      </c>
      <c r="I80" t="n">
        <v>10706.101486</v>
      </c>
      <c r="J80" t="n">
        <v>10781.622707</v>
      </c>
      <c r="K80" t="n">
        <v>3924.510665</v>
      </c>
      <c r="L80" t="n">
        <v>18846.946222</v>
      </c>
      <c r="M80" t="n">
        <v>18846.946222</v>
      </c>
      <c r="N80" t="n">
        <v>18846.946222</v>
      </c>
      <c r="O80" t="n">
        <v>119.185901</v>
      </c>
      <c r="P80" t="n">
        <v>52.155741</v>
      </c>
      <c r="Q80" t="n">
        <v>18846.946222</v>
      </c>
      <c r="R80" t="n">
        <v>18846.946222</v>
      </c>
      <c r="S80" t="n">
        <v>119.185901</v>
      </c>
      <c r="T80" t="n">
        <v>119.185901</v>
      </c>
      <c r="U80" t="n">
        <v>52.155741</v>
      </c>
      <c r="V80" t="n">
        <v>52.155741</v>
      </c>
      <c r="W80" t="n">
        <v>124.506314</v>
      </c>
      <c r="X80" t="n">
        <v>20404.471037</v>
      </c>
      <c r="Y80" t="n">
        <v>147.889899</v>
      </c>
      <c r="Z80" t="n">
        <v>588.19732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140.953883</v>
      </c>
      <c r="F81" t="n">
        <v>200.641254</v>
      </c>
      <c r="G81" t="n">
        <v>11101.904562</v>
      </c>
      <c r="H81" t="n">
        <v>25660602.941085</v>
      </c>
      <c r="I81" t="n">
        <v>6244.222521</v>
      </c>
      <c r="J81" t="n">
        <v>6325.914048</v>
      </c>
      <c r="K81" t="n">
        <v>1872.204427</v>
      </c>
      <c r="L81" t="n">
        <v>7112.982475</v>
      </c>
      <c r="M81" t="n">
        <v>7112.982475</v>
      </c>
      <c r="N81" t="n">
        <v>7112.982475</v>
      </c>
      <c r="O81" t="n">
        <v>87.969483</v>
      </c>
      <c r="P81" t="n">
        <v>46.580547</v>
      </c>
      <c r="Q81" t="n">
        <v>7112.982475</v>
      </c>
      <c r="R81" t="n">
        <v>7112.982475</v>
      </c>
      <c r="S81" t="n">
        <v>87.969483</v>
      </c>
      <c r="T81" t="n">
        <v>87.969483</v>
      </c>
      <c r="U81" t="n">
        <v>46.580547</v>
      </c>
      <c r="V81" t="n">
        <v>46.580547</v>
      </c>
      <c r="W81" t="n">
        <v>93.060855</v>
      </c>
      <c r="X81" t="n">
        <v>7459.131892</v>
      </c>
      <c r="Y81" t="n">
        <v>100.902165</v>
      </c>
      <c r="Z81" t="n">
        <v>211.14634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140.953883</v>
      </c>
      <c r="F82" t="n">
        <v>200.641254</v>
      </c>
      <c r="G82" t="n">
        <v>11101.904562</v>
      </c>
      <c r="H82" t="n">
        <v>25660602.941085</v>
      </c>
      <c r="I82" t="n">
        <v>6244.222521</v>
      </c>
      <c r="J82" t="n">
        <v>6325.914048</v>
      </c>
      <c r="K82" t="n">
        <v>1872.204427</v>
      </c>
      <c r="L82" t="n">
        <v>7112.982475</v>
      </c>
      <c r="M82" t="n">
        <v>7112.982475</v>
      </c>
      <c r="N82" t="n">
        <v>7112.982475</v>
      </c>
      <c r="O82" t="n">
        <v>87.969483</v>
      </c>
      <c r="P82" t="n">
        <v>46.580547</v>
      </c>
      <c r="Q82" t="n">
        <v>7112.982475</v>
      </c>
      <c r="R82" t="n">
        <v>7112.982475</v>
      </c>
      <c r="S82" t="n">
        <v>87.969483</v>
      </c>
      <c r="T82" t="n">
        <v>87.969483</v>
      </c>
      <c r="U82" t="n">
        <v>46.580547</v>
      </c>
      <c r="V82" t="n">
        <v>46.580547</v>
      </c>
      <c r="W82" t="n">
        <v>93.060855</v>
      </c>
      <c r="X82" t="n">
        <v>7459.131892</v>
      </c>
      <c r="Y82" t="n">
        <v>100.902165</v>
      </c>
      <c r="Z82" t="n">
        <v>211.14634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140.953883</v>
      </c>
      <c r="F83" t="n">
        <v>342.280115</v>
      </c>
      <c r="G83" t="n">
        <v>26475.575966</v>
      </c>
      <c r="H83" t="n">
        <v>257355.857038</v>
      </c>
      <c r="I83" t="n">
        <v>1585.623721</v>
      </c>
      <c r="J83" t="n">
        <v>1650.152477</v>
      </c>
      <c r="K83" t="n">
        <v>1567.644853</v>
      </c>
      <c r="L83" t="n">
        <v>2274.19106</v>
      </c>
      <c r="M83" t="n">
        <v>2274.19106</v>
      </c>
      <c r="N83" t="n">
        <v>2274.19106</v>
      </c>
      <c r="O83" t="n">
        <v>105.127985</v>
      </c>
      <c r="P83" t="n">
        <v>50.974766</v>
      </c>
      <c r="Q83" t="n">
        <v>2274.19106</v>
      </c>
      <c r="R83" t="n">
        <v>2274.19106</v>
      </c>
      <c r="S83" t="n">
        <v>105.127985</v>
      </c>
      <c r="T83" t="n">
        <v>105.127985</v>
      </c>
      <c r="U83" t="n">
        <v>50.974766</v>
      </c>
      <c r="V83" t="n">
        <v>50.974766</v>
      </c>
      <c r="W83" t="n">
        <v>111.155847</v>
      </c>
      <c r="X83" t="n">
        <v>2438.947747</v>
      </c>
      <c r="Y83" t="n">
        <v>161.824385</v>
      </c>
      <c r="Z83" t="n">
        <v>255.683683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140.953883</v>
      </c>
      <c r="F84" t="n">
        <v>60.479203</v>
      </c>
      <c r="G84" t="n">
        <v>1285.725322</v>
      </c>
      <c r="H84" t="n">
        <v>3025.478454</v>
      </c>
      <c r="I84" t="n">
        <v>395.888053</v>
      </c>
      <c r="J84" t="n">
        <v>395.888053</v>
      </c>
      <c r="K84" t="n">
        <v>376.09365</v>
      </c>
      <c r="L84" t="n">
        <v>393.787233</v>
      </c>
      <c r="M84" t="n">
        <v>393.787233</v>
      </c>
      <c r="N84" t="n">
        <v>393.787233</v>
      </c>
      <c r="O84" t="n">
        <v>20.916473</v>
      </c>
      <c r="P84" t="n">
        <v>13.510088</v>
      </c>
      <c r="Q84" t="n">
        <v>393.787233</v>
      </c>
      <c r="R84" t="n">
        <v>393.787233</v>
      </c>
      <c r="S84" t="n">
        <v>20.916473</v>
      </c>
      <c r="T84" t="n">
        <v>20.916473</v>
      </c>
      <c r="U84" t="n">
        <v>13.510088</v>
      </c>
      <c r="V84" t="n">
        <v>13.510088</v>
      </c>
      <c r="W84" t="n">
        <v>21.939981</v>
      </c>
      <c r="X84" t="n">
        <v>405.784084</v>
      </c>
      <c r="Y84" t="n">
        <v>35.719215</v>
      </c>
      <c r="Z84" t="n">
        <v>45.472786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140.953883</v>
      </c>
      <c r="F85" t="n">
        <v>14.712171</v>
      </c>
      <c r="G85" t="n">
        <v>109.082967</v>
      </c>
      <c r="H85" t="n">
        <v>1554.089564</v>
      </c>
      <c r="I85" t="n">
        <v>87.52377799999999</v>
      </c>
      <c r="J85" t="n">
        <v>87.52377799999999</v>
      </c>
      <c r="K85" t="n">
        <v>33.521607</v>
      </c>
      <c r="L85" t="n">
        <v>92.59366</v>
      </c>
      <c r="M85" t="n">
        <v>92.59366</v>
      </c>
      <c r="N85" t="n">
        <v>92.59366</v>
      </c>
      <c r="O85" t="n">
        <v>4.448657</v>
      </c>
      <c r="P85" t="n">
        <v>3.058348</v>
      </c>
      <c r="Q85" t="n">
        <v>92.59366</v>
      </c>
      <c r="R85" t="n">
        <v>92.59366</v>
      </c>
      <c r="S85" t="n">
        <v>4.448657</v>
      </c>
      <c r="T85" t="n">
        <v>4.448657</v>
      </c>
      <c r="U85" t="n">
        <v>3.058348</v>
      </c>
      <c r="V85" t="n">
        <v>3.058348</v>
      </c>
      <c r="W85" t="n">
        <v>4.556294</v>
      </c>
      <c r="X85" t="n">
        <v>96.447226</v>
      </c>
      <c r="Y85" t="n">
        <v>10.417956</v>
      </c>
      <c r="Z85" t="n">
        <v>17.174689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140.953883</v>
      </c>
      <c r="F86" t="n">
        <v>60.479203</v>
      </c>
      <c r="G86" t="n">
        <v>1285.725322</v>
      </c>
      <c r="H86" t="n">
        <v>3025.478454</v>
      </c>
      <c r="I86" t="n">
        <v>395.888053</v>
      </c>
      <c r="J86" t="n">
        <v>395.888053</v>
      </c>
      <c r="K86" t="n">
        <v>376.09365</v>
      </c>
      <c r="L86" t="n">
        <v>393.787233</v>
      </c>
      <c r="M86" t="n">
        <v>393.787233</v>
      </c>
      <c r="N86" t="n">
        <v>393.787233</v>
      </c>
      <c r="O86" t="n">
        <v>20.916473</v>
      </c>
      <c r="P86" t="n">
        <v>13.510088</v>
      </c>
      <c r="Q86" t="n">
        <v>393.787233</v>
      </c>
      <c r="R86" t="n">
        <v>393.787233</v>
      </c>
      <c r="S86" t="n">
        <v>20.916473</v>
      </c>
      <c r="T86" t="n">
        <v>20.916473</v>
      </c>
      <c r="U86" t="n">
        <v>13.510088</v>
      </c>
      <c r="V86" t="n">
        <v>13.510088</v>
      </c>
      <c r="W86" t="n">
        <v>21.939981</v>
      </c>
      <c r="X86" t="n">
        <v>405.784084</v>
      </c>
      <c r="Y86" t="n">
        <v>35.719215</v>
      </c>
      <c r="Z86" t="n">
        <v>45.472786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140.953883</v>
      </c>
      <c r="F87" t="n">
        <v>420.661524</v>
      </c>
      <c r="G87" t="n">
        <v>45138.893651</v>
      </c>
      <c r="H87" t="n">
        <v>168230573.682483</v>
      </c>
      <c r="I87" t="n">
        <v>32064.514055</v>
      </c>
      <c r="J87" t="n">
        <v>32388.465997</v>
      </c>
      <c r="K87" t="n">
        <v>15001.444266</v>
      </c>
      <c r="L87" t="n">
        <v>47447.371867</v>
      </c>
      <c r="M87" t="n">
        <v>47447.371867</v>
      </c>
      <c r="N87" t="n">
        <v>47447.371867</v>
      </c>
      <c r="O87" t="n">
        <v>134.659687</v>
      </c>
      <c r="P87" t="n">
        <v>58.748438</v>
      </c>
      <c r="Q87" t="n">
        <v>47447.371867</v>
      </c>
      <c r="R87" t="n">
        <v>47447.371867</v>
      </c>
      <c r="S87" t="n">
        <v>134.659687</v>
      </c>
      <c r="T87" t="n">
        <v>134.659687</v>
      </c>
      <c r="U87" t="n">
        <v>58.748438</v>
      </c>
      <c r="V87" t="n">
        <v>58.748438</v>
      </c>
      <c r="W87" t="n">
        <v>141.372985</v>
      </c>
      <c r="X87" t="n">
        <v>50905.953173</v>
      </c>
      <c r="Y87" t="n">
        <v>191.020462</v>
      </c>
      <c r="Z87" t="n">
        <v>621.6836510000001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140.953883</v>
      </c>
      <c r="F88" t="n">
        <v>554.842266</v>
      </c>
      <c r="G88" t="n">
        <v>61511.195509</v>
      </c>
      <c r="H88" t="n">
        <v>20307429.163039</v>
      </c>
      <c r="I88" t="n">
        <v>3230.237663</v>
      </c>
      <c r="J88" t="n">
        <v>3367.037571</v>
      </c>
      <c r="K88" t="n">
        <v>3198.685692</v>
      </c>
      <c r="L88" t="n">
        <v>4133.4309</v>
      </c>
      <c r="M88" t="n">
        <v>4133.4309</v>
      </c>
      <c r="N88" t="n">
        <v>4133.4309</v>
      </c>
      <c r="O88" t="n">
        <v>205.658598</v>
      </c>
      <c r="P88" t="n">
        <v>91.38801100000001</v>
      </c>
      <c r="Q88" t="n">
        <v>4133.4309</v>
      </c>
      <c r="R88" t="n">
        <v>4133.4309</v>
      </c>
      <c r="S88" t="n">
        <v>205.658598</v>
      </c>
      <c r="T88" t="n">
        <v>205.658598</v>
      </c>
      <c r="U88" t="n">
        <v>91.38801100000001</v>
      </c>
      <c r="V88" t="n">
        <v>91.38801100000001</v>
      </c>
      <c r="W88" t="n">
        <v>216.473302</v>
      </c>
      <c r="X88" t="n">
        <v>4393.486979</v>
      </c>
      <c r="Y88" t="n">
        <v>246.547973</v>
      </c>
      <c r="Z88" t="n">
        <v>636.567642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140.953883</v>
      </c>
      <c r="F89" t="n">
        <v>20.606299</v>
      </c>
      <c r="G89" t="n">
        <v>196.386285</v>
      </c>
      <c r="H89" t="n">
        <v>1009.116172</v>
      </c>
      <c r="I89" t="n">
        <v>131.71072</v>
      </c>
      <c r="J89" t="n">
        <v>131.71072</v>
      </c>
      <c r="K89" t="n">
        <v>125.125184</v>
      </c>
      <c r="L89" t="n">
        <v>130.894857</v>
      </c>
      <c r="M89" t="n">
        <v>130.894857</v>
      </c>
      <c r="N89" t="n">
        <v>130.894857</v>
      </c>
      <c r="O89" t="n">
        <v>12.255972</v>
      </c>
      <c r="P89" t="n">
        <v>8.448598</v>
      </c>
      <c r="Q89" t="n">
        <v>130.894857</v>
      </c>
      <c r="R89" t="n">
        <v>130.894857</v>
      </c>
      <c r="S89" t="n">
        <v>12.255972</v>
      </c>
      <c r="T89" t="n">
        <v>12.255972</v>
      </c>
      <c r="U89" t="n">
        <v>8.448598</v>
      </c>
      <c r="V89" t="n">
        <v>8.448598</v>
      </c>
      <c r="W89" t="n">
        <v>12.680707</v>
      </c>
      <c r="X89" t="n">
        <v>136.520004</v>
      </c>
      <c r="Y89" t="n">
        <v>13.974049</v>
      </c>
      <c r="Z89" t="n">
        <v>22.490141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140.953883</v>
      </c>
      <c r="F90" t="n">
        <v>170.518341</v>
      </c>
      <c r="G90" t="n">
        <v>7847.80585</v>
      </c>
      <c r="H90" t="n">
        <v>421935.650343</v>
      </c>
      <c r="I90" t="n">
        <v>1050.872908</v>
      </c>
      <c r="J90" t="n">
        <v>1075.829695</v>
      </c>
      <c r="K90" t="n">
        <v>537.914847</v>
      </c>
      <c r="L90" t="n">
        <v>1659.687874</v>
      </c>
      <c r="M90" t="n">
        <v>1659.687874</v>
      </c>
      <c r="N90" t="n">
        <v>1659.687874</v>
      </c>
      <c r="O90" t="n">
        <v>31.362197</v>
      </c>
      <c r="P90" t="n">
        <v>16.184075</v>
      </c>
      <c r="Q90" t="n">
        <v>1659.687874</v>
      </c>
      <c r="R90" t="n">
        <v>1659.687874</v>
      </c>
      <c r="S90" t="n">
        <v>31.362197</v>
      </c>
      <c r="T90" t="n">
        <v>31.362197</v>
      </c>
      <c r="U90" t="n">
        <v>16.184075</v>
      </c>
      <c r="V90" t="n">
        <v>16.184075</v>
      </c>
      <c r="W90" t="n">
        <v>32.286772</v>
      </c>
      <c r="X90" t="n">
        <v>1775.112325</v>
      </c>
      <c r="Y90" t="n">
        <v>88.16158900000001</v>
      </c>
      <c r="Z90" t="n">
        <v>173.868813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140.953883</v>
      </c>
      <c r="F91" t="n">
        <v>60.479203</v>
      </c>
      <c r="G91" t="n">
        <v>1285.725322</v>
      </c>
      <c r="H91" t="n">
        <v>3025.478454</v>
      </c>
      <c r="I91" t="n">
        <v>395.888053</v>
      </c>
      <c r="J91" t="n">
        <v>395.888053</v>
      </c>
      <c r="K91" t="n">
        <v>376.09365</v>
      </c>
      <c r="L91" t="n">
        <v>393.787233</v>
      </c>
      <c r="M91" t="n">
        <v>393.787233</v>
      </c>
      <c r="N91" t="n">
        <v>393.787233</v>
      </c>
      <c r="O91" t="n">
        <v>20.916473</v>
      </c>
      <c r="P91" t="n">
        <v>13.510088</v>
      </c>
      <c r="Q91" t="n">
        <v>393.787233</v>
      </c>
      <c r="R91" t="n">
        <v>393.787233</v>
      </c>
      <c r="S91" t="n">
        <v>20.916473</v>
      </c>
      <c r="T91" t="n">
        <v>20.916473</v>
      </c>
      <c r="U91" t="n">
        <v>13.510088</v>
      </c>
      <c r="V91" t="n">
        <v>13.510088</v>
      </c>
      <c r="W91" t="n">
        <v>21.939981</v>
      </c>
      <c r="X91" t="n">
        <v>405.784084</v>
      </c>
      <c r="Y91" t="n">
        <v>35.719215</v>
      </c>
      <c r="Z91" t="n">
        <v>45.472786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140.953883</v>
      </c>
      <c r="F92" t="n">
        <v>60.479203</v>
      </c>
      <c r="G92" t="n">
        <v>1285.725322</v>
      </c>
      <c r="H92" t="n">
        <v>3025.478454</v>
      </c>
      <c r="I92" t="n">
        <v>395.888053</v>
      </c>
      <c r="J92" t="n">
        <v>395.888053</v>
      </c>
      <c r="K92" t="n">
        <v>376.09365</v>
      </c>
      <c r="L92" t="n">
        <v>393.787233</v>
      </c>
      <c r="M92" t="n">
        <v>393.787233</v>
      </c>
      <c r="N92" t="n">
        <v>393.787233</v>
      </c>
      <c r="O92" t="n">
        <v>20.916473</v>
      </c>
      <c r="P92" t="n">
        <v>13.510088</v>
      </c>
      <c r="Q92" t="n">
        <v>393.787233</v>
      </c>
      <c r="R92" t="n">
        <v>393.787233</v>
      </c>
      <c r="S92" t="n">
        <v>20.916473</v>
      </c>
      <c r="T92" t="n">
        <v>20.916473</v>
      </c>
      <c r="U92" t="n">
        <v>13.510088</v>
      </c>
      <c r="V92" t="n">
        <v>13.510088</v>
      </c>
      <c r="W92" t="n">
        <v>21.939981</v>
      </c>
      <c r="X92" t="n">
        <v>405.784084</v>
      </c>
      <c r="Y92" t="n">
        <v>35.719215</v>
      </c>
      <c r="Z92" t="n">
        <v>45.472786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140.953883</v>
      </c>
      <c r="F94" t="n">
        <v>228.824285</v>
      </c>
      <c r="G94" t="n">
        <v>13739.954406</v>
      </c>
      <c r="H94" t="n">
        <v>114798702.260359</v>
      </c>
      <c r="I94" t="n">
        <v>6590.793316</v>
      </c>
      <c r="J94" t="n">
        <v>7071.146917</v>
      </c>
      <c r="K94" t="n">
        <v>2576.928919</v>
      </c>
      <c r="L94" t="n">
        <v>10677.999207</v>
      </c>
      <c r="M94" t="n">
        <v>10677.999207</v>
      </c>
      <c r="N94" t="n">
        <v>10677.999207</v>
      </c>
      <c r="O94" t="n">
        <v>85.006417</v>
      </c>
      <c r="P94" t="n">
        <v>38.52237</v>
      </c>
      <c r="Q94" t="n">
        <v>10677.999207</v>
      </c>
      <c r="R94" t="n">
        <v>10677.999207</v>
      </c>
      <c r="S94" t="n">
        <v>85.006417</v>
      </c>
      <c r="T94" t="n">
        <v>85.006417</v>
      </c>
      <c r="U94" t="n">
        <v>38.52237</v>
      </c>
      <c r="V94" t="n">
        <v>38.52237</v>
      </c>
      <c r="W94" t="n">
        <v>88.306245</v>
      </c>
      <c r="X94" t="n">
        <v>11509.306401</v>
      </c>
      <c r="Y94" t="n">
        <v>113.373643</v>
      </c>
      <c r="Z94" t="n">
        <v>399.574722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140.953883</v>
      </c>
      <c r="F95" t="n">
        <v>200.641254</v>
      </c>
      <c r="G95" t="n">
        <v>11101.904562</v>
      </c>
      <c r="H95" t="n">
        <v>25660602.941085</v>
      </c>
      <c r="I95" t="n">
        <v>6244.222521</v>
      </c>
      <c r="J95" t="n">
        <v>6325.914048</v>
      </c>
      <c r="K95" t="n">
        <v>1872.204427</v>
      </c>
      <c r="L95" t="n">
        <v>7112.982475</v>
      </c>
      <c r="M95" t="n">
        <v>7112.982475</v>
      </c>
      <c r="N95" t="n">
        <v>7112.982475</v>
      </c>
      <c r="O95" t="n">
        <v>87.969483</v>
      </c>
      <c r="P95" t="n">
        <v>46.580547</v>
      </c>
      <c r="Q95" t="n">
        <v>7112.982475</v>
      </c>
      <c r="R95" t="n">
        <v>7112.982475</v>
      </c>
      <c r="S95" t="n">
        <v>87.969483</v>
      </c>
      <c r="T95" t="n">
        <v>87.969483</v>
      </c>
      <c r="U95" t="n">
        <v>46.580547</v>
      </c>
      <c r="V95" t="n">
        <v>46.580547</v>
      </c>
      <c r="W95" t="n">
        <v>93.060855</v>
      </c>
      <c r="X95" t="n">
        <v>7459.131892</v>
      </c>
      <c r="Y95" t="n">
        <v>100.902165</v>
      </c>
      <c r="Z95" t="n">
        <v>211.14634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140.953883</v>
      </c>
      <c r="F96" t="n">
        <v>200.641254</v>
      </c>
      <c r="G96" t="n">
        <v>11101.904562</v>
      </c>
      <c r="H96" t="n">
        <v>25660602.941085</v>
      </c>
      <c r="I96" t="n">
        <v>6244.222521</v>
      </c>
      <c r="J96" t="n">
        <v>6325.914048</v>
      </c>
      <c r="K96" t="n">
        <v>1872.204427</v>
      </c>
      <c r="L96" t="n">
        <v>7112.982475</v>
      </c>
      <c r="M96" t="n">
        <v>7112.982475</v>
      </c>
      <c r="N96" t="n">
        <v>7112.982475</v>
      </c>
      <c r="O96" t="n">
        <v>87.969483</v>
      </c>
      <c r="P96" t="n">
        <v>46.580547</v>
      </c>
      <c r="Q96" t="n">
        <v>7112.982475</v>
      </c>
      <c r="R96" t="n">
        <v>7112.982475</v>
      </c>
      <c r="S96" t="n">
        <v>87.969483</v>
      </c>
      <c r="T96" t="n">
        <v>87.969483</v>
      </c>
      <c r="U96" t="n">
        <v>46.580547</v>
      </c>
      <c r="V96" t="n">
        <v>46.580547</v>
      </c>
      <c r="W96" t="n">
        <v>93.060855</v>
      </c>
      <c r="X96" t="n">
        <v>7459.131892</v>
      </c>
      <c r="Y96" t="n">
        <v>100.902165</v>
      </c>
      <c r="Z96" t="n">
        <v>211.14634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140.953883</v>
      </c>
      <c r="F97" t="n">
        <v>200.641254</v>
      </c>
      <c r="G97" t="n">
        <v>11101.904562</v>
      </c>
      <c r="H97" t="n">
        <v>25660602.941085</v>
      </c>
      <c r="I97" t="n">
        <v>6244.222521</v>
      </c>
      <c r="J97" t="n">
        <v>6325.914048</v>
      </c>
      <c r="K97" t="n">
        <v>1872.204427</v>
      </c>
      <c r="L97" t="n">
        <v>7112.982475</v>
      </c>
      <c r="M97" t="n">
        <v>7112.982475</v>
      </c>
      <c r="N97" t="n">
        <v>7112.982475</v>
      </c>
      <c r="O97" t="n">
        <v>87.969483</v>
      </c>
      <c r="P97" t="n">
        <v>46.580547</v>
      </c>
      <c r="Q97" t="n">
        <v>7112.982475</v>
      </c>
      <c r="R97" t="n">
        <v>7112.982475</v>
      </c>
      <c r="S97" t="n">
        <v>87.969483</v>
      </c>
      <c r="T97" t="n">
        <v>87.969483</v>
      </c>
      <c r="U97" t="n">
        <v>46.580547</v>
      </c>
      <c r="V97" t="n">
        <v>46.580547</v>
      </c>
      <c r="W97" t="n">
        <v>93.060855</v>
      </c>
      <c r="X97" t="n">
        <v>7459.131892</v>
      </c>
      <c r="Y97" t="n">
        <v>100.902165</v>
      </c>
      <c r="Z97" t="n">
        <v>211.14634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140.953883</v>
      </c>
      <c r="F98" t="n">
        <v>200.641254</v>
      </c>
      <c r="G98" t="n">
        <v>11101.904562</v>
      </c>
      <c r="H98" t="n">
        <v>25660602.941085</v>
      </c>
      <c r="I98" t="n">
        <v>6244.222521</v>
      </c>
      <c r="J98" t="n">
        <v>6325.914048</v>
      </c>
      <c r="K98" t="n">
        <v>1872.204427</v>
      </c>
      <c r="L98" t="n">
        <v>7112.982475</v>
      </c>
      <c r="M98" t="n">
        <v>7112.982475</v>
      </c>
      <c r="N98" t="n">
        <v>7112.982475</v>
      </c>
      <c r="O98" t="n">
        <v>87.969483</v>
      </c>
      <c r="P98" t="n">
        <v>46.580547</v>
      </c>
      <c r="Q98" t="n">
        <v>7112.982475</v>
      </c>
      <c r="R98" t="n">
        <v>7112.982475</v>
      </c>
      <c r="S98" t="n">
        <v>87.969483</v>
      </c>
      <c r="T98" t="n">
        <v>87.969483</v>
      </c>
      <c r="U98" t="n">
        <v>46.580547</v>
      </c>
      <c r="V98" t="n">
        <v>46.580547</v>
      </c>
      <c r="W98" t="n">
        <v>93.060855</v>
      </c>
      <c r="X98" t="n">
        <v>7459.131892</v>
      </c>
      <c r="Y98" t="n">
        <v>100.902165</v>
      </c>
      <c r="Z98" t="n">
        <v>211.14634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140.953883</v>
      </c>
      <c r="F99" t="n">
        <v>265.549442</v>
      </c>
      <c r="G99" t="n">
        <v>17398.716094</v>
      </c>
      <c r="H99" t="n">
        <v>21722652.494621</v>
      </c>
      <c r="I99" t="n">
        <v>2939.153653</v>
      </c>
      <c r="J99" t="n">
        <v>3022.907916</v>
      </c>
      <c r="K99" t="n">
        <v>1769.605312</v>
      </c>
      <c r="L99" t="n">
        <v>3691.420719</v>
      </c>
      <c r="M99" t="n">
        <v>3691.420719</v>
      </c>
      <c r="N99" t="n">
        <v>3691.420719</v>
      </c>
      <c r="O99" t="n">
        <v>92.784491</v>
      </c>
      <c r="P99" t="n">
        <v>44.082214</v>
      </c>
      <c r="Q99" t="n">
        <v>3691.420719</v>
      </c>
      <c r="R99" t="n">
        <v>3691.420719</v>
      </c>
      <c r="S99" t="n">
        <v>92.784491</v>
      </c>
      <c r="T99" t="n">
        <v>92.784491</v>
      </c>
      <c r="U99" t="n">
        <v>44.082214</v>
      </c>
      <c r="V99" t="n">
        <v>44.082214</v>
      </c>
      <c r="W99" t="n">
        <v>96.91430099999999</v>
      </c>
      <c r="X99" t="n">
        <v>3937.988659</v>
      </c>
      <c r="Y99" t="n">
        <v>129.416869</v>
      </c>
      <c r="Z99" t="n">
        <v>360.506923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140.953883</v>
      </c>
      <c r="F100" t="n">
        <v>759.29485</v>
      </c>
      <c r="G100" t="n">
        <v>106449.95281</v>
      </c>
      <c r="H100" t="n">
        <v>217978087.829156</v>
      </c>
      <c r="I100" t="n">
        <v>15387.334214</v>
      </c>
      <c r="J100" t="n">
        <v>16058.002117</v>
      </c>
      <c r="K100" t="n">
        <v>5258.842171</v>
      </c>
      <c r="L100" t="n">
        <v>26383.951313</v>
      </c>
      <c r="M100" t="n">
        <v>26383.951313</v>
      </c>
      <c r="N100" t="n">
        <v>26383.951313</v>
      </c>
      <c r="O100" t="n">
        <v>166.364336</v>
      </c>
      <c r="P100" t="n">
        <v>71.691328</v>
      </c>
      <c r="Q100" t="n">
        <v>26383.951313</v>
      </c>
      <c r="R100" t="n">
        <v>26383.951313</v>
      </c>
      <c r="S100" t="n">
        <v>166.364336</v>
      </c>
      <c r="T100" t="n">
        <v>166.364336</v>
      </c>
      <c r="U100" t="n">
        <v>71.691328</v>
      </c>
      <c r="V100" t="n">
        <v>71.691328</v>
      </c>
      <c r="W100" t="n">
        <v>176.786743</v>
      </c>
      <c r="X100" t="n">
        <v>28905.373115</v>
      </c>
      <c r="Y100" t="n">
        <v>324.052433</v>
      </c>
      <c r="Z100" t="n">
        <v>881.088486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140.953883</v>
      </c>
      <c r="F101" t="n">
        <v>200.641254</v>
      </c>
      <c r="G101" t="n">
        <v>11101.904562</v>
      </c>
      <c r="H101" t="n">
        <v>25660602.941085</v>
      </c>
      <c r="I101" t="n">
        <v>6244.222521</v>
      </c>
      <c r="J101" t="n">
        <v>6325.914048</v>
      </c>
      <c r="K101" t="n">
        <v>1872.204427</v>
      </c>
      <c r="L101" t="n">
        <v>7112.982475</v>
      </c>
      <c r="M101" t="n">
        <v>7112.982475</v>
      </c>
      <c r="N101" t="n">
        <v>7112.982475</v>
      </c>
      <c r="O101" t="n">
        <v>87.969483</v>
      </c>
      <c r="P101" t="n">
        <v>46.580547</v>
      </c>
      <c r="Q101" t="n">
        <v>7112.982475</v>
      </c>
      <c r="R101" t="n">
        <v>7112.982475</v>
      </c>
      <c r="S101" t="n">
        <v>87.969483</v>
      </c>
      <c r="T101" t="n">
        <v>87.969483</v>
      </c>
      <c r="U101" t="n">
        <v>46.580547</v>
      </c>
      <c r="V101" t="n">
        <v>46.580547</v>
      </c>
      <c r="W101" t="n">
        <v>93.060855</v>
      </c>
      <c r="X101" t="n">
        <v>7459.131892</v>
      </c>
      <c r="Y101" t="n">
        <v>100.902165</v>
      </c>
      <c r="Z101" t="n">
        <v>211.14634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140.953883</v>
      </c>
      <c r="F102" t="n">
        <v>20.606299</v>
      </c>
      <c r="G102" t="n">
        <v>196.386285</v>
      </c>
      <c r="H102" t="n">
        <v>1009.116172</v>
      </c>
      <c r="I102" t="n">
        <v>131.71072</v>
      </c>
      <c r="J102" t="n">
        <v>131.71072</v>
      </c>
      <c r="K102" t="n">
        <v>125.125184</v>
      </c>
      <c r="L102" t="n">
        <v>130.894857</v>
      </c>
      <c r="M102" t="n">
        <v>130.894857</v>
      </c>
      <c r="N102" t="n">
        <v>130.894857</v>
      </c>
      <c r="O102" t="n">
        <v>12.255972</v>
      </c>
      <c r="P102" t="n">
        <v>8.448598</v>
      </c>
      <c r="Q102" t="n">
        <v>130.894857</v>
      </c>
      <c r="R102" t="n">
        <v>130.894857</v>
      </c>
      <c r="S102" t="n">
        <v>12.255972</v>
      </c>
      <c r="T102" t="n">
        <v>12.255972</v>
      </c>
      <c r="U102" t="n">
        <v>8.448598</v>
      </c>
      <c r="V102" t="n">
        <v>8.448598</v>
      </c>
      <c r="W102" t="n">
        <v>12.680707</v>
      </c>
      <c r="X102" t="n">
        <v>136.520004</v>
      </c>
      <c r="Y102" t="n">
        <v>13.974049</v>
      </c>
      <c r="Z102" t="n">
        <v>22.490141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140.953883</v>
      </c>
      <c r="F103" t="n">
        <v>103.790936</v>
      </c>
      <c r="G103" t="n">
        <v>3299.712955</v>
      </c>
      <c r="H103" t="n">
        <v>5979.61191</v>
      </c>
      <c r="I103" t="n">
        <v>468.918008</v>
      </c>
      <c r="J103" t="n">
        <v>473.97462</v>
      </c>
      <c r="K103" t="n">
        <v>450.275889</v>
      </c>
      <c r="L103" t="n">
        <v>711.02964</v>
      </c>
      <c r="M103" t="n">
        <v>711.02964</v>
      </c>
      <c r="N103" t="n">
        <v>711.02964</v>
      </c>
      <c r="O103" t="n">
        <v>34.656914</v>
      </c>
      <c r="P103" t="n">
        <v>19.970973</v>
      </c>
      <c r="Q103" t="n">
        <v>711.02964</v>
      </c>
      <c r="R103" t="n">
        <v>711.02964</v>
      </c>
      <c r="S103" t="n">
        <v>34.656914</v>
      </c>
      <c r="T103" t="n">
        <v>34.656914</v>
      </c>
      <c r="U103" t="n">
        <v>19.970973</v>
      </c>
      <c r="V103" t="n">
        <v>19.970973</v>
      </c>
      <c r="W103" t="n">
        <v>36.368369</v>
      </c>
      <c r="X103" t="n">
        <v>756.8536319999999</v>
      </c>
      <c r="Y103" t="n">
        <v>57.193376</v>
      </c>
      <c r="Z103" t="n">
        <v>56.260295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140.953883</v>
      </c>
      <c r="F104" t="n">
        <v>94.940534</v>
      </c>
      <c r="G104" t="n">
        <v>3699.207408</v>
      </c>
      <c r="H104" t="n">
        <v>6311396.796745</v>
      </c>
      <c r="I104" t="n">
        <v>1833.804999</v>
      </c>
      <c r="J104" t="n">
        <v>1853.890312</v>
      </c>
      <c r="K104" t="n">
        <v>743.939069</v>
      </c>
      <c r="L104" t="n">
        <v>2045.820774</v>
      </c>
      <c r="M104" t="n">
        <v>2045.820774</v>
      </c>
      <c r="N104" t="n">
        <v>2045.820774</v>
      </c>
      <c r="O104" t="n">
        <v>37.402647</v>
      </c>
      <c r="P104" t="n">
        <v>21.641048</v>
      </c>
      <c r="Q104" t="n">
        <v>2045.820774</v>
      </c>
      <c r="R104" t="n">
        <v>2045.820774</v>
      </c>
      <c r="S104" t="n">
        <v>37.402647</v>
      </c>
      <c r="T104" t="n">
        <v>37.402647</v>
      </c>
      <c r="U104" t="n">
        <v>21.641048</v>
      </c>
      <c r="V104" t="n">
        <v>21.641048</v>
      </c>
      <c r="W104" t="n">
        <v>39.426311</v>
      </c>
      <c r="X104" t="n">
        <v>2139.974971</v>
      </c>
      <c r="Y104" t="n">
        <v>51.745601</v>
      </c>
      <c r="Z104" t="n">
        <v>86.20657300000001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140.953883</v>
      </c>
      <c r="F105" t="n">
        <v>265.549442</v>
      </c>
      <c r="G105" t="n">
        <v>17398.716094</v>
      </c>
      <c r="H105" t="n">
        <v>21722652.494621</v>
      </c>
      <c r="I105" t="n">
        <v>2939.153653</v>
      </c>
      <c r="J105" t="n">
        <v>3022.907916</v>
      </c>
      <c r="K105" t="n">
        <v>1769.605312</v>
      </c>
      <c r="L105" t="n">
        <v>3691.420719</v>
      </c>
      <c r="M105" t="n">
        <v>3691.420719</v>
      </c>
      <c r="N105" t="n">
        <v>3691.420719</v>
      </c>
      <c r="O105" t="n">
        <v>92.784491</v>
      </c>
      <c r="P105" t="n">
        <v>44.082214</v>
      </c>
      <c r="Q105" t="n">
        <v>3691.420719</v>
      </c>
      <c r="R105" t="n">
        <v>3691.420719</v>
      </c>
      <c r="S105" t="n">
        <v>92.784491</v>
      </c>
      <c r="T105" t="n">
        <v>92.784491</v>
      </c>
      <c r="U105" t="n">
        <v>44.082214</v>
      </c>
      <c r="V105" t="n">
        <v>44.082214</v>
      </c>
      <c r="W105" t="n">
        <v>96.91430099999999</v>
      </c>
      <c r="X105" t="n">
        <v>3937.988659</v>
      </c>
      <c r="Y105" t="n">
        <v>129.416869</v>
      </c>
      <c r="Z105" t="n">
        <v>360.506923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140.953883</v>
      </c>
      <c r="F106" t="n">
        <v>228.824285</v>
      </c>
      <c r="G106" t="n">
        <v>13739.954406</v>
      </c>
      <c r="H106" t="n">
        <v>114798702.260359</v>
      </c>
      <c r="I106" t="n">
        <v>6590.793316</v>
      </c>
      <c r="J106" t="n">
        <v>7071.146917</v>
      </c>
      <c r="K106" t="n">
        <v>2576.928919</v>
      </c>
      <c r="L106" t="n">
        <v>10677.999207</v>
      </c>
      <c r="M106" t="n">
        <v>10677.999207</v>
      </c>
      <c r="N106" t="n">
        <v>10677.999207</v>
      </c>
      <c r="O106" t="n">
        <v>85.006417</v>
      </c>
      <c r="P106" t="n">
        <v>38.52237</v>
      </c>
      <c r="Q106" t="n">
        <v>10677.999207</v>
      </c>
      <c r="R106" t="n">
        <v>10677.999207</v>
      </c>
      <c r="S106" t="n">
        <v>85.006417</v>
      </c>
      <c r="T106" t="n">
        <v>85.006417</v>
      </c>
      <c r="U106" t="n">
        <v>38.52237</v>
      </c>
      <c r="V106" t="n">
        <v>38.52237</v>
      </c>
      <c r="W106" t="n">
        <v>88.306245</v>
      </c>
      <c r="X106" t="n">
        <v>11509.306401</v>
      </c>
      <c r="Y106" t="n">
        <v>113.373643</v>
      </c>
      <c r="Z106" t="n">
        <v>399.574722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140.953883</v>
      </c>
      <c r="F107" t="n">
        <v>554.842266</v>
      </c>
      <c r="G107" t="n">
        <v>61511.195509</v>
      </c>
      <c r="H107" t="n">
        <v>20307429.163039</v>
      </c>
      <c r="I107" t="n">
        <v>3230.237663</v>
      </c>
      <c r="J107" t="n">
        <v>3367.037571</v>
      </c>
      <c r="K107" t="n">
        <v>3198.685692</v>
      </c>
      <c r="L107" t="n">
        <v>4133.4309</v>
      </c>
      <c r="M107" t="n">
        <v>4133.4309</v>
      </c>
      <c r="N107" t="n">
        <v>4133.4309</v>
      </c>
      <c r="O107" t="n">
        <v>205.658598</v>
      </c>
      <c r="P107" t="n">
        <v>91.38801100000001</v>
      </c>
      <c r="Q107" t="n">
        <v>4133.4309</v>
      </c>
      <c r="R107" t="n">
        <v>4133.4309</v>
      </c>
      <c r="S107" t="n">
        <v>205.658598</v>
      </c>
      <c r="T107" t="n">
        <v>205.658598</v>
      </c>
      <c r="U107" t="n">
        <v>91.38801100000001</v>
      </c>
      <c r="V107" t="n">
        <v>91.38801100000001</v>
      </c>
      <c r="W107" t="n">
        <v>216.473302</v>
      </c>
      <c r="X107" t="n">
        <v>4393.486979</v>
      </c>
      <c r="Y107" t="n">
        <v>246.547973</v>
      </c>
      <c r="Z107" t="n">
        <v>636.567642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140.953883</v>
      </c>
      <c r="F108" t="n">
        <v>228.824285</v>
      </c>
      <c r="G108" t="n">
        <v>13739.954406</v>
      </c>
      <c r="H108" t="n">
        <v>114798702.260359</v>
      </c>
      <c r="I108" t="n">
        <v>6590.793316</v>
      </c>
      <c r="J108" t="n">
        <v>7071.146917</v>
      </c>
      <c r="K108" t="n">
        <v>2576.928919</v>
      </c>
      <c r="L108" t="n">
        <v>10677.999207</v>
      </c>
      <c r="M108" t="n">
        <v>10677.999207</v>
      </c>
      <c r="N108" t="n">
        <v>10677.999207</v>
      </c>
      <c r="O108" t="n">
        <v>85.006417</v>
      </c>
      <c r="P108" t="n">
        <v>38.52237</v>
      </c>
      <c r="Q108" t="n">
        <v>10677.999207</v>
      </c>
      <c r="R108" t="n">
        <v>10677.999207</v>
      </c>
      <c r="S108" t="n">
        <v>85.006417</v>
      </c>
      <c r="T108" t="n">
        <v>85.006417</v>
      </c>
      <c r="U108" t="n">
        <v>38.52237</v>
      </c>
      <c r="V108" t="n">
        <v>38.52237</v>
      </c>
      <c r="W108" t="n">
        <v>88.306245</v>
      </c>
      <c r="X108" t="n">
        <v>11509.306401</v>
      </c>
      <c r="Y108" t="n">
        <v>113.373643</v>
      </c>
      <c r="Z108" t="n">
        <v>399.574722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140.953883</v>
      </c>
      <c r="F109" t="n">
        <v>57.638856</v>
      </c>
      <c r="G109" t="n">
        <v>1182.200226</v>
      </c>
      <c r="H109" t="n">
        <v>56775.373409</v>
      </c>
      <c r="I109" t="n">
        <v>512.103289</v>
      </c>
      <c r="J109" t="n">
        <v>553.467817</v>
      </c>
      <c r="K109" t="n">
        <v>525.794426</v>
      </c>
      <c r="L109" t="n">
        <v>602.712303</v>
      </c>
      <c r="M109" t="n">
        <v>602.712303</v>
      </c>
      <c r="N109" t="n">
        <v>602.712303</v>
      </c>
      <c r="O109" t="n">
        <v>31.190871</v>
      </c>
      <c r="P109" t="n">
        <v>18.283791</v>
      </c>
      <c r="Q109" t="n">
        <v>602.712303</v>
      </c>
      <c r="R109" t="n">
        <v>602.712303</v>
      </c>
      <c r="S109" t="n">
        <v>31.190871</v>
      </c>
      <c r="T109" t="n">
        <v>31.190871</v>
      </c>
      <c r="U109" t="n">
        <v>18.283791</v>
      </c>
      <c r="V109" t="n">
        <v>18.283791</v>
      </c>
      <c r="W109" t="n">
        <v>32.089433</v>
      </c>
      <c r="X109" t="n">
        <v>622.065443</v>
      </c>
      <c r="Y109" t="n">
        <v>34.252552</v>
      </c>
      <c r="Z109" t="n">
        <v>73.57281500000001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140.953883</v>
      </c>
      <c r="F110" t="n">
        <v>20.606299</v>
      </c>
      <c r="G110" t="n">
        <v>196.386285</v>
      </c>
      <c r="H110" t="n">
        <v>1009.116172</v>
      </c>
      <c r="I110" t="n">
        <v>131.71072</v>
      </c>
      <c r="J110" t="n">
        <v>131.71072</v>
      </c>
      <c r="K110" t="n">
        <v>125.125184</v>
      </c>
      <c r="L110" t="n">
        <v>130.894857</v>
      </c>
      <c r="M110" t="n">
        <v>130.894857</v>
      </c>
      <c r="N110" t="n">
        <v>130.894857</v>
      </c>
      <c r="O110" t="n">
        <v>12.255972</v>
      </c>
      <c r="P110" t="n">
        <v>8.448598</v>
      </c>
      <c r="Q110" t="n">
        <v>130.894857</v>
      </c>
      <c r="R110" t="n">
        <v>130.894857</v>
      </c>
      <c r="S110" t="n">
        <v>12.255972</v>
      </c>
      <c r="T110" t="n">
        <v>12.255972</v>
      </c>
      <c r="U110" t="n">
        <v>8.448598</v>
      </c>
      <c r="V110" t="n">
        <v>8.448598</v>
      </c>
      <c r="W110" t="n">
        <v>12.680707</v>
      </c>
      <c r="X110" t="n">
        <v>136.520004</v>
      </c>
      <c r="Y110" t="n">
        <v>13.974049</v>
      </c>
      <c r="Z110" t="n">
        <v>22.490141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140.953883</v>
      </c>
      <c r="F111" t="n">
        <v>554.842266</v>
      </c>
      <c r="G111" t="n">
        <v>61511.195509</v>
      </c>
      <c r="H111" t="n">
        <v>20307429.163039</v>
      </c>
      <c r="I111" t="n">
        <v>3230.237663</v>
      </c>
      <c r="J111" t="n">
        <v>3367.037571</v>
      </c>
      <c r="K111" t="n">
        <v>3198.685692</v>
      </c>
      <c r="L111" t="n">
        <v>4133.4309</v>
      </c>
      <c r="M111" t="n">
        <v>4133.4309</v>
      </c>
      <c r="N111" t="n">
        <v>4133.4309</v>
      </c>
      <c r="O111" t="n">
        <v>205.658598</v>
      </c>
      <c r="P111" t="n">
        <v>91.38801100000001</v>
      </c>
      <c r="Q111" t="n">
        <v>4133.4309</v>
      </c>
      <c r="R111" t="n">
        <v>4133.4309</v>
      </c>
      <c r="S111" t="n">
        <v>205.658598</v>
      </c>
      <c r="T111" t="n">
        <v>205.658598</v>
      </c>
      <c r="U111" t="n">
        <v>91.38801100000001</v>
      </c>
      <c r="V111" t="n">
        <v>91.38801100000001</v>
      </c>
      <c r="W111" t="n">
        <v>216.473302</v>
      </c>
      <c r="X111" t="n">
        <v>4393.486979</v>
      </c>
      <c r="Y111" t="n">
        <v>246.547973</v>
      </c>
      <c r="Z111" t="n">
        <v>636.567642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140.953883</v>
      </c>
      <c r="F112" t="n">
        <v>33.254785</v>
      </c>
      <c r="G112" t="n">
        <v>452.736281</v>
      </c>
      <c r="H112" t="n">
        <v>34182.13294</v>
      </c>
      <c r="I112" t="n">
        <v>151.084056</v>
      </c>
      <c r="J112" t="n">
        <v>151.084056</v>
      </c>
      <c r="K112" t="n">
        <v>143.529853</v>
      </c>
      <c r="L112" t="n">
        <v>173.938876</v>
      </c>
      <c r="M112" t="n">
        <v>173.938876</v>
      </c>
      <c r="N112" t="n">
        <v>173.938876</v>
      </c>
      <c r="O112" t="n">
        <v>13.215653</v>
      </c>
      <c r="P112" t="n">
        <v>8.00437</v>
      </c>
      <c r="Q112" t="n">
        <v>173.938876</v>
      </c>
      <c r="R112" t="n">
        <v>173.938876</v>
      </c>
      <c r="S112" t="n">
        <v>13.215653</v>
      </c>
      <c r="T112" t="n">
        <v>13.215653</v>
      </c>
      <c r="U112" t="n">
        <v>8.00437</v>
      </c>
      <c r="V112" t="n">
        <v>8.00437</v>
      </c>
      <c r="W112" t="n">
        <v>13.539814</v>
      </c>
      <c r="X112" t="n">
        <v>184.933079</v>
      </c>
      <c r="Y112" t="n">
        <v>21.207733</v>
      </c>
      <c r="Z112" t="n">
        <v>52.601429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140.953883</v>
      </c>
      <c r="F113" t="n">
        <v>20.606299</v>
      </c>
      <c r="G113" t="n">
        <v>196.386285</v>
      </c>
      <c r="H113" t="n">
        <v>1009.116172</v>
      </c>
      <c r="I113" t="n">
        <v>131.71072</v>
      </c>
      <c r="J113" t="n">
        <v>131.71072</v>
      </c>
      <c r="K113" t="n">
        <v>125.125184</v>
      </c>
      <c r="L113" t="n">
        <v>130.894857</v>
      </c>
      <c r="M113" t="n">
        <v>130.894857</v>
      </c>
      <c r="N113" t="n">
        <v>130.894857</v>
      </c>
      <c r="O113" t="n">
        <v>12.255972</v>
      </c>
      <c r="P113" t="n">
        <v>8.448598</v>
      </c>
      <c r="Q113" t="n">
        <v>130.894857</v>
      </c>
      <c r="R113" t="n">
        <v>130.894857</v>
      </c>
      <c r="S113" t="n">
        <v>12.255972</v>
      </c>
      <c r="T113" t="n">
        <v>12.255972</v>
      </c>
      <c r="U113" t="n">
        <v>8.448598</v>
      </c>
      <c r="V113" t="n">
        <v>8.448598</v>
      </c>
      <c r="W113" t="n">
        <v>12.680707</v>
      </c>
      <c r="X113" t="n">
        <v>136.520004</v>
      </c>
      <c r="Y113" t="n">
        <v>13.974049</v>
      </c>
      <c r="Z113" t="n">
        <v>22.490141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140.953883</v>
      </c>
      <c r="F114" t="n">
        <v>228.824285</v>
      </c>
      <c r="G114" t="n">
        <v>13739.954406</v>
      </c>
      <c r="H114" t="n">
        <v>114798702.260359</v>
      </c>
      <c r="I114" t="n">
        <v>6590.793316</v>
      </c>
      <c r="J114" t="n">
        <v>7071.146917</v>
      </c>
      <c r="K114" t="n">
        <v>2576.928919</v>
      </c>
      <c r="L114" t="n">
        <v>10677.999207</v>
      </c>
      <c r="M114" t="n">
        <v>10677.999207</v>
      </c>
      <c r="N114" t="n">
        <v>10677.999207</v>
      </c>
      <c r="O114" t="n">
        <v>85.006417</v>
      </c>
      <c r="P114" t="n">
        <v>38.52237</v>
      </c>
      <c r="Q114" t="n">
        <v>10677.999207</v>
      </c>
      <c r="R114" t="n">
        <v>10677.999207</v>
      </c>
      <c r="S114" t="n">
        <v>85.006417</v>
      </c>
      <c r="T114" t="n">
        <v>85.006417</v>
      </c>
      <c r="U114" t="n">
        <v>38.52237</v>
      </c>
      <c r="V114" t="n">
        <v>38.52237</v>
      </c>
      <c r="W114" t="n">
        <v>88.306245</v>
      </c>
      <c r="X114" t="n">
        <v>11509.306401</v>
      </c>
      <c r="Y114" t="n">
        <v>113.373643</v>
      </c>
      <c r="Z114" t="n">
        <v>399.574722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140.953883</v>
      </c>
      <c r="F115" t="n">
        <v>759.29485</v>
      </c>
      <c r="G115" t="n">
        <v>106449.95281</v>
      </c>
      <c r="H115" t="n">
        <v>217978087.829156</v>
      </c>
      <c r="I115" t="n">
        <v>15387.334214</v>
      </c>
      <c r="J115" t="n">
        <v>16058.002117</v>
      </c>
      <c r="K115" t="n">
        <v>5258.842171</v>
      </c>
      <c r="L115" t="n">
        <v>26383.951313</v>
      </c>
      <c r="M115" t="n">
        <v>26383.951313</v>
      </c>
      <c r="N115" t="n">
        <v>26383.951313</v>
      </c>
      <c r="O115" t="n">
        <v>166.364336</v>
      </c>
      <c r="P115" t="n">
        <v>71.691328</v>
      </c>
      <c r="Q115" t="n">
        <v>26383.951313</v>
      </c>
      <c r="R115" t="n">
        <v>26383.951313</v>
      </c>
      <c r="S115" t="n">
        <v>166.364336</v>
      </c>
      <c r="T115" t="n">
        <v>166.364336</v>
      </c>
      <c r="U115" t="n">
        <v>71.691328</v>
      </c>
      <c r="V115" t="n">
        <v>71.691328</v>
      </c>
      <c r="W115" t="n">
        <v>176.786743</v>
      </c>
      <c r="X115" t="n">
        <v>28905.373115</v>
      </c>
      <c r="Y115" t="n">
        <v>324.052433</v>
      </c>
      <c r="Z115" t="n">
        <v>881.088486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140.953883</v>
      </c>
      <c r="F116" t="n">
        <v>200.641254</v>
      </c>
      <c r="G116" t="n">
        <v>11101.904562</v>
      </c>
      <c r="H116" t="n">
        <v>25660602.941085</v>
      </c>
      <c r="I116" t="n">
        <v>6244.222521</v>
      </c>
      <c r="J116" t="n">
        <v>6325.914048</v>
      </c>
      <c r="K116" t="n">
        <v>1872.204427</v>
      </c>
      <c r="L116" t="n">
        <v>7112.982475</v>
      </c>
      <c r="M116" t="n">
        <v>7112.982475</v>
      </c>
      <c r="N116" t="n">
        <v>7112.982475</v>
      </c>
      <c r="O116" t="n">
        <v>87.969483</v>
      </c>
      <c r="P116" t="n">
        <v>46.580547</v>
      </c>
      <c r="Q116" t="n">
        <v>7112.982475</v>
      </c>
      <c r="R116" t="n">
        <v>7112.982475</v>
      </c>
      <c r="S116" t="n">
        <v>87.969483</v>
      </c>
      <c r="T116" t="n">
        <v>87.969483</v>
      </c>
      <c r="U116" t="n">
        <v>46.580547</v>
      </c>
      <c r="V116" t="n">
        <v>46.580547</v>
      </c>
      <c r="W116" t="n">
        <v>93.060855</v>
      </c>
      <c r="X116" t="n">
        <v>7459.131892</v>
      </c>
      <c r="Y116" t="n">
        <v>100.902165</v>
      </c>
      <c r="Z116" t="n">
        <v>211.14634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140.953883</v>
      </c>
      <c r="F117" t="n">
        <v>20.606299</v>
      </c>
      <c r="G117" t="n">
        <v>196.386285</v>
      </c>
      <c r="H117" t="n">
        <v>1009.116172</v>
      </c>
      <c r="I117" t="n">
        <v>131.71072</v>
      </c>
      <c r="J117" t="n">
        <v>131.71072</v>
      </c>
      <c r="K117" t="n">
        <v>125.125184</v>
      </c>
      <c r="L117" t="n">
        <v>130.894857</v>
      </c>
      <c r="M117" t="n">
        <v>130.894857</v>
      </c>
      <c r="N117" t="n">
        <v>130.894857</v>
      </c>
      <c r="O117" t="n">
        <v>12.255972</v>
      </c>
      <c r="P117" t="n">
        <v>8.448598</v>
      </c>
      <c r="Q117" t="n">
        <v>130.894857</v>
      </c>
      <c r="R117" t="n">
        <v>130.894857</v>
      </c>
      <c r="S117" t="n">
        <v>12.255972</v>
      </c>
      <c r="T117" t="n">
        <v>12.255972</v>
      </c>
      <c r="U117" t="n">
        <v>8.448598</v>
      </c>
      <c r="V117" t="n">
        <v>8.448598</v>
      </c>
      <c r="W117" t="n">
        <v>12.680707</v>
      </c>
      <c r="X117" t="n">
        <v>136.520004</v>
      </c>
      <c r="Y117" t="n">
        <v>13.974049</v>
      </c>
      <c r="Z117" t="n">
        <v>22.490141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140.953883</v>
      </c>
      <c r="F118" t="n">
        <v>201.414719</v>
      </c>
      <c r="G118" t="n">
        <v>10494.380534</v>
      </c>
      <c r="H118" t="n">
        <v>3053422.756123</v>
      </c>
      <c r="I118" t="n">
        <v>1402.335676</v>
      </c>
      <c r="J118" t="n">
        <v>1449.344811</v>
      </c>
      <c r="K118" t="n">
        <v>1136.286332</v>
      </c>
      <c r="L118" t="n">
        <v>1692.571887</v>
      </c>
      <c r="M118" t="n">
        <v>1692.571887</v>
      </c>
      <c r="N118" t="n">
        <v>1692.571887</v>
      </c>
      <c r="O118" t="n">
        <v>68.15794</v>
      </c>
      <c r="P118" t="n">
        <v>34.55496</v>
      </c>
      <c r="Q118" t="n">
        <v>1692.571887</v>
      </c>
      <c r="R118" t="n">
        <v>1692.571887</v>
      </c>
      <c r="S118" t="n">
        <v>68.15794</v>
      </c>
      <c r="T118" t="n">
        <v>68.15794</v>
      </c>
      <c r="U118" t="n">
        <v>34.55496</v>
      </c>
      <c r="V118" t="n">
        <v>34.55496</v>
      </c>
      <c r="W118" t="n">
        <v>71.462779</v>
      </c>
      <c r="X118" t="n">
        <v>1758.686512</v>
      </c>
      <c r="Y118" t="n">
        <v>101.933235</v>
      </c>
      <c r="Z118" t="n">
        <v>241.661422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140.953883</v>
      </c>
      <c r="F119" t="n">
        <v>200.641254</v>
      </c>
      <c r="G119" t="n">
        <v>11101.904562</v>
      </c>
      <c r="H119" t="n">
        <v>25660602.941085</v>
      </c>
      <c r="I119" t="n">
        <v>6244.222521</v>
      </c>
      <c r="J119" t="n">
        <v>6325.914048</v>
      </c>
      <c r="K119" t="n">
        <v>1872.204427</v>
      </c>
      <c r="L119" t="n">
        <v>7112.982475</v>
      </c>
      <c r="M119" t="n">
        <v>7112.982475</v>
      </c>
      <c r="N119" t="n">
        <v>7112.982475</v>
      </c>
      <c r="O119" t="n">
        <v>87.969483</v>
      </c>
      <c r="P119" t="n">
        <v>46.580547</v>
      </c>
      <c r="Q119" t="n">
        <v>7112.982475</v>
      </c>
      <c r="R119" t="n">
        <v>7112.982475</v>
      </c>
      <c r="S119" t="n">
        <v>87.969483</v>
      </c>
      <c r="T119" t="n">
        <v>87.969483</v>
      </c>
      <c r="U119" t="n">
        <v>46.580547</v>
      </c>
      <c r="V119" t="n">
        <v>46.580547</v>
      </c>
      <c r="W119" t="n">
        <v>93.060855</v>
      </c>
      <c r="X119" t="n">
        <v>7459.131892</v>
      </c>
      <c r="Y119" t="n">
        <v>100.902165</v>
      </c>
      <c r="Z119" t="n">
        <v>211.14634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140.953883</v>
      </c>
      <c r="F120" t="n">
        <v>20.606299</v>
      </c>
      <c r="G120" t="n">
        <v>196.386285</v>
      </c>
      <c r="H120" t="n">
        <v>1009.116172</v>
      </c>
      <c r="I120" t="n">
        <v>131.71072</v>
      </c>
      <c r="J120" t="n">
        <v>131.71072</v>
      </c>
      <c r="K120" t="n">
        <v>125.125184</v>
      </c>
      <c r="L120" t="n">
        <v>130.894857</v>
      </c>
      <c r="M120" t="n">
        <v>130.894857</v>
      </c>
      <c r="N120" t="n">
        <v>130.894857</v>
      </c>
      <c r="O120" t="n">
        <v>12.255972</v>
      </c>
      <c r="P120" t="n">
        <v>8.448598</v>
      </c>
      <c r="Q120" t="n">
        <v>130.894857</v>
      </c>
      <c r="R120" t="n">
        <v>130.894857</v>
      </c>
      <c r="S120" t="n">
        <v>12.255972</v>
      </c>
      <c r="T120" t="n">
        <v>12.255972</v>
      </c>
      <c r="U120" t="n">
        <v>8.448598</v>
      </c>
      <c r="V120" t="n">
        <v>8.448598</v>
      </c>
      <c r="W120" t="n">
        <v>12.680707</v>
      </c>
      <c r="X120" t="n">
        <v>136.520004</v>
      </c>
      <c r="Y120" t="n">
        <v>13.974049</v>
      </c>
      <c r="Z120" t="n">
        <v>22.490141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140.953883</v>
      </c>
      <c r="F121" t="n">
        <v>308.68601</v>
      </c>
      <c r="G121" t="n">
        <v>22108.042525</v>
      </c>
      <c r="H121" t="n">
        <v>195781560.03917</v>
      </c>
      <c r="I121" t="n">
        <v>10706.101486</v>
      </c>
      <c r="J121" t="n">
        <v>10781.622707</v>
      </c>
      <c r="K121" t="n">
        <v>3924.510665</v>
      </c>
      <c r="L121" t="n">
        <v>18846.946222</v>
      </c>
      <c r="M121" t="n">
        <v>18846.946222</v>
      </c>
      <c r="N121" t="n">
        <v>18846.946222</v>
      </c>
      <c r="O121" t="n">
        <v>119.185901</v>
      </c>
      <c r="P121" t="n">
        <v>52.155741</v>
      </c>
      <c r="Q121" t="n">
        <v>18846.946222</v>
      </c>
      <c r="R121" t="n">
        <v>18846.946222</v>
      </c>
      <c r="S121" t="n">
        <v>119.185901</v>
      </c>
      <c r="T121" t="n">
        <v>119.185901</v>
      </c>
      <c r="U121" t="n">
        <v>52.155741</v>
      </c>
      <c r="V121" t="n">
        <v>52.155741</v>
      </c>
      <c r="W121" t="n">
        <v>124.506314</v>
      </c>
      <c r="X121" t="n">
        <v>20404.471037</v>
      </c>
      <c r="Y121" t="n">
        <v>147.889899</v>
      </c>
      <c r="Z121" t="n">
        <v>588.19732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140.953883</v>
      </c>
      <c r="F122" t="n">
        <v>57.638856</v>
      </c>
      <c r="G122" t="n">
        <v>1182.200226</v>
      </c>
      <c r="H122" t="n">
        <v>56775.373409</v>
      </c>
      <c r="I122" t="n">
        <v>512.103289</v>
      </c>
      <c r="J122" t="n">
        <v>553.467817</v>
      </c>
      <c r="K122" t="n">
        <v>525.794426</v>
      </c>
      <c r="L122" t="n">
        <v>602.712303</v>
      </c>
      <c r="M122" t="n">
        <v>602.712303</v>
      </c>
      <c r="N122" t="n">
        <v>602.712303</v>
      </c>
      <c r="O122" t="n">
        <v>31.190871</v>
      </c>
      <c r="P122" t="n">
        <v>18.283791</v>
      </c>
      <c r="Q122" t="n">
        <v>602.712303</v>
      </c>
      <c r="R122" t="n">
        <v>602.712303</v>
      </c>
      <c r="S122" t="n">
        <v>31.190871</v>
      </c>
      <c r="T122" t="n">
        <v>31.190871</v>
      </c>
      <c r="U122" t="n">
        <v>18.283791</v>
      </c>
      <c r="V122" t="n">
        <v>18.283791</v>
      </c>
      <c r="W122" t="n">
        <v>32.089433</v>
      </c>
      <c r="X122" t="n">
        <v>622.065443</v>
      </c>
      <c r="Y122" t="n">
        <v>34.252552</v>
      </c>
      <c r="Z122" t="n">
        <v>73.57281500000001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140.953883</v>
      </c>
      <c r="F123" t="n">
        <v>158.552335</v>
      </c>
      <c r="G123" t="n">
        <v>6912.013677</v>
      </c>
      <c r="H123" t="n">
        <v>2905118.284102</v>
      </c>
      <c r="I123" t="n">
        <v>3502.459341</v>
      </c>
      <c r="J123" t="n">
        <v>3796.144916</v>
      </c>
      <c r="K123" t="n">
        <v>1780.391965</v>
      </c>
      <c r="L123" t="n">
        <v>4710.704014</v>
      </c>
      <c r="M123" t="n">
        <v>4710.704014</v>
      </c>
      <c r="N123" t="n">
        <v>4710.704014</v>
      </c>
      <c r="O123" t="n">
        <v>105.183965</v>
      </c>
      <c r="P123" t="n">
        <v>52.828865</v>
      </c>
      <c r="Q123" t="n">
        <v>4710.704014</v>
      </c>
      <c r="R123" t="n">
        <v>4710.704014</v>
      </c>
      <c r="S123" t="n">
        <v>105.183965</v>
      </c>
      <c r="T123" t="n">
        <v>105.183965</v>
      </c>
      <c r="U123" t="n">
        <v>52.828865</v>
      </c>
      <c r="V123" t="n">
        <v>52.828865</v>
      </c>
      <c r="W123" t="n">
        <v>109.611209</v>
      </c>
      <c r="X123" t="n">
        <v>5115.038689</v>
      </c>
      <c r="Y123" t="n">
        <v>82.74413800000001</v>
      </c>
      <c r="Z123" t="n">
        <v>193.416145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140.953883</v>
      </c>
      <c r="F124" t="n">
        <v>228.824285</v>
      </c>
      <c r="G124" t="n">
        <v>13739.954406</v>
      </c>
      <c r="H124" t="n">
        <v>114798702.260359</v>
      </c>
      <c r="I124" t="n">
        <v>6590.793316</v>
      </c>
      <c r="J124" t="n">
        <v>7071.146917</v>
      </c>
      <c r="K124" t="n">
        <v>2576.928919</v>
      </c>
      <c r="L124" t="n">
        <v>10677.999207</v>
      </c>
      <c r="M124" t="n">
        <v>10677.999207</v>
      </c>
      <c r="N124" t="n">
        <v>10677.999207</v>
      </c>
      <c r="O124" t="n">
        <v>85.006417</v>
      </c>
      <c r="P124" t="n">
        <v>38.52237</v>
      </c>
      <c r="Q124" t="n">
        <v>10677.999207</v>
      </c>
      <c r="R124" t="n">
        <v>10677.999207</v>
      </c>
      <c r="S124" t="n">
        <v>85.006417</v>
      </c>
      <c r="T124" t="n">
        <v>85.006417</v>
      </c>
      <c r="U124" t="n">
        <v>38.52237</v>
      </c>
      <c r="V124" t="n">
        <v>38.52237</v>
      </c>
      <c r="W124" t="n">
        <v>88.306245</v>
      </c>
      <c r="X124" t="n">
        <v>11509.306401</v>
      </c>
      <c r="Y124" t="n">
        <v>113.373643</v>
      </c>
      <c r="Z124" t="n">
        <v>399.574722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140.953883</v>
      </c>
      <c r="F125" t="n">
        <v>228.824285</v>
      </c>
      <c r="G125" t="n">
        <v>13739.954406</v>
      </c>
      <c r="H125" t="n">
        <v>114798702.260359</v>
      </c>
      <c r="I125" t="n">
        <v>6590.793316</v>
      </c>
      <c r="J125" t="n">
        <v>7071.146917</v>
      </c>
      <c r="K125" t="n">
        <v>2576.928919</v>
      </c>
      <c r="L125" t="n">
        <v>10677.999207</v>
      </c>
      <c r="M125" t="n">
        <v>10677.999207</v>
      </c>
      <c r="N125" t="n">
        <v>10677.999207</v>
      </c>
      <c r="O125" t="n">
        <v>85.006417</v>
      </c>
      <c r="P125" t="n">
        <v>38.52237</v>
      </c>
      <c r="Q125" t="n">
        <v>10677.999207</v>
      </c>
      <c r="R125" t="n">
        <v>10677.999207</v>
      </c>
      <c r="S125" t="n">
        <v>85.006417</v>
      </c>
      <c r="T125" t="n">
        <v>85.006417</v>
      </c>
      <c r="U125" t="n">
        <v>38.52237</v>
      </c>
      <c r="V125" t="n">
        <v>38.52237</v>
      </c>
      <c r="W125" t="n">
        <v>88.306245</v>
      </c>
      <c r="X125" t="n">
        <v>11509.306401</v>
      </c>
      <c r="Y125" t="n">
        <v>113.373643</v>
      </c>
      <c r="Z125" t="n">
        <v>399.574722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140.953883</v>
      </c>
      <c r="F126" t="n">
        <v>158.552335</v>
      </c>
      <c r="G126" t="n">
        <v>6912.013677</v>
      </c>
      <c r="H126" t="n">
        <v>2905118.284102</v>
      </c>
      <c r="I126" t="n">
        <v>3502.459341</v>
      </c>
      <c r="J126" t="n">
        <v>3796.144916</v>
      </c>
      <c r="K126" t="n">
        <v>1780.391965</v>
      </c>
      <c r="L126" t="n">
        <v>4710.704014</v>
      </c>
      <c r="M126" t="n">
        <v>4710.704014</v>
      </c>
      <c r="N126" t="n">
        <v>4710.704014</v>
      </c>
      <c r="O126" t="n">
        <v>105.183965</v>
      </c>
      <c r="P126" t="n">
        <v>52.828865</v>
      </c>
      <c r="Q126" t="n">
        <v>4710.704014</v>
      </c>
      <c r="R126" t="n">
        <v>4710.704014</v>
      </c>
      <c r="S126" t="n">
        <v>105.183965</v>
      </c>
      <c r="T126" t="n">
        <v>105.183965</v>
      </c>
      <c r="U126" t="n">
        <v>52.828865</v>
      </c>
      <c r="V126" t="n">
        <v>52.828865</v>
      </c>
      <c r="W126" t="n">
        <v>109.611209</v>
      </c>
      <c r="X126" t="n">
        <v>5115.038689</v>
      </c>
      <c r="Y126" t="n">
        <v>82.74413800000001</v>
      </c>
      <c r="Z126" t="n">
        <v>193.416145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140.953883</v>
      </c>
      <c r="F127" t="n">
        <v>20.606299</v>
      </c>
      <c r="G127" t="n">
        <v>196.386285</v>
      </c>
      <c r="H127" t="n">
        <v>1009.116172</v>
      </c>
      <c r="I127" t="n">
        <v>131.71072</v>
      </c>
      <c r="J127" t="n">
        <v>131.71072</v>
      </c>
      <c r="K127" t="n">
        <v>125.125184</v>
      </c>
      <c r="L127" t="n">
        <v>130.894857</v>
      </c>
      <c r="M127" t="n">
        <v>130.894857</v>
      </c>
      <c r="N127" t="n">
        <v>130.894857</v>
      </c>
      <c r="O127" t="n">
        <v>12.255972</v>
      </c>
      <c r="P127" t="n">
        <v>8.448598</v>
      </c>
      <c r="Q127" t="n">
        <v>130.894857</v>
      </c>
      <c r="R127" t="n">
        <v>130.894857</v>
      </c>
      <c r="S127" t="n">
        <v>12.255972</v>
      </c>
      <c r="T127" t="n">
        <v>12.255972</v>
      </c>
      <c r="U127" t="n">
        <v>8.448598</v>
      </c>
      <c r="V127" t="n">
        <v>8.448598</v>
      </c>
      <c r="W127" t="n">
        <v>12.680707</v>
      </c>
      <c r="X127" t="n">
        <v>136.520004</v>
      </c>
      <c r="Y127" t="n">
        <v>13.974049</v>
      </c>
      <c r="Z127" t="n">
        <v>22.490141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140.953883</v>
      </c>
      <c r="F128" t="n">
        <v>200.641254</v>
      </c>
      <c r="G128" t="n">
        <v>11101.904562</v>
      </c>
      <c r="H128" t="n">
        <v>25660602.941085</v>
      </c>
      <c r="I128" t="n">
        <v>6244.222521</v>
      </c>
      <c r="J128" t="n">
        <v>6325.914048</v>
      </c>
      <c r="K128" t="n">
        <v>1872.204427</v>
      </c>
      <c r="L128" t="n">
        <v>7112.982475</v>
      </c>
      <c r="M128" t="n">
        <v>7112.982475</v>
      </c>
      <c r="N128" t="n">
        <v>7112.982475</v>
      </c>
      <c r="O128" t="n">
        <v>87.969483</v>
      </c>
      <c r="P128" t="n">
        <v>46.580547</v>
      </c>
      <c r="Q128" t="n">
        <v>7112.982475</v>
      </c>
      <c r="R128" t="n">
        <v>7112.982475</v>
      </c>
      <c r="S128" t="n">
        <v>87.969483</v>
      </c>
      <c r="T128" t="n">
        <v>87.969483</v>
      </c>
      <c r="U128" t="n">
        <v>46.580547</v>
      </c>
      <c r="V128" t="n">
        <v>46.580547</v>
      </c>
      <c r="W128" t="n">
        <v>93.060855</v>
      </c>
      <c r="X128" t="n">
        <v>7459.131892</v>
      </c>
      <c r="Y128" t="n">
        <v>100.902165</v>
      </c>
      <c r="Z128" t="n">
        <v>211.14634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140.953883</v>
      </c>
      <c r="F129" t="n">
        <v>228.824285</v>
      </c>
      <c r="G129" t="n">
        <v>13739.954406</v>
      </c>
      <c r="H129" t="n">
        <v>114798702.260359</v>
      </c>
      <c r="I129" t="n">
        <v>6590.793316</v>
      </c>
      <c r="J129" t="n">
        <v>7071.146917</v>
      </c>
      <c r="K129" t="n">
        <v>2576.928919</v>
      </c>
      <c r="L129" t="n">
        <v>10677.999207</v>
      </c>
      <c r="M129" t="n">
        <v>10677.999207</v>
      </c>
      <c r="N129" t="n">
        <v>10677.999207</v>
      </c>
      <c r="O129" t="n">
        <v>85.006417</v>
      </c>
      <c r="P129" t="n">
        <v>38.52237</v>
      </c>
      <c r="Q129" t="n">
        <v>10677.999207</v>
      </c>
      <c r="R129" t="n">
        <v>10677.999207</v>
      </c>
      <c r="S129" t="n">
        <v>85.006417</v>
      </c>
      <c r="T129" t="n">
        <v>85.006417</v>
      </c>
      <c r="U129" t="n">
        <v>38.52237</v>
      </c>
      <c r="V129" t="n">
        <v>38.52237</v>
      </c>
      <c r="W129" t="n">
        <v>88.306245</v>
      </c>
      <c r="X129" t="n">
        <v>11509.306401</v>
      </c>
      <c r="Y129" t="n">
        <v>113.373643</v>
      </c>
      <c r="Z129" t="n">
        <v>399.574722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140.953883</v>
      </c>
      <c r="F130" t="n">
        <v>60.479203</v>
      </c>
      <c r="G130" t="n">
        <v>1285.725322</v>
      </c>
      <c r="H130" t="n">
        <v>3025.478454</v>
      </c>
      <c r="I130" t="n">
        <v>395.888053</v>
      </c>
      <c r="J130" t="n">
        <v>395.888053</v>
      </c>
      <c r="K130" t="n">
        <v>376.09365</v>
      </c>
      <c r="L130" t="n">
        <v>393.787233</v>
      </c>
      <c r="M130" t="n">
        <v>393.787233</v>
      </c>
      <c r="N130" t="n">
        <v>393.787233</v>
      </c>
      <c r="O130" t="n">
        <v>20.916473</v>
      </c>
      <c r="P130" t="n">
        <v>13.510088</v>
      </c>
      <c r="Q130" t="n">
        <v>393.787233</v>
      </c>
      <c r="R130" t="n">
        <v>393.787233</v>
      </c>
      <c r="S130" t="n">
        <v>20.916473</v>
      </c>
      <c r="T130" t="n">
        <v>20.916473</v>
      </c>
      <c r="U130" t="n">
        <v>13.510088</v>
      </c>
      <c r="V130" t="n">
        <v>13.510088</v>
      </c>
      <c r="W130" t="n">
        <v>21.939981</v>
      </c>
      <c r="X130" t="n">
        <v>405.784084</v>
      </c>
      <c r="Y130" t="n">
        <v>35.719215</v>
      </c>
      <c r="Z130" t="n">
        <v>45.472786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140.953883</v>
      </c>
      <c r="F131" t="n">
        <v>201.414719</v>
      </c>
      <c r="G131" t="n">
        <v>10494.380534</v>
      </c>
      <c r="H131" t="n">
        <v>3053422.756123</v>
      </c>
      <c r="I131" t="n">
        <v>1402.335676</v>
      </c>
      <c r="J131" t="n">
        <v>1449.344811</v>
      </c>
      <c r="K131" t="n">
        <v>1136.286332</v>
      </c>
      <c r="L131" t="n">
        <v>1692.571887</v>
      </c>
      <c r="M131" t="n">
        <v>1692.571887</v>
      </c>
      <c r="N131" t="n">
        <v>1692.571887</v>
      </c>
      <c r="O131" t="n">
        <v>68.15794</v>
      </c>
      <c r="P131" t="n">
        <v>34.55496</v>
      </c>
      <c r="Q131" t="n">
        <v>1692.571887</v>
      </c>
      <c r="R131" t="n">
        <v>1692.571887</v>
      </c>
      <c r="S131" t="n">
        <v>68.15794</v>
      </c>
      <c r="T131" t="n">
        <v>68.15794</v>
      </c>
      <c r="U131" t="n">
        <v>34.55496</v>
      </c>
      <c r="V131" t="n">
        <v>34.55496</v>
      </c>
      <c r="W131" t="n">
        <v>71.462779</v>
      </c>
      <c r="X131" t="n">
        <v>1758.686512</v>
      </c>
      <c r="Y131" t="n">
        <v>101.933235</v>
      </c>
      <c r="Z131" t="n">
        <v>241.661422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140.953883</v>
      </c>
      <c r="F132" t="n">
        <v>95.34341499999999</v>
      </c>
      <c r="G132" t="n">
        <v>2845.346423</v>
      </c>
      <c r="H132" t="n">
        <v>490526.782878</v>
      </c>
      <c r="I132" t="n">
        <v>569.846189</v>
      </c>
      <c r="J132" t="n">
        <v>594.287325</v>
      </c>
      <c r="K132" t="n">
        <v>564.572959</v>
      </c>
      <c r="L132" t="n">
        <v>738.02552</v>
      </c>
      <c r="M132" t="n">
        <v>738.02552</v>
      </c>
      <c r="N132" t="n">
        <v>738.02552</v>
      </c>
      <c r="O132" t="n">
        <v>39.685535</v>
      </c>
      <c r="P132" t="n">
        <v>21.622034</v>
      </c>
      <c r="Q132" t="n">
        <v>738.02552</v>
      </c>
      <c r="R132" t="n">
        <v>738.02552</v>
      </c>
      <c r="S132" t="n">
        <v>39.685535</v>
      </c>
      <c r="T132" t="n">
        <v>39.685535</v>
      </c>
      <c r="U132" t="n">
        <v>21.622034</v>
      </c>
      <c r="V132" t="n">
        <v>21.622034</v>
      </c>
      <c r="W132" t="n">
        <v>41.109943</v>
      </c>
      <c r="X132" t="n">
        <v>772.895549</v>
      </c>
      <c r="Y132" t="n">
        <v>53.114101</v>
      </c>
      <c r="Z132" t="n">
        <v>112.240217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140.953883</v>
      </c>
      <c r="F133" t="n">
        <v>342.280115</v>
      </c>
      <c r="G133" t="n">
        <v>26475.575966</v>
      </c>
      <c r="H133" t="n">
        <v>257355.857038</v>
      </c>
      <c r="I133" t="n">
        <v>1585.623721</v>
      </c>
      <c r="J133" t="n">
        <v>1650.152477</v>
      </c>
      <c r="K133" t="n">
        <v>1567.644853</v>
      </c>
      <c r="L133" t="n">
        <v>2274.19106</v>
      </c>
      <c r="M133" t="n">
        <v>2274.19106</v>
      </c>
      <c r="N133" t="n">
        <v>2274.19106</v>
      </c>
      <c r="O133" t="n">
        <v>105.127985</v>
      </c>
      <c r="P133" t="n">
        <v>50.974766</v>
      </c>
      <c r="Q133" t="n">
        <v>2274.19106</v>
      </c>
      <c r="R133" t="n">
        <v>2274.19106</v>
      </c>
      <c r="S133" t="n">
        <v>105.127985</v>
      </c>
      <c r="T133" t="n">
        <v>105.127985</v>
      </c>
      <c r="U133" t="n">
        <v>50.974766</v>
      </c>
      <c r="V133" t="n">
        <v>50.974766</v>
      </c>
      <c r="W133" t="n">
        <v>111.155847</v>
      </c>
      <c r="X133" t="n">
        <v>2438.947747</v>
      </c>
      <c r="Y133" t="n">
        <v>161.824385</v>
      </c>
      <c r="Z133" t="n">
        <v>255.683683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140.953883</v>
      </c>
      <c r="F134" t="n">
        <v>554.842266</v>
      </c>
      <c r="G134" t="n">
        <v>61511.195509</v>
      </c>
      <c r="H134" t="n">
        <v>20307429.163039</v>
      </c>
      <c r="I134" t="n">
        <v>3230.237663</v>
      </c>
      <c r="J134" t="n">
        <v>3367.037571</v>
      </c>
      <c r="K134" t="n">
        <v>3198.685692</v>
      </c>
      <c r="L134" t="n">
        <v>4133.4309</v>
      </c>
      <c r="M134" t="n">
        <v>4133.4309</v>
      </c>
      <c r="N134" t="n">
        <v>4133.4309</v>
      </c>
      <c r="O134" t="n">
        <v>205.658598</v>
      </c>
      <c r="P134" t="n">
        <v>91.38801100000001</v>
      </c>
      <c r="Q134" t="n">
        <v>4133.4309</v>
      </c>
      <c r="R134" t="n">
        <v>4133.4309</v>
      </c>
      <c r="S134" t="n">
        <v>205.658598</v>
      </c>
      <c r="T134" t="n">
        <v>205.658598</v>
      </c>
      <c r="U134" t="n">
        <v>91.38801100000001</v>
      </c>
      <c r="V134" t="n">
        <v>91.38801100000001</v>
      </c>
      <c r="W134" t="n">
        <v>216.473302</v>
      </c>
      <c r="X134" t="n">
        <v>4393.486979</v>
      </c>
      <c r="Y134" t="n">
        <v>246.547973</v>
      </c>
      <c r="Z134" t="n">
        <v>636.567642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140.953883</v>
      </c>
      <c r="F135" t="n">
        <v>200.641254</v>
      </c>
      <c r="G135" t="n">
        <v>11101.904562</v>
      </c>
      <c r="H135" t="n">
        <v>25660602.941085</v>
      </c>
      <c r="I135" t="n">
        <v>6244.222521</v>
      </c>
      <c r="J135" t="n">
        <v>6325.914048</v>
      </c>
      <c r="K135" t="n">
        <v>1872.204427</v>
      </c>
      <c r="L135" t="n">
        <v>7112.982475</v>
      </c>
      <c r="M135" t="n">
        <v>7112.982475</v>
      </c>
      <c r="N135" t="n">
        <v>7112.982475</v>
      </c>
      <c r="O135" t="n">
        <v>87.969483</v>
      </c>
      <c r="P135" t="n">
        <v>46.580547</v>
      </c>
      <c r="Q135" t="n">
        <v>7112.982475</v>
      </c>
      <c r="R135" t="n">
        <v>7112.982475</v>
      </c>
      <c r="S135" t="n">
        <v>87.969483</v>
      </c>
      <c r="T135" t="n">
        <v>87.969483</v>
      </c>
      <c r="U135" t="n">
        <v>46.580547</v>
      </c>
      <c r="V135" t="n">
        <v>46.580547</v>
      </c>
      <c r="W135" t="n">
        <v>93.060855</v>
      </c>
      <c r="X135" t="n">
        <v>7459.131892</v>
      </c>
      <c r="Y135" t="n">
        <v>100.902165</v>
      </c>
      <c r="Z135" t="n">
        <v>211.14634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140.953883</v>
      </c>
      <c r="F136" t="n">
        <v>667.104795</v>
      </c>
      <c r="G136" t="n">
        <v>84841.433393</v>
      </c>
      <c r="H136" t="n">
        <v>62527803.444478</v>
      </c>
      <c r="I136" t="n">
        <v>9604.557183999999</v>
      </c>
      <c r="J136" t="n">
        <v>10115.319409</v>
      </c>
      <c r="K136" t="n">
        <v>2437.791978</v>
      </c>
      <c r="L136" t="n">
        <v>16798.641648</v>
      </c>
      <c r="M136" t="n">
        <v>16798.641648</v>
      </c>
      <c r="N136" t="n">
        <v>16798.641648</v>
      </c>
      <c r="O136" t="n">
        <v>88.03658900000001</v>
      </c>
      <c r="P136" t="n">
        <v>38.159556</v>
      </c>
      <c r="Q136" t="n">
        <v>16798.641648</v>
      </c>
      <c r="R136" t="n">
        <v>16798.641648</v>
      </c>
      <c r="S136" t="n">
        <v>88.03658900000001</v>
      </c>
      <c r="T136" t="n">
        <v>88.03658900000001</v>
      </c>
      <c r="U136" t="n">
        <v>38.159556</v>
      </c>
      <c r="V136" t="n">
        <v>38.159556</v>
      </c>
      <c r="W136" t="n">
        <v>92.54017</v>
      </c>
      <c r="X136" t="n">
        <v>18119.633615</v>
      </c>
      <c r="Y136" t="n">
        <v>289.503115</v>
      </c>
      <c r="Z136" t="n">
        <v>659.652259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140.953883</v>
      </c>
      <c r="F137" t="n">
        <v>539.046528</v>
      </c>
      <c r="G137" t="n">
        <v>58487.681751</v>
      </c>
      <c r="H137" t="n">
        <v>89769700.66949099</v>
      </c>
      <c r="I137" t="n">
        <v>10399.759602</v>
      </c>
      <c r="J137" t="n">
        <v>10694.630086</v>
      </c>
      <c r="K137" t="n">
        <v>4010.486282</v>
      </c>
      <c r="L137" t="n">
        <v>14214.100911</v>
      </c>
      <c r="M137" t="n">
        <v>14214.100911</v>
      </c>
      <c r="N137" t="n">
        <v>14214.100911</v>
      </c>
      <c r="O137" t="n">
        <v>203.72024</v>
      </c>
      <c r="P137" t="n">
        <v>90.708206</v>
      </c>
      <c r="Q137" t="n">
        <v>14214.100911</v>
      </c>
      <c r="R137" t="n">
        <v>14214.100911</v>
      </c>
      <c r="S137" t="n">
        <v>203.72024</v>
      </c>
      <c r="T137" t="n">
        <v>203.72024</v>
      </c>
      <c r="U137" t="n">
        <v>90.708206</v>
      </c>
      <c r="V137" t="n">
        <v>90.708206</v>
      </c>
      <c r="W137" t="n">
        <v>213.076898</v>
      </c>
      <c r="X137" t="n">
        <v>15231.972848</v>
      </c>
      <c r="Y137" t="n">
        <v>240.418747</v>
      </c>
      <c r="Z137" t="n">
        <v>654.813563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140.953883</v>
      </c>
      <c r="F138" t="n">
        <v>14.712171</v>
      </c>
      <c r="G138" t="n">
        <v>109.082967</v>
      </c>
      <c r="H138" t="n">
        <v>1554.089564</v>
      </c>
      <c r="I138" t="n">
        <v>87.52377799999999</v>
      </c>
      <c r="J138" t="n">
        <v>87.52377799999999</v>
      </c>
      <c r="K138" t="n">
        <v>33.521607</v>
      </c>
      <c r="L138" t="n">
        <v>92.59366</v>
      </c>
      <c r="M138" t="n">
        <v>92.59366</v>
      </c>
      <c r="N138" t="n">
        <v>92.59366</v>
      </c>
      <c r="O138" t="n">
        <v>4.448657</v>
      </c>
      <c r="P138" t="n">
        <v>3.058348</v>
      </c>
      <c r="Q138" t="n">
        <v>92.59366</v>
      </c>
      <c r="R138" t="n">
        <v>92.59366</v>
      </c>
      <c r="S138" t="n">
        <v>4.448657</v>
      </c>
      <c r="T138" t="n">
        <v>4.448657</v>
      </c>
      <c r="U138" t="n">
        <v>3.058348</v>
      </c>
      <c r="V138" t="n">
        <v>3.058348</v>
      </c>
      <c r="W138" t="n">
        <v>4.556294</v>
      </c>
      <c r="X138" t="n">
        <v>96.447226</v>
      </c>
      <c r="Y138" t="n">
        <v>10.417956</v>
      </c>
      <c r="Z138" t="n">
        <v>17.174689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140.953883</v>
      </c>
      <c r="F139" t="n">
        <v>554.842266</v>
      </c>
      <c r="G139" t="n">
        <v>61511.195509</v>
      </c>
      <c r="H139" t="n">
        <v>20307429.163039</v>
      </c>
      <c r="I139" t="n">
        <v>3230.237663</v>
      </c>
      <c r="J139" t="n">
        <v>3367.037571</v>
      </c>
      <c r="K139" t="n">
        <v>3198.685692</v>
      </c>
      <c r="L139" t="n">
        <v>4133.4309</v>
      </c>
      <c r="M139" t="n">
        <v>4133.4309</v>
      </c>
      <c r="N139" t="n">
        <v>4133.4309</v>
      </c>
      <c r="O139" t="n">
        <v>205.658598</v>
      </c>
      <c r="P139" t="n">
        <v>91.38801100000001</v>
      </c>
      <c r="Q139" t="n">
        <v>4133.4309</v>
      </c>
      <c r="R139" t="n">
        <v>4133.4309</v>
      </c>
      <c r="S139" t="n">
        <v>205.658598</v>
      </c>
      <c r="T139" t="n">
        <v>205.658598</v>
      </c>
      <c r="U139" t="n">
        <v>91.38801100000001</v>
      </c>
      <c r="V139" t="n">
        <v>91.38801100000001</v>
      </c>
      <c r="W139" t="n">
        <v>216.473302</v>
      </c>
      <c r="X139" t="n">
        <v>4393.486979</v>
      </c>
      <c r="Y139" t="n">
        <v>246.547973</v>
      </c>
      <c r="Z139" t="n">
        <v>636.567642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140.953883</v>
      </c>
      <c r="F140" t="n">
        <v>95.34341499999999</v>
      </c>
      <c r="G140" t="n">
        <v>2845.346423</v>
      </c>
      <c r="H140" t="n">
        <v>490526.782878</v>
      </c>
      <c r="I140" t="n">
        <v>569.846189</v>
      </c>
      <c r="J140" t="n">
        <v>594.287325</v>
      </c>
      <c r="K140" t="n">
        <v>564.572959</v>
      </c>
      <c r="L140" t="n">
        <v>738.02552</v>
      </c>
      <c r="M140" t="n">
        <v>738.02552</v>
      </c>
      <c r="N140" t="n">
        <v>738.02552</v>
      </c>
      <c r="O140" t="n">
        <v>39.685535</v>
      </c>
      <c r="P140" t="n">
        <v>21.622034</v>
      </c>
      <c r="Q140" t="n">
        <v>738.02552</v>
      </c>
      <c r="R140" t="n">
        <v>738.02552</v>
      </c>
      <c r="S140" t="n">
        <v>39.685535</v>
      </c>
      <c r="T140" t="n">
        <v>39.685535</v>
      </c>
      <c r="U140" t="n">
        <v>21.622034</v>
      </c>
      <c r="V140" t="n">
        <v>21.622034</v>
      </c>
      <c r="W140" t="n">
        <v>41.109943</v>
      </c>
      <c r="X140" t="n">
        <v>772.895549</v>
      </c>
      <c r="Y140" t="n">
        <v>53.114101</v>
      </c>
      <c r="Z140" t="n">
        <v>112.240217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140.953883</v>
      </c>
      <c r="F141" t="n">
        <v>14.897287</v>
      </c>
      <c r="G141" t="n">
        <v>111.587464</v>
      </c>
      <c r="H141" t="n">
        <v>2476.952642</v>
      </c>
      <c r="I141" t="n">
        <v>95.149017</v>
      </c>
      <c r="J141" t="n">
        <v>95.149017</v>
      </c>
      <c r="K141" t="n">
        <v>40.179908</v>
      </c>
      <c r="L141" t="n">
        <v>103.926902</v>
      </c>
      <c r="M141" t="n">
        <v>103.926902</v>
      </c>
      <c r="N141" t="n">
        <v>103.926902</v>
      </c>
      <c r="O141" t="n">
        <v>5.06752</v>
      </c>
      <c r="P141" t="n">
        <v>3.473792</v>
      </c>
      <c r="Q141" t="n">
        <v>103.926902</v>
      </c>
      <c r="R141" t="n">
        <v>103.926902</v>
      </c>
      <c r="S141" t="n">
        <v>5.06752</v>
      </c>
      <c r="T141" t="n">
        <v>5.06752</v>
      </c>
      <c r="U141" t="n">
        <v>3.473792</v>
      </c>
      <c r="V141" t="n">
        <v>3.473792</v>
      </c>
      <c r="W141" t="n">
        <v>5.182583</v>
      </c>
      <c r="X141" t="n">
        <v>108.431266</v>
      </c>
      <c r="Y141" t="n">
        <v>10.531379</v>
      </c>
      <c r="Z141" t="n">
        <v>18.084908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140.953883</v>
      </c>
      <c r="F142" t="n">
        <v>200.641254</v>
      </c>
      <c r="G142" t="n">
        <v>11101.904562</v>
      </c>
      <c r="H142" t="n">
        <v>25660602.941085</v>
      </c>
      <c r="I142" t="n">
        <v>6244.222521</v>
      </c>
      <c r="J142" t="n">
        <v>6325.914048</v>
      </c>
      <c r="K142" t="n">
        <v>1872.204427</v>
      </c>
      <c r="L142" t="n">
        <v>7112.982475</v>
      </c>
      <c r="M142" t="n">
        <v>7112.982475</v>
      </c>
      <c r="N142" t="n">
        <v>7112.982475</v>
      </c>
      <c r="O142" t="n">
        <v>87.969483</v>
      </c>
      <c r="P142" t="n">
        <v>46.580547</v>
      </c>
      <c r="Q142" t="n">
        <v>7112.982475</v>
      </c>
      <c r="R142" t="n">
        <v>7112.982475</v>
      </c>
      <c r="S142" t="n">
        <v>87.969483</v>
      </c>
      <c r="T142" t="n">
        <v>87.969483</v>
      </c>
      <c r="U142" t="n">
        <v>46.580547</v>
      </c>
      <c r="V142" t="n">
        <v>46.580547</v>
      </c>
      <c r="W142" t="n">
        <v>93.060855</v>
      </c>
      <c r="X142" t="n">
        <v>7459.131892</v>
      </c>
      <c r="Y142" t="n">
        <v>100.902165</v>
      </c>
      <c r="Z142" t="n">
        <v>211.14634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140.953883</v>
      </c>
      <c r="F143" t="n">
        <v>170.518341</v>
      </c>
      <c r="G143" t="n">
        <v>7847.80585</v>
      </c>
      <c r="H143" t="n">
        <v>421935.650343</v>
      </c>
      <c r="I143" t="n">
        <v>1050.872908</v>
      </c>
      <c r="J143" t="n">
        <v>1075.829695</v>
      </c>
      <c r="K143" t="n">
        <v>537.914847</v>
      </c>
      <c r="L143" t="n">
        <v>1659.687874</v>
      </c>
      <c r="M143" t="n">
        <v>1659.687874</v>
      </c>
      <c r="N143" t="n">
        <v>1659.687874</v>
      </c>
      <c r="O143" t="n">
        <v>31.362197</v>
      </c>
      <c r="P143" t="n">
        <v>16.184075</v>
      </c>
      <c r="Q143" t="n">
        <v>1659.687874</v>
      </c>
      <c r="R143" t="n">
        <v>1659.687874</v>
      </c>
      <c r="S143" t="n">
        <v>31.362197</v>
      </c>
      <c r="T143" t="n">
        <v>31.362197</v>
      </c>
      <c r="U143" t="n">
        <v>16.184075</v>
      </c>
      <c r="V143" t="n">
        <v>16.184075</v>
      </c>
      <c r="W143" t="n">
        <v>32.286772</v>
      </c>
      <c r="X143" t="n">
        <v>1775.112325</v>
      </c>
      <c r="Y143" t="n">
        <v>88.16158900000001</v>
      </c>
      <c r="Z143" t="n">
        <v>173.868813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140.953883</v>
      </c>
      <c r="F144" t="n">
        <v>539.046528</v>
      </c>
      <c r="G144" t="n">
        <v>58487.681751</v>
      </c>
      <c r="H144" t="n">
        <v>89769700.66949099</v>
      </c>
      <c r="I144" t="n">
        <v>10399.759602</v>
      </c>
      <c r="J144" t="n">
        <v>10694.630086</v>
      </c>
      <c r="K144" t="n">
        <v>4010.486282</v>
      </c>
      <c r="L144" t="n">
        <v>14214.100911</v>
      </c>
      <c r="M144" t="n">
        <v>14214.100911</v>
      </c>
      <c r="N144" t="n">
        <v>14214.100911</v>
      </c>
      <c r="O144" t="n">
        <v>203.72024</v>
      </c>
      <c r="P144" t="n">
        <v>90.708206</v>
      </c>
      <c r="Q144" t="n">
        <v>14214.100911</v>
      </c>
      <c r="R144" t="n">
        <v>14214.100911</v>
      </c>
      <c r="S144" t="n">
        <v>203.72024</v>
      </c>
      <c r="T144" t="n">
        <v>203.72024</v>
      </c>
      <c r="U144" t="n">
        <v>90.708206</v>
      </c>
      <c r="V144" t="n">
        <v>90.708206</v>
      </c>
      <c r="W144" t="n">
        <v>213.076898</v>
      </c>
      <c r="X144" t="n">
        <v>15231.972848</v>
      </c>
      <c r="Y144" t="n">
        <v>240.418747</v>
      </c>
      <c r="Z144" t="n">
        <v>654.813563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140.953883</v>
      </c>
      <c r="F145" t="n">
        <v>251.096546</v>
      </c>
      <c r="G145" t="n">
        <v>15842.809489</v>
      </c>
      <c r="H145" t="n">
        <v>17515502.131016</v>
      </c>
      <c r="I145" t="n">
        <v>2592.828475</v>
      </c>
      <c r="J145" t="n">
        <v>2668.302146</v>
      </c>
      <c r="K145" t="n">
        <v>1626.885542</v>
      </c>
      <c r="L145" t="n">
        <v>3240.975912</v>
      </c>
      <c r="M145" t="n">
        <v>3240.975912</v>
      </c>
      <c r="N145" t="n">
        <v>3240.975912</v>
      </c>
      <c r="O145" t="n">
        <v>87.234846</v>
      </c>
      <c r="P145" t="n">
        <v>41.935227</v>
      </c>
      <c r="Q145" t="n">
        <v>3240.975912</v>
      </c>
      <c r="R145" t="n">
        <v>3240.975912</v>
      </c>
      <c r="S145" t="n">
        <v>87.234846</v>
      </c>
      <c r="T145" t="n">
        <v>87.234846</v>
      </c>
      <c r="U145" t="n">
        <v>41.935227</v>
      </c>
      <c r="V145" t="n">
        <v>41.935227</v>
      </c>
      <c r="W145" t="n">
        <v>91.178747</v>
      </c>
      <c r="X145" t="n">
        <v>3446.878316</v>
      </c>
      <c r="Y145" t="n">
        <v>123.223374</v>
      </c>
      <c r="Z145" t="n">
        <v>333.724839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140.953883</v>
      </c>
      <c r="F146" t="n">
        <v>228.824285</v>
      </c>
      <c r="G146" t="n">
        <v>13739.954406</v>
      </c>
      <c r="H146" t="n">
        <v>114798702.260359</v>
      </c>
      <c r="I146" t="n">
        <v>6590.793316</v>
      </c>
      <c r="J146" t="n">
        <v>7071.146917</v>
      </c>
      <c r="K146" t="n">
        <v>2576.928919</v>
      </c>
      <c r="L146" t="n">
        <v>10677.999207</v>
      </c>
      <c r="M146" t="n">
        <v>10677.999207</v>
      </c>
      <c r="N146" t="n">
        <v>10677.999207</v>
      </c>
      <c r="O146" t="n">
        <v>85.006417</v>
      </c>
      <c r="P146" t="n">
        <v>38.52237</v>
      </c>
      <c r="Q146" t="n">
        <v>10677.999207</v>
      </c>
      <c r="R146" t="n">
        <v>10677.999207</v>
      </c>
      <c r="S146" t="n">
        <v>85.006417</v>
      </c>
      <c r="T146" t="n">
        <v>85.006417</v>
      </c>
      <c r="U146" t="n">
        <v>38.52237</v>
      </c>
      <c r="V146" t="n">
        <v>38.52237</v>
      </c>
      <c r="W146" t="n">
        <v>88.306245</v>
      </c>
      <c r="X146" t="n">
        <v>11509.306401</v>
      </c>
      <c r="Y146" t="n">
        <v>113.373643</v>
      </c>
      <c r="Z146" t="n">
        <v>399.574722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140.953883</v>
      </c>
      <c r="F147" t="n">
        <v>60.479203</v>
      </c>
      <c r="G147" t="n">
        <v>1285.725322</v>
      </c>
      <c r="H147" t="n">
        <v>3025.478454</v>
      </c>
      <c r="I147" t="n">
        <v>395.888053</v>
      </c>
      <c r="J147" t="n">
        <v>395.888053</v>
      </c>
      <c r="K147" t="n">
        <v>376.09365</v>
      </c>
      <c r="L147" t="n">
        <v>393.787233</v>
      </c>
      <c r="M147" t="n">
        <v>393.787233</v>
      </c>
      <c r="N147" t="n">
        <v>393.787233</v>
      </c>
      <c r="O147" t="n">
        <v>20.916473</v>
      </c>
      <c r="P147" t="n">
        <v>13.510088</v>
      </c>
      <c r="Q147" t="n">
        <v>393.787233</v>
      </c>
      <c r="R147" t="n">
        <v>393.787233</v>
      </c>
      <c r="S147" t="n">
        <v>20.916473</v>
      </c>
      <c r="T147" t="n">
        <v>20.916473</v>
      </c>
      <c r="U147" t="n">
        <v>13.510088</v>
      </c>
      <c r="V147" t="n">
        <v>13.510088</v>
      </c>
      <c r="W147" t="n">
        <v>21.939981</v>
      </c>
      <c r="X147" t="n">
        <v>405.784084</v>
      </c>
      <c r="Y147" t="n">
        <v>35.719215</v>
      </c>
      <c r="Z147" t="n">
        <v>45.472786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140.953883</v>
      </c>
      <c r="F148" t="n">
        <v>95.34341499999999</v>
      </c>
      <c r="G148" t="n">
        <v>2845.346423</v>
      </c>
      <c r="H148" t="n">
        <v>490526.782878</v>
      </c>
      <c r="I148" t="n">
        <v>569.846189</v>
      </c>
      <c r="J148" t="n">
        <v>594.287325</v>
      </c>
      <c r="K148" t="n">
        <v>564.572959</v>
      </c>
      <c r="L148" t="n">
        <v>738.02552</v>
      </c>
      <c r="M148" t="n">
        <v>738.02552</v>
      </c>
      <c r="N148" t="n">
        <v>738.02552</v>
      </c>
      <c r="O148" t="n">
        <v>39.685535</v>
      </c>
      <c r="P148" t="n">
        <v>21.622034</v>
      </c>
      <c r="Q148" t="n">
        <v>738.02552</v>
      </c>
      <c r="R148" t="n">
        <v>738.02552</v>
      </c>
      <c r="S148" t="n">
        <v>39.685535</v>
      </c>
      <c r="T148" t="n">
        <v>39.685535</v>
      </c>
      <c r="U148" t="n">
        <v>21.622034</v>
      </c>
      <c r="V148" t="n">
        <v>21.622034</v>
      </c>
      <c r="W148" t="n">
        <v>41.109943</v>
      </c>
      <c r="X148" t="n">
        <v>772.895549</v>
      </c>
      <c r="Y148" t="n">
        <v>53.114101</v>
      </c>
      <c r="Z148" t="n">
        <v>112.240217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140.953883</v>
      </c>
      <c r="F149" t="n">
        <v>200.641254</v>
      </c>
      <c r="G149" t="n">
        <v>11101.904562</v>
      </c>
      <c r="H149" t="n">
        <v>25660602.941085</v>
      </c>
      <c r="I149" t="n">
        <v>6244.222521</v>
      </c>
      <c r="J149" t="n">
        <v>6325.914048</v>
      </c>
      <c r="K149" t="n">
        <v>1872.204427</v>
      </c>
      <c r="L149" t="n">
        <v>7112.982475</v>
      </c>
      <c r="M149" t="n">
        <v>7112.982475</v>
      </c>
      <c r="N149" t="n">
        <v>7112.982475</v>
      </c>
      <c r="O149" t="n">
        <v>87.969483</v>
      </c>
      <c r="P149" t="n">
        <v>46.580547</v>
      </c>
      <c r="Q149" t="n">
        <v>7112.982475</v>
      </c>
      <c r="R149" t="n">
        <v>7112.982475</v>
      </c>
      <c r="S149" t="n">
        <v>87.969483</v>
      </c>
      <c r="T149" t="n">
        <v>87.969483</v>
      </c>
      <c r="U149" t="n">
        <v>46.580547</v>
      </c>
      <c r="V149" t="n">
        <v>46.580547</v>
      </c>
      <c r="W149" t="n">
        <v>93.060855</v>
      </c>
      <c r="X149" t="n">
        <v>7459.131892</v>
      </c>
      <c r="Y149" t="n">
        <v>100.902165</v>
      </c>
      <c r="Z149" t="n">
        <v>211.14634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140.953883</v>
      </c>
      <c r="F150" t="n">
        <v>228.824285</v>
      </c>
      <c r="G150" t="n">
        <v>13739.954406</v>
      </c>
      <c r="H150" t="n">
        <v>114798702.260359</v>
      </c>
      <c r="I150" t="n">
        <v>6590.793316</v>
      </c>
      <c r="J150" t="n">
        <v>7071.146917</v>
      </c>
      <c r="K150" t="n">
        <v>2576.928919</v>
      </c>
      <c r="L150" t="n">
        <v>10677.999207</v>
      </c>
      <c r="M150" t="n">
        <v>10677.999207</v>
      </c>
      <c r="N150" t="n">
        <v>10677.999207</v>
      </c>
      <c r="O150" t="n">
        <v>85.006417</v>
      </c>
      <c r="P150" t="n">
        <v>38.52237</v>
      </c>
      <c r="Q150" t="n">
        <v>10677.999207</v>
      </c>
      <c r="R150" t="n">
        <v>10677.999207</v>
      </c>
      <c r="S150" t="n">
        <v>85.006417</v>
      </c>
      <c r="T150" t="n">
        <v>85.006417</v>
      </c>
      <c r="U150" t="n">
        <v>38.52237</v>
      </c>
      <c r="V150" t="n">
        <v>38.52237</v>
      </c>
      <c r="W150" t="n">
        <v>88.306245</v>
      </c>
      <c r="X150" t="n">
        <v>11509.306401</v>
      </c>
      <c r="Y150" t="n">
        <v>113.373643</v>
      </c>
      <c r="Z150" t="n">
        <v>399.574722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140.953883</v>
      </c>
      <c r="F151" t="n">
        <v>228.824285</v>
      </c>
      <c r="G151" t="n">
        <v>13739.954406</v>
      </c>
      <c r="H151" t="n">
        <v>114798702.260359</v>
      </c>
      <c r="I151" t="n">
        <v>6590.793316</v>
      </c>
      <c r="J151" t="n">
        <v>7071.146917</v>
      </c>
      <c r="K151" t="n">
        <v>2576.928919</v>
      </c>
      <c r="L151" t="n">
        <v>10677.999207</v>
      </c>
      <c r="M151" t="n">
        <v>10677.999207</v>
      </c>
      <c r="N151" t="n">
        <v>10677.999207</v>
      </c>
      <c r="O151" t="n">
        <v>85.006417</v>
      </c>
      <c r="P151" t="n">
        <v>38.52237</v>
      </c>
      <c r="Q151" t="n">
        <v>10677.999207</v>
      </c>
      <c r="R151" t="n">
        <v>10677.999207</v>
      </c>
      <c r="S151" t="n">
        <v>85.006417</v>
      </c>
      <c r="T151" t="n">
        <v>85.006417</v>
      </c>
      <c r="U151" t="n">
        <v>38.52237</v>
      </c>
      <c r="V151" t="n">
        <v>38.52237</v>
      </c>
      <c r="W151" t="n">
        <v>88.306245</v>
      </c>
      <c r="X151" t="n">
        <v>11509.306401</v>
      </c>
      <c r="Y151" t="n">
        <v>113.373643</v>
      </c>
      <c r="Z151" t="n">
        <v>399.574722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140.953883</v>
      </c>
      <c r="F152" t="n">
        <v>177.371403</v>
      </c>
      <c r="G152" t="n">
        <v>9540.408934999999</v>
      </c>
      <c r="H152" t="n">
        <v>70736320.08912501</v>
      </c>
      <c r="I152" t="n">
        <v>4269.898312</v>
      </c>
      <c r="J152" t="n">
        <v>4574.511297</v>
      </c>
      <c r="K152" t="n">
        <v>1801.225895</v>
      </c>
      <c r="L152" t="n">
        <v>6846.4367</v>
      </c>
      <c r="M152" t="n">
        <v>6846.4367</v>
      </c>
      <c r="N152" t="n">
        <v>6846.4367</v>
      </c>
      <c r="O152" t="n">
        <v>67.536573</v>
      </c>
      <c r="P152" t="n">
        <v>32.007796</v>
      </c>
      <c r="Q152" t="n">
        <v>6846.4367</v>
      </c>
      <c r="R152" t="n">
        <v>6846.4367</v>
      </c>
      <c r="S152" t="n">
        <v>67.536573</v>
      </c>
      <c r="T152" t="n">
        <v>67.536573</v>
      </c>
      <c r="U152" t="n">
        <v>32.007796</v>
      </c>
      <c r="V152" t="n">
        <v>32.007796</v>
      </c>
      <c r="W152" t="n">
        <v>70.113483</v>
      </c>
      <c r="X152" t="n">
        <v>7370.741192</v>
      </c>
      <c r="Y152" t="n">
        <v>90.145392</v>
      </c>
      <c r="Z152" t="n">
        <v>288.815865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140.953883</v>
      </c>
      <c r="F153" t="n">
        <v>10</v>
      </c>
      <c r="G153" t="n">
        <v>55.608076</v>
      </c>
      <c r="H153" t="n">
        <v>55.608076</v>
      </c>
      <c r="I153" t="n">
        <v>115.384615</v>
      </c>
      <c r="J153" t="n">
        <v>115.384615</v>
      </c>
      <c r="K153" t="n">
        <v>6</v>
      </c>
      <c r="L153" t="n">
        <v>114.728394</v>
      </c>
      <c r="M153" t="n">
        <v>114.728394</v>
      </c>
      <c r="N153" t="n">
        <v>114.728394</v>
      </c>
      <c r="O153" t="n">
        <v>6.05984</v>
      </c>
      <c r="P153" t="n">
        <v>4.848511</v>
      </c>
      <c r="Q153" t="n">
        <v>114.728394</v>
      </c>
      <c r="R153" t="n">
        <v>114.728394</v>
      </c>
      <c r="S153" t="n">
        <v>6.05984</v>
      </c>
      <c r="T153" t="n">
        <v>6.05984</v>
      </c>
      <c r="U153" t="n">
        <v>4.848511</v>
      </c>
      <c r="V153" t="n">
        <v>4.848511</v>
      </c>
      <c r="W153" t="n">
        <v>6.224783</v>
      </c>
      <c r="X153" t="n">
        <v>116.846993</v>
      </c>
      <c r="Y153" t="n">
        <v>7.440984</v>
      </c>
      <c r="Z153" t="n">
        <v>7.440984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140.953883</v>
      </c>
      <c r="F154" t="n">
        <v>60.479203</v>
      </c>
      <c r="G154" t="n">
        <v>1285.725322</v>
      </c>
      <c r="H154" t="n">
        <v>3025.478454</v>
      </c>
      <c r="I154" t="n">
        <v>395.888053</v>
      </c>
      <c r="J154" t="n">
        <v>395.888053</v>
      </c>
      <c r="K154" t="n">
        <v>376.09365</v>
      </c>
      <c r="L154" t="n">
        <v>393.787233</v>
      </c>
      <c r="M154" t="n">
        <v>393.787233</v>
      </c>
      <c r="N154" t="n">
        <v>393.787233</v>
      </c>
      <c r="O154" t="n">
        <v>20.916473</v>
      </c>
      <c r="P154" t="n">
        <v>13.510088</v>
      </c>
      <c r="Q154" t="n">
        <v>393.787233</v>
      </c>
      <c r="R154" t="n">
        <v>393.787233</v>
      </c>
      <c r="S154" t="n">
        <v>20.916473</v>
      </c>
      <c r="T154" t="n">
        <v>20.916473</v>
      </c>
      <c r="U154" t="n">
        <v>13.510088</v>
      </c>
      <c r="V154" t="n">
        <v>13.510088</v>
      </c>
      <c r="W154" t="n">
        <v>21.939981</v>
      </c>
      <c r="X154" t="n">
        <v>405.784084</v>
      </c>
      <c r="Y154" t="n">
        <v>35.719215</v>
      </c>
      <c r="Z154" t="n">
        <v>45.472786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140.953883</v>
      </c>
      <c r="F155" t="n">
        <v>200.641254</v>
      </c>
      <c r="G155" t="n">
        <v>11101.904562</v>
      </c>
      <c r="H155" t="n">
        <v>25660602.941085</v>
      </c>
      <c r="I155" t="n">
        <v>6244.222521</v>
      </c>
      <c r="J155" t="n">
        <v>6325.914048</v>
      </c>
      <c r="K155" t="n">
        <v>1872.204427</v>
      </c>
      <c r="L155" t="n">
        <v>7112.982475</v>
      </c>
      <c r="M155" t="n">
        <v>7112.982475</v>
      </c>
      <c r="N155" t="n">
        <v>7112.982475</v>
      </c>
      <c r="O155" t="n">
        <v>87.969483</v>
      </c>
      <c r="P155" t="n">
        <v>46.580547</v>
      </c>
      <c r="Q155" t="n">
        <v>7112.982475</v>
      </c>
      <c r="R155" t="n">
        <v>7112.982475</v>
      </c>
      <c r="S155" t="n">
        <v>87.969483</v>
      </c>
      <c r="T155" t="n">
        <v>87.969483</v>
      </c>
      <c r="U155" t="n">
        <v>46.580547</v>
      </c>
      <c r="V155" t="n">
        <v>46.580547</v>
      </c>
      <c r="W155" t="n">
        <v>93.060855</v>
      </c>
      <c r="X155" t="n">
        <v>7459.131892</v>
      </c>
      <c r="Y155" t="n">
        <v>100.902165</v>
      </c>
      <c r="Z155" t="n">
        <v>211.14634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140.953883</v>
      </c>
      <c r="F156" t="n">
        <v>228.824285</v>
      </c>
      <c r="G156" t="n">
        <v>13739.954406</v>
      </c>
      <c r="H156" t="n">
        <v>114798702.260359</v>
      </c>
      <c r="I156" t="n">
        <v>6590.793316</v>
      </c>
      <c r="J156" t="n">
        <v>7071.146917</v>
      </c>
      <c r="K156" t="n">
        <v>2576.928919</v>
      </c>
      <c r="L156" t="n">
        <v>10677.999207</v>
      </c>
      <c r="M156" t="n">
        <v>10677.999207</v>
      </c>
      <c r="N156" t="n">
        <v>10677.999207</v>
      </c>
      <c r="O156" t="n">
        <v>85.006417</v>
      </c>
      <c r="P156" t="n">
        <v>38.52237</v>
      </c>
      <c r="Q156" t="n">
        <v>10677.999207</v>
      </c>
      <c r="R156" t="n">
        <v>10677.999207</v>
      </c>
      <c r="S156" t="n">
        <v>85.006417</v>
      </c>
      <c r="T156" t="n">
        <v>85.006417</v>
      </c>
      <c r="U156" t="n">
        <v>38.52237</v>
      </c>
      <c r="V156" t="n">
        <v>38.52237</v>
      </c>
      <c r="W156" t="n">
        <v>88.306245</v>
      </c>
      <c r="X156" t="n">
        <v>11509.306401</v>
      </c>
      <c r="Y156" t="n">
        <v>113.373643</v>
      </c>
      <c r="Z156" t="n">
        <v>399.574722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140.953883</v>
      </c>
      <c r="F157" t="n">
        <v>200.641254</v>
      </c>
      <c r="G157" t="n">
        <v>11101.904562</v>
      </c>
      <c r="H157" t="n">
        <v>25660602.941085</v>
      </c>
      <c r="I157" t="n">
        <v>6244.222521</v>
      </c>
      <c r="J157" t="n">
        <v>6325.914048</v>
      </c>
      <c r="K157" t="n">
        <v>1872.204427</v>
      </c>
      <c r="L157" t="n">
        <v>7112.982475</v>
      </c>
      <c r="M157" t="n">
        <v>7112.982475</v>
      </c>
      <c r="N157" t="n">
        <v>7112.982475</v>
      </c>
      <c r="O157" t="n">
        <v>87.969483</v>
      </c>
      <c r="P157" t="n">
        <v>46.580547</v>
      </c>
      <c r="Q157" t="n">
        <v>7112.982475</v>
      </c>
      <c r="R157" t="n">
        <v>7112.982475</v>
      </c>
      <c r="S157" t="n">
        <v>87.969483</v>
      </c>
      <c r="T157" t="n">
        <v>87.969483</v>
      </c>
      <c r="U157" t="n">
        <v>46.580547</v>
      </c>
      <c r="V157" t="n">
        <v>46.580547</v>
      </c>
      <c r="W157" t="n">
        <v>93.060855</v>
      </c>
      <c r="X157" t="n">
        <v>7459.131892</v>
      </c>
      <c r="Y157" t="n">
        <v>100.902165</v>
      </c>
      <c r="Z157" t="n">
        <v>211.14634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140.953883</v>
      </c>
      <c r="F158" t="n">
        <v>200.641254</v>
      </c>
      <c r="G158" t="n">
        <v>11101.904562</v>
      </c>
      <c r="H158" t="n">
        <v>25660602.941085</v>
      </c>
      <c r="I158" t="n">
        <v>6244.222521</v>
      </c>
      <c r="J158" t="n">
        <v>6325.914048</v>
      </c>
      <c r="K158" t="n">
        <v>1872.204427</v>
      </c>
      <c r="L158" t="n">
        <v>7112.982475</v>
      </c>
      <c r="M158" t="n">
        <v>7112.982475</v>
      </c>
      <c r="N158" t="n">
        <v>7112.982475</v>
      </c>
      <c r="O158" t="n">
        <v>87.969483</v>
      </c>
      <c r="P158" t="n">
        <v>46.580547</v>
      </c>
      <c r="Q158" t="n">
        <v>7112.982475</v>
      </c>
      <c r="R158" t="n">
        <v>7112.982475</v>
      </c>
      <c r="S158" t="n">
        <v>87.969483</v>
      </c>
      <c r="T158" t="n">
        <v>87.969483</v>
      </c>
      <c r="U158" t="n">
        <v>46.580547</v>
      </c>
      <c r="V158" t="n">
        <v>46.580547</v>
      </c>
      <c r="W158" t="n">
        <v>93.060855</v>
      </c>
      <c r="X158" t="n">
        <v>7459.131892</v>
      </c>
      <c r="Y158" t="n">
        <v>100.902165</v>
      </c>
      <c r="Z158" t="n">
        <v>211.14634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140.953883</v>
      </c>
      <c r="F159" t="n">
        <v>228.824285</v>
      </c>
      <c r="G159" t="n">
        <v>13739.954406</v>
      </c>
      <c r="H159" t="n">
        <v>114798702.260359</v>
      </c>
      <c r="I159" t="n">
        <v>6590.793316</v>
      </c>
      <c r="J159" t="n">
        <v>7071.146917</v>
      </c>
      <c r="K159" t="n">
        <v>2576.928919</v>
      </c>
      <c r="L159" t="n">
        <v>10677.999207</v>
      </c>
      <c r="M159" t="n">
        <v>10677.999207</v>
      </c>
      <c r="N159" t="n">
        <v>10677.999207</v>
      </c>
      <c r="O159" t="n">
        <v>85.006417</v>
      </c>
      <c r="P159" t="n">
        <v>38.52237</v>
      </c>
      <c r="Q159" t="n">
        <v>10677.999207</v>
      </c>
      <c r="R159" t="n">
        <v>10677.999207</v>
      </c>
      <c r="S159" t="n">
        <v>85.006417</v>
      </c>
      <c r="T159" t="n">
        <v>85.006417</v>
      </c>
      <c r="U159" t="n">
        <v>38.52237</v>
      </c>
      <c r="V159" t="n">
        <v>38.52237</v>
      </c>
      <c r="W159" t="n">
        <v>88.306245</v>
      </c>
      <c r="X159" t="n">
        <v>11509.306401</v>
      </c>
      <c r="Y159" t="n">
        <v>113.373643</v>
      </c>
      <c r="Z159" t="n">
        <v>399.574722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140.953883</v>
      </c>
      <c r="F160" t="n">
        <v>539.046528</v>
      </c>
      <c r="G160" t="n">
        <v>58487.681751</v>
      </c>
      <c r="H160" t="n">
        <v>89769700.66949099</v>
      </c>
      <c r="I160" t="n">
        <v>10399.759602</v>
      </c>
      <c r="J160" t="n">
        <v>10694.630086</v>
      </c>
      <c r="K160" t="n">
        <v>4010.486282</v>
      </c>
      <c r="L160" t="n">
        <v>14214.100911</v>
      </c>
      <c r="M160" t="n">
        <v>14214.100911</v>
      </c>
      <c r="N160" t="n">
        <v>14214.100911</v>
      </c>
      <c r="O160" t="n">
        <v>203.72024</v>
      </c>
      <c r="P160" t="n">
        <v>90.708206</v>
      </c>
      <c r="Q160" t="n">
        <v>14214.100911</v>
      </c>
      <c r="R160" t="n">
        <v>14214.100911</v>
      </c>
      <c r="S160" t="n">
        <v>203.72024</v>
      </c>
      <c r="T160" t="n">
        <v>203.72024</v>
      </c>
      <c r="U160" t="n">
        <v>90.708206</v>
      </c>
      <c r="V160" t="n">
        <v>90.708206</v>
      </c>
      <c r="W160" t="n">
        <v>213.076898</v>
      </c>
      <c r="X160" t="n">
        <v>15231.972848</v>
      </c>
      <c r="Y160" t="n">
        <v>240.418747</v>
      </c>
      <c r="Z160" t="n">
        <v>654.813563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140.953883</v>
      </c>
      <c r="F161" t="n">
        <v>60.479203</v>
      </c>
      <c r="G161" t="n">
        <v>1285.725322</v>
      </c>
      <c r="H161" t="n">
        <v>3025.478454</v>
      </c>
      <c r="I161" t="n">
        <v>395.888053</v>
      </c>
      <c r="J161" t="n">
        <v>395.888053</v>
      </c>
      <c r="K161" t="n">
        <v>376.09365</v>
      </c>
      <c r="L161" t="n">
        <v>393.787233</v>
      </c>
      <c r="M161" t="n">
        <v>393.787233</v>
      </c>
      <c r="N161" t="n">
        <v>393.787233</v>
      </c>
      <c r="O161" t="n">
        <v>20.916473</v>
      </c>
      <c r="P161" t="n">
        <v>13.510088</v>
      </c>
      <c r="Q161" t="n">
        <v>393.787233</v>
      </c>
      <c r="R161" t="n">
        <v>393.787233</v>
      </c>
      <c r="S161" t="n">
        <v>20.916473</v>
      </c>
      <c r="T161" t="n">
        <v>20.916473</v>
      </c>
      <c r="U161" t="n">
        <v>13.510088</v>
      </c>
      <c r="V161" t="n">
        <v>13.510088</v>
      </c>
      <c r="W161" t="n">
        <v>21.939981</v>
      </c>
      <c r="X161" t="n">
        <v>405.784084</v>
      </c>
      <c r="Y161" t="n">
        <v>35.719215</v>
      </c>
      <c r="Z161" t="n">
        <v>45.472786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140.953883</v>
      </c>
      <c r="F162" t="n">
        <v>14.712171</v>
      </c>
      <c r="G162" t="n">
        <v>109.082967</v>
      </c>
      <c r="H162" t="n">
        <v>1554.089564</v>
      </c>
      <c r="I162" t="n">
        <v>87.52377799999999</v>
      </c>
      <c r="J162" t="n">
        <v>87.52377799999999</v>
      </c>
      <c r="K162" t="n">
        <v>33.521607</v>
      </c>
      <c r="L162" t="n">
        <v>92.59366</v>
      </c>
      <c r="M162" t="n">
        <v>92.59366</v>
      </c>
      <c r="N162" t="n">
        <v>92.59366</v>
      </c>
      <c r="O162" t="n">
        <v>4.448657</v>
      </c>
      <c r="P162" t="n">
        <v>3.058348</v>
      </c>
      <c r="Q162" t="n">
        <v>92.59366</v>
      </c>
      <c r="R162" t="n">
        <v>92.59366</v>
      </c>
      <c r="S162" t="n">
        <v>4.448657</v>
      </c>
      <c r="T162" t="n">
        <v>4.448657</v>
      </c>
      <c r="U162" t="n">
        <v>3.058348</v>
      </c>
      <c r="V162" t="n">
        <v>3.058348</v>
      </c>
      <c r="W162" t="n">
        <v>4.556294</v>
      </c>
      <c r="X162" t="n">
        <v>96.447226</v>
      </c>
      <c r="Y162" t="n">
        <v>10.417956</v>
      </c>
      <c r="Z162" t="n">
        <v>17.174689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140.953883</v>
      </c>
      <c r="F163" t="n">
        <v>908.988005</v>
      </c>
      <c r="G163" t="n">
        <v>145576.696024</v>
      </c>
      <c r="H163" t="n">
        <v>48080410.421404</v>
      </c>
      <c r="I163" t="n">
        <v>125208.792952</v>
      </c>
      <c r="J163" t="n">
        <v>126616.154086</v>
      </c>
      <c r="K163" t="n">
        <v>63308.077043</v>
      </c>
      <c r="L163" t="n">
        <v>172174.15174</v>
      </c>
      <c r="M163" t="n">
        <v>172174.151739</v>
      </c>
      <c r="N163" t="n">
        <v>172174.151739</v>
      </c>
      <c r="O163" t="n">
        <v>202.141045</v>
      </c>
      <c r="P163" t="n">
        <v>87.49926499999999</v>
      </c>
      <c r="Q163" t="n">
        <v>172174.151739</v>
      </c>
      <c r="R163" t="n">
        <v>172174.151739</v>
      </c>
      <c r="S163" t="n">
        <v>202.141045</v>
      </c>
      <c r="T163" t="n">
        <v>202.141045</v>
      </c>
      <c r="U163" t="n">
        <v>87.49926499999999</v>
      </c>
      <c r="V163" t="n">
        <v>87.49926499999999</v>
      </c>
      <c r="W163" t="n">
        <v>214.928725</v>
      </c>
      <c r="X163" t="n">
        <v>183923.261916</v>
      </c>
      <c r="Y163" t="n">
        <v>379.113334</v>
      </c>
      <c r="Z163" t="n">
        <v>767.7179190000001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140.953883</v>
      </c>
      <c r="F164" t="n">
        <v>200.641254</v>
      </c>
      <c r="G164" t="n">
        <v>11101.904562</v>
      </c>
      <c r="H164" t="n">
        <v>25660602.941085</v>
      </c>
      <c r="I164" t="n">
        <v>6244.222521</v>
      </c>
      <c r="J164" t="n">
        <v>6325.914048</v>
      </c>
      <c r="K164" t="n">
        <v>1872.204427</v>
      </c>
      <c r="L164" t="n">
        <v>7112.982475</v>
      </c>
      <c r="M164" t="n">
        <v>7112.982475</v>
      </c>
      <c r="N164" t="n">
        <v>7112.982475</v>
      </c>
      <c r="O164" t="n">
        <v>87.969483</v>
      </c>
      <c r="P164" t="n">
        <v>46.580547</v>
      </c>
      <c r="Q164" t="n">
        <v>7112.982475</v>
      </c>
      <c r="R164" t="n">
        <v>7112.982475</v>
      </c>
      <c r="S164" t="n">
        <v>87.969483</v>
      </c>
      <c r="T164" t="n">
        <v>87.969483</v>
      </c>
      <c r="U164" t="n">
        <v>46.580547</v>
      </c>
      <c r="V164" t="n">
        <v>46.580547</v>
      </c>
      <c r="W164" t="n">
        <v>93.060855</v>
      </c>
      <c r="X164" t="n">
        <v>7459.131892</v>
      </c>
      <c r="Y164" t="n">
        <v>100.902165</v>
      </c>
      <c r="Z164" t="n">
        <v>211.14634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140.953883</v>
      </c>
      <c r="F165" t="n">
        <v>57.638856</v>
      </c>
      <c r="G165" t="n">
        <v>1182.200226</v>
      </c>
      <c r="H165" t="n">
        <v>56775.373409</v>
      </c>
      <c r="I165" t="n">
        <v>512.103289</v>
      </c>
      <c r="J165" t="n">
        <v>553.467817</v>
      </c>
      <c r="K165" t="n">
        <v>525.794426</v>
      </c>
      <c r="L165" t="n">
        <v>602.712303</v>
      </c>
      <c r="M165" t="n">
        <v>602.712303</v>
      </c>
      <c r="N165" t="n">
        <v>602.712303</v>
      </c>
      <c r="O165" t="n">
        <v>31.190871</v>
      </c>
      <c r="P165" t="n">
        <v>18.283791</v>
      </c>
      <c r="Q165" t="n">
        <v>602.712303</v>
      </c>
      <c r="R165" t="n">
        <v>602.712303</v>
      </c>
      <c r="S165" t="n">
        <v>31.190871</v>
      </c>
      <c r="T165" t="n">
        <v>31.190871</v>
      </c>
      <c r="U165" t="n">
        <v>18.283791</v>
      </c>
      <c r="V165" t="n">
        <v>18.283791</v>
      </c>
      <c r="W165" t="n">
        <v>32.089433</v>
      </c>
      <c r="X165" t="n">
        <v>622.065443</v>
      </c>
      <c r="Y165" t="n">
        <v>34.252552</v>
      </c>
      <c r="Z165" t="n">
        <v>73.57281500000001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140.953883</v>
      </c>
      <c r="F166" t="n">
        <v>200.641254</v>
      </c>
      <c r="G166" t="n">
        <v>11101.904562</v>
      </c>
      <c r="H166" t="n">
        <v>25660602.941085</v>
      </c>
      <c r="I166" t="n">
        <v>6244.222521</v>
      </c>
      <c r="J166" t="n">
        <v>6325.914048</v>
      </c>
      <c r="K166" t="n">
        <v>1872.204427</v>
      </c>
      <c r="L166" t="n">
        <v>7112.982475</v>
      </c>
      <c r="M166" t="n">
        <v>7112.982475</v>
      </c>
      <c r="N166" t="n">
        <v>7112.982475</v>
      </c>
      <c r="O166" t="n">
        <v>87.969483</v>
      </c>
      <c r="P166" t="n">
        <v>46.580547</v>
      </c>
      <c r="Q166" t="n">
        <v>7112.982475</v>
      </c>
      <c r="R166" t="n">
        <v>7112.982475</v>
      </c>
      <c r="S166" t="n">
        <v>87.969483</v>
      </c>
      <c r="T166" t="n">
        <v>87.969483</v>
      </c>
      <c r="U166" t="n">
        <v>46.580547</v>
      </c>
      <c r="V166" t="n">
        <v>46.580547</v>
      </c>
      <c r="W166" t="n">
        <v>93.060855</v>
      </c>
      <c r="X166" t="n">
        <v>7459.131892</v>
      </c>
      <c r="Y166" t="n">
        <v>100.902165</v>
      </c>
      <c r="Z166" t="n">
        <v>211.14634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140.953883</v>
      </c>
      <c r="F167" t="n">
        <v>33.254785</v>
      </c>
      <c r="G167" t="n">
        <v>452.736281</v>
      </c>
      <c r="H167" t="n">
        <v>34182.13294</v>
      </c>
      <c r="I167" t="n">
        <v>151.084056</v>
      </c>
      <c r="J167" t="n">
        <v>151.084056</v>
      </c>
      <c r="K167" t="n">
        <v>143.529853</v>
      </c>
      <c r="L167" t="n">
        <v>173.938876</v>
      </c>
      <c r="M167" t="n">
        <v>173.938876</v>
      </c>
      <c r="N167" t="n">
        <v>173.938876</v>
      </c>
      <c r="O167" t="n">
        <v>13.215653</v>
      </c>
      <c r="P167" t="n">
        <v>8.00437</v>
      </c>
      <c r="Q167" t="n">
        <v>173.938876</v>
      </c>
      <c r="R167" t="n">
        <v>173.938876</v>
      </c>
      <c r="S167" t="n">
        <v>13.215653</v>
      </c>
      <c r="T167" t="n">
        <v>13.215653</v>
      </c>
      <c r="U167" t="n">
        <v>8.00437</v>
      </c>
      <c r="V167" t="n">
        <v>8.00437</v>
      </c>
      <c r="W167" t="n">
        <v>13.539814</v>
      </c>
      <c r="X167" t="n">
        <v>184.933079</v>
      </c>
      <c r="Y167" t="n">
        <v>21.207733</v>
      </c>
      <c r="Z167" t="n">
        <v>52.601429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140.953883</v>
      </c>
      <c r="F168" t="n">
        <v>177.371403</v>
      </c>
      <c r="G168" t="n">
        <v>9540.408934999999</v>
      </c>
      <c r="H168" t="n">
        <v>70736320.08912501</v>
      </c>
      <c r="I168" t="n">
        <v>4269.898312</v>
      </c>
      <c r="J168" t="n">
        <v>4574.511297</v>
      </c>
      <c r="K168" t="n">
        <v>1801.225895</v>
      </c>
      <c r="L168" t="n">
        <v>6846.4367</v>
      </c>
      <c r="M168" t="n">
        <v>6846.4367</v>
      </c>
      <c r="N168" t="n">
        <v>6846.4367</v>
      </c>
      <c r="O168" t="n">
        <v>67.536573</v>
      </c>
      <c r="P168" t="n">
        <v>32.007796</v>
      </c>
      <c r="Q168" t="n">
        <v>6846.4367</v>
      </c>
      <c r="R168" t="n">
        <v>6846.4367</v>
      </c>
      <c r="S168" t="n">
        <v>67.536573</v>
      </c>
      <c r="T168" t="n">
        <v>67.536573</v>
      </c>
      <c r="U168" t="n">
        <v>32.007796</v>
      </c>
      <c r="V168" t="n">
        <v>32.007796</v>
      </c>
      <c r="W168" t="n">
        <v>70.113483</v>
      </c>
      <c r="X168" t="n">
        <v>7370.741192</v>
      </c>
      <c r="Y168" t="n">
        <v>90.145392</v>
      </c>
      <c r="Z168" t="n">
        <v>288.815865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140.953883</v>
      </c>
      <c r="F169" t="n">
        <v>177.371403</v>
      </c>
      <c r="G169" t="n">
        <v>9540.408934999999</v>
      </c>
      <c r="H169" t="n">
        <v>70736320.08912501</v>
      </c>
      <c r="I169" t="n">
        <v>4269.898312</v>
      </c>
      <c r="J169" t="n">
        <v>4574.511297</v>
      </c>
      <c r="K169" t="n">
        <v>1801.225895</v>
      </c>
      <c r="L169" t="n">
        <v>6846.4367</v>
      </c>
      <c r="M169" t="n">
        <v>6846.4367</v>
      </c>
      <c r="N169" t="n">
        <v>6846.4367</v>
      </c>
      <c r="O169" t="n">
        <v>67.536573</v>
      </c>
      <c r="P169" t="n">
        <v>32.007796</v>
      </c>
      <c r="Q169" t="n">
        <v>6846.4367</v>
      </c>
      <c r="R169" t="n">
        <v>6846.4367</v>
      </c>
      <c r="S169" t="n">
        <v>67.536573</v>
      </c>
      <c r="T169" t="n">
        <v>67.536573</v>
      </c>
      <c r="U169" t="n">
        <v>32.007796</v>
      </c>
      <c r="V169" t="n">
        <v>32.007796</v>
      </c>
      <c r="W169" t="n">
        <v>70.113483</v>
      </c>
      <c r="X169" t="n">
        <v>7370.741192</v>
      </c>
      <c r="Y169" t="n">
        <v>90.145392</v>
      </c>
      <c r="Z169" t="n">
        <v>288.815865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140.953883</v>
      </c>
      <c r="F170" t="n">
        <v>95.34341499999999</v>
      </c>
      <c r="G170" t="n">
        <v>2845.346423</v>
      </c>
      <c r="H170" t="n">
        <v>490526.782878</v>
      </c>
      <c r="I170" t="n">
        <v>569.846189</v>
      </c>
      <c r="J170" t="n">
        <v>594.287325</v>
      </c>
      <c r="K170" t="n">
        <v>564.572959</v>
      </c>
      <c r="L170" t="n">
        <v>738.02552</v>
      </c>
      <c r="M170" t="n">
        <v>738.02552</v>
      </c>
      <c r="N170" t="n">
        <v>738.02552</v>
      </c>
      <c r="O170" t="n">
        <v>39.685535</v>
      </c>
      <c r="P170" t="n">
        <v>21.622034</v>
      </c>
      <c r="Q170" t="n">
        <v>738.02552</v>
      </c>
      <c r="R170" t="n">
        <v>738.02552</v>
      </c>
      <c r="S170" t="n">
        <v>39.685535</v>
      </c>
      <c r="T170" t="n">
        <v>39.685535</v>
      </c>
      <c r="U170" t="n">
        <v>21.622034</v>
      </c>
      <c r="V170" t="n">
        <v>21.622034</v>
      </c>
      <c r="W170" t="n">
        <v>41.109943</v>
      </c>
      <c r="X170" t="n">
        <v>772.895549</v>
      </c>
      <c r="Y170" t="n">
        <v>53.114101</v>
      </c>
      <c r="Z170" t="n">
        <v>112.240217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140.953883</v>
      </c>
      <c r="F171" t="n">
        <v>200.641254</v>
      </c>
      <c r="G171" t="n">
        <v>11101.904562</v>
      </c>
      <c r="H171" t="n">
        <v>25660602.941085</v>
      </c>
      <c r="I171" t="n">
        <v>6244.222521</v>
      </c>
      <c r="J171" t="n">
        <v>6325.914048</v>
      </c>
      <c r="K171" t="n">
        <v>1872.204427</v>
      </c>
      <c r="L171" t="n">
        <v>7112.982475</v>
      </c>
      <c r="M171" t="n">
        <v>7112.982475</v>
      </c>
      <c r="N171" t="n">
        <v>7112.982475</v>
      </c>
      <c r="O171" t="n">
        <v>87.969483</v>
      </c>
      <c r="P171" t="n">
        <v>46.580547</v>
      </c>
      <c r="Q171" t="n">
        <v>7112.982475</v>
      </c>
      <c r="R171" t="n">
        <v>7112.982475</v>
      </c>
      <c r="S171" t="n">
        <v>87.969483</v>
      </c>
      <c r="T171" t="n">
        <v>87.969483</v>
      </c>
      <c r="U171" t="n">
        <v>46.580547</v>
      </c>
      <c r="V171" t="n">
        <v>46.580547</v>
      </c>
      <c r="W171" t="n">
        <v>93.060855</v>
      </c>
      <c r="X171" t="n">
        <v>7459.131892</v>
      </c>
      <c r="Y171" t="n">
        <v>100.902165</v>
      </c>
      <c r="Z171" t="n">
        <v>211.14634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140.953883</v>
      </c>
      <c r="F172" t="n">
        <v>228.824285</v>
      </c>
      <c r="G172" t="n">
        <v>13739.954406</v>
      </c>
      <c r="H172" t="n">
        <v>114798702.260359</v>
      </c>
      <c r="I172" t="n">
        <v>6590.793316</v>
      </c>
      <c r="J172" t="n">
        <v>7071.146917</v>
      </c>
      <c r="K172" t="n">
        <v>2576.928919</v>
      </c>
      <c r="L172" t="n">
        <v>10677.999207</v>
      </c>
      <c r="M172" t="n">
        <v>10677.999207</v>
      </c>
      <c r="N172" t="n">
        <v>10677.999207</v>
      </c>
      <c r="O172" t="n">
        <v>85.006417</v>
      </c>
      <c r="P172" t="n">
        <v>38.52237</v>
      </c>
      <c r="Q172" t="n">
        <v>10677.999207</v>
      </c>
      <c r="R172" t="n">
        <v>10677.999207</v>
      </c>
      <c r="S172" t="n">
        <v>85.006417</v>
      </c>
      <c r="T172" t="n">
        <v>85.006417</v>
      </c>
      <c r="U172" t="n">
        <v>38.52237</v>
      </c>
      <c r="V172" t="n">
        <v>38.52237</v>
      </c>
      <c r="W172" t="n">
        <v>88.306245</v>
      </c>
      <c r="X172" t="n">
        <v>11509.306401</v>
      </c>
      <c r="Y172" t="n">
        <v>113.373643</v>
      </c>
      <c r="Z172" t="n">
        <v>399.574722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140.953883</v>
      </c>
      <c r="F173" t="n">
        <v>14.712171</v>
      </c>
      <c r="G173" t="n">
        <v>109.082967</v>
      </c>
      <c r="H173" t="n">
        <v>1554.089564</v>
      </c>
      <c r="I173" t="n">
        <v>87.52377799999999</v>
      </c>
      <c r="J173" t="n">
        <v>87.52377799999999</v>
      </c>
      <c r="K173" t="n">
        <v>33.521607</v>
      </c>
      <c r="L173" t="n">
        <v>92.59366</v>
      </c>
      <c r="M173" t="n">
        <v>92.59366</v>
      </c>
      <c r="N173" t="n">
        <v>92.59366</v>
      </c>
      <c r="O173" t="n">
        <v>4.448657</v>
      </c>
      <c r="P173" t="n">
        <v>3.058348</v>
      </c>
      <c r="Q173" t="n">
        <v>92.59366</v>
      </c>
      <c r="R173" t="n">
        <v>92.59366</v>
      </c>
      <c r="S173" t="n">
        <v>4.448657</v>
      </c>
      <c r="T173" t="n">
        <v>4.448657</v>
      </c>
      <c r="U173" t="n">
        <v>3.058348</v>
      </c>
      <c r="V173" t="n">
        <v>3.058348</v>
      </c>
      <c r="W173" t="n">
        <v>4.556294</v>
      </c>
      <c r="X173" t="n">
        <v>96.447226</v>
      </c>
      <c r="Y173" t="n">
        <v>10.417956</v>
      </c>
      <c r="Z173" t="n">
        <v>17.174689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140.953883</v>
      </c>
      <c r="F174" t="n">
        <v>105.954074</v>
      </c>
      <c r="G174" t="n">
        <v>3420.656849</v>
      </c>
      <c r="H174" t="n">
        <v>525649.253812</v>
      </c>
      <c r="I174" t="n">
        <v>1687.26083</v>
      </c>
      <c r="J174" t="n">
        <v>1714.476263</v>
      </c>
      <c r="K174" t="n">
        <v>1652.755118</v>
      </c>
      <c r="L174" t="n">
        <v>1871.214813</v>
      </c>
      <c r="M174" t="n">
        <v>1871.214813</v>
      </c>
      <c r="N174" t="n">
        <v>1871.214813</v>
      </c>
      <c r="O174" t="n">
        <v>83.98319100000001</v>
      </c>
      <c r="P174" t="n">
        <v>49.600357</v>
      </c>
      <c r="Q174" t="n">
        <v>1871.214813</v>
      </c>
      <c r="R174" t="n">
        <v>1871.214813</v>
      </c>
      <c r="S174" t="n">
        <v>83.98319100000001</v>
      </c>
      <c r="T174" t="n">
        <v>83.98319100000001</v>
      </c>
      <c r="U174" t="n">
        <v>49.600357</v>
      </c>
      <c r="V174" t="n">
        <v>49.600357</v>
      </c>
      <c r="W174" t="n">
        <v>88.607298</v>
      </c>
      <c r="X174" t="n">
        <v>1933.149653</v>
      </c>
      <c r="Y174" t="n">
        <v>58.230967</v>
      </c>
      <c r="Z174" t="n">
        <v>93.19774700000001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140.953883</v>
      </c>
      <c r="F175" t="n">
        <v>228.824285</v>
      </c>
      <c r="G175" t="n">
        <v>13739.954406</v>
      </c>
      <c r="H175" t="n">
        <v>114798702.260359</v>
      </c>
      <c r="I175" t="n">
        <v>6590.793316</v>
      </c>
      <c r="J175" t="n">
        <v>7071.146917</v>
      </c>
      <c r="K175" t="n">
        <v>2576.928919</v>
      </c>
      <c r="L175" t="n">
        <v>10677.999207</v>
      </c>
      <c r="M175" t="n">
        <v>10677.999207</v>
      </c>
      <c r="N175" t="n">
        <v>10677.999207</v>
      </c>
      <c r="O175" t="n">
        <v>85.006417</v>
      </c>
      <c r="P175" t="n">
        <v>38.52237</v>
      </c>
      <c r="Q175" t="n">
        <v>10677.999207</v>
      </c>
      <c r="R175" t="n">
        <v>10677.999207</v>
      </c>
      <c r="S175" t="n">
        <v>85.006417</v>
      </c>
      <c r="T175" t="n">
        <v>85.006417</v>
      </c>
      <c r="U175" t="n">
        <v>38.52237</v>
      </c>
      <c r="V175" t="n">
        <v>38.52237</v>
      </c>
      <c r="W175" t="n">
        <v>88.306245</v>
      </c>
      <c r="X175" t="n">
        <v>11509.306401</v>
      </c>
      <c r="Y175" t="n">
        <v>113.373643</v>
      </c>
      <c r="Z175" t="n">
        <v>399.574722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140.953883</v>
      </c>
      <c r="F176" t="n">
        <v>170.518341</v>
      </c>
      <c r="G176" t="n">
        <v>7847.80585</v>
      </c>
      <c r="H176" t="n">
        <v>421935.650343</v>
      </c>
      <c r="I176" t="n">
        <v>1050.872908</v>
      </c>
      <c r="J176" t="n">
        <v>1075.829695</v>
      </c>
      <c r="K176" t="n">
        <v>537.914847</v>
      </c>
      <c r="L176" t="n">
        <v>1659.687874</v>
      </c>
      <c r="M176" t="n">
        <v>1659.687874</v>
      </c>
      <c r="N176" t="n">
        <v>1659.687874</v>
      </c>
      <c r="O176" t="n">
        <v>31.362197</v>
      </c>
      <c r="P176" t="n">
        <v>16.184075</v>
      </c>
      <c r="Q176" t="n">
        <v>1659.687874</v>
      </c>
      <c r="R176" t="n">
        <v>1659.687874</v>
      </c>
      <c r="S176" t="n">
        <v>31.362197</v>
      </c>
      <c r="T176" t="n">
        <v>31.362197</v>
      </c>
      <c r="U176" t="n">
        <v>16.184075</v>
      </c>
      <c r="V176" t="n">
        <v>16.184075</v>
      </c>
      <c r="W176" t="n">
        <v>32.286772</v>
      </c>
      <c r="X176" t="n">
        <v>1775.112325</v>
      </c>
      <c r="Y176" t="n">
        <v>88.16158900000001</v>
      </c>
      <c r="Z176" t="n">
        <v>173.868813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140.953883</v>
      </c>
      <c r="F177" t="n">
        <v>95.34341499999999</v>
      </c>
      <c r="G177" t="n">
        <v>2845.346423</v>
      </c>
      <c r="H177" t="n">
        <v>490526.782878</v>
      </c>
      <c r="I177" t="n">
        <v>569.846189</v>
      </c>
      <c r="J177" t="n">
        <v>594.287325</v>
      </c>
      <c r="K177" t="n">
        <v>564.572959</v>
      </c>
      <c r="L177" t="n">
        <v>738.02552</v>
      </c>
      <c r="M177" t="n">
        <v>738.02552</v>
      </c>
      <c r="N177" t="n">
        <v>738.02552</v>
      </c>
      <c r="O177" t="n">
        <v>39.685535</v>
      </c>
      <c r="P177" t="n">
        <v>21.622034</v>
      </c>
      <c r="Q177" t="n">
        <v>738.02552</v>
      </c>
      <c r="R177" t="n">
        <v>738.02552</v>
      </c>
      <c r="S177" t="n">
        <v>39.685535</v>
      </c>
      <c r="T177" t="n">
        <v>39.685535</v>
      </c>
      <c r="U177" t="n">
        <v>21.622034</v>
      </c>
      <c r="V177" t="n">
        <v>21.622034</v>
      </c>
      <c r="W177" t="n">
        <v>41.109943</v>
      </c>
      <c r="X177" t="n">
        <v>772.895549</v>
      </c>
      <c r="Y177" t="n">
        <v>53.114101</v>
      </c>
      <c r="Z177" t="n">
        <v>112.240217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140.953883</v>
      </c>
      <c r="F178" t="n">
        <v>103.790936</v>
      </c>
      <c r="G178" t="n">
        <v>3299.712955</v>
      </c>
      <c r="H178" t="n">
        <v>5979.61191</v>
      </c>
      <c r="I178" t="n">
        <v>468.918008</v>
      </c>
      <c r="J178" t="n">
        <v>473.97462</v>
      </c>
      <c r="K178" t="n">
        <v>450.275889</v>
      </c>
      <c r="L178" t="n">
        <v>711.02964</v>
      </c>
      <c r="M178" t="n">
        <v>711.02964</v>
      </c>
      <c r="N178" t="n">
        <v>711.02964</v>
      </c>
      <c r="O178" t="n">
        <v>34.656914</v>
      </c>
      <c r="P178" t="n">
        <v>19.970973</v>
      </c>
      <c r="Q178" t="n">
        <v>711.02964</v>
      </c>
      <c r="R178" t="n">
        <v>711.02964</v>
      </c>
      <c r="S178" t="n">
        <v>34.656914</v>
      </c>
      <c r="T178" t="n">
        <v>34.656914</v>
      </c>
      <c r="U178" t="n">
        <v>19.970973</v>
      </c>
      <c r="V178" t="n">
        <v>19.970973</v>
      </c>
      <c r="W178" t="n">
        <v>36.368369</v>
      </c>
      <c r="X178" t="n">
        <v>756.8536319999999</v>
      </c>
      <c r="Y178" t="n">
        <v>57.193376</v>
      </c>
      <c r="Z178" t="n">
        <v>56.260295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140.953883</v>
      </c>
      <c r="F179" t="n">
        <v>228.824285</v>
      </c>
      <c r="G179" t="n">
        <v>13739.954406</v>
      </c>
      <c r="H179" t="n">
        <v>114798702.260359</v>
      </c>
      <c r="I179" t="n">
        <v>6590.793316</v>
      </c>
      <c r="J179" t="n">
        <v>7071.146917</v>
      </c>
      <c r="K179" t="n">
        <v>2576.928919</v>
      </c>
      <c r="L179" t="n">
        <v>10677.999207</v>
      </c>
      <c r="M179" t="n">
        <v>10677.999207</v>
      </c>
      <c r="N179" t="n">
        <v>10677.999207</v>
      </c>
      <c r="O179" t="n">
        <v>85.006417</v>
      </c>
      <c r="P179" t="n">
        <v>38.52237</v>
      </c>
      <c r="Q179" t="n">
        <v>10677.999207</v>
      </c>
      <c r="R179" t="n">
        <v>10677.999207</v>
      </c>
      <c r="S179" t="n">
        <v>85.006417</v>
      </c>
      <c r="T179" t="n">
        <v>85.006417</v>
      </c>
      <c r="U179" t="n">
        <v>38.52237</v>
      </c>
      <c r="V179" t="n">
        <v>38.52237</v>
      </c>
      <c r="W179" t="n">
        <v>88.306245</v>
      </c>
      <c r="X179" t="n">
        <v>11509.306401</v>
      </c>
      <c r="Y179" t="n">
        <v>113.373643</v>
      </c>
      <c r="Z179" t="n">
        <v>399.574722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140.953883</v>
      </c>
      <c r="F180" t="n">
        <v>14.712171</v>
      </c>
      <c r="G180" t="n">
        <v>109.082967</v>
      </c>
      <c r="H180" t="n">
        <v>1554.089564</v>
      </c>
      <c r="I180" t="n">
        <v>87.52377799999999</v>
      </c>
      <c r="J180" t="n">
        <v>87.52377799999999</v>
      </c>
      <c r="K180" t="n">
        <v>33.521607</v>
      </c>
      <c r="L180" t="n">
        <v>92.59366</v>
      </c>
      <c r="M180" t="n">
        <v>92.59366</v>
      </c>
      <c r="N180" t="n">
        <v>92.59366</v>
      </c>
      <c r="O180" t="n">
        <v>4.448657</v>
      </c>
      <c r="P180" t="n">
        <v>3.058348</v>
      </c>
      <c r="Q180" t="n">
        <v>92.59366</v>
      </c>
      <c r="R180" t="n">
        <v>92.59366</v>
      </c>
      <c r="S180" t="n">
        <v>4.448657</v>
      </c>
      <c r="T180" t="n">
        <v>4.448657</v>
      </c>
      <c r="U180" t="n">
        <v>3.058348</v>
      </c>
      <c r="V180" t="n">
        <v>3.058348</v>
      </c>
      <c r="W180" t="n">
        <v>4.556294</v>
      </c>
      <c r="X180" t="n">
        <v>96.447226</v>
      </c>
      <c r="Y180" t="n">
        <v>10.417956</v>
      </c>
      <c r="Z180" t="n">
        <v>17.174689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140.953883</v>
      </c>
      <c r="F181" t="n">
        <v>95.34341499999999</v>
      </c>
      <c r="G181" t="n">
        <v>2845.346423</v>
      </c>
      <c r="H181" t="n">
        <v>490526.782878</v>
      </c>
      <c r="I181" t="n">
        <v>569.846189</v>
      </c>
      <c r="J181" t="n">
        <v>594.287325</v>
      </c>
      <c r="K181" t="n">
        <v>564.572959</v>
      </c>
      <c r="L181" t="n">
        <v>738.02552</v>
      </c>
      <c r="M181" t="n">
        <v>738.02552</v>
      </c>
      <c r="N181" t="n">
        <v>738.02552</v>
      </c>
      <c r="O181" t="n">
        <v>39.685535</v>
      </c>
      <c r="P181" t="n">
        <v>21.622034</v>
      </c>
      <c r="Q181" t="n">
        <v>738.02552</v>
      </c>
      <c r="R181" t="n">
        <v>738.02552</v>
      </c>
      <c r="S181" t="n">
        <v>39.685535</v>
      </c>
      <c r="T181" t="n">
        <v>39.685535</v>
      </c>
      <c r="U181" t="n">
        <v>21.622034</v>
      </c>
      <c r="V181" t="n">
        <v>21.622034</v>
      </c>
      <c r="W181" t="n">
        <v>41.109943</v>
      </c>
      <c r="X181" t="n">
        <v>772.895549</v>
      </c>
      <c r="Y181" t="n">
        <v>53.114101</v>
      </c>
      <c r="Z181" t="n">
        <v>112.240217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140.953883</v>
      </c>
      <c r="F182" t="n">
        <v>14.712171</v>
      </c>
      <c r="G182" t="n">
        <v>109.082967</v>
      </c>
      <c r="H182" t="n">
        <v>1554.089564</v>
      </c>
      <c r="I182" t="n">
        <v>87.52377799999999</v>
      </c>
      <c r="J182" t="n">
        <v>87.52377799999999</v>
      </c>
      <c r="K182" t="n">
        <v>33.521607</v>
      </c>
      <c r="L182" t="n">
        <v>92.59366</v>
      </c>
      <c r="M182" t="n">
        <v>92.59366</v>
      </c>
      <c r="N182" t="n">
        <v>92.59366</v>
      </c>
      <c r="O182" t="n">
        <v>4.448657</v>
      </c>
      <c r="P182" t="n">
        <v>3.058348</v>
      </c>
      <c r="Q182" t="n">
        <v>92.59366</v>
      </c>
      <c r="R182" t="n">
        <v>92.59366</v>
      </c>
      <c r="S182" t="n">
        <v>4.448657</v>
      </c>
      <c r="T182" t="n">
        <v>4.448657</v>
      </c>
      <c r="U182" t="n">
        <v>3.058348</v>
      </c>
      <c r="V182" t="n">
        <v>3.058348</v>
      </c>
      <c r="W182" t="n">
        <v>4.556294</v>
      </c>
      <c r="X182" t="n">
        <v>96.447226</v>
      </c>
      <c r="Y182" t="n">
        <v>10.417956</v>
      </c>
      <c r="Z182" t="n">
        <v>17.174689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140.953883</v>
      </c>
      <c r="F183" t="n">
        <v>228.824285</v>
      </c>
      <c r="G183" t="n">
        <v>13739.954406</v>
      </c>
      <c r="H183" t="n">
        <v>114798702.260359</v>
      </c>
      <c r="I183" t="n">
        <v>6590.793316</v>
      </c>
      <c r="J183" t="n">
        <v>7071.146917</v>
      </c>
      <c r="K183" t="n">
        <v>2576.928919</v>
      </c>
      <c r="L183" t="n">
        <v>10677.999207</v>
      </c>
      <c r="M183" t="n">
        <v>10677.999207</v>
      </c>
      <c r="N183" t="n">
        <v>10677.999207</v>
      </c>
      <c r="O183" t="n">
        <v>85.006417</v>
      </c>
      <c r="P183" t="n">
        <v>38.52237</v>
      </c>
      <c r="Q183" t="n">
        <v>10677.999207</v>
      </c>
      <c r="R183" t="n">
        <v>10677.999207</v>
      </c>
      <c r="S183" t="n">
        <v>85.006417</v>
      </c>
      <c r="T183" t="n">
        <v>85.006417</v>
      </c>
      <c r="U183" t="n">
        <v>38.52237</v>
      </c>
      <c r="V183" t="n">
        <v>38.52237</v>
      </c>
      <c r="W183" t="n">
        <v>88.306245</v>
      </c>
      <c r="X183" t="n">
        <v>11509.306401</v>
      </c>
      <c r="Y183" t="n">
        <v>113.373643</v>
      </c>
      <c r="Z183" t="n">
        <v>399.574722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140.953883</v>
      </c>
      <c r="F184" t="n">
        <v>342.280115</v>
      </c>
      <c r="G184" t="n">
        <v>26475.575966</v>
      </c>
      <c r="H184" t="n">
        <v>257355.857038</v>
      </c>
      <c r="I184" t="n">
        <v>1585.623721</v>
      </c>
      <c r="J184" t="n">
        <v>1650.152477</v>
      </c>
      <c r="K184" t="n">
        <v>1567.644853</v>
      </c>
      <c r="L184" t="n">
        <v>2274.19106</v>
      </c>
      <c r="M184" t="n">
        <v>2274.19106</v>
      </c>
      <c r="N184" t="n">
        <v>2274.19106</v>
      </c>
      <c r="O184" t="n">
        <v>105.127985</v>
      </c>
      <c r="P184" t="n">
        <v>50.974766</v>
      </c>
      <c r="Q184" t="n">
        <v>2274.19106</v>
      </c>
      <c r="R184" t="n">
        <v>2274.19106</v>
      </c>
      <c r="S184" t="n">
        <v>105.127985</v>
      </c>
      <c r="T184" t="n">
        <v>105.127985</v>
      </c>
      <c r="U184" t="n">
        <v>50.974766</v>
      </c>
      <c r="V184" t="n">
        <v>50.974766</v>
      </c>
      <c r="W184" t="n">
        <v>111.155847</v>
      </c>
      <c r="X184" t="n">
        <v>2438.947747</v>
      </c>
      <c r="Y184" t="n">
        <v>161.824385</v>
      </c>
      <c r="Z184" t="n">
        <v>255.683683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140.953883</v>
      </c>
      <c r="F185" t="n">
        <v>103.790936</v>
      </c>
      <c r="G185" t="n">
        <v>3299.712955</v>
      </c>
      <c r="H185" t="n">
        <v>5979.61191</v>
      </c>
      <c r="I185" t="n">
        <v>468.918008</v>
      </c>
      <c r="J185" t="n">
        <v>473.97462</v>
      </c>
      <c r="K185" t="n">
        <v>450.275889</v>
      </c>
      <c r="L185" t="n">
        <v>711.02964</v>
      </c>
      <c r="M185" t="n">
        <v>711.02964</v>
      </c>
      <c r="N185" t="n">
        <v>711.02964</v>
      </c>
      <c r="O185" t="n">
        <v>34.656914</v>
      </c>
      <c r="P185" t="n">
        <v>19.970973</v>
      </c>
      <c r="Q185" t="n">
        <v>711.02964</v>
      </c>
      <c r="R185" t="n">
        <v>711.02964</v>
      </c>
      <c r="S185" t="n">
        <v>34.656914</v>
      </c>
      <c r="T185" t="n">
        <v>34.656914</v>
      </c>
      <c r="U185" t="n">
        <v>19.970973</v>
      </c>
      <c r="V185" t="n">
        <v>19.970973</v>
      </c>
      <c r="W185" t="n">
        <v>36.368369</v>
      </c>
      <c r="X185" t="n">
        <v>756.8536319999999</v>
      </c>
      <c r="Y185" t="n">
        <v>57.193376</v>
      </c>
      <c r="Z185" t="n">
        <v>56.260295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140.953883</v>
      </c>
      <c r="F186" t="n">
        <v>228.824285</v>
      </c>
      <c r="G186" t="n">
        <v>13739.954406</v>
      </c>
      <c r="H186" t="n">
        <v>114798702.260359</v>
      </c>
      <c r="I186" t="n">
        <v>6590.793316</v>
      </c>
      <c r="J186" t="n">
        <v>7071.146917</v>
      </c>
      <c r="K186" t="n">
        <v>2576.928919</v>
      </c>
      <c r="L186" t="n">
        <v>10677.999207</v>
      </c>
      <c r="M186" t="n">
        <v>10677.999207</v>
      </c>
      <c r="N186" t="n">
        <v>10677.999207</v>
      </c>
      <c r="O186" t="n">
        <v>85.006417</v>
      </c>
      <c r="P186" t="n">
        <v>38.52237</v>
      </c>
      <c r="Q186" t="n">
        <v>10677.999207</v>
      </c>
      <c r="R186" t="n">
        <v>10677.999207</v>
      </c>
      <c r="S186" t="n">
        <v>85.006417</v>
      </c>
      <c r="T186" t="n">
        <v>85.006417</v>
      </c>
      <c r="U186" t="n">
        <v>38.52237</v>
      </c>
      <c r="V186" t="n">
        <v>38.52237</v>
      </c>
      <c r="W186" t="n">
        <v>88.306245</v>
      </c>
      <c r="X186" t="n">
        <v>11509.306401</v>
      </c>
      <c r="Y186" t="n">
        <v>113.373643</v>
      </c>
      <c r="Z186" t="n">
        <v>399.574722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140.953883</v>
      </c>
      <c r="F187" t="n">
        <v>15.812995</v>
      </c>
      <c r="G187" t="n">
        <v>123.721444</v>
      </c>
      <c r="H187" t="n">
        <v>7384.919423</v>
      </c>
      <c r="I187" t="n">
        <v>110.765161</v>
      </c>
      <c r="J187" t="n">
        <v>110.765161</v>
      </c>
      <c r="K187" t="n">
        <v>69.11746100000001</v>
      </c>
      <c r="L187" t="n">
        <v>113.463496</v>
      </c>
      <c r="M187" t="n">
        <v>113.463496</v>
      </c>
      <c r="N187" t="n">
        <v>113.463496</v>
      </c>
      <c r="O187" t="n">
        <v>8.170260000000001</v>
      </c>
      <c r="P187" t="n">
        <v>5.693764</v>
      </c>
      <c r="Q187" t="n">
        <v>113.463496</v>
      </c>
      <c r="R187" t="n">
        <v>113.463496</v>
      </c>
      <c r="S187" t="n">
        <v>8.170260000000001</v>
      </c>
      <c r="T187" t="n">
        <v>8.170260000000001</v>
      </c>
      <c r="U187" t="n">
        <v>5.693764</v>
      </c>
      <c r="V187" t="n">
        <v>5.693764</v>
      </c>
      <c r="W187" t="n">
        <v>8.298344999999999</v>
      </c>
      <c r="X187" t="n">
        <v>118.931059</v>
      </c>
      <c r="Y187" t="n">
        <v>11.094229</v>
      </c>
      <c r="Z187" t="n">
        <v>22.315768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140.953883</v>
      </c>
      <c r="F188" t="n">
        <v>60.479203</v>
      </c>
      <c r="G188" t="n">
        <v>1285.725322</v>
      </c>
      <c r="H188" t="n">
        <v>3025.478454</v>
      </c>
      <c r="I188" t="n">
        <v>395.888053</v>
      </c>
      <c r="J188" t="n">
        <v>395.888053</v>
      </c>
      <c r="K188" t="n">
        <v>376.09365</v>
      </c>
      <c r="L188" t="n">
        <v>393.787233</v>
      </c>
      <c r="M188" t="n">
        <v>393.787233</v>
      </c>
      <c r="N188" t="n">
        <v>393.787233</v>
      </c>
      <c r="O188" t="n">
        <v>20.916473</v>
      </c>
      <c r="P188" t="n">
        <v>13.510088</v>
      </c>
      <c r="Q188" t="n">
        <v>393.787233</v>
      </c>
      <c r="R188" t="n">
        <v>393.787233</v>
      </c>
      <c r="S188" t="n">
        <v>20.916473</v>
      </c>
      <c r="T188" t="n">
        <v>20.916473</v>
      </c>
      <c r="U188" t="n">
        <v>13.510088</v>
      </c>
      <c r="V188" t="n">
        <v>13.510088</v>
      </c>
      <c r="W188" t="n">
        <v>21.939981</v>
      </c>
      <c r="X188" t="n">
        <v>405.784084</v>
      </c>
      <c r="Y188" t="n">
        <v>35.719215</v>
      </c>
      <c r="Z188" t="n">
        <v>45.472786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140.953883</v>
      </c>
      <c r="F189" t="n">
        <v>18.617087</v>
      </c>
      <c r="G189" t="n">
        <v>164.501951</v>
      </c>
      <c r="H189" t="n">
        <v>16631.862825</v>
      </c>
      <c r="I189" t="n">
        <v>603.989501</v>
      </c>
      <c r="J189" t="n">
        <v>603.989501</v>
      </c>
      <c r="K189" t="n">
        <v>240.387821</v>
      </c>
      <c r="L189" t="n">
        <v>1080.992157</v>
      </c>
      <c r="M189" t="n">
        <v>1080.992157</v>
      </c>
      <c r="N189" t="n">
        <v>1080.992157</v>
      </c>
      <c r="O189" t="n">
        <v>17.290347</v>
      </c>
      <c r="P189" t="n">
        <v>9.498851999999999</v>
      </c>
      <c r="Q189" t="n">
        <v>1080.992157</v>
      </c>
      <c r="R189" t="n">
        <v>1080.992157</v>
      </c>
      <c r="S189" t="n">
        <v>17.290347</v>
      </c>
      <c r="T189" t="n">
        <v>17.290347</v>
      </c>
      <c r="U189" t="n">
        <v>9.498851999999999</v>
      </c>
      <c r="V189" t="n">
        <v>9.498851999999999</v>
      </c>
      <c r="W189" t="n">
        <v>17.932707</v>
      </c>
      <c r="X189" t="n">
        <v>1135.08839</v>
      </c>
      <c r="Y189" t="n">
        <v>12.790679</v>
      </c>
      <c r="Z189" t="n">
        <v>41.60617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140.953883</v>
      </c>
      <c r="F190" t="n">
        <v>57.638856</v>
      </c>
      <c r="G190" t="n">
        <v>1182.200226</v>
      </c>
      <c r="H190" t="n">
        <v>56775.373409</v>
      </c>
      <c r="I190" t="n">
        <v>512.103289</v>
      </c>
      <c r="J190" t="n">
        <v>553.467817</v>
      </c>
      <c r="K190" t="n">
        <v>525.794426</v>
      </c>
      <c r="L190" t="n">
        <v>602.712303</v>
      </c>
      <c r="M190" t="n">
        <v>602.712303</v>
      </c>
      <c r="N190" t="n">
        <v>602.712303</v>
      </c>
      <c r="O190" t="n">
        <v>31.190871</v>
      </c>
      <c r="P190" t="n">
        <v>18.283791</v>
      </c>
      <c r="Q190" t="n">
        <v>602.712303</v>
      </c>
      <c r="R190" t="n">
        <v>602.712303</v>
      </c>
      <c r="S190" t="n">
        <v>31.190871</v>
      </c>
      <c r="T190" t="n">
        <v>31.190871</v>
      </c>
      <c r="U190" t="n">
        <v>18.283791</v>
      </c>
      <c r="V190" t="n">
        <v>18.283791</v>
      </c>
      <c r="W190" t="n">
        <v>32.089433</v>
      </c>
      <c r="X190" t="n">
        <v>622.065443</v>
      </c>
      <c r="Y190" t="n">
        <v>34.252552</v>
      </c>
      <c r="Z190" t="n">
        <v>73.57281500000001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140.953883</v>
      </c>
      <c r="F191" t="n">
        <v>554.842266</v>
      </c>
      <c r="G191" t="n">
        <v>61511.195509</v>
      </c>
      <c r="H191" t="n">
        <v>20307429.163039</v>
      </c>
      <c r="I191" t="n">
        <v>3230.237663</v>
      </c>
      <c r="J191" t="n">
        <v>3367.037571</v>
      </c>
      <c r="K191" t="n">
        <v>3198.685692</v>
      </c>
      <c r="L191" t="n">
        <v>4133.4309</v>
      </c>
      <c r="M191" t="n">
        <v>4133.4309</v>
      </c>
      <c r="N191" t="n">
        <v>4133.4309</v>
      </c>
      <c r="O191" t="n">
        <v>205.658598</v>
      </c>
      <c r="P191" t="n">
        <v>91.38801100000001</v>
      </c>
      <c r="Q191" t="n">
        <v>4133.4309</v>
      </c>
      <c r="R191" t="n">
        <v>4133.4309</v>
      </c>
      <c r="S191" t="n">
        <v>205.658598</v>
      </c>
      <c r="T191" t="n">
        <v>205.658598</v>
      </c>
      <c r="U191" t="n">
        <v>91.38801100000001</v>
      </c>
      <c r="V191" t="n">
        <v>91.38801100000001</v>
      </c>
      <c r="W191" t="n">
        <v>216.473302</v>
      </c>
      <c r="X191" t="n">
        <v>4393.486979</v>
      </c>
      <c r="Y191" t="n">
        <v>246.547973</v>
      </c>
      <c r="Z191" t="n">
        <v>636.567642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140.953883</v>
      </c>
      <c r="F192" t="n">
        <v>200.641254</v>
      </c>
      <c r="G192" t="n">
        <v>11101.904562</v>
      </c>
      <c r="H192" t="n">
        <v>25660602.941085</v>
      </c>
      <c r="I192" t="n">
        <v>6244.222521</v>
      </c>
      <c r="J192" t="n">
        <v>6325.914048</v>
      </c>
      <c r="K192" t="n">
        <v>1872.204427</v>
      </c>
      <c r="L192" t="n">
        <v>7112.982475</v>
      </c>
      <c r="M192" t="n">
        <v>7112.982475</v>
      </c>
      <c r="N192" t="n">
        <v>7112.982475</v>
      </c>
      <c r="O192" t="n">
        <v>87.969483</v>
      </c>
      <c r="P192" t="n">
        <v>46.580547</v>
      </c>
      <c r="Q192" t="n">
        <v>7112.982475</v>
      </c>
      <c r="R192" t="n">
        <v>7112.982475</v>
      </c>
      <c r="S192" t="n">
        <v>87.969483</v>
      </c>
      <c r="T192" t="n">
        <v>87.969483</v>
      </c>
      <c r="U192" t="n">
        <v>46.580547</v>
      </c>
      <c r="V192" t="n">
        <v>46.580547</v>
      </c>
      <c r="W192" t="n">
        <v>93.060855</v>
      </c>
      <c r="X192" t="n">
        <v>7459.131892</v>
      </c>
      <c r="Y192" t="n">
        <v>100.902165</v>
      </c>
      <c r="Z192" t="n">
        <v>211.14634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140.953883</v>
      </c>
      <c r="F193" t="n">
        <v>228.824285</v>
      </c>
      <c r="G193" t="n">
        <v>13739.954406</v>
      </c>
      <c r="H193" t="n">
        <v>114798702.260359</v>
      </c>
      <c r="I193" t="n">
        <v>6590.793316</v>
      </c>
      <c r="J193" t="n">
        <v>7071.146917</v>
      </c>
      <c r="K193" t="n">
        <v>2576.928919</v>
      </c>
      <c r="L193" t="n">
        <v>10677.999207</v>
      </c>
      <c r="M193" t="n">
        <v>10677.999207</v>
      </c>
      <c r="N193" t="n">
        <v>10677.999207</v>
      </c>
      <c r="O193" t="n">
        <v>85.006417</v>
      </c>
      <c r="P193" t="n">
        <v>38.52237</v>
      </c>
      <c r="Q193" t="n">
        <v>10677.999207</v>
      </c>
      <c r="R193" t="n">
        <v>10677.999207</v>
      </c>
      <c r="S193" t="n">
        <v>85.006417</v>
      </c>
      <c r="T193" t="n">
        <v>85.006417</v>
      </c>
      <c r="U193" t="n">
        <v>38.52237</v>
      </c>
      <c r="V193" t="n">
        <v>38.52237</v>
      </c>
      <c r="W193" t="n">
        <v>88.306245</v>
      </c>
      <c r="X193" t="n">
        <v>11509.306401</v>
      </c>
      <c r="Y193" t="n">
        <v>113.373643</v>
      </c>
      <c r="Z193" t="n">
        <v>399.574722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140.953883</v>
      </c>
      <c r="F194" t="n">
        <v>228.824285</v>
      </c>
      <c r="G194" t="n">
        <v>13739.954406</v>
      </c>
      <c r="H194" t="n">
        <v>114798702.260359</v>
      </c>
      <c r="I194" t="n">
        <v>6590.793316</v>
      </c>
      <c r="J194" t="n">
        <v>7071.146917</v>
      </c>
      <c r="K194" t="n">
        <v>2576.928919</v>
      </c>
      <c r="L194" t="n">
        <v>10677.999207</v>
      </c>
      <c r="M194" t="n">
        <v>10677.999207</v>
      </c>
      <c r="N194" t="n">
        <v>10677.999207</v>
      </c>
      <c r="O194" t="n">
        <v>85.006417</v>
      </c>
      <c r="P194" t="n">
        <v>38.52237</v>
      </c>
      <c r="Q194" t="n">
        <v>10677.999207</v>
      </c>
      <c r="R194" t="n">
        <v>10677.999207</v>
      </c>
      <c r="S194" t="n">
        <v>85.006417</v>
      </c>
      <c r="T194" t="n">
        <v>85.006417</v>
      </c>
      <c r="U194" t="n">
        <v>38.52237</v>
      </c>
      <c r="V194" t="n">
        <v>38.52237</v>
      </c>
      <c r="W194" t="n">
        <v>88.306245</v>
      </c>
      <c r="X194" t="n">
        <v>11509.306401</v>
      </c>
      <c r="Y194" t="n">
        <v>113.373643</v>
      </c>
      <c r="Z194" t="n">
        <v>399.574722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140.953883</v>
      </c>
      <c r="F195" t="n">
        <v>200.641254</v>
      </c>
      <c r="G195" t="n">
        <v>11101.904562</v>
      </c>
      <c r="H195" t="n">
        <v>25660602.941085</v>
      </c>
      <c r="I195" t="n">
        <v>6244.222521</v>
      </c>
      <c r="J195" t="n">
        <v>6325.914048</v>
      </c>
      <c r="K195" t="n">
        <v>1872.204427</v>
      </c>
      <c r="L195" t="n">
        <v>7112.982475</v>
      </c>
      <c r="M195" t="n">
        <v>7112.982475</v>
      </c>
      <c r="N195" t="n">
        <v>7112.982475</v>
      </c>
      <c r="O195" t="n">
        <v>87.969483</v>
      </c>
      <c r="P195" t="n">
        <v>46.580547</v>
      </c>
      <c r="Q195" t="n">
        <v>7112.982475</v>
      </c>
      <c r="R195" t="n">
        <v>7112.982475</v>
      </c>
      <c r="S195" t="n">
        <v>87.969483</v>
      </c>
      <c r="T195" t="n">
        <v>87.969483</v>
      </c>
      <c r="U195" t="n">
        <v>46.580547</v>
      </c>
      <c r="V195" t="n">
        <v>46.580547</v>
      </c>
      <c r="W195" t="n">
        <v>93.060855</v>
      </c>
      <c r="X195" t="n">
        <v>7459.131892</v>
      </c>
      <c r="Y195" t="n">
        <v>100.902165</v>
      </c>
      <c r="Z195" t="n">
        <v>211.14634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140.953883</v>
      </c>
      <c r="F196" t="n">
        <v>200.641254</v>
      </c>
      <c r="G196" t="n">
        <v>11101.904562</v>
      </c>
      <c r="H196" t="n">
        <v>25660602.941085</v>
      </c>
      <c r="I196" t="n">
        <v>6244.222521</v>
      </c>
      <c r="J196" t="n">
        <v>6325.914048</v>
      </c>
      <c r="K196" t="n">
        <v>1872.204427</v>
      </c>
      <c r="L196" t="n">
        <v>7112.982475</v>
      </c>
      <c r="M196" t="n">
        <v>7112.982475</v>
      </c>
      <c r="N196" t="n">
        <v>7112.982475</v>
      </c>
      <c r="O196" t="n">
        <v>87.969483</v>
      </c>
      <c r="P196" t="n">
        <v>46.580547</v>
      </c>
      <c r="Q196" t="n">
        <v>7112.982475</v>
      </c>
      <c r="R196" t="n">
        <v>7112.982475</v>
      </c>
      <c r="S196" t="n">
        <v>87.969483</v>
      </c>
      <c r="T196" t="n">
        <v>87.969483</v>
      </c>
      <c r="U196" t="n">
        <v>46.580547</v>
      </c>
      <c r="V196" t="n">
        <v>46.580547</v>
      </c>
      <c r="W196" t="n">
        <v>93.060855</v>
      </c>
      <c r="X196" t="n">
        <v>7459.131892</v>
      </c>
      <c r="Y196" t="n">
        <v>100.902165</v>
      </c>
      <c r="Z196" t="n">
        <v>211.14634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140.953883</v>
      </c>
      <c r="F197" t="n">
        <v>60.479203</v>
      </c>
      <c r="G197" t="n">
        <v>1285.725322</v>
      </c>
      <c r="H197" t="n">
        <v>3025.478454</v>
      </c>
      <c r="I197" t="n">
        <v>395.888053</v>
      </c>
      <c r="J197" t="n">
        <v>395.888053</v>
      </c>
      <c r="K197" t="n">
        <v>376.09365</v>
      </c>
      <c r="L197" t="n">
        <v>393.787233</v>
      </c>
      <c r="M197" t="n">
        <v>393.787233</v>
      </c>
      <c r="N197" t="n">
        <v>393.787233</v>
      </c>
      <c r="O197" t="n">
        <v>20.916473</v>
      </c>
      <c r="P197" t="n">
        <v>13.510088</v>
      </c>
      <c r="Q197" t="n">
        <v>393.787233</v>
      </c>
      <c r="R197" t="n">
        <v>393.787233</v>
      </c>
      <c r="S197" t="n">
        <v>20.916473</v>
      </c>
      <c r="T197" t="n">
        <v>20.916473</v>
      </c>
      <c r="U197" t="n">
        <v>13.510088</v>
      </c>
      <c r="V197" t="n">
        <v>13.510088</v>
      </c>
      <c r="W197" t="n">
        <v>21.939981</v>
      </c>
      <c r="X197" t="n">
        <v>405.784084</v>
      </c>
      <c r="Y197" t="n">
        <v>35.719215</v>
      </c>
      <c r="Z197" t="n">
        <v>45.472786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140.953883</v>
      </c>
      <c r="F198" t="n">
        <v>16.936545</v>
      </c>
      <c r="G198" t="n">
        <v>147.677361</v>
      </c>
      <c r="H198" t="n">
        <v>679.20465</v>
      </c>
      <c r="I198" t="n">
        <v>126.061927</v>
      </c>
      <c r="J198" t="n">
        <v>126.061927</v>
      </c>
      <c r="K198" t="n">
        <v>83.90815499999999</v>
      </c>
      <c r="L198" t="n">
        <v>125.3013</v>
      </c>
      <c r="M198" t="n">
        <v>125.3013</v>
      </c>
      <c r="N198" t="n">
        <v>125.3013</v>
      </c>
      <c r="O198" t="n">
        <v>10.112125</v>
      </c>
      <c r="P198" t="n">
        <v>7.202976</v>
      </c>
      <c r="Q198" t="n">
        <v>125.3013</v>
      </c>
      <c r="R198" t="n">
        <v>125.3013</v>
      </c>
      <c r="S198" t="n">
        <v>10.112125</v>
      </c>
      <c r="T198" t="n">
        <v>10.112125</v>
      </c>
      <c r="U198" t="n">
        <v>7.202976</v>
      </c>
      <c r="V198" t="n">
        <v>7.202976</v>
      </c>
      <c r="W198" t="n">
        <v>10.446973</v>
      </c>
      <c r="X198" t="n">
        <v>129.71319</v>
      </c>
      <c r="Y198" t="n">
        <v>11.713624</v>
      </c>
      <c r="Z198" t="n">
        <v>17.283168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140.953883</v>
      </c>
      <c r="F199" t="n">
        <v>908.988005</v>
      </c>
      <c r="G199" t="n">
        <v>145576.696024</v>
      </c>
      <c r="H199" t="n">
        <v>48080410.421404</v>
      </c>
      <c r="I199" t="n">
        <v>125208.792952</v>
      </c>
      <c r="J199" t="n">
        <v>126616.154086</v>
      </c>
      <c r="K199" t="n">
        <v>63308.077043</v>
      </c>
      <c r="L199" t="n">
        <v>172174.15174</v>
      </c>
      <c r="M199" t="n">
        <v>172174.151739</v>
      </c>
      <c r="N199" t="n">
        <v>172174.151739</v>
      </c>
      <c r="O199" t="n">
        <v>202.141045</v>
      </c>
      <c r="P199" t="n">
        <v>87.49926499999999</v>
      </c>
      <c r="Q199" t="n">
        <v>172174.151739</v>
      </c>
      <c r="R199" t="n">
        <v>172174.151739</v>
      </c>
      <c r="S199" t="n">
        <v>202.141045</v>
      </c>
      <c r="T199" t="n">
        <v>202.141045</v>
      </c>
      <c r="U199" t="n">
        <v>87.49926499999999</v>
      </c>
      <c r="V199" t="n">
        <v>87.49926499999999</v>
      </c>
      <c r="W199" t="n">
        <v>214.928725</v>
      </c>
      <c r="X199" t="n">
        <v>183923.261916</v>
      </c>
      <c r="Y199" t="n">
        <v>379.113334</v>
      </c>
      <c r="Z199" t="n">
        <v>767.7179190000001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140.953883</v>
      </c>
      <c r="F201" t="n">
        <v>33.254785</v>
      </c>
      <c r="G201" t="n">
        <v>452.736281</v>
      </c>
      <c r="H201" t="n">
        <v>34182.13294</v>
      </c>
      <c r="I201" t="n">
        <v>151.084056</v>
      </c>
      <c r="J201" t="n">
        <v>151.084056</v>
      </c>
      <c r="K201" t="n">
        <v>143.529853</v>
      </c>
      <c r="L201" t="n">
        <v>173.938876</v>
      </c>
      <c r="M201" t="n">
        <v>173.938876</v>
      </c>
      <c r="N201" t="n">
        <v>173.938876</v>
      </c>
      <c r="O201" t="n">
        <v>13.215653</v>
      </c>
      <c r="P201" t="n">
        <v>8.00437</v>
      </c>
      <c r="Q201" t="n">
        <v>173.938876</v>
      </c>
      <c r="R201" t="n">
        <v>173.938876</v>
      </c>
      <c r="S201" t="n">
        <v>13.215653</v>
      </c>
      <c r="T201" t="n">
        <v>13.215653</v>
      </c>
      <c r="U201" t="n">
        <v>8.00437</v>
      </c>
      <c r="V201" t="n">
        <v>8.00437</v>
      </c>
      <c r="W201" t="n">
        <v>13.539814</v>
      </c>
      <c r="X201" t="n">
        <v>184.933079</v>
      </c>
      <c r="Y201" t="n">
        <v>21.207733</v>
      </c>
      <c r="Z201" t="n">
        <v>52.601429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140.953883</v>
      </c>
      <c r="F202" t="n">
        <v>20.231565</v>
      </c>
      <c r="G202" t="n">
        <v>209.122647</v>
      </c>
      <c r="H202" t="n">
        <v>7911.235378</v>
      </c>
      <c r="I202" t="n">
        <v>130.411041</v>
      </c>
      <c r="J202" t="n">
        <v>130.411041</v>
      </c>
      <c r="K202" t="n">
        <v>95.393377</v>
      </c>
      <c r="L202" t="n">
        <v>134.682411</v>
      </c>
      <c r="M202" t="n">
        <v>134.682411</v>
      </c>
      <c r="N202" t="n">
        <v>134.682411</v>
      </c>
      <c r="O202" t="n">
        <v>10.649241</v>
      </c>
      <c r="P202" t="n">
        <v>7.289446</v>
      </c>
      <c r="Q202" t="n">
        <v>134.682411</v>
      </c>
      <c r="R202" t="n">
        <v>134.682411</v>
      </c>
      <c r="S202" t="n">
        <v>10.649241</v>
      </c>
      <c r="T202" t="n">
        <v>10.649241</v>
      </c>
      <c r="U202" t="n">
        <v>7.289446</v>
      </c>
      <c r="V202" t="n">
        <v>7.289446</v>
      </c>
      <c r="W202" t="n">
        <v>10.971178</v>
      </c>
      <c r="X202" t="n">
        <v>140.50161</v>
      </c>
      <c r="Y202" t="n">
        <v>13.632476</v>
      </c>
      <c r="Z202" t="n">
        <v>24.80153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140.953883</v>
      </c>
      <c r="F203" t="n">
        <v>200.641254</v>
      </c>
      <c r="G203" t="n">
        <v>11101.904562</v>
      </c>
      <c r="H203" t="n">
        <v>25660602.941085</v>
      </c>
      <c r="I203" t="n">
        <v>6244.222521</v>
      </c>
      <c r="J203" t="n">
        <v>6325.914048</v>
      </c>
      <c r="K203" t="n">
        <v>1872.204427</v>
      </c>
      <c r="L203" t="n">
        <v>7112.982475</v>
      </c>
      <c r="M203" t="n">
        <v>7112.982475</v>
      </c>
      <c r="N203" t="n">
        <v>7112.982475</v>
      </c>
      <c r="O203" t="n">
        <v>87.969483</v>
      </c>
      <c r="P203" t="n">
        <v>46.580547</v>
      </c>
      <c r="Q203" t="n">
        <v>7112.982475</v>
      </c>
      <c r="R203" t="n">
        <v>7112.982475</v>
      </c>
      <c r="S203" t="n">
        <v>87.969483</v>
      </c>
      <c r="T203" t="n">
        <v>87.969483</v>
      </c>
      <c r="U203" t="n">
        <v>46.580547</v>
      </c>
      <c r="V203" t="n">
        <v>46.580547</v>
      </c>
      <c r="W203" t="n">
        <v>93.060855</v>
      </c>
      <c r="X203" t="n">
        <v>7459.131892</v>
      </c>
      <c r="Y203" t="n">
        <v>100.902165</v>
      </c>
      <c r="Z203" t="n">
        <v>211.14634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140.953883</v>
      </c>
      <c r="F204" t="n">
        <v>20.606299</v>
      </c>
      <c r="G204" t="n">
        <v>196.386285</v>
      </c>
      <c r="H204" t="n">
        <v>1009.116172</v>
      </c>
      <c r="I204" t="n">
        <v>131.71072</v>
      </c>
      <c r="J204" t="n">
        <v>131.71072</v>
      </c>
      <c r="K204" t="n">
        <v>125.125184</v>
      </c>
      <c r="L204" t="n">
        <v>130.894857</v>
      </c>
      <c r="M204" t="n">
        <v>130.894857</v>
      </c>
      <c r="N204" t="n">
        <v>130.894857</v>
      </c>
      <c r="O204" t="n">
        <v>12.255972</v>
      </c>
      <c r="P204" t="n">
        <v>8.448598</v>
      </c>
      <c r="Q204" t="n">
        <v>130.894857</v>
      </c>
      <c r="R204" t="n">
        <v>130.894857</v>
      </c>
      <c r="S204" t="n">
        <v>12.255972</v>
      </c>
      <c r="T204" t="n">
        <v>12.255972</v>
      </c>
      <c r="U204" t="n">
        <v>8.448598</v>
      </c>
      <c r="V204" t="n">
        <v>8.448598</v>
      </c>
      <c r="W204" t="n">
        <v>12.680707</v>
      </c>
      <c r="X204" t="n">
        <v>136.520004</v>
      </c>
      <c r="Y204" t="n">
        <v>13.974049</v>
      </c>
      <c r="Z204" t="n">
        <v>22.490141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140.953883</v>
      </c>
      <c r="F205" t="n">
        <v>177.371403</v>
      </c>
      <c r="G205" t="n">
        <v>9540.408934999999</v>
      </c>
      <c r="H205" t="n">
        <v>70736320.08912501</v>
      </c>
      <c r="I205" t="n">
        <v>4269.898312</v>
      </c>
      <c r="J205" t="n">
        <v>4574.511297</v>
      </c>
      <c r="K205" t="n">
        <v>1801.225895</v>
      </c>
      <c r="L205" t="n">
        <v>6846.4367</v>
      </c>
      <c r="M205" t="n">
        <v>6846.4367</v>
      </c>
      <c r="N205" t="n">
        <v>6846.4367</v>
      </c>
      <c r="O205" t="n">
        <v>67.536573</v>
      </c>
      <c r="P205" t="n">
        <v>32.007796</v>
      </c>
      <c r="Q205" t="n">
        <v>6846.4367</v>
      </c>
      <c r="R205" t="n">
        <v>6846.4367</v>
      </c>
      <c r="S205" t="n">
        <v>67.536573</v>
      </c>
      <c r="T205" t="n">
        <v>67.536573</v>
      </c>
      <c r="U205" t="n">
        <v>32.007796</v>
      </c>
      <c r="V205" t="n">
        <v>32.007796</v>
      </c>
      <c r="W205" t="n">
        <v>70.113483</v>
      </c>
      <c r="X205" t="n">
        <v>7370.741192</v>
      </c>
      <c r="Y205" t="n">
        <v>90.145392</v>
      </c>
      <c r="Z205" t="n">
        <v>288.815865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140.953883</v>
      </c>
      <c r="F206" t="n">
        <v>177.371403</v>
      </c>
      <c r="G206" t="n">
        <v>9540.408934999999</v>
      </c>
      <c r="H206" t="n">
        <v>70736320.08912501</v>
      </c>
      <c r="I206" t="n">
        <v>4269.898312</v>
      </c>
      <c r="J206" t="n">
        <v>4574.511297</v>
      </c>
      <c r="K206" t="n">
        <v>1801.225895</v>
      </c>
      <c r="L206" t="n">
        <v>6846.4367</v>
      </c>
      <c r="M206" t="n">
        <v>6846.4367</v>
      </c>
      <c r="N206" t="n">
        <v>6846.4367</v>
      </c>
      <c r="O206" t="n">
        <v>67.536573</v>
      </c>
      <c r="P206" t="n">
        <v>32.007796</v>
      </c>
      <c r="Q206" t="n">
        <v>6846.4367</v>
      </c>
      <c r="R206" t="n">
        <v>6846.4367</v>
      </c>
      <c r="S206" t="n">
        <v>67.536573</v>
      </c>
      <c r="T206" t="n">
        <v>67.536573</v>
      </c>
      <c r="U206" t="n">
        <v>32.007796</v>
      </c>
      <c r="V206" t="n">
        <v>32.007796</v>
      </c>
      <c r="W206" t="n">
        <v>70.113483</v>
      </c>
      <c r="X206" t="n">
        <v>7370.741192</v>
      </c>
      <c r="Y206" t="n">
        <v>90.145392</v>
      </c>
      <c r="Z206" t="n">
        <v>288.815865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140.953883</v>
      </c>
      <c r="F207" t="n">
        <v>57.638856</v>
      </c>
      <c r="G207" t="n">
        <v>1182.200226</v>
      </c>
      <c r="H207" t="n">
        <v>56775.373409</v>
      </c>
      <c r="I207" t="n">
        <v>512.103289</v>
      </c>
      <c r="J207" t="n">
        <v>553.467817</v>
      </c>
      <c r="K207" t="n">
        <v>525.794426</v>
      </c>
      <c r="L207" t="n">
        <v>602.712303</v>
      </c>
      <c r="M207" t="n">
        <v>602.712303</v>
      </c>
      <c r="N207" t="n">
        <v>602.712303</v>
      </c>
      <c r="O207" t="n">
        <v>31.190871</v>
      </c>
      <c r="P207" t="n">
        <v>18.283791</v>
      </c>
      <c r="Q207" t="n">
        <v>602.712303</v>
      </c>
      <c r="R207" t="n">
        <v>602.712303</v>
      </c>
      <c r="S207" t="n">
        <v>31.190871</v>
      </c>
      <c r="T207" t="n">
        <v>31.190871</v>
      </c>
      <c r="U207" t="n">
        <v>18.283791</v>
      </c>
      <c r="V207" t="n">
        <v>18.283791</v>
      </c>
      <c r="W207" t="n">
        <v>32.089433</v>
      </c>
      <c r="X207" t="n">
        <v>622.065443</v>
      </c>
      <c r="Y207" t="n">
        <v>34.252552</v>
      </c>
      <c r="Z207" t="n">
        <v>73.57281500000001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140.953883</v>
      </c>
      <c r="F208" t="n">
        <v>15.812995</v>
      </c>
      <c r="G208" t="n">
        <v>123.721444</v>
      </c>
      <c r="H208" t="n">
        <v>7384.919423</v>
      </c>
      <c r="I208" t="n">
        <v>110.765161</v>
      </c>
      <c r="J208" t="n">
        <v>110.765161</v>
      </c>
      <c r="K208" t="n">
        <v>69.11746100000001</v>
      </c>
      <c r="L208" t="n">
        <v>113.463496</v>
      </c>
      <c r="M208" t="n">
        <v>113.463496</v>
      </c>
      <c r="N208" t="n">
        <v>113.463496</v>
      </c>
      <c r="O208" t="n">
        <v>8.170260000000001</v>
      </c>
      <c r="P208" t="n">
        <v>5.693764</v>
      </c>
      <c r="Q208" t="n">
        <v>113.463496</v>
      </c>
      <c r="R208" t="n">
        <v>113.463496</v>
      </c>
      <c r="S208" t="n">
        <v>8.170260000000001</v>
      </c>
      <c r="T208" t="n">
        <v>8.170260000000001</v>
      </c>
      <c r="U208" t="n">
        <v>5.693764</v>
      </c>
      <c r="V208" t="n">
        <v>5.693764</v>
      </c>
      <c r="W208" t="n">
        <v>8.298344999999999</v>
      </c>
      <c r="X208" t="n">
        <v>118.931059</v>
      </c>
      <c r="Y208" t="n">
        <v>11.094229</v>
      </c>
      <c r="Z208" t="n">
        <v>22.315768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140.953883</v>
      </c>
      <c r="F209" t="n">
        <v>539.046528</v>
      </c>
      <c r="G209" t="n">
        <v>58487.681751</v>
      </c>
      <c r="H209" t="n">
        <v>89769700.66949099</v>
      </c>
      <c r="I209" t="n">
        <v>10399.759602</v>
      </c>
      <c r="J209" t="n">
        <v>10694.630086</v>
      </c>
      <c r="K209" t="n">
        <v>4010.486282</v>
      </c>
      <c r="L209" t="n">
        <v>14214.100911</v>
      </c>
      <c r="M209" t="n">
        <v>14214.100911</v>
      </c>
      <c r="N209" t="n">
        <v>14214.100911</v>
      </c>
      <c r="O209" t="n">
        <v>203.72024</v>
      </c>
      <c r="P209" t="n">
        <v>90.708206</v>
      </c>
      <c r="Q209" t="n">
        <v>14214.100911</v>
      </c>
      <c r="R209" t="n">
        <v>14214.100911</v>
      </c>
      <c r="S209" t="n">
        <v>203.72024</v>
      </c>
      <c r="T209" t="n">
        <v>203.72024</v>
      </c>
      <c r="U209" t="n">
        <v>90.708206</v>
      </c>
      <c r="V209" t="n">
        <v>90.708206</v>
      </c>
      <c r="W209" t="n">
        <v>213.076898</v>
      </c>
      <c r="X209" t="n">
        <v>15231.972848</v>
      </c>
      <c r="Y209" t="n">
        <v>240.418747</v>
      </c>
      <c r="Z209" t="n">
        <v>654.813563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140.953883</v>
      </c>
      <c r="F210" t="n">
        <v>228.824285</v>
      </c>
      <c r="G210" t="n">
        <v>13739.954406</v>
      </c>
      <c r="H210" t="n">
        <v>114798702.260359</v>
      </c>
      <c r="I210" t="n">
        <v>6590.793316</v>
      </c>
      <c r="J210" t="n">
        <v>7071.146917</v>
      </c>
      <c r="K210" t="n">
        <v>2576.928919</v>
      </c>
      <c r="L210" t="n">
        <v>10677.999207</v>
      </c>
      <c r="M210" t="n">
        <v>10677.999207</v>
      </c>
      <c r="N210" t="n">
        <v>10677.999207</v>
      </c>
      <c r="O210" t="n">
        <v>85.006417</v>
      </c>
      <c r="P210" t="n">
        <v>38.52237</v>
      </c>
      <c r="Q210" t="n">
        <v>10677.999207</v>
      </c>
      <c r="R210" t="n">
        <v>10677.999207</v>
      </c>
      <c r="S210" t="n">
        <v>85.006417</v>
      </c>
      <c r="T210" t="n">
        <v>85.006417</v>
      </c>
      <c r="U210" t="n">
        <v>38.52237</v>
      </c>
      <c r="V210" t="n">
        <v>38.52237</v>
      </c>
      <c r="W210" t="n">
        <v>88.306245</v>
      </c>
      <c r="X210" t="n">
        <v>11509.306401</v>
      </c>
      <c r="Y210" t="n">
        <v>113.373643</v>
      </c>
      <c r="Z210" t="n">
        <v>399.574722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140.953883</v>
      </c>
      <c r="F211" t="n">
        <v>228.824285</v>
      </c>
      <c r="G211" t="n">
        <v>13739.954406</v>
      </c>
      <c r="H211" t="n">
        <v>114798702.260359</v>
      </c>
      <c r="I211" t="n">
        <v>6590.793316</v>
      </c>
      <c r="J211" t="n">
        <v>7071.146917</v>
      </c>
      <c r="K211" t="n">
        <v>2576.928919</v>
      </c>
      <c r="L211" t="n">
        <v>10677.999207</v>
      </c>
      <c r="M211" t="n">
        <v>10677.999207</v>
      </c>
      <c r="N211" t="n">
        <v>10677.999207</v>
      </c>
      <c r="O211" t="n">
        <v>85.006417</v>
      </c>
      <c r="P211" t="n">
        <v>38.52237</v>
      </c>
      <c r="Q211" t="n">
        <v>10677.999207</v>
      </c>
      <c r="R211" t="n">
        <v>10677.999207</v>
      </c>
      <c r="S211" t="n">
        <v>85.006417</v>
      </c>
      <c r="T211" t="n">
        <v>85.006417</v>
      </c>
      <c r="U211" t="n">
        <v>38.52237</v>
      </c>
      <c r="V211" t="n">
        <v>38.52237</v>
      </c>
      <c r="W211" t="n">
        <v>88.306245</v>
      </c>
      <c r="X211" t="n">
        <v>11509.306401</v>
      </c>
      <c r="Y211" t="n">
        <v>113.373643</v>
      </c>
      <c r="Z211" t="n">
        <v>399.574722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140.953883</v>
      </c>
      <c r="F212" t="n">
        <v>20.606299</v>
      </c>
      <c r="G212" t="n">
        <v>196.386285</v>
      </c>
      <c r="H212" t="n">
        <v>1009.116172</v>
      </c>
      <c r="I212" t="n">
        <v>131.71072</v>
      </c>
      <c r="J212" t="n">
        <v>131.71072</v>
      </c>
      <c r="K212" t="n">
        <v>125.125184</v>
      </c>
      <c r="L212" t="n">
        <v>130.894857</v>
      </c>
      <c r="M212" t="n">
        <v>130.894857</v>
      </c>
      <c r="N212" t="n">
        <v>130.894857</v>
      </c>
      <c r="O212" t="n">
        <v>12.255972</v>
      </c>
      <c r="P212" t="n">
        <v>8.448598</v>
      </c>
      <c r="Q212" t="n">
        <v>130.894857</v>
      </c>
      <c r="R212" t="n">
        <v>130.894857</v>
      </c>
      <c r="S212" t="n">
        <v>12.255972</v>
      </c>
      <c r="T212" t="n">
        <v>12.255972</v>
      </c>
      <c r="U212" t="n">
        <v>8.448598</v>
      </c>
      <c r="V212" t="n">
        <v>8.448598</v>
      </c>
      <c r="W212" t="n">
        <v>12.680707</v>
      </c>
      <c r="X212" t="n">
        <v>136.520004</v>
      </c>
      <c r="Y212" t="n">
        <v>13.974049</v>
      </c>
      <c r="Z212" t="n">
        <v>22.490141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140.953883</v>
      </c>
      <c r="F213" t="n">
        <v>420.661524</v>
      </c>
      <c r="G213" t="n">
        <v>45138.893651</v>
      </c>
      <c r="H213" t="n">
        <v>168230573.682483</v>
      </c>
      <c r="I213" t="n">
        <v>32064.514055</v>
      </c>
      <c r="J213" t="n">
        <v>32388.465997</v>
      </c>
      <c r="K213" t="n">
        <v>15001.444266</v>
      </c>
      <c r="L213" t="n">
        <v>47447.371867</v>
      </c>
      <c r="M213" t="n">
        <v>47447.371867</v>
      </c>
      <c r="N213" t="n">
        <v>47447.371867</v>
      </c>
      <c r="O213" t="n">
        <v>134.659687</v>
      </c>
      <c r="P213" t="n">
        <v>58.748438</v>
      </c>
      <c r="Q213" t="n">
        <v>47447.371867</v>
      </c>
      <c r="R213" t="n">
        <v>47447.371867</v>
      </c>
      <c r="S213" t="n">
        <v>134.659687</v>
      </c>
      <c r="T213" t="n">
        <v>134.659687</v>
      </c>
      <c r="U213" t="n">
        <v>58.748438</v>
      </c>
      <c r="V213" t="n">
        <v>58.748438</v>
      </c>
      <c r="W213" t="n">
        <v>141.372985</v>
      </c>
      <c r="X213" t="n">
        <v>50905.953173</v>
      </c>
      <c r="Y213" t="n">
        <v>191.020462</v>
      </c>
      <c r="Z213" t="n">
        <v>621.6836510000001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140.953883</v>
      </c>
      <c r="F214" t="n">
        <v>177.371403</v>
      </c>
      <c r="G214" t="n">
        <v>9540.408934999999</v>
      </c>
      <c r="H214" t="n">
        <v>70736320.08912501</v>
      </c>
      <c r="I214" t="n">
        <v>4269.898312</v>
      </c>
      <c r="J214" t="n">
        <v>4574.511297</v>
      </c>
      <c r="K214" t="n">
        <v>1801.225895</v>
      </c>
      <c r="L214" t="n">
        <v>6846.4367</v>
      </c>
      <c r="M214" t="n">
        <v>6846.4367</v>
      </c>
      <c r="N214" t="n">
        <v>6846.4367</v>
      </c>
      <c r="O214" t="n">
        <v>67.536573</v>
      </c>
      <c r="P214" t="n">
        <v>32.007796</v>
      </c>
      <c r="Q214" t="n">
        <v>6846.4367</v>
      </c>
      <c r="R214" t="n">
        <v>6846.4367</v>
      </c>
      <c r="S214" t="n">
        <v>67.536573</v>
      </c>
      <c r="T214" t="n">
        <v>67.536573</v>
      </c>
      <c r="U214" t="n">
        <v>32.007796</v>
      </c>
      <c r="V214" t="n">
        <v>32.007796</v>
      </c>
      <c r="W214" t="n">
        <v>70.113483</v>
      </c>
      <c r="X214" t="n">
        <v>7370.741192</v>
      </c>
      <c r="Y214" t="n">
        <v>90.145392</v>
      </c>
      <c r="Z214" t="n">
        <v>288.815865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140.953883</v>
      </c>
      <c r="F215" t="n">
        <v>228.824285</v>
      </c>
      <c r="G215" t="n">
        <v>13739.954406</v>
      </c>
      <c r="H215" t="n">
        <v>114798702.260359</v>
      </c>
      <c r="I215" t="n">
        <v>6590.793316</v>
      </c>
      <c r="J215" t="n">
        <v>7071.146917</v>
      </c>
      <c r="K215" t="n">
        <v>2576.928919</v>
      </c>
      <c r="L215" t="n">
        <v>10677.999207</v>
      </c>
      <c r="M215" t="n">
        <v>10677.999207</v>
      </c>
      <c r="N215" t="n">
        <v>10677.999207</v>
      </c>
      <c r="O215" t="n">
        <v>85.006417</v>
      </c>
      <c r="P215" t="n">
        <v>38.52237</v>
      </c>
      <c r="Q215" t="n">
        <v>10677.999207</v>
      </c>
      <c r="R215" t="n">
        <v>10677.999207</v>
      </c>
      <c r="S215" t="n">
        <v>85.006417</v>
      </c>
      <c r="T215" t="n">
        <v>85.006417</v>
      </c>
      <c r="U215" t="n">
        <v>38.52237</v>
      </c>
      <c r="V215" t="n">
        <v>38.52237</v>
      </c>
      <c r="W215" t="n">
        <v>88.306245</v>
      </c>
      <c r="X215" t="n">
        <v>11509.306401</v>
      </c>
      <c r="Y215" t="n">
        <v>113.373643</v>
      </c>
      <c r="Z215" t="n">
        <v>399.574722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140.953883</v>
      </c>
      <c r="F216" t="n">
        <v>60.479203</v>
      </c>
      <c r="G216" t="n">
        <v>1285.725322</v>
      </c>
      <c r="H216" t="n">
        <v>3025.478454</v>
      </c>
      <c r="I216" t="n">
        <v>395.888053</v>
      </c>
      <c r="J216" t="n">
        <v>395.888053</v>
      </c>
      <c r="K216" t="n">
        <v>376.09365</v>
      </c>
      <c r="L216" t="n">
        <v>393.787233</v>
      </c>
      <c r="M216" t="n">
        <v>393.787233</v>
      </c>
      <c r="N216" t="n">
        <v>393.787233</v>
      </c>
      <c r="O216" t="n">
        <v>20.916473</v>
      </c>
      <c r="P216" t="n">
        <v>13.510088</v>
      </c>
      <c r="Q216" t="n">
        <v>393.787233</v>
      </c>
      <c r="R216" t="n">
        <v>393.787233</v>
      </c>
      <c r="S216" t="n">
        <v>20.916473</v>
      </c>
      <c r="T216" t="n">
        <v>20.916473</v>
      </c>
      <c r="U216" t="n">
        <v>13.510088</v>
      </c>
      <c r="V216" t="n">
        <v>13.510088</v>
      </c>
      <c r="W216" t="n">
        <v>21.939981</v>
      </c>
      <c r="X216" t="n">
        <v>405.784084</v>
      </c>
      <c r="Y216" t="n">
        <v>35.719215</v>
      </c>
      <c r="Z216" t="n">
        <v>45.472786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140.953883</v>
      </c>
      <c r="F217" t="n">
        <v>200.641254</v>
      </c>
      <c r="G217" t="n">
        <v>11101.904562</v>
      </c>
      <c r="H217" t="n">
        <v>25660602.941085</v>
      </c>
      <c r="I217" t="n">
        <v>6244.222521</v>
      </c>
      <c r="J217" t="n">
        <v>6325.914048</v>
      </c>
      <c r="K217" t="n">
        <v>1872.204427</v>
      </c>
      <c r="L217" t="n">
        <v>7112.982475</v>
      </c>
      <c r="M217" t="n">
        <v>7112.982475</v>
      </c>
      <c r="N217" t="n">
        <v>7112.982475</v>
      </c>
      <c r="O217" t="n">
        <v>87.969483</v>
      </c>
      <c r="P217" t="n">
        <v>46.580547</v>
      </c>
      <c r="Q217" t="n">
        <v>7112.982475</v>
      </c>
      <c r="R217" t="n">
        <v>7112.982475</v>
      </c>
      <c r="S217" t="n">
        <v>87.969483</v>
      </c>
      <c r="T217" t="n">
        <v>87.969483</v>
      </c>
      <c r="U217" t="n">
        <v>46.580547</v>
      </c>
      <c r="V217" t="n">
        <v>46.580547</v>
      </c>
      <c r="W217" t="n">
        <v>93.060855</v>
      </c>
      <c r="X217" t="n">
        <v>7459.131892</v>
      </c>
      <c r="Y217" t="n">
        <v>100.902165</v>
      </c>
      <c r="Z217" t="n">
        <v>211.14634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140.953883</v>
      </c>
      <c r="F218" t="n">
        <v>200.641254</v>
      </c>
      <c r="G218" t="n">
        <v>11101.904562</v>
      </c>
      <c r="H218" t="n">
        <v>25660602.941085</v>
      </c>
      <c r="I218" t="n">
        <v>6244.222521</v>
      </c>
      <c r="J218" t="n">
        <v>6325.914048</v>
      </c>
      <c r="K218" t="n">
        <v>1872.204427</v>
      </c>
      <c r="L218" t="n">
        <v>7112.982475</v>
      </c>
      <c r="M218" t="n">
        <v>7112.982475</v>
      </c>
      <c r="N218" t="n">
        <v>7112.982475</v>
      </c>
      <c r="O218" t="n">
        <v>87.969483</v>
      </c>
      <c r="P218" t="n">
        <v>46.580547</v>
      </c>
      <c r="Q218" t="n">
        <v>7112.982475</v>
      </c>
      <c r="R218" t="n">
        <v>7112.982475</v>
      </c>
      <c r="S218" t="n">
        <v>87.969483</v>
      </c>
      <c r="T218" t="n">
        <v>87.969483</v>
      </c>
      <c r="U218" t="n">
        <v>46.580547</v>
      </c>
      <c r="V218" t="n">
        <v>46.580547</v>
      </c>
      <c r="W218" t="n">
        <v>93.060855</v>
      </c>
      <c r="X218" t="n">
        <v>7459.131892</v>
      </c>
      <c r="Y218" t="n">
        <v>100.902165</v>
      </c>
      <c r="Z218" t="n">
        <v>211.14634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140.953883</v>
      </c>
      <c r="F219" t="n">
        <v>95.34341499999999</v>
      </c>
      <c r="G219" t="n">
        <v>2845.346423</v>
      </c>
      <c r="H219" t="n">
        <v>490526.782878</v>
      </c>
      <c r="I219" t="n">
        <v>569.846189</v>
      </c>
      <c r="J219" t="n">
        <v>594.287325</v>
      </c>
      <c r="K219" t="n">
        <v>564.572959</v>
      </c>
      <c r="L219" t="n">
        <v>738.02552</v>
      </c>
      <c r="M219" t="n">
        <v>738.02552</v>
      </c>
      <c r="N219" t="n">
        <v>738.02552</v>
      </c>
      <c r="O219" t="n">
        <v>39.685535</v>
      </c>
      <c r="P219" t="n">
        <v>21.622034</v>
      </c>
      <c r="Q219" t="n">
        <v>738.02552</v>
      </c>
      <c r="R219" t="n">
        <v>738.02552</v>
      </c>
      <c r="S219" t="n">
        <v>39.685535</v>
      </c>
      <c r="T219" t="n">
        <v>39.685535</v>
      </c>
      <c r="U219" t="n">
        <v>21.622034</v>
      </c>
      <c r="V219" t="n">
        <v>21.622034</v>
      </c>
      <c r="W219" t="n">
        <v>41.109943</v>
      </c>
      <c r="X219" t="n">
        <v>772.895549</v>
      </c>
      <c r="Y219" t="n">
        <v>53.114101</v>
      </c>
      <c r="Z219" t="n">
        <v>112.240217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140.953883</v>
      </c>
      <c r="F220" t="n">
        <v>200.641254</v>
      </c>
      <c r="G220" t="n">
        <v>11101.904562</v>
      </c>
      <c r="H220" t="n">
        <v>25660602.941085</v>
      </c>
      <c r="I220" t="n">
        <v>6244.222521</v>
      </c>
      <c r="J220" t="n">
        <v>6325.914048</v>
      </c>
      <c r="K220" t="n">
        <v>1872.204427</v>
      </c>
      <c r="L220" t="n">
        <v>7112.982475</v>
      </c>
      <c r="M220" t="n">
        <v>7112.982475</v>
      </c>
      <c r="N220" t="n">
        <v>7112.982475</v>
      </c>
      <c r="O220" t="n">
        <v>87.969483</v>
      </c>
      <c r="P220" t="n">
        <v>46.580547</v>
      </c>
      <c r="Q220" t="n">
        <v>7112.982475</v>
      </c>
      <c r="R220" t="n">
        <v>7112.982475</v>
      </c>
      <c r="S220" t="n">
        <v>87.969483</v>
      </c>
      <c r="T220" t="n">
        <v>87.969483</v>
      </c>
      <c r="U220" t="n">
        <v>46.580547</v>
      </c>
      <c r="V220" t="n">
        <v>46.580547</v>
      </c>
      <c r="W220" t="n">
        <v>93.060855</v>
      </c>
      <c r="X220" t="n">
        <v>7459.131892</v>
      </c>
      <c r="Y220" t="n">
        <v>100.902165</v>
      </c>
      <c r="Z220" t="n">
        <v>211.14634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140.953883</v>
      </c>
      <c r="F221" t="n">
        <v>200.641254</v>
      </c>
      <c r="G221" t="n">
        <v>11101.904562</v>
      </c>
      <c r="H221" t="n">
        <v>25660602.941085</v>
      </c>
      <c r="I221" t="n">
        <v>6244.222521</v>
      </c>
      <c r="J221" t="n">
        <v>6325.914048</v>
      </c>
      <c r="K221" t="n">
        <v>1872.204427</v>
      </c>
      <c r="L221" t="n">
        <v>7112.982475</v>
      </c>
      <c r="M221" t="n">
        <v>7112.982475</v>
      </c>
      <c r="N221" t="n">
        <v>7112.982475</v>
      </c>
      <c r="O221" t="n">
        <v>87.969483</v>
      </c>
      <c r="P221" t="n">
        <v>46.580547</v>
      </c>
      <c r="Q221" t="n">
        <v>7112.982475</v>
      </c>
      <c r="R221" t="n">
        <v>7112.982475</v>
      </c>
      <c r="S221" t="n">
        <v>87.969483</v>
      </c>
      <c r="T221" t="n">
        <v>87.969483</v>
      </c>
      <c r="U221" t="n">
        <v>46.580547</v>
      </c>
      <c r="V221" t="n">
        <v>46.580547</v>
      </c>
      <c r="W221" t="n">
        <v>93.060855</v>
      </c>
      <c r="X221" t="n">
        <v>7459.131892</v>
      </c>
      <c r="Y221" t="n">
        <v>100.902165</v>
      </c>
      <c r="Z221" t="n">
        <v>211.14634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140.953883</v>
      </c>
      <c r="F222" t="n">
        <v>228.824285</v>
      </c>
      <c r="G222" t="n">
        <v>13739.954406</v>
      </c>
      <c r="H222" t="n">
        <v>114798702.260359</v>
      </c>
      <c r="I222" t="n">
        <v>6590.793316</v>
      </c>
      <c r="J222" t="n">
        <v>7071.146917</v>
      </c>
      <c r="K222" t="n">
        <v>2576.928919</v>
      </c>
      <c r="L222" t="n">
        <v>10677.999207</v>
      </c>
      <c r="M222" t="n">
        <v>10677.999207</v>
      </c>
      <c r="N222" t="n">
        <v>10677.999207</v>
      </c>
      <c r="O222" t="n">
        <v>85.006417</v>
      </c>
      <c r="P222" t="n">
        <v>38.52237</v>
      </c>
      <c r="Q222" t="n">
        <v>10677.999207</v>
      </c>
      <c r="R222" t="n">
        <v>10677.999207</v>
      </c>
      <c r="S222" t="n">
        <v>85.006417</v>
      </c>
      <c r="T222" t="n">
        <v>85.006417</v>
      </c>
      <c r="U222" t="n">
        <v>38.52237</v>
      </c>
      <c r="V222" t="n">
        <v>38.52237</v>
      </c>
      <c r="W222" t="n">
        <v>88.306245</v>
      </c>
      <c r="X222" t="n">
        <v>11509.306401</v>
      </c>
      <c r="Y222" t="n">
        <v>113.373643</v>
      </c>
      <c r="Z222" t="n">
        <v>399.574722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140.953883</v>
      </c>
      <c r="F223" t="n">
        <v>228.824285</v>
      </c>
      <c r="G223" t="n">
        <v>13739.954406</v>
      </c>
      <c r="H223" t="n">
        <v>114798702.260359</v>
      </c>
      <c r="I223" t="n">
        <v>6590.793316</v>
      </c>
      <c r="J223" t="n">
        <v>7071.146917</v>
      </c>
      <c r="K223" t="n">
        <v>2576.928919</v>
      </c>
      <c r="L223" t="n">
        <v>10677.999207</v>
      </c>
      <c r="M223" t="n">
        <v>10677.999207</v>
      </c>
      <c r="N223" t="n">
        <v>10677.999207</v>
      </c>
      <c r="O223" t="n">
        <v>85.006417</v>
      </c>
      <c r="P223" t="n">
        <v>38.52237</v>
      </c>
      <c r="Q223" t="n">
        <v>10677.999207</v>
      </c>
      <c r="R223" t="n">
        <v>10677.999207</v>
      </c>
      <c r="S223" t="n">
        <v>85.006417</v>
      </c>
      <c r="T223" t="n">
        <v>85.006417</v>
      </c>
      <c r="U223" t="n">
        <v>38.52237</v>
      </c>
      <c r="V223" t="n">
        <v>38.52237</v>
      </c>
      <c r="W223" t="n">
        <v>88.306245</v>
      </c>
      <c r="X223" t="n">
        <v>11509.306401</v>
      </c>
      <c r="Y223" t="n">
        <v>113.373643</v>
      </c>
      <c r="Z223" t="n">
        <v>399.574722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140.953883</v>
      </c>
      <c r="F224" t="n">
        <v>228.824285</v>
      </c>
      <c r="G224" t="n">
        <v>13739.954406</v>
      </c>
      <c r="H224" t="n">
        <v>114798702.260359</v>
      </c>
      <c r="I224" t="n">
        <v>6590.793316</v>
      </c>
      <c r="J224" t="n">
        <v>7071.146917</v>
      </c>
      <c r="K224" t="n">
        <v>2576.928919</v>
      </c>
      <c r="L224" t="n">
        <v>10677.999207</v>
      </c>
      <c r="M224" t="n">
        <v>10677.999207</v>
      </c>
      <c r="N224" t="n">
        <v>10677.999207</v>
      </c>
      <c r="O224" t="n">
        <v>85.006417</v>
      </c>
      <c r="P224" t="n">
        <v>38.52237</v>
      </c>
      <c r="Q224" t="n">
        <v>10677.999207</v>
      </c>
      <c r="R224" t="n">
        <v>10677.999207</v>
      </c>
      <c r="S224" t="n">
        <v>85.006417</v>
      </c>
      <c r="T224" t="n">
        <v>85.006417</v>
      </c>
      <c r="U224" t="n">
        <v>38.52237</v>
      </c>
      <c r="V224" t="n">
        <v>38.52237</v>
      </c>
      <c r="W224" t="n">
        <v>88.306245</v>
      </c>
      <c r="X224" t="n">
        <v>11509.306401</v>
      </c>
      <c r="Y224" t="n">
        <v>113.373643</v>
      </c>
      <c r="Z224" t="n">
        <v>399.574722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140.953883</v>
      </c>
      <c r="F225" t="n">
        <v>20.606299</v>
      </c>
      <c r="G225" t="n">
        <v>196.386285</v>
      </c>
      <c r="H225" t="n">
        <v>1009.116172</v>
      </c>
      <c r="I225" t="n">
        <v>131.71072</v>
      </c>
      <c r="J225" t="n">
        <v>131.71072</v>
      </c>
      <c r="K225" t="n">
        <v>125.125184</v>
      </c>
      <c r="L225" t="n">
        <v>130.894857</v>
      </c>
      <c r="M225" t="n">
        <v>130.894857</v>
      </c>
      <c r="N225" t="n">
        <v>130.894857</v>
      </c>
      <c r="O225" t="n">
        <v>12.255972</v>
      </c>
      <c r="P225" t="n">
        <v>8.448598</v>
      </c>
      <c r="Q225" t="n">
        <v>130.894857</v>
      </c>
      <c r="R225" t="n">
        <v>130.894857</v>
      </c>
      <c r="S225" t="n">
        <v>12.255972</v>
      </c>
      <c r="T225" t="n">
        <v>12.255972</v>
      </c>
      <c r="U225" t="n">
        <v>8.448598</v>
      </c>
      <c r="V225" t="n">
        <v>8.448598</v>
      </c>
      <c r="W225" t="n">
        <v>12.680707</v>
      </c>
      <c r="X225" t="n">
        <v>136.520004</v>
      </c>
      <c r="Y225" t="n">
        <v>13.974049</v>
      </c>
      <c r="Z225" t="n">
        <v>22.490141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140.953883</v>
      </c>
      <c r="F226" t="n">
        <v>60.479203</v>
      </c>
      <c r="G226" t="n">
        <v>1285.725322</v>
      </c>
      <c r="H226" t="n">
        <v>3025.478454</v>
      </c>
      <c r="I226" t="n">
        <v>395.888053</v>
      </c>
      <c r="J226" t="n">
        <v>395.888053</v>
      </c>
      <c r="K226" t="n">
        <v>376.09365</v>
      </c>
      <c r="L226" t="n">
        <v>393.787233</v>
      </c>
      <c r="M226" t="n">
        <v>393.787233</v>
      </c>
      <c r="N226" t="n">
        <v>393.787233</v>
      </c>
      <c r="O226" t="n">
        <v>20.916473</v>
      </c>
      <c r="P226" t="n">
        <v>13.510088</v>
      </c>
      <c r="Q226" t="n">
        <v>393.787233</v>
      </c>
      <c r="R226" t="n">
        <v>393.787233</v>
      </c>
      <c r="S226" t="n">
        <v>20.916473</v>
      </c>
      <c r="T226" t="n">
        <v>20.916473</v>
      </c>
      <c r="U226" t="n">
        <v>13.510088</v>
      </c>
      <c r="V226" t="n">
        <v>13.510088</v>
      </c>
      <c r="W226" t="n">
        <v>21.939981</v>
      </c>
      <c r="X226" t="n">
        <v>405.784084</v>
      </c>
      <c r="Y226" t="n">
        <v>35.719215</v>
      </c>
      <c r="Z226" t="n">
        <v>45.472786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140.953883</v>
      </c>
      <c r="F227" t="n">
        <v>200.641254</v>
      </c>
      <c r="G227" t="n">
        <v>11101.904562</v>
      </c>
      <c r="H227" t="n">
        <v>25660602.941085</v>
      </c>
      <c r="I227" t="n">
        <v>6244.222521</v>
      </c>
      <c r="J227" t="n">
        <v>6325.914048</v>
      </c>
      <c r="K227" t="n">
        <v>1872.204427</v>
      </c>
      <c r="L227" t="n">
        <v>7112.982475</v>
      </c>
      <c r="M227" t="n">
        <v>7112.982475</v>
      </c>
      <c r="N227" t="n">
        <v>7112.982475</v>
      </c>
      <c r="O227" t="n">
        <v>87.969483</v>
      </c>
      <c r="P227" t="n">
        <v>46.580547</v>
      </c>
      <c r="Q227" t="n">
        <v>7112.982475</v>
      </c>
      <c r="R227" t="n">
        <v>7112.982475</v>
      </c>
      <c r="S227" t="n">
        <v>87.969483</v>
      </c>
      <c r="T227" t="n">
        <v>87.969483</v>
      </c>
      <c r="U227" t="n">
        <v>46.580547</v>
      </c>
      <c r="V227" t="n">
        <v>46.580547</v>
      </c>
      <c r="W227" t="n">
        <v>93.060855</v>
      </c>
      <c r="X227" t="n">
        <v>7459.131892</v>
      </c>
      <c r="Y227" t="n">
        <v>100.902165</v>
      </c>
      <c r="Z227" t="n">
        <v>211.14634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140.953883</v>
      </c>
      <c r="F228" t="n">
        <v>228.824285</v>
      </c>
      <c r="G228" t="n">
        <v>13739.954406</v>
      </c>
      <c r="H228" t="n">
        <v>114798702.260359</v>
      </c>
      <c r="I228" t="n">
        <v>6590.793316</v>
      </c>
      <c r="J228" t="n">
        <v>7071.146917</v>
      </c>
      <c r="K228" t="n">
        <v>2576.928919</v>
      </c>
      <c r="L228" t="n">
        <v>10677.999207</v>
      </c>
      <c r="M228" t="n">
        <v>10677.999207</v>
      </c>
      <c r="N228" t="n">
        <v>10677.999207</v>
      </c>
      <c r="O228" t="n">
        <v>85.006417</v>
      </c>
      <c r="P228" t="n">
        <v>38.52237</v>
      </c>
      <c r="Q228" t="n">
        <v>10677.999207</v>
      </c>
      <c r="R228" t="n">
        <v>10677.999207</v>
      </c>
      <c r="S228" t="n">
        <v>85.006417</v>
      </c>
      <c r="T228" t="n">
        <v>85.006417</v>
      </c>
      <c r="U228" t="n">
        <v>38.52237</v>
      </c>
      <c r="V228" t="n">
        <v>38.52237</v>
      </c>
      <c r="W228" t="n">
        <v>88.306245</v>
      </c>
      <c r="X228" t="n">
        <v>11509.306401</v>
      </c>
      <c r="Y228" t="n">
        <v>113.373643</v>
      </c>
      <c r="Z228" t="n">
        <v>399.574722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140.953883</v>
      </c>
      <c r="F229" t="n">
        <v>18.617087</v>
      </c>
      <c r="G229" t="n">
        <v>164.501951</v>
      </c>
      <c r="H229" t="n">
        <v>16631.862825</v>
      </c>
      <c r="I229" t="n">
        <v>603.989501</v>
      </c>
      <c r="J229" t="n">
        <v>603.989501</v>
      </c>
      <c r="K229" t="n">
        <v>240.387821</v>
      </c>
      <c r="L229" t="n">
        <v>1080.992157</v>
      </c>
      <c r="M229" t="n">
        <v>1080.992157</v>
      </c>
      <c r="N229" t="n">
        <v>1080.992157</v>
      </c>
      <c r="O229" t="n">
        <v>17.290347</v>
      </c>
      <c r="P229" t="n">
        <v>9.498851999999999</v>
      </c>
      <c r="Q229" t="n">
        <v>1080.992157</v>
      </c>
      <c r="R229" t="n">
        <v>1080.992157</v>
      </c>
      <c r="S229" t="n">
        <v>17.290347</v>
      </c>
      <c r="T229" t="n">
        <v>17.290347</v>
      </c>
      <c r="U229" t="n">
        <v>9.498851999999999</v>
      </c>
      <c r="V229" t="n">
        <v>9.498851999999999</v>
      </c>
      <c r="W229" t="n">
        <v>17.932707</v>
      </c>
      <c r="X229" t="n">
        <v>1135.08839</v>
      </c>
      <c r="Y229" t="n">
        <v>12.790679</v>
      </c>
      <c r="Z229" t="n">
        <v>41.60617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140.953883</v>
      </c>
      <c r="F230" t="n">
        <v>33.254785</v>
      </c>
      <c r="G230" t="n">
        <v>452.736281</v>
      </c>
      <c r="H230" t="n">
        <v>34182.13294</v>
      </c>
      <c r="I230" t="n">
        <v>151.084056</v>
      </c>
      <c r="J230" t="n">
        <v>151.084056</v>
      </c>
      <c r="K230" t="n">
        <v>143.529853</v>
      </c>
      <c r="L230" t="n">
        <v>173.938876</v>
      </c>
      <c r="M230" t="n">
        <v>173.938876</v>
      </c>
      <c r="N230" t="n">
        <v>173.938876</v>
      </c>
      <c r="O230" t="n">
        <v>13.215653</v>
      </c>
      <c r="P230" t="n">
        <v>8.00437</v>
      </c>
      <c r="Q230" t="n">
        <v>173.938876</v>
      </c>
      <c r="R230" t="n">
        <v>173.938876</v>
      </c>
      <c r="S230" t="n">
        <v>13.215653</v>
      </c>
      <c r="T230" t="n">
        <v>13.215653</v>
      </c>
      <c r="U230" t="n">
        <v>8.00437</v>
      </c>
      <c r="V230" t="n">
        <v>8.00437</v>
      </c>
      <c r="W230" t="n">
        <v>13.539814</v>
      </c>
      <c r="X230" t="n">
        <v>184.933079</v>
      </c>
      <c r="Y230" t="n">
        <v>21.207733</v>
      </c>
      <c r="Z230" t="n">
        <v>52.601429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140.953883</v>
      </c>
      <c r="F231" t="n">
        <v>14.712171</v>
      </c>
      <c r="G231" t="n">
        <v>109.082967</v>
      </c>
      <c r="H231" t="n">
        <v>1554.089564</v>
      </c>
      <c r="I231" t="n">
        <v>87.52377799999999</v>
      </c>
      <c r="J231" t="n">
        <v>87.52377799999999</v>
      </c>
      <c r="K231" t="n">
        <v>33.521607</v>
      </c>
      <c r="L231" t="n">
        <v>92.59366</v>
      </c>
      <c r="M231" t="n">
        <v>92.59366</v>
      </c>
      <c r="N231" t="n">
        <v>92.59366</v>
      </c>
      <c r="O231" t="n">
        <v>4.448657</v>
      </c>
      <c r="P231" t="n">
        <v>3.058348</v>
      </c>
      <c r="Q231" t="n">
        <v>92.59366</v>
      </c>
      <c r="R231" t="n">
        <v>92.59366</v>
      </c>
      <c r="S231" t="n">
        <v>4.448657</v>
      </c>
      <c r="T231" t="n">
        <v>4.448657</v>
      </c>
      <c r="U231" t="n">
        <v>3.058348</v>
      </c>
      <c r="V231" t="n">
        <v>3.058348</v>
      </c>
      <c r="W231" t="n">
        <v>4.556294</v>
      </c>
      <c r="X231" t="n">
        <v>96.447226</v>
      </c>
      <c r="Y231" t="n">
        <v>10.417956</v>
      </c>
      <c r="Z231" t="n">
        <v>17.174689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140.953883</v>
      </c>
      <c r="F232" t="n">
        <v>420.661524</v>
      </c>
      <c r="G232" t="n">
        <v>45138.893651</v>
      </c>
      <c r="H232" t="n">
        <v>168230573.682483</v>
      </c>
      <c r="I232" t="n">
        <v>32064.514055</v>
      </c>
      <c r="J232" t="n">
        <v>32388.465997</v>
      </c>
      <c r="K232" t="n">
        <v>15001.444266</v>
      </c>
      <c r="L232" t="n">
        <v>47447.371867</v>
      </c>
      <c r="M232" t="n">
        <v>47447.371867</v>
      </c>
      <c r="N232" t="n">
        <v>47447.371867</v>
      </c>
      <c r="O232" t="n">
        <v>134.659687</v>
      </c>
      <c r="P232" t="n">
        <v>58.748438</v>
      </c>
      <c r="Q232" t="n">
        <v>47447.371867</v>
      </c>
      <c r="R232" t="n">
        <v>47447.371867</v>
      </c>
      <c r="S232" t="n">
        <v>134.659687</v>
      </c>
      <c r="T232" t="n">
        <v>134.659687</v>
      </c>
      <c r="U232" t="n">
        <v>58.748438</v>
      </c>
      <c r="V232" t="n">
        <v>58.748438</v>
      </c>
      <c r="W232" t="n">
        <v>141.372985</v>
      </c>
      <c r="X232" t="n">
        <v>50905.953173</v>
      </c>
      <c r="Y232" t="n">
        <v>191.020462</v>
      </c>
      <c r="Z232" t="n">
        <v>621.6836510000001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140.953883</v>
      </c>
      <c r="F234" t="n">
        <v>200.641254</v>
      </c>
      <c r="G234" t="n">
        <v>11101.904562</v>
      </c>
      <c r="H234" t="n">
        <v>25660602.941085</v>
      </c>
      <c r="I234" t="n">
        <v>6244.222521</v>
      </c>
      <c r="J234" t="n">
        <v>6325.914048</v>
      </c>
      <c r="K234" t="n">
        <v>1872.204427</v>
      </c>
      <c r="L234" t="n">
        <v>7112.982475</v>
      </c>
      <c r="M234" t="n">
        <v>7112.982475</v>
      </c>
      <c r="N234" t="n">
        <v>7112.982475</v>
      </c>
      <c r="O234" t="n">
        <v>87.969483</v>
      </c>
      <c r="P234" t="n">
        <v>46.580547</v>
      </c>
      <c r="Q234" t="n">
        <v>7112.982475</v>
      </c>
      <c r="R234" t="n">
        <v>7112.982475</v>
      </c>
      <c r="S234" t="n">
        <v>87.969483</v>
      </c>
      <c r="T234" t="n">
        <v>87.969483</v>
      </c>
      <c r="U234" t="n">
        <v>46.580547</v>
      </c>
      <c r="V234" t="n">
        <v>46.580547</v>
      </c>
      <c r="W234" t="n">
        <v>93.060855</v>
      </c>
      <c r="X234" t="n">
        <v>7459.131892</v>
      </c>
      <c r="Y234" t="n">
        <v>100.902165</v>
      </c>
      <c r="Z234" t="n">
        <v>211.14634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140.953883</v>
      </c>
      <c r="F235" t="n">
        <v>158.552335</v>
      </c>
      <c r="G235" t="n">
        <v>6912.013677</v>
      </c>
      <c r="H235" t="n">
        <v>2905118.284102</v>
      </c>
      <c r="I235" t="n">
        <v>3502.459341</v>
      </c>
      <c r="J235" t="n">
        <v>3796.144916</v>
      </c>
      <c r="K235" t="n">
        <v>1780.391965</v>
      </c>
      <c r="L235" t="n">
        <v>4710.704014</v>
      </c>
      <c r="M235" t="n">
        <v>4710.704014</v>
      </c>
      <c r="N235" t="n">
        <v>4710.704014</v>
      </c>
      <c r="O235" t="n">
        <v>105.183965</v>
      </c>
      <c r="P235" t="n">
        <v>52.828865</v>
      </c>
      <c r="Q235" t="n">
        <v>4710.704014</v>
      </c>
      <c r="R235" t="n">
        <v>4710.704014</v>
      </c>
      <c r="S235" t="n">
        <v>105.183965</v>
      </c>
      <c r="T235" t="n">
        <v>105.183965</v>
      </c>
      <c r="U235" t="n">
        <v>52.828865</v>
      </c>
      <c r="V235" t="n">
        <v>52.828865</v>
      </c>
      <c r="W235" t="n">
        <v>109.611209</v>
      </c>
      <c r="X235" t="n">
        <v>5115.038689</v>
      </c>
      <c r="Y235" t="n">
        <v>82.74413800000001</v>
      </c>
      <c r="Z235" t="n">
        <v>193.416145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140.953883</v>
      </c>
      <c r="F236" t="n">
        <v>177.371403</v>
      </c>
      <c r="G236" t="n">
        <v>9540.408934999999</v>
      </c>
      <c r="H236" t="n">
        <v>70736320.08912501</v>
      </c>
      <c r="I236" t="n">
        <v>4269.898312</v>
      </c>
      <c r="J236" t="n">
        <v>4574.511297</v>
      </c>
      <c r="K236" t="n">
        <v>1801.225895</v>
      </c>
      <c r="L236" t="n">
        <v>6846.4367</v>
      </c>
      <c r="M236" t="n">
        <v>6846.4367</v>
      </c>
      <c r="N236" t="n">
        <v>6846.4367</v>
      </c>
      <c r="O236" t="n">
        <v>67.536573</v>
      </c>
      <c r="P236" t="n">
        <v>32.007796</v>
      </c>
      <c r="Q236" t="n">
        <v>6846.4367</v>
      </c>
      <c r="R236" t="n">
        <v>6846.4367</v>
      </c>
      <c r="S236" t="n">
        <v>67.536573</v>
      </c>
      <c r="T236" t="n">
        <v>67.536573</v>
      </c>
      <c r="U236" t="n">
        <v>32.007796</v>
      </c>
      <c r="V236" t="n">
        <v>32.007796</v>
      </c>
      <c r="W236" t="n">
        <v>70.113483</v>
      </c>
      <c r="X236" t="n">
        <v>7370.741192</v>
      </c>
      <c r="Y236" t="n">
        <v>90.145392</v>
      </c>
      <c r="Z236" t="n">
        <v>288.815865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140.953883</v>
      </c>
      <c r="F237" t="n">
        <v>57.638856</v>
      </c>
      <c r="G237" t="n">
        <v>1182.200226</v>
      </c>
      <c r="H237" t="n">
        <v>56775.373409</v>
      </c>
      <c r="I237" t="n">
        <v>512.103289</v>
      </c>
      <c r="J237" t="n">
        <v>553.467817</v>
      </c>
      <c r="K237" t="n">
        <v>525.794426</v>
      </c>
      <c r="L237" t="n">
        <v>602.712303</v>
      </c>
      <c r="M237" t="n">
        <v>602.712303</v>
      </c>
      <c r="N237" t="n">
        <v>602.712303</v>
      </c>
      <c r="O237" t="n">
        <v>31.190871</v>
      </c>
      <c r="P237" t="n">
        <v>18.283791</v>
      </c>
      <c r="Q237" t="n">
        <v>602.712303</v>
      </c>
      <c r="R237" t="n">
        <v>602.712303</v>
      </c>
      <c r="S237" t="n">
        <v>31.190871</v>
      </c>
      <c r="T237" t="n">
        <v>31.190871</v>
      </c>
      <c r="U237" t="n">
        <v>18.283791</v>
      </c>
      <c r="V237" t="n">
        <v>18.283791</v>
      </c>
      <c r="W237" t="n">
        <v>32.089433</v>
      </c>
      <c r="X237" t="n">
        <v>622.065443</v>
      </c>
      <c r="Y237" t="n">
        <v>34.252552</v>
      </c>
      <c r="Z237" t="n">
        <v>73.57281500000001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140.953883</v>
      </c>
      <c r="F238" t="n">
        <v>228.824285</v>
      </c>
      <c r="G238" t="n">
        <v>13739.954406</v>
      </c>
      <c r="H238" t="n">
        <v>114798702.260359</v>
      </c>
      <c r="I238" t="n">
        <v>6590.793316</v>
      </c>
      <c r="J238" t="n">
        <v>7071.146917</v>
      </c>
      <c r="K238" t="n">
        <v>2576.928919</v>
      </c>
      <c r="L238" t="n">
        <v>10677.999207</v>
      </c>
      <c r="M238" t="n">
        <v>10677.999207</v>
      </c>
      <c r="N238" t="n">
        <v>10677.999207</v>
      </c>
      <c r="O238" t="n">
        <v>85.006417</v>
      </c>
      <c r="P238" t="n">
        <v>38.52237</v>
      </c>
      <c r="Q238" t="n">
        <v>10677.999207</v>
      </c>
      <c r="R238" t="n">
        <v>10677.999207</v>
      </c>
      <c r="S238" t="n">
        <v>85.006417</v>
      </c>
      <c r="T238" t="n">
        <v>85.006417</v>
      </c>
      <c r="U238" t="n">
        <v>38.52237</v>
      </c>
      <c r="V238" t="n">
        <v>38.52237</v>
      </c>
      <c r="W238" t="n">
        <v>88.306245</v>
      </c>
      <c r="X238" t="n">
        <v>11509.306401</v>
      </c>
      <c r="Y238" t="n">
        <v>113.373643</v>
      </c>
      <c r="Z238" t="n">
        <v>399.574722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140.953883</v>
      </c>
      <c r="F239" t="n">
        <v>200.641254</v>
      </c>
      <c r="G239" t="n">
        <v>11101.904562</v>
      </c>
      <c r="H239" t="n">
        <v>25660602.941085</v>
      </c>
      <c r="I239" t="n">
        <v>6244.222521</v>
      </c>
      <c r="J239" t="n">
        <v>6325.914048</v>
      </c>
      <c r="K239" t="n">
        <v>1872.204427</v>
      </c>
      <c r="L239" t="n">
        <v>7112.982475</v>
      </c>
      <c r="M239" t="n">
        <v>7112.982475</v>
      </c>
      <c r="N239" t="n">
        <v>7112.982475</v>
      </c>
      <c r="O239" t="n">
        <v>87.969483</v>
      </c>
      <c r="P239" t="n">
        <v>46.580547</v>
      </c>
      <c r="Q239" t="n">
        <v>7112.982475</v>
      </c>
      <c r="R239" t="n">
        <v>7112.982475</v>
      </c>
      <c r="S239" t="n">
        <v>87.969483</v>
      </c>
      <c r="T239" t="n">
        <v>87.969483</v>
      </c>
      <c r="U239" t="n">
        <v>46.580547</v>
      </c>
      <c r="V239" t="n">
        <v>46.580547</v>
      </c>
      <c r="W239" t="n">
        <v>93.060855</v>
      </c>
      <c r="X239" t="n">
        <v>7459.131892</v>
      </c>
      <c r="Y239" t="n">
        <v>100.902165</v>
      </c>
      <c r="Z239" t="n">
        <v>211.14634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140.953883</v>
      </c>
      <c r="F240" t="n">
        <v>265.549442</v>
      </c>
      <c r="G240" t="n">
        <v>17398.716094</v>
      </c>
      <c r="H240" t="n">
        <v>21722652.494621</v>
      </c>
      <c r="I240" t="n">
        <v>2939.153653</v>
      </c>
      <c r="J240" t="n">
        <v>3022.907916</v>
      </c>
      <c r="K240" t="n">
        <v>1769.605312</v>
      </c>
      <c r="L240" t="n">
        <v>3691.420719</v>
      </c>
      <c r="M240" t="n">
        <v>3691.420719</v>
      </c>
      <c r="N240" t="n">
        <v>3691.420719</v>
      </c>
      <c r="O240" t="n">
        <v>92.784491</v>
      </c>
      <c r="P240" t="n">
        <v>44.082214</v>
      </c>
      <c r="Q240" t="n">
        <v>3691.420719</v>
      </c>
      <c r="R240" t="n">
        <v>3691.420719</v>
      </c>
      <c r="S240" t="n">
        <v>92.784491</v>
      </c>
      <c r="T240" t="n">
        <v>92.784491</v>
      </c>
      <c r="U240" t="n">
        <v>44.082214</v>
      </c>
      <c r="V240" t="n">
        <v>44.082214</v>
      </c>
      <c r="W240" t="n">
        <v>96.91430099999999</v>
      </c>
      <c r="X240" t="n">
        <v>3937.988659</v>
      </c>
      <c r="Y240" t="n">
        <v>129.416869</v>
      </c>
      <c r="Z240" t="n">
        <v>360.506923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140.953883</v>
      </c>
      <c r="F241" t="n">
        <v>14.712171</v>
      </c>
      <c r="G241" t="n">
        <v>109.082967</v>
      </c>
      <c r="H241" t="n">
        <v>1554.089564</v>
      </c>
      <c r="I241" t="n">
        <v>87.52377799999999</v>
      </c>
      <c r="J241" t="n">
        <v>87.52377799999999</v>
      </c>
      <c r="K241" t="n">
        <v>33.521607</v>
      </c>
      <c r="L241" t="n">
        <v>92.59366</v>
      </c>
      <c r="M241" t="n">
        <v>92.59366</v>
      </c>
      <c r="N241" t="n">
        <v>92.59366</v>
      </c>
      <c r="O241" t="n">
        <v>4.448657</v>
      </c>
      <c r="P241" t="n">
        <v>3.058348</v>
      </c>
      <c r="Q241" t="n">
        <v>92.59366</v>
      </c>
      <c r="R241" t="n">
        <v>92.59366</v>
      </c>
      <c r="S241" t="n">
        <v>4.448657</v>
      </c>
      <c r="T241" t="n">
        <v>4.448657</v>
      </c>
      <c r="U241" t="n">
        <v>3.058348</v>
      </c>
      <c r="V241" t="n">
        <v>3.058348</v>
      </c>
      <c r="W241" t="n">
        <v>4.556294</v>
      </c>
      <c r="X241" t="n">
        <v>96.447226</v>
      </c>
      <c r="Y241" t="n">
        <v>10.417956</v>
      </c>
      <c r="Z241" t="n">
        <v>17.174689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140.953883</v>
      </c>
      <c r="F242" t="n">
        <v>200.641254</v>
      </c>
      <c r="G242" t="n">
        <v>11101.904562</v>
      </c>
      <c r="H242" t="n">
        <v>25660602.941085</v>
      </c>
      <c r="I242" t="n">
        <v>6244.222521</v>
      </c>
      <c r="J242" t="n">
        <v>6325.914048</v>
      </c>
      <c r="K242" t="n">
        <v>1872.204427</v>
      </c>
      <c r="L242" t="n">
        <v>7112.982475</v>
      </c>
      <c r="M242" t="n">
        <v>7112.982475</v>
      </c>
      <c r="N242" t="n">
        <v>7112.982475</v>
      </c>
      <c r="O242" t="n">
        <v>87.969483</v>
      </c>
      <c r="P242" t="n">
        <v>46.580547</v>
      </c>
      <c r="Q242" t="n">
        <v>7112.982475</v>
      </c>
      <c r="R242" t="n">
        <v>7112.982475</v>
      </c>
      <c r="S242" t="n">
        <v>87.969483</v>
      </c>
      <c r="T242" t="n">
        <v>87.969483</v>
      </c>
      <c r="U242" t="n">
        <v>46.580547</v>
      </c>
      <c r="V242" t="n">
        <v>46.580547</v>
      </c>
      <c r="W242" t="n">
        <v>93.060855</v>
      </c>
      <c r="X242" t="n">
        <v>7459.131892</v>
      </c>
      <c r="Y242" t="n">
        <v>100.902165</v>
      </c>
      <c r="Z242" t="n">
        <v>211.14634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140.953883</v>
      </c>
      <c r="F244" t="n">
        <v>14.712171</v>
      </c>
      <c r="G244" t="n">
        <v>109.082967</v>
      </c>
      <c r="H244" t="n">
        <v>1554.089564</v>
      </c>
      <c r="I244" t="n">
        <v>87.52377799999999</v>
      </c>
      <c r="J244" t="n">
        <v>87.52377799999999</v>
      </c>
      <c r="K244" t="n">
        <v>33.521607</v>
      </c>
      <c r="L244" t="n">
        <v>92.59366</v>
      </c>
      <c r="M244" t="n">
        <v>92.59366</v>
      </c>
      <c r="N244" t="n">
        <v>92.59366</v>
      </c>
      <c r="O244" t="n">
        <v>4.448657</v>
      </c>
      <c r="P244" t="n">
        <v>3.058348</v>
      </c>
      <c r="Q244" t="n">
        <v>92.59366</v>
      </c>
      <c r="R244" t="n">
        <v>92.59366</v>
      </c>
      <c r="S244" t="n">
        <v>4.448657</v>
      </c>
      <c r="T244" t="n">
        <v>4.448657</v>
      </c>
      <c r="U244" t="n">
        <v>3.058348</v>
      </c>
      <c r="V244" t="n">
        <v>3.058348</v>
      </c>
      <c r="W244" t="n">
        <v>4.556294</v>
      </c>
      <c r="X244" t="n">
        <v>96.447226</v>
      </c>
      <c r="Y244" t="n">
        <v>10.417956</v>
      </c>
      <c r="Z244" t="n">
        <v>17.174689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140.953883</v>
      </c>
      <c r="F246" t="n">
        <v>94.940534</v>
      </c>
      <c r="G246" t="n">
        <v>3699.207408</v>
      </c>
      <c r="H246" t="n">
        <v>6311396.796745</v>
      </c>
      <c r="I246" t="n">
        <v>1833.804999</v>
      </c>
      <c r="J246" t="n">
        <v>1853.890312</v>
      </c>
      <c r="K246" t="n">
        <v>743.939069</v>
      </c>
      <c r="L246" t="n">
        <v>2045.820774</v>
      </c>
      <c r="M246" t="n">
        <v>2045.820774</v>
      </c>
      <c r="N246" t="n">
        <v>2045.820774</v>
      </c>
      <c r="O246" t="n">
        <v>37.402647</v>
      </c>
      <c r="P246" t="n">
        <v>21.641048</v>
      </c>
      <c r="Q246" t="n">
        <v>2045.820774</v>
      </c>
      <c r="R246" t="n">
        <v>2045.820774</v>
      </c>
      <c r="S246" t="n">
        <v>37.402647</v>
      </c>
      <c r="T246" t="n">
        <v>37.402647</v>
      </c>
      <c r="U246" t="n">
        <v>21.641048</v>
      </c>
      <c r="V246" t="n">
        <v>21.641048</v>
      </c>
      <c r="W246" t="n">
        <v>39.426311</v>
      </c>
      <c r="X246" t="n">
        <v>2139.974971</v>
      </c>
      <c r="Y246" t="n">
        <v>51.745601</v>
      </c>
      <c r="Z246" t="n">
        <v>86.20657300000001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140.953883</v>
      </c>
      <c r="F247" t="n">
        <v>60.479203</v>
      </c>
      <c r="G247" t="n">
        <v>1285.725322</v>
      </c>
      <c r="H247" t="n">
        <v>3025.478454</v>
      </c>
      <c r="I247" t="n">
        <v>395.888053</v>
      </c>
      <c r="J247" t="n">
        <v>395.888053</v>
      </c>
      <c r="K247" t="n">
        <v>376.09365</v>
      </c>
      <c r="L247" t="n">
        <v>393.787233</v>
      </c>
      <c r="M247" t="n">
        <v>393.787233</v>
      </c>
      <c r="N247" t="n">
        <v>393.787233</v>
      </c>
      <c r="O247" t="n">
        <v>20.916473</v>
      </c>
      <c r="P247" t="n">
        <v>13.510088</v>
      </c>
      <c r="Q247" t="n">
        <v>393.787233</v>
      </c>
      <c r="R247" t="n">
        <v>393.787233</v>
      </c>
      <c r="S247" t="n">
        <v>20.916473</v>
      </c>
      <c r="T247" t="n">
        <v>20.916473</v>
      </c>
      <c r="U247" t="n">
        <v>13.510088</v>
      </c>
      <c r="V247" t="n">
        <v>13.510088</v>
      </c>
      <c r="W247" t="n">
        <v>21.939981</v>
      </c>
      <c r="X247" t="n">
        <v>405.784084</v>
      </c>
      <c r="Y247" t="n">
        <v>35.719215</v>
      </c>
      <c r="Z247" t="n">
        <v>45.472786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140.953883</v>
      </c>
      <c r="F248" t="n">
        <v>228.824285</v>
      </c>
      <c r="G248" t="n">
        <v>13739.954406</v>
      </c>
      <c r="H248" t="n">
        <v>114798702.260359</v>
      </c>
      <c r="I248" t="n">
        <v>6590.793316</v>
      </c>
      <c r="J248" t="n">
        <v>7071.146917</v>
      </c>
      <c r="K248" t="n">
        <v>2576.928919</v>
      </c>
      <c r="L248" t="n">
        <v>10677.999207</v>
      </c>
      <c r="M248" t="n">
        <v>10677.999207</v>
      </c>
      <c r="N248" t="n">
        <v>10677.999207</v>
      </c>
      <c r="O248" t="n">
        <v>85.006417</v>
      </c>
      <c r="P248" t="n">
        <v>38.52237</v>
      </c>
      <c r="Q248" t="n">
        <v>10677.999207</v>
      </c>
      <c r="R248" t="n">
        <v>10677.999207</v>
      </c>
      <c r="S248" t="n">
        <v>85.006417</v>
      </c>
      <c r="T248" t="n">
        <v>85.006417</v>
      </c>
      <c r="U248" t="n">
        <v>38.52237</v>
      </c>
      <c r="V248" t="n">
        <v>38.52237</v>
      </c>
      <c r="W248" t="n">
        <v>88.306245</v>
      </c>
      <c r="X248" t="n">
        <v>11509.306401</v>
      </c>
      <c r="Y248" t="n">
        <v>113.373643</v>
      </c>
      <c r="Z248" t="n">
        <v>399.574722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140.953883</v>
      </c>
      <c r="F249" t="n">
        <v>200.641254</v>
      </c>
      <c r="G249" t="n">
        <v>11101.904562</v>
      </c>
      <c r="H249" t="n">
        <v>25660602.941085</v>
      </c>
      <c r="I249" t="n">
        <v>6244.222521</v>
      </c>
      <c r="J249" t="n">
        <v>6325.914048</v>
      </c>
      <c r="K249" t="n">
        <v>1872.204427</v>
      </c>
      <c r="L249" t="n">
        <v>7112.982475</v>
      </c>
      <c r="M249" t="n">
        <v>7112.982475</v>
      </c>
      <c r="N249" t="n">
        <v>7112.982475</v>
      </c>
      <c r="O249" t="n">
        <v>87.969483</v>
      </c>
      <c r="P249" t="n">
        <v>46.580547</v>
      </c>
      <c r="Q249" t="n">
        <v>7112.982475</v>
      </c>
      <c r="R249" t="n">
        <v>7112.982475</v>
      </c>
      <c r="S249" t="n">
        <v>87.969483</v>
      </c>
      <c r="T249" t="n">
        <v>87.969483</v>
      </c>
      <c r="U249" t="n">
        <v>46.580547</v>
      </c>
      <c r="V249" t="n">
        <v>46.580547</v>
      </c>
      <c r="W249" t="n">
        <v>93.060855</v>
      </c>
      <c r="X249" t="n">
        <v>7459.131892</v>
      </c>
      <c r="Y249" t="n">
        <v>100.902165</v>
      </c>
      <c r="Z249" t="n">
        <v>211.14634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140.953883</v>
      </c>
      <c r="F250" t="n">
        <v>20.606299</v>
      </c>
      <c r="G250" t="n">
        <v>196.386285</v>
      </c>
      <c r="H250" t="n">
        <v>1009.116172</v>
      </c>
      <c r="I250" t="n">
        <v>131.71072</v>
      </c>
      <c r="J250" t="n">
        <v>131.71072</v>
      </c>
      <c r="K250" t="n">
        <v>125.125184</v>
      </c>
      <c r="L250" t="n">
        <v>130.894857</v>
      </c>
      <c r="M250" t="n">
        <v>130.894857</v>
      </c>
      <c r="N250" t="n">
        <v>130.894857</v>
      </c>
      <c r="O250" t="n">
        <v>12.255972</v>
      </c>
      <c r="P250" t="n">
        <v>8.448598</v>
      </c>
      <c r="Q250" t="n">
        <v>130.894857</v>
      </c>
      <c r="R250" t="n">
        <v>130.894857</v>
      </c>
      <c r="S250" t="n">
        <v>12.255972</v>
      </c>
      <c r="T250" t="n">
        <v>12.255972</v>
      </c>
      <c r="U250" t="n">
        <v>8.448598</v>
      </c>
      <c r="V250" t="n">
        <v>8.448598</v>
      </c>
      <c r="W250" t="n">
        <v>12.680707</v>
      </c>
      <c r="X250" t="n">
        <v>136.520004</v>
      </c>
      <c r="Y250" t="n">
        <v>13.974049</v>
      </c>
      <c r="Z250" t="n">
        <v>22.490141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140.953883</v>
      </c>
      <c r="F251" t="n">
        <v>15.812995</v>
      </c>
      <c r="G251" t="n">
        <v>123.721444</v>
      </c>
      <c r="H251" t="n">
        <v>7384.919423</v>
      </c>
      <c r="I251" t="n">
        <v>110.765161</v>
      </c>
      <c r="J251" t="n">
        <v>110.765161</v>
      </c>
      <c r="K251" t="n">
        <v>69.11746100000001</v>
      </c>
      <c r="L251" t="n">
        <v>113.463496</v>
      </c>
      <c r="M251" t="n">
        <v>113.463496</v>
      </c>
      <c r="N251" t="n">
        <v>113.463496</v>
      </c>
      <c r="O251" t="n">
        <v>8.170260000000001</v>
      </c>
      <c r="P251" t="n">
        <v>5.693764</v>
      </c>
      <c r="Q251" t="n">
        <v>113.463496</v>
      </c>
      <c r="R251" t="n">
        <v>113.463496</v>
      </c>
      <c r="S251" t="n">
        <v>8.170260000000001</v>
      </c>
      <c r="T251" t="n">
        <v>8.170260000000001</v>
      </c>
      <c r="U251" t="n">
        <v>5.693764</v>
      </c>
      <c r="V251" t="n">
        <v>5.693764</v>
      </c>
      <c r="W251" t="n">
        <v>8.298344999999999</v>
      </c>
      <c r="X251" t="n">
        <v>118.931059</v>
      </c>
      <c r="Y251" t="n">
        <v>11.094229</v>
      </c>
      <c r="Z251" t="n">
        <v>22.315768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140.953883</v>
      </c>
      <c r="F253" t="n">
        <v>15.812995</v>
      </c>
      <c r="G253" t="n">
        <v>123.721444</v>
      </c>
      <c r="H253" t="n">
        <v>7384.919423</v>
      </c>
      <c r="I253" t="n">
        <v>110.765161</v>
      </c>
      <c r="J253" t="n">
        <v>110.765161</v>
      </c>
      <c r="K253" t="n">
        <v>69.11746100000001</v>
      </c>
      <c r="L253" t="n">
        <v>113.463496</v>
      </c>
      <c r="M253" t="n">
        <v>113.463496</v>
      </c>
      <c r="N253" t="n">
        <v>113.463496</v>
      </c>
      <c r="O253" t="n">
        <v>8.170260000000001</v>
      </c>
      <c r="P253" t="n">
        <v>5.693764</v>
      </c>
      <c r="Q253" t="n">
        <v>113.463496</v>
      </c>
      <c r="R253" t="n">
        <v>113.463496</v>
      </c>
      <c r="S253" t="n">
        <v>8.170260000000001</v>
      </c>
      <c r="T253" t="n">
        <v>8.170260000000001</v>
      </c>
      <c r="U253" t="n">
        <v>5.693764</v>
      </c>
      <c r="V253" t="n">
        <v>5.693764</v>
      </c>
      <c r="W253" t="n">
        <v>8.298344999999999</v>
      </c>
      <c r="X253" t="n">
        <v>118.931059</v>
      </c>
      <c r="Y253" t="n">
        <v>11.094229</v>
      </c>
      <c r="Z253" t="n">
        <v>22.315768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140.953883</v>
      </c>
      <c r="F254" t="n">
        <v>20.606299</v>
      </c>
      <c r="G254" t="n">
        <v>196.386285</v>
      </c>
      <c r="H254" t="n">
        <v>1009.116172</v>
      </c>
      <c r="I254" t="n">
        <v>131.71072</v>
      </c>
      <c r="J254" t="n">
        <v>131.71072</v>
      </c>
      <c r="K254" t="n">
        <v>125.125184</v>
      </c>
      <c r="L254" t="n">
        <v>130.894857</v>
      </c>
      <c r="M254" t="n">
        <v>130.894857</v>
      </c>
      <c r="N254" t="n">
        <v>130.894857</v>
      </c>
      <c r="O254" t="n">
        <v>12.255972</v>
      </c>
      <c r="P254" t="n">
        <v>8.448598</v>
      </c>
      <c r="Q254" t="n">
        <v>130.894857</v>
      </c>
      <c r="R254" t="n">
        <v>130.894857</v>
      </c>
      <c r="S254" t="n">
        <v>12.255972</v>
      </c>
      <c r="T254" t="n">
        <v>12.255972</v>
      </c>
      <c r="U254" t="n">
        <v>8.448598</v>
      </c>
      <c r="V254" t="n">
        <v>8.448598</v>
      </c>
      <c r="W254" t="n">
        <v>12.680707</v>
      </c>
      <c r="X254" t="n">
        <v>136.520004</v>
      </c>
      <c r="Y254" t="n">
        <v>13.974049</v>
      </c>
      <c r="Z254" t="n">
        <v>22.490141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140.953883</v>
      </c>
      <c r="F255" t="n">
        <v>95.34341499999999</v>
      </c>
      <c r="G255" t="n">
        <v>2845.346423</v>
      </c>
      <c r="H255" t="n">
        <v>490526.782878</v>
      </c>
      <c r="I255" t="n">
        <v>569.846189</v>
      </c>
      <c r="J255" t="n">
        <v>594.287325</v>
      </c>
      <c r="K255" t="n">
        <v>564.572959</v>
      </c>
      <c r="L255" t="n">
        <v>738.02552</v>
      </c>
      <c r="M255" t="n">
        <v>738.02552</v>
      </c>
      <c r="N255" t="n">
        <v>738.02552</v>
      </c>
      <c r="O255" t="n">
        <v>39.685535</v>
      </c>
      <c r="P255" t="n">
        <v>21.622034</v>
      </c>
      <c r="Q255" t="n">
        <v>738.02552</v>
      </c>
      <c r="R255" t="n">
        <v>738.02552</v>
      </c>
      <c r="S255" t="n">
        <v>39.685535</v>
      </c>
      <c r="T255" t="n">
        <v>39.685535</v>
      </c>
      <c r="U255" t="n">
        <v>21.622034</v>
      </c>
      <c r="V255" t="n">
        <v>21.622034</v>
      </c>
      <c r="W255" t="n">
        <v>41.109943</v>
      </c>
      <c r="X255" t="n">
        <v>772.895549</v>
      </c>
      <c r="Y255" t="n">
        <v>53.114101</v>
      </c>
      <c r="Z255" t="n">
        <v>112.240217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140.953883</v>
      </c>
      <c r="F256" t="n">
        <v>15.812995</v>
      </c>
      <c r="G256" t="n">
        <v>123.721444</v>
      </c>
      <c r="H256" t="n">
        <v>7384.919423</v>
      </c>
      <c r="I256" t="n">
        <v>110.765161</v>
      </c>
      <c r="J256" t="n">
        <v>110.765161</v>
      </c>
      <c r="K256" t="n">
        <v>69.11746100000001</v>
      </c>
      <c r="L256" t="n">
        <v>113.463496</v>
      </c>
      <c r="M256" t="n">
        <v>113.463496</v>
      </c>
      <c r="N256" t="n">
        <v>113.463496</v>
      </c>
      <c r="O256" t="n">
        <v>8.170260000000001</v>
      </c>
      <c r="P256" t="n">
        <v>5.693764</v>
      </c>
      <c r="Q256" t="n">
        <v>113.463496</v>
      </c>
      <c r="R256" t="n">
        <v>113.463496</v>
      </c>
      <c r="S256" t="n">
        <v>8.170260000000001</v>
      </c>
      <c r="T256" t="n">
        <v>8.170260000000001</v>
      </c>
      <c r="U256" t="n">
        <v>5.693764</v>
      </c>
      <c r="V256" t="n">
        <v>5.693764</v>
      </c>
      <c r="W256" t="n">
        <v>8.298344999999999</v>
      </c>
      <c r="X256" t="n">
        <v>118.931059</v>
      </c>
      <c r="Y256" t="n">
        <v>11.094229</v>
      </c>
      <c r="Z256" t="n">
        <v>22.315768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140.953883</v>
      </c>
      <c r="F257" t="n">
        <v>228.824285</v>
      </c>
      <c r="G257" t="n">
        <v>13739.954406</v>
      </c>
      <c r="H257" t="n">
        <v>114798702.260359</v>
      </c>
      <c r="I257" t="n">
        <v>6590.793316</v>
      </c>
      <c r="J257" t="n">
        <v>7071.146917</v>
      </c>
      <c r="K257" t="n">
        <v>2576.928919</v>
      </c>
      <c r="L257" t="n">
        <v>10677.999207</v>
      </c>
      <c r="M257" t="n">
        <v>10677.999207</v>
      </c>
      <c r="N257" t="n">
        <v>10677.999207</v>
      </c>
      <c r="O257" t="n">
        <v>85.006417</v>
      </c>
      <c r="P257" t="n">
        <v>38.52237</v>
      </c>
      <c r="Q257" t="n">
        <v>10677.999207</v>
      </c>
      <c r="R257" t="n">
        <v>10677.999207</v>
      </c>
      <c r="S257" t="n">
        <v>85.006417</v>
      </c>
      <c r="T257" t="n">
        <v>85.006417</v>
      </c>
      <c r="U257" t="n">
        <v>38.52237</v>
      </c>
      <c r="V257" t="n">
        <v>38.52237</v>
      </c>
      <c r="W257" t="n">
        <v>88.306245</v>
      </c>
      <c r="X257" t="n">
        <v>11509.306401</v>
      </c>
      <c r="Y257" t="n">
        <v>113.373643</v>
      </c>
      <c r="Z257" t="n">
        <v>399.574722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140.953883</v>
      </c>
      <c r="F258" t="n">
        <v>170.518341</v>
      </c>
      <c r="G258" t="n">
        <v>7847.80585</v>
      </c>
      <c r="H258" t="n">
        <v>421935.650343</v>
      </c>
      <c r="I258" t="n">
        <v>1050.872908</v>
      </c>
      <c r="J258" t="n">
        <v>1075.829695</v>
      </c>
      <c r="K258" t="n">
        <v>537.914847</v>
      </c>
      <c r="L258" t="n">
        <v>1659.687874</v>
      </c>
      <c r="M258" t="n">
        <v>1659.687874</v>
      </c>
      <c r="N258" t="n">
        <v>1659.687874</v>
      </c>
      <c r="O258" t="n">
        <v>31.362197</v>
      </c>
      <c r="P258" t="n">
        <v>16.184075</v>
      </c>
      <c r="Q258" t="n">
        <v>1659.687874</v>
      </c>
      <c r="R258" t="n">
        <v>1659.687874</v>
      </c>
      <c r="S258" t="n">
        <v>31.362197</v>
      </c>
      <c r="T258" t="n">
        <v>31.362197</v>
      </c>
      <c r="U258" t="n">
        <v>16.184075</v>
      </c>
      <c r="V258" t="n">
        <v>16.184075</v>
      </c>
      <c r="W258" t="n">
        <v>32.286772</v>
      </c>
      <c r="X258" t="n">
        <v>1775.112325</v>
      </c>
      <c r="Y258" t="n">
        <v>88.16158900000001</v>
      </c>
      <c r="Z258" t="n">
        <v>173.868813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140.953883</v>
      </c>
      <c r="F259" t="n">
        <v>20.606299</v>
      </c>
      <c r="G259" t="n">
        <v>196.386285</v>
      </c>
      <c r="H259" t="n">
        <v>1009.116172</v>
      </c>
      <c r="I259" t="n">
        <v>131.71072</v>
      </c>
      <c r="J259" t="n">
        <v>131.71072</v>
      </c>
      <c r="K259" t="n">
        <v>125.125184</v>
      </c>
      <c r="L259" t="n">
        <v>130.894857</v>
      </c>
      <c r="M259" t="n">
        <v>130.894857</v>
      </c>
      <c r="N259" t="n">
        <v>130.894857</v>
      </c>
      <c r="O259" t="n">
        <v>12.255972</v>
      </c>
      <c r="P259" t="n">
        <v>8.448598</v>
      </c>
      <c r="Q259" t="n">
        <v>130.894857</v>
      </c>
      <c r="R259" t="n">
        <v>130.894857</v>
      </c>
      <c r="S259" t="n">
        <v>12.255972</v>
      </c>
      <c r="T259" t="n">
        <v>12.255972</v>
      </c>
      <c r="U259" t="n">
        <v>8.448598</v>
      </c>
      <c r="V259" t="n">
        <v>8.448598</v>
      </c>
      <c r="W259" t="n">
        <v>12.680707</v>
      </c>
      <c r="X259" t="n">
        <v>136.520004</v>
      </c>
      <c r="Y259" t="n">
        <v>13.974049</v>
      </c>
      <c r="Z259" t="n">
        <v>22.490141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140.953883</v>
      </c>
      <c r="F260" t="n">
        <v>200.641254</v>
      </c>
      <c r="G260" t="n">
        <v>11101.904562</v>
      </c>
      <c r="H260" t="n">
        <v>25660602.941085</v>
      </c>
      <c r="I260" t="n">
        <v>6244.222521</v>
      </c>
      <c r="J260" t="n">
        <v>6325.914048</v>
      </c>
      <c r="K260" t="n">
        <v>1872.204427</v>
      </c>
      <c r="L260" t="n">
        <v>7112.982475</v>
      </c>
      <c r="M260" t="n">
        <v>7112.982475</v>
      </c>
      <c r="N260" t="n">
        <v>7112.982475</v>
      </c>
      <c r="O260" t="n">
        <v>87.969483</v>
      </c>
      <c r="P260" t="n">
        <v>46.580547</v>
      </c>
      <c r="Q260" t="n">
        <v>7112.982475</v>
      </c>
      <c r="R260" t="n">
        <v>7112.982475</v>
      </c>
      <c r="S260" t="n">
        <v>87.969483</v>
      </c>
      <c r="T260" t="n">
        <v>87.969483</v>
      </c>
      <c r="U260" t="n">
        <v>46.580547</v>
      </c>
      <c r="V260" t="n">
        <v>46.580547</v>
      </c>
      <c r="W260" t="n">
        <v>93.060855</v>
      </c>
      <c r="X260" t="n">
        <v>7459.131892</v>
      </c>
      <c r="Y260" t="n">
        <v>100.902165</v>
      </c>
      <c r="Z260" t="n">
        <v>211.14634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140.953883</v>
      </c>
      <c r="F261" t="n">
        <v>228.824285</v>
      </c>
      <c r="G261" t="n">
        <v>13739.954406</v>
      </c>
      <c r="H261" t="n">
        <v>114798702.260359</v>
      </c>
      <c r="I261" t="n">
        <v>6590.793316</v>
      </c>
      <c r="J261" t="n">
        <v>7071.146917</v>
      </c>
      <c r="K261" t="n">
        <v>2576.928919</v>
      </c>
      <c r="L261" t="n">
        <v>10677.999207</v>
      </c>
      <c r="M261" t="n">
        <v>10677.999207</v>
      </c>
      <c r="N261" t="n">
        <v>10677.999207</v>
      </c>
      <c r="O261" t="n">
        <v>85.006417</v>
      </c>
      <c r="P261" t="n">
        <v>38.52237</v>
      </c>
      <c r="Q261" t="n">
        <v>10677.999207</v>
      </c>
      <c r="R261" t="n">
        <v>10677.999207</v>
      </c>
      <c r="S261" t="n">
        <v>85.006417</v>
      </c>
      <c r="T261" t="n">
        <v>85.006417</v>
      </c>
      <c r="U261" t="n">
        <v>38.52237</v>
      </c>
      <c r="V261" t="n">
        <v>38.52237</v>
      </c>
      <c r="W261" t="n">
        <v>88.306245</v>
      </c>
      <c r="X261" t="n">
        <v>11509.306401</v>
      </c>
      <c r="Y261" t="n">
        <v>113.373643</v>
      </c>
      <c r="Z261" t="n">
        <v>399.574722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140.953883</v>
      </c>
      <c r="F262" t="n">
        <v>908.988005</v>
      </c>
      <c r="G262" t="n">
        <v>145576.696024</v>
      </c>
      <c r="H262" t="n">
        <v>48080410.421404</v>
      </c>
      <c r="I262" t="n">
        <v>125208.792952</v>
      </c>
      <c r="J262" t="n">
        <v>126616.154086</v>
      </c>
      <c r="K262" t="n">
        <v>63308.077043</v>
      </c>
      <c r="L262" t="n">
        <v>172174.15174</v>
      </c>
      <c r="M262" t="n">
        <v>172174.151739</v>
      </c>
      <c r="N262" t="n">
        <v>172174.151739</v>
      </c>
      <c r="O262" t="n">
        <v>202.141045</v>
      </c>
      <c r="P262" t="n">
        <v>87.49926499999999</v>
      </c>
      <c r="Q262" t="n">
        <v>172174.151739</v>
      </c>
      <c r="R262" t="n">
        <v>172174.151739</v>
      </c>
      <c r="S262" t="n">
        <v>202.141045</v>
      </c>
      <c r="T262" t="n">
        <v>202.141045</v>
      </c>
      <c r="U262" t="n">
        <v>87.49926499999999</v>
      </c>
      <c r="V262" t="n">
        <v>87.49926499999999</v>
      </c>
      <c r="W262" t="n">
        <v>214.928725</v>
      </c>
      <c r="X262" t="n">
        <v>183923.261916</v>
      </c>
      <c r="Y262" t="n">
        <v>379.113334</v>
      </c>
      <c r="Z262" t="n">
        <v>767.7179190000001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140.953883</v>
      </c>
      <c r="F263" t="n">
        <v>20.606299</v>
      </c>
      <c r="G263" t="n">
        <v>196.386285</v>
      </c>
      <c r="H263" t="n">
        <v>1009.116172</v>
      </c>
      <c r="I263" t="n">
        <v>131.71072</v>
      </c>
      <c r="J263" t="n">
        <v>131.71072</v>
      </c>
      <c r="K263" t="n">
        <v>125.125184</v>
      </c>
      <c r="L263" t="n">
        <v>130.894857</v>
      </c>
      <c r="M263" t="n">
        <v>130.894857</v>
      </c>
      <c r="N263" t="n">
        <v>130.894857</v>
      </c>
      <c r="O263" t="n">
        <v>12.255972</v>
      </c>
      <c r="P263" t="n">
        <v>8.448598</v>
      </c>
      <c r="Q263" t="n">
        <v>130.894857</v>
      </c>
      <c r="R263" t="n">
        <v>130.894857</v>
      </c>
      <c r="S263" t="n">
        <v>12.255972</v>
      </c>
      <c r="T263" t="n">
        <v>12.255972</v>
      </c>
      <c r="U263" t="n">
        <v>8.448598</v>
      </c>
      <c r="V263" t="n">
        <v>8.448598</v>
      </c>
      <c r="W263" t="n">
        <v>12.680707</v>
      </c>
      <c r="X263" t="n">
        <v>136.520004</v>
      </c>
      <c r="Y263" t="n">
        <v>13.974049</v>
      </c>
      <c r="Z263" t="n">
        <v>22.490141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140.953883</v>
      </c>
      <c r="F264" t="n">
        <v>177.371403</v>
      </c>
      <c r="G264" t="n">
        <v>9540.408934999999</v>
      </c>
      <c r="H264" t="n">
        <v>70736320.08912501</v>
      </c>
      <c r="I264" t="n">
        <v>4269.898312</v>
      </c>
      <c r="J264" t="n">
        <v>4574.511297</v>
      </c>
      <c r="K264" t="n">
        <v>1801.225895</v>
      </c>
      <c r="L264" t="n">
        <v>6846.4367</v>
      </c>
      <c r="M264" t="n">
        <v>6846.4367</v>
      </c>
      <c r="N264" t="n">
        <v>6846.4367</v>
      </c>
      <c r="O264" t="n">
        <v>67.536573</v>
      </c>
      <c r="P264" t="n">
        <v>32.007796</v>
      </c>
      <c r="Q264" t="n">
        <v>6846.4367</v>
      </c>
      <c r="R264" t="n">
        <v>6846.4367</v>
      </c>
      <c r="S264" t="n">
        <v>67.536573</v>
      </c>
      <c r="T264" t="n">
        <v>67.536573</v>
      </c>
      <c r="U264" t="n">
        <v>32.007796</v>
      </c>
      <c r="V264" t="n">
        <v>32.007796</v>
      </c>
      <c r="W264" t="n">
        <v>70.113483</v>
      </c>
      <c r="X264" t="n">
        <v>7370.741192</v>
      </c>
      <c r="Y264" t="n">
        <v>90.145392</v>
      </c>
      <c r="Z264" t="n">
        <v>288.815865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140.953883</v>
      </c>
      <c r="F265" t="n">
        <v>60.479203</v>
      </c>
      <c r="G265" t="n">
        <v>1285.725322</v>
      </c>
      <c r="H265" t="n">
        <v>3025.478454</v>
      </c>
      <c r="I265" t="n">
        <v>395.888053</v>
      </c>
      <c r="J265" t="n">
        <v>395.888053</v>
      </c>
      <c r="K265" t="n">
        <v>376.09365</v>
      </c>
      <c r="L265" t="n">
        <v>393.787233</v>
      </c>
      <c r="M265" t="n">
        <v>393.787233</v>
      </c>
      <c r="N265" t="n">
        <v>393.787233</v>
      </c>
      <c r="O265" t="n">
        <v>20.916473</v>
      </c>
      <c r="P265" t="n">
        <v>13.510088</v>
      </c>
      <c r="Q265" t="n">
        <v>393.787233</v>
      </c>
      <c r="R265" t="n">
        <v>393.787233</v>
      </c>
      <c r="S265" t="n">
        <v>20.916473</v>
      </c>
      <c r="T265" t="n">
        <v>20.916473</v>
      </c>
      <c r="U265" t="n">
        <v>13.510088</v>
      </c>
      <c r="V265" t="n">
        <v>13.510088</v>
      </c>
      <c r="W265" t="n">
        <v>21.939981</v>
      </c>
      <c r="X265" t="n">
        <v>405.784084</v>
      </c>
      <c r="Y265" t="n">
        <v>35.719215</v>
      </c>
      <c r="Z265" t="n">
        <v>45.472786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140.953883</v>
      </c>
      <c r="F266" t="n">
        <v>14.712171</v>
      </c>
      <c r="G266" t="n">
        <v>109.082967</v>
      </c>
      <c r="H266" t="n">
        <v>1554.089564</v>
      </c>
      <c r="I266" t="n">
        <v>87.52377799999999</v>
      </c>
      <c r="J266" t="n">
        <v>87.52377799999999</v>
      </c>
      <c r="K266" t="n">
        <v>33.521607</v>
      </c>
      <c r="L266" t="n">
        <v>92.59366</v>
      </c>
      <c r="M266" t="n">
        <v>92.59366</v>
      </c>
      <c r="N266" t="n">
        <v>92.59366</v>
      </c>
      <c r="O266" t="n">
        <v>4.448657</v>
      </c>
      <c r="P266" t="n">
        <v>3.058348</v>
      </c>
      <c r="Q266" t="n">
        <v>92.59366</v>
      </c>
      <c r="R266" t="n">
        <v>92.59366</v>
      </c>
      <c r="S266" t="n">
        <v>4.448657</v>
      </c>
      <c r="T266" t="n">
        <v>4.448657</v>
      </c>
      <c r="U266" t="n">
        <v>3.058348</v>
      </c>
      <c r="V266" t="n">
        <v>3.058348</v>
      </c>
      <c r="W266" t="n">
        <v>4.556294</v>
      </c>
      <c r="X266" t="n">
        <v>96.447226</v>
      </c>
      <c r="Y266" t="n">
        <v>10.417956</v>
      </c>
      <c r="Z266" t="n">
        <v>17.174689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140.953883</v>
      </c>
      <c r="F267" t="n">
        <v>228.824285</v>
      </c>
      <c r="G267" t="n">
        <v>13739.954406</v>
      </c>
      <c r="H267" t="n">
        <v>114798702.260359</v>
      </c>
      <c r="I267" t="n">
        <v>6590.793316</v>
      </c>
      <c r="J267" t="n">
        <v>7071.146917</v>
      </c>
      <c r="K267" t="n">
        <v>2576.928919</v>
      </c>
      <c r="L267" t="n">
        <v>10677.999207</v>
      </c>
      <c r="M267" t="n">
        <v>10677.999207</v>
      </c>
      <c r="N267" t="n">
        <v>10677.999207</v>
      </c>
      <c r="O267" t="n">
        <v>85.006417</v>
      </c>
      <c r="P267" t="n">
        <v>38.52237</v>
      </c>
      <c r="Q267" t="n">
        <v>10677.999207</v>
      </c>
      <c r="R267" t="n">
        <v>10677.999207</v>
      </c>
      <c r="S267" t="n">
        <v>85.006417</v>
      </c>
      <c r="T267" t="n">
        <v>85.006417</v>
      </c>
      <c r="U267" t="n">
        <v>38.52237</v>
      </c>
      <c r="V267" t="n">
        <v>38.52237</v>
      </c>
      <c r="W267" t="n">
        <v>88.306245</v>
      </c>
      <c r="X267" t="n">
        <v>11509.306401</v>
      </c>
      <c r="Y267" t="n">
        <v>113.373643</v>
      </c>
      <c r="Z267" t="n">
        <v>399.574722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140.953883</v>
      </c>
      <c r="F268" t="n">
        <v>200.641254</v>
      </c>
      <c r="G268" t="n">
        <v>11101.904562</v>
      </c>
      <c r="H268" t="n">
        <v>25660602.941085</v>
      </c>
      <c r="I268" t="n">
        <v>6244.222521</v>
      </c>
      <c r="J268" t="n">
        <v>6325.914048</v>
      </c>
      <c r="K268" t="n">
        <v>1872.204427</v>
      </c>
      <c r="L268" t="n">
        <v>7112.982475</v>
      </c>
      <c r="M268" t="n">
        <v>7112.982475</v>
      </c>
      <c r="N268" t="n">
        <v>7112.982475</v>
      </c>
      <c r="O268" t="n">
        <v>87.969483</v>
      </c>
      <c r="P268" t="n">
        <v>46.580547</v>
      </c>
      <c r="Q268" t="n">
        <v>7112.982475</v>
      </c>
      <c r="R268" t="n">
        <v>7112.982475</v>
      </c>
      <c r="S268" t="n">
        <v>87.969483</v>
      </c>
      <c r="T268" t="n">
        <v>87.969483</v>
      </c>
      <c r="U268" t="n">
        <v>46.580547</v>
      </c>
      <c r="V268" t="n">
        <v>46.580547</v>
      </c>
      <c r="W268" t="n">
        <v>93.060855</v>
      </c>
      <c r="X268" t="n">
        <v>7459.131892</v>
      </c>
      <c r="Y268" t="n">
        <v>100.902165</v>
      </c>
      <c r="Z268" t="n">
        <v>211.14634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140.953883</v>
      </c>
      <c r="F269" t="n">
        <v>667.104795</v>
      </c>
      <c r="G269" t="n">
        <v>84841.433393</v>
      </c>
      <c r="H269" t="n">
        <v>62527803.444478</v>
      </c>
      <c r="I269" t="n">
        <v>9604.557183999999</v>
      </c>
      <c r="J269" t="n">
        <v>10115.319409</v>
      </c>
      <c r="K269" t="n">
        <v>2437.791978</v>
      </c>
      <c r="L269" t="n">
        <v>16798.641648</v>
      </c>
      <c r="M269" t="n">
        <v>16798.641648</v>
      </c>
      <c r="N269" t="n">
        <v>16798.641648</v>
      </c>
      <c r="O269" t="n">
        <v>88.03658900000001</v>
      </c>
      <c r="P269" t="n">
        <v>38.159556</v>
      </c>
      <c r="Q269" t="n">
        <v>16798.641648</v>
      </c>
      <c r="R269" t="n">
        <v>16798.641648</v>
      </c>
      <c r="S269" t="n">
        <v>88.03658900000001</v>
      </c>
      <c r="T269" t="n">
        <v>88.03658900000001</v>
      </c>
      <c r="U269" t="n">
        <v>38.159556</v>
      </c>
      <c r="V269" t="n">
        <v>38.159556</v>
      </c>
      <c r="W269" t="n">
        <v>92.54017</v>
      </c>
      <c r="X269" t="n">
        <v>18119.633615</v>
      </c>
      <c r="Y269" t="n">
        <v>289.503115</v>
      </c>
      <c r="Z269" t="n">
        <v>659.652259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140.953883</v>
      </c>
      <c r="F270" t="n">
        <v>60.479203</v>
      </c>
      <c r="G270" t="n">
        <v>1285.725322</v>
      </c>
      <c r="H270" t="n">
        <v>3025.478454</v>
      </c>
      <c r="I270" t="n">
        <v>395.888053</v>
      </c>
      <c r="J270" t="n">
        <v>395.888053</v>
      </c>
      <c r="K270" t="n">
        <v>376.09365</v>
      </c>
      <c r="L270" t="n">
        <v>393.787233</v>
      </c>
      <c r="M270" t="n">
        <v>393.787233</v>
      </c>
      <c r="N270" t="n">
        <v>393.787233</v>
      </c>
      <c r="O270" t="n">
        <v>20.916473</v>
      </c>
      <c r="P270" t="n">
        <v>13.510088</v>
      </c>
      <c r="Q270" t="n">
        <v>393.787233</v>
      </c>
      <c r="R270" t="n">
        <v>393.787233</v>
      </c>
      <c r="S270" t="n">
        <v>20.916473</v>
      </c>
      <c r="T270" t="n">
        <v>20.916473</v>
      </c>
      <c r="U270" t="n">
        <v>13.510088</v>
      </c>
      <c r="V270" t="n">
        <v>13.510088</v>
      </c>
      <c r="W270" t="n">
        <v>21.939981</v>
      </c>
      <c r="X270" t="n">
        <v>405.784084</v>
      </c>
      <c r="Y270" t="n">
        <v>35.719215</v>
      </c>
      <c r="Z270" t="n">
        <v>45.472786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140.953883</v>
      </c>
      <c r="F271" t="n">
        <v>228.824285</v>
      </c>
      <c r="G271" t="n">
        <v>13739.954406</v>
      </c>
      <c r="H271" t="n">
        <v>114798702.260359</v>
      </c>
      <c r="I271" t="n">
        <v>6590.793316</v>
      </c>
      <c r="J271" t="n">
        <v>7071.146917</v>
      </c>
      <c r="K271" t="n">
        <v>2576.928919</v>
      </c>
      <c r="L271" t="n">
        <v>10677.999207</v>
      </c>
      <c r="M271" t="n">
        <v>10677.999207</v>
      </c>
      <c r="N271" t="n">
        <v>10677.999207</v>
      </c>
      <c r="O271" t="n">
        <v>85.006417</v>
      </c>
      <c r="P271" t="n">
        <v>38.52237</v>
      </c>
      <c r="Q271" t="n">
        <v>10677.999207</v>
      </c>
      <c r="R271" t="n">
        <v>10677.999207</v>
      </c>
      <c r="S271" t="n">
        <v>85.006417</v>
      </c>
      <c r="T271" t="n">
        <v>85.006417</v>
      </c>
      <c r="U271" t="n">
        <v>38.52237</v>
      </c>
      <c r="V271" t="n">
        <v>38.52237</v>
      </c>
      <c r="W271" t="n">
        <v>88.306245</v>
      </c>
      <c r="X271" t="n">
        <v>11509.306401</v>
      </c>
      <c r="Y271" t="n">
        <v>113.373643</v>
      </c>
      <c r="Z271" t="n">
        <v>399.574722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140.953883</v>
      </c>
      <c r="F272" t="n">
        <v>200.641254</v>
      </c>
      <c r="G272" t="n">
        <v>11101.904562</v>
      </c>
      <c r="H272" t="n">
        <v>25660602.941085</v>
      </c>
      <c r="I272" t="n">
        <v>6244.222521</v>
      </c>
      <c r="J272" t="n">
        <v>6325.914048</v>
      </c>
      <c r="K272" t="n">
        <v>1872.204427</v>
      </c>
      <c r="L272" t="n">
        <v>7112.982475</v>
      </c>
      <c r="M272" t="n">
        <v>7112.982475</v>
      </c>
      <c r="N272" t="n">
        <v>7112.982475</v>
      </c>
      <c r="O272" t="n">
        <v>87.969483</v>
      </c>
      <c r="P272" t="n">
        <v>46.580547</v>
      </c>
      <c r="Q272" t="n">
        <v>7112.982475</v>
      </c>
      <c r="R272" t="n">
        <v>7112.982475</v>
      </c>
      <c r="S272" t="n">
        <v>87.969483</v>
      </c>
      <c r="T272" t="n">
        <v>87.969483</v>
      </c>
      <c r="U272" t="n">
        <v>46.580547</v>
      </c>
      <c r="V272" t="n">
        <v>46.580547</v>
      </c>
      <c r="W272" t="n">
        <v>93.060855</v>
      </c>
      <c r="X272" t="n">
        <v>7459.131892</v>
      </c>
      <c r="Y272" t="n">
        <v>100.902165</v>
      </c>
      <c r="Z272" t="n">
        <v>211.14634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140.953883</v>
      </c>
      <c r="F273" t="n">
        <v>14.712171</v>
      </c>
      <c r="G273" t="n">
        <v>109.082967</v>
      </c>
      <c r="H273" t="n">
        <v>1554.089564</v>
      </c>
      <c r="I273" t="n">
        <v>87.52377799999999</v>
      </c>
      <c r="J273" t="n">
        <v>87.52377799999999</v>
      </c>
      <c r="K273" t="n">
        <v>33.521607</v>
      </c>
      <c r="L273" t="n">
        <v>92.59366</v>
      </c>
      <c r="M273" t="n">
        <v>92.59366</v>
      </c>
      <c r="N273" t="n">
        <v>92.59366</v>
      </c>
      <c r="O273" t="n">
        <v>4.448657</v>
      </c>
      <c r="P273" t="n">
        <v>3.058348</v>
      </c>
      <c r="Q273" t="n">
        <v>92.59366</v>
      </c>
      <c r="R273" t="n">
        <v>92.59366</v>
      </c>
      <c r="S273" t="n">
        <v>4.448657</v>
      </c>
      <c r="T273" t="n">
        <v>4.448657</v>
      </c>
      <c r="U273" t="n">
        <v>3.058348</v>
      </c>
      <c r="V273" t="n">
        <v>3.058348</v>
      </c>
      <c r="W273" t="n">
        <v>4.556294</v>
      </c>
      <c r="X273" t="n">
        <v>96.447226</v>
      </c>
      <c r="Y273" t="n">
        <v>10.417956</v>
      </c>
      <c r="Z273" t="n">
        <v>17.174689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140.953883</v>
      </c>
      <c r="F274" t="n">
        <v>20.606299</v>
      </c>
      <c r="G274" t="n">
        <v>196.386285</v>
      </c>
      <c r="H274" t="n">
        <v>1009.116172</v>
      </c>
      <c r="I274" t="n">
        <v>131.71072</v>
      </c>
      <c r="J274" t="n">
        <v>131.71072</v>
      </c>
      <c r="K274" t="n">
        <v>125.125184</v>
      </c>
      <c r="L274" t="n">
        <v>130.894857</v>
      </c>
      <c r="M274" t="n">
        <v>130.894857</v>
      </c>
      <c r="N274" t="n">
        <v>130.894857</v>
      </c>
      <c r="O274" t="n">
        <v>12.255972</v>
      </c>
      <c r="P274" t="n">
        <v>8.448598</v>
      </c>
      <c r="Q274" t="n">
        <v>130.894857</v>
      </c>
      <c r="R274" t="n">
        <v>130.894857</v>
      </c>
      <c r="S274" t="n">
        <v>12.255972</v>
      </c>
      <c r="T274" t="n">
        <v>12.255972</v>
      </c>
      <c r="U274" t="n">
        <v>8.448598</v>
      </c>
      <c r="V274" t="n">
        <v>8.448598</v>
      </c>
      <c r="W274" t="n">
        <v>12.680707</v>
      </c>
      <c r="X274" t="n">
        <v>136.520004</v>
      </c>
      <c r="Y274" t="n">
        <v>13.974049</v>
      </c>
      <c r="Z274" t="n">
        <v>22.490141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140.953883</v>
      </c>
      <c r="F275" t="n">
        <v>200.641254</v>
      </c>
      <c r="G275" t="n">
        <v>11101.904562</v>
      </c>
      <c r="H275" t="n">
        <v>25660602.941085</v>
      </c>
      <c r="I275" t="n">
        <v>6244.222521</v>
      </c>
      <c r="J275" t="n">
        <v>6325.914048</v>
      </c>
      <c r="K275" t="n">
        <v>1872.204427</v>
      </c>
      <c r="L275" t="n">
        <v>7112.982475</v>
      </c>
      <c r="M275" t="n">
        <v>7112.982475</v>
      </c>
      <c r="N275" t="n">
        <v>7112.982475</v>
      </c>
      <c r="O275" t="n">
        <v>87.969483</v>
      </c>
      <c r="P275" t="n">
        <v>46.580547</v>
      </c>
      <c r="Q275" t="n">
        <v>7112.982475</v>
      </c>
      <c r="R275" t="n">
        <v>7112.982475</v>
      </c>
      <c r="S275" t="n">
        <v>87.969483</v>
      </c>
      <c r="T275" t="n">
        <v>87.969483</v>
      </c>
      <c r="U275" t="n">
        <v>46.580547</v>
      </c>
      <c r="V275" t="n">
        <v>46.580547</v>
      </c>
      <c r="W275" t="n">
        <v>93.060855</v>
      </c>
      <c r="X275" t="n">
        <v>7459.131892</v>
      </c>
      <c r="Y275" t="n">
        <v>100.902165</v>
      </c>
      <c r="Z275" t="n">
        <v>211.14634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140.953883</v>
      </c>
      <c r="F276" t="n">
        <v>228.824285</v>
      </c>
      <c r="G276" t="n">
        <v>13739.954406</v>
      </c>
      <c r="H276" t="n">
        <v>114798702.260359</v>
      </c>
      <c r="I276" t="n">
        <v>6590.793316</v>
      </c>
      <c r="J276" t="n">
        <v>7071.146917</v>
      </c>
      <c r="K276" t="n">
        <v>2576.928919</v>
      </c>
      <c r="L276" t="n">
        <v>10677.999207</v>
      </c>
      <c r="M276" t="n">
        <v>10677.999207</v>
      </c>
      <c r="N276" t="n">
        <v>10677.999207</v>
      </c>
      <c r="O276" t="n">
        <v>85.006417</v>
      </c>
      <c r="P276" t="n">
        <v>38.52237</v>
      </c>
      <c r="Q276" t="n">
        <v>10677.999207</v>
      </c>
      <c r="R276" t="n">
        <v>10677.999207</v>
      </c>
      <c r="S276" t="n">
        <v>85.006417</v>
      </c>
      <c r="T276" t="n">
        <v>85.006417</v>
      </c>
      <c r="U276" t="n">
        <v>38.52237</v>
      </c>
      <c r="V276" t="n">
        <v>38.52237</v>
      </c>
      <c r="W276" t="n">
        <v>88.306245</v>
      </c>
      <c r="X276" t="n">
        <v>11509.306401</v>
      </c>
      <c r="Y276" t="n">
        <v>113.373643</v>
      </c>
      <c r="Z276" t="n">
        <v>399.574722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140.953883</v>
      </c>
      <c r="F277" t="n">
        <v>57.638856</v>
      </c>
      <c r="G277" t="n">
        <v>1182.200226</v>
      </c>
      <c r="H277" t="n">
        <v>56775.373409</v>
      </c>
      <c r="I277" t="n">
        <v>512.103289</v>
      </c>
      <c r="J277" t="n">
        <v>553.467817</v>
      </c>
      <c r="K277" t="n">
        <v>525.794426</v>
      </c>
      <c r="L277" t="n">
        <v>602.712303</v>
      </c>
      <c r="M277" t="n">
        <v>602.712303</v>
      </c>
      <c r="N277" t="n">
        <v>602.712303</v>
      </c>
      <c r="O277" t="n">
        <v>31.190871</v>
      </c>
      <c r="P277" t="n">
        <v>18.283791</v>
      </c>
      <c r="Q277" t="n">
        <v>602.712303</v>
      </c>
      <c r="R277" t="n">
        <v>602.712303</v>
      </c>
      <c r="S277" t="n">
        <v>31.190871</v>
      </c>
      <c r="T277" t="n">
        <v>31.190871</v>
      </c>
      <c r="U277" t="n">
        <v>18.283791</v>
      </c>
      <c r="V277" t="n">
        <v>18.283791</v>
      </c>
      <c r="W277" t="n">
        <v>32.089433</v>
      </c>
      <c r="X277" t="n">
        <v>622.065443</v>
      </c>
      <c r="Y277" t="n">
        <v>34.252552</v>
      </c>
      <c r="Z277" t="n">
        <v>73.57281500000001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140.953883</v>
      </c>
      <c r="F278" t="n">
        <v>170.518341</v>
      </c>
      <c r="G278" t="n">
        <v>7847.80585</v>
      </c>
      <c r="H278" t="n">
        <v>421935.650343</v>
      </c>
      <c r="I278" t="n">
        <v>1050.872908</v>
      </c>
      <c r="J278" t="n">
        <v>1075.829695</v>
      </c>
      <c r="K278" t="n">
        <v>537.914847</v>
      </c>
      <c r="L278" t="n">
        <v>1659.687874</v>
      </c>
      <c r="M278" t="n">
        <v>1659.687874</v>
      </c>
      <c r="N278" t="n">
        <v>1659.687874</v>
      </c>
      <c r="O278" t="n">
        <v>31.362197</v>
      </c>
      <c r="P278" t="n">
        <v>16.184075</v>
      </c>
      <c r="Q278" t="n">
        <v>1659.687874</v>
      </c>
      <c r="R278" t="n">
        <v>1659.687874</v>
      </c>
      <c r="S278" t="n">
        <v>31.362197</v>
      </c>
      <c r="T278" t="n">
        <v>31.362197</v>
      </c>
      <c r="U278" t="n">
        <v>16.184075</v>
      </c>
      <c r="V278" t="n">
        <v>16.184075</v>
      </c>
      <c r="W278" t="n">
        <v>32.286772</v>
      </c>
      <c r="X278" t="n">
        <v>1775.112325</v>
      </c>
      <c r="Y278" t="n">
        <v>88.16158900000001</v>
      </c>
      <c r="Z278" t="n">
        <v>173.868813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140.953883</v>
      </c>
      <c r="F279" t="n">
        <v>228.824285</v>
      </c>
      <c r="G279" t="n">
        <v>13739.954406</v>
      </c>
      <c r="H279" t="n">
        <v>114798702.260359</v>
      </c>
      <c r="I279" t="n">
        <v>6590.793316</v>
      </c>
      <c r="J279" t="n">
        <v>7071.146917</v>
      </c>
      <c r="K279" t="n">
        <v>2576.928919</v>
      </c>
      <c r="L279" t="n">
        <v>10677.999207</v>
      </c>
      <c r="M279" t="n">
        <v>10677.999207</v>
      </c>
      <c r="N279" t="n">
        <v>10677.999207</v>
      </c>
      <c r="O279" t="n">
        <v>85.006417</v>
      </c>
      <c r="P279" t="n">
        <v>38.52237</v>
      </c>
      <c r="Q279" t="n">
        <v>10677.999207</v>
      </c>
      <c r="R279" t="n">
        <v>10677.999207</v>
      </c>
      <c r="S279" t="n">
        <v>85.006417</v>
      </c>
      <c r="T279" t="n">
        <v>85.006417</v>
      </c>
      <c r="U279" t="n">
        <v>38.52237</v>
      </c>
      <c r="V279" t="n">
        <v>38.52237</v>
      </c>
      <c r="W279" t="n">
        <v>88.306245</v>
      </c>
      <c r="X279" t="n">
        <v>11509.306401</v>
      </c>
      <c r="Y279" t="n">
        <v>113.373643</v>
      </c>
      <c r="Z279" t="n">
        <v>399.574722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140.953883</v>
      </c>
      <c r="F280" t="n">
        <v>228.824285</v>
      </c>
      <c r="G280" t="n">
        <v>13739.954406</v>
      </c>
      <c r="H280" t="n">
        <v>114798702.260359</v>
      </c>
      <c r="I280" t="n">
        <v>6590.793316</v>
      </c>
      <c r="J280" t="n">
        <v>7071.146917</v>
      </c>
      <c r="K280" t="n">
        <v>2576.928919</v>
      </c>
      <c r="L280" t="n">
        <v>10677.999207</v>
      </c>
      <c r="M280" t="n">
        <v>10677.999207</v>
      </c>
      <c r="N280" t="n">
        <v>10677.999207</v>
      </c>
      <c r="O280" t="n">
        <v>85.006417</v>
      </c>
      <c r="P280" t="n">
        <v>38.52237</v>
      </c>
      <c r="Q280" t="n">
        <v>10677.999207</v>
      </c>
      <c r="R280" t="n">
        <v>10677.999207</v>
      </c>
      <c r="S280" t="n">
        <v>85.006417</v>
      </c>
      <c r="T280" t="n">
        <v>85.006417</v>
      </c>
      <c r="U280" t="n">
        <v>38.52237</v>
      </c>
      <c r="V280" t="n">
        <v>38.52237</v>
      </c>
      <c r="W280" t="n">
        <v>88.306245</v>
      </c>
      <c r="X280" t="n">
        <v>11509.306401</v>
      </c>
      <c r="Y280" t="n">
        <v>113.373643</v>
      </c>
      <c r="Z280" t="n">
        <v>399.574722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140.953883</v>
      </c>
      <c r="F281" t="n">
        <v>200.641254</v>
      </c>
      <c r="G281" t="n">
        <v>11101.904562</v>
      </c>
      <c r="H281" t="n">
        <v>25660602.941085</v>
      </c>
      <c r="I281" t="n">
        <v>6244.222521</v>
      </c>
      <c r="J281" t="n">
        <v>6325.914048</v>
      </c>
      <c r="K281" t="n">
        <v>1872.204427</v>
      </c>
      <c r="L281" t="n">
        <v>7112.982475</v>
      </c>
      <c r="M281" t="n">
        <v>7112.982475</v>
      </c>
      <c r="N281" t="n">
        <v>7112.982475</v>
      </c>
      <c r="O281" t="n">
        <v>87.969483</v>
      </c>
      <c r="P281" t="n">
        <v>46.580547</v>
      </c>
      <c r="Q281" t="n">
        <v>7112.982475</v>
      </c>
      <c r="R281" t="n">
        <v>7112.982475</v>
      </c>
      <c r="S281" t="n">
        <v>87.969483</v>
      </c>
      <c r="T281" t="n">
        <v>87.969483</v>
      </c>
      <c r="U281" t="n">
        <v>46.580547</v>
      </c>
      <c r="V281" t="n">
        <v>46.580547</v>
      </c>
      <c r="W281" t="n">
        <v>93.060855</v>
      </c>
      <c r="X281" t="n">
        <v>7459.131892</v>
      </c>
      <c r="Y281" t="n">
        <v>100.902165</v>
      </c>
      <c r="Z281" t="n">
        <v>211.14634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140.953883</v>
      </c>
      <c r="F282" t="n">
        <v>95.34341499999999</v>
      </c>
      <c r="G282" t="n">
        <v>2845.346423</v>
      </c>
      <c r="H282" t="n">
        <v>490526.782878</v>
      </c>
      <c r="I282" t="n">
        <v>569.846189</v>
      </c>
      <c r="J282" t="n">
        <v>594.287325</v>
      </c>
      <c r="K282" t="n">
        <v>564.572959</v>
      </c>
      <c r="L282" t="n">
        <v>738.02552</v>
      </c>
      <c r="M282" t="n">
        <v>738.02552</v>
      </c>
      <c r="N282" t="n">
        <v>738.02552</v>
      </c>
      <c r="O282" t="n">
        <v>39.685535</v>
      </c>
      <c r="P282" t="n">
        <v>21.622034</v>
      </c>
      <c r="Q282" t="n">
        <v>738.02552</v>
      </c>
      <c r="R282" t="n">
        <v>738.02552</v>
      </c>
      <c r="S282" t="n">
        <v>39.685535</v>
      </c>
      <c r="T282" t="n">
        <v>39.685535</v>
      </c>
      <c r="U282" t="n">
        <v>21.622034</v>
      </c>
      <c r="V282" t="n">
        <v>21.622034</v>
      </c>
      <c r="W282" t="n">
        <v>41.109943</v>
      </c>
      <c r="X282" t="n">
        <v>772.895549</v>
      </c>
      <c r="Y282" t="n">
        <v>53.114101</v>
      </c>
      <c r="Z282" t="n">
        <v>112.240217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140.953883</v>
      </c>
      <c r="F283" t="n">
        <v>228.824285</v>
      </c>
      <c r="G283" t="n">
        <v>13739.954406</v>
      </c>
      <c r="H283" t="n">
        <v>114798702.260359</v>
      </c>
      <c r="I283" t="n">
        <v>6590.793316</v>
      </c>
      <c r="J283" t="n">
        <v>7071.146917</v>
      </c>
      <c r="K283" t="n">
        <v>2576.928919</v>
      </c>
      <c r="L283" t="n">
        <v>10677.999207</v>
      </c>
      <c r="M283" t="n">
        <v>10677.999207</v>
      </c>
      <c r="N283" t="n">
        <v>10677.999207</v>
      </c>
      <c r="O283" t="n">
        <v>85.006417</v>
      </c>
      <c r="P283" t="n">
        <v>38.52237</v>
      </c>
      <c r="Q283" t="n">
        <v>10677.999207</v>
      </c>
      <c r="R283" t="n">
        <v>10677.999207</v>
      </c>
      <c r="S283" t="n">
        <v>85.006417</v>
      </c>
      <c r="T283" t="n">
        <v>85.006417</v>
      </c>
      <c r="U283" t="n">
        <v>38.52237</v>
      </c>
      <c r="V283" t="n">
        <v>38.52237</v>
      </c>
      <c r="W283" t="n">
        <v>88.306245</v>
      </c>
      <c r="X283" t="n">
        <v>11509.306401</v>
      </c>
      <c r="Y283" t="n">
        <v>113.373643</v>
      </c>
      <c r="Z283" t="n">
        <v>399.574722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140.953883</v>
      </c>
      <c r="F284" t="n">
        <v>60.479203</v>
      </c>
      <c r="G284" t="n">
        <v>1285.725322</v>
      </c>
      <c r="H284" t="n">
        <v>3025.478454</v>
      </c>
      <c r="I284" t="n">
        <v>395.888053</v>
      </c>
      <c r="J284" t="n">
        <v>395.888053</v>
      </c>
      <c r="K284" t="n">
        <v>376.09365</v>
      </c>
      <c r="L284" t="n">
        <v>393.787233</v>
      </c>
      <c r="M284" t="n">
        <v>393.787233</v>
      </c>
      <c r="N284" t="n">
        <v>393.787233</v>
      </c>
      <c r="O284" t="n">
        <v>20.916473</v>
      </c>
      <c r="P284" t="n">
        <v>13.510088</v>
      </c>
      <c r="Q284" t="n">
        <v>393.787233</v>
      </c>
      <c r="R284" t="n">
        <v>393.787233</v>
      </c>
      <c r="S284" t="n">
        <v>20.916473</v>
      </c>
      <c r="T284" t="n">
        <v>20.916473</v>
      </c>
      <c r="U284" t="n">
        <v>13.510088</v>
      </c>
      <c r="V284" t="n">
        <v>13.510088</v>
      </c>
      <c r="W284" t="n">
        <v>21.939981</v>
      </c>
      <c r="X284" t="n">
        <v>405.784084</v>
      </c>
      <c r="Y284" t="n">
        <v>35.719215</v>
      </c>
      <c r="Z284" t="n">
        <v>45.472786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140.953883</v>
      </c>
      <c r="F285" t="n">
        <v>15.812995</v>
      </c>
      <c r="G285" t="n">
        <v>123.721444</v>
      </c>
      <c r="H285" t="n">
        <v>7384.919423</v>
      </c>
      <c r="I285" t="n">
        <v>110.765161</v>
      </c>
      <c r="J285" t="n">
        <v>110.765161</v>
      </c>
      <c r="K285" t="n">
        <v>69.11746100000001</v>
      </c>
      <c r="L285" t="n">
        <v>113.463496</v>
      </c>
      <c r="M285" t="n">
        <v>113.463496</v>
      </c>
      <c r="N285" t="n">
        <v>113.463496</v>
      </c>
      <c r="O285" t="n">
        <v>8.170260000000001</v>
      </c>
      <c r="P285" t="n">
        <v>5.693764</v>
      </c>
      <c r="Q285" t="n">
        <v>113.463496</v>
      </c>
      <c r="R285" t="n">
        <v>113.463496</v>
      </c>
      <c r="S285" t="n">
        <v>8.170260000000001</v>
      </c>
      <c r="T285" t="n">
        <v>8.170260000000001</v>
      </c>
      <c r="U285" t="n">
        <v>5.693764</v>
      </c>
      <c r="V285" t="n">
        <v>5.693764</v>
      </c>
      <c r="W285" t="n">
        <v>8.298344999999999</v>
      </c>
      <c r="X285" t="n">
        <v>118.931059</v>
      </c>
      <c r="Y285" t="n">
        <v>11.094229</v>
      </c>
      <c r="Z285" t="n">
        <v>22.315768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140.953883</v>
      </c>
      <c r="F286" t="n">
        <v>10</v>
      </c>
      <c r="G286" t="n">
        <v>55.608076</v>
      </c>
      <c r="H286" t="n">
        <v>55.608076</v>
      </c>
      <c r="I286" t="n">
        <v>115.384615</v>
      </c>
      <c r="J286" t="n">
        <v>115.384615</v>
      </c>
      <c r="K286" t="n">
        <v>6</v>
      </c>
      <c r="L286" t="n">
        <v>114.728394</v>
      </c>
      <c r="M286" t="n">
        <v>114.728394</v>
      </c>
      <c r="N286" t="n">
        <v>114.728394</v>
      </c>
      <c r="O286" t="n">
        <v>6.05984</v>
      </c>
      <c r="P286" t="n">
        <v>4.848511</v>
      </c>
      <c r="Q286" t="n">
        <v>114.728394</v>
      </c>
      <c r="R286" t="n">
        <v>114.728394</v>
      </c>
      <c r="S286" t="n">
        <v>6.05984</v>
      </c>
      <c r="T286" t="n">
        <v>6.05984</v>
      </c>
      <c r="U286" t="n">
        <v>4.848511</v>
      </c>
      <c r="V286" t="n">
        <v>4.848511</v>
      </c>
      <c r="W286" t="n">
        <v>6.224783</v>
      </c>
      <c r="X286" t="n">
        <v>116.846993</v>
      </c>
      <c r="Y286" t="n">
        <v>7.440984</v>
      </c>
      <c r="Z286" t="n">
        <v>7.440984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140.953883</v>
      </c>
      <c r="F288" t="n">
        <v>20.606299</v>
      </c>
      <c r="G288" t="n">
        <v>196.386285</v>
      </c>
      <c r="H288" t="n">
        <v>1009.116172</v>
      </c>
      <c r="I288" t="n">
        <v>131.71072</v>
      </c>
      <c r="J288" t="n">
        <v>131.71072</v>
      </c>
      <c r="K288" t="n">
        <v>125.125184</v>
      </c>
      <c r="L288" t="n">
        <v>130.894857</v>
      </c>
      <c r="M288" t="n">
        <v>130.894857</v>
      </c>
      <c r="N288" t="n">
        <v>130.894857</v>
      </c>
      <c r="O288" t="n">
        <v>12.255972</v>
      </c>
      <c r="P288" t="n">
        <v>8.448598</v>
      </c>
      <c r="Q288" t="n">
        <v>130.894857</v>
      </c>
      <c r="R288" t="n">
        <v>130.894857</v>
      </c>
      <c r="S288" t="n">
        <v>12.255972</v>
      </c>
      <c r="T288" t="n">
        <v>12.255972</v>
      </c>
      <c r="U288" t="n">
        <v>8.448598</v>
      </c>
      <c r="V288" t="n">
        <v>8.448598</v>
      </c>
      <c r="W288" t="n">
        <v>12.680707</v>
      </c>
      <c r="X288" t="n">
        <v>136.520004</v>
      </c>
      <c r="Y288" t="n">
        <v>13.974049</v>
      </c>
      <c r="Z288" t="n">
        <v>22.490141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140.953883</v>
      </c>
      <c r="F289" t="n">
        <v>228.824285</v>
      </c>
      <c r="G289" t="n">
        <v>13739.954406</v>
      </c>
      <c r="H289" t="n">
        <v>114798702.260359</v>
      </c>
      <c r="I289" t="n">
        <v>6590.793316</v>
      </c>
      <c r="J289" t="n">
        <v>7071.146917</v>
      </c>
      <c r="K289" t="n">
        <v>2576.928919</v>
      </c>
      <c r="L289" t="n">
        <v>10677.999207</v>
      </c>
      <c r="M289" t="n">
        <v>10677.999207</v>
      </c>
      <c r="N289" t="n">
        <v>10677.999207</v>
      </c>
      <c r="O289" t="n">
        <v>85.006417</v>
      </c>
      <c r="P289" t="n">
        <v>38.52237</v>
      </c>
      <c r="Q289" t="n">
        <v>10677.999207</v>
      </c>
      <c r="R289" t="n">
        <v>10677.999207</v>
      </c>
      <c r="S289" t="n">
        <v>85.006417</v>
      </c>
      <c r="T289" t="n">
        <v>85.006417</v>
      </c>
      <c r="U289" t="n">
        <v>38.52237</v>
      </c>
      <c r="V289" t="n">
        <v>38.52237</v>
      </c>
      <c r="W289" t="n">
        <v>88.306245</v>
      </c>
      <c r="X289" t="n">
        <v>11509.306401</v>
      </c>
      <c r="Y289" t="n">
        <v>113.373643</v>
      </c>
      <c r="Z289" t="n">
        <v>399.574722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140.953883</v>
      </c>
      <c r="F290" t="n">
        <v>57.638856</v>
      </c>
      <c r="G290" t="n">
        <v>1182.200226</v>
      </c>
      <c r="H290" t="n">
        <v>56775.373409</v>
      </c>
      <c r="I290" t="n">
        <v>512.103289</v>
      </c>
      <c r="J290" t="n">
        <v>553.467817</v>
      </c>
      <c r="K290" t="n">
        <v>525.794426</v>
      </c>
      <c r="L290" t="n">
        <v>602.712303</v>
      </c>
      <c r="M290" t="n">
        <v>602.712303</v>
      </c>
      <c r="N290" t="n">
        <v>602.712303</v>
      </c>
      <c r="O290" t="n">
        <v>31.190871</v>
      </c>
      <c r="P290" t="n">
        <v>18.283791</v>
      </c>
      <c r="Q290" t="n">
        <v>602.712303</v>
      </c>
      <c r="R290" t="n">
        <v>602.712303</v>
      </c>
      <c r="S290" t="n">
        <v>31.190871</v>
      </c>
      <c r="T290" t="n">
        <v>31.190871</v>
      </c>
      <c r="U290" t="n">
        <v>18.283791</v>
      </c>
      <c r="V290" t="n">
        <v>18.283791</v>
      </c>
      <c r="W290" t="n">
        <v>32.089433</v>
      </c>
      <c r="X290" t="n">
        <v>622.065443</v>
      </c>
      <c r="Y290" t="n">
        <v>34.252552</v>
      </c>
      <c r="Z290" t="n">
        <v>73.57281500000001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140.953883</v>
      </c>
      <c r="F291" t="n">
        <v>200.641254</v>
      </c>
      <c r="G291" t="n">
        <v>11101.904562</v>
      </c>
      <c r="H291" t="n">
        <v>25660602.941085</v>
      </c>
      <c r="I291" t="n">
        <v>6244.222521</v>
      </c>
      <c r="J291" t="n">
        <v>6325.914048</v>
      </c>
      <c r="K291" t="n">
        <v>1872.204427</v>
      </c>
      <c r="L291" t="n">
        <v>7112.982475</v>
      </c>
      <c r="M291" t="n">
        <v>7112.982475</v>
      </c>
      <c r="N291" t="n">
        <v>7112.982475</v>
      </c>
      <c r="O291" t="n">
        <v>87.969483</v>
      </c>
      <c r="P291" t="n">
        <v>46.580547</v>
      </c>
      <c r="Q291" t="n">
        <v>7112.982475</v>
      </c>
      <c r="R291" t="n">
        <v>7112.982475</v>
      </c>
      <c r="S291" t="n">
        <v>87.969483</v>
      </c>
      <c r="T291" t="n">
        <v>87.969483</v>
      </c>
      <c r="U291" t="n">
        <v>46.580547</v>
      </c>
      <c r="V291" t="n">
        <v>46.580547</v>
      </c>
      <c r="W291" t="n">
        <v>93.060855</v>
      </c>
      <c r="X291" t="n">
        <v>7459.131892</v>
      </c>
      <c r="Y291" t="n">
        <v>100.902165</v>
      </c>
      <c r="Z291" t="n">
        <v>211.14634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140.953883</v>
      </c>
      <c r="F292" t="n">
        <v>539.046528</v>
      </c>
      <c r="G292" t="n">
        <v>58487.681751</v>
      </c>
      <c r="H292" t="n">
        <v>89769700.66949099</v>
      </c>
      <c r="I292" t="n">
        <v>10399.759602</v>
      </c>
      <c r="J292" t="n">
        <v>10694.630086</v>
      </c>
      <c r="K292" t="n">
        <v>4010.486282</v>
      </c>
      <c r="L292" t="n">
        <v>14214.100911</v>
      </c>
      <c r="M292" t="n">
        <v>14214.100911</v>
      </c>
      <c r="N292" t="n">
        <v>14214.100911</v>
      </c>
      <c r="O292" t="n">
        <v>203.72024</v>
      </c>
      <c r="P292" t="n">
        <v>90.708206</v>
      </c>
      <c r="Q292" t="n">
        <v>14214.100911</v>
      </c>
      <c r="R292" t="n">
        <v>14214.100911</v>
      </c>
      <c r="S292" t="n">
        <v>203.72024</v>
      </c>
      <c r="T292" t="n">
        <v>203.72024</v>
      </c>
      <c r="U292" t="n">
        <v>90.708206</v>
      </c>
      <c r="V292" t="n">
        <v>90.708206</v>
      </c>
      <c r="W292" t="n">
        <v>213.076898</v>
      </c>
      <c r="X292" t="n">
        <v>15231.972848</v>
      </c>
      <c r="Y292" t="n">
        <v>240.418747</v>
      </c>
      <c r="Z292" t="n">
        <v>654.813563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140.953883</v>
      </c>
      <c r="F293" t="n">
        <v>200.641254</v>
      </c>
      <c r="G293" t="n">
        <v>11101.904562</v>
      </c>
      <c r="H293" t="n">
        <v>25660602.941085</v>
      </c>
      <c r="I293" t="n">
        <v>6244.222521</v>
      </c>
      <c r="J293" t="n">
        <v>6325.914048</v>
      </c>
      <c r="K293" t="n">
        <v>1872.204427</v>
      </c>
      <c r="L293" t="n">
        <v>7112.982475</v>
      </c>
      <c r="M293" t="n">
        <v>7112.982475</v>
      </c>
      <c r="N293" t="n">
        <v>7112.982475</v>
      </c>
      <c r="O293" t="n">
        <v>87.969483</v>
      </c>
      <c r="P293" t="n">
        <v>46.580547</v>
      </c>
      <c r="Q293" t="n">
        <v>7112.982475</v>
      </c>
      <c r="R293" t="n">
        <v>7112.982475</v>
      </c>
      <c r="S293" t="n">
        <v>87.969483</v>
      </c>
      <c r="T293" t="n">
        <v>87.969483</v>
      </c>
      <c r="U293" t="n">
        <v>46.580547</v>
      </c>
      <c r="V293" t="n">
        <v>46.580547</v>
      </c>
      <c r="W293" t="n">
        <v>93.060855</v>
      </c>
      <c r="X293" t="n">
        <v>7459.131892</v>
      </c>
      <c r="Y293" t="n">
        <v>100.902165</v>
      </c>
      <c r="Z293" t="n">
        <v>211.14634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140.953883</v>
      </c>
      <c r="F295" t="n">
        <v>200.641254</v>
      </c>
      <c r="G295" t="n">
        <v>11101.904562</v>
      </c>
      <c r="H295" t="n">
        <v>25660602.941085</v>
      </c>
      <c r="I295" t="n">
        <v>6244.222521</v>
      </c>
      <c r="J295" t="n">
        <v>6325.914048</v>
      </c>
      <c r="K295" t="n">
        <v>1872.204427</v>
      </c>
      <c r="L295" t="n">
        <v>7112.982475</v>
      </c>
      <c r="M295" t="n">
        <v>7112.982475</v>
      </c>
      <c r="N295" t="n">
        <v>7112.982475</v>
      </c>
      <c r="O295" t="n">
        <v>87.969483</v>
      </c>
      <c r="P295" t="n">
        <v>46.580547</v>
      </c>
      <c r="Q295" t="n">
        <v>7112.982475</v>
      </c>
      <c r="R295" t="n">
        <v>7112.982475</v>
      </c>
      <c r="S295" t="n">
        <v>87.969483</v>
      </c>
      <c r="T295" t="n">
        <v>87.969483</v>
      </c>
      <c r="U295" t="n">
        <v>46.580547</v>
      </c>
      <c r="V295" t="n">
        <v>46.580547</v>
      </c>
      <c r="W295" t="n">
        <v>93.060855</v>
      </c>
      <c r="X295" t="n">
        <v>7459.131892</v>
      </c>
      <c r="Y295" t="n">
        <v>100.902165</v>
      </c>
      <c r="Z295" t="n">
        <v>211.14634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140.953883</v>
      </c>
      <c r="F296" t="n">
        <v>908.988005</v>
      </c>
      <c r="G296" t="n">
        <v>145576.696024</v>
      </c>
      <c r="H296" t="n">
        <v>48080410.421404</v>
      </c>
      <c r="I296" t="n">
        <v>125208.792952</v>
      </c>
      <c r="J296" t="n">
        <v>126616.154086</v>
      </c>
      <c r="K296" t="n">
        <v>63308.077043</v>
      </c>
      <c r="L296" t="n">
        <v>172174.15174</v>
      </c>
      <c r="M296" t="n">
        <v>172174.151739</v>
      </c>
      <c r="N296" t="n">
        <v>172174.151739</v>
      </c>
      <c r="O296" t="n">
        <v>202.141045</v>
      </c>
      <c r="P296" t="n">
        <v>87.49926499999999</v>
      </c>
      <c r="Q296" t="n">
        <v>172174.151739</v>
      </c>
      <c r="R296" t="n">
        <v>172174.151739</v>
      </c>
      <c r="S296" t="n">
        <v>202.141045</v>
      </c>
      <c r="T296" t="n">
        <v>202.141045</v>
      </c>
      <c r="U296" t="n">
        <v>87.49926499999999</v>
      </c>
      <c r="V296" t="n">
        <v>87.49926499999999</v>
      </c>
      <c r="W296" t="n">
        <v>214.928725</v>
      </c>
      <c r="X296" t="n">
        <v>183923.261916</v>
      </c>
      <c r="Y296" t="n">
        <v>379.113334</v>
      </c>
      <c r="Z296" t="n">
        <v>767.7179190000001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140.953883</v>
      </c>
      <c r="F297" t="n">
        <v>95.34341499999999</v>
      </c>
      <c r="G297" t="n">
        <v>2845.346423</v>
      </c>
      <c r="H297" t="n">
        <v>490526.782878</v>
      </c>
      <c r="I297" t="n">
        <v>569.846189</v>
      </c>
      <c r="J297" t="n">
        <v>594.287325</v>
      </c>
      <c r="K297" t="n">
        <v>564.572959</v>
      </c>
      <c r="L297" t="n">
        <v>738.02552</v>
      </c>
      <c r="M297" t="n">
        <v>738.02552</v>
      </c>
      <c r="N297" t="n">
        <v>738.02552</v>
      </c>
      <c r="O297" t="n">
        <v>39.685535</v>
      </c>
      <c r="P297" t="n">
        <v>21.622034</v>
      </c>
      <c r="Q297" t="n">
        <v>738.02552</v>
      </c>
      <c r="R297" t="n">
        <v>738.02552</v>
      </c>
      <c r="S297" t="n">
        <v>39.685535</v>
      </c>
      <c r="T297" t="n">
        <v>39.685535</v>
      </c>
      <c r="U297" t="n">
        <v>21.622034</v>
      </c>
      <c r="V297" t="n">
        <v>21.622034</v>
      </c>
      <c r="W297" t="n">
        <v>41.109943</v>
      </c>
      <c r="X297" t="n">
        <v>772.895549</v>
      </c>
      <c r="Y297" t="n">
        <v>53.114101</v>
      </c>
      <c r="Z297" t="n">
        <v>112.240217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140.953883</v>
      </c>
      <c r="F298" t="n">
        <v>95.34341499999999</v>
      </c>
      <c r="G298" t="n">
        <v>2845.346423</v>
      </c>
      <c r="H298" t="n">
        <v>490526.782878</v>
      </c>
      <c r="I298" t="n">
        <v>569.846189</v>
      </c>
      <c r="J298" t="n">
        <v>594.287325</v>
      </c>
      <c r="K298" t="n">
        <v>564.572959</v>
      </c>
      <c r="L298" t="n">
        <v>738.02552</v>
      </c>
      <c r="M298" t="n">
        <v>738.02552</v>
      </c>
      <c r="N298" t="n">
        <v>738.02552</v>
      </c>
      <c r="O298" t="n">
        <v>39.685535</v>
      </c>
      <c r="P298" t="n">
        <v>21.622034</v>
      </c>
      <c r="Q298" t="n">
        <v>738.02552</v>
      </c>
      <c r="R298" t="n">
        <v>738.02552</v>
      </c>
      <c r="S298" t="n">
        <v>39.685535</v>
      </c>
      <c r="T298" t="n">
        <v>39.685535</v>
      </c>
      <c r="U298" t="n">
        <v>21.622034</v>
      </c>
      <c r="V298" t="n">
        <v>21.622034</v>
      </c>
      <c r="W298" t="n">
        <v>41.109943</v>
      </c>
      <c r="X298" t="n">
        <v>772.895549</v>
      </c>
      <c r="Y298" t="n">
        <v>53.114101</v>
      </c>
      <c r="Z298" t="n">
        <v>112.240217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140.953883</v>
      </c>
      <c r="F299" t="n">
        <v>228.824285</v>
      </c>
      <c r="G299" t="n">
        <v>13739.954406</v>
      </c>
      <c r="H299" t="n">
        <v>114798702.260359</v>
      </c>
      <c r="I299" t="n">
        <v>6590.793316</v>
      </c>
      <c r="J299" t="n">
        <v>7071.146917</v>
      </c>
      <c r="K299" t="n">
        <v>2576.928919</v>
      </c>
      <c r="L299" t="n">
        <v>10677.999207</v>
      </c>
      <c r="M299" t="n">
        <v>10677.999207</v>
      </c>
      <c r="N299" t="n">
        <v>10677.999207</v>
      </c>
      <c r="O299" t="n">
        <v>85.006417</v>
      </c>
      <c r="P299" t="n">
        <v>38.52237</v>
      </c>
      <c r="Q299" t="n">
        <v>10677.999207</v>
      </c>
      <c r="R299" t="n">
        <v>10677.999207</v>
      </c>
      <c r="S299" t="n">
        <v>85.006417</v>
      </c>
      <c r="T299" t="n">
        <v>85.006417</v>
      </c>
      <c r="U299" t="n">
        <v>38.52237</v>
      </c>
      <c r="V299" t="n">
        <v>38.52237</v>
      </c>
      <c r="W299" t="n">
        <v>88.306245</v>
      </c>
      <c r="X299" t="n">
        <v>11509.306401</v>
      </c>
      <c r="Y299" t="n">
        <v>113.373643</v>
      </c>
      <c r="Z299" t="n">
        <v>399.574722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140.953883</v>
      </c>
      <c r="F300" t="n">
        <v>308.68601</v>
      </c>
      <c r="G300" t="n">
        <v>22108.042525</v>
      </c>
      <c r="H300" t="n">
        <v>195781560.03917</v>
      </c>
      <c r="I300" t="n">
        <v>10706.101486</v>
      </c>
      <c r="J300" t="n">
        <v>10781.622707</v>
      </c>
      <c r="K300" t="n">
        <v>3924.510665</v>
      </c>
      <c r="L300" t="n">
        <v>18846.946222</v>
      </c>
      <c r="M300" t="n">
        <v>18846.946222</v>
      </c>
      <c r="N300" t="n">
        <v>18846.946222</v>
      </c>
      <c r="O300" t="n">
        <v>119.185901</v>
      </c>
      <c r="P300" t="n">
        <v>52.155741</v>
      </c>
      <c r="Q300" t="n">
        <v>18846.946222</v>
      </c>
      <c r="R300" t="n">
        <v>18846.946222</v>
      </c>
      <c r="S300" t="n">
        <v>119.185901</v>
      </c>
      <c r="T300" t="n">
        <v>119.185901</v>
      </c>
      <c r="U300" t="n">
        <v>52.155741</v>
      </c>
      <c r="V300" t="n">
        <v>52.155741</v>
      </c>
      <c r="W300" t="n">
        <v>124.506314</v>
      </c>
      <c r="X300" t="n">
        <v>20404.471037</v>
      </c>
      <c r="Y300" t="n">
        <v>147.889899</v>
      </c>
      <c r="Z300" t="n">
        <v>588.19732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140.953883</v>
      </c>
      <c r="F301" t="n">
        <v>18.617087</v>
      </c>
      <c r="G301" t="n">
        <v>164.501951</v>
      </c>
      <c r="H301" t="n">
        <v>16631.862825</v>
      </c>
      <c r="I301" t="n">
        <v>603.989501</v>
      </c>
      <c r="J301" t="n">
        <v>603.989501</v>
      </c>
      <c r="K301" t="n">
        <v>240.387821</v>
      </c>
      <c r="L301" t="n">
        <v>1080.992157</v>
      </c>
      <c r="M301" t="n">
        <v>1080.992157</v>
      </c>
      <c r="N301" t="n">
        <v>1080.992157</v>
      </c>
      <c r="O301" t="n">
        <v>17.290347</v>
      </c>
      <c r="P301" t="n">
        <v>9.498851999999999</v>
      </c>
      <c r="Q301" t="n">
        <v>1080.992157</v>
      </c>
      <c r="R301" t="n">
        <v>1080.992157</v>
      </c>
      <c r="S301" t="n">
        <v>17.290347</v>
      </c>
      <c r="T301" t="n">
        <v>17.290347</v>
      </c>
      <c r="U301" t="n">
        <v>9.498851999999999</v>
      </c>
      <c r="V301" t="n">
        <v>9.498851999999999</v>
      </c>
      <c r="W301" t="n">
        <v>17.932707</v>
      </c>
      <c r="X301" t="n">
        <v>1135.08839</v>
      </c>
      <c r="Y301" t="n">
        <v>12.790679</v>
      </c>
      <c r="Z301" t="n">
        <v>41.60617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140.953883</v>
      </c>
      <c r="F302" t="n">
        <v>308.68601</v>
      </c>
      <c r="G302" t="n">
        <v>22108.042525</v>
      </c>
      <c r="H302" t="n">
        <v>195781560.03917</v>
      </c>
      <c r="I302" t="n">
        <v>10706.101486</v>
      </c>
      <c r="J302" t="n">
        <v>10781.622707</v>
      </c>
      <c r="K302" t="n">
        <v>3924.510665</v>
      </c>
      <c r="L302" t="n">
        <v>18846.946222</v>
      </c>
      <c r="M302" t="n">
        <v>18846.946222</v>
      </c>
      <c r="N302" t="n">
        <v>18846.946222</v>
      </c>
      <c r="O302" t="n">
        <v>119.185901</v>
      </c>
      <c r="P302" t="n">
        <v>52.155741</v>
      </c>
      <c r="Q302" t="n">
        <v>18846.946222</v>
      </c>
      <c r="R302" t="n">
        <v>18846.946222</v>
      </c>
      <c r="S302" t="n">
        <v>119.185901</v>
      </c>
      <c r="T302" t="n">
        <v>119.185901</v>
      </c>
      <c r="U302" t="n">
        <v>52.155741</v>
      </c>
      <c r="V302" t="n">
        <v>52.155741</v>
      </c>
      <c r="W302" t="n">
        <v>124.506314</v>
      </c>
      <c r="X302" t="n">
        <v>20404.471037</v>
      </c>
      <c r="Y302" t="n">
        <v>147.889899</v>
      </c>
      <c r="Z302" t="n">
        <v>588.19732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140.953883</v>
      </c>
      <c r="F303" t="n">
        <v>57.638856</v>
      </c>
      <c r="G303" t="n">
        <v>1182.200226</v>
      </c>
      <c r="H303" t="n">
        <v>56775.373409</v>
      </c>
      <c r="I303" t="n">
        <v>512.103289</v>
      </c>
      <c r="J303" t="n">
        <v>553.467817</v>
      </c>
      <c r="K303" t="n">
        <v>525.794426</v>
      </c>
      <c r="L303" t="n">
        <v>602.712303</v>
      </c>
      <c r="M303" t="n">
        <v>602.712303</v>
      </c>
      <c r="N303" t="n">
        <v>602.712303</v>
      </c>
      <c r="O303" t="n">
        <v>31.190871</v>
      </c>
      <c r="P303" t="n">
        <v>18.283791</v>
      </c>
      <c r="Q303" t="n">
        <v>602.712303</v>
      </c>
      <c r="R303" t="n">
        <v>602.712303</v>
      </c>
      <c r="S303" t="n">
        <v>31.190871</v>
      </c>
      <c r="T303" t="n">
        <v>31.190871</v>
      </c>
      <c r="U303" t="n">
        <v>18.283791</v>
      </c>
      <c r="V303" t="n">
        <v>18.283791</v>
      </c>
      <c r="W303" t="n">
        <v>32.089433</v>
      </c>
      <c r="X303" t="n">
        <v>622.065443</v>
      </c>
      <c r="Y303" t="n">
        <v>34.252552</v>
      </c>
      <c r="Z303" t="n">
        <v>73.57281500000001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140.953883</v>
      </c>
      <c r="F304" t="n">
        <v>200.641254</v>
      </c>
      <c r="G304" t="n">
        <v>11101.904562</v>
      </c>
      <c r="H304" t="n">
        <v>25660602.941085</v>
      </c>
      <c r="I304" t="n">
        <v>6244.222521</v>
      </c>
      <c r="J304" t="n">
        <v>6325.914048</v>
      </c>
      <c r="K304" t="n">
        <v>1872.204427</v>
      </c>
      <c r="L304" t="n">
        <v>7112.982475</v>
      </c>
      <c r="M304" t="n">
        <v>7112.982475</v>
      </c>
      <c r="N304" t="n">
        <v>7112.982475</v>
      </c>
      <c r="O304" t="n">
        <v>87.969483</v>
      </c>
      <c r="P304" t="n">
        <v>46.580547</v>
      </c>
      <c r="Q304" t="n">
        <v>7112.982475</v>
      </c>
      <c r="R304" t="n">
        <v>7112.982475</v>
      </c>
      <c r="S304" t="n">
        <v>87.969483</v>
      </c>
      <c r="T304" t="n">
        <v>87.969483</v>
      </c>
      <c r="U304" t="n">
        <v>46.580547</v>
      </c>
      <c r="V304" t="n">
        <v>46.580547</v>
      </c>
      <c r="W304" t="n">
        <v>93.060855</v>
      </c>
      <c r="X304" t="n">
        <v>7459.131892</v>
      </c>
      <c r="Y304" t="n">
        <v>100.902165</v>
      </c>
      <c r="Z304" t="n">
        <v>211.14634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140.953883</v>
      </c>
      <c r="F305" t="n">
        <v>228.824285</v>
      </c>
      <c r="G305" t="n">
        <v>13739.954406</v>
      </c>
      <c r="H305" t="n">
        <v>114798702.260359</v>
      </c>
      <c r="I305" t="n">
        <v>6590.793316</v>
      </c>
      <c r="J305" t="n">
        <v>7071.146917</v>
      </c>
      <c r="K305" t="n">
        <v>2576.928919</v>
      </c>
      <c r="L305" t="n">
        <v>10677.999207</v>
      </c>
      <c r="M305" t="n">
        <v>10677.999207</v>
      </c>
      <c r="N305" t="n">
        <v>10677.999207</v>
      </c>
      <c r="O305" t="n">
        <v>85.006417</v>
      </c>
      <c r="P305" t="n">
        <v>38.52237</v>
      </c>
      <c r="Q305" t="n">
        <v>10677.999207</v>
      </c>
      <c r="R305" t="n">
        <v>10677.999207</v>
      </c>
      <c r="S305" t="n">
        <v>85.006417</v>
      </c>
      <c r="T305" t="n">
        <v>85.006417</v>
      </c>
      <c r="U305" t="n">
        <v>38.52237</v>
      </c>
      <c r="V305" t="n">
        <v>38.52237</v>
      </c>
      <c r="W305" t="n">
        <v>88.306245</v>
      </c>
      <c r="X305" t="n">
        <v>11509.306401</v>
      </c>
      <c r="Y305" t="n">
        <v>113.373643</v>
      </c>
      <c r="Z305" t="n">
        <v>399.574722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140.953883</v>
      </c>
      <c r="F306" t="n">
        <v>177.371403</v>
      </c>
      <c r="G306" t="n">
        <v>9540.408934999999</v>
      </c>
      <c r="H306" t="n">
        <v>70736320.08912501</v>
      </c>
      <c r="I306" t="n">
        <v>4269.898312</v>
      </c>
      <c r="J306" t="n">
        <v>4574.511297</v>
      </c>
      <c r="K306" t="n">
        <v>1801.225895</v>
      </c>
      <c r="L306" t="n">
        <v>6846.4367</v>
      </c>
      <c r="M306" t="n">
        <v>6846.4367</v>
      </c>
      <c r="N306" t="n">
        <v>6846.4367</v>
      </c>
      <c r="O306" t="n">
        <v>67.536573</v>
      </c>
      <c r="P306" t="n">
        <v>32.007796</v>
      </c>
      <c r="Q306" t="n">
        <v>6846.4367</v>
      </c>
      <c r="R306" t="n">
        <v>6846.4367</v>
      </c>
      <c r="S306" t="n">
        <v>67.536573</v>
      </c>
      <c r="T306" t="n">
        <v>67.536573</v>
      </c>
      <c r="U306" t="n">
        <v>32.007796</v>
      </c>
      <c r="V306" t="n">
        <v>32.007796</v>
      </c>
      <c r="W306" t="n">
        <v>70.113483</v>
      </c>
      <c r="X306" t="n">
        <v>7370.741192</v>
      </c>
      <c r="Y306" t="n">
        <v>90.145392</v>
      </c>
      <c r="Z306" t="n">
        <v>288.815865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140.953883</v>
      </c>
      <c r="F307" t="n">
        <v>15.812995</v>
      </c>
      <c r="G307" t="n">
        <v>123.721444</v>
      </c>
      <c r="H307" t="n">
        <v>7384.919423</v>
      </c>
      <c r="I307" t="n">
        <v>110.765161</v>
      </c>
      <c r="J307" t="n">
        <v>110.765161</v>
      </c>
      <c r="K307" t="n">
        <v>69.11746100000001</v>
      </c>
      <c r="L307" t="n">
        <v>113.463496</v>
      </c>
      <c r="M307" t="n">
        <v>113.463496</v>
      </c>
      <c r="N307" t="n">
        <v>113.463496</v>
      </c>
      <c r="O307" t="n">
        <v>8.170260000000001</v>
      </c>
      <c r="P307" t="n">
        <v>5.693764</v>
      </c>
      <c r="Q307" t="n">
        <v>113.463496</v>
      </c>
      <c r="R307" t="n">
        <v>113.463496</v>
      </c>
      <c r="S307" t="n">
        <v>8.170260000000001</v>
      </c>
      <c r="T307" t="n">
        <v>8.170260000000001</v>
      </c>
      <c r="U307" t="n">
        <v>5.693764</v>
      </c>
      <c r="V307" t="n">
        <v>5.693764</v>
      </c>
      <c r="W307" t="n">
        <v>8.298344999999999</v>
      </c>
      <c r="X307" t="n">
        <v>118.931059</v>
      </c>
      <c r="Y307" t="n">
        <v>11.094229</v>
      </c>
      <c r="Z307" t="n">
        <v>22.315768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140.953883</v>
      </c>
      <c r="F308" t="n">
        <v>908.988005</v>
      </c>
      <c r="G308" t="n">
        <v>145576.696024</v>
      </c>
      <c r="H308" t="n">
        <v>48080410.421404</v>
      </c>
      <c r="I308" t="n">
        <v>125208.792952</v>
      </c>
      <c r="J308" t="n">
        <v>126616.154086</v>
      </c>
      <c r="K308" t="n">
        <v>63308.077043</v>
      </c>
      <c r="L308" t="n">
        <v>172174.15174</v>
      </c>
      <c r="M308" t="n">
        <v>172174.151739</v>
      </c>
      <c r="N308" t="n">
        <v>172174.151739</v>
      </c>
      <c r="O308" t="n">
        <v>202.141045</v>
      </c>
      <c r="P308" t="n">
        <v>87.49926499999999</v>
      </c>
      <c r="Q308" t="n">
        <v>172174.151739</v>
      </c>
      <c r="R308" t="n">
        <v>172174.151739</v>
      </c>
      <c r="S308" t="n">
        <v>202.141045</v>
      </c>
      <c r="T308" t="n">
        <v>202.141045</v>
      </c>
      <c r="U308" t="n">
        <v>87.49926499999999</v>
      </c>
      <c r="V308" t="n">
        <v>87.49926499999999</v>
      </c>
      <c r="W308" t="n">
        <v>214.928725</v>
      </c>
      <c r="X308" t="n">
        <v>183923.261916</v>
      </c>
      <c r="Y308" t="n">
        <v>379.113334</v>
      </c>
      <c r="Z308" t="n">
        <v>767.7179190000001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140.953883</v>
      </c>
      <c r="F309" t="n">
        <v>200.641254</v>
      </c>
      <c r="G309" t="n">
        <v>11101.904562</v>
      </c>
      <c r="H309" t="n">
        <v>25660602.941085</v>
      </c>
      <c r="I309" t="n">
        <v>6244.222521</v>
      </c>
      <c r="J309" t="n">
        <v>6325.914048</v>
      </c>
      <c r="K309" t="n">
        <v>1872.204427</v>
      </c>
      <c r="L309" t="n">
        <v>7112.982475</v>
      </c>
      <c r="M309" t="n">
        <v>7112.982475</v>
      </c>
      <c r="N309" t="n">
        <v>7112.982475</v>
      </c>
      <c r="O309" t="n">
        <v>87.969483</v>
      </c>
      <c r="P309" t="n">
        <v>46.580547</v>
      </c>
      <c r="Q309" t="n">
        <v>7112.982475</v>
      </c>
      <c r="R309" t="n">
        <v>7112.982475</v>
      </c>
      <c r="S309" t="n">
        <v>87.969483</v>
      </c>
      <c r="T309" t="n">
        <v>87.969483</v>
      </c>
      <c r="U309" t="n">
        <v>46.580547</v>
      </c>
      <c r="V309" t="n">
        <v>46.580547</v>
      </c>
      <c r="W309" t="n">
        <v>93.060855</v>
      </c>
      <c r="X309" t="n">
        <v>7459.131892</v>
      </c>
      <c r="Y309" t="n">
        <v>100.902165</v>
      </c>
      <c r="Z309" t="n">
        <v>211.14634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140.953883</v>
      </c>
      <c r="F310" t="n">
        <v>14.712171</v>
      </c>
      <c r="G310" t="n">
        <v>109.082967</v>
      </c>
      <c r="H310" t="n">
        <v>1554.089564</v>
      </c>
      <c r="I310" t="n">
        <v>87.52377799999999</v>
      </c>
      <c r="J310" t="n">
        <v>87.52377799999999</v>
      </c>
      <c r="K310" t="n">
        <v>33.521607</v>
      </c>
      <c r="L310" t="n">
        <v>92.59366</v>
      </c>
      <c r="M310" t="n">
        <v>92.59366</v>
      </c>
      <c r="N310" t="n">
        <v>92.59366</v>
      </c>
      <c r="O310" t="n">
        <v>4.448657</v>
      </c>
      <c r="P310" t="n">
        <v>3.058348</v>
      </c>
      <c r="Q310" t="n">
        <v>92.59366</v>
      </c>
      <c r="R310" t="n">
        <v>92.59366</v>
      </c>
      <c r="S310" t="n">
        <v>4.448657</v>
      </c>
      <c r="T310" t="n">
        <v>4.448657</v>
      </c>
      <c r="U310" t="n">
        <v>3.058348</v>
      </c>
      <c r="V310" t="n">
        <v>3.058348</v>
      </c>
      <c r="W310" t="n">
        <v>4.556294</v>
      </c>
      <c r="X310" t="n">
        <v>96.447226</v>
      </c>
      <c r="Y310" t="n">
        <v>10.417956</v>
      </c>
      <c r="Z310" t="n">
        <v>17.174689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140.953883</v>
      </c>
      <c r="F311" t="n">
        <v>228.824285</v>
      </c>
      <c r="G311" t="n">
        <v>13739.954406</v>
      </c>
      <c r="H311" t="n">
        <v>114798702.260359</v>
      </c>
      <c r="I311" t="n">
        <v>6590.793316</v>
      </c>
      <c r="J311" t="n">
        <v>7071.146917</v>
      </c>
      <c r="K311" t="n">
        <v>2576.928919</v>
      </c>
      <c r="L311" t="n">
        <v>10677.999207</v>
      </c>
      <c r="M311" t="n">
        <v>10677.999207</v>
      </c>
      <c r="N311" t="n">
        <v>10677.999207</v>
      </c>
      <c r="O311" t="n">
        <v>85.006417</v>
      </c>
      <c r="P311" t="n">
        <v>38.52237</v>
      </c>
      <c r="Q311" t="n">
        <v>10677.999207</v>
      </c>
      <c r="R311" t="n">
        <v>10677.999207</v>
      </c>
      <c r="S311" t="n">
        <v>85.006417</v>
      </c>
      <c r="T311" t="n">
        <v>85.006417</v>
      </c>
      <c r="U311" t="n">
        <v>38.52237</v>
      </c>
      <c r="V311" t="n">
        <v>38.52237</v>
      </c>
      <c r="W311" t="n">
        <v>88.306245</v>
      </c>
      <c r="X311" t="n">
        <v>11509.306401</v>
      </c>
      <c r="Y311" t="n">
        <v>113.373643</v>
      </c>
      <c r="Z311" t="n">
        <v>399.574722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140.953883</v>
      </c>
      <c r="F312" t="n">
        <v>228.824285</v>
      </c>
      <c r="G312" t="n">
        <v>13739.954406</v>
      </c>
      <c r="H312" t="n">
        <v>114798702.260359</v>
      </c>
      <c r="I312" t="n">
        <v>6590.793316</v>
      </c>
      <c r="J312" t="n">
        <v>7071.146917</v>
      </c>
      <c r="K312" t="n">
        <v>2576.928919</v>
      </c>
      <c r="L312" t="n">
        <v>10677.999207</v>
      </c>
      <c r="M312" t="n">
        <v>10677.999207</v>
      </c>
      <c r="N312" t="n">
        <v>10677.999207</v>
      </c>
      <c r="O312" t="n">
        <v>85.006417</v>
      </c>
      <c r="P312" t="n">
        <v>38.52237</v>
      </c>
      <c r="Q312" t="n">
        <v>10677.999207</v>
      </c>
      <c r="R312" t="n">
        <v>10677.999207</v>
      </c>
      <c r="S312" t="n">
        <v>85.006417</v>
      </c>
      <c r="T312" t="n">
        <v>85.006417</v>
      </c>
      <c r="U312" t="n">
        <v>38.52237</v>
      </c>
      <c r="V312" t="n">
        <v>38.52237</v>
      </c>
      <c r="W312" t="n">
        <v>88.306245</v>
      </c>
      <c r="X312" t="n">
        <v>11509.306401</v>
      </c>
      <c r="Y312" t="n">
        <v>113.373643</v>
      </c>
      <c r="Z312" t="n">
        <v>399.574722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140.953883</v>
      </c>
      <c r="F313" t="n">
        <v>200.641254</v>
      </c>
      <c r="G313" t="n">
        <v>11101.904562</v>
      </c>
      <c r="H313" t="n">
        <v>25660602.941085</v>
      </c>
      <c r="I313" t="n">
        <v>6244.222521</v>
      </c>
      <c r="J313" t="n">
        <v>6325.914048</v>
      </c>
      <c r="K313" t="n">
        <v>1872.204427</v>
      </c>
      <c r="L313" t="n">
        <v>7112.982475</v>
      </c>
      <c r="M313" t="n">
        <v>7112.982475</v>
      </c>
      <c r="N313" t="n">
        <v>7112.982475</v>
      </c>
      <c r="O313" t="n">
        <v>87.969483</v>
      </c>
      <c r="P313" t="n">
        <v>46.580547</v>
      </c>
      <c r="Q313" t="n">
        <v>7112.982475</v>
      </c>
      <c r="R313" t="n">
        <v>7112.982475</v>
      </c>
      <c r="S313" t="n">
        <v>87.969483</v>
      </c>
      <c r="T313" t="n">
        <v>87.969483</v>
      </c>
      <c r="U313" t="n">
        <v>46.580547</v>
      </c>
      <c r="V313" t="n">
        <v>46.580547</v>
      </c>
      <c r="W313" t="n">
        <v>93.060855</v>
      </c>
      <c r="X313" t="n">
        <v>7459.131892</v>
      </c>
      <c r="Y313" t="n">
        <v>100.902165</v>
      </c>
      <c r="Z313" t="n">
        <v>211.14634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140.953883</v>
      </c>
      <c r="F314" t="n">
        <v>228.824285</v>
      </c>
      <c r="G314" t="n">
        <v>13739.954406</v>
      </c>
      <c r="H314" t="n">
        <v>114798702.260359</v>
      </c>
      <c r="I314" t="n">
        <v>6590.793316</v>
      </c>
      <c r="J314" t="n">
        <v>7071.146917</v>
      </c>
      <c r="K314" t="n">
        <v>2576.928919</v>
      </c>
      <c r="L314" t="n">
        <v>10677.999207</v>
      </c>
      <c r="M314" t="n">
        <v>10677.999207</v>
      </c>
      <c r="N314" t="n">
        <v>10677.999207</v>
      </c>
      <c r="O314" t="n">
        <v>85.006417</v>
      </c>
      <c r="P314" t="n">
        <v>38.52237</v>
      </c>
      <c r="Q314" t="n">
        <v>10677.999207</v>
      </c>
      <c r="R314" t="n">
        <v>10677.999207</v>
      </c>
      <c r="S314" t="n">
        <v>85.006417</v>
      </c>
      <c r="T314" t="n">
        <v>85.006417</v>
      </c>
      <c r="U314" t="n">
        <v>38.52237</v>
      </c>
      <c r="V314" t="n">
        <v>38.52237</v>
      </c>
      <c r="W314" t="n">
        <v>88.306245</v>
      </c>
      <c r="X314" t="n">
        <v>11509.306401</v>
      </c>
      <c r="Y314" t="n">
        <v>113.373643</v>
      </c>
      <c r="Z314" t="n">
        <v>399.574722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140.953883</v>
      </c>
      <c r="F315" t="n">
        <v>33.254785</v>
      </c>
      <c r="G315" t="n">
        <v>452.736281</v>
      </c>
      <c r="H315" t="n">
        <v>34182.13294</v>
      </c>
      <c r="I315" t="n">
        <v>151.084056</v>
      </c>
      <c r="J315" t="n">
        <v>151.084056</v>
      </c>
      <c r="K315" t="n">
        <v>143.529853</v>
      </c>
      <c r="L315" t="n">
        <v>173.938876</v>
      </c>
      <c r="M315" t="n">
        <v>173.938876</v>
      </c>
      <c r="N315" t="n">
        <v>173.938876</v>
      </c>
      <c r="O315" t="n">
        <v>13.215653</v>
      </c>
      <c r="P315" t="n">
        <v>8.00437</v>
      </c>
      <c r="Q315" t="n">
        <v>173.938876</v>
      </c>
      <c r="R315" t="n">
        <v>173.938876</v>
      </c>
      <c r="S315" t="n">
        <v>13.215653</v>
      </c>
      <c r="T315" t="n">
        <v>13.215653</v>
      </c>
      <c r="U315" t="n">
        <v>8.00437</v>
      </c>
      <c r="V315" t="n">
        <v>8.00437</v>
      </c>
      <c r="W315" t="n">
        <v>13.539814</v>
      </c>
      <c r="X315" t="n">
        <v>184.933079</v>
      </c>
      <c r="Y315" t="n">
        <v>21.207733</v>
      </c>
      <c r="Z315" t="n">
        <v>52.601429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140.953883</v>
      </c>
      <c r="F316" t="n">
        <v>33.254785</v>
      </c>
      <c r="G316" t="n">
        <v>452.736281</v>
      </c>
      <c r="H316" t="n">
        <v>34182.13294</v>
      </c>
      <c r="I316" t="n">
        <v>151.084056</v>
      </c>
      <c r="J316" t="n">
        <v>151.084056</v>
      </c>
      <c r="K316" t="n">
        <v>143.529853</v>
      </c>
      <c r="L316" t="n">
        <v>173.938876</v>
      </c>
      <c r="M316" t="n">
        <v>173.938876</v>
      </c>
      <c r="N316" t="n">
        <v>173.938876</v>
      </c>
      <c r="O316" t="n">
        <v>13.215653</v>
      </c>
      <c r="P316" t="n">
        <v>8.00437</v>
      </c>
      <c r="Q316" t="n">
        <v>173.938876</v>
      </c>
      <c r="R316" t="n">
        <v>173.938876</v>
      </c>
      <c r="S316" t="n">
        <v>13.215653</v>
      </c>
      <c r="T316" t="n">
        <v>13.215653</v>
      </c>
      <c r="U316" t="n">
        <v>8.00437</v>
      </c>
      <c r="V316" t="n">
        <v>8.00437</v>
      </c>
      <c r="W316" t="n">
        <v>13.539814</v>
      </c>
      <c r="X316" t="n">
        <v>184.933079</v>
      </c>
      <c r="Y316" t="n">
        <v>21.207733</v>
      </c>
      <c r="Z316" t="n">
        <v>52.601429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140.953883</v>
      </c>
      <c r="F317" t="n">
        <v>200.641254</v>
      </c>
      <c r="G317" t="n">
        <v>11101.904562</v>
      </c>
      <c r="H317" t="n">
        <v>25660602.941085</v>
      </c>
      <c r="I317" t="n">
        <v>6244.222521</v>
      </c>
      <c r="J317" t="n">
        <v>6325.914048</v>
      </c>
      <c r="K317" t="n">
        <v>1872.204427</v>
      </c>
      <c r="L317" t="n">
        <v>7112.982475</v>
      </c>
      <c r="M317" t="n">
        <v>7112.982475</v>
      </c>
      <c r="N317" t="n">
        <v>7112.982475</v>
      </c>
      <c r="O317" t="n">
        <v>87.969483</v>
      </c>
      <c r="P317" t="n">
        <v>46.580547</v>
      </c>
      <c r="Q317" t="n">
        <v>7112.982475</v>
      </c>
      <c r="R317" t="n">
        <v>7112.982475</v>
      </c>
      <c r="S317" t="n">
        <v>87.969483</v>
      </c>
      <c r="T317" t="n">
        <v>87.969483</v>
      </c>
      <c r="U317" t="n">
        <v>46.580547</v>
      </c>
      <c r="V317" t="n">
        <v>46.580547</v>
      </c>
      <c r="W317" t="n">
        <v>93.060855</v>
      </c>
      <c r="X317" t="n">
        <v>7459.131892</v>
      </c>
      <c r="Y317" t="n">
        <v>100.902165</v>
      </c>
      <c r="Z317" t="n">
        <v>211.14634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140.953883</v>
      </c>
      <c r="F318" t="n">
        <v>20.606299</v>
      </c>
      <c r="G318" t="n">
        <v>196.386285</v>
      </c>
      <c r="H318" t="n">
        <v>1009.116172</v>
      </c>
      <c r="I318" t="n">
        <v>131.71072</v>
      </c>
      <c r="J318" t="n">
        <v>131.71072</v>
      </c>
      <c r="K318" t="n">
        <v>125.125184</v>
      </c>
      <c r="L318" t="n">
        <v>130.894857</v>
      </c>
      <c r="M318" t="n">
        <v>130.894857</v>
      </c>
      <c r="N318" t="n">
        <v>130.894857</v>
      </c>
      <c r="O318" t="n">
        <v>12.255972</v>
      </c>
      <c r="P318" t="n">
        <v>8.448598</v>
      </c>
      <c r="Q318" t="n">
        <v>130.894857</v>
      </c>
      <c r="R318" t="n">
        <v>130.894857</v>
      </c>
      <c r="S318" t="n">
        <v>12.255972</v>
      </c>
      <c r="T318" t="n">
        <v>12.255972</v>
      </c>
      <c r="U318" t="n">
        <v>8.448598</v>
      </c>
      <c r="V318" t="n">
        <v>8.448598</v>
      </c>
      <c r="W318" t="n">
        <v>12.680707</v>
      </c>
      <c r="X318" t="n">
        <v>136.520004</v>
      </c>
      <c r="Y318" t="n">
        <v>13.974049</v>
      </c>
      <c r="Z318" t="n">
        <v>22.490141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140.953883</v>
      </c>
      <c r="F319" t="n">
        <v>200.641254</v>
      </c>
      <c r="G319" t="n">
        <v>11101.904562</v>
      </c>
      <c r="H319" t="n">
        <v>25660602.941085</v>
      </c>
      <c r="I319" t="n">
        <v>6244.222521</v>
      </c>
      <c r="J319" t="n">
        <v>6325.914048</v>
      </c>
      <c r="K319" t="n">
        <v>1872.204427</v>
      </c>
      <c r="L319" t="n">
        <v>7112.982475</v>
      </c>
      <c r="M319" t="n">
        <v>7112.982475</v>
      </c>
      <c r="N319" t="n">
        <v>7112.982475</v>
      </c>
      <c r="O319" t="n">
        <v>87.969483</v>
      </c>
      <c r="P319" t="n">
        <v>46.580547</v>
      </c>
      <c r="Q319" t="n">
        <v>7112.982475</v>
      </c>
      <c r="R319" t="n">
        <v>7112.982475</v>
      </c>
      <c r="S319" t="n">
        <v>87.969483</v>
      </c>
      <c r="T319" t="n">
        <v>87.969483</v>
      </c>
      <c r="U319" t="n">
        <v>46.580547</v>
      </c>
      <c r="V319" t="n">
        <v>46.580547</v>
      </c>
      <c r="W319" t="n">
        <v>93.060855</v>
      </c>
      <c r="X319" t="n">
        <v>7459.131892</v>
      </c>
      <c r="Y319" t="n">
        <v>100.902165</v>
      </c>
      <c r="Z319" t="n">
        <v>211.14634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140.953883</v>
      </c>
      <c r="F320" t="n">
        <v>228.824285</v>
      </c>
      <c r="G320" t="n">
        <v>13739.954406</v>
      </c>
      <c r="H320" t="n">
        <v>114798702.260359</v>
      </c>
      <c r="I320" t="n">
        <v>6590.793316</v>
      </c>
      <c r="J320" t="n">
        <v>7071.146917</v>
      </c>
      <c r="K320" t="n">
        <v>2576.928919</v>
      </c>
      <c r="L320" t="n">
        <v>10677.999207</v>
      </c>
      <c r="M320" t="n">
        <v>10677.999207</v>
      </c>
      <c r="N320" t="n">
        <v>10677.999207</v>
      </c>
      <c r="O320" t="n">
        <v>85.006417</v>
      </c>
      <c r="P320" t="n">
        <v>38.52237</v>
      </c>
      <c r="Q320" t="n">
        <v>10677.999207</v>
      </c>
      <c r="R320" t="n">
        <v>10677.999207</v>
      </c>
      <c r="S320" t="n">
        <v>85.006417</v>
      </c>
      <c r="T320" t="n">
        <v>85.006417</v>
      </c>
      <c r="U320" t="n">
        <v>38.52237</v>
      </c>
      <c r="V320" t="n">
        <v>38.52237</v>
      </c>
      <c r="W320" t="n">
        <v>88.306245</v>
      </c>
      <c r="X320" t="n">
        <v>11509.306401</v>
      </c>
      <c r="Y320" t="n">
        <v>113.373643</v>
      </c>
      <c r="Z320" t="n">
        <v>399.574722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140.953883</v>
      </c>
      <c r="F321" t="n">
        <v>170.518341</v>
      </c>
      <c r="G321" t="n">
        <v>7847.80585</v>
      </c>
      <c r="H321" t="n">
        <v>421935.650343</v>
      </c>
      <c r="I321" t="n">
        <v>1050.872908</v>
      </c>
      <c r="J321" t="n">
        <v>1075.829695</v>
      </c>
      <c r="K321" t="n">
        <v>537.914847</v>
      </c>
      <c r="L321" t="n">
        <v>1659.687874</v>
      </c>
      <c r="M321" t="n">
        <v>1659.687874</v>
      </c>
      <c r="N321" t="n">
        <v>1659.687874</v>
      </c>
      <c r="O321" t="n">
        <v>31.362197</v>
      </c>
      <c r="P321" t="n">
        <v>16.184075</v>
      </c>
      <c r="Q321" t="n">
        <v>1659.687874</v>
      </c>
      <c r="R321" t="n">
        <v>1659.687874</v>
      </c>
      <c r="S321" t="n">
        <v>31.362197</v>
      </c>
      <c r="T321" t="n">
        <v>31.362197</v>
      </c>
      <c r="U321" t="n">
        <v>16.184075</v>
      </c>
      <c r="V321" t="n">
        <v>16.184075</v>
      </c>
      <c r="W321" t="n">
        <v>32.286772</v>
      </c>
      <c r="X321" t="n">
        <v>1775.112325</v>
      </c>
      <c r="Y321" t="n">
        <v>88.16158900000001</v>
      </c>
      <c r="Z321" t="n">
        <v>173.868813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140.953883</v>
      </c>
      <c r="F322" t="n">
        <v>228.824285</v>
      </c>
      <c r="G322" t="n">
        <v>13739.954406</v>
      </c>
      <c r="H322" t="n">
        <v>114798702.260359</v>
      </c>
      <c r="I322" t="n">
        <v>6590.793316</v>
      </c>
      <c r="J322" t="n">
        <v>7071.146917</v>
      </c>
      <c r="K322" t="n">
        <v>2576.928919</v>
      </c>
      <c r="L322" t="n">
        <v>10677.999207</v>
      </c>
      <c r="M322" t="n">
        <v>10677.999207</v>
      </c>
      <c r="N322" t="n">
        <v>10677.999207</v>
      </c>
      <c r="O322" t="n">
        <v>85.006417</v>
      </c>
      <c r="P322" t="n">
        <v>38.52237</v>
      </c>
      <c r="Q322" t="n">
        <v>10677.999207</v>
      </c>
      <c r="R322" t="n">
        <v>10677.999207</v>
      </c>
      <c r="S322" t="n">
        <v>85.006417</v>
      </c>
      <c r="T322" t="n">
        <v>85.006417</v>
      </c>
      <c r="U322" t="n">
        <v>38.52237</v>
      </c>
      <c r="V322" t="n">
        <v>38.52237</v>
      </c>
      <c r="W322" t="n">
        <v>88.306245</v>
      </c>
      <c r="X322" t="n">
        <v>11509.306401</v>
      </c>
      <c r="Y322" t="n">
        <v>113.373643</v>
      </c>
      <c r="Z322" t="n">
        <v>399.574722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140.953883</v>
      </c>
      <c r="F323" t="n">
        <v>908.988005</v>
      </c>
      <c r="G323" t="n">
        <v>145576.696024</v>
      </c>
      <c r="H323" t="n">
        <v>48080410.421404</v>
      </c>
      <c r="I323" t="n">
        <v>125208.792952</v>
      </c>
      <c r="J323" t="n">
        <v>126616.154086</v>
      </c>
      <c r="K323" t="n">
        <v>63308.077043</v>
      </c>
      <c r="L323" t="n">
        <v>172174.15174</v>
      </c>
      <c r="M323" t="n">
        <v>172174.151739</v>
      </c>
      <c r="N323" t="n">
        <v>172174.151739</v>
      </c>
      <c r="O323" t="n">
        <v>202.141045</v>
      </c>
      <c r="P323" t="n">
        <v>87.49926499999999</v>
      </c>
      <c r="Q323" t="n">
        <v>172174.151739</v>
      </c>
      <c r="R323" t="n">
        <v>172174.151739</v>
      </c>
      <c r="S323" t="n">
        <v>202.141045</v>
      </c>
      <c r="T323" t="n">
        <v>202.141045</v>
      </c>
      <c r="U323" t="n">
        <v>87.49926499999999</v>
      </c>
      <c r="V323" t="n">
        <v>87.49926499999999</v>
      </c>
      <c r="W323" t="n">
        <v>214.928725</v>
      </c>
      <c r="X323" t="n">
        <v>183923.261916</v>
      </c>
      <c r="Y323" t="n">
        <v>379.113334</v>
      </c>
      <c r="Z323" t="n">
        <v>767.7179190000001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140.953883</v>
      </c>
      <c r="F324" t="n">
        <v>200.641254</v>
      </c>
      <c r="G324" t="n">
        <v>11101.904562</v>
      </c>
      <c r="H324" t="n">
        <v>25660602.941085</v>
      </c>
      <c r="I324" t="n">
        <v>6244.222521</v>
      </c>
      <c r="J324" t="n">
        <v>6325.914048</v>
      </c>
      <c r="K324" t="n">
        <v>1872.204427</v>
      </c>
      <c r="L324" t="n">
        <v>7112.982475</v>
      </c>
      <c r="M324" t="n">
        <v>7112.982475</v>
      </c>
      <c r="N324" t="n">
        <v>7112.982475</v>
      </c>
      <c r="O324" t="n">
        <v>87.969483</v>
      </c>
      <c r="P324" t="n">
        <v>46.580547</v>
      </c>
      <c r="Q324" t="n">
        <v>7112.982475</v>
      </c>
      <c r="R324" t="n">
        <v>7112.982475</v>
      </c>
      <c r="S324" t="n">
        <v>87.969483</v>
      </c>
      <c r="T324" t="n">
        <v>87.969483</v>
      </c>
      <c r="U324" t="n">
        <v>46.580547</v>
      </c>
      <c r="V324" t="n">
        <v>46.580547</v>
      </c>
      <c r="W324" t="n">
        <v>93.060855</v>
      </c>
      <c r="X324" t="n">
        <v>7459.131892</v>
      </c>
      <c r="Y324" t="n">
        <v>100.902165</v>
      </c>
      <c r="Z324" t="n">
        <v>211.14634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140.953883</v>
      </c>
      <c r="F325" t="n">
        <v>60.479203</v>
      </c>
      <c r="G325" t="n">
        <v>1285.725322</v>
      </c>
      <c r="H325" t="n">
        <v>3025.478454</v>
      </c>
      <c r="I325" t="n">
        <v>395.888053</v>
      </c>
      <c r="J325" t="n">
        <v>395.888053</v>
      </c>
      <c r="K325" t="n">
        <v>376.09365</v>
      </c>
      <c r="L325" t="n">
        <v>393.787233</v>
      </c>
      <c r="M325" t="n">
        <v>393.787233</v>
      </c>
      <c r="N325" t="n">
        <v>393.787233</v>
      </c>
      <c r="O325" t="n">
        <v>20.916473</v>
      </c>
      <c r="P325" t="n">
        <v>13.510088</v>
      </c>
      <c r="Q325" t="n">
        <v>393.787233</v>
      </c>
      <c r="R325" t="n">
        <v>393.787233</v>
      </c>
      <c r="S325" t="n">
        <v>20.916473</v>
      </c>
      <c r="T325" t="n">
        <v>20.916473</v>
      </c>
      <c r="U325" t="n">
        <v>13.510088</v>
      </c>
      <c r="V325" t="n">
        <v>13.510088</v>
      </c>
      <c r="W325" t="n">
        <v>21.939981</v>
      </c>
      <c r="X325" t="n">
        <v>405.784084</v>
      </c>
      <c r="Y325" t="n">
        <v>35.719215</v>
      </c>
      <c r="Z325" t="n">
        <v>45.472786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140.953883</v>
      </c>
      <c r="F326" t="n">
        <v>95.34341499999999</v>
      </c>
      <c r="G326" t="n">
        <v>2845.346423</v>
      </c>
      <c r="H326" t="n">
        <v>490526.782878</v>
      </c>
      <c r="I326" t="n">
        <v>569.846189</v>
      </c>
      <c r="J326" t="n">
        <v>594.287325</v>
      </c>
      <c r="K326" t="n">
        <v>564.572959</v>
      </c>
      <c r="L326" t="n">
        <v>738.02552</v>
      </c>
      <c r="M326" t="n">
        <v>738.02552</v>
      </c>
      <c r="N326" t="n">
        <v>738.02552</v>
      </c>
      <c r="O326" t="n">
        <v>39.685535</v>
      </c>
      <c r="P326" t="n">
        <v>21.622034</v>
      </c>
      <c r="Q326" t="n">
        <v>738.02552</v>
      </c>
      <c r="R326" t="n">
        <v>738.02552</v>
      </c>
      <c r="S326" t="n">
        <v>39.685535</v>
      </c>
      <c r="T326" t="n">
        <v>39.685535</v>
      </c>
      <c r="U326" t="n">
        <v>21.622034</v>
      </c>
      <c r="V326" t="n">
        <v>21.622034</v>
      </c>
      <c r="W326" t="n">
        <v>41.109943</v>
      </c>
      <c r="X326" t="n">
        <v>772.895549</v>
      </c>
      <c r="Y326" t="n">
        <v>53.114101</v>
      </c>
      <c r="Z326" t="n">
        <v>112.240217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140.953883</v>
      </c>
      <c r="F327" t="n">
        <v>228.824285</v>
      </c>
      <c r="G327" t="n">
        <v>13739.954406</v>
      </c>
      <c r="H327" t="n">
        <v>114798702.260359</v>
      </c>
      <c r="I327" t="n">
        <v>6590.793316</v>
      </c>
      <c r="J327" t="n">
        <v>7071.146917</v>
      </c>
      <c r="K327" t="n">
        <v>2576.928919</v>
      </c>
      <c r="L327" t="n">
        <v>10677.999207</v>
      </c>
      <c r="M327" t="n">
        <v>10677.999207</v>
      </c>
      <c r="N327" t="n">
        <v>10677.999207</v>
      </c>
      <c r="O327" t="n">
        <v>85.006417</v>
      </c>
      <c r="P327" t="n">
        <v>38.52237</v>
      </c>
      <c r="Q327" t="n">
        <v>10677.999207</v>
      </c>
      <c r="R327" t="n">
        <v>10677.999207</v>
      </c>
      <c r="S327" t="n">
        <v>85.006417</v>
      </c>
      <c r="T327" t="n">
        <v>85.006417</v>
      </c>
      <c r="U327" t="n">
        <v>38.52237</v>
      </c>
      <c r="V327" t="n">
        <v>38.52237</v>
      </c>
      <c r="W327" t="n">
        <v>88.306245</v>
      </c>
      <c r="X327" t="n">
        <v>11509.306401</v>
      </c>
      <c r="Y327" t="n">
        <v>113.373643</v>
      </c>
      <c r="Z327" t="n">
        <v>399.574722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140.953883</v>
      </c>
      <c r="F328" t="n">
        <v>228.824285</v>
      </c>
      <c r="G328" t="n">
        <v>13739.954406</v>
      </c>
      <c r="H328" t="n">
        <v>114798702.260359</v>
      </c>
      <c r="I328" t="n">
        <v>6590.793316</v>
      </c>
      <c r="J328" t="n">
        <v>7071.146917</v>
      </c>
      <c r="K328" t="n">
        <v>2576.928919</v>
      </c>
      <c r="L328" t="n">
        <v>10677.999207</v>
      </c>
      <c r="M328" t="n">
        <v>10677.999207</v>
      </c>
      <c r="N328" t="n">
        <v>10677.999207</v>
      </c>
      <c r="O328" t="n">
        <v>85.006417</v>
      </c>
      <c r="P328" t="n">
        <v>38.52237</v>
      </c>
      <c r="Q328" t="n">
        <v>10677.999207</v>
      </c>
      <c r="R328" t="n">
        <v>10677.999207</v>
      </c>
      <c r="S328" t="n">
        <v>85.006417</v>
      </c>
      <c r="T328" t="n">
        <v>85.006417</v>
      </c>
      <c r="U328" t="n">
        <v>38.52237</v>
      </c>
      <c r="V328" t="n">
        <v>38.52237</v>
      </c>
      <c r="W328" t="n">
        <v>88.306245</v>
      </c>
      <c r="X328" t="n">
        <v>11509.306401</v>
      </c>
      <c r="Y328" t="n">
        <v>113.373643</v>
      </c>
      <c r="Z328" t="n">
        <v>399.574722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140.953883</v>
      </c>
      <c r="F329" t="n">
        <v>33.254785</v>
      </c>
      <c r="G329" t="n">
        <v>452.736281</v>
      </c>
      <c r="H329" t="n">
        <v>34182.13294</v>
      </c>
      <c r="I329" t="n">
        <v>151.084056</v>
      </c>
      <c r="J329" t="n">
        <v>151.084056</v>
      </c>
      <c r="K329" t="n">
        <v>143.529853</v>
      </c>
      <c r="L329" t="n">
        <v>173.938876</v>
      </c>
      <c r="M329" t="n">
        <v>173.938876</v>
      </c>
      <c r="N329" t="n">
        <v>173.938876</v>
      </c>
      <c r="O329" t="n">
        <v>13.215653</v>
      </c>
      <c r="P329" t="n">
        <v>8.00437</v>
      </c>
      <c r="Q329" t="n">
        <v>173.938876</v>
      </c>
      <c r="R329" t="n">
        <v>173.938876</v>
      </c>
      <c r="S329" t="n">
        <v>13.215653</v>
      </c>
      <c r="T329" t="n">
        <v>13.215653</v>
      </c>
      <c r="U329" t="n">
        <v>8.00437</v>
      </c>
      <c r="V329" t="n">
        <v>8.00437</v>
      </c>
      <c r="W329" t="n">
        <v>13.539814</v>
      </c>
      <c r="X329" t="n">
        <v>184.933079</v>
      </c>
      <c r="Y329" t="n">
        <v>21.207733</v>
      </c>
      <c r="Z329" t="n">
        <v>52.601429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140.953883</v>
      </c>
      <c r="F330" t="n">
        <v>308.68601</v>
      </c>
      <c r="G330" t="n">
        <v>22108.042525</v>
      </c>
      <c r="H330" t="n">
        <v>195781560.03917</v>
      </c>
      <c r="I330" t="n">
        <v>10706.101486</v>
      </c>
      <c r="J330" t="n">
        <v>10781.622707</v>
      </c>
      <c r="K330" t="n">
        <v>3924.510665</v>
      </c>
      <c r="L330" t="n">
        <v>18846.946222</v>
      </c>
      <c r="M330" t="n">
        <v>18846.946222</v>
      </c>
      <c r="N330" t="n">
        <v>18846.946222</v>
      </c>
      <c r="O330" t="n">
        <v>119.185901</v>
      </c>
      <c r="P330" t="n">
        <v>52.155741</v>
      </c>
      <c r="Q330" t="n">
        <v>18846.946222</v>
      </c>
      <c r="R330" t="n">
        <v>18846.946222</v>
      </c>
      <c r="S330" t="n">
        <v>119.185901</v>
      </c>
      <c r="T330" t="n">
        <v>119.185901</v>
      </c>
      <c r="U330" t="n">
        <v>52.155741</v>
      </c>
      <c r="V330" t="n">
        <v>52.155741</v>
      </c>
      <c r="W330" t="n">
        <v>124.506314</v>
      </c>
      <c r="X330" t="n">
        <v>20404.471037</v>
      </c>
      <c r="Y330" t="n">
        <v>147.889899</v>
      </c>
      <c r="Z330" t="n">
        <v>588.19732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140.953883</v>
      </c>
      <c r="F332" t="n">
        <v>33.254785</v>
      </c>
      <c r="G332" t="n">
        <v>452.736281</v>
      </c>
      <c r="H332" t="n">
        <v>34182.13294</v>
      </c>
      <c r="I332" t="n">
        <v>151.084056</v>
      </c>
      <c r="J332" t="n">
        <v>151.084056</v>
      </c>
      <c r="K332" t="n">
        <v>143.529853</v>
      </c>
      <c r="L332" t="n">
        <v>173.938876</v>
      </c>
      <c r="M332" t="n">
        <v>173.938876</v>
      </c>
      <c r="N332" t="n">
        <v>173.938876</v>
      </c>
      <c r="O332" t="n">
        <v>13.215653</v>
      </c>
      <c r="P332" t="n">
        <v>8.00437</v>
      </c>
      <c r="Q332" t="n">
        <v>173.938876</v>
      </c>
      <c r="R332" t="n">
        <v>173.938876</v>
      </c>
      <c r="S332" t="n">
        <v>13.215653</v>
      </c>
      <c r="T332" t="n">
        <v>13.215653</v>
      </c>
      <c r="U332" t="n">
        <v>8.00437</v>
      </c>
      <c r="V332" t="n">
        <v>8.00437</v>
      </c>
      <c r="W332" t="n">
        <v>13.539814</v>
      </c>
      <c r="X332" t="n">
        <v>184.933079</v>
      </c>
      <c r="Y332" t="n">
        <v>21.207733</v>
      </c>
      <c r="Z332" t="n">
        <v>52.601429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140.953883</v>
      </c>
      <c r="F333" t="n">
        <v>60.479203</v>
      </c>
      <c r="G333" t="n">
        <v>1285.725322</v>
      </c>
      <c r="H333" t="n">
        <v>3025.478454</v>
      </c>
      <c r="I333" t="n">
        <v>395.888053</v>
      </c>
      <c r="J333" t="n">
        <v>395.888053</v>
      </c>
      <c r="K333" t="n">
        <v>376.09365</v>
      </c>
      <c r="L333" t="n">
        <v>393.787233</v>
      </c>
      <c r="M333" t="n">
        <v>393.787233</v>
      </c>
      <c r="N333" t="n">
        <v>393.787233</v>
      </c>
      <c r="O333" t="n">
        <v>20.916473</v>
      </c>
      <c r="P333" t="n">
        <v>13.510088</v>
      </c>
      <c r="Q333" t="n">
        <v>393.787233</v>
      </c>
      <c r="R333" t="n">
        <v>393.787233</v>
      </c>
      <c r="S333" t="n">
        <v>20.916473</v>
      </c>
      <c r="T333" t="n">
        <v>20.916473</v>
      </c>
      <c r="U333" t="n">
        <v>13.510088</v>
      </c>
      <c r="V333" t="n">
        <v>13.510088</v>
      </c>
      <c r="W333" t="n">
        <v>21.939981</v>
      </c>
      <c r="X333" t="n">
        <v>405.784084</v>
      </c>
      <c r="Y333" t="n">
        <v>35.719215</v>
      </c>
      <c r="Z333" t="n">
        <v>45.472786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140.953883</v>
      </c>
      <c r="F334" t="n">
        <v>39.810717</v>
      </c>
      <c r="G334" t="n">
        <v>619.755778</v>
      </c>
      <c r="H334" t="n">
        <v>1877.598068</v>
      </c>
      <c r="I334" t="n">
        <v>741.629495</v>
      </c>
      <c r="J334" t="n">
        <v>741.629495</v>
      </c>
      <c r="K334" t="n">
        <v>626.676923</v>
      </c>
      <c r="L334" t="n">
        <v>737.355125</v>
      </c>
      <c r="M334" t="n">
        <v>737.355125</v>
      </c>
      <c r="N334" t="n">
        <v>737.355125</v>
      </c>
      <c r="O334" t="n">
        <v>36.442813</v>
      </c>
      <c r="P334" t="n">
        <v>23.922587</v>
      </c>
      <c r="Q334" t="n">
        <v>737.355125</v>
      </c>
      <c r="R334" t="n">
        <v>737.355125</v>
      </c>
      <c r="S334" t="n">
        <v>36.442813</v>
      </c>
      <c r="T334" t="n">
        <v>36.442813</v>
      </c>
      <c r="U334" t="n">
        <v>23.922587</v>
      </c>
      <c r="V334" t="n">
        <v>23.922587</v>
      </c>
      <c r="W334" t="n">
        <v>37.547619</v>
      </c>
      <c r="X334" t="n">
        <v>765.5198799999999</v>
      </c>
      <c r="Y334" t="n">
        <v>24.808959</v>
      </c>
      <c r="Z334" t="n">
        <v>36.197335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140.953883</v>
      </c>
      <c r="F335" t="n">
        <v>14.712171</v>
      </c>
      <c r="G335" t="n">
        <v>109.082967</v>
      </c>
      <c r="H335" t="n">
        <v>1554.089564</v>
      </c>
      <c r="I335" t="n">
        <v>87.52377799999999</v>
      </c>
      <c r="J335" t="n">
        <v>87.52377799999999</v>
      </c>
      <c r="K335" t="n">
        <v>33.521607</v>
      </c>
      <c r="L335" t="n">
        <v>92.59366</v>
      </c>
      <c r="M335" t="n">
        <v>92.59366</v>
      </c>
      <c r="N335" t="n">
        <v>92.59366</v>
      </c>
      <c r="O335" t="n">
        <v>4.448657</v>
      </c>
      <c r="P335" t="n">
        <v>3.058348</v>
      </c>
      <c r="Q335" t="n">
        <v>92.59366</v>
      </c>
      <c r="R335" t="n">
        <v>92.59366</v>
      </c>
      <c r="S335" t="n">
        <v>4.448657</v>
      </c>
      <c r="T335" t="n">
        <v>4.448657</v>
      </c>
      <c r="U335" t="n">
        <v>3.058348</v>
      </c>
      <c r="V335" t="n">
        <v>3.058348</v>
      </c>
      <c r="W335" t="n">
        <v>4.556294</v>
      </c>
      <c r="X335" t="n">
        <v>96.447226</v>
      </c>
      <c r="Y335" t="n">
        <v>10.417956</v>
      </c>
      <c r="Z335" t="n">
        <v>17.174689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140.953883</v>
      </c>
      <c r="F336" t="n">
        <v>228.824285</v>
      </c>
      <c r="G336" t="n">
        <v>13739.954406</v>
      </c>
      <c r="H336" t="n">
        <v>114798702.260359</v>
      </c>
      <c r="I336" t="n">
        <v>6590.793316</v>
      </c>
      <c r="J336" t="n">
        <v>7071.146917</v>
      </c>
      <c r="K336" t="n">
        <v>2576.928919</v>
      </c>
      <c r="L336" t="n">
        <v>10677.999207</v>
      </c>
      <c r="M336" t="n">
        <v>10677.999207</v>
      </c>
      <c r="N336" t="n">
        <v>10677.999207</v>
      </c>
      <c r="O336" t="n">
        <v>85.006417</v>
      </c>
      <c r="P336" t="n">
        <v>38.52237</v>
      </c>
      <c r="Q336" t="n">
        <v>10677.999207</v>
      </c>
      <c r="R336" t="n">
        <v>10677.999207</v>
      </c>
      <c r="S336" t="n">
        <v>85.006417</v>
      </c>
      <c r="T336" t="n">
        <v>85.006417</v>
      </c>
      <c r="U336" t="n">
        <v>38.52237</v>
      </c>
      <c r="V336" t="n">
        <v>38.52237</v>
      </c>
      <c r="W336" t="n">
        <v>88.306245</v>
      </c>
      <c r="X336" t="n">
        <v>11509.306401</v>
      </c>
      <c r="Y336" t="n">
        <v>113.373643</v>
      </c>
      <c r="Z336" t="n">
        <v>399.574722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140.953883</v>
      </c>
      <c r="F337" t="n">
        <v>33.254785</v>
      </c>
      <c r="G337" t="n">
        <v>452.736281</v>
      </c>
      <c r="H337" t="n">
        <v>34182.13294</v>
      </c>
      <c r="I337" t="n">
        <v>151.084056</v>
      </c>
      <c r="J337" t="n">
        <v>151.084056</v>
      </c>
      <c r="K337" t="n">
        <v>143.529853</v>
      </c>
      <c r="L337" t="n">
        <v>173.938876</v>
      </c>
      <c r="M337" t="n">
        <v>173.938876</v>
      </c>
      <c r="N337" t="n">
        <v>173.938876</v>
      </c>
      <c r="O337" t="n">
        <v>13.215653</v>
      </c>
      <c r="P337" t="n">
        <v>8.00437</v>
      </c>
      <c r="Q337" t="n">
        <v>173.938876</v>
      </c>
      <c r="R337" t="n">
        <v>173.938876</v>
      </c>
      <c r="S337" t="n">
        <v>13.215653</v>
      </c>
      <c r="T337" t="n">
        <v>13.215653</v>
      </c>
      <c r="U337" t="n">
        <v>8.00437</v>
      </c>
      <c r="V337" t="n">
        <v>8.00437</v>
      </c>
      <c r="W337" t="n">
        <v>13.539814</v>
      </c>
      <c r="X337" t="n">
        <v>184.933079</v>
      </c>
      <c r="Y337" t="n">
        <v>21.207733</v>
      </c>
      <c r="Z337" t="n">
        <v>52.601429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140.953883</v>
      </c>
      <c r="F338" t="n">
        <v>228.824285</v>
      </c>
      <c r="G338" t="n">
        <v>13739.954406</v>
      </c>
      <c r="H338" t="n">
        <v>114798702.260359</v>
      </c>
      <c r="I338" t="n">
        <v>6590.793316</v>
      </c>
      <c r="J338" t="n">
        <v>7071.146917</v>
      </c>
      <c r="K338" t="n">
        <v>2576.928919</v>
      </c>
      <c r="L338" t="n">
        <v>10677.999207</v>
      </c>
      <c r="M338" t="n">
        <v>10677.999207</v>
      </c>
      <c r="N338" t="n">
        <v>10677.999207</v>
      </c>
      <c r="O338" t="n">
        <v>85.006417</v>
      </c>
      <c r="P338" t="n">
        <v>38.52237</v>
      </c>
      <c r="Q338" t="n">
        <v>10677.999207</v>
      </c>
      <c r="R338" t="n">
        <v>10677.999207</v>
      </c>
      <c r="S338" t="n">
        <v>85.006417</v>
      </c>
      <c r="T338" t="n">
        <v>85.006417</v>
      </c>
      <c r="U338" t="n">
        <v>38.52237</v>
      </c>
      <c r="V338" t="n">
        <v>38.52237</v>
      </c>
      <c r="W338" t="n">
        <v>88.306245</v>
      </c>
      <c r="X338" t="n">
        <v>11509.306401</v>
      </c>
      <c r="Y338" t="n">
        <v>113.373643</v>
      </c>
      <c r="Z338" t="n">
        <v>399.574722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140.953883</v>
      </c>
      <c r="F339" t="n">
        <v>33.254785</v>
      </c>
      <c r="G339" t="n">
        <v>452.736281</v>
      </c>
      <c r="H339" t="n">
        <v>34182.13294</v>
      </c>
      <c r="I339" t="n">
        <v>151.084056</v>
      </c>
      <c r="J339" t="n">
        <v>151.084056</v>
      </c>
      <c r="K339" t="n">
        <v>143.529853</v>
      </c>
      <c r="L339" t="n">
        <v>173.938876</v>
      </c>
      <c r="M339" t="n">
        <v>173.938876</v>
      </c>
      <c r="N339" t="n">
        <v>173.938876</v>
      </c>
      <c r="O339" t="n">
        <v>13.215653</v>
      </c>
      <c r="P339" t="n">
        <v>8.00437</v>
      </c>
      <c r="Q339" t="n">
        <v>173.938876</v>
      </c>
      <c r="R339" t="n">
        <v>173.938876</v>
      </c>
      <c r="S339" t="n">
        <v>13.215653</v>
      </c>
      <c r="T339" t="n">
        <v>13.215653</v>
      </c>
      <c r="U339" t="n">
        <v>8.00437</v>
      </c>
      <c r="V339" t="n">
        <v>8.00437</v>
      </c>
      <c r="W339" t="n">
        <v>13.539814</v>
      </c>
      <c r="X339" t="n">
        <v>184.933079</v>
      </c>
      <c r="Y339" t="n">
        <v>21.207733</v>
      </c>
      <c r="Z339" t="n">
        <v>52.601429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140.953883</v>
      </c>
      <c r="F340" t="n">
        <v>57.638856</v>
      </c>
      <c r="G340" t="n">
        <v>1182.200226</v>
      </c>
      <c r="H340" t="n">
        <v>56775.373409</v>
      </c>
      <c r="I340" t="n">
        <v>512.103289</v>
      </c>
      <c r="J340" t="n">
        <v>553.467817</v>
      </c>
      <c r="K340" t="n">
        <v>525.794426</v>
      </c>
      <c r="L340" t="n">
        <v>602.712303</v>
      </c>
      <c r="M340" t="n">
        <v>602.712303</v>
      </c>
      <c r="N340" t="n">
        <v>602.712303</v>
      </c>
      <c r="O340" t="n">
        <v>31.190871</v>
      </c>
      <c r="P340" t="n">
        <v>18.283791</v>
      </c>
      <c r="Q340" t="n">
        <v>602.712303</v>
      </c>
      <c r="R340" t="n">
        <v>602.712303</v>
      </c>
      <c r="S340" t="n">
        <v>31.190871</v>
      </c>
      <c r="T340" t="n">
        <v>31.190871</v>
      </c>
      <c r="U340" t="n">
        <v>18.283791</v>
      </c>
      <c r="V340" t="n">
        <v>18.283791</v>
      </c>
      <c r="W340" t="n">
        <v>32.089433</v>
      </c>
      <c r="X340" t="n">
        <v>622.065443</v>
      </c>
      <c r="Y340" t="n">
        <v>34.252552</v>
      </c>
      <c r="Z340" t="n">
        <v>73.57281500000001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140.953883</v>
      </c>
      <c r="F341" t="n">
        <v>14.712171</v>
      </c>
      <c r="G341" t="n">
        <v>109.082967</v>
      </c>
      <c r="H341" t="n">
        <v>1554.089564</v>
      </c>
      <c r="I341" t="n">
        <v>87.52377799999999</v>
      </c>
      <c r="J341" t="n">
        <v>87.52377799999999</v>
      </c>
      <c r="K341" t="n">
        <v>33.521607</v>
      </c>
      <c r="L341" t="n">
        <v>92.59366</v>
      </c>
      <c r="M341" t="n">
        <v>92.59366</v>
      </c>
      <c r="N341" t="n">
        <v>92.59366</v>
      </c>
      <c r="O341" t="n">
        <v>4.448657</v>
      </c>
      <c r="P341" t="n">
        <v>3.058348</v>
      </c>
      <c r="Q341" t="n">
        <v>92.59366</v>
      </c>
      <c r="R341" t="n">
        <v>92.59366</v>
      </c>
      <c r="S341" t="n">
        <v>4.448657</v>
      </c>
      <c r="T341" t="n">
        <v>4.448657</v>
      </c>
      <c r="U341" t="n">
        <v>3.058348</v>
      </c>
      <c r="V341" t="n">
        <v>3.058348</v>
      </c>
      <c r="W341" t="n">
        <v>4.556294</v>
      </c>
      <c r="X341" t="n">
        <v>96.447226</v>
      </c>
      <c r="Y341" t="n">
        <v>10.417956</v>
      </c>
      <c r="Z341" t="n">
        <v>17.174689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140.953883</v>
      </c>
      <c r="F342" t="n">
        <v>228.824285</v>
      </c>
      <c r="G342" t="n">
        <v>13739.954406</v>
      </c>
      <c r="H342" t="n">
        <v>114798702.260359</v>
      </c>
      <c r="I342" t="n">
        <v>6590.793316</v>
      </c>
      <c r="J342" t="n">
        <v>7071.146917</v>
      </c>
      <c r="K342" t="n">
        <v>2576.928919</v>
      </c>
      <c r="L342" t="n">
        <v>10677.999207</v>
      </c>
      <c r="M342" t="n">
        <v>10677.999207</v>
      </c>
      <c r="N342" t="n">
        <v>10677.999207</v>
      </c>
      <c r="O342" t="n">
        <v>85.006417</v>
      </c>
      <c r="P342" t="n">
        <v>38.52237</v>
      </c>
      <c r="Q342" t="n">
        <v>10677.999207</v>
      </c>
      <c r="R342" t="n">
        <v>10677.999207</v>
      </c>
      <c r="S342" t="n">
        <v>85.006417</v>
      </c>
      <c r="T342" t="n">
        <v>85.006417</v>
      </c>
      <c r="U342" t="n">
        <v>38.52237</v>
      </c>
      <c r="V342" t="n">
        <v>38.52237</v>
      </c>
      <c r="W342" t="n">
        <v>88.306245</v>
      </c>
      <c r="X342" t="n">
        <v>11509.306401</v>
      </c>
      <c r="Y342" t="n">
        <v>113.373643</v>
      </c>
      <c r="Z342" t="n">
        <v>399.574722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140.953883</v>
      </c>
      <c r="F343" t="n">
        <v>14.712171</v>
      </c>
      <c r="G343" t="n">
        <v>109.082967</v>
      </c>
      <c r="H343" t="n">
        <v>1554.089564</v>
      </c>
      <c r="I343" t="n">
        <v>87.52377799999999</v>
      </c>
      <c r="J343" t="n">
        <v>87.52377799999999</v>
      </c>
      <c r="K343" t="n">
        <v>33.521607</v>
      </c>
      <c r="L343" t="n">
        <v>92.59366</v>
      </c>
      <c r="M343" t="n">
        <v>92.59366</v>
      </c>
      <c r="N343" t="n">
        <v>92.59366</v>
      </c>
      <c r="O343" t="n">
        <v>4.448657</v>
      </c>
      <c r="P343" t="n">
        <v>3.058348</v>
      </c>
      <c r="Q343" t="n">
        <v>92.59366</v>
      </c>
      <c r="R343" t="n">
        <v>92.59366</v>
      </c>
      <c r="S343" t="n">
        <v>4.448657</v>
      </c>
      <c r="T343" t="n">
        <v>4.448657</v>
      </c>
      <c r="U343" t="n">
        <v>3.058348</v>
      </c>
      <c r="V343" t="n">
        <v>3.058348</v>
      </c>
      <c r="W343" t="n">
        <v>4.556294</v>
      </c>
      <c r="X343" t="n">
        <v>96.447226</v>
      </c>
      <c r="Y343" t="n">
        <v>10.417956</v>
      </c>
      <c r="Z343" t="n">
        <v>17.174689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140.953883</v>
      </c>
      <c r="F344" t="n">
        <v>20.606299</v>
      </c>
      <c r="G344" t="n">
        <v>196.386285</v>
      </c>
      <c r="H344" t="n">
        <v>1009.116172</v>
      </c>
      <c r="I344" t="n">
        <v>131.71072</v>
      </c>
      <c r="J344" t="n">
        <v>131.71072</v>
      </c>
      <c r="K344" t="n">
        <v>125.125184</v>
      </c>
      <c r="L344" t="n">
        <v>130.894857</v>
      </c>
      <c r="M344" t="n">
        <v>130.894857</v>
      </c>
      <c r="N344" t="n">
        <v>130.894857</v>
      </c>
      <c r="O344" t="n">
        <v>12.255972</v>
      </c>
      <c r="P344" t="n">
        <v>8.448598</v>
      </c>
      <c r="Q344" t="n">
        <v>130.894857</v>
      </c>
      <c r="R344" t="n">
        <v>130.894857</v>
      </c>
      <c r="S344" t="n">
        <v>12.255972</v>
      </c>
      <c r="T344" t="n">
        <v>12.255972</v>
      </c>
      <c r="U344" t="n">
        <v>8.448598</v>
      </c>
      <c r="V344" t="n">
        <v>8.448598</v>
      </c>
      <c r="W344" t="n">
        <v>12.680707</v>
      </c>
      <c r="X344" t="n">
        <v>136.520004</v>
      </c>
      <c r="Y344" t="n">
        <v>13.974049</v>
      </c>
      <c r="Z344" t="n">
        <v>22.490141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140.953883</v>
      </c>
      <c r="F345" t="n">
        <v>554.842266</v>
      </c>
      <c r="G345" t="n">
        <v>61511.195509</v>
      </c>
      <c r="H345" t="n">
        <v>20307429.163039</v>
      </c>
      <c r="I345" t="n">
        <v>3230.237663</v>
      </c>
      <c r="J345" t="n">
        <v>3367.037571</v>
      </c>
      <c r="K345" t="n">
        <v>3198.685692</v>
      </c>
      <c r="L345" t="n">
        <v>4133.4309</v>
      </c>
      <c r="M345" t="n">
        <v>4133.4309</v>
      </c>
      <c r="N345" t="n">
        <v>4133.4309</v>
      </c>
      <c r="O345" t="n">
        <v>205.658598</v>
      </c>
      <c r="P345" t="n">
        <v>91.38801100000001</v>
      </c>
      <c r="Q345" t="n">
        <v>4133.4309</v>
      </c>
      <c r="R345" t="n">
        <v>4133.4309</v>
      </c>
      <c r="S345" t="n">
        <v>205.658598</v>
      </c>
      <c r="T345" t="n">
        <v>205.658598</v>
      </c>
      <c r="U345" t="n">
        <v>91.38801100000001</v>
      </c>
      <c r="V345" t="n">
        <v>91.38801100000001</v>
      </c>
      <c r="W345" t="n">
        <v>216.473302</v>
      </c>
      <c r="X345" t="n">
        <v>4393.486979</v>
      </c>
      <c r="Y345" t="n">
        <v>246.547973</v>
      </c>
      <c r="Z345" t="n">
        <v>636.567642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140.953883</v>
      </c>
      <c r="F346" t="n">
        <v>14.712171</v>
      </c>
      <c r="G346" t="n">
        <v>109.082967</v>
      </c>
      <c r="H346" t="n">
        <v>1554.089564</v>
      </c>
      <c r="I346" t="n">
        <v>87.52377799999999</v>
      </c>
      <c r="J346" t="n">
        <v>87.52377799999999</v>
      </c>
      <c r="K346" t="n">
        <v>33.521607</v>
      </c>
      <c r="L346" t="n">
        <v>92.59366</v>
      </c>
      <c r="M346" t="n">
        <v>92.59366</v>
      </c>
      <c r="N346" t="n">
        <v>92.59366</v>
      </c>
      <c r="O346" t="n">
        <v>4.448657</v>
      </c>
      <c r="P346" t="n">
        <v>3.058348</v>
      </c>
      <c r="Q346" t="n">
        <v>92.59366</v>
      </c>
      <c r="R346" t="n">
        <v>92.59366</v>
      </c>
      <c r="S346" t="n">
        <v>4.448657</v>
      </c>
      <c r="T346" t="n">
        <v>4.448657</v>
      </c>
      <c r="U346" t="n">
        <v>3.058348</v>
      </c>
      <c r="V346" t="n">
        <v>3.058348</v>
      </c>
      <c r="W346" t="n">
        <v>4.556294</v>
      </c>
      <c r="X346" t="n">
        <v>96.447226</v>
      </c>
      <c r="Y346" t="n">
        <v>10.417956</v>
      </c>
      <c r="Z346" t="n">
        <v>17.174689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140.953883</v>
      </c>
      <c r="F347" t="n">
        <v>57.638856</v>
      </c>
      <c r="G347" t="n">
        <v>1182.200226</v>
      </c>
      <c r="H347" t="n">
        <v>56775.373409</v>
      </c>
      <c r="I347" t="n">
        <v>512.103289</v>
      </c>
      <c r="J347" t="n">
        <v>553.467817</v>
      </c>
      <c r="K347" t="n">
        <v>525.794426</v>
      </c>
      <c r="L347" t="n">
        <v>602.712303</v>
      </c>
      <c r="M347" t="n">
        <v>602.712303</v>
      </c>
      <c r="N347" t="n">
        <v>602.712303</v>
      </c>
      <c r="O347" t="n">
        <v>31.190871</v>
      </c>
      <c r="P347" t="n">
        <v>18.283791</v>
      </c>
      <c r="Q347" t="n">
        <v>602.712303</v>
      </c>
      <c r="R347" t="n">
        <v>602.712303</v>
      </c>
      <c r="S347" t="n">
        <v>31.190871</v>
      </c>
      <c r="T347" t="n">
        <v>31.190871</v>
      </c>
      <c r="U347" t="n">
        <v>18.283791</v>
      </c>
      <c r="V347" t="n">
        <v>18.283791</v>
      </c>
      <c r="W347" t="n">
        <v>32.089433</v>
      </c>
      <c r="X347" t="n">
        <v>622.065443</v>
      </c>
      <c r="Y347" t="n">
        <v>34.252552</v>
      </c>
      <c r="Z347" t="n">
        <v>73.57281500000001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140.953883</v>
      </c>
      <c r="F349" t="n">
        <v>554.842266</v>
      </c>
      <c r="G349" t="n">
        <v>61511.195509</v>
      </c>
      <c r="H349" t="n">
        <v>20307429.163039</v>
      </c>
      <c r="I349" t="n">
        <v>3230.237663</v>
      </c>
      <c r="J349" t="n">
        <v>3367.037571</v>
      </c>
      <c r="K349" t="n">
        <v>3198.685692</v>
      </c>
      <c r="L349" t="n">
        <v>4133.4309</v>
      </c>
      <c r="M349" t="n">
        <v>4133.4309</v>
      </c>
      <c r="N349" t="n">
        <v>4133.4309</v>
      </c>
      <c r="O349" t="n">
        <v>205.658598</v>
      </c>
      <c r="P349" t="n">
        <v>91.38801100000001</v>
      </c>
      <c r="Q349" t="n">
        <v>4133.4309</v>
      </c>
      <c r="R349" t="n">
        <v>4133.4309</v>
      </c>
      <c r="S349" t="n">
        <v>205.658598</v>
      </c>
      <c r="T349" t="n">
        <v>205.658598</v>
      </c>
      <c r="U349" t="n">
        <v>91.38801100000001</v>
      </c>
      <c r="V349" t="n">
        <v>91.38801100000001</v>
      </c>
      <c r="W349" t="n">
        <v>216.473302</v>
      </c>
      <c r="X349" t="n">
        <v>4393.486979</v>
      </c>
      <c r="Y349" t="n">
        <v>246.547973</v>
      </c>
      <c r="Z349" t="n">
        <v>636.567642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140.953883</v>
      </c>
      <c r="F350" t="n">
        <v>228.824285</v>
      </c>
      <c r="G350" t="n">
        <v>13739.954406</v>
      </c>
      <c r="H350" t="n">
        <v>114798702.260359</v>
      </c>
      <c r="I350" t="n">
        <v>6590.793316</v>
      </c>
      <c r="J350" t="n">
        <v>7071.146917</v>
      </c>
      <c r="K350" t="n">
        <v>2576.928919</v>
      </c>
      <c r="L350" t="n">
        <v>10677.999207</v>
      </c>
      <c r="M350" t="n">
        <v>10677.999207</v>
      </c>
      <c r="N350" t="n">
        <v>10677.999207</v>
      </c>
      <c r="O350" t="n">
        <v>85.006417</v>
      </c>
      <c r="P350" t="n">
        <v>38.52237</v>
      </c>
      <c r="Q350" t="n">
        <v>10677.999207</v>
      </c>
      <c r="R350" t="n">
        <v>10677.999207</v>
      </c>
      <c r="S350" t="n">
        <v>85.006417</v>
      </c>
      <c r="T350" t="n">
        <v>85.006417</v>
      </c>
      <c r="U350" t="n">
        <v>38.52237</v>
      </c>
      <c r="V350" t="n">
        <v>38.52237</v>
      </c>
      <c r="W350" t="n">
        <v>88.306245</v>
      </c>
      <c r="X350" t="n">
        <v>11509.306401</v>
      </c>
      <c r="Y350" t="n">
        <v>113.373643</v>
      </c>
      <c r="Z350" t="n">
        <v>399.574722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140.953883</v>
      </c>
      <c r="F351" t="n">
        <v>200.641254</v>
      </c>
      <c r="G351" t="n">
        <v>11101.904562</v>
      </c>
      <c r="H351" t="n">
        <v>25660602.941085</v>
      </c>
      <c r="I351" t="n">
        <v>6244.222521</v>
      </c>
      <c r="J351" t="n">
        <v>6325.914048</v>
      </c>
      <c r="K351" t="n">
        <v>1872.204427</v>
      </c>
      <c r="L351" t="n">
        <v>7112.982475</v>
      </c>
      <c r="M351" t="n">
        <v>7112.982475</v>
      </c>
      <c r="N351" t="n">
        <v>7112.982475</v>
      </c>
      <c r="O351" t="n">
        <v>87.969483</v>
      </c>
      <c r="P351" t="n">
        <v>46.580547</v>
      </c>
      <c r="Q351" t="n">
        <v>7112.982475</v>
      </c>
      <c r="R351" t="n">
        <v>7112.982475</v>
      </c>
      <c r="S351" t="n">
        <v>87.969483</v>
      </c>
      <c r="T351" t="n">
        <v>87.969483</v>
      </c>
      <c r="U351" t="n">
        <v>46.580547</v>
      </c>
      <c r="V351" t="n">
        <v>46.580547</v>
      </c>
      <c r="W351" t="n">
        <v>93.060855</v>
      </c>
      <c r="X351" t="n">
        <v>7459.131892</v>
      </c>
      <c r="Y351" t="n">
        <v>100.902165</v>
      </c>
      <c r="Z351" t="n">
        <v>211.14634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140.953883</v>
      </c>
      <c r="F352" t="n">
        <v>60.479203</v>
      </c>
      <c r="G352" t="n">
        <v>1285.725322</v>
      </c>
      <c r="H352" t="n">
        <v>3025.478454</v>
      </c>
      <c r="I352" t="n">
        <v>395.888053</v>
      </c>
      <c r="J352" t="n">
        <v>395.888053</v>
      </c>
      <c r="K352" t="n">
        <v>376.09365</v>
      </c>
      <c r="L352" t="n">
        <v>393.787233</v>
      </c>
      <c r="M352" t="n">
        <v>393.787233</v>
      </c>
      <c r="N352" t="n">
        <v>393.787233</v>
      </c>
      <c r="O352" t="n">
        <v>20.916473</v>
      </c>
      <c r="P352" t="n">
        <v>13.510088</v>
      </c>
      <c r="Q352" t="n">
        <v>393.787233</v>
      </c>
      <c r="R352" t="n">
        <v>393.787233</v>
      </c>
      <c r="S352" t="n">
        <v>20.916473</v>
      </c>
      <c r="T352" t="n">
        <v>20.916473</v>
      </c>
      <c r="U352" t="n">
        <v>13.510088</v>
      </c>
      <c r="V352" t="n">
        <v>13.510088</v>
      </c>
      <c r="W352" t="n">
        <v>21.939981</v>
      </c>
      <c r="X352" t="n">
        <v>405.784084</v>
      </c>
      <c r="Y352" t="n">
        <v>35.719215</v>
      </c>
      <c r="Z352" t="n">
        <v>45.472786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140.953883</v>
      </c>
      <c r="F353" t="n">
        <v>265.549442</v>
      </c>
      <c r="G353" t="n">
        <v>17398.716094</v>
      </c>
      <c r="H353" t="n">
        <v>21722652.494621</v>
      </c>
      <c r="I353" t="n">
        <v>2939.153653</v>
      </c>
      <c r="J353" t="n">
        <v>3022.907916</v>
      </c>
      <c r="K353" t="n">
        <v>1769.605312</v>
      </c>
      <c r="L353" t="n">
        <v>3691.420719</v>
      </c>
      <c r="M353" t="n">
        <v>3691.420719</v>
      </c>
      <c r="N353" t="n">
        <v>3691.420719</v>
      </c>
      <c r="O353" t="n">
        <v>92.784491</v>
      </c>
      <c r="P353" t="n">
        <v>44.082214</v>
      </c>
      <c r="Q353" t="n">
        <v>3691.420719</v>
      </c>
      <c r="R353" t="n">
        <v>3691.420719</v>
      </c>
      <c r="S353" t="n">
        <v>92.784491</v>
      </c>
      <c r="T353" t="n">
        <v>92.784491</v>
      </c>
      <c r="U353" t="n">
        <v>44.082214</v>
      </c>
      <c r="V353" t="n">
        <v>44.082214</v>
      </c>
      <c r="W353" t="n">
        <v>96.91430099999999</v>
      </c>
      <c r="X353" t="n">
        <v>3937.988659</v>
      </c>
      <c r="Y353" t="n">
        <v>129.416869</v>
      </c>
      <c r="Z353" t="n">
        <v>360.506923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140.953883</v>
      </c>
      <c r="F354" t="n">
        <v>200.641254</v>
      </c>
      <c r="G354" t="n">
        <v>11101.904562</v>
      </c>
      <c r="H354" t="n">
        <v>25660602.941085</v>
      </c>
      <c r="I354" t="n">
        <v>6244.222521</v>
      </c>
      <c r="J354" t="n">
        <v>6325.914048</v>
      </c>
      <c r="K354" t="n">
        <v>1872.204427</v>
      </c>
      <c r="L354" t="n">
        <v>7112.982475</v>
      </c>
      <c r="M354" t="n">
        <v>7112.982475</v>
      </c>
      <c r="N354" t="n">
        <v>7112.982475</v>
      </c>
      <c r="O354" t="n">
        <v>87.969483</v>
      </c>
      <c r="P354" t="n">
        <v>46.580547</v>
      </c>
      <c r="Q354" t="n">
        <v>7112.982475</v>
      </c>
      <c r="R354" t="n">
        <v>7112.982475</v>
      </c>
      <c r="S354" t="n">
        <v>87.969483</v>
      </c>
      <c r="T354" t="n">
        <v>87.969483</v>
      </c>
      <c r="U354" t="n">
        <v>46.580547</v>
      </c>
      <c r="V354" t="n">
        <v>46.580547</v>
      </c>
      <c r="W354" t="n">
        <v>93.060855</v>
      </c>
      <c r="X354" t="n">
        <v>7459.131892</v>
      </c>
      <c r="Y354" t="n">
        <v>100.902165</v>
      </c>
      <c r="Z354" t="n">
        <v>211.14634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140.953883</v>
      </c>
      <c r="F355" t="n">
        <v>228.824285</v>
      </c>
      <c r="G355" t="n">
        <v>13739.954406</v>
      </c>
      <c r="H355" t="n">
        <v>114798702.260359</v>
      </c>
      <c r="I355" t="n">
        <v>6590.793316</v>
      </c>
      <c r="J355" t="n">
        <v>7071.146917</v>
      </c>
      <c r="K355" t="n">
        <v>2576.928919</v>
      </c>
      <c r="L355" t="n">
        <v>10677.999207</v>
      </c>
      <c r="M355" t="n">
        <v>10677.999207</v>
      </c>
      <c r="N355" t="n">
        <v>10677.999207</v>
      </c>
      <c r="O355" t="n">
        <v>85.006417</v>
      </c>
      <c r="P355" t="n">
        <v>38.52237</v>
      </c>
      <c r="Q355" t="n">
        <v>10677.999207</v>
      </c>
      <c r="R355" t="n">
        <v>10677.999207</v>
      </c>
      <c r="S355" t="n">
        <v>85.006417</v>
      </c>
      <c r="T355" t="n">
        <v>85.006417</v>
      </c>
      <c r="U355" t="n">
        <v>38.52237</v>
      </c>
      <c r="V355" t="n">
        <v>38.52237</v>
      </c>
      <c r="W355" t="n">
        <v>88.306245</v>
      </c>
      <c r="X355" t="n">
        <v>11509.306401</v>
      </c>
      <c r="Y355" t="n">
        <v>113.373643</v>
      </c>
      <c r="Z355" t="n">
        <v>399.574722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140.953883</v>
      </c>
      <c r="F356" t="n">
        <v>14.712171</v>
      </c>
      <c r="G356" t="n">
        <v>109.082967</v>
      </c>
      <c r="H356" t="n">
        <v>1554.089564</v>
      </c>
      <c r="I356" t="n">
        <v>87.52377799999999</v>
      </c>
      <c r="J356" t="n">
        <v>87.52377799999999</v>
      </c>
      <c r="K356" t="n">
        <v>33.521607</v>
      </c>
      <c r="L356" t="n">
        <v>92.59366</v>
      </c>
      <c r="M356" t="n">
        <v>92.59366</v>
      </c>
      <c r="N356" t="n">
        <v>92.59366</v>
      </c>
      <c r="O356" t="n">
        <v>4.448657</v>
      </c>
      <c r="P356" t="n">
        <v>3.058348</v>
      </c>
      <c r="Q356" t="n">
        <v>92.59366</v>
      </c>
      <c r="R356" t="n">
        <v>92.59366</v>
      </c>
      <c r="S356" t="n">
        <v>4.448657</v>
      </c>
      <c r="T356" t="n">
        <v>4.448657</v>
      </c>
      <c r="U356" t="n">
        <v>3.058348</v>
      </c>
      <c r="V356" t="n">
        <v>3.058348</v>
      </c>
      <c r="W356" t="n">
        <v>4.556294</v>
      </c>
      <c r="X356" t="n">
        <v>96.447226</v>
      </c>
      <c r="Y356" t="n">
        <v>10.417956</v>
      </c>
      <c r="Z356" t="n">
        <v>17.174689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140.953883</v>
      </c>
      <c r="F357" t="n">
        <v>95.34341499999999</v>
      </c>
      <c r="G357" t="n">
        <v>2845.346423</v>
      </c>
      <c r="H357" t="n">
        <v>490526.782878</v>
      </c>
      <c r="I357" t="n">
        <v>569.846189</v>
      </c>
      <c r="J357" t="n">
        <v>594.287325</v>
      </c>
      <c r="K357" t="n">
        <v>564.572959</v>
      </c>
      <c r="L357" t="n">
        <v>738.02552</v>
      </c>
      <c r="M357" t="n">
        <v>738.02552</v>
      </c>
      <c r="N357" t="n">
        <v>738.02552</v>
      </c>
      <c r="O357" t="n">
        <v>39.685535</v>
      </c>
      <c r="P357" t="n">
        <v>21.622034</v>
      </c>
      <c r="Q357" t="n">
        <v>738.02552</v>
      </c>
      <c r="R357" t="n">
        <v>738.02552</v>
      </c>
      <c r="S357" t="n">
        <v>39.685535</v>
      </c>
      <c r="T357" t="n">
        <v>39.685535</v>
      </c>
      <c r="U357" t="n">
        <v>21.622034</v>
      </c>
      <c r="V357" t="n">
        <v>21.622034</v>
      </c>
      <c r="W357" t="n">
        <v>41.109943</v>
      </c>
      <c r="X357" t="n">
        <v>772.895549</v>
      </c>
      <c r="Y357" t="n">
        <v>53.114101</v>
      </c>
      <c r="Z357" t="n">
        <v>112.240217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140.953883</v>
      </c>
      <c r="F358" t="n">
        <v>18.617087</v>
      </c>
      <c r="G358" t="n">
        <v>164.501951</v>
      </c>
      <c r="H358" t="n">
        <v>16631.862825</v>
      </c>
      <c r="I358" t="n">
        <v>603.989501</v>
      </c>
      <c r="J358" t="n">
        <v>603.989501</v>
      </c>
      <c r="K358" t="n">
        <v>240.387821</v>
      </c>
      <c r="L358" t="n">
        <v>1080.992157</v>
      </c>
      <c r="M358" t="n">
        <v>1080.992157</v>
      </c>
      <c r="N358" t="n">
        <v>1080.992157</v>
      </c>
      <c r="O358" t="n">
        <v>17.290347</v>
      </c>
      <c r="P358" t="n">
        <v>9.498851999999999</v>
      </c>
      <c r="Q358" t="n">
        <v>1080.992157</v>
      </c>
      <c r="R358" t="n">
        <v>1080.992157</v>
      </c>
      <c r="S358" t="n">
        <v>17.290347</v>
      </c>
      <c r="T358" t="n">
        <v>17.290347</v>
      </c>
      <c r="U358" t="n">
        <v>9.498851999999999</v>
      </c>
      <c r="V358" t="n">
        <v>9.498851999999999</v>
      </c>
      <c r="W358" t="n">
        <v>17.932707</v>
      </c>
      <c r="X358" t="n">
        <v>1135.08839</v>
      </c>
      <c r="Y358" t="n">
        <v>12.790679</v>
      </c>
      <c r="Z358" t="n">
        <v>41.60617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140.953883</v>
      </c>
      <c r="F359" t="n">
        <v>908.988005</v>
      </c>
      <c r="G359" t="n">
        <v>145576.696024</v>
      </c>
      <c r="H359" t="n">
        <v>48080410.421404</v>
      </c>
      <c r="I359" t="n">
        <v>125208.792952</v>
      </c>
      <c r="J359" t="n">
        <v>126616.154086</v>
      </c>
      <c r="K359" t="n">
        <v>63308.077043</v>
      </c>
      <c r="L359" t="n">
        <v>172174.15174</v>
      </c>
      <c r="M359" t="n">
        <v>172174.151739</v>
      </c>
      <c r="N359" t="n">
        <v>172174.151739</v>
      </c>
      <c r="O359" t="n">
        <v>202.141045</v>
      </c>
      <c r="P359" t="n">
        <v>87.49926499999999</v>
      </c>
      <c r="Q359" t="n">
        <v>172174.151739</v>
      </c>
      <c r="R359" t="n">
        <v>172174.151739</v>
      </c>
      <c r="S359" t="n">
        <v>202.141045</v>
      </c>
      <c r="T359" t="n">
        <v>202.141045</v>
      </c>
      <c r="U359" t="n">
        <v>87.49926499999999</v>
      </c>
      <c r="V359" t="n">
        <v>87.49926499999999</v>
      </c>
      <c r="W359" t="n">
        <v>214.928725</v>
      </c>
      <c r="X359" t="n">
        <v>183923.261916</v>
      </c>
      <c r="Y359" t="n">
        <v>379.113334</v>
      </c>
      <c r="Z359" t="n">
        <v>767.7179190000001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140.953883</v>
      </c>
      <c r="F360" t="n">
        <v>60.479203</v>
      </c>
      <c r="G360" t="n">
        <v>1285.725322</v>
      </c>
      <c r="H360" t="n">
        <v>3025.478454</v>
      </c>
      <c r="I360" t="n">
        <v>395.888053</v>
      </c>
      <c r="J360" t="n">
        <v>395.888053</v>
      </c>
      <c r="K360" t="n">
        <v>376.09365</v>
      </c>
      <c r="L360" t="n">
        <v>393.787233</v>
      </c>
      <c r="M360" t="n">
        <v>393.787233</v>
      </c>
      <c r="N360" t="n">
        <v>393.787233</v>
      </c>
      <c r="O360" t="n">
        <v>20.916473</v>
      </c>
      <c r="P360" t="n">
        <v>13.510088</v>
      </c>
      <c r="Q360" t="n">
        <v>393.787233</v>
      </c>
      <c r="R360" t="n">
        <v>393.787233</v>
      </c>
      <c r="S360" t="n">
        <v>20.916473</v>
      </c>
      <c r="T360" t="n">
        <v>20.916473</v>
      </c>
      <c r="U360" t="n">
        <v>13.510088</v>
      </c>
      <c r="V360" t="n">
        <v>13.510088</v>
      </c>
      <c r="W360" t="n">
        <v>21.939981</v>
      </c>
      <c r="X360" t="n">
        <v>405.784084</v>
      </c>
      <c r="Y360" t="n">
        <v>35.719215</v>
      </c>
      <c r="Z360" t="n">
        <v>45.472786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140.953883</v>
      </c>
      <c r="F362" t="n">
        <v>14.712171</v>
      </c>
      <c r="G362" t="n">
        <v>109.082967</v>
      </c>
      <c r="H362" t="n">
        <v>1554.089564</v>
      </c>
      <c r="I362" t="n">
        <v>87.52377799999999</v>
      </c>
      <c r="J362" t="n">
        <v>87.52377799999999</v>
      </c>
      <c r="K362" t="n">
        <v>33.521607</v>
      </c>
      <c r="L362" t="n">
        <v>92.59366</v>
      </c>
      <c r="M362" t="n">
        <v>92.59366</v>
      </c>
      <c r="N362" t="n">
        <v>92.59366</v>
      </c>
      <c r="O362" t="n">
        <v>4.448657</v>
      </c>
      <c r="P362" t="n">
        <v>3.058348</v>
      </c>
      <c r="Q362" t="n">
        <v>92.59366</v>
      </c>
      <c r="R362" t="n">
        <v>92.59366</v>
      </c>
      <c r="S362" t="n">
        <v>4.448657</v>
      </c>
      <c r="T362" t="n">
        <v>4.448657</v>
      </c>
      <c r="U362" t="n">
        <v>3.058348</v>
      </c>
      <c r="V362" t="n">
        <v>3.058348</v>
      </c>
      <c r="W362" t="n">
        <v>4.556294</v>
      </c>
      <c r="X362" t="n">
        <v>96.447226</v>
      </c>
      <c r="Y362" t="n">
        <v>10.417956</v>
      </c>
      <c r="Z362" t="n">
        <v>17.174689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140.953883</v>
      </c>
      <c r="F363" t="n">
        <v>200.641254</v>
      </c>
      <c r="G363" t="n">
        <v>11101.904562</v>
      </c>
      <c r="H363" t="n">
        <v>25660602.941085</v>
      </c>
      <c r="I363" t="n">
        <v>6244.222521</v>
      </c>
      <c r="J363" t="n">
        <v>6325.914048</v>
      </c>
      <c r="K363" t="n">
        <v>1872.204427</v>
      </c>
      <c r="L363" t="n">
        <v>7112.982475</v>
      </c>
      <c r="M363" t="n">
        <v>7112.982475</v>
      </c>
      <c r="N363" t="n">
        <v>7112.982475</v>
      </c>
      <c r="O363" t="n">
        <v>87.969483</v>
      </c>
      <c r="P363" t="n">
        <v>46.580547</v>
      </c>
      <c r="Q363" t="n">
        <v>7112.982475</v>
      </c>
      <c r="R363" t="n">
        <v>7112.982475</v>
      </c>
      <c r="S363" t="n">
        <v>87.969483</v>
      </c>
      <c r="T363" t="n">
        <v>87.969483</v>
      </c>
      <c r="U363" t="n">
        <v>46.580547</v>
      </c>
      <c r="V363" t="n">
        <v>46.580547</v>
      </c>
      <c r="W363" t="n">
        <v>93.060855</v>
      </c>
      <c r="X363" t="n">
        <v>7459.131892</v>
      </c>
      <c r="Y363" t="n">
        <v>100.902165</v>
      </c>
      <c r="Z363" t="n">
        <v>211.14634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140.953883</v>
      </c>
      <c r="F364" t="n">
        <v>200.641254</v>
      </c>
      <c r="G364" t="n">
        <v>11101.904562</v>
      </c>
      <c r="H364" t="n">
        <v>25660602.941085</v>
      </c>
      <c r="I364" t="n">
        <v>6244.222521</v>
      </c>
      <c r="J364" t="n">
        <v>6325.914048</v>
      </c>
      <c r="K364" t="n">
        <v>1872.204427</v>
      </c>
      <c r="L364" t="n">
        <v>7112.982475</v>
      </c>
      <c r="M364" t="n">
        <v>7112.982475</v>
      </c>
      <c r="N364" t="n">
        <v>7112.982475</v>
      </c>
      <c r="O364" t="n">
        <v>87.969483</v>
      </c>
      <c r="P364" t="n">
        <v>46.580547</v>
      </c>
      <c r="Q364" t="n">
        <v>7112.982475</v>
      </c>
      <c r="R364" t="n">
        <v>7112.982475</v>
      </c>
      <c r="S364" t="n">
        <v>87.969483</v>
      </c>
      <c r="T364" t="n">
        <v>87.969483</v>
      </c>
      <c r="U364" t="n">
        <v>46.580547</v>
      </c>
      <c r="V364" t="n">
        <v>46.580547</v>
      </c>
      <c r="W364" t="n">
        <v>93.060855</v>
      </c>
      <c r="X364" t="n">
        <v>7459.131892</v>
      </c>
      <c r="Y364" t="n">
        <v>100.902165</v>
      </c>
      <c r="Z364" t="n">
        <v>211.14634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140.953883</v>
      </c>
      <c r="F365" t="n">
        <v>908.988005</v>
      </c>
      <c r="G365" t="n">
        <v>145576.696024</v>
      </c>
      <c r="H365" t="n">
        <v>48080410.421404</v>
      </c>
      <c r="I365" t="n">
        <v>125208.792952</v>
      </c>
      <c r="J365" t="n">
        <v>126616.154086</v>
      </c>
      <c r="K365" t="n">
        <v>63308.077043</v>
      </c>
      <c r="L365" t="n">
        <v>172174.15174</v>
      </c>
      <c r="M365" t="n">
        <v>172174.151739</v>
      </c>
      <c r="N365" t="n">
        <v>172174.151739</v>
      </c>
      <c r="O365" t="n">
        <v>202.141045</v>
      </c>
      <c r="P365" t="n">
        <v>87.49926499999999</v>
      </c>
      <c r="Q365" t="n">
        <v>172174.151739</v>
      </c>
      <c r="R365" t="n">
        <v>172174.151739</v>
      </c>
      <c r="S365" t="n">
        <v>202.141045</v>
      </c>
      <c r="T365" t="n">
        <v>202.141045</v>
      </c>
      <c r="U365" t="n">
        <v>87.49926499999999</v>
      </c>
      <c r="V365" t="n">
        <v>87.49926499999999</v>
      </c>
      <c r="W365" t="n">
        <v>214.928725</v>
      </c>
      <c r="X365" t="n">
        <v>183923.261916</v>
      </c>
      <c r="Y365" t="n">
        <v>379.113334</v>
      </c>
      <c r="Z365" t="n">
        <v>767.7179190000001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140.953883</v>
      </c>
      <c r="F366" t="n">
        <v>14.712171</v>
      </c>
      <c r="G366" t="n">
        <v>109.082967</v>
      </c>
      <c r="H366" t="n">
        <v>1554.089564</v>
      </c>
      <c r="I366" t="n">
        <v>87.52377799999999</v>
      </c>
      <c r="J366" t="n">
        <v>87.52377799999999</v>
      </c>
      <c r="K366" t="n">
        <v>33.521607</v>
      </c>
      <c r="L366" t="n">
        <v>92.59366</v>
      </c>
      <c r="M366" t="n">
        <v>92.59366</v>
      </c>
      <c r="N366" t="n">
        <v>92.59366</v>
      </c>
      <c r="O366" t="n">
        <v>4.448657</v>
      </c>
      <c r="P366" t="n">
        <v>3.058348</v>
      </c>
      <c r="Q366" t="n">
        <v>92.59366</v>
      </c>
      <c r="R366" t="n">
        <v>92.59366</v>
      </c>
      <c r="S366" t="n">
        <v>4.448657</v>
      </c>
      <c r="T366" t="n">
        <v>4.448657</v>
      </c>
      <c r="U366" t="n">
        <v>3.058348</v>
      </c>
      <c r="V366" t="n">
        <v>3.058348</v>
      </c>
      <c r="W366" t="n">
        <v>4.556294</v>
      </c>
      <c r="X366" t="n">
        <v>96.447226</v>
      </c>
      <c r="Y366" t="n">
        <v>10.417956</v>
      </c>
      <c r="Z366" t="n">
        <v>17.174689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140.953883</v>
      </c>
      <c r="F367" t="n">
        <v>18.617087</v>
      </c>
      <c r="G367" t="n">
        <v>164.501951</v>
      </c>
      <c r="H367" t="n">
        <v>16631.862825</v>
      </c>
      <c r="I367" t="n">
        <v>603.989501</v>
      </c>
      <c r="J367" t="n">
        <v>603.989501</v>
      </c>
      <c r="K367" t="n">
        <v>240.387821</v>
      </c>
      <c r="L367" t="n">
        <v>1080.992157</v>
      </c>
      <c r="M367" t="n">
        <v>1080.992157</v>
      </c>
      <c r="N367" t="n">
        <v>1080.992157</v>
      </c>
      <c r="O367" t="n">
        <v>17.290347</v>
      </c>
      <c r="P367" t="n">
        <v>9.498851999999999</v>
      </c>
      <c r="Q367" t="n">
        <v>1080.992157</v>
      </c>
      <c r="R367" t="n">
        <v>1080.992157</v>
      </c>
      <c r="S367" t="n">
        <v>17.290347</v>
      </c>
      <c r="T367" t="n">
        <v>17.290347</v>
      </c>
      <c r="U367" t="n">
        <v>9.498851999999999</v>
      </c>
      <c r="V367" t="n">
        <v>9.498851999999999</v>
      </c>
      <c r="W367" t="n">
        <v>17.932707</v>
      </c>
      <c r="X367" t="n">
        <v>1135.08839</v>
      </c>
      <c r="Y367" t="n">
        <v>12.790679</v>
      </c>
      <c r="Z367" t="n">
        <v>41.60617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140.953883</v>
      </c>
      <c r="F368" t="n">
        <v>554.842266</v>
      </c>
      <c r="G368" t="n">
        <v>61511.195509</v>
      </c>
      <c r="H368" t="n">
        <v>20307429.163039</v>
      </c>
      <c r="I368" t="n">
        <v>3230.237663</v>
      </c>
      <c r="J368" t="n">
        <v>3367.037571</v>
      </c>
      <c r="K368" t="n">
        <v>3198.685692</v>
      </c>
      <c r="L368" t="n">
        <v>4133.4309</v>
      </c>
      <c r="M368" t="n">
        <v>4133.4309</v>
      </c>
      <c r="N368" t="n">
        <v>4133.4309</v>
      </c>
      <c r="O368" t="n">
        <v>205.658598</v>
      </c>
      <c r="P368" t="n">
        <v>91.38801100000001</v>
      </c>
      <c r="Q368" t="n">
        <v>4133.4309</v>
      </c>
      <c r="R368" t="n">
        <v>4133.4309</v>
      </c>
      <c r="S368" t="n">
        <v>205.658598</v>
      </c>
      <c r="T368" t="n">
        <v>205.658598</v>
      </c>
      <c r="U368" t="n">
        <v>91.38801100000001</v>
      </c>
      <c r="V368" t="n">
        <v>91.38801100000001</v>
      </c>
      <c r="W368" t="n">
        <v>216.473302</v>
      </c>
      <c r="X368" t="n">
        <v>4393.486979</v>
      </c>
      <c r="Y368" t="n">
        <v>246.547973</v>
      </c>
      <c r="Z368" t="n">
        <v>636.567642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140.953883</v>
      </c>
      <c r="F369" t="n">
        <v>200.641254</v>
      </c>
      <c r="G369" t="n">
        <v>11101.904562</v>
      </c>
      <c r="H369" t="n">
        <v>25660602.941085</v>
      </c>
      <c r="I369" t="n">
        <v>6244.222521</v>
      </c>
      <c r="J369" t="n">
        <v>6325.914048</v>
      </c>
      <c r="K369" t="n">
        <v>1872.204427</v>
      </c>
      <c r="L369" t="n">
        <v>7112.982475</v>
      </c>
      <c r="M369" t="n">
        <v>7112.982475</v>
      </c>
      <c r="N369" t="n">
        <v>7112.982475</v>
      </c>
      <c r="O369" t="n">
        <v>87.969483</v>
      </c>
      <c r="P369" t="n">
        <v>46.580547</v>
      </c>
      <c r="Q369" t="n">
        <v>7112.982475</v>
      </c>
      <c r="R369" t="n">
        <v>7112.982475</v>
      </c>
      <c r="S369" t="n">
        <v>87.969483</v>
      </c>
      <c r="T369" t="n">
        <v>87.969483</v>
      </c>
      <c r="U369" t="n">
        <v>46.580547</v>
      </c>
      <c r="V369" t="n">
        <v>46.580547</v>
      </c>
      <c r="W369" t="n">
        <v>93.060855</v>
      </c>
      <c r="X369" t="n">
        <v>7459.131892</v>
      </c>
      <c r="Y369" t="n">
        <v>100.902165</v>
      </c>
      <c r="Z369" t="n">
        <v>211.14634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140.953883</v>
      </c>
      <c r="F370" t="n">
        <v>200.641254</v>
      </c>
      <c r="G370" t="n">
        <v>11101.904562</v>
      </c>
      <c r="H370" t="n">
        <v>25660602.941085</v>
      </c>
      <c r="I370" t="n">
        <v>6244.222521</v>
      </c>
      <c r="J370" t="n">
        <v>6325.914048</v>
      </c>
      <c r="K370" t="n">
        <v>1872.204427</v>
      </c>
      <c r="L370" t="n">
        <v>7112.982475</v>
      </c>
      <c r="M370" t="n">
        <v>7112.982475</v>
      </c>
      <c r="N370" t="n">
        <v>7112.982475</v>
      </c>
      <c r="O370" t="n">
        <v>87.969483</v>
      </c>
      <c r="P370" t="n">
        <v>46.580547</v>
      </c>
      <c r="Q370" t="n">
        <v>7112.982475</v>
      </c>
      <c r="R370" t="n">
        <v>7112.982475</v>
      </c>
      <c r="S370" t="n">
        <v>87.969483</v>
      </c>
      <c r="T370" t="n">
        <v>87.969483</v>
      </c>
      <c r="U370" t="n">
        <v>46.580547</v>
      </c>
      <c r="V370" t="n">
        <v>46.580547</v>
      </c>
      <c r="W370" t="n">
        <v>93.060855</v>
      </c>
      <c r="X370" t="n">
        <v>7459.131892</v>
      </c>
      <c r="Y370" t="n">
        <v>100.902165</v>
      </c>
      <c r="Z370" t="n">
        <v>211.14634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140.953883</v>
      </c>
      <c r="F371" t="n">
        <v>18.617087</v>
      </c>
      <c r="G371" t="n">
        <v>164.501951</v>
      </c>
      <c r="H371" t="n">
        <v>16631.862825</v>
      </c>
      <c r="I371" t="n">
        <v>603.989501</v>
      </c>
      <c r="J371" t="n">
        <v>603.989501</v>
      </c>
      <c r="K371" t="n">
        <v>240.387821</v>
      </c>
      <c r="L371" t="n">
        <v>1080.992157</v>
      </c>
      <c r="M371" t="n">
        <v>1080.992157</v>
      </c>
      <c r="N371" t="n">
        <v>1080.992157</v>
      </c>
      <c r="O371" t="n">
        <v>17.290347</v>
      </c>
      <c r="P371" t="n">
        <v>9.498851999999999</v>
      </c>
      <c r="Q371" t="n">
        <v>1080.992157</v>
      </c>
      <c r="R371" t="n">
        <v>1080.992157</v>
      </c>
      <c r="S371" t="n">
        <v>17.290347</v>
      </c>
      <c r="T371" t="n">
        <v>17.290347</v>
      </c>
      <c r="U371" t="n">
        <v>9.498851999999999</v>
      </c>
      <c r="V371" t="n">
        <v>9.498851999999999</v>
      </c>
      <c r="W371" t="n">
        <v>17.932707</v>
      </c>
      <c r="X371" t="n">
        <v>1135.08839</v>
      </c>
      <c r="Y371" t="n">
        <v>12.790679</v>
      </c>
      <c r="Z371" t="n">
        <v>41.60617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140.953883</v>
      </c>
      <c r="F373" t="n">
        <v>908.988005</v>
      </c>
      <c r="G373" t="n">
        <v>145576.696024</v>
      </c>
      <c r="H373" t="n">
        <v>48080410.421404</v>
      </c>
      <c r="I373" t="n">
        <v>125208.792952</v>
      </c>
      <c r="J373" t="n">
        <v>126616.154086</v>
      </c>
      <c r="K373" t="n">
        <v>63308.077043</v>
      </c>
      <c r="L373" t="n">
        <v>172174.15174</v>
      </c>
      <c r="M373" t="n">
        <v>172174.151739</v>
      </c>
      <c r="N373" t="n">
        <v>172174.151739</v>
      </c>
      <c r="O373" t="n">
        <v>202.141045</v>
      </c>
      <c r="P373" t="n">
        <v>87.49926499999999</v>
      </c>
      <c r="Q373" t="n">
        <v>172174.151739</v>
      </c>
      <c r="R373" t="n">
        <v>172174.151739</v>
      </c>
      <c r="S373" t="n">
        <v>202.141045</v>
      </c>
      <c r="T373" t="n">
        <v>202.141045</v>
      </c>
      <c r="U373" t="n">
        <v>87.49926499999999</v>
      </c>
      <c r="V373" t="n">
        <v>87.49926499999999</v>
      </c>
      <c r="W373" t="n">
        <v>214.928725</v>
      </c>
      <c r="X373" t="n">
        <v>183923.261916</v>
      </c>
      <c r="Y373" t="n">
        <v>379.113334</v>
      </c>
      <c r="Z373" t="n">
        <v>767.7179190000001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140.953883</v>
      </c>
      <c r="F374" t="n">
        <v>14.712171</v>
      </c>
      <c r="G374" t="n">
        <v>109.082967</v>
      </c>
      <c r="H374" t="n">
        <v>1554.089564</v>
      </c>
      <c r="I374" t="n">
        <v>87.52377799999999</v>
      </c>
      <c r="J374" t="n">
        <v>87.52377799999999</v>
      </c>
      <c r="K374" t="n">
        <v>33.521607</v>
      </c>
      <c r="L374" t="n">
        <v>92.59366</v>
      </c>
      <c r="M374" t="n">
        <v>92.59366</v>
      </c>
      <c r="N374" t="n">
        <v>92.59366</v>
      </c>
      <c r="O374" t="n">
        <v>4.448657</v>
      </c>
      <c r="P374" t="n">
        <v>3.058348</v>
      </c>
      <c r="Q374" t="n">
        <v>92.59366</v>
      </c>
      <c r="R374" t="n">
        <v>92.59366</v>
      </c>
      <c r="S374" t="n">
        <v>4.448657</v>
      </c>
      <c r="T374" t="n">
        <v>4.448657</v>
      </c>
      <c r="U374" t="n">
        <v>3.058348</v>
      </c>
      <c r="V374" t="n">
        <v>3.058348</v>
      </c>
      <c r="W374" t="n">
        <v>4.556294</v>
      </c>
      <c r="X374" t="n">
        <v>96.447226</v>
      </c>
      <c r="Y374" t="n">
        <v>10.417956</v>
      </c>
      <c r="Z374" t="n">
        <v>17.174689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140.953883</v>
      </c>
      <c r="F375" t="n">
        <v>18.617087</v>
      </c>
      <c r="G375" t="n">
        <v>164.501951</v>
      </c>
      <c r="H375" t="n">
        <v>16631.862825</v>
      </c>
      <c r="I375" t="n">
        <v>603.989501</v>
      </c>
      <c r="J375" t="n">
        <v>603.989501</v>
      </c>
      <c r="K375" t="n">
        <v>240.387821</v>
      </c>
      <c r="L375" t="n">
        <v>1080.992157</v>
      </c>
      <c r="M375" t="n">
        <v>1080.992157</v>
      </c>
      <c r="N375" t="n">
        <v>1080.992157</v>
      </c>
      <c r="O375" t="n">
        <v>17.290347</v>
      </c>
      <c r="P375" t="n">
        <v>9.498851999999999</v>
      </c>
      <c r="Q375" t="n">
        <v>1080.992157</v>
      </c>
      <c r="R375" t="n">
        <v>1080.992157</v>
      </c>
      <c r="S375" t="n">
        <v>17.290347</v>
      </c>
      <c r="T375" t="n">
        <v>17.290347</v>
      </c>
      <c r="U375" t="n">
        <v>9.498851999999999</v>
      </c>
      <c r="V375" t="n">
        <v>9.498851999999999</v>
      </c>
      <c r="W375" t="n">
        <v>17.932707</v>
      </c>
      <c r="X375" t="n">
        <v>1135.08839</v>
      </c>
      <c r="Y375" t="n">
        <v>12.790679</v>
      </c>
      <c r="Z375" t="n">
        <v>41.60617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140.953883</v>
      </c>
      <c r="F376" t="n">
        <v>14.712171</v>
      </c>
      <c r="G376" t="n">
        <v>109.082967</v>
      </c>
      <c r="H376" t="n">
        <v>1554.089564</v>
      </c>
      <c r="I376" t="n">
        <v>87.52377799999999</v>
      </c>
      <c r="J376" t="n">
        <v>87.52377799999999</v>
      </c>
      <c r="K376" t="n">
        <v>33.521607</v>
      </c>
      <c r="L376" t="n">
        <v>92.59366</v>
      </c>
      <c r="M376" t="n">
        <v>92.59366</v>
      </c>
      <c r="N376" t="n">
        <v>92.59366</v>
      </c>
      <c r="O376" t="n">
        <v>4.448657</v>
      </c>
      <c r="P376" t="n">
        <v>3.058348</v>
      </c>
      <c r="Q376" t="n">
        <v>92.59366</v>
      </c>
      <c r="R376" t="n">
        <v>92.59366</v>
      </c>
      <c r="S376" t="n">
        <v>4.448657</v>
      </c>
      <c r="T376" t="n">
        <v>4.448657</v>
      </c>
      <c r="U376" t="n">
        <v>3.058348</v>
      </c>
      <c r="V376" t="n">
        <v>3.058348</v>
      </c>
      <c r="W376" t="n">
        <v>4.556294</v>
      </c>
      <c r="X376" t="n">
        <v>96.447226</v>
      </c>
      <c r="Y376" t="n">
        <v>10.417956</v>
      </c>
      <c r="Z376" t="n">
        <v>17.174689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140.953883</v>
      </c>
      <c r="F377" t="n">
        <v>308.68601</v>
      </c>
      <c r="G377" t="n">
        <v>22108.042525</v>
      </c>
      <c r="H377" t="n">
        <v>195781560.03917</v>
      </c>
      <c r="I377" t="n">
        <v>10706.101486</v>
      </c>
      <c r="J377" t="n">
        <v>10781.622707</v>
      </c>
      <c r="K377" t="n">
        <v>3924.510665</v>
      </c>
      <c r="L377" t="n">
        <v>18846.946222</v>
      </c>
      <c r="M377" t="n">
        <v>18846.946222</v>
      </c>
      <c r="N377" t="n">
        <v>18846.946222</v>
      </c>
      <c r="O377" t="n">
        <v>119.185901</v>
      </c>
      <c r="P377" t="n">
        <v>52.155741</v>
      </c>
      <c r="Q377" t="n">
        <v>18846.946222</v>
      </c>
      <c r="R377" t="n">
        <v>18846.946222</v>
      </c>
      <c r="S377" t="n">
        <v>119.185901</v>
      </c>
      <c r="T377" t="n">
        <v>119.185901</v>
      </c>
      <c r="U377" t="n">
        <v>52.155741</v>
      </c>
      <c r="V377" t="n">
        <v>52.155741</v>
      </c>
      <c r="W377" t="n">
        <v>124.506314</v>
      </c>
      <c r="X377" t="n">
        <v>20404.471037</v>
      </c>
      <c r="Y377" t="n">
        <v>147.889899</v>
      </c>
      <c r="Z377" t="n">
        <v>588.19732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140.953883</v>
      </c>
      <c r="F378" t="n">
        <v>908.988005</v>
      </c>
      <c r="G378" t="n">
        <v>145576.696024</v>
      </c>
      <c r="H378" t="n">
        <v>48080410.421404</v>
      </c>
      <c r="I378" t="n">
        <v>125208.792952</v>
      </c>
      <c r="J378" t="n">
        <v>126616.154086</v>
      </c>
      <c r="K378" t="n">
        <v>63308.077043</v>
      </c>
      <c r="L378" t="n">
        <v>172174.15174</v>
      </c>
      <c r="M378" t="n">
        <v>172174.151739</v>
      </c>
      <c r="N378" t="n">
        <v>172174.151739</v>
      </c>
      <c r="O378" t="n">
        <v>202.141045</v>
      </c>
      <c r="P378" t="n">
        <v>87.49926499999999</v>
      </c>
      <c r="Q378" t="n">
        <v>172174.151739</v>
      </c>
      <c r="R378" t="n">
        <v>172174.151739</v>
      </c>
      <c r="S378" t="n">
        <v>202.141045</v>
      </c>
      <c r="T378" t="n">
        <v>202.141045</v>
      </c>
      <c r="U378" t="n">
        <v>87.49926499999999</v>
      </c>
      <c r="V378" t="n">
        <v>87.49926499999999</v>
      </c>
      <c r="W378" t="n">
        <v>214.928725</v>
      </c>
      <c r="X378" t="n">
        <v>183923.261916</v>
      </c>
      <c r="Y378" t="n">
        <v>379.113334</v>
      </c>
      <c r="Z378" t="n">
        <v>767.7179190000001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94376241.675</v>
      </c>
      <c r="D9" t="n">
        <v>113698027.711</v>
      </c>
      <c r="E9" t="n">
        <v>130798611.575</v>
      </c>
      <c r="F9" t="n">
        <v>133005587.131</v>
      </c>
      <c r="G9" t="n">
        <v>173662195.325</v>
      </c>
      <c r="H9" t="n">
        <v>191914765.392</v>
      </c>
      <c r="I9" t="n">
        <v>213107394.541</v>
      </c>
      <c r="J9" t="n">
        <v>209660913.529</v>
      </c>
      <c r="K9" t="n">
        <v>226828642.889</v>
      </c>
      <c r="L9" t="n">
        <v>238260573.663</v>
      </c>
      <c r="M9" t="n">
        <v>266483568.233</v>
      </c>
      <c r="N9" t="n">
        <v>257535448.837</v>
      </c>
      <c r="O9" t="n">
        <v>288999847.655</v>
      </c>
      <c r="P9" t="n">
        <v>305438284.444</v>
      </c>
      <c r="Q9" t="n">
        <v>317626531.045</v>
      </c>
      <c r="R9" t="n">
        <v>335050177.967</v>
      </c>
      <c r="S9" t="n">
        <v>352122762.046</v>
      </c>
      <c r="T9" t="n">
        <v>343955256.671</v>
      </c>
      <c r="U9" t="n">
        <v>359158180.945</v>
      </c>
      <c r="V9" t="n">
        <v>371145968.29</v>
      </c>
      <c r="W9" t="n">
        <v>382739948.388</v>
      </c>
      <c r="X9" t="n">
        <v>378810064.624</v>
      </c>
      <c r="Y9" t="n">
        <v>395454138.891</v>
      </c>
      <c r="Z9" t="n">
        <v>433374634.881</v>
      </c>
      <c r="AA9" t="n">
        <v>441848646.447</v>
      </c>
      <c r="AB9" t="n">
        <v>451725592.873</v>
      </c>
      <c r="AC9" t="n">
        <v>455869226.293</v>
      </c>
      <c r="AD9" t="n">
        <v>482342402.586</v>
      </c>
      <c r="AE9" t="n">
        <v>478833595.29</v>
      </c>
      <c r="AF9" t="n">
        <v>486236225.977</v>
      </c>
      <c r="AG9" t="n">
        <v>484810731.026</v>
      </c>
      <c r="AH9" t="n">
        <v>503441228.759</v>
      </c>
      <c r="AI9" t="n">
        <v>541537053.0549999</v>
      </c>
      <c r="AJ9" t="n">
        <v>575594808.663</v>
      </c>
      <c r="AK9" t="n">
        <v>603539314.021</v>
      </c>
      <c r="AL9" t="n">
        <v>647313465.776</v>
      </c>
      <c r="AM9" t="n">
        <v>664227258.117</v>
      </c>
      <c r="AN9" t="n">
        <v>722817649.72</v>
      </c>
      <c r="AO9" t="n">
        <v>746607210.673</v>
      </c>
      <c r="AP9" t="n">
        <v>758578205.1950001</v>
      </c>
      <c r="AQ9" t="n">
        <v>810499072.331</v>
      </c>
      <c r="AR9" t="n">
        <v>836760432.573</v>
      </c>
      <c r="AS9" t="n">
        <v>913106110.353</v>
      </c>
      <c r="AT9" t="n">
        <v>923930664.08</v>
      </c>
      <c r="AU9" t="n">
        <v>1069950309.824</v>
      </c>
      <c r="AV9" t="n">
        <v>1159085273.262</v>
      </c>
      <c r="AW9" t="n">
        <v>1260484795.734</v>
      </c>
      <c r="AX9" t="n">
        <v>1322343325.744</v>
      </c>
      <c r="AY9" t="n">
        <v>1327173710.726</v>
      </c>
      <c r="AZ9" t="n">
        <v>1266747193.374</v>
      </c>
      <c r="BA9" t="n">
        <v>1260802386.821</v>
      </c>
      <c r="BB9" t="n">
        <v>1318704520.347</v>
      </c>
      <c r="BC9" t="n">
        <v>1326615010.834</v>
      </c>
      <c r="BD9" t="n">
        <v>1367201295.444</v>
      </c>
      <c r="BE9" t="n">
        <v>1317949614.904</v>
      </c>
      <c r="BF9" t="n">
        <v>1308197530.785</v>
      </c>
      <c r="BG9" t="n">
        <v>1295092112.63</v>
      </c>
      <c r="BH9" t="n">
        <v>1294060858.502</v>
      </c>
      <c r="BI9" t="n">
        <v>1279355764.032</v>
      </c>
      <c r="BJ9" t="n">
        <v>1386374429.824</v>
      </c>
      <c r="BK9" t="n">
        <v>1401930472.047</v>
      </c>
      <c r="BL9" t="n">
        <v>1342082656.366</v>
      </c>
      <c r="BM9" t="n">
        <v>1448761155.474</v>
      </c>
      <c r="BN9" t="n">
        <v>1532921247.883</v>
      </c>
      <c r="BO9" t="n">
        <v>1499689433.541</v>
      </c>
      <c r="BP9" t="n">
        <v>1550768897.193</v>
      </c>
      <c r="BQ9" t="n">
        <v>1551471087.152</v>
      </c>
      <c r="BR9" t="n">
        <v>1514239030.506</v>
      </c>
      <c r="BS9" t="n">
        <v>1511262649.017</v>
      </c>
      <c r="BT9" t="n">
        <v>1559531470.817</v>
      </c>
    </row>
    <row r="10">
      <c r="A10" t="inlineStr">
        <is>
          <t>SPPR_1995_TE0.1</t>
        </is>
      </c>
      <c r="B10" t="inlineStr">
        <is>
          <t>ok</t>
        </is>
      </c>
      <c r="C10" t="n">
        <v>152464274.568</v>
      </c>
      <c r="D10" t="n">
        <v>193153466.71</v>
      </c>
      <c r="E10" t="n">
        <v>232937049.119</v>
      </c>
      <c r="F10" t="n">
        <v>236968570.216</v>
      </c>
      <c r="G10" t="n">
        <v>294275509.239</v>
      </c>
      <c r="H10" t="n">
        <v>344163509.159</v>
      </c>
      <c r="I10" t="n">
        <v>382481765.047</v>
      </c>
      <c r="J10" t="n">
        <v>379663008.273</v>
      </c>
      <c r="K10" t="n">
        <v>391702636.189</v>
      </c>
      <c r="L10" t="n">
        <v>420077786.41</v>
      </c>
      <c r="M10" t="n">
        <v>472671262.349</v>
      </c>
      <c r="N10" t="n">
        <v>451506913.89</v>
      </c>
      <c r="O10" t="n">
        <v>503661565.635</v>
      </c>
      <c r="P10" t="n">
        <v>531892928.009</v>
      </c>
      <c r="Q10" t="n">
        <v>539361981.817</v>
      </c>
      <c r="R10" t="n">
        <v>584890797.221</v>
      </c>
      <c r="S10" t="n">
        <v>614036920.089</v>
      </c>
      <c r="T10" t="n">
        <v>603363160.826</v>
      </c>
      <c r="U10" t="n">
        <v>627162694.929</v>
      </c>
      <c r="V10" t="n">
        <v>640742043.092</v>
      </c>
      <c r="W10" t="n">
        <v>632836316.568</v>
      </c>
      <c r="X10" t="n">
        <v>648733749.811</v>
      </c>
      <c r="Y10" t="n">
        <v>695888151.608</v>
      </c>
      <c r="Z10" t="n">
        <v>748044879.113</v>
      </c>
      <c r="AA10" t="n">
        <v>751676823.397</v>
      </c>
      <c r="AB10" t="n">
        <v>737502516.661</v>
      </c>
      <c r="AC10" t="n">
        <v>734897749.874</v>
      </c>
      <c r="AD10" t="n">
        <v>746860440.049</v>
      </c>
      <c r="AE10" t="n">
        <v>744602531.658</v>
      </c>
      <c r="AF10" t="n">
        <v>775216269.239</v>
      </c>
      <c r="AG10" t="n">
        <v>766250978.5319999</v>
      </c>
      <c r="AH10" t="n">
        <v>806361586.573</v>
      </c>
      <c r="AI10" t="n">
        <v>865845820.387</v>
      </c>
      <c r="AJ10" t="n">
        <v>879609825.83</v>
      </c>
      <c r="AK10" t="n">
        <v>918491655.123</v>
      </c>
      <c r="AL10" t="n">
        <v>949641073.095</v>
      </c>
      <c r="AM10" t="n">
        <v>964606336.98</v>
      </c>
      <c r="AN10" t="n">
        <v>1020065596.381</v>
      </c>
      <c r="AO10" t="n">
        <v>1019742451.7</v>
      </c>
      <c r="AP10" t="n">
        <v>1073873080.409</v>
      </c>
      <c r="AQ10" t="n">
        <v>1145608935.674</v>
      </c>
      <c r="AR10" t="n">
        <v>1212766707.595</v>
      </c>
      <c r="AS10" t="n">
        <v>1289276899.203</v>
      </c>
      <c r="AT10" t="n">
        <v>1256522116.458</v>
      </c>
      <c r="AU10" t="n">
        <v>1473573418.261</v>
      </c>
      <c r="AV10" t="n">
        <v>1596916285.306</v>
      </c>
      <c r="AW10" t="n">
        <v>1733889987.03</v>
      </c>
      <c r="AX10" t="n">
        <v>1718107528.733</v>
      </c>
      <c r="AY10" t="n">
        <v>1734019275.998</v>
      </c>
      <c r="AZ10" t="n">
        <v>1711826368.439</v>
      </c>
      <c r="BA10" t="n">
        <v>1695370284.528</v>
      </c>
      <c r="BB10" t="n">
        <v>1785621019.13</v>
      </c>
      <c r="BC10" t="n">
        <v>1812675258.683</v>
      </c>
      <c r="BD10" t="n">
        <v>1939804723.326</v>
      </c>
      <c r="BE10" t="n">
        <v>1876774019.529</v>
      </c>
      <c r="BF10" t="n">
        <v>1846380901.097</v>
      </c>
      <c r="BG10" t="n">
        <v>1859481631.375</v>
      </c>
      <c r="BH10" t="n">
        <v>1850001863.338</v>
      </c>
      <c r="BI10" t="n">
        <v>1855488043.691</v>
      </c>
      <c r="BJ10" t="n">
        <v>2004420709.263</v>
      </c>
      <c r="BK10" t="n">
        <v>2013114077.898</v>
      </c>
      <c r="BL10" t="n">
        <v>1899290146.139</v>
      </c>
      <c r="BM10" t="n">
        <v>2030656393.595</v>
      </c>
      <c r="BN10" t="n">
        <v>2161461981.858</v>
      </c>
      <c r="BO10" t="n">
        <v>2108374512.851</v>
      </c>
      <c r="BP10" t="n">
        <v>2186928892.726</v>
      </c>
      <c r="BQ10" t="n">
        <v>2204049819.017</v>
      </c>
      <c r="BR10" t="n">
        <v>2179292585.051</v>
      </c>
      <c r="BS10" t="n">
        <v>2195345683.525</v>
      </c>
      <c r="BT10" t="n">
        <v>2260661509.193</v>
      </c>
    </row>
    <row r="11">
      <c r="A11" s="18" t="inlineStr">
        <is>
          <t>SPPR_1995_TEmean</t>
        </is>
      </c>
      <c r="B11" s="9" t="inlineStr">
        <is>
          <t>IMPLAUSIBLE - up to 28x the trophic-chain estimate; the solve is near-singular for this model</t>
        </is>
      </c>
      <c r="C11" t="n">
        <v>13962864501.09</v>
      </c>
      <c r="D11" t="n">
        <v>18446683657.944</v>
      </c>
      <c r="E11" t="n">
        <v>22856794629.078</v>
      </c>
      <c r="F11" t="n">
        <v>23215576675.055</v>
      </c>
      <c r="G11" t="n">
        <v>28452178702.167</v>
      </c>
      <c r="H11" t="n">
        <v>33991685516.797</v>
      </c>
      <c r="I11" t="n">
        <v>38265141117.967</v>
      </c>
      <c r="J11" t="n">
        <v>37744950658.903</v>
      </c>
      <c r="K11" t="n">
        <v>37879444930.703</v>
      </c>
      <c r="L11" t="n">
        <v>41051955153.644</v>
      </c>
      <c r="M11" t="n">
        <v>45564953271.791</v>
      </c>
      <c r="N11" t="n">
        <v>43782085910.716</v>
      </c>
      <c r="O11" t="n">
        <v>48450355745.83</v>
      </c>
      <c r="P11" t="n">
        <v>51031047724.021</v>
      </c>
      <c r="Q11" t="n">
        <v>50910773665.342</v>
      </c>
      <c r="R11" t="n">
        <v>55750852314.763</v>
      </c>
      <c r="S11" t="n">
        <v>57763855404.92</v>
      </c>
      <c r="T11" t="n">
        <v>57190224905.376</v>
      </c>
      <c r="U11" t="n">
        <v>59545901197.825</v>
      </c>
      <c r="V11" t="n">
        <v>60205150491.764</v>
      </c>
      <c r="W11" t="n">
        <v>57544366797.697</v>
      </c>
      <c r="X11" t="n">
        <v>60829570459.52</v>
      </c>
      <c r="Y11" t="n">
        <v>66034779652.655</v>
      </c>
      <c r="Z11" t="n">
        <v>70773377253.155</v>
      </c>
      <c r="AA11" t="n">
        <v>70838011473.993</v>
      </c>
      <c r="AB11" t="n">
        <v>68335274841.701</v>
      </c>
      <c r="AC11" t="n">
        <v>67192611310.531</v>
      </c>
      <c r="AD11" t="n">
        <v>65597346604.204</v>
      </c>
      <c r="AE11" t="n">
        <v>64805861878.113</v>
      </c>
      <c r="AF11" t="n">
        <v>68546973912.644</v>
      </c>
      <c r="AG11" t="n">
        <v>66736833964.64</v>
      </c>
      <c r="AH11" t="n">
        <v>71198545643.17101</v>
      </c>
      <c r="AI11" t="n">
        <v>76462303139.395</v>
      </c>
      <c r="AJ11" t="n">
        <v>76633023434.66499</v>
      </c>
      <c r="AK11" t="n">
        <v>78966470456.28</v>
      </c>
      <c r="AL11" t="n">
        <v>80093203543.653</v>
      </c>
      <c r="AM11" t="n">
        <v>80820919013.396</v>
      </c>
      <c r="AN11" t="n">
        <v>82792362461.01601</v>
      </c>
      <c r="AO11" t="n">
        <v>82448187031.61301</v>
      </c>
      <c r="AP11" t="n">
        <v>86651426664.905</v>
      </c>
      <c r="AQ11" t="n">
        <v>92843854714.672</v>
      </c>
      <c r="AR11" t="n">
        <v>100228415119.262</v>
      </c>
      <c r="AS11" t="n">
        <v>106260190369.29</v>
      </c>
      <c r="AT11" t="n">
        <v>103456790777.331</v>
      </c>
      <c r="AU11" t="n">
        <v>123941957388.145</v>
      </c>
      <c r="AV11" t="n">
        <v>134834599613.919</v>
      </c>
      <c r="AW11" t="n">
        <v>144605115384.7</v>
      </c>
      <c r="AX11" t="n">
        <v>139742898074.631</v>
      </c>
      <c r="AY11" t="n">
        <v>142248600923.821</v>
      </c>
      <c r="AZ11" t="n">
        <v>142232288863.255</v>
      </c>
      <c r="BA11" t="n">
        <v>140728102861.095</v>
      </c>
      <c r="BB11" t="n">
        <v>149324891669.497</v>
      </c>
      <c r="BC11" t="n">
        <v>151170881643.75</v>
      </c>
      <c r="BD11" t="n">
        <v>162747704949.194</v>
      </c>
      <c r="BE11" t="n">
        <v>157619000780.176</v>
      </c>
      <c r="BF11" t="n">
        <v>153420907160.178</v>
      </c>
      <c r="BG11" t="n">
        <v>157099630464.976</v>
      </c>
      <c r="BH11" t="n">
        <v>154880197919.429</v>
      </c>
      <c r="BI11" t="n">
        <v>155574612983.253</v>
      </c>
      <c r="BJ11" t="n">
        <v>167515675524.574</v>
      </c>
      <c r="BK11" t="n">
        <v>167771578388.818</v>
      </c>
      <c r="BL11" t="n">
        <v>155084063577.971</v>
      </c>
      <c r="BM11" t="n">
        <v>163725986026.469</v>
      </c>
      <c r="BN11" t="n">
        <v>174999496827.778</v>
      </c>
      <c r="BO11" t="n">
        <v>171400532248.711</v>
      </c>
      <c r="BP11" t="n">
        <v>178191784916.528</v>
      </c>
      <c r="BQ11" t="n">
        <v>179170309795.758</v>
      </c>
      <c r="BR11" t="n">
        <v>178675331667.943</v>
      </c>
      <c r="BS11" t="n">
        <v>181427199858.729</v>
      </c>
      <c r="BT11" t="n">
        <v>185309050214.019</v>
      </c>
    </row>
    <row r="12">
      <c r="A12" s="18" t="inlineStr">
        <is>
          <t>Ulanowicz_globalTEmean</t>
        </is>
      </c>
      <c r="B12" s="9" t="inlineStr">
        <is>
          <t>IMPLAUSIBLE - up to 70,829x the trophic-chain estimate; the solve is near-singular for this model</t>
        </is>
      </c>
      <c r="C12" t="n">
        <v>37482761231499.93</v>
      </c>
      <c r="D12" t="n">
        <v>47332424080291.76</v>
      </c>
      <c r="E12" t="n">
        <v>56419577180745.46</v>
      </c>
      <c r="F12" t="n">
        <v>57509946620438.51</v>
      </c>
      <c r="G12" t="n">
        <v>68400631409293.42</v>
      </c>
      <c r="H12" t="n">
        <v>74901387224005.89</v>
      </c>
      <c r="I12" t="n">
        <v>83861045985577.92</v>
      </c>
      <c r="J12" t="n">
        <v>82607750864681.38</v>
      </c>
      <c r="K12" t="n">
        <v>86344766112120.97</v>
      </c>
      <c r="L12" t="n">
        <v>89131141613304.11</v>
      </c>
      <c r="M12" t="n">
        <v>99883902646849.53</v>
      </c>
      <c r="N12" t="n">
        <v>92123831164317.66</v>
      </c>
      <c r="O12" t="n">
        <v>103851761539457.3</v>
      </c>
      <c r="P12" t="n">
        <v>104913695370074.1</v>
      </c>
      <c r="Q12" t="n">
        <v>109762020547622.2</v>
      </c>
      <c r="R12" t="n">
        <v>119902568798205.6</v>
      </c>
      <c r="S12" t="n">
        <v>127920042448672.7</v>
      </c>
      <c r="T12" t="n">
        <v>123603688104943</v>
      </c>
      <c r="U12" t="n">
        <v>128288136318409.8</v>
      </c>
      <c r="V12" t="n">
        <v>134330993563091.9</v>
      </c>
      <c r="W12" t="n">
        <v>134071825294046.6</v>
      </c>
      <c r="X12" t="n">
        <v>135710678630780</v>
      </c>
      <c r="Y12" t="n">
        <v>143083300127518.6</v>
      </c>
      <c r="Z12" t="n">
        <v>163740907670081.6</v>
      </c>
      <c r="AA12" t="n">
        <v>162040334239545.1</v>
      </c>
      <c r="AB12" t="n">
        <v>158603239881080.8</v>
      </c>
      <c r="AC12" t="n">
        <v>155600618543264.8</v>
      </c>
      <c r="AD12" t="n">
        <v>164595881103073.1</v>
      </c>
      <c r="AE12" t="n">
        <v>167061660779138.5</v>
      </c>
      <c r="AF12" t="n">
        <v>165358934511118.8</v>
      </c>
      <c r="AG12" t="n">
        <v>162955607224211.2</v>
      </c>
      <c r="AH12" t="n">
        <v>176160430732443.6</v>
      </c>
      <c r="AI12" t="n">
        <v>186428959224347.3</v>
      </c>
      <c r="AJ12" t="n">
        <v>180129261756661.4</v>
      </c>
      <c r="AK12" t="n">
        <v>198493427386203.8</v>
      </c>
      <c r="AL12" t="n">
        <v>204550230863663.7</v>
      </c>
      <c r="AM12" t="n">
        <v>201860104166932.4</v>
      </c>
      <c r="AN12" t="n">
        <v>212819232767051.6</v>
      </c>
      <c r="AO12" t="n">
        <v>204076613071810.8</v>
      </c>
      <c r="AP12" t="n">
        <v>215011677663733</v>
      </c>
      <c r="AQ12" t="n">
        <v>226958269182216</v>
      </c>
      <c r="AR12" t="n">
        <v>233205072499948.9</v>
      </c>
      <c r="AS12" t="n">
        <v>239890098607663.9</v>
      </c>
      <c r="AT12" t="n">
        <v>232098065405071.8</v>
      </c>
      <c r="AU12" t="n">
        <v>278007570601332.8</v>
      </c>
      <c r="AV12" t="n">
        <v>292890524254038.2</v>
      </c>
      <c r="AW12" t="n">
        <v>313476229111746.4</v>
      </c>
      <c r="AX12" t="n">
        <v>309751545860368.4</v>
      </c>
      <c r="AY12" t="n">
        <v>314929444883428.6</v>
      </c>
      <c r="AZ12" t="n">
        <v>311603758039519.9</v>
      </c>
      <c r="BA12" t="n">
        <v>310084200875089.5</v>
      </c>
      <c r="BB12" t="n">
        <v>324828988759263.8</v>
      </c>
      <c r="BC12" t="n">
        <v>329071112864747.9</v>
      </c>
      <c r="BD12" t="n">
        <v>355032401687514.5</v>
      </c>
      <c r="BE12" t="n">
        <v>346346325649810.8</v>
      </c>
      <c r="BF12" t="n">
        <v>330405456871740.4</v>
      </c>
      <c r="BG12" t="n">
        <v>338532574212984.9</v>
      </c>
      <c r="BH12" t="n">
        <v>334043681135237.8</v>
      </c>
      <c r="BI12" t="n">
        <v>337207115507448.1</v>
      </c>
      <c r="BJ12" t="n">
        <v>367903710761681.6</v>
      </c>
      <c r="BK12" t="n">
        <v>364053520494184.1</v>
      </c>
      <c r="BL12" t="n">
        <v>337914144543449.2</v>
      </c>
      <c r="BM12" t="n">
        <v>357748465049461.7</v>
      </c>
      <c r="BN12" t="n">
        <v>389051755567110.2</v>
      </c>
      <c r="BO12" t="n">
        <v>366059905086640.4</v>
      </c>
      <c r="BP12" t="n">
        <v>382554322352404.8</v>
      </c>
      <c r="BQ12" t="n">
        <v>380508898226737.1</v>
      </c>
      <c r="BR12" t="n">
        <v>372537848295425.4</v>
      </c>
      <c r="BS12" t="n">
        <v>374474596911092.1</v>
      </c>
      <c r="BT12" t="n">
        <v>383911173017968.9</v>
      </c>
    </row>
    <row r="13">
      <c r="A13" t="inlineStr">
        <is>
          <t>Ulanowicz_TE</t>
        </is>
      </c>
      <c r="B13" t="inlineStr">
        <is>
          <t>ok</t>
        </is>
      </c>
      <c r="C13" t="n">
        <v>3512804938.959</v>
      </c>
      <c r="D13" t="n">
        <v>4421275437.618</v>
      </c>
      <c r="E13" t="n">
        <v>5312960917.473</v>
      </c>
      <c r="F13" t="n">
        <v>5436296670.514</v>
      </c>
      <c r="G13" t="n">
        <v>6651457015.285</v>
      </c>
      <c r="H13" t="n">
        <v>7611731915.95</v>
      </c>
      <c r="I13" t="n">
        <v>8451476503.72</v>
      </c>
      <c r="J13" t="n">
        <v>8401056849.097</v>
      </c>
      <c r="K13" t="n">
        <v>8909554192.99</v>
      </c>
      <c r="L13" t="n">
        <v>9540075232.643999</v>
      </c>
      <c r="M13" t="n">
        <v>10711745445.22</v>
      </c>
      <c r="N13" t="n">
        <v>10390714790.032</v>
      </c>
      <c r="O13" t="n">
        <v>11786682282.459</v>
      </c>
      <c r="P13" t="n">
        <v>12392481121.66</v>
      </c>
      <c r="Q13" t="n">
        <v>12676054034.594</v>
      </c>
      <c r="R13" t="n">
        <v>13664071173.126</v>
      </c>
      <c r="S13" t="n">
        <v>14343932896.472</v>
      </c>
      <c r="T13" t="n">
        <v>14400093699.853</v>
      </c>
      <c r="U13" t="n">
        <v>15229221096.311</v>
      </c>
      <c r="V13" t="n">
        <v>15666442023.556</v>
      </c>
      <c r="W13" t="n">
        <v>15150269009.923</v>
      </c>
      <c r="X13" t="n">
        <v>15319971421.166</v>
      </c>
      <c r="Y13" t="n">
        <v>16002953389.588</v>
      </c>
      <c r="Z13" t="n">
        <v>17500376430.431</v>
      </c>
      <c r="AA13" t="n">
        <v>17366946291.753</v>
      </c>
      <c r="AB13" t="n">
        <v>17358458347.945</v>
      </c>
      <c r="AC13" t="n">
        <v>17517145354.242</v>
      </c>
      <c r="AD13" t="n">
        <v>17982846848.694</v>
      </c>
      <c r="AE13" t="n">
        <v>17670220154.086</v>
      </c>
      <c r="AF13" t="n">
        <v>18353774689.951</v>
      </c>
      <c r="AG13" t="n">
        <v>18334816738.437</v>
      </c>
      <c r="AH13" t="n">
        <v>19236233265.155</v>
      </c>
      <c r="AI13" t="n">
        <v>20477403463.967</v>
      </c>
      <c r="AJ13" t="n">
        <v>20979599480.493</v>
      </c>
      <c r="AK13" t="n">
        <v>21800404684.513</v>
      </c>
      <c r="AL13" t="n">
        <v>22541047874.71</v>
      </c>
      <c r="AM13" t="n">
        <v>22836349114.568</v>
      </c>
      <c r="AN13" t="n">
        <v>24136319538.924</v>
      </c>
      <c r="AO13" t="n">
        <v>23378192239.803</v>
      </c>
      <c r="AP13" t="n">
        <v>24469045803.507</v>
      </c>
      <c r="AQ13" t="n">
        <v>26122932382.676</v>
      </c>
      <c r="AR13" t="n">
        <v>27316476612.468</v>
      </c>
      <c r="AS13" t="n">
        <v>28188499703.024</v>
      </c>
      <c r="AT13" t="n">
        <v>26912633588.169</v>
      </c>
      <c r="AU13" t="n">
        <v>31260105791.041</v>
      </c>
      <c r="AV13" t="n">
        <v>33480692691.195</v>
      </c>
      <c r="AW13" t="n">
        <v>36022737604.557</v>
      </c>
      <c r="AX13" t="n">
        <v>35680744215.709</v>
      </c>
      <c r="AY13" t="n">
        <v>35710969334.849</v>
      </c>
      <c r="AZ13" t="n">
        <v>37203417702.202</v>
      </c>
      <c r="BA13" t="n">
        <v>36056125209.285</v>
      </c>
      <c r="BB13" t="n">
        <v>36872717325.202</v>
      </c>
      <c r="BC13" t="n">
        <v>37745038351.277</v>
      </c>
      <c r="BD13" t="n">
        <v>39994079916.058</v>
      </c>
      <c r="BE13" t="n">
        <v>40262136518.095</v>
      </c>
      <c r="BF13" t="n">
        <v>38776388132.829</v>
      </c>
      <c r="BG13" t="n">
        <v>39112977396.645</v>
      </c>
      <c r="BH13" t="n">
        <v>38463016805.89</v>
      </c>
      <c r="BI13" t="n">
        <v>38580025985.557</v>
      </c>
      <c r="BJ13" t="n">
        <v>41609214384.208</v>
      </c>
      <c r="BK13" t="n">
        <v>41287613172.797</v>
      </c>
      <c r="BL13" t="n">
        <v>39450509193.542</v>
      </c>
      <c r="BM13" t="n">
        <v>41838950061.934</v>
      </c>
      <c r="BN13" t="n">
        <v>44388007701.19</v>
      </c>
      <c r="BO13" t="n">
        <v>42933796527.154</v>
      </c>
      <c r="BP13" t="n">
        <v>44537769571.857</v>
      </c>
      <c r="BQ13" t="n">
        <v>44798938709.345</v>
      </c>
      <c r="BR13" t="n">
        <v>44143703362.402</v>
      </c>
      <c r="BS13" t="n">
        <v>44382171205.327</v>
      </c>
      <c r="BT13" t="n">
        <v>45767656362.112</v>
      </c>
    </row>
    <row r="14">
      <c r="A14" t="inlineStr">
        <is>
          <t>EwE_TE_noEE</t>
        </is>
      </c>
      <c r="B14" t="inlineStr">
        <is>
          <t>ok</t>
        </is>
      </c>
      <c r="C14" t="n">
        <v>3655816390.432</v>
      </c>
      <c r="D14" t="n">
        <v>4596909316.778</v>
      </c>
      <c r="E14" t="n">
        <v>5520795334.182</v>
      </c>
      <c r="F14" t="n">
        <v>5647805918.612</v>
      </c>
      <c r="G14" t="n">
        <v>6904713494.43</v>
      </c>
      <c r="H14" t="n">
        <v>7899464444.151</v>
      </c>
      <c r="I14" t="n">
        <v>8771511059.882999</v>
      </c>
      <c r="J14" t="n">
        <v>8718322805.447001</v>
      </c>
      <c r="K14" t="n">
        <v>9244442757.148001</v>
      </c>
      <c r="L14" t="n">
        <v>9891560395.238001</v>
      </c>
      <c r="M14" t="n">
        <v>11119436452.989</v>
      </c>
      <c r="N14" t="n">
        <v>10767619282.785</v>
      </c>
      <c r="O14" t="n">
        <v>12213735926.274</v>
      </c>
      <c r="P14" t="n">
        <v>12834902685.017</v>
      </c>
      <c r="Q14" t="n">
        <v>13132535190.733</v>
      </c>
      <c r="R14" t="n">
        <v>14169575283.47</v>
      </c>
      <c r="S14" t="n">
        <v>14889004206.678</v>
      </c>
      <c r="T14" t="n">
        <v>14926444372.453</v>
      </c>
      <c r="U14" t="n">
        <v>15777334791.431</v>
      </c>
      <c r="V14" t="n">
        <v>16240804058.167</v>
      </c>
      <c r="W14" t="n">
        <v>15719840304.606</v>
      </c>
      <c r="X14" t="n">
        <v>15898928401.191</v>
      </c>
      <c r="Y14" t="n">
        <v>16613579558.593</v>
      </c>
      <c r="Z14" t="n">
        <v>18180013155.161</v>
      </c>
      <c r="AA14" t="n">
        <v>18040768387.839</v>
      </c>
      <c r="AB14" t="n">
        <v>18025461284.262</v>
      </c>
      <c r="AC14" t="n">
        <v>18176782716.136</v>
      </c>
      <c r="AD14" t="n">
        <v>18683096516.897</v>
      </c>
      <c r="AE14" t="n">
        <v>18381808336.025</v>
      </c>
      <c r="AF14" t="n">
        <v>19062718855.86</v>
      </c>
      <c r="AG14" t="n">
        <v>19024510321.832</v>
      </c>
      <c r="AH14" t="n">
        <v>19969773216.612</v>
      </c>
      <c r="AI14" t="n">
        <v>21260088917.148</v>
      </c>
      <c r="AJ14" t="n">
        <v>21745415023.089</v>
      </c>
      <c r="AK14" t="n">
        <v>22641372091.372</v>
      </c>
      <c r="AL14" t="n">
        <v>23408535106.116</v>
      </c>
      <c r="AM14" t="n">
        <v>23716889272.16</v>
      </c>
      <c r="AN14" t="n">
        <v>25076229212.065</v>
      </c>
      <c r="AO14" t="n">
        <v>24293203971.449</v>
      </c>
      <c r="AP14" t="n">
        <v>25426867016.888</v>
      </c>
      <c r="AQ14" t="n">
        <v>27122947007.14</v>
      </c>
      <c r="AR14" t="n">
        <v>28349534339.93</v>
      </c>
      <c r="AS14" t="n">
        <v>29268582731.214</v>
      </c>
      <c r="AT14" t="n">
        <v>27958057409.233</v>
      </c>
      <c r="AU14" t="n">
        <v>32462460404.124</v>
      </c>
      <c r="AV14" t="n">
        <v>34769745582.637</v>
      </c>
      <c r="AW14" t="n">
        <v>37414519590.378</v>
      </c>
      <c r="AX14" t="n">
        <v>37057431778.422</v>
      </c>
      <c r="AY14" t="n">
        <v>37092817449.316</v>
      </c>
      <c r="AZ14" t="n">
        <v>38563464079.54</v>
      </c>
      <c r="BA14" t="n">
        <v>37423011394.757</v>
      </c>
      <c r="BB14" t="n">
        <v>38317461515.96</v>
      </c>
      <c r="BC14" t="n">
        <v>39202693981.637</v>
      </c>
      <c r="BD14" t="n">
        <v>41564364604.755</v>
      </c>
      <c r="BE14" t="n">
        <v>41770626211.978</v>
      </c>
      <c r="BF14" t="n">
        <v>40252785408.22</v>
      </c>
      <c r="BG14" t="n">
        <v>40609732729.117</v>
      </c>
      <c r="BH14" t="n">
        <v>39931181279.324</v>
      </c>
      <c r="BI14" t="n">
        <v>40067562878.463</v>
      </c>
      <c r="BJ14" t="n">
        <v>43224401042.954</v>
      </c>
      <c r="BK14" t="n">
        <v>42898921261.303</v>
      </c>
      <c r="BL14" t="n">
        <v>40958283098.823</v>
      </c>
      <c r="BM14" t="n">
        <v>43436638877.701</v>
      </c>
      <c r="BN14" t="n">
        <v>46120146864.588</v>
      </c>
      <c r="BO14" t="n">
        <v>44575789660.51</v>
      </c>
      <c r="BP14" t="n">
        <v>46252104220.477</v>
      </c>
      <c r="BQ14" t="n">
        <v>46528736269.906</v>
      </c>
      <c r="BR14" t="n">
        <v>45848551324.005</v>
      </c>
      <c r="BS14" t="n">
        <v>46122456256.53</v>
      </c>
      <c r="BT14" t="n">
        <v>47557990847.26</v>
      </c>
    </row>
    <row r="15">
      <c r="A15" t="inlineStr">
        <is>
          <t>EwE_TE_EE</t>
        </is>
      </c>
      <c r="B15" t="inlineStr">
        <is>
          <t>ok</t>
        </is>
      </c>
      <c r="C15" t="n">
        <v>1375660893.406</v>
      </c>
      <c r="D15" t="n">
        <v>1725736462.51</v>
      </c>
      <c r="E15" t="n">
        <v>2067886234.771</v>
      </c>
      <c r="F15" t="n">
        <v>2118250830.019</v>
      </c>
      <c r="G15" t="n">
        <v>2571434122.849</v>
      </c>
      <c r="H15" t="n">
        <v>2870945272.899</v>
      </c>
      <c r="I15" t="n">
        <v>3197600520.518</v>
      </c>
      <c r="J15" t="n">
        <v>3180807721.135</v>
      </c>
      <c r="K15" t="n">
        <v>3417000335.389</v>
      </c>
      <c r="L15" t="n">
        <v>3636948341.753</v>
      </c>
      <c r="M15" t="n">
        <v>4114446443.128</v>
      </c>
      <c r="N15" t="n">
        <v>4004465554.591</v>
      </c>
      <c r="O15" t="n">
        <v>4576440075.535</v>
      </c>
      <c r="P15" t="n">
        <v>4802001968.239</v>
      </c>
      <c r="Q15" t="n">
        <v>4913779981.713</v>
      </c>
      <c r="R15" t="n">
        <v>5288527898.331</v>
      </c>
      <c r="S15" t="n">
        <v>5549496739.986</v>
      </c>
      <c r="T15" t="n">
        <v>5596575793.359</v>
      </c>
      <c r="U15" t="n">
        <v>5958603143.592</v>
      </c>
      <c r="V15" t="n">
        <v>6161370143.295</v>
      </c>
      <c r="W15" t="n">
        <v>5957547982.218</v>
      </c>
      <c r="X15" t="n">
        <v>6030642033.966</v>
      </c>
      <c r="Y15" t="n">
        <v>6254665381.515</v>
      </c>
      <c r="Z15" t="n">
        <v>6881766237.979</v>
      </c>
      <c r="AA15" t="n">
        <v>6867782181.228</v>
      </c>
      <c r="AB15" t="n">
        <v>6900950570.697</v>
      </c>
      <c r="AC15" t="n">
        <v>6893749304.533</v>
      </c>
      <c r="AD15" t="n">
        <v>7018068136.915</v>
      </c>
      <c r="AE15" t="n">
        <v>6930647915.884</v>
      </c>
      <c r="AF15" t="n">
        <v>7152685090.03</v>
      </c>
      <c r="AG15" t="n">
        <v>7102627604.983</v>
      </c>
      <c r="AH15" t="n">
        <v>7456149015.509</v>
      </c>
      <c r="AI15" t="n">
        <v>7914280021.712</v>
      </c>
      <c r="AJ15" t="n">
        <v>8083223986.035</v>
      </c>
      <c r="AK15" t="n">
        <v>8436258186.019</v>
      </c>
      <c r="AL15" t="n">
        <v>8741967588.030001</v>
      </c>
      <c r="AM15" t="n">
        <v>8825617224.719999</v>
      </c>
      <c r="AN15" t="n">
        <v>9301854759.584999</v>
      </c>
      <c r="AO15" t="n">
        <v>9040010458.108999</v>
      </c>
      <c r="AP15" t="n">
        <v>9438948134.561001</v>
      </c>
      <c r="AQ15" t="n">
        <v>10010108249.876</v>
      </c>
      <c r="AR15" t="n">
        <v>10336496821.973</v>
      </c>
      <c r="AS15" t="n">
        <v>10701868851.992</v>
      </c>
      <c r="AT15" t="n">
        <v>10308382985.116</v>
      </c>
      <c r="AU15" t="n">
        <v>11873102973.271</v>
      </c>
      <c r="AV15" t="n">
        <v>12701401758.217</v>
      </c>
      <c r="AW15" t="n">
        <v>13697858733.23</v>
      </c>
      <c r="AX15" t="n">
        <v>13603764909.754</v>
      </c>
      <c r="AY15" t="n">
        <v>13562018501.595</v>
      </c>
      <c r="AZ15" t="n">
        <v>14298560674.651</v>
      </c>
      <c r="BA15" t="n">
        <v>13868480367.222</v>
      </c>
      <c r="BB15" t="n">
        <v>14015966610.891</v>
      </c>
      <c r="BC15" t="n">
        <v>14307436994.611</v>
      </c>
      <c r="BD15" t="n">
        <v>15258604754.043</v>
      </c>
      <c r="BE15" t="n">
        <v>15368819403.671</v>
      </c>
      <c r="BF15" t="n">
        <v>14712219914.776</v>
      </c>
      <c r="BG15" t="n">
        <v>14772315400.969</v>
      </c>
      <c r="BH15" t="n">
        <v>14441318165.751</v>
      </c>
      <c r="BI15" t="n">
        <v>14520946369.098</v>
      </c>
      <c r="BJ15" t="n">
        <v>15716840333.85</v>
      </c>
      <c r="BK15" t="n">
        <v>15533351006.42</v>
      </c>
      <c r="BL15" t="n">
        <v>14909421673.736</v>
      </c>
      <c r="BM15" t="n">
        <v>15770647141.407</v>
      </c>
      <c r="BN15" t="n">
        <v>16736876343.755</v>
      </c>
      <c r="BO15" t="n">
        <v>16172958956.169</v>
      </c>
      <c r="BP15" t="n">
        <v>16780520679.452</v>
      </c>
      <c r="BQ15" t="n">
        <v>16900940741.682</v>
      </c>
      <c r="BR15" t="n">
        <v>16581958439.745</v>
      </c>
      <c r="BS15" t="n">
        <v>16669569459.425</v>
      </c>
      <c r="BT15" t="n">
        <v>17205681033.921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5340072572.594</v>
      </c>
      <c r="D17" t="n">
        <v>6769291557.962</v>
      </c>
      <c r="E17" t="n">
        <v>8164556708.785</v>
      </c>
      <c r="F17" t="n">
        <v>8340909675.554</v>
      </c>
      <c r="G17" t="n">
        <v>10126933469.149</v>
      </c>
      <c r="H17" t="n">
        <v>11600292619.83</v>
      </c>
      <c r="I17" t="n">
        <v>12952016465.106</v>
      </c>
      <c r="J17" t="n">
        <v>12850113538.404</v>
      </c>
      <c r="K17" t="n">
        <v>13566499932.817</v>
      </c>
      <c r="L17" t="n">
        <v>14496515164.818</v>
      </c>
      <c r="M17" t="n">
        <v>16308704405.031</v>
      </c>
      <c r="N17" t="n">
        <v>15788073155.656</v>
      </c>
      <c r="O17" t="n">
        <v>17871025011.586</v>
      </c>
      <c r="P17" t="n">
        <v>18729830484.902</v>
      </c>
      <c r="Q17" t="n">
        <v>19130404644.272</v>
      </c>
      <c r="R17" t="n">
        <v>20740259265.68</v>
      </c>
      <c r="S17" t="n">
        <v>21847512083.016</v>
      </c>
      <c r="T17" t="n">
        <v>21839740232.475</v>
      </c>
      <c r="U17" t="n">
        <v>23047048062.481</v>
      </c>
      <c r="V17" t="n">
        <v>23747341407.186</v>
      </c>
      <c r="W17" t="n">
        <v>22863880013.321</v>
      </c>
      <c r="X17" t="n">
        <v>23335682890.385</v>
      </c>
      <c r="Y17" t="n">
        <v>24401391960.77</v>
      </c>
      <c r="Z17" t="n">
        <v>26769035110.077</v>
      </c>
      <c r="AA17" t="n">
        <v>26492184962.719</v>
      </c>
      <c r="AB17" t="n">
        <v>26430673773.8</v>
      </c>
      <c r="AC17" t="n">
        <v>26597277214.998</v>
      </c>
      <c r="AD17" t="n">
        <v>27145228585.217</v>
      </c>
      <c r="AE17" t="n">
        <v>26653477435.276</v>
      </c>
      <c r="AF17" t="n">
        <v>27611385084.974</v>
      </c>
      <c r="AG17" t="n">
        <v>27388290930.956</v>
      </c>
      <c r="AH17" t="n">
        <v>28840226559.922</v>
      </c>
      <c r="AI17" t="n">
        <v>30660416279.63</v>
      </c>
      <c r="AJ17" t="n">
        <v>31173279448.594</v>
      </c>
      <c r="AK17" t="n">
        <v>32535407178.245</v>
      </c>
      <c r="AL17" t="n">
        <v>33536181131.975</v>
      </c>
      <c r="AM17" t="n">
        <v>33939217891.846</v>
      </c>
      <c r="AN17" t="n">
        <v>35677643973.56</v>
      </c>
      <c r="AO17" t="n">
        <v>34543022562.664</v>
      </c>
      <c r="AP17" t="n">
        <v>36112686603.842</v>
      </c>
      <c r="AQ17" t="n">
        <v>38401458605.319</v>
      </c>
      <c r="AR17" t="n">
        <v>40121190743.972</v>
      </c>
      <c r="AS17" t="n">
        <v>41527576436</v>
      </c>
      <c r="AT17" t="n">
        <v>39858730393.97</v>
      </c>
      <c r="AU17" t="n">
        <v>46364379109.494</v>
      </c>
      <c r="AV17" t="n">
        <v>49564012143.525</v>
      </c>
      <c r="AW17" t="n">
        <v>53418537133.755</v>
      </c>
      <c r="AX17" t="n">
        <v>52535126179.987</v>
      </c>
      <c r="AY17" t="n">
        <v>52692761575.156</v>
      </c>
      <c r="AZ17" t="n">
        <v>54895125621.11</v>
      </c>
      <c r="BA17" t="n">
        <v>53398660822.344</v>
      </c>
      <c r="BB17" t="n">
        <v>54648937853.421</v>
      </c>
      <c r="BC17" t="n">
        <v>55709186437.646</v>
      </c>
      <c r="BD17" t="n">
        <v>59198944189.215</v>
      </c>
      <c r="BE17" t="n">
        <v>59422686506.773</v>
      </c>
      <c r="BF17" t="n">
        <v>57074486152.91</v>
      </c>
      <c r="BG17" t="n">
        <v>57753079172.884</v>
      </c>
      <c r="BH17" t="n">
        <v>56680358677.975</v>
      </c>
      <c r="BI17" t="n">
        <v>56821420071.374</v>
      </c>
      <c r="BJ17" t="n">
        <v>61339711904.471</v>
      </c>
      <c r="BK17" t="n">
        <v>60734685215.699</v>
      </c>
      <c r="BL17" t="n">
        <v>57731266428.729</v>
      </c>
      <c r="BM17" t="n">
        <v>60909222738.387</v>
      </c>
      <c r="BN17" t="n">
        <v>64823923943.923</v>
      </c>
      <c r="BO17" t="n">
        <v>62592062769.805</v>
      </c>
      <c r="BP17" t="n">
        <v>64930829925.851</v>
      </c>
      <c r="BQ17" t="n">
        <v>65374943890.853</v>
      </c>
      <c r="BR17" t="n">
        <v>64582742489.671</v>
      </c>
      <c r="BS17" t="n">
        <v>65268580832.157</v>
      </c>
      <c r="BT17" t="n">
        <v>67221200544.74</v>
      </c>
    </row>
    <row r="18">
      <c r="A18" t="inlineStr">
        <is>
          <t>new_TE_EEfix</t>
        </is>
      </c>
      <c r="B18" t="inlineStr">
        <is>
          <t>ok</t>
        </is>
      </c>
      <c r="C18" t="n">
        <v>5340072572.594</v>
      </c>
      <c r="D18" t="n">
        <v>6769291557.962</v>
      </c>
      <c r="E18" t="n">
        <v>8164556708.785</v>
      </c>
      <c r="F18" t="n">
        <v>8340909675.554</v>
      </c>
      <c r="G18" t="n">
        <v>10126933469.149</v>
      </c>
      <c r="H18" t="n">
        <v>11600292619.83</v>
      </c>
      <c r="I18" t="n">
        <v>12952016465.106</v>
      </c>
      <c r="J18" t="n">
        <v>12850113538.404</v>
      </c>
      <c r="K18" t="n">
        <v>13566499932.817</v>
      </c>
      <c r="L18" t="n">
        <v>14496515164.818</v>
      </c>
      <c r="M18" t="n">
        <v>16308704405.031</v>
      </c>
      <c r="N18" t="n">
        <v>15788073155.656</v>
      </c>
      <c r="O18" t="n">
        <v>17871025011.586</v>
      </c>
      <c r="P18" t="n">
        <v>18729830484.902</v>
      </c>
      <c r="Q18" t="n">
        <v>19130404644.272</v>
      </c>
      <c r="R18" t="n">
        <v>20740259265.68</v>
      </c>
      <c r="S18" t="n">
        <v>21847512083.016</v>
      </c>
      <c r="T18" t="n">
        <v>21839740232.475</v>
      </c>
      <c r="U18" t="n">
        <v>23047048062.481</v>
      </c>
      <c r="V18" t="n">
        <v>23747341407.186</v>
      </c>
      <c r="W18" t="n">
        <v>22863880013.321</v>
      </c>
      <c r="X18" t="n">
        <v>23335682890.385</v>
      </c>
      <c r="Y18" t="n">
        <v>24401391960.77</v>
      </c>
      <c r="Z18" t="n">
        <v>26769035110.077</v>
      </c>
      <c r="AA18" t="n">
        <v>26492184962.719</v>
      </c>
      <c r="AB18" t="n">
        <v>26430673773.8</v>
      </c>
      <c r="AC18" t="n">
        <v>26597277214.998</v>
      </c>
      <c r="AD18" t="n">
        <v>27145228585.217</v>
      </c>
      <c r="AE18" t="n">
        <v>26653477435.276</v>
      </c>
      <c r="AF18" t="n">
        <v>27611385084.974</v>
      </c>
      <c r="AG18" t="n">
        <v>27388290930.956</v>
      </c>
      <c r="AH18" t="n">
        <v>28840226559.922</v>
      </c>
      <c r="AI18" t="n">
        <v>30660416279.63</v>
      </c>
      <c r="AJ18" t="n">
        <v>31173279448.594</v>
      </c>
      <c r="AK18" t="n">
        <v>32535407178.245</v>
      </c>
      <c r="AL18" t="n">
        <v>33536181131.975</v>
      </c>
      <c r="AM18" t="n">
        <v>33939217891.846</v>
      </c>
      <c r="AN18" t="n">
        <v>35677643973.56</v>
      </c>
      <c r="AO18" t="n">
        <v>34543022562.664</v>
      </c>
      <c r="AP18" t="n">
        <v>36112686603.842</v>
      </c>
      <c r="AQ18" t="n">
        <v>38401458605.319</v>
      </c>
      <c r="AR18" t="n">
        <v>40121190743.972</v>
      </c>
      <c r="AS18" t="n">
        <v>41527576436</v>
      </c>
      <c r="AT18" t="n">
        <v>39858730393.97</v>
      </c>
      <c r="AU18" t="n">
        <v>46364379109.494</v>
      </c>
      <c r="AV18" t="n">
        <v>49564012143.525</v>
      </c>
      <c r="AW18" t="n">
        <v>53418537133.755</v>
      </c>
      <c r="AX18" t="n">
        <v>52535126179.987</v>
      </c>
      <c r="AY18" t="n">
        <v>52692761575.156</v>
      </c>
      <c r="AZ18" t="n">
        <v>54895125621.11</v>
      </c>
      <c r="BA18" t="n">
        <v>53398660822.344</v>
      </c>
      <c r="BB18" t="n">
        <v>54648937853.421</v>
      </c>
      <c r="BC18" t="n">
        <v>55709186437.646</v>
      </c>
      <c r="BD18" t="n">
        <v>59198944189.215</v>
      </c>
      <c r="BE18" t="n">
        <v>59422686506.773</v>
      </c>
      <c r="BF18" t="n">
        <v>57074486152.91</v>
      </c>
      <c r="BG18" t="n">
        <v>57753079172.884</v>
      </c>
      <c r="BH18" t="n">
        <v>56680358677.975</v>
      </c>
      <c r="BI18" t="n">
        <v>56821420071.374</v>
      </c>
      <c r="BJ18" t="n">
        <v>61339711904.471</v>
      </c>
      <c r="BK18" t="n">
        <v>60734685215.699</v>
      </c>
      <c r="BL18" t="n">
        <v>57731266428.729</v>
      </c>
      <c r="BM18" t="n">
        <v>60909222738.387</v>
      </c>
      <c r="BN18" t="n">
        <v>64823923943.923</v>
      </c>
      <c r="BO18" t="n">
        <v>62592062769.805</v>
      </c>
      <c r="BP18" t="n">
        <v>64930829925.851</v>
      </c>
      <c r="BQ18" t="n">
        <v>65374943890.853</v>
      </c>
      <c r="BR18" t="n">
        <v>64582742489.671</v>
      </c>
      <c r="BS18" t="n">
        <v>65268580832.157</v>
      </c>
      <c r="BT18" t="n">
        <v>67221200544.74</v>
      </c>
    </row>
    <row r="19">
      <c r="A19" t="inlineStr">
        <is>
          <t>new_GE</t>
        </is>
      </c>
      <c r="B19" t="inlineStr">
        <is>
          <t>ok</t>
        </is>
      </c>
      <c r="C19" t="n">
        <v>47670597.7</v>
      </c>
      <c r="D19" t="n">
        <v>58695949.638</v>
      </c>
      <c r="E19" t="n">
        <v>69275384.498</v>
      </c>
      <c r="F19" t="n">
        <v>70761306.90700001</v>
      </c>
      <c r="G19" t="n">
        <v>88835269.307</v>
      </c>
      <c r="H19" t="n">
        <v>100746926.06</v>
      </c>
      <c r="I19" t="n">
        <v>110920012.08</v>
      </c>
      <c r="J19" t="n">
        <v>111087937.845</v>
      </c>
      <c r="K19" t="n">
        <v>120175192.53</v>
      </c>
      <c r="L19" t="n">
        <v>127158935.935</v>
      </c>
      <c r="M19" t="n">
        <v>144111104.724</v>
      </c>
      <c r="N19" t="n">
        <v>140820142.889</v>
      </c>
      <c r="O19" t="n">
        <v>156154215.776</v>
      </c>
      <c r="P19" t="n">
        <v>164184857.499</v>
      </c>
      <c r="Q19" t="n">
        <v>170162185.23</v>
      </c>
      <c r="R19" t="n">
        <v>181854123.492</v>
      </c>
      <c r="S19" t="n">
        <v>194429327.121</v>
      </c>
      <c r="T19" t="n">
        <v>192204179.107</v>
      </c>
      <c r="U19" t="n">
        <v>198892784.702</v>
      </c>
      <c r="V19" t="n">
        <v>204679053.53</v>
      </c>
      <c r="W19" t="n">
        <v>205956818.308</v>
      </c>
      <c r="X19" t="n">
        <v>206382437.962</v>
      </c>
      <c r="Y19" t="n">
        <v>221622784.1</v>
      </c>
      <c r="Z19" t="n">
        <v>239353868.987</v>
      </c>
      <c r="AA19" t="n">
        <v>239189813.202</v>
      </c>
      <c r="AB19" t="n">
        <v>236788996.965</v>
      </c>
      <c r="AC19" t="n">
        <v>238033725.971</v>
      </c>
      <c r="AD19" t="n">
        <v>245987346.98</v>
      </c>
      <c r="AE19" t="n">
        <v>245810975.412</v>
      </c>
      <c r="AF19" t="n">
        <v>253994591.423</v>
      </c>
      <c r="AG19" t="n">
        <v>256092744.474</v>
      </c>
      <c r="AH19" t="n">
        <v>268344923.882</v>
      </c>
      <c r="AI19" t="n">
        <v>285128368.029</v>
      </c>
      <c r="AJ19" t="n">
        <v>292318988.996</v>
      </c>
      <c r="AK19" t="n">
        <v>304916822.37</v>
      </c>
      <c r="AL19" t="n">
        <v>319672751.71</v>
      </c>
      <c r="AM19" t="n">
        <v>326844369.206</v>
      </c>
      <c r="AN19" t="n">
        <v>350702075.271</v>
      </c>
      <c r="AO19" t="n">
        <v>347469622.956</v>
      </c>
      <c r="AP19" t="n">
        <v>367141250.929</v>
      </c>
      <c r="AQ19" t="n">
        <v>392920767.025</v>
      </c>
      <c r="AR19" t="n">
        <v>412831175.499</v>
      </c>
      <c r="AS19" t="n">
        <v>435655700.451</v>
      </c>
      <c r="AT19" t="n">
        <v>418235098.37</v>
      </c>
      <c r="AU19" t="n">
        <v>480785436.286</v>
      </c>
      <c r="AV19" t="n">
        <v>524237229.191</v>
      </c>
      <c r="AW19" t="n">
        <v>570166213.929</v>
      </c>
      <c r="AX19" t="n">
        <v>568989082.798</v>
      </c>
      <c r="AY19" t="n">
        <v>571132447.826</v>
      </c>
      <c r="AZ19" t="n">
        <v>559302110.836</v>
      </c>
      <c r="BA19" t="n">
        <v>552138140.16</v>
      </c>
      <c r="BB19" t="n">
        <v>577360877.5700001</v>
      </c>
      <c r="BC19" t="n">
        <v>589097117.332</v>
      </c>
      <c r="BD19" t="n">
        <v>628149779.972</v>
      </c>
      <c r="BE19" t="n">
        <v>611235059.126</v>
      </c>
      <c r="BF19" t="n">
        <v>599861943.332</v>
      </c>
      <c r="BG19" t="n">
        <v>601698292.536</v>
      </c>
      <c r="BH19" t="n">
        <v>598339468.038</v>
      </c>
      <c r="BI19" t="n">
        <v>599031581.952</v>
      </c>
      <c r="BJ19" t="n">
        <v>649917813.835</v>
      </c>
      <c r="BK19" t="n">
        <v>653618908.9299999</v>
      </c>
      <c r="BL19" t="n">
        <v>620557611.031</v>
      </c>
      <c r="BM19" t="n">
        <v>668335034.255</v>
      </c>
      <c r="BN19" t="n">
        <v>711491721.674</v>
      </c>
      <c r="BO19" t="n">
        <v>691670300.54</v>
      </c>
      <c r="BP19" t="n">
        <v>718452540.405</v>
      </c>
      <c r="BQ19" t="n">
        <v>723599026.6950001</v>
      </c>
      <c r="BR19" t="n">
        <v>708042113.863</v>
      </c>
      <c r="BS19" t="n">
        <v>709384977.865</v>
      </c>
      <c r="BT19" t="n">
        <v>730497800.211</v>
      </c>
    </row>
    <row r="20">
      <c r="A20" t="inlineStr">
        <is>
          <t>new_WithEgestion</t>
        </is>
      </c>
      <c r="B20" t="inlineStr">
        <is>
          <t>ok</t>
        </is>
      </c>
      <c r="C20" t="n">
        <v>22932172.28</v>
      </c>
      <c r="D20" t="n">
        <v>28079433.302</v>
      </c>
      <c r="E20" t="n">
        <v>33004263.394</v>
      </c>
      <c r="F20" t="n">
        <v>33725763.205</v>
      </c>
      <c r="G20" t="n">
        <v>42758690.498</v>
      </c>
      <c r="H20" t="n">
        <v>48443380.424</v>
      </c>
      <c r="I20" t="n">
        <v>53178813.402</v>
      </c>
      <c r="J20" t="n">
        <v>53298199.383</v>
      </c>
      <c r="K20" t="n">
        <v>57737890.453</v>
      </c>
      <c r="L20" t="n">
        <v>61138728.935</v>
      </c>
      <c r="M20" t="n">
        <v>69160873.16599999</v>
      </c>
      <c r="N20" t="n">
        <v>67611803.14300001</v>
      </c>
      <c r="O20" t="n">
        <v>75058671.138</v>
      </c>
      <c r="P20" t="n">
        <v>79137982.55500001</v>
      </c>
      <c r="Q20" t="n">
        <v>82082709.58400001</v>
      </c>
      <c r="R20" t="n">
        <v>87404060.06200001</v>
      </c>
      <c r="S20" t="n">
        <v>93169805.59199999</v>
      </c>
      <c r="T20" t="n">
        <v>92127716.57700001</v>
      </c>
      <c r="U20" t="n">
        <v>95376236.95100001</v>
      </c>
      <c r="V20" t="n">
        <v>98062281.167</v>
      </c>
      <c r="W20" t="n">
        <v>99053948.38500001</v>
      </c>
      <c r="X20" t="n">
        <v>98792678.579</v>
      </c>
      <c r="Y20" t="n">
        <v>105918447.194</v>
      </c>
      <c r="Z20" t="n">
        <v>114261093.2</v>
      </c>
      <c r="AA20" t="n">
        <v>114576037.983</v>
      </c>
      <c r="AB20" t="n">
        <v>113668900.849</v>
      </c>
      <c r="AC20" t="n">
        <v>114485316.571</v>
      </c>
      <c r="AD20" t="n">
        <v>118803308.609</v>
      </c>
      <c r="AE20" t="n">
        <v>118850033.926</v>
      </c>
      <c r="AF20" t="n">
        <v>122938861.46</v>
      </c>
      <c r="AG20" t="n">
        <v>124194126.968</v>
      </c>
      <c r="AH20" t="n">
        <v>129874139.088</v>
      </c>
      <c r="AI20" t="n">
        <v>138240823.284</v>
      </c>
      <c r="AJ20" t="n">
        <v>142507560.454</v>
      </c>
      <c r="AK20" t="n">
        <v>148289975.53</v>
      </c>
      <c r="AL20" t="n">
        <v>155983425.327</v>
      </c>
      <c r="AM20" t="n">
        <v>159672482.956</v>
      </c>
      <c r="AN20" t="n">
        <v>171842708.093</v>
      </c>
      <c r="AO20" t="n">
        <v>170982956.717</v>
      </c>
      <c r="AP20" t="n">
        <v>180434619.785</v>
      </c>
      <c r="AQ20" t="n">
        <v>193464442.864</v>
      </c>
      <c r="AR20" t="n">
        <v>203245712.936</v>
      </c>
      <c r="AS20" t="n">
        <v>215088718.998</v>
      </c>
      <c r="AT20" t="n">
        <v>207042053.914</v>
      </c>
      <c r="AU20" t="n">
        <v>237795618.814</v>
      </c>
      <c r="AV20" t="n">
        <v>259591351.804</v>
      </c>
      <c r="AW20" t="n">
        <v>282574490.634</v>
      </c>
      <c r="AX20" t="n">
        <v>283804487.834</v>
      </c>
      <c r="AY20" t="n">
        <v>284706512.875</v>
      </c>
      <c r="AZ20" t="n">
        <v>277769546.104</v>
      </c>
      <c r="BA20" t="n">
        <v>273995691.572</v>
      </c>
      <c r="BB20" t="n">
        <v>286695241.986</v>
      </c>
      <c r="BC20" t="n">
        <v>292564357.308</v>
      </c>
      <c r="BD20" t="n">
        <v>310552713.685</v>
      </c>
      <c r="BE20" t="n">
        <v>301902264.008</v>
      </c>
      <c r="BF20" t="n">
        <v>296985733.439</v>
      </c>
      <c r="BG20" t="n">
        <v>297069806.008</v>
      </c>
      <c r="BH20" t="n">
        <v>295691484.148</v>
      </c>
      <c r="BI20" t="n">
        <v>295976043.412</v>
      </c>
      <c r="BJ20" t="n">
        <v>321108898.277</v>
      </c>
      <c r="BK20" t="n">
        <v>323463465.899</v>
      </c>
      <c r="BL20" t="n">
        <v>307874854.924</v>
      </c>
      <c r="BM20" t="n">
        <v>332256164.967</v>
      </c>
      <c r="BN20" t="n">
        <v>353066948.975</v>
      </c>
      <c r="BO20" t="n">
        <v>344254314.844</v>
      </c>
      <c r="BP20" t="n">
        <v>357198103.941</v>
      </c>
      <c r="BQ20" t="n">
        <v>359708136.729</v>
      </c>
      <c r="BR20" t="n">
        <v>351580772.503</v>
      </c>
      <c r="BS20" t="n">
        <v>351698577.606</v>
      </c>
      <c r="BT20" t="n">
        <v>362452720.83</v>
      </c>
    </row>
    <row r="21">
      <c r="A21" t="inlineStr">
        <is>
          <t>sym_TE_asPP</t>
        </is>
      </c>
      <c r="B21" t="inlineStr">
        <is>
          <t>ok</t>
        </is>
      </c>
      <c r="C21" t="n">
        <v>5340072572.594</v>
      </c>
      <c r="D21" t="n">
        <v>6769291557.962</v>
      </c>
      <c r="E21" t="n">
        <v>8164556708.785</v>
      </c>
      <c r="F21" t="n">
        <v>8340909675.554</v>
      </c>
      <c r="G21" t="n">
        <v>10126933469.149</v>
      </c>
      <c r="H21" t="n">
        <v>11600292619.83</v>
      </c>
      <c r="I21" t="n">
        <v>12952016465.106</v>
      </c>
      <c r="J21" t="n">
        <v>12850113538.404</v>
      </c>
      <c r="K21" t="n">
        <v>13566499932.817</v>
      </c>
      <c r="L21" t="n">
        <v>14496515164.818</v>
      </c>
      <c r="M21" t="n">
        <v>16308704405.031</v>
      </c>
      <c r="N21" t="n">
        <v>15788073155.656</v>
      </c>
      <c r="O21" t="n">
        <v>17871025011.586</v>
      </c>
      <c r="P21" t="n">
        <v>18729830484.902</v>
      </c>
      <c r="Q21" t="n">
        <v>19130404644.272</v>
      </c>
      <c r="R21" t="n">
        <v>20740259265.68</v>
      </c>
      <c r="S21" t="n">
        <v>21847512083.016</v>
      </c>
      <c r="T21" t="n">
        <v>21839740232.475</v>
      </c>
      <c r="U21" t="n">
        <v>23047048062.481</v>
      </c>
      <c r="V21" t="n">
        <v>23747341407.186</v>
      </c>
      <c r="W21" t="n">
        <v>22863880013.321</v>
      </c>
      <c r="X21" t="n">
        <v>23335682890.385</v>
      </c>
      <c r="Y21" t="n">
        <v>24401391960.77</v>
      </c>
      <c r="Z21" t="n">
        <v>26769035110.077</v>
      </c>
      <c r="AA21" t="n">
        <v>26492184962.719</v>
      </c>
      <c r="AB21" t="n">
        <v>26430673773.8</v>
      </c>
      <c r="AC21" t="n">
        <v>26597277214.998</v>
      </c>
      <c r="AD21" t="n">
        <v>27145228585.217</v>
      </c>
      <c r="AE21" t="n">
        <v>26653477435.276</v>
      </c>
      <c r="AF21" t="n">
        <v>27611385084.974</v>
      </c>
      <c r="AG21" t="n">
        <v>27388290930.956</v>
      </c>
      <c r="AH21" t="n">
        <v>28840226559.922</v>
      </c>
      <c r="AI21" t="n">
        <v>30660416279.63</v>
      </c>
      <c r="AJ21" t="n">
        <v>31173279448.594</v>
      </c>
      <c r="AK21" t="n">
        <v>32535407178.245</v>
      </c>
      <c r="AL21" t="n">
        <v>33536181131.975</v>
      </c>
      <c r="AM21" t="n">
        <v>33939217891.846</v>
      </c>
      <c r="AN21" t="n">
        <v>35677643973.56</v>
      </c>
      <c r="AO21" t="n">
        <v>34543022562.664</v>
      </c>
      <c r="AP21" t="n">
        <v>36112686603.842</v>
      </c>
      <c r="AQ21" t="n">
        <v>38401458605.319</v>
      </c>
      <c r="AR21" t="n">
        <v>40121190743.972</v>
      </c>
      <c r="AS21" t="n">
        <v>41527576436</v>
      </c>
      <c r="AT21" t="n">
        <v>39858730393.97</v>
      </c>
      <c r="AU21" t="n">
        <v>46364379109.494</v>
      </c>
      <c r="AV21" t="n">
        <v>49564012143.525</v>
      </c>
      <c r="AW21" t="n">
        <v>53418537133.755</v>
      </c>
      <c r="AX21" t="n">
        <v>52535126179.987</v>
      </c>
      <c r="AY21" t="n">
        <v>52692761575.156</v>
      </c>
      <c r="AZ21" t="n">
        <v>54895125621.11</v>
      </c>
      <c r="BA21" t="n">
        <v>53398660822.344</v>
      </c>
      <c r="BB21" t="n">
        <v>54648937853.421</v>
      </c>
      <c r="BC21" t="n">
        <v>55709186437.646</v>
      </c>
      <c r="BD21" t="n">
        <v>59198944189.215</v>
      </c>
      <c r="BE21" t="n">
        <v>59422686506.773</v>
      </c>
      <c r="BF21" t="n">
        <v>57074486152.91</v>
      </c>
      <c r="BG21" t="n">
        <v>57753079172.884</v>
      </c>
      <c r="BH21" t="n">
        <v>56680358677.975</v>
      </c>
      <c r="BI21" t="n">
        <v>56821420071.374</v>
      </c>
      <c r="BJ21" t="n">
        <v>61339711904.471</v>
      </c>
      <c r="BK21" t="n">
        <v>60734685215.699</v>
      </c>
      <c r="BL21" t="n">
        <v>57731266428.729</v>
      </c>
      <c r="BM21" t="n">
        <v>60909222738.387</v>
      </c>
      <c r="BN21" t="n">
        <v>64823923943.923</v>
      </c>
      <c r="BO21" t="n">
        <v>62592062769.805</v>
      </c>
      <c r="BP21" t="n">
        <v>64930829925.851</v>
      </c>
      <c r="BQ21" t="n">
        <v>65374943890.853</v>
      </c>
      <c r="BR21" t="n">
        <v>64582742489.671</v>
      </c>
      <c r="BS21" t="n">
        <v>65268580832.157</v>
      </c>
      <c r="BT21" t="n">
        <v>67221200544.74</v>
      </c>
    </row>
    <row r="22">
      <c r="A22" t="inlineStr">
        <is>
          <t>sym_TE_asDC</t>
        </is>
      </c>
      <c r="B22" t="inlineStr">
        <is>
          <t>ok</t>
        </is>
      </c>
      <c r="C22" t="n">
        <v>5340072572.594</v>
      </c>
      <c r="D22" t="n">
        <v>6769291557.962</v>
      </c>
      <c r="E22" t="n">
        <v>8164556708.785</v>
      </c>
      <c r="F22" t="n">
        <v>8340909675.554</v>
      </c>
      <c r="G22" t="n">
        <v>10126933469.149</v>
      </c>
      <c r="H22" t="n">
        <v>11600292619.83</v>
      </c>
      <c r="I22" t="n">
        <v>12952016465.106</v>
      </c>
      <c r="J22" t="n">
        <v>12850113538.404</v>
      </c>
      <c r="K22" t="n">
        <v>13566499932.817</v>
      </c>
      <c r="L22" t="n">
        <v>14496515164.818</v>
      </c>
      <c r="M22" t="n">
        <v>16308704405.031</v>
      </c>
      <c r="N22" t="n">
        <v>15788073155.656</v>
      </c>
      <c r="O22" t="n">
        <v>17871025011.586</v>
      </c>
      <c r="P22" t="n">
        <v>18729830484.902</v>
      </c>
      <c r="Q22" t="n">
        <v>19130404644.272</v>
      </c>
      <c r="R22" t="n">
        <v>20740259265.68</v>
      </c>
      <c r="S22" t="n">
        <v>21847512083.016</v>
      </c>
      <c r="T22" t="n">
        <v>21839740232.475</v>
      </c>
      <c r="U22" t="n">
        <v>23047048062.481</v>
      </c>
      <c r="V22" t="n">
        <v>23747341407.186</v>
      </c>
      <c r="W22" t="n">
        <v>22863880013.321</v>
      </c>
      <c r="X22" t="n">
        <v>23335682890.385</v>
      </c>
      <c r="Y22" t="n">
        <v>24401391960.77</v>
      </c>
      <c r="Z22" t="n">
        <v>26769035110.077</v>
      </c>
      <c r="AA22" t="n">
        <v>26492184962.719</v>
      </c>
      <c r="AB22" t="n">
        <v>26430673773.8</v>
      </c>
      <c r="AC22" t="n">
        <v>26597277214.998</v>
      </c>
      <c r="AD22" t="n">
        <v>27145228585.217</v>
      </c>
      <c r="AE22" t="n">
        <v>26653477435.276</v>
      </c>
      <c r="AF22" t="n">
        <v>27611385084.974</v>
      </c>
      <c r="AG22" t="n">
        <v>27388290930.956</v>
      </c>
      <c r="AH22" t="n">
        <v>28840226559.922</v>
      </c>
      <c r="AI22" t="n">
        <v>30660416279.63</v>
      </c>
      <c r="AJ22" t="n">
        <v>31173279448.594</v>
      </c>
      <c r="AK22" t="n">
        <v>32535407178.245</v>
      </c>
      <c r="AL22" t="n">
        <v>33536181131.975</v>
      </c>
      <c r="AM22" t="n">
        <v>33939217891.846</v>
      </c>
      <c r="AN22" t="n">
        <v>35677643973.56</v>
      </c>
      <c r="AO22" t="n">
        <v>34543022562.664</v>
      </c>
      <c r="AP22" t="n">
        <v>36112686603.842</v>
      </c>
      <c r="AQ22" t="n">
        <v>38401458605.319</v>
      </c>
      <c r="AR22" t="n">
        <v>40121190743.972</v>
      </c>
      <c r="AS22" t="n">
        <v>41527576436</v>
      </c>
      <c r="AT22" t="n">
        <v>39858730393.97</v>
      </c>
      <c r="AU22" t="n">
        <v>46364379109.494</v>
      </c>
      <c r="AV22" t="n">
        <v>49564012143.525</v>
      </c>
      <c r="AW22" t="n">
        <v>53418537133.755</v>
      </c>
      <c r="AX22" t="n">
        <v>52535126179.987</v>
      </c>
      <c r="AY22" t="n">
        <v>52692761575.156</v>
      </c>
      <c r="AZ22" t="n">
        <v>54895125621.11</v>
      </c>
      <c r="BA22" t="n">
        <v>53398660822.344</v>
      </c>
      <c r="BB22" t="n">
        <v>54648937853.421</v>
      </c>
      <c r="BC22" t="n">
        <v>55709186437.646</v>
      </c>
      <c r="BD22" t="n">
        <v>59198944189.215</v>
      </c>
      <c r="BE22" t="n">
        <v>59422686506.773</v>
      </c>
      <c r="BF22" t="n">
        <v>57074486152.91</v>
      </c>
      <c r="BG22" t="n">
        <v>57753079172.884</v>
      </c>
      <c r="BH22" t="n">
        <v>56680358677.975</v>
      </c>
      <c r="BI22" t="n">
        <v>56821420071.374</v>
      </c>
      <c r="BJ22" t="n">
        <v>61339711904.471</v>
      </c>
      <c r="BK22" t="n">
        <v>60734685215.699</v>
      </c>
      <c r="BL22" t="n">
        <v>57731266428.729</v>
      </c>
      <c r="BM22" t="n">
        <v>60909222738.387</v>
      </c>
      <c r="BN22" t="n">
        <v>64823923943.923</v>
      </c>
      <c r="BO22" t="n">
        <v>62592062769.805</v>
      </c>
      <c r="BP22" t="n">
        <v>64930829925.851</v>
      </c>
      <c r="BQ22" t="n">
        <v>65374943890.853</v>
      </c>
      <c r="BR22" t="n">
        <v>64582742489.671</v>
      </c>
      <c r="BS22" t="n">
        <v>65268580832.157</v>
      </c>
      <c r="BT22" t="n">
        <v>67221200544.74</v>
      </c>
    </row>
    <row r="23">
      <c r="A23" t="inlineStr">
        <is>
          <t>sym_GE_asPP</t>
        </is>
      </c>
      <c r="B23" t="inlineStr">
        <is>
          <t>ok</t>
        </is>
      </c>
      <c r="C23" t="n">
        <v>47670597.7</v>
      </c>
      <c r="D23" t="n">
        <v>58695949.638</v>
      </c>
      <c r="E23" t="n">
        <v>69275384.498</v>
      </c>
      <c r="F23" t="n">
        <v>70761306.90700001</v>
      </c>
      <c r="G23" t="n">
        <v>88835269.307</v>
      </c>
      <c r="H23" t="n">
        <v>100746926.06</v>
      </c>
      <c r="I23" t="n">
        <v>110920012.08</v>
      </c>
      <c r="J23" t="n">
        <v>111087937.845</v>
      </c>
      <c r="K23" t="n">
        <v>120175192.53</v>
      </c>
      <c r="L23" t="n">
        <v>127158935.935</v>
      </c>
      <c r="M23" t="n">
        <v>144111104.724</v>
      </c>
      <c r="N23" t="n">
        <v>140820142.889</v>
      </c>
      <c r="O23" t="n">
        <v>156154215.776</v>
      </c>
      <c r="P23" t="n">
        <v>164184857.499</v>
      </c>
      <c r="Q23" t="n">
        <v>170162185.23</v>
      </c>
      <c r="R23" t="n">
        <v>181854123.492</v>
      </c>
      <c r="S23" t="n">
        <v>194429327.121</v>
      </c>
      <c r="T23" t="n">
        <v>192204179.107</v>
      </c>
      <c r="U23" t="n">
        <v>198892784.702</v>
      </c>
      <c r="V23" t="n">
        <v>204679053.53</v>
      </c>
      <c r="W23" t="n">
        <v>205956818.308</v>
      </c>
      <c r="X23" t="n">
        <v>206382437.962</v>
      </c>
      <c r="Y23" t="n">
        <v>221622784.1</v>
      </c>
      <c r="Z23" t="n">
        <v>239353868.987</v>
      </c>
      <c r="AA23" t="n">
        <v>239189813.202</v>
      </c>
      <c r="AB23" t="n">
        <v>236788996.965</v>
      </c>
      <c r="AC23" t="n">
        <v>238033725.971</v>
      </c>
      <c r="AD23" t="n">
        <v>245987346.98</v>
      </c>
      <c r="AE23" t="n">
        <v>245810975.412</v>
      </c>
      <c r="AF23" t="n">
        <v>253994591.423</v>
      </c>
      <c r="AG23" t="n">
        <v>256092744.474</v>
      </c>
      <c r="AH23" t="n">
        <v>268344923.882</v>
      </c>
      <c r="AI23" t="n">
        <v>285128368.029</v>
      </c>
      <c r="AJ23" t="n">
        <v>292318988.996</v>
      </c>
      <c r="AK23" t="n">
        <v>304916822.37</v>
      </c>
      <c r="AL23" t="n">
        <v>319672751.71</v>
      </c>
      <c r="AM23" t="n">
        <v>326844369.206</v>
      </c>
      <c r="AN23" t="n">
        <v>350702075.271</v>
      </c>
      <c r="AO23" t="n">
        <v>347469622.956</v>
      </c>
      <c r="AP23" t="n">
        <v>367141250.929</v>
      </c>
      <c r="AQ23" t="n">
        <v>392920767.025</v>
      </c>
      <c r="AR23" t="n">
        <v>412831175.499</v>
      </c>
      <c r="AS23" t="n">
        <v>435655700.451</v>
      </c>
      <c r="AT23" t="n">
        <v>418235098.37</v>
      </c>
      <c r="AU23" t="n">
        <v>480785436.286</v>
      </c>
      <c r="AV23" t="n">
        <v>524237229.191</v>
      </c>
      <c r="AW23" t="n">
        <v>570166213.929</v>
      </c>
      <c r="AX23" t="n">
        <v>568989082.798</v>
      </c>
      <c r="AY23" t="n">
        <v>571132447.826</v>
      </c>
      <c r="AZ23" t="n">
        <v>559302110.836</v>
      </c>
      <c r="BA23" t="n">
        <v>552138140.16</v>
      </c>
      <c r="BB23" t="n">
        <v>577360877.5700001</v>
      </c>
      <c r="BC23" t="n">
        <v>589097117.332</v>
      </c>
      <c r="BD23" t="n">
        <v>628149779.972</v>
      </c>
      <c r="BE23" t="n">
        <v>611235059.126</v>
      </c>
      <c r="BF23" t="n">
        <v>599861943.332</v>
      </c>
      <c r="BG23" t="n">
        <v>601698292.536</v>
      </c>
      <c r="BH23" t="n">
        <v>598339468.038</v>
      </c>
      <c r="BI23" t="n">
        <v>599031581.952</v>
      </c>
      <c r="BJ23" t="n">
        <v>649917813.835</v>
      </c>
      <c r="BK23" t="n">
        <v>653618908.9299999</v>
      </c>
      <c r="BL23" t="n">
        <v>620557611.031</v>
      </c>
      <c r="BM23" t="n">
        <v>668335034.255</v>
      </c>
      <c r="BN23" t="n">
        <v>711491721.674</v>
      </c>
      <c r="BO23" t="n">
        <v>691670300.54</v>
      </c>
      <c r="BP23" t="n">
        <v>718452540.405</v>
      </c>
      <c r="BQ23" t="n">
        <v>723599026.6950001</v>
      </c>
      <c r="BR23" t="n">
        <v>708042113.863</v>
      </c>
      <c r="BS23" t="n">
        <v>709384977.865</v>
      </c>
      <c r="BT23" t="n">
        <v>730497800.211</v>
      </c>
    </row>
    <row r="24">
      <c r="A24" t="inlineStr">
        <is>
          <t>sym_GE_asDC</t>
        </is>
      </c>
      <c r="B24" t="inlineStr">
        <is>
          <t>ok</t>
        </is>
      </c>
      <c r="C24" t="n">
        <v>47670597.7</v>
      </c>
      <c r="D24" t="n">
        <v>58695949.638</v>
      </c>
      <c r="E24" t="n">
        <v>69275384.498</v>
      </c>
      <c r="F24" t="n">
        <v>70761306.90700001</v>
      </c>
      <c r="G24" t="n">
        <v>88835269.307</v>
      </c>
      <c r="H24" t="n">
        <v>100746926.06</v>
      </c>
      <c r="I24" t="n">
        <v>110920012.08</v>
      </c>
      <c r="J24" t="n">
        <v>111087937.845</v>
      </c>
      <c r="K24" t="n">
        <v>120175192.53</v>
      </c>
      <c r="L24" t="n">
        <v>127158935.935</v>
      </c>
      <c r="M24" t="n">
        <v>144111104.724</v>
      </c>
      <c r="N24" t="n">
        <v>140820142.889</v>
      </c>
      <c r="O24" t="n">
        <v>156154215.776</v>
      </c>
      <c r="P24" t="n">
        <v>164184857.499</v>
      </c>
      <c r="Q24" t="n">
        <v>170162185.23</v>
      </c>
      <c r="R24" t="n">
        <v>181854123.492</v>
      </c>
      <c r="S24" t="n">
        <v>194429327.121</v>
      </c>
      <c r="T24" t="n">
        <v>192204179.107</v>
      </c>
      <c r="U24" t="n">
        <v>198892784.702</v>
      </c>
      <c r="V24" t="n">
        <v>204679053.53</v>
      </c>
      <c r="W24" t="n">
        <v>205956818.308</v>
      </c>
      <c r="X24" t="n">
        <v>206382437.962</v>
      </c>
      <c r="Y24" t="n">
        <v>221622784.1</v>
      </c>
      <c r="Z24" t="n">
        <v>239353868.987</v>
      </c>
      <c r="AA24" t="n">
        <v>239189813.202</v>
      </c>
      <c r="AB24" t="n">
        <v>236788996.965</v>
      </c>
      <c r="AC24" t="n">
        <v>238033725.971</v>
      </c>
      <c r="AD24" t="n">
        <v>245987346.98</v>
      </c>
      <c r="AE24" t="n">
        <v>245810975.412</v>
      </c>
      <c r="AF24" t="n">
        <v>253994591.423</v>
      </c>
      <c r="AG24" t="n">
        <v>256092744.474</v>
      </c>
      <c r="AH24" t="n">
        <v>268344923.882</v>
      </c>
      <c r="AI24" t="n">
        <v>285128368.029</v>
      </c>
      <c r="AJ24" t="n">
        <v>292318988.996</v>
      </c>
      <c r="AK24" t="n">
        <v>304916822.37</v>
      </c>
      <c r="AL24" t="n">
        <v>319672751.71</v>
      </c>
      <c r="AM24" t="n">
        <v>326844369.206</v>
      </c>
      <c r="AN24" t="n">
        <v>350702075.271</v>
      </c>
      <c r="AO24" t="n">
        <v>347469622.956</v>
      </c>
      <c r="AP24" t="n">
        <v>367141250.929</v>
      </c>
      <c r="AQ24" t="n">
        <v>392920767.025</v>
      </c>
      <c r="AR24" t="n">
        <v>412831175.499</v>
      </c>
      <c r="AS24" t="n">
        <v>435655700.451</v>
      </c>
      <c r="AT24" t="n">
        <v>418235098.37</v>
      </c>
      <c r="AU24" t="n">
        <v>480785436.286</v>
      </c>
      <c r="AV24" t="n">
        <v>524237229.191</v>
      </c>
      <c r="AW24" t="n">
        <v>570166213.929</v>
      </c>
      <c r="AX24" t="n">
        <v>568989082.798</v>
      </c>
      <c r="AY24" t="n">
        <v>571132447.826</v>
      </c>
      <c r="AZ24" t="n">
        <v>559302110.836</v>
      </c>
      <c r="BA24" t="n">
        <v>552138140.16</v>
      </c>
      <c r="BB24" t="n">
        <v>577360877.5700001</v>
      </c>
      <c r="BC24" t="n">
        <v>589097117.332</v>
      </c>
      <c r="BD24" t="n">
        <v>628149779.972</v>
      </c>
      <c r="BE24" t="n">
        <v>611235059.126</v>
      </c>
      <c r="BF24" t="n">
        <v>599861943.332</v>
      </c>
      <c r="BG24" t="n">
        <v>601698292.536</v>
      </c>
      <c r="BH24" t="n">
        <v>598339468.038</v>
      </c>
      <c r="BI24" t="n">
        <v>599031581.952</v>
      </c>
      <c r="BJ24" t="n">
        <v>649917813.835</v>
      </c>
      <c r="BK24" t="n">
        <v>653618908.9299999</v>
      </c>
      <c r="BL24" t="n">
        <v>620557611.031</v>
      </c>
      <c r="BM24" t="n">
        <v>668335034.255</v>
      </c>
      <c r="BN24" t="n">
        <v>711491721.674</v>
      </c>
      <c r="BO24" t="n">
        <v>691670300.54</v>
      </c>
      <c r="BP24" t="n">
        <v>718452540.405</v>
      </c>
      <c r="BQ24" t="n">
        <v>723599026.6950001</v>
      </c>
      <c r="BR24" t="n">
        <v>708042113.863</v>
      </c>
      <c r="BS24" t="n">
        <v>709384977.865</v>
      </c>
      <c r="BT24" t="n">
        <v>730497800.211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22932172.28</v>
      </c>
      <c r="D25" t="n">
        <v>28079433.302</v>
      </c>
      <c r="E25" t="n">
        <v>33004263.394</v>
      </c>
      <c r="F25" t="n">
        <v>33725763.205</v>
      </c>
      <c r="G25" t="n">
        <v>42758690.498</v>
      </c>
      <c r="H25" t="n">
        <v>48443380.424</v>
      </c>
      <c r="I25" t="n">
        <v>53178813.402</v>
      </c>
      <c r="J25" t="n">
        <v>53298199.383</v>
      </c>
      <c r="K25" t="n">
        <v>57737890.453</v>
      </c>
      <c r="L25" t="n">
        <v>61138728.935</v>
      </c>
      <c r="M25" t="n">
        <v>69160873.16599999</v>
      </c>
      <c r="N25" t="n">
        <v>67611803.14300001</v>
      </c>
      <c r="O25" t="n">
        <v>75058671.138</v>
      </c>
      <c r="P25" t="n">
        <v>79137982.55500001</v>
      </c>
      <c r="Q25" t="n">
        <v>82082709.58400001</v>
      </c>
      <c r="R25" t="n">
        <v>87404060.06200001</v>
      </c>
      <c r="S25" t="n">
        <v>93169805.59199999</v>
      </c>
      <c r="T25" t="n">
        <v>92127716.57700001</v>
      </c>
      <c r="U25" t="n">
        <v>95376236.95100001</v>
      </c>
      <c r="V25" t="n">
        <v>98062281.167</v>
      </c>
      <c r="W25" t="n">
        <v>99053948.38500001</v>
      </c>
      <c r="X25" t="n">
        <v>98792678.579</v>
      </c>
      <c r="Y25" t="n">
        <v>105918447.194</v>
      </c>
      <c r="Z25" t="n">
        <v>114261093.2</v>
      </c>
      <c r="AA25" t="n">
        <v>114576037.983</v>
      </c>
      <c r="AB25" t="n">
        <v>113668900.849</v>
      </c>
      <c r="AC25" t="n">
        <v>114485316.571</v>
      </c>
      <c r="AD25" t="n">
        <v>118803308.609</v>
      </c>
      <c r="AE25" t="n">
        <v>118850033.926</v>
      </c>
      <c r="AF25" t="n">
        <v>122938861.46</v>
      </c>
      <c r="AG25" t="n">
        <v>124194126.968</v>
      </c>
      <c r="AH25" t="n">
        <v>129874139.088</v>
      </c>
      <c r="AI25" t="n">
        <v>138240823.284</v>
      </c>
      <c r="AJ25" t="n">
        <v>142507560.454</v>
      </c>
      <c r="AK25" t="n">
        <v>148289975.53</v>
      </c>
      <c r="AL25" t="n">
        <v>155983425.327</v>
      </c>
      <c r="AM25" t="n">
        <v>159672482.956</v>
      </c>
      <c r="AN25" t="n">
        <v>171842708.093</v>
      </c>
      <c r="AO25" t="n">
        <v>170982956.717</v>
      </c>
      <c r="AP25" t="n">
        <v>180434619.785</v>
      </c>
      <c r="AQ25" t="n">
        <v>193464442.864</v>
      </c>
      <c r="AR25" t="n">
        <v>203245712.936</v>
      </c>
      <c r="AS25" t="n">
        <v>215088718.998</v>
      </c>
      <c r="AT25" t="n">
        <v>207042053.914</v>
      </c>
      <c r="AU25" t="n">
        <v>237795618.814</v>
      </c>
      <c r="AV25" t="n">
        <v>259591351.804</v>
      </c>
      <c r="AW25" t="n">
        <v>282574490.634</v>
      </c>
      <c r="AX25" t="n">
        <v>283804487.834</v>
      </c>
      <c r="AY25" t="n">
        <v>284706512.875</v>
      </c>
      <c r="AZ25" t="n">
        <v>277769546.104</v>
      </c>
      <c r="BA25" t="n">
        <v>273995691.572</v>
      </c>
      <c r="BB25" t="n">
        <v>286695241.986</v>
      </c>
      <c r="BC25" t="n">
        <v>292564357.308</v>
      </c>
      <c r="BD25" t="n">
        <v>310552713.685</v>
      </c>
      <c r="BE25" t="n">
        <v>301902264.008</v>
      </c>
      <c r="BF25" t="n">
        <v>296985733.439</v>
      </c>
      <c r="BG25" t="n">
        <v>297069806.008</v>
      </c>
      <c r="BH25" t="n">
        <v>295691484.148</v>
      </c>
      <c r="BI25" t="n">
        <v>295976043.412</v>
      </c>
      <c r="BJ25" t="n">
        <v>321108898.277</v>
      </c>
      <c r="BK25" t="n">
        <v>323463465.899</v>
      </c>
      <c r="BL25" t="n">
        <v>307874854.924</v>
      </c>
      <c r="BM25" t="n">
        <v>332256164.967</v>
      </c>
      <c r="BN25" t="n">
        <v>353066948.975</v>
      </c>
      <c r="BO25" t="n">
        <v>344254314.844</v>
      </c>
      <c r="BP25" t="n">
        <v>357198103.941</v>
      </c>
      <c r="BQ25" t="n">
        <v>359708136.729</v>
      </c>
      <c r="BR25" t="n">
        <v>351580772.503</v>
      </c>
      <c r="BS25" t="n">
        <v>351698577.606</v>
      </c>
      <c r="BT25" t="n">
        <v>362452720.83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22932172.28</v>
      </c>
      <c r="D26" t="n">
        <v>28079433.302</v>
      </c>
      <c r="E26" t="n">
        <v>33004263.394</v>
      </c>
      <c r="F26" t="n">
        <v>33725763.205</v>
      </c>
      <c r="G26" t="n">
        <v>42758690.498</v>
      </c>
      <c r="H26" t="n">
        <v>48443380.424</v>
      </c>
      <c r="I26" t="n">
        <v>53178813.402</v>
      </c>
      <c r="J26" t="n">
        <v>53298199.383</v>
      </c>
      <c r="K26" t="n">
        <v>57737890.453</v>
      </c>
      <c r="L26" t="n">
        <v>61138728.935</v>
      </c>
      <c r="M26" t="n">
        <v>69160873.16599999</v>
      </c>
      <c r="N26" t="n">
        <v>67611803.14300001</v>
      </c>
      <c r="O26" t="n">
        <v>75058671.138</v>
      </c>
      <c r="P26" t="n">
        <v>79137982.55500001</v>
      </c>
      <c r="Q26" t="n">
        <v>82082709.58400001</v>
      </c>
      <c r="R26" t="n">
        <v>87404060.06200001</v>
      </c>
      <c r="S26" t="n">
        <v>93169805.59199999</v>
      </c>
      <c r="T26" t="n">
        <v>92127716.57700001</v>
      </c>
      <c r="U26" t="n">
        <v>95376236.95100001</v>
      </c>
      <c r="V26" t="n">
        <v>98062281.167</v>
      </c>
      <c r="W26" t="n">
        <v>99053948.38500001</v>
      </c>
      <c r="X26" t="n">
        <v>98792678.579</v>
      </c>
      <c r="Y26" t="n">
        <v>105918447.194</v>
      </c>
      <c r="Z26" t="n">
        <v>114261093.2</v>
      </c>
      <c r="AA26" t="n">
        <v>114576037.983</v>
      </c>
      <c r="AB26" t="n">
        <v>113668900.849</v>
      </c>
      <c r="AC26" t="n">
        <v>114485316.571</v>
      </c>
      <c r="AD26" t="n">
        <v>118803308.609</v>
      </c>
      <c r="AE26" t="n">
        <v>118850033.926</v>
      </c>
      <c r="AF26" t="n">
        <v>122938861.46</v>
      </c>
      <c r="AG26" t="n">
        <v>124194126.968</v>
      </c>
      <c r="AH26" t="n">
        <v>129874139.088</v>
      </c>
      <c r="AI26" t="n">
        <v>138240823.284</v>
      </c>
      <c r="AJ26" t="n">
        <v>142507560.454</v>
      </c>
      <c r="AK26" t="n">
        <v>148289975.53</v>
      </c>
      <c r="AL26" t="n">
        <v>155983425.327</v>
      </c>
      <c r="AM26" t="n">
        <v>159672482.956</v>
      </c>
      <c r="AN26" t="n">
        <v>171842708.093</v>
      </c>
      <c r="AO26" t="n">
        <v>170982956.717</v>
      </c>
      <c r="AP26" t="n">
        <v>180434619.785</v>
      </c>
      <c r="AQ26" t="n">
        <v>193464442.864</v>
      </c>
      <c r="AR26" t="n">
        <v>203245712.936</v>
      </c>
      <c r="AS26" t="n">
        <v>215088718.998</v>
      </c>
      <c r="AT26" t="n">
        <v>207042053.914</v>
      </c>
      <c r="AU26" t="n">
        <v>237795618.814</v>
      </c>
      <c r="AV26" t="n">
        <v>259591351.804</v>
      </c>
      <c r="AW26" t="n">
        <v>282574490.634</v>
      </c>
      <c r="AX26" t="n">
        <v>283804487.834</v>
      </c>
      <c r="AY26" t="n">
        <v>284706512.875</v>
      </c>
      <c r="AZ26" t="n">
        <v>277769546.104</v>
      </c>
      <c r="BA26" t="n">
        <v>273995691.572</v>
      </c>
      <c r="BB26" t="n">
        <v>286695241.986</v>
      </c>
      <c r="BC26" t="n">
        <v>292564357.308</v>
      </c>
      <c r="BD26" t="n">
        <v>310552713.685</v>
      </c>
      <c r="BE26" t="n">
        <v>301902264.008</v>
      </c>
      <c r="BF26" t="n">
        <v>296985733.439</v>
      </c>
      <c r="BG26" t="n">
        <v>297069806.008</v>
      </c>
      <c r="BH26" t="n">
        <v>295691484.148</v>
      </c>
      <c r="BI26" t="n">
        <v>295976043.412</v>
      </c>
      <c r="BJ26" t="n">
        <v>321108898.277</v>
      </c>
      <c r="BK26" t="n">
        <v>323463465.899</v>
      </c>
      <c r="BL26" t="n">
        <v>307874854.924</v>
      </c>
      <c r="BM26" t="n">
        <v>332256164.967</v>
      </c>
      <c r="BN26" t="n">
        <v>353066948.975</v>
      </c>
      <c r="BO26" t="n">
        <v>344254314.844</v>
      </c>
      <c r="BP26" t="n">
        <v>357198103.941</v>
      </c>
      <c r="BQ26" t="n">
        <v>359708136.729</v>
      </c>
      <c r="BR26" t="n">
        <v>351580772.503</v>
      </c>
      <c r="BS26" t="n">
        <v>351698577.606</v>
      </c>
      <c r="BT26" t="n">
        <v>362452720.83</v>
      </c>
    </row>
    <row r="27">
      <c r="A27" t="inlineStr">
        <is>
          <t>MC_new_GE</t>
        </is>
      </c>
      <c r="B27" t="inlineStr">
        <is>
          <t>ok</t>
        </is>
      </c>
      <c r="C27" t="n">
        <v>50043170.01</v>
      </c>
      <c r="D27" t="n">
        <v>61662173.241</v>
      </c>
      <c r="E27" t="n">
        <v>72811082.131</v>
      </c>
      <c r="F27" t="n">
        <v>74376576.347</v>
      </c>
      <c r="G27" t="n">
        <v>93413112.36499999</v>
      </c>
      <c r="H27" t="n">
        <v>105982775.129</v>
      </c>
      <c r="I27" t="n">
        <v>116692096.041</v>
      </c>
      <c r="J27" t="n">
        <v>116861273.52</v>
      </c>
      <c r="K27" t="n">
        <v>126374221.275</v>
      </c>
      <c r="L27" t="n">
        <v>133752777.57</v>
      </c>
      <c r="M27" t="n">
        <v>151477218.646</v>
      </c>
      <c r="N27" t="n">
        <v>148098503.079</v>
      </c>
      <c r="O27" t="n">
        <v>164175380.715</v>
      </c>
      <c r="P27" t="n">
        <v>172617634.269</v>
      </c>
      <c r="Q27" t="n">
        <v>178863406.956</v>
      </c>
      <c r="R27" t="n">
        <v>191105031.065</v>
      </c>
      <c r="S27" t="n">
        <v>204245902.144</v>
      </c>
      <c r="T27" t="n">
        <v>201987413.747</v>
      </c>
      <c r="U27" t="n">
        <v>209000910.257</v>
      </c>
      <c r="V27" t="n">
        <v>214997257.67</v>
      </c>
      <c r="W27" t="n">
        <v>216225510.812</v>
      </c>
      <c r="X27" t="n">
        <v>216720902.909</v>
      </c>
      <c r="Y27" t="n">
        <v>232817877.842</v>
      </c>
      <c r="Z27" t="n">
        <v>251374626.918</v>
      </c>
      <c r="AA27" t="n">
        <v>251167543.888</v>
      </c>
      <c r="AB27" t="n">
        <v>248553038.804</v>
      </c>
      <c r="AC27" t="n">
        <v>249857523.627</v>
      </c>
      <c r="AD27" t="n">
        <v>258057317.482</v>
      </c>
      <c r="AE27" t="n">
        <v>257802718.32</v>
      </c>
      <c r="AF27" t="n">
        <v>266539938.989</v>
      </c>
      <c r="AG27" t="n">
        <v>268825994.23</v>
      </c>
      <c r="AH27" t="n">
        <v>281738144.363</v>
      </c>
      <c r="AI27" t="n">
        <v>299360028.606</v>
      </c>
      <c r="AJ27" t="n">
        <v>306945389.553</v>
      </c>
      <c r="AK27" t="n">
        <v>319963506.973</v>
      </c>
      <c r="AL27" t="n">
        <v>335396046.023</v>
      </c>
      <c r="AM27" t="n">
        <v>342901988.646</v>
      </c>
      <c r="AN27" t="n">
        <v>367823629.838</v>
      </c>
      <c r="AO27" t="n">
        <v>364382717.909</v>
      </c>
      <c r="AP27" t="n">
        <v>385092393.919</v>
      </c>
      <c r="AQ27" t="n">
        <v>412294028.171</v>
      </c>
      <c r="AR27" t="n">
        <v>433411785.534</v>
      </c>
      <c r="AS27" t="n">
        <v>457314444.536</v>
      </c>
      <c r="AT27" t="n">
        <v>438875324.326</v>
      </c>
      <c r="AU27" t="n">
        <v>504707049.692</v>
      </c>
      <c r="AV27" t="n">
        <v>550415621.801</v>
      </c>
      <c r="AW27" t="n">
        <v>598559327.909</v>
      </c>
      <c r="AX27" t="n">
        <v>597156966.465</v>
      </c>
      <c r="AY27" t="n">
        <v>599494239.142</v>
      </c>
      <c r="AZ27" t="n">
        <v>587000635.613</v>
      </c>
      <c r="BA27" t="n">
        <v>579307179.918</v>
      </c>
      <c r="BB27" t="n">
        <v>605862820.7410001</v>
      </c>
      <c r="BC27" t="n">
        <v>618248128.158</v>
      </c>
      <c r="BD27" t="n">
        <v>659096640.5700001</v>
      </c>
      <c r="BE27" t="n">
        <v>641488618.5</v>
      </c>
      <c r="BF27" t="n">
        <v>629477301.541</v>
      </c>
      <c r="BG27" t="n">
        <v>631498931.716</v>
      </c>
      <c r="BH27" t="n">
        <v>627948153.64</v>
      </c>
      <c r="BI27" t="n">
        <v>628653470.501</v>
      </c>
      <c r="BJ27" t="n">
        <v>682066201.651</v>
      </c>
      <c r="BK27" t="n">
        <v>685956046.678</v>
      </c>
      <c r="BL27" t="n">
        <v>651095869.0420001</v>
      </c>
      <c r="BM27" t="n">
        <v>701235946.492</v>
      </c>
      <c r="BN27" t="n">
        <v>746455663.48</v>
      </c>
      <c r="BO27" t="n">
        <v>725785352.066</v>
      </c>
      <c r="BP27" t="n">
        <v>753855625.972</v>
      </c>
      <c r="BQ27" t="n">
        <v>759190255.2130001</v>
      </c>
      <c r="BR27" t="n">
        <v>742859727.02</v>
      </c>
      <c r="BS27" t="n">
        <v>744171361.808</v>
      </c>
      <c r="BT27" t="n">
        <v>766264627.3660001</v>
      </c>
    </row>
    <row r="28">
      <c r="A28" t="inlineStr">
        <is>
          <t>MC_new_TE_EEfix</t>
        </is>
      </c>
      <c r="B28" t="inlineStr">
        <is>
          <t>ok</t>
        </is>
      </c>
      <c r="C28" t="n">
        <v>5759184324.613</v>
      </c>
      <c r="D28" t="n">
        <v>7308595322.17</v>
      </c>
      <c r="E28" t="n">
        <v>8819605168.629999</v>
      </c>
      <c r="F28" t="n">
        <v>9008848445.702999</v>
      </c>
      <c r="G28" t="n">
        <v>10930364893.261</v>
      </c>
      <c r="H28" t="n">
        <v>12514364864.473</v>
      </c>
      <c r="I28" t="n">
        <v>13979843208.093</v>
      </c>
      <c r="J28" t="n">
        <v>13866044100.749</v>
      </c>
      <c r="K28" t="n">
        <v>14623755708.044</v>
      </c>
      <c r="L28" t="n">
        <v>15622811599.462</v>
      </c>
      <c r="M28" t="n">
        <v>17567833221.374</v>
      </c>
      <c r="N28" t="n">
        <v>16995716175.767</v>
      </c>
      <c r="O28" t="n">
        <v>19236358885.566</v>
      </c>
      <c r="P28" t="n">
        <v>20152544115.09</v>
      </c>
      <c r="Q28" t="n">
        <v>20578384689.182</v>
      </c>
      <c r="R28" t="n">
        <v>22316888549.479</v>
      </c>
      <c r="S28" t="n">
        <v>23496655338.706</v>
      </c>
      <c r="T28" t="n">
        <v>23480313473.259</v>
      </c>
      <c r="U28" t="n">
        <v>24778340153.69</v>
      </c>
      <c r="V28" t="n">
        <v>25529792566.093</v>
      </c>
      <c r="W28" t="n">
        <v>24572909085.694</v>
      </c>
      <c r="X28" t="n">
        <v>25098411408.319</v>
      </c>
      <c r="Y28" t="n">
        <v>26251170226.681</v>
      </c>
      <c r="Z28" t="n">
        <v>28815054169.593</v>
      </c>
      <c r="AA28" t="n">
        <v>28528954233.953</v>
      </c>
      <c r="AB28" t="n">
        <v>28438076236.066</v>
      </c>
      <c r="AC28" t="n">
        <v>28588465322.419</v>
      </c>
      <c r="AD28" t="n">
        <v>29154878172.096</v>
      </c>
      <c r="AE28" t="n">
        <v>28643177981.217</v>
      </c>
      <c r="AF28" t="n">
        <v>29659234066.374</v>
      </c>
      <c r="AG28" t="n">
        <v>29393513275.679</v>
      </c>
      <c r="AH28" t="n">
        <v>30975724444.155</v>
      </c>
      <c r="AI28" t="n">
        <v>32934632262.908</v>
      </c>
      <c r="AJ28" t="n">
        <v>33443634703.517</v>
      </c>
      <c r="AK28" t="n">
        <v>34925002529.246</v>
      </c>
      <c r="AL28" t="n">
        <v>35982737022.253</v>
      </c>
      <c r="AM28" t="n">
        <v>36391771559.57</v>
      </c>
      <c r="AN28" t="n">
        <v>38226257125.55</v>
      </c>
      <c r="AO28" t="n">
        <v>37010130285.52</v>
      </c>
      <c r="AP28" t="n">
        <v>38687162321.809</v>
      </c>
      <c r="AQ28" t="n">
        <v>41136369952.022</v>
      </c>
      <c r="AR28" t="n">
        <v>42979891404.743</v>
      </c>
      <c r="AS28" t="n">
        <v>44493593084.272</v>
      </c>
      <c r="AT28" t="n">
        <v>42725477427.498</v>
      </c>
      <c r="AU28" t="n">
        <v>49748965323.027</v>
      </c>
      <c r="AV28" t="n">
        <v>53190522017.536</v>
      </c>
      <c r="AW28" t="n">
        <v>57307433501.959</v>
      </c>
      <c r="AX28" t="n">
        <v>56330984975.72</v>
      </c>
      <c r="AY28" t="n">
        <v>56523371660.972</v>
      </c>
      <c r="AZ28" t="n">
        <v>58855811218.969</v>
      </c>
      <c r="BA28" t="n">
        <v>57278765893.826</v>
      </c>
      <c r="BB28" t="n">
        <v>58641805771.225</v>
      </c>
      <c r="BC28" t="n">
        <v>59761146961.011</v>
      </c>
      <c r="BD28" t="n">
        <v>63546787186.061</v>
      </c>
      <c r="BE28" t="n">
        <v>63734482824.488</v>
      </c>
      <c r="BF28" t="n">
        <v>61185234489.102</v>
      </c>
      <c r="BG28" t="n">
        <v>61941321519.815</v>
      </c>
      <c r="BH28" t="n">
        <v>60763814096.501</v>
      </c>
      <c r="BI28" t="n">
        <v>60939464489.01</v>
      </c>
      <c r="BJ28" t="n">
        <v>65799931924.022</v>
      </c>
      <c r="BK28" t="n">
        <v>65142093771.427</v>
      </c>
      <c r="BL28" t="n">
        <v>61867702713.896</v>
      </c>
      <c r="BM28" t="n">
        <v>65247377182.29</v>
      </c>
      <c r="BN28" t="n">
        <v>69471480427.687</v>
      </c>
      <c r="BO28" t="n">
        <v>67070356785.362</v>
      </c>
      <c r="BP28" t="n">
        <v>69584863032.789</v>
      </c>
      <c r="BQ28" t="n">
        <v>70048268162.84399</v>
      </c>
      <c r="BR28" t="n">
        <v>69195756041.024</v>
      </c>
      <c r="BS28" t="n">
        <v>69928086126.11301</v>
      </c>
      <c r="BT28" t="n">
        <v>72006423599.07899</v>
      </c>
    </row>
    <row r="29">
      <c r="A29" t="inlineStr">
        <is>
          <t>SPPR_1995_TEmean_catch</t>
        </is>
      </c>
      <c r="B29" t="inlineStr">
        <is>
          <t>ok</t>
        </is>
      </c>
      <c r="C29" t="n">
        <v>72276345.402</v>
      </c>
      <c r="D29" t="n">
        <v>90826004.77500001</v>
      </c>
      <c r="E29" t="n">
        <v>108893450.517</v>
      </c>
      <c r="F29" t="n">
        <v>110808311.072</v>
      </c>
      <c r="G29" t="n">
        <v>138182503.658</v>
      </c>
      <c r="H29" t="n">
        <v>160719488.603</v>
      </c>
      <c r="I29" t="n">
        <v>178209523.744</v>
      </c>
      <c r="J29" t="n">
        <v>177049544.532</v>
      </c>
      <c r="K29" t="n">
        <v>183747367.325</v>
      </c>
      <c r="L29" t="n">
        <v>196600171.8</v>
      </c>
      <c r="M29" t="n">
        <v>221619573.52</v>
      </c>
      <c r="N29" t="n">
        <v>211592262.564</v>
      </c>
      <c r="O29" t="n">
        <v>236393100.765</v>
      </c>
      <c r="P29" t="n">
        <v>249771999.667</v>
      </c>
      <c r="Q29" t="n">
        <v>254101408.559</v>
      </c>
      <c r="R29" t="n">
        <v>274842080.568</v>
      </c>
      <c r="S29" t="n">
        <v>289078801.276</v>
      </c>
      <c r="T29" t="n">
        <v>283677557.578</v>
      </c>
      <c r="U29" t="n">
        <v>294817104.063</v>
      </c>
      <c r="V29" t="n">
        <v>301796729.549</v>
      </c>
      <c r="W29" t="n">
        <v>299904442.306</v>
      </c>
      <c r="X29" t="n">
        <v>305685815.002</v>
      </c>
      <c r="Y29" t="n">
        <v>326989726.095</v>
      </c>
      <c r="Z29" t="n">
        <v>351875084.832</v>
      </c>
      <c r="AA29" t="n">
        <v>353985136.404</v>
      </c>
      <c r="AB29" t="n">
        <v>348618253.172</v>
      </c>
      <c r="AC29" t="n">
        <v>348179297.233</v>
      </c>
      <c r="AD29" t="n">
        <v>356287446.167</v>
      </c>
      <c r="AE29" t="n">
        <v>355638183.804</v>
      </c>
      <c r="AF29" t="n">
        <v>369273848.13</v>
      </c>
      <c r="AG29" t="n">
        <v>365820072.567</v>
      </c>
      <c r="AH29" t="n">
        <v>384136898.434</v>
      </c>
      <c r="AI29" t="n">
        <v>412490060.094</v>
      </c>
      <c r="AJ29" t="n">
        <v>420447865.093</v>
      </c>
      <c r="AK29" t="n">
        <v>439822863.363</v>
      </c>
      <c r="AL29" t="n">
        <v>456495750.893</v>
      </c>
      <c r="AM29" t="n">
        <v>464203162.661</v>
      </c>
      <c r="AN29" t="n">
        <v>493508266.498</v>
      </c>
      <c r="AO29" t="n">
        <v>494307024.832</v>
      </c>
      <c r="AP29" t="n">
        <v>520071012.85</v>
      </c>
      <c r="AQ29" t="n">
        <v>554670646.913</v>
      </c>
      <c r="AR29" t="n">
        <v>585127952.8380001</v>
      </c>
      <c r="AS29" t="n">
        <v>623100263.773</v>
      </c>
      <c r="AT29" t="n">
        <v>608337411.303</v>
      </c>
      <c r="AU29" t="n">
        <v>711025754.978</v>
      </c>
      <c r="AV29" t="n">
        <v>770047493.545</v>
      </c>
      <c r="AW29" t="n">
        <v>837855575.4529999</v>
      </c>
      <c r="AX29" t="n">
        <v>834903868.961</v>
      </c>
      <c r="AY29" t="n">
        <v>841602474.281</v>
      </c>
      <c r="AZ29" t="n">
        <v>827990514.062</v>
      </c>
      <c r="BA29" t="n">
        <v>820298491.2</v>
      </c>
      <c r="BB29" t="n">
        <v>862972433.55</v>
      </c>
      <c r="BC29" t="n">
        <v>875954943.548</v>
      </c>
      <c r="BD29" t="n">
        <v>935293905.022</v>
      </c>
      <c r="BE29" t="n">
        <v>904506499.3099999</v>
      </c>
      <c r="BF29" t="n">
        <v>891426259.561</v>
      </c>
      <c r="BG29" t="n">
        <v>894993755.242</v>
      </c>
      <c r="BH29" t="n">
        <v>891544932.693</v>
      </c>
      <c r="BI29" t="n">
        <v>893637182.6339999</v>
      </c>
      <c r="BJ29" t="n">
        <v>965918485.831</v>
      </c>
      <c r="BK29" t="n">
        <v>970835717.5319999</v>
      </c>
      <c r="BL29" t="n">
        <v>918998149.53</v>
      </c>
      <c r="BM29" t="n">
        <v>984480943.6900001</v>
      </c>
      <c r="BN29" t="n">
        <v>1047103562.508</v>
      </c>
      <c r="BO29" t="n">
        <v>1021293552.887</v>
      </c>
      <c r="BP29" t="n">
        <v>1058685963.126</v>
      </c>
      <c r="BQ29" t="n">
        <v>1067170053.46</v>
      </c>
      <c r="BR29" t="n">
        <v>1053443787.327</v>
      </c>
      <c r="BS29" t="n">
        <v>1059682560.268</v>
      </c>
      <c r="BT29" t="n">
        <v>1092686540.196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192472950.021</v>
      </c>
      <c r="D30" t="n">
        <v>241606595.121</v>
      </c>
      <c r="E30" t="n">
        <v>289044370.046</v>
      </c>
      <c r="F30" t="n">
        <v>294197005.25</v>
      </c>
      <c r="G30" t="n">
        <v>359749563.76</v>
      </c>
      <c r="H30" t="n">
        <v>411922193.729</v>
      </c>
      <c r="I30" t="n">
        <v>457903319.236</v>
      </c>
      <c r="J30" t="n">
        <v>454635576.66</v>
      </c>
      <c r="K30" t="n">
        <v>475671358.204</v>
      </c>
      <c r="L30" t="n">
        <v>503704031.426</v>
      </c>
      <c r="M30" t="n">
        <v>571205746.824</v>
      </c>
      <c r="N30" t="n">
        <v>542097468.779</v>
      </c>
      <c r="O30" t="n">
        <v>606150747.08</v>
      </c>
      <c r="P30" t="n">
        <v>633542850.7869999</v>
      </c>
      <c r="Q30" t="n">
        <v>650392469.941</v>
      </c>
      <c r="R30" t="n">
        <v>706541503.955</v>
      </c>
      <c r="S30" t="n">
        <v>750962878.178</v>
      </c>
      <c r="T30" t="n">
        <v>734010977.151</v>
      </c>
      <c r="U30" t="n">
        <v>761772904.658</v>
      </c>
      <c r="V30" t="n">
        <v>786045225.562</v>
      </c>
      <c r="W30" t="n">
        <v>784799371.92</v>
      </c>
      <c r="X30" t="n">
        <v>797787251.154</v>
      </c>
      <c r="Y30" t="n">
        <v>851738114.543</v>
      </c>
      <c r="Z30" t="n">
        <v>928394137.189</v>
      </c>
      <c r="AA30" t="n">
        <v>927703834.278</v>
      </c>
      <c r="AB30" t="n">
        <v>911781751.028</v>
      </c>
      <c r="AC30" t="n">
        <v>906082890.525</v>
      </c>
      <c r="AD30" t="n">
        <v>934949267.666</v>
      </c>
      <c r="AE30" t="n">
        <v>935301101.2920001</v>
      </c>
      <c r="AF30" t="n">
        <v>957832777.7460001</v>
      </c>
      <c r="AG30" t="n">
        <v>948204465.551</v>
      </c>
      <c r="AH30" t="n">
        <v>999903690.104</v>
      </c>
      <c r="AI30" t="n">
        <v>1065352608.74</v>
      </c>
      <c r="AJ30" t="n">
        <v>1071670782.288</v>
      </c>
      <c r="AK30" t="n">
        <v>1137279747.918</v>
      </c>
      <c r="AL30" t="n">
        <v>1177365223.111</v>
      </c>
      <c r="AM30" t="n">
        <v>1190570384.331</v>
      </c>
      <c r="AN30" t="n">
        <v>1264045617.075</v>
      </c>
      <c r="AO30" t="n">
        <v>1249072029.318</v>
      </c>
      <c r="AP30" t="n">
        <v>1313827198.571</v>
      </c>
      <c r="AQ30" t="n">
        <v>1391173167.365</v>
      </c>
      <c r="AR30" t="n">
        <v>1454490363.796</v>
      </c>
      <c r="AS30" t="n">
        <v>1528865802.487</v>
      </c>
      <c r="AT30" t="n">
        <v>1485417643.926</v>
      </c>
      <c r="AU30" t="n">
        <v>1736402577.18</v>
      </c>
      <c r="AV30" t="n">
        <v>1869153481.401</v>
      </c>
      <c r="AW30" t="n">
        <v>2023942803.072</v>
      </c>
      <c r="AX30" t="n">
        <v>2005717884.712</v>
      </c>
      <c r="AY30" t="n">
        <v>2023591770.577</v>
      </c>
      <c r="AZ30" t="n">
        <v>2007045476.601</v>
      </c>
      <c r="BA30" t="n">
        <v>1995611880.51</v>
      </c>
      <c r="BB30" t="n">
        <v>2092497439.162</v>
      </c>
      <c r="BC30" t="n">
        <v>2124766096.083</v>
      </c>
      <c r="BD30" t="n">
        <v>2294311370.963</v>
      </c>
      <c r="BE30" t="n">
        <v>2226505501.761</v>
      </c>
      <c r="BF30" t="n">
        <v>2178291150.776</v>
      </c>
      <c r="BG30" t="n">
        <v>2199277635.236</v>
      </c>
      <c r="BH30" t="n">
        <v>2187832510.524</v>
      </c>
      <c r="BI30" t="n">
        <v>2192214670.47</v>
      </c>
      <c r="BJ30" t="n">
        <v>2366964480.935</v>
      </c>
      <c r="BK30" t="n">
        <v>2370230636.525</v>
      </c>
      <c r="BL30" t="n">
        <v>2236795664.619</v>
      </c>
      <c r="BM30" t="n">
        <v>2390142470.721</v>
      </c>
      <c r="BN30" t="n">
        <v>2557919486.467</v>
      </c>
      <c r="BO30" t="n">
        <v>2467252835.226</v>
      </c>
      <c r="BP30" t="n">
        <v>2569230568.758</v>
      </c>
      <c r="BQ30" t="n">
        <v>2580274247.797</v>
      </c>
      <c r="BR30" t="n">
        <v>2547534558.684</v>
      </c>
      <c r="BS30" t="n">
        <v>2569320559.579</v>
      </c>
      <c r="BT30" t="n">
        <v>2645907782.162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s="18" t="inlineStr">
        <is>
          <t>2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99.94</v>
      </c>
      <c r="D35" t="n">
        <v>99.95999999999999</v>
      </c>
      <c r="E35" t="n">
        <v>99.95999999999999</v>
      </c>
      <c r="F35" t="n">
        <v>99.95999999999999</v>
      </c>
      <c r="G35" t="n">
        <v>99.97</v>
      </c>
      <c r="H35" t="n">
        <v>99.97</v>
      </c>
      <c r="I35" t="n">
        <v>99.95999999999999</v>
      </c>
      <c r="J35" t="n">
        <v>99.97</v>
      </c>
      <c r="K35" t="n">
        <v>99.92</v>
      </c>
      <c r="L35" t="n">
        <v>99.94</v>
      </c>
      <c r="M35" t="n">
        <v>99.93000000000001</v>
      </c>
      <c r="N35" t="n">
        <v>99.93000000000001</v>
      </c>
      <c r="O35" t="n">
        <v>99.92</v>
      </c>
      <c r="P35" t="n">
        <v>99.91</v>
      </c>
      <c r="Q35" t="n">
        <v>99.92</v>
      </c>
      <c r="R35" t="n">
        <v>99.91</v>
      </c>
      <c r="S35" t="n">
        <v>99.92</v>
      </c>
      <c r="T35" t="n">
        <v>99.89</v>
      </c>
      <c r="U35" t="n">
        <v>99.88</v>
      </c>
      <c r="V35" t="n">
        <v>99.87</v>
      </c>
      <c r="W35" t="n">
        <v>99.88</v>
      </c>
      <c r="X35" t="n">
        <v>99.87</v>
      </c>
      <c r="Y35" t="n">
        <v>99.89</v>
      </c>
      <c r="Z35" t="n">
        <v>99.88</v>
      </c>
      <c r="AA35" t="n">
        <v>99.89</v>
      </c>
      <c r="AB35" t="n">
        <v>99.86</v>
      </c>
      <c r="AC35" t="n">
        <v>99.89</v>
      </c>
      <c r="AD35" t="n">
        <v>99.88</v>
      </c>
      <c r="AE35" t="n">
        <v>99.88</v>
      </c>
      <c r="AF35" t="n">
        <v>99.90000000000001</v>
      </c>
      <c r="AG35" t="n">
        <v>99.90000000000001</v>
      </c>
      <c r="AH35" t="n">
        <v>99.89</v>
      </c>
      <c r="AI35" t="n">
        <v>99.90000000000001</v>
      </c>
      <c r="AJ35" t="n">
        <v>99.91</v>
      </c>
      <c r="AK35" t="n">
        <v>99.90000000000001</v>
      </c>
      <c r="AL35" t="n">
        <v>99.90000000000001</v>
      </c>
      <c r="AM35" t="n">
        <v>99.90000000000001</v>
      </c>
      <c r="AN35" t="n">
        <v>99.91</v>
      </c>
      <c r="AO35" t="n">
        <v>99.89</v>
      </c>
      <c r="AP35" t="n">
        <v>99.88</v>
      </c>
      <c r="AQ35" t="n">
        <v>99.77</v>
      </c>
      <c r="AR35" t="n">
        <v>99.75</v>
      </c>
      <c r="AS35" t="n">
        <v>99.8</v>
      </c>
      <c r="AT35" t="n">
        <v>99.88</v>
      </c>
      <c r="AU35" t="n">
        <v>99.89</v>
      </c>
      <c r="AV35" t="n">
        <v>99.84</v>
      </c>
      <c r="AW35" t="n">
        <v>99.86</v>
      </c>
      <c r="AX35" t="n">
        <v>99.87</v>
      </c>
      <c r="AY35" t="n">
        <v>99.87</v>
      </c>
      <c r="AZ35" t="n">
        <v>99.87</v>
      </c>
      <c r="BA35" t="n">
        <v>99.88</v>
      </c>
      <c r="BB35" t="n">
        <v>99.86</v>
      </c>
      <c r="BC35" t="n">
        <v>99.87</v>
      </c>
      <c r="BD35" t="n">
        <v>99.91</v>
      </c>
      <c r="BE35" t="n">
        <v>99.83</v>
      </c>
      <c r="BF35" t="n">
        <v>99.77</v>
      </c>
      <c r="BG35" t="n">
        <v>99.18000000000001</v>
      </c>
      <c r="BH35" t="n">
        <v>99.3</v>
      </c>
      <c r="BI35" t="n">
        <v>99.70999999999999</v>
      </c>
      <c r="BJ35" t="n">
        <v>99.55</v>
      </c>
      <c r="BK35" t="n">
        <v>99.73999999999999</v>
      </c>
      <c r="BL35" t="n">
        <v>99.78</v>
      </c>
      <c r="BM35" t="n">
        <v>99.81999999999999</v>
      </c>
      <c r="BN35" t="n">
        <v>99.73</v>
      </c>
      <c r="BO35" t="n">
        <v>99.70999999999999</v>
      </c>
      <c r="BP35" t="n">
        <v>99.76000000000001</v>
      </c>
      <c r="BQ35" t="n">
        <v>99.66</v>
      </c>
      <c r="BR35" t="n">
        <v>99.66</v>
      </c>
      <c r="BS35" t="n">
        <v>99.7</v>
      </c>
      <c r="BT35" t="n">
        <v>99.66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140.953883</v>
      </c>
      <c r="F5" t="n">
        <v>177.371403</v>
      </c>
      <c r="G5" t="n">
        <v>9540.408934999999</v>
      </c>
      <c r="H5" t="n">
        <v>70736320.08912501</v>
      </c>
      <c r="I5" t="n">
        <v>4269.898312</v>
      </c>
      <c r="J5" t="n">
        <v>4574.511297</v>
      </c>
      <c r="K5" t="n">
        <v>1801.225895</v>
      </c>
      <c r="L5" t="n">
        <v>6846.4367</v>
      </c>
      <c r="M5" t="n">
        <v>6846.4367</v>
      </c>
      <c r="N5" t="n">
        <v>6846.4367</v>
      </c>
      <c r="O5" t="n">
        <v>67.536573</v>
      </c>
      <c r="P5" t="n">
        <v>32.007796</v>
      </c>
      <c r="Q5" t="n">
        <v>6846.4367</v>
      </c>
      <c r="R5" t="n">
        <v>6846.4367</v>
      </c>
      <c r="S5" t="n">
        <v>67.536573</v>
      </c>
      <c r="T5" t="n">
        <v>67.536573</v>
      </c>
      <c r="U5" t="n">
        <v>32.007796</v>
      </c>
      <c r="V5" t="n">
        <v>32.007796</v>
      </c>
      <c r="W5" t="n">
        <v>70.113483</v>
      </c>
      <c r="X5" t="n">
        <v>7370.741192</v>
      </c>
      <c r="Y5" t="n">
        <v>90.145392</v>
      </c>
      <c r="Z5" t="n">
        <v>288.815865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140.953883</v>
      </c>
      <c r="F6" t="n">
        <v>759.29485</v>
      </c>
      <c r="G6" t="n">
        <v>106449.95281</v>
      </c>
      <c r="H6" t="n">
        <v>217978087.829156</v>
      </c>
      <c r="I6" t="n">
        <v>15387.334214</v>
      </c>
      <c r="J6" t="n">
        <v>16058.002117</v>
      </c>
      <c r="K6" t="n">
        <v>5258.842171</v>
      </c>
      <c r="L6" t="n">
        <v>26383.951313</v>
      </c>
      <c r="M6" t="n">
        <v>26383.951313</v>
      </c>
      <c r="N6" t="n">
        <v>26383.951313</v>
      </c>
      <c r="O6" t="n">
        <v>166.364336</v>
      </c>
      <c r="P6" t="n">
        <v>71.691328</v>
      </c>
      <c r="Q6" t="n">
        <v>26383.951313</v>
      </c>
      <c r="R6" t="n">
        <v>26383.951313</v>
      </c>
      <c r="S6" t="n">
        <v>166.364336</v>
      </c>
      <c r="T6" t="n">
        <v>166.364336</v>
      </c>
      <c r="U6" t="n">
        <v>71.691328</v>
      </c>
      <c r="V6" t="n">
        <v>71.691328</v>
      </c>
      <c r="W6" t="n">
        <v>176.786743</v>
      </c>
      <c r="X6" t="n">
        <v>28905.373115</v>
      </c>
      <c r="Y6" t="n">
        <v>324.052433</v>
      </c>
      <c r="Z6" t="n">
        <v>881.088486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140.953883</v>
      </c>
      <c r="F7" t="n">
        <v>103.790936</v>
      </c>
      <c r="G7" t="n">
        <v>3299.712955</v>
      </c>
      <c r="H7" t="n">
        <v>5979.61191</v>
      </c>
      <c r="I7" t="n">
        <v>468.918008</v>
      </c>
      <c r="J7" t="n">
        <v>473.97462</v>
      </c>
      <c r="K7" t="n">
        <v>450.275889</v>
      </c>
      <c r="L7" t="n">
        <v>711.02964</v>
      </c>
      <c r="M7" t="n">
        <v>711.02964</v>
      </c>
      <c r="N7" t="n">
        <v>711.02964</v>
      </c>
      <c r="O7" t="n">
        <v>34.656914</v>
      </c>
      <c r="P7" t="n">
        <v>19.970973</v>
      </c>
      <c r="Q7" t="n">
        <v>711.02964</v>
      </c>
      <c r="R7" t="n">
        <v>711.02964</v>
      </c>
      <c r="S7" t="n">
        <v>34.656914</v>
      </c>
      <c r="T7" t="n">
        <v>34.656914</v>
      </c>
      <c r="U7" t="n">
        <v>19.970973</v>
      </c>
      <c r="V7" t="n">
        <v>19.970973</v>
      </c>
      <c r="W7" t="n">
        <v>36.368369</v>
      </c>
      <c r="X7" t="n">
        <v>756.8536319999999</v>
      </c>
      <c r="Y7" t="n">
        <v>57.193376</v>
      </c>
      <c r="Z7" t="n">
        <v>56.260295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140.953883</v>
      </c>
      <c r="F8" t="n">
        <v>667.104795</v>
      </c>
      <c r="G8" t="n">
        <v>84841.433393</v>
      </c>
      <c r="H8" t="n">
        <v>62527803.444478</v>
      </c>
      <c r="I8" t="n">
        <v>9604.557183999999</v>
      </c>
      <c r="J8" t="n">
        <v>10115.319409</v>
      </c>
      <c r="K8" t="n">
        <v>2437.791978</v>
      </c>
      <c r="L8" t="n">
        <v>16798.641648</v>
      </c>
      <c r="M8" t="n">
        <v>16798.641648</v>
      </c>
      <c r="N8" t="n">
        <v>16798.641648</v>
      </c>
      <c r="O8" t="n">
        <v>88.03658900000001</v>
      </c>
      <c r="P8" t="n">
        <v>38.159556</v>
      </c>
      <c r="Q8" t="n">
        <v>16798.641648</v>
      </c>
      <c r="R8" t="n">
        <v>16798.641648</v>
      </c>
      <c r="S8" t="n">
        <v>88.03658900000001</v>
      </c>
      <c r="T8" t="n">
        <v>88.03658900000001</v>
      </c>
      <c r="U8" t="n">
        <v>38.159556</v>
      </c>
      <c r="V8" t="n">
        <v>38.159556</v>
      </c>
      <c r="W8" t="n">
        <v>92.54017</v>
      </c>
      <c r="X8" t="n">
        <v>18119.633615</v>
      </c>
      <c r="Y8" t="n">
        <v>289.503115</v>
      </c>
      <c r="Z8" t="n">
        <v>659.652259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140.953883</v>
      </c>
      <c r="F9" t="n">
        <v>200.641254</v>
      </c>
      <c r="G9" t="n">
        <v>11101.904562</v>
      </c>
      <c r="H9" t="n">
        <v>25660602.941085</v>
      </c>
      <c r="I9" t="n">
        <v>6244.222521</v>
      </c>
      <c r="J9" t="n">
        <v>6325.914048</v>
      </c>
      <c r="K9" t="n">
        <v>1872.204427</v>
      </c>
      <c r="L9" t="n">
        <v>7112.982475</v>
      </c>
      <c r="M9" t="n">
        <v>7112.982475</v>
      </c>
      <c r="N9" t="n">
        <v>7112.982475</v>
      </c>
      <c r="O9" t="n">
        <v>87.969483</v>
      </c>
      <c r="P9" t="n">
        <v>46.580547</v>
      </c>
      <c r="Q9" t="n">
        <v>7112.982475</v>
      </c>
      <c r="R9" t="n">
        <v>7112.982475</v>
      </c>
      <c r="S9" t="n">
        <v>87.969483</v>
      </c>
      <c r="T9" t="n">
        <v>87.969483</v>
      </c>
      <c r="U9" t="n">
        <v>46.580547</v>
      </c>
      <c r="V9" t="n">
        <v>46.580547</v>
      </c>
      <c r="W9" t="n">
        <v>93.060855</v>
      </c>
      <c r="X9" t="n">
        <v>7459.131892</v>
      </c>
      <c r="Y9" t="n">
        <v>100.902165</v>
      </c>
      <c r="Z9" t="n">
        <v>211.14634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140.953883</v>
      </c>
      <c r="F10" t="n">
        <v>94.940534</v>
      </c>
      <c r="G10" t="n">
        <v>3699.207408</v>
      </c>
      <c r="H10" t="n">
        <v>6311396.796745</v>
      </c>
      <c r="I10" t="n">
        <v>1833.804999</v>
      </c>
      <c r="J10" t="n">
        <v>1853.890312</v>
      </c>
      <c r="K10" t="n">
        <v>743.939069</v>
      </c>
      <c r="L10" t="n">
        <v>2045.820774</v>
      </c>
      <c r="M10" t="n">
        <v>2045.820774</v>
      </c>
      <c r="N10" t="n">
        <v>2045.820774</v>
      </c>
      <c r="O10" t="n">
        <v>37.402647</v>
      </c>
      <c r="P10" t="n">
        <v>21.641048</v>
      </c>
      <c r="Q10" t="n">
        <v>2045.820774</v>
      </c>
      <c r="R10" t="n">
        <v>2045.820774</v>
      </c>
      <c r="S10" t="n">
        <v>37.402647</v>
      </c>
      <c r="T10" t="n">
        <v>37.402647</v>
      </c>
      <c r="U10" t="n">
        <v>21.641048</v>
      </c>
      <c r="V10" t="n">
        <v>21.641048</v>
      </c>
      <c r="W10" t="n">
        <v>39.426311</v>
      </c>
      <c r="X10" t="n">
        <v>2139.974971</v>
      </c>
      <c r="Y10" t="n">
        <v>51.745601</v>
      </c>
      <c r="Z10" t="n">
        <v>86.20657300000001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140.953883</v>
      </c>
      <c r="F11" t="n">
        <v>14.712171</v>
      </c>
      <c r="G11" t="n">
        <v>109.082967</v>
      </c>
      <c r="H11" t="n">
        <v>1554.089564</v>
      </c>
      <c r="I11" t="n">
        <v>87.52377799999999</v>
      </c>
      <c r="J11" t="n">
        <v>87.52377799999999</v>
      </c>
      <c r="K11" t="n">
        <v>33.521607</v>
      </c>
      <c r="L11" t="n">
        <v>92.59366</v>
      </c>
      <c r="M11" t="n">
        <v>92.59366</v>
      </c>
      <c r="N11" t="n">
        <v>92.59366</v>
      </c>
      <c r="O11" t="n">
        <v>4.448657</v>
      </c>
      <c r="P11" t="n">
        <v>3.058348</v>
      </c>
      <c r="Q11" t="n">
        <v>92.59366</v>
      </c>
      <c r="R11" t="n">
        <v>92.59366</v>
      </c>
      <c r="S11" t="n">
        <v>4.448657</v>
      </c>
      <c r="T11" t="n">
        <v>4.448657</v>
      </c>
      <c r="U11" t="n">
        <v>3.058348</v>
      </c>
      <c r="V11" t="n">
        <v>3.058348</v>
      </c>
      <c r="W11" t="n">
        <v>4.556294</v>
      </c>
      <c r="X11" t="n">
        <v>96.447226</v>
      </c>
      <c r="Y11" t="n">
        <v>10.417956</v>
      </c>
      <c r="Z11" t="n">
        <v>17.174689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140.953883</v>
      </c>
      <c r="F12" t="n">
        <v>10</v>
      </c>
      <c r="G12" t="n">
        <v>55.608076</v>
      </c>
      <c r="H12" t="n">
        <v>55.608076</v>
      </c>
      <c r="I12" t="n">
        <v>115.384615</v>
      </c>
      <c r="J12" t="n">
        <v>115.384615</v>
      </c>
      <c r="K12" t="n">
        <v>6</v>
      </c>
      <c r="L12" t="n">
        <v>114.728394</v>
      </c>
      <c r="M12" t="n">
        <v>114.728394</v>
      </c>
      <c r="N12" t="n">
        <v>114.728394</v>
      </c>
      <c r="O12" t="n">
        <v>6.05984</v>
      </c>
      <c r="P12" t="n">
        <v>4.848511</v>
      </c>
      <c r="Q12" t="n">
        <v>114.728394</v>
      </c>
      <c r="R12" t="n">
        <v>114.728394</v>
      </c>
      <c r="S12" t="n">
        <v>6.05984</v>
      </c>
      <c r="T12" t="n">
        <v>6.05984</v>
      </c>
      <c r="U12" t="n">
        <v>4.848511</v>
      </c>
      <c r="V12" t="n">
        <v>4.848511</v>
      </c>
      <c r="W12" t="n">
        <v>6.224783</v>
      </c>
      <c r="X12" t="n">
        <v>116.846993</v>
      </c>
      <c r="Y12" t="n">
        <v>7.440984</v>
      </c>
      <c r="Z12" t="n">
        <v>7.440984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140.953883</v>
      </c>
      <c r="F13" t="n">
        <v>177.371403</v>
      </c>
      <c r="G13" t="n">
        <v>9540.408934999999</v>
      </c>
      <c r="H13" t="n">
        <v>70736320.08912501</v>
      </c>
      <c r="I13" t="n">
        <v>4269.898312</v>
      </c>
      <c r="J13" t="n">
        <v>4574.511297</v>
      </c>
      <c r="K13" t="n">
        <v>1801.225895</v>
      </c>
      <c r="L13" t="n">
        <v>6846.4367</v>
      </c>
      <c r="M13" t="n">
        <v>6846.4367</v>
      </c>
      <c r="N13" t="n">
        <v>6846.4367</v>
      </c>
      <c r="O13" t="n">
        <v>67.536573</v>
      </c>
      <c r="P13" t="n">
        <v>32.007796</v>
      </c>
      <c r="Q13" t="n">
        <v>6846.4367</v>
      </c>
      <c r="R13" t="n">
        <v>6846.4367</v>
      </c>
      <c r="S13" t="n">
        <v>67.536573</v>
      </c>
      <c r="T13" t="n">
        <v>67.536573</v>
      </c>
      <c r="U13" t="n">
        <v>32.007796</v>
      </c>
      <c r="V13" t="n">
        <v>32.007796</v>
      </c>
      <c r="W13" t="n">
        <v>70.113483</v>
      </c>
      <c r="X13" t="n">
        <v>7370.741192</v>
      </c>
      <c r="Y13" t="n">
        <v>90.145392</v>
      </c>
      <c r="Z13" t="n">
        <v>288.815865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140.953883</v>
      </c>
      <c r="F14" t="n">
        <v>158.552335</v>
      </c>
      <c r="G14" t="n">
        <v>6912.013677</v>
      </c>
      <c r="H14" t="n">
        <v>2905118.284102</v>
      </c>
      <c r="I14" t="n">
        <v>3502.459341</v>
      </c>
      <c r="J14" t="n">
        <v>3796.144916</v>
      </c>
      <c r="K14" t="n">
        <v>1780.391965</v>
      </c>
      <c r="L14" t="n">
        <v>4710.704014</v>
      </c>
      <c r="M14" t="n">
        <v>4710.704014</v>
      </c>
      <c r="N14" t="n">
        <v>4710.704014</v>
      </c>
      <c r="O14" t="n">
        <v>105.183965</v>
      </c>
      <c r="P14" t="n">
        <v>52.828865</v>
      </c>
      <c r="Q14" t="n">
        <v>4710.704014</v>
      </c>
      <c r="R14" t="n">
        <v>4710.704014</v>
      </c>
      <c r="S14" t="n">
        <v>105.183965</v>
      </c>
      <c r="T14" t="n">
        <v>105.183965</v>
      </c>
      <c r="U14" t="n">
        <v>52.828865</v>
      </c>
      <c r="V14" t="n">
        <v>52.828865</v>
      </c>
      <c r="W14" t="n">
        <v>109.611209</v>
      </c>
      <c r="X14" t="n">
        <v>5115.038689</v>
      </c>
      <c r="Y14" t="n">
        <v>82.74413800000001</v>
      </c>
      <c r="Z14" t="n">
        <v>193.416145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140.953883</v>
      </c>
      <c r="F15" t="n">
        <v>20.231565</v>
      </c>
      <c r="G15" t="n">
        <v>209.122647</v>
      </c>
      <c r="H15" t="n">
        <v>7911.235378</v>
      </c>
      <c r="I15" t="n">
        <v>130.411041</v>
      </c>
      <c r="J15" t="n">
        <v>130.411041</v>
      </c>
      <c r="K15" t="n">
        <v>95.393377</v>
      </c>
      <c r="L15" t="n">
        <v>134.682411</v>
      </c>
      <c r="M15" t="n">
        <v>134.682411</v>
      </c>
      <c r="N15" t="n">
        <v>134.682411</v>
      </c>
      <c r="O15" t="n">
        <v>10.649241</v>
      </c>
      <c r="P15" t="n">
        <v>7.289446</v>
      </c>
      <c r="Q15" t="n">
        <v>134.682411</v>
      </c>
      <c r="R15" t="n">
        <v>134.682411</v>
      </c>
      <c r="S15" t="n">
        <v>10.649241</v>
      </c>
      <c r="T15" t="n">
        <v>10.649241</v>
      </c>
      <c r="U15" t="n">
        <v>7.289446</v>
      </c>
      <c r="V15" t="n">
        <v>7.289446</v>
      </c>
      <c r="W15" t="n">
        <v>10.971178</v>
      </c>
      <c r="X15" t="n">
        <v>140.50161</v>
      </c>
      <c r="Y15" t="n">
        <v>13.632476</v>
      </c>
      <c r="Z15" t="n">
        <v>24.80153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140.953883</v>
      </c>
      <c r="F16" t="n">
        <v>57.638856</v>
      </c>
      <c r="G16" t="n">
        <v>1182.200226</v>
      </c>
      <c r="H16" t="n">
        <v>56775.373409</v>
      </c>
      <c r="I16" t="n">
        <v>512.103289</v>
      </c>
      <c r="J16" t="n">
        <v>553.467817</v>
      </c>
      <c r="K16" t="n">
        <v>525.794426</v>
      </c>
      <c r="L16" t="n">
        <v>602.712303</v>
      </c>
      <c r="M16" t="n">
        <v>602.712303</v>
      </c>
      <c r="N16" t="n">
        <v>602.712303</v>
      </c>
      <c r="O16" t="n">
        <v>31.190871</v>
      </c>
      <c r="P16" t="n">
        <v>18.283791</v>
      </c>
      <c r="Q16" t="n">
        <v>602.712303</v>
      </c>
      <c r="R16" t="n">
        <v>602.712303</v>
      </c>
      <c r="S16" t="n">
        <v>31.190871</v>
      </c>
      <c r="T16" t="n">
        <v>31.190871</v>
      </c>
      <c r="U16" t="n">
        <v>18.283791</v>
      </c>
      <c r="V16" t="n">
        <v>18.283791</v>
      </c>
      <c r="W16" t="n">
        <v>32.089433</v>
      </c>
      <c r="X16" t="n">
        <v>622.065443</v>
      </c>
      <c r="Y16" t="n">
        <v>34.252552</v>
      </c>
      <c r="Z16" t="n">
        <v>73.57281500000001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140.953883</v>
      </c>
      <c r="F17" t="n">
        <v>60.479203</v>
      </c>
      <c r="G17" t="n">
        <v>1285.725322</v>
      </c>
      <c r="H17" t="n">
        <v>3025.478454</v>
      </c>
      <c r="I17" t="n">
        <v>395.888053</v>
      </c>
      <c r="J17" t="n">
        <v>395.888053</v>
      </c>
      <c r="K17" t="n">
        <v>376.09365</v>
      </c>
      <c r="L17" t="n">
        <v>393.787233</v>
      </c>
      <c r="M17" t="n">
        <v>393.787233</v>
      </c>
      <c r="N17" t="n">
        <v>393.787233</v>
      </c>
      <c r="O17" t="n">
        <v>20.916473</v>
      </c>
      <c r="P17" t="n">
        <v>13.510088</v>
      </c>
      <c r="Q17" t="n">
        <v>393.787233</v>
      </c>
      <c r="R17" t="n">
        <v>393.787233</v>
      </c>
      <c r="S17" t="n">
        <v>20.916473</v>
      </c>
      <c r="T17" t="n">
        <v>20.916473</v>
      </c>
      <c r="U17" t="n">
        <v>13.510088</v>
      </c>
      <c r="V17" t="n">
        <v>13.510088</v>
      </c>
      <c r="W17" t="n">
        <v>21.939981</v>
      </c>
      <c r="X17" t="n">
        <v>405.784084</v>
      </c>
      <c r="Y17" t="n">
        <v>35.719215</v>
      </c>
      <c r="Z17" t="n">
        <v>45.472786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140.953883</v>
      </c>
      <c r="F18" t="n">
        <v>200.641254</v>
      </c>
      <c r="G18" t="n">
        <v>11101.904562</v>
      </c>
      <c r="H18" t="n">
        <v>25660602.941085</v>
      </c>
      <c r="I18" t="n">
        <v>6244.222521</v>
      </c>
      <c r="J18" t="n">
        <v>6325.914048</v>
      </c>
      <c r="K18" t="n">
        <v>1872.204427</v>
      </c>
      <c r="L18" t="n">
        <v>7112.982475</v>
      </c>
      <c r="M18" t="n">
        <v>7112.982475</v>
      </c>
      <c r="N18" t="n">
        <v>7112.982475</v>
      </c>
      <c r="O18" t="n">
        <v>87.969483</v>
      </c>
      <c r="P18" t="n">
        <v>46.580547</v>
      </c>
      <c r="Q18" t="n">
        <v>7112.982475</v>
      </c>
      <c r="R18" t="n">
        <v>7112.982475</v>
      </c>
      <c r="S18" t="n">
        <v>87.969483</v>
      </c>
      <c r="T18" t="n">
        <v>87.969483</v>
      </c>
      <c r="U18" t="n">
        <v>46.580547</v>
      </c>
      <c r="V18" t="n">
        <v>46.580547</v>
      </c>
      <c r="W18" t="n">
        <v>93.060855</v>
      </c>
      <c r="X18" t="n">
        <v>7459.131892</v>
      </c>
      <c r="Y18" t="n">
        <v>100.902165</v>
      </c>
      <c r="Z18" t="n">
        <v>211.14634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140.953883</v>
      </c>
      <c r="F19" t="n">
        <v>200.641254</v>
      </c>
      <c r="G19" t="n">
        <v>11101.904562</v>
      </c>
      <c r="H19" t="n">
        <v>25660602.941085</v>
      </c>
      <c r="I19" t="n">
        <v>6244.222521</v>
      </c>
      <c r="J19" t="n">
        <v>6325.914048</v>
      </c>
      <c r="K19" t="n">
        <v>1872.204427</v>
      </c>
      <c r="L19" t="n">
        <v>7112.982475</v>
      </c>
      <c r="M19" t="n">
        <v>7112.982475</v>
      </c>
      <c r="N19" t="n">
        <v>7112.982475</v>
      </c>
      <c r="O19" t="n">
        <v>87.969483</v>
      </c>
      <c r="P19" t="n">
        <v>46.580547</v>
      </c>
      <c r="Q19" t="n">
        <v>7112.982475</v>
      </c>
      <c r="R19" t="n">
        <v>7112.982475</v>
      </c>
      <c r="S19" t="n">
        <v>87.969483</v>
      </c>
      <c r="T19" t="n">
        <v>87.969483</v>
      </c>
      <c r="U19" t="n">
        <v>46.580547</v>
      </c>
      <c r="V19" t="n">
        <v>46.580547</v>
      </c>
      <c r="W19" t="n">
        <v>93.060855</v>
      </c>
      <c r="X19" t="n">
        <v>7459.131892</v>
      </c>
      <c r="Y19" t="n">
        <v>100.902165</v>
      </c>
      <c r="Z19" t="n">
        <v>211.14634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140.953883</v>
      </c>
      <c r="F20" t="n">
        <v>57.638856</v>
      </c>
      <c r="G20" t="n">
        <v>1182.200226</v>
      </c>
      <c r="H20" t="n">
        <v>56775.373409</v>
      </c>
      <c r="I20" t="n">
        <v>512.103289</v>
      </c>
      <c r="J20" t="n">
        <v>553.467817</v>
      </c>
      <c r="K20" t="n">
        <v>525.794426</v>
      </c>
      <c r="L20" t="n">
        <v>602.712303</v>
      </c>
      <c r="M20" t="n">
        <v>602.712303</v>
      </c>
      <c r="N20" t="n">
        <v>602.712303</v>
      </c>
      <c r="O20" t="n">
        <v>31.190871</v>
      </c>
      <c r="P20" t="n">
        <v>18.283791</v>
      </c>
      <c r="Q20" t="n">
        <v>602.712303</v>
      </c>
      <c r="R20" t="n">
        <v>602.712303</v>
      </c>
      <c r="S20" t="n">
        <v>31.190871</v>
      </c>
      <c r="T20" t="n">
        <v>31.190871</v>
      </c>
      <c r="U20" t="n">
        <v>18.283791</v>
      </c>
      <c r="V20" t="n">
        <v>18.283791</v>
      </c>
      <c r="W20" t="n">
        <v>32.089433</v>
      </c>
      <c r="X20" t="n">
        <v>622.065443</v>
      </c>
      <c r="Y20" t="n">
        <v>34.252552</v>
      </c>
      <c r="Z20" t="n">
        <v>73.57281500000001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140.953883</v>
      </c>
      <c r="F21" t="n">
        <v>251.096546</v>
      </c>
      <c r="G21" t="n">
        <v>15842.809489</v>
      </c>
      <c r="H21" t="n">
        <v>17515502.131016</v>
      </c>
      <c r="I21" t="n">
        <v>2592.828475</v>
      </c>
      <c r="J21" t="n">
        <v>2668.302146</v>
      </c>
      <c r="K21" t="n">
        <v>1626.885542</v>
      </c>
      <c r="L21" t="n">
        <v>3240.975912</v>
      </c>
      <c r="M21" t="n">
        <v>3240.975912</v>
      </c>
      <c r="N21" t="n">
        <v>3240.975912</v>
      </c>
      <c r="O21" t="n">
        <v>87.234846</v>
      </c>
      <c r="P21" t="n">
        <v>41.935227</v>
      </c>
      <c r="Q21" t="n">
        <v>3240.975912</v>
      </c>
      <c r="R21" t="n">
        <v>3240.975912</v>
      </c>
      <c r="S21" t="n">
        <v>87.234846</v>
      </c>
      <c r="T21" t="n">
        <v>87.234846</v>
      </c>
      <c r="U21" t="n">
        <v>41.935227</v>
      </c>
      <c r="V21" t="n">
        <v>41.935227</v>
      </c>
      <c r="W21" t="n">
        <v>91.178747</v>
      </c>
      <c r="X21" t="n">
        <v>3446.878316</v>
      </c>
      <c r="Y21" t="n">
        <v>123.223374</v>
      </c>
      <c r="Z21" t="n">
        <v>333.724839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140.953883</v>
      </c>
      <c r="F22" t="n">
        <v>20.606299</v>
      </c>
      <c r="G22" t="n">
        <v>196.386285</v>
      </c>
      <c r="H22" t="n">
        <v>1009.116172</v>
      </c>
      <c r="I22" t="n">
        <v>131.71072</v>
      </c>
      <c r="J22" t="n">
        <v>131.71072</v>
      </c>
      <c r="K22" t="n">
        <v>125.125184</v>
      </c>
      <c r="L22" t="n">
        <v>130.894857</v>
      </c>
      <c r="M22" t="n">
        <v>130.894857</v>
      </c>
      <c r="N22" t="n">
        <v>130.894857</v>
      </c>
      <c r="O22" t="n">
        <v>12.255972</v>
      </c>
      <c r="P22" t="n">
        <v>8.448598</v>
      </c>
      <c r="Q22" t="n">
        <v>130.894857</v>
      </c>
      <c r="R22" t="n">
        <v>130.894857</v>
      </c>
      <c r="S22" t="n">
        <v>12.255972</v>
      </c>
      <c r="T22" t="n">
        <v>12.255972</v>
      </c>
      <c r="U22" t="n">
        <v>8.448598</v>
      </c>
      <c r="V22" t="n">
        <v>8.448598</v>
      </c>
      <c r="W22" t="n">
        <v>12.680707</v>
      </c>
      <c r="X22" t="n">
        <v>136.520004</v>
      </c>
      <c r="Y22" t="n">
        <v>13.974049</v>
      </c>
      <c r="Z22" t="n">
        <v>22.490141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140.953883</v>
      </c>
      <c r="F23" t="n">
        <v>60.479203</v>
      </c>
      <c r="G23" t="n">
        <v>1285.725322</v>
      </c>
      <c r="H23" t="n">
        <v>3025.478454</v>
      </c>
      <c r="I23" t="n">
        <v>395.888053</v>
      </c>
      <c r="J23" t="n">
        <v>395.888053</v>
      </c>
      <c r="K23" t="n">
        <v>376.09365</v>
      </c>
      <c r="L23" t="n">
        <v>393.787233</v>
      </c>
      <c r="M23" t="n">
        <v>393.787233</v>
      </c>
      <c r="N23" t="n">
        <v>393.787233</v>
      </c>
      <c r="O23" t="n">
        <v>20.916473</v>
      </c>
      <c r="P23" t="n">
        <v>13.510088</v>
      </c>
      <c r="Q23" t="n">
        <v>393.787233</v>
      </c>
      <c r="R23" t="n">
        <v>393.787233</v>
      </c>
      <c r="S23" t="n">
        <v>20.916473</v>
      </c>
      <c r="T23" t="n">
        <v>20.916473</v>
      </c>
      <c r="U23" t="n">
        <v>13.510088</v>
      </c>
      <c r="V23" t="n">
        <v>13.510088</v>
      </c>
      <c r="W23" t="n">
        <v>21.939981</v>
      </c>
      <c r="X23" t="n">
        <v>405.784084</v>
      </c>
      <c r="Y23" t="n">
        <v>35.719215</v>
      </c>
      <c r="Z23" t="n">
        <v>45.472786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140.953883</v>
      </c>
      <c r="F24" t="n">
        <v>177.371403</v>
      </c>
      <c r="G24" t="n">
        <v>9540.408934999999</v>
      </c>
      <c r="H24" t="n">
        <v>70736320.08912501</v>
      </c>
      <c r="I24" t="n">
        <v>4269.898312</v>
      </c>
      <c r="J24" t="n">
        <v>4574.511297</v>
      </c>
      <c r="K24" t="n">
        <v>1801.225895</v>
      </c>
      <c r="L24" t="n">
        <v>6846.4367</v>
      </c>
      <c r="M24" t="n">
        <v>6846.4367</v>
      </c>
      <c r="N24" t="n">
        <v>6846.4367</v>
      </c>
      <c r="O24" t="n">
        <v>67.536573</v>
      </c>
      <c r="P24" t="n">
        <v>32.007796</v>
      </c>
      <c r="Q24" t="n">
        <v>6846.4367</v>
      </c>
      <c r="R24" t="n">
        <v>6846.4367</v>
      </c>
      <c r="S24" t="n">
        <v>67.536573</v>
      </c>
      <c r="T24" t="n">
        <v>67.536573</v>
      </c>
      <c r="U24" t="n">
        <v>32.007796</v>
      </c>
      <c r="V24" t="n">
        <v>32.007796</v>
      </c>
      <c r="W24" t="n">
        <v>70.113483</v>
      </c>
      <c r="X24" t="n">
        <v>7370.741192</v>
      </c>
      <c r="Y24" t="n">
        <v>90.145392</v>
      </c>
      <c r="Z24" t="n">
        <v>288.815865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140.953883</v>
      </c>
      <c r="F25" t="n">
        <v>283.896083</v>
      </c>
      <c r="G25" t="n">
        <v>19102.99048</v>
      </c>
      <c r="H25" t="n">
        <v>21093286.411087</v>
      </c>
      <c r="I25" t="n">
        <v>10688.374283</v>
      </c>
      <c r="J25" t="n">
        <v>10967.724493</v>
      </c>
      <c r="K25" t="n">
        <v>3597.413634</v>
      </c>
      <c r="L25" t="n">
        <v>16970.336092</v>
      </c>
      <c r="M25" t="n">
        <v>16970.336092</v>
      </c>
      <c r="N25" t="n">
        <v>16970.336092</v>
      </c>
      <c r="O25" t="n">
        <v>214.616191</v>
      </c>
      <c r="P25" t="n">
        <v>96.945487</v>
      </c>
      <c r="Q25" t="n">
        <v>16970.336092</v>
      </c>
      <c r="R25" t="n">
        <v>16970.336092</v>
      </c>
      <c r="S25" t="n">
        <v>214.616191</v>
      </c>
      <c r="T25" t="n">
        <v>214.616191</v>
      </c>
      <c r="U25" t="n">
        <v>96.945487</v>
      </c>
      <c r="V25" t="n">
        <v>96.945487</v>
      </c>
      <c r="W25" t="n">
        <v>226.201493</v>
      </c>
      <c r="X25" t="n">
        <v>17690.628268</v>
      </c>
      <c r="Y25" t="n">
        <v>137.482738</v>
      </c>
      <c r="Z25" t="n">
        <v>446.984531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140.953883</v>
      </c>
      <c r="F26" t="n">
        <v>20.606299</v>
      </c>
      <c r="G26" t="n">
        <v>196.386285</v>
      </c>
      <c r="H26" t="n">
        <v>1009.116172</v>
      </c>
      <c r="I26" t="n">
        <v>131.71072</v>
      </c>
      <c r="J26" t="n">
        <v>131.71072</v>
      </c>
      <c r="K26" t="n">
        <v>125.125184</v>
      </c>
      <c r="L26" t="n">
        <v>130.894857</v>
      </c>
      <c r="M26" t="n">
        <v>130.894857</v>
      </c>
      <c r="N26" t="n">
        <v>130.894857</v>
      </c>
      <c r="O26" t="n">
        <v>12.255972</v>
      </c>
      <c r="P26" t="n">
        <v>8.448598</v>
      </c>
      <c r="Q26" t="n">
        <v>130.894857</v>
      </c>
      <c r="R26" t="n">
        <v>130.894857</v>
      </c>
      <c r="S26" t="n">
        <v>12.255972</v>
      </c>
      <c r="T26" t="n">
        <v>12.255972</v>
      </c>
      <c r="U26" t="n">
        <v>8.448598</v>
      </c>
      <c r="V26" t="n">
        <v>8.448598</v>
      </c>
      <c r="W26" t="n">
        <v>12.680707</v>
      </c>
      <c r="X26" t="n">
        <v>136.520004</v>
      </c>
      <c r="Y26" t="n">
        <v>13.974049</v>
      </c>
      <c r="Z26" t="n">
        <v>22.490141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140.953883</v>
      </c>
      <c r="F27" t="n">
        <v>170.518341</v>
      </c>
      <c r="G27" t="n">
        <v>7847.80585</v>
      </c>
      <c r="H27" t="n">
        <v>421935.650343</v>
      </c>
      <c r="I27" t="n">
        <v>1050.872908</v>
      </c>
      <c r="J27" t="n">
        <v>1075.829695</v>
      </c>
      <c r="K27" t="n">
        <v>537.914847</v>
      </c>
      <c r="L27" t="n">
        <v>1659.687874</v>
      </c>
      <c r="M27" t="n">
        <v>1659.687874</v>
      </c>
      <c r="N27" t="n">
        <v>1659.687874</v>
      </c>
      <c r="O27" t="n">
        <v>31.362197</v>
      </c>
      <c r="P27" t="n">
        <v>16.184075</v>
      </c>
      <c r="Q27" t="n">
        <v>1659.687874</v>
      </c>
      <c r="R27" t="n">
        <v>1659.687874</v>
      </c>
      <c r="S27" t="n">
        <v>31.362197</v>
      </c>
      <c r="T27" t="n">
        <v>31.362197</v>
      </c>
      <c r="U27" t="n">
        <v>16.184075</v>
      </c>
      <c r="V27" t="n">
        <v>16.184075</v>
      </c>
      <c r="W27" t="n">
        <v>32.286772</v>
      </c>
      <c r="X27" t="n">
        <v>1775.112325</v>
      </c>
      <c r="Y27" t="n">
        <v>88.16158900000001</v>
      </c>
      <c r="Z27" t="n">
        <v>173.868813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140.953883</v>
      </c>
      <c r="F28" t="n">
        <v>200.641254</v>
      </c>
      <c r="G28" t="n">
        <v>11101.904562</v>
      </c>
      <c r="H28" t="n">
        <v>25660602.941085</v>
      </c>
      <c r="I28" t="n">
        <v>6244.222521</v>
      </c>
      <c r="J28" t="n">
        <v>6325.914048</v>
      </c>
      <c r="K28" t="n">
        <v>1872.204427</v>
      </c>
      <c r="L28" t="n">
        <v>7112.982475</v>
      </c>
      <c r="M28" t="n">
        <v>7112.982475</v>
      </c>
      <c r="N28" t="n">
        <v>7112.982475</v>
      </c>
      <c r="O28" t="n">
        <v>87.969483</v>
      </c>
      <c r="P28" t="n">
        <v>46.580547</v>
      </c>
      <c r="Q28" t="n">
        <v>7112.982475</v>
      </c>
      <c r="R28" t="n">
        <v>7112.982475</v>
      </c>
      <c r="S28" t="n">
        <v>87.969483</v>
      </c>
      <c r="T28" t="n">
        <v>87.969483</v>
      </c>
      <c r="U28" t="n">
        <v>46.580547</v>
      </c>
      <c r="V28" t="n">
        <v>46.580547</v>
      </c>
      <c r="W28" t="n">
        <v>93.060855</v>
      </c>
      <c r="X28" t="n">
        <v>7459.131892</v>
      </c>
      <c r="Y28" t="n">
        <v>100.902165</v>
      </c>
      <c r="Z28" t="n">
        <v>211.14634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140.953883</v>
      </c>
      <c r="F29" t="n">
        <v>33.254785</v>
      </c>
      <c r="G29" t="n">
        <v>452.736281</v>
      </c>
      <c r="H29" t="n">
        <v>34182.13294</v>
      </c>
      <c r="I29" t="n">
        <v>151.084056</v>
      </c>
      <c r="J29" t="n">
        <v>151.084056</v>
      </c>
      <c r="K29" t="n">
        <v>143.529853</v>
      </c>
      <c r="L29" t="n">
        <v>173.938876</v>
      </c>
      <c r="M29" t="n">
        <v>173.938876</v>
      </c>
      <c r="N29" t="n">
        <v>173.938876</v>
      </c>
      <c r="O29" t="n">
        <v>13.215653</v>
      </c>
      <c r="P29" t="n">
        <v>8.00437</v>
      </c>
      <c r="Q29" t="n">
        <v>173.938876</v>
      </c>
      <c r="R29" t="n">
        <v>173.938876</v>
      </c>
      <c r="S29" t="n">
        <v>13.215653</v>
      </c>
      <c r="T29" t="n">
        <v>13.215653</v>
      </c>
      <c r="U29" t="n">
        <v>8.00437</v>
      </c>
      <c r="V29" t="n">
        <v>8.00437</v>
      </c>
      <c r="W29" t="n">
        <v>13.539814</v>
      </c>
      <c r="X29" t="n">
        <v>184.933079</v>
      </c>
      <c r="Y29" t="n">
        <v>21.207733</v>
      </c>
      <c r="Z29" t="n">
        <v>52.601429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140.953883</v>
      </c>
      <c r="F30" t="n">
        <v>228.824285</v>
      </c>
      <c r="G30" t="n">
        <v>13739.954406</v>
      </c>
      <c r="H30" t="n">
        <v>114798702.260359</v>
      </c>
      <c r="I30" t="n">
        <v>6590.793316</v>
      </c>
      <c r="J30" t="n">
        <v>7071.146917</v>
      </c>
      <c r="K30" t="n">
        <v>2576.928919</v>
      </c>
      <c r="L30" t="n">
        <v>10677.999207</v>
      </c>
      <c r="M30" t="n">
        <v>10677.999207</v>
      </c>
      <c r="N30" t="n">
        <v>10677.999207</v>
      </c>
      <c r="O30" t="n">
        <v>85.006417</v>
      </c>
      <c r="P30" t="n">
        <v>38.52237</v>
      </c>
      <c r="Q30" t="n">
        <v>10677.999207</v>
      </c>
      <c r="R30" t="n">
        <v>10677.999207</v>
      </c>
      <c r="S30" t="n">
        <v>85.006417</v>
      </c>
      <c r="T30" t="n">
        <v>85.006417</v>
      </c>
      <c r="U30" t="n">
        <v>38.52237</v>
      </c>
      <c r="V30" t="n">
        <v>38.52237</v>
      </c>
      <c r="W30" t="n">
        <v>88.306245</v>
      </c>
      <c r="X30" t="n">
        <v>11509.306401</v>
      </c>
      <c r="Y30" t="n">
        <v>113.373643</v>
      </c>
      <c r="Z30" t="n">
        <v>399.574722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140.953883</v>
      </c>
      <c r="F31" t="n">
        <v>20.606299</v>
      </c>
      <c r="G31" t="n">
        <v>196.386285</v>
      </c>
      <c r="H31" t="n">
        <v>1009.116172</v>
      </c>
      <c r="I31" t="n">
        <v>131.71072</v>
      </c>
      <c r="J31" t="n">
        <v>131.71072</v>
      </c>
      <c r="K31" t="n">
        <v>125.125184</v>
      </c>
      <c r="L31" t="n">
        <v>130.894857</v>
      </c>
      <c r="M31" t="n">
        <v>130.894857</v>
      </c>
      <c r="N31" t="n">
        <v>130.894857</v>
      </c>
      <c r="O31" t="n">
        <v>12.255972</v>
      </c>
      <c r="P31" t="n">
        <v>8.448598</v>
      </c>
      <c r="Q31" t="n">
        <v>130.894857</v>
      </c>
      <c r="R31" t="n">
        <v>130.894857</v>
      </c>
      <c r="S31" t="n">
        <v>12.255972</v>
      </c>
      <c r="T31" t="n">
        <v>12.255972</v>
      </c>
      <c r="U31" t="n">
        <v>8.448598</v>
      </c>
      <c r="V31" t="n">
        <v>8.448598</v>
      </c>
      <c r="W31" t="n">
        <v>12.680707</v>
      </c>
      <c r="X31" t="n">
        <v>136.520004</v>
      </c>
      <c r="Y31" t="n">
        <v>13.974049</v>
      </c>
      <c r="Z31" t="n">
        <v>22.490141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140.953883</v>
      </c>
      <c r="F32" t="n">
        <v>265.549442</v>
      </c>
      <c r="G32" t="n">
        <v>17398.716094</v>
      </c>
      <c r="H32" t="n">
        <v>21722652.494621</v>
      </c>
      <c r="I32" t="n">
        <v>2939.153653</v>
      </c>
      <c r="J32" t="n">
        <v>3022.907916</v>
      </c>
      <c r="K32" t="n">
        <v>1769.605312</v>
      </c>
      <c r="L32" t="n">
        <v>3691.420719</v>
      </c>
      <c r="M32" t="n">
        <v>3691.420719</v>
      </c>
      <c r="N32" t="n">
        <v>3691.420719</v>
      </c>
      <c r="O32" t="n">
        <v>92.784491</v>
      </c>
      <c r="P32" t="n">
        <v>44.082214</v>
      </c>
      <c r="Q32" t="n">
        <v>3691.420719</v>
      </c>
      <c r="R32" t="n">
        <v>3691.420719</v>
      </c>
      <c r="S32" t="n">
        <v>92.784491</v>
      </c>
      <c r="T32" t="n">
        <v>92.784491</v>
      </c>
      <c r="U32" t="n">
        <v>44.082214</v>
      </c>
      <c r="V32" t="n">
        <v>44.082214</v>
      </c>
      <c r="W32" t="n">
        <v>96.91430099999999</v>
      </c>
      <c r="X32" t="n">
        <v>3937.988659</v>
      </c>
      <c r="Y32" t="n">
        <v>129.416869</v>
      </c>
      <c r="Z32" t="n">
        <v>360.506923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140.953883</v>
      </c>
      <c r="F33" t="n">
        <v>94.940534</v>
      </c>
      <c r="G33" t="n">
        <v>3699.207408</v>
      </c>
      <c r="H33" t="n">
        <v>6311396.796745</v>
      </c>
      <c r="I33" t="n">
        <v>1833.804999</v>
      </c>
      <c r="J33" t="n">
        <v>1853.890312</v>
      </c>
      <c r="K33" t="n">
        <v>743.939069</v>
      </c>
      <c r="L33" t="n">
        <v>2045.820774</v>
      </c>
      <c r="M33" t="n">
        <v>2045.820774</v>
      </c>
      <c r="N33" t="n">
        <v>2045.820774</v>
      </c>
      <c r="O33" t="n">
        <v>37.402647</v>
      </c>
      <c r="P33" t="n">
        <v>21.641048</v>
      </c>
      <c r="Q33" t="n">
        <v>2045.820774</v>
      </c>
      <c r="R33" t="n">
        <v>2045.820774</v>
      </c>
      <c r="S33" t="n">
        <v>37.402647</v>
      </c>
      <c r="T33" t="n">
        <v>37.402647</v>
      </c>
      <c r="U33" t="n">
        <v>21.641048</v>
      </c>
      <c r="V33" t="n">
        <v>21.641048</v>
      </c>
      <c r="W33" t="n">
        <v>39.426311</v>
      </c>
      <c r="X33" t="n">
        <v>2139.974971</v>
      </c>
      <c r="Y33" t="n">
        <v>51.745601</v>
      </c>
      <c r="Z33" t="n">
        <v>86.20657300000001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140.953883</v>
      </c>
      <c r="F34" t="n">
        <v>228.824285</v>
      </c>
      <c r="G34" t="n">
        <v>13739.954406</v>
      </c>
      <c r="H34" t="n">
        <v>114798702.260359</v>
      </c>
      <c r="I34" t="n">
        <v>6590.793316</v>
      </c>
      <c r="J34" t="n">
        <v>7071.146917</v>
      </c>
      <c r="K34" t="n">
        <v>2576.928919</v>
      </c>
      <c r="L34" t="n">
        <v>10677.999207</v>
      </c>
      <c r="M34" t="n">
        <v>10677.999207</v>
      </c>
      <c r="N34" t="n">
        <v>10677.999207</v>
      </c>
      <c r="O34" t="n">
        <v>85.006417</v>
      </c>
      <c r="P34" t="n">
        <v>38.52237</v>
      </c>
      <c r="Q34" t="n">
        <v>10677.999207</v>
      </c>
      <c r="R34" t="n">
        <v>10677.999207</v>
      </c>
      <c r="S34" t="n">
        <v>85.006417</v>
      </c>
      <c r="T34" t="n">
        <v>85.006417</v>
      </c>
      <c r="U34" t="n">
        <v>38.52237</v>
      </c>
      <c r="V34" t="n">
        <v>38.52237</v>
      </c>
      <c r="W34" t="n">
        <v>88.306245</v>
      </c>
      <c r="X34" t="n">
        <v>11509.306401</v>
      </c>
      <c r="Y34" t="n">
        <v>113.373643</v>
      </c>
      <c r="Z34" t="n">
        <v>399.574722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140.953883</v>
      </c>
      <c r="F35" t="n">
        <v>33.254785</v>
      </c>
      <c r="G35" t="n">
        <v>452.736281</v>
      </c>
      <c r="H35" t="n">
        <v>34182.13294</v>
      </c>
      <c r="I35" t="n">
        <v>151.084056</v>
      </c>
      <c r="J35" t="n">
        <v>151.084056</v>
      </c>
      <c r="K35" t="n">
        <v>143.529853</v>
      </c>
      <c r="L35" t="n">
        <v>173.938876</v>
      </c>
      <c r="M35" t="n">
        <v>173.938876</v>
      </c>
      <c r="N35" t="n">
        <v>173.938876</v>
      </c>
      <c r="O35" t="n">
        <v>13.215653</v>
      </c>
      <c r="P35" t="n">
        <v>8.00437</v>
      </c>
      <c r="Q35" t="n">
        <v>173.938876</v>
      </c>
      <c r="R35" t="n">
        <v>173.938876</v>
      </c>
      <c r="S35" t="n">
        <v>13.215653</v>
      </c>
      <c r="T35" t="n">
        <v>13.215653</v>
      </c>
      <c r="U35" t="n">
        <v>8.00437</v>
      </c>
      <c r="V35" t="n">
        <v>8.00437</v>
      </c>
      <c r="W35" t="n">
        <v>13.539814</v>
      </c>
      <c r="X35" t="n">
        <v>184.933079</v>
      </c>
      <c r="Y35" t="n">
        <v>21.207733</v>
      </c>
      <c r="Z35" t="n">
        <v>52.601429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140.953883</v>
      </c>
      <c r="F36" t="n">
        <v>60.479203</v>
      </c>
      <c r="G36" t="n">
        <v>1285.725322</v>
      </c>
      <c r="H36" t="n">
        <v>3025.478454</v>
      </c>
      <c r="I36" t="n">
        <v>395.888053</v>
      </c>
      <c r="J36" t="n">
        <v>395.888053</v>
      </c>
      <c r="K36" t="n">
        <v>376.09365</v>
      </c>
      <c r="L36" t="n">
        <v>393.787233</v>
      </c>
      <c r="M36" t="n">
        <v>393.787233</v>
      </c>
      <c r="N36" t="n">
        <v>393.787233</v>
      </c>
      <c r="O36" t="n">
        <v>20.916473</v>
      </c>
      <c r="P36" t="n">
        <v>13.510088</v>
      </c>
      <c r="Q36" t="n">
        <v>393.787233</v>
      </c>
      <c r="R36" t="n">
        <v>393.787233</v>
      </c>
      <c r="S36" t="n">
        <v>20.916473</v>
      </c>
      <c r="T36" t="n">
        <v>20.916473</v>
      </c>
      <c r="U36" t="n">
        <v>13.510088</v>
      </c>
      <c r="V36" t="n">
        <v>13.510088</v>
      </c>
      <c r="W36" t="n">
        <v>21.939981</v>
      </c>
      <c r="X36" t="n">
        <v>405.784084</v>
      </c>
      <c r="Y36" t="n">
        <v>35.719215</v>
      </c>
      <c r="Z36" t="n">
        <v>45.472786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140.953883</v>
      </c>
      <c r="F37" t="n">
        <v>342.280115</v>
      </c>
      <c r="G37" t="n">
        <v>26475.575966</v>
      </c>
      <c r="H37" t="n">
        <v>257355.857038</v>
      </c>
      <c r="I37" t="n">
        <v>1585.623721</v>
      </c>
      <c r="J37" t="n">
        <v>1650.152477</v>
      </c>
      <c r="K37" t="n">
        <v>1567.644853</v>
      </c>
      <c r="L37" t="n">
        <v>2274.19106</v>
      </c>
      <c r="M37" t="n">
        <v>2274.19106</v>
      </c>
      <c r="N37" t="n">
        <v>2274.19106</v>
      </c>
      <c r="O37" t="n">
        <v>105.127985</v>
      </c>
      <c r="P37" t="n">
        <v>50.974766</v>
      </c>
      <c r="Q37" t="n">
        <v>2274.19106</v>
      </c>
      <c r="R37" t="n">
        <v>2274.19106</v>
      </c>
      <c r="S37" t="n">
        <v>105.127985</v>
      </c>
      <c r="T37" t="n">
        <v>105.127985</v>
      </c>
      <c r="U37" t="n">
        <v>50.974766</v>
      </c>
      <c r="V37" t="n">
        <v>50.974766</v>
      </c>
      <c r="W37" t="n">
        <v>111.155847</v>
      </c>
      <c r="X37" t="n">
        <v>2438.947747</v>
      </c>
      <c r="Y37" t="n">
        <v>161.824385</v>
      </c>
      <c r="Z37" t="n">
        <v>255.683683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140.953883</v>
      </c>
      <c r="F38" t="n">
        <v>158.552335</v>
      </c>
      <c r="G38" t="n">
        <v>6912.013677</v>
      </c>
      <c r="H38" t="n">
        <v>2905118.284102</v>
      </c>
      <c r="I38" t="n">
        <v>3502.459341</v>
      </c>
      <c r="J38" t="n">
        <v>3796.144916</v>
      </c>
      <c r="K38" t="n">
        <v>1780.391965</v>
      </c>
      <c r="L38" t="n">
        <v>4710.704014</v>
      </c>
      <c r="M38" t="n">
        <v>4710.704014</v>
      </c>
      <c r="N38" t="n">
        <v>4710.704014</v>
      </c>
      <c r="O38" t="n">
        <v>105.183965</v>
      </c>
      <c r="P38" t="n">
        <v>52.828865</v>
      </c>
      <c r="Q38" t="n">
        <v>4710.704014</v>
      </c>
      <c r="R38" t="n">
        <v>4710.704014</v>
      </c>
      <c r="S38" t="n">
        <v>105.183965</v>
      </c>
      <c r="T38" t="n">
        <v>105.183965</v>
      </c>
      <c r="U38" t="n">
        <v>52.828865</v>
      </c>
      <c r="V38" t="n">
        <v>52.828865</v>
      </c>
      <c r="W38" t="n">
        <v>109.611209</v>
      </c>
      <c r="X38" t="n">
        <v>5115.038689</v>
      </c>
      <c r="Y38" t="n">
        <v>82.74413800000001</v>
      </c>
      <c r="Z38" t="n">
        <v>193.416145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140.953883</v>
      </c>
      <c r="F39" t="n">
        <v>170.518341</v>
      </c>
      <c r="G39" t="n">
        <v>7847.80585</v>
      </c>
      <c r="H39" t="n">
        <v>421935.650343</v>
      </c>
      <c r="I39" t="n">
        <v>1050.872908</v>
      </c>
      <c r="J39" t="n">
        <v>1075.829695</v>
      </c>
      <c r="K39" t="n">
        <v>537.914847</v>
      </c>
      <c r="L39" t="n">
        <v>1659.687874</v>
      </c>
      <c r="M39" t="n">
        <v>1659.687874</v>
      </c>
      <c r="N39" t="n">
        <v>1659.687874</v>
      </c>
      <c r="O39" t="n">
        <v>31.362197</v>
      </c>
      <c r="P39" t="n">
        <v>16.184075</v>
      </c>
      <c r="Q39" t="n">
        <v>1659.687874</v>
      </c>
      <c r="R39" t="n">
        <v>1659.687874</v>
      </c>
      <c r="S39" t="n">
        <v>31.362197</v>
      </c>
      <c r="T39" t="n">
        <v>31.362197</v>
      </c>
      <c r="U39" t="n">
        <v>16.184075</v>
      </c>
      <c r="V39" t="n">
        <v>16.184075</v>
      </c>
      <c r="W39" t="n">
        <v>32.286772</v>
      </c>
      <c r="X39" t="n">
        <v>1775.112325</v>
      </c>
      <c r="Y39" t="n">
        <v>88.16158900000001</v>
      </c>
      <c r="Z39" t="n">
        <v>173.868813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140.953883</v>
      </c>
      <c r="F40" t="n">
        <v>200.641254</v>
      </c>
      <c r="G40" t="n">
        <v>11101.904562</v>
      </c>
      <c r="H40" t="n">
        <v>25660602.941085</v>
      </c>
      <c r="I40" t="n">
        <v>6244.222521</v>
      </c>
      <c r="J40" t="n">
        <v>6325.914048</v>
      </c>
      <c r="K40" t="n">
        <v>1872.204427</v>
      </c>
      <c r="L40" t="n">
        <v>7112.982475</v>
      </c>
      <c r="M40" t="n">
        <v>7112.982475</v>
      </c>
      <c r="N40" t="n">
        <v>7112.982475</v>
      </c>
      <c r="O40" t="n">
        <v>87.969483</v>
      </c>
      <c r="P40" t="n">
        <v>46.580547</v>
      </c>
      <c r="Q40" t="n">
        <v>7112.982475</v>
      </c>
      <c r="R40" t="n">
        <v>7112.982475</v>
      </c>
      <c r="S40" t="n">
        <v>87.969483</v>
      </c>
      <c r="T40" t="n">
        <v>87.969483</v>
      </c>
      <c r="U40" t="n">
        <v>46.580547</v>
      </c>
      <c r="V40" t="n">
        <v>46.580547</v>
      </c>
      <c r="W40" t="n">
        <v>93.060855</v>
      </c>
      <c r="X40" t="n">
        <v>7459.131892</v>
      </c>
      <c r="Y40" t="n">
        <v>100.902165</v>
      </c>
      <c r="Z40" t="n">
        <v>211.14634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140.953883</v>
      </c>
      <c r="F41" t="n">
        <v>170.518341</v>
      </c>
      <c r="G41" t="n">
        <v>7847.80585</v>
      </c>
      <c r="H41" t="n">
        <v>421935.650343</v>
      </c>
      <c r="I41" t="n">
        <v>1050.872908</v>
      </c>
      <c r="J41" t="n">
        <v>1075.829695</v>
      </c>
      <c r="K41" t="n">
        <v>537.914847</v>
      </c>
      <c r="L41" t="n">
        <v>1659.687874</v>
      </c>
      <c r="M41" t="n">
        <v>1659.687874</v>
      </c>
      <c r="N41" t="n">
        <v>1659.687874</v>
      </c>
      <c r="O41" t="n">
        <v>31.362197</v>
      </c>
      <c r="P41" t="n">
        <v>16.184075</v>
      </c>
      <c r="Q41" t="n">
        <v>1659.687874</v>
      </c>
      <c r="R41" t="n">
        <v>1659.687874</v>
      </c>
      <c r="S41" t="n">
        <v>31.362197</v>
      </c>
      <c r="T41" t="n">
        <v>31.362197</v>
      </c>
      <c r="U41" t="n">
        <v>16.184075</v>
      </c>
      <c r="V41" t="n">
        <v>16.184075</v>
      </c>
      <c r="W41" t="n">
        <v>32.286772</v>
      </c>
      <c r="X41" t="n">
        <v>1775.112325</v>
      </c>
      <c r="Y41" t="n">
        <v>88.16158900000001</v>
      </c>
      <c r="Z41" t="n">
        <v>173.868813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140.953883</v>
      </c>
      <c r="F42" t="n">
        <v>667.104795</v>
      </c>
      <c r="G42" t="n">
        <v>84841.433393</v>
      </c>
      <c r="H42" t="n">
        <v>62527803.444478</v>
      </c>
      <c r="I42" t="n">
        <v>9604.557183999999</v>
      </c>
      <c r="J42" t="n">
        <v>10115.319409</v>
      </c>
      <c r="K42" t="n">
        <v>2437.791978</v>
      </c>
      <c r="L42" t="n">
        <v>16798.641648</v>
      </c>
      <c r="M42" t="n">
        <v>16798.641648</v>
      </c>
      <c r="N42" t="n">
        <v>16798.641648</v>
      </c>
      <c r="O42" t="n">
        <v>88.03658900000001</v>
      </c>
      <c r="P42" t="n">
        <v>38.159556</v>
      </c>
      <c r="Q42" t="n">
        <v>16798.641648</v>
      </c>
      <c r="R42" t="n">
        <v>16798.641648</v>
      </c>
      <c r="S42" t="n">
        <v>88.03658900000001</v>
      </c>
      <c r="T42" t="n">
        <v>88.03658900000001</v>
      </c>
      <c r="U42" t="n">
        <v>38.159556</v>
      </c>
      <c r="V42" t="n">
        <v>38.159556</v>
      </c>
      <c r="W42" t="n">
        <v>92.54017</v>
      </c>
      <c r="X42" t="n">
        <v>18119.633615</v>
      </c>
      <c r="Y42" t="n">
        <v>289.503115</v>
      </c>
      <c r="Z42" t="n">
        <v>659.652259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140.953883</v>
      </c>
      <c r="F43" t="n">
        <v>200.641254</v>
      </c>
      <c r="G43" t="n">
        <v>11101.904562</v>
      </c>
      <c r="H43" t="n">
        <v>25660602.941085</v>
      </c>
      <c r="I43" t="n">
        <v>6244.222521</v>
      </c>
      <c r="J43" t="n">
        <v>6325.914048</v>
      </c>
      <c r="K43" t="n">
        <v>1872.204427</v>
      </c>
      <c r="L43" t="n">
        <v>7112.982475</v>
      </c>
      <c r="M43" t="n">
        <v>7112.982475</v>
      </c>
      <c r="N43" t="n">
        <v>7112.982475</v>
      </c>
      <c r="O43" t="n">
        <v>87.969483</v>
      </c>
      <c r="P43" t="n">
        <v>46.580547</v>
      </c>
      <c r="Q43" t="n">
        <v>7112.982475</v>
      </c>
      <c r="R43" t="n">
        <v>7112.982475</v>
      </c>
      <c r="S43" t="n">
        <v>87.969483</v>
      </c>
      <c r="T43" t="n">
        <v>87.969483</v>
      </c>
      <c r="U43" t="n">
        <v>46.580547</v>
      </c>
      <c r="V43" t="n">
        <v>46.580547</v>
      </c>
      <c r="W43" t="n">
        <v>93.060855</v>
      </c>
      <c r="X43" t="n">
        <v>7459.131892</v>
      </c>
      <c r="Y43" t="n">
        <v>100.902165</v>
      </c>
      <c r="Z43" t="n">
        <v>211.14634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140.953883</v>
      </c>
      <c r="F44" t="n">
        <v>20.231565</v>
      </c>
      <c r="G44" t="n">
        <v>209.122647</v>
      </c>
      <c r="H44" t="n">
        <v>7911.235378</v>
      </c>
      <c r="I44" t="n">
        <v>130.411041</v>
      </c>
      <c r="J44" t="n">
        <v>130.411041</v>
      </c>
      <c r="K44" t="n">
        <v>95.393377</v>
      </c>
      <c r="L44" t="n">
        <v>134.682411</v>
      </c>
      <c r="M44" t="n">
        <v>134.682411</v>
      </c>
      <c r="N44" t="n">
        <v>134.682411</v>
      </c>
      <c r="O44" t="n">
        <v>10.649241</v>
      </c>
      <c r="P44" t="n">
        <v>7.289446</v>
      </c>
      <c r="Q44" t="n">
        <v>134.682411</v>
      </c>
      <c r="R44" t="n">
        <v>134.682411</v>
      </c>
      <c r="S44" t="n">
        <v>10.649241</v>
      </c>
      <c r="T44" t="n">
        <v>10.649241</v>
      </c>
      <c r="U44" t="n">
        <v>7.289446</v>
      </c>
      <c r="V44" t="n">
        <v>7.289446</v>
      </c>
      <c r="W44" t="n">
        <v>10.971178</v>
      </c>
      <c r="X44" t="n">
        <v>140.50161</v>
      </c>
      <c r="Y44" t="n">
        <v>13.632476</v>
      </c>
      <c r="Z44" t="n">
        <v>24.80153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140.953883</v>
      </c>
      <c r="F45" t="n">
        <v>200.641254</v>
      </c>
      <c r="G45" t="n">
        <v>11101.904562</v>
      </c>
      <c r="H45" t="n">
        <v>25660602.941085</v>
      </c>
      <c r="I45" t="n">
        <v>6244.222521</v>
      </c>
      <c r="J45" t="n">
        <v>6325.914048</v>
      </c>
      <c r="K45" t="n">
        <v>1872.204427</v>
      </c>
      <c r="L45" t="n">
        <v>7112.982475</v>
      </c>
      <c r="M45" t="n">
        <v>7112.982475</v>
      </c>
      <c r="N45" t="n">
        <v>7112.982475</v>
      </c>
      <c r="O45" t="n">
        <v>87.969483</v>
      </c>
      <c r="P45" t="n">
        <v>46.580547</v>
      </c>
      <c r="Q45" t="n">
        <v>7112.982475</v>
      </c>
      <c r="R45" t="n">
        <v>7112.982475</v>
      </c>
      <c r="S45" t="n">
        <v>87.969483</v>
      </c>
      <c r="T45" t="n">
        <v>87.969483</v>
      </c>
      <c r="U45" t="n">
        <v>46.580547</v>
      </c>
      <c r="V45" t="n">
        <v>46.580547</v>
      </c>
      <c r="W45" t="n">
        <v>93.060855</v>
      </c>
      <c r="X45" t="n">
        <v>7459.131892</v>
      </c>
      <c r="Y45" t="n">
        <v>100.902165</v>
      </c>
      <c r="Z45" t="n">
        <v>211.14634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140.953883</v>
      </c>
      <c r="F46" t="n">
        <v>283.896083</v>
      </c>
      <c r="G46" t="n">
        <v>19102.99048</v>
      </c>
      <c r="H46" t="n">
        <v>21093286.411087</v>
      </c>
      <c r="I46" t="n">
        <v>10688.374283</v>
      </c>
      <c r="J46" t="n">
        <v>10967.724493</v>
      </c>
      <c r="K46" t="n">
        <v>3597.413634</v>
      </c>
      <c r="L46" t="n">
        <v>16970.336092</v>
      </c>
      <c r="M46" t="n">
        <v>16970.336092</v>
      </c>
      <c r="N46" t="n">
        <v>16970.336092</v>
      </c>
      <c r="O46" t="n">
        <v>214.616191</v>
      </c>
      <c r="P46" t="n">
        <v>96.945487</v>
      </c>
      <c r="Q46" t="n">
        <v>16970.336092</v>
      </c>
      <c r="R46" t="n">
        <v>16970.336092</v>
      </c>
      <c r="S46" t="n">
        <v>214.616191</v>
      </c>
      <c r="T46" t="n">
        <v>214.616191</v>
      </c>
      <c r="U46" t="n">
        <v>96.945487</v>
      </c>
      <c r="V46" t="n">
        <v>96.945487</v>
      </c>
      <c r="W46" t="n">
        <v>226.201493</v>
      </c>
      <c r="X46" t="n">
        <v>17690.628268</v>
      </c>
      <c r="Y46" t="n">
        <v>137.482738</v>
      </c>
      <c r="Z46" t="n">
        <v>446.984531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140.953883</v>
      </c>
      <c r="F47" t="n">
        <v>228.824285</v>
      </c>
      <c r="G47" t="n">
        <v>13739.954406</v>
      </c>
      <c r="H47" t="n">
        <v>114798702.260359</v>
      </c>
      <c r="I47" t="n">
        <v>6590.793316</v>
      </c>
      <c r="J47" t="n">
        <v>7071.146917</v>
      </c>
      <c r="K47" t="n">
        <v>2576.928919</v>
      </c>
      <c r="L47" t="n">
        <v>10677.999207</v>
      </c>
      <c r="M47" t="n">
        <v>10677.999207</v>
      </c>
      <c r="N47" t="n">
        <v>10677.999207</v>
      </c>
      <c r="O47" t="n">
        <v>85.006417</v>
      </c>
      <c r="P47" t="n">
        <v>38.52237</v>
      </c>
      <c r="Q47" t="n">
        <v>10677.999207</v>
      </c>
      <c r="R47" t="n">
        <v>10677.999207</v>
      </c>
      <c r="S47" t="n">
        <v>85.006417</v>
      </c>
      <c r="T47" t="n">
        <v>85.006417</v>
      </c>
      <c r="U47" t="n">
        <v>38.52237</v>
      </c>
      <c r="V47" t="n">
        <v>38.52237</v>
      </c>
      <c r="W47" t="n">
        <v>88.306245</v>
      </c>
      <c r="X47" t="n">
        <v>11509.306401</v>
      </c>
      <c r="Y47" t="n">
        <v>113.373643</v>
      </c>
      <c r="Z47" t="n">
        <v>399.574722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140.953883</v>
      </c>
      <c r="F48" t="n">
        <v>170.518341</v>
      </c>
      <c r="G48" t="n">
        <v>7847.80585</v>
      </c>
      <c r="H48" t="n">
        <v>421935.650343</v>
      </c>
      <c r="I48" t="n">
        <v>1050.872908</v>
      </c>
      <c r="J48" t="n">
        <v>1075.829695</v>
      </c>
      <c r="K48" t="n">
        <v>537.914847</v>
      </c>
      <c r="L48" t="n">
        <v>1659.687874</v>
      </c>
      <c r="M48" t="n">
        <v>1659.687874</v>
      </c>
      <c r="N48" t="n">
        <v>1659.687874</v>
      </c>
      <c r="O48" t="n">
        <v>31.362197</v>
      </c>
      <c r="P48" t="n">
        <v>16.184075</v>
      </c>
      <c r="Q48" t="n">
        <v>1659.687874</v>
      </c>
      <c r="R48" t="n">
        <v>1659.687874</v>
      </c>
      <c r="S48" t="n">
        <v>31.362197</v>
      </c>
      <c r="T48" t="n">
        <v>31.362197</v>
      </c>
      <c r="U48" t="n">
        <v>16.184075</v>
      </c>
      <c r="V48" t="n">
        <v>16.184075</v>
      </c>
      <c r="W48" t="n">
        <v>32.286772</v>
      </c>
      <c r="X48" t="n">
        <v>1775.112325</v>
      </c>
      <c r="Y48" t="n">
        <v>88.16158900000001</v>
      </c>
      <c r="Z48" t="n">
        <v>173.868813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140.953883</v>
      </c>
      <c r="F49" t="n">
        <v>667.104795</v>
      </c>
      <c r="G49" t="n">
        <v>84841.433393</v>
      </c>
      <c r="H49" t="n">
        <v>62527803.444478</v>
      </c>
      <c r="I49" t="n">
        <v>9604.557183999999</v>
      </c>
      <c r="J49" t="n">
        <v>10115.319409</v>
      </c>
      <c r="K49" t="n">
        <v>2437.791978</v>
      </c>
      <c r="L49" t="n">
        <v>16798.641648</v>
      </c>
      <c r="M49" t="n">
        <v>16798.641648</v>
      </c>
      <c r="N49" t="n">
        <v>16798.641648</v>
      </c>
      <c r="O49" t="n">
        <v>88.03658900000001</v>
      </c>
      <c r="P49" t="n">
        <v>38.159556</v>
      </c>
      <c r="Q49" t="n">
        <v>16798.641648</v>
      </c>
      <c r="R49" t="n">
        <v>16798.641648</v>
      </c>
      <c r="S49" t="n">
        <v>88.03658900000001</v>
      </c>
      <c r="T49" t="n">
        <v>88.03658900000001</v>
      </c>
      <c r="U49" t="n">
        <v>38.159556</v>
      </c>
      <c r="V49" t="n">
        <v>38.159556</v>
      </c>
      <c r="W49" t="n">
        <v>92.54017</v>
      </c>
      <c r="X49" t="n">
        <v>18119.633615</v>
      </c>
      <c r="Y49" t="n">
        <v>289.503115</v>
      </c>
      <c r="Z49" t="n">
        <v>659.652259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140.953883</v>
      </c>
      <c r="F50" t="n">
        <v>15.812995</v>
      </c>
      <c r="G50" t="n">
        <v>123.721444</v>
      </c>
      <c r="H50" t="n">
        <v>7384.919423</v>
      </c>
      <c r="I50" t="n">
        <v>110.765161</v>
      </c>
      <c r="J50" t="n">
        <v>110.765161</v>
      </c>
      <c r="K50" t="n">
        <v>69.11746100000001</v>
      </c>
      <c r="L50" t="n">
        <v>113.463496</v>
      </c>
      <c r="M50" t="n">
        <v>113.463496</v>
      </c>
      <c r="N50" t="n">
        <v>113.463496</v>
      </c>
      <c r="O50" t="n">
        <v>8.170260000000001</v>
      </c>
      <c r="P50" t="n">
        <v>5.693764</v>
      </c>
      <c r="Q50" t="n">
        <v>113.463496</v>
      </c>
      <c r="R50" t="n">
        <v>113.463496</v>
      </c>
      <c r="S50" t="n">
        <v>8.170260000000001</v>
      </c>
      <c r="T50" t="n">
        <v>8.170260000000001</v>
      </c>
      <c r="U50" t="n">
        <v>5.693764</v>
      </c>
      <c r="V50" t="n">
        <v>5.693764</v>
      </c>
      <c r="W50" t="n">
        <v>8.298344999999999</v>
      </c>
      <c r="X50" t="n">
        <v>118.931059</v>
      </c>
      <c r="Y50" t="n">
        <v>11.094229</v>
      </c>
      <c r="Z50" t="n">
        <v>22.315768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140.953883</v>
      </c>
      <c r="F51" t="n">
        <v>170.518341</v>
      </c>
      <c r="G51" t="n">
        <v>7847.80585</v>
      </c>
      <c r="H51" t="n">
        <v>421935.650343</v>
      </c>
      <c r="I51" t="n">
        <v>1050.872908</v>
      </c>
      <c r="J51" t="n">
        <v>1075.829695</v>
      </c>
      <c r="K51" t="n">
        <v>537.914847</v>
      </c>
      <c r="L51" t="n">
        <v>1659.687874</v>
      </c>
      <c r="M51" t="n">
        <v>1659.687874</v>
      </c>
      <c r="N51" t="n">
        <v>1659.687874</v>
      </c>
      <c r="O51" t="n">
        <v>31.362197</v>
      </c>
      <c r="P51" t="n">
        <v>16.184075</v>
      </c>
      <c r="Q51" t="n">
        <v>1659.687874</v>
      </c>
      <c r="R51" t="n">
        <v>1659.687874</v>
      </c>
      <c r="S51" t="n">
        <v>31.362197</v>
      </c>
      <c r="T51" t="n">
        <v>31.362197</v>
      </c>
      <c r="U51" t="n">
        <v>16.184075</v>
      </c>
      <c r="V51" t="n">
        <v>16.184075</v>
      </c>
      <c r="W51" t="n">
        <v>32.286772</v>
      </c>
      <c r="X51" t="n">
        <v>1775.112325</v>
      </c>
      <c r="Y51" t="n">
        <v>88.16158900000001</v>
      </c>
      <c r="Z51" t="n">
        <v>173.868813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140.953883</v>
      </c>
      <c r="F52" t="n">
        <v>420.661524</v>
      </c>
      <c r="G52" t="n">
        <v>45138.893651</v>
      </c>
      <c r="H52" t="n">
        <v>168230573.682483</v>
      </c>
      <c r="I52" t="n">
        <v>32064.514055</v>
      </c>
      <c r="J52" t="n">
        <v>32388.465997</v>
      </c>
      <c r="K52" t="n">
        <v>15001.444266</v>
      </c>
      <c r="L52" t="n">
        <v>47447.371867</v>
      </c>
      <c r="M52" t="n">
        <v>47447.371867</v>
      </c>
      <c r="N52" t="n">
        <v>47447.371867</v>
      </c>
      <c r="O52" t="n">
        <v>134.659687</v>
      </c>
      <c r="P52" t="n">
        <v>58.748438</v>
      </c>
      <c r="Q52" t="n">
        <v>47447.371867</v>
      </c>
      <c r="R52" t="n">
        <v>47447.371867</v>
      </c>
      <c r="S52" t="n">
        <v>134.659687</v>
      </c>
      <c r="T52" t="n">
        <v>134.659687</v>
      </c>
      <c r="U52" t="n">
        <v>58.748438</v>
      </c>
      <c r="V52" t="n">
        <v>58.748438</v>
      </c>
      <c r="W52" t="n">
        <v>141.372985</v>
      </c>
      <c r="X52" t="n">
        <v>50905.953173</v>
      </c>
      <c r="Y52" t="n">
        <v>191.020462</v>
      </c>
      <c r="Z52" t="n">
        <v>621.6836510000001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140.953883</v>
      </c>
      <c r="F53" t="n">
        <v>200.641254</v>
      </c>
      <c r="G53" t="n">
        <v>11101.904562</v>
      </c>
      <c r="H53" t="n">
        <v>25660602.941085</v>
      </c>
      <c r="I53" t="n">
        <v>6244.222521</v>
      </c>
      <c r="J53" t="n">
        <v>6325.914048</v>
      </c>
      <c r="K53" t="n">
        <v>1872.204427</v>
      </c>
      <c r="L53" t="n">
        <v>7112.982475</v>
      </c>
      <c r="M53" t="n">
        <v>7112.982475</v>
      </c>
      <c r="N53" t="n">
        <v>7112.982475</v>
      </c>
      <c r="O53" t="n">
        <v>87.969483</v>
      </c>
      <c r="P53" t="n">
        <v>46.580547</v>
      </c>
      <c r="Q53" t="n">
        <v>7112.982475</v>
      </c>
      <c r="R53" t="n">
        <v>7112.982475</v>
      </c>
      <c r="S53" t="n">
        <v>87.969483</v>
      </c>
      <c r="T53" t="n">
        <v>87.969483</v>
      </c>
      <c r="U53" t="n">
        <v>46.580547</v>
      </c>
      <c r="V53" t="n">
        <v>46.580547</v>
      </c>
      <c r="W53" t="n">
        <v>93.060855</v>
      </c>
      <c r="X53" t="n">
        <v>7459.131892</v>
      </c>
      <c r="Y53" t="n">
        <v>100.902165</v>
      </c>
      <c r="Z53" t="n">
        <v>211.14634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140.953883</v>
      </c>
      <c r="F54" t="n">
        <v>420.661524</v>
      </c>
      <c r="G54" t="n">
        <v>45138.893651</v>
      </c>
      <c r="H54" t="n">
        <v>168230573.682483</v>
      </c>
      <c r="I54" t="n">
        <v>32064.514055</v>
      </c>
      <c r="J54" t="n">
        <v>32388.465997</v>
      </c>
      <c r="K54" t="n">
        <v>15001.444266</v>
      </c>
      <c r="L54" t="n">
        <v>47447.371867</v>
      </c>
      <c r="M54" t="n">
        <v>47447.371867</v>
      </c>
      <c r="N54" t="n">
        <v>47447.371867</v>
      </c>
      <c r="O54" t="n">
        <v>134.659687</v>
      </c>
      <c r="P54" t="n">
        <v>58.748438</v>
      </c>
      <c r="Q54" t="n">
        <v>47447.371867</v>
      </c>
      <c r="R54" t="n">
        <v>47447.371867</v>
      </c>
      <c r="S54" t="n">
        <v>134.659687</v>
      </c>
      <c r="T54" t="n">
        <v>134.659687</v>
      </c>
      <c r="U54" t="n">
        <v>58.748438</v>
      </c>
      <c r="V54" t="n">
        <v>58.748438</v>
      </c>
      <c r="W54" t="n">
        <v>141.372985</v>
      </c>
      <c r="X54" t="n">
        <v>50905.953173</v>
      </c>
      <c r="Y54" t="n">
        <v>191.020462</v>
      </c>
      <c r="Z54" t="n">
        <v>621.6836510000001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140.953883</v>
      </c>
      <c r="F55" t="n">
        <v>200.641254</v>
      </c>
      <c r="G55" t="n">
        <v>11101.904562</v>
      </c>
      <c r="H55" t="n">
        <v>25660602.941085</v>
      </c>
      <c r="I55" t="n">
        <v>6244.222521</v>
      </c>
      <c r="J55" t="n">
        <v>6325.914048</v>
      </c>
      <c r="K55" t="n">
        <v>1872.204427</v>
      </c>
      <c r="L55" t="n">
        <v>7112.982475</v>
      </c>
      <c r="M55" t="n">
        <v>7112.982475</v>
      </c>
      <c r="N55" t="n">
        <v>7112.982475</v>
      </c>
      <c r="O55" t="n">
        <v>87.969483</v>
      </c>
      <c r="P55" t="n">
        <v>46.580547</v>
      </c>
      <c r="Q55" t="n">
        <v>7112.982475</v>
      </c>
      <c r="R55" t="n">
        <v>7112.982475</v>
      </c>
      <c r="S55" t="n">
        <v>87.969483</v>
      </c>
      <c r="T55" t="n">
        <v>87.969483</v>
      </c>
      <c r="U55" t="n">
        <v>46.580547</v>
      </c>
      <c r="V55" t="n">
        <v>46.580547</v>
      </c>
      <c r="W55" t="n">
        <v>93.060855</v>
      </c>
      <c r="X55" t="n">
        <v>7459.131892</v>
      </c>
      <c r="Y55" t="n">
        <v>100.902165</v>
      </c>
      <c r="Z55" t="n">
        <v>211.14634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140.953883</v>
      </c>
      <c r="F56" t="n">
        <v>60.479203</v>
      </c>
      <c r="G56" t="n">
        <v>1285.725322</v>
      </c>
      <c r="H56" t="n">
        <v>3025.478454</v>
      </c>
      <c r="I56" t="n">
        <v>395.888053</v>
      </c>
      <c r="J56" t="n">
        <v>395.888053</v>
      </c>
      <c r="K56" t="n">
        <v>376.09365</v>
      </c>
      <c r="L56" t="n">
        <v>393.787233</v>
      </c>
      <c r="M56" t="n">
        <v>393.787233</v>
      </c>
      <c r="N56" t="n">
        <v>393.787233</v>
      </c>
      <c r="O56" t="n">
        <v>20.916473</v>
      </c>
      <c r="P56" t="n">
        <v>13.510088</v>
      </c>
      <c r="Q56" t="n">
        <v>393.787233</v>
      </c>
      <c r="R56" t="n">
        <v>393.787233</v>
      </c>
      <c r="S56" t="n">
        <v>20.916473</v>
      </c>
      <c r="T56" t="n">
        <v>20.916473</v>
      </c>
      <c r="U56" t="n">
        <v>13.510088</v>
      </c>
      <c r="V56" t="n">
        <v>13.510088</v>
      </c>
      <c r="W56" t="n">
        <v>21.939981</v>
      </c>
      <c r="X56" t="n">
        <v>405.784084</v>
      </c>
      <c r="Y56" t="n">
        <v>35.719215</v>
      </c>
      <c r="Z56" t="n">
        <v>45.472786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140.953883</v>
      </c>
      <c r="F57" t="n">
        <v>200.641254</v>
      </c>
      <c r="G57" t="n">
        <v>11101.904562</v>
      </c>
      <c r="H57" t="n">
        <v>25660602.941085</v>
      </c>
      <c r="I57" t="n">
        <v>6244.222521</v>
      </c>
      <c r="J57" t="n">
        <v>6325.914048</v>
      </c>
      <c r="K57" t="n">
        <v>1872.204427</v>
      </c>
      <c r="L57" t="n">
        <v>7112.982475</v>
      </c>
      <c r="M57" t="n">
        <v>7112.982475</v>
      </c>
      <c r="N57" t="n">
        <v>7112.982475</v>
      </c>
      <c r="O57" t="n">
        <v>87.969483</v>
      </c>
      <c r="P57" t="n">
        <v>46.580547</v>
      </c>
      <c r="Q57" t="n">
        <v>7112.982475</v>
      </c>
      <c r="R57" t="n">
        <v>7112.982475</v>
      </c>
      <c r="S57" t="n">
        <v>87.969483</v>
      </c>
      <c r="T57" t="n">
        <v>87.969483</v>
      </c>
      <c r="U57" t="n">
        <v>46.580547</v>
      </c>
      <c r="V57" t="n">
        <v>46.580547</v>
      </c>
      <c r="W57" t="n">
        <v>93.060855</v>
      </c>
      <c r="X57" t="n">
        <v>7459.131892</v>
      </c>
      <c r="Y57" t="n">
        <v>100.902165</v>
      </c>
      <c r="Z57" t="n">
        <v>211.14634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140.953883</v>
      </c>
      <c r="F58" t="n">
        <v>200.641254</v>
      </c>
      <c r="G58" t="n">
        <v>11101.904562</v>
      </c>
      <c r="H58" t="n">
        <v>25660602.941085</v>
      </c>
      <c r="I58" t="n">
        <v>6244.222521</v>
      </c>
      <c r="J58" t="n">
        <v>6325.914048</v>
      </c>
      <c r="K58" t="n">
        <v>1872.204427</v>
      </c>
      <c r="L58" t="n">
        <v>7112.982475</v>
      </c>
      <c r="M58" t="n">
        <v>7112.982475</v>
      </c>
      <c r="N58" t="n">
        <v>7112.982475</v>
      </c>
      <c r="O58" t="n">
        <v>87.969483</v>
      </c>
      <c r="P58" t="n">
        <v>46.580547</v>
      </c>
      <c r="Q58" t="n">
        <v>7112.982475</v>
      </c>
      <c r="R58" t="n">
        <v>7112.982475</v>
      </c>
      <c r="S58" t="n">
        <v>87.969483</v>
      </c>
      <c r="T58" t="n">
        <v>87.969483</v>
      </c>
      <c r="U58" t="n">
        <v>46.580547</v>
      </c>
      <c r="V58" t="n">
        <v>46.580547</v>
      </c>
      <c r="W58" t="n">
        <v>93.060855</v>
      </c>
      <c r="X58" t="n">
        <v>7459.131892</v>
      </c>
      <c r="Y58" t="n">
        <v>100.902165</v>
      </c>
      <c r="Z58" t="n">
        <v>211.14634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140.953883</v>
      </c>
      <c r="F59" t="n">
        <v>200.641254</v>
      </c>
      <c r="G59" t="n">
        <v>11101.904562</v>
      </c>
      <c r="H59" t="n">
        <v>25660602.941085</v>
      </c>
      <c r="I59" t="n">
        <v>6244.222521</v>
      </c>
      <c r="J59" t="n">
        <v>6325.914048</v>
      </c>
      <c r="K59" t="n">
        <v>1872.204427</v>
      </c>
      <c r="L59" t="n">
        <v>7112.982475</v>
      </c>
      <c r="M59" t="n">
        <v>7112.982475</v>
      </c>
      <c r="N59" t="n">
        <v>7112.982475</v>
      </c>
      <c r="O59" t="n">
        <v>87.969483</v>
      </c>
      <c r="P59" t="n">
        <v>46.580547</v>
      </c>
      <c r="Q59" t="n">
        <v>7112.982475</v>
      </c>
      <c r="R59" t="n">
        <v>7112.982475</v>
      </c>
      <c r="S59" t="n">
        <v>87.969483</v>
      </c>
      <c r="T59" t="n">
        <v>87.969483</v>
      </c>
      <c r="U59" t="n">
        <v>46.580547</v>
      </c>
      <c r="V59" t="n">
        <v>46.580547</v>
      </c>
      <c r="W59" t="n">
        <v>93.060855</v>
      </c>
      <c r="X59" t="n">
        <v>7459.131892</v>
      </c>
      <c r="Y59" t="n">
        <v>100.902165</v>
      </c>
      <c r="Z59" t="n">
        <v>211.14634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140.953883</v>
      </c>
      <c r="F60" t="n">
        <v>539.046528</v>
      </c>
      <c r="G60" t="n">
        <v>58487.681751</v>
      </c>
      <c r="H60" t="n">
        <v>89769700.66949099</v>
      </c>
      <c r="I60" t="n">
        <v>10399.759602</v>
      </c>
      <c r="J60" t="n">
        <v>10694.630086</v>
      </c>
      <c r="K60" t="n">
        <v>4010.486282</v>
      </c>
      <c r="L60" t="n">
        <v>14214.100911</v>
      </c>
      <c r="M60" t="n">
        <v>14214.100911</v>
      </c>
      <c r="N60" t="n">
        <v>14214.100911</v>
      </c>
      <c r="O60" t="n">
        <v>203.72024</v>
      </c>
      <c r="P60" t="n">
        <v>90.708206</v>
      </c>
      <c r="Q60" t="n">
        <v>14214.100911</v>
      </c>
      <c r="R60" t="n">
        <v>14214.100911</v>
      </c>
      <c r="S60" t="n">
        <v>203.72024</v>
      </c>
      <c r="T60" t="n">
        <v>203.72024</v>
      </c>
      <c r="U60" t="n">
        <v>90.708206</v>
      </c>
      <c r="V60" t="n">
        <v>90.708206</v>
      </c>
      <c r="W60" t="n">
        <v>213.076898</v>
      </c>
      <c r="X60" t="n">
        <v>15231.972848</v>
      </c>
      <c r="Y60" t="n">
        <v>240.418747</v>
      </c>
      <c r="Z60" t="n">
        <v>654.813563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140.953883</v>
      </c>
      <c r="F61" t="n">
        <v>228.824285</v>
      </c>
      <c r="G61" t="n">
        <v>13739.954406</v>
      </c>
      <c r="H61" t="n">
        <v>114798702.260359</v>
      </c>
      <c r="I61" t="n">
        <v>6590.793316</v>
      </c>
      <c r="J61" t="n">
        <v>7071.146917</v>
      </c>
      <c r="K61" t="n">
        <v>2576.928919</v>
      </c>
      <c r="L61" t="n">
        <v>10677.999207</v>
      </c>
      <c r="M61" t="n">
        <v>10677.999207</v>
      </c>
      <c r="N61" t="n">
        <v>10677.999207</v>
      </c>
      <c r="O61" t="n">
        <v>85.006417</v>
      </c>
      <c r="P61" t="n">
        <v>38.52237</v>
      </c>
      <c r="Q61" t="n">
        <v>10677.999207</v>
      </c>
      <c r="R61" t="n">
        <v>10677.999207</v>
      </c>
      <c r="S61" t="n">
        <v>85.006417</v>
      </c>
      <c r="T61" t="n">
        <v>85.006417</v>
      </c>
      <c r="U61" t="n">
        <v>38.52237</v>
      </c>
      <c r="V61" t="n">
        <v>38.52237</v>
      </c>
      <c r="W61" t="n">
        <v>88.306245</v>
      </c>
      <c r="X61" t="n">
        <v>11509.306401</v>
      </c>
      <c r="Y61" t="n">
        <v>113.373643</v>
      </c>
      <c r="Z61" t="n">
        <v>399.574722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140.953883</v>
      </c>
      <c r="F62" t="n">
        <v>200.641254</v>
      </c>
      <c r="G62" t="n">
        <v>11101.904562</v>
      </c>
      <c r="H62" t="n">
        <v>25660602.941085</v>
      </c>
      <c r="I62" t="n">
        <v>6244.222521</v>
      </c>
      <c r="J62" t="n">
        <v>6325.914048</v>
      </c>
      <c r="K62" t="n">
        <v>1872.204427</v>
      </c>
      <c r="L62" t="n">
        <v>7112.982475</v>
      </c>
      <c r="M62" t="n">
        <v>7112.982475</v>
      </c>
      <c r="N62" t="n">
        <v>7112.982475</v>
      </c>
      <c r="O62" t="n">
        <v>87.969483</v>
      </c>
      <c r="P62" t="n">
        <v>46.580547</v>
      </c>
      <c r="Q62" t="n">
        <v>7112.982475</v>
      </c>
      <c r="R62" t="n">
        <v>7112.982475</v>
      </c>
      <c r="S62" t="n">
        <v>87.969483</v>
      </c>
      <c r="T62" t="n">
        <v>87.969483</v>
      </c>
      <c r="U62" t="n">
        <v>46.580547</v>
      </c>
      <c r="V62" t="n">
        <v>46.580547</v>
      </c>
      <c r="W62" t="n">
        <v>93.060855</v>
      </c>
      <c r="X62" t="n">
        <v>7459.131892</v>
      </c>
      <c r="Y62" t="n">
        <v>100.902165</v>
      </c>
      <c r="Z62" t="n">
        <v>211.14634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140.953883</v>
      </c>
      <c r="F63" t="n">
        <v>200.641254</v>
      </c>
      <c r="G63" t="n">
        <v>11101.904562</v>
      </c>
      <c r="H63" t="n">
        <v>25660602.941085</v>
      </c>
      <c r="I63" t="n">
        <v>6244.222521</v>
      </c>
      <c r="J63" t="n">
        <v>6325.914048</v>
      </c>
      <c r="K63" t="n">
        <v>1872.204427</v>
      </c>
      <c r="L63" t="n">
        <v>7112.982475</v>
      </c>
      <c r="M63" t="n">
        <v>7112.982475</v>
      </c>
      <c r="N63" t="n">
        <v>7112.982475</v>
      </c>
      <c r="O63" t="n">
        <v>87.969483</v>
      </c>
      <c r="P63" t="n">
        <v>46.580547</v>
      </c>
      <c r="Q63" t="n">
        <v>7112.982475</v>
      </c>
      <c r="R63" t="n">
        <v>7112.982475</v>
      </c>
      <c r="S63" t="n">
        <v>87.969483</v>
      </c>
      <c r="T63" t="n">
        <v>87.969483</v>
      </c>
      <c r="U63" t="n">
        <v>46.580547</v>
      </c>
      <c r="V63" t="n">
        <v>46.580547</v>
      </c>
      <c r="W63" t="n">
        <v>93.060855</v>
      </c>
      <c r="X63" t="n">
        <v>7459.131892</v>
      </c>
      <c r="Y63" t="n">
        <v>100.902165</v>
      </c>
      <c r="Z63" t="n">
        <v>211.14634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140.953883</v>
      </c>
      <c r="F64" t="n">
        <v>20.606299</v>
      </c>
      <c r="G64" t="n">
        <v>196.386285</v>
      </c>
      <c r="H64" t="n">
        <v>1009.116172</v>
      </c>
      <c r="I64" t="n">
        <v>131.71072</v>
      </c>
      <c r="J64" t="n">
        <v>131.71072</v>
      </c>
      <c r="K64" t="n">
        <v>125.125184</v>
      </c>
      <c r="L64" t="n">
        <v>130.894857</v>
      </c>
      <c r="M64" t="n">
        <v>130.894857</v>
      </c>
      <c r="N64" t="n">
        <v>130.894857</v>
      </c>
      <c r="O64" t="n">
        <v>12.255972</v>
      </c>
      <c r="P64" t="n">
        <v>8.448598</v>
      </c>
      <c r="Q64" t="n">
        <v>130.894857</v>
      </c>
      <c r="R64" t="n">
        <v>130.894857</v>
      </c>
      <c r="S64" t="n">
        <v>12.255972</v>
      </c>
      <c r="T64" t="n">
        <v>12.255972</v>
      </c>
      <c r="U64" t="n">
        <v>8.448598</v>
      </c>
      <c r="V64" t="n">
        <v>8.448598</v>
      </c>
      <c r="W64" t="n">
        <v>12.680707</v>
      </c>
      <c r="X64" t="n">
        <v>136.520004</v>
      </c>
      <c r="Y64" t="n">
        <v>13.974049</v>
      </c>
      <c r="Z64" t="n">
        <v>22.490141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140.953883</v>
      </c>
      <c r="F65" t="n">
        <v>60.479203</v>
      </c>
      <c r="G65" t="n">
        <v>1285.725322</v>
      </c>
      <c r="H65" t="n">
        <v>3025.478454</v>
      </c>
      <c r="I65" t="n">
        <v>395.888053</v>
      </c>
      <c r="J65" t="n">
        <v>395.888053</v>
      </c>
      <c r="K65" t="n">
        <v>376.09365</v>
      </c>
      <c r="L65" t="n">
        <v>393.787233</v>
      </c>
      <c r="M65" t="n">
        <v>393.787233</v>
      </c>
      <c r="N65" t="n">
        <v>393.787233</v>
      </c>
      <c r="O65" t="n">
        <v>20.916473</v>
      </c>
      <c r="P65" t="n">
        <v>13.510088</v>
      </c>
      <c r="Q65" t="n">
        <v>393.787233</v>
      </c>
      <c r="R65" t="n">
        <v>393.787233</v>
      </c>
      <c r="S65" t="n">
        <v>20.916473</v>
      </c>
      <c r="T65" t="n">
        <v>20.916473</v>
      </c>
      <c r="U65" t="n">
        <v>13.510088</v>
      </c>
      <c r="V65" t="n">
        <v>13.510088</v>
      </c>
      <c r="W65" t="n">
        <v>21.939981</v>
      </c>
      <c r="X65" t="n">
        <v>405.784084</v>
      </c>
      <c r="Y65" t="n">
        <v>35.719215</v>
      </c>
      <c r="Z65" t="n">
        <v>45.472786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140.953883</v>
      </c>
      <c r="F66" t="n">
        <v>228.824285</v>
      </c>
      <c r="G66" t="n">
        <v>13739.954406</v>
      </c>
      <c r="H66" t="n">
        <v>114798702.260359</v>
      </c>
      <c r="I66" t="n">
        <v>6590.793316</v>
      </c>
      <c r="J66" t="n">
        <v>7071.146917</v>
      </c>
      <c r="K66" t="n">
        <v>2576.928919</v>
      </c>
      <c r="L66" t="n">
        <v>10677.999207</v>
      </c>
      <c r="M66" t="n">
        <v>10677.999207</v>
      </c>
      <c r="N66" t="n">
        <v>10677.999207</v>
      </c>
      <c r="O66" t="n">
        <v>85.006417</v>
      </c>
      <c r="P66" t="n">
        <v>38.52237</v>
      </c>
      <c r="Q66" t="n">
        <v>10677.999207</v>
      </c>
      <c r="R66" t="n">
        <v>10677.999207</v>
      </c>
      <c r="S66" t="n">
        <v>85.006417</v>
      </c>
      <c r="T66" t="n">
        <v>85.006417</v>
      </c>
      <c r="U66" t="n">
        <v>38.52237</v>
      </c>
      <c r="V66" t="n">
        <v>38.52237</v>
      </c>
      <c r="W66" t="n">
        <v>88.306245</v>
      </c>
      <c r="X66" t="n">
        <v>11509.306401</v>
      </c>
      <c r="Y66" t="n">
        <v>113.373643</v>
      </c>
      <c r="Z66" t="n">
        <v>399.574722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140.953883</v>
      </c>
      <c r="F67" t="n">
        <v>200.641254</v>
      </c>
      <c r="G67" t="n">
        <v>11101.904562</v>
      </c>
      <c r="H67" t="n">
        <v>25660602.941085</v>
      </c>
      <c r="I67" t="n">
        <v>6244.222521</v>
      </c>
      <c r="J67" t="n">
        <v>6325.914048</v>
      </c>
      <c r="K67" t="n">
        <v>1872.204427</v>
      </c>
      <c r="L67" t="n">
        <v>7112.982475</v>
      </c>
      <c r="M67" t="n">
        <v>7112.982475</v>
      </c>
      <c r="N67" t="n">
        <v>7112.982475</v>
      </c>
      <c r="O67" t="n">
        <v>87.969483</v>
      </c>
      <c r="P67" t="n">
        <v>46.580547</v>
      </c>
      <c r="Q67" t="n">
        <v>7112.982475</v>
      </c>
      <c r="R67" t="n">
        <v>7112.982475</v>
      </c>
      <c r="S67" t="n">
        <v>87.969483</v>
      </c>
      <c r="T67" t="n">
        <v>87.969483</v>
      </c>
      <c r="U67" t="n">
        <v>46.580547</v>
      </c>
      <c r="V67" t="n">
        <v>46.580547</v>
      </c>
      <c r="W67" t="n">
        <v>93.060855</v>
      </c>
      <c r="X67" t="n">
        <v>7459.131892</v>
      </c>
      <c r="Y67" t="n">
        <v>100.902165</v>
      </c>
      <c r="Z67" t="n">
        <v>211.14634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140.953883</v>
      </c>
      <c r="F68" t="n">
        <v>200.641254</v>
      </c>
      <c r="G68" t="n">
        <v>11101.904562</v>
      </c>
      <c r="H68" t="n">
        <v>25660602.941085</v>
      </c>
      <c r="I68" t="n">
        <v>6244.222521</v>
      </c>
      <c r="J68" t="n">
        <v>6325.914048</v>
      </c>
      <c r="K68" t="n">
        <v>1872.204427</v>
      </c>
      <c r="L68" t="n">
        <v>7112.982475</v>
      </c>
      <c r="M68" t="n">
        <v>7112.982475</v>
      </c>
      <c r="N68" t="n">
        <v>7112.982475</v>
      </c>
      <c r="O68" t="n">
        <v>87.969483</v>
      </c>
      <c r="P68" t="n">
        <v>46.580547</v>
      </c>
      <c r="Q68" t="n">
        <v>7112.982475</v>
      </c>
      <c r="R68" t="n">
        <v>7112.982475</v>
      </c>
      <c r="S68" t="n">
        <v>87.969483</v>
      </c>
      <c r="T68" t="n">
        <v>87.969483</v>
      </c>
      <c r="U68" t="n">
        <v>46.580547</v>
      </c>
      <c r="V68" t="n">
        <v>46.580547</v>
      </c>
      <c r="W68" t="n">
        <v>93.060855</v>
      </c>
      <c r="X68" t="n">
        <v>7459.131892</v>
      </c>
      <c r="Y68" t="n">
        <v>100.902165</v>
      </c>
      <c r="Z68" t="n">
        <v>211.14634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140.953883</v>
      </c>
      <c r="F69" t="n">
        <v>60.479203</v>
      </c>
      <c r="G69" t="n">
        <v>1285.725322</v>
      </c>
      <c r="H69" t="n">
        <v>3025.478454</v>
      </c>
      <c r="I69" t="n">
        <v>395.888053</v>
      </c>
      <c r="J69" t="n">
        <v>395.888053</v>
      </c>
      <c r="K69" t="n">
        <v>376.09365</v>
      </c>
      <c r="L69" t="n">
        <v>393.787233</v>
      </c>
      <c r="M69" t="n">
        <v>393.787233</v>
      </c>
      <c r="N69" t="n">
        <v>393.787233</v>
      </c>
      <c r="O69" t="n">
        <v>20.916473</v>
      </c>
      <c r="P69" t="n">
        <v>13.510088</v>
      </c>
      <c r="Q69" t="n">
        <v>393.787233</v>
      </c>
      <c r="R69" t="n">
        <v>393.787233</v>
      </c>
      <c r="S69" t="n">
        <v>20.916473</v>
      </c>
      <c r="T69" t="n">
        <v>20.916473</v>
      </c>
      <c r="U69" t="n">
        <v>13.510088</v>
      </c>
      <c r="V69" t="n">
        <v>13.510088</v>
      </c>
      <c r="W69" t="n">
        <v>21.939981</v>
      </c>
      <c r="X69" t="n">
        <v>405.784084</v>
      </c>
      <c r="Y69" t="n">
        <v>35.719215</v>
      </c>
      <c r="Z69" t="n">
        <v>45.472786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140.953883</v>
      </c>
      <c r="F70" t="n">
        <v>200.641254</v>
      </c>
      <c r="G70" t="n">
        <v>11101.904562</v>
      </c>
      <c r="H70" t="n">
        <v>25660602.941085</v>
      </c>
      <c r="I70" t="n">
        <v>6244.222521</v>
      </c>
      <c r="J70" t="n">
        <v>6325.914048</v>
      </c>
      <c r="K70" t="n">
        <v>1872.204427</v>
      </c>
      <c r="L70" t="n">
        <v>7112.982475</v>
      </c>
      <c r="M70" t="n">
        <v>7112.982475</v>
      </c>
      <c r="N70" t="n">
        <v>7112.982475</v>
      </c>
      <c r="O70" t="n">
        <v>87.969483</v>
      </c>
      <c r="P70" t="n">
        <v>46.580547</v>
      </c>
      <c r="Q70" t="n">
        <v>7112.982475</v>
      </c>
      <c r="R70" t="n">
        <v>7112.982475</v>
      </c>
      <c r="S70" t="n">
        <v>87.969483</v>
      </c>
      <c r="T70" t="n">
        <v>87.969483</v>
      </c>
      <c r="U70" t="n">
        <v>46.580547</v>
      </c>
      <c r="V70" t="n">
        <v>46.580547</v>
      </c>
      <c r="W70" t="n">
        <v>93.060855</v>
      </c>
      <c r="X70" t="n">
        <v>7459.131892</v>
      </c>
      <c r="Y70" t="n">
        <v>100.902165</v>
      </c>
      <c r="Z70" t="n">
        <v>211.14634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140.953883</v>
      </c>
      <c r="F71" t="n">
        <v>200.641254</v>
      </c>
      <c r="G71" t="n">
        <v>11101.904562</v>
      </c>
      <c r="H71" t="n">
        <v>25660602.941085</v>
      </c>
      <c r="I71" t="n">
        <v>6244.222521</v>
      </c>
      <c r="J71" t="n">
        <v>6325.914048</v>
      </c>
      <c r="K71" t="n">
        <v>1872.204427</v>
      </c>
      <c r="L71" t="n">
        <v>7112.982475</v>
      </c>
      <c r="M71" t="n">
        <v>7112.982475</v>
      </c>
      <c r="N71" t="n">
        <v>7112.982475</v>
      </c>
      <c r="O71" t="n">
        <v>87.969483</v>
      </c>
      <c r="P71" t="n">
        <v>46.580547</v>
      </c>
      <c r="Q71" t="n">
        <v>7112.982475</v>
      </c>
      <c r="R71" t="n">
        <v>7112.982475</v>
      </c>
      <c r="S71" t="n">
        <v>87.969483</v>
      </c>
      <c r="T71" t="n">
        <v>87.969483</v>
      </c>
      <c r="U71" t="n">
        <v>46.580547</v>
      </c>
      <c r="V71" t="n">
        <v>46.580547</v>
      </c>
      <c r="W71" t="n">
        <v>93.060855</v>
      </c>
      <c r="X71" t="n">
        <v>7459.131892</v>
      </c>
      <c r="Y71" t="n">
        <v>100.902165</v>
      </c>
      <c r="Z71" t="n">
        <v>211.14634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140.953883</v>
      </c>
      <c r="F72" t="n">
        <v>228.824285</v>
      </c>
      <c r="G72" t="n">
        <v>13739.954406</v>
      </c>
      <c r="H72" t="n">
        <v>114798702.260359</v>
      </c>
      <c r="I72" t="n">
        <v>6590.793316</v>
      </c>
      <c r="J72" t="n">
        <v>7071.146917</v>
      </c>
      <c r="K72" t="n">
        <v>2576.928919</v>
      </c>
      <c r="L72" t="n">
        <v>10677.999207</v>
      </c>
      <c r="M72" t="n">
        <v>10677.999207</v>
      </c>
      <c r="N72" t="n">
        <v>10677.999207</v>
      </c>
      <c r="O72" t="n">
        <v>85.006417</v>
      </c>
      <c r="P72" t="n">
        <v>38.52237</v>
      </c>
      <c r="Q72" t="n">
        <v>10677.999207</v>
      </c>
      <c r="R72" t="n">
        <v>10677.999207</v>
      </c>
      <c r="S72" t="n">
        <v>85.006417</v>
      </c>
      <c r="T72" t="n">
        <v>85.006417</v>
      </c>
      <c r="U72" t="n">
        <v>38.52237</v>
      </c>
      <c r="V72" t="n">
        <v>38.52237</v>
      </c>
      <c r="W72" t="n">
        <v>88.306245</v>
      </c>
      <c r="X72" t="n">
        <v>11509.306401</v>
      </c>
      <c r="Y72" t="n">
        <v>113.373643</v>
      </c>
      <c r="Z72" t="n">
        <v>399.574722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140.953883</v>
      </c>
      <c r="F73" t="n">
        <v>283.896083</v>
      </c>
      <c r="G73" t="n">
        <v>19102.99048</v>
      </c>
      <c r="H73" t="n">
        <v>21093286.411087</v>
      </c>
      <c r="I73" t="n">
        <v>10688.374283</v>
      </c>
      <c r="J73" t="n">
        <v>10967.724493</v>
      </c>
      <c r="K73" t="n">
        <v>3597.413634</v>
      </c>
      <c r="L73" t="n">
        <v>16970.336092</v>
      </c>
      <c r="M73" t="n">
        <v>16970.336092</v>
      </c>
      <c r="N73" t="n">
        <v>16970.336092</v>
      </c>
      <c r="O73" t="n">
        <v>214.616191</v>
      </c>
      <c r="P73" t="n">
        <v>96.945487</v>
      </c>
      <c r="Q73" t="n">
        <v>16970.336092</v>
      </c>
      <c r="R73" t="n">
        <v>16970.336092</v>
      </c>
      <c r="S73" t="n">
        <v>214.616191</v>
      </c>
      <c r="T73" t="n">
        <v>214.616191</v>
      </c>
      <c r="U73" t="n">
        <v>96.945487</v>
      </c>
      <c r="V73" t="n">
        <v>96.945487</v>
      </c>
      <c r="W73" t="n">
        <v>226.201493</v>
      </c>
      <c r="X73" t="n">
        <v>17690.628268</v>
      </c>
      <c r="Y73" t="n">
        <v>137.482738</v>
      </c>
      <c r="Z73" t="n">
        <v>446.984531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140.953883</v>
      </c>
      <c r="F74" t="n">
        <v>158.552335</v>
      </c>
      <c r="G74" t="n">
        <v>6912.013677</v>
      </c>
      <c r="H74" t="n">
        <v>2905118.284102</v>
      </c>
      <c r="I74" t="n">
        <v>3502.459341</v>
      </c>
      <c r="J74" t="n">
        <v>3796.144916</v>
      </c>
      <c r="K74" t="n">
        <v>1780.391965</v>
      </c>
      <c r="L74" t="n">
        <v>4710.704014</v>
      </c>
      <c r="M74" t="n">
        <v>4710.704014</v>
      </c>
      <c r="N74" t="n">
        <v>4710.704014</v>
      </c>
      <c r="O74" t="n">
        <v>105.183965</v>
      </c>
      <c r="P74" t="n">
        <v>52.828865</v>
      </c>
      <c r="Q74" t="n">
        <v>4710.704014</v>
      </c>
      <c r="R74" t="n">
        <v>4710.704014</v>
      </c>
      <c r="S74" t="n">
        <v>105.183965</v>
      </c>
      <c r="T74" t="n">
        <v>105.183965</v>
      </c>
      <c r="U74" t="n">
        <v>52.828865</v>
      </c>
      <c r="V74" t="n">
        <v>52.828865</v>
      </c>
      <c r="W74" t="n">
        <v>109.611209</v>
      </c>
      <c r="X74" t="n">
        <v>5115.038689</v>
      </c>
      <c r="Y74" t="n">
        <v>82.74413800000001</v>
      </c>
      <c r="Z74" t="n">
        <v>193.416145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140.953883</v>
      </c>
      <c r="F75" t="n">
        <v>57.638856</v>
      </c>
      <c r="G75" t="n">
        <v>1182.200226</v>
      </c>
      <c r="H75" t="n">
        <v>56775.373409</v>
      </c>
      <c r="I75" t="n">
        <v>512.103289</v>
      </c>
      <c r="J75" t="n">
        <v>553.467817</v>
      </c>
      <c r="K75" t="n">
        <v>525.794426</v>
      </c>
      <c r="L75" t="n">
        <v>602.712303</v>
      </c>
      <c r="M75" t="n">
        <v>602.712303</v>
      </c>
      <c r="N75" t="n">
        <v>602.712303</v>
      </c>
      <c r="O75" t="n">
        <v>31.190871</v>
      </c>
      <c r="P75" t="n">
        <v>18.283791</v>
      </c>
      <c r="Q75" t="n">
        <v>602.712303</v>
      </c>
      <c r="R75" t="n">
        <v>602.712303</v>
      </c>
      <c r="S75" t="n">
        <v>31.190871</v>
      </c>
      <c r="T75" t="n">
        <v>31.190871</v>
      </c>
      <c r="U75" t="n">
        <v>18.283791</v>
      </c>
      <c r="V75" t="n">
        <v>18.283791</v>
      </c>
      <c r="W75" t="n">
        <v>32.089433</v>
      </c>
      <c r="X75" t="n">
        <v>622.065443</v>
      </c>
      <c r="Y75" t="n">
        <v>34.252552</v>
      </c>
      <c r="Z75" t="n">
        <v>73.57281500000001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140.953883</v>
      </c>
      <c r="F76" t="n">
        <v>57.638856</v>
      </c>
      <c r="G76" t="n">
        <v>1182.200226</v>
      </c>
      <c r="H76" t="n">
        <v>56775.373409</v>
      </c>
      <c r="I76" t="n">
        <v>512.103289</v>
      </c>
      <c r="J76" t="n">
        <v>553.467817</v>
      </c>
      <c r="K76" t="n">
        <v>525.794426</v>
      </c>
      <c r="L76" t="n">
        <v>602.712303</v>
      </c>
      <c r="M76" t="n">
        <v>602.712303</v>
      </c>
      <c r="N76" t="n">
        <v>602.712303</v>
      </c>
      <c r="O76" t="n">
        <v>31.190871</v>
      </c>
      <c r="P76" t="n">
        <v>18.283791</v>
      </c>
      <c r="Q76" t="n">
        <v>602.712303</v>
      </c>
      <c r="R76" t="n">
        <v>602.712303</v>
      </c>
      <c r="S76" t="n">
        <v>31.190871</v>
      </c>
      <c r="T76" t="n">
        <v>31.190871</v>
      </c>
      <c r="U76" t="n">
        <v>18.283791</v>
      </c>
      <c r="V76" t="n">
        <v>18.283791</v>
      </c>
      <c r="W76" t="n">
        <v>32.089433</v>
      </c>
      <c r="X76" t="n">
        <v>622.065443</v>
      </c>
      <c r="Y76" t="n">
        <v>34.252552</v>
      </c>
      <c r="Z76" t="n">
        <v>73.57281500000001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140.953883</v>
      </c>
      <c r="F77" t="n">
        <v>170.518341</v>
      </c>
      <c r="G77" t="n">
        <v>7847.80585</v>
      </c>
      <c r="H77" t="n">
        <v>421935.650343</v>
      </c>
      <c r="I77" t="n">
        <v>1050.872908</v>
      </c>
      <c r="J77" t="n">
        <v>1075.829695</v>
      </c>
      <c r="K77" t="n">
        <v>537.914847</v>
      </c>
      <c r="L77" t="n">
        <v>1659.687874</v>
      </c>
      <c r="M77" t="n">
        <v>1659.687874</v>
      </c>
      <c r="N77" t="n">
        <v>1659.687874</v>
      </c>
      <c r="O77" t="n">
        <v>31.362197</v>
      </c>
      <c r="P77" t="n">
        <v>16.184075</v>
      </c>
      <c r="Q77" t="n">
        <v>1659.687874</v>
      </c>
      <c r="R77" t="n">
        <v>1659.687874</v>
      </c>
      <c r="S77" t="n">
        <v>31.362197</v>
      </c>
      <c r="T77" t="n">
        <v>31.362197</v>
      </c>
      <c r="U77" t="n">
        <v>16.184075</v>
      </c>
      <c r="V77" t="n">
        <v>16.184075</v>
      </c>
      <c r="W77" t="n">
        <v>32.286772</v>
      </c>
      <c r="X77" t="n">
        <v>1775.112325</v>
      </c>
      <c r="Y77" t="n">
        <v>88.16158900000001</v>
      </c>
      <c r="Z77" t="n">
        <v>173.868813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140.953883</v>
      </c>
      <c r="F78" t="n">
        <v>57.638856</v>
      </c>
      <c r="G78" t="n">
        <v>1182.200226</v>
      </c>
      <c r="H78" t="n">
        <v>56775.373409</v>
      </c>
      <c r="I78" t="n">
        <v>512.103289</v>
      </c>
      <c r="J78" t="n">
        <v>553.467817</v>
      </c>
      <c r="K78" t="n">
        <v>525.794426</v>
      </c>
      <c r="L78" t="n">
        <v>602.712303</v>
      </c>
      <c r="M78" t="n">
        <v>602.712303</v>
      </c>
      <c r="N78" t="n">
        <v>602.712303</v>
      </c>
      <c r="O78" t="n">
        <v>31.190871</v>
      </c>
      <c r="P78" t="n">
        <v>18.283791</v>
      </c>
      <c r="Q78" t="n">
        <v>602.712303</v>
      </c>
      <c r="R78" t="n">
        <v>602.712303</v>
      </c>
      <c r="S78" t="n">
        <v>31.190871</v>
      </c>
      <c r="T78" t="n">
        <v>31.190871</v>
      </c>
      <c r="U78" t="n">
        <v>18.283791</v>
      </c>
      <c r="V78" t="n">
        <v>18.283791</v>
      </c>
      <c r="W78" t="n">
        <v>32.089433</v>
      </c>
      <c r="X78" t="n">
        <v>622.065443</v>
      </c>
      <c r="Y78" t="n">
        <v>34.252552</v>
      </c>
      <c r="Z78" t="n">
        <v>73.57281500000001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140.953883</v>
      </c>
      <c r="F79" t="n">
        <v>170.518341</v>
      </c>
      <c r="G79" t="n">
        <v>7847.80585</v>
      </c>
      <c r="H79" t="n">
        <v>421935.650343</v>
      </c>
      <c r="I79" t="n">
        <v>1050.872908</v>
      </c>
      <c r="J79" t="n">
        <v>1075.829695</v>
      </c>
      <c r="K79" t="n">
        <v>537.914847</v>
      </c>
      <c r="L79" t="n">
        <v>1659.687874</v>
      </c>
      <c r="M79" t="n">
        <v>1659.687874</v>
      </c>
      <c r="N79" t="n">
        <v>1659.687874</v>
      </c>
      <c r="O79" t="n">
        <v>31.362197</v>
      </c>
      <c r="P79" t="n">
        <v>16.184075</v>
      </c>
      <c r="Q79" t="n">
        <v>1659.687874</v>
      </c>
      <c r="R79" t="n">
        <v>1659.687874</v>
      </c>
      <c r="S79" t="n">
        <v>31.362197</v>
      </c>
      <c r="T79" t="n">
        <v>31.362197</v>
      </c>
      <c r="U79" t="n">
        <v>16.184075</v>
      </c>
      <c r="V79" t="n">
        <v>16.184075</v>
      </c>
      <c r="W79" t="n">
        <v>32.286772</v>
      </c>
      <c r="X79" t="n">
        <v>1775.112325</v>
      </c>
      <c r="Y79" t="n">
        <v>88.16158900000001</v>
      </c>
      <c r="Z79" t="n">
        <v>173.868813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140.953883</v>
      </c>
      <c r="F80" t="n">
        <v>308.68601</v>
      </c>
      <c r="G80" t="n">
        <v>22108.042525</v>
      </c>
      <c r="H80" t="n">
        <v>195781560.03917</v>
      </c>
      <c r="I80" t="n">
        <v>10706.101486</v>
      </c>
      <c r="J80" t="n">
        <v>10781.622707</v>
      </c>
      <c r="K80" t="n">
        <v>3924.510665</v>
      </c>
      <c r="L80" t="n">
        <v>18846.946222</v>
      </c>
      <c r="M80" t="n">
        <v>18846.946222</v>
      </c>
      <c r="N80" t="n">
        <v>18846.946222</v>
      </c>
      <c r="O80" t="n">
        <v>119.185901</v>
      </c>
      <c r="P80" t="n">
        <v>52.155741</v>
      </c>
      <c r="Q80" t="n">
        <v>18846.946222</v>
      </c>
      <c r="R80" t="n">
        <v>18846.946222</v>
      </c>
      <c r="S80" t="n">
        <v>119.185901</v>
      </c>
      <c r="T80" t="n">
        <v>119.185901</v>
      </c>
      <c r="U80" t="n">
        <v>52.155741</v>
      </c>
      <c r="V80" t="n">
        <v>52.155741</v>
      </c>
      <c r="W80" t="n">
        <v>124.506314</v>
      </c>
      <c r="X80" t="n">
        <v>20404.471037</v>
      </c>
      <c r="Y80" t="n">
        <v>147.889899</v>
      </c>
      <c r="Z80" t="n">
        <v>588.19732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140.953883</v>
      </c>
      <c r="F81" t="n">
        <v>200.641254</v>
      </c>
      <c r="G81" t="n">
        <v>11101.904562</v>
      </c>
      <c r="H81" t="n">
        <v>25660602.941085</v>
      </c>
      <c r="I81" t="n">
        <v>6244.222521</v>
      </c>
      <c r="J81" t="n">
        <v>6325.914048</v>
      </c>
      <c r="K81" t="n">
        <v>1872.204427</v>
      </c>
      <c r="L81" t="n">
        <v>7112.982475</v>
      </c>
      <c r="M81" t="n">
        <v>7112.982475</v>
      </c>
      <c r="N81" t="n">
        <v>7112.982475</v>
      </c>
      <c r="O81" t="n">
        <v>87.969483</v>
      </c>
      <c r="P81" t="n">
        <v>46.580547</v>
      </c>
      <c r="Q81" t="n">
        <v>7112.982475</v>
      </c>
      <c r="R81" t="n">
        <v>7112.982475</v>
      </c>
      <c r="S81" t="n">
        <v>87.969483</v>
      </c>
      <c r="T81" t="n">
        <v>87.969483</v>
      </c>
      <c r="U81" t="n">
        <v>46.580547</v>
      </c>
      <c r="V81" t="n">
        <v>46.580547</v>
      </c>
      <c r="W81" t="n">
        <v>93.060855</v>
      </c>
      <c r="X81" t="n">
        <v>7459.131892</v>
      </c>
      <c r="Y81" t="n">
        <v>100.902165</v>
      </c>
      <c r="Z81" t="n">
        <v>211.14634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140.953883</v>
      </c>
      <c r="F82" t="n">
        <v>200.641254</v>
      </c>
      <c r="G82" t="n">
        <v>11101.904562</v>
      </c>
      <c r="H82" t="n">
        <v>25660602.941085</v>
      </c>
      <c r="I82" t="n">
        <v>6244.222521</v>
      </c>
      <c r="J82" t="n">
        <v>6325.914048</v>
      </c>
      <c r="K82" t="n">
        <v>1872.204427</v>
      </c>
      <c r="L82" t="n">
        <v>7112.982475</v>
      </c>
      <c r="M82" t="n">
        <v>7112.982475</v>
      </c>
      <c r="N82" t="n">
        <v>7112.982475</v>
      </c>
      <c r="O82" t="n">
        <v>87.969483</v>
      </c>
      <c r="P82" t="n">
        <v>46.580547</v>
      </c>
      <c r="Q82" t="n">
        <v>7112.982475</v>
      </c>
      <c r="R82" t="n">
        <v>7112.982475</v>
      </c>
      <c r="S82" t="n">
        <v>87.969483</v>
      </c>
      <c r="T82" t="n">
        <v>87.969483</v>
      </c>
      <c r="U82" t="n">
        <v>46.580547</v>
      </c>
      <c r="V82" t="n">
        <v>46.580547</v>
      </c>
      <c r="W82" t="n">
        <v>93.060855</v>
      </c>
      <c r="X82" t="n">
        <v>7459.131892</v>
      </c>
      <c r="Y82" t="n">
        <v>100.902165</v>
      </c>
      <c r="Z82" t="n">
        <v>211.14634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140.953883</v>
      </c>
      <c r="F83" t="n">
        <v>342.280115</v>
      </c>
      <c r="G83" t="n">
        <v>26475.575966</v>
      </c>
      <c r="H83" t="n">
        <v>257355.857038</v>
      </c>
      <c r="I83" t="n">
        <v>1585.623721</v>
      </c>
      <c r="J83" t="n">
        <v>1650.152477</v>
      </c>
      <c r="K83" t="n">
        <v>1567.644853</v>
      </c>
      <c r="L83" t="n">
        <v>2274.19106</v>
      </c>
      <c r="M83" t="n">
        <v>2274.19106</v>
      </c>
      <c r="N83" t="n">
        <v>2274.19106</v>
      </c>
      <c r="O83" t="n">
        <v>105.127985</v>
      </c>
      <c r="P83" t="n">
        <v>50.974766</v>
      </c>
      <c r="Q83" t="n">
        <v>2274.19106</v>
      </c>
      <c r="R83" t="n">
        <v>2274.19106</v>
      </c>
      <c r="S83" t="n">
        <v>105.127985</v>
      </c>
      <c r="T83" t="n">
        <v>105.127985</v>
      </c>
      <c r="U83" t="n">
        <v>50.974766</v>
      </c>
      <c r="V83" t="n">
        <v>50.974766</v>
      </c>
      <c r="W83" t="n">
        <v>111.155847</v>
      </c>
      <c r="X83" t="n">
        <v>2438.947747</v>
      </c>
      <c r="Y83" t="n">
        <v>161.824385</v>
      </c>
      <c r="Z83" t="n">
        <v>255.683683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140.953883</v>
      </c>
      <c r="F84" t="n">
        <v>60.479203</v>
      </c>
      <c r="G84" t="n">
        <v>1285.725322</v>
      </c>
      <c r="H84" t="n">
        <v>3025.478454</v>
      </c>
      <c r="I84" t="n">
        <v>395.888053</v>
      </c>
      <c r="J84" t="n">
        <v>395.888053</v>
      </c>
      <c r="K84" t="n">
        <v>376.09365</v>
      </c>
      <c r="L84" t="n">
        <v>393.787233</v>
      </c>
      <c r="M84" t="n">
        <v>393.787233</v>
      </c>
      <c r="N84" t="n">
        <v>393.787233</v>
      </c>
      <c r="O84" t="n">
        <v>20.916473</v>
      </c>
      <c r="P84" t="n">
        <v>13.510088</v>
      </c>
      <c r="Q84" t="n">
        <v>393.787233</v>
      </c>
      <c r="R84" t="n">
        <v>393.787233</v>
      </c>
      <c r="S84" t="n">
        <v>20.916473</v>
      </c>
      <c r="T84" t="n">
        <v>20.916473</v>
      </c>
      <c r="U84" t="n">
        <v>13.510088</v>
      </c>
      <c r="V84" t="n">
        <v>13.510088</v>
      </c>
      <c r="W84" t="n">
        <v>21.939981</v>
      </c>
      <c r="X84" t="n">
        <v>405.784084</v>
      </c>
      <c r="Y84" t="n">
        <v>35.719215</v>
      </c>
      <c r="Z84" t="n">
        <v>45.472786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140.953883</v>
      </c>
      <c r="F85" t="n">
        <v>14.712171</v>
      </c>
      <c r="G85" t="n">
        <v>109.082967</v>
      </c>
      <c r="H85" t="n">
        <v>1554.089564</v>
      </c>
      <c r="I85" t="n">
        <v>87.52377799999999</v>
      </c>
      <c r="J85" t="n">
        <v>87.52377799999999</v>
      </c>
      <c r="K85" t="n">
        <v>33.521607</v>
      </c>
      <c r="L85" t="n">
        <v>92.59366</v>
      </c>
      <c r="M85" t="n">
        <v>92.59366</v>
      </c>
      <c r="N85" t="n">
        <v>92.59366</v>
      </c>
      <c r="O85" t="n">
        <v>4.448657</v>
      </c>
      <c r="P85" t="n">
        <v>3.058348</v>
      </c>
      <c r="Q85" t="n">
        <v>92.59366</v>
      </c>
      <c r="R85" t="n">
        <v>92.59366</v>
      </c>
      <c r="S85" t="n">
        <v>4.448657</v>
      </c>
      <c r="T85" t="n">
        <v>4.448657</v>
      </c>
      <c r="U85" t="n">
        <v>3.058348</v>
      </c>
      <c r="V85" t="n">
        <v>3.058348</v>
      </c>
      <c r="W85" t="n">
        <v>4.556294</v>
      </c>
      <c r="X85" t="n">
        <v>96.447226</v>
      </c>
      <c r="Y85" t="n">
        <v>10.417956</v>
      </c>
      <c r="Z85" t="n">
        <v>17.174689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140.953883</v>
      </c>
      <c r="F86" t="n">
        <v>60.479203</v>
      </c>
      <c r="G86" t="n">
        <v>1285.725322</v>
      </c>
      <c r="H86" t="n">
        <v>3025.478454</v>
      </c>
      <c r="I86" t="n">
        <v>395.888053</v>
      </c>
      <c r="J86" t="n">
        <v>395.888053</v>
      </c>
      <c r="K86" t="n">
        <v>376.09365</v>
      </c>
      <c r="L86" t="n">
        <v>393.787233</v>
      </c>
      <c r="M86" t="n">
        <v>393.787233</v>
      </c>
      <c r="N86" t="n">
        <v>393.787233</v>
      </c>
      <c r="O86" t="n">
        <v>20.916473</v>
      </c>
      <c r="P86" t="n">
        <v>13.510088</v>
      </c>
      <c r="Q86" t="n">
        <v>393.787233</v>
      </c>
      <c r="R86" t="n">
        <v>393.787233</v>
      </c>
      <c r="S86" t="n">
        <v>20.916473</v>
      </c>
      <c r="T86" t="n">
        <v>20.916473</v>
      </c>
      <c r="U86" t="n">
        <v>13.510088</v>
      </c>
      <c r="V86" t="n">
        <v>13.510088</v>
      </c>
      <c r="W86" t="n">
        <v>21.939981</v>
      </c>
      <c r="X86" t="n">
        <v>405.784084</v>
      </c>
      <c r="Y86" t="n">
        <v>35.719215</v>
      </c>
      <c r="Z86" t="n">
        <v>45.472786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140.953883</v>
      </c>
      <c r="F87" t="n">
        <v>420.661524</v>
      </c>
      <c r="G87" t="n">
        <v>45138.893651</v>
      </c>
      <c r="H87" t="n">
        <v>168230573.682483</v>
      </c>
      <c r="I87" t="n">
        <v>32064.514055</v>
      </c>
      <c r="J87" t="n">
        <v>32388.465997</v>
      </c>
      <c r="K87" t="n">
        <v>15001.444266</v>
      </c>
      <c r="L87" t="n">
        <v>47447.371867</v>
      </c>
      <c r="M87" t="n">
        <v>47447.371867</v>
      </c>
      <c r="N87" t="n">
        <v>47447.371867</v>
      </c>
      <c r="O87" t="n">
        <v>134.659687</v>
      </c>
      <c r="P87" t="n">
        <v>58.748438</v>
      </c>
      <c r="Q87" t="n">
        <v>47447.371867</v>
      </c>
      <c r="R87" t="n">
        <v>47447.371867</v>
      </c>
      <c r="S87" t="n">
        <v>134.659687</v>
      </c>
      <c r="T87" t="n">
        <v>134.659687</v>
      </c>
      <c r="U87" t="n">
        <v>58.748438</v>
      </c>
      <c r="V87" t="n">
        <v>58.748438</v>
      </c>
      <c r="W87" t="n">
        <v>141.372985</v>
      </c>
      <c r="X87" t="n">
        <v>50905.953173</v>
      </c>
      <c r="Y87" t="n">
        <v>191.020462</v>
      </c>
      <c r="Z87" t="n">
        <v>621.6836510000001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140.953883</v>
      </c>
      <c r="F88" t="n">
        <v>554.842266</v>
      </c>
      <c r="G88" t="n">
        <v>61511.195509</v>
      </c>
      <c r="H88" t="n">
        <v>20307429.163039</v>
      </c>
      <c r="I88" t="n">
        <v>3230.237663</v>
      </c>
      <c r="J88" t="n">
        <v>3367.037571</v>
      </c>
      <c r="K88" t="n">
        <v>3198.685692</v>
      </c>
      <c r="L88" t="n">
        <v>4133.4309</v>
      </c>
      <c r="M88" t="n">
        <v>4133.4309</v>
      </c>
      <c r="N88" t="n">
        <v>4133.4309</v>
      </c>
      <c r="O88" t="n">
        <v>205.658598</v>
      </c>
      <c r="P88" t="n">
        <v>91.38801100000001</v>
      </c>
      <c r="Q88" t="n">
        <v>4133.4309</v>
      </c>
      <c r="R88" t="n">
        <v>4133.4309</v>
      </c>
      <c r="S88" t="n">
        <v>205.658598</v>
      </c>
      <c r="T88" t="n">
        <v>205.658598</v>
      </c>
      <c r="U88" t="n">
        <v>91.38801100000001</v>
      </c>
      <c r="V88" t="n">
        <v>91.38801100000001</v>
      </c>
      <c r="W88" t="n">
        <v>216.473302</v>
      </c>
      <c r="X88" t="n">
        <v>4393.486979</v>
      </c>
      <c r="Y88" t="n">
        <v>246.547973</v>
      </c>
      <c r="Z88" t="n">
        <v>636.567642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140.953883</v>
      </c>
      <c r="F89" t="n">
        <v>20.606299</v>
      </c>
      <c r="G89" t="n">
        <v>196.386285</v>
      </c>
      <c r="H89" t="n">
        <v>1009.116172</v>
      </c>
      <c r="I89" t="n">
        <v>131.71072</v>
      </c>
      <c r="J89" t="n">
        <v>131.71072</v>
      </c>
      <c r="K89" t="n">
        <v>125.125184</v>
      </c>
      <c r="L89" t="n">
        <v>130.894857</v>
      </c>
      <c r="M89" t="n">
        <v>130.894857</v>
      </c>
      <c r="N89" t="n">
        <v>130.894857</v>
      </c>
      <c r="O89" t="n">
        <v>12.255972</v>
      </c>
      <c r="P89" t="n">
        <v>8.448598</v>
      </c>
      <c r="Q89" t="n">
        <v>130.894857</v>
      </c>
      <c r="R89" t="n">
        <v>130.894857</v>
      </c>
      <c r="S89" t="n">
        <v>12.255972</v>
      </c>
      <c r="T89" t="n">
        <v>12.255972</v>
      </c>
      <c r="U89" t="n">
        <v>8.448598</v>
      </c>
      <c r="V89" t="n">
        <v>8.448598</v>
      </c>
      <c r="W89" t="n">
        <v>12.680707</v>
      </c>
      <c r="X89" t="n">
        <v>136.520004</v>
      </c>
      <c r="Y89" t="n">
        <v>13.974049</v>
      </c>
      <c r="Z89" t="n">
        <v>22.490141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140.953883</v>
      </c>
      <c r="F90" t="n">
        <v>170.518341</v>
      </c>
      <c r="G90" t="n">
        <v>7847.80585</v>
      </c>
      <c r="H90" t="n">
        <v>421935.650343</v>
      </c>
      <c r="I90" t="n">
        <v>1050.872908</v>
      </c>
      <c r="J90" t="n">
        <v>1075.829695</v>
      </c>
      <c r="K90" t="n">
        <v>537.914847</v>
      </c>
      <c r="L90" t="n">
        <v>1659.687874</v>
      </c>
      <c r="M90" t="n">
        <v>1659.687874</v>
      </c>
      <c r="N90" t="n">
        <v>1659.687874</v>
      </c>
      <c r="O90" t="n">
        <v>31.362197</v>
      </c>
      <c r="P90" t="n">
        <v>16.184075</v>
      </c>
      <c r="Q90" t="n">
        <v>1659.687874</v>
      </c>
      <c r="R90" t="n">
        <v>1659.687874</v>
      </c>
      <c r="S90" t="n">
        <v>31.362197</v>
      </c>
      <c r="T90" t="n">
        <v>31.362197</v>
      </c>
      <c r="U90" t="n">
        <v>16.184075</v>
      </c>
      <c r="V90" t="n">
        <v>16.184075</v>
      </c>
      <c r="W90" t="n">
        <v>32.286772</v>
      </c>
      <c r="X90" t="n">
        <v>1775.112325</v>
      </c>
      <c r="Y90" t="n">
        <v>88.16158900000001</v>
      </c>
      <c r="Z90" t="n">
        <v>173.868813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140.953883</v>
      </c>
      <c r="F91" t="n">
        <v>60.479203</v>
      </c>
      <c r="G91" t="n">
        <v>1285.725322</v>
      </c>
      <c r="H91" t="n">
        <v>3025.478454</v>
      </c>
      <c r="I91" t="n">
        <v>395.888053</v>
      </c>
      <c r="J91" t="n">
        <v>395.888053</v>
      </c>
      <c r="K91" t="n">
        <v>376.09365</v>
      </c>
      <c r="L91" t="n">
        <v>393.787233</v>
      </c>
      <c r="M91" t="n">
        <v>393.787233</v>
      </c>
      <c r="N91" t="n">
        <v>393.787233</v>
      </c>
      <c r="O91" t="n">
        <v>20.916473</v>
      </c>
      <c r="P91" t="n">
        <v>13.510088</v>
      </c>
      <c r="Q91" t="n">
        <v>393.787233</v>
      </c>
      <c r="R91" t="n">
        <v>393.787233</v>
      </c>
      <c r="S91" t="n">
        <v>20.916473</v>
      </c>
      <c r="T91" t="n">
        <v>20.916473</v>
      </c>
      <c r="U91" t="n">
        <v>13.510088</v>
      </c>
      <c r="V91" t="n">
        <v>13.510088</v>
      </c>
      <c r="W91" t="n">
        <v>21.939981</v>
      </c>
      <c r="X91" t="n">
        <v>405.784084</v>
      </c>
      <c r="Y91" t="n">
        <v>35.719215</v>
      </c>
      <c r="Z91" t="n">
        <v>45.472786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140.953883</v>
      </c>
      <c r="F92" t="n">
        <v>60.479203</v>
      </c>
      <c r="G92" t="n">
        <v>1285.725322</v>
      </c>
      <c r="H92" t="n">
        <v>3025.478454</v>
      </c>
      <c r="I92" t="n">
        <v>395.888053</v>
      </c>
      <c r="J92" t="n">
        <v>395.888053</v>
      </c>
      <c r="K92" t="n">
        <v>376.09365</v>
      </c>
      <c r="L92" t="n">
        <v>393.787233</v>
      </c>
      <c r="M92" t="n">
        <v>393.787233</v>
      </c>
      <c r="N92" t="n">
        <v>393.787233</v>
      </c>
      <c r="O92" t="n">
        <v>20.916473</v>
      </c>
      <c r="P92" t="n">
        <v>13.510088</v>
      </c>
      <c r="Q92" t="n">
        <v>393.787233</v>
      </c>
      <c r="R92" t="n">
        <v>393.787233</v>
      </c>
      <c r="S92" t="n">
        <v>20.916473</v>
      </c>
      <c r="T92" t="n">
        <v>20.916473</v>
      </c>
      <c r="U92" t="n">
        <v>13.510088</v>
      </c>
      <c r="V92" t="n">
        <v>13.510088</v>
      </c>
      <c r="W92" t="n">
        <v>21.939981</v>
      </c>
      <c r="X92" t="n">
        <v>405.784084</v>
      </c>
      <c r="Y92" t="n">
        <v>35.719215</v>
      </c>
      <c r="Z92" t="n">
        <v>45.472786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140.953883</v>
      </c>
      <c r="F94" t="n">
        <v>228.824285</v>
      </c>
      <c r="G94" t="n">
        <v>13739.954406</v>
      </c>
      <c r="H94" t="n">
        <v>114798702.260359</v>
      </c>
      <c r="I94" t="n">
        <v>6590.793316</v>
      </c>
      <c r="J94" t="n">
        <v>7071.146917</v>
      </c>
      <c r="K94" t="n">
        <v>2576.928919</v>
      </c>
      <c r="L94" t="n">
        <v>10677.999207</v>
      </c>
      <c r="M94" t="n">
        <v>10677.999207</v>
      </c>
      <c r="N94" t="n">
        <v>10677.999207</v>
      </c>
      <c r="O94" t="n">
        <v>85.006417</v>
      </c>
      <c r="P94" t="n">
        <v>38.52237</v>
      </c>
      <c r="Q94" t="n">
        <v>10677.999207</v>
      </c>
      <c r="R94" t="n">
        <v>10677.999207</v>
      </c>
      <c r="S94" t="n">
        <v>85.006417</v>
      </c>
      <c r="T94" t="n">
        <v>85.006417</v>
      </c>
      <c r="U94" t="n">
        <v>38.52237</v>
      </c>
      <c r="V94" t="n">
        <v>38.52237</v>
      </c>
      <c r="W94" t="n">
        <v>88.306245</v>
      </c>
      <c r="X94" t="n">
        <v>11509.306401</v>
      </c>
      <c r="Y94" t="n">
        <v>113.373643</v>
      </c>
      <c r="Z94" t="n">
        <v>399.574722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140.953883</v>
      </c>
      <c r="F95" t="n">
        <v>200.641254</v>
      </c>
      <c r="G95" t="n">
        <v>11101.904562</v>
      </c>
      <c r="H95" t="n">
        <v>25660602.941085</v>
      </c>
      <c r="I95" t="n">
        <v>6244.222521</v>
      </c>
      <c r="J95" t="n">
        <v>6325.914048</v>
      </c>
      <c r="K95" t="n">
        <v>1872.204427</v>
      </c>
      <c r="L95" t="n">
        <v>7112.982475</v>
      </c>
      <c r="M95" t="n">
        <v>7112.982475</v>
      </c>
      <c r="N95" t="n">
        <v>7112.982475</v>
      </c>
      <c r="O95" t="n">
        <v>87.969483</v>
      </c>
      <c r="P95" t="n">
        <v>46.580547</v>
      </c>
      <c r="Q95" t="n">
        <v>7112.982475</v>
      </c>
      <c r="R95" t="n">
        <v>7112.982475</v>
      </c>
      <c r="S95" t="n">
        <v>87.969483</v>
      </c>
      <c r="T95" t="n">
        <v>87.969483</v>
      </c>
      <c r="U95" t="n">
        <v>46.580547</v>
      </c>
      <c r="V95" t="n">
        <v>46.580547</v>
      </c>
      <c r="W95" t="n">
        <v>93.060855</v>
      </c>
      <c r="X95" t="n">
        <v>7459.131892</v>
      </c>
      <c r="Y95" t="n">
        <v>100.902165</v>
      </c>
      <c r="Z95" t="n">
        <v>211.14634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140.953883</v>
      </c>
      <c r="F96" t="n">
        <v>200.641254</v>
      </c>
      <c r="G96" t="n">
        <v>11101.904562</v>
      </c>
      <c r="H96" t="n">
        <v>25660602.941085</v>
      </c>
      <c r="I96" t="n">
        <v>6244.222521</v>
      </c>
      <c r="J96" t="n">
        <v>6325.914048</v>
      </c>
      <c r="K96" t="n">
        <v>1872.204427</v>
      </c>
      <c r="L96" t="n">
        <v>7112.982475</v>
      </c>
      <c r="M96" t="n">
        <v>7112.982475</v>
      </c>
      <c r="N96" t="n">
        <v>7112.982475</v>
      </c>
      <c r="O96" t="n">
        <v>87.969483</v>
      </c>
      <c r="P96" t="n">
        <v>46.580547</v>
      </c>
      <c r="Q96" t="n">
        <v>7112.982475</v>
      </c>
      <c r="R96" t="n">
        <v>7112.982475</v>
      </c>
      <c r="S96" t="n">
        <v>87.969483</v>
      </c>
      <c r="T96" t="n">
        <v>87.969483</v>
      </c>
      <c r="U96" t="n">
        <v>46.580547</v>
      </c>
      <c r="V96" t="n">
        <v>46.580547</v>
      </c>
      <c r="W96" t="n">
        <v>93.060855</v>
      </c>
      <c r="X96" t="n">
        <v>7459.131892</v>
      </c>
      <c r="Y96" t="n">
        <v>100.902165</v>
      </c>
      <c r="Z96" t="n">
        <v>211.14634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140.953883</v>
      </c>
      <c r="F97" t="n">
        <v>200.641254</v>
      </c>
      <c r="G97" t="n">
        <v>11101.904562</v>
      </c>
      <c r="H97" t="n">
        <v>25660602.941085</v>
      </c>
      <c r="I97" t="n">
        <v>6244.222521</v>
      </c>
      <c r="J97" t="n">
        <v>6325.914048</v>
      </c>
      <c r="K97" t="n">
        <v>1872.204427</v>
      </c>
      <c r="L97" t="n">
        <v>7112.982475</v>
      </c>
      <c r="M97" t="n">
        <v>7112.982475</v>
      </c>
      <c r="N97" t="n">
        <v>7112.982475</v>
      </c>
      <c r="O97" t="n">
        <v>87.969483</v>
      </c>
      <c r="P97" t="n">
        <v>46.580547</v>
      </c>
      <c r="Q97" t="n">
        <v>7112.982475</v>
      </c>
      <c r="R97" t="n">
        <v>7112.982475</v>
      </c>
      <c r="S97" t="n">
        <v>87.969483</v>
      </c>
      <c r="T97" t="n">
        <v>87.969483</v>
      </c>
      <c r="U97" t="n">
        <v>46.580547</v>
      </c>
      <c r="V97" t="n">
        <v>46.580547</v>
      </c>
      <c r="W97" t="n">
        <v>93.060855</v>
      </c>
      <c r="X97" t="n">
        <v>7459.131892</v>
      </c>
      <c r="Y97" t="n">
        <v>100.902165</v>
      </c>
      <c r="Z97" t="n">
        <v>211.14634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140.953883</v>
      </c>
      <c r="F98" t="n">
        <v>200.641254</v>
      </c>
      <c r="G98" t="n">
        <v>11101.904562</v>
      </c>
      <c r="H98" t="n">
        <v>25660602.941085</v>
      </c>
      <c r="I98" t="n">
        <v>6244.222521</v>
      </c>
      <c r="J98" t="n">
        <v>6325.914048</v>
      </c>
      <c r="K98" t="n">
        <v>1872.204427</v>
      </c>
      <c r="L98" t="n">
        <v>7112.982475</v>
      </c>
      <c r="M98" t="n">
        <v>7112.982475</v>
      </c>
      <c r="N98" t="n">
        <v>7112.982475</v>
      </c>
      <c r="O98" t="n">
        <v>87.969483</v>
      </c>
      <c r="P98" t="n">
        <v>46.580547</v>
      </c>
      <c r="Q98" t="n">
        <v>7112.982475</v>
      </c>
      <c r="R98" t="n">
        <v>7112.982475</v>
      </c>
      <c r="S98" t="n">
        <v>87.969483</v>
      </c>
      <c r="T98" t="n">
        <v>87.969483</v>
      </c>
      <c r="U98" t="n">
        <v>46.580547</v>
      </c>
      <c r="V98" t="n">
        <v>46.580547</v>
      </c>
      <c r="W98" t="n">
        <v>93.060855</v>
      </c>
      <c r="X98" t="n">
        <v>7459.131892</v>
      </c>
      <c r="Y98" t="n">
        <v>100.902165</v>
      </c>
      <c r="Z98" t="n">
        <v>211.14634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140.953883</v>
      </c>
      <c r="F99" t="n">
        <v>265.549442</v>
      </c>
      <c r="G99" t="n">
        <v>17398.716094</v>
      </c>
      <c r="H99" t="n">
        <v>21722652.494621</v>
      </c>
      <c r="I99" t="n">
        <v>2939.153653</v>
      </c>
      <c r="J99" t="n">
        <v>3022.907916</v>
      </c>
      <c r="K99" t="n">
        <v>1769.605312</v>
      </c>
      <c r="L99" t="n">
        <v>3691.420719</v>
      </c>
      <c r="M99" t="n">
        <v>3691.420719</v>
      </c>
      <c r="N99" t="n">
        <v>3691.420719</v>
      </c>
      <c r="O99" t="n">
        <v>92.784491</v>
      </c>
      <c r="P99" t="n">
        <v>44.082214</v>
      </c>
      <c r="Q99" t="n">
        <v>3691.420719</v>
      </c>
      <c r="R99" t="n">
        <v>3691.420719</v>
      </c>
      <c r="S99" t="n">
        <v>92.784491</v>
      </c>
      <c r="T99" t="n">
        <v>92.784491</v>
      </c>
      <c r="U99" t="n">
        <v>44.082214</v>
      </c>
      <c r="V99" t="n">
        <v>44.082214</v>
      </c>
      <c r="W99" t="n">
        <v>96.91430099999999</v>
      </c>
      <c r="X99" t="n">
        <v>3937.988659</v>
      </c>
      <c r="Y99" t="n">
        <v>129.416869</v>
      </c>
      <c r="Z99" t="n">
        <v>360.506923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140.953883</v>
      </c>
      <c r="F100" t="n">
        <v>759.29485</v>
      </c>
      <c r="G100" t="n">
        <v>106449.95281</v>
      </c>
      <c r="H100" t="n">
        <v>217978087.829156</v>
      </c>
      <c r="I100" t="n">
        <v>15387.334214</v>
      </c>
      <c r="J100" t="n">
        <v>16058.002117</v>
      </c>
      <c r="K100" t="n">
        <v>5258.842171</v>
      </c>
      <c r="L100" t="n">
        <v>26383.951313</v>
      </c>
      <c r="M100" t="n">
        <v>26383.951313</v>
      </c>
      <c r="N100" t="n">
        <v>26383.951313</v>
      </c>
      <c r="O100" t="n">
        <v>166.364336</v>
      </c>
      <c r="P100" t="n">
        <v>71.691328</v>
      </c>
      <c r="Q100" t="n">
        <v>26383.951313</v>
      </c>
      <c r="R100" t="n">
        <v>26383.951313</v>
      </c>
      <c r="S100" t="n">
        <v>166.364336</v>
      </c>
      <c r="T100" t="n">
        <v>166.364336</v>
      </c>
      <c r="U100" t="n">
        <v>71.691328</v>
      </c>
      <c r="V100" t="n">
        <v>71.691328</v>
      </c>
      <c r="W100" t="n">
        <v>176.786743</v>
      </c>
      <c r="X100" t="n">
        <v>28905.373115</v>
      </c>
      <c r="Y100" t="n">
        <v>324.052433</v>
      </c>
      <c r="Z100" t="n">
        <v>881.088486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140.953883</v>
      </c>
      <c r="F101" t="n">
        <v>200.641254</v>
      </c>
      <c r="G101" t="n">
        <v>11101.904562</v>
      </c>
      <c r="H101" t="n">
        <v>25660602.941085</v>
      </c>
      <c r="I101" t="n">
        <v>6244.222521</v>
      </c>
      <c r="J101" t="n">
        <v>6325.914048</v>
      </c>
      <c r="K101" t="n">
        <v>1872.204427</v>
      </c>
      <c r="L101" t="n">
        <v>7112.982475</v>
      </c>
      <c r="M101" t="n">
        <v>7112.982475</v>
      </c>
      <c r="N101" t="n">
        <v>7112.982475</v>
      </c>
      <c r="O101" t="n">
        <v>87.969483</v>
      </c>
      <c r="P101" t="n">
        <v>46.580547</v>
      </c>
      <c r="Q101" t="n">
        <v>7112.982475</v>
      </c>
      <c r="R101" t="n">
        <v>7112.982475</v>
      </c>
      <c r="S101" t="n">
        <v>87.969483</v>
      </c>
      <c r="T101" t="n">
        <v>87.969483</v>
      </c>
      <c r="U101" t="n">
        <v>46.580547</v>
      </c>
      <c r="V101" t="n">
        <v>46.580547</v>
      </c>
      <c r="W101" t="n">
        <v>93.060855</v>
      </c>
      <c r="X101" t="n">
        <v>7459.131892</v>
      </c>
      <c r="Y101" t="n">
        <v>100.902165</v>
      </c>
      <c r="Z101" t="n">
        <v>211.14634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140.953883</v>
      </c>
      <c r="F102" t="n">
        <v>20.606299</v>
      </c>
      <c r="G102" t="n">
        <v>196.386285</v>
      </c>
      <c r="H102" t="n">
        <v>1009.116172</v>
      </c>
      <c r="I102" t="n">
        <v>131.71072</v>
      </c>
      <c r="J102" t="n">
        <v>131.71072</v>
      </c>
      <c r="K102" t="n">
        <v>125.125184</v>
      </c>
      <c r="L102" t="n">
        <v>130.894857</v>
      </c>
      <c r="M102" t="n">
        <v>130.894857</v>
      </c>
      <c r="N102" t="n">
        <v>130.894857</v>
      </c>
      <c r="O102" t="n">
        <v>12.255972</v>
      </c>
      <c r="P102" t="n">
        <v>8.448598</v>
      </c>
      <c r="Q102" t="n">
        <v>130.894857</v>
      </c>
      <c r="R102" t="n">
        <v>130.894857</v>
      </c>
      <c r="S102" t="n">
        <v>12.255972</v>
      </c>
      <c r="T102" t="n">
        <v>12.255972</v>
      </c>
      <c r="U102" t="n">
        <v>8.448598</v>
      </c>
      <c r="V102" t="n">
        <v>8.448598</v>
      </c>
      <c r="W102" t="n">
        <v>12.680707</v>
      </c>
      <c r="X102" t="n">
        <v>136.520004</v>
      </c>
      <c r="Y102" t="n">
        <v>13.974049</v>
      </c>
      <c r="Z102" t="n">
        <v>22.490141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140.953883</v>
      </c>
      <c r="F103" t="n">
        <v>103.790936</v>
      </c>
      <c r="G103" t="n">
        <v>3299.712955</v>
      </c>
      <c r="H103" t="n">
        <v>5979.61191</v>
      </c>
      <c r="I103" t="n">
        <v>468.918008</v>
      </c>
      <c r="J103" t="n">
        <v>473.97462</v>
      </c>
      <c r="K103" t="n">
        <v>450.275889</v>
      </c>
      <c r="L103" t="n">
        <v>711.02964</v>
      </c>
      <c r="M103" t="n">
        <v>711.02964</v>
      </c>
      <c r="N103" t="n">
        <v>711.02964</v>
      </c>
      <c r="O103" t="n">
        <v>34.656914</v>
      </c>
      <c r="P103" t="n">
        <v>19.970973</v>
      </c>
      <c r="Q103" t="n">
        <v>711.02964</v>
      </c>
      <c r="R103" t="n">
        <v>711.02964</v>
      </c>
      <c r="S103" t="n">
        <v>34.656914</v>
      </c>
      <c r="T103" t="n">
        <v>34.656914</v>
      </c>
      <c r="U103" t="n">
        <v>19.970973</v>
      </c>
      <c r="V103" t="n">
        <v>19.970973</v>
      </c>
      <c r="W103" t="n">
        <v>36.368369</v>
      </c>
      <c r="X103" t="n">
        <v>756.8536319999999</v>
      </c>
      <c r="Y103" t="n">
        <v>57.193376</v>
      </c>
      <c r="Z103" t="n">
        <v>56.260295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140.953883</v>
      </c>
      <c r="F104" t="n">
        <v>94.940534</v>
      </c>
      <c r="G104" t="n">
        <v>3699.207408</v>
      </c>
      <c r="H104" t="n">
        <v>6311396.796745</v>
      </c>
      <c r="I104" t="n">
        <v>1833.804999</v>
      </c>
      <c r="J104" t="n">
        <v>1853.890312</v>
      </c>
      <c r="K104" t="n">
        <v>743.939069</v>
      </c>
      <c r="L104" t="n">
        <v>2045.820774</v>
      </c>
      <c r="M104" t="n">
        <v>2045.820774</v>
      </c>
      <c r="N104" t="n">
        <v>2045.820774</v>
      </c>
      <c r="O104" t="n">
        <v>37.402647</v>
      </c>
      <c r="P104" t="n">
        <v>21.641048</v>
      </c>
      <c r="Q104" t="n">
        <v>2045.820774</v>
      </c>
      <c r="R104" t="n">
        <v>2045.820774</v>
      </c>
      <c r="S104" t="n">
        <v>37.402647</v>
      </c>
      <c r="T104" t="n">
        <v>37.402647</v>
      </c>
      <c r="U104" t="n">
        <v>21.641048</v>
      </c>
      <c r="V104" t="n">
        <v>21.641048</v>
      </c>
      <c r="W104" t="n">
        <v>39.426311</v>
      </c>
      <c r="X104" t="n">
        <v>2139.974971</v>
      </c>
      <c r="Y104" t="n">
        <v>51.745601</v>
      </c>
      <c r="Z104" t="n">
        <v>86.20657300000001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140.953883</v>
      </c>
      <c r="F105" t="n">
        <v>265.549442</v>
      </c>
      <c r="G105" t="n">
        <v>17398.716094</v>
      </c>
      <c r="H105" t="n">
        <v>21722652.494621</v>
      </c>
      <c r="I105" t="n">
        <v>2939.153653</v>
      </c>
      <c r="J105" t="n">
        <v>3022.907916</v>
      </c>
      <c r="K105" t="n">
        <v>1769.605312</v>
      </c>
      <c r="L105" t="n">
        <v>3691.420719</v>
      </c>
      <c r="M105" t="n">
        <v>3691.420719</v>
      </c>
      <c r="N105" t="n">
        <v>3691.420719</v>
      </c>
      <c r="O105" t="n">
        <v>92.784491</v>
      </c>
      <c r="P105" t="n">
        <v>44.082214</v>
      </c>
      <c r="Q105" t="n">
        <v>3691.420719</v>
      </c>
      <c r="R105" t="n">
        <v>3691.420719</v>
      </c>
      <c r="S105" t="n">
        <v>92.784491</v>
      </c>
      <c r="T105" t="n">
        <v>92.784491</v>
      </c>
      <c r="U105" t="n">
        <v>44.082214</v>
      </c>
      <c r="V105" t="n">
        <v>44.082214</v>
      </c>
      <c r="W105" t="n">
        <v>96.91430099999999</v>
      </c>
      <c r="X105" t="n">
        <v>3937.988659</v>
      </c>
      <c r="Y105" t="n">
        <v>129.416869</v>
      </c>
      <c r="Z105" t="n">
        <v>360.506923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140.953883</v>
      </c>
      <c r="F106" t="n">
        <v>228.824285</v>
      </c>
      <c r="G106" t="n">
        <v>13739.954406</v>
      </c>
      <c r="H106" t="n">
        <v>114798702.260359</v>
      </c>
      <c r="I106" t="n">
        <v>6590.793316</v>
      </c>
      <c r="J106" t="n">
        <v>7071.146917</v>
      </c>
      <c r="K106" t="n">
        <v>2576.928919</v>
      </c>
      <c r="L106" t="n">
        <v>10677.999207</v>
      </c>
      <c r="M106" t="n">
        <v>10677.999207</v>
      </c>
      <c r="N106" t="n">
        <v>10677.999207</v>
      </c>
      <c r="O106" t="n">
        <v>85.006417</v>
      </c>
      <c r="P106" t="n">
        <v>38.52237</v>
      </c>
      <c r="Q106" t="n">
        <v>10677.999207</v>
      </c>
      <c r="R106" t="n">
        <v>10677.999207</v>
      </c>
      <c r="S106" t="n">
        <v>85.006417</v>
      </c>
      <c r="T106" t="n">
        <v>85.006417</v>
      </c>
      <c r="U106" t="n">
        <v>38.52237</v>
      </c>
      <c r="V106" t="n">
        <v>38.52237</v>
      </c>
      <c r="W106" t="n">
        <v>88.306245</v>
      </c>
      <c r="X106" t="n">
        <v>11509.306401</v>
      </c>
      <c r="Y106" t="n">
        <v>113.373643</v>
      </c>
      <c r="Z106" t="n">
        <v>399.574722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140.953883</v>
      </c>
      <c r="F107" t="n">
        <v>554.842266</v>
      </c>
      <c r="G107" t="n">
        <v>61511.195509</v>
      </c>
      <c r="H107" t="n">
        <v>20307429.163039</v>
      </c>
      <c r="I107" t="n">
        <v>3230.237663</v>
      </c>
      <c r="J107" t="n">
        <v>3367.037571</v>
      </c>
      <c r="K107" t="n">
        <v>3198.685692</v>
      </c>
      <c r="L107" t="n">
        <v>4133.4309</v>
      </c>
      <c r="M107" t="n">
        <v>4133.4309</v>
      </c>
      <c r="N107" t="n">
        <v>4133.4309</v>
      </c>
      <c r="O107" t="n">
        <v>205.658598</v>
      </c>
      <c r="P107" t="n">
        <v>91.38801100000001</v>
      </c>
      <c r="Q107" t="n">
        <v>4133.4309</v>
      </c>
      <c r="R107" t="n">
        <v>4133.4309</v>
      </c>
      <c r="S107" t="n">
        <v>205.658598</v>
      </c>
      <c r="T107" t="n">
        <v>205.658598</v>
      </c>
      <c r="U107" t="n">
        <v>91.38801100000001</v>
      </c>
      <c r="V107" t="n">
        <v>91.38801100000001</v>
      </c>
      <c r="W107" t="n">
        <v>216.473302</v>
      </c>
      <c r="X107" t="n">
        <v>4393.486979</v>
      </c>
      <c r="Y107" t="n">
        <v>246.547973</v>
      </c>
      <c r="Z107" t="n">
        <v>636.567642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140.953883</v>
      </c>
      <c r="F108" t="n">
        <v>228.824285</v>
      </c>
      <c r="G108" t="n">
        <v>13739.954406</v>
      </c>
      <c r="H108" t="n">
        <v>114798702.260359</v>
      </c>
      <c r="I108" t="n">
        <v>6590.793316</v>
      </c>
      <c r="J108" t="n">
        <v>7071.146917</v>
      </c>
      <c r="K108" t="n">
        <v>2576.928919</v>
      </c>
      <c r="L108" t="n">
        <v>10677.999207</v>
      </c>
      <c r="M108" t="n">
        <v>10677.999207</v>
      </c>
      <c r="N108" t="n">
        <v>10677.999207</v>
      </c>
      <c r="O108" t="n">
        <v>85.006417</v>
      </c>
      <c r="P108" t="n">
        <v>38.52237</v>
      </c>
      <c r="Q108" t="n">
        <v>10677.999207</v>
      </c>
      <c r="R108" t="n">
        <v>10677.999207</v>
      </c>
      <c r="S108" t="n">
        <v>85.006417</v>
      </c>
      <c r="T108" t="n">
        <v>85.006417</v>
      </c>
      <c r="U108" t="n">
        <v>38.52237</v>
      </c>
      <c r="V108" t="n">
        <v>38.52237</v>
      </c>
      <c r="W108" t="n">
        <v>88.306245</v>
      </c>
      <c r="X108" t="n">
        <v>11509.306401</v>
      </c>
      <c r="Y108" t="n">
        <v>113.373643</v>
      </c>
      <c r="Z108" t="n">
        <v>399.574722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140.953883</v>
      </c>
      <c r="F109" t="n">
        <v>57.638856</v>
      </c>
      <c r="G109" t="n">
        <v>1182.200226</v>
      </c>
      <c r="H109" t="n">
        <v>56775.373409</v>
      </c>
      <c r="I109" t="n">
        <v>512.103289</v>
      </c>
      <c r="J109" t="n">
        <v>553.467817</v>
      </c>
      <c r="K109" t="n">
        <v>525.794426</v>
      </c>
      <c r="L109" t="n">
        <v>602.712303</v>
      </c>
      <c r="M109" t="n">
        <v>602.712303</v>
      </c>
      <c r="N109" t="n">
        <v>602.712303</v>
      </c>
      <c r="O109" t="n">
        <v>31.190871</v>
      </c>
      <c r="P109" t="n">
        <v>18.283791</v>
      </c>
      <c r="Q109" t="n">
        <v>602.712303</v>
      </c>
      <c r="R109" t="n">
        <v>602.712303</v>
      </c>
      <c r="S109" t="n">
        <v>31.190871</v>
      </c>
      <c r="T109" t="n">
        <v>31.190871</v>
      </c>
      <c r="U109" t="n">
        <v>18.283791</v>
      </c>
      <c r="V109" t="n">
        <v>18.283791</v>
      </c>
      <c r="W109" t="n">
        <v>32.089433</v>
      </c>
      <c r="X109" t="n">
        <v>622.065443</v>
      </c>
      <c r="Y109" t="n">
        <v>34.252552</v>
      </c>
      <c r="Z109" t="n">
        <v>73.57281500000001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140.953883</v>
      </c>
      <c r="F110" t="n">
        <v>20.606299</v>
      </c>
      <c r="G110" t="n">
        <v>196.386285</v>
      </c>
      <c r="H110" t="n">
        <v>1009.116172</v>
      </c>
      <c r="I110" t="n">
        <v>131.71072</v>
      </c>
      <c r="J110" t="n">
        <v>131.71072</v>
      </c>
      <c r="K110" t="n">
        <v>125.125184</v>
      </c>
      <c r="L110" t="n">
        <v>130.894857</v>
      </c>
      <c r="M110" t="n">
        <v>130.894857</v>
      </c>
      <c r="N110" t="n">
        <v>130.894857</v>
      </c>
      <c r="O110" t="n">
        <v>12.255972</v>
      </c>
      <c r="P110" t="n">
        <v>8.448598</v>
      </c>
      <c r="Q110" t="n">
        <v>130.894857</v>
      </c>
      <c r="R110" t="n">
        <v>130.894857</v>
      </c>
      <c r="S110" t="n">
        <v>12.255972</v>
      </c>
      <c r="T110" t="n">
        <v>12.255972</v>
      </c>
      <c r="U110" t="n">
        <v>8.448598</v>
      </c>
      <c r="V110" t="n">
        <v>8.448598</v>
      </c>
      <c r="W110" t="n">
        <v>12.680707</v>
      </c>
      <c r="X110" t="n">
        <v>136.520004</v>
      </c>
      <c r="Y110" t="n">
        <v>13.974049</v>
      </c>
      <c r="Z110" t="n">
        <v>22.490141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140.953883</v>
      </c>
      <c r="F111" t="n">
        <v>554.842266</v>
      </c>
      <c r="G111" t="n">
        <v>61511.195509</v>
      </c>
      <c r="H111" t="n">
        <v>20307429.163039</v>
      </c>
      <c r="I111" t="n">
        <v>3230.237663</v>
      </c>
      <c r="J111" t="n">
        <v>3367.037571</v>
      </c>
      <c r="K111" t="n">
        <v>3198.685692</v>
      </c>
      <c r="L111" t="n">
        <v>4133.4309</v>
      </c>
      <c r="M111" t="n">
        <v>4133.4309</v>
      </c>
      <c r="N111" t="n">
        <v>4133.4309</v>
      </c>
      <c r="O111" t="n">
        <v>205.658598</v>
      </c>
      <c r="P111" t="n">
        <v>91.38801100000001</v>
      </c>
      <c r="Q111" t="n">
        <v>4133.4309</v>
      </c>
      <c r="R111" t="n">
        <v>4133.4309</v>
      </c>
      <c r="S111" t="n">
        <v>205.658598</v>
      </c>
      <c r="T111" t="n">
        <v>205.658598</v>
      </c>
      <c r="U111" t="n">
        <v>91.38801100000001</v>
      </c>
      <c r="V111" t="n">
        <v>91.38801100000001</v>
      </c>
      <c r="W111" t="n">
        <v>216.473302</v>
      </c>
      <c r="X111" t="n">
        <v>4393.486979</v>
      </c>
      <c r="Y111" t="n">
        <v>246.547973</v>
      </c>
      <c r="Z111" t="n">
        <v>636.567642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140.953883</v>
      </c>
      <c r="F112" t="n">
        <v>33.254785</v>
      </c>
      <c r="G112" t="n">
        <v>452.736281</v>
      </c>
      <c r="H112" t="n">
        <v>34182.13294</v>
      </c>
      <c r="I112" t="n">
        <v>151.084056</v>
      </c>
      <c r="J112" t="n">
        <v>151.084056</v>
      </c>
      <c r="K112" t="n">
        <v>143.529853</v>
      </c>
      <c r="L112" t="n">
        <v>173.938876</v>
      </c>
      <c r="M112" t="n">
        <v>173.938876</v>
      </c>
      <c r="N112" t="n">
        <v>173.938876</v>
      </c>
      <c r="O112" t="n">
        <v>13.215653</v>
      </c>
      <c r="P112" t="n">
        <v>8.00437</v>
      </c>
      <c r="Q112" t="n">
        <v>173.938876</v>
      </c>
      <c r="R112" t="n">
        <v>173.938876</v>
      </c>
      <c r="S112" t="n">
        <v>13.215653</v>
      </c>
      <c r="T112" t="n">
        <v>13.215653</v>
      </c>
      <c r="U112" t="n">
        <v>8.00437</v>
      </c>
      <c r="V112" t="n">
        <v>8.00437</v>
      </c>
      <c r="W112" t="n">
        <v>13.539814</v>
      </c>
      <c r="X112" t="n">
        <v>184.933079</v>
      </c>
      <c r="Y112" t="n">
        <v>21.207733</v>
      </c>
      <c r="Z112" t="n">
        <v>52.601429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140.953883</v>
      </c>
      <c r="F113" t="n">
        <v>20.606299</v>
      </c>
      <c r="G113" t="n">
        <v>196.386285</v>
      </c>
      <c r="H113" t="n">
        <v>1009.116172</v>
      </c>
      <c r="I113" t="n">
        <v>131.71072</v>
      </c>
      <c r="J113" t="n">
        <v>131.71072</v>
      </c>
      <c r="K113" t="n">
        <v>125.125184</v>
      </c>
      <c r="L113" t="n">
        <v>130.894857</v>
      </c>
      <c r="M113" t="n">
        <v>130.894857</v>
      </c>
      <c r="N113" t="n">
        <v>130.894857</v>
      </c>
      <c r="O113" t="n">
        <v>12.255972</v>
      </c>
      <c r="P113" t="n">
        <v>8.448598</v>
      </c>
      <c r="Q113" t="n">
        <v>130.894857</v>
      </c>
      <c r="R113" t="n">
        <v>130.894857</v>
      </c>
      <c r="S113" t="n">
        <v>12.255972</v>
      </c>
      <c r="T113" t="n">
        <v>12.255972</v>
      </c>
      <c r="U113" t="n">
        <v>8.448598</v>
      </c>
      <c r="V113" t="n">
        <v>8.448598</v>
      </c>
      <c r="W113" t="n">
        <v>12.680707</v>
      </c>
      <c r="X113" t="n">
        <v>136.520004</v>
      </c>
      <c r="Y113" t="n">
        <v>13.974049</v>
      </c>
      <c r="Z113" t="n">
        <v>22.490141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140.953883</v>
      </c>
      <c r="F114" t="n">
        <v>228.824285</v>
      </c>
      <c r="G114" t="n">
        <v>13739.954406</v>
      </c>
      <c r="H114" t="n">
        <v>114798702.260359</v>
      </c>
      <c r="I114" t="n">
        <v>6590.793316</v>
      </c>
      <c r="J114" t="n">
        <v>7071.146917</v>
      </c>
      <c r="K114" t="n">
        <v>2576.928919</v>
      </c>
      <c r="L114" t="n">
        <v>10677.999207</v>
      </c>
      <c r="M114" t="n">
        <v>10677.999207</v>
      </c>
      <c r="N114" t="n">
        <v>10677.999207</v>
      </c>
      <c r="O114" t="n">
        <v>85.006417</v>
      </c>
      <c r="P114" t="n">
        <v>38.52237</v>
      </c>
      <c r="Q114" t="n">
        <v>10677.999207</v>
      </c>
      <c r="R114" t="n">
        <v>10677.999207</v>
      </c>
      <c r="S114" t="n">
        <v>85.006417</v>
      </c>
      <c r="T114" t="n">
        <v>85.006417</v>
      </c>
      <c r="U114" t="n">
        <v>38.52237</v>
      </c>
      <c r="V114" t="n">
        <v>38.52237</v>
      </c>
      <c r="W114" t="n">
        <v>88.306245</v>
      </c>
      <c r="X114" t="n">
        <v>11509.306401</v>
      </c>
      <c r="Y114" t="n">
        <v>113.373643</v>
      </c>
      <c r="Z114" t="n">
        <v>399.574722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140.953883</v>
      </c>
      <c r="F115" t="n">
        <v>759.29485</v>
      </c>
      <c r="G115" t="n">
        <v>106449.95281</v>
      </c>
      <c r="H115" t="n">
        <v>217978087.829156</v>
      </c>
      <c r="I115" t="n">
        <v>15387.334214</v>
      </c>
      <c r="J115" t="n">
        <v>16058.002117</v>
      </c>
      <c r="K115" t="n">
        <v>5258.842171</v>
      </c>
      <c r="L115" t="n">
        <v>26383.951313</v>
      </c>
      <c r="M115" t="n">
        <v>26383.951313</v>
      </c>
      <c r="N115" t="n">
        <v>26383.951313</v>
      </c>
      <c r="O115" t="n">
        <v>166.364336</v>
      </c>
      <c r="P115" t="n">
        <v>71.691328</v>
      </c>
      <c r="Q115" t="n">
        <v>26383.951313</v>
      </c>
      <c r="R115" t="n">
        <v>26383.951313</v>
      </c>
      <c r="S115" t="n">
        <v>166.364336</v>
      </c>
      <c r="T115" t="n">
        <v>166.364336</v>
      </c>
      <c r="U115" t="n">
        <v>71.691328</v>
      </c>
      <c r="V115" t="n">
        <v>71.691328</v>
      </c>
      <c r="W115" t="n">
        <v>176.786743</v>
      </c>
      <c r="X115" t="n">
        <v>28905.373115</v>
      </c>
      <c r="Y115" t="n">
        <v>324.052433</v>
      </c>
      <c r="Z115" t="n">
        <v>881.088486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140.953883</v>
      </c>
      <c r="F116" t="n">
        <v>200.641254</v>
      </c>
      <c r="G116" t="n">
        <v>11101.904562</v>
      </c>
      <c r="H116" t="n">
        <v>25660602.941085</v>
      </c>
      <c r="I116" t="n">
        <v>6244.222521</v>
      </c>
      <c r="J116" t="n">
        <v>6325.914048</v>
      </c>
      <c r="K116" t="n">
        <v>1872.204427</v>
      </c>
      <c r="L116" t="n">
        <v>7112.982475</v>
      </c>
      <c r="M116" t="n">
        <v>7112.982475</v>
      </c>
      <c r="N116" t="n">
        <v>7112.982475</v>
      </c>
      <c r="O116" t="n">
        <v>87.969483</v>
      </c>
      <c r="P116" t="n">
        <v>46.580547</v>
      </c>
      <c r="Q116" t="n">
        <v>7112.982475</v>
      </c>
      <c r="R116" t="n">
        <v>7112.982475</v>
      </c>
      <c r="S116" t="n">
        <v>87.969483</v>
      </c>
      <c r="T116" t="n">
        <v>87.969483</v>
      </c>
      <c r="U116" t="n">
        <v>46.580547</v>
      </c>
      <c r="V116" t="n">
        <v>46.580547</v>
      </c>
      <c r="W116" t="n">
        <v>93.060855</v>
      </c>
      <c r="X116" t="n">
        <v>7459.131892</v>
      </c>
      <c r="Y116" t="n">
        <v>100.902165</v>
      </c>
      <c r="Z116" t="n">
        <v>211.14634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140.953883</v>
      </c>
      <c r="F117" t="n">
        <v>20.606299</v>
      </c>
      <c r="G117" t="n">
        <v>196.386285</v>
      </c>
      <c r="H117" t="n">
        <v>1009.116172</v>
      </c>
      <c r="I117" t="n">
        <v>131.71072</v>
      </c>
      <c r="J117" t="n">
        <v>131.71072</v>
      </c>
      <c r="K117" t="n">
        <v>125.125184</v>
      </c>
      <c r="L117" t="n">
        <v>130.894857</v>
      </c>
      <c r="M117" t="n">
        <v>130.894857</v>
      </c>
      <c r="N117" t="n">
        <v>130.894857</v>
      </c>
      <c r="O117" t="n">
        <v>12.255972</v>
      </c>
      <c r="P117" t="n">
        <v>8.448598</v>
      </c>
      <c r="Q117" t="n">
        <v>130.894857</v>
      </c>
      <c r="R117" t="n">
        <v>130.894857</v>
      </c>
      <c r="S117" t="n">
        <v>12.255972</v>
      </c>
      <c r="T117" t="n">
        <v>12.255972</v>
      </c>
      <c r="U117" t="n">
        <v>8.448598</v>
      </c>
      <c r="V117" t="n">
        <v>8.448598</v>
      </c>
      <c r="W117" t="n">
        <v>12.680707</v>
      </c>
      <c r="X117" t="n">
        <v>136.520004</v>
      </c>
      <c r="Y117" t="n">
        <v>13.974049</v>
      </c>
      <c r="Z117" t="n">
        <v>22.490141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140.953883</v>
      </c>
      <c r="F118" t="n">
        <v>201.414719</v>
      </c>
      <c r="G118" t="n">
        <v>10494.380534</v>
      </c>
      <c r="H118" t="n">
        <v>3053422.756123</v>
      </c>
      <c r="I118" t="n">
        <v>1402.335676</v>
      </c>
      <c r="J118" t="n">
        <v>1449.344811</v>
      </c>
      <c r="K118" t="n">
        <v>1136.286332</v>
      </c>
      <c r="L118" t="n">
        <v>1692.571887</v>
      </c>
      <c r="M118" t="n">
        <v>1692.571887</v>
      </c>
      <c r="N118" t="n">
        <v>1692.571887</v>
      </c>
      <c r="O118" t="n">
        <v>68.15794</v>
      </c>
      <c r="P118" t="n">
        <v>34.55496</v>
      </c>
      <c r="Q118" t="n">
        <v>1692.571887</v>
      </c>
      <c r="R118" t="n">
        <v>1692.571887</v>
      </c>
      <c r="S118" t="n">
        <v>68.15794</v>
      </c>
      <c r="T118" t="n">
        <v>68.15794</v>
      </c>
      <c r="U118" t="n">
        <v>34.55496</v>
      </c>
      <c r="V118" t="n">
        <v>34.55496</v>
      </c>
      <c r="W118" t="n">
        <v>71.462779</v>
      </c>
      <c r="X118" t="n">
        <v>1758.686512</v>
      </c>
      <c r="Y118" t="n">
        <v>101.933235</v>
      </c>
      <c r="Z118" t="n">
        <v>241.661422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140.953883</v>
      </c>
      <c r="F119" t="n">
        <v>200.641254</v>
      </c>
      <c r="G119" t="n">
        <v>11101.904562</v>
      </c>
      <c r="H119" t="n">
        <v>25660602.941085</v>
      </c>
      <c r="I119" t="n">
        <v>6244.222521</v>
      </c>
      <c r="J119" t="n">
        <v>6325.914048</v>
      </c>
      <c r="K119" t="n">
        <v>1872.204427</v>
      </c>
      <c r="L119" t="n">
        <v>7112.982475</v>
      </c>
      <c r="M119" t="n">
        <v>7112.982475</v>
      </c>
      <c r="N119" t="n">
        <v>7112.982475</v>
      </c>
      <c r="O119" t="n">
        <v>87.969483</v>
      </c>
      <c r="P119" t="n">
        <v>46.580547</v>
      </c>
      <c r="Q119" t="n">
        <v>7112.982475</v>
      </c>
      <c r="R119" t="n">
        <v>7112.982475</v>
      </c>
      <c r="S119" t="n">
        <v>87.969483</v>
      </c>
      <c r="T119" t="n">
        <v>87.969483</v>
      </c>
      <c r="U119" t="n">
        <v>46.580547</v>
      </c>
      <c r="V119" t="n">
        <v>46.580547</v>
      </c>
      <c r="W119" t="n">
        <v>93.060855</v>
      </c>
      <c r="X119" t="n">
        <v>7459.131892</v>
      </c>
      <c r="Y119" t="n">
        <v>100.902165</v>
      </c>
      <c r="Z119" t="n">
        <v>211.14634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140.953883</v>
      </c>
      <c r="F120" t="n">
        <v>20.606299</v>
      </c>
      <c r="G120" t="n">
        <v>196.386285</v>
      </c>
      <c r="H120" t="n">
        <v>1009.116172</v>
      </c>
      <c r="I120" t="n">
        <v>131.71072</v>
      </c>
      <c r="J120" t="n">
        <v>131.71072</v>
      </c>
      <c r="K120" t="n">
        <v>125.125184</v>
      </c>
      <c r="L120" t="n">
        <v>130.894857</v>
      </c>
      <c r="M120" t="n">
        <v>130.894857</v>
      </c>
      <c r="N120" t="n">
        <v>130.894857</v>
      </c>
      <c r="O120" t="n">
        <v>12.255972</v>
      </c>
      <c r="P120" t="n">
        <v>8.448598</v>
      </c>
      <c r="Q120" t="n">
        <v>130.894857</v>
      </c>
      <c r="R120" t="n">
        <v>130.894857</v>
      </c>
      <c r="S120" t="n">
        <v>12.255972</v>
      </c>
      <c r="T120" t="n">
        <v>12.255972</v>
      </c>
      <c r="U120" t="n">
        <v>8.448598</v>
      </c>
      <c r="V120" t="n">
        <v>8.448598</v>
      </c>
      <c r="W120" t="n">
        <v>12.680707</v>
      </c>
      <c r="X120" t="n">
        <v>136.520004</v>
      </c>
      <c r="Y120" t="n">
        <v>13.974049</v>
      </c>
      <c r="Z120" t="n">
        <v>22.490141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140.953883</v>
      </c>
      <c r="F121" t="n">
        <v>308.68601</v>
      </c>
      <c r="G121" t="n">
        <v>22108.042525</v>
      </c>
      <c r="H121" t="n">
        <v>195781560.03917</v>
      </c>
      <c r="I121" t="n">
        <v>10706.101486</v>
      </c>
      <c r="J121" t="n">
        <v>10781.622707</v>
      </c>
      <c r="K121" t="n">
        <v>3924.510665</v>
      </c>
      <c r="L121" t="n">
        <v>18846.946222</v>
      </c>
      <c r="M121" t="n">
        <v>18846.946222</v>
      </c>
      <c r="N121" t="n">
        <v>18846.946222</v>
      </c>
      <c r="O121" t="n">
        <v>119.185901</v>
      </c>
      <c r="P121" t="n">
        <v>52.155741</v>
      </c>
      <c r="Q121" t="n">
        <v>18846.946222</v>
      </c>
      <c r="R121" t="n">
        <v>18846.946222</v>
      </c>
      <c r="S121" t="n">
        <v>119.185901</v>
      </c>
      <c r="T121" t="n">
        <v>119.185901</v>
      </c>
      <c r="U121" t="n">
        <v>52.155741</v>
      </c>
      <c r="V121" t="n">
        <v>52.155741</v>
      </c>
      <c r="W121" t="n">
        <v>124.506314</v>
      </c>
      <c r="X121" t="n">
        <v>20404.471037</v>
      </c>
      <c r="Y121" t="n">
        <v>147.889899</v>
      </c>
      <c r="Z121" t="n">
        <v>588.19732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140.953883</v>
      </c>
      <c r="F122" t="n">
        <v>57.638856</v>
      </c>
      <c r="G122" t="n">
        <v>1182.200226</v>
      </c>
      <c r="H122" t="n">
        <v>56775.373409</v>
      </c>
      <c r="I122" t="n">
        <v>512.103289</v>
      </c>
      <c r="J122" t="n">
        <v>553.467817</v>
      </c>
      <c r="K122" t="n">
        <v>525.794426</v>
      </c>
      <c r="L122" t="n">
        <v>602.712303</v>
      </c>
      <c r="M122" t="n">
        <v>602.712303</v>
      </c>
      <c r="N122" t="n">
        <v>602.712303</v>
      </c>
      <c r="O122" t="n">
        <v>31.190871</v>
      </c>
      <c r="P122" t="n">
        <v>18.283791</v>
      </c>
      <c r="Q122" t="n">
        <v>602.712303</v>
      </c>
      <c r="R122" t="n">
        <v>602.712303</v>
      </c>
      <c r="S122" t="n">
        <v>31.190871</v>
      </c>
      <c r="T122" t="n">
        <v>31.190871</v>
      </c>
      <c r="U122" t="n">
        <v>18.283791</v>
      </c>
      <c r="V122" t="n">
        <v>18.283791</v>
      </c>
      <c r="W122" t="n">
        <v>32.089433</v>
      </c>
      <c r="X122" t="n">
        <v>622.065443</v>
      </c>
      <c r="Y122" t="n">
        <v>34.252552</v>
      </c>
      <c r="Z122" t="n">
        <v>73.57281500000001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140.953883</v>
      </c>
      <c r="F123" t="n">
        <v>158.552335</v>
      </c>
      <c r="G123" t="n">
        <v>6912.013677</v>
      </c>
      <c r="H123" t="n">
        <v>2905118.284102</v>
      </c>
      <c r="I123" t="n">
        <v>3502.459341</v>
      </c>
      <c r="J123" t="n">
        <v>3796.144916</v>
      </c>
      <c r="K123" t="n">
        <v>1780.391965</v>
      </c>
      <c r="L123" t="n">
        <v>4710.704014</v>
      </c>
      <c r="M123" t="n">
        <v>4710.704014</v>
      </c>
      <c r="N123" t="n">
        <v>4710.704014</v>
      </c>
      <c r="O123" t="n">
        <v>105.183965</v>
      </c>
      <c r="P123" t="n">
        <v>52.828865</v>
      </c>
      <c r="Q123" t="n">
        <v>4710.704014</v>
      </c>
      <c r="R123" t="n">
        <v>4710.704014</v>
      </c>
      <c r="S123" t="n">
        <v>105.183965</v>
      </c>
      <c r="T123" t="n">
        <v>105.183965</v>
      </c>
      <c r="U123" t="n">
        <v>52.828865</v>
      </c>
      <c r="V123" t="n">
        <v>52.828865</v>
      </c>
      <c r="W123" t="n">
        <v>109.611209</v>
      </c>
      <c r="X123" t="n">
        <v>5115.038689</v>
      </c>
      <c r="Y123" t="n">
        <v>82.74413800000001</v>
      </c>
      <c r="Z123" t="n">
        <v>193.416145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140.953883</v>
      </c>
      <c r="F124" t="n">
        <v>228.824285</v>
      </c>
      <c r="G124" t="n">
        <v>13739.954406</v>
      </c>
      <c r="H124" t="n">
        <v>114798702.260359</v>
      </c>
      <c r="I124" t="n">
        <v>6590.793316</v>
      </c>
      <c r="J124" t="n">
        <v>7071.146917</v>
      </c>
      <c r="K124" t="n">
        <v>2576.928919</v>
      </c>
      <c r="L124" t="n">
        <v>10677.999207</v>
      </c>
      <c r="M124" t="n">
        <v>10677.999207</v>
      </c>
      <c r="N124" t="n">
        <v>10677.999207</v>
      </c>
      <c r="O124" t="n">
        <v>85.006417</v>
      </c>
      <c r="P124" t="n">
        <v>38.52237</v>
      </c>
      <c r="Q124" t="n">
        <v>10677.999207</v>
      </c>
      <c r="R124" t="n">
        <v>10677.999207</v>
      </c>
      <c r="S124" t="n">
        <v>85.006417</v>
      </c>
      <c r="T124" t="n">
        <v>85.006417</v>
      </c>
      <c r="U124" t="n">
        <v>38.52237</v>
      </c>
      <c r="V124" t="n">
        <v>38.52237</v>
      </c>
      <c r="W124" t="n">
        <v>88.306245</v>
      </c>
      <c r="X124" t="n">
        <v>11509.306401</v>
      </c>
      <c r="Y124" t="n">
        <v>113.373643</v>
      </c>
      <c r="Z124" t="n">
        <v>399.574722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140.953883</v>
      </c>
      <c r="F125" t="n">
        <v>228.824285</v>
      </c>
      <c r="G125" t="n">
        <v>13739.954406</v>
      </c>
      <c r="H125" t="n">
        <v>114798702.260359</v>
      </c>
      <c r="I125" t="n">
        <v>6590.793316</v>
      </c>
      <c r="J125" t="n">
        <v>7071.146917</v>
      </c>
      <c r="K125" t="n">
        <v>2576.928919</v>
      </c>
      <c r="L125" t="n">
        <v>10677.999207</v>
      </c>
      <c r="M125" t="n">
        <v>10677.999207</v>
      </c>
      <c r="N125" t="n">
        <v>10677.999207</v>
      </c>
      <c r="O125" t="n">
        <v>85.006417</v>
      </c>
      <c r="P125" t="n">
        <v>38.52237</v>
      </c>
      <c r="Q125" t="n">
        <v>10677.999207</v>
      </c>
      <c r="R125" t="n">
        <v>10677.999207</v>
      </c>
      <c r="S125" t="n">
        <v>85.006417</v>
      </c>
      <c r="T125" t="n">
        <v>85.006417</v>
      </c>
      <c r="U125" t="n">
        <v>38.52237</v>
      </c>
      <c r="V125" t="n">
        <v>38.52237</v>
      </c>
      <c r="W125" t="n">
        <v>88.306245</v>
      </c>
      <c r="X125" t="n">
        <v>11509.306401</v>
      </c>
      <c r="Y125" t="n">
        <v>113.373643</v>
      </c>
      <c r="Z125" t="n">
        <v>399.574722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140.953883</v>
      </c>
      <c r="F126" t="n">
        <v>158.552335</v>
      </c>
      <c r="G126" t="n">
        <v>6912.013677</v>
      </c>
      <c r="H126" t="n">
        <v>2905118.284102</v>
      </c>
      <c r="I126" t="n">
        <v>3502.459341</v>
      </c>
      <c r="J126" t="n">
        <v>3796.144916</v>
      </c>
      <c r="K126" t="n">
        <v>1780.391965</v>
      </c>
      <c r="L126" t="n">
        <v>4710.704014</v>
      </c>
      <c r="M126" t="n">
        <v>4710.704014</v>
      </c>
      <c r="N126" t="n">
        <v>4710.704014</v>
      </c>
      <c r="O126" t="n">
        <v>105.183965</v>
      </c>
      <c r="P126" t="n">
        <v>52.828865</v>
      </c>
      <c r="Q126" t="n">
        <v>4710.704014</v>
      </c>
      <c r="R126" t="n">
        <v>4710.704014</v>
      </c>
      <c r="S126" t="n">
        <v>105.183965</v>
      </c>
      <c r="T126" t="n">
        <v>105.183965</v>
      </c>
      <c r="U126" t="n">
        <v>52.828865</v>
      </c>
      <c r="V126" t="n">
        <v>52.828865</v>
      </c>
      <c r="W126" t="n">
        <v>109.611209</v>
      </c>
      <c r="X126" t="n">
        <v>5115.038689</v>
      </c>
      <c r="Y126" t="n">
        <v>82.74413800000001</v>
      </c>
      <c r="Z126" t="n">
        <v>193.416145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140.953883</v>
      </c>
      <c r="F127" t="n">
        <v>20.606299</v>
      </c>
      <c r="G127" t="n">
        <v>196.386285</v>
      </c>
      <c r="H127" t="n">
        <v>1009.116172</v>
      </c>
      <c r="I127" t="n">
        <v>131.71072</v>
      </c>
      <c r="J127" t="n">
        <v>131.71072</v>
      </c>
      <c r="K127" t="n">
        <v>125.125184</v>
      </c>
      <c r="L127" t="n">
        <v>130.894857</v>
      </c>
      <c r="M127" t="n">
        <v>130.894857</v>
      </c>
      <c r="N127" t="n">
        <v>130.894857</v>
      </c>
      <c r="O127" t="n">
        <v>12.255972</v>
      </c>
      <c r="P127" t="n">
        <v>8.448598</v>
      </c>
      <c r="Q127" t="n">
        <v>130.894857</v>
      </c>
      <c r="R127" t="n">
        <v>130.894857</v>
      </c>
      <c r="S127" t="n">
        <v>12.255972</v>
      </c>
      <c r="T127" t="n">
        <v>12.255972</v>
      </c>
      <c r="U127" t="n">
        <v>8.448598</v>
      </c>
      <c r="V127" t="n">
        <v>8.448598</v>
      </c>
      <c r="W127" t="n">
        <v>12.680707</v>
      </c>
      <c r="X127" t="n">
        <v>136.520004</v>
      </c>
      <c r="Y127" t="n">
        <v>13.974049</v>
      </c>
      <c r="Z127" t="n">
        <v>22.490141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140.953883</v>
      </c>
      <c r="F128" t="n">
        <v>200.641254</v>
      </c>
      <c r="G128" t="n">
        <v>11101.904562</v>
      </c>
      <c r="H128" t="n">
        <v>25660602.941085</v>
      </c>
      <c r="I128" t="n">
        <v>6244.222521</v>
      </c>
      <c r="J128" t="n">
        <v>6325.914048</v>
      </c>
      <c r="K128" t="n">
        <v>1872.204427</v>
      </c>
      <c r="L128" t="n">
        <v>7112.982475</v>
      </c>
      <c r="M128" t="n">
        <v>7112.982475</v>
      </c>
      <c r="N128" t="n">
        <v>7112.982475</v>
      </c>
      <c r="O128" t="n">
        <v>87.969483</v>
      </c>
      <c r="P128" t="n">
        <v>46.580547</v>
      </c>
      <c r="Q128" t="n">
        <v>7112.982475</v>
      </c>
      <c r="R128" t="n">
        <v>7112.982475</v>
      </c>
      <c r="S128" t="n">
        <v>87.969483</v>
      </c>
      <c r="T128" t="n">
        <v>87.969483</v>
      </c>
      <c r="U128" t="n">
        <v>46.580547</v>
      </c>
      <c r="V128" t="n">
        <v>46.580547</v>
      </c>
      <c r="W128" t="n">
        <v>93.060855</v>
      </c>
      <c r="X128" t="n">
        <v>7459.131892</v>
      </c>
      <c r="Y128" t="n">
        <v>100.902165</v>
      </c>
      <c r="Z128" t="n">
        <v>211.14634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140.953883</v>
      </c>
      <c r="F129" t="n">
        <v>228.824285</v>
      </c>
      <c r="G129" t="n">
        <v>13739.954406</v>
      </c>
      <c r="H129" t="n">
        <v>114798702.260359</v>
      </c>
      <c r="I129" t="n">
        <v>6590.793316</v>
      </c>
      <c r="J129" t="n">
        <v>7071.146917</v>
      </c>
      <c r="K129" t="n">
        <v>2576.928919</v>
      </c>
      <c r="L129" t="n">
        <v>10677.999207</v>
      </c>
      <c r="M129" t="n">
        <v>10677.999207</v>
      </c>
      <c r="N129" t="n">
        <v>10677.999207</v>
      </c>
      <c r="O129" t="n">
        <v>85.006417</v>
      </c>
      <c r="P129" t="n">
        <v>38.52237</v>
      </c>
      <c r="Q129" t="n">
        <v>10677.999207</v>
      </c>
      <c r="R129" t="n">
        <v>10677.999207</v>
      </c>
      <c r="S129" t="n">
        <v>85.006417</v>
      </c>
      <c r="T129" t="n">
        <v>85.006417</v>
      </c>
      <c r="U129" t="n">
        <v>38.52237</v>
      </c>
      <c r="V129" t="n">
        <v>38.52237</v>
      </c>
      <c r="W129" t="n">
        <v>88.306245</v>
      </c>
      <c r="X129" t="n">
        <v>11509.306401</v>
      </c>
      <c r="Y129" t="n">
        <v>113.373643</v>
      </c>
      <c r="Z129" t="n">
        <v>399.574722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140.953883</v>
      </c>
      <c r="F130" t="n">
        <v>60.479203</v>
      </c>
      <c r="G130" t="n">
        <v>1285.725322</v>
      </c>
      <c r="H130" t="n">
        <v>3025.478454</v>
      </c>
      <c r="I130" t="n">
        <v>395.888053</v>
      </c>
      <c r="J130" t="n">
        <v>395.888053</v>
      </c>
      <c r="K130" t="n">
        <v>376.09365</v>
      </c>
      <c r="L130" t="n">
        <v>393.787233</v>
      </c>
      <c r="M130" t="n">
        <v>393.787233</v>
      </c>
      <c r="N130" t="n">
        <v>393.787233</v>
      </c>
      <c r="O130" t="n">
        <v>20.916473</v>
      </c>
      <c r="P130" t="n">
        <v>13.510088</v>
      </c>
      <c r="Q130" t="n">
        <v>393.787233</v>
      </c>
      <c r="R130" t="n">
        <v>393.787233</v>
      </c>
      <c r="S130" t="n">
        <v>20.916473</v>
      </c>
      <c r="T130" t="n">
        <v>20.916473</v>
      </c>
      <c r="U130" t="n">
        <v>13.510088</v>
      </c>
      <c r="V130" t="n">
        <v>13.510088</v>
      </c>
      <c r="W130" t="n">
        <v>21.939981</v>
      </c>
      <c r="X130" t="n">
        <v>405.784084</v>
      </c>
      <c r="Y130" t="n">
        <v>35.719215</v>
      </c>
      <c r="Z130" t="n">
        <v>45.472786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140.953883</v>
      </c>
      <c r="F131" t="n">
        <v>201.414719</v>
      </c>
      <c r="G131" t="n">
        <v>10494.380534</v>
      </c>
      <c r="H131" t="n">
        <v>3053422.756123</v>
      </c>
      <c r="I131" t="n">
        <v>1402.335676</v>
      </c>
      <c r="J131" t="n">
        <v>1449.344811</v>
      </c>
      <c r="K131" t="n">
        <v>1136.286332</v>
      </c>
      <c r="L131" t="n">
        <v>1692.571887</v>
      </c>
      <c r="M131" t="n">
        <v>1692.571887</v>
      </c>
      <c r="N131" t="n">
        <v>1692.571887</v>
      </c>
      <c r="O131" t="n">
        <v>68.15794</v>
      </c>
      <c r="P131" t="n">
        <v>34.55496</v>
      </c>
      <c r="Q131" t="n">
        <v>1692.571887</v>
      </c>
      <c r="R131" t="n">
        <v>1692.571887</v>
      </c>
      <c r="S131" t="n">
        <v>68.15794</v>
      </c>
      <c r="T131" t="n">
        <v>68.15794</v>
      </c>
      <c r="U131" t="n">
        <v>34.55496</v>
      </c>
      <c r="V131" t="n">
        <v>34.55496</v>
      </c>
      <c r="W131" t="n">
        <v>71.462779</v>
      </c>
      <c r="X131" t="n">
        <v>1758.686512</v>
      </c>
      <c r="Y131" t="n">
        <v>101.933235</v>
      </c>
      <c r="Z131" t="n">
        <v>241.661422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140.953883</v>
      </c>
      <c r="F132" t="n">
        <v>95.34341499999999</v>
      </c>
      <c r="G132" t="n">
        <v>2845.346423</v>
      </c>
      <c r="H132" t="n">
        <v>490526.782878</v>
      </c>
      <c r="I132" t="n">
        <v>569.846189</v>
      </c>
      <c r="J132" t="n">
        <v>594.287325</v>
      </c>
      <c r="K132" t="n">
        <v>564.572959</v>
      </c>
      <c r="L132" t="n">
        <v>738.02552</v>
      </c>
      <c r="M132" t="n">
        <v>738.02552</v>
      </c>
      <c r="N132" t="n">
        <v>738.02552</v>
      </c>
      <c r="O132" t="n">
        <v>39.685535</v>
      </c>
      <c r="P132" t="n">
        <v>21.622034</v>
      </c>
      <c r="Q132" t="n">
        <v>738.02552</v>
      </c>
      <c r="R132" t="n">
        <v>738.02552</v>
      </c>
      <c r="S132" t="n">
        <v>39.685535</v>
      </c>
      <c r="T132" t="n">
        <v>39.685535</v>
      </c>
      <c r="U132" t="n">
        <v>21.622034</v>
      </c>
      <c r="V132" t="n">
        <v>21.622034</v>
      </c>
      <c r="W132" t="n">
        <v>41.109943</v>
      </c>
      <c r="X132" t="n">
        <v>772.895549</v>
      </c>
      <c r="Y132" t="n">
        <v>53.114101</v>
      </c>
      <c r="Z132" t="n">
        <v>112.240217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140.953883</v>
      </c>
      <c r="F133" t="n">
        <v>342.280115</v>
      </c>
      <c r="G133" t="n">
        <v>26475.575966</v>
      </c>
      <c r="H133" t="n">
        <v>257355.857038</v>
      </c>
      <c r="I133" t="n">
        <v>1585.623721</v>
      </c>
      <c r="J133" t="n">
        <v>1650.152477</v>
      </c>
      <c r="K133" t="n">
        <v>1567.644853</v>
      </c>
      <c r="L133" t="n">
        <v>2274.19106</v>
      </c>
      <c r="M133" t="n">
        <v>2274.19106</v>
      </c>
      <c r="N133" t="n">
        <v>2274.19106</v>
      </c>
      <c r="O133" t="n">
        <v>105.127985</v>
      </c>
      <c r="P133" t="n">
        <v>50.974766</v>
      </c>
      <c r="Q133" t="n">
        <v>2274.19106</v>
      </c>
      <c r="R133" t="n">
        <v>2274.19106</v>
      </c>
      <c r="S133" t="n">
        <v>105.127985</v>
      </c>
      <c r="T133" t="n">
        <v>105.127985</v>
      </c>
      <c r="U133" t="n">
        <v>50.974766</v>
      </c>
      <c r="V133" t="n">
        <v>50.974766</v>
      </c>
      <c r="W133" t="n">
        <v>111.155847</v>
      </c>
      <c r="X133" t="n">
        <v>2438.947747</v>
      </c>
      <c r="Y133" t="n">
        <v>161.824385</v>
      </c>
      <c r="Z133" t="n">
        <v>255.683683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140.953883</v>
      </c>
      <c r="F134" t="n">
        <v>554.842266</v>
      </c>
      <c r="G134" t="n">
        <v>61511.195509</v>
      </c>
      <c r="H134" t="n">
        <v>20307429.163039</v>
      </c>
      <c r="I134" t="n">
        <v>3230.237663</v>
      </c>
      <c r="J134" t="n">
        <v>3367.037571</v>
      </c>
      <c r="K134" t="n">
        <v>3198.685692</v>
      </c>
      <c r="L134" t="n">
        <v>4133.4309</v>
      </c>
      <c r="M134" t="n">
        <v>4133.4309</v>
      </c>
      <c r="N134" t="n">
        <v>4133.4309</v>
      </c>
      <c r="O134" t="n">
        <v>205.658598</v>
      </c>
      <c r="P134" t="n">
        <v>91.38801100000001</v>
      </c>
      <c r="Q134" t="n">
        <v>4133.4309</v>
      </c>
      <c r="R134" t="n">
        <v>4133.4309</v>
      </c>
      <c r="S134" t="n">
        <v>205.658598</v>
      </c>
      <c r="T134" t="n">
        <v>205.658598</v>
      </c>
      <c r="U134" t="n">
        <v>91.38801100000001</v>
      </c>
      <c r="V134" t="n">
        <v>91.38801100000001</v>
      </c>
      <c r="W134" t="n">
        <v>216.473302</v>
      </c>
      <c r="X134" t="n">
        <v>4393.486979</v>
      </c>
      <c r="Y134" t="n">
        <v>246.547973</v>
      </c>
      <c r="Z134" t="n">
        <v>636.567642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140.953883</v>
      </c>
      <c r="F135" t="n">
        <v>200.641254</v>
      </c>
      <c r="G135" t="n">
        <v>11101.904562</v>
      </c>
      <c r="H135" t="n">
        <v>25660602.941085</v>
      </c>
      <c r="I135" t="n">
        <v>6244.222521</v>
      </c>
      <c r="J135" t="n">
        <v>6325.914048</v>
      </c>
      <c r="K135" t="n">
        <v>1872.204427</v>
      </c>
      <c r="L135" t="n">
        <v>7112.982475</v>
      </c>
      <c r="M135" t="n">
        <v>7112.982475</v>
      </c>
      <c r="N135" t="n">
        <v>7112.982475</v>
      </c>
      <c r="O135" t="n">
        <v>87.969483</v>
      </c>
      <c r="P135" t="n">
        <v>46.580547</v>
      </c>
      <c r="Q135" t="n">
        <v>7112.982475</v>
      </c>
      <c r="R135" t="n">
        <v>7112.982475</v>
      </c>
      <c r="S135" t="n">
        <v>87.969483</v>
      </c>
      <c r="T135" t="n">
        <v>87.969483</v>
      </c>
      <c r="U135" t="n">
        <v>46.580547</v>
      </c>
      <c r="V135" t="n">
        <v>46.580547</v>
      </c>
      <c r="W135" t="n">
        <v>93.060855</v>
      </c>
      <c r="X135" t="n">
        <v>7459.131892</v>
      </c>
      <c r="Y135" t="n">
        <v>100.902165</v>
      </c>
      <c r="Z135" t="n">
        <v>211.14634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140.953883</v>
      </c>
      <c r="F136" t="n">
        <v>667.104795</v>
      </c>
      <c r="G136" t="n">
        <v>84841.433393</v>
      </c>
      <c r="H136" t="n">
        <v>62527803.444478</v>
      </c>
      <c r="I136" t="n">
        <v>9604.557183999999</v>
      </c>
      <c r="J136" t="n">
        <v>10115.319409</v>
      </c>
      <c r="K136" t="n">
        <v>2437.791978</v>
      </c>
      <c r="L136" t="n">
        <v>16798.641648</v>
      </c>
      <c r="M136" t="n">
        <v>16798.641648</v>
      </c>
      <c r="N136" t="n">
        <v>16798.641648</v>
      </c>
      <c r="O136" t="n">
        <v>88.03658900000001</v>
      </c>
      <c r="P136" t="n">
        <v>38.159556</v>
      </c>
      <c r="Q136" t="n">
        <v>16798.641648</v>
      </c>
      <c r="R136" t="n">
        <v>16798.641648</v>
      </c>
      <c r="S136" t="n">
        <v>88.03658900000001</v>
      </c>
      <c r="T136" t="n">
        <v>88.03658900000001</v>
      </c>
      <c r="U136" t="n">
        <v>38.159556</v>
      </c>
      <c r="V136" t="n">
        <v>38.159556</v>
      </c>
      <c r="W136" t="n">
        <v>92.54017</v>
      </c>
      <c r="X136" t="n">
        <v>18119.633615</v>
      </c>
      <c r="Y136" t="n">
        <v>289.503115</v>
      </c>
      <c r="Z136" t="n">
        <v>659.652259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140.953883</v>
      </c>
      <c r="F137" t="n">
        <v>539.046528</v>
      </c>
      <c r="G137" t="n">
        <v>58487.681751</v>
      </c>
      <c r="H137" t="n">
        <v>89769700.66949099</v>
      </c>
      <c r="I137" t="n">
        <v>10399.759602</v>
      </c>
      <c r="J137" t="n">
        <v>10694.630086</v>
      </c>
      <c r="K137" t="n">
        <v>4010.486282</v>
      </c>
      <c r="L137" t="n">
        <v>14214.100911</v>
      </c>
      <c r="M137" t="n">
        <v>14214.100911</v>
      </c>
      <c r="N137" t="n">
        <v>14214.100911</v>
      </c>
      <c r="O137" t="n">
        <v>203.72024</v>
      </c>
      <c r="P137" t="n">
        <v>90.708206</v>
      </c>
      <c r="Q137" t="n">
        <v>14214.100911</v>
      </c>
      <c r="R137" t="n">
        <v>14214.100911</v>
      </c>
      <c r="S137" t="n">
        <v>203.72024</v>
      </c>
      <c r="T137" t="n">
        <v>203.72024</v>
      </c>
      <c r="U137" t="n">
        <v>90.708206</v>
      </c>
      <c r="V137" t="n">
        <v>90.708206</v>
      </c>
      <c r="W137" t="n">
        <v>213.076898</v>
      </c>
      <c r="X137" t="n">
        <v>15231.972848</v>
      </c>
      <c r="Y137" t="n">
        <v>240.418747</v>
      </c>
      <c r="Z137" t="n">
        <v>654.813563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140.953883</v>
      </c>
      <c r="F138" t="n">
        <v>14.712171</v>
      </c>
      <c r="G138" t="n">
        <v>109.082967</v>
      </c>
      <c r="H138" t="n">
        <v>1554.089564</v>
      </c>
      <c r="I138" t="n">
        <v>87.52377799999999</v>
      </c>
      <c r="J138" t="n">
        <v>87.52377799999999</v>
      </c>
      <c r="K138" t="n">
        <v>33.521607</v>
      </c>
      <c r="L138" t="n">
        <v>92.59366</v>
      </c>
      <c r="M138" t="n">
        <v>92.59366</v>
      </c>
      <c r="N138" t="n">
        <v>92.59366</v>
      </c>
      <c r="O138" t="n">
        <v>4.448657</v>
      </c>
      <c r="P138" t="n">
        <v>3.058348</v>
      </c>
      <c r="Q138" t="n">
        <v>92.59366</v>
      </c>
      <c r="R138" t="n">
        <v>92.59366</v>
      </c>
      <c r="S138" t="n">
        <v>4.448657</v>
      </c>
      <c r="T138" t="n">
        <v>4.448657</v>
      </c>
      <c r="U138" t="n">
        <v>3.058348</v>
      </c>
      <c r="V138" t="n">
        <v>3.058348</v>
      </c>
      <c r="W138" t="n">
        <v>4.556294</v>
      </c>
      <c r="X138" t="n">
        <v>96.447226</v>
      </c>
      <c r="Y138" t="n">
        <v>10.417956</v>
      </c>
      <c r="Z138" t="n">
        <v>17.174689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140.953883</v>
      </c>
      <c r="F139" t="n">
        <v>554.842266</v>
      </c>
      <c r="G139" t="n">
        <v>61511.195509</v>
      </c>
      <c r="H139" t="n">
        <v>20307429.163039</v>
      </c>
      <c r="I139" t="n">
        <v>3230.237663</v>
      </c>
      <c r="J139" t="n">
        <v>3367.037571</v>
      </c>
      <c r="K139" t="n">
        <v>3198.685692</v>
      </c>
      <c r="L139" t="n">
        <v>4133.4309</v>
      </c>
      <c r="M139" t="n">
        <v>4133.4309</v>
      </c>
      <c r="N139" t="n">
        <v>4133.4309</v>
      </c>
      <c r="O139" t="n">
        <v>205.658598</v>
      </c>
      <c r="P139" t="n">
        <v>91.38801100000001</v>
      </c>
      <c r="Q139" t="n">
        <v>4133.4309</v>
      </c>
      <c r="R139" t="n">
        <v>4133.4309</v>
      </c>
      <c r="S139" t="n">
        <v>205.658598</v>
      </c>
      <c r="T139" t="n">
        <v>205.658598</v>
      </c>
      <c r="U139" t="n">
        <v>91.38801100000001</v>
      </c>
      <c r="V139" t="n">
        <v>91.38801100000001</v>
      </c>
      <c r="W139" t="n">
        <v>216.473302</v>
      </c>
      <c r="X139" t="n">
        <v>4393.486979</v>
      </c>
      <c r="Y139" t="n">
        <v>246.547973</v>
      </c>
      <c r="Z139" t="n">
        <v>636.567642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140.953883</v>
      </c>
      <c r="F140" t="n">
        <v>95.34341499999999</v>
      </c>
      <c r="G140" t="n">
        <v>2845.346423</v>
      </c>
      <c r="H140" t="n">
        <v>490526.782878</v>
      </c>
      <c r="I140" t="n">
        <v>569.846189</v>
      </c>
      <c r="J140" t="n">
        <v>594.287325</v>
      </c>
      <c r="K140" t="n">
        <v>564.572959</v>
      </c>
      <c r="L140" t="n">
        <v>738.02552</v>
      </c>
      <c r="M140" t="n">
        <v>738.02552</v>
      </c>
      <c r="N140" t="n">
        <v>738.02552</v>
      </c>
      <c r="O140" t="n">
        <v>39.685535</v>
      </c>
      <c r="P140" t="n">
        <v>21.622034</v>
      </c>
      <c r="Q140" t="n">
        <v>738.02552</v>
      </c>
      <c r="R140" t="n">
        <v>738.02552</v>
      </c>
      <c r="S140" t="n">
        <v>39.685535</v>
      </c>
      <c r="T140" t="n">
        <v>39.685535</v>
      </c>
      <c r="U140" t="n">
        <v>21.622034</v>
      </c>
      <c r="V140" t="n">
        <v>21.622034</v>
      </c>
      <c r="W140" t="n">
        <v>41.109943</v>
      </c>
      <c r="X140" t="n">
        <v>772.895549</v>
      </c>
      <c r="Y140" t="n">
        <v>53.114101</v>
      </c>
      <c r="Z140" t="n">
        <v>112.240217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140.953883</v>
      </c>
      <c r="F141" t="n">
        <v>14.897287</v>
      </c>
      <c r="G141" t="n">
        <v>111.587464</v>
      </c>
      <c r="H141" t="n">
        <v>2476.952642</v>
      </c>
      <c r="I141" t="n">
        <v>95.149017</v>
      </c>
      <c r="J141" t="n">
        <v>95.149017</v>
      </c>
      <c r="K141" t="n">
        <v>40.179908</v>
      </c>
      <c r="L141" t="n">
        <v>103.926902</v>
      </c>
      <c r="M141" t="n">
        <v>103.926902</v>
      </c>
      <c r="N141" t="n">
        <v>103.926902</v>
      </c>
      <c r="O141" t="n">
        <v>5.06752</v>
      </c>
      <c r="P141" t="n">
        <v>3.473792</v>
      </c>
      <c r="Q141" t="n">
        <v>103.926902</v>
      </c>
      <c r="R141" t="n">
        <v>103.926902</v>
      </c>
      <c r="S141" t="n">
        <v>5.06752</v>
      </c>
      <c r="T141" t="n">
        <v>5.06752</v>
      </c>
      <c r="U141" t="n">
        <v>3.473792</v>
      </c>
      <c r="V141" t="n">
        <v>3.473792</v>
      </c>
      <c r="W141" t="n">
        <v>5.182583</v>
      </c>
      <c r="X141" t="n">
        <v>108.431266</v>
      </c>
      <c r="Y141" t="n">
        <v>10.531379</v>
      </c>
      <c r="Z141" t="n">
        <v>18.084908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140.953883</v>
      </c>
      <c r="F142" t="n">
        <v>200.641254</v>
      </c>
      <c r="G142" t="n">
        <v>11101.904562</v>
      </c>
      <c r="H142" t="n">
        <v>25660602.941085</v>
      </c>
      <c r="I142" t="n">
        <v>6244.222521</v>
      </c>
      <c r="J142" t="n">
        <v>6325.914048</v>
      </c>
      <c r="K142" t="n">
        <v>1872.204427</v>
      </c>
      <c r="L142" t="n">
        <v>7112.982475</v>
      </c>
      <c r="M142" t="n">
        <v>7112.982475</v>
      </c>
      <c r="N142" t="n">
        <v>7112.982475</v>
      </c>
      <c r="O142" t="n">
        <v>87.969483</v>
      </c>
      <c r="P142" t="n">
        <v>46.580547</v>
      </c>
      <c r="Q142" t="n">
        <v>7112.982475</v>
      </c>
      <c r="R142" t="n">
        <v>7112.982475</v>
      </c>
      <c r="S142" t="n">
        <v>87.969483</v>
      </c>
      <c r="T142" t="n">
        <v>87.969483</v>
      </c>
      <c r="U142" t="n">
        <v>46.580547</v>
      </c>
      <c r="V142" t="n">
        <v>46.580547</v>
      </c>
      <c r="W142" t="n">
        <v>93.060855</v>
      </c>
      <c r="X142" t="n">
        <v>7459.131892</v>
      </c>
      <c r="Y142" t="n">
        <v>100.902165</v>
      </c>
      <c r="Z142" t="n">
        <v>211.14634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140.953883</v>
      </c>
      <c r="F143" t="n">
        <v>170.518341</v>
      </c>
      <c r="G143" t="n">
        <v>7847.80585</v>
      </c>
      <c r="H143" t="n">
        <v>421935.650343</v>
      </c>
      <c r="I143" t="n">
        <v>1050.872908</v>
      </c>
      <c r="J143" t="n">
        <v>1075.829695</v>
      </c>
      <c r="K143" t="n">
        <v>537.914847</v>
      </c>
      <c r="L143" t="n">
        <v>1659.687874</v>
      </c>
      <c r="M143" t="n">
        <v>1659.687874</v>
      </c>
      <c r="N143" t="n">
        <v>1659.687874</v>
      </c>
      <c r="O143" t="n">
        <v>31.362197</v>
      </c>
      <c r="P143" t="n">
        <v>16.184075</v>
      </c>
      <c r="Q143" t="n">
        <v>1659.687874</v>
      </c>
      <c r="R143" t="n">
        <v>1659.687874</v>
      </c>
      <c r="S143" t="n">
        <v>31.362197</v>
      </c>
      <c r="T143" t="n">
        <v>31.362197</v>
      </c>
      <c r="U143" t="n">
        <v>16.184075</v>
      </c>
      <c r="V143" t="n">
        <v>16.184075</v>
      </c>
      <c r="W143" t="n">
        <v>32.286772</v>
      </c>
      <c r="X143" t="n">
        <v>1775.112325</v>
      </c>
      <c r="Y143" t="n">
        <v>88.16158900000001</v>
      </c>
      <c r="Z143" t="n">
        <v>173.868813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140.953883</v>
      </c>
      <c r="F144" t="n">
        <v>539.046528</v>
      </c>
      <c r="G144" t="n">
        <v>58487.681751</v>
      </c>
      <c r="H144" t="n">
        <v>89769700.66949099</v>
      </c>
      <c r="I144" t="n">
        <v>10399.759602</v>
      </c>
      <c r="J144" t="n">
        <v>10694.630086</v>
      </c>
      <c r="K144" t="n">
        <v>4010.486282</v>
      </c>
      <c r="L144" t="n">
        <v>14214.100911</v>
      </c>
      <c r="M144" t="n">
        <v>14214.100911</v>
      </c>
      <c r="N144" t="n">
        <v>14214.100911</v>
      </c>
      <c r="O144" t="n">
        <v>203.72024</v>
      </c>
      <c r="P144" t="n">
        <v>90.708206</v>
      </c>
      <c r="Q144" t="n">
        <v>14214.100911</v>
      </c>
      <c r="R144" t="n">
        <v>14214.100911</v>
      </c>
      <c r="S144" t="n">
        <v>203.72024</v>
      </c>
      <c r="T144" t="n">
        <v>203.72024</v>
      </c>
      <c r="U144" t="n">
        <v>90.708206</v>
      </c>
      <c r="V144" t="n">
        <v>90.708206</v>
      </c>
      <c r="W144" t="n">
        <v>213.076898</v>
      </c>
      <c r="X144" t="n">
        <v>15231.972848</v>
      </c>
      <c r="Y144" t="n">
        <v>240.418747</v>
      </c>
      <c r="Z144" t="n">
        <v>654.813563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140.953883</v>
      </c>
      <c r="F145" t="n">
        <v>251.096546</v>
      </c>
      <c r="G145" t="n">
        <v>15842.809489</v>
      </c>
      <c r="H145" t="n">
        <v>17515502.131016</v>
      </c>
      <c r="I145" t="n">
        <v>2592.828475</v>
      </c>
      <c r="J145" t="n">
        <v>2668.302146</v>
      </c>
      <c r="K145" t="n">
        <v>1626.885542</v>
      </c>
      <c r="L145" t="n">
        <v>3240.975912</v>
      </c>
      <c r="M145" t="n">
        <v>3240.975912</v>
      </c>
      <c r="N145" t="n">
        <v>3240.975912</v>
      </c>
      <c r="O145" t="n">
        <v>87.234846</v>
      </c>
      <c r="P145" t="n">
        <v>41.935227</v>
      </c>
      <c r="Q145" t="n">
        <v>3240.975912</v>
      </c>
      <c r="R145" t="n">
        <v>3240.975912</v>
      </c>
      <c r="S145" t="n">
        <v>87.234846</v>
      </c>
      <c r="T145" t="n">
        <v>87.234846</v>
      </c>
      <c r="U145" t="n">
        <v>41.935227</v>
      </c>
      <c r="V145" t="n">
        <v>41.935227</v>
      </c>
      <c r="W145" t="n">
        <v>91.178747</v>
      </c>
      <c r="X145" t="n">
        <v>3446.878316</v>
      </c>
      <c r="Y145" t="n">
        <v>123.223374</v>
      </c>
      <c r="Z145" t="n">
        <v>333.724839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140.953883</v>
      </c>
      <c r="F146" t="n">
        <v>228.824285</v>
      </c>
      <c r="G146" t="n">
        <v>13739.954406</v>
      </c>
      <c r="H146" t="n">
        <v>114798702.260359</v>
      </c>
      <c r="I146" t="n">
        <v>6590.793316</v>
      </c>
      <c r="J146" t="n">
        <v>7071.146917</v>
      </c>
      <c r="K146" t="n">
        <v>2576.928919</v>
      </c>
      <c r="L146" t="n">
        <v>10677.999207</v>
      </c>
      <c r="M146" t="n">
        <v>10677.999207</v>
      </c>
      <c r="N146" t="n">
        <v>10677.999207</v>
      </c>
      <c r="O146" t="n">
        <v>85.006417</v>
      </c>
      <c r="P146" t="n">
        <v>38.52237</v>
      </c>
      <c r="Q146" t="n">
        <v>10677.999207</v>
      </c>
      <c r="R146" t="n">
        <v>10677.999207</v>
      </c>
      <c r="S146" t="n">
        <v>85.006417</v>
      </c>
      <c r="T146" t="n">
        <v>85.006417</v>
      </c>
      <c r="U146" t="n">
        <v>38.52237</v>
      </c>
      <c r="V146" t="n">
        <v>38.52237</v>
      </c>
      <c r="W146" t="n">
        <v>88.306245</v>
      </c>
      <c r="X146" t="n">
        <v>11509.306401</v>
      </c>
      <c r="Y146" t="n">
        <v>113.373643</v>
      </c>
      <c r="Z146" t="n">
        <v>399.574722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140.953883</v>
      </c>
      <c r="F147" t="n">
        <v>60.479203</v>
      </c>
      <c r="G147" t="n">
        <v>1285.725322</v>
      </c>
      <c r="H147" t="n">
        <v>3025.478454</v>
      </c>
      <c r="I147" t="n">
        <v>395.888053</v>
      </c>
      <c r="J147" t="n">
        <v>395.888053</v>
      </c>
      <c r="K147" t="n">
        <v>376.09365</v>
      </c>
      <c r="L147" t="n">
        <v>393.787233</v>
      </c>
      <c r="M147" t="n">
        <v>393.787233</v>
      </c>
      <c r="N147" t="n">
        <v>393.787233</v>
      </c>
      <c r="O147" t="n">
        <v>20.916473</v>
      </c>
      <c r="P147" t="n">
        <v>13.510088</v>
      </c>
      <c r="Q147" t="n">
        <v>393.787233</v>
      </c>
      <c r="R147" t="n">
        <v>393.787233</v>
      </c>
      <c r="S147" t="n">
        <v>20.916473</v>
      </c>
      <c r="T147" t="n">
        <v>20.916473</v>
      </c>
      <c r="U147" t="n">
        <v>13.510088</v>
      </c>
      <c r="V147" t="n">
        <v>13.510088</v>
      </c>
      <c r="W147" t="n">
        <v>21.939981</v>
      </c>
      <c r="X147" t="n">
        <v>405.784084</v>
      </c>
      <c r="Y147" t="n">
        <v>35.719215</v>
      </c>
      <c r="Z147" t="n">
        <v>45.472786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140.953883</v>
      </c>
      <c r="F148" t="n">
        <v>95.34341499999999</v>
      </c>
      <c r="G148" t="n">
        <v>2845.346423</v>
      </c>
      <c r="H148" t="n">
        <v>490526.782878</v>
      </c>
      <c r="I148" t="n">
        <v>569.846189</v>
      </c>
      <c r="J148" t="n">
        <v>594.287325</v>
      </c>
      <c r="K148" t="n">
        <v>564.572959</v>
      </c>
      <c r="L148" t="n">
        <v>738.02552</v>
      </c>
      <c r="M148" t="n">
        <v>738.02552</v>
      </c>
      <c r="N148" t="n">
        <v>738.02552</v>
      </c>
      <c r="O148" t="n">
        <v>39.685535</v>
      </c>
      <c r="P148" t="n">
        <v>21.622034</v>
      </c>
      <c r="Q148" t="n">
        <v>738.02552</v>
      </c>
      <c r="R148" t="n">
        <v>738.02552</v>
      </c>
      <c r="S148" t="n">
        <v>39.685535</v>
      </c>
      <c r="T148" t="n">
        <v>39.685535</v>
      </c>
      <c r="U148" t="n">
        <v>21.622034</v>
      </c>
      <c r="V148" t="n">
        <v>21.622034</v>
      </c>
      <c r="W148" t="n">
        <v>41.109943</v>
      </c>
      <c r="X148" t="n">
        <v>772.895549</v>
      </c>
      <c r="Y148" t="n">
        <v>53.114101</v>
      </c>
      <c r="Z148" t="n">
        <v>112.240217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140.953883</v>
      </c>
      <c r="F149" t="n">
        <v>200.641254</v>
      </c>
      <c r="G149" t="n">
        <v>11101.904562</v>
      </c>
      <c r="H149" t="n">
        <v>25660602.941085</v>
      </c>
      <c r="I149" t="n">
        <v>6244.222521</v>
      </c>
      <c r="J149" t="n">
        <v>6325.914048</v>
      </c>
      <c r="K149" t="n">
        <v>1872.204427</v>
      </c>
      <c r="L149" t="n">
        <v>7112.982475</v>
      </c>
      <c r="M149" t="n">
        <v>7112.982475</v>
      </c>
      <c r="N149" t="n">
        <v>7112.982475</v>
      </c>
      <c r="O149" t="n">
        <v>87.969483</v>
      </c>
      <c r="P149" t="n">
        <v>46.580547</v>
      </c>
      <c r="Q149" t="n">
        <v>7112.982475</v>
      </c>
      <c r="R149" t="n">
        <v>7112.982475</v>
      </c>
      <c r="S149" t="n">
        <v>87.969483</v>
      </c>
      <c r="T149" t="n">
        <v>87.969483</v>
      </c>
      <c r="U149" t="n">
        <v>46.580547</v>
      </c>
      <c r="V149" t="n">
        <v>46.580547</v>
      </c>
      <c r="W149" t="n">
        <v>93.060855</v>
      </c>
      <c r="X149" t="n">
        <v>7459.131892</v>
      </c>
      <c r="Y149" t="n">
        <v>100.902165</v>
      </c>
      <c r="Z149" t="n">
        <v>211.14634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140.953883</v>
      </c>
      <c r="F150" t="n">
        <v>228.824285</v>
      </c>
      <c r="G150" t="n">
        <v>13739.954406</v>
      </c>
      <c r="H150" t="n">
        <v>114798702.260359</v>
      </c>
      <c r="I150" t="n">
        <v>6590.793316</v>
      </c>
      <c r="J150" t="n">
        <v>7071.146917</v>
      </c>
      <c r="K150" t="n">
        <v>2576.928919</v>
      </c>
      <c r="L150" t="n">
        <v>10677.999207</v>
      </c>
      <c r="M150" t="n">
        <v>10677.999207</v>
      </c>
      <c r="N150" t="n">
        <v>10677.999207</v>
      </c>
      <c r="O150" t="n">
        <v>85.006417</v>
      </c>
      <c r="P150" t="n">
        <v>38.52237</v>
      </c>
      <c r="Q150" t="n">
        <v>10677.999207</v>
      </c>
      <c r="R150" t="n">
        <v>10677.999207</v>
      </c>
      <c r="S150" t="n">
        <v>85.006417</v>
      </c>
      <c r="T150" t="n">
        <v>85.006417</v>
      </c>
      <c r="U150" t="n">
        <v>38.52237</v>
      </c>
      <c r="V150" t="n">
        <v>38.52237</v>
      </c>
      <c r="W150" t="n">
        <v>88.306245</v>
      </c>
      <c r="X150" t="n">
        <v>11509.306401</v>
      </c>
      <c r="Y150" t="n">
        <v>113.373643</v>
      </c>
      <c r="Z150" t="n">
        <v>399.574722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140.953883</v>
      </c>
      <c r="F151" t="n">
        <v>228.824285</v>
      </c>
      <c r="G151" t="n">
        <v>13739.954406</v>
      </c>
      <c r="H151" t="n">
        <v>114798702.260359</v>
      </c>
      <c r="I151" t="n">
        <v>6590.793316</v>
      </c>
      <c r="J151" t="n">
        <v>7071.146917</v>
      </c>
      <c r="K151" t="n">
        <v>2576.928919</v>
      </c>
      <c r="L151" t="n">
        <v>10677.999207</v>
      </c>
      <c r="M151" t="n">
        <v>10677.999207</v>
      </c>
      <c r="N151" t="n">
        <v>10677.999207</v>
      </c>
      <c r="O151" t="n">
        <v>85.006417</v>
      </c>
      <c r="P151" t="n">
        <v>38.52237</v>
      </c>
      <c r="Q151" t="n">
        <v>10677.999207</v>
      </c>
      <c r="R151" t="n">
        <v>10677.999207</v>
      </c>
      <c r="S151" t="n">
        <v>85.006417</v>
      </c>
      <c r="T151" t="n">
        <v>85.006417</v>
      </c>
      <c r="U151" t="n">
        <v>38.52237</v>
      </c>
      <c r="V151" t="n">
        <v>38.52237</v>
      </c>
      <c r="W151" t="n">
        <v>88.306245</v>
      </c>
      <c r="X151" t="n">
        <v>11509.306401</v>
      </c>
      <c r="Y151" t="n">
        <v>113.373643</v>
      </c>
      <c r="Z151" t="n">
        <v>399.574722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140.953883</v>
      </c>
      <c r="F152" t="n">
        <v>177.371403</v>
      </c>
      <c r="G152" t="n">
        <v>9540.408934999999</v>
      </c>
      <c r="H152" t="n">
        <v>70736320.08912501</v>
      </c>
      <c r="I152" t="n">
        <v>4269.898312</v>
      </c>
      <c r="J152" t="n">
        <v>4574.511297</v>
      </c>
      <c r="K152" t="n">
        <v>1801.225895</v>
      </c>
      <c r="L152" t="n">
        <v>6846.4367</v>
      </c>
      <c r="M152" t="n">
        <v>6846.4367</v>
      </c>
      <c r="N152" t="n">
        <v>6846.4367</v>
      </c>
      <c r="O152" t="n">
        <v>67.536573</v>
      </c>
      <c r="P152" t="n">
        <v>32.007796</v>
      </c>
      <c r="Q152" t="n">
        <v>6846.4367</v>
      </c>
      <c r="R152" t="n">
        <v>6846.4367</v>
      </c>
      <c r="S152" t="n">
        <v>67.536573</v>
      </c>
      <c r="T152" t="n">
        <v>67.536573</v>
      </c>
      <c r="U152" t="n">
        <v>32.007796</v>
      </c>
      <c r="V152" t="n">
        <v>32.007796</v>
      </c>
      <c r="W152" t="n">
        <v>70.113483</v>
      </c>
      <c r="X152" t="n">
        <v>7370.741192</v>
      </c>
      <c r="Y152" t="n">
        <v>90.145392</v>
      </c>
      <c r="Z152" t="n">
        <v>288.815865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140.953883</v>
      </c>
      <c r="F153" t="n">
        <v>10</v>
      </c>
      <c r="G153" t="n">
        <v>55.608076</v>
      </c>
      <c r="H153" t="n">
        <v>55.608076</v>
      </c>
      <c r="I153" t="n">
        <v>115.384615</v>
      </c>
      <c r="J153" t="n">
        <v>115.384615</v>
      </c>
      <c r="K153" t="n">
        <v>6</v>
      </c>
      <c r="L153" t="n">
        <v>114.728394</v>
      </c>
      <c r="M153" t="n">
        <v>114.728394</v>
      </c>
      <c r="N153" t="n">
        <v>114.728394</v>
      </c>
      <c r="O153" t="n">
        <v>6.05984</v>
      </c>
      <c r="P153" t="n">
        <v>4.848511</v>
      </c>
      <c r="Q153" t="n">
        <v>114.728394</v>
      </c>
      <c r="R153" t="n">
        <v>114.728394</v>
      </c>
      <c r="S153" t="n">
        <v>6.05984</v>
      </c>
      <c r="T153" t="n">
        <v>6.05984</v>
      </c>
      <c r="U153" t="n">
        <v>4.848511</v>
      </c>
      <c r="V153" t="n">
        <v>4.848511</v>
      </c>
      <c r="W153" t="n">
        <v>6.224783</v>
      </c>
      <c r="X153" t="n">
        <v>116.846993</v>
      </c>
      <c r="Y153" t="n">
        <v>7.440984</v>
      </c>
      <c r="Z153" t="n">
        <v>7.440984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140.953883</v>
      </c>
      <c r="F154" t="n">
        <v>60.479203</v>
      </c>
      <c r="G154" t="n">
        <v>1285.725322</v>
      </c>
      <c r="H154" t="n">
        <v>3025.478454</v>
      </c>
      <c r="I154" t="n">
        <v>395.888053</v>
      </c>
      <c r="J154" t="n">
        <v>395.888053</v>
      </c>
      <c r="K154" t="n">
        <v>376.09365</v>
      </c>
      <c r="L154" t="n">
        <v>393.787233</v>
      </c>
      <c r="M154" t="n">
        <v>393.787233</v>
      </c>
      <c r="N154" t="n">
        <v>393.787233</v>
      </c>
      <c r="O154" t="n">
        <v>20.916473</v>
      </c>
      <c r="P154" t="n">
        <v>13.510088</v>
      </c>
      <c r="Q154" t="n">
        <v>393.787233</v>
      </c>
      <c r="R154" t="n">
        <v>393.787233</v>
      </c>
      <c r="S154" t="n">
        <v>20.916473</v>
      </c>
      <c r="T154" t="n">
        <v>20.916473</v>
      </c>
      <c r="U154" t="n">
        <v>13.510088</v>
      </c>
      <c r="V154" t="n">
        <v>13.510088</v>
      </c>
      <c r="W154" t="n">
        <v>21.939981</v>
      </c>
      <c r="X154" t="n">
        <v>405.784084</v>
      </c>
      <c r="Y154" t="n">
        <v>35.719215</v>
      </c>
      <c r="Z154" t="n">
        <v>45.472786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140.953883</v>
      </c>
      <c r="F155" t="n">
        <v>200.641254</v>
      </c>
      <c r="G155" t="n">
        <v>11101.904562</v>
      </c>
      <c r="H155" t="n">
        <v>25660602.941085</v>
      </c>
      <c r="I155" t="n">
        <v>6244.222521</v>
      </c>
      <c r="J155" t="n">
        <v>6325.914048</v>
      </c>
      <c r="K155" t="n">
        <v>1872.204427</v>
      </c>
      <c r="L155" t="n">
        <v>7112.982475</v>
      </c>
      <c r="M155" t="n">
        <v>7112.982475</v>
      </c>
      <c r="N155" t="n">
        <v>7112.982475</v>
      </c>
      <c r="O155" t="n">
        <v>87.969483</v>
      </c>
      <c r="P155" t="n">
        <v>46.580547</v>
      </c>
      <c r="Q155" t="n">
        <v>7112.982475</v>
      </c>
      <c r="R155" t="n">
        <v>7112.982475</v>
      </c>
      <c r="S155" t="n">
        <v>87.969483</v>
      </c>
      <c r="T155" t="n">
        <v>87.969483</v>
      </c>
      <c r="U155" t="n">
        <v>46.580547</v>
      </c>
      <c r="V155" t="n">
        <v>46.580547</v>
      </c>
      <c r="W155" t="n">
        <v>93.060855</v>
      </c>
      <c r="X155" t="n">
        <v>7459.131892</v>
      </c>
      <c r="Y155" t="n">
        <v>100.902165</v>
      </c>
      <c r="Z155" t="n">
        <v>211.14634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140.953883</v>
      </c>
      <c r="F156" t="n">
        <v>228.824285</v>
      </c>
      <c r="G156" t="n">
        <v>13739.954406</v>
      </c>
      <c r="H156" t="n">
        <v>114798702.260359</v>
      </c>
      <c r="I156" t="n">
        <v>6590.793316</v>
      </c>
      <c r="J156" t="n">
        <v>7071.146917</v>
      </c>
      <c r="K156" t="n">
        <v>2576.928919</v>
      </c>
      <c r="L156" t="n">
        <v>10677.999207</v>
      </c>
      <c r="M156" t="n">
        <v>10677.999207</v>
      </c>
      <c r="N156" t="n">
        <v>10677.999207</v>
      </c>
      <c r="O156" t="n">
        <v>85.006417</v>
      </c>
      <c r="P156" t="n">
        <v>38.52237</v>
      </c>
      <c r="Q156" t="n">
        <v>10677.999207</v>
      </c>
      <c r="R156" t="n">
        <v>10677.999207</v>
      </c>
      <c r="S156" t="n">
        <v>85.006417</v>
      </c>
      <c r="T156" t="n">
        <v>85.006417</v>
      </c>
      <c r="U156" t="n">
        <v>38.52237</v>
      </c>
      <c r="V156" t="n">
        <v>38.52237</v>
      </c>
      <c r="W156" t="n">
        <v>88.306245</v>
      </c>
      <c r="X156" t="n">
        <v>11509.306401</v>
      </c>
      <c r="Y156" t="n">
        <v>113.373643</v>
      </c>
      <c r="Z156" t="n">
        <v>399.574722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140.953883</v>
      </c>
      <c r="F157" t="n">
        <v>200.641254</v>
      </c>
      <c r="G157" t="n">
        <v>11101.904562</v>
      </c>
      <c r="H157" t="n">
        <v>25660602.941085</v>
      </c>
      <c r="I157" t="n">
        <v>6244.222521</v>
      </c>
      <c r="J157" t="n">
        <v>6325.914048</v>
      </c>
      <c r="K157" t="n">
        <v>1872.204427</v>
      </c>
      <c r="L157" t="n">
        <v>7112.982475</v>
      </c>
      <c r="M157" t="n">
        <v>7112.982475</v>
      </c>
      <c r="N157" t="n">
        <v>7112.982475</v>
      </c>
      <c r="O157" t="n">
        <v>87.969483</v>
      </c>
      <c r="P157" t="n">
        <v>46.580547</v>
      </c>
      <c r="Q157" t="n">
        <v>7112.982475</v>
      </c>
      <c r="R157" t="n">
        <v>7112.982475</v>
      </c>
      <c r="S157" t="n">
        <v>87.969483</v>
      </c>
      <c r="T157" t="n">
        <v>87.969483</v>
      </c>
      <c r="U157" t="n">
        <v>46.580547</v>
      </c>
      <c r="V157" t="n">
        <v>46.580547</v>
      </c>
      <c r="W157" t="n">
        <v>93.060855</v>
      </c>
      <c r="X157" t="n">
        <v>7459.131892</v>
      </c>
      <c r="Y157" t="n">
        <v>100.902165</v>
      </c>
      <c r="Z157" t="n">
        <v>211.14634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140.953883</v>
      </c>
      <c r="F158" t="n">
        <v>200.641254</v>
      </c>
      <c r="G158" t="n">
        <v>11101.904562</v>
      </c>
      <c r="H158" t="n">
        <v>25660602.941085</v>
      </c>
      <c r="I158" t="n">
        <v>6244.222521</v>
      </c>
      <c r="J158" t="n">
        <v>6325.914048</v>
      </c>
      <c r="K158" t="n">
        <v>1872.204427</v>
      </c>
      <c r="L158" t="n">
        <v>7112.982475</v>
      </c>
      <c r="M158" t="n">
        <v>7112.982475</v>
      </c>
      <c r="N158" t="n">
        <v>7112.982475</v>
      </c>
      <c r="O158" t="n">
        <v>87.969483</v>
      </c>
      <c r="P158" t="n">
        <v>46.580547</v>
      </c>
      <c r="Q158" t="n">
        <v>7112.982475</v>
      </c>
      <c r="R158" t="n">
        <v>7112.982475</v>
      </c>
      <c r="S158" t="n">
        <v>87.969483</v>
      </c>
      <c r="T158" t="n">
        <v>87.969483</v>
      </c>
      <c r="U158" t="n">
        <v>46.580547</v>
      </c>
      <c r="V158" t="n">
        <v>46.580547</v>
      </c>
      <c r="W158" t="n">
        <v>93.060855</v>
      </c>
      <c r="X158" t="n">
        <v>7459.131892</v>
      </c>
      <c r="Y158" t="n">
        <v>100.902165</v>
      </c>
      <c r="Z158" t="n">
        <v>211.14634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140.953883</v>
      </c>
      <c r="F159" t="n">
        <v>228.824285</v>
      </c>
      <c r="G159" t="n">
        <v>13739.954406</v>
      </c>
      <c r="H159" t="n">
        <v>114798702.260359</v>
      </c>
      <c r="I159" t="n">
        <v>6590.793316</v>
      </c>
      <c r="J159" t="n">
        <v>7071.146917</v>
      </c>
      <c r="K159" t="n">
        <v>2576.928919</v>
      </c>
      <c r="L159" t="n">
        <v>10677.999207</v>
      </c>
      <c r="M159" t="n">
        <v>10677.999207</v>
      </c>
      <c r="N159" t="n">
        <v>10677.999207</v>
      </c>
      <c r="O159" t="n">
        <v>85.006417</v>
      </c>
      <c r="P159" t="n">
        <v>38.52237</v>
      </c>
      <c r="Q159" t="n">
        <v>10677.999207</v>
      </c>
      <c r="R159" t="n">
        <v>10677.999207</v>
      </c>
      <c r="S159" t="n">
        <v>85.006417</v>
      </c>
      <c r="T159" t="n">
        <v>85.006417</v>
      </c>
      <c r="U159" t="n">
        <v>38.52237</v>
      </c>
      <c r="V159" t="n">
        <v>38.52237</v>
      </c>
      <c r="W159" t="n">
        <v>88.306245</v>
      </c>
      <c r="X159" t="n">
        <v>11509.306401</v>
      </c>
      <c r="Y159" t="n">
        <v>113.373643</v>
      </c>
      <c r="Z159" t="n">
        <v>399.574722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140.953883</v>
      </c>
      <c r="F160" t="n">
        <v>539.046528</v>
      </c>
      <c r="G160" t="n">
        <v>58487.681751</v>
      </c>
      <c r="H160" t="n">
        <v>89769700.66949099</v>
      </c>
      <c r="I160" t="n">
        <v>10399.759602</v>
      </c>
      <c r="J160" t="n">
        <v>10694.630086</v>
      </c>
      <c r="K160" t="n">
        <v>4010.486282</v>
      </c>
      <c r="L160" t="n">
        <v>14214.100911</v>
      </c>
      <c r="M160" t="n">
        <v>14214.100911</v>
      </c>
      <c r="N160" t="n">
        <v>14214.100911</v>
      </c>
      <c r="O160" t="n">
        <v>203.72024</v>
      </c>
      <c r="P160" t="n">
        <v>90.708206</v>
      </c>
      <c r="Q160" t="n">
        <v>14214.100911</v>
      </c>
      <c r="R160" t="n">
        <v>14214.100911</v>
      </c>
      <c r="S160" t="n">
        <v>203.72024</v>
      </c>
      <c r="T160" t="n">
        <v>203.72024</v>
      </c>
      <c r="U160" t="n">
        <v>90.708206</v>
      </c>
      <c r="V160" t="n">
        <v>90.708206</v>
      </c>
      <c r="W160" t="n">
        <v>213.076898</v>
      </c>
      <c r="X160" t="n">
        <v>15231.972848</v>
      </c>
      <c r="Y160" t="n">
        <v>240.418747</v>
      </c>
      <c r="Z160" t="n">
        <v>654.813563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140.953883</v>
      </c>
      <c r="F161" t="n">
        <v>60.479203</v>
      </c>
      <c r="G161" t="n">
        <v>1285.725322</v>
      </c>
      <c r="H161" t="n">
        <v>3025.478454</v>
      </c>
      <c r="I161" t="n">
        <v>395.888053</v>
      </c>
      <c r="J161" t="n">
        <v>395.888053</v>
      </c>
      <c r="K161" t="n">
        <v>376.09365</v>
      </c>
      <c r="L161" t="n">
        <v>393.787233</v>
      </c>
      <c r="M161" t="n">
        <v>393.787233</v>
      </c>
      <c r="N161" t="n">
        <v>393.787233</v>
      </c>
      <c r="O161" t="n">
        <v>20.916473</v>
      </c>
      <c r="P161" t="n">
        <v>13.510088</v>
      </c>
      <c r="Q161" t="n">
        <v>393.787233</v>
      </c>
      <c r="R161" t="n">
        <v>393.787233</v>
      </c>
      <c r="S161" t="n">
        <v>20.916473</v>
      </c>
      <c r="T161" t="n">
        <v>20.916473</v>
      </c>
      <c r="U161" t="n">
        <v>13.510088</v>
      </c>
      <c r="V161" t="n">
        <v>13.510088</v>
      </c>
      <c r="W161" t="n">
        <v>21.939981</v>
      </c>
      <c r="X161" t="n">
        <v>405.784084</v>
      </c>
      <c r="Y161" t="n">
        <v>35.719215</v>
      </c>
      <c r="Z161" t="n">
        <v>45.472786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140.953883</v>
      </c>
      <c r="F162" t="n">
        <v>14.712171</v>
      </c>
      <c r="G162" t="n">
        <v>109.082967</v>
      </c>
      <c r="H162" t="n">
        <v>1554.089564</v>
      </c>
      <c r="I162" t="n">
        <v>87.52377799999999</v>
      </c>
      <c r="J162" t="n">
        <v>87.52377799999999</v>
      </c>
      <c r="K162" t="n">
        <v>33.521607</v>
      </c>
      <c r="L162" t="n">
        <v>92.59366</v>
      </c>
      <c r="M162" t="n">
        <v>92.59366</v>
      </c>
      <c r="N162" t="n">
        <v>92.59366</v>
      </c>
      <c r="O162" t="n">
        <v>4.448657</v>
      </c>
      <c r="P162" t="n">
        <v>3.058348</v>
      </c>
      <c r="Q162" t="n">
        <v>92.59366</v>
      </c>
      <c r="R162" t="n">
        <v>92.59366</v>
      </c>
      <c r="S162" t="n">
        <v>4.448657</v>
      </c>
      <c r="T162" t="n">
        <v>4.448657</v>
      </c>
      <c r="U162" t="n">
        <v>3.058348</v>
      </c>
      <c r="V162" t="n">
        <v>3.058348</v>
      </c>
      <c r="W162" t="n">
        <v>4.556294</v>
      </c>
      <c r="X162" t="n">
        <v>96.447226</v>
      </c>
      <c r="Y162" t="n">
        <v>10.417956</v>
      </c>
      <c r="Z162" t="n">
        <v>17.174689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140.953883</v>
      </c>
      <c r="F163" t="n">
        <v>908.988005</v>
      </c>
      <c r="G163" t="n">
        <v>145576.696024</v>
      </c>
      <c r="H163" t="n">
        <v>48080410.421404</v>
      </c>
      <c r="I163" t="n">
        <v>125208.792952</v>
      </c>
      <c r="J163" t="n">
        <v>126616.154086</v>
      </c>
      <c r="K163" t="n">
        <v>63308.077043</v>
      </c>
      <c r="L163" t="n">
        <v>172174.15174</v>
      </c>
      <c r="M163" t="n">
        <v>172174.151739</v>
      </c>
      <c r="N163" t="n">
        <v>172174.151739</v>
      </c>
      <c r="O163" t="n">
        <v>202.141045</v>
      </c>
      <c r="P163" t="n">
        <v>87.49926499999999</v>
      </c>
      <c r="Q163" t="n">
        <v>172174.151739</v>
      </c>
      <c r="R163" t="n">
        <v>172174.151739</v>
      </c>
      <c r="S163" t="n">
        <v>202.141045</v>
      </c>
      <c r="T163" t="n">
        <v>202.141045</v>
      </c>
      <c r="U163" t="n">
        <v>87.49926499999999</v>
      </c>
      <c r="V163" t="n">
        <v>87.49926499999999</v>
      </c>
      <c r="W163" t="n">
        <v>214.928725</v>
      </c>
      <c r="X163" t="n">
        <v>183923.261916</v>
      </c>
      <c r="Y163" t="n">
        <v>379.113334</v>
      </c>
      <c r="Z163" t="n">
        <v>767.7179190000001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140.953883</v>
      </c>
      <c r="F164" t="n">
        <v>200.641254</v>
      </c>
      <c r="G164" t="n">
        <v>11101.904562</v>
      </c>
      <c r="H164" t="n">
        <v>25660602.941085</v>
      </c>
      <c r="I164" t="n">
        <v>6244.222521</v>
      </c>
      <c r="J164" t="n">
        <v>6325.914048</v>
      </c>
      <c r="K164" t="n">
        <v>1872.204427</v>
      </c>
      <c r="L164" t="n">
        <v>7112.982475</v>
      </c>
      <c r="M164" t="n">
        <v>7112.982475</v>
      </c>
      <c r="N164" t="n">
        <v>7112.982475</v>
      </c>
      <c r="O164" t="n">
        <v>87.969483</v>
      </c>
      <c r="P164" t="n">
        <v>46.580547</v>
      </c>
      <c r="Q164" t="n">
        <v>7112.982475</v>
      </c>
      <c r="R164" t="n">
        <v>7112.982475</v>
      </c>
      <c r="S164" t="n">
        <v>87.969483</v>
      </c>
      <c r="T164" t="n">
        <v>87.969483</v>
      </c>
      <c r="U164" t="n">
        <v>46.580547</v>
      </c>
      <c r="V164" t="n">
        <v>46.580547</v>
      </c>
      <c r="W164" t="n">
        <v>93.060855</v>
      </c>
      <c r="X164" t="n">
        <v>7459.131892</v>
      </c>
      <c r="Y164" t="n">
        <v>100.902165</v>
      </c>
      <c r="Z164" t="n">
        <v>211.14634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140.953883</v>
      </c>
      <c r="F165" t="n">
        <v>57.638856</v>
      </c>
      <c r="G165" t="n">
        <v>1182.200226</v>
      </c>
      <c r="H165" t="n">
        <v>56775.373409</v>
      </c>
      <c r="I165" t="n">
        <v>512.103289</v>
      </c>
      <c r="J165" t="n">
        <v>553.467817</v>
      </c>
      <c r="K165" t="n">
        <v>525.794426</v>
      </c>
      <c r="L165" t="n">
        <v>602.712303</v>
      </c>
      <c r="M165" t="n">
        <v>602.712303</v>
      </c>
      <c r="N165" t="n">
        <v>602.712303</v>
      </c>
      <c r="O165" t="n">
        <v>31.190871</v>
      </c>
      <c r="P165" t="n">
        <v>18.283791</v>
      </c>
      <c r="Q165" t="n">
        <v>602.712303</v>
      </c>
      <c r="R165" t="n">
        <v>602.712303</v>
      </c>
      <c r="S165" t="n">
        <v>31.190871</v>
      </c>
      <c r="T165" t="n">
        <v>31.190871</v>
      </c>
      <c r="U165" t="n">
        <v>18.283791</v>
      </c>
      <c r="V165" t="n">
        <v>18.283791</v>
      </c>
      <c r="W165" t="n">
        <v>32.089433</v>
      </c>
      <c r="X165" t="n">
        <v>622.065443</v>
      </c>
      <c r="Y165" t="n">
        <v>34.252552</v>
      </c>
      <c r="Z165" t="n">
        <v>73.57281500000001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140.953883</v>
      </c>
      <c r="F166" t="n">
        <v>200.641254</v>
      </c>
      <c r="G166" t="n">
        <v>11101.904562</v>
      </c>
      <c r="H166" t="n">
        <v>25660602.941085</v>
      </c>
      <c r="I166" t="n">
        <v>6244.222521</v>
      </c>
      <c r="J166" t="n">
        <v>6325.914048</v>
      </c>
      <c r="K166" t="n">
        <v>1872.204427</v>
      </c>
      <c r="L166" t="n">
        <v>7112.982475</v>
      </c>
      <c r="M166" t="n">
        <v>7112.982475</v>
      </c>
      <c r="N166" t="n">
        <v>7112.982475</v>
      </c>
      <c r="O166" t="n">
        <v>87.969483</v>
      </c>
      <c r="P166" t="n">
        <v>46.580547</v>
      </c>
      <c r="Q166" t="n">
        <v>7112.982475</v>
      </c>
      <c r="R166" t="n">
        <v>7112.982475</v>
      </c>
      <c r="S166" t="n">
        <v>87.969483</v>
      </c>
      <c r="T166" t="n">
        <v>87.969483</v>
      </c>
      <c r="U166" t="n">
        <v>46.580547</v>
      </c>
      <c r="V166" t="n">
        <v>46.580547</v>
      </c>
      <c r="W166" t="n">
        <v>93.060855</v>
      </c>
      <c r="X166" t="n">
        <v>7459.131892</v>
      </c>
      <c r="Y166" t="n">
        <v>100.902165</v>
      </c>
      <c r="Z166" t="n">
        <v>211.14634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140.953883</v>
      </c>
      <c r="F167" t="n">
        <v>33.254785</v>
      </c>
      <c r="G167" t="n">
        <v>452.736281</v>
      </c>
      <c r="H167" t="n">
        <v>34182.13294</v>
      </c>
      <c r="I167" t="n">
        <v>151.084056</v>
      </c>
      <c r="J167" t="n">
        <v>151.084056</v>
      </c>
      <c r="K167" t="n">
        <v>143.529853</v>
      </c>
      <c r="L167" t="n">
        <v>173.938876</v>
      </c>
      <c r="M167" t="n">
        <v>173.938876</v>
      </c>
      <c r="N167" t="n">
        <v>173.938876</v>
      </c>
      <c r="O167" t="n">
        <v>13.215653</v>
      </c>
      <c r="P167" t="n">
        <v>8.00437</v>
      </c>
      <c r="Q167" t="n">
        <v>173.938876</v>
      </c>
      <c r="R167" t="n">
        <v>173.938876</v>
      </c>
      <c r="S167" t="n">
        <v>13.215653</v>
      </c>
      <c r="T167" t="n">
        <v>13.215653</v>
      </c>
      <c r="U167" t="n">
        <v>8.00437</v>
      </c>
      <c r="V167" t="n">
        <v>8.00437</v>
      </c>
      <c r="W167" t="n">
        <v>13.539814</v>
      </c>
      <c r="X167" t="n">
        <v>184.933079</v>
      </c>
      <c r="Y167" t="n">
        <v>21.207733</v>
      </c>
      <c r="Z167" t="n">
        <v>52.601429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140.953883</v>
      </c>
      <c r="F168" t="n">
        <v>177.371403</v>
      </c>
      <c r="G168" t="n">
        <v>9540.408934999999</v>
      </c>
      <c r="H168" t="n">
        <v>70736320.08912501</v>
      </c>
      <c r="I168" t="n">
        <v>4269.898312</v>
      </c>
      <c r="J168" t="n">
        <v>4574.511297</v>
      </c>
      <c r="K168" t="n">
        <v>1801.225895</v>
      </c>
      <c r="L168" t="n">
        <v>6846.4367</v>
      </c>
      <c r="M168" t="n">
        <v>6846.4367</v>
      </c>
      <c r="N168" t="n">
        <v>6846.4367</v>
      </c>
      <c r="O168" t="n">
        <v>67.536573</v>
      </c>
      <c r="P168" t="n">
        <v>32.007796</v>
      </c>
      <c r="Q168" t="n">
        <v>6846.4367</v>
      </c>
      <c r="R168" t="n">
        <v>6846.4367</v>
      </c>
      <c r="S168" t="n">
        <v>67.536573</v>
      </c>
      <c r="T168" t="n">
        <v>67.536573</v>
      </c>
      <c r="U168" t="n">
        <v>32.007796</v>
      </c>
      <c r="V168" t="n">
        <v>32.007796</v>
      </c>
      <c r="W168" t="n">
        <v>70.113483</v>
      </c>
      <c r="X168" t="n">
        <v>7370.741192</v>
      </c>
      <c r="Y168" t="n">
        <v>90.145392</v>
      </c>
      <c r="Z168" t="n">
        <v>288.815865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140.953883</v>
      </c>
      <c r="F169" t="n">
        <v>177.371403</v>
      </c>
      <c r="G169" t="n">
        <v>9540.408934999999</v>
      </c>
      <c r="H169" t="n">
        <v>70736320.08912501</v>
      </c>
      <c r="I169" t="n">
        <v>4269.898312</v>
      </c>
      <c r="J169" t="n">
        <v>4574.511297</v>
      </c>
      <c r="K169" t="n">
        <v>1801.225895</v>
      </c>
      <c r="L169" t="n">
        <v>6846.4367</v>
      </c>
      <c r="M169" t="n">
        <v>6846.4367</v>
      </c>
      <c r="N169" t="n">
        <v>6846.4367</v>
      </c>
      <c r="O169" t="n">
        <v>67.536573</v>
      </c>
      <c r="P169" t="n">
        <v>32.007796</v>
      </c>
      <c r="Q169" t="n">
        <v>6846.4367</v>
      </c>
      <c r="R169" t="n">
        <v>6846.4367</v>
      </c>
      <c r="S169" t="n">
        <v>67.536573</v>
      </c>
      <c r="T169" t="n">
        <v>67.536573</v>
      </c>
      <c r="U169" t="n">
        <v>32.007796</v>
      </c>
      <c r="V169" t="n">
        <v>32.007796</v>
      </c>
      <c r="W169" t="n">
        <v>70.113483</v>
      </c>
      <c r="X169" t="n">
        <v>7370.741192</v>
      </c>
      <c r="Y169" t="n">
        <v>90.145392</v>
      </c>
      <c r="Z169" t="n">
        <v>288.815865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140.953883</v>
      </c>
      <c r="F170" t="n">
        <v>95.34341499999999</v>
      </c>
      <c r="G170" t="n">
        <v>2845.346423</v>
      </c>
      <c r="H170" t="n">
        <v>490526.782878</v>
      </c>
      <c r="I170" t="n">
        <v>569.846189</v>
      </c>
      <c r="J170" t="n">
        <v>594.287325</v>
      </c>
      <c r="K170" t="n">
        <v>564.572959</v>
      </c>
      <c r="L170" t="n">
        <v>738.02552</v>
      </c>
      <c r="M170" t="n">
        <v>738.02552</v>
      </c>
      <c r="N170" t="n">
        <v>738.02552</v>
      </c>
      <c r="O170" t="n">
        <v>39.685535</v>
      </c>
      <c r="P170" t="n">
        <v>21.622034</v>
      </c>
      <c r="Q170" t="n">
        <v>738.02552</v>
      </c>
      <c r="R170" t="n">
        <v>738.02552</v>
      </c>
      <c r="S170" t="n">
        <v>39.685535</v>
      </c>
      <c r="T170" t="n">
        <v>39.685535</v>
      </c>
      <c r="U170" t="n">
        <v>21.622034</v>
      </c>
      <c r="V170" t="n">
        <v>21.622034</v>
      </c>
      <c r="W170" t="n">
        <v>41.109943</v>
      </c>
      <c r="X170" t="n">
        <v>772.895549</v>
      </c>
      <c r="Y170" t="n">
        <v>53.114101</v>
      </c>
      <c r="Z170" t="n">
        <v>112.240217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140.953883</v>
      </c>
      <c r="F171" t="n">
        <v>200.641254</v>
      </c>
      <c r="G171" t="n">
        <v>11101.904562</v>
      </c>
      <c r="H171" t="n">
        <v>25660602.941085</v>
      </c>
      <c r="I171" t="n">
        <v>6244.222521</v>
      </c>
      <c r="J171" t="n">
        <v>6325.914048</v>
      </c>
      <c r="K171" t="n">
        <v>1872.204427</v>
      </c>
      <c r="L171" t="n">
        <v>7112.982475</v>
      </c>
      <c r="M171" t="n">
        <v>7112.982475</v>
      </c>
      <c r="N171" t="n">
        <v>7112.982475</v>
      </c>
      <c r="O171" t="n">
        <v>87.969483</v>
      </c>
      <c r="P171" t="n">
        <v>46.580547</v>
      </c>
      <c r="Q171" t="n">
        <v>7112.982475</v>
      </c>
      <c r="R171" t="n">
        <v>7112.982475</v>
      </c>
      <c r="S171" t="n">
        <v>87.969483</v>
      </c>
      <c r="T171" t="n">
        <v>87.969483</v>
      </c>
      <c r="U171" t="n">
        <v>46.580547</v>
      </c>
      <c r="V171" t="n">
        <v>46.580547</v>
      </c>
      <c r="W171" t="n">
        <v>93.060855</v>
      </c>
      <c r="X171" t="n">
        <v>7459.131892</v>
      </c>
      <c r="Y171" t="n">
        <v>100.902165</v>
      </c>
      <c r="Z171" t="n">
        <v>211.14634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140.953883</v>
      </c>
      <c r="F172" t="n">
        <v>228.824285</v>
      </c>
      <c r="G172" t="n">
        <v>13739.954406</v>
      </c>
      <c r="H172" t="n">
        <v>114798702.260359</v>
      </c>
      <c r="I172" t="n">
        <v>6590.793316</v>
      </c>
      <c r="J172" t="n">
        <v>7071.146917</v>
      </c>
      <c r="K172" t="n">
        <v>2576.928919</v>
      </c>
      <c r="L172" t="n">
        <v>10677.999207</v>
      </c>
      <c r="M172" t="n">
        <v>10677.999207</v>
      </c>
      <c r="N172" t="n">
        <v>10677.999207</v>
      </c>
      <c r="O172" t="n">
        <v>85.006417</v>
      </c>
      <c r="P172" t="n">
        <v>38.52237</v>
      </c>
      <c r="Q172" t="n">
        <v>10677.999207</v>
      </c>
      <c r="R172" t="n">
        <v>10677.999207</v>
      </c>
      <c r="S172" t="n">
        <v>85.006417</v>
      </c>
      <c r="T172" t="n">
        <v>85.006417</v>
      </c>
      <c r="U172" t="n">
        <v>38.52237</v>
      </c>
      <c r="V172" t="n">
        <v>38.52237</v>
      </c>
      <c r="W172" t="n">
        <v>88.306245</v>
      </c>
      <c r="X172" t="n">
        <v>11509.306401</v>
      </c>
      <c r="Y172" t="n">
        <v>113.373643</v>
      </c>
      <c r="Z172" t="n">
        <v>399.574722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140.953883</v>
      </c>
      <c r="F173" t="n">
        <v>14.712171</v>
      </c>
      <c r="G173" t="n">
        <v>109.082967</v>
      </c>
      <c r="H173" t="n">
        <v>1554.089564</v>
      </c>
      <c r="I173" t="n">
        <v>87.52377799999999</v>
      </c>
      <c r="J173" t="n">
        <v>87.52377799999999</v>
      </c>
      <c r="K173" t="n">
        <v>33.521607</v>
      </c>
      <c r="L173" t="n">
        <v>92.59366</v>
      </c>
      <c r="M173" t="n">
        <v>92.59366</v>
      </c>
      <c r="N173" t="n">
        <v>92.59366</v>
      </c>
      <c r="O173" t="n">
        <v>4.448657</v>
      </c>
      <c r="P173" t="n">
        <v>3.058348</v>
      </c>
      <c r="Q173" t="n">
        <v>92.59366</v>
      </c>
      <c r="R173" t="n">
        <v>92.59366</v>
      </c>
      <c r="S173" t="n">
        <v>4.448657</v>
      </c>
      <c r="T173" t="n">
        <v>4.448657</v>
      </c>
      <c r="U173" t="n">
        <v>3.058348</v>
      </c>
      <c r="V173" t="n">
        <v>3.058348</v>
      </c>
      <c r="W173" t="n">
        <v>4.556294</v>
      </c>
      <c r="X173" t="n">
        <v>96.447226</v>
      </c>
      <c r="Y173" t="n">
        <v>10.417956</v>
      </c>
      <c r="Z173" t="n">
        <v>17.174689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140.953883</v>
      </c>
      <c r="F174" t="n">
        <v>105.954074</v>
      </c>
      <c r="G174" t="n">
        <v>3420.656849</v>
      </c>
      <c r="H174" t="n">
        <v>525649.253812</v>
      </c>
      <c r="I174" t="n">
        <v>1687.26083</v>
      </c>
      <c r="J174" t="n">
        <v>1714.476263</v>
      </c>
      <c r="K174" t="n">
        <v>1652.755118</v>
      </c>
      <c r="L174" t="n">
        <v>1871.214813</v>
      </c>
      <c r="M174" t="n">
        <v>1871.214813</v>
      </c>
      <c r="N174" t="n">
        <v>1871.214813</v>
      </c>
      <c r="O174" t="n">
        <v>83.98319100000001</v>
      </c>
      <c r="P174" t="n">
        <v>49.600357</v>
      </c>
      <c r="Q174" t="n">
        <v>1871.214813</v>
      </c>
      <c r="R174" t="n">
        <v>1871.214813</v>
      </c>
      <c r="S174" t="n">
        <v>83.98319100000001</v>
      </c>
      <c r="T174" t="n">
        <v>83.98319100000001</v>
      </c>
      <c r="U174" t="n">
        <v>49.600357</v>
      </c>
      <c r="V174" t="n">
        <v>49.600357</v>
      </c>
      <c r="W174" t="n">
        <v>88.607298</v>
      </c>
      <c r="X174" t="n">
        <v>1933.149653</v>
      </c>
      <c r="Y174" t="n">
        <v>58.230967</v>
      </c>
      <c r="Z174" t="n">
        <v>93.19774700000001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140.953883</v>
      </c>
      <c r="F175" t="n">
        <v>228.824285</v>
      </c>
      <c r="G175" t="n">
        <v>13739.954406</v>
      </c>
      <c r="H175" t="n">
        <v>114798702.260359</v>
      </c>
      <c r="I175" t="n">
        <v>6590.793316</v>
      </c>
      <c r="J175" t="n">
        <v>7071.146917</v>
      </c>
      <c r="K175" t="n">
        <v>2576.928919</v>
      </c>
      <c r="L175" t="n">
        <v>10677.999207</v>
      </c>
      <c r="M175" t="n">
        <v>10677.999207</v>
      </c>
      <c r="N175" t="n">
        <v>10677.999207</v>
      </c>
      <c r="O175" t="n">
        <v>85.006417</v>
      </c>
      <c r="P175" t="n">
        <v>38.52237</v>
      </c>
      <c r="Q175" t="n">
        <v>10677.999207</v>
      </c>
      <c r="R175" t="n">
        <v>10677.999207</v>
      </c>
      <c r="S175" t="n">
        <v>85.006417</v>
      </c>
      <c r="T175" t="n">
        <v>85.006417</v>
      </c>
      <c r="U175" t="n">
        <v>38.52237</v>
      </c>
      <c r="V175" t="n">
        <v>38.52237</v>
      </c>
      <c r="W175" t="n">
        <v>88.306245</v>
      </c>
      <c r="X175" t="n">
        <v>11509.306401</v>
      </c>
      <c r="Y175" t="n">
        <v>113.373643</v>
      </c>
      <c r="Z175" t="n">
        <v>399.574722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140.953883</v>
      </c>
      <c r="F176" t="n">
        <v>170.518341</v>
      </c>
      <c r="G176" t="n">
        <v>7847.80585</v>
      </c>
      <c r="H176" t="n">
        <v>421935.650343</v>
      </c>
      <c r="I176" t="n">
        <v>1050.872908</v>
      </c>
      <c r="J176" t="n">
        <v>1075.829695</v>
      </c>
      <c r="K176" t="n">
        <v>537.914847</v>
      </c>
      <c r="L176" t="n">
        <v>1659.687874</v>
      </c>
      <c r="M176" t="n">
        <v>1659.687874</v>
      </c>
      <c r="N176" t="n">
        <v>1659.687874</v>
      </c>
      <c r="O176" t="n">
        <v>31.362197</v>
      </c>
      <c r="P176" t="n">
        <v>16.184075</v>
      </c>
      <c r="Q176" t="n">
        <v>1659.687874</v>
      </c>
      <c r="R176" t="n">
        <v>1659.687874</v>
      </c>
      <c r="S176" t="n">
        <v>31.362197</v>
      </c>
      <c r="T176" t="n">
        <v>31.362197</v>
      </c>
      <c r="U176" t="n">
        <v>16.184075</v>
      </c>
      <c r="V176" t="n">
        <v>16.184075</v>
      </c>
      <c r="W176" t="n">
        <v>32.286772</v>
      </c>
      <c r="X176" t="n">
        <v>1775.112325</v>
      </c>
      <c r="Y176" t="n">
        <v>88.16158900000001</v>
      </c>
      <c r="Z176" t="n">
        <v>173.868813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140.953883</v>
      </c>
      <c r="F177" t="n">
        <v>95.34341499999999</v>
      </c>
      <c r="G177" t="n">
        <v>2845.346423</v>
      </c>
      <c r="H177" t="n">
        <v>490526.782878</v>
      </c>
      <c r="I177" t="n">
        <v>569.846189</v>
      </c>
      <c r="J177" t="n">
        <v>594.287325</v>
      </c>
      <c r="K177" t="n">
        <v>564.572959</v>
      </c>
      <c r="L177" t="n">
        <v>738.02552</v>
      </c>
      <c r="M177" t="n">
        <v>738.02552</v>
      </c>
      <c r="N177" t="n">
        <v>738.02552</v>
      </c>
      <c r="O177" t="n">
        <v>39.685535</v>
      </c>
      <c r="P177" t="n">
        <v>21.622034</v>
      </c>
      <c r="Q177" t="n">
        <v>738.02552</v>
      </c>
      <c r="R177" t="n">
        <v>738.02552</v>
      </c>
      <c r="S177" t="n">
        <v>39.685535</v>
      </c>
      <c r="T177" t="n">
        <v>39.685535</v>
      </c>
      <c r="U177" t="n">
        <v>21.622034</v>
      </c>
      <c r="V177" t="n">
        <v>21.622034</v>
      </c>
      <c r="W177" t="n">
        <v>41.109943</v>
      </c>
      <c r="X177" t="n">
        <v>772.895549</v>
      </c>
      <c r="Y177" t="n">
        <v>53.114101</v>
      </c>
      <c r="Z177" t="n">
        <v>112.240217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140.953883</v>
      </c>
      <c r="F178" t="n">
        <v>103.790936</v>
      </c>
      <c r="G178" t="n">
        <v>3299.712955</v>
      </c>
      <c r="H178" t="n">
        <v>5979.61191</v>
      </c>
      <c r="I178" t="n">
        <v>468.918008</v>
      </c>
      <c r="J178" t="n">
        <v>473.97462</v>
      </c>
      <c r="K178" t="n">
        <v>450.275889</v>
      </c>
      <c r="L178" t="n">
        <v>711.02964</v>
      </c>
      <c r="M178" t="n">
        <v>711.02964</v>
      </c>
      <c r="N178" t="n">
        <v>711.02964</v>
      </c>
      <c r="O178" t="n">
        <v>34.656914</v>
      </c>
      <c r="P178" t="n">
        <v>19.970973</v>
      </c>
      <c r="Q178" t="n">
        <v>711.02964</v>
      </c>
      <c r="R178" t="n">
        <v>711.02964</v>
      </c>
      <c r="S178" t="n">
        <v>34.656914</v>
      </c>
      <c r="T178" t="n">
        <v>34.656914</v>
      </c>
      <c r="U178" t="n">
        <v>19.970973</v>
      </c>
      <c r="V178" t="n">
        <v>19.970973</v>
      </c>
      <c r="W178" t="n">
        <v>36.368369</v>
      </c>
      <c r="X178" t="n">
        <v>756.8536319999999</v>
      </c>
      <c r="Y178" t="n">
        <v>57.193376</v>
      </c>
      <c r="Z178" t="n">
        <v>56.260295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140.953883</v>
      </c>
      <c r="F179" t="n">
        <v>228.824285</v>
      </c>
      <c r="G179" t="n">
        <v>13739.954406</v>
      </c>
      <c r="H179" t="n">
        <v>114798702.260359</v>
      </c>
      <c r="I179" t="n">
        <v>6590.793316</v>
      </c>
      <c r="J179" t="n">
        <v>7071.146917</v>
      </c>
      <c r="K179" t="n">
        <v>2576.928919</v>
      </c>
      <c r="L179" t="n">
        <v>10677.999207</v>
      </c>
      <c r="M179" t="n">
        <v>10677.999207</v>
      </c>
      <c r="N179" t="n">
        <v>10677.999207</v>
      </c>
      <c r="O179" t="n">
        <v>85.006417</v>
      </c>
      <c r="P179" t="n">
        <v>38.52237</v>
      </c>
      <c r="Q179" t="n">
        <v>10677.999207</v>
      </c>
      <c r="R179" t="n">
        <v>10677.999207</v>
      </c>
      <c r="S179" t="n">
        <v>85.006417</v>
      </c>
      <c r="T179" t="n">
        <v>85.006417</v>
      </c>
      <c r="U179" t="n">
        <v>38.52237</v>
      </c>
      <c r="V179" t="n">
        <v>38.52237</v>
      </c>
      <c r="W179" t="n">
        <v>88.306245</v>
      </c>
      <c r="X179" t="n">
        <v>11509.306401</v>
      </c>
      <c r="Y179" t="n">
        <v>113.373643</v>
      </c>
      <c r="Z179" t="n">
        <v>399.574722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140.953883</v>
      </c>
      <c r="F180" t="n">
        <v>14.712171</v>
      </c>
      <c r="G180" t="n">
        <v>109.082967</v>
      </c>
      <c r="H180" t="n">
        <v>1554.089564</v>
      </c>
      <c r="I180" t="n">
        <v>87.52377799999999</v>
      </c>
      <c r="J180" t="n">
        <v>87.52377799999999</v>
      </c>
      <c r="K180" t="n">
        <v>33.521607</v>
      </c>
      <c r="L180" t="n">
        <v>92.59366</v>
      </c>
      <c r="M180" t="n">
        <v>92.59366</v>
      </c>
      <c r="N180" t="n">
        <v>92.59366</v>
      </c>
      <c r="O180" t="n">
        <v>4.448657</v>
      </c>
      <c r="P180" t="n">
        <v>3.058348</v>
      </c>
      <c r="Q180" t="n">
        <v>92.59366</v>
      </c>
      <c r="R180" t="n">
        <v>92.59366</v>
      </c>
      <c r="S180" t="n">
        <v>4.448657</v>
      </c>
      <c r="T180" t="n">
        <v>4.448657</v>
      </c>
      <c r="U180" t="n">
        <v>3.058348</v>
      </c>
      <c r="V180" t="n">
        <v>3.058348</v>
      </c>
      <c r="W180" t="n">
        <v>4.556294</v>
      </c>
      <c r="X180" t="n">
        <v>96.447226</v>
      </c>
      <c r="Y180" t="n">
        <v>10.417956</v>
      </c>
      <c r="Z180" t="n">
        <v>17.174689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140.953883</v>
      </c>
      <c r="F181" t="n">
        <v>95.34341499999999</v>
      </c>
      <c r="G181" t="n">
        <v>2845.346423</v>
      </c>
      <c r="H181" t="n">
        <v>490526.782878</v>
      </c>
      <c r="I181" t="n">
        <v>569.846189</v>
      </c>
      <c r="J181" t="n">
        <v>594.287325</v>
      </c>
      <c r="K181" t="n">
        <v>564.572959</v>
      </c>
      <c r="L181" t="n">
        <v>738.02552</v>
      </c>
      <c r="M181" t="n">
        <v>738.02552</v>
      </c>
      <c r="N181" t="n">
        <v>738.02552</v>
      </c>
      <c r="O181" t="n">
        <v>39.685535</v>
      </c>
      <c r="P181" t="n">
        <v>21.622034</v>
      </c>
      <c r="Q181" t="n">
        <v>738.02552</v>
      </c>
      <c r="R181" t="n">
        <v>738.02552</v>
      </c>
      <c r="S181" t="n">
        <v>39.685535</v>
      </c>
      <c r="T181" t="n">
        <v>39.685535</v>
      </c>
      <c r="U181" t="n">
        <v>21.622034</v>
      </c>
      <c r="V181" t="n">
        <v>21.622034</v>
      </c>
      <c r="W181" t="n">
        <v>41.109943</v>
      </c>
      <c r="X181" t="n">
        <v>772.895549</v>
      </c>
      <c r="Y181" t="n">
        <v>53.114101</v>
      </c>
      <c r="Z181" t="n">
        <v>112.240217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140.953883</v>
      </c>
      <c r="F182" t="n">
        <v>14.712171</v>
      </c>
      <c r="G182" t="n">
        <v>109.082967</v>
      </c>
      <c r="H182" t="n">
        <v>1554.089564</v>
      </c>
      <c r="I182" t="n">
        <v>87.52377799999999</v>
      </c>
      <c r="J182" t="n">
        <v>87.52377799999999</v>
      </c>
      <c r="K182" t="n">
        <v>33.521607</v>
      </c>
      <c r="L182" t="n">
        <v>92.59366</v>
      </c>
      <c r="M182" t="n">
        <v>92.59366</v>
      </c>
      <c r="N182" t="n">
        <v>92.59366</v>
      </c>
      <c r="O182" t="n">
        <v>4.448657</v>
      </c>
      <c r="P182" t="n">
        <v>3.058348</v>
      </c>
      <c r="Q182" t="n">
        <v>92.59366</v>
      </c>
      <c r="R182" t="n">
        <v>92.59366</v>
      </c>
      <c r="S182" t="n">
        <v>4.448657</v>
      </c>
      <c r="T182" t="n">
        <v>4.448657</v>
      </c>
      <c r="U182" t="n">
        <v>3.058348</v>
      </c>
      <c r="V182" t="n">
        <v>3.058348</v>
      </c>
      <c r="W182" t="n">
        <v>4.556294</v>
      </c>
      <c r="X182" t="n">
        <v>96.447226</v>
      </c>
      <c r="Y182" t="n">
        <v>10.417956</v>
      </c>
      <c r="Z182" t="n">
        <v>17.174689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140.953883</v>
      </c>
      <c r="F183" t="n">
        <v>228.824285</v>
      </c>
      <c r="G183" t="n">
        <v>13739.954406</v>
      </c>
      <c r="H183" t="n">
        <v>114798702.260359</v>
      </c>
      <c r="I183" t="n">
        <v>6590.793316</v>
      </c>
      <c r="J183" t="n">
        <v>7071.146917</v>
      </c>
      <c r="K183" t="n">
        <v>2576.928919</v>
      </c>
      <c r="L183" t="n">
        <v>10677.999207</v>
      </c>
      <c r="M183" t="n">
        <v>10677.999207</v>
      </c>
      <c r="N183" t="n">
        <v>10677.999207</v>
      </c>
      <c r="O183" t="n">
        <v>85.006417</v>
      </c>
      <c r="P183" t="n">
        <v>38.52237</v>
      </c>
      <c r="Q183" t="n">
        <v>10677.999207</v>
      </c>
      <c r="R183" t="n">
        <v>10677.999207</v>
      </c>
      <c r="S183" t="n">
        <v>85.006417</v>
      </c>
      <c r="T183" t="n">
        <v>85.006417</v>
      </c>
      <c r="U183" t="n">
        <v>38.52237</v>
      </c>
      <c r="V183" t="n">
        <v>38.52237</v>
      </c>
      <c r="W183" t="n">
        <v>88.306245</v>
      </c>
      <c r="X183" t="n">
        <v>11509.306401</v>
      </c>
      <c r="Y183" t="n">
        <v>113.373643</v>
      </c>
      <c r="Z183" t="n">
        <v>399.574722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140.953883</v>
      </c>
      <c r="F184" t="n">
        <v>342.280115</v>
      </c>
      <c r="G184" t="n">
        <v>26475.575966</v>
      </c>
      <c r="H184" t="n">
        <v>257355.857038</v>
      </c>
      <c r="I184" t="n">
        <v>1585.623721</v>
      </c>
      <c r="J184" t="n">
        <v>1650.152477</v>
      </c>
      <c r="K184" t="n">
        <v>1567.644853</v>
      </c>
      <c r="L184" t="n">
        <v>2274.19106</v>
      </c>
      <c r="M184" t="n">
        <v>2274.19106</v>
      </c>
      <c r="N184" t="n">
        <v>2274.19106</v>
      </c>
      <c r="O184" t="n">
        <v>105.127985</v>
      </c>
      <c r="P184" t="n">
        <v>50.974766</v>
      </c>
      <c r="Q184" t="n">
        <v>2274.19106</v>
      </c>
      <c r="R184" t="n">
        <v>2274.19106</v>
      </c>
      <c r="S184" t="n">
        <v>105.127985</v>
      </c>
      <c r="T184" t="n">
        <v>105.127985</v>
      </c>
      <c r="U184" t="n">
        <v>50.974766</v>
      </c>
      <c r="V184" t="n">
        <v>50.974766</v>
      </c>
      <c r="W184" t="n">
        <v>111.155847</v>
      </c>
      <c r="X184" t="n">
        <v>2438.947747</v>
      </c>
      <c r="Y184" t="n">
        <v>161.824385</v>
      </c>
      <c r="Z184" t="n">
        <v>255.683683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140.953883</v>
      </c>
      <c r="F185" t="n">
        <v>103.790936</v>
      </c>
      <c r="G185" t="n">
        <v>3299.712955</v>
      </c>
      <c r="H185" t="n">
        <v>5979.61191</v>
      </c>
      <c r="I185" t="n">
        <v>468.918008</v>
      </c>
      <c r="J185" t="n">
        <v>473.97462</v>
      </c>
      <c r="K185" t="n">
        <v>450.275889</v>
      </c>
      <c r="L185" t="n">
        <v>711.02964</v>
      </c>
      <c r="M185" t="n">
        <v>711.02964</v>
      </c>
      <c r="N185" t="n">
        <v>711.02964</v>
      </c>
      <c r="O185" t="n">
        <v>34.656914</v>
      </c>
      <c r="P185" t="n">
        <v>19.970973</v>
      </c>
      <c r="Q185" t="n">
        <v>711.02964</v>
      </c>
      <c r="R185" t="n">
        <v>711.02964</v>
      </c>
      <c r="S185" t="n">
        <v>34.656914</v>
      </c>
      <c r="T185" t="n">
        <v>34.656914</v>
      </c>
      <c r="U185" t="n">
        <v>19.970973</v>
      </c>
      <c r="V185" t="n">
        <v>19.970973</v>
      </c>
      <c r="W185" t="n">
        <v>36.368369</v>
      </c>
      <c r="X185" t="n">
        <v>756.8536319999999</v>
      </c>
      <c r="Y185" t="n">
        <v>57.193376</v>
      </c>
      <c r="Z185" t="n">
        <v>56.260295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140.953883</v>
      </c>
      <c r="F186" t="n">
        <v>228.824285</v>
      </c>
      <c r="G186" t="n">
        <v>13739.954406</v>
      </c>
      <c r="H186" t="n">
        <v>114798702.260359</v>
      </c>
      <c r="I186" t="n">
        <v>6590.793316</v>
      </c>
      <c r="J186" t="n">
        <v>7071.146917</v>
      </c>
      <c r="K186" t="n">
        <v>2576.928919</v>
      </c>
      <c r="L186" t="n">
        <v>10677.999207</v>
      </c>
      <c r="M186" t="n">
        <v>10677.999207</v>
      </c>
      <c r="N186" t="n">
        <v>10677.999207</v>
      </c>
      <c r="O186" t="n">
        <v>85.006417</v>
      </c>
      <c r="P186" t="n">
        <v>38.52237</v>
      </c>
      <c r="Q186" t="n">
        <v>10677.999207</v>
      </c>
      <c r="R186" t="n">
        <v>10677.999207</v>
      </c>
      <c r="S186" t="n">
        <v>85.006417</v>
      </c>
      <c r="T186" t="n">
        <v>85.006417</v>
      </c>
      <c r="U186" t="n">
        <v>38.52237</v>
      </c>
      <c r="V186" t="n">
        <v>38.52237</v>
      </c>
      <c r="W186" t="n">
        <v>88.306245</v>
      </c>
      <c r="X186" t="n">
        <v>11509.306401</v>
      </c>
      <c r="Y186" t="n">
        <v>113.373643</v>
      </c>
      <c r="Z186" t="n">
        <v>399.574722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140.953883</v>
      </c>
      <c r="F187" t="n">
        <v>15.812995</v>
      </c>
      <c r="G187" t="n">
        <v>123.721444</v>
      </c>
      <c r="H187" t="n">
        <v>7384.919423</v>
      </c>
      <c r="I187" t="n">
        <v>110.765161</v>
      </c>
      <c r="J187" t="n">
        <v>110.765161</v>
      </c>
      <c r="K187" t="n">
        <v>69.11746100000001</v>
      </c>
      <c r="L187" t="n">
        <v>113.463496</v>
      </c>
      <c r="M187" t="n">
        <v>113.463496</v>
      </c>
      <c r="N187" t="n">
        <v>113.463496</v>
      </c>
      <c r="O187" t="n">
        <v>8.170260000000001</v>
      </c>
      <c r="P187" t="n">
        <v>5.693764</v>
      </c>
      <c r="Q187" t="n">
        <v>113.463496</v>
      </c>
      <c r="R187" t="n">
        <v>113.463496</v>
      </c>
      <c r="S187" t="n">
        <v>8.170260000000001</v>
      </c>
      <c r="T187" t="n">
        <v>8.170260000000001</v>
      </c>
      <c r="U187" t="n">
        <v>5.693764</v>
      </c>
      <c r="V187" t="n">
        <v>5.693764</v>
      </c>
      <c r="W187" t="n">
        <v>8.298344999999999</v>
      </c>
      <c r="X187" t="n">
        <v>118.931059</v>
      </c>
      <c r="Y187" t="n">
        <v>11.094229</v>
      </c>
      <c r="Z187" t="n">
        <v>22.315768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140.953883</v>
      </c>
      <c r="F188" t="n">
        <v>60.479203</v>
      </c>
      <c r="G188" t="n">
        <v>1285.725322</v>
      </c>
      <c r="H188" t="n">
        <v>3025.478454</v>
      </c>
      <c r="I188" t="n">
        <v>395.888053</v>
      </c>
      <c r="J188" t="n">
        <v>395.888053</v>
      </c>
      <c r="K188" t="n">
        <v>376.09365</v>
      </c>
      <c r="L188" t="n">
        <v>393.787233</v>
      </c>
      <c r="M188" t="n">
        <v>393.787233</v>
      </c>
      <c r="N188" t="n">
        <v>393.787233</v>
      </c>
      <c r="O188" t="n">
        <v>20.916473</v>
      </c>
      <c r="P188" t="n">
        <v>13.510088</v>
      </c>
      <c r="Q188" t="n">
        <v>393.787233</v>
      </c>
      <c r="R188" t="n">
        <v>393.787233</v>
      </c>
      <c r="S188" t="n">
        <v>20.916473</v>
      </c>
      <c r="T188" t="n">
        <v>20.916473</v>
      </c>
      <c r="U188" t="n">
        <v>13.510088</v>
      </c>
      <c r="V188" t="n">
        <v>13.510088</v>
      </c>
      <c r="W188" t="n">
        <v>21.939981</v>
      </c>
      <c r="X188" t="n">
        <v>405.784084</v>
      </c>
      <c r="Y188" t="n">
        <v>35.719215</v>
      </c>
      <c r="Z188" t="n">
        <v>45.472786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140.953883</v>
      </c>
      <c r="F189" t="n">
        <v>18.617087</v>
      </c>
      <c r="G189" t="n">
        <v>164.501951</v>
      </c>
      <c r="H189" t="n">
        <v>16631.862825</v>
      </c>
      <c r="I189" t="n">
        <v>603.989501</v>
      </c>
      <c r="J189" t="n">
        <v>603.989501</v>
      </c>
      <c r="K189" t="n">
        <v>240.387821</v>
      </c>
      <c r="L189" t="n">
        <v>1080.992157</v>
      </c>
      <c r="M189" t="n">
        <v>1080.992157</v>
      </c>
      <c r="N189" t="n">
        <v>1080.992157</v>
      </c>
      <c r="O189" t="n">
        <v>17.290347</v>
      </c>
      <c r="P189" t="n">
        <v>9.498851999999999</v>
      </c>
      <c r="Q189" t="n">
        <v>1080.992157</v>
      </c>
      <c r="R189" t="n">
        <v>1080.992157</v>
      </c>
      <c r="S189" t="n">
        <v>17.290347</v>
      </c>
      <c r="T189" t="n">
        <v>17.290347</v>
      </c>
      <c r="U189" t="n">
        <v>9.498851999999999</v>
      </c>
      <c r="V189" t="n">
        <v>9.498851999999999</v>
      </c>
      <c r="W189" t="n">
        <v>17.932707</v>
      </c>
      <c r="X189" t="n">
        <v>1135.08839</v>
      </c>
      <c r="Y189" t="n">
        <v>12.790679</v>
      </c>
      <c r="Z189" t="n">
        <v>41.60617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140.953883</v>
      </c>
      <c r="F190" t="n">
        <v>57.638856</v>
      </c>
      <c r="G190" t="n">
        <v>1182.200226</v>
      </c>
      <c r="H190" t="n">
        <v>56775.373409</v>
      </c>
      <c r="I190" t="n">
        <v>512.103289</v>
      </c>
      <c r="J190" t="n">
        <v>553.467817</v>
      </c>
      <c r="K190" t="n">
        <v>525.794426</v>
      </c>
      <c r="L190" t="n">
        <v>602.712303</v>
      </c>
      <c r="M190" t="n">
        <v>602.712303</v>
      </c>
      <c r="N190" t="n">
        <v>602.712303</v>
      </c>
      <c r="O190" t="n">
        <v>31.190871</v>
      </c>
      <c r="P190" t="n">
        <v>18.283791</v>
      </c>
      <c r="Q190" t="n">
        <v>602.712303</v>
      </c>
      <c r="R190" t="n">
        <v>602.712303</v>
      </c>
      <c r="S190" t="n">
        <v>31.190871</v>
      </c>
      <c r="T190" t="n">
        <v>31.190871</v>
      </c>
      <c r="U190" t="n">
        <v>18.283791</v>
      </c>
      <c r="V190" t="n">
        <v>18.283791</v>
      </c>
      <c r="W190" t="n">
        <v>32.089433</v>
      </c>
      <c r="X190" t="n">
        <v>622.065443</v>
      </c>
      <c r="Y190" t="n">
        <v>34.252552</v>
      </c>
      <c r="Z190" t="n">
        <v>73.57281500000001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140.953883</v>
      </c>
      <c r="F191" t="n">
        <v>554.842266</v>
      </c>
      <c r="G191" t="n">
        <v>61511.195509</v>
      </c>
      <c r="H191" t="n">
        <v>20307429.163039</v>
      </c>
      <c r="I191" t="n">
        <v>3230.237663</v>
      </c>
      <c r="J191" t="n">
        <v>3367.037571</v>
      </c>
      <c r="K191" t="n">
        <v>3198.685692</v>
      </c>
      <c r="L191" t="n">
        <v>4133.4309</v>
      </c>
      <c r="M191" t="n">
        <v>4133.4309</v>
      </c>
      <c r="N191" t="n">
        <v>4133.4309</v>
      </c>
      <c r="O191" t="n">
        <v>205.658598</v>
      </c>
      <c r="P191" t="n">
        <v>91.38801100000001</v>
      </c>
      <c r="Q191" t="n">
        <v>4133.4309</v>
      </c>
      <c r="R191" t="n">
        <v>4133.4309</v>
      </c>
      <c r="S191" t="n">
        <v>205.658598</v>
      </c>
      <c r="T191" t="n">
        <v>205.658598</v>
      </c>
      <c r="U191" t="n">
        <v>91.38801100000001</v>
      </c>
      <c r="V191" t="n">
        <v>91.38801100000001</v>
      </c>
      <c r="W191" t="n">
        <v>216.473302</v>
      </c>
      <c r="X191" t="n">
        <v>4393.486979</v>
      </c>
      <c r="Y191" t="n">
        <v>246.547973</v>
      </c>
      <c r="Z191" t="n">
        <v>636.567642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140.953883</v>
      </c>
      <c r="F192" t="n">
        <v>200.641254</v>
      </c>
      <c r="G192" t="n">
        <v>11101.904562</v>
      </c>
      <c r="H192" t="n">
        <v>25660602.941085</v>
      </c>
      <c r="I192" t="n">
        <v>6244.222521</v>
      </c>
      <c r="J192" t="n">
        <v>6325.914048</v>
      </c>
      <c r="K192" t="n">
        <v>1872.204427</v>
      </c>
      <c r="L192" t="n">
        <v>7112.982475</v>
      </c>
      <c r="M192" t="n">
        <v>7112.982475</v>
      </c>
      <c r="N192" t="n">
        <v>7112.982475</v>
      </c>
      <c r="O192" t="n">
        <v>87.969483</v>
      </c>
      <c r="P192" t="n">
        <v>46.580547</v>
      </c>
      <c r="Q192" t="n">
        <v>7112.982475</v>
      </c>
      <c r="R192" t="n">
        <v>7112.982475</v>
      </c>
      <c r="S192" t="n">
        <v>87.969483</v>
      </c>
      <c r="T192" t="n">
        <v>87.969483</v>
      </c>
      <c r="U192" t="n">
        <v>46.580547</v>
      </c>
      <c r="V192" t="n">
        <v>46.580547</v>
      </c>
      <c r="W192" t="n">
        <v>93.060855</v>
      </c>
      <c r="X192" t="n">
        <v>7459.131892</v>
      </c>
      <c r="Y192" t="n">
        <v>100.902165</v>
      </c>
      <c r="Z192" t="n">
        <v>211.14634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140.953883</v>
      </c>
      <c r="F193" t="n">
        <v>228.824285</v>
      </c>
      <c r="G193" t="n">
        <v>13739.954406</v>
      </c>
      <c r="H193" t="n">
        <v>114798702.260359</v>
      </c>
      <c r="I193" t="n">
        <v>6590.793316</v>
      </c>
      <c r="J193" t="n">
        <v>7071.146917</v>
      </c>
      <c r="K193" t="n">
        <v>2576.928919</v>
      </c>
      <c r="L193" t="n">
        <v>10677.999207</v>
      </c>
      <c r="M193" t="n">
        <v>10677.999207</v>
      </c>
      <c r="N193" t="n">
        <v>10677.999207</v>
      </c>
      <c r="O193" t="n">
        <v>85.006417</v>
      </c>
      <c r="P193" t="n">
        <v>38.52237</v>
      </c>
      <c r="Q193" t="n">
        <v>10677.999207</v>
      </c>
      <c r="R193" t="n">
        <v>10677.999207</v>
      </c>
      <c r="S193" t="n">
        <v>85.006417</v>
      </c>
      <c r="T193" t="n">
        <v>85.006417</v>
      </c>
      <c r="U193" t="n">
        <v>38.52237</v>
      </c>
      <c r="V193" t="n">
        <v>38.52237</v>
      </c>
      <c r="W193" t="n">
        <v>88.306245</v>
      </c>
      <c r="X193" t="n">
        <v>11509.306401</v>
      </c>
      <c r="Y193" t="n">
        <v>113.373643</v>
      </c>
      <c r="Z193" t="n">
        <v>399.574722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140.953883</v>
      </c>
      <c r="F194" t="n">
        <v>228.824285</v>
      </c>
      <c r="G194" t="n">
        <v>13739.954406</v>
      </c>
      <c r="H194" t="n">
        <v>114798702.260359</v>
      </c>
      <c r="I194" t="n">
        <v>6590.793316</v>
      </c>
      <c r="J194" t="n">
        <v>7071.146917</v>
      </c>
      <c r="K194" t="n">
        <v>2576.928919</v>
      </c>
      <c r="L194" t="n">
        <v>10677.999207</v>
      </c>
      <c r="M194" t="n">
        <v>10677.999207</v>
      </c>
      <c r="N194" t="n">
        <v>10677.999207</v>
      </c>
      <c r="O194" t="n">
        <v>85.006417</v>
      </c>
      <c r="P194" t="n">
        <v>38.52237</v>
      </c>
      <c r="Q194" t="n">
        <v>10677.999207</v>
      </c>
      <c r="R194" t="n">
        <v>10677.999207</v>
      </c>
      <c r="S194" t="n">
        <v>85.006417</v>
      </c>
      <c r="T194" t="n">
        <v>85.006417</v>
      </c>
      <c r="U194" t="n">
        <v>38.52237</v>
      </c>
      <c r="V194" t="n">
        <v>38.52237</v>
      </c>
      <c r="W194" t="n">
        <v>88.306245</v>
      </c>
      <c r="X194" t="n">
        <v>11509.306401</v>
      </c>
      <c r="Y194" t="n">
        <v>113.373643</v>
      </c>
      <c r="Z194" t="n">
        <v>399.574722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140.953883</v>
      </c>
      <c r="F195" t="n">
        <v>200.641254</v>
      </c>
      <c r="G195" t="n">
        <v>11101.904562</v>
      </c>
      <c r="H195" t="n">
        <v>25660602.941085</v>
      </c>
      <c r="I195" t="n">
        <v>6244.222521</v>
      </c>
      <c r="J195" t="n">
        <v>6325.914048</v>
      </c>
      <c r="K195" t="n">
        <v>1872.204427</v>
      </c>
      <c r="L195" t="n">
        <v>7112.982475</v>
      </c>
      <c r="M195" t="n">
        <v>7112.982475</v>
      </c>
      <c r="N195" t="n">
        <v>7112.982475</v>
      </c>
      <c r="O195" t="n">
        <v>87.969483</v>
      </c>
      <c r="P195" t="n">
        <v>46.580547</v>
      </c>
      <c r="Q195" t="n">
        <v>7112.982475</v>
      </c>
      <c r="R195" t="n">
        <v>7112.982475</v>
      </c>
      <c r="S195" t="n">
        <v>87.969483</v>
      </c>
      <c r="T195" t="n">
        <v>87.969483</v>
      </c>
      <c r="U195" t="n">
        <v>46.580547</v>
      </c>
      <c r="V195" t="n">
        <v>46.580547</v>
      </c>
      <c r="W195" t="n">
        <v>93.060855</v>
      </c>
      <c r="X195" t="n">
        <v>7459.131892</v>
      </c>
      <c r="Y195" t="n">
        <v>100.902165</v>
      </c>
      <c r="Z195" t="n">
        <v>211.14634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140.953883</v>
      </c>
      <c r="F196" t="n">
        <v>200.641254</v>
      </c>
      <c r="G196" t="n">
        <v>11101.904562</v>
      </c>
      <c r="H196" t="n">
        <v>25660602.941085</v>
      </c>
      <c r="I196" t="n">
        <v>6244.222521</v>
      </c>
      <c r="J196" t="n">
        <v>6325.914048</v>
      </c>
      <c r="K196" t="n">
        <v>1872.204427</v>
      </c>
      <c r="L196" t="n">
        <v>7112.982475</v>
      </c>
      <c r="M196" t="n">
        <v>7112.982475</v>
      </c>
      <c r="N196" t="n">
        <v>7112.982475</v>
      </c>
      <c r="O196" t="n">
        <v>87.969483</v>
      </c>
      <c r="P196" t="n">
        <v>46.580547</v>
      </c>
      <c r="Q196" t="n">
        <v>7112.982475</v>
      </c>
      <c r="R196" t="n">
        <v>7112.982475</v>
      </c>
      <c r="S196" t="n">
        <v>87.969483</v>
      </c>
      <c r="T196" t="n">
        <v>87.969483</v>
      </c>
      <c r="U196" t="n">
        <v>46.580547</v>
      </c>
      <c r="V196" t="n">
        <v>46.580547</v>
      </c>
      <c r="W196" t="n">
        <v>93.060855</v>
      </c>
      <c r="X196" t="n">
        <v>7459.131892</v>
      </c>
      <c r="Y196" t="n">
        <v>100.902165</v>
      </c>
      <c r="Z196" t="n">
        <v>211.14634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140.953883</v>
      </c>
      <c r="F197" t="n">
        <v>60.479203</v>
      </c>
      <c r="G197" t="n">
        <v>1285.725322</v>
      </c>
      <c r="H197" t="n">
        <v>3025.478454</v>
      </c>
      <c r="I197" t="n">
        <v>395.888053</v>
      </c>
      <c r="J197" t="n">
        <v>395.888053</v>
      </c>
      <c r="K197" t="n">
        <v>376.09365</v>
      </c>
      <c r="L197" t="n">
        <v>393.787233</v>
      </c>
      <c r="M197" t="n">
        <v>393.787233</v>
      </c>
      <c r="N197" t="n">
        <v>393.787233</v>
      </c>
      <c r="O197" t="n">
        <v>20.916473</v>
      </c>
      <c r="P197" t="n">
        <v>13.510088</v>
      </c>
      <c r="Q197" t="n">
        <v>393.787233</v>
      </c>
      <c r="R197" t="n">
        <v>393.787233</v>
      </c>
      <c r="S197" t="n">
        <v>20.916473</v>
      </c>
      <c r="T197" t="n">
        <v>20.916473</v>
      </c>
      <c r="U197" t="n">
        <v>13.510088</v>
      </c>
      <c r="V197" t="n">
        <v>13.510088</v>
      </c>
      <c r="W197" t="n">
        <v>21.939981</v>
      </c>
      <c r="X197" t="n">
        <v>405.784084</v>
      </c>
      <c r="Y197" t="n">
        <v>35.719215</v>
      </c>
      <c r="Z197" t="n">
        <v>45.472786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140.953883</v>
      </c>
      <c r="F198" t="n">
        <v>16.936545</v>
      </c>
      <c r="G198" t="n">
        <v>147.677361</v>
      </c>
      <c r="H198" t="n">
        <v>679.20465</v>
      </c>
      <c r="I198" t="n">
        <v>126.061927</v>
      </c>
      <c r="J198" t="n">
        <v>126.061927</v>
      </c>
      <c r="K198" t="n">
        <v>83.90815499999999</v>
      </c>
      <c r="L198" t="n">
        <v>125.3013</v>
      </c>
      <c r="M198" t="n">
        <v>125.3013</v>
      </c>
      <c r="N198" t="n">
        <v>125.3013</v>
      </c>
      <c r="O198" t="n">
        <v>10.112125</v>
      </c>
      <c r="P198" t="n">
        <v>7.202976</v>
      </c>
      <c r="Q198" t="n">
        <v>125.3013</v>
      </c>
      <c r="R198" t="n">
        <v>125.3013</v>
      </c>
      <c r="S198" t="n">
        <v>10.112125</v>
      </c>
      <c r="T198" t="n">
        <v>10.112125</v>
      </c>
      <c r="U198" t="n">
        <v>7.202976</v>
      </c>
      <c r="V198" t="n">
        <v>7.202976</v>
      </c>
      <c r="W198" t="n">
        <v>10.446973</v>
      </c>
      <c r="X198" t="n">
        <v>129.71319</v>
      </c>
      <c r="Y198" t="n">
        <v>11.713624</v>
      </c>
      <c r="Z198" t="n">
        <v>17.283168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140.953883</v>
      </c>
      <c r="F199" t="n">
        <v>908.988005</v>
      </c>
      <c r="G199" t="n">
        <v>145576.696024</v>
      </c>
      <c r="H199" t="n">
        <v>48080410.421404</v>
      </c>
      <c r="I199" t="n">
        <v>125208.792952</v>
      </c>
      <c r="J199" t="n">
        <v>126616.154086</v>
      </c>
      <c r="K199" t="n">
        <v>63308.077043</v>
      </c>
      <c r="L199" t="n">
        <v>172174.15174</v>
      </c>
      <c r="M199" t="n">
        <v>172174.151739</v>
      </c>
      <c r="N199" t="n">
        <v>172174.151739</v>
      </c>
      <c r="O199" t="n">
        <v>202.141045</v>
      </c>
      <c r="P199" t="n">
        <v>87.49926499999999</v>
      </c>
      <c r="Q199" t="n">
        <v>172174.151739</v>
      </c>
      <c r="R199" t="n">
        <v>172174.151739</v>
      </c>
      <c r="S199" t="n">
        <v>202.141045</v>
      </c>
      <c r="T199" t="n">
        <v>202.141045</v>
      </c>
      <c r="U199" t="n">
        <v>87.49926499999999</v>
      </c>
      <c r="V199" t="n">
        <v>87.49926499999999</v>
      </c>
      <c r="W199" t="n">
        <v>214.928725</v>
      </c>
      <c r="X199" t="n">
        <v>183923.261916</v>
      </c>
      <c r="Y199" t="n">
        <v>379.113334</v>
      </c>
      <c r="Z199" t="n">
        <v>767.7179190000001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140.953883</v>
      </c>
      <c r="F201" t="n">
        <v>33.254785</v>
      </c>
      <c r="G201" t="n">
        <v>452.736281</v>
      </c>
      <c r="H201" t="n">
        <v>34182.13294</v>
      </c>
      <c r="I201" t="n">
        <v>151.084056</v>
      </c>
      <c r="J201" t="n">
        <v>151.084056</v>
      </c>
      <c r="K201" t="n">
        <v>143.529853</v>
      </c>
      <c r="L201" t="n">
        <v>173.938876</v>
      </c>
      <c r="M201" t="n">
        <v>173.938876</v>
      </c>
      <c r="N201" t="n">
        <v>173.938876</v>
      </c>
      <c r="O201" t="n">
        <v>13.215653</v>
      </c>
      <c r="P201" t="n">
        <v>8.00437</v>
      </c>
      <c r="Q201" t="n">
        <v>173.938876</v>
      </c>
      <c r="R201" t="n">
        <v>173.938876</v>
      </c>
      <c r="S201" t="n">
        <v>13.215653</v>
      </c>
      <c r="T201" t="n">
        <v>13.215653</v>
      </c>
      <c r="U201" t="n">
        <v>8.00437</v>
      </c>
      <c r="V201" t="n">
        <v>8.00437</v>
      </c>
      <c r="W201" t="n">
        <v>13.539814</v>
      </c>
      <c r="X201" t="n">
        <v>184.933079</v>
      </c>
      <c r="Y201" t="n">
        <v>21.207733</v>
      </c>
      <c r="Z201" t="n">
        <v>52.601429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140.953883</v>
      </c>
      <c r="F202" t="n">
        <v>20.231565</v>
      </c>
      <c r="G202" t="n">
        <v>209.122647</v>
      </c>
      <c r="H202" t="n">
        <v>7911.235378</v>
      </c>
      <c r="I202" t="n">
        <v>130.411041</v>
      </c>
      <c r="J202" t="n">
        <v>130.411041</v>
      </c>
      <c r="K202" t="n">
        <v>95.393377</v>
      </c>
      <c r="L202" t="n">
        <v>134.682411</v>
      </c>
      <c r="M202" t="n">
        <v>134.682411</v>
      </c>
      <c r="N202" t="n">
        <v>134.682411</v>
      </c>
      <c r="O202" t="n">
        <v>10.649241</v>
      </c>
      <c r="P202" t="n">
        <v>7.289446</v>
      </c>
      <c r="Q202" t="n">
        <v>134.682411</v>
      </c>
      <c r="R202" t="n">
        <v>134.682411</v>
      </c>
      <c r="S202" t="n">
        <v>10.649241</v>
      </c>
      <c r="T202" t="n">
        <v>10.649241</v>
      </c>
      <c r="U202" t="n">
        <v>7.289446</v>
      </c>
      <c r="V202" t="n">
        <v>7.289446</v>
      </c>
      <c r="W202" t="n">
        <v>10.971178</v>
      </c>
      <c r="X202" t="n">
        <v>140.50161</v>
      </c>
      <c r="Y202" t="n">
        <v>13.632476</v>
      </c>
      <c r="Z202" t="n">
        <v>24.80153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140.953883</v>
      </c>
      <c r="F203" t="n">
        <v>200.641254</v>
      </c>
      <c r="G203" t="n">
        <v>11101.904562</v>
      </c>
      <c r="H203" t="n">
        <v>25660602.941085</v>
      </c>
      <c r="I203" t="n">
        <v>6244.222521</v>
      </c>
      <c r="J203" t="n">
        <v>6325.914048</v>
      </c>
      <c r="K203" t="n">
        <v>1872.204427</v>
      </c>
      <c r="L203" t="n">
        <v>7112.982475</v>
      </c>
      <c r="M203" t="n">
        <v>7112.982475</v>
      </c>
      <c r="N203" t="n">
        <v>7112.982475</v>
      </c>
      <c r="O203" t="n">
        <v>87.969483</v>
      </c>
      <c r="P203" t="n">
        <v>46.580547</v>
      </c>
      <c r="Q203" t="n">
        <v>7112.982475</v>
      </c>
      <c r="R203" t="n">
        <v>7112.982475</v>
      </c>
      <c r="S203" t="n">
        <v>87.969483</v>
      </c>
      <c r="T203" t="n">
        <v>87.969483</v>
      </c>
      <c r="U203" t="n">
        <v>46.580547</v>
      </c>
      <c r="V203" t="n">
        <v>46.580547</v>
      </c>
      <c r="W203" t="n">
        <v>93.060855</v>
      </c>
      <c r="X203" t="n">
        <v>7459.131892</v>
      </c>
      <c r="Y203" t="n">
        <v>100.902165</v>
      </c>
      <c r="Z203" t="n">
        <v>211.14634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140.953883</v>
      </c>
      <c r="F204" t="n">
        <v>20.606299</v>
      </c>
      <c r="G204" t="n">
        <v>196.386285</v>
      </c>
      <c r="H204" t="n">
        <v>1009.116172</v>
      </c>
      <c r="I204" t="n">
        <v>131.71072</v>
      </c>
      <c r="J204" t="n">
        <v>131.71072</v>
      </c>
      <c r="K204" t="n">
        <v>125.125184</v>
      </c>
      <c r="L204" t="n">
        <v>130.894857</v>
      </c>
      <c r="M204" t="n">
        <v>130.894857</v>
      </c>
      <c r="N204" t="n">
        <v>130.894857</v>
      </c>
      <c r="O204" t="n">
        <v>12.255972</v>
      </c>
      <c r="P204" t="n">
        <v>8.448598</v>
      </c>
      <c r="Q204" t="n">
        <v>130.894857</v>
      </c>
      <c r="R204" t="n">
        <v>130.894857</v>
      </c>
      <c r="S204" t="n">
        <v>12.255972</v>
      </c>
      <c r="T204" t="n">
        <v>12.255972</v>
      </c>
      <c r="U204" t="n">
        <v>8.448598</v>
      </c>
      <c r="V204" t="n">
        <v>8.448598</v>
      </c>
      <c r="W204" t="n">
        <v>12.680707</v>
      </c>
      <c r="X204" t="n">
        <v>136.520004</v>
      </c>
      <c r="Y204" t="n">
        <v>13.974049</v>
      </c>
      <c r="Z204" t="n">
        <v>22.490141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140.953883</v>
      </c>
      <c r="F205" t="n">
        <v>177.371403</v>
      </c>
      <c r="G205" t="n">
        <v>9540.408934999999</v>
      </c>
      <c r="H205" t="n">
        <v>70736320.08912501</v>
      </c>
      <c r="I205" t="n">
        <v>4269.898312</v>
      </c>
      <c r="J205" t="n">
        <v>4574.511297</v>
      </c>
      <c r="K205" t="n">
        <v>1801.225895</v>
      </c>
      <c r="L205" t="n">
        <v>6846.4367</v>
      </c>
      <c r="M205" t="n">
        <v>6846.4367</v>
      </c>
      <c r="N205" t="n">
        <v>6846.4367</v>
      </c>
      <c r="O205" t="n">
        <v>67.536573</v>
      </c>
      <c r="P205" t="n">
        <v>32.007796</v>
      </c>
      <c r="Q205" t="n">
        <v>6846.4367</v>
      </c>
      <c r="R205" t="n">
        <v>6846.4367</v>
      </c>
      <c r="S205" t="n">
        <v>67.536573</v>
      </c>
      <c r="T205" t="n">
        <v>67.536573</v>
      </c>
      <c r="U205" t="n">
        <v>32.007796</v>
      </c>
      <c r="V205" t="n">
        <v>32.007796</v>
      </c>
      <c r="W205" t="n">
        <v>70.113483</v>
      </c>
      <c r="X205" t="n">
        <v>7370.741192</v>
      </c>
      <c r="Y205" t="n">
        <v>90.145392</v>
      </c>
      <c r="Z205" t="n">
        <v>288.815865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140.953883</v>
      </c>
      <c r="F206" t="n">
        <v>177.371403</v>
      </c>
      <c r="G206" t="n">
        <v>9540.408934999999</v>
      </c>
      <c r="H206" t="n">
        <v>70736320.08912501</v>
      </c>
      <c r="I206" t="n">
        <v>4269.898312</v>
      </c>
      <c r="J206" t="n">
        <v>4574.511297</v>
      </c>
      <c r="K206" t="n">
        <v>1801.225895</v>
      </c>
      <c r="L206" t="n">
        <v>6846.4367</v>
      </c>
      <c r="M206" t="n">
        <v>6846.4367</v>
      </c>
      <c r="N206" t="n">
        <v>6846.4367</v>
      </c>
      <c r="O206" t="n">
        <v>67.536573</v>
      </c>
      <c r="P206" t="n">
        <v>32.007796</v>
      </c>
      <c r="Q206" t="n">
        <v>6846.4367</v>
      </c>
      <c r="R206" t="n">
        <v>6846.4367</v>
      </c>
      <c r="S206" t="n">
        <v>67.536573</v>
      </c>
      <c r="T206" t="n">
        <v>67.536573</v>
      </c>
      <c r="U206" t="n">
        <v>32.007796</v>
      </c>
      <c r="V206" t="n">
        <v>32.007796</v>
      </c>
      <c r="W206" t="n">
        <v>70.113483</v>
      </c>
      <c r="X206" t="n">
        <v>7370.741192</v>
      </c>
      <c r="Y206" t="n">
        <v>90.145392</v>
      </c>
      <c r="Z206" t="n">
        <v>288.815865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140.953883</v>
      </c>
      <c r="F207" t="n">
        <v>57.638856</v>
      </c>
      <c r="G207" t="n">
        <v>1182.200226</v>
      </c>
      <c r="H207" t="n">
        <v>56775.373409</v>
      </c>
      <c r="I207" t="n">
        <v>512.103289</v>
      </c>
      <c r="J207" t="n">
        <v>553.467817</v>
      </c>
      <c r="K207" t="n">
        <v>525.794426</v>
      </c>
      <c r="L207" t="n">
        <v>602.712303</v>
      </c>
      <c r="M207" t="n">
        <v>602.712303</v>
      </c>
      <c r="N207" t="n">
        <v>602.712303</v>
      </c>
      <c r="O207" t="n">
        <v>31.190871</v>
      </c>
      <c r="P207" t="n">
        <v>18.283791</v>
      </c>
      <c r="Q207" t="n">
        <v>602.712303</v>
      </c>
      <c r="R207" t="n">
        <v>602.712303</v>
      </c>
      <c r="S207" t="n">
        <v>31.190871</v>
      </c>
      <c r="T207" t="n">
        <v>31.190871</v>
      </c>
      <c r="U207" t="n">
        <v>18.283791</v>
      </c>
      <c r="V207" t="n">
        <v>18.283791</v>
      </c>
      <c r="W207" t="n">
        <v>32.089433</v>
      </c>
      <c r="X207" t="n">
        <v>622.065443</v>
      </c>
      <c r="Y207" t="n">
        <v>34.252552</v>
      </c>
      <c r="Z207" t="n">
        <v>73.57281500000001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140.953883</v>
      </c>
      <c r="F208" t="n">
        <v>15.812995</v>
      </c>
      <c r="G208" t="n">
        <v>123.721444</v>
      </c>
      <c r="H208" t="n">
        <v>7384.919423</v>
      </c>
      <c r="I208" t="n">
        <v>110.765161</v>
      </c>
      <c r="J208" t="n">
        <v>110.765161</v>
      </c>
      <c r="K208" t="n">
        <v>69.11746100000001</v>
      </c>
      <c r="L208" t="n">
        <v>113.463496</v>
      </c>
      <c r="M208" t="n">
        <v>113.463496</v>
      </c>
      <c r="N208" t="n">
        <v>113.463496</v>
      </c>
      <c r="O208" t="n">
        <v>8.170260000000001</v>
      </c>
      <c r="P208" t="n">
        <v>5.693764</v>
      </c>
      <c r="Q208" t="n">
        <v>113.463496</v>
      </c>
      <c r="R208" t="n">
        <v>113.463496</v>
      </c>
      <c r="S208" t="n">
        <v>8.170260000000001</v>
      </c>
      <c r="T208" t="n">
        <v>8.170260000000001</v>
      </c>
      <c r="U208" t="n">
        <v>5.693764</v>
      </c>
      <c r="V208" t="n">
        <v>5.693764</v>
      </c>
      <c r="W208" t="n">
        <v>8.298344999999999</v>
      </c>
      <c r="X208" t="n">
        <v>118.931059</v>
      </c>
      <c r="Y208" t="n">
        <v>11.094229</v>
      </c>
      <c r="Z208" t="n">
        <v>22.315768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140.953883</v>
      </c>
      <c r="F209" t="n">
        <v>539.046528</v>
      </c>
      <c r="G209" t="n">
        <v>58487.681751</v>
      </c>
      <c r="H209" t="n">
        <v>89769700.66949099</v>
      </c>
      <c r="I209" t="n">
        <v>10399.759602</v>
      </c>
      <c r="J209" t="n">
        <v>10694.630086</v>
      </c>
      <c r="K209" t="n">
        <v>4010.486282</v>
      </c>
      <c r="L209" t="n">
        <v>14214.100911</v>
      </c>
      <c r="M209" t="n">
        <v>14214.100911</v>
      </c>
      <c r="N209" t="n">
        <v>14214.100911</v>
      </c>
      <c r="O209" t="n">
        <v>203.72024</v>
      </c>
      <c r="P209" t="n">
        <v>90.708206</v>
      </c>
      <c r="Q209" t="n">
        <v>14214.100911</v>
      </c>
      <c r="R209" t="n">
        <v>14214.100911</v>
      </c>
      <c r="S209" t="n">
        <v>203.72024</v>
      </c>
      <c r="T209" t="n">
        <v>203.72024</v>
      </c>
      <c r="U209" t="n">
        <v>90.708206</v>
      </c>
      <c r="V209" t="n">
        <v>90.708206</v>
      </c>
      <c r="W209" t="n">
        <v>213.076898</v>
      </c>
      <c r="X209" t="n">
        <v>15231.972848</v>
      </c>
      <c r="Y209" t="n">
        <v>240.418747</v>
      </c>
      <c r="Z209" t="n">
        <v>654.813563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140.953883</v>
      </c>
      <c r="F210" t="n">
        <v>228.824285</v>
      </c>
      <c r="G210" t="n">
        <v>13739.954406</v>
      </c>
      <c r="H210" t="n">
        <v>114798702.260359</v>
      </c>
      <c r="I210" t="n">
        <v>6590.793316</v>
      </c>
      <c r="J210" t="n">
        <v>7071.146917</v>
      </c>
      <c r="K210" t="n">
        <v>2576.928919</v>
      </c>
      <c r="L210" t="n">
        <v>10677.999207</v>
      </c>
      <c r="M210" t="n">
        <v>10677.999207</v>
      </c>
      <c r="N210" t="n">
        <v>10677.999207</v>
      </c>
      <c r="O210" t="n">
        <v>85.006417</v>
      </c>
      <c r="P210" t="n">
        <v>38.52237</v>
      </c>
      <c r="Q210" t="n">
        <v>10677.999207</v>
      </c>
      <c r="R210" t="n">
        <v>10677.999207</v>
      </c>
      <c r="S210" t="n">
        <v>85.006417</v>
      </c>
      <c r="T210" t="n">
        <v>85.006417</v>
      </c>
      <c r="U210" t="n">
        <v>38.52237</v>
      </c>
      <c r="V210" t="n">
        <v>38.52237</v>
      </c>
      <c r="W210" t="n">
        <v>88.306245</v>
      </c>
      <c r="X210" t="n">
        <v>11509.306401</v>
      </c>
      <c r="Y210" t="n">
        <v>113.373643</v>
      </c>
      <c r="Z210" t="n">
        <v>399.574722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140.953883</v>
      </c>
      <c r="F211" t="n">
        <v>228.824285</v>
      </c>
      <c r="G211" t="n">
        <v>13739.954406</v>
      </c>
      <c r="H211" t="n">
        <v>114798702.260359</v>
      </c>
      <c r="I211" t="n">
        <v>6590.793316</v>
      </c>
      <c r="J211" t="n">
        <v>7071.146917</v>
      </c>
      <c r="K211" t="n">
        <v>2576.928919</v>
      </c>
      <c r="L211" t="n">
        <v>10677.999207</v>
      </c>
      <c r="M211" t="n">
        <v>10677.999207</v>
      </c>
      <c r="N211" t="n">
        <v>10677.999207</v>
      </c>
      <c r="O211" t="n">
        <v>85.006417</v>
      </c>
      <c r="P211" t="n">
        <v>38.52237</v>
      </c>
      <c r="Q211" t="n">
        <v>10677.999207</v>
      </c>
      <c r="R211" t="n">
        <v>10677.999207</v>
      </c>
      <c r="S211" t="n">
        <v>85.006417</v>
      </c>
      <c r="T211" t="n">
        <v>85.006417</v>
      </c>
      <c r="U211" t="n">
        <v>38.52237</v>
      </c>
      <c r="V211" t="n">
        <v>38.52237</v>
      </c>
      <c r="W211" t="n">
        <v>88.306245</v>
      </c>
      <c r="X211" t="n">
        <v>11509.306401</v>
      </c>
      <c r="Y211" t="n">
        <v>113.373643</v>
      </c>
      <c r="Z211" t="n">
        <v>399.574722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140.953883</v>
      </c>
      <c r="F212" t="n">
        <v>20.606299</v>
      </c>
      <c r="G212" t="n">
        <v>196.386285</v>
      </c>
      <c r="H212" t="n">
        <v>1009.116172</v>
      </c>
      <c r="I212" t="n">
        <v>131.71072</v>
      </c>
      <c r="J212" t="n">
        <v>131.71072</v>
      </c>
      <c r="K212" t="n">
        <v>125.125184</v>
      </c>
      <c r="L212" t="n">
        <v>130.894857</v>
      </c>
      <c r="M212" t="n">
        <v>130.894857</v>
      </c>
      <c r="N212" t="n">
        <v>130.894857</v>
      </c>
      <c r="O212" t="n">
        <v>12.255972</v>
      </c>
      <c r="P212" t="n">
        <v>8.448598</v>
      </c>
      <c r="Q212" t="n">
        <v>130.894857</v>
      </c>
      <c r="R212" t="n">
        <v>130.894857</v>
      </c>
      <c r="S212" t="n">
        <v>12.255972</v>
      </c>
      <c r="T212" t="n">
        <v>12.255972</v>
      </c>
      <c r="U212" t="n">
        <v>8.448598</v>
      </c>
      <c r="V212" t="n">
        <v>8.448598</v>
      </c>
      <c r="W212" t="n">
        <v>12.680707</v>
      </c>
      <c r="X212" t="n">
        <v>136.520004</v>
      </c>
      <c r="Y212" t="n">
        <v>13.974049</v>
      </c>
      <c r="Z212" t="n">
        <v>22.490141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140.953883</v>
      </c>
      <c r="F213" t="n">
        <v>420.661524</v>
      </c>
      <c r="G213" t="n">
        <v>45138.893651</v>
      </c>
      <c r="H213" t="n">
        <v>168230573.682483</v>
      </c>
      <c r="I213" t="n">
        <v>32064.514055</v>
      </c>
      <c r="J213" t="n">
        <v>32388.465997</v>
      </c>
      <c r="K213" t="n">
        <v>15001.444266</v>
      </c>
      <c r="L213" t="n">
        <v>47447.371867</v>
      </c>
      <c r="M213" t="n">
        <v>47447.371867</v>
      </c>
      <c r="N213" t="n">
        <v>47447.371867</v>
      </c>
      <c r="O213" t="n">
        <v>134.659687</v>
      </c>
      <c r="P213" t="n">
        <v>58.748438</v>
      </c>
      <c r="Q213" t="n">
        <v>47447.371867</v>
      </c>
      <c r="R213" t="n">
        <v>47447.371867</v>
      </c>
      <c r="S213" t="n">
        <v>134.659687</v>
      </c>
      <c r="T213" t="n">
        <v>134.659687</v>
      </c>
      <c r="U213" t="n">
        <v>58.748438</v>
      </c>
      <c r="V213" t="n">
        <v>58.748438</v>
      </c>
      <c r="W213" t="n">
        <v>141.372985</v>
      </c>
      <c r="X213" t="n">
        <v>50905.953173</v>
      </c>
      <c r="Y213" t="n">
        <v>191.020462</v>
      </c>
      <c r="Z213" t="n">
        <v>621.6836510000001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140.953883</v>
      </c>
      <c r="F214" t="n">
        <v>177.371403</v>
      </c>
      <c r="G214" t="n">
        <v>9540.408934999999</v>
      </c>
      <c r="H214" t="n">
        <v>70736320.08912501</v>
      </c>
      <c r="I214" t="n">
        <v>4269.898312</v>
      </c>
      <c r="J214" t="n">
        <v>4574.511297</v>
      </c>
      <c r="K214" t="n">
        <v>1801.225895</v>
      </c>
      <c r="L214" t="n">
        <v>6846.4367</v>
      </c>
      <c r="M214" t="n">
        <v>6846.4367</v>
      </c>
      <c r="N214" t="n">
        <v>6846.4367</v>
      </c>
      <c r="O214" t="n">
        <v>67.536573</v>
      </c>
      <c r="P214" t="n">
        <v>32.007796</v>
      </c>
      <c r="Q214" t="n">
        <v>6846.4367</v>
      </c>
      <c r="R214" t="n">
        <v>6846.4367</v>
      </c>
      <c r="S214" t="n">
        <v>67.536573</v>
      </c>
      <c r="T214" t="n">
        <v>67.536573</v>
      </c>
      <c r="U214" t="n">
        <v>32.007796</v>
      </c>
      <c r="V214" t="n">
        <v>32.007796</v>
      </c>
      <c r="W214" t="n">
        <v>70.113483</v>
      </c>
      <c r="X214" t="n">
        <v>7370.741192</v>
      </c>
      <c r="Y214" t="n">
        <v>90.145392</v>
      </c>
      <c r="Z214" t="n">
        <v>288.815865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140.953883</v>
      </c>
      <c r="F215" t="n">
        <v>228.824285</v>
      </c>
      <c r="G215" t="n">
        <v>13739.954406</v>
      </c>
      <c r="H215" t="n">
        <v>114798702.260359</v>
      </c>
      <c r="I215" t="n">
        <v>6590.793316</v>
      </c>
      <c r="J215" t="n">
        <v>7071.146917</v>
      </c>
      <c r="K215" t="n">
        <v>2576.928919</v>
      </c>
      <c r="L215" t="n">
        <v>10677.999207</v>
      </c>
      <c r="M215" t="n">
        <v>10677.999207</v>
      </c>
      <c r="N215" t="n">
        <v>10677.999207</v>
      </c>
      <c r="O215" t="n">
        <v>85.006417</v>
      </c>
      <c r="P215" t="n">
        <v>38.52237</v>
      </c>
      <c r="Q215" t="n">
        <v>10677.999207</v>
      </c>
      <c r="R215" t="n">
        <v>10677.999207</v>
      </c>
      <c r="S215" t="n">
        <v>85.006417</v>
      </c>
      <c r="T215" t="n">
        <v>85.006417</v>
      </c>
      <c r="U215" t="n">
        <v>38.52237</v>
      </c>
      <c r="V215" t="n">
        <v>38.52237</v>
      </c>
      <c r="W215" t="n">
        <v>88.306245</v>
      </c>
      <c r="X215" t="n">
        <v>11509.306401</v>
      </c>
      <c r="Y215" t="n">
        <v>113.373643</v>
      </c>
      <c r="Z215" t="n">
        <v>399.574722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140.953883</v>
      </c>
      <c r="F216" t="n">
        <v>60.479203</v>
      </c>
      <c r="G216" t="n">
        <v>1285.725322</v>
      </c>
      <c r="H216" t="n">
        <v>3025.478454</v>
      </c>
      <c r="I216" t="n">
        <v>395.888053</v>
      </c>
      <c r="J216" t="n">
        <v>395.888053</v>
      </c>
      <c r="K216" t="n">
        <v>376.09365</v>
      </c>
      <c r="L216" t="n">
        <v>393.787233</v>
      </c>
      <c r="M216" t="n">
        <v>393.787233</v>
      </c>
      <c r="N216" t="n">
        <v>393.787233</v>
      </c>
      <c r="O216" t="n">
        <v>20.916473</v>
      </c>
      <c r="P216" t="n">
        <v>13.510088</v>
      </c>
      <c r="Q216" t="n">
        <v>393.787233</v>
      </c>
      <c r="R216" t="n">
        <v>393.787233</v>
      </c>
      <c r="S216" t="n">
        <v>20.916473</v>
      </c>
      <c r="T216" t="n">
        <v>20.916473</v>
      </c>
      <c r="U216" t="n">
        <v>13.510088</v>
      </c>
      <c r="V216" t="n">
        <v>13.510088</v>
      </c>
      <c r="W216" t="n">
        <v>21.939981</v>
      </c>
      <c r="X216" t="n">
        <v>405.784084</v>
      </c>
      <c r="Y216" t="n">
        <v>35.719215</v>
      </c>
      <c r="Z216" t="n">
        <v>45.472786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140.953883</v>
      </c>
      <c r="F217" t="n">
        <v>200.641254</v>
      </c>
      <c r="G217" t="n">
        <v>11101.904562</v>
      </c>
      <c r="H217" t="n">
        <v>25660602.941085</v>
      </c>
      <c r="I217" t="n">
        <v>6244.222521</v>
      </c>
      <c r="J217" t="n">
        <v>6325.914048</v>
      </c>
      <c r="K217" t="n">
        <v>1872.204427</v>
      </c>
      <c r="L217" t="n">
        <v>7112.982475</v>
      </c>
      <c r="M217" t="n">
        <v>7112.982475</v>
      </c>
      <c r="N217" t="n">
        <v>7112.982475</v>
      </c>
      <c r="O217" t="n">
        <v>87.969483</v>
      </c>
      <c r="P217" t="n">
        <v>46.580547</v>
      </c>
      <c r="Q217" t="n">
        <v>7112.982475</v>
      </c>
      <c r="R217" t="n">
        <v>7112.982475</v>
      </c>
      <c r="S217" t="n">
        <v>87.969483</v>
      </c>
      <c r="T217" t="n">
        <v>87.969483</v>
      </c>
      <c r="U217" t="n">
        <v>46.580547</v>
      </c>
      <c r="V217" t="n">
        <v>46.580547</v>
      </c>
      <c r="W217" t="n">
        <v>93.060855</v>
      </c>
      <c r="X217" t="n">
        <v>7459.131892</v>
      </c>
      <c r="Y217" t="n">
        <v>100.902165</v>
      </c>
      <c r="Z217" t="n">
        <v>211.14634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140.953883</v>
      </c>
      <c r="F218" t="n">
        <v>200.641254</v>
      </c>
      <c r="G218" t="n">
        <v>11101.904562</v>
      </c>
      <c r="H218" t="n">
        <v>25660602.941085</v>
      </c>
      <c r="I218" t="n">
        <v>6244.222521</v>
      </c>
      <c r="J218" t="n">
        <v>6325.914048</v>
      </c>
      <c r="K218" t="n">
        <v>1872.204427</v>
      </c>
      <c r="L218" t="n">
        <v>7112.982475</v>
      </c>
      <c r="M218" t="n">
        <v>7112.982475</v>
      </c>
      <c r="N218" t="n">
        <v>7112.982475</v>
      </c>
      <c r="O218" t="n">
        <v>87.969483</v>
      </c>
      <c r="P218" t="n">
        <v>46.580547</v>
      </c>
      <c r="Q218" t="n">
        <v>7112.982475</v>
      </c>
      <c r="R218" t="n">
        <v>7112.982475</v>
      </c>
      <c r="S218" t="n">
        <v>87.969483</v>
      </c>
      <c r="T218" t="n">
        <v>87.969483</v>
      </c>
      <c r="U218" t="n">
        <v>46.580547</v>
      </c>
      <c r="V218" t="n">
        <v>46.580547</v>
      </c>
      <c r="W218" t="n">
        <v>93.060855</v>
      </c>
      <c r="X218" t="n">
        <v>7459.131892</v>
      </c>
      <c r="Y218" t="n">
        <v>100.902165</v>
      </c>
      <c r="Z218" t="n">
        <v>211.14634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140.953883</v>
      </c>
      <c r="F219" t="n">
        <v>95.34341499999999</v>
      </c>
      <c r="G219" t="n">
        <v>2845.346423</v>
      </c>
      <c r="H219" t="n">
        <v>490526.782878</v>
      </c>
      <c r="I219" t="n">
        <v>569.846189</v>
      </c>
      <c r="J219" t="n">
        <v>594.287325</v>
      </c>
      <c r="K219" t="n">
        <v>564.572959</v>
      </c>
      <c r="L219" t="n">
        <v>738.02552</v>
      </c>
      <c r="M219" t="n">
        <v>738.02552</v>
      </c>
      <c r="N219" t="n">
        <v>738.02552</v>
      </c>
      <c r="O219" t="n">
        <v>39.685535</v>
      </c>
      <c r="P219" t="n">
        <v>21.622034</v>
      </c>
      <c r="Q219" t="n">
        <v>738.02552</v>
      </c>
      <c r="R219" t="n">
        <v>738.02552</v>
      </c>
      <c r="S219" t="n">
        <v>39.685535</v>
      </c>
      <c r="T219" t="n">
        <v>39.685535</v>
      </c>
      <c r="U219" t="n">
        <v>21.622034</v>
      </c>
      <c r="V219" t="n">
        <v>21.622034</v>
      </c>
      <c r="W219" t="n">
        <v>41.109943</v>
      </c>
      <c r="X219" t="n">
        <v>772.895549</v>
      </c>
      <c r="Y219" t="n">
        <v>53.114101</v>
      </c>
      <c r="Z219" t="n">
        <v>112.240217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140.953883</v>
      </c>
      <c r="F220" t="n">
        <v>200.641254</v>
      </c>
      <c r="G220" t="n">
        <v>11101.904562</v>
      </c>
      <c r="H220" t="n">
        <v>25660602.941085</v>
      </c>
      <c r="I220" t="n">
        <v>6244.222521</v>
      </c>
      <c r="J220" t="n">
        <v>6325.914048</v>
      </c>
      <c r="K220" t="n">
        <v>1872.204427</v>
      </c>
      <c r="L220" t="n">
        <v>7112.982475</v>
      </c>
      <c r="M220" t="n">
        <v>7112.982475</v>
      </c>
      <c r="N220" t="n">
        <v>7112.982475</v>
      </c>
      <c r="O220" t="n">
        <v>87.969483</v>
      </c>
      <c r="P220" t="n">
        <v>46.580547</v>
      </c>
      <c r="Q220" t="n">
        <v>7112.982475</v>
      </c>
      <c r="R220" t="n">
        <v>7112.982475</v>
      </c>
      <c r="S220" t="n">
        <v>87.969483</v>
      </c>
      <c r="T220" t="n">
        <v>87.969483</v>
      </c>
      <c r="U220" t="n">
        <v>46.580547</v>
      </c>
      <c r="V220" t="n">
        <v>46.580547</v>
      </c>
      <c r="W220" t="n">
        <v>93.060855</v>
      </c>
      <c r="X220" t="n">
        <v>7459.131892</v>
      </c>
      <c r="Y220" t="n">
        <v>100.902165</v>
      </c>
      <c r="Z220" t="n">
        <v>211.14634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140.953883</v>
      </c>
      <c r="F221" t="n">
        <v>200.641254</v>
      </c>
      <c r="G221" t="n">
        <v>11101.904562</v>
      </c>
      <c r="H221" t="n">
        <v>25660602.941085</v>
      </c>
      <c r="I221" t="n">
        <v>6244.222521</v>
      </c>
      <c r="J221" t="n">
        <v>6325.914048</v>
      </c>
      <c r="K221" t="n">
        <v>1872.204427</v>
      </c>
      <c r="L221" t="n">
        <v>7112.982475</v>
      </c>
      <c r="M221" t="n">
        <v>7112.982475</v>
      </c>
      <c r="N221" t="n">
        <v>7112.982475</v>
      </c>
      <c r="O221" t="n">
        <v>87.969483</v>
      </c>
      <c r="P221" t="n">
        <v>46.580547</v>
      </c>
      <c r="Q221" t="n">
        <v>7112.982475</v>
      </c>
      <c r="R221" t="n">
        <v>7112.982475</v>
      </c>
      <c r="S221" t="n">
        <v>87.969483</v>
      </c>
      <c r="T221" t="n">
        <v>87.969483</v>
      </c>
      <c r="U221" t="n">
        <v>46.580547</v>
      </c>
      <c r="V221" t="n">
        <v>46.580547</v>
      </c>
      <c r="W221" t="n">
        <v>93.060855</v>
      </c>
      <c r="X221" t="n">
        <v>7459.131892</v>
      </c>
      <c r="Y221" t="n">
        <v>100.902165</v>
      </c>
      <c r="Z221" t="n">
        <v>211.14634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140.953883</v>
      </c>
      <c r="F222" t="n">
        <v>228.824285</v>
      </c>
      <c r="G222" t="n">
        <v>13739.954406</v>
      </c>
      <c r="H222" t="n">
        <v>114798702.260359</v>
      </c>
      <c r="I222" t="n">
        <v>6590.793316</v>
      </c>
      <c r="J222" t="n">
        <v>7071.146917</v>
      </c>
      <c r="K222" t="n">
        <v>2576.928919</v>
      </c>
      <c r="L222" t="n">
        <v>10677.999207</v>
      </c>
      <c r="M222" t="n">
        <v>10677.999207</v>
      </c>
      <c r="N222" t="n">
        <v>10677.999207</v>
      </c>
      <c r="O222" t="n">
        <v>85.006417</v>
      </c>
      <c r="P222" t="n">
        <v>38.52237</v>
      </c>
      <c r="Q222" t="n">
        <v>10677.999207</v>
      </c>
      <c r="R222" t="n">
        <v>10677.999207</v>
      </c>
      <c r="S222" t="n">
        <v>85.006417</v>
      </c>
      <c r="T222" t="n">
        <v>85.006417</v>
      </c>
      <c r="U222" t="n">
        <v>38.52237</v>
      </c>
      <c r="V222" t="n">
        <v>38.52237</v>
      </c>
      <c r="W222" t="n">
        <v>88.306245</v>
      </c>
      <c r="X222" t="n">
        <v>11509.306401</v>
      </c>
      <c r="Y222" t="n">
        <v>113.373643</v>
      </c>
      <c r="Z222" t="n">
        <v>399.574722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140.953883</v>
      </c>
      <c r="F223" t="n">
        <v>228.824285</v>
      </c>
      <c r="G223" t="n">
        <v>13739.954406</v>
      </c>
      <c r="H223" t="n">
        <v>114798702.260359</v>
      </c>
      <c r="I223" t="n">
        <v>6590.793316</v>
      </c>
      <c r="J223" t="n">
        <v>7071.146917</v>
      </c>
      <c r="K223" t="n">
        <v>2576.928919</v>
      </c>
      <c r="L223" t="n">
        <v>10677.999207</v>
      </c>
      <c r="M223" t="n">
        <v>10677.999207</v>
      </c>
      <c r="N223" t="n">
        <v>10677.999207</v>
      </c>
      <c r="O223" t="n">
        <v>85.006417</v>
      </c>
      <c r="P223" t="n">
        <v>38.52237</v>
      </c>
      <c r="Q223" t="n">
        <v>10677.999207</v>
      </c>
      <c r="R223" t="n">
        <v>10677.999207</v>
      </c>
      <c r="S223" t="n">
        <v>85.006417</v>
      </c>
      <c r="T223" t="n">
        <v>85.006417</v>
      </c>
      <c r="U223" t="n">
        <v>38.52237</v>
      </c>
      <c r="V223" t="n">
        <v>38.52237</v>
      </c>
      <c r="W223" t="n">
        <v>88.306245</v>
      </c>
      <c r="X223" t="n">
        <v>11509.306401</v>
      </c>
      <c r="Y223" t="n">
        <v>113.373643</v>
      </c>
      <c r="Z223" t="n">
        <v>399.574722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140.953883</v>
      </c>
      <c r="F224" t="n">
        <v>228.824285</v>
      </c>
      <c r="G224" t="n">
        <v>13739.954406</v>
      </c>
      <c r="H224" t="n">
        <v>114798702.260359</v>
      </c>
      <c r="I224" t="n">
        <v>6590.793316</v>
      </c>
      <c r="J224" t="n">
        <v>7071.146917</v>
      </c>
      <c r="K224" t="n">
        <v>2576.928919</v>
      </c>
      <c r="L224" t="n">
        <v>10677.999207</v>
      </c>
      <c r="M224" t="n">
        <v>10677.999207</v>
      </c>
      <c r="N224" t="n">
        <v>10677.999207</v>
      </c>
      <c r="O224" t="n">
        <v>85.006417</v>
      </c>
      <c r="P224" t="n">
        <v>38.52237</v>
      </c>
      <c r="Q224" t="n">
        <v>10677.999207</v>
      </c>
      <c r="R224" t="n">
        <v>10677.999207</v>
      </c>
      <c r="S224" t="n">
        <v>85.006417</v>
      </c>
      <c r="T224" t="n">
        <v>85.006417</v>
      </c>
      <c r="U224" t="n">
        <v>38.52237</v>
      </c>
      <c r="V224" t="n">
        <v>38.52237</v>
      </c>
      <c r="W224" t="n">
        <v>88.306245</v>
      </c>
      <c r="X224" t="n">
        <v>11509.306401</v>
      </c>
      <c r="Y224" t="n">
        <v>113.373643</v>
      </c>
      <c r="Z224" t="n">
        <v>399.574722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140.953883</v>
      </c>
      <c r="F225" t="n">
        <v>20.606299</v>
      </c>
      <c r="G225" t="n">
        <v>196.386285</v>
      </c>
      <c r="H225" t="n">
        <v>1009.116172</v>
      </c>
      <c r="I225" t="n">
        <v>131.71072</v>
      </c>
      <c r="J225" t="n">
        <v>131.71072</v>
      </c>
      <c r="K225" t="n">
        <v>125.125184</v>
      </c>
      <c r="L225" t="n">
        <v>130.894857</v>
      </c>
      <c r="M225" t="n">
        <v>130.894857</v>
      </c>
      <c r="N225" t="n">
        <v>130.894857</v>
      </c>
      <c r="O225" t="n">
        <v>12.255972</v>
      </c>
      <c r="P225" t="n">
        <v>8.448598</v>
      </c>
      <c r="Q225" t="n">
        <v>130.894857</v>
      </c>
      <c r="R225" t="n">
        <v>130.894857</v>
      </c>
      <c r="S225" t="n">
        <v>12.255972</v>
      </c>
      <c r="T225" t="n">
        <v>12.255972</v>
      </c>
      <c r="U225" t="n">
        <v>8.448598</v>
      </c>
      <c r="V225" t="n">
        <v>8.448598</v>
      </c>
      <c r="W225" t="n">
        <v>12.680707</v>
      </c>
      <c r="X225" t="n">
        <v>136.520004</v>
      </c>
      <c r="Y225" t="n">
        <v>13.974049</v>
      </c>
      <c r="Z225" t="n">
        <v>22.490141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140.953883</v>
      </c>
      <c r="F226" t="n">
        <v>60.479203</v>
      </c>
      <c r="G226" t="n">
        <v>1285.725322</v>
      </c>
      <c r="H226" t="n">
        <v>3025.478454</v>
      </c>
      <c r="I226" t="n">
        <v>395.888053</v>
      </c>
      <c r="J226" t="n">
        <v>395.888053</v>
      </c>
      <c r="K226" t="n">
        <v>376.09365</v>
      </c>
      <c r="L226" t="n">
        <v>393.787233</v>
      </c>
      <c r="M226" t="n">
        <v>393.787233</v>
      </c>
      <c r="N226" t="n">
        <v>393.787233</v>
      </c>
      <c r="O226" t="n">
        <v>20.916473</v>
      </c>
      <c r="P226" t="n">
        <v>13.510088</v>
      </c>
      <c r="Q226" t="n">
        <v>393.787233</v>
      </c>
      <c r="R226" t="n">
        <v>393.787233</v>
      </c>
      <c r="S226" t="n">
        <v>20.916473</v>
      </c>
      <c r="T226" t="n">
        <v>20.916473</v>
      </c>
      <c r="U226" t="n">
        <v>13.510088</v>
      </c>
      <c r="V226" t="n">
        <v>13.510088</v>
      </c>
      <c r="W226" t="n">
        <v>21.939981</v>
      </c>
      <c r="X226" t="n">
        <v>405.784084</v>
      </c>
      <c r="Y226" t="n">
        <v>35.719215</v>
      </c>
      <c r="Z226" t="n">
        <v>45.472786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140.953883</v>
      </c>
      <c r="F227" t="n">
        <v>200.641254</v>
      </c>
      <c r="G227" t="n">
        <v>11101.904562</v>
      </c>
      <c r="H227" t="n">
        <v>25660602.941085</v>
      </c>
      <c r="I227" t="n">
        <v>6244.222521</v>
      </c>
      <c r="J227" t="n">
        <v>6325.914048</v>
      </c>
      <c r="K227" t="n">
        <v>1872.204427</v>
      </c>
      <c r="L227" t="n">
        <v>7112.982475</v>
      </c>
      <c r="M227" t="n">
        <v>7112.982475</v>
      </c>
      <c r="N227" t="n">
        <v>7112.982475</v>
      </c>
      <c r="O227" t="n">
        <v>87.969483</v>
      </c>
      <c r="P227" t="n">
        <v>46.580547</v>
      </c>
      <c r="Q227" t="n">
        <v>7112.982475</v>
      </c>
      <c r="R227" t="n">
        <v>7112.982475</v>
      </c>
      <c r="S227" t="n">
        <v>87.969483</v>
      </c>
      <c r="T227" t="n">
        <v>87.969483</v>
      </c>
      <c r="U227" t="n">
        <v>46.580547</v>
      </c>
      <c r="V227" t="n">
        <v>46.580547</v>
      </c>
      <c r="W227" t="n">
        <v>93.060855</v>
      </c>
      <c r="X227" t="n">
        <v>7459.131892</v>
      </c>
      <c r="Y227" t="n">
        <v>100.902165</v>
      </c>
      <c r="Z227" t="n">
        <v>211.14634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140.953883</v>
      </c>
      <c r="F228" t="n">
        <v>228.824285</v>
      </c>
      <c r="G228" t="n">
        <v>13739.954406</v>
      </c>
      <c r="H228" t="n">
        <v>114798702.260359</v>
      </c>
      <c r="I228" t="n">
        <v>6590.793316</v>
      </c>
      <c r="J228" t="n">
        <v>7071.146917</v>
      </c>
      <c r="K228" t="n">
        <v>2576.928919</v>
      </c>
      <c r="L228" t="n">
        <v>10677.999207</v>
      </c>
      <c r="M228" t="n">
        <v>10677.999207</v>
      </c>
      <c r="N228" t="n">
        <v>10677.999207</v>
      </c>
      <c r="O228" t="n">
        <v>85.006417</v>
      </c>
      <c r="P228" t="n">
        <v>38.52237</v>
      </c>
      <c r="Q228" t="n">
        <v>10677.999207</v>
      </c>
      <c r="R228" t="n">
        <v>10677.999207</v>
      </c>
      <c r="S228" t="n">
        <v>85.006417</v>
      </c>
      <c r="T228" t="n">
        <v>85.006417</v>
      </c>
      <c r="U228" t="n">
        <v>38.52237</v>
      </c>
      <c r="V228" t="n">
        <v>38.52237</v>
      </c>
      <c r="W228" t="n">
        <v>88.306245</v>
      </c>
      <c r="X228" t="n">
        <v>11509.306401</v>
      </c>
      <c r="Y228" t="n">
        <v>113.373643</v>
      </c>
      <c r="Z228" t="n">
        <v>399.574722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140.953883</v>
      </c>
      <c r="F229" t="n">
        <v>18.617087</v>
      </c>
      <c r="G229" t="n">
        <v>164.501951</v>
      </c>
      <c r="H229" t="n">
        <v>16631.862825</v>
      </c>
      <c r="I229" t="n">
        <v>603.989501</v>
      </c>
      <c r="J229" t="n">
        <v>603.989501</v>
      </c>
      <c r="K229" t="n">
        <v>240.387821</v>
      </c>
      <c r="L229" t="n">
        <v>1080.992157</v>
      </c>
      <c r="M229" t="n">
        <v>1080.992157</v>
      </c>
      <c r="N229" t="n">
        <v>1080.992157</v>
      </c>
      <c r="O229" t="n">
        <v>17.290347</v>
      </c>
      <c r="P229" t="n">
        <v>9.498851999999999</v>
      </c>
      <c r="Q229" t="n">
        <v>1080.992157</v>
      </c>
      <c r="R229" t="n">
        <v>1080.992157</v>
      </c>
      <c r="S229" t="n">
        <v>17.290347</v>
      </c>
      <c r="T229" t="n">
        <v>17.290347</v>
      </c>
      <c r="U229" t="n">
        <v>9.498851999999999</v>
      </c>
      <c r="V229" t="n">
        <v>9.498851999999999</v>
      </c>
      <c r="W229" t="n">
        <v>17.932707</v>
      </c>
      <c r="X229" t="n">
        <v>1135.08839</v>
      </c>
      <c r="Y229" t="n">
        <v>12.790679</v>
      </c>
      <c r="Z229" t="n">
        <v>41.60617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140.953883</v>
      </c>
      <c r="F230" t="n">
        <v>33.254785</v>
      </c>
      <c r="G230" t="n">
        <v>452.736281</v>
      </c>
      <c r="H230" t="n">
        <v>34182.13294</v>
      </c>
      <c r="I230" t="n">
        <v>151.084056</v>
      </c>
      <c r="J230" t="n">
        <v>151.084056</v>
      </c>
      <c r="K230" t="n">
        <v>143.529853</v>
      </c>
      <c r="L230" t="n">
        <v>173.938876</v>
      </c>
      <c r="M230" t="n">
        <v>173.938876</v>
      </c>
      <c r="N230" t="n">
        <v>173.938876</v>
      </c>
      <c r="O230" t="n">
        <v>13.215653</v>
      </c>
      <c r="P230" t="n">
        <v>8.00437</v>
      </c>
      <c r="Q230" t="n">
        <v>173.938876</v>
      </c>
      <c r="R230" t="n">
        <v>173.938876</v>
      </c>
      <c r="S230" t="n">
        <v>13.215653</v>
      </c>
      <c r="T230" t="n">
        <v>13.215653</v>
      </c>
      <c r="U230" t="n">
        <v>8.00437</v>
      </c>
      <c r="V230" t="n">
        <v>8.00437</v>
      </c>
      <c r="W230" t="n">
        <v>13.539814</v>
      </c>
      <c r="X230" t="n">
        <v>184.933079</v>
      </c>
      <c r="Y230" t="n">
        <v>21.207733</v>
      </c>
      <c r="Z230" t="n">
        <v>52.601429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140.953883</v>
      </c>
      <c r="F231" t="n">
        <v>14.712171</v>
      </c>
      <c r="G231" t="n">
        <v>109.082967</v>
      </c>
      <c r="H231" t="n">
        <v>1554.089564</v>
      </c>
      <c r="I231" t="n">
        <v>87.52377799999999</v>
      </c>
      <c r="J231" t="n">
        <v>87.52377799999999</v>
      </c>
      <c r="K231" t="n">
        <v>33.521607</v>
      </c>
      <c r="L231" t="n">
        <v>92.59366</v>
      </c>
      <c r="M231" t="n">
        <v>92.59366</v>
      </c>
      <c r="N231" t="n">
        <v>92.59366</v>
      </c>
      <c r="O231" t="n">
        <v>4.448657</v>
      </c>
      <c r="P231" t="n">
        <v>3.058348</v>
      </c>
      <c r="Q231" t="n">
        <v>92.59366</v>
      </c>
      <c r="R231" t="n">
        <v>92.59366</v>
      </c>
      <c r="S231" t="n">
        <v>4.448657</v>
      </c>
      <c r="T231" t="n">
        <v>4.448657</v>
      </c>
      <c r="U231" t="n">
        <v>3.058348</v>
      </c>
      <c r="V231" t="n">
        <v>3.058348</v>
      </c>
      <c r="W231" t="n">
        <v>4.556294</v>
      </c>
      <c r="X231" t="n">
        <v>96.447226</v>
      </c>
      <c r="Y231" t="n">
        <v>10.417956</v>
      </c>
      <c r="Z231" t="n">
        <v>17.174689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140.953883</v>
      </c>
      <c r="F232" t="n">
        <v>420.661524</v>
      </c>
      <c r="G232" t="n">
        <v>45138.893651</v>
      </c>
      <c r="H232" t="n">
        <v>168230573.682483</v>
      </c>
      <c r="I232" t="n">
        <v>32064.514055</v>
      </c>
      <c r="J232" t="n">
        <v>32388.465997</v>
      </c>
      <c r="K232" t="n">
        <v>15001.444266</v>
      </c>
      <c r="L232" t="n">
        <v>47447.371867</v>
      </c>
      <c r="M232" t="n">
        <v>47447.371867</v>
      </c>
      <c r="N232" t="n">
        <v>47447.371867</v>
      </c>
      <c r="O232" t="n">
        <v>134.659687</v>
      </c>
      <c r="P232" t="n">
        <v>58.748438</v>
      </c>
      <c r="Q232" t="n">
        <v>47447.371867</v>
      </c>
      <c r="R232" t="n">
        <v>47447.371867</v>
      </c>
      <c r="S232" t="n">
        <v>134.659687</v>
      </c>
      <c r="T232" t="n">
        <v>134.659687</v>
      </c>
      <c r="U232" t="n">
        <v>58.748438</v>
      </c>
      <c r="V232" t="n">
        <v>58.748438</v>
      </c>
      <c r="W232" t="n">
        <v>141.372985</v>
      </c>
      <c r="X232" t="n">
        <v>50905.953173</v>
      </c>
      <c r="Y232" t="n">
        <v>191.020462</v>
      </c>
      <c r="Z232" t="n">
        <v>621.6836510000001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140.953883</v>
      </c>
      <c r="F234" t="n">
        <v>200.641254</v>
      </c>
      <c r="G234" t="n">
        <v>11101.904562</v>
      </c>
      <c r="H234" t="n">
        <v>25660602.941085</v>
      </c>
      <c r="I234" t="n">
        <v>6244.222521</v>
      </c>
      <c r="J234" t="n">
        <v>6325.914048</v>
      </c>
      <c r="K234" t="n">
        <v>1872.204427</v>
      </c>
      <c r="L234" t="n">
        <v>7112.982475</v>
      </c>
      <c r="M234" t="n">
        <v>7112.982475</v>
      </c>
      <c r="N234" t="n">
        <v>7112.982475</v>
      </c>
      <c r="O234" t="n">
        <v>87.969483</v>
      </c>
      <c r="P234" t="n">
        <v>46.580547</v>
      </c>
      <c r="Q234" t="n">
        <v>7112.982475</v>
      </c>
      <c r="R234" t="n">
        <v>7112.982475</v>
      </c>
      <c r="S234" t="n">
        <v>87.969483</v>
      </c>
      <c r="T234" t="n">
        <v>87.969483</v>
      </c>
      <c r="U234" t="n">
        <v>46.580547</v>
      </c>
      <c r="V234" t="n">
        <v>46.580547</v>
      </c>
      <c r="W234" t="n">
        <v>93.060855</v>
      </c>
      <c r="X234" t="n">
        <v>7459.131892</v>
      </c>
      <c r="Y234" t="n">
        <v>100.902165</v>
      </c>
      <c r="Z234" t="n">
        <v>211.14634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140.953883</v>
      </c>
      <c r="F235" t="n">
        <v>158.552335</v>
      </c>
      <c r="G235" t="n">
        <v>6912.013677</v>
      </c>
      <c r="H235" t="n">
        <v>2905118.284102</v>
      </c>
      <c r="I235" t="n">
        <v>3502.459341</v>
      </c>
      <c r="J235" t="n">
        <v>3796.144916</v>
      </c>
      <c r="K235" t="n">
        <v>1780.391965</v>
      </c>
      <c r="L235" t="n">
        <v>4710.704014</v>
      </c>
      <c r="M235" t="n">
        <v>4710.704014</v>
      </c>
      <c r="N235" t="n">
        <v>4710.704014</v>
      </c>
      <c r="O235" t="n">
        <v>105.183965</v>
      </c>
      <c r="P235" t="n">
        <v>52.828865</v>
      </c>
      <c r="Q235" t="n">
        <v>4710.704014</v>
      </c>
      <c r="R235" t="n">
        <v>4710.704014</v>
      </c>
      <c r="S235" t="n">
        <v>105.183965</v>
      </c>
      <c r="T235" t="n">
        <v>105.183965</v>
      </c>
      <c r="U235" t="n">
        <v>52.828865</v>
      </c>
      <c r="V235" t="n">
        <v>52.828865</v>
      </c>
      <c r="W235" t="n">
        <v>109.611209</v>
      </c>
      <c r="X235" t="n">
        <v>5115.038689</v>
      </c>
      <c r="Y235" t="n">
        <v>82.74413800000001</v>
      </c>
      <c r="Z235" t="n">
        <v>193.416145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140.953883</v>
      </c>
      <c r="F236" t="n">
        <v>177.371403</v>
      </c>
      <c r="G236" t="n">
        <v>9540.408934999999</v>
      </c>
      <c r="H236" t="n">
        <v>70736320.08912501</v>
      </c>
      <c r="I236" t="n">
        <v>4269.898312</v>
      </c>
      <c r="J236" t="n">
        <v>4574.511297</v>
      </c>
      <c r="K236" t="n">
        <v>1801.225895</v>
      </c>
      <c r="L236" t="n">
        <v>6846.4367</v>
      </c>
      <c r="M236" t="n">
        <v>6846.4367</v>
      </c>
      <c r="N236" t="n">
        <v>6846.4367</v>
      </c>
      <c r="O236" t="n">
        <v>67.536573</v>
      </c>
      <c r="P236" t="n">
        <v>32.007796</v>
      </c>
      <c r="Q236" t="n">
        <v>6846.4367</v>
      </c>
      <c r="R236" t="n">
        <v>6846.4367</v>
      </c>
      <c r="S236" t="n">
        <v>67.536573</v>
      </c>
      <c r="T236" t="n">
        <v>67.536573</v>
      </c>
      <c r="U236" t="n">
        <v>32.007796</v>
      </c>
      <c r="V236" t="n">
        <v>32.007796</v>
      </c>
      <c r="W236" t="n">
        <v>70.113483</v>
      </c>
      <c r="X236" t="n">
        <v>7370.741192</v>
      </c>
      <c r="Y236" t="n">
        <v>90.145392</v>
      </c>
      <c r="Z236" t="n">
        <v>288.815865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140.953883</v>
      </c>
      <c r="F237" t="n">
        <v>57.638856</v>
      </c>
      <c r="G237" t="n">
        <v>1182.200226</v>
      </c>
      <c r="H237" t="n">
        <v>56775.373409</v>
      </c>
      <c r="I237" t="n">
        <v>512.103289</v>
      </c>
      <c r="J237" t="n">
        <v>553.467817</v>
      </c>
      <c r="K237" t="n">
        <v>525.794426</v>
      </c>
      <c r="L237" t="n">
        <v>602.712303</v>
      </c>
      <c r="M237" t="n">
        <v>602.712303</v>
      </c>
      <c r="N237" t="n">
        <v>602.712303</v>
      </c>
      <c r="O237" t="n">
        <v>31.190871</v>
      </c>
      <c r="P237" t="n">
        <v>18.283791</v>
      </c>
      <c r="Q237" t="n">
        <v>602.712303</v>
      </c>
      <c r="R237" t="n">
        <v>602.712303</v>
      </c>
      <c r="S237" t="n">
        <v>31.190871</v>
      </c>
      <c r="T237" t="n">
        <v>31.190871</v>
      </c>
      <c r="U237" t="n">
        <v>18.283791</v>
      </c>
      <c r="V237" t="n">
        <v>18.283791</v>
      </c>
      <c r="W237" t="n">
        <v>32.089433</v>
      </c>
      <c r="X237" t="n">
        <v>622.065443</v>
      </c>
      <c r="Y237" t="n">
        <v>34.252552</v>
      </c>
      <c r="Z237" t="n">
        <v>73.57281500000001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140.953883</v>
      </c>
      <c r="F238" t="n">
        <v>228.824285</v>
      </c>
      <c r="G238" t="n">
        <v>13739.954406</v>
      </c>
      <c r="H238" t="n">
        <v>114798702.260359</v>
      </c>
      <c r="I238" t="n">
        <v>6590.793316</v>
      </c>
      <c r="J238" t="n">
        <v>7071.146917</v>
      </c>
      <c r="K238" t="n">
        <v>2576.928919</v>
      </c>
      <c r="L238" t="n">
        <v>10677.999207</v>
      </c>
      <c r="M238" t="n">
        <v>10677.999207</v>
      </c>
      <c r="N238" t="n">
        <v>10677.999207</v>
      </c>
      <c r="O238" t="n">
        <v>85.006417</v>
      </c>
      <c r="P238" t="n">
        <v>38.52237</v>
      </c>
      <c r="Q238" t="n">
        <v>10677.999207</v>
      </c>
      <c r="R238" t="n">
        <v>10677.999207</v>
      </c>
      <c r="S238" t="n">
        <v>85.006417</v>
      </c>
      <c r="T238" t="n">
        <v>85.006417</v>
      </c>
      <c r="U238" t="n">
        <v>38.52237</v>
      </c>
      <c r="V238" t="n">
        <v>38.52237</v>
      </c>
      <c r="W238" t="n">
        <v>88.306245</v>
      </c>
      <c r="X238" t="n">
        <v>11509.306401</v>
      </c>
      <c r="Y238" t="n">
        <v>113.373643</v>
      </c>
      <c r="Z238" t="n">
        <v>399.574722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140.953883</v>
      </c>
      <c r="F239" t="n">
        <v>200.641254</v>
      </c>
      <c r="G239" t="n">
        <v>11101.904562</v>
      </c>
      <c r="H239" t="n">
        <v>25660602.941085</v>
      </c>
      <c r="I239" t="n">
        <v>6244.222521</v>
      </c>
      <c r="J239" t="n">
        <v>6325.914048</v>
      </c>
      <c r="K239" t="n">
        <v>1872.204427</v>
      </c>
      <c r="L239" t="n">
        <v>7112.982475</v>
      </c>
      <c r="M239" t="n">
        <v>7112.982475</v>
      </c>
      <c r="N239" t="n">
        <v>7112.982475</v>
      </c>
      <c r="O239" t="n">
        <v>87.969483</v>
      </c>
      <c r="P239" t="n">
        <v>46.580547</v>
      </c>
      <c r="Q239" t="n">
        <v>7112.982475</v>
      </c>
      <c r="R239" t="n">
        <v>7112.982475</v>
      </c>
      <c r="S239" t="n">
        <v>87.969483</v>
      </c>
      <c r="T239" t="n">
        <v>87.969483</v>
      </c>
      <c r="U239" t="n">
        <v>46.580547</v>
      </c>
      <c r="V239" t="n">
        <v>46.580547</v>
      </c>
      <c r="W239" t="n">
        <v>93.060855</v>
      </c>
      <c r="X239" t="n">
        <v>7459.131892</v>
      </c>
      <c r="Y239" t="n">
        <v>100.902165</v>
      </c>
      <c r="Z239" t="n">
        <v>211.14634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140.953883</v>
      </c>
      <c r="F240" t="n">
        <v>265.549442</v>
      </c>
      <c r="G240" t="n">
        <v>17398.716094</v>
      </c>
      <c r="H240" t="n">
        <v>21722652.494621</v>
      </c>
      <c r="I240" t="n">
        <v>2939.153653</v>
      </c>
      <c r="J240" t="n">
        <v>3022.907916</v>
      </c>
      <c r="K240" t="n">
        <v>1769.605312</v>
      </c>
      <c r="L240" t="n">
        <v>3691.420719</v>
      </c>
      <c r="M240" t="n">
        <v>3691.420719</v>
      </c>
      <c r="N240" t="n">
        <v>3691.420719</v>
      </c>
      <c r="O240" t="n">
        <v>92.784491</v>
      </c>
      <c r="P240" t="n">
        <v>44.082214</v>
      </c>
      <c r="Q240" t="n">
        <v>3691.420719</v>
      </c>
      <c r="R240" t="n">
        <v>3691.420719</v>
      </c>
      <c r="S240" t="n">
        <v>92.784491</v>
      </c>
      <c r="T240" t="n">
        <v>92.784491</v>
      </c>
      <c r="U240" t="n">
        <v>44.082214</v>
      </c>
      <c r="V240" t="n">
        <v>44.082214</v>
      </c>
      <c r="W240" t="n">
        <v>96.91430099999999</v>
      </c>
      <c r="X240" t="n">
        <v>3937.988659</v>
      </c>
      <c r="Y240" t="n">
        <v>129.416869</v>
      </c>
      <c r="Z240" t="n">
        <v>360.506923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140.953883</v>
      </c>
      <c r="F241" t="n">
        <v>14.712171</v>
      </c>
      <c r="G241" t="n">
        <v>109.082967</v>
      </c>
      <c r="H241" t="n">
        <v>1554.089564</v>
      </c>
      <c r="I241" t="n">
        <v>87.52377799999999</v>
      </c>
      <c r="J241" t="n">
        <v>87.52377799999999</v>
      </c>
      <c r="K241" t="n">
        <v>33.521607</v>
      </c>
      <c r="L241" t="n">
        <v>92.59366</v>
      </c>
      <c r="M241" t="n">
        <v>92.59366</v>
      </c>
      <c r="N241" t="n">
        <v>92.59366</v>
      </c>
      <c r="O241" t="n">
        <v>4.448657</v>
      </c>
      <c r="P241" t="n">
        <v>3.058348</v>
      </c>
      <c r="Q241" t="n">
        <v>92.59366</v>
      </c>
      <c r="R241" t="n">
        <v>92.59366</v>
      </c>
      <c r="S241" t="n">
        <v>4.448657</v>
      </c>
      <c r="T241" t="n">
        <v>4.448657</v>
      </c>
      <c r="U241" t="n">
        <v>3.058348</v>
      </c>
      <c r="V241" t="n">
        <v>3.058348</v>
      </c>
      <c r="W241" t="n">
        <v>4.556294</v>
      </c>
      <c r="X241" t="n">
        <v>96.447226</v>
      </c>
      <c r="Y241" t="n">
        <v>10.417956</v>
      </c>
      <c r="Z241" t="n">
        <v>17.174689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140.953883</v>
      </c>
      <c r="F242" t="n">
        <v>200.641254</v>
      </c>
      <c r="G242" t="n">
        <v>11101.904562</v>
      </c>
      <c r="H242" t="n">
        <v>25660602.941085</v>
      </c>
      <c r="I242" t="n">
        <v>6244.222521</v>
      </c>
      <c r="J242" t="n">
        <v>6325.914048</v>
      </c>
      <c r="K242" t="n">
        <v>1872.204427</v>
      </c>
      <c r="L242" t="n">
        <v>7112.982475</v>
      </c>
      <c r="M242" t="n">
        <v>7112.982475</v>
      </c>
      <c r="N242" t="n">
        <v>7112.982475</v>
      </c>
      <c r="O242" t="n">
        <v>87.969483</v>
      </c>
      <c r="P242" t="n">
        <v>46.580547</v>
      </c>
      <c r="Q242" t="n">
        <v>7112.982475</v>
      </c>
      <c r="R242" t="n">
        <v>7112.982475</v>
      </c>
      <c r="S242" t="n">
        <v>87.969483</v>
      </c>
      <c r="T242" t="n">
        <v>87.969483</v>
      </c>
      <c r="U242" t="n">
        <v>46.580547</v>
      </c>
      <c r="V242" t="n">
        <v>46.580547</v>
      </c>
      <c r="W242" t="n">
        <v>93.060855</v>
      </c>
      <c r="X242" t="n">
        <v>7459.131892</v>
      </c>
      <c r="Y242" t="n">
        <v>100.902165</v>
      </c>
      <c r="Z242" t="n">
        <v>211.14634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140.953883</v>
      </c>
      <c r="F244" t="n">
        <v>14.712171</v>
      </c>
      <c r="G244" t="n">
        <v>109.082967</v>
      </c>
      <c r="H244" t="n">
        <v>1554.089564</v>
      </c>
      <c r="I244" t="n">
        <v>87.52377799999999</v>
      </c>
      <c r="J244" t="n">
        <v>87.52377799999999</v>
      </c>
      <c r="K244" t="n">
        <v>33.521607</v>
      </c>
      <c r="L244" t="n">
        <v>92.59366</v>
      </c>
      <c r="M244" t="n">
        <v>92.59366</v>
      </c>
      <c r="N244" t="n">
        <v>92.59366</v>
      </c>
      <c r="O244" t="n">
        <v>4.448657</v>
      </c>
      <c r="P244" t="n">
        <v>3.058348</v>
      </c>
      <c r="Q244" t="n">
        <v>92.59366</v>
      </c>
      <c r="R244" t="n">
        <v>92.59366</v>
      </c>
      <c r="S244" t="n">
        <v>4.448657</v>
      </c>
      <c r="T244" t="n">
        <v>4.448657</v>
      </c>
      <c r="U244" t="n">
        <v>3.058348</v>
      </c>
      <c r="V244" t="n">
        <v>3.058348</v>
      </c>
      <c r="W244" t="n">
        <v>4.556294</v>
      </c>
      <c r="X244" t="n">
        <v>96.447226</v>
      </c>
      <c r="Y244" t="n">
        <v>10.417956</v>
      </c>
      <c r="Z244" t="n">
        <v>17.174689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140.953883</v>
      </c>
      <c r="F246" t="n">
        <v>94.940534</v>
      </c>
      <c r="G246" t="n">
        <v>3699.207408</v>
      </c>
      <c r="H246" t="n">
        <v>6311396.796745</v>
      </c>
      <c r="I246" t="n">
        <v>1833.804999</v>
      </c>
      <c r="J246" t="n">
        <v>1853.890312</v>
      </c>
      <c r="K246" t="n">
        <v>743.939069</v>
      </c>
      <c r="L246" t="n">
        <v>2045.820774</v>
      </c>
      <c r="M246" t="n">
        <v>2045.820774</v>
      </c>
      <c r="N246" t="n">
        <v>2045.820774</v>
      </c>
      <c r="O246" t="n">
        <v>37.402647</v>
      </c>
      <c r="P246" t="n">
        <v>21.641048</v>
      </c>
      <c r="Q246" t="n">
        <v>2045.820774</v>
      </c>
      <c r="R246" t="n">
        <v>2045.820774</v>
      </c>
      <c r="S246" t="n">
        <v>37.402647</v>
      </c>
      <c r="T246" t="n">
        <v>37.402647</v>
      </c>
      <c r="U246" t="n">
        <v>21.641048</v>
      </c>
      <c r="V246" t="n">
        <v>21.641048</v>
      </c>
      <c r="W246" t="n">
        <v>39.426311</v>
      </c>
      <c r="X246" t="n">
        <v>2139.974971</v>
      </c>
      <c r="Y246" t="n">
        <v>51.745601</v>
      </c>
      <c r="Z246" t="n">
        <v>86.20657300000001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140.953883</v>
      </c>
      <c r="F247" t="n">
        <v>60.479203</v>
      </c>
      <c r="G247" t="n">
        <v>1285.725322</v>
      </c>
      <c r="H247" t="n">
        <v>3025.478454</v>
      </c>
      <c r="I247" t="n">
        <v>395.888053</v>
      </c>
      <c r="J247" t="n">
        <v>395.888053</v>
      </c>
      <c r="K247" t="n">
        <v>376.09365</v>
      </c>
      <c r="L247" t="n">
        <v>393.787233</v>
      </c>
      <c r="M247" t="n">
        <v>393.787233</v>
      </c>
      <c r="N247" t="n">
        <v>393.787233</v>
      </c>
      <c r="O247" t="n">
        <v>20.916473</v>
      </c>
      <c r="P247" t="n">
        <v>13.510088</v>
      </c>
      <c r="Q247" t="n">
        <v>393.787233</v>
      </c>
      <c r="R247" t="n">
        <v>393.787233</v>
      </c>
      <c r="S247" t="n">
        <v>20.916473</v>
      </c>
      <c r="T247" t="n">
        <v>20.916473</v>
      </c>
      <c r="U247" t="n">
        <v>13.510088</v>
      </c>
      <c r="V247" t="n">
        <v>13.510088</v>
      </c>
      <c r="W247" t="n">
        <v>21.939981</v>
      </c>
      <c r="X247" t="n">
        <v>405.784084</v>
      </c>
      <c r="Y247" t="n">
        <v>35.719215</v>
      </c>
      <c r="Z247" t="n">
        <v>45.472786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140.953883</v>
      </c>
      <c r="F248" t="n">
        <v>228.824285</v>
      </c>
      <c r="G248" t="n">
        <v>13739.954406</v>
      </c>
      <c r="H248" t="n">
        <v>114798702.260359</v>
      </c>
      <c r="I248" t="n">
        <v>6590.793316</v>
      </c>
      <c r="J248" t="n">
        <v>7071.146917</v>
      </c>
      <c r="K248" t="n">
        <v>2576.928919</v>
      </c>
      <c r="L248" t="n">
        <v>10677.999207</v>
      </c>
      <c r="M248" t="n">
        <v>10677.999207</v>
      </c>
      <c r="N248" t="n">
        <v>10677.999207</v>
      </c>
      <c r="O248" t="n">
        <v>85.006417</v>
      </c>
      <c r="P248" t="n">
        <v>38.52237</v>
      </c>
      <c r="Q248" t="n">
        <v>10677.999207</v>
      </c>
      <c r="R248" t="n">
        <v>10677.999207</v>
      </c>
      <c r="S248" t="n">
        <v>85.006417</v>
      </c>
      <c r="T248" t="n">
        <v>85.006417</v>
      </c>
      <c r="U248" t="n">
        <v>38.52237</v>
      </c>
      <c r="V248" t="n">
        <v>38.52237</v>
      </c>
      <c r="W248" t="n">
        <v>88.306245</v>
      </c>
      <c r="X248" t="n">
        <v>11509.306401</v>
      </c>
      <c r="Y248" t="n">
        <v>113.373643</v>
      </c>
      <c r="Z248" t="n">
        <v>399.574722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140.953883</v>
      </c>
      <c r="F249" t="n">
        <v>200.641254</v>
      </c>
      <c r="G249" t="n">
        <v>11101.904562</v>
      </c>
      <c r="H249" t="n">
        <v>25660602.941085</v>
      </c>
      <c r="I249" t="n">
        <v>6244.222521</v>
      </c>
      <c r="J249" t="n">
        <v>6325.914048</v>
      </c>
      <c r="K249" t="n">
        <v>1872.204427</v>
      </c>
      <c r="L249" t="n">
        <v>7112.982475</v>
      </c>
      <c r="M249" t="n">
        <v>7112.982475</v>
      </c>
      <c r="N249" t="n">
        <v>7112.982475</v>
      </c>
      <c r="O249" t="n">
        <v>87.969483</v>
      </c>
      <c r="P249" t="n">
        <v>46.580547</v>
      </c>
      <c r="Q249" t="n">
        <v>7112.982475</v>
      </c>
      <c r="R249" t="n">
        <v>7112.982475</v>
      </c>
      <c r="S249" t="n">
        <v>87.969483</v>
      </c>
      <c r="T249" t="n">
        <v>87.969483</v>
      </c>
      <c r="U249" t="n">
        <v>46.580547</v>
      </c>
      <c r="V249" t="n">
        <v>46.580547</v>
      </c>
      <c r="W249" t="n">
        <v>93.060855</v>
      </c>
      <c r="X249" t="n">
        <v>7459.131892</v>
      </c>
      <c r="Y249" t="n">
        <v>100.902165</v>
      </c>
      <c r="Z249" t="n">
        <v>211.14634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140.953883</v>
      </c>
      <c r="F250" t="n">
        <v>20.606299</v>
      </c>
      <c r="G250" t="n">
        <v>196.386285</v>
      </c>
      <c r="H250" t="n">
        <v>1009.116172</v>
      </c>
      <c r="I250" t="n">
        <v>131.71072</v>
      </c>
      <c r="J250" t="n">
        <v>131.71072</v>
      </c>
      <c r="K250" t="n">
        <v>125.125184</v>
      </c>
      <c r="L250" t="n">
        <v>130.894857</v>
      </c>
      <c r="M250" t="n">
        <v>130.894857</v>
      </c>
      <c r="N250" t="n">
        <v>130.894857</v>
      </c>
      <c r="O250" t="n">
        <v>12.255972</v>
      </c>
      <c r="P250" t="n">
        <v>8.448598</v>
      </c>
      <c r="Q250" t="n">
        <v>130.894857</v>
      </c>
      <c r="R250" t="n">
        <v>130.894857</v>
      </c>
      <c r="S250" t="n">
        <v>12.255972</v>
      </c>
      <c r="T250" t="n">
        <v>12.255972</v>
      </c>
      <c r="U250" t="n">
        <v>8.448598</v>
      </c>
      <c r="V250" t="n">
        <v>8.448598</v>
      </c>
      <c r="W250" t="n">
        <v>12.680707</v>
      </c>
      <c r="X250" t="n">
        <v>136.520004</v>
      </c>
      <c r="Y250" t="n">
        <v>13.974049</v>
      </c>
      <c r="Z250" t="n">
        <v>22.490141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140.953883</v>
      </c>
      <c r="F251" t="n">
        <v>15.812995</v>
      </c>
      <c r="G251" t="n">
        <v>123.721444</v>
      </c>
      <c r="H251" t="n">
        <v>7384.919423</v>
      </c>
      <c r="I251" t="n">
        <v>110.765161</v>
      </c>
      <c r="J251" t="n">
        <v>110.765161</v>
      </c>
      <c r="K251" t="n">
        <v>69.11746100000001</v>
      </c>
      <c r="L251" t="n">
        <v>113.463496</v>
      </c>
      <c r="M251" t="n">
        <v>113.463496</v>
      </c>
      <c r="N251" t="n">
        <v>113.463496</v>
      </c>
      <c r="O251" t="n">
        <v>8.170260000000001</v>
      </c>
      <c r="P251" t="n">
        <v>5.693764</v>
      </c>
      <c r="Q251" t="n">
        <v>113.463496</v>
      </c>
      <c r="R251" t="n">
        <v>113.463496</v>
      </c>
      <c r="S251" t="n">
        <v>8.170260000000001</v>
      </c>
      <c r="T251" t="n">
        <v>8.170260000000001</v>
      </c>
      <c r="U251" t="n">
        <v>5.693764</v>
      </c>
      <c r="V251" t="n">
        <v>5.693764</v>
      </c>
      <c r="W251" t="n">
        <v>8.298344999999999</v>
      </c>
      <c r="X251" t="n">
        <v>118.931059</v>
      </c>
      <c r="Y251" t="n">
        <v>11.094229</v>
      </c>
      <c r="Z251" t="n">
        <v>22.315768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140.953883</v>
      </c>
      <c r="F253" t="n">
        <v>15.812995</v>
      </c>
      <c r="G253" t="n">
        <v>123.721444</v>
      </c>
      <c r="H253" t="n">
        <v>7384.919423</v>
      </c>
      <c r="I253" t="n">
        <v>110.765161</v>
      </c>
      <c r="J253" t="n">
        <v>110.765161</v>
      </c>
      <c r="K253" t="n">
        <v>69.11746100000001</v>
      </c>
      <c r="L253" t="n">
        <v>113.463496</v>
      </c>
      <c r="M253" t="n">
        <v>113.463496</v>
      </c>
      <c r="N253" t="n">
        <v>113.463496</v>
      </c>
      <c r="O253" t="n">
        <v>8.170260000000001</v>
      </c>
      <c r="P253" t="n">
        <v>5.693764</v>
      </c>
      <c r="Q253" t="n">
        <v>113.463496</v>
      </c>
      <c r="R253" t="n">
        <v>113.463496</v>
      </c>
      <c r="S253" t="n">
        <v>8.170260000000001</v>
      </c>
      <c r="T253" t="n">
        <v>8.170260000000001</v>
      </c>
      <c r="U253" t="n">
        <v>5.693764</v>
      </c>
      <c r="V253" t="n">
        <v>5.693764</v>
      </c>
      <c r="W253" t="n">
        <v>8.298344999999999</v>
      </c>
      <c r="X253" t="n">
        <v>118.931059</v>
      </c>
      <c r="Y253" t="n">
        <v>11.094229</v>
      </c>
      <c r="Z253" t="n">
        <v>22.315768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140.953883</v>
      </c>
      <c r="F254" t="n">
        <v>20.606299</v>
      </c>
      <c r="G254" t="n">
        <v>196.386285</v>
      </c>
      <c r="H254" t="n">
        <v>1009.116172</v>
      </c>
      <c r="I254" t="n">
        <v>131.71072</v>
      </c>
      <c r="J254" t="n">
        <v>131.71072</v>
      </c>
      <c r="K254" t="n">
        <v>125.125184</v>
      </c>
      <c r="L254" t="n">
        <v>130.894857</v>
      </c>
      <c r="M254" t="n">
        <v>130.894857</v>
      </c>
      <c r="N254" t="n">
        <v>130.894857</v>
      </c>
      <c r="O254" t="n">
        <v>12.255972</v>
      </c>
      <c r="P254" t="n">
        <v>8.448598</v>
      </c>
      <c r="Q254" t="n">
        <v>130.894857</v>
      </c>
      <c r="R254" t="n">
        <v>130.894857</v>
      </c>
      <c r="S254" t="n">
        <v>12.255972</v>
      </c>
      <c r="T254" t="n">
        <v>12.255972</v>
      </c>
      <c r="U254" t="n">
        <v>8.448598</v>
      </c>
      <c r="V254" t="n">
        <v>8.448598</v>
      </c>
      <c r="W254" t="n">
        <v>12.680707</v>
      </c>
      <c r="X254" t="n">
        <v>136.520004</v>
      </c>
      <c r="Y254" t="n">
        <v>13.974049</v>
      </c>
      <c r="Z254" t="n">
        <v>22.490141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140.953883</v>
      </c>
      <c r="F255" t="n">
        <v>95.34341499999999</v>
      </c>
      <c r="G255" t="n">
        <v>2845.346423</v>
      </c>
      <c r="H255" t="n">
        <v>490526.782878</v>
      </c>
      <c r="I255" t="n">
        <v>569.846189</v>
      </c>
      <c r="J255" t="n">
        <v>594.287325</v>
      </c>
      <c r="K255" t="n">
        <v>564.572959</v>
      </c>
      <c r="L255" t="n">
        <v>738.02552</v>
      </c>
      <c r="M255" t="n">
        <v>738.02552</v>
      </c>
      <c r="N255" t="n">
        <v>738.02552</v>
      </c>
      <c r="O255" t="n">
        <v>39.685535</v>
      </c>
      <c r="P255" t="n">
        <v>21.622034</v>
      </c>
      <c r="Q255" t="n">
        <v>738.02552</v>
      </c>
      <c r="R255" t="n">
        <v>738.02552</v>
      </c>
      <c r="S255" t="n">
        <v>39.685535</v>
      </c>
      <c r="T255" t="n">
        <v>39.685535</v>
      </c>
      <c r="U255" t="n">
        <v>21.622034</v>
      </c>
      <c r="V255" t="n">
        <v>21.622034</v>
      </c>
      <c r="W255" t="n">
        <v>41.109943</v>
      </c>
      <c r="X255" t="n">
        <v>772.895549</v>
      </c>
      <c r="Y255" t="n">
        <v>53.114101</v>
      </c>
      <c r="Z255" t="n">
        <v>112.240217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140.953883</v>
      </c>
      <c r="F256" t="n">
        <v>15.812995</v>
      </c>
      <c r="G256" t="n">
        <v>123.721444</v>
      </c>
      <c r="H256" t="n">
        <v>7384.919423</v>
      </c>
      <c r="I256" t="n">
        <v>110.765161</v>
      </c>
      <c r="J256" t="n">
        <v>110.765161</v>
      </c>
      <c r="K256" t="n">
        <v>69.11746100000001</v>
      </c>
      <c r="L256" t="n">
        <v>113.463496</v>
      </c>
      <c r="M256" t="n">
        <v>113.463496</v>
      </c>
      <c r="N256" t="n">
        <v>113.463496</v>
      </c>
      <c r="O256" t="n">
        <v>8.170260000000001</v>
      </c>
      <c r="P256" t="n">
        <v>5.693764</v>
      </c>
      <c r="Q256" t="n">
        <v>113.463496</v>
      </c>
      <c r="R256" t="n">
        <v>113.463496</v>
      </c>
      <c r="S256" t="n">
        <v>8.170260000000001</v>
      </c>
      <c r="T256" t="n">
        <v>8.170260000000001</v>
      </c>
      <c r="U256" t="n">
        <v>5.693764</v>
      </c>
      <c r="V256" t="n">
        <v>5.693764</v>
      </c>
      <c r="W256" t="n">
        <v>8.298344999999999</v>
      </c>
      <c r="X256" t="n">
        <v>118.931059</v>
      </c>
      <c r="Y256" t="n">
        <v>11.094229</v>
      </c>
      <c r="Z256" t="n">
        <v>22.315768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140.953883</v>
      </c>
      <c r="F257" t="n">
        <v>228.824285</v>
      </c>
      <c r="G257" t="n">
        <v>13739.954406</v>
      </c>
      <c r="H257" t="n">
        <v>114798702.260359</v>
      </c>
      <c r="I257" t="n">
        <v>6590.793316</v>
      </c>
      <c r="J257" t="n">
        <v>7071.146917</v>
      </c>
      <c r="K257" t="n">
        <v>2576.928919</v>
      </c>
      <c r="L257" t="n">
        <v>10677.999207</v>
      </c>
      <c r="M257" t="n">
        <v>10677.999207</v>
      </c>
      <c r="N257" t="n">
        <v>10677.999207</v>
      </c>
      <c r="O257" t="n">
        <v>85.006417</v>
      </c>
      <c r="P257" t="n">
        <v>38.52237</v>
      </c>
      <c r="Q257" t="n">
        <v>10677.999207</v>
      </c>
      <c r="R257" t="n">
        <v>10677.999207</v>
      </c>
      <c r="S257" t="n">
        <v>85.006417</v>
      </c>
      <c r="T257" t="n">
        <v>85.006417</v>
      </c>
      <c r="U257" t="n">
        <v>38.52237</v>
      </c>
      <c r="V257" t="n">
        <v>38.52237</v>
      </c>
      <c r="W257" t="n">
        <v>88.306245</v>
      </c>
      <c r="X257" t="n">
        <v>11509.306401</v>
      </c>
      <c r="Y257" t="n">
        <v>113.373643</v>
      </c>
      <c r="Z257" t="n">
        <v>399.574722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140.953883</v>
      </c>
      <c r="F258" t="n">
        <v>170.518341</v>
      </c>
      <c r="G258" t="n">
        <v>7847.80585</v>
      </c>
      <c r="H258" t="n">
        <v>421935.650343</v>
      </c>
      <c r="I258" t="n">
        <v>1050.872908</v>
      </c>
      <c r="J258" t="n">
        <v>1075.829695</v>
      </c>
      <c r="K258" t="n">
        <v>537.914847</v>
      </c>
      <c r="L258" t="n">
        <v>1659.687874</v>
      </c>
      <c r="M258" t="n">
        <v>1659.687874</v>
      </c>
      <c r="N258" t="n">
        <v>1659.687874</v>
      </c>
      <c r="O258" t="n">
        <v>31.362197</v>
      </c>
      <c r="P258" t="n">
        <v>16.184075</v>
      </c>
      <c r="Q258" t="n">
        <v>1659.687874</v>
      </c>
      <c r="R258" t="n">
        <v>1659.687874</v>
      </c>
      <c r="S258" t="n">
        <v>31.362197</v>
      </c>
      <c r="T258" t="n">
        <v>31.362197</v>
      </c>
      <c r="U258" t="n">
        <v>16.184075</v>
      </c>
      <c r="V258" t="n">
        <v>16.184075</v>
      </c>
      <c r="W258" t="n">
        <v>32.286772</v>
      </c>
      <c r="X258" t="n">
        <v>1775.112325</v>
      </c>
      <c r="Y258" t="n">
        <v>88.16158900000001</v>
      </c>
      <c r="Z258" t="n">
        <v>173.868813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140.953883</v>
      </c>
      <c r="F259" t="n">
        <v>20.606299</v>
      </c>
      <c r="G259" t="n">
        <v>196.386285</v>
      </c>
      <c r="H259" t="n">
        <v>1009.116172</v>
      </c>
      <c r="I259" t="n">
        <v>131.71072</v>
      </c>
      <c r="J259" t="n">
        <v>131.71072</v>
      </c>
      <c r="K259" t="n">
        <v>125.125184</v>
      </c>
      <c r="L259" t="n">
        <v>130.894857</v>
      </c>
      <c r="M259" t="n">
        <v>130.894857</v>
      </c>
      <c r="N259" t="n">
        <v>130.894857</v>
      </c>
      <c r="O259" t="n">
        <v>12.255972</v>
      </c>
      <c r="P259" t="n">
        <v>8.448598</v>
      </c>
      <c r="Q259" t="n">
        <v>130.894857</v>
      </c>
      <c r="R259" t="n">
        <v>130.894857</v>
      </c>
      <c r="S259" t="n">
        <v>12.255972</v>
      </c>
      <c r="T259" t="n">
        <v>12.255972</v>
      </c>
      <c r="U259" t="n">
        <v>8.448598</v>
      </c>
      <c r="V259" t="n">
        <v>8.448598</v>
      </c>
      <c r="W259" t="n">
        <v>12.680707</v>
      </c>
      <c r="X259" t="n">
        <v>136.520004</v>
      </c>
      <c r="Y259" t="n">
        <v>13.974049</v>
      </c>
      <c r="Z259" t="n">
        <v>22.490141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140.953883</v>
      </c>
      <c r="F260" t="n">
        <v>200.641254</v>
      </c>
      <c r="G260" t="n">
        <v>11101.904562</v>
      </c>
      <c r="H260" t="n">
        <v>25660602.941085</v>
      </c>
      <c r="I260" t="n">
        <v>6244.222521</v>
      </c>
      <c r="J260" t="n">
        <v>6325.914048</v>
      </c>
      <c r="K260" t="n">
        <v>1872.204427</v>
      </c>
      <c r="L260" t="n">
        <v>7112.982475</v>
      </c>
      <c r="M260" t="n">
        <v>7112.982475</v>
      </c>
      <c r="N260" t="n">
        <v>7112.982475</v>
      </c>
      <c r="O260" t="n">
        <v>87.969483</v>
      </c>
      <c r="P260" t="n">
        <v>46.580547</v>
      </c>
      <c r="Q260" t="n">
        <v>7112.982475</v>
      </c>
      <c r="R260" t="n">
        <v>7112.982475</v>
      </c>
      <c r="S260" t="n">
        <v>87.969483</v>
      </c>
      <c r="T260" t="n">
        <v>87.969483</v>
      </c>
      <c r="U260" t="n">
        <v>46.580547</v>
      </c>
      <c r="V260" t="n">
        <v>46.580547</v>
      </c>
      <c r="W260" t="n">
        <v>93.060855</v>
      </c>
      <c r="X260" t="n">
        <v>7459.131892</v>
      </c>
      <c r="Y260" t="n">
        <v>100.902165</v>
      </c>
      <c r="Z260" t="n">
        <v>211.14634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140.953883</v>
      </c>
      <c r="F261" t="n">
        <v>228.824285</v>
      </c>
      <c r="G261" t="n">
        <v>13739.954406</v>
      </c>
      <c r="H261" t="n">
        <v>114798702.260359</v>
      </c>
      <c r="I261" t="n">
        <v>6590.793316</v>
      </c>
      <c r="J261" t="n">
        <v>7071.146917</v>
      </c>
      <c r="K261" t="n">
        <v>2576.928919</v>
      </c>
      <c r="L261" t="n">
        <v>10677.999207</v>
      </c>
      <c r="M261" t="n">
        <v>10677.999207</v>
      </c>
      <c r="N261" t="n">
        <v>10677.999207</v>
      </c>
      <c r="O261" t="n">
        <v>85.006417</v>
      </c>
      <c r="P261" t="n">
        <v>38.52237</v>
      </c>
      <c r="Q261" t="n">
        <v>10677.999207</v>
      </c>
      <c r="R261" t="n">
        <v>10677.999207</v>
      </c>
      <c r="S261" t="n">
        <v>85.006417</v>
      </c>
      <c r="T261" t="n">
        <v>85.006417</v>
      </c>
      <c r="U261" t="n">
        <v>38.52237</v>
      </c>
      <c r="V261" t="n">
        <v>38.52237</v>
      </c>
      <c r="W261" t="n">
        <v>88.306245</v>
      </c>
      <c r="X261" t="n">
        <v>11509.306401</v>
      </c>
      <c r="Y261" t="n">
        <v>113.373643</v>
      </c>
      <c r="Z261" t="n">
        <v>399.574722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140.953883</v>
      </c>
      <c r="F262" t="n">
        <v>908.988005</v>
      </c>
      <c r="G262" t="n">
        <v>145576.696024</v>
      </c>
      <c r="H262" t="n">
        <v>48080410.421404</v>
      </c>
      <c r="I262" t="n">
        <v>125208.792952</v>
      </c>
      <c r="J262" t="n">
        <v>126616.154086</v>
      </c>
      <c r="K262" t="n">
        <v>63308.077043</v>
      </c>
      <c r="L262" t="n">
        <v>172174.15174</v>
      </c>
      <c r="M262" t="n">
        <v>172174.151739</v>
      </c>
      <c r="N262" t="n">
        <v>172174.151739</v>
      </c>
      <c r="O262" t="n">
        <v>202.141045</v>
      </c>
      <c r="P262" t="n">
        <v>87.49926499999999</v>
      </c>
      <c r="Q262" t="n">
        <v>172174.151739</v>
      </c>
      <c r="R262" t="n">
        <v>172174.151739</v>
      </c>
      <c r="S262" t="n">
        <v>202.141045</v>
      </c>
      <c r="T262" t="n">
        <v>202.141045</v>
      </c>
      <c r="U262" t="n">
        <v>87.49926499999999</v>
      </c>
      <c r="V262" t="n">
        <v>87.49926499999999</v>
      </c>
      <c r="W262" t="n">
        <v>214.928725</v>
      </c>
      <c r="X262" t="n">
        <v>183923.261916</v>
      </c>
      <c r="Y262" t="n">
        <v>379.113334</v>
      </c>
      <c r="Z262" t="n">
        <v>767.7179190000001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140.953883</v>
      </c>
      <c r="F263" t="n">
        <v>20.606299</v>
      </c>
      <c r="G263" t="n">
        <v>196.386285</v>
      </c>
      <c r="H263" t="n">
        <v>1009.116172</v>
      </c>
      <c r="I263" t="n">
        <v>131.71072</v>
      </c>
      <c r="J263" t="n">
        <v>131.71072</v>
      </c>
      <c r="K263" t="n">
        <v>125.125184</v>
      </c>
      <c r="L263" t="n">
        <v>130.894857</v>
      </c>
      <c r="M263" t="n">
        <v>130.894857</v>
      </c>
      <c r="N263" t="n">
        <v>130.894857</v>
      </c>
      <c r="O263" t="n">
        <v>12.255972</v>
      </c>
      <c r="P263" t="n">
        <v>8.448598</v>
      </c>
      <c r="Q263" t="n">
        <v>130.894857</v>
      </c>
      <c r="R263" t="n">
        <v>130.894857</v>
      </c>
      <c r="S263" t="n">
        <v>12.255972</v>
      </c>
      <c r="T263" t="n">
        <v>12.255972</v>
      </c>
      <c r="U263" t="n">
        <v>8.448598</v>
      </c>
      <c r="V263" t="n">
        <v>8.448598</v>
      </c>
      <c r="W263" t="n">
        <v>12.680707</v>
      </c>
      <c r="X263" t="n">
        <v>136.520004</v>
      </c>
      <c r="Y263" t="n">
        <v>13.974049</v>
      </c>
      <c r="Z263" t="n">
        <v>22.490141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140.953883</v>
      </c>
      <c r="F264" t="n">
        <v>177.371403</v>
      </c>
      <c r="G264" t="n">
        <v>9540.408934999999</v>
      </c>
      <c r="H264" t="n">
        <v>70736320.08912501</v>
      </c>
      <c r="I264" t="n">
        <v>4269.898312</v>
      </c>
      <c r="J264" t="n">
        <v>4574.511297</v>
      </c>
      <c r="K264" t="n">
        <v>1801.225895</v>
      </c>
      <c r="L264" t="n">
        <v>6846.4367</v>
      </c>
      <c r="M264" t="n">
        <v>6846.4367</v>
      </c>
      <c r="N264" t="n">
        <v>6846.4367</v>
      </c>
      <c r="O264" t="n">
        <v>67.536573</v>
      </c>
      <c r="P264" t="n">
        <v>32.007796</v>
      </c>
      <c r="Q264" t="n">
        <v>6846.4367</v>
      </c>
      <c r="R264" t="n">
        <v>6846.4367</v>
      </c>
      <c r="S264" t="n">
        <v>67.536573</v>
      </c>
      <c r="T264" t="n">
        <v>67.536573</v>
      </c>
      <c r="U264" t="n">
        <v>32.007796</v>
      </c>
      <c r="V264" t="n">
        <v>32.007796</v>
      </c>
      <c r="W264" t="n">
        <v>70.113483</v>
      </c>
      <c r="X264" t="n">
        <v>7370.741192</v>
      </c>
      <c r="Y264" t="n">
        <v>90.145392</v>
      </c>
      <c r="Z264" t="n">
        <v>288.815865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140.953883</v>
      </c>
      <c r="F265" t="n">
        <v>60.479203</v>
      </c>
      <c r="G265" t="n">
        <v>1285.725322</v>
      </c>
      <c r="H265" t="n">
        <v>3025.478454</v>
      </c>
      <c r="I265" t="n">
        <v>395.888053</v>
      </c>
      <c r="J265" t="n">
        <v>395.888053</v>
      </c>
      <c r="K265" t="n">
        <v>376.09365</v>
      </c>
      <c r="L265" t="n">
        <v>393.787233</v>
      </c>
      <c r="M265" t="n">
        <v>393.787233</v>
      </c>
      <c r="N265" t="n">
        <v>393.787233</v>
      </c>
      <c r="O265" t="n">
        <v>20.916473</v>
      </c>
      <c r="P265" t="n">
        <v>13.510088</v>
      </c>
      <c r="Q265" t="n">
        <v>393.787233</v>
      </c>
      <c r="R265" t="n">
        <v>393.787233</v>
      </c>
      <c r="S265" t="n">
        <v>20.916473</v>
      </c>
      <c r="T265" t="n">
        <v>20.916473</v>
      </c>
      <c r="U265" t="n">
        <v>13.510088</v>
      </c>
      <c r="V265" t="n">
        <v>13.510088</v>
      </c>
      <c r="W265" t="n">
        <v>21.939981</v>
      </c>
      <c r="X265" t="n">
        <v>405.784084</v>
      </c>
      <c r="Y265" t="n">
        <v>35.719215</v>
      </c>
      <c r="Z265" t="n">
        <v>45.472786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140.953883</v>
      </c>
      <c r="F266" t="n">
        <v>14.712171</v>
      </c>
      <c r="G266" t="n">
        <v>109.082967</v>
      </c>
      <c r="H266" t="n">
        <v>1554.089564</v>
      </c>
      <c r="I266" t="n">
        <v>87.52377799999999</v>
      </c>
      <c r="J266" t="n">
        <v>87.52377799999999</v>
      </c>
      <c r="K266" t="n">
        <v>33.521607</v>
      </c>
      <c r="L266" t="n">
        <v>92.59366</v>
      </c>
      <c r="M266" t="n">
        <v>92.59366</v>
      </c>
      <c r="N266" t="n">
        <v>92.59366</v>
      </c>
      <c r="O266" t="n">
        <v>4.448657</v>
      </c>
      <c r="P266" t="n">
        <v>3.058348</v>
      </c>
      <c r="Q266" t="n">
        <v>92.59366</v>
      </c>
      <c r="R266" t="n">
        <v>92.59366</v>
      </c>
      <c r="S266" t="n">
        <v>4.448657</v>
      </c>
      <c r="T266" t="n">
        <v>4.448657</v>
      </c>
      <c r="U266" t="n">
        <v>3.058348</v>
      </c>
      <c r="V266" t="n">
        <v>3.058348</v>
      </c>
      <c r="W266" t="n">
        <v>4.556294</v>
      </c>
      <c r="X266" t="n">
        <v>96.447226</v>
      </c>
      <c r="Y266" t="n">
        <v>10.417956</v>
      </c>
      <c r="Z266" t="n">
        <v>17.174689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140.953883</v>
      </c>
      <c r="F267" t="n">
        <v>228.824285</v>
      </c>
      <c r="G267" t="n">
        <v>13739.954406</v>
      </c>
      <c r="H267" t="n">
        <v>114798702.260359</v>
      </c>
      <c r="I267" t="n">
        <v>6590.793316</v>
      </c>
      <c r="J267" t="n">
        <v>7071.146917</v>
      </c>
      <c r="K267" t="n">
        <v>2576.928919</v>
      </c>
      <c r="L267" t="n">
        <v>10677.999207</v>
      </c>
      <c r="M267" t="n">
        <v>10677.999207</v>
      </c>
      <c r="N267" t="n">
        <v>10677.999207</v>
      </c>
      <c r="O267" t="n">
        <v>85.006417</v>
      </c>
      <c r="P267" t="n">
        <v>38.52237</v>
      </c>
      <c r="Q267" t="n">
        <v>10677.999207</v>
      </c>
      <c r="R267" t="n">
        <v>10677.999207</v>
      </c>
      <c r="S267" t="n">
        <v>85.006417</v>
      </c>
      <c r="T267" t="n">
        <v>85.006417</v>
      </c>
      <c r="U267" t="n">
        <v>38.52237</v>
      </c>
      <c r="V267" t="n">
        <v>38.52237</v>
      </c>
      <c r="W267" t="n">
        <v>88.306245</v>
      </c>
      <c r="X267" t="n">
        <v>11509.306401</v>
      </c>
      <c r="Y267" t="n">
        <v>113.373643</v>
      </c>
      <c r="Z267" t="n">
        <v>399.574722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140.953883</v>
      </c>
      <c r="F268" t="n">
        <v>200.641254</v>
      </c>
      <c r="G268" t="n">
        <v>11101.904562</v>
      </c>
      <c r="H268" t="n">
        <v>25660602.941085</v>
      </c>
      <c r="I268" t="n">
        <v>6244.222521</v>
      </c>
      <c r="J268" t="n">
        <v>6325.914048</v>
      </c>
      <c r="K268" t="n">
        <v>1872.204427</v>
      </c>
      <c r="L268" t="n">
        <v>7112.982475</v>
      </c>
      <c r="M268" t="n">
        <v>7112.982475</v>
      </c>
      <c r="N268" t="n">
        <v>7112.982475</v>
      </c>
      <c r="O268" t="n">
        <v>87.969483</v>
      </c>
      <c r="P268" t="n">
        <v>46.580547</v>
      </c>
      <c r="Q268" t="n">
        <v>7112.982475</v>
      </c>
      <c r="R268" t="n">
        <v>7112.982475</v>
      </c>
      <c r="S268" t="n">
        <v>87.969483</v>
      </c>
      <c r="T268" t="n">
        <v>87.969483</v>
      </c>
      <c r="U268" t="n">
        <v>46.580547</v>
      </c>
      <c r="V268" t="n">
        <v>46.580547</v>
      </c>
      <c r="W268" t="n">
        <v>93.060855</v>
      </c>
      <c r="X268" t="n">
        <v>7459.131892</v>
      </c>
      <c r="Y268" t="n">
        <v>100.902165</v>
      </c>
      <c r="Z268" t="n">
        <v>211.14634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140.953883</v>
      </c>
      <c r="F269" t="n">
        <v>667.104795</v>
      </c>
      <c r="G269" t="n">
        <v>84841.433393</v>
      </c>
      <c r="H269" t="n">
        <v>62527803.444478</v>
      </c>
      <c r="I269" t="n">
        <v>9604.557183999999</v>
      </c>
      <c r="J269" t="n">
        <v>10115.319409</v>
      </c>
      <c r="K269" t="n">
        <v>2437.791978</v>
      </c>
      <c r="L269" t="n">
        <v>16798.641648</v>
      </c>
      <c r="M269" t="n">
        <v>16798.641648</v>
      </c>
      <c r="N269" t="n">
        <v>16798.641648</v>
      </c>
      <c r="O269" t="n">
        <v>88.03658900000001</v>
      </c>
      <c r="P269" t="n">
        <v>38.159556</v>
      </c>
      <c r="Q269" t="n">
        <v>16798.641648</v>
      </c>
      <c r="R269" t="n">
        <v>16798.641648</v>
      </c>
      <c r="S269" t="n">
        <v>88.03658900000001</v>
      </c>
      <c r="T269" t="n">
        <v>88.03658900000001</v>
      </c>
      <c r="U269" t="n">
        <v>38.159556</v>
      </c>
      <c r="V269" t="n">
        <v>38.159556</v>
      </c>
      <c r="W269" t="n">
        <v>92.54017</v>
      </c>
      <c r="X269" t="n">
        <v>18119.633615</v>
      </c>
      <c r="Y269" t="n">
        <v>289.503115</v>
      </c>
      <c r="Z269" t="n">
        <v>659.652259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140.953883</v>
      </c>
      <c r="F270" t="n">
        <v>60.479203</v>
      </c>
      <c r="G270" t="n">
        <v>1285.725322</v>
      </c>
      <c r="H270" t="n">
        <v>3025.478454</v>
      </c>
      <c r="I270" t="n">
        <v>395.888053</v>
      </c>
      <c r="J270" t="n">
        <v>395.888053</v>
      </c>
      <c r="K270" t="n">
        <v>376.09365</v>
      </c>
      <c r="L270" t="n">
        <v>393.787233</v>
      </c>
      <c r="M270" t="n">
        <v>393.787233</v>
      </c>
      <c r="N270" t="n">
        <v>393.787233</v>
      </c>
      <c r="O270" t="n">
        <v>20.916473</v>
      </c>
      <c r="P270" t="n">
        <v>13.510088</v>
      </c>
      <c r="Q270" t="n">
        <v>393.787233</v>
      </c>
      <c r="R270" t="n">
        <v>393.787233</v>
      </c>
      <c r="S270" t="n">
        <v>20.916473</v>
      </c>
      <c r="T270" t="n">
        <v>20.916473</v>
      </c>
      <c r="U270" t="n">
        <v>13.510088</v>
      </c>
      <c r="V270" t="n">
        <v>13.510088</v>
      </c>
      <c r="W270" t="n">
        <v>21.939981</v>
      </c>
      <c r="X270" t="n">
        <v>405.784084</v>
      </c>
      <c r="Y270" t="n">
        <v>35.719215</v>
      </c>
      <c r="Z270" t="n">
        <v>45.472786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140.953883</v>
      </c>
      <c r="F271" t="n">
        <v>228.824285</v>
      </c>
      <c r="G271" t="n">
        <v>13739.954406</v>
      </c>
      <c r="H271" t="n">
        <v>114798702.260359</v>
      </c>
      <c r="I271" t="n">
        <v>6590.793316</v>
      </c>
      <c r="J271" t="n">
        <v>7071.146917</v>
      </c>
      <c r="K271" t="n">
        <v>2576.928919</v>
      </c>
      <c r="L271" t="n">
        <v>10677.999207</v>
      </c>
      <c r="M271" t="n">
        <v>10677.999207</v>
      </c>
      <c r="N271" t="n">
        <v>10677.999207</v>
      </c>
      <c r="O271" t="n">
        <v>85.006417</v>
      </c>
      <c r="P271" t="n">
        <v>38.52237</v>
      </c>
      <c r="Q271" t="n">
        <v>10677.999207</v>
      </c>
      <c r="R271" t="n">
        <v>10677.999207</v>
      </c>
      <c r="S271" t="n">
        <v>85.006417</v>
      </c>
      <c r="T271" t="n">
        <v>85.006417</v>
      </c>
      <c r="U271" t="n">
        <v>38.52237</v>
      </c>
      <c r="V271" t="n">
        <v>38.52237</v>
      </c>
      <c r="W271" t="n">
        <v>88.306245</v>
      </c>
      <c r="X271" t="n">
        <v>11509.306401</v>
      </c>
      <c r="Y271" t="n">
        <v>113.373643</v>
      </c>
      <c r="Z271" t="n">
        <v>399.574722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140.953883</v>
      </c>
      <c r="F272" t="n">
        <v>200.641254</v>
      </c>
      <c r="G272" t="n">
        <v>11101.904562</v>
      </c>
      <c r="H272" t="n">
        <v>25660602.941085</v>
      </c>
      <c r="I272" t="n">
        <v>6244.222521</v>
      </c>
      <c r="J272" t="n">
        <v>6325.914048</v>
      </c>
      <c r="K272" t="n">
        <v>1872.204427</v>
      </c>
      <c r="L272" t="n">
        <v>7112.982475</v>
      </c>
      <c r="M272" t="n">
        <v>7112.982475</v>
      </c>
      <c r="N272" t="n">
        <v>7112.982475</v>
      </c>
      <c r="O272" t="n">
        <v>87.969483</v>
      </c>
      <c r="P272" t="n">
        <v>46.580547</v>
      </c>
      <c r="Q272" t="n">
        <v>7112.982475</v>
      </c>
      <c r="R272" t="n">
        <v>7112.982475</v>
      </c>
      <c r="S272" t="n">
        <v>87.969483</v>
      </c>
      <c r="T272" t="n">
        <v>87.969483</v>
      </c>
      <c r="U272" t="n">
        <v>46.580547</v>
      </c>
      <c r="V272" t="n">
        <v>46.580547</v>
      </c>
      <c r="W272" t="n">
        <v>93.060855</v>
      </c>
      <c r="X272" t="n">
        <v>7459.131892</v>
      </c>
      <c r="Y272" t="n">
        <v>100.902165</v>
      </c>
      <c r="Z272" t="n">
        <v>211.14634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140.953883</v>
      </c>
      <c r="F273" t="n">
        <v>14.712171</v>
      </c>
      <c r="G273" t="n">
        <v>109.082967</v>
      </c>
      <c r="H273" t="n">
        <v>1554.089564</v>
      </c>
      <c r="I273" t="n">
        <v>87.52377799999999</v>
      </c>
      <c r="J273" t="n">
        <v>87.52377799999999</v>
      </c>
      <c r="K273" t="n">
        <v>33.521607</v>
      </c>
      <c r="L273" t="n">
        <v>92.59366</v>
      </c>
      <c r="M273" t="n">
        <v>92.59366</v>
      </c>
      <c r="N273" t="n">
        <v>92.59366</v>
      </c>
      <c r="O273" t="n">
        <v>4.448657</v>
      </c>
      <c r="P273" t="n">
        <v>3.058348</v>
      </c>
      <c r="Q273" t="n">
        <v>92.59366</v>
      </c>
      <c r="R273" t="n">
        <v>92.59366</v>
      </c>
      <c r="S273" t="n">
        <v>4.448657</v>
      </c>
      <c r="T273" t="n">
        <v>4.448657</v>
      </c>
      <c r="U273" t="n">
        <v>3.058348</v>
      </c>
      <c r="V273" t="n">
        <v>3.058348</v>
      </c>
      <c r="W273" t="n">
        <v>4.556294</v>
      </c>
      <c r="X273" t="n">
        <v>96.447226</v>
      </c>
      <c r="Y273" t="n">
        <v>10.417956</v>
      </c>
      <c r="Z273" t="n">
        <v>17.174689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140.953883</v>
      </c>
      <c r="F274" t="n">
        <v>20.606299</v>
      </c>
      <c r="G274" t="n">
        <v>196.386285</v>
      </c>
      <c r="H274" t="n">
        <v>1009.116172</v>
      </c>
      <c r="I274" t="n">
        <v>131.71072</v>
      </c>
      <c r="J274" t="n">
        <v>131.71072</v>
      </c>
      <c r="K274" t="n">
        <v>125.125184</v>
      </c>
      <c r="L274" t="n">
        <v>130.894857</v>
      </c>
      <c r="M274" t="n">
        <v>130.894857</v>
      </c>
      <c r="N274" t="n">
        <v>130.894857</v>
      </c>
      <c r="O274" t="n">
        <v>12.255972</v>
      </c>
      <c r="P274" t="n">
        <v>8.448598</v>
      </c>
      <c r="Q274" t="n">
        <v>130.894857</v>
      </c>
      <c r="R274" t="n">
        <v>130.894857</v>
      </c>
      <c r="S274" t="n">
        <v>12.255972</v>
      </c>
      <c r="T274" t="n">
        <v>12.255972</v>
      </c>
      <c r="U274" t="n">
        <v>8.448598</v>
      </c>
      <c r="V274" t="n">
        <v>8.448598</v>
      </c>
      <c r="W274" t="n">
        <v>12.680707</v>
      </c>
      <c r="X274" t="n">
        <v>136.520004</v>
      </c>
      <c r="Y274" t="n">
        <v>13.974049</v>
      </c>
      <c r="Z274" t="n">
        <v>22.490141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140.953883</v>
      </c>
      <c r="F275" t="n">
        <v>200.641254</v>
      </c>
      <c r="G275" t="n">
        <v>11101.904562</v>
      </c>
      <c r="H275" t="n">
        <v>25660602.941085</v>
      </c>
      <c r="I275" t="n">
        <v>6244.222521</v>
      </c>
      <c r="J275" t="n">
        <v>6325.914048</v>
      </c>
      <c r="K275" t="n">
        <v>1872.204427</v>
      </c>
      <c r="L275" t="n">
        <v>7112.982475</v>
      </c>
      <c r="M275" t="n">
        <v>7112.982475</v>
      </c>
      <c r="N275" t="n">
        <v>7112.982475</v>
      </c>
      <c r="O275" t="n">
        <v>87.969483</v>
      </c>
      <c r="P275" t="n">
        <v>46.580547</v>
      </c>
      <c r="Q275" t="n">
        <v>7112.982475</v>
      </c>
      <c r="R275" t="n">
        <v>7112.982475</v>
      </c>
      <c r="S275" t="n">
        <v>87.969483</v>
      </c>
      <c r="T275" t="n">
        <v>87.969483</v>
      </c>
      <c r="U275" t="n">
        <v>46.580547</v>
      </c>
      <c r="V275" t="n">
        <v>46.580547</v>
      </c>
      <c r="W275" t="n">
        <v>93.060855</v>
      </c>
      <c r="X275" t="n">
        <v>7459.131892</v>
      </c>
      <c r="Y275" t="n">
        <v>100.902165</v>
      </c>
      <c r="Z275" t="n">
        <v>211.14634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140.953883</v>
      </c>
      <c r="F276" t="n">
        <v>228.824285</v>
      </c>
      <c r="G276" t="n">
        <v>13739.954406</v>
      </c>
      <c r="H276" t="n">
        <v>114798702.260359</v>
      </c>
      <c r="I276" t="n">
        <v>6590.793316</v>
      </c>
      <c r="J276" t="n">
        <v>7071.146917</v>
      </c>
      <c r="K276" t="n">
        <v>2576.928919</v>
      </c>
      <c r="L276" t="n">
        <v>10677.999207</v>
      </c>
      <c r="M276" t="n">
        <v>10677.999207</v>
      </c>
      <c r="N276" t="n">
        <v>10677.999207</v>
      </c>
      <c r="O276" t="n">
        <v>85.006417</v>
      </c>
      <c r="P276" t="n">
        <v>38.52237</v>
      </c>
      <c r="Q276" t="n">
        <v>10677.999207</v>
      </c>
      <c r="R276" t="n">
        <v>10677.999207</v>
      </c>
      <c r="S276" t="n">
        <v>85.006417</v>
      </c>
      <c r="T276" t="n">
        <v>85.006417</v>
      </c>
      <c r="U276" t="n">
        <v>38.52237</v>
      </c>
      <c r="V276" t="n">
        <v>38.52237</v>
      </c>
      <c r="W276" t="n">
        <v>88.306245</v>
      </c>
      <c r="X276" t="n">
        <v>11509.306401</v>
      </c>
      <c r="Y276" t="n">
        <v>113.373643</v>
      </c>
      <c r="Z276" t="n">
        <v>399.574722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140.953883</v>
      </c>
      <c r="F277" t="n">
        <v>57.638856</v>
      </c>
      <c r="G277" t="n">
        <v>1182.200226</v>
      </c>
      <c r="H277" t="n">
        <v>56775.373409</v>
      </c>
      <c r="I277" t="n">
        <v>512.103289</v>
      </c>
      <c r="J277" t="n">
        <v>553.467817</v>
      </c>
      <c r="K277" t="n">
        <v>525.794426</v>
      </c>
      <c r="L277" t="n">
        <v>602.712303</v>
      </c>
      <c r="M277" t="n">
        <v>602.712303</v>
      </c>
      <c r="N277" t="n">
        <v>602.712303</v>
      </c>
      <c r="O277" t="n">
        <v>31.190871</v>
      </c>
      <c r="P277" t="n">
        <v>18.283791</v>
      </c>
      <c r="Q277" t="n">
        <v>602.712303</v>
      </c>
      <c r="R277" t="n">
        <v>602.712303</v>
      </c>
      <c r="S277" t="n">
        <v>31.190871</v>
      </c>
      <c r="T277" t="n">
        <v>31.190871</v>
      </c>
      <c r="U277" t="n">
        <v>18.283791</v>
      </c>
      <c r="V277" t="n">
        <v>18.283791</v>
      </c>
      <c r="W277" t="n">
        <v>32.089433</v>
      </c>
      <c r="X277" t="n">
        <v>622.065443</v>
      </c>
      <c r="Y277" t="n">
        <v>34.252552</v>
      </c>
      <c r="Z277" t="n">
        <v>73.57281500000001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140.953883</v>
      </c>
      <c r="F278" t="n">
        <v>170.518341</v>
      </c>
      <c r="G278" t="n">
        <v>7847.80585</v>
      </c>
      <c r="H278" t="n">
        <v>421935.650343</v>
      </c>
      <c r="I278" t="n">
        <v>1050.872908</v>
      </c>
      <c r="J278" t="n">
        <v>1075.829695</v>
      </c>
      <c r="K278" t="n">
        <v>537.914847</v>
      </c>
      <c r="L278" t="n">
        <v>1659.687874</v>
      </c>
      <c r="M278" t="n">
        <v>1659.687874</v>
      </c>
      <c r="N278" t="n">
        <v>1659.687874</v>
      </c>
      <c r="O278" t="n">
        <v>31.362197</v>
      </c>
      <c r="P278" t="n">
        <v>16.184075</v>
      </c>
      <c r="Q278" t="n">
        <v>1659.687874</v>
      </c>
      <c r="R278" t="n">
        <v>1659.687874</v>
      </c>
      <c r="S278" t="n">
        <v>31.362197</v>
      </c>
      <c r="T278" t="n">
        <v>31.362197</v>
      </c>
      <c r="U278" t="n">
        <v>16.184075</v>
      </c>
      <c r="V278" t="n">
        <v>16.184075</v>
      </c>
      <c r="W278" t="n">
        <v>32.286772</v>
      </c>
      <c r="X278" t="n">
        <v>1775.112325</v>
      </c>
      <c r="Y278" t="n">
        <v>88.16158900000001</v>
      </c>
      <c r="Z278" t="n">
        <v>173.868813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140.953883</v>
      </c>
      <c r="F279" t="n">
        <v>228.824285</v>
      </c>
      <c r="G279" t="n">
        <v>13739.954406</v>
      </c>
      <c r="H279" t="n">
        <v>114798702.260359</v>
      </c>
      <c r="I279" t="n">
        <v>6590.793316</v>
      </c>
      <c r="J279" t="n">
        <v>7071.146917</v>
      </c>
      <c r="K279" t="n">
        <v>2576.928919</v>
      </c>
      <c r="L279" t="n">
        <v>10677.999207</v>
      </c>
      <c r="M279" t="n">
        <v>10677.999207</v>
      </c>
      <c r="N279" t="n">
        <v>10677.999207</v>
      </c>
      <c r="O279" t="n">
        <v>85.006417</v>
      </c>
      <c r="P279" t="n">
        <v>38.52237</v>
      </c>
      <c r="Q279" t="n">
        <v>10677.999207</v>
      </c>
      <c r="R279" t="n">
        <v>10677.999207</v>
      </c>
      <c r="S279" t="n">
        <v>85.006417</v>
      </c>
      <c r="T279" t="n">
        <v>85.006417</v>
      </c>
      <c r="U279" t="n">
        <v>38.52237</v>
      </c>
      <c r="V279" t="n">
        <v>38.52237</v>
      </c>
      <c r="W279" t="n">
        <v>88.306245</v>
      </c>
      <c r="X279" t="n">
        <v>11509.306401</v>
      </c>
      <c r="Y279" t="n">
        <v>113.373643</v>
      </c>
      <c r="Z279" t="n">
        <v>399.574722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140.953883</v>
      </c>
      <c r="F280" t="n">
        <v>228.824285</v>
      </c>
      <c r="G280" t="n">
        <v>13739.954406</v>
      </c>
      <c r="H280" t="n">
        <v>114798702.260359</v>
      </c>
      <c r="I280" t="n">
        <v>6590.793316</v>
      </c>
      <c r="J280" t="n">
        <v>7071.146917</v>
      </c>
      <c r="K280" t="n">
        <v>2576.928919</v>
      </c>
      <c r="L280" t="n">
        <v>10677.999207</v>
      </c>
      <c r="M280" t="n">
        <v>10677.999207</v>
      </c>
      <c r="N280" t="n">
        <v>10677.999207</v>
      </c>
      <c r="O280" t="n">
        <v>85.006417</v>
      </c>
      <c r="P280" t="n">
        <v>38.52237</v>
      </c>
      <c r="Q280" t="n">
        <v>10677.999207</v>
      </c>
      <c r="R280" t="n">
        <v>10677.999207</v>
      </c>
      <c r="S280" t="n">
        <v>85.006417</v>
      </c>
      <c r="T280" t="n">
        <v>85.006417</v>
      </c>
      <c r="U280" t="n">
        <v>38.52237</v>
      </c>
      <c r="V280" t="n">
        <v>38.52237</v>
      </c>
      <c r="W280" t="n">
        <v>88.306245</v>
      </c>
      <c r="X280" t="n">
        <v>11509.306401</v>
      </c>
      <c r="Y280" t="n">
        <v>113.373643</v>
      </c>
      <c r="Z280" t="n">
        <v>399.574722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140.953883</v>
      </c>
      <c r="F281" t="n">
        <v>200.641254</v>
      </c>
      <c r="G281" t="n">
        <v>11101.904562</v>
      </c>
      <c r="H281" t="n">
        <v>25660602.941085</v>
      </c>
      <c r="I281" t="n">
        <v>6244.222521</v>
      </c>
      <c r="J281" t="n">
        <v>6325.914048</v>
      </c>
      <c r="K281" t="n">
        <v>1872.204427</v>
      </c>
      <c r="L281" t="n">
        <v>7112.982475</v>
      </c>
      <c r="M281" t="n">
        <v>7112.982475</v>
      </c>
      <c r="N281" t="n">
        <v>7112.982475</v>
      </c>
      <c r="O281" t="n">
        <v>87.969483</v>
      </c>
      <c r="P281" t="n">
        <v>46.580547</v>
      </c>
      <c r="Q281" t="n">
        <v>7112.982475</v>
      </c>
      <c r="R281" t="n">
        <v>7112.982475</v>
      </c>
      <c r="S281" t="n">
        <v>87.969483</v>
      </c>
      <c r="T281" t="n">
        <v>87.969483</v>
      </c>
      <c r="U281" t="n">
        <v>46.580547</v>
      </c>
      <c r="V281" t="n">
        <v>46.580547</v>
      </c>
      <c r="W281" t="n">
        <v>93.060855</v>
      </c>
      <c r="X281" t="n">
        <v>7459.131892</v>
      </c>
      <c r="Y281" t="n">
        <v>100.902165</v>
      </c>
      <c r="Z281" t="n">
        <v>211.14634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140.953883</v>
      </c>
      <c r="F282" t="n">
        <v>95.34341499999999</v>
      </c>
      <c r="G282" t="n">
        <v>2845.346423</v>
      </c>
      <c r="H282" t="n">
        <v>490526.782878</v>
      </c>
      <c r="I282" t="n">
        <v>569.846189</v>
      </c>
      <c r="J282" t="n">
        <v>594.287325</v>
      </c>
      <c r="K282" t="n">
        <v>564.572959</v>
      </c>
      <c r="L282" t="n">
        <v>738.02552</v>
      </c>
      <c r="M282" t="n">
        <v>738.02552</v>
      </c>
      <c r="N282" t="n">
        <v>738.02552</v>
      </c>
      <c r="O282" t="n">
        <v>39.685535</v>
      </c>
      <c r="P282" t="n">
        <v>21.622034</v>
      </c>
      <c r="Q282" t="n">
        <v>738.02552</v>
      </c>
      <c r="R282" t="n">
        <v>738.02552</v>
      </c>
      <c r="S282" t="n">
        <v>39.685535</v>
      </c>
      <c r="T282" t="n">
        <v>39.685535</v>
      </c>
      <c r="U282" t="n">
        <v>21.622034</v>
      </c>
      <c r="V282" t="n">
        <v>21.622034</v>
      </c>
      <c r="W282" t="n">
        <v>41.109943</v>
      </c>
      <c r="X282" t="n">
        <v>772.895549</v>
      </c>
      <c r="Y282" t="n">
        <v>53.114101</v>
      </c>
      <c r="Z282" t="n">
        <v>112.240217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140.953883</v>
      </c>
      <c r="F283" t="n">
        <v>228.824285</v>
      </c>
      <c r="G283" t="n">
        <v>13739.954406</v>
      </c>
      <c r="H283" t="n">
        <v>114798702.260359</v>
      </c>
      <c r="I283" t="n">
        <v>6590.793316</v>
      </c>
      <c r="J283" t="n">
        <v>7071.146917</v>
      </c>
      <c r="K283" t="n">
        <v>2576.928919</v>
      </c>
      <c r="L283" t="n">
        <v>10677.999207</v>
      </c>
      <c r="M283" t="n">
        <v>10677.999207</v>
      </c>
      <c r="N283" t="n">
        <v>10677.999207</v>
      </c>
      <c r="O283" t="n">
        <v>85.006417</v>
      </c>
      <c r="P283" t="n">
        <v>38.52237</v>
      </c>
      <c r="Q283" t="n">
        <v>10677.999207</v>
      </c>
      <c r="R283" t="n">
        <v>10677.999207</v>
      </c>
      <c r="S283" t="n">
        <v>85.006417</v>
      </c>
      <c r="T283" t="n">
        <v>85.006417</v>
      </c>
      <c r="U283" t="n">
        <v>38.52237</v>
      </c>
      <c r="V283" t="n">
        <v>38.52237</v>
      </c>
      <c r="W283" t="n">
        <v>88.306245</v>
      </c>
      <c r="X283" t="n">
        <v>11509.306401</v>
      </c>
      <c r="Y283" t="n">
        <v>113.373643</v>
      </c>
      <c r="Z283" t="n">
        <v>399.574722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140.953883</v>
      </c>
      <c r="F284" t="n">
        <v>60.479203</v>
      </c>
      <c r="G284" t="n">
        <v>1285.725322</v>
      </c>
      <c r="H284" t="n">
        <v>3025.478454</v>
      </c>
      <c r="I284" t="n">
        <v>395.888053</v>
      </c>
      <c r="J284" t="n">
        <v>395.888053</v>
      </c>
      <c r="K284" t="n">
        <v>376.09365</v>
      </c>
      <c r="L284" t="n">
        <v>393.787233</v>
      </c>
      <c r="M284" t="n">
        <v>393.787233</v>
      </c>
      <c r="N284" t="n">
        <v>393.787233</v>
      </c>
      <c r="O284" t="n">
        <v>20.916473</v>
      </c>
      <c r="P284" t="n">
        <v>13.510088</v>
      </c>
      <c r="Q284" t="n">
        <v>393.787233</v>
      </c>
      <c r="R284" t="n">
        <v>393.787233</v>
      </c>
      <c r="S284" t="n">
        <v>20.916473</v>
      </c>
      <c r="T284" t="n">
        <v>20.916473</v>
      </c>
      <c r="U284" t="n">
        <v>13.510088</v>
      </c>
      <c r="V284" t="n">
        <v>13.510088</v>
      </c>
      <c r="W284" t="n">
        <v>21.939981</v>
      </c>
      <c r="X284" t="n">
        <v>405.784084</v>
      </c>
      <c r="Y284" t="n">
        <v>35.719215</v>
      </c>
      <c r="Z284" t="n">
        <v>45.472786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140.953883</v>
      </c>
      <c r="F285" t="n">
        <v>15.812995</v>
      </c>
      <c r="G285" t="n">
        <v>123.721444</v>
      </c>
      <c r="H285" t="n">
        <v>7384.919423</v>
      </c>
      <c r="I285" t="n">
        <v>110.765161</v>
      </c>
      <c r="J285" t="n">
        <v>110.765161</v>
      </c>
      <c r="K285" t="n">
        <v>69.11746100000001</v>
      </c>
      <c r="L285" t="n">
        <v>113.463496</v>
      </c>
      <c r="M285" t="n">
        <v>113.463496</v>
      </c>
      <c r="N285" t="n">
        <v>113.463496</v>
      </c>
      <c r="O285" t="n">
        <v>8.170260000000001</v>
      </c>
      <c r="P285" t="n">
        <v>5.693764</v>
      </c>
      <c r="Q285" t="n">
        <v>113.463496</v>
      </c>
      <c r="R285" t="n">
        <v>113.463496</v>
      </c>
      <c r="S285" t="n">
        <v>8.170260000000001</v>
      </c>
      <c r="T285" t="n">
        <v>8.170260000000001</v>
      </c>
      <c r="U285" t="n">
        <v>5.693764</v>
      </c>
      <c r="V285" t="n">
        <v>5.693764</v>
      </c>
      <c r="W285" t="n">
        <v>8.298344999999999</v>
      </c>
      <c r="X285" t="n">
        <v>118.931059</v>
      </c>
      <c r="Y285" t="n">
        <v>11.094229</v>
      </c>
      <c r="Z285" t="n">
        <v>22.315768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140.953883</v>
      </c>
      <c r="F286" t="n">
        <v>10</v>
      </c>
      <c r="G286" t="n">
        <v>55.608076</v>
      </c>
      <c r="H286" t="n">
        <v>55.608076</v>
      </c>
      <c r="I286" t="n">
        <v>115.384615</v>
      </c>
      <c r="J286" t="n">
        <v>115.384615</v>
      </c>
      <c r="K286" t="n">
        <v>6</v>
      </c>
      <c r="L286" t="n">
        <v>114.728394</v>
      </c>
      <c r="M286" t="n">
        <v>114.728394</v>
      </c>
      <c r="N286" t="n">
        <v>114.728394</v>
      </c>
      <c r="O286" t="n">
        <v>6.05984</v>
      </c>
      <c r="P286" t="n">
        <v>4.848511</v>
      </c>
      <c r="Q286" t="n">
        <v>114.728394</v>
      </c>
      <c r="R286" t="n">
        <v>114.728394</v>
      </c>
      <c r="S286" t="n">
        <v>6.05984</v>
      </c>
      <c r="T286" t="n">
        <v>6.05984</v>
      </c>
      <c r="U286" t="n">
        <v>4.848511</v>
      </c>
      <c r="V286" t="n">
        <v>4.848511</v>
      </c>
      <c r="W286" t="n">
        <v>6.224783</v>
      </c>
      <c r="X286" t="n">
        <v>116.846993</v>
      </c>
      <c r="Y286" t="n">
        <v>7.440984</v>
      </c>
      <c r="Z286" t="n">
        <v>7.440984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140.953883</v>
      </c>
      <c r="F288" t="n">
        <v>20.606299</v>
      </c>
      <c r="G288" t="n">
        <v>196.386285</v>
      </c>
      <c r="H288" t="n">
        <v>1009.116172</v>
      </c>
      <c r="I288" t="n">
        <v>131.71072</v>
      </c>
      <c r="J288" t="n">
        <v>131.71072</v>
      </c>
      <c r="K288" t="n">
        <v>125.125184</v>
      </c>
      <c r="L288" t="n">
        <v>130.894857</v>
      </c>
      <c r="M288" t="n">
        <v>130.894857</v>
      </c>
      <c r="N288" t="n">
        <v>130.894857</v>
      </c>
      <c r="O288" t="n">
        <v>12.255972</v>
      </c>
      <c r="P288" t="n">
        <v>8.448598</v>
      </c>
      <c r="Q288" t="n">
        <v>130.894857</v>
      </c>
      <c r="R288" t="n">
        <v>130.894857</v>
      </c>
      <c r="S288" t="n">
        <v>12.255972</v>
      </c>
      <c r="T288" t="n">
        <v>12.255972</v>
      </c>
      <c r="U288" t="n">
        <v>8.448598</v>
      </c>
      <c r="V288" t="n">
        <v>8.448598</v>
      </c>
      <c r="W288" t="n">
        <v>12.680707</v>
      </c>
      <c r="X288" t="n">
        <v>136.520004</v>
      </c>
      <c r="Y288" t="n">
        <v>13.974049</v>
      </c>
      <c r="Z288" t="n">
        <v>22.490141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140.953883</v>
      </c>
      <c r="F289" t="n">
        <v>228.824285</v>
      </c>
      <c r="G289" t="n">
        <v>13739.954406</v>
      </c>
      <c r="H289" t="n">
        <v>114798702.260359</v>
      </c>
      <c r="I289" t="n">
        <v>6590.793316</v>
      </c>
      <c r="J289" t="n">
        <v>7071.146917</v>
      </c>
      <c r="K289" t="n">
        <v>2576.928919</v>
      </c>
      <c r="L289" t="n">
        <v>10677.999207</v>
      </c>
      <c r="M289" t="n">
        <v>10677.999207</v>
      </c>
      <c r="N289" t="n">
        <v>10677.999207</v>
      </c>
      <c r="O289" t="n">
        <v>85.006417</v>
      </c>
      <c r="P289" t="n">
        <v>38.52237</v>
      </c>
      <c r="Q289" t="n">
        <v>10677.999207</v>
      </c>
      <c r="R289" t="n">
        <v>10677.999207</v>
      </c>
      <c r="S289" t="n">
        <v>85.006417</v>
      </c>
      <c r="T289" t="n">
        <v>85.006417</v>
      </c>
      <c r="U289" t="n">
        <v>38.52237</v>
      </c>
      <c r="V289" t="n">
        <v>38.52237</v>
      </c>
      <c r="W289" t="n">
        <v>88.306245</v>
      </c>
      <c r="X289" t="n">
        <v>11509.306401</v>
      </c>
      <c r="Y289" t="n">
        <v>113.373643</v>
      </c>
      <c r="Z289" t="n">
        <v>399.574722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140.953883</v>
      </c>
      <c r="F290" t="n">
        <v>57.638856</v>
      </c>
      <c r="G290" t="n">
        <v>1182.200226</v>
      </c>
      <c r="H290" t="n">
        <v>56775.373409</v>
      </c>
      <c r="I290" t="n">
        <v>512.103289</v>
      </c>
      <c r="J290" t="n">
        <v>553.467817</v>
      </c>
      <c r="K290" t="n">
        <v>525.794426</v>
      </c>
      <c r="L290" t="n">
        <v>602.712303</v>
      </c>
      <c r="M290" t="n">
        <v>602.712303</v>
      </c>
      <c r="N290" t="n">
        <v>602.712303</v>
      </c>
      <c r="O290" t="n">
        <v>31.190871</v>
      </c>
      <c r="P290" t="n">
        <v>18.283791</v>
      </c>
      <c r="Q290" t="n">
        <v>602.712303</v>
      </c>
      <c r="R290" t="n">
        <v>602.712303</v>
      </c>
      <c r="S290" t="n">
        <v>31.190871</v>
      </c>
      <c r="T290" t="n">
        <v>31.190871</v>
      </c>
      <c r="U290" t="n">
        <v>18.283791</v>
      </c>
      <c r="V290" t="n">
        <v>18.283791</v>
      </c>
      <c r="W290" t="n">
        <v>32.089433</v>
      </c>
      <c r="X290" t="n">
        <v>622.065443</v>
      </c>
      <c r="Y290" t="n">
        <v>34.252552</v>
      </c>
      <c r="Z290" t="n">
        <v>73.57281500000001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140.953883</v>
      </c>
      <c r="F291" t="n">
        <v>200.641254</v>
      </c>
      <c r="G291" t="n">
        <v>11101.904562</v>
      </c>
      <c r="H291" t="n">
        <v>25660602.941085</v>
      </c>
      <c r="I291" t="n">
        <v>6244.222521</v>
      </c>
      <c r="J291" t="n">
        <v>6325.914048</v>
      </c>
      <c r="K291" t="n">
        <v>1872.204427</v>
      </c>
      <c r="L291" t="n">
        <v>7112.982475</v>
      </c>
      <c r="M291" t="n">
        <v>7112.982475</v>
      </c>
      <c r="N291" t="n">
        <v>7112.982475</v>
      </c>
      <c r="O291" t="n">
        <v>87.969483</v>
      </c>
      <c r="P291" t="n">
        <v>46.580547</v>
      </c>
      <c r="Q291" t="n">
        <v>7112.982475</v>
      </c>
      <c r="R291" t="n">
        <v>7112.982475</v>
      </c>
      <c r="S291" t="n">
        <v>87.969483</v>
      </c>
      <c r="T291" t="n">
        <v>87.969483</v>
      </c>
      <c r="U291" t="n">
        <v>46.580547</v>
      </c>
      <c r="V291" t="n">
        <v>46.580547</v>
      </c>
      <c r="W291" t="n">
        <v>93.060855</v>
      </c>
      <c r="X291" t="n">
        <v>7459.131892</v>
      </c>
      <c r="Y291" t="n">
        <v>100.902165</v>
      </c>
      <c r="Z291" t="n">
        <v>211.14634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140.953883</v>
      </c>
      <c r="F292" t="n">
        <v>539.046528</v>
      </c>
      <c r="G292" t="n">
        <v>58487.681751</v>
      </c>
      <c r="H292" t="n">
        <v>89769700.66949099</v>
      </c>
      <c r="I292" t="n">
        <v>10399.759602</v>
      </c>
      <c r="J292" t="n">
        <v>10694.630086</v>
      </c>
      <c r="K292" t="n">
        <v>4010.486282</v>
      </c>
      <c r="L292" t="n">
        <v>14214.100911</v>
      </c>
      <c r="M292" t="n">
        <v>14214.100911</v>
      </c>
      <c r="N292" t="n">
        <v>14214.100911</v>
      </c>
      <c r="O292" t="n">
        <v>203.72024</v>
      </c>
      <c r="P292" t="n">
        <v>90.708206</v>
      </c>
      <c r="Q292" t="n">
        <v>14214.100911</v>
      </c>
      <c r="R292" t="n">
        <v>14214.100911</v>
      </c>
      <c r="S292" t="n">
        <v>203.72024</v>
      </c>
      <c r="T292" t="n">
        <v>203.72024</v>
      </c>
      <c r="U292" t="n">
        <v>90.708206</v>
      </c>
      <c r="V292" t="n">
        <v>90.708206</v>
      </c>
      <c r="W292" t="n">
        <v>213.076898</v>
      </c>
      <c r="X292" t="n">
        <v>15231.972848</v>
      </c>
      <c r="Y292" t="n">
        <v>240.418747</v>
      </c>
      <c r="Z292" t="n">
        <v>654.813563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140.953883</v>
      </c>
      <c r="F293" t="n">
        <v>200.641254</v>
      </c>
      <c r="G293" t="n">
        <v>11101.904562</v>
      </c>
      <c r="H293" t="n">
        <v>25660602.941085</v>
      </c>
      <c r="I293" t="n">
        <v>6244.222521</v>
      </c>
      <c r="J293" t="n">
        <v>6325.914048</v>
      </c>
      <c r="K293" t="n">
        <v>1872.204427</v>
      </c>
      <c r="L293" t="n">
        <v>7112.982475</v>
      </c>
      <c r="M293" t="n">
        <v>7112.982475</v>
      </c>
      <c r="N293" t="n">
        <v>7112.982475</v>
      </c>
      <c r="O293" t="n">
        <v>87.969483</v>
      </c>
      <c r="P293" t="n">
        <v>46.580547</v>
      </c>
      <c r="Q293" t="n">
        <v>7112.982475</v>
      </c>
      <c r="R293" t="n">
        <v>7112.982475</v>
      </c>
      <c r="S293" t="n">
        <v>87.969483</v>
      </c>
      <c r="T293" t="n">
        <v>87.969483</v>
      </c>
      <c r="U293" t="n">
        <v>46.580547</v>
      </c>
      <c r="V293" t="n">
        <v>46.580547</v>
      </c>
      <c r="W293" t="n">
        <v>93.060855</v>
      </c>
      <c r="X293" t="n">
        <v>7459.131892</v>
      </c>
      <c r="Y293" t="n">
        <v>100.902165</v>
      </c>
      <c r="Z293" t="n">
        <v>211.14634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140.953883</v>
      </c>
      <c r="F295" t="n">
        <v>200.641254</v>
      </c>
      <c r="G295" t="n">
        <v>11101.904562</v>
      </c>
      <c r="H295" t="n">
        <v>25660602.941085</v>
      </c>
      <c r="I295" t="n">
        <v>6244.222521</v>
      </c>
      <c r="J295" t="n">
        <v>6325.914048</v>
      </c>
      <c r="K295" t="n">
        <v>1872.204427</v>
      </c>
      <c r="L295" t="n">
        <v>7112.982475</v>
      </c>
      <c r="M295" t="n">
        <v>7112.982475</v>
      </c>
      <c r="N295" t="n">
        <v>7112.982475</v>
      </c>
      <c r="O295" t="n">
        <v>87.969483</v>
      </c>
      <c r="P295" t="n">
        <v>46.580547</v>
      </c>
      <c r="Q295" t="n">
        <v>7112.982475</v>
      </c>
      <c r="R295" t="n">
        <v>7112.982475</v>
      </c>
      <c r="S295" t="n">
        <v>87.969483</v>
      </c>
      <c r="T295" t="n">
        <v>87.969483</v>
      </c>
      <c r="U295" t="n">
        <v>46.580547</v>
      </c>
      <c r="V295" t="n">
        <v>46.580547</v>
      </c>
      <c r="W295" t="n">
        <v>93.060855</v>
      </c>
      <c r="X295" t="n">
        <v>7459.131892</v>
      </c>
      <c r="Y295" t="n">
        <v>100.902165</v>
      </c>
      <c r="Z295" t="n">
        <v>211.14634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140.953883</v>
      </c>
      <c r="F296" t="n">
        <v>908.988005</v>
      </c>
      <c r="G296" t="n">
        <v>145576.696024</v>
      </c>
      <c r="H296" t="n">
        <v>48080410.421404</v>
      </c>
      <c r="I296" t="n">
        <v>125208.792952</v>
      </c>
      <c r="J296" t="n">
        <v>126616.154086</v>
      </c>
      <c r="K296" t="n">
        <v>63308.077043</v>
      </c>
      <c r="L296" t="n">
        <v>172174.15174</v>
      </c>
      <c r="M296" t="n">
        <v>172174.151739</v>
      </c>
      <c r="N296" t="n">
        <v>172174.151739</v>
      </c>
      <c r="O296" t="n">
        <v>202.141045</v>
      </c>
      <c r="P296" t="n">
        <v>87.49926499999999</v>
      </c>
      <c r="Q296" t="n">
        <v>172174.151739</v>
      </c>
      <c r="R296" t="n">
        <v>172174.151739</v>
      </c>
      <c r="S296" t="n">
        <v>202.141045</v>
      </c>
      <c r="T296" t="n">
        <v>202.141045</v>
      </c>
      <c r="U296" t="n">
        <v>87.49926499999999</v>
      </c>
      <c r="V296" t="n">
        <v>87.49926499999999</v>
      </c>
      <c r="W296" t="n">
        <v>214.928725</v>
      </c>
      <c r="X296" t="n">
        <v>183923.261916</v>
      </c>
      <c r="Y296" t="n">
        <v>379.113334</v>
      </c>
      <c r="Z296" t="n">
        <v>767.7179190000001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140.953883</v>
      </c>
      <c r="F297" t="n">
        <v>95.34341499999999</v>
      </c>
      <c r="G297" t="n">
        <v>2845.346423</v>
      </c>
      <c r="H297" t="n">
        <v>490526.782878</v>
      </c>
      <c r="I297" t="n">
        <v>569.846189</v>
      </c>
      <c r="J297" t="n">
        <v>594.287325</v>
      </c>
      <c r="K297" t="n">
        <v>564.572959</v>
      </c>
      <c r="L297" t="n">
        <v>738.02552</v>
      </c>
      <c r="M297" t="n">
        <v>738.02552</v>
      </c>
      <c r="N297" t="n">
        <v>738.02552</v>
      </c>
      <c r="O297" t="n">
        <v>39.685535</v>
      </c>
      <c r="P297" t="n">
        <v>21.622034</v>
      </c>
      <c r="Q297" t="n">
        <v>738.02552</v>
      </c>
      <c r="R297" t="n">
        <v>738.02552</v>
      </c>
      <c r="S297" t="n">
        <v>39.685535</v>
      </c>
      <c r="T297" t="n">
        <v>39.685535</v>
      </c>
      <c r="U297" t="n">
        <v>21.622034</v>
      </c>
      <c r="V297" t="n">
        <v>21.622034</v>
      </c>
      <c r="W297" t="n">
        <v>41.109943</v>
      </c>
      <c r="X297" t="n">
        <v>772.895549</v>
      </c>
      <c r="Y297" t="n">
        <v>53.114101</v>
      </c>
      <c r="Z297" t="n">
        <v>112.240217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140.953883</v>
      </c>
      <c r="F298" t="n">
        <v>95.34341499999999</v>
      </c>
      <c r="G298" t="n">
        <v>2845.346423</v>
      </c>
      <c r="H298" t="n">
        <v>490526.782878</v>
      </c>
      <c r="I298" t="n">
        <v>569.846189</v>
      </c>
      <c r="J298" t="n">
        <v>594.287325</v>
      </c>
      <c r="K298" t="n">
        <v>564.572959</v>
      </c>
      <c r="L298" t="n">
        <v>738.02552</v>
      </c>
      <c r="M298" t="n">
        <v>738.02552</v>
      </c>
      <c r="N298" t="n">
        <v>738.02552</v>
      </c>
      <c r="O298" t="n">
        <v>39.685535</v>
      </c>
      <c r="P298" t="n">
        <v>21.622034</v>
      </c>
      <c r="Q298" t="n">
        <v>738.02552</v>
      </c>
      <c r="R298" t="n">
        <v>738.02552</v>
      </c>
      <c r="S298" t="n">
        <v>39.685535</v>
      </c>
      <c r="T298" t="n">
        <v>39.685535</v>
      </c>
      <c r="U298" t="n">
        <v>21.622034</v>
      </c>
      <c r="V298" t="n">
        <v>21.622034</v>
      </c>
      <c r="W298" t="n">
        <v>41.109943</v>
      </c>
      <c r="X298" t="n">
        <v>772.895549</v>
      </c>
      <c r="Y298" t="n">
        <v>53.114101</v>
      </c>
      <c r="Z298" t="n">
        <v>112.240217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140.953883</v>
      </c>
      <c r="F299" t="n">
        <v>228.824285</v>
      </c>
      <c r="G299" t="n">
        <v>13739.954406</v>
      </c>
      <c r="H299" t="n">
        <v>114798702.260359</v>
      </c>
      <c r="I299" t="n">
        <v>6590.793316</v>
      </c>
      <c r="J299" t="n">
        <v>7071.146917</v>
      </c>
      <c r="K299" t="n">
        <v>2576.928919</v>
      </c>
      <c r="L299" t="n">
        <v>10677.999207</v>
      </c>
      <c r="M299" t="n">
        <v>10677.999207</v>
      </c>
      <c r="N299" t="n">
        <v>10677.999207</v>
      </c>
      <c r="O299" t="n">
        <v>85.006417</v>
      </c>
      <c r="P299" t="n">
        <v>38.52237</v>
      </c>
      <c r="Q299" t="n">
        <v>10677.999207</v>
      </c>
      <c r="R299" t="n">
        <v>10677.999207</v>
      </c>
      <c r="S299" t="n">
        <v>85.006417</v>
      </c>
      <c r="T299" t="n">
        <v>85.006417</v>
      </c>
      <c r="U299" t="n">
        <v>38.52237</v>
      </c>
      <c r="V299" t="n">
        <v>38.52237</v>
      </c>
      <c r="W299" t="n">
        <v>88.306245</v>
      </c>
      <c r="X299" t="n">
        <v>11509.306401</v>
      </c>
      <c r="Y299" t="n">
        <v>113.373643</v>
      </c>
      <c r="Z299" t="n">
        <v>399.574722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140.953883</v>
      </c>
      <c r="F300" t="n">
        <v>308.68601</v>
      </c>
      <c r="G300" t="n">
        <v>22108.042525</v>
      </c>
      <c r="H300" t="n">
        <v>195781560.03917</v>
      </c>
      <c r="I300" t="n">
        <v>10706.101486</v>
      </c>
      <c r="J300" t="n">
        <v>10781.622707</v>
      </c>
      <c r="K300" t="n">
        <v>3924.510665</v>
      </c>
      <c r="L300" t="n">
        <v>18846.946222</v>
      </c>
      <c r="M300" t="n">
        <v>18846.946222</v>
      </c>
      <c r="N300" t="n">
        <v>18846.946222</v>
      </c>
      <c r="O300" t="n">
        <v>119.185901</v>
      </c>
      <c r="P300" t="n">
        <v>52.155741</v>
      </c>
      <c r="Q300" t="n">
        <v>18846.946222</v>
      </c>
      <c r="R300" t="n">
        <v>18846.946222</v>
      </c>
      <c r="S300" t="n">
        <v>119.185901</v>
      </c>
      <c r="T300" t="n">
        <v>119.185901</v>
      </c>
      <c r="U300" t="n">
        <v>52.155741</v>
      </c>
      <c r="V300" t="n">
        <v>52.155741</v>
      </c>
      <c r="W300" t="n">
        <v>124.506314</v>
      </c>
      <c r="X300" t="n">
        <v>20404.471037</v>
      </c>
      <c r="Y300" t="n">
        <v>147.889899</v>
      </c>
      <c r="Z300" t="n">
        <v>588.19732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140.953883</v>
      </c>
      <c r="F301" t="n">
        <v>18.617087</v>
      </c>
      <c r="G301" t="n">
        <v>164.501951</v>
      </c>
      <c r="H301" t="n">
        <v>16631.862825</v>
      </c>
      <c r="I301" t="n">
        <v>603.989501</v>
      </c>
      <c r="J301" t="n">
        <v>603.989501</v>
      </c>
      <c r="K301" t="n">
        <v>240.387821</v>
      </c>
      <c r="L301" t="n">
        <v>1080.992157</v>
      </c>
      <c r="M301" t="n">
        <v>1080.992157</v>
      </c>
      <c r="N301" t="n">
        <v>1080.992157</v>
      </c>
      <c r="O301" t="n">
        <v>17.290347</v>
      </c>
      <c r="P301" t="n">
        <v>9.498851999999999</v>
      </c>
      <c r="Q301" t="n">
        <v>1080.992157</v>
      </c>
      <c r="R301" t="n">
        <v>1080.992157</v>
      </c>
      <c r="S301" t="n">
        <v>17.290347</v>
      </c>
      <c r="T301" t="n">
        <v>17.290347</v>
      </c>
      <c r="U301" t="n">
        <v>9.498851999999999</v>
      </c>
      <c r="V301" t="n">
        <v>9.498851999999999</v>
      </c>
      <c r="W301" t="n">
        <v>17.932707</v>
      </c>
      <c r="X301" t="n">
        <v>1135.08839</v>
      </c>
      <c r="Y301" t="n">
        <v>12.790679</v>
      </c>
      <c r="Z301" t="n">
        <v>41.60617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140.953883</v>
      </c>
      <c r="F302" t="n">
        <v>308.68601</v>
      </c>
      <c r="G302" t="n">
        <v>22108.042525</v>
      </c>
      <c r="H302" t="n">
        <v>195781560.03917</v>
      </c>
      <c r="I302" t="n">
        <v>10706.101486</v>
      </c>
      <c r="J302" t="n">
        <v>10781.622707</v>
      </c>
      <c r="K302" t="n">
        <v>3924.510665</v>
      </c>
      <c r="L302" t="n">
        <v>18846.946222</v>
      </c>
      <c r="M302" t="n">
        <v>18846.946222</v>
      </c>
      <c r="N302" t="n">
        <v>18846.946222</v>
      </c>
      <c r="O302" t="n">
        <v>119.185901</v>
      </c>
      <c r="P302" t="n">
        <v>52.155741</v>
      </c>
      <c r="Q302" t="n">
        <v>18846.946222</v>
      </c>
      <c r="R302" t="n">
        <v>18846.946222</v>
      </c>
      <c r="S302" t="n">
        <v>119.185901</v>
      </c>
      <c r="T302" t="n">
        <v>119.185901</v>
      </c>
      <c r="U302" t="n">
        <v>52.155741</v>
      </c>
      <c r="V302" t="n">
        <v>52.155741</v>
      </c>
      <c r="W302" t="n">
        <v>124.506314</v>
      </c>
      <c r="X302" t="n">
        <v>20404.471037</v>
      </c>
      <c r="Y302" t="n">
        <v>147.889899</v>
      </c>
      <c r="Z302" t="n">
        <v>588.19732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140.953883</v>
      </c>
      <c r="F303" t="n">
        <v>57.638856</v>
      </c>
      <c r="G303" t="n">
        <v>1182.200226</v>
      </c>
      <c r="H303" t="n">
        <v>56775.373409</v>
      </c>
      <c r="I303" t="n">
        <v>512.103289</v>
      </c>
      <c r="J303" t="n">
        <v>553.467817</v>
      </c>
      <c r="K303" t="n">
        <v>525.794426</v>
      </c>
      <c r="L303" t="n">
        <v>602.712303</v>
      </c>
      <c r="M303" t="n">
        <v>602.712303</v>
      </c>
      <c r="N303" t="n">
        <v>602.712303</v>
      </c>
      <c r="O303" t="n">
        <v>31.190871</v>
      </c>
      <c r="P303" t="n">
        <v>18.283791</v>
      </c>
      <c r="Q303" t="n">
        <v>602.712303</v>
      </c>
      <c r="R303" t="n">
        <v>602.712303</v>
      </c>
      <c r="S303" t="n">
        <v>31.190871</v>
      </c>
      <c r="T303" t="n">
        <v>31.190871</v>
      </c>
      <c r="U303" t="n">
        <v>18.283791</v>
      </c>
      <c r="V303" t="n">
        <v>18.283791</v>
      </c>
      <c r="W303" t="n">
        <v>32.089433</v>
      </c>
      <c r="X303" t="n">
        <v>622.065443</v>
      </c>
      <c r="Y303" t="n">
        <v>34.252552</v>
      </c>
      <c r="Z303" t="n">
        <v>73.57281500000001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140.953883</v>
      </c>
      <c r="F304" t="n">
        <v>200.641254</v>
      </c>
      <c r="G304" t="n">
        <v>11101.904562</v>
      </c>
      <c r="H304" t="n">
        <v>25660602.941085</v>
      </c>
      <c r="I304" t="n">
        <v>6244.222521</v>
      </c>
      <c r="J304" t="n">
        <v>6325.914048</v>
      </c>
      <c r="K304" t="n">
        <v>1872.204427</v>
      </c>
      <c r="L304" t="n">
        <v>7112.982475</v>
      </c>
      <c r="M304" t="n">
        <v>7112.982475</v>
      </c>
      <c r="N304" t="n">
        <v>7112.982475</v>
      </c>
      <c r="O304" t="n">
        <v>87.969483</v>
      </c>
      <c r="P304" t="n">
        <v>46.580547</v>
      </c>
      <c r="Q304" t="n">
        <v>7112.982475</v>
      </c>
      <c r="R304" t="n">
        <v>7112.982475</v>
      </c>
      <c r="S304" t="n">
        <v>87.969483</v>
      </c>
      <c r="T304" t="n">
        <v>87.969483</v>
      </c>
      <c r="U304" t="n">
        <v>46.580547</v>
      </c>
      <c r="V304" t="n">
        <v>46.580547</v>
      </c>
      <c r="W304" t="n">
        <v>93.060855</v>
      </c>
      <c r="X304" t="n">
        <v>7459.131892</v>
      </c>
      <c r="Y304" t="n">
        <v>100.902165</v>
      </c>
      <c r="Z304" t="n">
        <v>211.14634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140.953883</v>
      </c>
      <c r="F305" t="n">
        <v>228.824285</v>
      </c>
      <c r="G305" t="n">
        <v>13739.954406</v>
      </c>
      <c r="H305" t="n">
        <v>114798702.260359</v>
      </c>
      <c r="I305" t="n">
        <v>6590.793316</v>
      </c>
      <c r="J305" t="n">
        <v>7071.146917</v>
      </c>
      <c r="K305" t="n">
        <v>2576.928919</v>
      </c>
      <c r="L305" t="n">
        <v>10677.999207</v>
      </c>
      <c r="M305" t="n">
        <v>10677.999207</v>
      </c>
      <c r="N305" t="n">
        <v>10677.999207</v>
      </c>
      <c r="O305" t="n">
        <v>85.006417</v>
      </c>
      <c r="P305" t="n">
        <v>38.52237</v>
      </c>
      <c r="Q305" t="n">
        <v>10677.999207</v>
      </c>
      <c r="R305" t="n">
        <v>10677.999207</v>
      </c>
      <c r="S305" t="n">
        <v>85.006417</v>
      </c>
      <c r="T305" t="n">
        <v>85.006417</v>
      </c>
      <c r="U305" t="n">
        <v>38.52237</v>
      </c>
      <c r="V305" t="n">
        <v>38.52237</v>
      </c>
      <c r="W305" t="n">
        <v>88.306245</v>
      </c>
      <c r="X305" t="n">
        <v>11509.306401</v>
      </c>
      <c r="Y305" t="n">
        <v>113.373643</v>
      </c>
      <c r="Z305" t="n">
        <v>399.574722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140.953883</v>
      </c>
      <c r="F306" t="n">
        <v>177.371403</v>
      </c>
      <c r="G306" t="n">
        <v>9540.408934999999</v>
      </c>
      <c r="H306" t="n">
        <v>70736320.08912501</v>
      </c>
      <c r="I306" t="n">
        <v>4269.898312</v>
      </c>
      <c r="J306" t="n">
        <v>4574.511297</v>
      </c>
      <c r="K306" t="n">
        <v>1801.225895</v>
      </c>
      <c r="L306" t="n">
        <v>6846.4367</v>
      </c>
      <c r="M306" t="n">
        <v>6846.4367</v>
      </c>
      <c r="N306" t="n">
        <v>6846.4367</v>
      </c>
      <c r="O306" t="n">
        <v>67.536573</v>
      </c>
      <c r="P306" t="n">
        <v>32.007796</v>
      </c>
      <c r="Q306" t="n">
        <v>6846.4367</v>
      </c>
      <c r="R306" t="n">
        <v>6846.4367</v>
      </c>
      <c r="S306" t="n">
        <v>67.536573</v>
      </c>
      <c r="T306" t="n">
        <v>67.536573</v>
      </c>
      <c r="U306" t="n">
        <v>32.007796</v>
      </c>
      <c r="V306" t="n">
        <v>32.007796</v>
      </c>
      <c r="W306" t="n">
        <v>70.113483</v>
      </c>
      <c r="X306" t="n">
        <v>7370.741192</v>
      </c>
      <c r="Y306" t="n">
        <v>90.145392</v>
      </c>
      <c r="Z306" t="n">
        <v>288.815865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140.953883</v>
      </c>
      <c r="F307" t="n">
        <v>15.812995</v>
      </c>
      <c r="G307" t="n">
        <v>123.721444</v>
      </c>
      <c r="H307" t="n">
        <v>7384.919423</v>
      </c>
      <c r="I307" t="n">
        <v>110.765161</v>
      </c>
      <c r="J307" t="n">
        <v>110.765161</v>
      </c>
      <c r="K307" t="n">
        <v>69.11746100000001</v>
      </c>
      <c r="L307" t="n">
        <v>113.463496</v>
      </c>
      <c r="M307" t="n">
        <v>113.463496</v>
      </c>
      <c r="N307" t="n">
        <v>113.463496</v>
      </c>
      <c r="O307" t="n">
        <v>8.170260000000001</v>
      </c>
      <c r="P307" t="n">
        <v>5.693764</v>
      </c>
      <c r="Q307" t="n">
        <v>113.463496</v>
      </c>
      <c r="R307" t="n">
        <v>113.463496</v>
      </c>
      <c r="S307" t="n">
        <v>8.170260000000001</v>
      </c>
      <c r="T307" t="n">
        <v>8.170260000000001</v>
      </c>
      <c r="U307" t="n">
        <v>5.693764</v>
      </c>
      <c r="V307" t="n">
        <v>5.693764</v>
      </c>
      <c r="W307" t="n">
        <v>8.298344999999999</v>
      </c>
      <c r="X307" t="n">
        <v>118.931059</v>
      </c>
      <c r="Y307" t="n">
        <v>11.094229</v>
      </c>
      <c r="Z307" t="n">
        <v>22.315768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140.953883</v>
      </c>
      <c r="F308" t="n">
        <v>908.988005</v>
      </c>
      <c r="G308" t="n">
        <v>145576.696024</v>
      </c>
      <c r="H308" t="n">
        <v>48080410.421404</v>
      </c>
      <c r="I308" t="n">
        <v>125208.792952</v>
      </c>
      <c r="J308" t="n">
        <v>126616.154086</v>
      </c>
      <c r="K308" t="n">
        <v>63308.077043</v>
      </c>
      <c r="L308" t="n">
        <v>172174.15174</v>
      </c>
      <c r="M308" t="n">
        <v>172174.151739</v>
      </c>
      <c r="N308" t="n">
        <v>172174.151739</v>
      </c>
      <c r="O308" t="n">
        <v>202.141045</v>
      </c>
      <c r="P308" t="n">
        <v>87.49926499999999</v>
      </c>
      <c r="Q308" t="n">
        <v>172174.151739</v>
      </c>
      <c r="R308" t="n">
        <v>172174.151739</v>
      </c>
      <c r="S308" t="n">
        <v>202.141045</v>
      </c>
      <c r="T308" t="n">
        <v>202.141045</v>
      </c>
      <c r="U308" t="n">
        <v>87.49926499999999</v>
      </c>
      <c r="V308" t="n">
        <v>87.49926499999999</v>
      </c>
      <c r="W308" t="n">
        <v>214.928725</v>
      </c>
      <c r="X308" t="n">
        <v>183923.261916</v>
      </c>
      <c r="Y308" t="n">
        <v>379.113334</v>
      </c>
      <c r="Z308" t="n">
        <v>767.7179190000001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140.953883</v>
      </c>
      <c r="F309" t="n">
        <v>200.641254</v>
      </c>
      <c r="G309" t="n">
        <v>11101.904562</v>
      </c>
      <c r="H309" t="n">
        <v>25660602.941085</v>
      </c>
      <c r="I309" t="n">
        <v>6244.222521</v>
      </c>
      <c r="J309" t="n">
        <v>6325.914048</v>
      </c>
      <c r="K309" t="n">
        <v>1872.204427</v>
      </c>
      <c r="L309" t="n">
        <v>7112.982475</v>
      </c>
      <c r="M309" t="n">
        <v>7112.982475</v>
      </c>
      <c r="N309" t="n">
        <v>7112.982475</v>
      </c>
      <c r="O309" t="n">
        <v>87.969483</v>
      </c>
      <c r="P309" t="n">
        <v>46.580547</v>
      </c>
      <c r="Q309" t="n">
        <v>7112.982475</v>
      </c>
      <c r="R309" t="n">
        <v>7112.982475</v>
      </c>
      <c r="S309" t="n">
        <v>87.969483</v>
      </c>
      <c r="T309" t="n">
        <v>87.969483</v>
      </c>
      <c r="U309" t="n">
        <v>46.580547</v>
      </c>
      <c r="V309" t="n">
        <v>46.580547</v>
      </c>
      <c r="W309" t="n">
        <v>93.060855</v>
      </c>
      <c r="X309" t="n">
        <v>7459.131892</v>
      </c>
      <c r="Y309" t="n">
        <v>100.902165</v>
      </c>
      <c r="Z309" t="n">
        <v>211.14634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140.953883</v>
      </c>
      <c r="F310" t="n">
        <v>14.712171</v>
      </c>
      <c r="G310" t="n">
        <v>109.082967</v>
      </c>
      <c r="H310" t="n">
        <v>1554.089564</v>
      </c>
      <c r="I310" t="n">
        <v>87.52377799999999</v>
      </c>
      <c r="J310" t="n">
        <v>87.52377799999999</v>
      </c>
      <c r="K310" t="n">
        <v>33.521607</v>
      </c>
      <c r="L310" t="n">
        <v>92.59366</v>
      </c>
      <c r="M310" t="n">
        <v>92.59366</v>
      </c>
      <c r="N310" t="n">
        <v>92.59366</v>
      </c>
      <c r="O310" t="n">
        <v>4.448657</v>
      </c>
      <c r="P310" t="n">
        <v>3.058348</v>
      </c>
      <c r="Q310" t="n">
        <v>92.59366</v>
      </c>
      <c r="R310" t="n">
        <v>92.59366</v>
      </c>
      <c r="S310" t="n">
        <v>4.448657</v>
      </c>
      <c r="T310" t="n">
        <v>4.448657</v>
      </c>
      <c r="U310" t="n">
        <v>3.058348</v>
      </c>
      <c r="V310" t="n">
        <v>3.058348</v>
      </c>
      <c r="W310" t="n">
        <v>4.556294</v>
      </c>
      <c r="X310" t="n">
        <v>96.447226</v>
      </c>
      <c r="Y310" t="n">
        <v>10.417956</v>
      </c>
      <c r="Z310" t="n">
        <v>17.174689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140.953883</v>
      </c>
      <c r="F311" t="n">
        <v>228.824285</v>
      </c>
      <c r="G311" t="n">
        <v>13739.954406</v>
      </c>
      <c r="H311" t="n">
        <v>114798702.260359</v>
      </c>
      <c r="I311" t="n">
        <v>6590.793316</v>
      </c>
      <c r="J311" t="n">
        <v>7071.146917</v>
      </c>
      <c r="K311" t="n">
        <v>2576.928919</v>
      </c>
      <c r="L311" t="n">
        <v>10677.999207</v>
      </c>
      <c r="M311" t="n">
        <v>10677.999207</v>
      </c>
      <c r="N311" t="n">
        <v>10677.999207</v>
      </c>
      <c r="O311" t="n">
        <v>85.006417</v>
      </c>
      <c r="P311" t="n">
        <v>38.52237</v>
      </c>
      <c r="Q311" t="n">
        <v>10677.999207</v>
      </c>
      <c r="R311" t="n">
        <v>10677.999207</v>
      </c>
      <c r="S311" t="n">
        <v>85.006417</v>
      </c>
      <c r="T311" t="n">
        <v>85.006417</v>
      </c>
      <c r="U311" t="n">
        <v>38.52237</v>
      </c>
      <c r="V311" t="n">
        <v>38.52237</v>
      </c>
      <c r="W311" t="n">
        <v>88.306245</v>
      </c>
      <c r="X311" t="n">
        <v>11509.306401</v>
      </c>
      <c r="Y311" t="n">
        <v>113.373643</v>
      </c>
      <c r="Z311" t="n">
        <v>399.574722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140.953883</v>
      </c>
      <c r="F312" t="n">
        <v>228.824285</v>
      </c>
      <c r="G312" t="n">
        <v>13739.954406</v>
      </c>
      <c r="H312" t="n">
        <v>114798702.260359</v>
      </c>
      <c r="I312" t="n">
        <v>6590.793316</v>
      </c>
      <c r="J312" t="n">
        <v>7071.146917</v>
      </c>
      <c r="K312" t="n">
        <v>2576.928919</v>
      </c>
      <c r="L312" t="n">
        <v>10677.999207</v>
      </c>
      <c r="M312" t="n">
        <v>10677.999207</v>
      </c>
      <c r="N312" t="n">
        <v>10677.999207</v>
      </c>
      <c r="O312" t="n">
        <v>85.006417</v>
      </c>
      <c r="P312" t="n">
        <v>38.52237</v>
      </c>
      <c r="Q312" t="n">
        <v>10677.999207</v>
      </c>
      <c r="R312" t="n">
        <v>10677.999207</v>
      </c>
      <c r="S312" t="n">
        <v>85.006417</v>
      </c>
      <c r="T312" t="n">
        <v>85.006417</v>
      </c>
      <c r="U312" t="n">
        <v>38.52237</v>
      </c>
      <c r="V312" t="n">
        <v>38.52237</v>
      </c>
      <c r="W312" t="n">
        <v>88.306245</v>
      </c>
      <c r="X312" t="n">
        <v>11509.306401</v>
      </c>
      <c r="Y312" t="n">
        <v>113.373643</v>
      </c>
      <c r="Z312" t="n">
        <v>399.574722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140.953883</v>
      </c>
      <c r="F313" t="n">
        <v>200.641254</v>
      </c>
      <c r="G313" t="n">
        <v>11101.904562</v>
      </c>
      <c r="H313" t="n">
        <v>25660602.941085</v>
      </c>
      <c r="I313" t="n">
        <v>6244.222521</v>
      </c>
      <c r="J313" t="n">
        <v>6325.914048</v>
      </c>
      <c r="K313" t="n">
        <v>1872.204427</v>
      </c>
      <c r="L313" t="n">
        <v>7112.982475</v>
      </c>
      <c r="M313" t="n">
        <v>7112.982475</v>
      </c>
      <c r="N313" t="n">
        <v>7112.982475</v>
      </c>
      <c r="O313" t="n">
        <v>87.969483</v>
      </c>
      <c r="P313" t="n">
        <v>46.580547</v>
      </c>
      <c r="Q313" t="n">
        <v>7112.982475</v>
      </c>
      <c r="R313" t="n">
        <v>7112.982475</v>
      </c>
      <c r="S313" t="n">
        <v>87.969483</v>
      </c>
      <c r="T313" t="n">
        <v>87.969483</v>
      </c>
      <c r="U313" t="n">
        <v>46.580547</v>
      </c>
      <c r="V313" t="n">
        <v>46.580547</v>
      </c>
      <c r="W313" t="n">
        <v>93.060855</v>
      </c>
      <c r="X313" t="n">
        <v>7459.131892</v>
      </c>
      <c r="Y313" t="n">
        <v>100.902165</v>
      </c>
      <c r="Z313" t="n">
        <v>211.14634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140.953883</v>
      </c>
      <c r="F314" t="n">
        <v>228.824285</v>
      </c>
      <c r="G314" t="n">
        <v>13739.954406</v>
      </c>
      <c r="H314" t="n">
        <v>114798702.260359</v>
      </c>
      <c r="I314" t="n">
        <v>6590.793316</v>
      </c>
      <c r="J314" t="n">
        <v>7071.146917</v>
      </c>
      <c r="K314" t="n">
        <v>2576.928919</v>
      </c>
      <c r="L314" t="n">
        <v>10677.999207</v>
      </c>
      <c r="M314" t="n">
        <v>10677.999207</v>
      </c>
      <c r="N314" t="n">
        <v>10677.999207</v>
      </c>
      <c r="O314" t="n">
        <v>85.006417</v>
      </c>
      <c r="P314" t="n">
        <v>38.52237</v>
      </c>
      <c r="Q314" t="n">
        <v>10677.999207</v>
      </c>
      <c r="R314" t="n">
        <v>10677.999207</v>
      </c>
      <c r="S314" t="n">
        <v>85.006417</v>
      </c>
      <c r="T314" t="n">
        <v>85.006417</v>
      </c>
      <c r="U314" t="n">
        <v>38.52237</v>
      </c>
      <c r="V314" t="n">
        <v>38.52237</v>
      </c>
      <c r="W314" t="n">
        <v>88.306245</v>
      </c>
      <c r="X314" t="n">
        <v>11509.306401</v>
      </c>
      <c r="Y314" t="n">
        <v>113.373643</v>
      </c>
      <c r="Z314" t="n">
        <v>399.574722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140.953883</v>
      </c>
      <c r="F315" t="n">
        <v>33.254785</v>
      </c>
      <c r="G315" t="n">
        <v>452.736281</v>
      </c>
      <c r="H315" t="n">
        <v>34182.13294</v>
      </c>
      <c r="I315" t="n">
        <v>151.084056</v>
      </c>
      <c r="J315" t="n">
        <v>151.084056</v>
      </c>
      <c r="K315" t="n">
        <v>143.529853</v>
      </c>
      <c r="L315" t="n">
        <v>173.938876</v>
      </c>
      <c r="M315" t="n">
        <v>173.938876</v>
      </c>
      <c r="N315" t="n">
        <v>173.938876</v>
      </c>
      <c r="O315" t="n">
        <v>13.215653</v>
      </c>
      <c r="P315" t="n">
        <v>8.00437</v>
      </c>
      <c r="Q315" t="n">
        <v>173.938876</v>
      </c>
      <c r="R315" t="n">
        <v>173.938876</v>
      </c>
      <c r="S315" t="n">
        <v>13.215653</v>
      </c>
      <c r="T315" t="n">
        <v>13.215653</v>
      </c>
      <c r="U315" t="n">
        <v>8.00437</v>
      </c>
      <c r="V315" t="n">
        <v>8.00437</v>
      </c>
      <c r="W315" t="n">
        <v>13.539814</v>
      </c>
      <c r="X315" t="n">
        <v>184.933079</v>
      </c>
      <c r="Y315" t="n">
        <v>21.207733</v>
      </c>
      <c r="Z315" t="n">
        <v>52.601429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140.953883</v>
      </c>
      <c r="F316" t="n">
        <v>33.254785</v>
      </c>
      <c r="G316" t="n">
        <v>452.736281</v>
      </c>
      <c r="H316" t="n">
        <v>34182.13294</v>
      </c>
      <c r="I316" t="n">
        <v>151.084056</v>
      </c>
      <c r="J316" t="n">
        <v>151.084056</v>
      </c>
      <c r="K316" t="n">
        <v>143.529853</v>
      </c>
      <c r="L316" t="n">
        <v>173.938876</v>
      </c>
      <c r="M316" t="n">
        <v>173.938876</v>
      </c>
      <c r="N316" t="n">
        <v>173.938876</v>
      </c>
      <c r="O316" t="n">
        <v>13.215653</v>
      </c>
      <c r="P316" t="n">
        <v>8.00437</v>
      </c>
      <c r="Q316" t="n">
        <v>173.938876</v>
      </c>
      <c r="R316" t="n">
        <v>173.938876</v>
      </c>
      <c r="S316" t="n">
        <v>13.215653</v>
      </c>
      <c r="T316" t="n">
        <v>13.215653</v>
      </c>
      <c r="U316" t="n">
        <v>8.00437</v>
      </c>
      <c r="V316" t="n">
        <v>8.00437</v>
      </c>
      <c r="W316" t="n">
        <v>13.539814</v>
      </c>
      <c r="X316" t="n">
        <v>184.933079</v>
      </c>
      <c r="Y316" t="n">
        <v>21.207733</v>
      </c>
      <c r="Z316" t="n">
        <v>52.601429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140.953883</v>
      </c>
      <c r="F317" t="n">
        <v>200.641254</v>
      </c>
      <c r="G317" t="n">
        <v>11101.904562</v>
      </c>
      <c r="H317" t="n">
        <v>25660602.941085</v>
      </c>
      <c r="I317" t="n">
        <v>6244.222521</v>
      </c>
      <c r="J317" t="n">
        <v>6325.914048</v>
      </c>
      <c r="K317" t="n">
        <v>1872.204427</v>
      </c>
      <c r="L317" t="n">
        <v>7112.982475</v>
      </c>
      <c r="M317" t="n">
        <v>7112.982475</v>
      </c>
      <c r="N317" t="n">
        <v>7112.982475</v>
      </c>
      <c r="O317" t="n">
        <v>87.969483</v>
      </c>
      <c r="P317" t="n">
        <v>46.580547</v>
      </c>
      <c r="Q317" t="n">
        <v>7112.982475</v>
      </c>
      <c r="R317" t="n">
        <v>7112.982475</v>
      </c>
      <c r="S317" t="n">
        <v>87.969483</v>
      </c>
      <c r="T317" t="n">
        <v>87.969483</v>
      </c>
      <c r="U317" t="n">
        <v>46.580547</v>
      </c>
      <c r="V317" t="n">
        <v>46.580547</v>
      </c>
      <c r="W317" t="n">
        <v>93.060855</v>
      </c>
      <c r="X317" t="n">
        <v>7459.131892</v>
      </c>
      <c r="Y317" t="n">
        <v>100.902165</v>
      </c>
      <c r="Z317" t="n">
        <v>211.14634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140.953883</v>
      </c>
      <c r="F318" t="n">
        <v>20.606299</v>
      </c>
      <c r="G318" t="n">
        <v>196.386285</v>
      </c>
      <c r="H318" t="n">
        <v>1009.116172</v>
      </c>
      <c r="I318" t="n">
        <v>131.71072</v>
      </c>
      <c r="J318" t="n">
        <v>131.71072</v>
      </c>
      <c r="K318" t="n">
        <v>125.125184</v>
      </c>
      <c r="L318" t="n">
        <v>130.894857</v>
      </c>
      <c r="M318" t="n">
        <v>130.894857</v>
      </c>
      <c r="N318" t="n">
        <v>130.894857</v>
      </c>
      <c r="O318" t="n">
        <v>12.255972</v>
      </c>
      <c r="P318" t="n">
        <v>8.448598</v>
      </c>
      <c r="Q318" t="n">
        <v>130.894857</v>
      </c>
      <c r="R318" t="n">
        <v>130.894857</v>
      </c>
      <c r="S318" t="n">
        <v>12.255972</v>
      </c>
      <c r="T318" t="n">
        <v>12.255972</v>
      </c>
      <c r="U318" t="n">
        <v>8.448598</v>
      </c>
      <c r="V318" t="n">
        <v>8.448598</v>
      </c>
      <c r="W318" t="n">
        <v>12.680707</v>
      </c>
      <c r="X318" t="n">
        <v>136.520004</v>
      </c>
      <c r="Y318" t="n">
        <v>13.974049</v>
      </c>
      <c r="Z318" t="n">
        <v>22.490141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140.953883</v>
      </c>
      <c r="F319" t="n">
        <v>200.641254</v>
      </c>
      <c r="G319" t="n">
        <v>11101.904562</v>
      </c>
      <c r="H319" t="n">
        <v>25660602.941085</v>
      </c>
      <c r="I319" t="n">
        <v>6244.222521</v>
      </c>
      <c r="J319" t="n">
        <v>6325.914048</v>
      </c>
      <c r="K319" t="n">
        <v>1872.204427</v>
      </c>
      <c r="L319" t="n">
        <v>7112.982475</v>
      </c>
      <c r="M319" t="n">
        <v>7112.982475</v>
      </c>
      <c r="N319" t="n">
        <v>7112.982475</v>
      </c>
      <c r="O319" t="n">
        <v>87.969483</v>
      </c>
      <c r="P319" t="n">
        <v>46.580547</v>
      </c>
      <c r="Q319" t="n">
        <v>7112.982475</v>
      </c>
      <c r="R319" t="n">
        <v>7112.982475</v>
      </c>
      <c r="S319" t="n">
        <v>87.969483</v>
      </c>
      <c r="T319" t="n">
        <v>87.969483</v>
      </c>
      <c r="U319" t="n">
        <v>46.580547</v>
      </c>
      <c r="V319" t="n">
        <v>46.580547</v>
      </c>
      <c r="W319" t="n">
        <v>93.060855</v>
      </c>
      <c r="X319" t="n">
        <v>7459.131892</v>
      </c>
      <c r="Y319" t="n">
        <v>100.902165</v>
      </c>
      <c r="Z319" t="n">
        <v>211.14634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140.953883</v>
      </c>
      <c r="F320" t="n">
        <v>228.824285</v>
      </c>
      <c r="G320" t="n">
        <v>13739.954406</v>
      </c>
      <c r="H320" t="n">
        <v>114798702.260359</v>
      </c>
      <c r="I320" t="n">
        <v>6590.793316</v>
      </c>
      <c r="J320" t="n">
        <v>7071.146917</v>
      </c>
      <c r="K320" t="n">
        <v>2576.928919</v>
      </c>
      <c r="L320" t="n">
        <v>10677.999207</v>
      </c>
      <c r="M320" t="n">
        <v>10677.999207</v>
      </c>
      <c r="N320" t="n">
        <v>10677.999207</v>
      </c>
      <c r="O320" t="n">
        <v>85.006417</v>
      </c>
      <c r="P320" t="n">
        <v>38.52237</v>
      </c>
      <c r="Q320" t="n">
        <v>10677.999207</v>
      </c>
      <c r="R320" t="n">
        <v>10677.999207</v>
      </c>
      <c r="S320" t="n">
        <v>85.006417</v>
      </c>
      <c r="T320" t="n">
        <v>85.006417</v>
      </c>
      <c r="U320" t="n">
        <v>38.52237</v>
      </c>
      <c r="V320" t="n">
        <v>38.52237</v>
      </c>
      <c r="W320" t="n">
        <v>88.306245</v>
      </c>
      <c r="X320" t="n">
        <v>11509.306401</v>
      </c>
      <c r="Y320" t="n">
        <v>113.373643</v>
      </c>
      <c r="Z320" t="n">
        <v>399.574722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140.953883</v>
      </c>
      <c r="F321" t="n">
        <v>170.518341</v>
      </c>
      <c r="G321" t="n">
        <v>7847.80585</v>
      </c>
      <c r="H321" t="n">
        <v>421935.650343</v>
      </c>
      <c r="I321" t="n">
        <v>1050.872908</v>
      </c>
      <c r="J321" t="n">
        <v>1075.829695</v>
      </c>
      <c r="K321" t="n">
        <v>537.914847</v>
      </c>
      <c r="L321" t="n">
        <v>1659.687874</v>
      </c>
      <c r="M321" t="n">
        <v>1659.687874</v>
      </c>
      <c r="N321" t="n">
        <v>1659.687874</v>
      </c>
      <c r="O321" t="n">
        <v>31.362197</v>
      </c>
      <c r="P321" t="n">
        <v>16.184075</v>
      </c>
      <c r="Q321" t="n">
        <v>1659.687874</v>
      </c>
      <c r="R321" t="n">
        <v>1659.687874</v>
      </c>
      <c r="S321" t="n">
        <v>31.362197</v>
      </c>
      <c r="T321" t="n">
        <v>31.362197</v>
      </c>
      <c r="U321" t="n">
        <v>16.184075</v>
      </c>
      <c r="V321" t="n">
        <v>16.184075</v>
      </c>
      <c r="W321" t="n">
        <v>32.286772</v>
      </c>
      <c r="X321" t="n">
        <v>1775.112325</v>
      </c>
      <c r="Y321" t="n">
        <v>88.16158900000001</v>
      </c>
      <c r="Z321" t="n">
        <v>173.868813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140.953883</v>
      </c>
      <c r="F322" t="n">
        <v>228.824285</v>
      </c>
      <c r="G322" t="n">
        <v>13739.954406</v>
      </c>
      <c r="H322" t="n">
        <v>114798702.260359</v>
      </c>
      <c r="I322" t="n">
        <v>6590.793316</v>
      </c>
      <c r="J322" t="n">
        <v>7071.146917</v>
      </c>
      <c r="K322" t="n">
        <v>2576.928919</v>
      </c>
      <c r="L322" t="n">
        <v>10677.999207</v>
      </c>
      <c r="M322" t="n">
        <v>10677.999207</v>
      </c>
      <c r="N322" t="n">
        <v>10677.999207</v>
      </c>
      <c r="O322" t="n">
        <v>85.006417</v>
      </c>
      <c r="P322" t="n">
        <v>38.52237</v>
      </c>
      <c r="Q322" t="n">
        <v>10677.999207</v>
      </c>
      <c r="R322" t="n">
        <v>10677.999207</v>
      </c>
      <c r="S322" t="n">
        <v>85.006417</v>
      </c>
      <c r="T322" t="n">
        <v>85.006417</v>
      </c>
      <c r="U322" t="n">
        <v>38.52237</v>
      </c>
      <c r="V322" t="n">
        <v>38.52237</v>
      </c>
      <c r="W322" t="n">
        <v>88.306245</v>
      </c>
      <c r="X322" t="n">
        <v>11509.306401</v>
      </c>
      <c r="Y322" t="n">
        <v>113.373643</v>
      </c>
      <c r="Z322" t="n">
        <v>399.574722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140.953883</v>
      </c>
      <c r="F323" t="n">
        <v>908.988005</v>
      </c>
      <c r="G323" t="n">
        <v>145576.696024</v>
      </c>
      <c r="H323" t="n">
        <v>48080410.421404</v>
      </c>
      <c r="I323" t="n">
        <v>125208.792952</v>
      </c>
      <c r="J323" t="n">
        <v>126616.154086</v>
      </c>
      <c r="K323" t="n">
        <v>63308.077043</v>
      </c>
      <c r="L323" t="n">
        <v>172174.15174</v>
      </c>
      <c r="M323" t="n">
        <v>172174.151739</v>
      </c>
      <c r="N323" t="n">
        <v>172174.151739</v>
      </c>
      <c r="O323" t="n">
        <v>202.141045</v>
      </c>
      <c r="P323" t="n">
        <v>87.49926499999999</v>
      </c>
      <c r="Q323" t="n">
        <v>172174.151739</v>
      </c>
      <c r="R323" t="n">
        <v>172174.151739</v>
      </c>
      <c r="S323" t="n">
        <v>202.141045</v>
      </c>
      <c r="T323" t="n">
        <v>202.141045</v>
      </c>
      <c r="U323" t="n">
        <v>87.49926499999999</v>
      </c>
      <c r="V323" t="n">
        <v>87.49926499999999</v>
      </c>
      <c r="W323" t="n">
        <v>214.928725</v>
      </c>
      <c r="X323" t="n">
        <v>183923.261916</v>
      </c>
      <c r="Y323" t="n">
        <v>379.113334</v>
      </c>
      <c r="Z323" t="n">
        <v>767.7179190000001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140.953883</v>
      </c>
      <c r="F324" t="n">
        <v>200.641254</v>
      </c>
      <c r="G324" t="n">
        <v>11101.904562</v>
      </c>
      <c r="H324" t="n">
        <v>25660602.941085</v>
      </c>
      <c r="I324" t="n">
        <v>6244.222521</v>
      </c>
      <c r="J324" t="n">
        <v>6325.914048</v>
      </c>
      <c r="K324" t="n">
        <v>1872.204427</v>
      </c>
      <c r="L324" t="n">
        <v>7112.982475</v>
      </c>
      <c r="M324" t="n">
        <v>7112.982475</v>
      </c>
      <c r="N324" t="n">
        <v>7112.982475</v>
      </c>
      <c r="O324" t="n">
        <v>87.969483</v>
      </c>
      <c r="P324" t="n">
        <v>46.580547</v>
      </c>
      <c r="Q324" t="n">
        <v>7112.982475</v>
      </c>
      <c r="R324" t="n">
        <v>7112.982475</v>
      </c>
      <c r="S324" t="n">
        <v>87.969483</v>
      </c>
      <c r="T324" t="n">
        <v>87.969483</v>
      </c>
      <c r="U324" t="n">
        <v>46.580547</v>
      </c>
      <c r="V324" t="n">
        <v>46.580547</v>
      </c>
      <c r="W324" t="n">
        <v>93.060855</v>
      </c>
      <c r="X324" t="n">
        <v>7459.131892</v>
      </c>
      <c r="Y324" t="n">
        <v>100.902165</v>
      </c>
      <c r="Z324" t="n">
        <v>211.14634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140.953883</v>
      </c>
      <c r="F325" t="n">
        <v>60.479203</v>
      </c>
      <c r="G325" t="n">
        <v>1285.725322</v>
      </c>
      <c r="H325" t="n">
        <v>3025.478454</v>
      </c>
      <c r="I325" t="n">
        <v>395.888053</v>
      </c>
      <c r="J325" t="n">
        <v>395.888053</v>
      </c>
      <c r="K325" t="n">
        <v>376.09365</v>
      </c>
      <c r="L325" t="n">
        <v>393.787233</v>
      </c>
      <c r="M325" t="n">
        <v>393.787233</v>
      </c>
      <c r="N325" t="n">
        <v>393.787233</v>
      </c>
      <c r="O325" t="n">
        <v>20.916473</v>
      </c>
      <c r="P325" t="n">
        <v>13.510088</v>
      </c>
      <c r="Q325" t="n">
        <v>393.787233</v>
      </c>
      <c r="R325" t="n">
        <v>393.787233</v>
      </c>
      <c r="S325" t="n">
        <v>20.916473</v>
      </c>
      <c r="T325" t="n">
        <v>20.916473</v>
      </c>
      <c r="U325" t="n">
        <v>13.510088</v>
      </c>
      <c r="V325" t="n">
        <v>13.510088</v>
      </c>
      <c r="W325" t="n">
        <v>21.939981</v>
      </c>
      <c r="X325" t="n">
        <v>405.784084</v>
      </c>
      <c r="Y325" t="n">
        <v>35.719215</v>
      </c>
      <c r="Z325" t="n">
        <v>45.472786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140.953883</v>
      </c>
      <c r="F326" t="n">
        <v>95.34341499999999</v>
      </c>
      <c r="G326" t="n">
        <v>2845.346423</v>
      </c>
      <c r="H326" t="n">
        <v>490526.782878</v>
      </c>
      <c r="I326" t="n">
        <v>569.846189</v>
      </c>
      <c r="J326" t="n">
        <v>594.287325</v>
      </c>
      <c r="K326" t="n">
        <v>564.572959</v>
      </c>
      <c r="L326" t="n">
        <v>738.02552</v>
      </c>
      <c r="M326" t="n">
        <v>738.02552</v>
      </c>
      <c r="N326" t="n">
        <v>738.02552</v>
      </c>
      <c r="O326" t="n">
        <v>39.685535</v>
      </c>
      <c r="P326" t="n">
        <v>21.622034</v>
      </c>
      <c r="Q326" t="n">
        <v>738.02552</v>
      </c>
      <c r="R326" t="n">
        <v>738.02552</v>
      </c>
      <c r="S326" t="n">
        <v>39.685535</v>
      </c>
      <c r="T326" t="n">
        <v>39.685535</v>
      </c>
      <c r="U326" t="n">
        <v>21.622034</v>
      </c>
      <c r="V326" t="n">
        <v>21.622034</v>
      </c>
      <c r="W326" t="n">
        <v>41.109943</v>
      </c>
      <c r="X326" t="n">
        <v>772.895549</v>
      </c>
      <c r="Y326" t="n">
        <v>53.114101</v>
      </c>
      <c r="Z326" t="n">
        <v>112.240217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140.953883</v>
      </c>
      <c r="F327" t="n">
        <v>228.824285</v>
      </c>
      <c r="G327" t="n">
        <v>13739.954406</v>
      </c>
      <c r="H327" t="n">
        <v>114798702.260359</v>
      </c>
      <c r="I327" t="n">
        <v>6590.793316</v>
      </c>
      <c r="J327" t="n">
        <v>7071.146917</v>
      </c>
      <c r="K327" t="n">
        <v>2576.928919</v>
      </c>
      <c r="L327" t="n">
        <v>10677.999207</v>
      </c>
      <c r="M327" t="n">
        <v>10677.999207</v>
      </c>
      <c r="N327" t="n">
        <v>10677.999207</v>
      </c>
      <c r="O327" t="n">
        <v>85.006417</v>
      </c>
      <c r="P327" t="n">
        <v>38.52237</v>
      </c>
      <c r="Q327" t="n">
        <v>10677.999207</v>
      </c>
      <c r="R327" t="n">
        <v>10677.999207</v>
      </c>
      <c r="S327" t="n">
        <v>85.006417</v>
      </c>
      <c r="T327" t="n">
        <v>85.006417</v>
      </c>
      <c r="U327" t="n">
        <v>38.52237</v>
      </c>
      <c r="V327" t="n">
        <v>38.52237</v>
      </c>
      <c r="W327" t="n">
        <v>88.306245</v>
      </c>
      <c r="X327" t="n">
        <v>11509.306401</v>
      </c>
      <c r="Y327" t="n">
        <v>113.373643</v>
      </c>
      <c r="Z327" t="n">
        <v>399.574722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140.953883</v>
      </c>
      <c r="F328" t="n">
        <v>228.824285</v>
      </c>
      <c r="G328" t="n">
        <v>13739.954406</v>
      </c>
      <c r="H328" t="n">
        <v>114798702.260359</v>
      </c>
      <c r="I328" t="n">
        <v>6590.793316</v>
      </c>
      <c r="J328" t="n">
        <v>7071.146917</v>
      </c>
      <c r="K328" t="n">
        <v>2576.928919</v>
      </c>
      <c r="L328" t="n">
        <v>10677.999207</v>
      </c>
      <c r="M328" t="n">
        <v>10677.999207</v>
      </c>
      <c r="N328" t="n">
        <v>10677.999207</v>
      </c>
      <c r="O328" t="n">
        <v>85.006417</v>
      </c>
      <c r="P328" t="n">
        <v>38.52237</v>
      </c>
      <c r="Q328" t="n">
        <v>10677.999207</v>
      </c>
      <c r="R328" t="n">
        <v>10677.999207</v>
      </c>
      <c r="S328" t="n">
        <v>85.006417</v>
      </c>
      <c r="T328" t="n">
        <v>85.006417</v>
      </c>
      <c r="U328" t="n">
        <v>38.52237</v>
      </c>
      <c r="V328" t="n">
        <v>38.52237</v>
      </c>
      <c r="W328" t="n">
        <v>88.306245</v>
      </c>
      <c r="X328" t="n">
        <v>11509.306401</v>
      </c>
      <c r="Y328" t="n">
        <v>113.373643</v>
      </c>
      <c r="Z328" t="n">
        <v>399.574722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140.953883</v>
      </c>
      <c r="F329" t="n">
        <v>33.254785</v>
      </c>
      <c r="G329" t="n">
        <v>452.736281</v>
      </c>
      <c r="H329" t="n">
        <v>34182.13294</v>
      </c>
      <c r="I329" t="n">
        <v>151.084056</v>
      </c>
      <c r="J329" t="n">
        <v>151.084056</v>
      </c>
      <c r="K329" t="n">
        <v>143.529853</v>
      </c>
      <c r="L329" t="n">
        <v>173.938876</v>
      </c>
      <c r="M329" t="n">
        <v>173.938876</v>
      </c>
      <c r="N329" t="n">
        <v>173.938876</v>
      </c>
      <c r="O329" t="n">
        <v>13.215653</v>
      </c>
      <c r="P329" t="n">
        <v>8.00437</v>
      </c>
      <c r="Q329" t="n">
        <v>173.938876</v>
      </c>
      <c r="R329" t="n">
        <v>173.938876</v>
      </c>
      <c r="S329" t="n">
        <v>13.215653</v>
      </c>
      <c r="T329" t="n">
        <v>13.215653</v>
      </c>
      <c r="U329" t="n">
        <v>8.00437</v>
      </c>
      <c r="V329" t="n">
        <v>8.00437</v>
      </c>
      <c r="W329" t="n">
        <v>13.539814</v>
      </c>
      <c r="X329" t="n">
        <v>184.933079</v>
      </c>
      <c r="Y329" t="n">
        <v>21.207733</v>
      </c>
      <c r="Z329" t="n">
        <v>52.601429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140.953883</v>
      </c>
      <c r="F330" t="n">
        <v>308.68601</v>
      </c>
      <c r="G330" t="n">
        <v>22108.042525</v>
      </c>
      <c r="H330" t="n">
        <v>195781560.03917</v>
      </c>
      <c r="I330" t="n">
        <v>10706.101486</v>
      </c>
      <c r="J330" t="n">
        <v>10781.622707</v>
      </c>
      <c r="K330" t="n">
        <v>3924.510665</v>
      </c>
      <c r="L330" t="n">
        <v>18846.946222</v>
      </c>
      <c r="M330" t="n">
        <v>18846.946222</v>
      </c>
      <c r="N330" t="n">
        <v>18846.946222</v>
      </c>
      <c r="O330" t="n">
        <v>119.185901</v>
      </c>
      <c r="P330" t="n">
        <v>52.155741</v>
      </c>
      <c r="Q330" t="n">
        <v>18846.946222</v>
      </c>
      <c r="R330" t="n">
        <v>18846.946222</v>
      </c>
      <c r="S330" t="n">
        <v>119.185901</v>
      </c>
      <c r="T330" t="n">
        <v>119.185901</v>
      </c>
      <c r="U330" t="n">
        <v>52.155741</v>
      </c>
      <c r="V330" t="n">
        <v>52.155741</v>
      </c>
      <c r="W330" t="n">
        <v>124.506314</v>
      </c>
      <c r="X330" t="n">
        <v>20404.471037</v>
      </c>
      <c r="Y330" t="n">
        <v>147.889899</v>
      </c>
      <c r="Z330" t="n">
        <v>588.19732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140.953883</v>
      </c>
      <c r="F332" t="n">
        <v>33.254785</v>
      </c>
      <c r="G332" t="n">
        <v>452.736281</v>
      </c>
      <c r="H332" t="n">
        <v>34182.13294</v>
      </c>
      <c r="I332" t="n">
        <v>151.084056</v>
      </c>
      <c r="J332" t="n">
        <v>151.084056</v>
      </c>
      <c r="K332" t="n">
        <v>143.529853</v>
      </c>
      <c r="L332" t="n">
        <v>173.938876</v>
      </c>
      <c r="M332" t="n">
        <v>173.938876</v>
      </c>
      <c r="N332" t="n">
        <v>173.938876</v>
      </c>
      <c r="O332" t="n">
        <v>13.215653</v>
      </c>
      <c r="P332" t="n">
        <v>8.00437</v>
      </c>
      <c r="Q332" t="n">
        <v>173.938876</v>
      </c>
      <c r="R332" t="n">
        <v>173.938876</v>
      </c>
      <c r="S332" t="n">
        <v>13.215653</v>
      </c>
      <c r="T332" t="n">
        <v>13.215653</v>
      </c>
      <c r="U332" t="n">
        <v>8.00437</v>
      </c>
      <c r="V332" t="n">
        <v>8.00437</v>
      </c>
      <c r="W332" t="n">
        <v>13.539814</v>
      </c>
      <c r="X332" t="n">
        <v>184.933079</v>
      </c>
      <c r="Y332" t="n">
        <v>21.207733</v>
      </c>
      <c r="Z332" t="n">
        <v>52.601429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140.953883</v>
      </c>
      <c r="F333" t="n">
        <v>60.479203</v>
      </c>
      <c r="G333" t="n">
        <v>1285.725322</v>
      </c>
      <c r="H333" t="n">
        <v>3025.478454</v>
      </c>
      <c r="I333" t="n">
        <v>395.888053</v>
      </c>
      <c r="J333" t="n">
        <v>395.888053</v>
      </c>
      <c r="K333" t="n">
        <v>376.09365</v>
      </c>
      <c r="L333" t="n">
        <v>393.787233</v>
      </c>
      <c r="M333" t="n">
        <v>393.787233</v>
      </c>
      <c r="N333" t="n">
        <v>393.787233</v>
      </c>
      <c r="O333" t="n">
        <v>20.916473</v>
      </c>
      <c r="P333" t="n">
        <v>13.510088</v>
      </c>
      <c r="Q333" t="n">
        <v>393.787233</v>
      </c>
      <c r="R333" t="n">
        <v>393.787233</v>
      </c>
      <c r="S333" t="n">
        <v>20.916473</v>
      </c>
      <c r="T333" t="n">
        <v>20.916473</v>
      </c>
      <c r="U333" t="n">
        <v>13.510088</v>
      </c>
      <c r="V333" t="n">
        <v>13.510088</v>
      </c>
      <c r="W333" t="n">
        <v>21.939981</v>
      </c>
      <c r="X333" t="n">
        <v>405.784084</v>
      </c>
      <c r="Y333" t="n">
        <v>35.719215</v>
      </c>
      <c r="Z333" t="n">
        <v>45.472786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140.953883</v>
      </c>
      <c r="F334" t="n">
        <v>39.810717</v>
      </c>
      <c r="G334" t="n">
        <v>619.755778</v>
      </c>
      <c r="H334" t="n">
        <v>1877.598068</v>
      </c>
      <c r="I334" t="n">
        <v>741.629495</v>
      </c>
      <c r="J334" t="n">
        <v>741.629495</v>
      </c>
      <c r="K334" t="n">
        <v>626.676923</v>
      </c>
      <c r="L334" t="n">
        <v>737.355125</v>
      </c>
      <c r="M334" t="n">
        <v>737.355125</v>
      </c>
      <c r="N334" t="n">
        <v>737.355125</v>
      </c>
      <c r="O334" t="n">
        <v>36.442813</v>
      </c>
      <c r="P334" t="n">
        <v>23.922587</v>
      </c>
      <c r="Q334" t="n">
        <v>737.355125</v>
      </c>
      <c r="R334" t="n">
        <v>737.355125</v>
      </c>
      <c r="S334" t="n">
        <v>36.442813</v>
      </c>
      <c r="T334" t="n">
        <v>36.442813</v>
      </c>
      <c r="U334" t="n">
        <v>23.922587</v>
      </c>
      <c r="V334" t="n">
        <v>23.922587</v>
      </c>
      <c r="W334" t="n">
        <v>37.547619</v>
      </c>
      <c r="X334" t="n">
        <v>765.5198799999999</v>
      </c>
      <c r="Y334" t="n">
        <v>24.808959</v>
      </c>
      <c r="Z334" t="n">
        <v>36.197335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140.953883</v>
      </c>
      <c r="F335" t="n">
        <v>14.712171</v>
      </c>
      <c r="G335" t="n">
        <v>109.082967</v>
      </c>
      <c r="H335" t="n">
        <v>1554.089564</v>
      </c>
      <c r="I335" t="n">
        <v>87.52377799999999</v>
      </c>
      <c r="J335" t="n">
        <v>87.52377799999999</v>
      </c>
      <c r="K335" t="n">
        <v>33.521607</v>
      </c>
      <c r="L335" t="n">
        <v>92.59366</v>
      </c>
      <c r="M335" t="n">
        <v>92.59366</v>
      </c>
      <c r="N335" t="n">
        <v>92.59366</v>
      </c>
      <c r="O335" t="n">
        <v>4.448657</v>
      </c>
      <c r="P335" t="n">
        <v>3.058348</v>
      </c>
      <c r="Q335" t="n">
        <v>92.59366</v>
      </c>
      <c r="R335" t="n">
        <v>92.59366</v>
      </c>
      <c r="S335" t="n">
        <v>4.448657</v>
      </c>
      <c r="T335" t="n">
        <v>4.448657</v>
      </c>
      <c r="U335" t="n">
        <v>3.058348</v>
      </c>
      <c r="V335" t="n">
        <v>3.058348</v>
      </c>
      <c r="W335" t="n">
        <v>4.556294</v>
      </c>
      <c r="X335" t="n">
        <v>96.447226</v>
      </c>
      <c r="Y335" t="n">
        <v>10.417956</v>
      </c>
      <c r="Z335" t="n">
        <v>17.174689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140.953883</v>
      </c>
      <c r="F336" t="n">
        <v>228.824285</v>
      </c>
      <c r="G336" t="n">
        <v>13739.954406</v>
      </c>
      <c r="H336" t="n">
        <v>114798702.260359</v>
      </c>
      <c r="I336" t="n">
        <v>6590.793316</v>
      </c>
      <c r="J336" t="n">
        <v>7071.146917</v>
      </c>
      <c r="K336" t="n">
        <v>2576.928919</v>
      </c>
      <c r="L336" t="n">
        <v>10677.999207</v>
      </c>
      <c r="M336" t="n">
        <v>10677.999207</v>
      </c>
      <c r="N336" t="n">
        <v>10677.999207</v>
      </c>
      <c r="O336" t="n">
        <v>85.006417</v>
      </c>
      <c r="P336" t="n">
        <v>38.52237</v>
      </c>
      <c r="Q336" t="n">
        <v>10677.999207</v>
      </c>
      <c r="R336" t="n">
        <v>10677.999207</v>
      </c>
      <c r="S336" t="n">
        <v>85.006417</v>
      </c>
      <c r="T336" t="n">
        <v>85.006417</v>
      </c>
      <c r="U336" t="n">
        <v>38.52237</v>
      </c>
      <c r="V336" t="n">
        <v>38.52237</v>
      </c>
      <c r="W336" t="n">
        <v>88.306245</v>
      </c>
      <c r="X336" t="n">
        <v>11509.306401</v>
      </c>
      <c r="Y336" t="n">
        <v>113.373643</v>
      </c>
      <c r="Z336" t="n">
        <v>399.574722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140.953883</v>
      </c>
      <c r="F337" t="n">
        <v>33.254785</v>
      </c>
      <c r="G337" t="n">
        <v>452.736281</v>
      </c>
      <c r="H337" t="n">
        <v>34182.13294</v>
      </c>
      <c r="I337" t="n">
        <v>151.084056</v>
      </c>
      <c r="J337" t="n">
        <v>151.084056</v>
      </c>
      <c r="K337" t="n">
        <v>143.529853</v>
      </c>
      <c r="L337" t="n">
        <v>173.938876</v>
      </c>
      <c r="M337" t="n">
        <v>173.938876</v>
      </c>
      <c r="N337" t="n">
        <v>173.938876</v>
      </c>
      <c r="O337" t="n">
        <v>13.215653</v>
      </c>
      <c r="P337" t="n">
        <v>8.00437</v>
      </c>
      <c r="Q337" t="n">
        <v>173.938876</v>
      </c>
      <c r="R337" t="n">
        <v>173.938876</v>
      </c>
      <c r="S337" t="n">
        <v>13.215653</v>
      </c>
      <c r="T337" t="n">
        <v>13.215653</v>
      </c>
      <c r="U337" t="n">
        <v>8.00437</v>
      </c>
      <c r="V337" t="n">
        <v>8.00437</v>
      </c>
      <c r="W337" t="n">
        <v>13.539814</v>
      </c>
      <c r="X337" t="n">
        <v>184.933079</v>
      </c>
      <c r="Y337" t="n">
        <v>21.207733</v>
      </c>
      <c r="Z337" t="n">
        <v>52.601429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140.953883</v>
      </c>
      <c r="F338" t="n">
        <v>228.824285</v>
      </c>
      <c r="G338" t="n">
        <v>13739.954406</v>
      </c>
      <c r="H338" t="n">
        <v>114798702.260359</v>
      </c>
      <c r="I338" t="n">
        <v>6590.793316</v>
      </c>
      <c r="J338" t="n">
        <v>7071.146917</v>
      </c>
      <c r="K338" t="n">
        <v>2576.928919</v>
      </c>
      <c r="L338" t="n">
        <v>10677.999207</v>
      </c>
      <c r="M338" t="n">
        <v>10677.999207</v>
      </c>
      <c r="N338" t="n">
        <v>10677.999207</v>
      </c>
      <c r="O338" t="n">
        <v>85.006417</v>
      </c>
      <c r="P338" t="n">
        <v>38.52237</v>
      </c>
      <c r="Q338" t="n">
        <v>10677.999207</v>
      </c>
      <c r="R338" t="n">
        <v>10677.999207</v>
      </c>
      <c r="S338" t="n">
        <v>85.006417</v>
      </c>
      <c r="T338" t="n">
        <v>85.006417</v>
      </c>
      <c r="U338" t="n">
        <v>38.52237</v>
      </c>
      <c r="V338" t="n">
        <v>38.52237</v>
      </c>
      <c r="W338" t="n">
        <v>88.306245</v>
      </c>
      <c r="X338" t="n">
        <v>11509.306401</v>
      </c>
      <c r="Y338" t="n">
        <v>113.373643</v>
      </c>
      <c r="Z338" t="n">
        <v>399.574722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140.953883</v>
      </c>
      <c r="F339" t="n">
        <v>33.254785</v>
      </c>
      <c r="G339" t="n">
        <v>452.736281</v>
      </c>
      <c r="H339" t="n">
        <v>34182.13294</v>
      </c>
      <c r="I339" t="n">
        <v>151.084056</v>
      </c>
      <c r="J339" t="n">
        <v>151.084056</v>
      </c>
      <c r="K339" t="n">
        <v>143.529853</v>
      </c>
      <c r="L339" t="n">
        <v>173.938876</v>
      </c>
      <c r="M339" t="n">
        <v>173.938876</v>
      </c>
      <c r="N339" t="n">
        <v>173.938876</v>
      </c>
      <c r="O339" t="n">
        <v>13.215653</v>
      </c>
      <c r="P339" t="n">
        <v>8.00437</v>
      </c>
      <c r="Q339" t="n">
        <v>173.938876</v>
      </c>
      <c r="R339" t="n">
        <v>173.938876</v>
      </c>
      <c r="S339" t="n">
        <v>13.215653</v>
      </c>
      <c r="T339" t="n">
        <v>13.215653</v>
      </c>
      <c r="U339" t="n">
        <v>8.00437</v>
      </c>
      <c r="V339" t="n">
        <v>8.00437</v>
      </c>
      <c r="W339" t="n">
        <v>13.539814</v>
      </c>
      <c r="X339" t="n">
        <v>184.933079</v>
      </c>
      <c r="Y339" t="n">
        <v>21.207733</v>
      </c>
      <c r="Z339" t="n">
        <v>52.601429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140.953883</v>
      </c>
      <c r="F340" t="n">
        <v>57.638856</v>
      </c>
      <c r="G340" t="n">
        <v>1182.200226</v>
      </c>
      <c r="H340" t="n">
        <v>56775.373409</v>
      </c>
      <c r="I340" t="n">
        <v>512.103289</v>
      </c>
      <c r="J340" t="n">
        <v>553.467817</v>
      </c>
      <c r="K340" t="n">
        <v>525.794426</v>
      </c>
      <c r="L340" t="n">
        <v>602.712303</v>
      </c>
      <c r="M340" t="n">
        <v>602.712303</v>
      </c>
      <c r="N340" t="n">
        <v>602.712303</v>
      </c>
      <c r="O340" t="n">
        <v>31.190871</v>
      </c>
      <c r="P340" t="n">
        <v>18.283791</v>
      </c>
      <c r="Q340" t="n">
        <v>602.712303</v>
      </c>
      <c r="R340" t="n">
        <v>602.712303</v>
      </c>
      <c r="S340" t="n">
        <v>31.190871</v>
      </c>
      <c r="T340" t="n">
        <v>31.190871</v>
      </c>
      <c r="U340" t="n">
        <v>18.283791</v>
      </c>
      <c r="V340" t="n">
        <v>18.283791</v>
      </c>
      <c r="W340" t="n">
        <v>32.089433</v>
      </c>
      <c r="X340" t="n">
        <v>622.065443</v>
      </c>
      <c r="Y340" t="n">
        <v>34.252552</v>
      </c>
      <c r="Z340" t="n">
        <v>73.57281500000001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140.953883</v>
      </c>
      <c r="F341" t="n">
        <v>14.712171</v>
      </c>
      <c r="G341" t="n">
        <v>109.082967</v>
      </c>
      <c r="H341" t="n">
        <v>1554.089564</v>
      </c>
      <c r="I341" t="n">
        <v>87.52377799999999</v>
      </c>
      <c r="J341" t="n">
        <v>87.52377799999999</v>
      </c>
      <c r="K341" t="n">
        <v>33.521607</v>
      </c>
      <c r="L341" t="n">
        <v>92.59366</v>
      </c>
      <c r="M341" t="n">
        <v>92.59366</v>
      </c>
      <c r="N341" t="n">
        <v>92.59366</v>
      </c>
      <c r="O341" t="n">
        <v>4.448657</v>
      </c>
      <c r="P341" t="n">
        <v>3.058348</v>
      </c>
      <c r="Q341" t="n">
        <v>92.59366</v>
      </c>
      <c r="R341" t="n">
        <v>92.59366</v>
      </c>
      <c r="S341" t="n">
        <v>4.448657</v>
      </c>
      <c r="T341" t="n">
        <v>4.448657</v>
      </c>
      <c r="U341" t="n">
        <v>3.058348</v>
      </c>
      <c r="V341" t="n">
        <v>3.058348</v>
      </c>
      <c r="W341" t="n">
        <v>4.556294</v>
      </c>
      <c r="X341" t="n">
        <v>96.447226</v>
      </c>
      <c r="Y341" t="n">
        <v>10.417956</v>
      </c>
      <c r="Z341" t="n">
        <v>17.174689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140.953883</v>
      </c>
      <c r="F342" t="n">
        <v>228.824285</v>
      </c>
      <c r="G342" t="n">
        <v>13739.954406</v>
      </c>
      <c r="H342" t="n">
        <v>114798702.260359</v>
      </c>
      <c r="I342" t="n">
        <v>6590.793316</v>
      </c>
      <c r="J342" t="n">
        <v>7071.146917</v>
      </c>
      <c r="K342" t="n">
        <v>2576.928919</v>
      </c>
      <c r="L342" t="n">
        <v>10677.999207</v>
      </c>
      <c r="M342" t="n">
        <v>10677.999207</v>
      </c>
      <c r="N342" t="n">
        <v>10677.999207</v>
      </c>
      <c r="O342" t="n">
        <v>85.006417</v>
      </c>
      <c r="P342" t="n">
        <v>38.52237</v>
      </c>
      <c r="Q342" t="n">
        <v>10677.999207</v>
      </c>
      <c r="R342" t="n">
        <v>10677.999207</v>
      </c>
      <c r="S342" t="n">
        <v>85.006417</v>
      </c>
      <c r="T342" t="n">
        <v>85.006417</v>
      </c>
      <c r="U342" t="n">
        <v>38.52237</v>
      </c>
      <c r="V342" t="n">
        <v>38.52237</v>
      </c>
      <c r="W342" t="n">
        <v>88.306245</v>
      </c>
      <c r="X342" t="n">
        <v>11509.306401</v>
      </c>
      <c r="Y342" t="n">
        <v>113.373643</v>
      </c>
      <c r="Z342" t="n">
        <v>399.574722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140.953883</v>
      </c>
      <c r="F343" t="n">
        <v>14.712171</v>
      </c>
      <c r="G343" t="n">
        <v>109.082967</v>
      </c>
      <c r="H343" t="n">
        <v>1554.089564</v>
      </c>
      <c r="I343" t="n">
        <v>87.52377799999999</v>
      </c>
      <c r="J343" t="n">
        <v>87.52377799999999</v>
      </c>
      <c r="K343" t="n">
        <v>33.521607</v>
      </c>
      <c r="L343" t="n">
        <v>92.59366</v>
      </c>
      <c r="M343" t="n">
        <v>92.59366</v>
      </c>
      <c r="N343" t="n">
        <v>92.59366</v>
      </c>
      <c r="O343" t="n">
        <v>4.448657</v>
      </c>
      <c r="P343" t="n">
        <v>3.058348</v>
      </c>
      <c r="Q343" t="n">
        <v>92.59366</v>
      </c>
      <c r="R343" t="n">
        <v>92.59366</v>
      </c>
      <c r="S343" t="n">
        <v>4.448657</v>
      </c>
      <c r="T343" t="n">
        <v>4.448657</v>
      </c>
      <c r="U343" t="n">
        <v>3.058348</v>
      </c>
      <c r="V343" t="n">
        <v>3.058348</v>
      </c>
      <c r="W343" t="n">
        <v>4.556294</v>
      </c>
      <c r="X343" t="n">
        <v>96.447226</v>
      </c>
      <c r="Y343" t="n">
        <v>10.417956</v>
      </c>
      <c r="Z343" t="n">
        <v>17.174689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140.953883</v>
      </c>
      <c r="F344" t="n">
        <v>20.606299</v>
      </c>
      <c r="G344" t="n">
        <v>196.386285</v>
      </c>
      <c r="H344" t="n">
        <v>1009.116172</v>
      </c>
      <c r="I344" t="n">
        <v>131.71072</v>
      </c>
      <c r="J344" t="n">
        <v>131.71072</v>
      </c>
      <c r="K344" t="n">
        <v>125.125184</v>
      </c>
      <c r="L344" t="n">
        <v>130.894857</v>
      </c>
      <c r="M344" t="n">
        <v>130.894857</v>
      </c>
      <c r="N344" t="n">
        <v>130.894857</v>
      </c>
      <c r="O344" t="n">
        <v>12.255972</v>
      </c>
      <c r="P344" t="n">
        <v>8.448598</v>
      </c>
      <c r="Q344" t="n">
        <v>130.894857</v>
      </c>
      <c r="R344" t="n">
        <v>130.894857</v>
      </c>
      <c r="S344" t="n">
        <v>12.255972</v>
      </c>
      <c r="T344" t="n">
        <v>12.255972</v>
      </c>
      <c r="U344" t="n">
        <v>8.448598</v>
      </c>
      <c r="V344" t="n">
        <v>8.448598</v>
      </c>
      <c r="W344" t="n">
        <v>12.680707</v>
      </c>
      <c r="X344" t="n">
        <v>136.520004</v>
      </c>
      <c r="Y344" t="n">
        <v>13.974049</v>
      </c>
      <c r="Z344" t="n">
        <v>22.490141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140.953883</v>
      </c>
      <c r="F345" t="n">
        <v>554.842266</v>
      </c>
      <c r="G345" t="n">
        <v>61511.195509</v>
      </c>
      <c r="H345" t="n">
        <v>20307429.163039</v>
      </c>
      <c r="I345" t="n">
        <v>3230.237663</v>
      </c>
      <c r="J345" t="n">
        <v>3367.037571</v>
      </c>
      <c r="K345" t="n">
        <v>3198.685692</v>
      </c>
      <c r="L345" t="n">
        <v>4133.4309</v>
      </c>
      <c r="M345" t="n">
        <v>4133.4309</v>
      </c>
      <c r="N345" t="n">
        <v>4133.4309</v>
      </c>
      <c r="O345" t="n">
        <v>205.658598</v>
      </c>
      <c r="P345" t="n">
        <v>91.38801100000001</v>
      </c>
      <c r="Q345" t="n">
        <v>4133.4309</v>
      </c>
      <c r="R345" t="n">
        <v>4133.4309</v>
      </c>
      <c r="S345" t="n">
        <v>205.658598</v>
      </c>
      <c r="T345" t="n">
        <v>205.658598</v>
      </c>
      <c r="U345" t="n">
        <v>91.38801100000001</v>
      </c>
      <c r="V345" t="n">
        <v>91.38801100000001</v>
      </c>
      <c r="W345" t="n">
        <v>216.473302</v>
      </c>
      <c r="X345" t="n">
        <v>4393.486979</v>
      </c>
      <c r="Y345" t="n">
        <v>246.547973</v>
      </c>
      <c r="Z345" t="n">
        <v>636.567642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140.953883</v>
      </c>
      <c r="F346" t="n">
        <v>14.712171</v>
      </c>
      <c r="G346" t="n">
        <v>109.082967</v>
      </c>
      <c r="H346" t="n">
        <v>1554.089564</v>
      </c>
      <c r="I346" t="n">
        <v>87.52377799999999</v>
      </c>
      <c r="J346" t="n">
        <v>87.52377799999999</v>
      </c>
      <c r="K346" t="n">
        <v>33.521607</v>
      </c>
      <c r="L346" t="n">
        <v>92.59366</v>
      </c>
      <c r="M346" t="n">
        <v>92.59366</v>
      </c>
      <c r="N346" t="n">
        <v>92.59366</v>
      </c>
      <c r="O346" t="n">
        <v>4.448657</v>
      </c>
      <c r="P346" t="n">
        <v>3.058348</v>
      </c>
      <c r="Q346" t="n">
        <v>92.59366</v>
      </c>
      <c r="R346" t="n">
        <v>92.59366</v>
      </c>
      <c r="S346" t="n">
        <v>4.448657</v>
      </c>
      <c r="T346" t="n">
        <v>4.448657</v>
      </c>
      <c r="U346" t="n">
        <v>3.058348</v>
      </c>
      <c r="V346" t="n">
        <v>3.058348</v>
      </c>
      <c r="W346" t="n">
        <v>4.556294</v>
      </c>
      <c r="X346" t="n">
        <v>96.447226</v>
      </c>
      <c r="Y346" t="n">
        <v>10.417956</v>
      </c>
      <c r="Z346" t="n">
        <v>17.174689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140.953883</v>
      </c>
      <c r="F347" t="n">
        <v>57.638856</v>
      </c>
      <c r="G347" t="n">
        <v>1182.200226</v>
      </c>
      <c r="H347" t="n">
        <v>56775.373409</v>
      </c>
      <c r="I347" t="n">
        <v>512.103289</v>
      </c>
      <c r="J347" t="n">
        <v>553.467817</v>
      </c>
      <c r="K347" t="n">
        <v>525.794426</v>
      </c>
      <c r="L347" t="n">
        <v>602.712303</v>
      </c>
      <c r="M347" t="n">
        <v>602.712303</v>
      </c>
      <c r="N347" t="n">
        <v>602.712303</v>
      </c>
      <c r="O347" t="n">
        <v>31.190871</v>
      </c>
      <c r="P347" t="n">
        <v>18.283791</v>
      </c>
      <c r="Q347" t="n">
        <v>602.712303</v>
      </c>
      <c r="R347" t="n">
        <v>602.712303</v>
      </c>
      <c r="S347" t="n">
        <v>31.190871</v>
      </c>
      <c r="T347" t="n">
        <v>31.190871</v>
      </c>
      <c r="U347" t="n">
        <v>18.283791</v>
      </c>
      <c r="V347" t="n">
        <v>18.283791</v>
      </c>
      <c r="W347" t="n">
        <v>32.089433</v>
      </c>
      <c r="X347" t="n">
        <v>622.065443</v>
      </c>
      <c r="Y347" t="n">
        <v>34.252552</v>
      </c>
      <c r="Z347" t="n">
        <v>73.57281500000001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140.953883</v>
      </c>
      <c r="F349" t="n">
        <v>554.842266</v>
      </c>
      <c r="G349" t="n">
        <v>61511.195509</v>
      </c>
      <c r="H349" t="n">
        <v>20307429.163039</v>
      </c>
      <c r="I349" t="n">
        <v>3230.237663</v>
      </c>
      <c r="J349" t="n">
        <v>3367.037571</v>
      </c>
      <c r="K349" t="n">
        <v>3198.685692</v>
      </c>
      <c r="L349" t="n">
        <v>4133.4309</v>
      </c>
      <c r="M349" t="n">
        <v>4133.4309</v>
      </c>
      <c r="N349" t="n">
        <v>4133.4309</v>
      </c>
      <c r="O349" t="n">
        <v>205.658598</v>
      </c>
      <c r="P349" t="n">
        <v>91.38801100000001</v>
      </c>
      <c r="Q349" t="n">
        <v>4133.4309</v>
      </c>
      <c r="R349" t="n">
        <v>4133.4309</v>
      </c>
      <c r="S349" t="n">
        <v>205.658598</v>
      </c>
      <c r="T349" t="n">
        <v>205.658598</v>
      </c>
      <c r="U349" t="n">
        <v>91.38801100000001</v>
      </c>
      <c r="V349" t="n">
        <v>91.38801100000001</v>
      </c>
      <c r="W349" t="n">
        <v>216.473302</v>
      </c>
      <c r="X349" t="n">
        <v>4393.486979</v>
      </c>
      <c r="Y349" t="n">
        <v>246.547973</v>
      </c>
      <c r="Z349" t="n">
        <v>636.567642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140.953883</v>
      </c>
      <c r="F350" t="n">
        <v>228.824285</v>
      </c>
      <c r="G350" t="n">
        <v>13739.954406</v>
      </c>
      <c r="H350" t="n">
        <v>114798702.260359</v>
      </c>
      <c r="I350" t="n">
        <v>6590.793316</v>
      </c>
      <c r="J350" t="n">
        <v>7071.146917</v>
      </c>
      <c r="K350" t="n">
        <v>2576.928919</v>
      </c>
      <c r="L350" t="n">
        <v>10677.999207</v>
      </c>
      <c r="M350" t="n">
        <v>10677.999207</v>
      </c>
      <c r="N350" t="n">
        <v>10677.999207</v>
      </c>
      <c r="O350" t="n">
        <v>85.006417</v>
      </c>
      <c r="P350" t="n">
        <v>38.52237</v>
      </c>
      <c r="Q350" t="n">
        <v>10677.999207</v>
      </c>
      <c r="R350" t="n">
        <v>10677.999207</v>
      </c>
      <c r="S350" t="n">
        <v>85.006417</v>
      </c>
      <c r="T350" t="n">
        <v>85.006417</v>
      </c>
      <c r="U350" t="n">
        <v>38.52237</v>
      </c>
      <c r="V350" t="n">
        <v>38.52237</v>
      </c>
      <c r="W350" t="n">
        <v>88.306245</v>
      </c>
      <c r="X350" t="n">
        <v>11509.306401</v>
      </c>
      <c r="Y350" t="n">
        <v>113.373643</v>
      </c>
      <c r="Z350" t="n">
        <v>399.574722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140.953883</v>
      </c>
      <c r="F351" t="n">
        <v>200.641254</v>
      </c>
      <c r="G351" t="n">
        <v>11101.904562</v>
      </c>
      <c r="H351" t="n">
        <v>25660602.941085</v>
      </c>
      <c r="I351" t="n">
        <v>6244.222521</v>
      </c>
      <c r="J351" t="n">
        <v>6325.914048</v>
      </c>
      <c r="K351" t="n">
        <v>1872.204427</v>
      </c>
      <c r="L351" t="n">
        <v>7112.982475</v>
      </c>
      <c r="M351" t="n">
        <v>7112.982475</v>
      </c>
      <c r="N351" t="n">
        <v>7112.982475</v>
      </c>
      <c r="O351" t="n">
        <v>87.969483</v>
      </c>
      <c r="P351" t="n">
        <v>46.580547</v>
      </c>
      <c r="Q351" t="n">
        <v>7112.982475</v>
      </c>
      <c r="R351" t="n">
        <v>7112.982475</v>
      </c>
      <c r="S351" t="n">
        <v>87.969483</v>
      </c>
      <c r="T351" t="n">
        <v>87.969483</v>
      </c>
      <c r="U351" t="n">
        <v>46.580547</v>
      </c>
      <c r="V351" t="n">
        <v>46.580547</v>
      </c>
      <c r="W351" t="n">
        <v>93.060855</v>
      </c>
      <c r="X351" t="n">
        <v>7459.131892</v>
      </c>
      <c r="Y351" t="n">
        <v>100.902165</v>
      </c>
      <c r="Z351" t="n">
        <v>211.14634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140.953883</v>
      </c>
      <c r="F352" t="n">
        <v>60.479203</v>
      </c>
      <c r="G352" t="n">
        <v>1285.725322</v>
      </c>
      <c r="H352" t="n">
        <v>3025.478454</v>
      </c>
      <c r="I352" t="n">
        <v>395.888053</v>
      </c>
      <c r="J352" t="n">
        <v>395.888053</v>
      </c>
      <c r="K352" t="n">
        <v>376.09365</v>
      </c>
      <c r="L352" t="n">
        <v>393.787233</v>
      </c>
      <c r="M352" t="n">
        <v>393.787233</v>
      </c>
      <c r="N352" t="n">
        <v>393.787233</v>
      </c>
      <c r="O352" t="n">
        <v>20.916473</v>
      </c>
      <c r="P352" t="n">
        <v>13.510088</v>
      </c>
      <c r="Q352" t="n">
        <v>393.787233</v>
      </c>
      <c r="R352" t="n">
        <v>393.787233</v>
      </c>
      <c r="S352" t="n">
        <v>20.916473</v>
      </c>
      <c r="T352" t="n">
        <v>20.916473</v>
      </c>
      <c r="U352" t="n">
        <v>13.510088</v>
      </c>
      <c r="V352" t="n">
        <v>13.510088</v>
      </c>
      <c r="W352" t="n">
        <v>21.939981</v>
      </c>
      <c r="X352" t="n">
        <v>405.784084</v>
      </c>
      <c r="Y352" t="n">
        <v>35.719215</v>
      </c>
      <c r="Z352" t="n">
        <v>45.472786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140.953883</v>
      </c>
      <c r="F353" t="n">
        <v>265.549442</v>
      </c>
      <c r="G353" t="n">
        <v>17398.716094</v>
      </c>
      <c r="H353" t="n">
        <v>21722652.494621</v>
      </c>
      <c r="I353" t="n">
        <v>2939.153653</v>
      </c>
      <c r="J353" t="n">
        <v>3022.907916</v>
      </c>
      <c r="K353" t="n">
        <v>1769.605312</v>
      </c>
      <c r="L353" t="n">
        <v>3691.420719</v>
      </c>
      <c r="M353" t="n">
        <v>3691.420719</v>
      </c>
      <c r="N353" t="n">
        <v>3691.420719</v>
      </c>
      <c r="O353" t="n">
        <v>92.784491</v>
      </c>
      <c r="P353" t="n">
        <v>44.082214</v>
      </c>
      <c r="Q353" t="n">
        <v>3691.420719</v>
      </c>
      <c r="R353" t="n">
        <v>3691.420719</v>
      </c>
      <c r="S353" t="n">
        <v>92.784491</v>
      </c>
      <c r="T353" t="n">
        <v>92.784491</v>
      </c>
      <c r="U353" t="n">
        <v>44.082214</v>
      </c>
      <c r="V353" t="n">
        <v>44.082214</v>
      </c>
      <c r="W353" t="n">
        <v>96.91430099999999</v>
      </c>
      <c r="X353" t="n">
        <v>3937.988659</v>
      </c>
      <c r="Y353" t="n">
        <v>129.416869</v>
      </c>
      <c r="Z353" t="n">
        <v>360.506923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140.953883</v>
      </c>
      <c r="F354" t="n">
        <v>200.641254</v>
      </c>
      <c r="G354" t="n">
        <v>11101.904562</v>
      </c>
      <c r="H354" t="n">
        <v>25660602.941085</v>
      </c>
      <c r="I354" t="n">
        <v>6244.222521</v>
      </c>
      <c r="J354" t="n">
        <v>6325.914048</v>
      </c>
      <c r="K354" t="n">
        <v>1872.204427</v>
      </c>
      <c r="L354" t="n">
        <v>7112.982475</v>
      </c>
      <c r="M354" t="n">
        <v>7112.982475</v>
      </c>
      <c r="N354" t="n">
        <v>7112.982475</v>
      </c>
      <c r="O354" t="n">
        <v>87.969483</v>
      </c>
      <c r="P354" t="n">
        <v>46.580547</v>
      </c>
      <c r="Q354" t="n">
        <v>7112.982475</v>
      </c>
      <c r="R354" t="n">
        <v>7112.982475</v>
      </c>
      <c r="S354" t="n">
        <v>87.969483</v>
      </c>
      <c r="T354" t="n">
        <v>87.969483</v>
      </c>
      <c r="U354" t="n">
        <v>46.580547</v>
      </c>
      <c r="V354" t="n">
        <v>46.580547</v>
      </c>
      <c r="W354" t="n">
        <v>93.060855</v>
      </c>
      <c r="X354" t="n">
        <v>7459.131892</v>
      </c>
      <c r="Y354" t="n">
        <v>100.902165</v>
      </c>
      <c r="Z354" t="n">
        <v>211.14634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140.953883</v>
      </c>
      <c r="F355" t="n">
        <v>228.824285</v>
      </c>
      <c r="G355" t="n">
        <v>13739.954406</v>
      </c>
      <c r="H355" t="n">
        <v>114798702.260359</v>
      </c>
      <c r="I355" t="n">
        <v>6590.793316</v>
      </c>
      <c r="J355" t="n">
        <v>7071.146917</v>
      </c>
      <c r="K355" t="n">
        <v>2576.928919</v>
      </c>
      <c r="L355" t="n">
        <v>10677.999207</v>
      </c>
      <c r="M355" t="n">
        <v>10677.999207</v>
      </c>
      <c r="N355" t="n">
        <v>10677.999207</v>
      </c>
      <c r="O355" t="n">
        <v>85.006417</v>
      </c>
      <c r="P355" t="n">
        <v>38.52237</v>
      </c>
      <c r="Q355" t="n">
        <v>10677.999207</v>
      </c>
      <c r="R355" t="n">
        <v>10677.999207</v>
      </c>
      <c r="S355" t="n">
        <v>85.006417</v>
      </c>
      <c r="T355" t="n">
        <v>85.006417</v>
      </c>
      <c r="U355" t="n">
        <v>38.52237</v>
      </c>
      <c r="V355" t="n">
        <v>38.52237</v>
      </c>
      <c r="W355" t="n">
        <v>88.306245</v>
      </c>
      <c r="X355" t="n">
        <v>11509.306401</v>
      </c>
      <c r="Y355" t="n">
        <v>113.373643</v>
      </c>
      <c r="Z355" t="n">
        <v>399.574722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140.953883</v>
      </c>
      <c r="F356" t="n">
        <v>14.712171</v>
      </c>
      <c r="G356" t="n">
        <v>109.082967</v>
      </c>
      <c r="H356" t="n">
        <v>1554.089564</v>
      </c>
      <c r="I356" t="n">
        <v>87.52377799999999</v>
      </c>
      <c r="J356" t="n">
        <v>87.52377799999999</v>
      </c>
      <c r="K356" t="n">
        <v>33.521607</v>
      </c>
      <c r="L356" t="n">
        <v>92.59366</v>
      </c>
      <c r="M356" t="n">
        <v>92.59366</v>
      </c>
      <c r="N356" t="n">
        <v>92.59366</v>
      </c>
      <c r="O356" t="n">
        <v>4.448657</v>
      </c>
      <c r="P356" t="n">
        <v>3.058348</v>
      </c>
      <c r="Q356" t="n">
        <v>92.59366</v>
      </c>
      <c r="R356" t="n">
        <v>92.59366</v>
      </c>
      <c r="S356" t="n">
        <v>4.448657</v>
      </c>
      <c r="T356" t="n">
        <v>4.448657</v>
      </c>
      <c r="U356" t="n">
        <v>3.058348</v>
      </c>
      <c r="V356" t="n">
        <v>3.058348</v>
      </c>
      <c r="W356" t="n">
        <v>4.556294</v>
      </c>
      <c r="X356" t="n">
        <v>96.447226</v>
      </c>
      <c r="Y356" t="n">
        <v>10.417956</v>
      </c>
      <c r="Z356" t="n">
        <v>17.174689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140.953883</v>
      </c>
      <c r="F357" t="n">
        <v>95.34341499999999</v>
      </c>
      <c r="G357" t="n">
        <v>2845.346423</v>
      </c>
      <c r="H357" t="n">
        <v>490526.782878</v>
      </c>
      <c r="I357" t="n">
        <v>569.846189</v>
      </c>
      <c r="J357" t="n">
        <v>594.287325</v>
      </c>
      <c r="K357" t="n">
        <v>564.572959</v>
      </c>
      <c r="L357" t="n">
        <v>738.02552</v>
      </c>
      <c r="M357" t="n">
        <v>738.02552</v>
      </c>
      <c r="N357" t="n">
        <v>738.02552</v>
      </c>
      <c r="O357" t="n">
        <v>39.685535</v>
      </c>
      <c r="P357" t="n">
        <v>21.622034</v>
      </c>
      <c r="Q357" t="n">
        <v>738.02552</v>
      </c>
      <c r="R357" t="n">
        <v>738.02552</v>
      </c>
      <c r="S357" t="n">
        <v>39.685535</v>
      </c>
      <c r="T357" t="n">
        <v>39.685535</v>
      </c>
      <c r="U357" t="n">
        <v>21.622034</v>
      </c>
      <c r="V357" t="n">
        <v>21.622034</v>
      </c>
      <c r="W357" t="n">
        <v>41.109943</v>
      </c>
      <c r="X357" t="n">
        <v>772.895549</v>
      </c>
      <c r="Y357" t="n">
        <v>53.114101</v>
      </c>
      <c r="Z357" t="n">
        <v>112.240217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140.953883</v>
      </c>
      <c r="F358" t="n">
        <v>18.617087</v>
      </c>
      <c r="G358" t="n">
        <v>164.501951</v>
      </c>
      <c r="H358" t="n">
        <v>16631.862825</v>
      </c>
      <c r="I358" t="n">
        <v>603.989501</v>
      </c>
      <c r="J358" t="n">
        <v>603.989501</v>
      </c>
      <c r="K358" t="n">
        <v>240.387821</v>
      </c>
      <c r="L358" t="n">
        <v>1080.992157</v>
      </c>
      <c r="M358" t="n">
        <v>1080.992157</v>
      </c>
      <c r="N358" t="n">
        <v>1080.992157</v>
      </c>
      <c r="O358" t="n">
        <v>17.290347</v>
      </c>
      <c r="P358" t="n">
        <v>9.498851999999999</v>
      </c>
      <c r="Q358" t="n">
        <v>1080.992157</v>
      </c>
      <c r="R358" t="n">
        <v>1080.992157</v>
      </c>
      <c r="S358" t="n">
        <v>17.290347</v>
      </c>
      <c r="T358" t="n">
        <v>17.290347</v>
      </c>
      <c r="U358" t="n">
        <v>9.498851999999999</v>
      </c>
      <c r="V358" t="n">
        <v>9.498851999999999</v>
      </c>
      <c r="W358" t="n">
        <v>17.932707</v>
      </c>
      <c r="X358" t="n">
        <v>1135.08839</v>
      </c>
      <c r="Y358" t="n">
        <v>12.790679</v>
      </c>
      <c r="Z358" t="n">
        <v>41.60617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140.953883</v>
      </c>
      <c r="F359" t="n">
        <v>908.988005</v>
      </c>
      <c r="G359" t="n">
        <v>145576.696024</v>
      </c>
      <c r="H359" t="n">
        <v>48080410.421404</v>
      </c>
      <c r="I359" t="n">
        <v>125208.792952</v>
      </c>
      <c r="J359" t="n">
        <v>126616.154086</v>
      </c>
      <c r="K359" t="n">
        <v>63308.077043</v>
      </c>
      <c r="L359" t="n">
        <v>172174.15174</v>
      </c>
      <c r="M359" t="n">
        <v>172174.151739</v>
      </c>
      <c r="N359" t="n">
        <v>172174.151739</v>
      </c>
      <c r="O359" t="n">
        <v>202.141045</v>
      </c>
      <c r="P359" t="n">
        <v>87.49926499999999</v>
      </c>
      <c r="Q359" t="n">
        <v>172174.151739</v>
      </c>
      <c r="R359" t="n">
        <v>172174.151739</v>
      </c>
      <c r="S359" t="n">
        <v>202.141045</v>
      </c>
      <c r="T359" t="n">
        <v>202.141045</v>
      </c>
      <c r="U359" t="n">
        <v>87.49926499999999</v>
      </c>
      <c r="V359" t="n">
        <v>87.49926499999999</v>
      </c>
      <c r="W359" t="n">
        <v>214.928725</v>
      </c>
      <c r="X359" t="n">
        <v>183923.261916</v>
      </c>
      <c r="Y359" t="n">
        <v>379.113334</v>
      </c>
      <c r="Z359" t="n">
        <v>767.7179190000001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140.953883</v>
      </c>
      <c r="F360" t="n">
        <v>60.479203</v>
      </c>
      <c r="G360" t="n">
        <v>1285.725322</v>
      </c>
      <c r="H360" t="n">
        <v>3025.478454</v>
      </c>
      <c r="I360" t="n">
        <v>395.888053</v>
      </c>
      <c r="J360" t="n">
        <v>395.888053</v>
      </c>
      <c r="K360" t="n">
        <v>376.09365</v>
      </c>
      <c r="L360" t="n">
        <v>393.787233</v>
      </c>
      <c r="M360" t="n">
        <v>393.787233</v>
      </c>
      <c r="N360" t="n">
        <v>393.787233</v>
      </c>
      <c r="O360" t="n">
        <v>20.916473</v>
      </c>
      <c r="P360" t="n">
        <v>13.510088</v>
      </c>
      <c r="Q360" t="n">
        <v>393.787233</v>
      </c>
      <c r="R360" t="n">
        <v>393.787233</v>
      </c>
      <c r="S360" t="n">
        <v>20.916473</v>
      </c>
      <c r="T360" t="n">
        <v>20.916473</v>
      </c>
      <c r="U360" t="n">
        <v>13.510088</v>
      </c>
      <c r="V360" t="n">
        <v>13.510088</v>
      </c>
      <c r="W360" t="n">
        <v>21.939981</v>
      </c>
      <c r="X360" t="n">
        <v>405.784084</v>
      </c>
      <c r="Y360" t="n">
        <v>35.719215</v>
      </c>
      <c r="Z360" t="n">
        <v>45.472786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140.953883</v>
      </c>
      <c r="F362" t="n">
        <v>14.712171</v>
      </c>
      <c r="G362" t="n">
        <v>109.082967</v>
      </c>
      <c r="H362" t="n">
        <v>1554.089564</v>
      </c>
      <c r="I362" t="n">
        <v>87.52377799999999</v>
      </c>
      <c r="J362" t="n">
        <v>87.52377799999999</v>
      </c>
      <c r="K362" t="n">
        <v>33.521607</v>
      </c>
      <c r="L362" t="n">
        <v>92.59366</v>
      </c>
      <c r="M362" t="n">
        <v>92.59366</v>
      </c>
      <c r="N362" t="n">
        <v>92.59366</v>
      </c>
      <c r="O362" t="n">
        <v>4.448657</v>
      </c>
      <c r="P362" t="n">
        <v>3.058348</v>
      </c>
      <c r="Q362" t="n">
        <v>92.59366</v>
      </c>
      <c r="R362" t="n">
        <v>92.59366</v>
      </c>
      <c r="S362" t="n">
        <v>4.448657</v>
      </c>
      <c r="T362" t="n">
        <v>4.448657</v>
      </c>
      <c r="U362" t="n">
        <v>3.058348</v>
      </c>
      <c r="V362" t="n">
        <v>3.058348</v>
      </c>
      <c r="W362" t="n">
        <v>4.556294</v>
      </c>
      <c r="X362" t="n">
        <v>96.447226</v>
      </c>
      <c r="Y362" t="n">
        <v>10.417956</v>
      </c>
      <c r="Z362" t="n">
        <v>17.174689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140.953883</v>
      </c>
      <c r="F363" t="n">
        <v>200.641254</v>
      </c>
      <c r="G363" t="n">
        <v>11101.904562</v>
      </c>
      <c r="H363" t="n">
        <v>25660602.941085</v>
      </c>
      <c r="I363" t="n">
        <v>6244.222521</v>
      </c>
      <c r="J363" t="n">
        <v>6325.914048</v>
      </c>
      <c r="K363" t="n">
        <v>1872.204427</v>
      </c>
      <c r="L363" t="n">
        <v>7112.982475</v>
      </c>
      <c r="M363" t="n">
        <v>7112.982475</v>
      </c>
      <c r="N363" t="n">
        <v>7112.982475</v>
      </c>
      <c r="O363" t="n">
        <v>87.969483</v>
      </c>
      <c r="P363" t="n">
        <v>46.580547</v>
      </c>
      <c r="Q363" t="n">
        <v>7112.982475</v>
      </c>
      <c r="R363" t="n">
        <v>7112.982475</v>
      </c>
      <c r="S363" t="n">
        <v>87.969483</v>
      </c>
      <c r="T363" t="n">
        <v>87.969483</v>
      </c>
      <c r="U363" t="n">
        <v>46.580547</v>
      </c>
      <c r="V363" t="n">
        <v>46.580547</v>
      </c>
      <c r="W363" t="n">
        <v>93.060855</v>
      </c>
      <c r="X363" t="n">
        <v>7459.131892</v>
      </c>
      <c r="Y363" t="n">
        <v>100.902165</v>
      </c>
      <c r="Z363" t="n">
        <v>211.14634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140.953883</v>
      </c>
      <c r="F364" t="n">
        <v>200.641254</v>
      </c>
      <c r="G364" t="n">
        <v>11101.904562</v>
      </c>
      <c r="H364" t="n">
        <v>25660602.941085</v>
      </c>
      <c r="I364" t="n">
        <v>6244.222521</v>
      </c>
      <c r="J364" t="n">
        <v>6325.914048</v>
      </c>
      <c r="K364" t="n">
        <v>1872.204427</v>
      </c>
      <c r="L364" t="n">
        <v>7112.982475</v>
      </c>
      <c r="M364" t="n">
        <v>7112.982475</v>
      </c>
      <c r="N364" t="n">
        <v>7112.982475</v>
      </c>
      <c r="O364" t="n">
        <v>87.969483</v>
      </c>
      <c r="P364" t="n">
        <v>46.580547</v>
      </c>
      <c r="Q364" t="n">
        <v>7112.982475</v>
      </c>
      <c r="R364" t="n">
        <v>7112.982475</v>
      </c>
      <c r="S364" t="n">
        <v>87.969483</v>
      </c>
      <c r="T364" t="n">
        <v>87.969483</v>
      </c>
      <c r="U364" t="n">
        <v>46.580547</v>
      </c>
      <c r="V364" t="n">
        <v>46.580547</v>
      </c>
      <c r="W364" t="n">
        <v>93.060855</v>
      </c>
      <c r="X364" t="n">
        <v>7459.131892</v>
      </c>
      <c r="Y364" t="n">
        <v>100.902165</v>
      </c>
      <c r="Z364" t="n">
        <v>211.14634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140.953883</v>
      </c>
      <c r="F365" t="n">
        <v>908.988005</v>
      </c>
      <c r="G365" t="n">
        <v>145576.696024</v>
      </c>
      <c r="H365" t="n">
        <v>48080410.421404</v>
      </c>
      <c r="I365" t="n">
        <v>125208.792952</v>
      </c>
      <c r="J365" t="n">
        <v>126616.154086</v>
      </c>
      <c r="K365" t="n">
        <v>63308.077043</v>
      </c>
      <c r="L365" t="n">
        <v>172174.15174</v>
      </c>
      <c r="M365" t="n">
        <v>172174.151739</v>
      </c>
      <c r="N365" t="n">
        <v>172174.151739</v>
      </c>
      <c r="O365" t="n">
        <v>202.141045</v>
      </c>
      <c r="P365" t="n">
        <v>87.49926499999999</v>
      </c>
      <c r="Q365" t="n">
        <v>172174.151739</v>
      </c>
      <c r="R365" t="n">
        <v>172174.151739</v>
      </c>
      <c r="S365" t="n">
        <v>202.141045</v>
      </c>
      <c r="T365" t="n">
        <v>202.141045</v>
      </c>
      <c r="U365" t="n">
        <v>87.49926499999999</v>
      </c>
      <c r="V365" t="n">
        <v>87.49926499999999</v>
      </c>
      <c r="W365" t="n">
        <v>214.928725</v>
      </c>
      <c r="X365" t="n">
        <v>183923.261916</v>
      </c>
      <c r="Y365" t="n">
        <v>379.113334</v>
      </c>
      <c r="Z365" t="n">
        <v>767.7179190000001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140.953883</v>
      </c>
      <c r="F366" t="n">
        <v>14.712171</v>
      </c>
      <c r="G366" t="n">
        <v>109.082967</v>
      </c>
      <c r="H366" t="n">
        <v>1554.089564</v>
      </c>
      <c r="I366" t="n">
        <v>87.52377799999999</v>
      </c>
      <c r="J366" t="n">
        <v>87.52377799999999</v>
      </c>
      <c r="K366" t="n">
        <v>33.521607</v>
      </c>
      <c r="L366" t="n">
        <v>92.59366</v>
      </c>
      <c r="M366" t="n">
        <v>92.59366</v>
      </c>
      <c r="N366" t="n">
        <v>92.59366</v>
      </c>
      <c r="O366" t="n">
        <v>4.448657</v>
      </c>
      <c r="P366" t="n">
        <v>3.058348</v>
      </c>
      <c r="Q366" t="n">
        <v>92.59366</v>
      </c>
      <c r="R366" t="n">
        <v>92.59366</v>
      </c>
      <c r="S366" t="n">
        <v>4.448657</v>
      </c>
      <c r="T366" t="n">
        <v>4.448657</v>
      </c>
      <c r="U366" t="n">
        <v>3.058348</v>
      </c>
      <c r="V366" t="n">
        <v>3.058348</v>
      </c>
      <c r="W366" t="n">
        <v>4.556294</v>
      </c>
      <c r="X366" t="n">
        <v>96.447226</v>
      </c>
      <c r="Y366" t="n">
        <v>10.417956</v>
      </c>
      <c r="Z366" t="n">
        <v>17.174689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140.953883</v>
      </c>
      <c r="F367" t="n">
        <v>18.617087</v>
      </c>
      <c r="G367" t="n">
        <v>164.501951</v>
      </c>
      <c r="H367" t="n">
        <v>16631.862825</v>
      </c>
      <c r="I367" t="n">
        <v>603.989501</v>
      </c>
      <c r="J367" t="n">
        <v>603.989501</v>
      </c>
      <c r="K367" t="n">
        <v>240.387821</v>
      </c>
      <c r="L367" t="n">
        <v>1080.992157</v>
      </c>
      <c r="M367" t="n">
        <v>1080.992157</v>
      </c>
      <c r="N367" t="n">
        <v>1080.992157</v>
      </c>
      <c r="O367" t="n">
        <v>17.290347</v>
      </c>
      <c r="P367" t="n">
        <v>9.498851999999999</v>
      </c>
      <c r="Q367" t="n">
        <v>1080.992157</v>
      </c>
      <c r="R367" t="n">
        <v>1080.992157</v>
      </c>
      <c r="S367" t="n">
        <v>17.290347</v>
      </c>
      <c r="T367" t="n">
        <v>17.290347</v>
      </c>
      <c r="U367" t="n">
        <v>9.498851999999999</v>
      </c>
      <c r="V367" t="n">
        <v>9.498851999999999</v>
      </c>
      <c r="W367" t="n">
        <v>17.932707</v>
      </c>
      <c r="X367" t="n">
        <v>1135.08839</v>
      </c>
      <c r="Y367" t="n">
        <v>12.790679</v>
      </c>
      <c r="Z367" t="n">
        <v>41.60617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140.953883</v>
      </c>
      <c r="F368" t="n">
        <v>554.842266</v>
      </c>
      <c r="G368" t="n">
        <v>61511.195509</v>
      </c>
      <c r="H368" t="n">
        <v>20307429.163039</v>
      </c>
      <c r="I368" t="n">
        <v>3230.237663</v>
      </c>
      <c r="J368" t="n">
        <v>3367.037571</v>
      </c>
      <c r="K368" t="n">
        <v>3198.685692</v>
      </c>
      <c r="L368" t="n">
        <v>4133.4309</v>
      </c>
      <c r="M368" t="n">
        <v>4133.4309</v>
      </c>
      <c r="N368" t="n">
        <v>4133.4309</v>
      </c>
      <c r="O368" t="n">
        <v>205.658598</v>
      </c>
      <c r="P368" t="n">
        <v>91.38801100000001</v>
      </c>
      <c r="Q368" t="n">
        <v>4133.4309</v>
      </c>
      <c r="R368" t="n">
        <v>4133.4309</v>
      </c>
      <c r="S368" t="n">
        <v>205.658598</v>
      </c>
      <c r="T368" t="n">
        <v>205.658598</v>
      </c>
      <c r="U368" t="n">
        <v>91.38801100000001</v>
      </c>
      <c r="V368" t="n">
        <v>91.38801100000001</v>
      </c>
      <c r="W368" t="n">
        <v>216.473302</v>
      </c>
      <c r="X368" t="n">
        <v>4393.486979</v>
      </c>
      <c r="Y368" t="n">
        <v>246.547973</v>
      </c>
      <c r="Z368" t="n">
        <v>636.567642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140.953883</v>
      </c>
      <c r="F369" t="n">
        <v>200.641254</v>
      </c>
      <c r="G369" t="n">
        <v>11101.904562</v>
      </c>
      <c r="H369" t="n">
        <v>25660602.941085</v>
      </c>
      <c r="I369" t="n">
        <v>6244.222521</v>
      </c>
      <c r="J369" t="n">
        <v>6325.914048</v>
      </c>
      <c r="K369" t="n">
        <v>1872.204427</v>
      </c>
      <c r="L369" t="n">
        <v>7112.982475</v>
      </c>
      <c r="M369" t="n">
        <v>7112.982475</v>
      </c>
      <c r="N369" t="n">
        <v>7112.982475</v>
      </c>
      <c r="O369" t="n">
        <v>87.969483</v>
      </c>
      <c r="P369" t="n">
        <v>46.580547</v>
      </c>
      <c r="Q369" t="n">
        <v>7112.982475</v>
      </c>
      <c r="R369" t="n">
        <v>7112.982475</v>
      </c>
      <c r="S369" t="n">
        <v>87.969483</v>
      </c>
      <c r="T369" t="n">
        <v>87.969483</v>
      </c>
      <c r="U369" t="n">
        <v>46.580547</v>
      </c>
      <c r="V369" t="n">
        <v>46.580547</v>
      </c>
      <c r="W369" t="n">
        <v>93.060855</v>
      </c>
      <c r="X369" t="n">
        <v>7459.131892</v>
      </c>
      <c r="Y369" t="n">
        <v>100.902165</v>
      </c>
      <c r="Z369" t="n">
        <v>211.14634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140.953883</v>
      </c>
      <c r="F370" t="n">
        <v>200.641254</v>
      </c>
      <c r="G370" t="n">
        <v>11101.904562</v>
      </c>
      <c r="H370" t="n">
        <v>25660602.941085</v>
      </c>
      <c r="I370" t="n">
        <v>6244.222521</v>
      </c>
      <c r="J370" t="n">
        <v>6325.914048</v>
      </c>
      <c r="K370" t="n">
        <v>1872.204427</v>
      </c>
      <c r="L370" t="n">
        <v>7112.982475</v>
      </c>
      <c r="M370" t="n">
        <v>7112.982475</v>
      </c>
      <c r="N370" t="n">
        <v>7112.982475</v>
      </c>
      <c r="O370" t="n">
        <v>87.969483</v>
      </c>
      <c r="P370" t="n">
        <v>46.580547</v>
      </c>
      <c r="Q370" t="n">
        <v>7112.982475</v>
      </c>
      <c r="R370" t="n">
        <v>7112.982475</v>
      </c>
      <c r="S370" t="n">
        <v>87.969483</v>
      </c>
      <c r="T370" t="n">
        <v>87.969483</v>
      </c>
      <c r="U370" t="n">
        <v>46.580547</v>
      </c>
      <c r="V370" t="n">
        <v>46.580547</v>
      </c>
      <c r="W370" t="n">
        <v>93.060855</v>
      </c>
      <c r="X370" t="n">
        <v>7459.131892</v>
      </c>
      <c r="Y370" t="n">
        <v>100.902165</v>
      </c>
      <c r="Z370" t="n">
        <v>211.14634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140.953883</v>
      </c>
      <c r="F371" t="n">
        <v>18.617087</v>
      </c>
      <c r="G371" t="n">
        <v>164.501951</v>
      </c>
      <c r="H371" t="n">
        <v>16631.862825</v>
      </c>
      <c r="I371" t="n">
        <v>603.989501</v>
      </c>
      <c r="J371" t="n">
        <v>603.989501</v>
      </c>
      <c r="K371" t="n">
        <v>240.387821</v>
      </c>
      <c r="L371" t="n">
        <v>1080.992157</v>
      </c>
      <c r="M371" t="n">
        <v>1080.992157</v>
      </c>
      <c r="N371" t="n">
        <v>1080.992157</v>
      </c>
      <c r="O371" t="n">
        <v>17.290347</v>
      </c>
      <c r="P371" t="n">
        <v>9.498851999999999</v>
      </c>
      <c r="Q371" t="n">
        <v>1080.992157</v>
      </c>
      <c r="R371" t="n">
        <v>1080.992157</v>
      </c>
      <c r="S371" t="n">
        <v>17.290347</v>
      </c>
      <c r="T371" t="n">
        <v>17.290347</v>
      </c>
      <c r="U371" t="n">
        <v>9.498851999999999</v>
      </c>
      <c r="V371" t="n">
        <v>9.498851999999999</v>
      </c>
      <c r="W371" t="n">
        <v>17.932707</v>
      </c>
      <c r="X371" t="n">
        <v>1135.08839</v>
      </c>
      <c r="Y371" t="n">
        <v>12.790679</v>
      </c>
      <c r="Z371" t="n">
        <v>41.60617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140.953883</v>
      </c>
      <c r="F373" t="n">
        <v>908.988005</v>
      </c>
      <c r="G373" t="n">
        <v>145576.696024</v>
      </c>
      <c r="H373" t="n">
        <v>48080410.421404</v>
      </c>
      <c r="I373" t="n">
        <v>125208.792952</v>
      </c>
      <c r="J373" t="n">
        <v>126616.154086</v>
      </c>
      <c r="K373" t="n">
        <v>63308.077043</v>
      </c>
      <c r="L373" t="n">
        <v>172174.15174</v>
      </c>
      <c r="M373" t="n">
        <v>172174.151739</v>
      </c>
      <c r="N373" t="n">
        <v>172174.151739</v>
      </c>
      <c r="O373" t="n">
        <v>202.141045</v>
      </c>
      <c r="P373" t="n">
        <v>87.49926499999999</v>
      </c>
      <c r="Q373" t="n">
        <v>172174.151739</v>
      </c>
      <c r="R373" t="n">
        <v>172174.151739</v>
      </c>
      <c r="S373" t="n">
        <v>202.141045</v>
      </c>
      <c r="T373" t="n">
        <v>202.141045</v>
      </c>
      <c r="U373" t="n">
        <v>87.49926499999999</v>
      </c>
      <c r="V373" t="n">
        <v>87.49926499999999</v>
      </c>
      <c r="W373" t="n">
        <v>214.928725</v>
      </c>
      <c r="X373" t="n">
        <v>183923.261916</v>
      </c>
      <c r="Y373" t="n">
        <v>379.113334</v>
      </c>
      <c r="Z373" t="n">
        <v>767.7179190000001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140.953883</v>
      </c>
      <c r="F374" t="n">
        <v>14.712171</v>
      </c>
      <c r="G374" t="n">
        <v>109.082967</v>
      </c>
      <c r="H374" t="n">
        <v>1554.089564</v>
      </c>
      <c r="I374" t="n">
        <v>87.52377799999999</v>
      </c>
      <c r="J374" t="n">
        <v>87.52377799999999</v>
      </c>
      <c r="K374" t="n">
        <v>33.521607</v>
      </c>
      <c r="L374" t="n">
        <v>92.59366</v>
      </c>
      <c r="M374" t="n">
        <v>92.59366</v>
      </c>
      <c r="N374" t="n">
        <v>92.59366</v>
      </c>
      <c r="O374" t="n">
        <v>4.448657</v>
      </c>
      <c r="P374" t="n">
        <v>3.058348</v>
      </c>
      <c r="Q374" t="n">
        <v>92.59366</v>
      </c>
      <c r="R374" t="n">
        <v>92.59366</v>
      </c>
      <c r="S374" t="n">
        <v>4.448657</v>
      </c>
      <c r="T374" t="n">
        <v>4.448657</v>
      </c>
      <c r="U374" t="n">
        <v>3.058348</v>
      </c>
      <c r="V374" t="n">
        <v>3.058348</v>
      </c>
      <c r="W374" t="n">
        <v>4.556294</v>
      </c>
      <c r="X374" t="n">
        <v>96.447226</v>
      </c>
      <c r="Y374" t="n">
        <v>10.417956</v>
      </c>
      <c r="Z374" t="n">
        <v>17.174689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140.953883</v>
      </c>
      <c r="F375" t="n">
        <v>18.617087</v>
      </c>
      <c r="G375" t="n">
        <v>164.501951</v>
      </c>
      <c r="H375" t="n">
        <v>16631.862825</v>
      </c>
      <c r="I375" t="n">
        <v>603.989501</v>
      </c>
      <c r="J375" t="n">
        <v>603.989501</v>
      </c>
      <c r="K375" t="n">
        <v>240.387821</v>
      </c>
      <c r="L375" t="n">
        <v>1080.992157</v>
      </c>
      <c r="M375" t="n">
        <v>1080.992157</v>
      </c>
      <c r="N375" t="n">
        <v>1080.992157</v>
      </c>
      <c r="O375" t="n">
        <v>17.290347</v>
      </c>
      <c r="P375" t="n">
        <v>9.498851999999999</v>
      </c>
      <c r="Q375" t="n">
        <v>1080.992157</v>
      </c>
      <c r="R375" t="n">
        <v>1080.992157</v>
      </c>
      <c r="S375" t="n">
        <v>17.290347</v>
      </c>
      <c r="T375" t="n">
        <v>17.290347</v>
      </c>
      <c r="U375" t="n">
        <v>9.498851999999999</v>
      </c>
      <c r="V375" t="n">
        <v>9.498851999999999</v>
      </c>
      <c r="W375" t="n">
        <v>17.932707</v>
      </c>
      <c r="X375" t="n">
        <v>1135.08839</v>
      </c>
      <c r="Y375" t="n">
        <v>12.790679</v>
      </c>
      <c r="Z375" t="n">
        <v>41.60617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140.953883</v>
      </c>
      <c r="F376" t="n">
        <v>14.712171</v>
      </c>
      <c r="G376" t="n">
        <v>109.082967</v>
      </c>
      <c r="H376" t="n">
        <v>1554.089564</v>
      </c>
      <c r="I376" t="n">
        <v>87.52377799999999</v>
      </c>
      <c r="J376" t="n">
        <v>87.52377799999999</v>
      </c>
      <c r="K376" t="n">
        <v>33.521607</v>
      </c>
      <c r="L376" t="n">
        <v>92.59366</v>
      </c>
      <c r="M376" t="n">
        <v>92.59366</v>
      </c>
      <c r="N376" t="n">
        <v>92.59366</v>
      </c>
      <c r="O376" t="n">
        <v>4.448657</v>
      </c>
      <c r="P376" t="n">
        <v>3.058348</v>
      </c>
      <c r="Q376" t="n">
        <v>92.59366</v>
      </c>
      <c r="R376" t="n">
        <v>92.59366</v>
      </c>
      <c r="S376" t="n">
        <v>4.448657</v>
      </c>
      <c r="T376" t="n">
        <v>4.448657</v>
      </c>
      <c r="U376" t="n">
        <v>3.058348</v>
      </c>
      <c r="V376" t="n">
        <v>3.058348</v>
      </c>
      <c r="W376" t="n">
        <v>4.556294</v>
      </c>
      <c r="X376" t="n">
        <v>96.447226</v>
      </c>
      <c r="Y376" t="n">
        <v>10.417956</v>
      </c>
      <c r="Z376" t="n">
        <v>17.174689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140.953883</v>
      </c>
      <c r="F377" t="n">
        <v>308.68601</v>
      </c>
      <c r="G377" t="n">
        <v>22108.042525</v>
      </c>
      <c r="H377" t="n">
        <v>195781560.03917</v>
      </c>
      <c r="I377" t="n">
        <v>10706.101486</v>
      </c>
      <c r="J377" t="n">
        <v>10781.622707</v>
      </c>
      <c r="K377" t="n">
        <v>3924.510665</v>
      </c>
      <c r="L377" t="n">
        <v>18846.946222</v>
      </c>
      <c r="M377" t="n">
        <v>18846.946222</v>
      </c>
      <c r="N377" t="n">
        <v>18846.946222</v>
      </c>
      <c r="O377" t="n">
        <v>119.185901</v>
      </c>
      <c r="P377" t="n">
        <v>52.155741</v>
      </c>
      <c r="Q377" t="n">
        <v>18846.946222</v>
      </c>
      <c r="R377" t="n">
        <v>18846.946222</v>
      </c>
      <c r="S377" t="n">
        <v>119.185901</v>
      </c>
      <c r="T377" t="n">
        <v>119.185901</v>
      </c>
      <c r="U377" t="n">
        <v>52.155741</v>
      </c>
      <c r="V377" t="n">
        <v>52.155741</v>
      </c>
      <c r="W377" t="n">
        <v>124.506314</v>
      </c>
      <c r="X377" t="n">
        <v>20404.471037</v>
      </c>
      <c r="Y377" t="n">
        <v>147.889899</v>
      </c>
      <c r="Z377" t="n">
        <v>588.19732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140.953883</v>
      </c>
      <c r="F378" t="n">
        <v>908.988005</v>
      </c>
      <c r="G378" t="n">
        <v>145576.696024</v>
      </c>
      <c r="H378" t="n">
        <v>48080410.421404</v>
      </c>
      <c r="I378" t="n">
        <v>125208.792952</v>
      </c>
      <c r="J378" t="n">
        <v>126616.154086</v>
      </c>
      <c r="K378" t="n">
        <v>63308.077043</v>
      </c>
      <c r="L378" t="n">
        <v>172174.15174</v>
      </c>
      <c r="M378" t="n">
        <v>172174.151739</v>
      </c>
      <c r="N378" t="n">
        <v>172174.151739</v>
      </c>
      <c r="O378" t="n">
        <v>202.141045</v>
      </c>
      <c r="P378" t="n">
        <v>87.49926499999999</v>
      </c>
      <c r="Q378" t="n">
        <v>172174.151739</v>
      </c>
      <c r="R378" t="n">
        <v>172174.151739</v>
      </c>
      <c r="S378" t="n">
        <v>202.141045</v>
      </c>
      <c r="T378" t="n">
        <v>202.141045</v>
      </c>
      <c r="U378" t="n">
        <v>87.49926499999999</v>
      </c>
      <c r="V378" t="n">
        <v>87.49926499999999</v>
      </c>
      <c r="W378" t="n">
        <v>214.928725</v>
      </c>
      <c r="X378" t="n">
        <v>183923.261916</v>
      </c>
      <c r="Y378" t="n">
        <v>379.113334</v>
      </c>
      <c r="Z378" t="n">
        <v>767.7179190000001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94376241.675</v>
      </c>
      <c r="D9" t="n">
        <v>113698027.711</v>
      </c>
      <c r="E9" t="n">
        <v>130798611.575</v>
      </c>
      <c r="F9" t="n">
        <v>133005587.131</v>
      </c>
      <c r="G9" t="n">
        <v>173662195.325</v>
      </c>
      <c r="H9" t="n">
        <v>191914765.392</v>
      </c>
      <c r="I9" t="n">
        <v>213107394.541</v>
      </c>
      <c r="J9" t="n">
        <v>209660913.529</v>
      </c>
      <c r="K9" t="n">
        <v>226828642.889</v>
      </c>
      <c r="L9" t="n">
        <v>238260573.663</v>
      </c>
      <c r="M9" t="n">
        <v>266483568.233</v>
      </c>
      <c r="N9" t="n">
        <v>257535448.837</v>
      </c>
      <c r="O9" t="n">
        <v>288999847.655</v>
      </c>
      <c r="P9" t="n">
        <v>305438284.444</v>
      </c>
      <c r="Q9" t="n">
        <v>317626531.045</v>
      </c>
      <c r="R9" t="n">
        <v>335050177.967</v>
      </c>
      <c r="S9" t="n">
        <v>352122762.046</v>
      </c>
      <c r="T9" t="n">
        <v>343955256.671</v>
      </c>
      <c r="U9" t="n">
        <v>359158180.945</v>
      </c>
      <c r="V9" t="n">
        <v>371145968.29</v>
      </c>
      <c r="W9" t="n">
        <v>382739948.388</v>
      </c>
      <c r="X9" t="n">
        <v>378810064.624</v>
      </c>
      <c r="Y9" t="n">
        <v>395454138.891</v>
      </c>
      <c r="Z9" t="n">
        <v>433374634.881</v>
      </c>
      <c r="AA9" t="n">
        <v>441848646.447</v>
      </c>
      <c r="AB9" t="n">
        <v>451725592.873</v>
      </c>
      <c r="AC9" t="n">
        <v>455869226.293</v>
      </c>
      <c r="AD9" t="n">
        <v>482342402.586</v>
      </c>
      <c r="AE9" t="n">
        <v>478833595.29</v>
      </c>
      <c r="AF9" t="n">
        <v>486236225.977</v>
      </c>
      <c r="AG9" t="n">
        <v>484810731.026</v>
      </c>
      <c r="AH9" t="n">
        <v>503441228.759</v>
      </c>
      <c r="AI9" t="n">
        <v>541537053.0549999</v>
      </c>
      <c r="AJ9" t="n">
        <v>575594808.663</v>
      </c>
      <c r="AK9" t="n">
        <v>603539314.021</v>
      </c>
      <c r="AL9" t="n">
        <v>647313465.776</v>
      </c>
      <c r="AM9" t="n">
        <v>664227258.117</v>
      </c>
      <c r="AN9" t="n">
        <v>722817649.72</v>
      </c>
      <c r="AO9" t="n">
        <v>746607210.673</v>
      </c>
      <c r="AP9" t="n">
        <v>758578205.1950001</v>
      </c>
      <c r="AQ9" t="n">
        <v>810499072.331</v>
      </c>
      <c r="AR9" t="n">
        <v>836760432.573</v>
      </c>
      <c r="AS9" t="n">
        <v>913106110.353</v>
      </c>
      <c r="AT9" t="n">
        <v>923930664.08</v>
      </c>
      <c r="AU9" t="n">
        <v>1069950309.824</v>
      </c>
      <c r="AV9" t="n">
        <v>1159085273.262</v>
      </c>
      <c r="AW9" t="n">
        <v>1260484795.734</v>
      </c>
      <c r="AX9" t="n">
        <v>1322343325.744</v>
      </c>
      <c r="AY9" t="n">
        <v>1327173710.726</v>
      </c>
      <c r="AZ9" t="n">
        <v>1266747193.374</v>
      </c>
      <c r="BA9" t="n">
        <v>1260802386.821</v>
      </c>
      <c r="BB9" t="n">
        <v>1318704520.347</v>
      </c>
      <c r="BC9" t="n">
        <v>1326615010.834</v>
      </c>
      <c r="BD9" t="n">
        <v>1367201295.444</v>
      </c>
      <c r="BE9" t="n">
        <v>1317949614.904</v>
      </c>
      <c r="BF9" t="n">
        <v>1308197530.785</v>
      </c>
      <c r="BG9" t="n">
        <v>1295092112.63</v>
      </c>
      <c r="BH9" t="n">
        <v>1294060858.502</v>
      </c>
      <c r="BI9" t="n">
        <v>1279355764.032</v>
      </c>
      <c r="BJ9" t="n">
        <v>1386374429.824</v>
      </c>
      <c r="BK9" t="n">
        <v>1401930472.047</v>
      </c>
      <c r="BL9" t="n">
        <v>1342082656.366</v>
      </c>
      <c r="BM9" t="n">
        <v>1448761155.474</v>
      </c>
      <c r="BN9" t="n">
        <v>1532921247.883</v>
      </c>
      <c r="BO9" t="n">
        <v>1499689433.541</v>
      </c>
      <c r="BP9" t="n">
        <v>1550768897.193</v>
      </c>
      <c r="BQ9" t="n">
        <v>1551471087.152</v>
      </c>
      <c r="BR9" t="n">
        <v>1514239030.506</v>
      </c>
      <c r="BS9" t="n">
        <v>1511262649.017</v>
      </c>
      <c r="BT9" t="n">
        <v>1559531470.817</v>
      </c>
    </row>
    <row r="10">
      <c r="A10" t="inlineStr">
        <is>
          <t>SPPR_1995_TE0.1</t>
        </is>
      </c>
      <c r="B10" t="inlineStr">
        <is>
          <t>ok</t>
        </is>
      </c>
      <c r="C10" t="n">
        <v>152464274.568</v>
      </c>
      <c r="D10" t="n">
        <v>193153466.71</v>
      </c>
      <c r="E10" t="n">
        <v>232937049.119</v>
      </c>
      <c r="F10" t="n">
        <v>236968570.216</v>
      </c>
      <c r="G10" t="n">
        <v>294275509.239</v>
      </c>
      <c r="H10" t="n">
        <v>344163509.159</v>
      </c>
      <c r="I10" t="n">
        <v>382481765.047</v>
      </c>
      <c r="J10" t="n">
        <v>379663008.273</v>
      </c>
      <c r="K10" t="n">
        <v>391702636.189</v>
      </c>
      <c r="L10" t="n">
        <v>420077786.41</v>
      </c>
      <c r="M10" t="n">
        <v>472671262.349</v>
      </c>
      <c r="N10" t="n">
        <v>451506913.89</v>
      </c>
      <c r="O10" t="n">
        <v>503661565.635</v>
      </c>
      <c r="P10" t="n">
        <v>531892928.009</v>
      </c>
      <c r="Q10" t="n">
        <v>539361981.817</v>
      </c>
      <c r="R10" t="n">
        <v>584890797.221</v>
      </c>
      <c r="S10" t="n">
        <v>614036920.089</v>
      </c>
      <c r="T10" t="n">
        <v>603363160.826</v>
      </c>
      <c r="U10" t="n">
        <v>627162694.929</v>
      </c>
      <c r="V10" t="n">
        <v>640742043.092</v>
      </c>
      <c r="W10" t="n">
        <v>632836316.568</v>
      </c>
      <c r="X10" t="n">
        <v>648733749.811</v>
      </c>
      <c r="Y10" t="n">
        <v>695888151.608</v>
      </c>
      <c r="Z10" t="n">
        <v>748044879.113</v>
      </c>
      <c r="AA10" t="n">
        <v>751676823.397</v>
      </c>
      <c r="AB10" t="n">
        <v>737502516.661</v>
      </c>
      <c r="AC10" t="n">
        <v>734897749.874</v>
      </c>
      <c r="AD10" t="n">
        <v>746860440.049</v>
      </c>
      <c r="AE10" t="n">
        <v>744602531.658</v>
      </c>
      <c r="AF10" t="n">
        <v>775216269.239</v>
      </c>
      <c r="AG10" t="n">
        <v>766250978.5319999</v>
      </c>
      <c r="AH10" t="n">
        <v>806361586.573</v>
      </c>
      <c r="AI10" t="n">
        <v>865845820.387</v>
      </c>
      <c r="AJ10" t="n">
        <v>879609825.83</v>
      </c>
      <c r="AK10" t="n">
        <v>918491655.123</v>
      </c>
      <c r="AL10" t="n">
        <v>949641073.095</v>
      </c>
      <c r="AM10" t="n">
        <v>964606336.98</v>
      </c>
      <c r="AN10" t="n">
        <v>1020065596.381</v>
      </c>
      <c r="AO10" t="n">
        <v>1019742451.7</v>
      </c>
      <c r="AP10" t="n">
        <v>1073873080.409</v>
      </c>
      <c r="AQ10" t="n">
        <v>1145608935.674</v>
      </c>
      <c r="AR10" t="n">
        <v>1212766707.595</v>
      </c>
      <c r="AS10" t="n">
        <v>1289276899.203</v>
      </c>
      <c r="AT10" t="n">
        <v>1256522116.458</v>
      </c>
      <c r="AU10" t="n">
        <v>1473573418.261</v>
      </c>
      <c r="AV10" t="n">
        <v>1596916285.306</v>
      </c>
      <c r="AW10" t="n">
        <v>1733889987.03</v>
      </c>
      <c r="AX10" t="n">
        <v>1718107528.733</v>
      </c>
      <c r="AY10" t="n">
        <v>1734019275.998</v>
      </c>
      <c r="AZ10" t="n">
        <v>1711826368.439</v>
      </c>
      <c r="BA10" t="n">
        <v>1695370284.528</v>
      </c>
      <c r="BB10" t="n">
        <v>1785621019.13</v>
      </c>
      <c r="BC10" t="n">
        <v>1812675258.683</v>
      </c>
      <c r="BD10" t="n">
        <v>1939804723.326</v>
      </c>
      <c r="BE10" t="n">
        <v>1876774019.529</v>
      </c>
      <c r="BF10" t="n">
        <v>1846380901.097</v>
      </c>
      <c r="BG10" t="n">
        <v>1859481631.375</v>
      </c>
      <c r="BH10" t="n">
        <v>1850001863.338</v>
      </c>
      <c r="BI10" t="n">
        <v>1855488043.691</v>
      </c>
      <c r="BJ10" t="n">
        <v>2004420709.263</v>
      </c>
      <c r="BK10" t="n">
        <v>2013114077.898</v>
      </c>
      <c r="BL10" t="n">
        <v>1899290146.139</v>
      </c>
      <c r="BM10" t="n">
        <v>2030656393.595</v>
      </c>
      <c r="BN10" t="n">
        <v>2161461981.858</v>
      </c>
      <c r="BO10" t="n">
        <v>2108374512.851</v>
      </c>
      <c r="BP10" t="n">
        <v>2186928892.726</v>
      </c>
      <c r="BQ10" t="n">
        <v>2204049819.017</v>
      </c>
      <c r="BR10" t="n">
        <v>2179292585.051</v>
      </c>
      <c r="BS10" t="n">
        <v>2195345683.525</v>
      </c>
      <c r="BT10" t="n">
        <v>2260661509.193</v>
      </c>
    </row>
    <row r="11">
      <c r="A11" s="18" t="inlineStr">
        <is>
          <t>SPPR_1995_TEmean</t>
        </is>
      </c>
      <c r="B11" s="9" t="inlineStr">
        <is>
          <t>IMPLAUSIBLE - up to 28x the trophic-chain estimate; the solve is near-singular for this model</t>
        </is>
      </c>
      <c r="C11" t="n">
        <v>13962864501.09</v>
      </c>
      <c r="D11" t="n">
        <v>18446683657.944</v>
      </c>
      <c r="E11" t="n">
        <v>22856794629.078</v>
      </c>
      <c r="F11" t="n">
        <v>23215576675.055</v>
      </c>
      <c r="G11" t="n">
        <v>28452178702.167</v>
      </c>
      <c r="H11" t="n">
        <v>33991685516.797</v>
      </c>
      <c r="I11" t="n">
        <v>38265141117.967</v>
      </c>
      <c r="J11" t="n">
        <v>37744950658.903</v>
      </c>
      <c r="K11" t="n">
        <v>37879444930.703</v>
      </c>
      <c r="L11" t="n">
        <v>41051955153.644</v>
      </c>
      <c r="M11" t="n">
        <v>45564953271.791</v>
      </c>
      <c r="N11" t="n">
        <v>43782085910.716</v>
      </c>
      <c r="O11" t="n">
        <v>48450355745.83</v>
      </c>
      <c r="P11" t="n">
        <v>51031047724.021</v>
      </c>
      <c r="Q11" t="n">
        <v>50910773665.342</v>
      </c>
      <c r="R11" t="n">
        <v>55750852314.763</v>
      </c>
      <c r="S11" t="n">
        <v>57763855404.92</v>
      </c>
      <c r="T11" t="n">
        <v>57190224905.376</v>
      </c>
      <c r="U11" t="n">
        <v>59545901197.825</v>
      </c>
      <c r="V11" t="n">
        <v>60205150491.764</v>
      </c>
      <c r="W11" t="n">
        <v>57544366797.697</v>
      </c>
      <c r="X11" t="n">
        <v>60829570459.52</v>
      </c>
      <c r="Y11" t="n">
        <v>66034779652.655</v>
      </c>
      <c r="Z11" t="n">
        <v>70773377253.155</v>
      </c>
      <c r="AA11" t="n">
        <v>70838011473.993</v>
      </c>
      <c r="AB11" t="n">
        <v>68335274841.701</v>
      </c>
      <c r="AC11" t="n">
        <v>67192611310.531</v>
      </c>
      <c r="AD11" t="n">
        <v>65597346604.204</v>
      </c>
      <c r="AE11" t="n">
        <v>64805861878.113</v>
      </c>
      <c r="AF11" t="n">
        <v>68546973912.644</v>
      </c>
      <c r="AG11" t="n">
        <v>66736833964.64</v>
      </c>
      <c r="AH11" t="n">
        <v>71198545643.17101</v>
      </c>
      <c r="AI11" t="n">
        <v>76462303139.395</v>
      </c>
      <c r="AJ11" t="n">
        <v>76633023434.66499</v>
      </c>
      <c r="AK11" t="n">
        <v>78966470456.28</v>
      </c>
      <c r="AL11" t="n">
        <v>80093203543.653</v>
      </c>
      <c r="AM11" t="n">
        <v>80820919013.396</v>
      </c>
      <c r="AN11" t="n">
        <v>82792362461.01601</v>
      </c>
      <c r="AO11" t="n">
        <v>82448187031.61301</v>
      </c>
      <c r="AP11" t="n">
        <v>86651426664.905</v>
      </c>
      <c r="AQ11" t="n">
        <v>92843854714.672</v>
      </c>
      <c r="AR11" t="n">
        <v>100228415119.262</v>
      </c>
      <c r="AS11" t="n">
        <v>106260190369.29</v>
      </c>
      <c r="AT11" t="n">
        <v>103456790777.331</v>
      </c>
      <c r="AU11" t="n">
        <v>123941957388.145</v>
      </c>
      <c r="AV11" t="n">
        <v>134834599613.919</v>
      </c>
      <c r="AW11" t="n">
        <v>144605115384.7</v>
      </c>
      <c r="AX11" t="n">
        <v>139742898074.631</v>
      </c>
      <c r="AY11" t="n">
        <v>142248600923.821</v>
      </c>
      <c r="AZ11" t="n">
        <v>142232288863.255</v>
      </c>
      <c r="BA11" t="n">
        <v>140728102861.095</v>
      </c>
      <c r="BB11" t="n">
        <v>149324891669.497</v>
      </c>
      <c r="BC11" t="n">
        <v>151170881643.75</v>
      </c>
      <c r="BD11" t="n">
        <v>162747704949.194</v>
      </c>
      <c r="BE11" t="n">
        <v>157619000780.176</v>
      </c>
      <c r="BF11" t="n">
        <v>153420907160.178</v>
      </c>
      <c r="BG11" t="n">
        <v>157099630464.976</v>
      </c>
      <c r="BH11" t="n">
        <v>154880197919.429</v>
      </c>
      <c r="BI11" t="n">
        <v>155574612983.253</v>
      </c>
      <c r="BJ11" t="n">
        <v>167515675524.574</v>
      </c>
      <c r="BK11" t="n">
        <v>167771578388.818</v>
      </c>
      <c r="BL11" t="n">
        <v>155084063577.971</v>
      </c>
      <c r="BM11" t="n">
        <v>163725986026.469</v>
      </c>
      <c r="BN11" t="n">
        <v>174999496827.778</v>
      </c>
      <c r="BO11" t="n">
        <v>171400532248.711</v>
      </c>
      <c r="BP11" t="n">
        <v>178191784916.528</v>
      </c>
      <c r="BQ11" t="n">
        <v>179170309795.758</v>
      </c>
      <c r="BR11" t="n">
        <v>178675331667.943</v>
      </c>
      <c r="BS11" t="n">
        <v>181427199858.729</v>
      </c>
      <c r="BT11" t="n">
        <v>185309050214.019</v>
      </c>
    </row>
    <row r="12">
      <c r="A12" s="18" t="inlineStr">
        <is>
          <t>Ulanowicz_globalTEmean</t>
        </is>
      </c>
      <c r="B12" s="9" t="inlineStr">
        <is>
          <t>IMPLAUSIBLE - up to 70,829x the trophic-chain estimate; the solve is near-singular for this model</t>
        </is>
      </c>
      <c r="C12" t="n">
        <v>37482761231499.93</v>
      </c>
      <c r="D12" t="n">
        <v>47332424080291.76</v>
      </c>
      <c r="E12" t="n">
        <v>56419577180745.46</v>
      </c>
      <c r="F12" t="n">
        <v>57509946620438.51</v>
      </c>
      <c r="G12" t="n">
        <v>68400631409293.42</v>
      </c>
      <c r="H12" t="n">
        <v>74901387224005.89</v>
      </c>
      <c r="I12" t="n">
        <v>83861045985577.92</v>
      </c>
      <c r="J12" t="n">
        <v>82607750864681.38</v>
      </c>
      <c r="K12" t="n">
        <v>86344766112120.97</v>
      </c>
      <c r="L12" t="n">
        <v>89131141613304.11</v>
      </c>
      <c r="M12" t="n">
        <v>99883902646849.53</v>
      </c>
      <c r="N12" t="n">
        <v>92123831164317.66</v>
      </c>
      <c r="O12" t="n">
        <v>103851761539457.3</v>
      </c>
      <c r="P12" t="n">
        <v>104913695370074.1</v>
      </c>
      <c r="Q12" t="n">
        <v>109762020547622.2</v>
      </c>
      <c r="R12" t="n">
        <v>119902568798205.6</v>
      </c>
      <c r="S12" t="n">
        <v>127920042448672.7</v>
      </c>
      <c r="T12" t="n">
        <v>123603688104943</v>
      </c>
      <c r="U12" t="n">
        <v>128288136318409.8</v>
      </c>
      <c r="V12" t="n">
        <v>134330993563091.9</v>
      </c>
      <c r="W12" t="n">
        <v>134071825294046.6</v>
      </c>
      <c r="X12" t="n">
        <v>135710678630780</v>
      </c>
      <c r="Y12" t="n">
        <v>143083300127518.6</v>
      </c>
      <c r="Z12" t="n">
        <v>163740907670081.6</v>
      </c>
      <c r="AA12" t="n">
        <v>162040334239545.1</v>
      </c>
      <c r="AB12" t="n">
        <v>158603239881080.8</v>
      </c>
      <c r="AC12" t="n">
        <v>155600618543264.8</v>
      </c>
      <c r="AD12" t="n">
        <v>164595881103073.1</v>
      </c>
      <c r="AE12" t="n">
        <v>167061660779138.5</v>
      </c>
      <c r="AF12" t="n">
        <v>165358934511118.8</v>
      </c>
      <c r="AG12" t="n">
        <v>162955607224211.2</v>
      </c>
      <c r="AH12" t="n">
        <v>176160430732443.6</v>
      </c>
      <c r="AI12" t="n">
        <v>186428959224347.3</v>
      </c>
      <c r="AJ12" t="n">
        <v>180129261756661.4</v>
      </c>
      <c r="AK12" t="n">
        <v>198493427386203.8</v>
      </c>
      <c r="AL12" t="n">
        <v>204550230863663.7</v>
      </c>
      <c r="AM12" t="n">
        <v>201860104166932.4</v>
      </c>
      <c r="AN12" t="n">
        <v>212819232767051.6</v>
      </c>
      <c r="AO12" t="n">
        <v>204076613071810.8</v>
      </c>
      <c r="AP12" t="n">
        <v>215011677663733</v>
      </c>
      <c r="AQ12" t="n">
        <v>226958269182216</v>
      </c>
      <c r="AR12" t="n">
        <v>233205072499948.9</v>
      </c>
      <c r="AS12" t="n">
        <v>239890098607663.9</v>
      </c>
      <c r="AT12" t="n">
        <v>232098065405071.8</v>
      </c>
      <c r="AU12" t="n">
        <v>278007570601332.8</v>
      </c>
      <c r="AV12" t="n">
        <v>292890524254038.2</v>
      </c>
      <c r="AW12" t="n">
        <v>313476229111746.4</v>
      </c>
      <c r="AX12" t="n">
        <v>309751545860368.4</v>
      </c>
      <c r="AY12" t="n">
        <v>314929444883428.6</v>
      </c>
      <c r="AZ12" t="n">
        <v>311603758039519.9</v>
      </c>
      <c r="BA12" t="n">
        <v>310084200875089.5</v>
      </c>
      <c r="BB12" t="n">
        <v>324828988759263.8</v>
      </c>
      <c r="BC12" t="n">
        <v>329071112864747.9</v>
      </c>
      <c r="BD12" t="n">
        <v>355032401687514.5</v>
      </c>
      <c r="BE12" t="n">
        <v>346346325649810.8</v>
      </c>
      <c r="BF12" t="n">
        <v>330405456871740.4</v>
      </c>
      <c r="BG12" t="n">
        <v>338532574212984.9</v>
      </c>
      <c r="BH12" t="n">
        <v>334043681135237.8</v>
      </c>
      <c r="BI12" t="n">
        <v>337207115507448.1</v>
      </c>
      <c r="BJ12" t="n">
        <v>367903710761681.6</v>
      </c>
      <c r="BK12" t="n">
        <v>364053520494184.1</v>
      </c>
      <c r="BL12" t="n">
        <v>337914144543449.2</v>
      </c>
      <c r="BM12" t="n">
        <v>357748465049461.7</v>
      </c>
      <c r="BN12" t="n">
        <v>389051755567110.2</v>
      </c>
      <c r="BO12" t="n">
        <v>366059905086640.4</v>
      </c>
      <c r="BP12" t="n">
        <v>382554322352404.8</v>
      </c>
      <c r="BQ12" t="n">
        <v>380508898226737.1</v>
      </c>
      <c r="BR12" t="n">
        <v>372537848295425.4</v>
      </c>
      <c r="BS12" t="n">
        <v>374474596911092.1</v>
      </c>
      <c r="BT12" t="n">
        <v>383911173017968.9</v>
      </c>
    </row>
    <row r="13">
      <c r="A13" t="inlineStr">
        <is>
          <t>Ulanowicz_TE</t>
        </is>
      </c>
      <c r="B13" t="inlineStr">
        <is>
          <t>ok</t>
        </is>
      </c>
      <c r="C13" t="n">
        <v>3512804938.959</v>
      </c>
      <c r="D13" t="n">
        <v>4421275437.618</v>
      </c>
      <c r="E13" t="n">
        <v>5312960917.473</v>
      </c>
      <c r="F13" t="n">
        <v>5436296670.514</v>
      </c>
      <c r="G13" t="n">
        <v>6651457015.285</v>
      </c>
      <c r="H13" t="n">
        <v>7611731915.95</v>
      </c>
      <c r="I13" t="n">
        <v>8451476503.72</v>
      </c>
      <c r="J13" t="n">
        <v>8401056849.097</v>
      </c>
      <c r="K13" t="n">
        <v>8909554192.99</v>
      </c>
      <c r="L13" t="n">
        <v>9540075232.643999</v>
      </c>
      <c r="M13" t="n">
        <v>10711745445.22</v>
      </c>
      <c r="N13" t="n">
        <v>10390714790.032</v>
      </c>
      <c r="O13" t="n">
        <v>11786682282.459</v>
      </c>
      <c r="P13" t="n">
        <v>12392481121.66</v>
      </c>
      <c r="Q13" t="n">
        <v>12676054034.594</v>
      </c>
      <c r="R13" t="n">
        <v>13664071173.126</v>
      </c>
      <c r="S13" t="n">
        <v>14343932896.472</v>
      </c>
      <c r="T13" t="n">
        <v>14400093699.853</v>
      </c>
      <c r="U13" t="n">
        <v>15229221096.311</v>
      </c>
      <c r="V13" t="n">
        <v>15666442023.556</v>
      </c>
      <c r="W13" t="n">
        <v>15150269009.923</v>
      </c>
      <c r="X13" t="n">
        <v>15319971421.166</v>
      </c>
      <c r="Y13" t="n">
        <v>16002953389.588</v>
      </c>
      <c r="Z13" t="n">
        <v>17500376430.431</v>
      </c>
      <c r="AA13" t="n">
        <v>17366946291.753</v>
      </c>
      <c r="AB13" t="n">
        <v>17358458347.945</v>
      </c>
      <c r="AC13" t="n">
        <v>17517145354.242</v>
      </c>
      <c r="AD13" t="n">
        <v>17982846848.694</v>
      </c>
      <c r="AE13" t="n">
        <v>17670220154.086</v>
      </c>
      <c r="AF13" t="n">
        <v>18353774689.951</v>
      </c>
      <c r="AG13" t="n">
        <v>18334816738.437</v>
      </c>
      <c r="AH13" t="n">
        <v>19236233265.155</v>
      </c>
      <c r="AI13" t="n">
        <v>20477403463.967</v>
      </c>
      <c r="AJ13" t="n">
        <v>20979599480.493</v>
      </c>
      <c r="AK13" t="n">
        <v>21800404684.513</v>
      </c>
      <c r="AL13" t="n">
        <v>22541047874.71</v>
      </c>
      <c r="AM13" t="n">
        <v>22836349114.568</v>
      </c>
      <c r="AN13" t="n">
        <v>24136319538.924</v>
      </c>
      <c r="AO13" t="n">
        <v>23378192239.803</v>
      </c>
      <c r="AP13" t="n">
        <v>24469045803.507</v>
      </c>
      <c r="AQ13" t="n">
        <v>26122932382.676</v>
      </c>
      <c r="AR13" t="n">
        <v>27316476612.468</v>
      </c>
      <c r="AS13" t="n">
        <v>28188499703.024</v>
      </c>
      <c r="AT13" t="n">
        <v>26912633588.169</v>
      </c>
      <c r="AU13" t="n">
        <v>31260105791.041</v>
      </c>
      <c r="AV13" t="n">
        <v>33480692691.195</v>
      </c>
      <c r="AW13" t="n">
        <v>36022737604.557</v>
      </c>
      <c r="AX13" t="n">
        <v>35680744215.709</v>
      </c>
      <c r="AY13" t="n">
        <v>35710969334.849</v>
      </c>
      <c r="AZ13" t="n">
        <v>37203417702.202</v>
      </c>
      <c r="BA13" t="n">
        <v>36056125209.285</v>
      </c>
      <c r="BB13" t="n">
        <v>36872717325.202</v>
      </c>
      <c r="BC13" t="n">
        <v>37745038351.277</v>
      </c>
      <c r="BD13" t="n">
        <v>39994079916.058</v>
      </c>
      <c r="BE13" t="n">
        <v>40262136518.095</v>
      </c>
      <c r="BF13" t="n">
        <v>38776388132.829</v>
      </c>
      <c r="BG13" t="n">
        <v>39112977396.645</v>
      </c>
      <c r="BH13" t="n">
        <v>38463016805.89</v>
      </c>
      <c r="BI13" t="n">
        <v>38580025985.557</v>
      </c>
      <c r="BJ13" t="n">
        <v>41609214384.208</v>
      </c>
      <c r="BK13" t="n">
        <v>41287613172.797</v>
      </c>
      <c r="BL13" t="n">
        <v>39450509193.542</v>
      </c>
      <c r="BM13" t="n">
        <v>41838950061.934</v>
      </c>
      <c r="BN13" t="n">
        <v>44388007701.19</v>
      </c>
      <c r="BO13" t="n">
        <v>42933796527.154</v>
      </c>
      <c r="BP13" t="n">
        <v>44537769571.857</v>
      </c>
      <c r="BQ13" t="n">
        <v>44798938709.345</v>
      </c>
      <c r="BR13" t="n">
        <v>44143703362.402</v>
      </c>
      <c r="BS13" t="n">
        <v>44382171205.327</v>
      </c>
      <c r="BT13" t="n">
        <v>45767656362.112</v>
      </c>
    </row>
    <row r="14">
      <c r="A14" t="inlineStr">
        <is>
          <t>EwE_TE_noEE</t>
        </is>
      </c>
      <c r="B14" t="inlineStr">
        <is>
          <t>ok</t>
        </is>
      </c>
      <c r="C14" t="n">
        <v>3655816390.432</v>
      </c>
      <c r="D14" t="n">
        <v>4596909316.778</v>
      </c>
      <c r="E14" t="n">
        <v>5520795334.182</v>
      </c>
      <c r="F14" t="n">
        <v>5647805918.612</v>
      </c>
      <c r="G14" t="n">
        <v>6904713494.43</v>
      </c>
      <c r="H14" t="n">
        <v>7899464444.151</v>
      </c>
      <c r="I14" t="n">
        <v>8771511059.882999</v>
      </c>
      <c r="J14" t="n">
        <v>8718322805.447001</v>
      </c>
      <c r="K14" t="n">
        <v>9244442757.148001</v>
      </c>
      <c r="L14" t="n">
        <v>9891560395.238001</v>
      </c>
      <c r="M14" t="n">
        <v>11119436452.989</v>
      </c>
      <c r="N14" t="n">
        <v>10767619282.785</v>
      </c>
      <c r="O14" t="n">
        <v>12213735926.274</v>
      </c>
      <c r="P14" t="n">
        <v>12834902685.017</v>
      </c>
      <c r="Q14" t="n">
        <v>13132535190.733</v>
      </c>
      <c r="R14" t="n">
        <v>14169575283.47</v>
      </c>
      <c r="S14" t="n">
        <v>14889004206.678</v>
      </c>
      <c r="T14" t="n">
        <v>14926444372.453</v>
      </c>
      <c r="U14" t="n">
        <v>15777334791.431</v>
      </c>
      <c r="V14" t="n">
        <v>16240804058.167</v>
      </c>
      <c r="W14" t="n">
        <v>15719840304.606</v>
      </c>
      <c r="X14" t="n">
        <v>15898928401.191</v>
      </c>
      <c r="Y14" t="n">
        <v>16613579558.593</v>
      </c>
      <c r="Z14" t="n">
        <v>18180013155.161</v>
      </c>
      <c r="AA14" t="n">
        <v>18040768387.839</v>
      </c>
      <c r="AB14" t="n">
        <v>18025461284.262</v>
      </c>
      <c r="AC14" t="n">
        <v>18176782716.136</v>
      </c>
      <c r="AD14" t="n">
        <v>18683096516.897</v>
      </c>
      <c r="AE14" t="n">
        <v>18381808336.025</v>
      </c>
      <c r="AF14" t="n">
        <v>19062718855.86</v>
      </c>
      <c r="AG14" t="n">
        <v>19024510321.832</v>
      </c>
      <c r="AH14" t="n">
        <v>19969773216.612</v>
      </c>
      <c r="AI14" t="n">
        <v>21260088917.148</v>
      </c>
      <c r="AJ14" t="n">
        <v>21745415023.089</v>
      </c>
      <c r="AK14" t="n">
        <v>22641372091.372</v>
      </c>
      <c r="AL14" t="n">
        <v>23408535106.116</v>
      </c>
      <c r="AM14" t="n">
        <v>23716889272.16</v>
      </c>
      <c r="AN14" t="n">
        <v>25076229212.065</v>
      </c>
      <c r="AO14" t="n">
        <v>24293203971.449</v>
      </c>
      <c r="AP14" t="n">
        <v>25426867016.888</v>
      </c>
      <c r="AQ14" t="n">
        <v>27122947007.14</v>
      </c>
      <c r="AR14" t="n">
        <v>28349534339.93</v>
      </c>
      <c r="AS14" t="n">
        <v>29268582731.214</v>
      </c>
      <c r="AT14" t="n">
        <v>27958057409.233</v>
      </c>
      <c r="AU14" t="n">
        <v>32462460404.124</v>
      </c>
      <c r="AV14" t="n">
        <v>34769745582.637</v>
      </c>
      <c r="AW14" t="n">
        <v>37414519590.378</v>
      </c>
      <c r="AX14" t="n">
        <v>37057431778.422</v>
      </c>
      <c r="AY14" t="n">
        <v>37092817449.316</v>
      </c>
      <c r="AZ14" t="n">
        <v>38563464079.54</v>
      </c>
      <c r="BA14" t="n">
        <v>37423011394.757</v>
      </c>
      <c r="BB14" t="n">
        <v>38317461515.96</v>
      </c>
      <c r="BC14" t="n">
        <v>39202693981.637</v>
      </c>
      <c r="BD14" t="n">
        <v>41564364604.755</v>
      </c>
      <c r="BE14" t="n">
        <v>41770626211.978</v>
      </c>
      <c r="BF14" t="n">
        <v>40252785408.22</v>
      </c>
      <c r="BG14" t="n">
        <v>40609732729.117</v>
      </c>
      <c r="BH14" t="n">
        <v>39931181279.324</v>
      </c>
      <c r="BI14" t="n">
        <v>40067562878.463</v>
      </c>
      <c r="BJ14" t="n">
        <v>43224401042.954</v>
      </c>
      <c r="BK14" t="n">
        <v>42898921261.303</v>
      </c>
      <c r="BL14" t="n">
        <v>40958283098.823</v>
      </c>
      <c r="BM14" t="n">
        <v>43436638877.701</v>
      </c>
      <c r="BN14" t="n">
        <v>46120146864.588</v>
      </c>
      <c r="BO14" t="n">
        <v>44575789660.51</v>
      </c>
      <c r="BP14" t="n">
        <v>46252104220.477</v>
      </c>
      <c r="BQ14" t="n">
        <v>46528736269.906</v>
      </c>
      <c r="BR14" t="n">
        <v>45848551324.005</v>
      </c>
      <c r="BS14" t="n">
        <v>46122456256.53</v>
      </c>
      <c r="BT14" t="n">
        <v>47557990847.26</v>
      </c>
    </row>
    <row r="15">
      <c r="A15" t="inlineStr">
        <is>
          <t>EwE_TE_EE</t>
        </is>
      </c>
      <c r="B15" t="inlineStr">
        <is>
          <t>ok</t>
        </is>
      </c>
      <c r="C15" t="n">
        <v>1375660893.406</v>
      </c>
      <c r="D15" t="n">
        <v>1725736462.51</v>
      </c>
      <c r="E15" t="n">
        <v>2067886234.771</v>
      </c>
      <c r="F15" t="n">
        <v>2118250830.019</v>
      </c>
      <c r="G15" t="n">
        <v>2571434122.849</v>
      </c>
      <c r="H15" t="n">
        <v>2870945272.899</v>
      </c>
      <c r="I15" t="n">
        <v>3197600520.518</v>
      </c>
      <c r="J15" t="n">
        <v>3180807721.135</v>
      </c>
      <c r="K15" t="n">
        <v>3417000335.389</v>
      </c>
      <c r="L15" t="n">
        <v>3636948341.753</v>
      </c>
      <c r="M15" t="n">
        <v>4114446443.128</v>
      </c>
      <c r="N15" t="n">
        <v>4004465554.591</v>
      </c>
      <c r="O15" t="n">
        <v>4576440075.535</v>
      </c>
      <c r="P15" t="n">
        <v>4802001968.239</v>
      </c>
      <c r="Q15" t="n">
        <v>4913779981.713</v>
      </c>
      <c r="R15" t="n">
        <v>5288527898.331</v>
      </c>
      <c r="S15" t="n">
        <v>5549496739.986</v>
      </c>
      <c r="T15" t="n">
        <v>5596575793.359</v>
      </c>
      <c r="U15" t="n">
        <v>5958603143.592</v>
      </c>
      <c r="V15" t="n">
        <v>6161370143.295</v>
      </c>
      <c r="W15" t="n">
        <v>5957547982.218</v>
      </c>
      <c r="X15" t="n">
        <v>6030642033.966</v>
      </c>
      <c r="Y15" t="n">
        <v>6254665381.515</v>
      </c>
      <c r="Z15" t="n">
        <v>6881766237.979</v>
      </c>
      <c r="AA15" t="n">
        <v>6867782181.228</v>
      </c>
      <c r="AB15" t="n">
        <v>6900950570.697</v>
      </c>
      <c r="AC15" t="n">
        <v>6893749304.533</v>
      </c>
      <c r="AD15" t="n">
        <v>7018068136.915</v>
      </c>
      <c r="AE15" t="n">
        <v>6930647915.884</v>
      </c>
      <c r="AF15" t="n">
        <v>7152685090.03</v>
      </c>
      <c r="AG15" t="n">
        <v>7102627604.983</v>
      </c>
      <c r="AH15" t="n">
        <v>7456149015.509</v>
      </c>
      <c r="AI15" t="n">
        <v>7914280021.712</v>
      </c>
      <c r="AJ15" t="n">
        <v>8083223986.035</v>
      </c>
      <c r="AK15" t="n">
        <v>8436258186.019</v>
      </c>
      <c r="AL15" t="n">
        <v>8741967588.030001</v>
      </c>
      <c r="AM15" t="n">
        <v>8825617224.719999</v>
      </c>
      <c r="AN15" t="n">
        <v>9301854759.584999</v>
      </c>
      <c r="AO15" t="n">
        <v>9040010458.108999</v>
      </c>
      <c r="AP15" t="n">
        <v>9438948134.561001</v>
      </c>
      <c r="AQ15" t="n">
        <v>10010108249.876</v>
      </c>
      <c r="AR15" t="n">
        <v>10336496821.973</v>
      </c>
      <c r="AS15" t="n">
        <v>10701868851.992</v>
      </c>
      <c r="AT15" t="n">
        <v>10308382985.116</v>
      </c>
      <c r="AU15" t="n">
        <v>11873102973.271</v>
      </c>
      <c r="AV15" t="n">
        <v>12701401758.217</v>
      </c>
      <c r="AW15" t="n">
        <v>13697858733.23</v>
      </c>
      <c r="AX15" t="n">
        <v>13603764909.754</v>
      </c>
      <c r="AY15" t="n">
        <v>13562018501.595</v>
      </c>
      <c r="AZ15" t="n">
        <v>14298560674.651</v>
      </c>
      <c r="BA15" t="n">
        <v>13868480367.222</v>
      </c>
      <c r="BB15" t="n">
        <v>14015966610.891</v>
      </c>
      <c r="BC15" t="n">
        <v>14307436994.611</v>
      </c>
      <c r="BD15" t="n">
        <v>15258604754.043</v>
      </c>
      <c r="BE15" t="n">
        <v>15368819403.671</v>
      </c>
      <c r="BF15" t="n">
        <v>14712219914.776</v>
      </c>
      <c r="BG15" t="n">
        <v>14772315400.969</v>
      </c>
      <c r="BH15" t="n">
        <v>14441318165.751</v>
      </c>
      <c r="BI15" t="n">
        <v>14520946369.098</v>
      </c>
      <c r="BJ15" t="n">
        <v>15716840333.85</v>
      </c>
      <c r="BK15" t="n">
        <v>15533351006.42</v>
      </c>
      <c r="BL15" t="n">
        <v>14909421673.736</v>
      </c>
      <c r="BM15" t="n">
        <v>15770647141.407</v>
      </c>
      <c r="BN15" t="n">
        <v>16736876343.755</v>
      </c>
      <c r="BO15" t="n">
        <v>16172958956.169</v>
      </c>
      <c r="BP15" t="n">
        <v>16780520679.452</v>
      </c>
      <c r="BQ15" t="n">
        <v>16900940741.682</v>
      </c>
      <c r="BR15" t="n">
        <v>16581958439.745</v>
      </c>
      <c r="BS15" t="n">
        <v>16669569459.425</v>
      </c>
      <c r="BT15" t="n">
        <v>17205681033.921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5340072572.594</v>
      </c>
      <c r="D17" t="n">
        <v>6769291557.962</v>
      </c>
      <c r="E17" t="n">
        <v>8164556708.785</v>
      </c>
      <c r="F17" t="n">
        <v>8340909675.554</v>
      </c>
      <c r="G17" t="n">
        <v>10126933469.149</v>
      </c>
      <c r="H17" t="n">
        <v>11600292619.83</v>
      </c>
      <c r="I17" t="n">
        <v>12952016465.106</v>
      </c>
      <c r="J17" t="n">
        <v>12850113538.404</v>
      </c>
      <c r="K17" t="n">
        <v>13566499932.817</v>
      </c>
      <c r="L17" t="n">
        <v>14496515164.818</v>
      </c>
      <c r="M17" t="n">
        <v>16308704405.031</v>
      </c>
      <c r="N17" t="n">
        <v>15788073155.656</v>
      </c>
      <c r="O17" t="n">
        <v>17871025011.586</v>
      </c>
      <c r="P17" t="n">
        <v>18729830484.902</v>
      </c>
      <c r="Q17" t="n">
        <v>19130404644.272</v>
      </c>
      <c r="R17" t="n">
        <v>20740259265.68</v>
      </c>
      <c r="S17" t="n">
        <v>21847512083.016</v>
      </c>
      <c r="T17" t="n">
        <v>21839740232.475</v>
      </c>
      <c r="U17" t="n">
        <v>23047048062.481</v>
      </c>
      <c r="V17" t="n">
        <v>23747341407.186</v>
      </c>
      <c r="W17" t="n">
        <v>22863880013.321</v>
      </c>
      <c r="X17" t="n">
        <v>23335682890.385</v>
      </c>
      <c r="Y17" t="n">
        <v>24401391960.77</v>
      </c>
      <c r="Z17" t="n">
        <v>26769035110.077</v>
      </c>
      <c r="AA17" t="n">
        <v>26492184962.719</v>
      </c>
      <c r="AB17" t="n">
        <v>26430673773.8</v>
      </c>
      <c r="AC17" t="n">
        <v>26597277214.998</v>
      </c>
      <c r="AD17" t="n">
        <v>27145228585.217</v>
      </c>
      <c r="AE17" t="n">
        <v>26653477435.276</v>
      </c>
      <c r="AF17" t="n">
        <v>27611385084.974</v>
      </c>
      <c r="AG17" t="n">
        <v>27388290930.956</v>
      </c>
      <c r="AH17" t="n">
        <v>28840226559.922</v>
      </c>
      <c r="AI17" t="n">
        <v>30660416279.63</v>
      </c>
      <c r="AJ17" t="n">
        <v>31173279448.594</v>
      </c>
      <c r="AK17" t="n">
        <v>32535407178.245</v>
      </c>
      <c r="AL17" t="n">
        <v>33536181131.975</v>
      </c>
      <c r="AM17" t="n">
        <v>33939217891.846</v>
      </c>
      <c r="AN17" t="n">
        <v>35677643973.56</v>
      </c>
      <c r="AO17" t="n">
        <v>34543022562.664</v>
      </c>
      <c r="AP17" t="n">
        <v>36112686603.842</v>
      </c>
      <c r="AQ17" t="n">
        <v>38401458605.319</v>
      </c>
      <c r="AR17" t="n">
        <v>40121190743.972</v>
      </c>
      <c r="AS17" t="n">
        <v>41527576436</v>
      </c>
      <c r="AT17" t="n">
        <v>39858730393.97</v>
      </c>
      <c r="AU17" t="n">
        <v>46364379109.494</v>
      </c>
      <c r="AV17" t="n">
        <v>49564012143.525</v>
      </c>
      <c r="AW17" t="n">
        <v>53418537133.755</v>
      </c>
      <c r="AX17" t="n">
        <v>52535126179.987</v>
      </c>
      <c r="AY17" t="n">
        <v>52692761575.156</v>
      </c>
      <c r="AZ17" t="n">
        <v>54895125621.11</v>
      </c>
      <c r="BA17" t="n">
        <v>53398660822.344</v>
      </c>
      <c r="BB17" t="n">
        <v>54648937853.421</v>
      </c>
      <c r="BC17" t="n">
        <v>55709186437.646</v>
      </c>
      <c r="BD17" t="n">
        <v>59198944189.215</v>
      </c>
      <c r="BE17" t="n">
        <v>59422686506.773</v>
      </c>
      <c r="BF17" t="n">
        <v>57074486152.91</v>
      </c>
      <c r="BG17" t="n">
        <v>57753079172.884</v>
      </c>
      <c r="BH17" t="n">
        <v>56680358677.975</v>
      </c>
      <c r="BI17" t="n">
        <v>56821420071.374</v>
      </c>
      <c r="BJ17" t="n">
        <v>61339711904.471</v>
      </c>
      <c r="BK17" t="n">
        <v>60734685215.699</v>
      </c>
      <c r="BL17" t="n">
        <v>57731266428.729</v>
      </c>
      <c r="BM17" t="n">
        <v>60909222738.387</v>
      </c>
      <c r="BN17" t="n">
        <v>64823923943.923</v>
      </c>
      <c r="BO17" t="n">
        <v>62592062769.805</v>
      </c>
      <c r="BP17" t="n">
        <v>64930829925.851</v>
      </c>
      <c r="BQ17" t="n">
        <v>65374943890.853</v>
      </c>
      <c r="BR17" t="n">
        <v>64582742489.671</v>
      </c>
      <c r="BS17" t="n">
        <v>65268580832.157</v>
      </c>
      <c r="BT17" t="n">
        <v>67221200544.74</v>
      </c>
    </row>
    <row r="18">
      <c r="A18" t="inlineStr">
        <is>
          <t>new_TE_EEfix</t>
        </is>
      </c>
      <c r="B18" t="inlineStr">
        <is>
          <t>ok</t>
        </is>
      </c>
      <c r="C18" t="n">
        <v>5340072572.594</v>
      </c>
      <c r="D18" t="n">
        <v>6769291557.962</v>
      </c>
      <c r="E18" t="n">
        <v>8164556708.785</v>
      </c>
      <c r="F18" t="n">
        <v>8340909675.554</v>
      </c>
      <c r="G18" t="n">
        <v>10126933469.149</v>
      </c>
      <c r="H18" t="n">
        <v>11600292619.83</v>
      </c>
      <c r="I18" t="n">
        <v>12952016465.106</v>
      </c>
      <c r="J18" t="n">
        <v>12850113538.404</v>
      </c>
      <c r="K18" t="n">
        <v>13566499932.817</v>
      </c>
      <c r="L18" t="n">
        <v>14496515164.818</v>
      </c>
      <c r="M18" t="n">
        <v>16308704405.031</v>
      </c>
      <c r="N18" t="n">
        <v>15788073155.656</v>
      </c>
      <c r="O18" t="n">
        <v>17871025011.586</v>
      </c>
      <c r="P18" t="n">
        <v>18729830484.902</v>
      </c>
      <c r="Q18" t="n">
        <v>19130404644.272</v>
      </c>
      <c r="R18" t="n">
        <v>20740259265.68</v>
      </c>
      <c r="S18" t="n">
        <v>21847512083.016</v>
      </c>
      <c r="T18" t="n">
        <v>21839740232.475</v>
      </c>
      <c r="U18" t="n">
        <v>23047048062.481</v>
      </c>
      <c r="V18" t="n">
        <v>23747341407.186</v>
      </c>
      <c r="W18" t="n">
        <v>22863880013.321</v>
      </c>
      <c r="X18" t="n">
        <v>23335682890.385</v>
      </c>
      <c r="Y18" t="n">
        <v>24401391960.77</v>
      </c>
      <c r="Z18" t="n">
        <v>26769035110.077</v>
      </c>
      <c r="AA18" t="n">
        <v>26492184962.719</v>
      </c>
      <c r="AB18" t="n">
        <v>26430673773.8</v>
      </c>
      <c r="AC18" t="n">
        <v>26597277214.998</v>
      </c>
      <c r="AD18" t="n">
        <v>27145228585.217</v>
      </c>
      <c r="AE18" t="n">
        <v>26653477435.276</v>
      </c>
      <c r="AF18" t="n">
        <v>27611385084.974</v>
      </c>
      <c r="AG18" t="n">
        <v>27388290930.956</v>
      </c>
      <c r="AH18" t="n">
        <v>28840226559.922</v>
      </c>
      <c r="AI18" t="n">
        <v>30660416279.63</v>
      </c>
      <c r="AJ18" t="n">
        <v>31173279448.594</v>
      </c>
      <c r="AK18" t="n">
        <v>32535407178.245</v>
      </c>
      <c r="AL18" t="n">
        <v>33536181131.975</v>
      </c>
      <c r="AM18" t="n">
        <v>33939217891.846</v>
      </c>
      <c r="AN18" t="n">
        <v>35677643973.56</v>
      </c>
      <c r="AO18" t="n">
        <v>34543022562.664</v>
      </c>
      <c r="AP18" t="n">
        <v>36112686603.842</v>
      </c>
      <c r="AQ18" t="n">
        <v>38401458605.319</v>
      </c>
      <c r="AR18" t="n">
        <v>40121190743.972</v>
      </c>
      <c r="AS18" t="n">
        <v>41527576436</v>
      </c>
      <c r="AT18" t="n">
        <v>39858730393.97</v>
      </c>
      <c r="AU18" t="n">
        <v>46364379109.494</v>
      </c>
      <c r="AV18" t="n">
        <v>49564012143.525</v>
      </c>
      <c r="AW18" t="n">
        <v>53418537133.755</v>
      </c>
      <c r="AX18" t="n">
        <v>52535126179.987</v>
      </c>
      <c r="AY18" t="n">
        <v>52692761575.156</v>
      </c>
      <c r="AZ18" t="n">
        <v>54895125621.11</v>
      </c>
      <c r="BA18" t="n">
        <v>53398660822.344</v>
      </c>
      <c r="BB18" t="n">
        <v>54648937853.421</v>
      </c>
      <c r="BC18" t="n">
        <v>55709186437.646</v>
      </c>
      <c r="BD18" t="n">
        <v>59198944189.215</v>
      </c>
      <c r="BE18" t="n">
        <v>59422686506.773</v>
      </c>
      <c r="BF18" t="n">
        <v>57074486152.91</v>
      </c>
      <c r="BG18" t="n">
        <v>57753079172.884</v>
      </c>
      <c r="BH18" t="n">
        <v>56680358677.975</v>
      </c>
      <c r="BI18" t="n">
        <v>56821420071.374</v>
      </c>
      <c r="BJ18" t="n">
        <v>61339711904.471</v>
      </c>
      <c r="BK18" t="n">
        <v>60734685215.699</v>
      </c>
      <c r="BL18" t="n">
        <v>57731266428.729</v>
      </c>
      <c r="BM18" t="n">
        <v>60909222738.387</v>
      </c>
      <c r="BN18" t="n">
        <v>64823923943.923</v>
      </c>
      <c r="BO18" t="n">
        <v>62592062769.805</v>
      </c>
      <c r="BP18" t="n">
        <v>64930829925.851</v>
      </c>
      <c r="BQ18" t="n">
        <v>65374943890.853</v>
      </c>
      <c r="BR18" t="n">
        <v>64582742489.671</v>
      </c>
      <c r="BS18" t="n">
        <v>65268580832.157</v>
      </c>
      <c r="BT18" t="n">
        <v>67221200544.74</v>
      </c>
    </row>
    <row r="19">
      <c r="A19" t="inlineStr">
        <is>
          <t>new_GE</t>
        </is>
      </c>
      <c r="B19" t="inlineStr">
        <is>
          <t>ok</t>
        </is>
      </c>
      <c r="C19" t="n">
        <v>47670597.7</v>
      </c>
      <c r="D19" t="n">
        <v>58695949.638</v>
      </c>
      <c r="E19" t="n">
        <v>69275384.498</v>
      </c>
      <c r="F19" t="n">
        <v>70761306.90700001</v>
      </c>
      <c r="G19" t="n">
        <v>88835269.307</v>
      </c>
      <c r="H19" t="n">
        <v>100746926.06</v>
      </c>
      <c r="I19" t="n">
        <v>110920012.08</v>
      </c>
      <c r="J19" t="n">
        <v>111087937.845</v>
      </c>
      <c r="K19" t="n">
        <v>120175192.53</v>
      </c>
      <c r="L19" t="n">
        <v>127158935.935</v>
      </c>
      <c r="M19" t="n">
        <v>144111104.724</v>
      </c>
      <c r="N19" t="n">
        <v>140820142.889</v>
      </c>
      <c r="O19" t="n">
        <v>156154215.776</v>
      </c>
      <c r="P19" t="n">
        <v>164184857.499</v>
      </c>
      <c r="Q19" t="n">
        <v>170162185.23</v>
      </c>
      <c r="R19" t="n">
        <v>181854123.492</v>
      </c>
      <c r="S19" t="n">
        <v>194429327.121</v>
      </c>
      <c r="T19" t="n">
        <v>192204179.107</v>
      </c>
      <c r="U19" t="n">
        <v>198892784.702</v>
      </c>
      <c r="V19" t="n">
        <v>204679053.53</v>
      </c>
      <c r="W19" t="n">
        <v>205956818.308</v>
      </c>
      <c r="X19" t="n">
        <v>206382437.962</v>
      </c>
      <c r="Y19" t="n">
        <v>221622784.1</v>
      </c>
      <c r="Z19" t="n">
        <v>239353868.987</v>
      </c>
      <c r="AA19" t="n">
        <v>239189813.202</v>
      </c>
      <c r="AB19" t="n">
        <v>236788996.965</v>
      </c>
      <c r="AC19" t="n">
        <v>238033725.971</v>
      </c>
      <c r="AD19" t="n">
        <v>245987346.98</v>
      </c>
      <c r="AE19" t="n">
        <v>245810975.412</v>
      </c>
      <c r="AF19" t="n">
        <v>253994591.423</v>
      </c>
      <c r="AG19" t="n">
        <v>256092744.474</v>
      </c>
      <c r="AH19" t="n">
        <v>268344923.882</v>
      </c>
      <c r="AI19" t="n">
        <v>285128368.029</v>
      </c>
      <c r="AJ19" t="n">
        <v>292318988.996</v>
      </c>
      <c r="AK19" t="n">
        <v>304916822.37</v>
      </c>
      <c r="AL19" t="n">
        <v>319672751.71</v>
      </c>
      <c r="AM19" t="n">
        <v>326844369.206</v>
      </c>
      <c r="AN19" t="n">
        <v>350702075.271</v>
      </c>
      <c r="AO19" t="n">
        <v>347469622.956</v>
      </c>
      <c r="AP19" t="n">
        <v>367141250.929</v>
      </c>
      <c r="AQ19" t="n">
        <v>392920767.025</v>
      </c>
      <c r="AR19" t="n">
        <v>412831175.499</v>
      </c>
      <c r="AS19" t="n">
        <v>435655700.451</v>
      </c>
      <c r="AT19" t="n">
        <v>418235098.37</v>
      </c>
      <c r="AU19" t="n">
        <v>480785436.286</v>
      </c>
      <c r="AV19" t="n">
        <v>524237229.191</v>
      </c>
      <c r="AW19" t="n">
        <v>570166213.929</v>
      </c>
      <c r="AX19" t="n">
        <v>568989082.798</v>
      </c>
      <c r="AY19" t="n">
        <v>571132447.826</v>
      </c>
      <c r="AZ19" t="n">
        <v>559302110.836</v>
      </c>
      <c r="BA19" t="n">
        <v>552138140.16</v>
      </c>
      <c r="BB19" t="n">
        <v>577360877.5700001</v>
      </c>
      <c r="BC19" t="n">
        <v>589097117.332</v>
      </c>
      <c r="BD19" t="n">
        <v>628149779.972</v>
      </c>
      <c r="BE19" t="n">
        <v>611235059.126</v>
      </c>
      <c r="BF19" t="n">
        <v>599861943.332</v>
      </c>
      <c r="BG19" t="n">
        <v>601698292.536</v>
      </c>
      <c r="BH19" t="n">
        <v>598339468.038</v>
      </c>
      <c r="BI19" t="n">
        <v>599031581.952</v>
      </c>
      <c r="BJ19" t="n">
        <v>649917813.835</v>
      </c>
      <c r="BK19" t="n">
        <v>653618908.9299999</v>
      </c>
      <c r="BL19" t="n">
        <v>620557611.031</v>
      </c>
      <c r="BM19" t="n">
        <v>668335034.255</v>
      </c>
      <c r="BN19" t="n">
        <v>711491721.674</v>
      </c>
      <c r="BO19" t="n">
        <v>691670300.54</v>
      </c>
      <c r="BP19" t="n">
        <v>718452540.405</v>
      </c>
      <c r="BQ19" t="n">
        <v>723599026.6950001</v>
      </c>
      <c r="BR19" t="n">
        <v>708042113.863</v>
      </c>
      <c r="BS19" t="n">
        <v>709384977.865</v>
      </c>
      <c r="BT19" t="n">
        <v>730497800.211</v>
      </c>
    </row>
    <row r="20">
      <c r="A20" t="inlineStr">
        <is>
          <t>new_WithEgestion</t>
        </is>
      </c>
      <c r="B20" t="inlineStr">
        <is>
          <t>ok</t>
        </is>
      </c>
      <c r="C20" t="n">
        <v>22932172.28</v>
      </c>
      <c r="D20" t="n">
        <v>28079433.302</v>
      </c>
      <c r="E20" t="n">
        <v>33004263.394</v>
      </c>
      <c r="F20" t="n">
        <v>33725763.205</v>
      </c>
      <c r="G20" t="n">
        <v>42758690.498</v>
      </c>
      <c r="H20" t="n">
        <v>48443380.424</v>
      </c>
      <c r="I20" t="n">
        <v>53178813.402</v>
      </c>
      <c r="J20" t="n">
        <v>53298199.383</v>
      </c>
      <c r="K20" t="n">
        <v>57737890.453</v>
      </c>
      <c r="L20" t="n">
        <v>61138728.935</v>
      </c>
      <c r="M20" t="n">
        <v>69160873.16599999</v>
      </c>
      <c r="N20" t="n">
        <v>67611803.14300001</v>
      </c>
      <c r="O20" t="n">
        <v>75058671.138</v>
      </c>
      <c r="P20" t="n">
        <v>79137982.55500001</v>
      </c>
      <c r="Q20" t="n">
        <v>82082709.58400001</v>
      </c>
      <c r="R20" t="n">
        <v>87404060.06200001</v>
      </c>
      <c r="S20" t="n">
        <v>93169805.59199999</v>
      </c>
      <c r="T20" t="n">
        <v>92127716.57700001</v>
      </c>
      <c r="U20" t="n">
        <v>95376236.95100001</v>
      </c>
      <c r="V20" t="n">
        <v>98062281.167</v>
      </c>
      <c r="W20" t="n">
        <v>99053948.38500001</v>
      </c>
      <c r="X20" t="n">
        <v>98792678.579</v>
      </c>
      <c r="Y20" t="n">
        <v>105918447.194</v>
      </c>
      <c r="Z20" t="n">
        <v>114261093.2</v>
      </c>
      <c r="AA20" t="n">
        <v>114576037.983</v>
      </c>
      <c r="AB20" t="n">
        <v>113668900.849</v>
      </c>
      <c r="AC20" t="n">
        <v>114485316.571</v>
      </c>
      <c r="AD20" t="n">
        <v>118803308.609</v>
      </c>
      <c r="AE20" t="n">
        <v>118850033.926</v>
      </c>
      <c r="AF20" t="n">
        <v>122938861.46</v>
      </c>
      <c r="AG20" t="n">
        <v>124194126.968</v>
      </c>
      <c r="AH20" t="n">
        <v>129874139.088</v>
      </c>
      <c r="AI20" t="n">
        <v>138240823.284</v>
      </c>
      <c r="AJ20" t="n">
        <v>142507560.454</v>
      </c>
      <c r="AK20" t="n">
        <v>148289975.53</v>
      </c>
      <c r="AL20" t="n">
        <v>155983425.327</v>
      </c>
      <c r="AM20" t="n">
        <v>159672482.956</v>
      </c>
      <c r="AN20" t="n">
        <v>171842708.093</v>
      </c>
      <c r="AO20" t="n">
        <v>170982956.717</v>
      </c>
      <c r="AP20" t="n">
        <v>180434619.785</v>
      </c>
      <c r="AQ20" t="n">
        <v>193464442.864</v>
      </c>
      <c r="AR20" t="n">
        <v>203245712.936</v>
      </c>
      <c r="AS20" t="n">
        <v>215088718.998</v>
      </c>
      <c r="AT20" t="n">
        <v>207042053.914</v>
      </c>
      <c r="AU20" t="n">
        <v>237795618.814</v>
      </c>
      <c r="AV20" t="n">
        <v>259591351.804</v>
      </c>
      <c r="AW20" t="n">
        <v>282574490.634</v>
      </c>
      <c r="AX20" t="n">
        <v>283804487.834</v>
      </c>
      <c r="AY20" t="n">
        <v>284706512.875</v>
      </c>
      <c r="AZ20" t="n">
        <v>277769546.104</v>
      </c>
      <c r="BA20" t="n">
        <v>273995691.572</v>
      </c>
      <c r="BB20" t="n">
        <v>286695241.986</v>
      </c>
      <c r="BC20" t="n">
        <v>292564357.308</v>
      </c>
      <c r="BD20" t="n">
        <v>310552713.685</v>
      </c>
      <c r="BE20" t="n">
        <v>301902264.008</v>
      </c>
      <c r="BF20" t="n">
        <v>296985733.439</v>
      </c>
      <c r="BG20" t="n">
        <v>297069806.008</v>
      </c>
      <c r="BH20" t="n">
        <v>295691484.148</v>
      </c>
      <c r="BI20" t="n">
        <v>295976043.412</v>
      </c>
      <c r="BJ20" t="n">
        <v>321108898.277</v>
      </c>
      <c r="BK20" t="n">
        <v>323463465.899</v>
      </c>
      <c r="BL20" t="n">
        <v>307874854.924</v>
      </c>
      <c r="BM20" t="n">
        <v>332256164.967</v>
      </c>
      <c r="BN20" t="n">
        <v>353066948.975</v>
      </c>
      <c r="BO20" t="n">
        <v>344254314.844</v>
      </c>
      <c r="BP20" t="n">
        <v>357198103.941</v>
      </c>
      <c r="BQ20" t="n">
        <v>359708136.729</v>
      </c>
      <c r="BR20" t="n">
        <v>351580772.503</v>
      </c>
      <c r="BS20" t="n">
        <v>351698577.606</v>
      </c>
      <c r="BT20" t="n">
        <v>362452720.83</v>
      </c>
    </row>
    <row r="21">
      <c r="A21" t="inlineStr">
        <is>
          <t>sym_TE_asPP</t>
        </is>
      </c>
      <c r="B21" t="inlineStr">
        <is>
          <t>ok</t>
        </is>
      </c>
      <c r="C21" t="n">
        <v>5340072572.594</v>
      </c>
      <c r="D21" t="n">
        <v>6769291557.962</v>
      </c>
      <c r="E21" t="n">
        <v>8164556708.785</v>
      </c>
      <c r="F21" t="n">
        <v>8340909675.554</v>
      </c>
      <c r="G21" t="n">
        <v>10126933469.149</v>
      </c>
      <c r="H21" t="n">
        <v>11600292619.83</v>
      </c>
      <c r="I21" t="n">
        <v>12952016465.106</v>
      </c>
      <c r="J21" t="n">
        <v>12850113538.404</v>
      </c>
      <c r="K21" t="n">
        <v>13566499932.817</v>
      </c>
      <c r="L21" t="n">
        <v>14496515164.818</v>
      </c>
      <c r="M21" t="n">
        <v>16308704405.031</v>
      </c>
      <c r="N21" t="n">
        <v>15788073155.656</v>
      </c>
      <c r="O21" t="n">
        <v>17871025011.586</v>
      </c>
      <c r="P21" t="n">
        <v>18729830484.902</v>
      </c>
      <c r="Q21" t="n">
        <v>19130404644.272</v>
      </c>
      <c r="R21" t="n">
        <v>20740259265.68</v>
      </c>
      <c r="S21" t="n">
        <v>21847512083.016</v>
      </c>
      <c r="T21" t="n">
        <v>21839740232.475</v>
      </c>
      <c r="U21" t="n">
        <v>23047048062.481</v>
      </c>
      <c r="V21" t="n">
        <v>23747341407.186</v>
      </c>
      <c r="W21" t="n">
        <v>22863880013.321</v>
      </c>
      <c r="X21" t="n">
        <v>23335682890.385</v>
      </c>
      <c r="Y21" t="n">
        <v>24401391960.77</v>
      </c>
      <c r="Z21" t="n">
        <v>26769035110.077</v>
      </c>
      <c r="AA21" t="n">
        <v>26492184962.719</v>
      </c>
      <c r="AB21" t="n">
        <v>26430673773.8</v>
      </c>
      <c r="AC21" t="n">
        <v>26597277214.998</v>
      </c>
      <c r="AD21" t="n">
        <v>27145228585.217</v>
      </c>
      <c r="AE21" t="n">
        <v>26653477435.276</v>
      </c>
      <c r="AF21" t="n">
        <v>27611385084.974</v>
      </c>
      <c r="AG21" t="n">
        <v>27388290930.956</v>
      </c>
      <c r="AH21" t="n">
        <v>28840226559.922</v>
      </c>
      <c r="AI21" t="n">
        <v>30660416279.63</v>
      </c>
      <c r="AJ21" t="n">
        <v>31173279448.594</v>
      </c>
      <c r="AK21" t="n">
        <v>32535407178.245</v>
      </c>
      <c r="AL21" t="n">
        <v>33536181131.975</v>
      </c>
      <c r="AM21" t="n">
        <v>33939217891.846</v>
      </c>
      <c r="AN21" t="n">
        <v>35677643973.56</v>
      </c>
      <c r="AO21" t="n">
        <v>34543022562.664</v>
      </c>
      <c r="AP21" t="n">
        <v>36112686603.842</v>
      </c>
      <c r="AQ21" t="n">
        <v>38401458605.319</v>
      </c>
      <c r="AR21" t="n">
        <v>40121190743.972</v>
      </c>
      <c r="AS21" t="n">
        <v>41527576436</v>
      </c>
      <c r="AT21" t="n">
        <v>39858730393.97</v>
      </c>
      <c r="AU21" t="n">
        <v>46364379109.494</v>
      </c>
      <c r="AV21" t="n">
        <v>49564012143.525</v>
      </c>
      <c r="AW21" t="n">
        <v>53418537133.755</v>
      </c>
      <c r="AX21" t="n">
        <v>52535126179.987</v>
      </c>
      <c r="AY21" t="n">
        <v>52692761575.156</v>
      </c>
      <c r="AZ21" t="n">
        <v>54895125621.11</v>
      </c>
      <c r="BA21" t="n">
        <v>53398660822.344</v>
      </c>
      <c r="BB21" t="n">
        <v>54648937853.421</v>
      </c>
      <c r="BC21" t="n">
        <v>55709186437.646</v>
      </c>
      <c r="BD21" t="n">
        <v>59198944189.215</v>
      </c>
      <c r="BE21" t="n">
        <v>59422686506.773</v>
      </c>
      <c r="BF21" t="n">
        <v>57074486152.91</v>
      </c>
      <c r="BG21" t="n">
        <v>57753079172.884</v>
      </c>
      <c r="BH21" t="n">
        <v>56680358677.975</v>
      </c>
      <c r="BI21" t="n">
        <v>56821420071.374</v>
      </c>
      <c r="BJ21" t="n">
        <v>61339711904.471</v>
      </c>
      <c r="BK21" t="n">
        <v>60734685215.699</v>
      </c>
      <c r="BL21" t="n">
        <v>57731266428.729</v>
      </c>
      <c r="BM21" t="n">
        <v>60909222738.387</v>
      </c>
      <c r="BN21" t="n">
        <v>64823923943.923</v>
      </c>
      <c r="BO21" t="n">
        <v>62592062769.805</v>
      </c>
      <c r="BP21" t="n">
        <v>64930829925.851</v>
      </c>
      <c r="BQ21" t="n">
        <v>65374943890.853</v>
      </c>
      <c r="BR21" t="n">
        <v>64582742489.671</v>
      </c>
      <c r="BS21" t="n">
        <v>65268580832.157</v>
      </c>
      <c r="BT21" t="n">
        <v>67221200544.74</v>
      </c>
    </row>
    <row r="22">
      <c r="A22" t="inlineStr">
        <is>
          <t>sym_TE_asDC</t>
        </is>
      </c>
      <c r="B22" t="inlineStr">
        <is>
          <t>ok</t>
        </is>
      </c>
      <c r="C22" t="n">
        <v>5340072572.594</v>
      </c>
      <c r="D22" t="n">
        <v>6769291557.962</v>
      </c>
      <c r="E22" t="n">
        <v>8164556708.785</v>
      </c>
      <c r="F22" t="n">
        <v>8340909675.554</v>
      </c>
      <c r="G22" t="n">
        <v>10126933469.149</v>
      </c>
      <c r="H22" t="n">
        <v>11600292619.83</v>
      </c>
      <c r="I22" t="n">
        <v>12952016465.106</v>
      </c>
      <c r="J22" t="n">
        <v>12850113538.404</v>
      </c>
      <c r="K22" t="n">
        <v>13566499932.817</v>
      </c>
      <c r="L22" t="n">
        <v>14496515164.818</v>
      </c>
      <c r="M22" t="n">
        <v>16308704405.031</v>
      </c>
      <c r="N22" t="n">
        <v>15788073155.656</v>
      </c>
      <c r="O22" t="n">
        <v>17871025011.586</v>
      </c>
      <c r="P22" t="n">
        <v>18729830484.902</v>
      </c>
      <c r="Q22" t="n">
        <v>19130404644.272</v>
      </c>
      <c r="R22" t="n">
        <v>20740259265.68</v>
      </c>
      <c r="S22" t="n">
        <v>21847512083.016</v>
      </c>
      <c r="T22" t="n">
        <v>21839740232.475</v>
      </c>
      <c r="U22" t="n">
        <v>23047048062.481</v>
      </c>
      <c r="V22" t="n">
        <v>23747341407.186</v>
      </c>
      <c r="W22" t="n">
        <v>22863880013.321</v>
      </c>
      <c r="X22" t="n">
        <v>23335682890.385</v>
      </c>
      <c r="Y22" t="n">
        <v>24401391960.77</v>
      </c>
      <c r="Z22" t="n">
        <v>26769035110.077</v>
      </c>
      <c r="AA22" t="n">
        <v>26492184962.719</v>
      </c>
      <c r="AB22" t="n">
        <v>26430673773.8</v>
      </c>
      <c r="AC22" t="n">
        <v>26597277214.998</v>
      </c>
      <c r="AD22" t="n">
        <v>27145228585.217</v>
      </c>
      <c r="AE22" t="n">
        <v>26653477435.276</v>
      </c>
      <c r="AF22" t="n">
        <v>27611385084.974</v>
      </c>
      <c r="AG22" t="n">
        <v>27388290930.956</v>
      </c>
      <c r="AH22" t="n">
        <v>28840226559.922</v>
      </c>
      <c r="AI22" t="n">
        <v>30660416279.63</v>
      </c>
      <c r="AJ22" t="n">
        <v>31173279448.594</v>
      </c>
      <c r="AK22" t="n">
        <v>32535407178.245</v>
      </c>
      <c r="AL22" t="n">
        <v>33536181131.975</v>
      </c>
      <c r="AM22" t="n">
        <v>33939217891.846</v>
      </c>
      <c r="AN22" t="n">
        <v>35677643973.56</v>
      </c>
      <c r="AO22" t="n">
        <v>34543022562.664</v>
      </c>
      <c r="AP22" t="n">
        <v>36112686603.842</v>
      </c>
      <c r="AQ22" t="n">
        <v>38401458605.319</v>
      </c>
      <c r="AR22" t="n">
        <v>40121190743.972</v>
      </c>
      <c r="AS22" t="n">
        <v>41527576436</v>
      </c>
      <c r="AT22" t="n">
        <v>39858730393.97</v>
      </c>
      <c r="AU22" t="n">
        <v>46364379109.494</v>
      </c>
      <c r="AV22" t="n">
        <v>49564012143.525</v>
      </c>
      <c r="AW22" t="n">
        <v>53418537133.755</v>
      </c>
      <c r="AX22" t="n">
        <v>52535126179.987</v>
      </c>
      <c r="AY22" t="n">
        <v>52692761575.156</v>
      </c>
      <c r="AZ22" t="n">
        <v>54895125621.11</v>
      </c>
      <c r="BA22" t="n">
        <v>53398660822.344</v>
      </c>
      <c r="BB22" t="n">
        <v>54648937853.421</v>
      </c>
      <c r="BC22" t="n">
        <v>55709186437.646</v>
      </c>
      <c r="BD22" t="n">
        <v>59198944189.215</v>
      </c>
      <c r="BE22" t="n">
        <v>59422686506.773</v>
      </c>
      <c r="BF22" t="n">
        <v>57074486152.91</v>
      </c>
      <c r="BG22" t="n">
        <v>57753079172.884</v>
      </c>
      <c r="BH22" t="n">
        <v>56680358677.975</v>
      </c>
      <c r="BI22" t="n">
        <v>56821420071.374</v>
      </c>
      <c r="BJ22" t="n">
        <v>61339711904.471</v>
      </c>
      <c r="BK22" t="n">
        <v>60734685215.699</v>
      </c>
      <c r="BL22" t="n">
        <v>57731266428.729</v>
      </c>
      <c r="BM22" t="n">
        <v>60909222738.387</v>
      </c>
      <c r="BN22" t="n">
        <v>64823923943.923</v>
      </c>
      <c r="BO22" t="n">
        <v>62592062769.805</v>
      </c>
      <c r="BP22" t="n">
        <v>64930829925.851</v>
      </c>
      <c r="BQ22" t="n">
        <v>65374943890.853</v>
      </c>
      <c r="BR22" t="n">
        <v>64582742489.671</v>
      </c>
      <c r="BS22" t="n">
        <v>65268580832.157</v>
      </c>
      <c r="BT22" t="n">
        <v>67221200544.74</v>
      </c>
    </row>
    <row r="23">
      <c r="A23" t="inlineStr">
        <is>
          <t>sym_GE_asPP</t>
        </is>
      </c>
      <c r="B23" t="inlineStr">
        <is>
          <t>ok</t>
        </is>
      </c>
      <c r="C23" t="n">
        <v>47670597.7</v>
      </c>
      <c r="D23" t="n">
        <v>58695949.638</v>
      </c>
      <c r="E23" t="n">
        <v>69275384.498</v>
      </c>
      <c r="F23" t="n">
        <v>70761306.90700001</v>
      </c>
      <c r="G23" t="n">
        <v>88835269.307</v>
      </c>
      <c r="H23" t="n">
        <v>100746926.06</v>
      </c>
      <c r="I23" t="n">
        <v>110920012.08</v>
      </c>
      <c r="J23" t="n">
        <v>111087937.845</v>
      </c>
      <c r="K23" t="n">
        <v>120175192.53</v>
      </c>
      <c r="L23" t="n">
        <v>127158935.935</v>
      </c>
      <c r="M23" t="n">
        <v>144111104.724</v>
      </c>
      <c r="N23" t="n">
        <v>140820142.889</v>
      </c>
      <c r="O23" t="n">
        <v>156154215.776</v>
      </c>
      <c r="P23" t="n">
        <v>164184857.499</v>
      </c>
      <c r="Q23" t="n">
        <v>170162185.23</v>
      </c>
      <c r="R23" t="n">
        <v>181854123.492</v>
      </c>
      <c r="S23" t="n">
        <v>194429327.121</v>
      </c>
      <c r="T23" t="n">
        <v>192204179.107</v>
      </c>
      <c r="U23" t="n">
        <v>198892784.702</v>
      </c>
      <c r="V23" t="n">
        <v>204679053.53</v>
      </c>
      <c r="W23" t="n">
        <v>205956818.308</v>
      </c>
      <c r="X23" t="n">
        <v>206382437.962</v>
      </c>
      <c r="Y23" t="n">
        <v>221622784.1</v>
      </c>
      <c r="Z23" t="n">
        <v>239353868.987</v>
      </c>
      <c r="AA23" t="n">
        <v>239189813.202</v>
      </c>
      <c r="AB23" t="n">
        <v>236788996.965</v>
      </c>
      <c r="AC23" t="n">
        <v>238033725.971</v>
      </c>
      <c r="AD23" t="n">
        <v>245987346.98</v>
      </c>
      <c r="AE23" t="n">
        <v>245810975.412</v>
      </c>
      <c r="AF23" t="n">
        <v>253994591.423</v>
      </c>
      <c r="AG23" t="n">
        <v>256092744.474</v>
      </c>
      <c r="AH23" t="n">
        <v>268344923.882</v>
      </c>
      <c r="AI23" t="n">
        <v>285128368.029</v>
      </c>
      <c r="AJ23" t="n">
        <v>292318988.996</v>
      </c>
      <c r="AK23" t="n">
        <v>304916822.37</v>
      </c>
      <c r="AL23" t="n">
        <v>319672751.71</v>
      </c>
      <c r="AM23" t="n">
        <v>326844369.206</v>
      </c>
      <c r="AN23" t="n">
        <v>350702075.271</v>
      </c>
      <c r="AO23" t="n">
        <v>347469622.956</v>
      </c>
      <c r="AP23" t="n">
        <v>367141250.929</v>
      </c>
      <c r="AQ23" t="n">
        <v>392920767.025</v>
      </c>
      <c r="AR23" t="n">
        <v>412831175.499</v>
      </c>
      <c r="AS23" t="n">
        <v>435655700.451</v>
      </c>
      <c r="AT23" t="n">
        <v>418235098.37</v>
      </c>
      <c r="AU23" t="n">
        <v>480785436.286</v>
      </c>
      <c r="AV23" t="n">
        <v>524237229.191</v>
      </c>
      <c r="AW23" t="n">
        <v>570166213.929</v>
      </c>
      <c r="AX23" t="n">
        <v>568989082.798</v>
      </c>
      <c r="AY23" t="n">
        <v>571132447.826</v>
      </c>
      <c r="AZ23" t="n">
        <v>559302110.836</v>
      </c>
      <c r="BA23" t="n">
        <v>552138140.16</v>
      </c>
      <c r="BB23" t="n">
        <v>577360877.5700001</v>
      </c>
      <c r="BC23" t="n">
        <v>589097117.332</v>
      </c>
      <c r="BD23" t="n">
        <v>628149779.972</v>
      </c>
      <c r="BE23" t="n">
        <v>611235059.126</v>
      </c>
      <c r="BF23" t="n">
        <v>599861943.332</v>
      </c>
      <c r="BG23" t="n">
        <v>601698292.536</v>
      </c>
      <c r="BH23" t="n">
        <v>598339468.038</v>
      </c>
      <c r="BI23" t="n">
        <v>599031581.952</v>
      </c>
      <c r="BJ23" t="n">
        <v>649917813.835</v>
      </c>
      <c r="BK23" t="n">
        <v>653618908.9299999</v>
      </c>
      <c r="BL23" t="n">
        <v>620557611.031</v>
      </c>
      <c r="BM23" t="n">
        <v>668335034.255</v>
      </c>
      <c r="BN23" t="n">
        <v>711491721.674</v>
      </c>
      <c r="BO23" t="n">
        <v>691670300.54</v>
      </c>
      <c r="BP23" t="n">
        <v>718452540.405</v>
      </c>
      <c r="BQ23" t="n">
        <v>723599026.6950001</v>
      </c>
      <c r="BR23" t="n">
        <v>708042113.863</v>
      </c>
      <c r="BS23" t="n">
        <v>709384977.865</v>
      </c>
      <c r="BT23" t="n">
        <v>730497800.211</v>
      </c>
    </row>
    <row r="24">
      <c r="A24" t="inlineStr">
        <is>
          <t>sym_GE_asDC</t>
        </is>
      </c>
      <c r="B24" t="inlineStr">
        <is>
          <t>ok</t>
        </is>
      </c>
      <c r="C24" t="n">
        <v>47670597.7</v>
      </c>
      <c r="D24" t="n">
        <v>58695949.638</v>
      </c>
      <c r="E24" t="n">
        <v>69275384.498</v>
      </c>
      <c r="F24" t="n">
        <v>70761306.90700001</v>
      </c>
      <c r="G24" t="n">
        <v>88835269.307</v>
      </c>
      <c r="H24" t="n">
        <v>100746926.06</v>
      </c>
      <c r="I24" t="n">
        <v>110920012.08</v>
      </c>
      <c r="J24" t="n">
        <v>111087937.845</v>
      </c>
      <c r="K24" t="n">
        <v>120175192.53</v>
      </c>
      <c r="L24" t="n">
        <v>127158935.935</v>
      </c>
      <c r="M24" t="n">
        <v>144111104.724</v>
      </c>
      <c r="N24" t="n">
        <v>140820142.889</v>
      </c>
      <c r="O24" t="n">
        <v>156154215.776</v>
      </c>
      <c r="P24" t="n">
        <v>164184857.499</v>
      </c>
      <c r="Q24" t="n">
        <v>170162185.23</v>
      </c>
      <c r="R24" t="n">
        <v>181854123.492</v>
      </c>
      <c r="S24" t="n">
        <v>194429327.121</v>
      </c>
      <c r="T24" t="n">
        <v>192204179.107</v>
      </c>
      <c r="U24" t="n">
        <v>198892784.702</v>
      </c>
      <c r="V24" t="n">
        <v>204679053.53</v>
      </c>
      <c r="W24" t="n">
        <v>205956818.308</v>
      </c>
      <c r="X24" t="n">
        <v>206382437.962</v>
      </c>
      <c r="Y24" t="n">
        <v>221622784.1</v>
      </c>
      <c r="Z24" t="n">
        <v>239353868.987</v>
      </c>
      <c r="AA24" t="n">
        <v>239189813.202</v>
      </c>
      <c r="AB24" t="n">
        <v>236788996.965</v>
      </c>
      <c r="AC24" t="n">
        <v>238033725.971</v>
      </c>
      <c r="AD24" t="n">
        <v>245987346.98</v>
      </c>
      <c r="AE24" t="n">
        <v>245810975.412</v>
      </c>
      <c r="AF24" t="n">
        <v>253994591.423</v>
      </c>
      <c r="AG24" t="n">
        <v>256092744.474</v>
      </c>
      <c r="AH24" t="n">
        <v>268344923.882</v>
      </c>
      <c r="AI24" t="n">
        <v>285128368.029</v>
      </c>
      <c r="AJ24" t="n">
        <v>292318988.996</v>
      </c>
      <c r="AK24" t="n">
        <v>304916822.37</v>
      </c>
      <c r="AL24" t="n">
        <v>319672751.71</v>
      </c>
      <c r="AM24" t="n">
        <v>326844369.206</v>
      </c>
      <c r="AN24" t="n">
        <v>350702075.271</v>
      </c>
      <c r="AO24" t="n">
        <v>347469622.956</v>
      </c>
      <c r="AP24" t="n">
        <v>367141250.929</v>
      </c>
      <c r="AQ24" t="n">
        <v>392920767.025</v>
      </c>
      <c r="AR24" t="n">
        <v>412831175.499</v>
      </c>
      <c r="AS24" t="n">
        <v>435655700.451</v>
      </c>
      <c r="AT24" t="n">
        <v>418235098.37</v>
      </c>
      <c r="AU24" t="n">
        <v>480785436.286</v>
      </c>
      <c r="AV24" t="n">
        <v>524237229.191</v>
      </c>
      <c r="AW24" t="n">
        <v>570166213.929</v>
      </c>
      <c r="AX24" t="n">
        <v>568989082.798</v>
      </c>
      <c r="AY24" t="n">
        <v>571132447.826</v>
      </c>
      <c r="AZ24" t="n">
        <v>559302110.836</v>
      </c>
      <c r="BA24" t="n">
        <v>552138140.16</v>
      </c>
      <c r="BB24" t="n">
        <v>577360877.5700001</v>
      </c>
      <c r="BC24" t="n">
        <v>589097117.332</v>
      </c>
      <c r="BD24" t="n">
        <v>628149779.972</v>
      </c>
      <c r="BE24" t="n">
        <v>611235059.126</v>
      </c>
      <c r="BF24" t="n">
        <v>599861943.332</v>
      </c>
      <c r="BG24" t="n">
        <v>601698292.536</v>
      </c>
      <c r="BH24" t="n">
        <v>598339468.038</v>
      </c>
      <c r="BI24" t="n">
        <v>599031581.952</v>
      </c>
      <c r="BJ24" t="n">
        <v>649917813.835</v>
      </c>
      <c r="BK24" t="n">
        <v>653618908.9299999</v>
      </c>
      <c r="BL24" t="n">
        <v>620557611.031</v>
      </c>
      <c r="BM24" t="n">
        <v>668335034.255</v>
      </c>
      <c r="BN24" t="n">
        <v>711491721.674</v>
      </c>
      <c r="BO24" t="n">
        <v>691670300.54</v>
      </c>
      <c r="BP24" t="n">
        <v>718452540.405</v>
      </c>
      <c r="BQ24" t="n">
        <v>723599026.6950001</v>
      </c>
      <c r="BR24" t="n">
        <v>708042113.863</v>
      </c>
      <c r="BS24" t="n">
        <v>709384977.865</v>
      </c>
      <c r="BT24" t="n">
        <v>730497800.211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22932172.28</v>
      </c>
      <c r="D25" t="n">
        <v>28079433.302</v>
      </c>
      <c r="E25" t="n">
        <v>33004263.394</v>
      </c>
      <c r="F25" t="n">
        <v>33725763.205</v>
      </c>
      <c r="G25" t="n">
        <v>42758690.498</v>
      </c>
      <c r="H25" t="n">
        <v>48443380.424</v>
      </c>
      <c r="I25" t="n">
        <v>53178813.402</v>
      </c>
      <c r="J25" t="n">
        <v>53298199.383</v>
      </c>
      <c r="K25" t="n">
        <v>57737890.453</v>
      </c>
      <c r="L25" t="n">
        <v>61138728.935</v>
      </c>
      <c r="M25" t="n">
        <v>69160873.16599999</v>
      </c>
      <c r="N25" t="n">
        <v>67611803.14300001</v>
      </c>
      <c r="O25" t="n">
        <v>75058671.138</v>
      </c>
      <c r="P25" t="n">
        <v>79137982.55500001</v>
      </c>
      <c r="Q25" t="n">
        <v>82082709.58400001</v>
      </c>
      <c r="R25" t="n">
        <v>87404060.06200001</v>
      </c>
      <c r="S25" t="n">
        <v>93169805.59199999</v>
      </c>
      <c r="T25" t="n">
        <v>92127716.57700001</v>
      </c>
      <c r="U25" t="n">
        <v>95376236.95100001</v>
      </c>
      <c r="V25" t="n">
        <v>98062281.167</v>
      </c>
      <c r="W25" t="n">
        <v>99053948.38500001</v>
      </c>
      <c r="X25" t="n">
        <v>98792678.579</v>
      </c>
      <c r="Y25" t="n">
        <v>105918447.194</v>
      </c>
      <c r="Z25" t="n">
        <v>114261093.2</v>
      </c>
      <c r="AA25" t="n">
        <v>114576037.983</v>
      </c>
      <c r="AB25" t="n">
        <v>113668900.849</v>
      </c>
      <c r="AC25" t="n">
        <v>114485316.571</v>
      </c>
      <c r="AD25" t="n">
        <v>118803308.609</v>
      </c>
      <c r="AE25" t="n">
        <v>118850033.926</v>
      </c>
      <c r="AF25" t="n">
        <v>122938861.46</v>
      </c>
      <c r="AG25" t="n">
        <v>124194126.968</v>
      </c>
      <c r="AH25" t="n">
        <v>129874139.088</v>
      </c>
      <c r="AI25" t="n">
        <v>138240823.284</v>
      </c>
      <c r="AJ25" t="n">
        <v>142507560.454</v>
      </c>
      <c r="AK25" t="n">
        <v>148289975.53</v>
      </c>
      <c r="AL25" t="n">
        <v>155983425.327</v>
      </c>
      <c r="AM25" t="n">
        <v>159672482.956</v>
      </c>
      <c r="AN25" t="n">
        <v>171842708.093</v>
      </c>
      <c r="AO25" t="n">
        <v>170982956.717</v>
      </c>
      <c r="AP25" t="n">
        <v>180434619.785</v>
      </c>
      <c r="AQ25" t="n">
        <v>193464442.864</v>
      </c>
      <c r="AR25" t="n">
        <v>203245712.936</v>
      </c>
      <c r="AS25" t="n">
        <v>215088718.998</v>
      </c>
      <c r="AT25" t="n">
        <v>207042053.914</v>
      </c>
      <c r="AU25" t="n">
        <v>237795618.814</v>
      </c>
      <c r="AV25" t="n">
        <v>259591351.804</v>
      </c>
      <c r="AW25" t="n">
        <v>282574490.634</v>
      </c>
      <c r="AX25" t="n">
        <v>283804487.834</v>
      </c>
      <c r="AY25" t="n">
        <v>284706512.875</v>
      </c>
      <c r="AZ25" t="n">
        <v>277769546.104</v>
      </c>
      <c r="BA25" t="n">
        <v>273995691.572</v>
      </c>
      <c r="BB25" t="n">
        <v>286695241.986</v>
      </c>
      <c r="BC25" t="n">
        <v>292564357.308</v>
      </c>
      <c r="BD25" t="n">
        <v>310552713.685</v>
      </c>
      <c r="BE25" t="n">
        <v>301902264.008</v>
      </c>
      <c r="BF25" t="n">
        <v>296985733.439</v>
      </c>
      <c r="BG25" t="n">
        <v>297069806.008</v>
      </c>
      <c r="BH25" t="n">
        <v>295691484.148</v>
      </c>
      <c r="BI25" t="n">
        <v>295976043.412</v>
      </c>
      <c r="BJ25" t="n">
        <v>321108898.277</v>
      </c>
      <c r="BK25" t="n">
        <v>323463465.899</v>
      </c>
      <c r="BL25" t="n">
        <v>307874854.924</v>
      </c>
      <c r="BM25" t="n">
        <v>332256164.967</v>
      </c>
      <c r="BN25" t="n">
        <v>353066948.975</v>
      </c>
      <c r="BO25" t="n">
        <v>344254314.844</v>
      </c>
      <c r="BP25" t="n">
        <v>357198103.941</v>
      </c>
      <c r="BQ25" t="n">
        <v>359708136.729</v>
      </c>
      <c r="BR25" t="n">
        <v>351580772.503</v>
      </c>
      <c r="BS25" t="n">
        <v>351698577.606</v>
      </c>
      <c r="BT25" t="n">
        <v>362452720.83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22932172.28</v>
      </c>
      <c r="D26" t="n">
        <v>28079433.302</v>
      </c>
      <c r="E26" t="n">
        <v>33004263.394</v>
      </c>
      <c r="F26" t="n">
        <v>33725763.205</v>
      </c>
      <c r="G26" t="n">
        <v>42758690.498</v>
      </c>
      <c r="H26" t="n">
        <v>48443380.424</v>
      </c>
      <c r="I26" t="n">
        <v>53178813.402</v>
      </c>
      <c r="J26" t="n">
        <v>53298199.383</v>
      </c>
      <c r="K26" t="n">
        <v>57737890.453</v>
      </c>
      <c r="L26" t="n">
        <v>61138728.935</v>
      </c>
      <c r="M26" t="n">
        <v>69160873.16599999</v>
      </c>
      <c r="N26" t="n">
        <v>67611803.14300001</v>
      </c>
      <c r="O26" t="n">
        <v>75058671.138</v>
      </c>
      <c r="P26" t="n">
        <v>79137982.55500001</v>
      </c>
      <c r="Q26" t="n">
        <v>82082709.58400001</v>
      </c>
      <c r="R26" t="n">
        <v>87404060.06200001</v>
      </c>
      <c r="S26" t="n">
        <v>93169805.59199999</v>
      </c>
      <c r="T26" t="n">
        <v>92127716.57700001</v>
      </c>
      <c r="U26" t="n">
        <v>95376236.95100001</v>
      </c>
      <c r="V26" t="n">
        <v>98062281.167</v>
      </c>
      <c r="W26" t="n">
        <v>99053948.38500001</v>
      </c>
      <c r="X26" t="n">
        <v>98792678.579</v>
      </c>
      <c r="Y26" t="n">
        <v>105918447.194</v>
      </c>
      <c r="Z26" t="n">
        <v>114261093.2</v>
      </c>
      <c r="AA26" t="n">
        <v>114576037.983</v>
      </c>
      <c r="AB26" t="n">
        <v>113668900.849</v>
      </c>
      <c r="AC26" t="n">
        <v>114485316.571</v>
      </c>
      <c r="AD26" t="n">
        <v>118803308.609</v>
      </c>
      <c r="AE26" t="n">
        <v>118850033.926</v>
      </c>
      <c r="AF26" t="n">
        <v>122938861.46</v>
      </c>
      <c r="AG26" t="n">
        <v>124194126.968</v>
      </c>
      <c r="AH26" t="n">
        <v>129874139.088</v>
      </c>
      <c r="AI26" t="n">
        <v>138240823.284</v>
      </c>
      <c r="AJ26" t="n">
        <v>142507560.454</v>
      </c>
      <c r="AK26" t="n">
        <v>148289975.53</v>
      </c>
      <c r="AL26" t="n">
        <v>155983425.327</v>
      </c>
      <c r="AM26" t="n">
        <v>159672482.956</v>
      </c>
      <c r="AN26" t="n">
        <v>171842708.093</v>
      </c>
      <c r="AO26" t="n">
        <v>170982956.717</v>
      </c>
      <c r="AP26" t="n">
        <v>180434619.785</v>
      </c>
      <c r="AQ26" t="n">
        <v>193464442.864</v>
      </c>
      <c r="AR26" t="n">
        <v>203245712.936</v>
      </c>
      <c r="AS26" t="n">
        <v>215088718.998</v>
      </c>
      <c r="AT26" t="n">
        <v>207042053.914</v>
      </c>
      <c r="AU26" t="n">
        <v>237795618.814</v>
      </c>
      <c r="AV26" t="n">
        <v>259591351.804</v>
      </c>
      <c r="AW26" t="n">
        <v>282574490.634</v>
      </c>
      <c r="AX26" t="n">
        <v>283804487.834</v>
      </c>
      <c r="AY26" t="n">
        <v>284706512.875</v>
      </c>
      <c r="AZ26" t="n">
        <v>277769546.104</v>
      </c>
      <c r="BA26" t="n">
        <v>273995691.572</v>
      </c>
      <c r="BB26" t="n">
        <v>286695241.986</v>
      </c>
      <c r="BC26" t="n">
        <v>292564357.308</v>
      </c>
      <c r="BD26" t="n">
        <v>310552713.685</v>
      </c>
      <c r="BE26" t="n">
        <v>301902264.008</v>
      </c>
      <c r="BF26" t="n">
        <v>296985733.439</v>
      </c>
      <c r="BG26" t="n">
        <v>297069806.008</v>
      </c>
      <c r="BH26" t="n">
        <v>295691484.148</v>
      </c>
      <c r="BI26" t="n">
        <v>295976043.412</v>
      </c>
      <c r="BJ26" t="n">
        <v>321108898.277</v>
      </c>
      <c r="BK26" t="n">
        <v>323463465.899</v>
      </c>
      <c r="BL26" t="n">
        <v>307874854.924</v>
      </c>
      <c r="BM26" t="n">
        <v>332256164.967</v>
      </c>
      <c r="BN26" t="n">
        <v>353066948.975</v>
      </c>
      <c r="BO26" t="n">
        <v>344254314.844</v>
      </c>
      <c r="BP26" t="n">
        <v>357198103.941</v>
      </c>
      <c r="BQ26" t="n">
        <v>359708136.729</v>
      </c>
      <c r="BR26" t="n">
        <v>351580772.503</v>
      </c>
      <c r="BS26" t="n">
        <v>351698577.606</v>
      </c>
      <c r="BT26" t="n">
        <v>362452720.83</v>
      </c>
    </row>
    <row r="27">
      <c r="A27" t="inlineStr">
        <is>
          <t>MC_new_GE</t>
        </is>
      </c>
      <c r="B27" t="inlineStr">
        <is>
          <t>ok</t>
        </is>
      </c>
      <c r="C27" t="n">
        <v>50043170.01</v>
      </c>
      <c r="D27" t="n">
        <v>61662173.241</v>
      </c>
      <c r="E27" t="n">
        <v>72811082.131</v>
      </c>
      <c r="F27" t="n">
        <v>74376576.347</v>
      </c>
      <c r="G27" t="n">
        <v>93413112.36499999</v>
      </c>
      <c r="H27" t="n">
        <v>105982775.129</v>
      </c>
      <c r="I27" t="n">
        <v>116692096.041</v>
      </c>
      <c r="J27" t="n">
        <v>116861273.52</v>
      </c>
      <c r="K27" t="n">
        <v>126374221.275</v>
      </c>
      <c r="L27" t="n">
        <v>133752777.57</v>
      </c>
      <c r="M27" t="n">
        <v>151477218.646</v>
      </c>
      <c r="N27" t="n">
        <v>148098503.079</v>
      </c>
      <c r="O27" t="n">
        <v>164175380.715</v>
      </c>
      <c r="P27" t="n">
        <v>172617634.269</v>
      </c>
      <c r="Q27" t="n">
        <v>178863406.956</v>
      </c>
      <c r="R27" t="n">
        <v>191105031.065</v>
      </c>
      <c r="S27" t="n">
        <v>204245902.144</v>
      </c>
      <c r="T27" t="n">
        <v>201987413.747</v>
      </c>
      <c r="U27" t="n">
        <v>209000910.257</v>
      </c>
      <c r="V27" t="n">
        <v>214997257.67</v>
      </c>
      <c r="W27" t="n">
        <v>216225510.812</v>
      </c>
      <c r="X27" t="n">
        <v>216720902.909</v>
      </c>
      <c r="Y27" t="n">
        <v>232817877.842</v>
      </c>
      <c r="Z27" t="n">
        <v>251374626.918</v>
      </c>
      <c r="AA27" t="n">
        <v>251167543.888</v>
      </c>
      <c r="AB27" t="n">
        <v>248553038.804</v>
      </c>
      <c r="AC27" t="n">
        <v>249857523.627</v>
      </c>
      <c r="AD27" t="n">
        <v>258057317.482</v>
      </c>
      <c r="AE27" t="n">
        <v>257802718.32</v>
      </c>
      <c r="AF27" t="n">
        <v>266539938.989</v>
      </c>
      <c r="AG27" t="n">
        <v>268825994.23</v>
      </c>
      <c r="AH27" t="n">
        <v>281738144.363</v>
      </c>
      <c r="AI27" t="n">
        <v>299360028.606</v>
      </c>
      <c r="AJ27" t="n">
        <v>306945389.553</v>
      </c>
      <c r="AK27" t="n">
        <v>319963506.973</v>
      </c>
      <c r="AL27" t="n">
        <v>335396046.023</v>
      </c>
      <c r="AM27" t="n">
        <v>342901988.646</v>
      </c>
      <c r="AN27" t="n">
        <v>367823629.838</v>
      </c>
      <c r="AO27" t="n">
        <v>364382717.909</v>
      </c>
      <c r="AP27" t="n">
        <v>385092393.919</v>
      </c>
      <c r="AQ27" t="n">
        <v>412294028.171</v>
      </c>
      <c r="AR27" t="n">
        <v>433411785.534</v>
      </c>
      <c r="AS27" t="n">
        <v>457314444.536</v>
      </c>
      <c r="AT27" t="n">
        <v>438875324.326</v>
      </c>
      <c r="AU27" t="n">
        <v>504707049.692</v>
      </c>
      <c r="AV27" t="n">
        <v>550415621.801</v>
      </c>
      <c r="AW27" t="n">
        <v>598559327.909</v>
      </c>
      <c r="AX27" t="n">
        <v>597156966.465</v>
      </c>
      <c r="AY27" t="n">
        <v>599494239.142</v>
      </c>
      <c r="AZ27" t="n">
        <v>587000635.613</v>
      </c>
      <c r="BA27" t="n">
        <v>579307179.918</v>
      </c>
      <c r="BB27" t="n">
        <v>605862820.7410001</v>
      </c>
      <c r="BC27" t="n">
        <v>618248128.158</v>
      </c>
      <c r="BD27" t="n">
        <v>659096640.5700001</v>
      </c>
      <c r="BE27" t="n">
        <v>641488618.5</v>
      </c>
      <c r="BF27" t="n">
        <v>629477301.541</v>
      </c>
      <c r="BG27" t="n">
        <v>631498931.716</v>
      </c>
      <c r="BH27" t="n">
        <v>627948153.64</v>
      </c>
      <c r="BI27" t="n">
        <v>628653470.501</v>
      </c>
      <c r="BJ27" t="n">
        <v>682066201.651</v>
      </c>
      <c r="BK27" t="n">
        <v>685956046.678</v>
      </c>
      <c r="BL27" t="n">
        <v>651095869.0420001</v>
      </c>
      <c r="BM27" t="n">
        <v>701235946.492</v>
      </c>
      <c r="BN27" t="n">
        <v>746455663.48</v>
      </c>
      <c r="BO27" t="n">
        <v>725785352.066</v>
      </c>
      <c r="BP27" t="n">
        <v>753855625.972</v>
      </c>
      <c r="BQ27" t="n">
        <v>759190255.2130001</v>
      </c>
      <c r="BR27" t="n">
        <v>742859727.02</v>
      </c>
      <c r="BS27" t="n">
        <v>744171361.808</v>
      </c>
      <c r="BT27" t="n">
        <v>766264627.3660001</v>
      </c>
    </row>
    <row r="28">
      <c r="A28" t="inlineStr">
        <is>
          <t>MC_new_TE_EEfix</t>
        </is>
      </c>
      <c r="B28" t="inlineStr">
        <is>
          <t>ok</t>
        </is>
      </c>
      <c r="C28" t="n">
        <v>5759184324.613</v>
      </c>
      <c r="D28" t="n">
        <v>7308595322.17</v>
      </c>
      <c r="E28" t="n">
        <v>8819605168.629999</v>
      </c>
      <c r="F28" t="n">
        <v>9008848445.702999</v>
      </c>
      <c r="G28" t="n">
        <v>10930364893.261</v>
      </c>
      <c r="H28" t="n">
        <v>12514364864.473</v>
      </c>
      <c r="I28" t="n">
        <v>13979843208.093</v>
      </c>
      <c r="J28" t="n">
        <v>13866044100.749</v>
      </c>
      <c r="K28" t="n">
        <v>14623755708.044</v>
      </c>
      <c r="L28" t="n">
        <v>15622811599.462</v>
      </c>
      <c r="M28" t="n">
        <v>17567833221.374</v>
      </c>
      <c r="N28" t="n">
        <v>16995716175.767</v>
      </c>
      <c r="O28" t="n">
        <v>19236358885.566</v>
      </c>
      <c r="P28" t="n">
        <v>20152544115.09</v>
      </c>
      <c r="Q28" t="n">
        <v>20578384689.182</v>
      </c>
      <c r="R28" t="n">
        <v>22316888549.479</v>
      </c>
      <c r="S28" t="n">
        <v>23496655338.706</v>
      </c>
      <c r="T28" t="n">
        <v>23480313473.259</v>
      </c>
      <c r="U28" t="n">
        <v>24778340153.69</v>
      </c>
      <c r="V28" t="n">
        <v>25529792566.093</v>
      </c>
      <c r="W28" t="n">
        <v>24572909085.694</v>
      </c>
      <c r="X28" t="n">
        <v>25098411408.319</v>
      </c>
      <c r="Y28" t="n">
        <v>26251170226.681</v>
      </c>
      <c r="Z28" t="n">
        <v>28815054169.593</v>
      </c>
      <c r="AA28" t="n">
        <v>28528954233.953</v>
      </c>
      <c r="AB28" t="n">
        <v>28438076236.066</v>
      </c>
      <c r="AC28" t="n">
        <v>28588465322.419</v>
      </c>
      <c r="AD28" t="n">
        <v>29154878172.096</v>
      </c>
      <c r="AE28" t="n">
        <v>28643177981.217</v>
      </c>
      <c r="AF28" t="n">
        <v>29659234066.374</v>
      </c>
      <c r="AG28" t="n">
        <v>29393513275.679</v>
      </c>
      <c r="AH28" t="n">
        <v>30975724444.155</v>
      </c>
      <c r="AI28" t="n">
        <v>32934632262.908</v>
      </c>
      <c r="AJ28" t="n">
        <v>33443634703.517</v>
      </c>
      <c r="AK28" t="n">
        <v>34925002529.246</v>
      </c>
      <c r="AL28" t="n">
        <v>35982737022.253</v>
      </c>
      <c r="AM28" t="n">
        <v>36391771559.57</v>
      </c>
      <c r="AN28" t="n">
        <v>38226257125.55</v>
      </c>
      <c r="AO28" t="n">
        <v>37010130285.52</v>
      </c>
      <c r="AP28" t="n">
        <v>38687162321.809</v>
      </c>
      <c r="AQ28" t="n">
        <v>41136369952.022</v>
      </c>
      <c r="AR28" t="n">
        <v>42979891404.743</v>
      </c>
      <c r="AS28" t="n">
        <v>44493593084.272</v>
      </c>
      <c r="AT28" t="n">
        <v>42725477427.498</v>
      </c>
      <c r="AU28" t="n">
        <v>49748965323.027</v>
      </c>
      <c r="AV28" t="n">
        <v>53190522017.536</v>
      </c>
      <c r="AW28" t="n">
        <v>57307433501.959</v>
      </c>
      <c r="AX28" t="n">
        <v>56330984975.72</v>
      </c>
      <c r="AY28" t="n">
        <v>56523371660.972</v>
      </c>
      <c r="AZ28" t="n">
        <v>58855811218.969</v>
      </c>
      <c r="BA28" t="n">
        <v>57278765893.826</v>
      </c>
      <c r="BB28" t="n">
        <v>58641805771.225</v>
      </c>
      <c r="BC28" t="n">
        <v>59761146961.011</v>
      </c>
      <c r="BD28" t="n">
        <v>63546787186.061</v>
      </c>
      <c r="BE28" t="n">
        <v>63734482824.488</v>
      </c>
      <c r="BF28" t="n">
        <v>61185234489.102</v>
      </c>
      <c r="BG28" t="n">
        <v>61941321519.815</v>
      </c>
      <c r="BH28" t="n">
        <v>60763814096.501</v>
      </c>
      <c r="BI28" t="n">
        <v>60939464489.01</v>
      </c>
      <c r="BJ28" t="n">
        <v>65799931924.022</v>
      </c>
      <c r="BK28" t="n">
        <v>65142093771.427</v>
      </c>
      <c r="BL28" t="n">
        <v>61867702713.896</v>
      </c>
      <c r="BM28" t="n">
        <v>65247377182.29</v>
      </c>
      <c r="BN28" t="n">
        <v>69471480427.687</v>
      </c>
      <c r="BO28" t="n">
        <v>67070356785.362</v>
      </c>
      <c r="BP28" t="n">
        <v>69584863032.789</v>
      </c>
      <c r="BQ28" t="n">
        <v>70048268162.84399</v>
      </c>
      <c r="BR28" t="n">
        <v>69195756041.024</v>
      </c>
      <c r="BS28" t="n">
        <v>69928086126.11301</v>
      </c>
      <c r="BT28" t="n">
        <v>72006423599.07899</v>
      </c>
    </row>
    <row r="29">
      <c r="A29" t="inlineStr">
        <is>
          <t>SPPR_1995_TEmean_catch</t>
        </is>
      </c>
      <c r="B29" t="inlineStr">
        <is>
          <t>ok</t>
        </is>
      </c>
      <c r="C29" t="n">
        <v>72276345.402</v>
      </c>
      <c r="D29" t="n">
        <v>90826004.77500001</v>
      </c>
      <c r="E29" t="n">
        <v>108893450.517</v>
      </c>
      <c r="F29" t="n">
        <v>110808311.072</v>
      </c>
      <c r="G29" t="n">
        <v>138182503.658</v>
      </c>
      <c r="H29" t="n">
        <v>160719488.603</v>
      </c>
      <c r="I29" t="n">
        <v>178209523.744</v>
      </c>
      <c r="J29" t="n">
        <v>177049544.532</v>
      </c>
      <c r="K29" t="n">
        <v>183747367.325</v>
      </c>
      <c r="L29" t="n">
        <v>196600171.8</v>
      </c>
      <c r="M29" t="n">
        <v>221619573.52</v>
      </c>
      <c r="N29" t="n">
        <v>211592262.564</v>
      </c>
      <c r="O29" t="n">
        <v>236393100.765</v>
      </c>
      <c r="P29" t="n">
        <v>249771999.667</v>
      </c>
      <c r="Q29" t="n">
        <v>254101408.559</v>
      </c>
      <c r="R29" t="n">
        <v>274842080.568</v>
      </c>
      <c r="S29" t="n">
        <v>289078801.276</v>
      </c>
      <c r="T29" t="n">
        <v>283677557.578</v>
      </c>
      <c r="U29" t="n">
        <v>294817104.063</v>
      </c>
      <c r="V29" t="n">
        <v>301796729.549</v>
      </c>
      <c r="W29" t="n">
        <v>299904442.306</v>
      </c>
      <c r="X29" t="n">
        <v>305685815.002</v>
      </c>
      <c r="Y29" t="n">
        <v>326989726.095</v>
      </c>
      <c r="Z29" t="n">
        <v>351875084.832</v>
      </c>
      <c r="AA29" t="n">
        <v>353985136.404</v>
      </c>
      <c r="AB29" t="n">
        <v>348618253.172</v>
      </c>
      <c r="AC29" t="n">
        <v>348179297.233</v>
      </c>
      <c r="AD29" t="n">
        <v>356287446.167</v>
      </c>
      <c r="AE29" t="n">
        <v>355638183.804</v>
      </c>
      <c r="AF29" t="n">
        <v>369273848.13</v>
      </c>
      <c r="AG29" t="n">
        <v>365820072.567</v>
      </c>
      <c r="AH29" t="n">
        <v>384136898.434</v>
      </c>
      <c r="AI29" t="n">
        <v>412490060.094</v>
      </c>
      <c r="AJ29" t="n">
        <v>420447865.093</v>
      </c>
      <c r="AK29" t="n">
        <v>439822863.363</v>
      </c>
      <c r="AL29" t="n">
        <v>456495750.893</v>
      </c>
      <c r="AM29" t="n">
        <v>464203162.661</v>
      </c>
      <c r="AN29" t="n">
        <v>493508266.498</v>
      </c>
      <c r="AO29" t="n">
        <v>494307024.832</v>
      </c>
      <c r="AP29" t="n">
        <v>520071012.85</v>
      </c>
      <c r="AQ29" t="n">
        <v>554670646.913</v>
      </c>
      <c r="AR29" t="n">
        <v>585127952.8380001</v>
      </c>
      <c r="AS29" t="n">
        <v>623100263.773</v>
      </c>
      <c r="AT29" t="n">
        <v>608337411.303</v>
      </c>
      <c r="AU29" t="n">
        <v>711025754.978</v>
      </c>
      <c r="AV29" t="n">
        <v>770047493.545</v>
      </c>
      <c r="AW29" t="n">
        <v>837855575.4529999</v>
      </c>
      <c r="AX29" t="n">
        <v>834903868.961</v>
      </c>
      <c r="AY29" t="n">
        <v>841602474.281</v>
      </c>
      <c r="AZ29" t="n">
        <v>827990514.062</v>
      </c>
      <c r="BA29" t="n">
        <v>820298491.2</v>
      </c>
      <c r="BB29" t="n">
        <v>862972433.55</v>
      </c>
      <c r="BC29" t="n">
        <v>875954943.548</v>
      </c>
      <c r="BD29" t="n">
        <v>935293905.022</v>
      </c>
      <c r="BE29" t="n">
        <v>904506499.3099999</v>
      </c>
      <c r="BF29" t="n">
        <v>891426259.561</v>
      </c>
      <c r="BG29" t="n">
        <v>894993755.242</v>
      </c>
      <c r="BH29" t="n">
        <v>891544932.693</v>
      </c>
      <c r="BI29" t="n">
        <v>893637182.6339999</v>
      </c>
      <c r="BJ29" t="n">
        <v>965918485.831</v>
      </c>
      <c r="BK29" t="n">
        <v>970835717.5319999</v>
      </c>
      <c r="BL29" t="n">
        <v>918998149.53</v>
      </c>
      <c r="BM29" t="n">
        <v>984480943.6900001</v>
      </c>
      <c r="BN29" t="n">
        <v>1047103562.508</v>
      </c>
      <c r="BO29" t="n">
        <v>1021293552.887</v>
      </c>
      <c r="BP29" t="n">
        <v>1058685963.126</v>
      </c>
      <c r="BQ29" t="n">
        <v>1067170053.46</v>
      </c>
      <c r="BR29" t="n">
        <v>1053443787.327</v>
      </c>
      <c r="BS29" t="n">
        <v>1059682560.268</v>
      </c>
      <c r="BT29" t="n">
        <v>1092686540.196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192472950.021</v>
      </c>
      <c r="D30" t="n">
        <v>241606595.121</v>
      </c>
      <c r="E30" t="n">
        <v>289044370.046</v>
      </c>
      <c r="F30" t="n">
        <v>294197005.25</v>
      </c>
      <c r="G30" t="n">
        <v>359749563.76</v>
      </c>
      <c r="H30" t="n">
        <v>411922193.729</v>
      </c>
      <c r="I30" t="n">
        <v>457903319.236</v>
      </c>
      <c r="J30" t="n">
        <v>454635576.66</v>
      </c>
      <c r="K30" t="n">
        <v>475671358.204</v>
      </c>
      <c r="L30" t="n">
        <v>503704031.426</v>
      </c>
      <c r="M30" t="n">
        <v>571205746.824</v>
      </c>
      <c r="N30" t="n">
        <v>542097468.779</v>
      </c>
      <c r="O30" t="n">
        <v>606150747.08</v>
      </c>
      <c r="P30" t="n">
        <v>633542850.7869999</v>
      </c>
      <c r="Q30" t="n">
        <v>650392469.941</v>
      </c>
      <c r="R30" t="n">
        <v>706541503.955</v>
      </c>
      <c r="S30" t="n">
        <v>750962878.178</v>
      </c>
      <c r="T30" t="n">
        <v>734010977.151</v>
      </c>
      <c r="U30" t="n">
        <v>761772904.658</v>
      </c>
      <c r="V30" t="n">
        <v>786045225.562</v>
      </c>
      <c r="W30" t="n">
        <v>784799371.92</v>
      </c>
      <c r="X30" t="n">
        <v>797787251.154</v>
      </c>
      <c r="Y30" t="n">
        <v>851738114.543</v>
      </c>
      <c r="Z30" t="n">
        <v>928394137.189</v>
      </c>
      <c r="AA30" t="n">
        <v>927703834.278</v>
      </c>
      <c r="AB30" t="n">
        <v>911781751.028</v>
      </c>
      <c r="AC30" t="n">
        <v>906082890.525</v>
      </c>
      <c r="AD30" t="n">
        <v>934949267.666</v>
      </c>
      <c r="AE30" t="n">
        <v>935301101.2920001</v>
      </c>
      <c r="AF30" t="n">
        <v>957832777.7460001</v>
      </c>
      <c r="AG30" t="n">
        <v>948204465.551</v>
      </c>
      <c r="AH30" t="n">
        <v>999903690.104</v>
      </c>
      <c r="AI30" t="n">
        <v>1065352608.74</v>
      </c>
      <c r="AJ30" t="n">
        <v>1071670782.288</v>
      </c>
      <c r="AK30" t="n">
        <v>1137279747.918</v>
      </c>
      <c r="AL30" t="n">
        <v>1177365223.111</v>
      </c>
      <c r="AM30" t="n">
        <v>1190570384.331</v>
      </c>
      <c r="AN30" t="n">
        <v>1264045617.075</v>
      </c>
      <c r="AO30" t="n">
        <v>1249072029.318</v>
      </c>
      <c r="AP30" t="n">
        <v>1313827198.571</v>
      </c>
      <c r="AQ30" t="n">
        <v>1391173167.365</v>
      </c>
      <c r="AR30" t="n">
        <v>1454490363.796</v>
      </c>
      <c r="AS30" t="n">
        <v>1528865802.487</v>
      </c>
      <c r="AT30" t="n">
        <v>1485417643.926</v>
      </c>
      <c r="AU30" t="n">
        <v>1736402577.18</v>
      </c>
      <c r="AV30" t="n">
        <v>1869153481.401</v>
      </c>
      <c r="AW30" t="n">
        <v>2023942803.072</v>
      </c>
      <c r="AX30" t="n">
        <v>2005717884.712</v>
      </c>
      <c r="AY30" t="n">
        <v>2023591770.577</v>
      </c>
      <c r="AZ30" t="n">
        <v>2007045476.601</v>
      </c>
      <c r="BA30" t="n">
        <v>1995611880.51</v>
      </c>
      <c r="BB30" t="n">
        <v>2092497439.162</v>
      </c>
      <c r="BC30" t="n">
        <v>2124766096.083</v>
      </c>
      <c r="BD30" t="n">
        <v>2294311370.963</v>
      </c>
      <c r="BE30" t="n">
        <v>2226505501.761</v>
      </c>
      <c r="BF30" t="n">
        <v>2178291150.776</v>
      </c>
      <c r="BG30" t="n">
        <v>2199277635.236</v>
      </c>
      <c r="BH30" t="n">
        <v>2187832510.524</v>
      </c>
      <c r="BI30" t="n">
        <v>2192214670.47</v>
      </c>
      <c r="BJ30" t="n">
        <v>2366964480.935</v>
      </c>
      <c r="BK30" t="n">
        <v>2370230636.525</v>
      </c>
      <c r="BL30" t="n">
        <v>2236795664.619</v>
      </c>
      <c r="BM30" t="n">
        <v>2390142470.721</v>
      </c>
      <c r="BN30" t="n">
        <v>2557919486.467</v>
      </c>
      <c r="BO30" t="n">
        <v>2467252835.226</v>
      </c>
      <c r="BP30" t="n">
        <v>2569230568.758</v>
      </c>
      <c r="BQ30" t="n">
        <v>2580274247.797</v>
      </c>
      <c r="BR30" t="n">
        <v>2547534558.684</v>
      </c>
      <c r="BS30" t="n">
        <v>2569320559.579</v>
      </c>
      <c r="BT30" t="n">
        <v>2645907782.162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s="18" t="inlineStr">
        <is>
          <t>2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99.94</v>
      </c>
      <c r="D35" t="n">
        <v>99.95999999999999</v>
      </c>
      <c r="E35" t="n">
        <v>99.95999999999999</v>
      </c>
      <c r="F35" t="n">
        <v>99.95999999999999</v>
      </c>
      <c r="G35" t="n">
        <v>99.97</v>
      </c>
      <c r="H35" t="n">
        <v>99.97</v>
      </c>
      <c r="I35" t="n">
        <v>99.95999999999999</v>
      </c>
      <c r="J35" t="n">
        <v>99.97</v>
      </c>
      <c r="K35" t="n">
        <v>99.92</v>
      </c>
      <c r="L35" t="n">
        <v>99.94</v>
      </c>
      <c r="M35" t="n">
        <v>99.93000000000001</v>
      </c>
      <c r="N35" t="n">
        <v>99.93000000000001</v>
      </c>
      <c r="O35" t="n">
        <v>99.92</v>
      </c>
      <c r="P35" t="n">
        <v>99.91</v>
      </c>
      <c r="Q35" t="n">
        <v>99.92</v>
      </c>
      <c r="R35" t="n">
        <v>99.91</v>
      </c>
      <c r="S35" t="n">
        <v>99.92</v>
      </c>
      <c r="T35" t="n">
        <v>99.89</v>
      </c>
      <c r="U35" t="n">
        <v>99.88</v>
      </c>
      <c r="V35" t="n">
        <v>99.87</v>
      </c>
      <c r="W35" t="n">
        <v>99.88</v>
      </c>
      <c r="X35" t="n">
        <v>99.87</v>
      </c>
      <c r="Y35" t="n">
        <v>99.89</v>
      </c>
      <c r="Z35" t="n">
        <v>99.88</v>
      </c>
      <c r="AA35" t="n">
        <v>99.89</v>
      </c>
      <c r="AB35" t="n">
        <v>99.86</v>
      </c>
      <c r="AC35" t="n">
        <v>99.89</v>
      </c>
      <c r="AD35" t="n">
        <v>99.88</v>
      </c>
      <c r="AE35" t="n">
        <v>99.88</v>
      </c>
      <c r="AF35" t="n">
        <v>99.90000000000001</v>
      </c>
      <c r="AG35" t="n">
        <v>99.90000000000001</v>
      </c>
      <c r="AH35" t="n">
        <v>99.89</v>
      </c>
      <c r="AI35" t="n">
        <v>99.90000000000001</v>
      </c>
      <c r="AJ35" t="n">
        <v>99.91</v>
      </c>
      <c r="AK35" t="n">
        <v>99.90000000000001</v>
      </c>
      <c r="AL35" t="n">
        <v>99.90000000000001</v>
      </c>
      <c r="AM35" t="n">
        <v>99.90000000000001</v>
      </c>
      <c r="AN35" t="n">
        <v>99.91</v>
      </c>
      <c r="AO35" t="n">
        <v>99.89</v>
      </c>
      <c r="AP35" t="n">
        <v>99.88</v>
      </c>
      <c r="AQ35" t="n">
        <v>99.77</v>
      </c>
      <c r="AR35" t="n">
        <v>99.75</v>
      </c>
      <c r="AS35" t="n">
        <v>99.8</v>
      </c>
      <c r="AT35" t="n">
        <v>99.88</v>
      </c>
      <c r="AU35" t="n">
        <v>99.89</v>
      </c>
      <c r="AV35" t="n">
        <v>99.84</v>
      </c>
      <c r="AW35" t="n">
        <v>99.86</v>
      </c>
      <c r="AX35" t="n">
        <v>99.87</v>
      </c>
      <c r="AY35" t="n">
        <v>99.87</v>
      </c>
      <c r="AZ35" t="n">
        <v>99.87</v>
      </c>
      <c r="BA35" t="n">
        <v>99.88</v>
      </c>
      <c r="BB35" t="n">
        <v>99.86</v>
      </c>
      <c r="BC35" t="n">
        <v>99.87</v>
      </c>
      <c r="BD35" t="n">
        <v>99.91</v>
      </c>
      <c r="BE35" t="n">
        <v>99.83</v>
      </c>
      <c r="BF35" t="n">
        <v>99.77</v>
      </c>
      <c r="BG35" t="n">
        <v>99.18000000000001</v>
      </c>
      <c r="BH35" t="n">
        <v>99.3</v>
      </c>
      <c r="BI35" t="n">
        <v>99.70999999999999</v>
      </c>
      <c r="BJ35" t="n">
        <v>99.55</v>
      </c>
      <c r="BK35" t="n">
        <v>99.73999999999999</v>
      </c>
      <c r="BL35" t="n">
        <v>99.78</v>
      </c>
      <c r="BM35" t="n">
        <v>99.81999999999999</v>
      </c>
      <c r="BN35" t="n">
        <v>99.73</v>
      </c>
      <c r="BO35" t="n">
        <v>99.70999999999999</v>
      </c>
      <c r="BP35" t="n">
        <v>99.76000000000001</v>
      </c>
      <c r="BQ35" t="n">
        <v>99.66</v>
      </c>
      <c r="BR35" t="n">
        <v>99.66</v>
      </c>
      <c r="BS35" t="n">
        <v>99.7</v>
      </c>
      <c r="BT35" t="n">
        <v>99.66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H5" t="n">
        <v>40975539.813113</v>
      </c>
      <c r="I5" t="n">
        <v>2895.31657</v>
      </c>
      <c r="J5" t="n">
        <v>3100.990647</v>
      </c>
      <c r="K5" t="n">
        <v>1221.259727</v>
      </c>
      <c r="L5" t="n">
        <v>6846.4367</v>
      </c>
      <c r="M5" t="n">
        <v>4683.836246</v>
      </c>
      <c r="N5" t="n">
        <v>4683.836246</v>
      </c>
      <c r="O5" t="n">
        <v>33.070685</v>
      </c>
      <c r="P5" t="n">
        <v>15.260526</v>
      </c>
      <c r="Q5" t="n">
        <v>4683.836246</v>
      </c>
      <c r="R5" t="n">
        <v>4683.836246</v>
      </c>
      <c r="S5" t="n">
        <v>33.070685</v>
      </c>
      <c r="T5" t="n">
        <v>33.070685</v>
      </c>
      <c r="U5" t="n">
        <v>15.260526</v>
      </c>
      <c r="V5" t="n">
        <v>15.260526</v>
      </c>
      <c r="W5" t="n">
        <v>34.564338</v>
      </c>
      <c r="X5" t="n">
        <v>5045.299884</v>
      </c>
      <c r="Z5" t="n">
        <v>123.6742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H6" t="n">
        <v>126307783.60229</v>
      </c>
      <c r="I6" t="n">
        <v>10530.572825</v>
      </c>
      <c r="J6" t="n">
        <v>10989.061423</v>
      </c>
      <c r="K6" t="n">
        <v>3598.801835</v>
      </c>
      <c r="L6" t="n">
        <v>26383.951313</v>
      </c>
      <c r="M6" t="n">
        <v>18168.399163</v>
      </c>
      <c r="N6" t="n">
        <v>18168.399163</v>
      </c>
      <c r="O6" t="n">
        <v>94.286998</v>
      </c>
      <c r="P6" t="n">
        <v>40.774771</v>
      </c>
      <c r="Q6" t="n">
        <v>18168.399163</v>
      </c>
      <c r="R6" t="n">
        <v>18168.399163</v>
      </c>
      <c r="S6" t="n">
        <v>94.286998</v>
      </c>
      <c r="T6" t="n">
        <v>94.286998</v>
      </c>
      <c r="U6" t="n">
        <v>40.774771</v>
      </c>
      <c r="V6" t="n">
        <v>40.774771</v>
      </c>
      <c r="W6" t="n">
        <v>100.623017</v>
      </c>
      <c r="X6" t="n">
        <v>19911.031856</v>
      </c>
      <c r="Z6" t="n">
        <v>453.316753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H7" t="n">
        <v>4054.249872</v>
      </c>
      <c r="I7" t="n">
        <v>328.238379</v>
      </c>
      <c r="J7" t="n">
        <v>331.758128</v>
      </c>
      <c r="K7" t="n">
        <v>315.170222</v>
      </c>
      <c r="L7" t="n">
        <v>711.02964</v>
      </c>
      <c r="M7" t="n">
        <v>500.527879</v>
      </c>
      <c r="N7" t="n">
        <v>500.527879</v>
      </c>
      <c r="O7" t="n">
        <v>24.014036</v>
      </c>
      <c r="P7" t="n">
        <v>13.841438</v>
      </c>
      <c r="Q7" t="n">
        <v>500.527879</v>
      </c>
      <c r="R7" t="n">
        <v>500.527879</v>
      </c>
      <c r="S7" t="n">
        <v>24.014036</v>
      </c>
      <c r="T7" t="n">
        <v>24.014036</v>
      </c>
      <c r="U7" t="n">
        <v>13.841438</v>
      </c>
      <c r="V7" t="n">
        <v>13.841438</v>
      </c>
      <c r="W7" t="n">
        <v>25.185127</v>
      </c>
      <c r="X7" t="n">
        <v>532.786051</v>
      </c>
      <c r="Z7" t="n">
        <v>39.292026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H8" t="n">
        <v>36215476.90323</v>
      </c>
      <c r="I8" t="n">
        <v>6549.676201</v>
      </c>
      <c r="J8" t="n">
        <v>6897.830047</v>
      </c>
      <c r="K8" t="n">
        <v>1662.377041</v>
      </c>
      <c r="L8" t="n">
        <v>16798.641648</v>
      </c>
      <c r="M8" t="n">
        <v>11531.29792</v>
      </c>
      <c r="N8" t="n">
        <v>11531.29792</v>
      </c>
      <c r="O8" t="n">
        <v>47.733364</v>
      </c>
      <c r="P8" t="n">
        <v>20.713886</v>
      </c>
      <c r="Q8" t="n">
        <v>11531.29792</v>
      </c>
      <c r="R8" t="n">
        <v>11531.29792</v>
      </c>
      <c r="S8" t="n">
        <v>47.733364</v>
      </c>
      <c r="T8" t="n">
        <v>47.733364</v>
      </c>
      <c r="U8" t="n">
        <v>20.713886</v>
      </c>
      <c r="V8" t="n">
        <v>20.713886</v>
      </c>
      <c r="W8" t="n">
        <v>50.435105</v>
      </c>
      <c r="X8" t="n">
        <v>12443.762725</v>
      </c>
      <c r="Z8" t="n">
        <v>326.985876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H9" t="n">
        <v>14879959.242488</v>
      </c>
      <c r="I9" t="n">
        <v>4341.841291</v>
      </c>
      <c r="J9" t="n">
        <v>4398.007385</v>
      </c>
      <c r="K9" t="n">
        <v>1301.694746</v>
      </c>
      <c r="L9" t="n">
        <v>7112.982475</v>
      </c>
      <c r="M9" t="n">
        <v>4967.292392</v>
      </c>
      <c r="N9" t="n">
        <v>4967.292392</v>
      </c>
      <c r="O9" t="n">
        <v>58.311114</v>
      </c>
      <c r="P9" t="n">
        <v>31.032685</v>
      </c>
      <c r="Q9" t="n">
        <v>4967.292392</v>
      </c>
      <c r="R9" t="n">
        <v>4967.292392</v>
      </c>
      <c r="S9" t="n">
        <v>58.311114</v>
      </c>
      <c r="T9" t="n">
        <v>58.311114</v>
      </c>
      <c r="U9" t="n">
        <v>31.032685</v>
      </c>
      <c r="V9" t="n">
        <v>31.032685</v>
      </c>
      <c r="W9" t="n">
        <v>61.724923</v>
      </c>
      <c r="X9" t="n">
        <v>5208.68705</v>
      </c>
      <c r="Z9" t="n">
        <v>132.574913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H10" t="n">
        <v>3660005.658411</v>
      </c>
      <c r="I10" t="n">
        <v>1276.465343</v>
      </c>
      <c r="J10" t="n">
        <v>1290.274775</v>
      </c>
      <c r="K10" t="n">
        <v>518.5439699999999</v>
      </c>
      <c r="L10" t="n">
        <v>2045.820774</v>
      </c>
      <c r="M10" t="n">
        <v>1430.319122</v>
      </c>
      <c r="N10" t="n">
        <v>1430.319122</v>
      </c>
      <c r="O10" t="n">
        <v>25.28788</v>
      </c>
      <c r="P10" t="n">
        <v>14.738601</v>
      </c>
      <c r="Q10" t="n">
        <v>1430.319122</v>
      </c>
      <c r="R10" t="n">
        <v>1430.319122</v>
      </c>
      <c r="S10" t="n">
        <v>25.28788</v>
      </c>
      <c r="T10" t="n">
        <v>25.28788</v>
      </c>
      <c r="U10" t="n">
        <v>14.738601</v>
      </c>
      <c r="V10" t="n">
        <v>14.738601</v>
      </c>
      <c r="W10" t="n">
        <v>26.656442</v>
      </c>
      <c r="X10" t="n">
        <v>1496.039737</v>
      </c>
      <c r="Z10" t="n">
        <v>56.119608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H11" t="n">
        <v>842.727401</v>
      </c>
      <c r="I11" t="n">
        <v>57.395403</v>
      </c>
      <c r="J11" t="n">
        <v>57.395403</v>
      </c>
      <c r="K11" t="n">
        <v>21.98244</v>
      </c>
      <c r="L11" t="n">
        <v>92.59366</v>
      </c>
      <c r="M11" t="n">
        <v>61.118924</v>
      </c>
      <c r="N11" t="n">
        <v>61.118924</v>
      </c>
      <c r="O11" t="n">
        <v>1.571536</v>
      </c>
      <c r="P11" t="n">
        <v>1.01605</v>
      </c>
      <c r="Q11" t="n">
        <v>61.118924</v>
      </c>
      <c r="R11" t="n">
        <v>61.118924</v>
      </c>
      <c r="S11" t="n">
        <v>1.571536</v>
      </c>
      <c r="T11" t="n">
        <v>1.571536</v>
      </c>
      <c r="U11" t="n">
        <v>1.01605</v>
      </c>
      <c r="V11" t="n">
        <v>1.01605</v>
      </c>
      <c r="W11" t="n">
        <v>1.626148</v>
      </c>
      <c r="X11" t="n">
        <v>63.787046</v>
      </c>
      <c r="Z11" t="n">
        <v>5.312721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H12" t="n">
        <v>38.925653</v>
      </c>
      <c r="I12" t="n">
        <v>80.769231</v>
      </c>
      <c r="J12" t="n">
        <v>80.769231</v>
      </c>
      <c r="K12" t="n">
        <v>4.2</v>
      </c>
      <c r="L12" t="n">
        <v>114.728394</v>
      </c>
      <c r="M12" t="n">
        <v>80.769231</v>
      </c>
      <c r="N12" t="n">
        <v>80.769231</v>
      </c>
      <c r="O12" t="n">
        <v>4.2</v>
      </c>
      <c r="P12" t="n">
        <v>3.36</v>
      </c>
      <c r="Q12" t="n">
        <v>80.769231</v>
      </c>
      <c r="R12" t="n">
        <v>80.769231</v>
      </c>
      <c r="S12" t="n">
        <v>4.2</v>
      </c>
      <c r="T12" t="n">
        <v>4.2</v>
      </c>
      <c r="U12" t="n">
        <v>3.36</v>
      </c>
      <c r="V12" t="n">
        <v>3.36</v>
      </c>
      <c r="W12" t="n">
        <v>4.311623</v>
      </c>
      <c r="X12" t="n">
        <v>82.260733</v>
      </c>
      <c r="Z12" t="n">
        <v>5.208688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H13" t="n">
        <v>40975539.813113</v>
      </c>
      <c r="I13" t="n">
        <v>2895.31657</v>
      </c>
      <c r="J13" t="n">
        <v>3100.990647</v>
      </c>
      <c r="K13" t="n">
        <v>1221.259727</v>
      </c>
      <c r="L13" t="n">
        <v>6846.4367</v>
      </c>
      <c r="M13" t="n">
        <v>4683.836246</v>
      </c>
      <c r="N13" t="n">
        <v>4683.836246</v>
      </c>
      <c r="O13" t="n">
        <v>33.070685</v>
      </c>
      <c r="P13" t="n">
        <v>15.260526</v>
      </c>
      <c r="Q13" t="n">
        <v>4683.836246</v>
      </c>
      <c r="R13" t="n">
        <v>4683.836246</v>
      </c>
      <c r="S13" t="n">
        <v>33.070685</v>
      </c>
      <c r="T13" t="n">
        <v>33.070685</v>
      </c>
      <c r="U13" t="n">
        <v>15.260526</v>
      </c>
      <c r="V13" t="n">
        <v>15.260526</v>
      </c>
      <c r="W13" t="n">
        <v>34.564338</v>
      </c>
      <c r="X13" t="n">
        <v>5045.299884</v>
      </c>
      <c r="Z13" t="n">
        <v>123.6742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H14" t="n">
        <v>1680573.295471</v>
      </c>
      <c r="I14" t="n">
        <v>2351.601599</v>
      </c>
      <c r="J14" t="n">
        <v>2551.708963</v>
      </c>
      <c r="K14" t="n">
        <v>1196.751504</v>
      </c>
      <c r="L14" t="n">
        <v>4710.704014</v>
      </c>
      <c r="M14" t="n">
        <v>3197.137719</v>
      </c>
      <c r="N14" t="n">
        <v>3197.137719</v>
      </c>
      <c r="O14" t="n">
        <v>47.386821</v>
      </c>
      <c r="P14" t="n">
        <v>22.758425</v>
      </c>
      <c r="Q14" t="n">
        <v>3197.137719</v>
      </c>
      <c r="R14" t="n">
        <v>3197.137719</v>
      </c>
      <c r="S14" t="n">
        <v>47.386821</v>
      </c>
      <c r="T14" t="n">
        <v>47.386821</v>
      </c>
      <c r="U14" t="n">
        <v>22.758425</v>
      </c>
      <c r="V14" t="n">
        <v>22.758425</v>
      </c>
      <c r="W14" t="n">
        <v>49.846385</v>
      </c>
      <c r="X14" t="n">
        <v>3474.67582</v>
      </c>
      <c r="Z14" t="n">
        <v>73.813157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H15" t="n">
        <v>4269.070427</v>
      </c>
      <c r="I15" t="n">
        <v>87.815798</v>
      </c>
      <c r="J15" t="n">
        <v>87.815798</v>
      </c>
      <c r="K15" t="n">
        <v>63.579479</v>
      </c>
      <c r="L15" t="n">
        <v>134.682411</v>
      </c>
      <c r="M15" t="n">
        <v>91.32078300000001</v>
      </c>
      <c r="N15" t="n">
        <v>91.32078300000001</v>
      </c>
      <c r="O15" t="n">
        <v>4.600543</v>
      </c>
      <c r="P15" t="n">
        <v>3.11926</v>
      </c>
      <c r="Q15" t="n">
        <v>91.32078300000001</v>
      </c>
      <c r="R15" t="n">
        <v>91.32078300000001</v>
      </c>
      <c r="S15" t="n">
        <v>4.600543</v>
      </c>
      <c r="T15" t="n">
        <v>4.600543</v>
      </c>
      <c r="U15" t="n">
        <v>3.11926</v>
      </c>
      <c r="V15" t="n">
        <v>3.11926</v>
      </c>
      <c r="W15" t="n">
        <v>4.778635</v>
      </c>
      <c r="X15" t="n">
        <v>95.337259</v>
      </c>
      <c r="Z15" t="n">
        <v>8.914156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H16" t="n">
        <v>32593.399706</v>
      </c>
      <c r="I16" t="n">
        <v>356.10635</v>
      </c>
      <c r="J16" t="n">
        <v>384.755747</v>
      </c>
      <c r="K16" t="n">
        <v>365.51796</v>
      </c>
      <c r="L16" t="n">
        <v>602.712303</v>
      </c>
      <c r="M16" t="n">
        <v>421.28566</v>
      </c>
      <c r="N16" t="n">
        <v>421.28566</v>
      </c>
      <c r="O16" t="n">
        <v>20.384878</v>
      </c>
      <c r="P16" t="n">
        <v>12.067619</v>
      </c>
      <c r="Q16" t="n">
        <v>421.28566</v>
      </c>
      <c r="R16" t="n">
        <v>421.28566</v>
      </c>
      <c r="S16" t="n">
        <v>20.384878</v>
      </c>
      <c r="T16" t="n">
        <v>20.384878</v>
      </c>
      <c r="U16" t="n">
        <v>12.067619</v>
      </c>
      <c r="V16" t="n">
        <v>12.067619</v>
      </c>
      <c r="W16" t="n">
        <v>20.990919</v>
      </c>
      <c r="X16" t="n">
        <v>434.828134</v>
      </c>
      <c r="Z16" t="n">
        <v>44.708144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H17" t="n">
        <v>1993.394013</v>
      </c>
      <c r="I17" t="n">
        <v>277.068801</v>
      </c>
      <c r="J17" t="n">
        <v>277.068801</v>
      </c>
      <c r="K17" t="n">
        <v>263.215361</v>
      </c>
      <c r="L17" t="n">
        <v>393.787233</v>
      </c>
      <c r="M17" t="n">
        <v>277.168933</v>
      </c>
      <c r="N17" t="n">
        <v>277.168933</v>
      </c>
      <c r="O17" t="n">
        <v>14.521402</v>
      </c>
      <c r="P17" t="n">
        <v>9.426283</v>
      </c>
      <c r="Q17" t="n">
        <v>277.168933</v>
      </c>
      <c r="R17" t="n">
        <v>277.168933</v>
      </c>
      <c r="S17" t="n">
        <v>14.521402</v>
      </c>
      <c r="T17" t="n">
        <v>14.521402</v>
      </c>
      <c r="U17" t="n">
        <v>9.426283</v>
      </c>
      <c r="V17" t="n">
        <v>9.426283</v>
      </c>
      <c r="W17" t="n">
        <v>15.223157</v>
      </c>
      <c r="X17" t="n">
        <v>285.614997</v>
      </c>
      <c r="Z17" t="n">
        <v>31.193085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H18" t="n">
        <v>14879959.242488</v>
      </c>
      <c r="I18" t="n">
        <v>4341.841291</v>
      </c>
      <c r="J18" t="n">
        <v>4398.007385</v>
      </c>
      <c r="K18" t="n">
        <v>1301.694746</v>
      </c>
      <c r="L18" t="n">
        <v>7112.982475</v>
      </c>
      <c r="M18" t="n">
        <v>4967.292392</v>
      </c>
      <c r="N18" t="n">
        <v>4967.292392</v>
      </c>
      <c r="O18" t="n">
        <v>58.311114</v>
      </c>
      <c r="P18" t="n">
        <v>31.032685</v>
      </c>
      <c r="Q18" t="n">
        <v>4967.292392</v>
      </c>
      <c r="R18" t="n">
        <v>4967.292392</v>
      </c>
      <c r="S18" t="n">
        <v>58.311114</v>
      </c>
      <c r="T18" t="n">
        <v>58.311114</v>
      </c>
      <c r="U18" t="n">
        <v>31.032685</v>
      </c>
      <c r="V18" t="n">
        <v>31.032685</v>
      </c>
      <c r="W18" t="n">
        <v>61.724923</v>
      </c>
      <c r="X18" t="n">
        <v>5208.68705</v>
      </c>
      <c r="Z18" t="n">
        <v>132.574913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H19" t="n">
        <v>14879959.242488</v>
      </c>
      <c r="I19" t="n">
        <v>4341.841291</v>
      </c>
      <c r="J19" t="n">
        <v>4398.007385</v>
      </c>
      <c r="K19" t="n">
        <v>1301.694746</v>
      </c>
      <c r="L19" t="n">
        <v>7112.982475</v>
      </c>
      <c r="M19" t="n">
        <v>4967.292392</v>
      </c>
      <c r="N19" t="n">
        <v>4967.292392</v>
      </c>
      <c r="O19" t="n">
        <v>58.311114</v>
      </c>
      <c r="P19" t="n">
        <v>31.032685</v>
      </c>
      <c r="Q19" t="n">
        <v>4967.292392</v>
      </c>
      <c r="R19" t="n">
        <v>4967.292392</v>
      </c>
      <c r="S19" t="n">
        <v>58.311114</v>
      </c>
      <c r="T19" t="n">
        <v>58.311114</v>
      </c>
      <c r="U19" t="n">
        <v>31.032685</v>
      </c>
      <c r="V19" t="n">
        <v>31.032685</v>
      </c>
      <c r="W19" t="n">
        <v>61.724923</v>
      </c>
      <c r="X19" t="n">
        <v>5208.68705</v>
      </c>
      <c r="Z19" t="n">
        <v>132.574913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H20" t="n">
        <v>32593.399706</v>
      </c>
      <c r="I20" t="n">
        <v>356.10635</v>
      </c>
      <c r="J20" t="n">
        <v>384.755747</v>
      </c>
      <c r="K20" t="n">
        <v>365.51796</v>
      </c>
      <c r="L20" t="n">
        <v>602.712303</v>
      </c>
      <c r="M20" t="n">
        <v>421.28566</v>
      </c>
      <c r="N20" t="n">
        <v>421.28566</v>
      </c>
      <c r="O20" t="n">
        <v>20.384878</v>
      </c>
      <c r="P20" t="n">
        <v>12.067619</v>
      </c>
      <c r="Q20" t="n">
        <v>421.28566</v>
      </c>
      <c r="R20" t="n">
        <v>421.28566</v>
      </c>
      <c r="S20" t="n">
        <v>20.384878</v>
      </c>
      <c r="T20" t="n">
        <v>20.384878</v>
      </c>
      <c r="U20" t="n">
        <v>12.067619</v>
      </c>
      <c r="V20" t="n">
        <v>12.067619</v>
      </c>
      <c r="W20" t="n">
        <v>20.990919</v>
      </c>
      <c r="X20" t="n">
        <v>434.828134</v>
      </c>
      <c r="Z20" t="n">
        <v>44.708144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H21" t="n">
        <v>10156642.181469</v>
      </c>
      <c r="I21" t="n">
        <v>1774.929351</v>
      </c>
      <c r="J21" t="n">
        <v>1826.685959</v>
      </c>
      <c r="K21" t="n">
        <v>1113.560652</v>
      </c>
      <c r="L21" t="n">
        <v>3240.975912</v>
      </c>
      <c r="M21" t="n">
        <v>2233.907555</v>
      </c>
      <c r="N21" t="n">
        <v>2233.907555</v>
      </c>
      <c r="O21" t="n">
        <v>48.674225</v>
      </c>
      <c r="P21" t="n">
        <v>23.114525</v>
      </c>
      <c r="Q21" t="n">
        <v>2233.907555</v>
      </c>
      <c r="R21" t="n">
        <v>2233.907555</v>
      </c>
      <c r="S21" t="n">
        <v>48.674225</v>
      </c>
      <c r="T21" t="n">
        <v>48.674225</v>
      </c>
      <c r="U21" t="n">
        <v>23.114525</v>
      </c>
      <c r="V21" t="n">
        <v>23.114525</v>
      </c>
      <c r="W21" t="n">
        <v>51.10279</v>
      </c>
      <c r="X21" t="n">
        <v>2376.544826</v>
      </c>
      <c r="Z21" t="n">
        <v>167.753026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H22" t="n">
        <v>426.216492</v>
      </c>
      <c r="I22" t="n">
        <v>88.674335</v>
      </c>
      <c r="J22" t="n">
        <v>88.674335</v>
      </c>
      <c r="K22" t="n">
        <v>84.240618</v>
      </c>
      <c r="L22" t="n">
        <v>130.894857</v>
      </c>
      <c r="M22" t="n">
        <v>88.674335</v>
      </c>
      <c r="N22" t="n">
        <v>88.674335</v>
      </c>
      <c r="O22" t="n">
        <v>5.151693</v>
      </c>
      <c r="P22" t="n">
        <v>3.42724</v>
      </c>
      <c r="Q22" t="n">
        <v>88.674335</v>
      </c>
      <c r="R22" t="n">
        <v>88.674335</v>
      </c>
      <c r="S22" t="n">
        <v>5.151693</v>
      </c>
      <c r="T22" t="n">
        <v>5.151693</v>
      </c>
      <c r="U22" t="n">
        <v>3.42724</v>
      </c>
      <c r="V22" t="n">
        <v>3.42724</v>
      </c>
      <c r="W22" t="n">
        <v>5.382228</v>
      </c>
      <c r="X22" t="n">
        <v>92.561423</v>
      </c>
      <c r="Z22" t="n">
        <v>8.611278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H23" t="n">
        <v>1993.394013</v>
      </c>
      <c r="I23" t="n">
        <v>277.068801</v>
      </c>
      <c r="J23" t="n">
        <v>277.068801</v>
      </c>
      <c r="K23" t="n">
        <v>263.215361</v>
      </c>
      <c r="L23" t="n">
        <v>393.787233</v>
      </c>
      <c r="M23" t="n">
        <v>277.168933</v>
      </c>
      <c r="N23" t="n">
        <v>277.168933</v>
      </c>
      <c r="O23" t="n">
        <v>14.521402</v>
      </c>
      <c r="P23" t="n">
        <v>9.426283</v>
      </c>
      <c r="Q23" t="n">
        <v>277.168933</v>
      </c>
      <c r="R23" t="n">
        <v>277.168933</v>
      </c>
      <c r="S23" t="n">
        <v>14.521402</v>
      </c>
      <c r="T23" t="n">
        <v>14.521402</v>
      </c>
      <c r="U23" t="n">
        <v>9.426283</v>
      </c>
      <c r="V23" t="n">
        <v>9.426283</v>
      </c>
      <c r="W23" t="n">
        <v>15.223157</v>
      </c>
      <c r="X23" t="n">
        <v>285.614997</v>
      </c>
      <c r="Z23" t="n">
        <v>31.193085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H24" t="n">
        <v>40975539.813113</v>
      </c>
      <c r="I24" t="n">
        <v>2895.31657</v>
      </c>
      <c r="J24" t="n">
        <v>3100.990647</v>
      </c>
      <c r="K24" t="n">
        <v>1221.259727</v>
      </c>
      <c r="L24" t="n">
        <v>6846.4367</v>
      </c>
      <c r="M24" t="n">
        <v>4683.836246</v>
      </c>
      <c r="N24" t="n">
        <v>4683.836246</v>
      </c>
      <c r="O24" t="n">
        <v>33.070685</v>
      </c>
      <c r="P24" t="n">
        <v>15.260526</v>
      </c>
      <c r="Q24" t="n">
        <v>4683.836246</v>
      </c>
      <c r="R24" t="n">
        <v>4683.836246</v>
      </c>
      <c r="S24" t="n">
        <v>33.070685</v>
      </c>
      <c r="T24" t="n">
        <v>33.070685</v>
      </c>
      <c r="U24" t="n">
        <v>15.260526</v>
      </c>
      <c r="V24" t="n">
        <v>15.260526</v>
      </c>
      <c r="W24" t="n">
        <v>34.564338</v>
      </c>
      <c r="X24" t="n">
        <v>5045.299884</v>
      </c>
      <c r="Z24" t="n">
        <v>123.6742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H25" t="n">
        <v>12199287.641607</v>
      </c>
      <c r="I25" t="n">
        <v>7254.269109</v>
      </c>
      <c r="J25" t="n">
        <v>7445.748833</v>
      </c>
      <c r="K25" t="n">
        <v>2442.205617</v>
      </c>
      <c r="L25" t="n">
        <v>16970.336092</v>
      </c>
      <c r="M25" t="n">
        <v>11606.388394</v>
      </c>
      <c r="N25" t="n">
        <v>11606.388394</v>
      </c>
      <c r="O25" t="n">
        <v>106.798413</v>
      </c>
      <c r="P25" t="n">
        <v>47.527255</v>
      </c>
      <c r="Q25" t="n">
        <v>11606.388394</v>
      </c>
      <c r="R25" t="n">
        <v>11606.388394</v>
      </c>
      <c r="S25" t="n">
        <v>106.798413</v>
      </c>
      <c r="T25" t="n">
        <v>106.798413</v>
      </c>
      <c r="U25" t="n">
        <v>47.527255</v>
      </c>
      <c r="V25" t="n">
        <v>47.527255</v>
      </c>
      <c r="W25" t="n">
        <v>113.377905</v>
      </c>
      <c r="X25" t="n">
        <v>12105.0183</v>
      </c>
      <c r="Z25" t="n">
        <v>189.53245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H26" t="n">
        <v>426.216492</v>
      </c>
      <c r="I26" t="n">
        <v>88.674335</v>
      </c>
      <c r="J26" t="n">
        <v>88.674335</v>
      </c>
      <c r="K26" t="n">
        <v>84.240618</v>
      </c>
      <c r="L26" t="n">
        <v>130.894857</v>
      </c>
      <c r="M26" t="n">
        <v>88.674335</v>
      </c>
      <c r="N26" t="n">
        <v>88.674335</v>
      </c>
      <c r="O26" t="n">
        <v>5.151693</v>
      </c>
      <c r="P26" t="n">
        <v>3.42724</v>
      </c>
      <c r="Q26" t="n">
        <v>88.674335</v>
      </c>
      <c r="R26" t="n">
        <v>88.674335</v>
      </c>
      <c r="S26" t="n">
        <v>5.151693</v>
      </c>
      <c r="T26" t="n">
        <v>5.151693</v>
      </c>
      <c r="U26" t="n">
        <v>3.42724</v>
      </c>
      <c r="V26" t="n">
        <v>3.42724</v>
      </c>
      <c r="W26" t="n">
        <v>5.382228</v>
      </c>
      <c r="X26" t="n">
        <v>92.561423</v>
      </c>
      <c r="Z26" t="n">
        <v>8.611278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H27" t="n">
        <v>252175.379258</v>
      </c>
      <c r="I27" t="n">
        <v>726.768274</v>
      </c>
      <c r="J27" t="n">
        <v>743.903747</v>
      </c>
      <c r="K27" t="n">
        <v>371.951873</v>
      </c>
      <c r="L27" t="n">
        <v>1659.687874</v>
      </c>
      <c r="M27" t="n">
        <v>1154.615618</v>
      </c>
      <c r="N27" t="n">
        <v>1154.615618</v>
      </c>
      <c r="O27" t="n">
        <v>19.267286</v>
      </c>
      <c r="P27" t="n">
        <v>9.928678</v>
      </c>
      <c r="Q27" t="n">
        <v>1154.615618</v>
      </c>
      <c r="R27" t="n">
        <v>1154.615618</v>
      </c>
      <c r="S27" t="n">
        <v>19.267286</v>
      </c>
      <c r="T27" t="n">
        <v>19.267286</v>
      </c>
      <c r="U27" t="n">
        <v>9.928678</v>
      </c>
      <c r="V27" t="n">
        <v>9.928678</v>
      </c>
      <c r="W27" t="n">
        <v>19.883589</v>
      </c>
      <c r="X27" t="n">
        <v>1235.144457</v>
      </c>
      <c r="Z27" t="n">
        <v>97.384973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H28" t="n">
        <v>14879959.242488</v>
      </c>
      <c r="I28" t="n">
        <v>4341.841291</v>
      </c>
      <c r="J28" t="n">
        <v>4398.007385</v>
      </c>
      <c r="K28" t="n">
        <v>1301.694746</v>
      </c>
      <c r="L28" t="n">
        <v>7112.982475</v>
      </c>
      <c r="M28" t="n">
        <v>4967.292392</v>
      </c>
      <c r="N28" t="n">
        <v>4967.292392</v>
      </c>
      <c r="O28" t="n">
        <v>58.311114</v>
      </c>
      <c r="P28" t="n">
        <v>31.032685</v>
      </c>
      <c r="Q28" t="n">
        <v>4967.292392</v>
      </c>
      <c r="R28" t="n">
        <v>4967.292392</v>
      </c>
      <c r="S28" t="n">
        <v>58.311114</v>
      </c>
      <c r="T28" t="n">
        <v>58.311114</v>
      </c>
      <c r="U28" t="n">
        <v>31.032685</v>
      </c>
      <c r="V28" t="n">
        <v>31.032685</v>
      </c>
      <c r="W28" t="n">
        <v>61.724923</v>
      </c>
      <c r="X28" t="n">
        <v>5208.68705</v>
      </c>
      <c r="Z28" t="n">
        <v>132.574913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H29" t="n">
        <v>18724.860706</v>
      </c>
      <c r="I29" t="n">
        <v>98.72009199999999</v>
      </c>
      <c r="J29" t="n">
        <v>98.72009199999999</v>
      </c>
      <c r="K29" t="n">
        <v>93.784087</v>
      </c>
      <c r="L29" t="n">
        <v>173.938876</v>
      </c>
      <c r="M29" t="n">
        <v>115.203607</v>
      </c>
      <c r="N29" t="n">
        <v>115.203607</v>
      </c>
      <c r="O29" t="n">
        <v>4.263184</v>
      </c>
      <c r="P29" t="n">
        <v>2.411197</v>
      </c>
      <c r="Q29" t="n">
        <v>115.203607</v>
      </c>
      <c r="R29" t="n">
        <v>115.203607</v>
      </c>
      <c r="S29" t="n">
        <v>4.263184</v>
      </c>
      <c r="T29" t="n">
        <v>4.263184</v>
      </c>
      <c r="U29" t="n">
        <v>2.411197</v>
      </c>
      <c r="V29" t="n">
        <v>2.411197</v>
      </c>
      <c r="W29" t="n">
        <v>4.428691</v>
      </c>
      <c r="X29" t="n">
        <v>122.757859</v>
      </c>
      <c r="Z29" t="n">
        <v>14.767218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H30" t="n">
        <v>66499585.166222</v>
      </c>
      <c r="I30" t="n">
        <v>4469.123499</v>
      </c>
      <c r="J30" t="n">
        <v>4793.322749</v>
      </c>
      <c r="K30" t="n">
        <v>1747.151432</v>
      </c>
      <c r="L30" t="n">
        <v>10677.999207</v>
      </c>
      <c r="M30" t="n">
        <v>7305.602239</v>
      </c>
      <c r="N30" t="n">
        <v>7305.602239</v>
      </c>
      <c r="O30" t="n">
        <v>41.400447</v>
      </c>
      <c r="P30" t="n">
        <v>18.192821</v>
      </c>
      <c r="Q30" t="n">
        <v>7305.602239</v>
      </c>
      <c r="R30" t="n">
        <v>7305.602239</v>
      </c>
      <c r="S30" t="n">
        <v>41.400447</v>
      </c>
      <c r="T30" t="n">
        <v>41.400447</v>
      </c>
      <c r="U30" t="n">
        <v>18.192821</v>
      </c>
      <c r="V30" t="n">
        <v>18.192821</v>
      </c>
      <c r="W30" t="n">
        <v>43.295832</v>
      </c>
      <c r="X30" t="n">
        <v>7878.655066</v>
      </c>
      <c r="Z30" t="n">
        <v>171.758301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H31" t="n">
        <v>426.216492</v>
      </c>
      <c r="I31" t="n">
        <v>88.674335</v>
      </c>
      <c r="J31" t="n">
        <v>88.674335</v>
      </c>
      <c r="K31" t="n">
        <v>84.240618</v>
      </c>
      <c r="L31" t="n">
        <v>130.894857</v>
      </c>
      <c r="M31" t="n">
        <v>88.674335</v>
      </c>
      <c r="N31" t="n">
        <v>88.674335</v>
      </c>
      <c r="O31" t="n">
        <v>5.151693</v>
      </c>
      <c r="P31" t="n">
        <v>3.42724</v>
      </c>
      <c r="Q31" t="n">
        <v>88.674335</v>
      </c>
      <c r="R31" t="n">
        <v>88.674335</v>
      </c>
      <c r="S31" t="n">
        <v>5.151693</v>
      </c>
      <c r="T31" t="n">
        <v>5.151693</v>
      </c>
      <c r="U31" t="n">
        <v>3.42724</v>
      </c>
      <c r="V31" t="n">
        <v>3.42724</v>
      </c>
      <c r="W31" t="n">
        <v>5.382228</v>
      </c>
      <c r="X31" t="n">
        <v>92.561423</v>
      </c>
      <c r="Z31" t="n">
        <v>8.611278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H32" t="n">
        <v>12597587.109426</v>
      </c>
      <c r="I32" t="n">
        <v>2011.85117</v>
      </c>
      <c r="J32" t="n">
        <v>2069.253476</v>
      </c>
      <c r="K32" t="n">
        <v>1211.061254</v>
      </c>
      <c r="L32" t="n">
        <v>3691.420719</v>
      </c>
      <c r="M32" t="n">
        <v>2544.206248</v>
      </c>
      <c r="N32" t="n">
        <v>2544.206248</v>
      </c>
      <c r="O32" t="n">
        <v>52.008808</v>
      </c>
      <c r="P32" t="n">
        <v>24.402038</v>
      </c>
      <c r="Q32" t="n">
        <v>2544.206248</v>
      </c>
      <c r="R32" t="n">
        <v>2544.206248</v>
      </c>
      <c r="S32" t="n">
        <v>52.008808</v>
      </c>
      <c r="T32" t="n">
        <v>52.008808</v>
      </c>
      <c r="U32" t="n">
        <v>24.402038</v>
      </c>
      <c r="V32" t="n">
        <v>24.402038</v>
      </c>
      <c r="W32" t="n">
        <v>54.568994</v>
      </c>
      <c r="X32" t="n">
        <v>2714.954335</v>
      </c>
      <c r="Z32" t="n">
        <v>182.392954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H33" t="n">
        <v>3660005.658411</v>
      </c>
      <c r="I33" t="n">
        <v>1276.465343</v>
      </c>
      <c r="J33" t="n">
        <v>1290.274775</v>
      </c>
      <c r="K33" t="n">
        <v>518.5439699999999</v>
      </c>
      <c r="L33" t="n">
        <v>2045.820774</v>
      </c>
      <c r="M33" t="n">
        <v>1430.319122</v>
      </c>
      <c r="N33" t="n">
        <v>1430.319122</v>
      </c>
      <c r="O33" t="n">
        <v>25.28788</v>
      </c>
      <c r="P33" t="n">
        <v>14.738601</v>
      </c>
      <c r="Q33" t="n">
        <v>1430.319122</v>
      </c>
      <c r="R33" t="n">
        <v>1430.319122</v>
      </c>
      <c r="S33" t="n">
        <v>25.28788</v>
      </c>
      <c r="T33" t="n">
        <v>25.28788</v>
      </c>
      <c r="U33" t="n">
        <v>14.738601</v>
      </c>
      <c r="V33" t="n">
        <v>14.738601</v>
      </c>
      <c r="W33" t="n">
        <v>26.656442</v>
      </c>
      <c r="X33" t="n">
        <v>1496.039737</v>
      </c>
      <c r="Z33" t="n">
        <v>56.119608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H34" t="n">
        <v>66499585.166222</v>
      </c>
      <c r="I34" t="n">
        <v>4469.123499</v>
      </c>
      <c r="J34" t="n">
        <v>4793.322749</v>
      </c>
      <c r="K34" t="n">
        <v>1747.151432</v>
      </c>
      <c r="L34" t="n">
        <v>10677.999207</v>
      </c>
      <c r="M34" t="n">
        <v>7305.602239</v>
      </c>
      <c r="N34" t="n">
        <v>7305.602239</v>
      </c>
      <c r="O34" t="n">
        <v>41.400447</v>
      </c>
      <c r="P34" t="n">
        <v>18.192821</v>
      </c>
      <c r="Q34" t="n">
        <v>7305.602239</v>
      </c>
      <c r="R34" t="n">
        <v>7305.602239</v>
      </c>
      <c r="S34" t="n">
        <v>41.400447</v>
      </c>
      <c r="T34" t="n">
        <v>41.400447</v>
      </c>
      <c r="U34" t="n">
        <v>18.192821</v>
      </c>
      <c r="V34" t="n">
        <v>18.192821</v>
      </c>
      <c r="W34" t="n">
        <v>43.295832</v>
      </c>
      <c r="X34" t="n">
        <v>7878.655066</v>
      </c>
      <c r="Z34" t="n">
        <v>171.758301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H35" t="n">
        <v>18724.860706</v>
      </c>
      <c r="I35" t="n">
        <v>98.72009199999999</v>
      </c>
      <c r="J35" t="n">
        <v>98.72009199999999</v>
      </c>
      <c r="K35" t="n">
        <v>93.784087</v>
      </c>
      <c r="L35" t="n">
        <v>173.938876</v>
      </c>
      <c r="M35" t="n">
        <v>115.203607</v>
      </c>
      <c r="N35" t="n">
        <v>115.203607</v>
      </c>
      <c r="O35" t="n">
        <v>4.263184</v>
      </c>
      <c r="P35" t="n">
        <v>2.411197</v>
      </c>
      <c r="Q35" t="n">
        <v>115.203607</v>
      </c>
      <c r="R35" t="n">
        <v>115.203607</v>
      </c>
      <c r="S35" t="n">
        <v>4.263184</v>
      </c>
      <c r="T35" t="n">
        <v>4.263184</v>
      </c>
      <c r="U35" t="n">
        <v>2.411197</v>
      </c>
      <c r="V35" t="n">
        <v>2.411197</v>
      </c>
      <c r="W35" t="n">
        <v>4.428691</v>
      </c>
      <c r="X35" t="n">
        <v>122.757859</v>
      </c>
      <c r="Z35" t="n">
        <v>14.767218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H36" t="n">
        <v>1993.394013</v>
      </c>
      <c r="I36" t="n">
        <v>277.068801</v>
      </c>
      <c r="J36" t="n">
        <v>277.068801</v>
      </c>
      <c r="K36" t="n">
        <v>263.215361</v>
      </c>
      <c r="L36" t="n">
        <v>393.787233</v>
      </c>
      <c r="M36" t="n">
        <v>277.168933</v>
      </c>
      <c r="N36" t="n">
        <v>277.168933</v>
      </c>
      <c r="O36" t="n">
        <v>14.521402</v>
      </c>
      <c r="P36" t="n">
        <v>9.426283</v>
      </c>
      <c r="Q36" t="n">
        <v>277.168933</v>
      </c>
      <c r="R36" t="n">
        <v>277.168933</v>
      </c>
      <c r="S36" t="n">
        <v>14.521402</v>
      </c>
      <c r="T36" t="n">
        <v>14.521402</v>
      </c>
      <c r="U36" t="n">
        <v>9.426283</v>
      </c>
      <c r="V36" t="n">
        <v>9.426283</v>
      </c>
      <c r="W36" t="n">
        <v>15.223157</v>
      </c>
      <c r="X36" t="n">
        <v>285.614997</v>
      </c>
      <c r="Z36" t="n">
        <v>31.193085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H37" t="n">
        <v>163767.801906</v>
      </c>
      <c r="I37" t="n">
        <v>1107.715094</v>
      </c>
      <c r="J37" t="n">
        <v>1152.41915</v>
      </c>
      <c r="K37" t="n">
        <v>1094.798192</v>
      </c>
      <c r="L37" t="n">
        <v>2274.19106</v>
      </c>
      <c r="M37" t="n">
        <v>1598.007907</v>
      </c>
      <c r="N37" t="n">
        <v>1598.007907</v>
      </c>
      <c r="O37" t="n">
        <v>71.350959</v>
      </c>
      <c r="P37" t="n">
        <v>34.506697</v>
      </c>
      <c r="Q37" t="n">
        <v>1598.007907</v>
      </c>
      <c r="R37" t="n">
        <v>1598.007907</v>
      </c>
      <c r="S37" t="n">
        <v>71.350959</v>
      </c>
      <c r="T37" t="n">
        <v>71.350959</v>
      </c>
      <c r="U37" t="n">
        <v>34.506697</v>
      </c>
      <c r="V37" t="n">
        <v>34.506697</v>
      </c>
      <c r="W37" t="n">
        <v>75.453034</v>
      </c>
      <c r="X37" t="n">
        <v>1713.88012</v>
      </c>
      <c r="Z37" t="n">
        <v>171.487387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H38" t="n">
        <v>1680573.295471</v>
      </c>
      <c r="I38" t="n">
        <v>2351.601599</v>
      </c>
      <c r="J38" t="n">
        <v>2551.708963</v>
      </c>
      <c r="K38" t="n">
        <v>1196.751504</v>
      </c>
      <c r="L38" t="n">
        <v>4710.704014</v>
      </c>
      <c r="M38" t="n">
        <v>3197.137719</v>
      </c>
      <c r="N38" t="n">
        <v>3197.137719</v>
      </c>
      <c r="O38" t="n">
        <v>47.386821</v>
      </c>
      <c r="P38" t="n">
        <v>22.758425</v>
      </c>
      <c r="Q38" t="n">
        <v>3197.137719</v>
      </c>
      <c r="R38" t="n">
        <v>3197.137719</v>
      </c>
      <c r="S38" t="n">
        <v>47.386821</v>
      </c>
      <c r="T38" t="n">
        <v>47.386821</v>
      </c>
      <c r="U38" t="n">
        <v>22.758425</v>
      </c>
      <c r="V38" t="n">
        <v>22.758425</v>
      </c>
      <c r="W38" t="n">
        <v>49.846385</v>
      </c>
      <c r="X38" t="n">
        <v>3474.67582</v>
      </c>
      <c r="Z38" t="n">
        <v>73.813157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H39" t="n">
        <v>252175.379258</v>
      </c>
      <c r="I39" t="n">
        <v>726.768274</v>
      </c>
      <c r="J39" t="n">
        <v>743.903747</v>
      </c>
      <c r="K39" t="n">
        <v>371.951873</v>
      </c>
      <c r="L39" t="n">
        <v>1659.687874</v>
      </c>
      <c r="M39" t="n">
        <v>1154.615618</v>
      </c>
      <c r="N39" t="n">
        <v>1154.615618</v>
      </c>
      <c r="O39" t="n">
        <v>19.267286</v>
      </c>
      <c r="P39" t="n">
        <v>9.928678</v>
      </c>
      <c r="Q39" t="n">
        <v>1154.615618</v>
      </c>
      <c r="R39" t="n">
        <v>1154.615618</v>
      </c>
      <c r="S39" t="n">
        <v>19.267286</v>
      </c>
      <c r="T39" t="n">
        <v>19.267286</v>
      </c>
      <c r="U39" t="n">
        <v>9.928678</v>
      </c>
      <c r="V39" t="n">
        <v>9.928678</v>
      </c>
      <c r="W39" t="n">
        <v>19.883589</v>
      </c>
      <c r="X39" t="n">
        <v>1235.144457</v>
      </c>
      <c r="Z39" t="n">
        <v>97.384973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H40" t="n">
        <v>14879959.242488</v>
      </c>
      <c r="I40" t="n">
        <v>4341.841291</v>
      </c>
      <c r="J40" t="n">
        <v>4398.007385</v>
      </c>
      <c r="K40" t="n">
        <v>1301.694746</v>
      </c>
      <c r="L40" t="n">
        <v>7112.982475</v>
      </c>
      <c r="M40" t="n">
        <v>4967.292392</v>
      </c>
      <c r="N40" t="n">
        <v>4967.292392</v>
      </c>
      <c r="O40" t="n">
        <v>58.311114</v>
      </c>
      <c r="P40" t="n">
        <v>31.032685</v>
      </c>
      <c r="Q40" t="n">
        <v>4967.292392</v>
      </c>
      <c r="R40" t="n">
        <v>4967.292392</v>
      </c>
      <c r="S40" t="n">
        <v>58.311114</v>
      </c>
      <c r="T40" t="n">
        <v>58.311114</v>
      </c>
      <c r="U40" t="n">
        <v>31.032685</v>
      </c>
      <c r="V40" t="n">
        <v>31.032685</v>
      </c>
      <c r="W40" t="n">
        <v>61.724923</v>
      </c>
      <c r="X40" t="n">
        <v>5208.68705</v>
      </c>
      <c r="Z40" t="n">
        <v>132.574913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H41" t="n">
        <v>252175.379258</v>
      </c>
      <c r="I41" t="n">
        <v>726.768274</v>
      </c>
      <c r="J41" t="n">
        <v>743.903747</v>
      </c>
      <c r="K41" t="n">
        <v>371.951873</v>
      </c>
      <c r="L41" t="n">
        <v>1659.687874</v>
      </c>
      <c r="M41" t="n">
        <v>1154.615618</v>
      </c>
      <c r="N41" t="n">
        <v>1154.615618</v>
      </c>
      <c r="O41" t="n">
        <v>19.267286</v>
      </c>
      <c r="P41" t="n">
        <v>9.928678</v>
      </c>
      <c r="Q41" t="n">
        <v>1154.615618</v>
      </c>
      <c r="R41" t="n">
        <v>1154.615618</v>
      </c>
      <c r="S41" t="n">
        <v>19.267286</v>
      </c>
      <c r="T41" t="n">
        <v>19.267286</v>
      </c>
      <c r="U41" t="n">
        <v>9.928678</v>
      </c>
      <c r="V41" t="n">
        <v>9.928678</v>
      </c>
      <c r="W41" t="n">
        <v>19.883589</v>
      </c>
      <c r="X41" t="n">
        <v>1235.144457</v>
      </c>
      <c r="Z41" t="n">
        <v>97.384973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H42" t="n">
        <v>36215476.90323</v>
      </c>
      <c r="I42" t="n">
        <v>6549.676201</v>
      </c>
      <c r="J42" t="n">
        <v>6897.830047</v>
      </c>
      <c r="K42" t="n">
        <v>1662.377041</v>
      </c>
      <c r="L42" t="n">
        <v>16798.641648</v>
      </c>
      <c r="M42" t="n">
        <v>11531.29792</v>
      </c>
      <c r="N42" t="n">
        <v>11531.29792</v>
      </c>
      <c r="O42" t="n">
        <v>47.733364</v>
      </c>
      <c r="P42" t="n">
        <v>20.713886</v>
      </c>
      <c r="Q42" t="n">
        <v>11531.29792</v>
      </c>
      <c r="R42" t="n">
        <v>11531.29792</v>
      </c>
      <c r="S42" t="n">
        <v>47.733364</v>
      </c>
      <c r="T42" t="n">
        <v>47.733364</v>
      </c>
      <c r="U42" t="n">
        <v>20.713886</v>
      </c>
      <c r="V42" t="n">
        <v>20.713886</v>
      </c>
      <c r="W42" t="n">
        <v>50.435105</v>
      </c>
      <c r="X42" t="n">
        <v>12443.762725</v>
      </c>
      <c r="Z42" t="n">
        <v>326.985876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H43" t="n">
        <v>14879959.242488</v>
      </c>
      <c r="I43" t="n">
        <v>4341.841291</v>
      </c>
      <c r="J43" t="n">
        <v>4398.007385</v>
      </c>
      <c r="K43" t="n">
        <v>1301.694746</v>
      </c>
      <c r="L43" t="n">
        <v>7112.982475</v>
      </c>
      <c r="M43" t="n">
        <v>4967.292392</v>
      </c>
      <c r="N43" t="n">
        <v>4967.292392</v>
      </c>
      <c r="O43" t="n">
        <v>58.311114</v>
      </c>
      <c r="P43" t="n">
        <v>31.032685</v>
      </c>
      <c r="Q43" t="n">
        <v>4967.292392</v>
      </c>
      <c r="R43" t="n">
        <v>4967.292392</v>
      </c>
      <c r="S43" t="n">
        <v>58.311114</v>
      </c>
      <c r="T43" t="n">
        <v>58.311114</v>
      </c>
      <c r="U43" t="n">
        <v>31.032685</v>
      </c>
      <c r="V43" t="n">
        <v>31.032685</v>
      </c>
      <c r="W43" t="n">
        <v>61.724923</v>
      </c>
      <c r="X43" t="n">
        <v>5208.68705</v>
      </c>
      <c r="Z43" t="n">
        <v>132.574913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H44" t="n">
        <v>4269.070427</v>
      </c>
      <c r="I44" t="n">
        <v>87.815798</v>
      </c>
      <c r="J44" t="n">
        <v>87.815798</v>
      </c>
      <c r="K44" t="n">
        <v>63.579479</v>
      </c>
      <c r="L44" t="n">
        <v>134.682411</v>
      </c>
      <c r="M44" t="n">
        <v>91.32078300000001</v>
      </c>
      <c r="N44" t="n">
        <v>91.32078300000001</v>
      </c>
      <c r="O44" t="n">
        <v>4.600543</v>
      </c>
      <c r="P44" t="n">
        <v>3.11926</v>
      </c>
      <c r="Q44" t="n">
        <v>91.32078300000001</v>
      </c>
      <c r="R44" t="n">
        <v>91.32078300000001</v>
      </c>
      <c r="S44" t="n">
        <v>4.600543</v>
      </c>
      <c r="T44" t="n">
        <v>4.600543</v>
      </c>
      <c r="U44" t="n">
        <v>3.11926</v>
      </c>
      <c r="V44" t="n">
        <v>3.11926</v>
      </c>
      <c r="W44" t="n">
        <v>4.778635</v>
      </c>
      <c r="X44" t="n">
        <v>95.337259</v>
      </c>
      <c r="Z44" t="n">
        <v>8.914156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H45" t="n">
        <v>14879959.242488</v>
      </c>
      <c r="I45" t="n">
        <v>4341.841291</v>
      </c>
      <c r="J45" t="n">
        <v>4398.007385</v>
      </c>
      <c r="K45" t="n">
        <v>1301.694746</v>
      </c>
      <c r="L45" t="n">
        <v>7112.982475</v>
      </c>
      <c r="M45" t="n">
        <v>4967.292392</v>
      </c>
      <c r="N45" t="n">
        <v>4967.292392</v>
      </c>
      <c r="O45" t="n">
        <v>58.311114</v>
      </c>
      <c r="P45" t="n">
        <v>31.032685</v>
      </c>
      <c r="Q45" t="n">
        <v>4967.292392</v>
      </c>
      <c r="R45" t="n">
        <v>4967.292392</v>
      </c>
      <c r="S45" t="n">
        <v>58.311114</v>
      </c>
      <c r="T45" t="n">
        <v>58.311114</v>
      </c>
      <c r="U45" t="n">
        <v>31.032685</v>
      </c>
      <c r="V45" t="n">
        <v>31.032685</v>
      </c>
      <c r="W45" t="n">
        <v>61.724923</v>
      </c>
      <c r="X45" t="n">
        <v>5208.68705</v>
      </c>
      <c r="Z45" t="n">
        <v>132.574913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H46" t="n">
        <v>12199287.641607</v>
      </c>
      <c r="I46" t="n">
        <v>7254.269109</v>
      </c>
      <c r="J46" t="n">
        <v>7445.748833</v>
      </c>
      <c r="K46" t="n">
        <v>2442.205617</v>
      </c>
      <c r="L46" t="n">
        <v>16970.336092</v>
      </c>
      <c r="M46" t="n">
        <v>11606.388394</v>
      </c>
      <c r="N46" t="n">
        <v>11606.388394</v>
      </c>
      <c r="O46" t="n">
        <v>106.798413</v>
      </c>
      <c r="P46" t="n">
        <v>47.527255</v>
      </c>
      <c r="Q46" t="n">
        <v>11606.388394</v>
      </c>
      <c r="R46" t="n">
        <v>11606.388394</v>
      </c>
      <c r="S46" t="n">
        <v>106.798413</v>
      </c>
      <c r="T46" t="n">
        <v>106.798413</v>
      </c>
      <c r="U46" t="n">
        <v>47.527255</v>
      </c>
      <c r="V46" t="n">
        <v>47.527255</v>
      </c>
      <c r="W46" t="n">
        <v>113.377905</v>
      </c>
      <c r="X46" t="n">
        <v>12105.0183</v>
      </c>
      <c r="Z46" t="n">
        <v>189.53245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H47" t="n">
        <v>66499585.166222</v>
      </c>
      <c r="I47" t="n">
        <v>4469.123499</v>
      </c>
      <c r="J47" t="n">
        <v>4793.322749</v>
      </c>
      <c r="K47" t="n">
        <v>1747.151432</v>
      </c>
      <c r="L47" t="n">
        <v>10677.999207</v>
      </c>
      <c r="M47" t="n">
        <v>7305.602239</v>
      </c>
      <c r="N47" t="n">
        <v>7305.602239</v>
      </c>
      <c r="O47" t="n">
        <v>41.400447</v>
      </c>
      <c r="P47" t="n">
        <v>18.192821</v>
      </c>
      <c r="Q47" t="n">
        <v>7305.602239</v>
      </c>
      <c r="R47" t="n">
        <v>7305.602239</v>
      </c>
      <c r="S47" t="n">
        <v>41.400447</v>
      </c>
      <c r="T47" t="n">
        <v>41.400447</v>
      </c>
      <c r="U47" t="n">
        <v>18.192821</v>
      </c>
      <c r="V47" t="n">
        <v>18.192821</v>
      </c>
      <c r="W47" t="n">
        <v>43.295832</v>
      </c>
      <c r="X47" t="n">
        <v>7878.655066</v>
      </c>
      <c r="Z47" t="n">
        <v>171.758301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H48" t="n">
        <v>252175.379258</v>
      </c>
      <c r="I48" t="n">
        <v>726.768274</v>
      </c>
      <c r="J48" t="n">
        <v>743.903747</v>
      </c>
      <c r="K48" t="n">
        <v>371.951873</v>
      </c>
      <c r="L48" t="n">
        <v>1659.687874</v>
      </c>
      <c r="M48" t="n">
        <v>1154.615618</v>
      </c>
      <c r="N48" t="n">
        <v>1154.615618</v>
      </c>
      <c r="O48" t="n">
        <v>19.267286</v>
      </c>
      <c r="P48" t="n">
        <v>9.928678</v>
      </c>
      <c r="Q48" t="n">
        <v>1154.615618</v>
      </c>
      <c r="R48" t="n">
        <v>1154.615618</v>
      </c>
      <c r="S48" t="n">
        <v>19.267286</v>
      </c>
      <c r="T48" t="n">
        <v>19.267286</v>
      </c>
      <c r="U48" t="n">
        <v>9.928678</v>
      </c>
      <c r="V48" t="n">
        <v>9.928678</v>
      </c>
      <c r="W48" t="n">
        <v>19.883589</v>
      </c>
      <c r="X48" t="n">
        <v>1235.144457</v>
      </c>
      <c r="Z48" t="n">
        <v>97.384973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H49" t="n">
        <v>36215476.90323</v>
      </c>
      <c r="I49" t="n">
        <v>6549.676201</v>
      </c>
      <c r="J49" t="n">
        <v>6897.830047</v>
      </c>
      <c r="K49" t="n">
        <v>1662.377041</v>
      </c>
      <c r="L49" t="n">
        <v>16798.641648</v>
      </c>
      <c r="M49" t="n">
        <v>11531.29792</v>
      </c>
      <c r="N49" t="n">
        <v>11531.29792</v>
      </c>
      <c r="O49" t="n">
        <v>47.733364</v>
      </c>
      <c r="P49" t="n">
        <v>20.713886</v>
      </c>
      <c r="Q49" t="n">
        <v>11531.29792</v>
      </c>
      <c r="R49" t="n">
        <v>11531.29792</v>
      </c>
      <c r="S49" t="n">
        <v>47.733364</v>
      </c>
      <c r="T49" t="n">
        <v>47.733364</v>
      </c>
      <c r="U49" t="n">
        <v>20.713886</v>
      </c>
      <c r="V49" t="n">
        <v>20.713886</v>
      </c>
      <c r="W49" t="n">
        <v>50.435105</v>
      </c>
      <c r="X49" t="n">
        <v>12443.762725</v>
      </c>
      <c r="Z49" t="n">
        <v>326.985876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H50" t="n">
        <v>3941.73523</v>
      </c>
      <c r="I50" t="n">
        <v>71.47126299999999</v>
      </c>
      <c r="J50" t="n">
        <v>71.47126299999999</v>
      </c>
      <c r="K50" t="n">
        <v>44.598068</v>
      </c>
      <c r="L50" t="n">
        <v>113.463496</v>
      </c>
      <c r="M50" t="n">
        <v>73.744072</v>
      </c>
      <c r="N50" t="n">
        <v>73.744072</v>
      </c>
      <c r="O50" t="n">
        <v>2.758573</v>
      </c>
      <c r="P50" t="n">
        <v>1.846527</v>
      </c>
      <c r="Q50" t="n">
        <v>73.744072</v>
      </c>
      <c r="R50" t="n">
        <v>73.744072</v>
      </c>
      <c r="S50" t="n">
        <v>2.758573</v>
      </c>
      <c r="T50" t="n">
        <v>2.758573</v>
      </c>
      <c r="U50" t="n">
        <v>1.846527</v>
      </c>
      <c r="V50" t="n">
        <v>1.846527</v>
      </c>
      <c r="W50" t="n">
        <v>2.824619</v>
      </c>
      <c r="X50" t="n">
        <v>77.46539799999999</v>
      </c>
      <c r="Z50" t="n">
        <v>6.917933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H51" t="n">
        <v>252175.379258</v>
      </c>
      <c r="I51" t="n">
        <v>726.768274</v>
      </c>
      <c r="J51" t="n">
        <v>743.903747</v>
      </c>
      <c r="K51" t="n">
        <v>371.951873</v>
      </c>
      <c r="L51" t="n">
        <v>1659.687874</v>
      </c>
      <c r="M51" t="n">
        <v>1154.615618</v>
      </c>
      <c r="N51" t="n">
        <v>1154.615618</v>
      </c>
      <c r="O51" t="n">
        <v>19.267286</v>
      </c>
      <c r="P51" t="n">
        <v>9.928678</v>
      </c>
      <c r="Q51" t="n">
        <v>1154.615618</v>
      </c>
      <c r="R51" t="n">
        <v>1154.615618</v>
      </c>
      <c r="S51" t="n">
        <v>19.267286</v>
      </c>
      <c r="T51" t="n">
        <v>19.267286</v>
      </c>
      <c r="U51" t="n">
        <v>9.928678</v>
      </c>
      <c r="V51" t="n">
        <v>9.928678</v>
      </c>
      <c r="W51" t="n">
        <v>19.883589</v>
      </c>
      <c r="X51" t="n">
        <v>1235.144457</v>
      </c>
      <c r="Z51" t="n">
        <v>97.384973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H52" t="n">
        <v>97471692.843897</v>
      </c>
      <c r="I52" t="n">
        <v>22014.382452</v>
      </c>
      <c r="J52" t="n">
        <v>22231.430218</v>
      </c>
      <c r="K52" t="n">
        <v>10306.364543</v>
      </c>
      <c r="L52" t="n">
        <v>47447.371867</v>
      </c>
      <c r="M52" t="n">
        <v>32772.930566</v>
      </c>
      <c r="N52" t="n">
        <v>32772.930566</v>
      </c>
      <c r="O52" t="n">
        <v>71.882007</v>
      </c>
      <c r="P52" t="n">
        <v>30.788806</v>
      </c>
      <c r="Q52" t="n">
        <v>32772.930566</v>
      </c>
      <c r="R52" t="n">
        <v>32772.930566</v>
      </c>
      <c r="S52" t="n">
        <v>71.882007</v>
      </c>
      <c r="T52" t="n">
        <v>71.882007</v>
      </c>
      <c r="U52" t="n">
        <v>30.788806</v>
      </c>
      <c r="V52" t="n">
        <v>30.788806</v>
      </c>
      <c r="W52" t="n">
        <v>75.96293799999999</v>
      </c>
      <c r="X52" t="n">
        <v>35173.815829</v>
      </c>
      <c r="Z52" t="n">
        <v>297.776302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H53" t="n">
        <v>14879959.242488</v>
      </c>
      <c r="I53" t="n">
        <v>4341.841291</v>
      </c>
      <c r="J53" t="n">
        <v>4398.007385</v>
      </c>
      <c r="K53" t="n">
        <v>1301.694746</v>
      </c>
      <c r="L53" t="n">
        <v>7112.982475</v>
      </c>
      <c r="M53" t="n">
        <v>4967.292392</v>
      </c>
      <c r="N53" t="n">
        <v>4967.292392</v>
      </c>
      <c r="O53" t="n">
        <v>58.311114</v>
      </c>
      <c r="P53" t="n">
        <v>31.032685</v>
      </c>
      <c r="Q53" t="n">
        <v>4967.292392</v>
      </c>
      <c r="R53" t="n">
        <v>4967.292392</v>
      </c>
      <c r="S53" t="n">
        <v>58.311114</v>
      </c>
      <c r="T53" t="n">
        <v>58.311114</v>
      </c>
      <c r="U53" t="n">
        <v>31.032685</v>
      </c>
      <c r="V53" t="n">
        <v>31.032685</v>
      </c>
      <c r="W53" t="n">
        <v>61.724923</v>
      </c>
      <c r="X53" t="n">
        <v>5208.68705</v>
      </c>
      <c r="Z53" t="n">
        <v>132.574913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H54" t="n">
        <v>97471692.843897</v>
      </c>
      <c r="I54" t="n">
        <v>22014.382452</v>
      </c>
      <c r="J54" t="n">
        <v>22231.430218</v>
      </c>
      <c r="K54" t="n">
        <v>10306.364543</v>
      </c>
      <c r="L54" t="n">
        <v>47447.371867</v>
      </c>
      <c r="M54" t="n">
        <v>32772.930566</v>
      </c>
      <c r="N54" t="n">
        <v>32772.930566</v>
      </c>
      <c r="O54" t="n">
        <v>71.882007</v>
      </c>
      <c r="P54" t="n">
        <v>30.788806</v>
      </c>
      <c r="Q54" t="n">
        <v>32772.930566</v>
      </c>
      <c r="R54" t="n">
        <v>32772.930566</v>
      </c>
      <c r="S54" t="n">
        <v>71.882007</v>
      </c>
      <c r="T54" t="n">
        <v>71.882007</v>
      </c>
      <c r="U54" t="n">
        <v>30.788806</v>
      </c>
      <c r="V54" t="n">
        <v>30.788806</v>
      </c>
      <c r="W54" t="n">
        <v>75.96293799999999</v>
      </c>
      <c r="X54" t="n">
        <v>35173.815829</v>
      </c>
      <c r="Z54" t="n">
        <v>297.776302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H55" t="n">
        <v>14879959.242488</v>
      </c>
      <c r="I55" t="n">
        <v>4341.841291</v>
      </c>
      <c r="J55" t="n">
        <v>4398.007385</v>
      </c>
      <c r="K55" t="n">
        <v>1301.694746</v>
      </c>
      <c r="L55" t="n">
        <v>7112.982475</v>
      </c>
      <c r="M55" t="n">
        <v>4967.292392</v>
      </c>
      <c r="N55" t="n">
        <v>4967.292392</v>
      </c>
      <c r="O55" t="n">
        <v>58.311114</v>
      </c>
      <c r="P55" t="n">
        <v>31.032685</v>
      </c>
      <c r="Q55" t="n">
        <v>4967.292392</v>
      </c>
      <c r="R55" t="n">
        <v>4967.292392</v>
      </c>
      <c r="S55" t="n">
        <v>58.311114</v>
      </c>
      <c r="T55" t="n">
        <v>58.311114</v>
      </c>
      <c r="U55" t="n">
        <v>31.032685</v>
      </c>
      <c r="V55" t="n">
        <v>31.032685</v>
      </c>
      <c r="W55" t="n">
        <v>61.724923</v>
      </c>
      <c r="X55" t="n">
        <v>5208.68705</v>
      </c>
      <c r="Z55" t="n">
        <v>132.574913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H56" t="n">
        <v>1993.394013</v>
      </c>
      <c r="I56" t="n">
        <v>277.068801</v>
      </c>
      <c r="J56" t="n">
        <v>277.068801</v>
      </c>
      <c r="K56" t="n">
        <v>263.215361</v>
      </c>
      <c r="L56" t="n">
        <v>393.787233</v>
      </c>
      <c r="M56" t="n">
        <v>277.168933</v>
      </c>
      <c r="N56" t="n">
        <v>277.168933</v>
      </c>
      <c r="O56" t="n">
        <v>14.521402</v>
      </c>
      <c r="P56" t="n">
        <v>9.426283</v>
      </c>
      <c r="Q56" t="n">
        <v>277.168933</v>
      </c>
      <c r="R56" t="n">
        <v>277.168933</v>
      </c>
      <c r="S56" t="n">
        <v>14.521402</v>
      </c>
      <c r="T56" t="n">
        <v>14.521402</v>
      </c>
      <c r="U56" t="n">
        <v>9.426283</v>
      </c>
      <c r="V56" t="n">
        <v>9.426283</v>
      </c>
      <c r="W56" t="n">
        <v>15.223157</v>
      </c>
      <c r="X56" t="n">
        <v>285.614997</v>
      </c>
      <c r="Z56" t="n">
        <v>31.193085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H57" t="n">
        <v>14879959.242488</v>
      </c>
      <c r="I57" t="n">
        <v>4341.841291</v>
      </c>
      <c r="J57" t="n">
        <v>4398.007385</v>
      </c>
      <c r="K57" t="n">
        <v>1301.694746</v>
      </c>
      <c r="L57" t="n">
        <v>7112.982475</v>
      </c>
      <c r="M57" t="n">
        <v>4967.292392</v>
      </c>
      <c r="N57" t="n">
        <v>4967.292392</v>
      </c>
      <c r="O57" t="n">
        <v>58.311114</v>
      </c>
      <c r="P57" t="n">
        <v>31.032685</v>
      </c>
      <c r="Q57" t="n">
        <v>4967.292392</v>
      </c>
      <c r="R57" t="n">
        <v>4967.292392</v>
      </c>
      <c r="S57" t="n">
        <v>58.311114</v>
      </c>
      <c r="T57" t="n">
        <v>58.311114</v>
      </c>
      <c r="U57" t="n">
        <v>31.032685</v>
      </c>
      <c r="V57" t="n">
        <v>31.032685</v>
      </c>
      <c r="W57" t="n">
        <v>61.724923</v>
      </c>
      <c r="X57" t="n">
        <v>5208.68705</v>
      </c>
      <c r="Z57" t="n">
        <v>132.574913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H58" t="n">
        <v>14879959.242488</v>
      </c>
      <c r="I58" t="n">
        <v>4341.841291</v>
      </c>
      <c r="J58" t="n">
        <v>4398.007385</v>
      </c>
      <c r="K58" t="n">
        <v>1301.694746</v>
      </c>
      <c r="L58" t="n">
        <v>7112.982475</v>
      </c>
      <c r="M58" t="n">
        <v>4967.292392</v>
      </c>
      <c r="N58" t="n">
        <v>4967.292392</v>
      </c>
      <c r="O58" t="n">
        <v>58.311114</v>
      </c>
      <c r="P58" t="n">
        <v>31.032685</v>
      </c>
      <c r="Q58" t="n">
        <v>4967.292392</v>
      </c>
      <c r="R58" t="n">
        <v>4967.292392</v>
      </c>
      <c r="S58" t="n">
        <v>58.311114</v>
      </c>
      <c r="T58" t="n">
        <v>58.311114</v>
      </c>
      <c r="U58" t="n">
        <v>31.032685</v>
      </c>
      <c r="V58" t="n">
        <v>31.032685</v>
      </c>
      <c r="W58" t="n">
        <v>61.724923</v>
      </c>
      <c r="X58" t="n">
        <v>5208.68705</v>
      </c>
      <c r="Z58" t="n">
        <v>132.574913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H59" t="n">
        <v>14879959.242488</v>
      </c>
      <c r="I59" t="n">
        <v>4341.841291</v>
      </c>
      <c r="J59" t="n">
        <v>4398.007385</v>
      </c>
      <c r="K59" t="n">
        <v>1301.694746</v>
      </c>
      <c r="L59" t="n">
        <v>7112.982475</v>
      </c>
      <c r="M59" t="n">
        <v>4967.292392</v>
      </c>
      <c r="N59" t="n">
        <v>4967.292392</v>
      </c>
      <c r="O59" t="n">
        <v>58.311114</v>
      </c>
      <c r="P59" t="n">
        <v>31.032685</v>
      </c>
      <c r="Q59" t="n">
        <v>4967.292392</v>
      </c>
      <c r="R59" t="n">
        <v>4967.292392</v>
      </c>
      <c r="S59" t="n">
        <v>58.311114</v>
      </c>
      <c r="T59" t="n">
        <v>58.311114</v>
      </c>
      <c r="U59" t="n">
        <v>31.032685</v>
      </c>
      <c r="V59" t="n">
        <v>31.032685</v>
      </c>
      <c r="W59" t="n">
        <v>61.724923</v>
      </c>
      <c r="X59" t="n">
        <v>5208.68705</v>
      </c>
      <c r="Z59" t="n">
        <v>132.574913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H60" t="n">
        <v>52027107.267087</v>
      </c>
      <c r="I60" t="n">
        <v>7059.021807</v>
      </c>
      <c r="J60" t="n">
        <v>7260.732834</v>
      </c>
      <c r="K60" t="n">
        <v>2722.774813</v>
      </c>
      <c r="L60" t="n">
        <v>14214.100911</v>
      </c>
      <c r="M60" t="n">
        <v>9730.75452</v>
      </c>
      <c r="N60" t="n">
        <v>9730.75452</v>
      </c>
      <c r="O60" t="n">
        <v>100.399835</v>
      </c>
      <c r="P60" t="n">
        <v>43.4623</v>
      </c>
      <c r="Q60" t="n">
        <v>9730.75452</v>
      </c>
      <c r="R60" t="n">
        <v>9730.75452</v>
      </c>
      <c r="S60" t="n">
        <v>100.399835</v>
      </c>
      <c r="T60" t="n">
        <v>100.399835</v>
      </c>
      <c r="U60" t="n">
        <v>43.4623</v>
      </c>
      <c r="V60" t="n">
        <v>43.4623</v>
      </c>
      <c r="W60" t="n">
        <v>105.723999</v>
      </c>
      <c r="X60" t="n">
        <v>10434.203054</v>
      </c>
      <c r="Z60" t="n">
        <v>282.848189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H61" t="n">
        <v>66499585.166222</v>
      </c>
      <c r="I61" t="n">
        <v>4469.123499</v>
      </c>
      <c r="J61" t="n">
        <v>4793.322749</v>
      </c>
      <c r="K61" t="n">
        <v>1747.151432</v>
      </c>
      <c r="L61" t="n">
        <v>10677.999207</v>
      </c>
      <c r="M61" t="n">
        <v>7305.602239</v>
      </c>
      <c r="N61" t="n">
        <v>7305.602239</v>
      </c>
      <c r="O61" t="n">
        <v>41.400447</v>
      </c>
      <c r="P61" t="n">
        <v>18.192821</v>
      </c>
      <c r="Q61" t="n">
        <v>7305.602239</v>
      </c>
      <c r="R61" t="n">
        <v>7305.602239</v>
      </c>
      <c r="S61" t="n">
        <v>41.400447</v>
      </c>
      <c r="T61" t="n">
        <v>41.400447</v>
      </c>
      <c r="U61" t="n">
        <v>18.192821</v>
      </c>
      <c r="V61" t="n">
        <v>18.192821</v>
      </c>
      <c r="W61" t="n">
        <v>43.295832</v>
      </c>
      <c r="X61" t="n">
        <v>7878.655066</v>
      </c>
      <c r="Z61" t="n">
        <v>171.758301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H62" t="n">
        <v>14879959.242488</v>
      </c>
      <c r="I62" t="n">
        <v>4341.841291</v>
      </c>
      <c r="J62" t="n">
        <v>4398.007385</v>
      </c>
      <c r="K62" t="n">
        <v>1301.694746</v>
      </c>
      <c r="L62" t="n">
        <v>7112.982475</v>
      </c>
      <c r="M62" t="n">
        <v>4967.292392</v>
      </c>
      <c r="N62" t="n">
        <v>4967.292392</v>
      </c>
      <c r="O62" t="n">
        <v>58.311114</v>
      </c>
      <c r="P62" t="n">
        <v>31.032685</v>
      </c>
      <c r="Q62" t="n">
        <v>4967.292392</v>
      </c>
      <c r="R62" t="n">
        <v>4967.292392</v>
      </c>
      <c r="S62" t="n">
        <v>58.311114</v>
      </c>
      <c r="T62" t="n">
        <v>58.311114</v>
      </c>
      <c r="U62" t="n">
        <v>31.032685</v>
      </c>
      <c r="V62" t="n">
        <v>31.032685</v>
      </c>
      <c r="W62" t="n">
        <v>61.724923</v>
      </c>
      <c r="X62" t="n">
        <v>5208.68705</v>
      </c>
      <c r="Z62" t="n">
        <v>132.574913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H63" t="n">
        <v>14879959.242488</v>
      </c>
      <c r="I63" t="n">
        <v>4341.841291</v>
      </c>
      <c r="J63" t="n">
        <v>4398.007385</v>
      </c>
      <c r="K63" t="n">
        <v>1301.694746</v>
      </c>
      <c r="L63" t="n">
        <v>7112.982475</v>
      </c>
      <c r="M63" t="n">
        <v>4967.292392</v>
      </c>
      <c r="N63" t="n">
        <v>4967.292392</v>
      </c>
      <c r="O63" t="n">
        <v>58.311114</v>
      </c>
      <c r="P63" t="n">
        <v>31.032685</v>
      </c>
      <c r="Q63" t="n">
        <v>4967.292392</v>
      </c>
      <c r="R63" t="n">
        <v>4967.292392</v>
      </c>
      <c r="S63" t="n">
        <v>58.311114</v>
      </c>
      <c r="T63" t="n">
        <v>58.311114</v>
      </c>
      <c r="U63" t="n">
        <v>31.032685</v>
      </c>
      <c r="V63" t="n">
        <v>31.032685</v>
      </c>
      <c r="W63" t="n">
        <v>61.724923</v>
      </c>
      <c r="X63" t="n">
        <v>5208.68705</v>
      </c>
      <c r="Z63" t="n">
        <v>132.574913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H64" t="n">
        <v>426.216492</v>
      </c>
      <c r="I64" t="n">
        <v>88.674335</v>
      </c>
      <c r="J64" t="n">
        <v>88.674335</v>
      </c>
      <c r="K64" t="n">
        <v>84.240618</v>
      </c>
      <c r="L64" t="n">
        <v>130.894857</v>
      </c>
      <c r="M64" t="n">
        <v>88.674335</v>
      </c>
      <c r="N64" t="n">
        <v>88.674335</v>
      </c>
      <c r="O64" t="n">
        <v>5.151693</v>
      </c>
      <c r="P64" t="n">
        <v>3.42724</v>
      </c>
      <c r="Q64" t="n">
        <v>88.674335</v>
      </c>
      <c r="R64" t="n">
        <v>88.674335</v>
      </c>
      <c r="S64" t="n">
        <v>5.151693</v>
      </c>
      <c r="T64" t="n">
        <v>5.151693</v>
      </c>
      <c r="U64" t="n">
        <v>3.42724</v>
      </c>
      <c r="V64" t="n">
        <v>3.42724</v>
      </c>
      <c r="W64" t="n">
        <v>5.382228</v>
      </c>
      <c r="X64" t="n">
        <v>92.561423</v>
      </c>
      <c r="Z64" t="n">
        <v>8.611278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H65" t="n">
        <v>1993.394013</v>
      </c>
      <c r="I65" t="n">
        <v>277.068801</v>
      </c>
      <c r="J65" t="n">
        <v>277.068801</v>
      </c>
      <c r="K65" t="n">
        <v>263.215361</v>
      </c>
      <c r="L65" t="n">
        <v>393.787233</v>
      </c>
      <c r="M65" t="n">
        <v>277.168933</v>
      </c>
      <c r="N65" t="n">
        <v>277.168933</v>
      </c>
      <c r="O65" t="n">
        <v>14.521402</v>
      </c>
      <c r="P65" t="n">
        <v>9.426283</v>
      </c>
      <c r="Q65" t="n">
        <v>277.168933</v>
      </c>
      <c r="R65" t="n">
        <v>277.168933</v>
      </c>
      <c r="S65" t="n">
        <v>14.521402</v>
      </c>
      <c r="T65" t="n">
        <v>14.521402</v>
      </c>
      <c r="U65" t="n">
        <v>9.426283</v>
      </c>
      <c r="V65" t="n">
        <v>9.426283</v>
      </c>
      <c r="W65" t="n">
        <v>15.223157</v>
      </c>
      <c r="X65" t="n">
        <v>285.614997</v>
      </c>
      <c r="Z65" t="n">
        <v>31.193085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H66" t="n">
        <v>66499585.166222</v>
      </c>
      <c r="I66" t="n">
        <v>4469.123499</v>
      </c>
      <c r="J66" t="n">
        <v>4793.322749</v>
      </c>
      <c r="K66" t="n">
        <v>1747.151432</v>
      </c>
      <c r="L66" t="n">
        <v>10677.999207</v>
      </c>
      <c r="M66" t="n">
        <v>7305.602239</v>
      </c>
      <c r="N66" t="n">
        <v>7305.602239</v>
      </c>
      <c r="O66" t="n">
        <v>41.400447</v>
      </c>
      <c r="P66" t="n">
        <v>18.192821</v>
      </c>
      <c r="Q66" t="n">
        <v>7305.602239</v>
      </c>
      <c r="R66" t="n">
        <v>7305.602239</v>
      </c>
      <c r="S66" t="n">
        <v>41.400447</v>
      </c>
      <c r="T66" t="n">
        <v>41.400447</v>
      </c>
      <c r="U66" t="n">
        <v>18.192821</v>
      </c>
      <c r="V66" t="n">
        <v>18.192821</v>
      </c>
      <c r="W66" t="n">
        <v>43.295832</v>
      </c>
      <c r="X66" t="n">
        <v>7878.655066</v>
      </c>
      <c r="Z66" t="n">
        <v>171.758301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H67" t="n">
        <v>14879959.242488</v>
      </c>
      <c r="I67" t="n">
        <v>4341.841291</v>
      </c>
      <c r="J67" t="n">
        <v>4398.007385</v>
      </c>
      <c r="K67" t="n">
        <v>1301.694746</v>
      </c>
      <c r="L67" t="n">
        <v>7112.982475</v>
      </c>
      <c r="M67" t="n">
        <v>4967.292392</v>
      </c>
      <c r="N67" t="n">
        <v>4967.292392</v>
      </c>
      <c r="O67" t="n">
        <v>58.311114</v>
      </c>
      <c r="P67" t="n">
        <v>31.032685</v>
      </c>
      <c r="Q67" t="n">
        <v>4967.292392</v>
      </c>
      <c r="R67" t="n">
        <v>4967.292392</v>
      </c>
      <c r="S67" t="n">
        <v>58.311114</v>
      </c>
      <c r="T67" t="n">
        <v>58.311114</v>
      </c>
      <c r="U67" t="n">
        <v>31.032685</v>
      </c>
      <c r="V67" t="n">
        <v>31.032685</v>
      </c>
      <c r="W67" t="n">
        <v>61.724923</v>
      </c>
      <c r="X67" t="n">
        <v>5208.68705</v>
      </c>
      <c r="Z67" t="n">
        <v>132.574913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H68" t="n">
        <v>14879959.242488</v>
      </c>
      <c r="I68" t="n">
        <v>4341.841291</v>
      </c>
      <c r="J68" t="n">
        <v>4398.007385</v>
      </c>
      <c r="K68" t="n">
        <v>1301.694746</v>
      </c>
      <c r="L68" t="n">
        <v>7112.982475</v>
      </c>
      <c r="M68" t="n">
        <v>4967.292392</v>
      </c>
      <c r="N68" t="n">
        <v>4967.292392</v>
      </c>
      <c r="O68" t="n">
        <v>58.311114</v>
      </c>
      <c r="P68" t="n">
        <v>31.032685</v>
      </c>
      <c r="Q68" t="n">
        <v>4967.292392</v>
      </c>
      <c r="R68" t="n">
        <v>4967.292392</v>
      </c>
      <c r="S68" t="n">
        <v>58.311114</v>
      </c>
      <c r="T68" t="n">
        <v>58.311114</v>
      </c>
      <c r="U68" t="n">
        <v>31.032685</v>
      </c>
      <c r="V68" t="n">
        <v>31.032685</v>
      </c>
      <c r="W68" t="n">
        <v>61.724923</v>
      </c>
      <c r="X68" t="n">
        <v>5208.68705</v>
      </c>
      <c r="Z68" t="n">
        <v>132.574913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H69" t="n">
        <v>1993.394013</v>
      </c>
      <c r="I69" t="n">
        <v>277.068801</v>
      </c>
      <c r="J69" t="n">
        <v>277.068801</v>
      </c>
      <c r="K69" t="n">
        <v>263.215361</v>
      </c>
      <c r="L69" t="n">
        <v>393.787233</v>
      </c>
      <c r="M69" t="n">
        <v>277.168933</v>
      </c>
      <c r="N69" t="n">
        <v>277.168933</v>
      </c>
      <c r="O69" t="n">
        <v>14.521402</v>
      </c>
      <c r="P69" t="n">
        <v>9.426283</v>
      </c>
      <c r="Q69" t="n">
        <v>277.168933</v>
      </c>
      <c r="R69" t="n">
        <v>277.168933</v>
      </c>
      <c r="S69" t="n">
        <v>14.521402</v>
      </c>
      <c r="T69" t="n">
        <v>14.521402</v>
      </c>
      <c r="U69" t="n">
        <v>9.426283</v>
      </c>
      <c r="V69" t="n">
        <v>9.426283</v>
      </c>
      <c r="W69" t="n">
        <v>15.223157</v>
      </c>
      <c r="X69" t="n">
        <v>285.614997</v>
      </c>
      <c r="Z69" t="n">
        <v>31.193085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H70" t="n">
        <v>14879959.242488</v>
      </c>
      <c r="I70" t="n">
        <v>4341.841291</v>
      </c>
      <c r="J70" t="n">
        <v>4398.007385</v>
      </c>
      <c r="K70" t="n">
        <v>1301.694746</v>
      </c>
      <c r="L70" t="n">
        <v>7112.982475</v>
      </c>
      <c r="M70" t="n">
        <v>4967.292392</v>
      </c>
      <c r="N70" t="n">
        <v>4967.292392</v>
      </c>
      <c r="O70" t="n">
        <v>58.311114</v>
      </c>
      <c r="P70" t="n">
        <v>31.032685</v>
      </c>
      <c r="Q70" t="n">
        <v>4967.292392</v>
      </c>
      <c r="R70" t="n">
        <v>4967.292392</v>
      </c>
      <c r="S70" t="n">
        <v>58.311114</v>
      </c>
      <c r="T70" t="n">
        <v>58.311114</v>
      </c>
      <c r="U70" t="n">
        <v>31.032685</v>
      </c>
      <c r="V70" t="n">
        <v>31.032685</v>
      </c>
      <c r="W70" t="n">
        <v>61.724923</v>
      </c>
      <c r="X70" t="n">
        <v>5208.68705</v>
      </c>
      <c r="Z70" t="n">
        <v>132.574913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H71" t="n">
        <v>14879959.242488</v>
      </c>
      <c r="I71" t="n">
        <v>4341.841291</v>
      </c>
      <c r="J71" t="n">
        <v>4398.007385</v>
      </c>
      <c r="K71" t="n">
        <v>1301.694746</v>
      </c>
      <c r="L71" t="n">
        <v>7112.982475</v>
      </c>
      <c r="M71" t="n">
        <v>4967.292392</v>
      </c>
      <c r="N71" t="n">
        <v>4967.292392</v>
      </c>
      <c r="O71" t="n">
        <v>58.311114</v>
      </c>
      <c r="P71" t="n">
        <v>31.032685</v>
      </c>
      <c r="Q71" t="n">
        <v>4967.292392</v>
      </c>
      <c r="R71" t="n">
        <v>4967.292392</v>
      </c>
      <c r="S71" t="n">
        <v>58.311114</v>
      </c>
      <c r="T71" t="n">
        <v>58.311114</v>
      </c>
      <c r="U71" t="n">
        <v>31.032685</v>
      </c>
      <c r="V71" t="n">
        <v>31.032685</v>
      </c>
      <c r="W71" t="n">
        <v>61.724923</v>
      </c>
      <c r="X71" t="n">
        <v>5208.68705</v>
      </c>
      <c r="Z71" t="n">
        <v>132.574913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H72" t="n">
        <v>66499585.166222</v>
      </c>
      <c r="I72" t="n">
        <v>4469.123499</v>
      </c>
      <c r="J72" t="n">
        <v>4793.322749</v>
      </c>
      <c r="K72" t="n">
        <v>1747.151432</v>
      </c>
      <c r="L72" t="n">
        <v>10677.999207</v>
      </c>
      <c r="M72" t="n">
        <v>7305.602239</v>
      </c>
      <c r="N72" t="n">
        <v>7305.602239</v>
      </c>
      <c r="O72" t="n">
        <v>41.400447</v>
      </c>
      <c r="P72" t="n">
        <v>18.192821</v>
      </c>
      <c r="Q72" t="n">
        <v>7305.602239</v>
      </c>
      <c r="R72" t="n">
        <v>7305.602239</v>
      </c>
      <c r="S72" t="n">
        <v>41.400447</v>
      </c>
      <c r="T72" t="n">
        <v>41.400447</v>
      </c>
      <c r="U72" t="n">
        <v>18.192821</v>
      </c>
      <c r="V72" t="n">
        <v>18.192821</v>
      </c>
      <c r="W72" t="n">
        <v>43.295832</v>
      </c>
      <c r="X72" t="n">
        <v>7878.655066</v>
      </c>
      <c r="Z72" t="n">
        <v>171.758301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H73" t="n">
        <v>12199287.641607</v>
      </c>
      <c r="I73" t="n">
        <v>7254.269109</v>
      </c>
      <c r="J73" t="n">
        <v>7445.748833</v>
      </c>
      <c r="K73" t="n">
        <v>2442.205617</v>
      </c>
      <c r="L73" t="n">
        <v>16970.336092</v>
      </c>
      <c r="M73" t="n">
        <v>11606.388394</v>
      </c>
      <c r="N73" t="n">
        <v>11606.388394</v>
      </c>
      <c r="O73" t="n">
        <v>106.798413</v>
      </c>
      <c r="P73" t="n">
        <v>47.527255</v>
      </c>
      <c r="Q73" t="n">
        <v>11606.388394</v>
      </c>
      <c r="R73" t="n">
        <v>11606.388394</v>
      </c>
      <c r="S73" t="n">
        <v>106.798413</v>
      </c>
      <c r="T73" t="n">
        <v>106.798413</v>
      </c>
      <c r="U73" t="n">
        <v>47.527255</v>
      </c>
      <c r="V73" t="n">
        <v>47.527255</v>
      </c>
      <c r="W73" t="n">
        <v>113.377905</v>
      </c>
      <c r="X73" t="n">
        <v>12105.0183</v>
      </c>
      <c r="Z73" t="n">
        <v>189.53245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H74" t="n">
        <v>1680573.295471</v>
      </c>
      <c r="I74" t="n">
        <v>2351.601599</v>
      </c>
      <c r="J74" t="n">
        <v>2551.708963</v>
      </c>
      <c r="K74" t="n">
        <v>1196.751504</v>
      </c>
      <c r="L74" t="n">
        <v>4710.704014</v>
      </c>
      <c r="M74" t="n">
        <v>3197.137719</v>
      </c>
      <c r="N74" t="n">
        <v>3197.137719</v>
      </c>
      <c r="O74" t="n">
        <v>47.386821</v>
      </c>
      <c r="P74" t="n">
        <v>22.758425</v>
      </c>
      <c r="Q74" t="n">
        <v>3197.137719</v>
      </c>
      <c r="R74" t="n">
        <v>3197.137719</v>
      </c>
      <c r="S74" t="n">
        <v>47.386821</v>
      </c>
      <c r="T74" t="n">
        <v>47.386821</v>
      </c>
      <c r="U74" t="n">
        <v>22.758425</v>
      </c>
      <c r="V74" t="n">
        <v>22.758425</v>
      </c>
      <c r="W74" t="n">
        <v>49.846385</v>
      </c>
      <c r="X74" t="n">
        <v>3474.67582</v>
      </c>
      <c r="Z74" t="n">
        <v>73.813157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H75" t="n">
        <v>32593.399706</v>
      </c>
      <c r="I75" t="n">
        <v>356.10635</v>
      </c>
      <c r="J75" t="n">
        <v>384.755747</v>
      </c>
      <c r="K75" t="n">
        <v>365.51796</v>
      </c>
      <c r="L75" t="n">
        <v>602.712303</v>
      </c>
      <c r="M75" t="n">
        <v>421.28566</v>
      </c>
      <c r="N75" t="n">
        <v>421.28566</v>
      </c>
      <c r="O75" t="n">
        <v>20.384878</v>
      </c>
      <c r="P75" t="n">
        <v>12.067619</v>
      </c>
      <c r="Q75" t="n">
        <v>421.28566</v>
      </c>
      <c r="R75" t="n">
        <v>421.28566</v>
      </c>
      <c r="S75" t="n">
        <v>20.384878</v>
      </c>
      <c r="T75" t="n">
        <v>20.384878</v>
      </c>
      <c r="U75" t="n">
        <v>12.067619</v>
      </c>
      <c r="V75" t="n">
        <v>12.067619</v>
      </c>
      <c r="W75" t="n">
        <v>20.990919</v>
      </c>
      <c r="X75" t="n">
        <v>434.828134</v>
      </c>
      <c r="Z75" t="n">
        <v>44.708144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H76" t="n">
        <v>32593.399706</v>
      </c>
      <c r="I76" t="n">
        <v>356.10635</v>
      </c>
      <c r="J76" t="n">
        <v>384.755747</v>
      </c>
      <c r="K76" t="n">
        <v>365.51796</v>
      </c>
      <c r="L76" t="n">
        <v>602.712303</v>
      </c>
      <c r="M76" t="n">
        <v>421.28566</v>
      </c>
      <c r="N76" t="n">
        <v>421.28566</v>
      </c>
      <c r="O76" t="n">
        <v>20.384878</v>
      </c>
      <c r="P76" t="n">
        <v>12.067619</v>
      </c>
      <c r="Q76" t="n">
        <v>421.28566</v>
      </c>
      <c r="R76" t="n">
        <v>421.28566</v>
      </c>
      <c r="S76" t="n">
        <v>20.384878</v>
      </c>
      <c r="T76" t="n">
        <v>20.384878</v>
      </c>
      <c r="U76" t="n">
        <v>12.067619</v>
      </c>
      <c r="V76" t="n">
        <v>12.067619</v>
      </c>
      <c r="W76" t="n">
        <v>20.990919</v>
      </c>
      <c r="X76" t="n">
        <v>434.828134</v>
      </c>
      <c r="Z76" t="n">
        <v>44.708144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H77" t="n">
        <v>252175.379258</v>
      </c>
      <c r="I77" t="n">
        <v>726.768274</v>
      </c>
      <c r="J77" t="n">
        <v>743.903747</v>
      </c>
      <c r="K77" t="n">
        <v>371.951873</v>
      </c>
      <c r="L77" t="n">
        <v>1659.687874</v>
      </c>
      <c r="M77" t="n">
        <v>1154.615618</v>
      </c>
      <c r="N77" t="n">
        <v>1154.615618</v>
      </c>
      <c r="O77" t="n">
        <v>19.267286</v>
      </c>
      <c r="P77" t="n">
        <v>9.928678</v>
      </c>
      <c r="Q77" t="n">
        <v>1154.615618</v>
      </c>
      <c r="R77" t="n">
        <v>1154.615618</v>
      </c>
      <c r="S77" t="n">
        <v>19.267286</v>
      </c>
      <c r="T77" t="n">
        <v>19.267286</v>
      </c>
      <c r="U77" t="n">
        <v>9.928678</v>
      </c>
      <c r="V77" t="n">
        <v>9.928678</v>
      </c>
      <c r="W77" t="n">
        <v>19.883589</v>
      </c>
      <c r="X77" t="n">
        <v>1235.144457</v>
      </c>
      <c r="Z77" t="n">
        <v>97.384973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H78" t="n">
        <v>32593.399706</v>
      </c>
      <c r="I78" t="n">
        <v>356.10635</v>
      </c>
      <c r="J78" t="n">
        <v>384.755747</v>
      </c>
      <c r="K78" t="n">
        <v>365.51796</v>
      </c>
      <c r="L78" t="n">
        <v>602.712303</v>
      </c>
      <c r="M78" t="n">
        <v>421.28566</v>
      </c>
      <c r="N78" t="n">
        <v>421.28566</v>
      </c>
      <c r="O78" t="n">
        <v>20.384878</v>
      </c>
      <c r="P78" t="n">
        <v>12.067619</v>
      </c>
      <c r="Q78" t="n">
        <v>421.28566</v>
      </c>
      <c r="R78" t="n">
        <v>421.28566</v>
      </c>
      <c r="S78" t="n">
        <v>20.384878</v>
      </c>
      <c r="T78" t="n">
        <v>20.384878</v>
      </c>
      <c r="U78" t="n">
        <v>12.067619</v>
      </c>
      <c r="V78" t="n">
        <v>12.067619</v>
      </c>
      <c r="W78" t="n">
        <v>20.990919</v>
      </c>
      <c r="X78" t="n">
        <v>434.828134</v>
      </c>
      <c r="Z78" t="n">
        <v>44.708144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H79" t="n">
        <v>252175.379258</v>
      </c>
      <c r="I79" t="n">
        <v>726.768274</v>
      </c>
      <c r="J79" t="n">
        <v>743.903747</v>
      </c>
      <c r="K79" t="n">
        <v>371.951873</v>
      </c>
      <c r="L79" t="n">
        <v>1659.687874</v>
      </c>
      <c r="M79" t="n">
        <v>1154.615618</v>
      </c>
      <c r="N79" t="n">
        <v>1154.615618</v>
      </c>
      <c r="O79" t="n">
        <v>19.267286</v>
      </c>
      <c r="P79" t="n">
        <v>9.928678</v>
      </c>
      <c r="Q79" t="n">
        <v>1154.615618</v>
      </c>
      <c r="R79" t="n">
        <v>1154.615618</v>
      </c>
      <c r="S79" t="n">
        <v>19.267286</v>
      </c>
      <c r="T79" t="n">
        <v>19.267286</v>
      </c>
      <c r="U79" t="n">
        <v>9.928678</v>
      </c>
      <c r="V79" t="n">
        <v>9.928678</v>
      </c>
      <c r="W79" t="n">
        <v>19.883589</v>
      </c>
      <c r="X79" t="n">
        <v>1235.144457</v>
      </c>
      <c r="Z79" t="n">
        <v>97.384973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H80" t="n">
        <v>113391773.775872</v>
      </c>
      <c r="I80" t="n">
        <v>7268.387336</v>
      </c>
      <c r="J80" t="n">
        <v>7315.723404</v>
      </c>
      <c r="K80" t="n">
        <v>2662.923319</v>
      </c>
      <c r="L80" t="n">
        <v>18846.946222</v>
      </c>
      <c r="M80" t="n">
        <v>12899.244148</v>
      </c>
      <c r="N80" t="n">
        <v>12899.244148</v>
      </c>
      <c r="O80" t="n">
        <v>58.377455</v>
      </c>
      <c r="P80" t="n">
        <v>24.766119</v>
      </c>
      <c r="Q80" t="n">
        <v>12899.244148</v>
      </c>
      <c r="R80" t="n">
        <v>12899.244148</v>
      </c>
      <c r="S80" t="n">
        <v>58.377455</v>
      </c>
      <c r="T80" t="n">
        <v>58.377455</v>
      </c>
      <c r="U80" t="n">
        <v>24.766119</v>
      </c>
      <c r="V80" t="n">
        <v>24.766119</v>
      </c>
      <c r="W80" t="n">
        <v>61.462709</v>
      </c>
      <c r="X80" t="n">
        <v>13974.158015</v>
      </c>
      <c r="Z80" t="n">
        <v>258.914422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H81" t="n">
        <v>14879959.242488</v>
      </c>
      <c r="I81" t="n">
        <v>4341.841291</v>
      </c>
      <c r="J81" t="n">
        <v>4398.007385</v>
      </c>
      <c r="K81" t="n">
        <v>1301.694746</v>
      </c>
      <c r="L81" t="n">
        <v>7112.982475</v>
      </c>
      <c r="M81" t="n">
        <v>4967.292392</v>
      </c>
      <c r="N81" t="n">
        <v>4967.292392</v>
      </c>
      <c r="O81" t="n">
        <v>58.311114</v>
      </c>
      <c r="P81" t="n">
        <v>31.032685</v>
      </c>
      <c r="Q81" t="n">
        <v>4967.292392</v>
      </c>
      <c r="R81" t="n">
        <v>4967.292392</v>
      </c>
      <c r="S81" t="n">
        <v>58.311114</v>
      </c>
      <c r="T81" t="n">
        <v>58.311114</v>
      </c>
      <c r="U81" t="n">
        <v>31.032685</v>
      </c>
      <c r="V81" t="n">
        <v>31.032685</v>
      </c>
      <c r="W81" t="n">
        <v>61.724923</v>
      </c>
      <c r="X81" t="n">
        <v>5208.68705</v>
      </c>
      <c r="Z81" t="n">
        <v>132.574913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H82" t="n">
        <v>14879959.242488</v>
      </c>
      <c r="I82" t="n">
        <v>4341.841291</v>
      </c>
      <c r="J82" t="n">
        <v>4398.007385</v>
      </c>
      <c r="K82" t="n">
        <v>1301.694746</v>
      </c>
      <c r="L82" t="n">
        <v>7112.982475</v>
      </c>
      <c r="M82" t="n">
        <v>4967.292392</v>
      </c>
      <c r="N82" t="n">
        <v>4967.292392</v>
      </c>
      <c r="O82" t="n">
        <v>58.311114</v>
      </c>
      <c r="P82" t="n">
        <v>31.032685</v>
      </c>
      <c r="Q82" t="n">
        <v>4967.292392</v>
      </c>
      <c r="R82" t="n">
        <v>4967.292392</v>
      </c>
      <c r="S82" t="n">
        <v>58.311114</v>
      </c>
      <c r="T82" t="n">
        <v>58.311114</v>
      </c>
      <c r="U82" t="n">
        <v>31.032685</v>
      </c>
      <c r="V82" t="n">
        <v>31.032685</v>
      </c>
      <c r="W82" t="n">
        <v>61.724923</v>
      </c>
      <c r="X82" t="n">
        <v>5208.68705</v>
      </c>
      <c r="Z82" t="n">
        <v>132.574913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H83" t="n">
        <v>163767.801906</v>
      </c>
      <c r="I83" t="n">
        <v>1107.715094</v>
      </c>
      <c r="J83" t="n">
        <v>1152.41915</v>
      </c>
      <c r="K83" t="n">
        <v>1094.798192</v>
      </c>
      <c r="L83" t="n">
        <v>2274.19106</v>
      </c>
      <c r="M83" t="n">
        <v>1598.007907</v>
      </c>
      <c r="N83" t="n">
        <v>1598.007907</v>
      </c>
      <c r="O83" t="n">
        <v>71.350959</v>
      </c>
      <c r="P83" t="n">
        <v>34.506697</v>
      </c>
      <c r="Q83" t="n">
        <v>1598.007907</v>
      </c>
      <c r="R83" t="n">
        <v>1598.007907</v>
      </c>
      <c r="S83" t="n">
        <v>71.350959</v>
      </c>
      <c r="T83" t="n">
        <v>71.350959</v>
      </c>
      <c r="U83" t="n">
        <v>34.506697</v>
      </c>
      <c r="V83" t="n">
        <v>34.506697</v>
      </c>
      <c r="W83" t="n">
        <v>75.453034</v>
      </c>
      <c r="X83" t="n">
        <v>1713.88012</v>
      </c>
      <c r="Z83" t="n">
        <v>171.487387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H84" t="n">
        <v>1993.394013</v>
      </c>
      <c r="I84" t="n">
        <v>277.068801</v>
      </c>
      <c r="J84" t="n">
        <v>277.068801</v>
      </c>
      <c r="K84" t="n">
        <v>263.215361</v>
      </c>
      <c r="L84" t="n">
        <v>393.787233</v>
      </c>
      <c r="M84" t="n">
        <v>277.168933</v>
      </c>
      <c r="N84" t="n">
        <v>277.168933</v>
      </c>
      <c r="O84" t="n">
        <v>14.521402</v>
      </c>
      <c r="P84" t="n">
        <v>9.426283</v>
      </c>
      <c r="Q84" t="n">
        <v>277.168933</v>
      </c>
      <c r="R84" t="n">
        <v>277.168933</v>
      </c>
      <c r="S84" t="n">
        <v>14.521402</v>
      </c>
      <c r="T84" t="n">
        <v>14.521402</v>
      </c>
      <c r="U84" t="n">
        <v>9.426283</v>
      </c>
      <c r="V84" t="n">
        <v>9.426283</v>
      </c>
      <c r="W84" t="n">
        <v>15.223157</v>
      </c>
      <c r="X84" t="n">
        <v>285.614997</v>
      </c>
      <c r="Z84" t="n">
        <v>31.193085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H85" t="n">
        <v>842.727401</v>
      </c>
      <c r="I85" t="n">
        <v>57.395403</v>
      </c>
      <c r="J85" t="n">
        <v>57.395403</v>
      </c>
      <c r="K85" t="n">
        <v>21.98244</v>
      </c>
      <c r="L85" t="n">
        <v>92.59366</v>
      </c>
      <c r="M85" t="n">
        <v>61.118924</v>
      </c>
      <c r="N85" t="n">
        <v>61.118924</v>
      </c>
      <c r="O85" t="n">
        <v>1.571536</v>
      </c>
      <c r="P85" t="n">
        <v>1.01605</v>
      </c>
      <c r="Q85" t="n">
        <v>61.118924</v>
      </c>
      <c r="R85" t="n">
        <v>61.118924</v>
      </c>
      <c r="S85" t="n">
        <v>1.571536</v>
      </c>
      <c r="T85" t="n">
        <v>1.571536</v>
      </c>
      <c r="U85" t="n">
        <v>1.01605</v>
      </c>
      <c r="V85" t="n">
        <v>1.01605</v>
      </c>
      <c r="W85" t="n">
        <v>1.626148</v>
      </c>
      <c r="X85" t="n">
        <v>63.787046</v>
      </c>
      <c r="Z85" t="n">
        <v>5.312721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H86" t="n">
        <v>1993.394013</v>
      </c>
      <c r="I86" t="n">
        <v>277.068801</v>
      </c>
      <c r="J86" t="n">
        <v>277.068801</v>
      </c>
      <c r="K86" t="n">
        <v>263.215361</v>
      </c>
      <c r="L86" t="n">
        <v>393.787233</v>
      </c>
      <c r="M86" t="n">
        <v>277.168933</v>
      </c>
      <c r="N86" t="n">
        <v>277.168933</v>
      </c>
      <c r="O86" t="n">
        <v>14.521402</v>
      </c>
      <c r="P86" t="n">
        <v>9.426283</v>
      </c>
      <c r="Q86" t="n">
        <v>277.168933</v>
      </c>
      <c r="R86" t="n">
        <v>277.168933</v>
      </c>
      <c r="S86" t="n">
        <v>14.521402</v>
      </c>
      <c r="T86" t="n">
        <v>14.521402</v>
      </c>
      <c r="U86" t="n">
        <v>9.426283</v>
      </c>
      <c r="V86" t="n">
        <v>9.426283</v>
      </c>
      <c r="W86" t="n">
        <v>15.223157</v>
      </c>
      <c r="X86" t="n">
        <v>285.614997</v>
      </c>
      <c r="Z86" t="n">
        <v>31.193085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H87" t="n">
        <v>97471692.843897</v>
      </c>
      <c r="I87" t="n">
        <v>22014.382452</v>
      </c>
      <c r="J87" t="n">
        <v>22231.430218</v>
      </c>
      <c r="K87" t="n">
        <v>10306.364543</v>
      </c>
      <c r="L87" t="n">
        <v>47447.371867</v>
      </c>
      <c r="M87" t="n">
        <v>32772.930566</v>
      </c>
      <c r="N87" t="n">
        <v>32772.930566</v>
      </c>
      <c r="O87" t="n">
        <v>71.882007</v>
      </c>
      <c r="P87" t="n">
        <v>30.788806</v>
      </c>
      <c r="Q87" t="n">
        <v>32772.930566</v>
      </c>
      <c r="R87" t="n">
        <v>32772.930566</v>
      </c>
      <c r="S87" t="n">
        <v>71.882007</v>
      </c>
      <c r="T87" t="n">
        <v>71.882007</v>
      </c>
      <c r="U87" t="n">
        <v>30.788806</v>
      </c>
      <c r="V87" t="n">
        <v>30.788806</v>
      </c>
      <c r="W87" t="n">
        <v>75.96293799999999</v>
      </c>
      <c r="X87" t="n">
        <v>35173.815829</v>
      </c>
      <c r="Z87" t="n">
        <v>297.776302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H88" t="n">
        <v>11759220.471206</v>
      </c>
      <c r="I88" t="n">
        <v>2184.150638</v>
      </c>
      <c r="J88" t="n">
        <v>2277.683197</v>
      </c>
      <c r="K88" t="n">
        <v>2163.799037</v>
      </c>
      <c r="L88" t="n">
        <v>4133.4309</v>
      </c>
      <c r="M88" t="n">
        <v>2817.724532</v>
      </c>
      <c r="N88" t="n">
        <v>2817.724532</v>
      </c>
      <c r="O88" t="n">
        <v>100.301142</v>
      </c>
      <c r="P88" t="n">
        <v>43.53974</v>
      </c>
      <c r="Q88" t="n">
        <v>2817.724532</v>
      </c>
      <c r="R88" t="n">
        <v>2817.724532</v>
      </c>
      <c r="S88" t="n">
        <v>100.301142</v>
      </c>
      <c r="T88" t="n">
        <v>100.301142</v>
      </c>
      <c r="U88" t="n">
        <v>43.53974</v>
      </c>
      <c r="V88" t="n">
        <v>43.53974</v>
      </c>
      <c r="W88" t="n">
        <v>106.305314</v>
      </c>
      <c r="X88" t="n">
        <v>2997.143608</v>
      </c>
      <c r="Z88" t="n">
        <v>261.151532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H89" t="n">
        <v>426.216492</v>
      </c>
      <c r="I89" t="n">
        <v>88.674335</v>
      </c>
      <c r="J89" t="n">
        <v>88.674335</v>
      </c>
      <c r="K89" t="n">
        <v>84.240618</v>
      </c>
      <c r="L89" t="n">
        <v>130.894857</v>
      </c>
      <c r="M89" t="n">
        <v>88.674335</v>
      </c>
      <c r="N89" t="n">
        <v>88.674335</v>
      </c>
      <c r="O89" t="n">
        <v>5.151693</v>
      </c>
      <c r="P89" t="n">
        <v>3.42724</v>
      </c>
      <c r="Q89" t="n">
        <v>88.674335</v>
      </c>
      <c r="R89" t="n">
        <v>88.674335</v>
      </c>
      <c r="S89" t="n">
        <v>5.151693</v>
      </c>
      <c r="T89" t="n">
        <v>5.151693</v>
      </c>
      <c r="U89" t="n">
        <v>3.42724</v>
      </c>
      <c r="V89" t="n">
        <v>3.42724</v>
      </c>
      <c r="W89" t="n">
        <v>5.382228</v>
      </c>
      <c r="X89" t="n">
        <v>92.561423</v>
      </c>
      <c r="Z89" t="n">
        <v>8.611278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H90" t="n">
        <v>252175.379258</v>
      </c>
      <c r="I90" t="n">
        <v>726.768274</v>
      </c>
      <c r="J90" t="n">
        <v>743.903747</v>
      </c>
      <c r="K90" t="n">
        <v>371.951873</v>
      </c>
      <c r="L90" t="n">
        <v>1659.687874</v>
      </c>
      <c r="M90" t="n">
        <v>1154.615618</v>
      </c>
      <c r="N90" t="n">
        <v>1154.615618</v>
      </c>
      <c r="O90" t="n">
        <v>19.267286</v>
      </c>
      <c r="P90" t="n">
        <v>9.928678</v>
      </c>
      <c r="Q90" t="n">
        <v>1154.615618</v>
      </c>
      <c r="R90" t="n">
        <v>1154.615618</v>
      </c>
      <c r="S90" t="n">
        <v>19.267286</v>
      </c>
      <c r="T90" t="n">
        <v>19.267286</v>
      </c>
      <c r="U90" t="n">
        <v>9.928678</v>
      </c>
      <c r="V90" t="n">
        <v>9.928678</v>
      </c>
      <c r="W90" t="n">
        <v>19.883589</v>
      </c>
      <c r="X90" t="n">
        <v>1235.144457</v>
      </c>
      <c r="Z90" t="n">
        <v>97.384973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H91" t="n">
        <v>1993.394013</v>
      </c>
      <c r="I91" t="n">
        <v>277.068801</v>
      </c>
      <c r="J91" t="n">
        <v>277.068801</v>
      </c>
      <c r="K91" t="n">
        <v>263.215361</v>
      </c>
      <c r="L91" t="n">
        <v>393.787233</v>
      </c>
      <c r="M91" t="n">
        <v>277.168933</v>
      </c>
      <c r="N91" t="n">
        <v>277.168933</v>
      </c>
      <c r="O91" t="n">
        <v>14.521402</v>
      </c>
      <c r="P91" t="n">
        <v>9.426283</v>
      </c>
      <c r="Q91" t="n">
        <v>277.168933</v>
      </c>
      <c r="R91" t="n">
        <v>277.168933</v>
      </c>
      <c r="S91" t="n">
        <v>14.521402</v>
      </c>
      <c r="T91" t="n">
        <v>14.521402</v>
      </c>
      <c r="U91" t="n">
        <v>9.426283</v>
      </c>
      <c r="V91" t="n">
        <v>9.426283</v>
      </c>
      <c r="W91" t="n">
        <v>15.223157</v>
      </c>
      <c r="X91" t="n">
        <v>285.614997</v>
      </c>
      <c r="Z91" t="n">
        <v>31.193085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H92" t="n">
        <v>1993.394013</v>
      </c>
      <c r="I92" t="n">
        <v>277.068801</v>
      </c>
      <c r="J92" t="n">
        <v>277.068801</v>
      </c>
      <c r="K92" t="n">
        <v>263.215361</v>
      </c>
      <c r="L92" t="n">
        <v>393.787233</v>
      </c>
      <c r="M92" t="n">
        <v>277.168933</v>
      </c>
      <c r="N92" t="n">
        <v>277.168933</v>
      </c>
      <c r="O92" t="n">
        <v>14.521402</v>
      </c>
      <c r="P92" t="n">
        <v>9.426283</v>
      </c>
      <c r="Q92" t="n">
        <v>277.168933</v>
      </c>
      <c r="R92" t="n">
        <v>277.168933</v>
      </c>
      <c r="S92" t="n">
        <v>14.521402</v>
      </c>
      <c r="T92" t="n">
        <v>14.521402</v>
      </c>
      <c r="U92" t="n">
        <v>9.426283</v>
      </c>
      <c r="V92" t="n">
        <v>9.426283</v>
      </c>
      <c r="W92" t="n">
        <v>15.223157</v>
      </c>
      <c r="X92" t="n">
        <v>285.614997</v>
      </c>
      <c r="Z92" t="n">
        <v>31.193085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H94" t="n">
        <v>66499585.166222</v>
      </c>
      <c r="I94" t="n">
        <v>4469.123499</v>
      </c>
      <c r="J94" t="n">
        <v>4793.322749</v>
      </c>
      <c r="K94" t="n">
        <v>1747.151432</v>
      </c>
      <c r="L94" t="n">
        <v>10677.999207</v>
      </c>
      <c r="M94" t="n">
        <v>7305.602239</v>
      </c>
      <c r="N94" t="n">
        <v>7305.602239</v>
      </c>
      <c r="O94" t="n">
        <v>41.400447</v>
      </c>
      <c r="P94" t="n">
        <v>18.192821</v>
      </c>
      <c r="Q94" t="n">
        <v>7305.602239</v>
      </c>
      <c r="R94" t="n">
        <v>7305.602239</v>
      </c>
      <c r="S94" t="n">
        <v>41.400447</v>
      </c>
      <c r="T94" t="n">
        <v>41.400447</v>
      </c>
      <c r="U94" t="n">
        <v>18.192821</v>
      </c>
      <c r="V94" t="n">
        <v>18.192821</v>
      </c>
      <c r="W94" t="n">
        <v>43.295832</v>
      </c>
      <c r="X94" t="n">
        <v>7878.655066</v>
      </c>
      <c r="Z94" t="n">
        <v>171.758301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H95" t="n">
        <v>14879959.242488</v>
      </c>
      <c r="I95" t="n">
        <v>4341.841291</v>
      </c>
      <c r="J95" t="n">
        <v>4398.007385</v>
      </c>
      <c r="K95" t="n">
        <v>1301.694746</v>
      </c>
      <c r="L95" t="n">
        <v>7112.982475</v>
      </c>
      <c r="M95" t="n">
        <v>4967.292392</v>
      </c>
      <c r="N95" t="n">
        <v>4967.292392</v>
      </c>
      <c r="O95" t="n">
        <v>58.311114</v>
      </c>
      <c r="P95" t="n">
        <v>31.032685</v>
      </c>
      <c r="Q95" t="n">
        <v>4967.292392</v>
      </c>
      <c r="R95" t="n">
        <v>4967.292392</v>
      </c>
      <c r="S95" t="n">
        <v>58.311114</v>
      </c>
      <c r="T95" t="n">
        <v>58.311114</v>
      </c>
      <c r="U95" t="n">
        <v>31.032685</v>
      </c>
      <c r="V95" t="n">
        <v>31.032685</v>
      </c>
      <c r="W95" t="n">
        <v>61.724923</v>
      </c>
      <c r="X95" t="n">
        <v>5208.68705</v>
      </c>
      <c r="Z95" t="n">
        <v>132.574913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H96" t="n">
        <v>14879959.242488</v>
      </c>
      <c r="I96" t="n">
        <v>4341.841291</v>
      </c>
      <c r="J96" t="n">
        <v>4398.007385</v>
      </c>
      <c r="K96" t="n">
        <v>1301.694746</v>
      </c>
      <c r="L96" t="n">
        <v>7112.982475</v>
      </c>
      <c r="M96" t="n">
        <v>4967.292392</v>
      </c>
      <c r="N96" t="n">
        <v>4967.292392</v>
      </c>
      <c r="O96" t="n">
        <v>58.311114</v>
      </c>
      <c r="P96" t="n">
        <v>31.032685</v>
      </c>
      <c r="Q96" t="n">
        <v>4967.292392</v>
      </c>
      <c r="R96" t="n">
        <v>4967.292392</v>
      </c>
      <c r="S96" t="n">
        <v>58.311114</v>
      </c>
      <c r="T96" t="n">
        <v>58.311114</v>
      </c>
      <c r="U96" t="n">
        <v>31.032685</v>
      </c>
      <c r="V96" t="n">
        <v>31.032685</v>
      </c>
      <c r="W96" t="n">
        <v>61.724923</v>
      </c>
      <c r="X96" t="n">
        <v>5208.68705</v>
      </c>
      <c r="Z96" t="n">
        <v>132.574913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H97" t="n">
        <v>14879959.242488</v>
      </c>
      <c r="I97" t="n">
        <v>4341.841291</v>
      </c>
      <c r="J97" t="n">
        <v>4398.007385</v>
      </c>
      <c r="K97" t="n">
        <v>1301.694746</v>
      </c>
      <c r="L97" t="n">
        <v>7112.982475</v>
      </c>
      <c r="M97" t="n">
        <v>4967.292392</v>
      </c>
      <c r="N97" t="n">
        <v>4967.292392</v>
      </c>
      <c r="O97" t="n">
        <v>58.311114</v>
      </c>
      <c r="P97" t="n">
        <v>31.032685</v>
      </c>
      <c r="Q97" t="n">
        <v>4967.292392</v>
      </c>
      <c r="R97" t="n">
        <v>4967.292392</v>
      </c>
      <c r="S97" t="n">
        <v>58.311114</v>
      </c>
      <c r="T97" t="n">
        <v>58.311114</v>
      </c>
      <c r="U97" t="n">
        <v>31.032685</v>
      </c>
      <c r="V97" t="n">
        <v>31.032685</v>
      </c>
      <c r="W97" t="n">
        <v>61.724923</v>
      </c>
      <c r="X97" t="n">
        <v>5208.68705</v>
      </c>
      <c r="Z97" t="n">
        <v>132.574913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H98" t="n">
        <v>14879959.242488</v>
      </c>
      <c r="I98" t="n">
        <v>4341.841291</v>
      </c>
      <c r="J98" t="n">
        <v>4398.007385</v>
      </c>
      <c r="K98" t="n">
        <v>1301.694746</v>
      </c>
      <c r="L98" t="n">
        <v>7112.982475</v>
      </c>
      <c r="M98" t="n">
        <v>4967.292392</v>
      </c>
      <c r="N98" t="n">
        <v>4967.292392</v>
      </c>
      <c r="O98" t="n">
        <v>58.311114</v>
      </c>
      <c r="P98" t="n">
        <v>31.032685</v>
      </c>
      <c r="Q98" t="n">
        <v>4967.292392</v>
      </c>
      <c r="R98" t="n">
        <v>4967.292392</v>
      </c>
      <c r="S98" t="n">
        <v>58.311114</v>
      </c>
      <c r="T98" t="n">
        <v>58.311114</v>
      </c>
      <c r="U98" t="n">
        <v>31.032685</v>
      </c>
      <c r="V98" t="n">
        <v>31.032685</v>
      </c>
      <c r="W98" t="n">
        <v>61.724923</v>
      </c>
      <c r="X98" t="n">
        <v>5208.68705</v>
      </c>
      <c r="Z98" t="n">
        <v>132.574913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H99" t="n">
        <v>12597587.109426</v>
      </c>
      <c r="I99" t="n">
        <v>2011.85117</v>
      </c>
      <c r="J99" t="n">
        <v>2069.253476</v>
      </c>
      <c r="K99" t="n">
        <v>1211.061254</v>
      </c>
      <c r="L99" t="n">
        <v>3691.420719</v>
      </c>
      <c r="M99" t="n">
        <v>2544.206248</v>
      </c>
      <c r="N99" t="n">
        <v>2544.206248</v>
      </c>
      <c r="O99" t="n">
        <v>52.008808</v>
      </c>
      <c r="P99" t="n">
        <v>24.402038</v>
      </c>
      <c r="Q99" t="n">
        <v>2544.206248</v>
      </c>
      <c r="R99" t="n">
        <v>2544.206248</v>
      </c>
      <c r="S99" t="n">
        <v>52.008808</v>
      </c>
      <c r="T99" t="n">
        <v>52.008808</v>
      </c>
      <c r="U99" t="n">
        <v>24.402038</v>
      </c>
      <c r="V99" t="n">
        <v>24.402038</v>
      </c>
      <c r="W99" t="n">
        <v>54.568994</v>
      </c>
      <c r="X99" t="n">
        <v>2714.954335</v>
      </c>
      <c r="Z99" t="n">
        <v>182.392954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H100" t="n">
        <v>126307783.60229</v>
      </c>
      <c r="I100" t="n">
        <v>10530.572825</v>
      </c>
      <c r="J100" t="n">
        <v>10989.061423</v>
      </c>
      <c r="K100" t="n">
        <v>3598.801835</v>
      </c>
      <c r="L100" t="n">
        <v>26383.951313</v>
      </c>
      <c r="M100" t="n">
        <v>18168.399163</v>
      </c>
      <c r="N100" t="n">
        <v>18168.399163</v>
      </c>
      <c r="O100" t="n">
        <v>94.286998</v>
      </c>
      <c r="P100" t="n">
        <v>40.774771</v>
      </c>
      <c r="Q100" t="n">
        <v>18168.399163</v>
      </c>
      <c r="R100" t="n">
        <v>18168.399163</v>
      </c>
      <c r="S100" t="n">
        <v>94.286998</v>
      </c>
      <c r="T100" t="n">
        <v>94.286998</v>
      </c>
      <c r="U100" t="n">
        <v>40.774771</v>
      </c>
      <c r="V100" t="n">
        <v>40.774771</v>
      </c>
      <c r="W100" t="n">
        <v>100.623017</v>
      </c>
      <c r="X100" t="n">
        <v>19911.031856</v>
      </c>
      <c r="Z100" t="n">
        <v>453.316753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H101" t="n">
        <v>14879959.242488</v>
      </c>
      <c r="I101" t="n">
        <v>4341.841291</v>
      </c>
      <c r="J101" t="n">
        <v>4398.007385</v>
      </c>
      <c r="K101" t="n">
        <v>1301.694746</v>
      </c>
      <c r="L101" t="n">
        <v>7112.982475</v>
      </c>
      <c r="M101" t="n">
        <v>4967.292392</v>
      </c>
      <c r="N101" t="n">
        <v>4967.292392</v>
      </c>
      <c r="O101" t="n">
        <v>58.311114</v>
      </c>
      <c r="P101" t="n">
        <v>31.032685</v>
      </c>
      <c r="Q101" t="n">
        <v>4967.292392</v>
      </c>
      <c r="R101" t="n">
        <v>4967.292392</v>
      </c>
      <c r="S101" t="n">
        <v>58.311114</v>
      </c>
      <c r="T101" t="n">
        <v>58.311114</v>
      </c>
      <c r="U101" t="n">
        <v>31.032685</v>
      </c>
      <c r="V101" t="n">
        <v>31.032685</v>
      </c>
      <c r="W101" t="n">
        <v>61.724923</v>
      </c>
      <c r="X101" t="n">
        <v>5208.68705</v>
      </c>
      <c r="Z101" t="n">
        <v>132.574913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H102" t="n">
        <v>426.216492</v>
      </c>
      <c r="I102" t="n">
        <v>88.674335</v>
      </c>
      <c r="J102" t="n">
        <v>88.674335</v>
      </c>
      <c r="K102" t="n">
        <v>84.240618</v>
      </c>
      <c r="L102" t="n">
        <v>130.894857</v>
      </c>
      <c r="M102" t="n">
        <v>88.674335</v>
      </c>
      <c r="N102" t="n">
        <v>88.674335</v>
      </c>
      <c r="O102" t="n">
        <v>5.151693</v>
      </c>
      <c r="P102" t="n">
        <v>3.42724</v>
      </c>
      <c r="Q102" t="n">
        <v>88.674335</v>
      </c>
      <c r="R102" t="n">
        <v>88.674335</v>
      </c>
      <c r="S102" t="n">
        <v>5.151693</v>
      </c>
      <c r="T102" t="n">
        <v>5.151693</v>
      </c>
      <c r="U102" t="n">
        <v>3.42724</v>
      </c>
      <c r="V102" t="n">
        <v>3.42724</v>
      </c>
      <c r="W102" t="n">
        <v>5.382228</v>
      </c>
      <c r="X102" t="n">
        <v>92.561423</v>
      </c>
      <c r="Z102" t="n">
        <v>8.611278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H103" t="n">
        <v>4054.249872</v>
      </c>
      <c r="I103" t="n">
        <v>328.238379</v>
      </c>
      <c r="J103" t="n">
        <v>331.758128</v>
      </c>
      <c r="K103" t="n">
        <v>315.170222</v>
      </c>
      <c r="L103" t="n">
        <v>711.02964</v>
      </c>
      <c r="M103" t="n">
        <v>500.527879</v>
      </c>
      <c r="N103" t="n">
        <v>500.527879</v>
      </c>
      <c r="O103" t="n">
        <v>24.014036</v>
      </c>
      <c r="P103" t="n">
        <v>13.841438</v>
      </c>
      <c r="Q103" t="n">
        <v>500.527879</v>
      </c>
      <c r="R103" t="n">
        <v>500.527879</v>
      </c>
      <c r="S103" t="n">
        <v>24.014036</v>
      </c>
      <c r="T103" t="n">
        <v>24.014036</v>
      </c>
      <c r="U103" t="n">
        <v>13.841438</v>
      </c>
      <c r="V103" t="n">
        <v>13.841438</v>
      </c>
      <c r="W103" t="n">
        <v>25.185127</v>
      </c>
      <c r="X103" t="n">
        <v>532.786051</v>
      </c>
      <c r="Z103" t="n">
        <v>39.292026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H104" t="n">
        <v>3660005.658411</v>
      </c>
      <c r="I104" t="n">
        <v>1276.465343</v>
      </c>
      <c r="J104" t="n">
        <v>1290.274775</v>
      </c>
      <c r="K104" t="n">
        <v>518.5439699999999</v>
      </c>
      <c r="L104" t="n">
        <v>2045.820774</v>
      </c>
      <c r="M104" t="n">
        <v>1430.319122</v>
      </c>
      <c r="N104" t="n">
        <v>1430.319122</v>
      </c>
      <c r="O104" t="n">
        <v>25.28788</v>
      </c>
      <c r="P104" t="n">
        <v>14.738601</v>
      </c>
      <c r="Q104" t="n">
        <v>1430.319122</v>
      </c>
      <c r="R104" t="n">
        <v>1430.319122</v>
      </c>
      <c r="S104" t="n">
        <v>25.28788</v>
      </c>
      <c r="T104" t="n">
        <v>25.28788</v>
      </c>
      <c r="U104" t="n">
        <v>14.738601</v>
      </c>
      <c r="V104" t="n">
        <v>14.738601</v>
      </c>
      <c r="W104" t="n">
        <v>26.656442</v>
      </c>
      <c r="X104" t="n">
        <v>1496.039737</v>
      </c>
      <c r="Z104" t="n">
        <v>56.119608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H105" t="n">
        <v>12597587.109426</v>
      </c>
      <c r="I105" t="n">
        <v>2011.85117</v>
      </c>
      <c r="J105" t="n">
        <v>2069.253476</v>
      </c>
      <c r="K105" t="n">
        <v>1211.061254</v>
      </c>
      <c r="L105" t="n">
        <v>3691.420719</v>
      </c>
      <c r="M105" t="n">
        <v>2544.206248</v>
      </c>
      <c r="N105" t="n">
        <v>2544.206248</v>
      </c>
      <c r="O105" t="n">
        <v>52.008808</v>
      </c>
      <c r="P105" t="n">
        <v>24.402038</v>
      </c>
      <c r="Q105" t="n">
        <v>2544.206248</v>
      </c>
      <c r="R105" t="n">
        <v>2544.206248</v>
      </c>
      <c r="S105" t="n">
        <v>52.008808</v>
      </c>
      <c r="T105" t="n">
        <v>52.008808</v>
      </c>
      <c r="U105" t="n">
        <v>24.402038</v>
      </c>
      <c r="V105" t="n">
        <v>24.402038</v>
      </c>
      <c r="W105" t="n">
        <v>54.568994</v>
      </c>
      <c r="X105" t="n">
        <v>2714.954335</v>
      </c>
      <c r="Z105" t="n">
        <v>182.392954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H106" t="n">
        <v>66499585.166222</v>
      </c>
      <c r="I106" t="n">
        <v>4469.123499</v>
      </c>
      <c r="J106" t="n">
        <v>4793.322749</v>
      </c>
      <c r="K106" t="n">
        <v>1747.151432</v>
      </c>
      <c r="L106" t="n">
        <v>10677.999207</v>
      </c>
      <c r="M106" t="n">
        <v>7305.602239</v>
      </c>
      <c r="N106" t="n">
        <v>7305.602239</v>
      </c>
      <c r="O106" t="n">
        <v>41.400447</v>
      </c>
      <c r="P106" t="n">
        <v>18.192821</v>
      </c>
      <c r="Q106" t="n">
        <v>7305.602239</v>
      </c>
      <c r="R106" t="n">
        <v>7305.602239</v>
      </c>
      <c r="S106" t="n">
        <v>41.400447</v>
      </c>
      <c r="T106" t="n">
        <v>41.400447</v>
      </c>
      <c r="U106" t="n">
        <v>18.192821</v>
      </c>
      <c r="V106" t="n">
        <v>18.192821</v>
      </c>
      <c r="W106" t="n">
        <v>43.295832</v>
      </c>
      <c r="X106" t="n">
        <v>7878.655066</v>
      </c>
      <c r="Z106" t="n">
        <v>171.758301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H107" t="n">
        <v>11759220.471206</v>
      </c>
      <c r="I107" t="n">
        <v>2184.150638</v>
      </c>
      <c r="J107" t="n">
        <v>2277.683197</v>
      </c>
      <c r="K107" t="n">
        <v>2163.799037</v>
      </c>
      <c r="L107" t="n">
        <v>4133.4309</v>
      </c>
      <c r="M107" t="n">
        <v>2817.724532</v>
      </c>
      <c r="N107" t="n">
        <v>2817.724532</v>
      </c>
      <c r="O107" t="n">
        <v>100.301142</v>
      </c>
      <c r="P107" t="n">
        <v>43.53974</v>
      </c>
      <c r="Q107" t="n">
        <v>2817.724532</v>
      </c>
      <c r="R107" t="n">
        <v>2817.724532</v>
      </c>
      <c r="S107" t="n">
        <v>100.301142</v>
      </c>
      <c r="T107" t="n">
        <v>100.301142</v>
      </c>
      <c r="U107" t="n">
        <v>43.53974</v>
      </c>
      <c r="V107" t="n">
        <v>43.53974</v>
      </c>
      <c r="W107" t="n">
        <v>106.305314</v>
      </c>
      <c r="X107" t="n">
        <v>2997.143608</v>
      </c>
      <c r="Z107" t="n">
        <v>261.151532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H108" t="n">
        <v>66499585.166222</v>
      </c>
      <c r="I108" t="n">
        <v>4469.123499</v>
      </c>
      <c r="J108" t="n">
        <v>4793.322749</v>
      </c>
      <c r="K108" t="n">
        <v>1747.151432</v>
      </c>
      <c r="L108" t="n">
        <v>10677.999207</v>
      </c>
      <c r="M108" t="n">
        <v>7305.602239</v>
      </c>
      <c r="N108" t="n">
        <v>7305.602239</v>
      </c>
      <c r="O108" t="n">
        <v>41.400447</v>
      </c>
      <c r="P108" t="n">
        <v>18.192821</v>
      </c>
      <c r="Q108" t="n">
        <v>7305.602239</v>
      </c>
      <c r="R108" t="n">
        <v>7305.602239</v>
      </c>
      <c r="S108" t="n">
        <v>41.400447</v>
      </c>
      <c r="T108" t="n">
        <v>41.400447</v>
      </c>
      <c r="U108" t="n">
        <v>18.192821</v>
      </c>
      <c r="V108" t="n">
        <v>18.192821</v>
      </c>
      <c r="W108" t="n">
        <v>43.295832</v>
      </c>
      <c r="X108" t="n">
        <v>7878.655066</v>
      </c>
      <c r="Z108" t="n">
        <v>171.758301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H109" t="n">
        <v>32593.399706</v>
      </c>
      <c r="I109" t="n">
        <v>356.10635</v>
      </c>
      <c r="J109" t="n">
        <v>384.755747</v>
      </c>
      <c r="K109" t="n">
        <v>365.51796</v>
      </c>
      <c r="L109" t="n">
        <v>602.712303</v>
      </c>
      <c r="M109" t="n">
        <v>421.28566</v>
      </c>
      <c r="N109" t="n">
        <v>421.28566</v>
      </c>
      <c r="O109" t="n">
        <v>20.384878</v>
      </c>
      <c r="P109" t="n">
        <v>12.067619</v>
      </c>
      <c r="Q109" t="n">
        <v>421.28566</v>
      </c>
      <c r="R109" t="n">
        <v>421.28566</v>
      </c>
      <c r="S109" t="n">
        <v>20.384878</v>
      </c>
      <c r="T109" t="n">
        <v>20.384878</v>
      </c>
      <c r="U109" t="n">
        <v>12.067619</v>
      </c>
      <c r="V109" t="n">
        <v>12.067619</v>
      </c>
      <c r="W109" t="n">
        <v>20.990919</v>
      </c>
      <c r="X109" t="n">
        <v>434.828134</v>
      </c>
      <c r="Z109" t="n">
        <v>44.708144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H110" t="n">
        <v>426.216492</v>
      </c>
      <c r="I110" t="n">
        <v>88.674335</v>
      </c>
      <c r="J110" t="n">
        <v>88.674335</v>
      </c>
      <c r="K110" t="n">
        <v>84.240618</v>
      </c>
      <c r="L110" t="n">
        <v>130.894857</v>
      </c>
      <c r="M110" t="n">
        <v>88.674335</v>
      </c>
      <c r="N110" t="n">
        <v>88.674335</v>
      </c>
      <c r="O110" t="n">
        <v>5.151693</v>
      </c>
      <c r="P110" t="n">
        <v>3.42724</v>
      </c>
      <c r="Q110" t="n">
        <v>88.674335</v>
      </c>
      <c r="R110" t="n">
        <v>88.674335</v>
      </c>
      <c r="S110" t="n">
        <v>5.151693</v>
      </c>
      <c r="T110" t="n">
        <v>5.151693</v>
      </c>
      <c r="U110" t="n">
        <v>3.42724</v>
      </c>
      <c r="V110" t="n">
        <v>3.42724</v>
      </c>
      <c r="W110" t="n">
        <v>5.382228</v>
      </c>
      <c r="X110" t="n">
        <v>92.561423</v>
      </c>
      <c r="Z110" t="n">
        <v>8.611278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H111" t="n">
        <v>11759220.471206</v>
      </c>
      <c r="I111" t="n">
        <v>2184.150638</v>
      </c>
      <c r="J111" t="n">
        <v>2277.683197</v>
      </c>
      <c r="K111" t="n">
        <v>2163.799037</v>
      </c>
      <c r="L111" t="n">
        <v>4133.4309</v>
      </c>
      <c r="M111" t="n">
        <v>2817.724532</v>
      </c>
      <c r="N111" t="n">
        <v>2817.724532</v>
      </c>
      <c r="O111" t="n">
        <v>100.301142</v>
      </c>
      <c r="P111" t="n">
        <v>43.53974</v>
      </c>
      <c r="Q111" t="n">
        <v>2817.724532</v>
      </c>
      <c r="R111" t="n">
        <v>2817.724532</v>
      </c>
      <c r="S111" t="n">
        <v>100.301142</v>
      </c>
      <c r="T111" t="n">
        <v>100.301142</v>
      </c>
      <c r="U111" t="n">
        <v>43.53974</v>
      </c>
      <c r="V111" t="n">
        <v>43.53974</v>
      </c>
      <c r="W111" t="n">
        <v>106.305314</v>
      </c>
      <c r="X111" t="n">
        <v>2997.143608</v>
      </c>
      <c r="Z111" t="n">
        <v>261.151532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H112" t="n">
        <v>18724.860706</v>
      </c>
      <c r="I112" t="n">
        <v>98.72009199999999</v>
      </c>
      <c r="J112" t="n">
        <v>98.72009199999999</v>
      </c>
      <c r="K112" t="n">
        <v>93.784087</v>
      </c>
      <c r="L112" t="n">
        <v>173.938876</v>
      </c>
      <c r="M112" t="n">
        <v>115.203607</v>
      </c>
      <c r="N112" t="n">
        <v>115.203607</v>
      </c>
      <c r="O112" t="n">
        <v>4.263184</v>
      </c>
      <c r="P112" t="n">
        <v>2.411197</v>
      </c>
      <c r="Q112" t="n">
        <v>115.203607</v>
      </c>
      <c r="R112" t="n">
        <v>115.203607</v>
      </c>
      <c r="S112" t="n">
        <v>4.263184</v>
      </c>
      <c r="T112" t="n">
        <v>4.263184</v>
      </c>
      <c r="U112" t="n">
        <v>2.411197</v>
      </c>
      <c r="V112" t="n">
        <v>2.411197</v>
      </c>
      <c r="W112" t="n">
        <v>4.428691</v>
      </c>
      <c r="X112" t="n">
        <v>122.757859</v>
      </c>
      <c r="Z112" t="n">
        <v>14.767218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H113" t="n">
        <v>426.216492</v>
      </c>
      <c r="I113" t="n">
        <v>88.674335</v>
      </c>
      <c r="J113" t="n">
        <v>88.674335</v>
      </c>
      <c r="K113" t="n">
        <v>84.240618</v>
      </c>
      <c r="L113" t="n">
        <v>130.894857</v>
      </c>
      <c r="M113" t="n">
        <v>88.674335</v>
      </c>
      <c r="N113" t="n">
        <v>88.674335</v>
      </c>
      <c r="O113" t="n">
        <v>5.151693</v>
      </c>
      <c r="P113" t="n">
        <v>3.42724</v>
      </c>
      <c r="Q113" t="n">
        <v>88.674335</v>
      </c>
      <c r="R113" t="n">
        <v>88.674335</v>
      </c>
      <c r="S113" t="n">
        <v>5.151693</v>
      </c>
      <c r="T113" t="n">
        <v>5.151693</v>
      </c>
      <c r="U113" t="n">
        <v>3.42724</v>
      </c>
      <c r="V113" t="n">
        <v>3.42724</v>
      </c>
      <c r="W113" t="n">
        <v>5.382228</v>
      </c>
      <c r="X113" t="n">
        <v>92.561423</v>
      </c>
      <c r="Z113" t="n">
        <v>8.611278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H114" t="n">
        <v>66499585.166222</v>
      </c>
      <c r="I114" t="n">
        <v>4469.123499</v>
      </c>
      <c r="J114" t="n">
        <v>4793.322749</v>
      </c>
      <c r="K114" t="n">
        <v>1747.151432</v>
      </c>
      <c r="L114" t="n">
        <v>10677.999207</v>
      </c>
      <c r="M114" t="n">
        <v>7305.602239</v>
      </c>
      <c r="N114" t="n">
        <v>7305.602239</v>
      </c>
      <c r="O114" t="n">
        <v>41.400447</v>
      </c>
      <c r="P114" t="n">
        <v>18.192821</v>
      </c>
      <c r="Q114" t="n">
        <v>7305.602239</v>
      </c>
      <c r="R114" t="n">
        <v>7305.602239</v>
      </c>
      <c r="S114" t="n">
        <v>41.400447</v>
      </c>
      <c r="T114" t="n">
        <v>41.400447</v>
      </c>
      <c r="U114" t="n">
        <v>18.192821</v>
      </c>
      <c r="V114" t="n">
        <v>18.192821</v>
      </c>
      <c r="W114" t="n">
        <v>43.295832</v>
      </c>
      <c r="X114" t="n">
        <v>7878.655066</v>
      </c>
      <c r="Z114" t="n">
        <v>171.758301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H115" t="n">
        <v>126307783.60229</v>
      </c>
      <c r="I115" t="n">
        <v>10530.572825</v>
      </c>
      <c r="J115" t="n">
        <v>10989.061423</v>
      </c>
      <c r="K115" t="n">
        <v>3598.801835</v>
      </c>
      <c r="L115" t="n">
        <v>26383.951313</v>
      </c>
      <c r="M115" t="n">
        <v>18168.399163</v>
      </c>
      <c r="N115" t="n">
        <v>18168.399163</v>
      </c>
      <c r="O115" t="n">
        <v>94.286998</v>
      </c>
      <c r="P115" t="n">
        <v>40.774771</v>
      </c>
      <c r="Q115" t="n">
        <v>18168.399163</v>
      </c>
      <c r="R115" t="n">
        <v>18168.399163</v>
      </c>
      <c r="S115" t="n">
        <v>94.286998</v>
      </c>
      <c r="T115" t="n">
        <v>94.286998</v>
      </c>
      <c r="U115" t="n">
        <v>40.774771</v>
      </c>
      <c r="V115" t="n">
        <v>40.774771</v>
      </c>
      <c r="W115" t="n">
        <v>100.623017</v>
      </c>
      <c r="X115" t="n">
        <v>19911.031856</v>
      </c>
      <c r="Z115" t="n">
        <v>453.316753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H116" t="n">
        <v>14879959.242488</v>
      </c>
      <c r="I116" t="n">
        <v>4341.841291</v>
      </c>
      <c r="J116" t="n">
        <v>4398.007385</v>
      </c>
      <c r="K116" t="n">
        <v>1301.694746</v>
      </c>
      <c r="L116" t="n">
        <v>7112.982475</v>
      </c>
      <c r="M116" t="n">
        <v>4967.292392</v>
      </c>
      <c r="N116" t="n">
        <v>4967.292392</v>
      </c>
      <c r="O116" t="n">
        <v>58.311114</v>
      </c>
      <c r="P116" t="n">
        <v>31.032685</v>
      </c>
      <c r="Q116" t="n">
        <v>4967.292392</v>
      </c>
      <c r="R116" t="n">
        <v>4967.292392</v>
      </c>
      <c r="S116" t="n">
        <v>58.311114</v>
      </c>
      <c r="T116" t="n">
        <v>58.311114</v>
      </c>
      <c r="U116" t="n">
        <v>31.032685</v>
      </c>
      <c r="V116" t="n">
        <v>31.032685</v>
      </c>
      <c r="W116" t="n">
        <v>61.724923</v>
      </c>
      <c r="X116" t="n">
        <v>5208.68705</v>
      </c>
      <c r="Z116" t="n">
        <v>132.574913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H117" t="n">
        <v>426.216492</v>
      </c>
      <c r="I117" t="n">
        <v>88.674335</v>
      </c>
      <c r="J117" t="n">
        <v>88.674335</v>
      </c>
      <c r="K117" t="n">
        <v>84.240618</v>
      </c>
      <c r="L117" t="n">
        <v>130.894857</v>
      </c>
      <c r="M117" t="n">
        <v>88.674335</v>
      </c>
      <c r="N117" t="n">
        <v>88.674335</v>
      </c>
      <c r="O117" t="n">
        <v>5.151693</v>
      </c>
      <c r="P117" t="n">
        <v>3.42724</v>
      </c>
      <c r="Q117" t="n">
        <v>88.674335</v>
      </c>
      <c r="R117" t="n">
        <v>88.674335</v>
      </c>
      <c r="S117" t="n">
        <v>5.151693</v>
      </c>
      <c r="T117" t="n">
        <v>5.151693</v>
      </c>
      <c r="U117" t="n">
        <v>3.42724</v>
      </c>
      <c r="V117" t="n">
        <v>3.42724</v>
      </c>
      <c r="W117" t="n">
        <v>5.382228</v>
      </c>
      <c r="X117" t="n">
        <v>92.561423</v>
      </c>
      <c r="Z117" t="n">
        <v>8.611278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H118" t="n">
        <v>1765893.991615</v>
      </c>
      <c r="I118" t="n">
        <v>960.510599</v>
      </c>
      <c r="J118" t="n">
        <v>992.8601180000001</v>
      </c>
      <c r="K118" t="n">
        <v>778.402333</v>
      </c>
      <c r="L118" t="n">
        <v>1692.571887</v>
      </c>
      <c r="M118" t="n">
        <v>1167.255797</v>
      </c>
      <c r="N118" t="n">
        <v>1167.255797</v>
      </c>
      <c r="O118" t="n">
        <v>37.211599</v>
      </c>
      <c r="P118" t="n">
        <v>18.688701</v>
      </c>
      <c r="Q118" t="n">
        <v>1167.255797</v>
      </c>
      <c r="R118" t="n">
        <v>1167.255797</v>
      </c>
      <c r="S118" t="n">
        <v>37.211599</v>
      </c>
      <c r="T118" t="n">
        <v>37.211599</v>
      </c>
      <c r="U118" t="n">
        <v>18.688701</v>
      </c>
      <c r="V118" t="n">
        <v>18.688701</v>
      </c>
      <c r="W118" t="n">
        <v>39.187717</v>
      </c>
      <c r="X118" t="n">
        <v>1213.262136</v>
      </c>
      <c r="Z118" t="n">
        <v>117.428271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H119" t="n">
        <v>14879959.242488</v>
      </c>
      <c r="I119" t="n">
        <v>4341.841291</v>
      </c>
      <c r="J119" t="n">
        <v>4398.007385</v>
      </c>
      <c r="K119" t="n">
        <v>1301.694746</v>
      </c>
      <c r="L119" t="n">
        <v>7112.982475</v>
      </c>
      <c r="M119" t="n">
        <v>4967.292392</v>
      </c>
      <c r="N119" t="n">
        <v>4967.292392</v>
      </c>
      <c r="O119" t="n">
        <v>58.311114</v>
      </c>
      <c r="P119" t="n">
        <v>31.032685</v>
      </c>
      <c r="Q119" t="n">
        <v>4967.292392</v>
      </c>
      <c r="R119" t="n">
        <v>4967.292392</v>
      </c>
      <c r="S119" t="n">
        <v>58.311114</v>
      </c>
      <c r="T119" t="n">
        <v>58.311114</v>
      </c>
      <c r="U119" t="n">
        <v>31.032685</v>
      </c>
      <c r="V119" t="n">
        <v>31.032685</v>
      </c>
      <c r="W119" t="n">
        <v>61.724923</v>
      </c>
      <c r="X119" t="n">
        <v>5208.68705</v>
      </c>
      <c r="Z119" t="n">
        <v>132.574913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H120" t="n">
        <v>426.216492</v>
      </c>
      <c r="I120" t="n">
        <v>88.674335</v>
      </c>
      <c r="J120" t="n">
        <v>88.674335</v>
      </c>
      <c r="K120" t="n">
        <v>84.240618</v>
      </c>
      <c r="L120" t="n">
        <v>130.894857</v>
      </c>
      <c r="M120" t="n">
        <v>88.674335</v>
      </c>
      <c r="N120" t="n">
        <v>88.674335</v>
      </c>
      <c r="O120" t="n">
        <v>5.151693</v>
      </c>
      <c r="P120" t="n">
        <v>3.42724</v>
      </c>
      <c r="Q120" t="n">
        <v>88.674335</v>
      </c>
      <c r="R120" t="n">
        <v>88.674335</v>
      </c>
      <c r="S120" t="n">
        <v>5.151693</v>
      </c>
      <c r="T120" t="n">
        <v>5.151693</v>
      </c>
      <c r="U120" t="n">
        <v>3.42724</v>
      </c>
      <c r="V120" t="n">
        <v>3.42724</v>
      </c>
      <c r="W120" t="n">
        <v>5.382228</v>
      </c>
      <c r="X120" t="n">
        <v>92.561423</v>
      </c>
      <c r="Z120" t="n">
        <v>8.611278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H121" t="n">
        <v>113391773.775872</v>
      </c>
      <c r="I121" t="n">
        <v>7268.387336</v>
      </c>
      <c r="J121" t="n">
        <v>7315.723404</v>
      </c>
      <c r="K121" t="n">
        <v>2662.923319</v>
      </c>
      <c r="L121" t="n">
        <v>18846.946222</v>
      </c>
      <c r="M121" t="n">
        <v>12899.244148</v>
      </c>
      <c r="N121" t="n">
        <v>12899.244148</v>
      </c>
      <c r="O121" t="n">
        <v>58.377455</v>
      </c>
      <c r="P121" t="n">
        <v>24.766119</v>
      </c>
      <c r="Q121" t="n">
        <v>12899.244148</v>
      </c>
      <c r="R121" t="n">
        <v>12899.244148</v>
      </c>
      <c r="S121" t="n">
        <v>58.377455</v>
      </c>
      <c r="T121" t="n">
        <v>58.377455</v>
      </c>
      <c r="U121" t="n">
        <v>24.766119</v>
      </c>
      <c r="V121" t="n">
        <v>24.766119</v>
      </c>
      <c r="W121" t="n">
        <v>61.462709</v>
      </c>
      <c r="X121" t="n">
        <v>13974.158015</v>
      </c>
      <c r="Z121" t="n">
        <v>258.914422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H122" t="n">
        <v>32593.399706</v>
      </c>
      <c r="I122" t="n">
        <v>356.10635</v>
      </c>
      <c r="J122" t="n">
        <v>384.755747</v>
      </c>
      <c r="K122" t="n">
        <v>365.51796</v>
      </c>
      <c r="L122" t="n">
        <v>602.712303</v>
      </c>
      <c r="M122" t="n">
        <v>421.28566</v>
      </c>
      <c r="N122" t="n">
        <v>421.28566</v>
      </c>
      <c r="O122" t="n">
        <v>20.384878</v>
      </c>
      <c r="P122" t="n">
        <v>12.067619</v>
      </c>
      <c r="Q122" t="n">
        <v>421.28566</v>
      </c>
      <c r="R122" t="n">
        <v>421.28566</v>
      </c>
      <c r="S122" t="n">
        <v>20.384878</v>
      </c>
      <c r="T122" t="n">
        <v>20.384878</v>
      </c>
      <c r="U122" t="n">
        <v>12.067619</v>
      </c>
      <c r="V122" t="n">
        <v>12.067619</v>
      </c>
      <c r="W122" t="n">
        <v>20.990919</v>
      </c>
      <c r="X122" t="n">
        <v>434.828134</v>
      </c>
      <c r="Z122" t="n">
        <v>44.708144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H123" t="n">
        <v>1680573.295471</v>
      </c>
      <c r="I123" t="n">
        <v>2351.601599</v>
      </c>
      <c r="J123" t="n">
        <v>2551.708963</v>
      </c>
      <c r="K123" t="n">
        <v>1196.751504</v>
      </c>
      <c r="L123" t="n">
        <v>4710.704014</v>
      </c>
      <c r="M123" t="n">
        <v>3197.137719</v>
      </c>
      <c r="N123" t="n">
        <v>3197.137719</v>
      </c>
      <c r="O123" t="n">
        <v>47.386821</v>
      </c>
      <c r="P123" t="n">
        <v>22.758425</v>
      </c>
      <c r="Q123" t="n">
        <v>3197.137719</v>
      </c>
      <c r="R123" t="n">
        <v>3197.137719</v>
      </c>
      <c r="S123" t="n">
        <v>47.386821</v>
      </c>
      <c r="T123" t="n">
        <v>47.386821</v>
      </c>
      <c r="U123" t="n">
        <v>22.758425</v>
      </c>
      <c r="V123" t="n">
        <v>22.758425</v>
      </c>
      <c r="W123" t="n">
        <v>49.846385</v>
      </c>
      <c r="X123" t="n">
        <v>3474.67582</v>
      </c>
      <c r="Z123" t="n">
        <v>73.813157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H124" t="n">
        <v>66499585.166222</v>
      </c>
      <c r="I124" t="n">
        <v>4469.123499</v>
      </c>
      <c r="J124" t="n">
        <v>4793.322749</v>
      </c>
      <c r="K124" t="n">
        <v>1747.151432</v>
      </c>
      <c r="L124" t="n">
        <v>10677.999207</v>
      </c>
      <c r="M124" t="n">
        <v>7305.602239</v>
      </c>
      <c r="N124" t="n">
        <v>7305.602239</v>
      </c>
      <c r="O124" t="n">
        <v>41.400447</v>
      </c>
      <c r="P124" t="n">
        <v>18.192821</v>
      </c>
      <c r="Q124" t="n">
        <v>7305.602239</v>
      </c>
      <c r="R124" t="n">
        <v>7305.602239</v>
      </c>
      <c r="S124" t="n">
        <v>41.400447</v>
      </c>
      <c r="T124" t="n">
        <v>41.400447</v>
      </c>
      <c r="U124" t="n">
        <v>18.192821</v>
      </c>
      <c r="V124" t="n">
        <v>18.192821</v>
      </c>
      <c r="W124" t="n">
        <v>43.295832</v>
      </c>
      <c r="X124" t="n">
        <v>7878.655066</v>
      </c>
      <c r="Z124" t="n">
        <v>171.758301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H125" t="n">
        <v>66499585.166222</v>
      </c>
      <c r="I125" t="n">
        <v>4469.123499</v>
      </c>
      <c r="J125" t="n">
        <v>4793.322749</v>
      </c>
      <c r="K125" t="n">
        <v>1747.151432</v>
      </c>
      <c r="L125" t="n">
        <v>10677.999207</v>
      </c>
      <c r="M125" t="n">
        <v>7305.602239</v>
      </c>
      <c r="N125" t="n">
        <v>7305.602239</v>
      </c>
      <c r="O125" t="n">
        <v>41.400447</v>
      </c>
      <c r="P125" t="n">
        <v>18.192821</v>
      </c>
      <c r="Q125" t="n">
        <v>7305.602239</v>
      </c>
      <c r="R125" t="n">
        <v>7305.602239</v>
      </c>
      <c r="S125" t="n">
        <v>41.400447</v>
      </c>
      <c r="T125" t="n">
        <v>41.400447</v>
      </c>
      <c r="U125" t="n">
        <v>18.192821</v>
      </c>
      <c r="V125" t="n">
        <v>18.192821</v>
      </c>
      <c r="W125" t="n">
        <v>43.295832</v>
      </c>
      <c r="X125" t="n">
        <v>7878.655066</v>
      </c>
      <c r="Z125" t="n">
        <v>171.758301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H126" t="n">
        <v>1680573.295471</v>
      </c>
      <c r="I126" t="n">
        <v>2351.601599</v>
      </c>
      <c r="J126" t="n">
        <v>2551.708963</v>
      </c>
      <c r="K126" t="n">
        <v>1196.751504</v>
      </c>
      <c r="L126" t="n">
        <v>4710.704014</v>
      </c>
      <c r="M126" t="n">
        <v>3197.137719</v>
      </c>
      <c r="N126" t="n">
        <v>3197.137719</v>
      </c>
      <c r="O126" t="n">
        <v>47.386821</v>
      </c>
      <c r="P126" t="n">
        <v>22.758425</v>
      </c>
      <c r="Q126" t="n">
        <v>3197.137719</v>
      </c>
      <c r="R126" t="n">
        <v>3197.137719</v>
      </c>
      <c r="S126" t="n">
        <v>47.386821</v>
      </c>
      <c r="T126" t="n">
        <v>47.386821</v>
      </c>
      <c r="U126" t="n">
        <v>22.758425</v>
      </c>
      <c r="V126" t="n">
        <v>22.758425</v>
      </c>
      <c r="W126" t="n">
        <v>49.846385</v>
      </c>
      <c r="X126" t="n">
        <v>3474.67582</v>
      </c>
      <c r="Z126" t="n">
        <v>73.813157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H127" t="n">
        <v>426.216492</v>
      </c>
      <c r="I127" t="n">
        <v>88.674335</v>
      </c>
      <c r="J127" t="n">
        <v>88.674335</v>
      </c>
      <c r="K127" t="n">
        <v>84.240618</v>
      </c>
      <c r="L127" t="n">
        <v>130.894857</v>
      </c>
      <c r="M127" t="n">
        <v>88.674335</v>
      </c>
      <c r="N127" t="n">
        <v>88.674335</v>
      </c>
      <c r="O127" t="n">
        <v>5.151693</v>
      </c>
      <c r="P127" t="n">
        <v>3.42724</v>
      </c>
      <c r="Q127" t="n">
        <v>88.674335</v>
      </c>
      <c r="R127" t="n">
        <v>88.674335</v>
      </c>
      <c r="S127" t="n">
        <v>5.151693</v>
      </c>
      <c r="T127" t="n">
        <v>5.151693</v>
      </c>
      <c r="U127" t="n">
        <v>3.42724</v>
      </c>
      <c r="V127" t="n">
        <v>3.42724</v>
      </c>
      <c r="W127" t="n">
        <v>5.382228</v>
      </c>
      <c r="X127" t="n">
        <v>92.561423</v>
      </c>
      <c r="Z127" t="n">
        <v>8.611278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H128" t="n">
        <v>14879959.242488</v>
      </c>
      <c r="I128" t="n">
        <v>4341.841291</v>
      </c>
      <c r="J128" t="n">
        <v>4398.007385</v>
      </c>
      <c r="K128" t="n">
        <v>1301.694746</v>
      </c>
      <c r="L128" t="n">
        <v>7112.982475</v>
      </c>
      <c r="M128" t="n">
        <v>4967.292392</v>
      </c>
      <c r="N128" t="n">
        <v>4967.292392</v>
      </c>
      <c r="O128" t="n">
        <v>58.311114</v>
      </c>
      <c r="P128" t="n">
        <v>31.032685</v>
      </c>
      <c r="Q128" t="n">
        <v>4967.292392</v>
      </c>
      <c r="R128" t="n">
        <v>4967.292392</v>
      </c>
      <c r="S128" t="n">
        <v>58.311114</v>
      </c>
      <c r="T128" t="n">
        <v>58.311114</v>
      </c>
      <c r="U128" t="n">
        <v>31.032685</v>
      </c>
      <c r="V128" t="n">
        <v>31.032685</v>
      </c>
      <c r="W128" t="n">
        <v>61.724923</v>
      </c>
      <c r="X128" t="n">
        <v>5208.68705</v>
      </c>
      <c r="Z128" t="n">
        <v>132.574913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H129" t="n">
        <v>66499585.166222</v>
      </c>
      <c r="I129" t="n">
        <v>4469.123499</v>
      </c>
      <c r="J129" t="n">
        <v>4793.322749</v>
      </c>
      <c r="K129" t="n">
        <v>1747.151432</v>
      </c>
      <c r="L129" t="n">
        <v>10677.999207</v>
      </c>
      <c r="M129" t="n">
        <v>7305.602239</v>
      </c>
      <c r="N129" t="n">
        <v>7305.602239</v>
      </c>
      <c r="O129" t="n">
        <v>41.400447</v>
      </c>
      <c r="P129" t="n">
        <v>18.192821</v>
      </c>
      <c r="Q129" t="n">
        <v>7305.602239</v>
      </c>
      <c r="R129" t="n">
        <v>7305.602239</v>
      </c>
      <c r="S129" t="n">
        <v>41.400447</v>
      </c>
      <c r="T129" t="n">
        <v>41.400447</v>
      </c>
      <c r="U129" t="n">
        <v>18.192821</v>
      </c>
      <c r="V129" t="n">
        <v>18.192821</v>
      </c>
      <c r="W129" t="n">
        <v>43.295832</v>
      </c>
      <c r="X129" t="n">
        <v>7878.655066</v>
      </c>
      <c r="Z129" t="n">
        <v>171.758301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H130" t="n">
        <v>1993.394013</v>
      </c>
      <c r="I130" t="n">
        <v>277.068801</v>
      </c>
      <c r="J130" t="n">
        <v>277.068801</v>
      </c>
      <c r="K130" t="n">
        <v>263.215361</v>
      </c>
      <c r="L130" t="n">
        <v>393.787233</v>
      </c>
      <c r="M130" t="n">
        <v>277.168933</v>
      </c>
      <c r="N130" t="n">
        <v>277.168933</v>
      </c>
      <c r="O130" t="n">
        <v>14.521402</v>
      </c>
      <c r="P130" t="n">
        <v>9.426283</v>
      </c>
      <c r="Q130" t="n">
        <v>277.168933</v>
      </c>
      <c r="R130" t="n">
        <v>277.168933</v>
      </c>
      <c r="S130" t="n">
        <v>14.521402</v>
      </c>
      <c r="T130" t="n">
        <v>14.521402</v>
      </c>
      <c r="U130" t="n">
        <v>9.426283</v>
      </c>
      <c r="V130" t="n">
        <v>9.426283</v>
      </c>
      <c r="W130" t="n">
        <v>15.223157</v>
      </c>
      <c r="X130" t="n">
        <v>285.614997</v>
      </c>
      <c r="Z130" t="n">
        <v>31.193085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H131" t="n">
        <v>1765893.991615</v>
      </c>
      <c r="I131" t="n">
        <v>960.510599</v>
      </c>
      <c r="J131" t="n">
        <v>992.8601180000001</v>
      </c>
      <c r="K131" t="n">
        <v>778.402333</v>
      </c>
      <c r="L131" t="n">
        <v>1692.571887</v>
      </c>
      <c r="M131" t="n">
        <v>1167.255797</v>
      </c>
      <c r="N131" t="n">
        <v>1167.255797</v>
      </c>
      <c r="O131" t="n">
        <v>37.211599</v>
      </c>
      <c r="P131" t="n">
        <v>18.688701</v>
      </c>
      <c r="Q131" t="n">
        <v>1167.255797</v>
      </c>
      <c r="R131" t="n">
        <v>1167.255797</v>
      </c>
      <c r="S131" t="n">
        <v>37.211599</v>
      </c>
      <c r="T131" t="n">
        <v>37.211599</v>
      </c>
      <c r="U131" t="n">
        <v>18.688701</v>
      </c>
      <c r="V131" t="n">
        <v>18.688701</v>
      </c>
      <c r="W131" t="n">
        <v>39.187717</v>
      </c>
      <c r="X131" t="n">
        <v>1213.262136</v>
      </c>
      <c r="Z131" t="n">
        <v>117.428271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H132" t="n">
        <v>284212.520683</v>
      </c>
      <c r="I132" t="n">
        <v>386.298429</v>
      </c>
      <c r="J132" t="n">
        <v>403.015522</v>
      </c>
      <c r="K132" t="n">
        <v>382.864746</v>
      </c>
      <c r="L132" t="n">
        <v>738.02552</v>
      </c>
      <c r="M132" t="n">
        <v>504.12505</v>
      </c>
      <c r="N132" t="n">
        <v>504.12505</v>
      </c>
      <c r="O132" t="n">
        <v>19.791087</v>
      </c>
      <c r="P132" t="n">
        <v>10.585758</v>
      </c>
      <c r="Q132" t="n">
        <v>504.12505</v>
      </c>
      <c r="R132" t="n">
        <v>504.12505</v>
      </c>
      <c r="S132" t="n">
        <v>19.791087</v>
      </c>
      <c r="T132" t="n">
        <v>19.791087</v>
      </c>
      <c r="U132" t="n">
        <v>10.585758</v>
      </c>
      <c r="V132" t="n">
        <v>10.585758</v>
      </c>
      <c r="W132" t="n">
        <v>20.644284</v>
      </c>
      <c r="X132" t="n">
        <v>528.265792</v>
      </c>
      <c r="Z132" t="n">
        <v>47.016842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H133" t="n">
        <v>163767.801906</v>
      </c>
      <c r="I133" t="n">
        <v>1107.715094</v>
      </c>
      <c r="J133" t="n">
        <v>1152.41915</v>
      </c>
      <c r="K133" t="n">
        <v>1094.798192</v>
      </c>
      <c r="L133" t="n">
        <v>2274.19106</v>
      </c>
      <c r="M133" t="n">
        <v>1598.007907</v>
      </c>
      <c r="N133" t="n">
        <v>1598.007907</v>
      </c>
      <c r="O133" t="n">
        <v>71.350959</v>
      </c>
      <c r="P133" t="n">
        <v>34.506697</v>
      </c>
      <c r="Q133" t="n">
        <v>1598.007907</v>
      </c>
      <c r="R133" t="n">
        <v>1598.007907</v>
      </c>
      <c r="S133" t="n">
        <v>71.350959</v>
      </c>
      <c r="T133" t="n">
        <v>71.350959</v>
      </c>
      <c r="U133" t="n">
        <v>34.506697</v>
      </c>
      <c r="V133" t="n">
        <v>34.506697</v>
      </c>
      <c r="W133" t="n">
        <v>75.453034</v>
      </c>
      <c r="X133" t="n">
        <v>1713.88012</v>
      </c>
      <c r="Z133" t="n">
        <v>171.487387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H134" t="n">
        <v>11759220.471206</v>
      </c>
      <c r="I134" t="n">
        <v>2184.150638</v>
      </c>
      <c r="J134" t="n">
        <v>2277.683197</v>
      </c>
      <c r="K134" t="n">
        <v>2163.799037</v>
      </c>
      <c r="L134" t="n">
        <v>4133.4309</v>
      </c>
      <c r="M134" t="n">
        <v>2817.724532</v>
      </c>
      <c r="N134" t="n">
        <v>2817.724532</v>
      </c>
      <c r="O134" t="n">
        <v>100.301142</v>
      </c>
      <c r="P134" t="n">
        <v>43.53974</v>
      </c>
      <c r="Q134" t="n">
        <v>2817.724532</v>
      </c>
      <c r="R134" t="n">
        <v>2817.724532</v>
      </c>
      <c r="S134" t="n">
        <v>100.301142</v>
      </c>
      <c r="T134" t="n">
        <v>100.301142</v>
      </c>
      <c r="U134" t="n">
        <v>43.53974</v>
      </c>
      <c r="V134" t="n">
        <v>43.53974</v>
      </c>
      <c r="W134" t="n">
        <v>106.305314</v>
      </c>
      <c r="X134" t="n">
        <v>2997.143608</v>
      </c>
      <c r="Z134" t="n">
        <v>261.151532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H135" t="n">
        <v>14879959.242488</v>
      </c>
      <c r="I135" t="n">
        <v>4341.841291</v>
      </c>
      <c r="J135" t="n">
        <v>4398.007385</v>
      </c>
      <c r="K135" t="n">
        <v>1301.694746</v>
      </c>
      <c r="L135" t="n">
        <v>7112.982475</v>
      </c>
      <c r="M135" t="n">
        <v>4967.292392</v>
      </c>
      <c r="N135" t="n">
        <v>4967.292392</v>
      </c>
      <c r="O135" t="n">
        <v>58.311114</v>
      </c>
      <c r="P135" t="n">
        <v>31.032685</v>
      </c>
      <c r="Q135" t="n">
        <v>4967.292392</v>
      </c>
      <c r="R135" t="n">
        <v>4967.292392</v>
      </c>
      <c r="S135" t="n">
        <v>58.311114</v>
      </c>
      <c r="T135" t="n">
        <v>58.311114</v>
      </c>
      <c r="U135" t="n">
        <v>31.032685</v>
      </c>
      <c r="V135" t="n">
        <v>31.032685</v>
      </c>
      <c r="W135" t="n">
        <v>61.724923</v>
      </c>
      <c r="X135" t="n">
        <v>5208.68705</v>
      </c>
      <c r="Z135" t="n">
        <v>132.574913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H136" t="n">
        <v>36215476.90323</v>
      </c>
      <c r="I136" t="n">
        <v>6549.676201</v>
      </c>
      <c r="J136" t="n">
        <v>6897.830047</v>
      </c>
      <c r="K136" t="n">
        <v>1662.377041</v>
      </c>
      <c r="L136" t="n">
        <v>16798.641648</v>
      </c>
      <c r="M136" t="n">
        <v>11531.29792</v>
      </c>
      <c r="N136" t="n">
        <v>11531.29792</v>
      </c>
      <c r="O136" t="n">
        <v>47.733364</v>
      </c>
      <c r="P136" t="n">
        <v>20.713886</v>
      </c>
      <c r="Q136" t="n">
        <v>11531.29792</v>
      </c>
      <c r="R136" t="n">
        <v>11531.29792</v>
      </c>
      <c r="S136" t="n">
        <v>47.733364</v>
      </c>
      <c r="T136" t="n">
        <v>47.733364</v>
      </c>
      <c r="U136" t="n">
        <v>20.713886</v>
      </c>
      <c r="V136" t="n">
        <v>20.713886</v>
      </c>
      <c r="W136" t="n">
        <v>50.435105</v>
      </c>
      <c r="X136" t="n">
        <v>12443.762725</v>
      </c>
      <c r="Z136" t="n">
        <v>326.985876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H137" t="n">
        <v>52027107.267087</v>
      </c>
      <c r="I137" t="n">
        <v>7059.021807</v>
      </c>
      <c r="J137" t="n">
        <v>7260.732834</v>
      </c>
      <c r="K137" t="n">
        <v>2722.774813</v>
      </c>
      <c r="L137" t="n">
        <v>14214.100911</v>
      </c>
      <c r="M137" t="n">
        <v>9730.75452</v>
      </c>
      <c r="N137" t="n">
        <v>9730.75452</v>
      </c>
      <c r="O137" t="n">
        <v>100.399835</v>
      </c>
      <c r="P137" t="n">
        <v>43.4623</v>
      </c>
      <c r="Q137" t="n">
        <v>9730.75452</v>
      </c>
      <c r="R137" t="n">
        <v>9730.75452</v>
      </c>
      <c r="S137" t="n">
        <v>100.399835</v>
      </c>
      <c r="T137" t="n">
        <v>100.399835</v>
      </c>
      <c r="U137" t="n">
        <v>43.4623</v>
      </c>
      <c r="V137" t="n">
        <v>43.4623</v>
      </c>
      <c r="W137" t="n">
        <v>105.723999</v>
      </c>
      <c r="X137" t="n">
        <v>10434.203054</v>
      </c>
      <c r="Z137" t="n">
        <v>282.848189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H138" t="n">
        <v>842.727401</v>
      </c>
      <c r="I138" t="n">
        <v>57.395403</v>
      </c>
      <c r="J138" t="n">
        <v>57.395403</v>
      </c>
      <c r="K138" t="n">
        <v>21.98244</v>
      </c>
      <c r="L138" t="n">
        <v>92.59366</v>
      </c>
      <c r="M138" t="n">
        <v>61.118924</v>
      </c>
      <c r="N138" t="n">
        <v>61.118924</v>
      </c>
      <c r="O138" t="n">
        <v>1.571536</v>
      </c>
      <c r="P138" t="n">
        <v>1.01605</v>
      </c>
      <c r="Q138" t="n">
        <v>61.118924</v>
      </c>
      <c r="R138" t="n">
        <v>61.118924</v>
      </c>
      <c r="S138" t="n">
        <v>1.571536</v>
      </c>
      <c r="T138" t="n">
        <v>1.571536</v>
      </c>
      <c r="U138" t="n">
        <v>1.01605</v>
      </c>
      <c r="V138" t="n">
        <v>1.01605</v>
      </c>
      <c r="W138" t="n">
        <v>1.626148</v>
      </c>
      <c r="X138" t="n">
        <v>63.787046</v>
      </c>
      <c r="Z138" t="n">
        <v>5.312721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H139" t="n">
        <v>11759220.471206</v>
      </c>
      <c r="I139" t="n">
        <v>2184.150638</v>
      </c>
      <c r="J139" t="n">
        <v>2277.683197</v>
      </c>
      <c r="K139" t="n">
        <v>2163.799037</v>
      </c>
      <c r="L139" t="n">
        <v>4133.4309</v>
      </c>
      <c r="M139" t="n">
        <v>2817.724532</v>
      </c>
      <c r="N139" t="n">
        <v>2817.724532</v>
      </c>
      <c r="O139" t="n">
        <v>100.301142</v>
      </c>
      <c r="P139" t="n">
        <v>43.53974</v>
      </c>
      <c r="Q139" t="n">
        <v>2817.724532</v>
      </c>
      <c r="R139" t="n">
        <v>2817.724532</v>
      </c>
      <c r="S139" t="n">
        <v>100.301142</v>
      </c>
      <c r="T139" t="n">
        <v>100.301142</v>
      </c>
      <c r="U139" t="n">
        <v>43.53974</v>
      </c>
      <c r="V139" t="n">
        <v>43.53974</v>
      </c>
      <c r="W139" t="n">
        <v>106.305314</v>
      </c>
      <c r="X139" t="n">
        <v>2997.143608</v>
      </c>
      <c r="Z139" t="n">
        <v>261.151532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H140" t="n">
        <v>284212.520683</v>
      </c>
      <c r="I140" t="n">
        <v>386.298429</v>
      </c>
      <c r="J140" t="n">
        <v>403.015522</v>
      </c>
      <c r="K140" t="n">
        <v>382.864746</v>
      </c>
      <c r="L140" t="n">
        <v>738.02552</v>
      </c>
      <c r="M140" t="n">
        <v>504.12505</v>
      </c>
      <c r="N140" t="n">
        <v>504.12505</v>
      </c>
      <c r="O140" t="n">
        <v>19.791087</v>
      </c>
      <c r="P140" t="n">
        <v>10.585758</v>
      </c>
      <c r="Q140" t="n">
        <v>504.12505</v>
      </c>
      <c r="R140" t="n">
        <v>504.12505</v>
      </c>
      <c r="S140" t="n">
        <v>19.791087</v>
      </c>
      <c r="T140" t="n">
        <v>19.791087</v>
      </c>
      <c r="U140" t="n">
        <v>10.585758</v>
      </c>
      <c r="V140" t="n">
        <v>10.585758</v>
      </c>
      <c r="W140" t="n">
        <v>20.644284</v>
      </c>
      <c r="X140" t="n">
        <v>528.265792</v>
      </c>
      <c r="Z140" t="n">
        <v>47.016842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H141" t="n">
        <v>1347.632947</v>
      </c>
      <c r="I141" t="n">
        <v>62.431685</v>
      </c>
      <c r="J141" t="n">
        <v>62.431685</v>
      </c>
      <c r="K141" t="n">
        <v>26.328155</v>
      </c>
      <c r="L141" t="n">
        <v>103.926902</v>
      </c>
      <c r="M141" t="n">
        <v>68.785781</v>
      </c>
      <c r="N141" t="n">
        <v>68.785781</v>
      </c>
      <c r="O141" t="n">
        <v>1.81206</v>
      </c>
      <c r="P141" t="n">
        <v>1.170841</v>
      </c>
      <c r="Q141" t="n">
        <v>68.785781</v>
      </c>
      <c r="R141" t="n">
        <v>68.785781</v>
      </c>
      <c r="S141" t="n">
        <v>1.81206</v>
      </c>
      <c r="T141" t="n">
        <v>1.81206</v>
      </c>
      <c r="U141" t="n">
        <v>1.170841</v>
      </c>
      <c r="V141" t="n">
        <v>1.170841</v>
      </c>
      <c r="W141" t="n">
        <v>1.871348</v>
      </c>
      <c r="X141" t="n">
        <v>71.899525</v>
      </c>
      <c r="Z141" t="n">
        <v>5.691707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H142" t="n">
        <v>14879959.242488</v>
      </c>
      <c r="I142" t="n">
        <v>4341.841291</v>
      </c>
      <c r="J142" t="n">
        <v>4398.007385</v>
      </c>
      <c r="K142" t="n">
        <v>1301.694746</v>
      </c>
      <c r="L142" t="n">
        <v>7112.982475</v>
      </c>
      <c r="M142" t="n">
        <v>4967.292392</v>
      </c>
      <c r="N142" t="n">
        <v>4967.292392</v>
      </c>
      <c r="O142" t="n">
        <v>58.311114</v>
      </c>
      <c r="P142" t="n">
        <v>31.032685</v>
      </c>
      <c r="Q142" t="n">
        <v>4967.292392</v>
      </c>
      <c r="R142" t="n">
        <v>4967.292392</v>
      </c>
      <c r="S142" t="n">
        <v>58.311114</v>
      </c>
      <c r="T142" t="n">
        <v>58.311114</v>
      </c>
      <c r="U142" t="n">
        <v>31.032685</v>
      </c>
      <c r="V142" t="n">
        <v>31.032685</v>
      </c>
      <c r="W142" t="n">
        <v>61.724923</v>
      </c>
      <c r="X142" t="n">
        <v>5208.68705</v>
      </c>
      <c r="Z142" t="n">
        <v>132.574913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H143" t="n">
        <v>252175.379258</v>
      </c>
      <c r="I143" t="n">
        <v>726.768274</v>
      </c>
      <c r="J143" t="n">
        <v>743.903747</v>
      </c>
      <c r="K143" t="n">
        <v>371.951873</v>
      </c>
      <c r="L143" t="n">
        <v>1659.687874</v>
      </c>
      <c r="M143" t="n">
        <v>1154.615618</v>
      </c>
      <c r="N143" t="n">
        <v>1154.615618</v>
      </c>
      <c r="O143" t="n">
        <v>19.267286</v>
      </c>
      <c r="P143" t="n">
        <v>9.928678</v>
      </c>
      <c r="Q143" t="n">
        <v>1154.615618</v>
      </c>
      <c r="R143" t="n">
        <v>1154.615618</v>
      </c>
      <c r="S143" t="n">
        <v>19.267286</v>
      </c>
      <c r="T143" t="n">
        <v>19.267286</v>
      </c>
      <c r="U143" t="n">
        <v>9.928678</v>
      </c>
      <c r="V143" t="n">
        <v>9.928678</v>
      </c>
      <c r="W143" t="n">
        <v>19.883589</v>
      </c>
      <c r="X143" t="n">
        <v>1235.144457</v>
      </c>
      <c r="Z143" t="n">
        <v>97.384973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H144" t="n">
        <v>52027107.267087</v>
      </c>
      <c r="I144" t="n">
        <v>7059.021807</v>
      </c>
      <c r="J144" t="n">
        <v>7260.732834</v>
      </c>
      <c r="K144" t="n">
        <v>2722.774813</v>
      </c>
      <c r="L144" t="n">
        <v>14214.100911</v>
      </c>
      <c r="M144" t="n">
        <v>9730.75452</v>
      </c>
      <c r="N144" t="n">
        <v>9730.75452</v>
      </c>
      <c r="O144" t="n">
        <v>100.399835</v>
      </c>
      <c r="P144" t="n">
        <v>43.4623</v>
      </c>
      <c r="Q144" t="n">
        <v>9730.75452</v>
      </c>
      <c r="R144" t="n">
        <v>9730.75452</v>
      </c>
      <c r="S144" t="n">
        <v>100.399835</v>
      </c>
      <c r="T144" t="n">
        <v>100.399835</v>
      </c>
      <c r="U144" t="n">
        <v>43.4623</v>
      </c>
      <c r="V144" t="n">
        <v>43.4623</v>
      </c>
      <c r="W144" t="n">
        <v>105.723999</v>
      </c>
      <c r="X144" t="n">
        <v>10434.203054</v>
      </c>
      <c r="Z144" t="n">
        <v>282.848189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H145" t="n">
        <v>10156642.181469</v>
      </c>
      <c r="I145" t="n">
        <v>1774.929351</v>
      </c>
      <c r="J145" t="n">
        <v>1826.685959</v>
      </c>
      <c r="K145" t="n">
        <v>1113.560652</v>
      </c>
      <c r="L145" t="n">
        <v>3240.975912</v>
      </c>
      <c r="M145" t="n">
        <v>2233.907555</v>
      </c>
      <c r="N145" t="n">
        <v>2233.907555</v>
      </c>
      <c r="O145" t="n">
        <v>48.674225</v>
      </c>
      <c r="P145" t="n">
        <v>23.114525</v>
      </c>
      <c r="Q145" t="n">
        <v>2233.907555</v>
      </c>
      <c r="R145" t="n">
        <v>2233.907555</v>
      </c>
      <c r="S145" t="n">
        <v>48.674225</v>
      </c>
      <c r="T145" t="n">
        <v>48.674225</v>
      </c>
      <c r="U145" t="n">
        <v>23.114525</v>
      </c>
      <c r="V145" t="n">
        <v>23.114525</v>
      </c>
      <c r="W145" t="n">
        <v>51.10279</v>
      </c>
      <c r="X145" t="n">
        <v>2376.544826</v>
      </c>
      <c r="Z145" t="n">
        <v>167.753026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H146" t="n">
        <v>66499585.166222</v>
      </c>
      <c r="I146" t="n">
        <v>4469.123499</v>
      </c>
      <c r="J146" t="n">
        <v>4793.322749</v>
      </c>
      <c r="K146" t="n">
        <v>1747.151432</v>
      </c>
      <c r="L146" t="n">
        <v>10677.999207</v>
      </c>
      <c r="M146" t="n">
        <v>7305.602239</v>
      </c>
      <c r="N146" t="n">
        <v>7305.602239</v>
      </c>
      <c r="O146" t="n">
        <v>41.400447</v>
      </c>
      <c r="P146" t="n">
        <v>18.192821</v>
      </c>
      <c r="Q146" t="n">
        <v>7305.602239</v>
      </c>
      <c r="R146" t="n">
        <v>7305.602239</v>
      </c>
      <c r="S146" t="n">
        <v>41.400447</v>
      </c>
      <c r="T146" t="n">
        <v>41.400447</v>
      </c>
      <c r="U146" t="n">
        <v>18.192821</v>
      </c>
      <c r="V146" t="n">
        <v>18.192821</v>
      </c>
      <c r="W146" t="n">
        <v>43.295832</v>
      </c>
      <c r="X146" t="n">
        <v>7878.655066</v>
      </c>
      <c r="Z146" t="n">
        <v>171.758301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H147" t="n">
        <v>1993.394013</v>
      </c>
      <c r="I147" t="n">
        <v>277.068801</v>
      </c>
      <c r="J147" t="n">
        <v>277.068801</v>
      </c>
      <c r="K147" t="n">
        <v>263.215361</v>
      </c>
      <c r="L147" t="n">
        <v>393.787233</v>
      </c>
      <c r="M147" t="n">
        <v>277.168933</v>
      </c>
      <c r="N147" t="n">
        <v>277.168933</v>
      </c>
      <c r="O147" t="n">
        <v>14.521402</v>
      </c>
      <c r="P147" t="n">
        <v>9.426283</v>
      </c>
      <c r="Q147" t="n">
        <v>277.168933</v>
      </c>
      <c r="R147" t="n">
        <v>277.168933</v>
      </c>
      <c r="S147" t="n">
        <v>14.521402</v>
      </c>
      <c r="T147" t="n">
        <v>14.521402</v>
      </c>
      <c r="U147" t="n">
        <v>9.426283</v>
      </c>
      <c r="V147" t="n">
        <v>9.426283</v>
      </c>
      <c r="W147" t="n">
        <v>15.223157</v>
      </c>
      <c r="X147" t="n">
        <v>285.614997</v>
      </c>
      <c r="Z147" t="n">
        <v>31.193085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H148" t="n">
        <v>284212.520683</v>
      </c>
      <c r="I148" t="n">
        <v>386.298429</v>
      </c>
      <c r="J148" t="n">
        <v>403.015522</v>
      </c>
      <c r="K148" t="n">
        <v>382.864746</v>
      </c>
      <c r="L148" t="n">
        <v>738.02552</v>
      </c>
      <c r="M148" t="n">
        <v>504.12505</v>
      </c>
      <c r="N148" t="n">
        <v>504.12505</v>
      </c>
      <c r="O148" t="n">
        <v>19.791087</v>
      </c>
      <c r="P148" t="n">
        <v>10.585758</v>
      </c>
      <c r="Q148" t="n">
        <v>504.12505</v>
      </c>
      <c r="R148" t="n">
        <v>504.12505</v>
      </c>
      <c r="S148" t="n">
        <v>19.791087</v>
      </c>
      <c r="T148" t="n">
        <v>19.791087</v>
      </c>
      <c r="U148" t="n">
        <v>10.585758</v>
      </c>
      <c r="V148" t="n">
        <v>10.585758</v>
      </c>
      <c r="W148" t="n">
        <v>20.644284</v>
      </c>
      <c r="X148" t="n">
        <v>528.265792</v>
      </c>
      <c r="Z148" t="n">
        <v>47.016842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H149" t="n">
        <v>14879959.242488</v>
      </c>
      <c r="I149" t="n">
        <v>4341.841291</v>
      </c>
      <c r="J149" t="n">
        <v>4398.007385</v>
      </c>
      <c r="K149" t="n">
        <v>1301.694746</v>
      </c>
      <c r="L149" t="n">
        <v>7112.982475</v>
      </c>
      <c r="M149" t="n">
        <v>4967.292392</v>
      </c>
      <c r="N149" t="n">
        <v>4967.292392</v>
      </c>
      <c r="O149" t="n">
        <v>58.311114</v>
      </c>
      <c r="P149" t="n">
        <v>31.032685</v>
      </c>
      <c r="Q149" t="n">
        <v>4967.292392</v>
      </c>
      <c r="R149" t="n">
        <v>4967.292392</v>
      </c>
      <c r="S149" t="n">
        <v>58.311114</v>
      </c>
      <c r="T149" t="n">
        <v>58.311114</v>
      </c>
      <c r="U149" t="n">
        <v>31.032685</v>
      </c>
      <c r="V149" t="n">
        <v>31.032685</v>
      </c>
      <c r="W149" t="n">
        <v>61.724923</v>
      </c>
      <c r="X149" t="n">
        <v>5208.68705</v>
      </c>
      <c r="Z149" t="n">
        <v>132.574913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H150" t="n">
        <v>66499585.166222</v>
      </c>
      <c r="I150" t="n">
        <v>4469.123499</v>
      </c>
      <c r="J150" t="n">
        <v>4793.322749</v>
      </c>
      <c r="K150" t="n">
        <v>1747.151432</v>
      </c>
      <c r="L150" t="n">
        <v>10677.999207</v>
      </c>
      <c r="M150" t="n">
        <v>7305.602239</v>
      </c>
      <c r="N150" t="n">
        <v>7305.602239</v>
      </c>
      <c r="O150" t="n">
        <v>41.400447</v>
      </c>
      <c r="P150" t="n">
        <v>18.192821</v>
      </c>
      <c r="Q150" t="n">
        <v>7305.602239</v>
      </c>
      <c r="R150" t="n">
        <v>7305.602239</v>
      </c>
      <c r="S150" t="n">
        <v>41.400447</v>
      </c>
      <c r="T150" t="n">
        <v>41.400447</v>
      </c>
      <c r="U150" t="n">
        <v>18.192821</v>
      </c>
      <c r="V150" t="n">
        <v>18.192821</v>
      </c>
      <c r="W150" t="n">
        <v>43.295832</v>
      </c>
      <c r="X150" t="n">
        <v>7878.655066</v>
      </c>
      <c r="Z150" t="n">
        <v>171.758301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H151" t="n">
        <v>66499585.166222</v>
      </c>
      <c r="I151" t="n">
        <v>4469.123499</v>
      </c>
      <c r="J151" t="n">
        <v>4793.322749</v>
      </c>
      <c r="K151" t="n">
        <v>1747.151432</v>
      </c>
      <c r="L151" t="n">
        <v>10677.999207</v>
      </c>
      <c r="M151" t="n">
        <v>7305.602239</v>
      </c>
      <c r="N151" t="n">
        <v>7305.602239</v>
      </c>
      <c r="O151" t="n">
        <v>41.400447</v>
      </c>
      <c r="P151" t="n">
        <v>18.192821</v>
      </c>
      <c r="Q151" t="n">
        <v>7305.602239</v>
      </c>
      <c r="R151" t="n">
        <v>7305.602239</v>
      </c>
      <c r="S151" t="n">
        <v>41.400447</v>
      </c>
      <c r="T151" t="n">
        <v>41.400447</v>
      </c>
      <c r="U151" t="n">
        <v>18.192821</v>
      </c>
      <c r="V151" t="n">
        <v>18.192821</v>
      </c>
      <c r="W151" t="n">
        <v>43.295832</v>
      </c>
      <c r="X151" t="n">
        <v>7878.655066</v>
      </c>
      <c r="Z151" t="n">
        <v>171.758301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H152" t="n">
        <v>40975539.813113</v>
      </c>
      <c r="I152" t="n">
        <v>2895.31657</v>
      </c>
      <c r="J152" t="n">
        <v>3100.990647</v>
      </c>
      <c r="K152" t="n">
        <v>1221.259727</v>
      </c>
      <c r="L152" t="n">
        <v>6846.4367</v>
      </c>
      <c r="M152" t="n">
        <v>4683.836246</v>
      </c>
      <c r="N152" t="n">
        <v>4683.836246</v>
      </c>
      <c r="O152" t="n">
        <v>33.070685</v>
      </c>
      <c r="P152" t="n">
        <v>15.260526</v>
      </c>
      <c r="Q152" t="n">
        <v>4683.836246</v>
      </c>
      <c r="R152" t="n">
        <v>4683.836246</v>
      </c>
      <c r="S152" t="n">
        <v>33.070685</v>
      </c>
      <c r="T152" t="n">
        <v>33.070685</v>
      </c>
      <c r="U152" t="n">
        <v>15.260526</v>
      </c>
      <c r="V152" t="n">
        <v>15.260526</v>
      </c>
      <c r="W152" t="n">
        <v>34.564338</v>
      </c>
      <c r="X152" t="n">
        <v>5045.299884</v>
      </c>
      <c r="Z152" t="n">
        <v>123.6742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H153" t="n">
        <v>38.925653</v>
      </c>
      <c r="I153" t="n">
        <v>80.769231</v>
      </c>
      <c r="J153" t="n">
        <v>80.769231</v>
      </c>
      <c r="K153" t="n">
        <v>4.2</v>
      </c>
      <c r="L153" t="n">
        <v>114.728394</v>
      </c>
      <c r="M153" t="n">
        <v>80.769231</v>
      </c>
      <c r="N153" t="n">
        <v>80.769231</v>
      </c>
      <c r="O153" t="n">
        <v>4.2</v>
      </c>
      <c r="P153" t="n">
        <v>3.36</v>
      </c>
      <c r="Q153" t="n">
        <v>80.769231</v>
      </c>
      <c r="R153" t="n">
        <v>80.769231</v>
      </c>
      <c r="S153" t="n">
        <v>4.2</v>
      </c>
      <c r="T153" t="n">
        <v>4.2</v>
      </c>
      <c r="U153" t="n">
        <v>3.36</v>
      </c>
      <c r="V153" t="n">
        <v>3.36</v>
      </c>
      <c r="W153" t="n">
        <v>4.311623</v>
      </c>
      <c r="X153" t="n">
        <v>82.260733</v>
      </c>
      <c r="Z153" t="n">
        <v>5.208688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H154" t="n">
        <v>1993.394013</v>
      </c>
      <c r="I154" t="n">
        <v>277.068801</v>
      </c>
      <c r="J154" t="n">
        <v>277.068801</v>
      </c>
      <c r="K154" t="n">
        <v>263.215361</v>
      </c>
      <c r="L154" t="n">
        <v>393.787233</v>
      </c>
      <c r="M154" t="n">
        <v>277.168933</v>
      </c>
      <c r="N154" t="n">
        <v>277.168933</v>
      </c>
      <c r="O154" t="n">
        <v>14.521402</v>
      </c>
      <c r="P154" t="n">
        <v>9.426283</v>
      </c>
      <c r="Q154" t="n">
        <v>277.168933</v>
      </c>
      <c r="R154" t="n">
        <v>277.168933</v>
      </c>
      <c r="S154" t="n">
        <v>14.521402</v>
      </c>
      <c r="T154" t="n">
        <v>14.521402</v>
      </c>
      <c r="U154" t="n">
        <v>9.426283</v>
      </c>
      <c r="V154" t="n">
        <v>9.426283</v>
      </c>
      <c r="W154" t="n">
        <v>15.223157</v>
      </c>
      <c r="X154" t="n">
        <v>285.614997</v>
      </c>
      <c r="Z154" t="n">
        <v>31.193085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H155" t="n">
        <v>14879959.242488</v>
      </c>
      <c r="I155" t="n">
        <v>4341.841291</v>
      </c>
      <c r="J155" t="n">
        <v>4398.007385</v>
      </c>
      <c r="K155" t="n">
        <v>1301.694746</v>
      </c>
      <c r="L155" t="n">
        <v>7112.982475</v>
      </c>
      <c r="M155" t="n">
        <v>4967.292392</v>
      </c>
      <c r="N155" t="n">
        <v>4967.292392</v>
      </c>
      <c r="O155" t="n">
        <v>58.311114</v>
      </c>
      <c r="P155" t="n">
        <v>31.032685</v>
      </c>
      <c r="Q155" t="n">
        <v>4967.292392</v>
      </c>
      <c r="R155" t="n">
        <v>4967.292392</v>
      </c>
      <c r="S155" t="n">
        <v>58.311114</v>
      </c>
      <c r="T155" t="n">
        <v>58.311114</v>
      </c>
      <c r="U155" t="n">
        <v>31.032685</v>
      </c>
      <c r="V155" t="n">
        <v>31.032685</v>
      </c>
      <c r="W155" t="n">
        <v>61.724923</v>
      </c>
      <c r="X155" t="n">
        <v>5208.68705</v>
      </c>
      <c r="Z155" t="n">
        <v>132.574913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H156" t="n">
        <v>66499585.166222</v>
      </c>
      <c r="I156" t="n">
        <v>4469.123499</v>
      </c>
      <c r="J156" t="n">
        <v>4793.322749</v>
      </c>
      <c r="K156" t="n">
        <v>1747.151432</v>
      </c>
      <c r="L156" t="n">
        <v>10677.999207</v>
      </c>
      <c r="M156" t="n">
        <v>7305.602239</v>
      </c>
      <c r="N156" t="n">
        <v>7305.602239</v>
      </c>
      <c r="O156" t="n">
        <v>41.400447</v>
      </c>
      <c r="P156" t="n">
        <v>18.192821</v>
      </c>
      <c r="Q156" t="n">
        <v>7305.602239</v>
      </c>
      <c r="R156" t="n">
        <v>7305.602239</v>
      </c>
      <c r="S156" t="n">
        <v>41.400447</v>
      </c>
      <c r="T156" t="n">
        <v>41.400447</v>
      </c>
      <c r="U156" t="n">
        <v>18.192821</v>
      </c>
      <c r="V156" t="n">
        <v>18.192821</v>
      </c>
      <c r="W156" t="n">
        <v>43.295832</v>
      </c>
      <c r="X156" t="n">
        <v>7878.655066</v>
      </c>
      <c r="Z156" t="n">
        <v>171.758301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H157" t="n">
        <v>14879959.242488</v>
      </c>
      <c r="I157" t="n">
        <v>4341.841291</v>
      </c>
      <c r="J157" t="n">
        <v>4398.007385</v>
      </c>
      <c r="K157" t="n">
        <v>1301.694746</v>
      </c>
      <c r="L157" t="n">
        <v>7112.982475</v>
      </c>
      <c r="M157" t="n">
        <v>4967.292392</v>
      </c>
      <c r="N157" t="n">
        <v>4967.292392</v>
      </c>
      <c r="O157" t="n">
        <v>58.311114</v>
      </c>
      <c r="P157" t="n">
        <v>31.032685</v>
      </c>
      <c r="Q157" t="n">
        <v>4967.292392</v>
      </c>
      <c r="R157" t="n">
        <v>4967.292392</v>
      </c>
      <c r="S157" t="n">
        <v>58.311114</v>
      </c>
      <c r="T157" t="n">
        <v>58.311114</v>
      </c>
      <c r="U157" t="n">
        <v>31.032685</v>
      </c>
      <c r="V157" t="n">
        <v>31.032685</v>
      </c>
      <c r="W157" t="n">
        <v>61.724923</v>
      </c>
      <c r="X157" t="n">
        <v>5208.68705</v>
      </c>
      <c r="Z157" t="n">
        <v>132.574913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H158" t="n">
        <v>14879959.242488</v>
      </c>
      <c r="I158" t="n">
        <v>4341.841291</v>
      </c>
      <c r="J158" t="n">
        <v>4398.007385</v>
      </c>
      <c r="K158" t="n">
        <v>1301.694746</v>
      </c>
      <c r="L158" t="n">
        <v>7112.982475</v>
      </c>
      <c r="M158" t="n">
        <v>4967.292392</v>
      </c>
      <c r="N158" t="n">
        <v>4967.292392</v>
      </c>
      <c r="O158" t="n">
        <v>58.311114</v>
      </c>
      <c r="P158" t="n">
        <v>31.032685</v>
      </c>
      <c r="Q158" t="n">
        <v>4967.292392</v>
      </c>
      <c r="R158" t="n">
        <v>4967.292392</v>
      </c>
      <c r="S158" t="n">
        <v>58.311114</v>
      </c>
      <c r="T158" t="n">
        <v>58.311114</v>
      </c>
      <c r="U158" t="n">
        <v>31.032685</v>
      </c>
      <c r="V158" t="n">
        <v>31.032685</v>
      </c>
      <c r="W158" t="n">
        <v>61.724923</v>
      </c>
      <c r="X158" t="n">
        <v>5208.68705</v>
      </c>
      <c r="Z158" t="n">
        <v>132.574913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H159" t="n">
        <v>66499585.166222</v>
      </c>
      <c r="I159" t="n">
        <v>4469.123499</v>
      </c>
      <c r="J159" t="n">
        <v>4793.322749</v>
      </c>
      <c r="K159" t="n">
        <v>1747.151432</v>
      </c>
      <c r="L159" t="n">
        <v>10677.999207</v>
      </c>
      <c r="M159" t="n">
        <v>7305.602239</v>
      </c>
      <c r="N159" t="n">
        <v>7305.602239</v>
      </c>
      <c r="O159" t="n">
        <v>41.400447</v>
      </c>
      <c r="P159" t="n">
        <v>18.192821</v>
      </c>
      <c r="Q159" t="n">
        <v>7305.602239</v>
      </c>
      <c r="R159" t="n">
        <v>7305.602239</v>
      </c>
      <c r="S159" t="n">
        <v>41.400447</v>
      </c>
      <c r="T159" t="n">
        <v>41.400447</v>
      </c>
      <c r="U159" t="n">
        <v>18.192821</v>
      </c>
      <c r="V159" t="n">
        <v>18.192821</v>
      </c>
      <c r="W159" t="n">
        <v>43.295832</v>
      </c>
      <c r="X159" t="n">
        <v>7878.655066</v>
      </c>
      <c r="Z159" t="n">
        <v>171.758301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H160" t="n">
        <v>52027107.267087</v>
      </c>
      <c r="I160" t="n">
        <v>7059.021807</v>
      </c>
      <c r="J160" t="n">
        <v>7260.732834</v>
      </c>
      <c r="K160" t="n">
        <v>2722.774813</v>
      </c>
      <c r="L160" t="n">
        <v>14214.100911</v>
      </c>
      <c r="M160" t="n">
        <v>9730.75452</v>
      </c>
      <c r="N160" t="n">
        <v>9730.75452</v>
      </c>
      <c r="O160" t="n">
        <v>100.399835</v>
      </c>
      <c r="P160" t="n">
        <v>43.4623</v>
      </c>
      <c r="Q160" t="n">
        <v>9730.75452</v>
      </c>
      <c r="R160" t="n">
        <v>9730.75452</v>
      </c>
      <c r="S160" t="n">
        <v>100.399835</v>
      </c>
      <c r="T160" t="n">
        <v>100.399835</v>
      </c>
      <c r="U160" t="n">
        <v>43.4623</v>
      </c>
      <c r="V160" t="n">
        <v>43.4623</v>
      </c>
      <c r="W160" t="n">
        <v>105.723999</v>
      </c>
      <c r="X160" t="n">
        <v>10434.203054</v>
      </c>
      <c r="Z160" t="n">
        <v>282.848189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H161" t="n">
        <v>1993.394013</v>
      </c>
      <c r="I161" t="n">
        <v>277.068801</v>
      </c>
      <c r="J161" t="n">
        <v>277.068801</v>
      </c>
      <c r="K161" t="n">
        <v>263.215361</v>
      </c>
      <c r="L161" t="n">
        <v>393.787233</v>
      </c>
      <c r="M161" t="n">
        <v>277.168933</v>
      </c>
      <c r="N161" t="n">
        <v>277.168933</v>
      </c>
      <c r="O161" t="n">
        <v>14.521402</v>
      </c>
      <c r="P161" t="n">
        <v>9.426283</v>
      </c>
      <c r="Q161" t="n">
        <v>277.168933</v>
      </c>
      <c r="R161" t="n">
        <v>277.168933</v>
      </c>
      <c r="S161" t="n">
        <v>14.521402</v>
      </c>
      <c r="T161" t="n">
        <v>14.521402</v>
      </c>
      <c r="U161" t="n">
        <v>9.426283</v>
      </c>
      <c r="V161" t="n">
        <v>9.426283</v>
      </c>
      <c r="W161" t="n">
        <v>15.223157</v>
      </c>
      <c r="X161" t="n">
        <v>285.614997</v>
      </c>
      <c r="Z161" t="n">
        <v>31.193085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H162" t="n">
        <v>842.727401</v>
      </c>
      <c r="I162" t="n">
        <v>57.395403</v>
      </c>
      <c r="J162" t="n">
        <v>57.395403</v>
      </c>
      <c r="K162" t="n">
        <v>21.98244</v>
      </c>
      <c r="L162" t="n">
        <v>92.59366</v>
      </c>
      <c r="M162" t="n">
        <v>61.118924</v>
      </c>
      <c r="N162" t="n">
        <v>61.118924</v>
      </c>
      <c r="O162" t="n">
        <v>1.571536</v>
      </c>
      <c r="P162" t="n">
        <v>1.01605</v>
      </c>
      <c r="Q162" t="n">
        <v>61.118924</v>
      </c>
      <c r="R162" t="n">
        <v>61.118924</v>
      </c>
      <c r="S162" t="n">
        <v>1.571536</v>
      </c>
      <c r="T162" t="n">
        <v>1.571536</v>
      </c>
      <c r="U162" t="n">
        <v>1.01605</v>
      </c>
      <c r="V162" t="n">
        <v>1.01605</v>
      </c>
      <c r="W162" t="n">
        <v>1.626148</v>
      </c>
      <c r="X162" t="n">
        <v>63.787046</v>
      </c>
      <c r="Z162" t="n">
        <v>5.312721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H163" t="n">
        <v>28044039.752191</v>
      </c>
      <c r="I163" t="n">
        <v>86321.834013</v>
      </c>
      <c r="J163" t="n">
        <v>87278.99642</v>
      </c>
      <c r="K163" t="n">
        <v>43639.49821</v>
      </c>
      <c r="L163" t="n">
        <v>172174.15174</v>
      </c>
      <c r="M163" t="n">
        <v>119442.301921</v>
      </c>
      <c r="N163" t="n">
        <v>119442.301921</v>
      </c>
      <c r="O163" t="n">
        <v>130.775511</v>
      </c>
      <c r="P163" t="n">
        <v>57.053814</v>
      </c>
      <c r="Q163" t="n">
        <v>119442.301921</v>
      </c>
      <c r="R163" t="n">
        <v>119442.301921</v>
      </c>
      <c r="S163" t="n">
        <v>130.775511</v>
      </c>
      <c r="T163" t="n">
        <v>130.775511</v>
      </c>
      <c r="U163" t="n">
        <v>57.053814</v>
      </c>
      <c r="V163" t="n">
        <v>57.053814</v>
      </c>
      <c r="W163" t="n">
        <v>139.198598</v>
      </c>
      <c r="X163" t="n">
        <v>127625.763444</v>
      </c>
      <c r="Z163" t="n">
        <v>467.2534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H164" t="n">
        <v>14879959.242488</v>
      </c>
      <c r="I164" t="n">
        <v>4341.841291</v>
      </c>
      <c r="J164" t="n">
        <v>4398.007385</v>
      </c>
      <c r="K164" t="n">
        <v>1301.694746</v>
      </c>
      <c r="L164" t="n">
        <v>7112.982475</v>
      </c>
      <c r="M164" t="n">
        <v>4967.292392</v>
      </c>
      <c r="N164" t="n">
        <v>4967.292392</v>
      </c>
      <c r="O164" t="n">
        <v>58.311114</v>
      </c>
      <c r="P164" t="n">
        <v>31.032685</v>
      </c>
      <c r="Q164" t="n">
        <v>4967.292392</v>
      </c>
      <c r="R164" t="n">
        <v>4967.292392</v>
      </c>
      <c r="S164" t="n">
        <v>58.311114</v>
      </c>
      <c r="T164" t="n">
        <v>58.311114</v>
      </c>
      <c r="U164" t="n">
        <v>31.032685</v>
      </c>
      <c r="V164" t="n">
        <v>31.032685</v>
      </c>
      <c r="W164" t="n">
        <v>61.724923</v>
      </c>
      <c r="X164" t="n">
        <v>5208.68705</v>
      </c>
      <c r="Z164" t="n">
        <v>132.574913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H165" t="n">
        <v>32593.399706</v>
      </c>
      <c r="I165" t="n">
        <v>356.10635</v>
      </c>
      <c r="J165" t="n">
        <v>384.755747</v>
      </c>
      <c r="K165" t="n">
        <v>365.51796</v>
      </c>
      <c r="L165" t="n">
        <v>602.712303</v>
      </c>
      <c r="M165" t="n">
        <v>421.28566</v>
      </c>
      <c r="N165" t="n">
        <v>421.28566</v>
      </c>
      <c r="O165" t="n">
        <v>20.384878</v>
      </c>
      <c r="P165" t="n">
        <v>12.067619</v>
      </c>
      <c r="Q165" t="n">
        <v>421.28566</v>
      </c>
      <c r="R165" t="n">
        <v>421.28566</v>
      </c>
      <c r="S165" t="n">
        <v>20.384878</v>
      </c>
      <c r="T165" t="n">
        <v>20.384878</v>
      </c>
      <c r="U165" t="n">
        <v>12.067619</v>
      </c>
      <c r="V165" t="n">
        <v>12.067619</v>
      </c>
      <c r="W165" t="n">
        <v>20.990919</v>
      </c>
      <c r="X165" t="n">
        <v>434.828134</v>
      </c>
      <c r="Z165" t="n">
        <v>44.708144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H166" t="n">
        <v>14879959.242488</v>
      </c>
      <c r="I166" t="n">
        <v>4341.841291</v>
      </c>
      <c r="J166" t="n">
        <v>4398.007385</v>
      </c>
      <c r="K166" t="n">
        <v>1301.694746</v>
      </c>
      <c r="L166" t="n">
        <v>7112.982475</v>
      </c>
      <c r="M166" t="n">
        <v>4967.292392</v>
      </c>
      <c r="N166" t="n">
        <v>4967.292392</v>
      </c>
      <c r="O166" t="n">
        <v>58.311114</v>
      </c>
      <c r="P166" t="n">
        <v>31.032685</v>
      </c>
      <c r="Q166" t="n">
        <v>4967.292392</v>
      </c>
      <c r="R166" t="n">
        <v>4967.292392</v>
      </c>
      <c r="S166" t="n">
        <v>58.311114</v>
      </c>
      <c r="T166" t="n">
        <v>58.311114</v>
      </c>
      <c r="U166" t="n">
        <v>31.032685</v>
      </c>
      <c r="V166" t="n">
        <v>31.032685</v>
      </c>
      <c r="W166" t="n">
        <v>61.724923</v>
      </c>
      <c r="X166" t="n">
        <v>5208.68705</v>
      </c>
      <c r="Z166" t="n">
        <v>132.574913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H167" t="n">
        <v>18724.860706</v>
      </c>
      <c r="I167" t="n">
        <v>98.72009199999999</v>
      </c>
      <c r="J167" t="n">
        <v>98.72009199999999</v>
      </c>
      <c r="K167" t="n">
        <v>93.784087</v>
      </c>
      <c r="L167" t="n">
        <v>173.938876</v>
      </c>
      <c r="M167" t="n">
        <v>115.203607</v>
      </c>
      <c r="N167" t="n">
        <v>115.203607</v>
      </c>
      <c r="O167" t="n">
        <v>4.263184</v>
      </c>
      <c r="P167" t="n">
        <v>2.411197</v>
      </c>
      <c r="Q167" t="n">
        <v>115.203607</v>
      </c>
      <c r="R167" t="n">
        <v>115.203607</v>
      </c>
      <c r="S167" t="n">
        <v>4.263184</v>
      </c>
      <c r="T167" t="n">
        <v>4.263184</v>
      </c>
      <c r="U167" t="n">
        <v>2.411197</v>
      </c>
      <c r="V167" t="n">
        <v>2.411197</v>
      </c>
      <c r="W167" t="n">
        <v>4.428691</v>
      </c>
      <c r="X167" t="n">
        <v>122.757859</v>
      </c>
      <c r="Z167" t="n">
        <v>14.767218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H168" t="n">
        <v>40975539.813113</v>
      </c>
      <c r="I168" t="n">
        <v>2895.31657</v>
      </c>
      <c r="J168" t="n">
        <v>3100.990647</v>
      </c>
      <c r="K168" t="n">
        <v>1221.259727</v>
      </c>
      <c r="L168" t="n">
        <v>6846.4367</v>
      </c>
      <c r="M168" t="n">
        <v>4683.836246</v>
      </c>
      <c r="N168" t="n">
        <v>4683.836246</v>
      </c>
      <c r="O168" t="n">
        <v>33.070685</v>
      </c>
      <c r="P168" t="n">
        <v>15.260526</v>
      </c>
      <c r="Q168" t="n">
        <v>4683.836246</v>
      </c>
      <c r="R168" t="n">
        <v>4683.836246</v>
      </c>
      <c r="S168" t="n">
        <v>33.070685</v>
      </c>
      <c r="T168" t="n">
        <v>33.070685</v>
      </c>
      <c r="U168" t="n">
        <v>15.260526</v>
      </c>
      <c r="V168" t="n">
        <v>15.260526</v>
      </c>
      <c r="W168" t="n">
        <v>34.564338</v>
      </c>
      <c r="X168" t="n">
        <v>5045.299884</v>
      </c>
      <c r="Z168" t="n">
        <v>123.6742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H169" t="n">
        <v>40975539.813113</v>
      </c>
      <c r="I169" t="n">
        <v>2895.31657</v>
      </c>
      <c r="J169" t="n">
        <v>3100.990647</v>
      </c>
      <c r="K169" t="n">
        <v>1221.259727</v>
      </c>
      <c r="L169" t="n">
        <v>6846.4367</v>
      </c>
      <c r="M169" t="n">
        <v>4683.836246</v>
      </c>
      <c r="N169" t="n">
        <v>4683.836246</v>
      </c>
      <c r="O169" t="n">
        <v>33.070685</v>
      </c>
      <c r="P169" t="n">
        <v>15.260526</v>
      </c>
      <c r="Q169" t="n">
        <v>4683.836246</v>
      </c>
      <c r="R169" t="n">
        <v>4683.836246</v>
      </c>
      <c r="S169" t="n">
        <v>33.070685</v>
      </c>
      <c r="T169" t="n">
        <v>33.070685</v>
      </c>
      <c r="U169" t="n">
        <v>15.260526</v>
      </c>
      <c r="V169" t="n">
        <v>15.260526</v>
      </c>
      <c r="W169" t="n">
        <v>34.564338</v>
      </c>
      <c r="X169" t="n">
        <v>5045.299884</v>
      </c>
      <c r="Z169" t="n">
        <v>123.6742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H170" t="n">
        <v>284212.520683</v>
      </c>
      <c r="I170" t="n">
        <v>386.298429</v>
      </c>
      <c r="J170" t="n">
        <v>403.015522</v>
      </c>
      <c r="K170" t="n">
        <v>382.864746</v>
      </c>
      <c r="L170" t="n">
        <v>738.02552</v>
      </c>
      <c r="M170" t="n">
        <v>504.12505</v>
      </c>
      <c r="N170" t="n">
        <v>504.12505</v>
      </c>
      <c r="O170" t="n">
        <v>19.791087</v>
      </c>
      <c r="P170" t="n">
        <v>10.585758</v>
      </c>
      <c r="Q170" t="n">
        <v>504.12505</v>
      </c>
      <c r="R170" t="n">
        <v>504.12505</v>
      </c>
      <c r="S170" t="n">
        <v>19.791087</v>
      </c>
      <c r="T170" t="n">
        <v>19.791087</v>
      </c>
      <c r="U170" t="n">
        <v>10.585758</v>
      </c>
      <c r="V170" t="n">
        <v>10.585758</v>
      </c>
      <c r="W170" t="n">
        <v>20.644284</v>
      </c>
      <c r="X170" t="n">
        <v>528.265792</v>
      </c>
      <c r="Z170" t="n">
        <v>47.016842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H171" t="n">
        <v>14879959.242488</v>
      </c>
      <c r="I171" t="n">
        <v>4341.841291</v>
      </c>
      <c r="J171" t="n">
        <v>4398.007385</v>
      </c>
      <c r="K171" t="n">
        <v>1301.694746</v>
      </c>
      <c r="L171" t="n">
        <v>7112.982475</v>
      </c>
      <c r="M171" t="n">
        <v>4967.292392</v>
      </c>
      <c r="N171" t="n">
        <v>4967.292392</v>
      </c>
      <c r="O171" t="n">
        <v>58.311114</v>
      </c>
      <c r="P171" t="n">
        <v>31.032685</v>
      </c>
      <c r="Q171" t="n">
        <v>4967.292392</v>
      </c>
      <c r="R171" t="n">
        <v>4967.292392</v>
      </c>
      <c r="S171" t="n">
        <v>58.311114</v>
      </c>
      <c r="T171" t="n">
        <v>58.311114</v>
      </c>
      <c r="U171" t="n">
        <v>31.032685</v>
      </c>
      <c r="V171" t="n">
        <v>31.032685</v>
      </c>
      <c r="W171" t="n">
        <v>61.724923</v>
      </c>
      <c r="X171" t="n">
        <v>5208.68705</v>
      </c>
      <c r="Z171" t="n">
        <v>132.574913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H172" t="n">
        <v>66499585.166222</v>
      </c>
      <c r="I172" t="n">
        <v>4469.123499</v>
      </c>
      <c r="J172" t="n">
        <v>4793.322749</v>
      </c>
      <c r="K172" t="n">
        <v>1747.151432</v>
      </c>
      <c r="L172" t="n">
        <v>10677.999207</v>
      </c>
      <c r="M172" t="n">
        <v>7305.602239</v>
      </c>
      <c r="N172" t="n">
        <v>7305.602239</v>
      </c>
      <c r="O172" t="n">
        <v>41.400447</v>
      </c>
      <c r="P172" t="n">
        <v>18.192821</v>
      </c>
      <c r="Q172" t="n">
        <v>7305.602239</v>
      </c>
      <c r="R172" t="n">
        <v>7305.602239</v>
      </c>
      <c r="S172" t="n">
        <v>41.400447</v>
      </c>
      <c r="T172" t="n">
        <v>41.400447</v>
      </c>
      <c r="U172" t="n">
        <v>18.192821</v>
      </c>
      <c r="V172" t="n">
        <v>18.192821</v>
      </c>
      <c r="W172" t="n">
        <v>43.295832</v>
      </c>
      <c r="X172" t="n">
        <v>7878.655066</v>
      </c>
      <c r="Z172" t="n">
        <v>171.758301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H173" t="n">
        <v>842.727401</v>
      </c>
      <c r="I173" t="n">
        <v>57.395403</v>
      </c>
      <c r="J173" t="n">
        <v>57.395403</v>
      </c>
      <c r="K173" t="n">
        <v>21.98244</v>
      </c>
      <c r="L173" t="n">
        <v>92.59366</v>
      </c>
      <c r="M173" t="n">
        <v>61.118924</v>
      </c>
      <c r="N173" t="n">
        <v>61.118924</v>
      </c>
      <c r="O173" t="n">
        <v>1.571536</v>
      </c>
      <c r="P173" t="n">
        <v>1.01605</v>
      </c>
      <c r="Q173" t="n">
        <v>61.118924</v>
      </c>
      <c r="R173" t="n">
        <v>61.118924</v>
      </c>
      <c r="S173" t="n">
        <v>1.571536</v>
      </c>
      <c r="T173" t="n">
        <v>1.571536</v>
      </c>
      <c r="U173" t="n">
        <v>1.01605</v>
      </c>
      <c r="V173" t="n">
        <v>1.01605</v>
      </c>
      <c r="W173" t="n">
        <v>1.626148</v>
      </c>
      <c r="X173" t="n">
        <v>63.787046</v>
      </c>
      <c r="Z173" t="n">
        <v>5.312721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H174" t="n">
        <v>315505.380861</v>
      </c>
      <c r="I174" t="n">
        <v>1177.16154</v>
      </c>
      <c r="J174" t="n">
        <v>1195.655025</v>
      </c>
      <c r="K174" t="n">
        <v>1152.611444</v>
      </c>
      <c r="L174" t="n">
        <v>1871.214813</v>
      </c>
      <c r="M174" t="n">
        <v>1311.730037</v>
      </c>
      <c r="N174" t="n">
        <v>1311.730037</v>
      </c>
      <c r="O174" t="n">
        <v>55.773896</v>
      </c>
      <c r="P174" t="n">
        <v>33.032951</v>
      </c>
      <c r="Q174" t="n">
        <v>1311.730037</v>
      </c>
      <c r="R174" t="n">
        <v>1311.730037</v>
      </c>
      <c r="S174" t="n">
        <v>55.773896</v>
      </c>
      <c r="T174" t="n">
        <v>55.773896</v>
      </c>
      <c r="U174" t="n">
        <v>33.032951</v>
      </c>
      <c r="V174" t="n">
        <v>33.032951</v>
      </c>
      <c r="W174" t="n">
        <v>58.879471</v>
      </c>
      <c r="X174" t="n">
        <v>1355.147411</v>
      </c>
      <c r="Z174" t="n">
        <v>59.387783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H175" t="n">
        <v>66499585.166222</v>
      </c>
      <c r="I175" t="n">
        <v>4469.123499</v>
      </c>
      <c r="J175" t="n">
        <v>4793.322749</v>
      </c>
      <c r="K175" t="n">
        <v>1747.151432</v>
      </c>
      <c r="L175" t="n">
        <v>10677.999207</v>
      </c>
      <c r="M175" t="n">
        <v>7305.602239</v>
      </c>
      <c r="N175" t="n">
        <v>7305.602239</v>
      </c>
      <c r="O175" t="n">
        <v>41.400447</v>
      </c>
      <c r="P175" t="n">
        <v>18.192821</v>
      </c>
      <c r="Q175" t="n">
        <v>7305.602239</v>
      </c>
      <c r="R175" t="n">
        <v>7305.602239</v>
      </c>
      <c r="S175" t="n">
        <v>41.400447</v>
      </c>
      <c r="T175" t="n">
        <v>41.400447</v>
      </c>
      <c r="U175" t="n">
        <v>18.192821</v>
      </c>
      <c r="V175" t="n">
        <v>18.192821</v>
      </c>
      <c r="W175" t="n">
        <v>43.295832</v>
      </c>
      <c r="X175" t="n">
        <v>7878.655066</v>
      </c>
      <c r="Z175" t="n">
        <v>171.758301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H176" t="n">
        <v>252175.379258</v>
      </c>
      <c r="I176" t="n">
        <v>726.768274</v>
      </c>
      <c r="J176" t="n">
        <v>743.903747</v>
      </c>
      <c r="K176" t="n">
        <v>371.951873</v>
      </c>
      <c r="L176" t="n">
        <v>1659.687874</v>
      </c>
      <c r="M176" t="n">
        <v>1154.615618</v>
      </c>
      <c r="N176" t="n">
        <v>1154.615618</v>
      </c>
      <c r="O176" t="n">
        <v>19.267286</v>
      </c>
      <c r="P176" t="n">
        <v>9.928678</v>
      </c>
      <c r="Q176" t="n">
        <v>1154.615618</v>
      </c>
      <c r="R176" t="n">
        <v>1154.615618</v>
      </c>
      <c r="S176" t="n">
        <v>19.267286</v>
      </c>
      <c r="T176" t="n">
        <v>19.267286</v>
      </c>
      <c r="U176" t="n">
        <v>9.928678</v>
      </c>
      <c r="V176" t="n">
        <v>9.928678</v>
      </c>
      <c r="W176" t="n">
        <v>19.883589</v>
      </c>
      <c r="X176" t="n">
        <v>1235.144457</v>
      </c>
      <c r="Z176" t="n">
        <v>97.384973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H177" t="n">
        <v>284212.520683</v>
      </c>
      <c r="I177" t="n">
        <v>386.298429</v>
      </c>
      <c r="J177" t="n">
        <v>403.015522</v>
      </c>
      <c r="K177" t="n">
        <v>382.864746</v>
      </c>
      <c r="L177" t="n">
        <v>738.02552</v>
      </c>
      <c r="M177" t="n">
        <v>504.12505</v>
      </c>
      <c r="N177" t="n">
        <v>504.12505</v>
      </c>
      <c r="O177" t="n">
        <v>19.791087</v>
      </c>
      <c r="P177" t="n">
        <v>10.585758</v>
      </c>
      <c r="Q177" t="n">
        <v>504.12505</v>
      </c>
      <c r="R177" t="n">
        <v>504.12505</v>
      </c>
      <c r="S177" t="n">
        <v>19.791087</v>
      </c>
      <c r="T177" t="n">
        <v>19.791087</v>
      </c>
      <c r="U177" t="n">
        <v>10.585758</v>
      </c>
      <c r="V177" t="n">
        <v>10.585758</v>
      </c>
      <c r="W177" t="n">
        <v>20.644284</v>
      </c>
      <c r="X177" t="n">
        <v>528.265792</v>
      </c>
      <c r="Z177" t="n">
        <v>47.016842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H178" t="n">
        <v>4054.249872</v>
      </c>
      <c r="I178" t="n">
        <v>328.238379</v>
      </c>
      <c r="J178" t="n">
        <v>331.758128</v>
      </c>
      <c r="K178" t="n">
        <v>315.170222</v>
      </c>
      <c r="L178" t="n">
        <v>711.02964</v>
      </c>
      <c r="M178" t="n">
        <v>500.527879</v>
      </c>
      <c r="N178" t="n">
        <v>500.527879</v>
      </c>
      <c r="O178" t="n">
        <v>24.014036</v>
      </c>
      <c r="P178" t="n">
        <v>13.841438</v>
      </c>
      <c r="Q178" t="n">
        <v>500.527879</v>
      </c>
      <c r="R178" t="n">
        <v>500.527879</v>
      </c>
      <c r="S178" t="n">
        <v>24.014036</v>
      </c>
      <c r="T178" t="n">
        <v>24.014036</v>
      </c>
      <c r="U178" t="n">
        <v>13.841438</v>
      </c>
      <c r="V178" t="n">
        <v>13.841438</v>
      </c>
      <c r="W178" t="n">
        <v>25.185127</v>
      </c>
      <c r="X178" t="n">
        <v>532.786051</v>
      </c>
      <c r="Z178" t="n">
        <v>39.292026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H179" t="n">
        <v>66499585.166222</v>
      </c>
      <c r="I179" t="n">
        <v>4469.123499</v>
      </c>
      <c r="J179" t="n">
        <v>4793.322749</v>
      </c>
      <c r="K179" t="n">
        <v>1747.151432</v>
      </c>
      <c r="L179" t="n">
        <v>10677.999207</v>
      </c>
      <c r="M179" t="n">
        <v>7305.602239</v>
      </c>
      <c r="N179" t="n">
        <v>7305.602239</v>
      </c>
      <c r="O179" t="n">
        <v>41.400447</v>
      </c>
      <c r="P179" t="n">
        <v>18.192821</v>
      </c>
      <c r="Q179" t="n">
        <v>7305.602239</v>
      </c>
      <c r="R179" t="n">
        <v>7305.602239</v>
      </c>
      <c r="S179" t="n">
        <v>41.400447</v>
      </c>
      <c r="T179" t="n">
        <v>41.400447</v>
      </c>
      <c r="U179" t="n">
        <v>18.192821</v>
      </c>
      <c r="V179" t="n">
        <v>18.192821</v>
      </c>
      <c r="W179" t="n">
        <v>43.295832</v>
      </c>
      <c r="X179" t="n">
        <v>7878.655066</v>
      </c>
      <c r="Z179" t="n">
        <v>171.758301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H180" t="n">
        <v>842.727401</v>
      </c>
      <c r="I180" t="n">
        <v>57.395403</v>
      </c>
      <c r="J180" t="n">
        <v>57.395403</v>
      </c>
      <c r="K180" t="n">
        <v>21.98244</v>
      </c>
      <c r="L180" t="n">
        <v>92.59366</v>
      </c>
      <c r="M180" t="n">
        <v>61.118924</v>
      </c>
      <c r="N180" t="n">
        <v>61.118924</v>
      </c>
      <c r="O180" t="n">
        <v>1.571536</v>
      </c>
      <c r="P180" t="n">
        <v>1.01605</v>
      </c>
      <c r="Q180" t="n">
        <v>61.118924</v>
      </c>
      <c r="R180" t="n">
        <v>61.118924</v>
      </c>
      <c r="S180" t="n">
        <v>1.571536</v>
      </c>
      <c r="T180" t="n">
        <v>1.571536</v>
      </c>
      <c r="U180" t="n">
        <v>1.01605</v>
      </c>
      <c r="V180" t="n">
        <v>1.01605</v>
      </c>
      <c r="W180" t="n">
        <v>1.626148</v>
      </c>
      <c r="X180" t="n">
        <v>63.787046</v>
      </c>
      <c r="Z180" t="n">
        <v>5.312721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H181" t="n">
        <v>284212.520683</v>
      </c>
      <c r="I181" t="n">
        <v>386.298429</v>
      </c>
      <c r="J181" t="n">
        <v>403.015522</v>
      </c>
      <c r="K181" t="n">
        <v>382.864746</v>
      </c>
      <c r="L181" t="n">
        <v>738.02552</v>
      </c>
      <c r="M181" t="n">
        <v>504.12505</v>
      </c>
      <c r="N181" t="n">
        <v>504.12505</v>
      </c>
      <c r="O181" t="n">
        <v>19.791087</v>
      </c>
      <c r="P181" t="n">
        <v>10.585758</v>
      </c>
      <c r="Q181" t="n">
        <v>504.12505</v>
      </c>
      <c r="R181" t="n">
        <v>504.12505</v>
      </c>
      <c r="S181" t="n">
        <v>19.791087</v>
      </c>
      <c r="T181" t="n">
        <v>19.791087</v>
      </c>
      <c r="U181" t="n">
        <v>10.585758</v>
      </c>
      <c r="V181" t="n">
        <v>10.585758</v>
      </c>
      <c r="W181" t="n">
        <v>20.644284</v>
      </c>
      <c r="X181" t="n">
        <v>528.265792</v>
      </c>
      <c r="Z181" t="n">
        <v>47.016842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H182" t="n">
        <v>842.727401</v>
      </c>
      <c r="I182" t="n">
        <v>57.395403</v>
      </c>
      <c r="J182" t="n">
        <v>57.395403</v>
      </c>
      <c r="K182" t="n">
        <v>21.98244</v>
      </c>
      <c r="L182" t="n">
        <v>92.59366</v>
      </c>
      <c r="M182" t="n">
        <v>61.118924</v>
      </c>
      <c r="N182" t="n">
        <v>61.118924</v>
      </c>
      <c r="O182" t="n">
        <v>1.571536</v>
      </c>
      <c r="P182" t="n">
        <v>1.01605</v>
      </c>
      <c r="Q182" t="n">
        <v>61.118924</v>
      </c>
      <c r="R182" t="n">
        <v>61.118924</v>
      </c>
      <c r="S182" t="n">
        <v>1.571536</v>
      </c>
      <c r="T182" t="n">
        <v>1.571536</v>
      </c>
      <c r="U182" t="n">
        <v>1.01605</v>
      </c>
      <c r="V182" t="n">
        <v>1.01605</v>
      </c>
      <c r="W182" t="n">
        <v>1.626148</v>
      </c>
      <c r="X182" t="n">
        <v>63.787046</v>
      </c>
      <c r="Z182" t="n">
        <v>5.312721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H183" t="n">
        <v>66499585.166222</v>
      </c>
      <c r="I183" t="n">
        <v>4469.123499</v>
      </c>
      <c r="J183" t="n">
        <v>4793.322749</v>
      </c>
      <c r="K183" t="n">
        <v>1747.151432</v>
      </c>
      <c r="L183" t="n">
        <v>10677.999207</v>
      </c>
      <c r="M183" t="n">
        <v>7305.602239</v>
      </c>
      <c r="N183" t="n">
        <v>7305.602239</v>
      </c>
      <c r="O183" t="n">
        <v>41.400447</v>
      </c>
      <c r="P183" t="n">
        <v>18.192821</v>
      </c>
      <c r="Q183" t="n">
        <v>7305.602239</v>
      </c>
      <c r="R183" t="n">
        <v>7305.602239</v>
      </c>
      <c r="S183" t="n">
        <v>41.400447</v>
      </c>
      <c r="T183" t="n">
        <v>41.400447</v>
      </c>
      <c r="U183" t="n">
        <v>18.192821</v>
      </c>
      <c r="V183" t="n">
        <v>18.192821</v>
      </c>
      <c r="W183" t="n">
        <v>43.295832</v>
      </c>
      <c r="X183" t="n">
        <v>7878.655066</v>
      </c>
      <c r="Z183" t="n">
        <v>171.758301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H184" t="n">
        <v>163767.801906</v>
      </c>
      <c r="I184" t="n">
        <v>1107.715094</v>
      </c>
      <c r="J184" t="n">
        <v>1152.41915</v>
      </c>
      <c r="K184" t="n">
        <v>1094.798192</v>
      </c>
      <c r="L184" t="n">
        <v>2274.19106</v>
      </c>
      <c r="M184" t="n">
        <v>1598.007907</v>
      </c>
      <c r="N184" t="n">
        <v>1598.007907</v>
      </c>
      <c r="O184" t="n">
        <v>71.350959</v>
      </c>
      <c r="P184" t="n">
        <v>34.506697</v>
      </c>
      <c r="Q184" t="n">
        <v>1598.007907</v>
      </c>
      <c r="R184" t="n">
        <v>1598.007907</v>
      </c>
      <c r="S184" t="n">
        <v>71.350959</v>
      </c>
      <c r="T184" t="n">
        <v>71.350959</v>
      </c>
      <c r="U184" t="n">
        <v>34.506697</v>
      </c>
      <c r="V184" t="n">
        <v>34.506697</v>
      </c>
      <c r="W184" t="n">
        <v>75.453034</v>
      </c>
      <c r="X184" t="n">
        <v>1713.88012</v>
      </c>
      <c r="Z184" t="n">
        <v>171.487387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H185" t="n">
        <v>4054.249872</v>
      </c>
      <c r="I185" t="n">
        <v>328.238379</v>
      </c>
      <c r="J185" t="n">
        <v>331.758128</v>
      </c>
      <c r="K185" t="n">
        <v>315.170222</v>
      </c>
      <c r="L185" t="n">
        <v>711.02964</v>
      </c>
      <c r="M185" t="n">
        <v>500.527879</v>
      </c>
      <c r="N185" t="n">
        <v>500.527879</v>
      </c>
      <c r="O185" t="n">
        <v>24.014036</v>
      </c>
      <c r="P185" t="n">
        <v>13.841438</v>
      </c>
      <c r="Q185" t="n">
        <v>500.527879</v>
      </c>
      <c r="R185" t="n">
        <v>500.527879</v>
      </c>
      <c r="S185" t="n">
        <v>24.014036</v>
      </c>
      <c r="T185" t="n">
        <v>24.014036</v>
      </c>
      <c r="U185" t="n">
        <v>13.841438</v>
      </c>
      <c r="V185" t="n">
        <v>13.841438</v>
      </c>
      <c r="W185" t="n">
        <v>25.185127</v>
      </c>
      <c r="X185" t="n">
        <v>532.786051</v>
      </c>
      <c r="Z185" t="n">
        <v>39.292026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H186" t="n">
        <v>66499585.166222</v>
      </c>
      <c r="I186" t="n">
        <v>4469.123499</v>
      </c>
      <c r="J186" t="n">
        <v>4793.322749</v>
      </c>
      <c r="K186" t="n">
        <v>1747.151432</v>
      </c>
      <c r="L186" t="n">
        <v>10677.999207</v>
      </c>
      <c r="M186" t="n">
        <v>7305.602239</v>
      </c>
      <c r="N186" t="n">
        <v>7305.602239</v>
      </c>
      <c r="O186" t="n">
        <v>41.400447</v>
      </c>
      <c r="P186" t="n">
        <v>18.192821</v>
      </c>
      <c r="Q186" t="n">
        <v>7305.602239</v>
      </c>
      <c r="R186" t="n">
        <v>7305.602239</v>
      </c>
      <c r="S186" t="n">
        <v>41.400447</v>
      </c>
      <c r="T186" t="n">
        <v>41.400447</v>
      </c>
      <c r="U186" t="n">
        <v>18.192821</v>
      </c>
      <c r="V186" t="n">
        <v>18.192821</v>
      </c>
      <c r="W186" t="n">
        <v>43.295832</v>
      </c>
      <c r="X186" t="n">
        <v>7878.655066</v>
      </c>
      <c r="Z186" t="n">
        <v>171.758301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H187" t="n">
        <v>3941.73523</v>
      </c>
      <c r="I187" t="n">
        <v>71.47126299999999</v>
      </c>
      <c r="J187" t="n">
        <v>71.47126299999999</v>
      </c>
      <c r="K187" t="n">
        <v>44.598068</v>
      </c>
      <c r="L187" t="n">
        <v>113.463496</v>
      </c>
      <c r="M187" t="n">
        <v>73.744072</v>
      </c>
      <c r="N187" t="n">
        <v>73.744072</v>
      </c>
      <c r="O187" t="n">
        <v>2.758573</v>
      </c>
      <c r="P187" t="n">
        <v>1.846527</v>
      </c>
      <c r="Q187" t="n">
        <v>73.744072</v>
      </c>
      <c r="R187" t="n">
        <v>73.744072</v>
      </c>
      <c r="S187" t="n">
        <v>2.758573</v>
      </c>
      <c r="T187" t="n">
        <v>2.758573</v>
      </c>
      <c r="U187" t="n">
        <v>1.846527</v>
      </c>
      <c r="V187" t="n">
        <v>1.846527</v>
      </c>
      <c r="W187" t="n">
        <v>2.824619</v>
      </c>
      <c r="X187" t="n">
        <v>77.46539799999999</v>
      </c>
      <c r="Z187" t="n">
        <v>6.917933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H188" t="n">
        <v>1993.394013</v>
      </c>
      <c r="I188" t="n">
        <v>277.068801</v>
      </c>
      <c r="J188" t="n">
        <v>277.068801</v>
      </c>
      <c r="K188" t="n">
        <v>263.215361</v>
      </c>
      <c r="L188" t="n">
        <v>393.787233</v>
      </c>
      <c r="M188" t="n">
        <v>277.168933</v>
      </c>
      <c r="N188" t="n">
        <v>277.168933</v>
      </c>
      <c r="O188" t="n">
        <v>14.521402</v>
      </c>
      <c r="P188" t="n">
        <v>9.426283</v>
      </c>
      <c r="Q188" t="n">
        <v>277.168933</v>
      </c>
      <c r="R188" t="n">
        <v>277.168933</v>
      </c>
      <c r="S188" t="n">
        <v>14.521402</v>
      </c>
      <c r="T188" t="n">
        <v>14.521402</v>
      </c>
      <c r="U188" t="n">
        <v>9.426283</v>
      </c>
      <c r="V188" t="n">
        <v>9.426283</v>
      </c>
      <c r="W188" t="n">
        <v>15.223157</v>
      </c>
      <c r="X188" t="n">
        <v>285.614997</v>
      </c>
      <c r="Z188" t="n">
        <v>31.193085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H189" t="n">
        <v>10541.431348</v>
      </c>
      <c r="I189" t="n">
        <v>418.593928</v>
      </c>
      <c r="J189" t="n">
        <v>418.593928</v>
      </c>
      <c r="K189" t="n">
        <v>166.600383</v>
      </c>
      <c r="L189" t="n">
        <v>1080.992157</v>
      </c>
      <c r="M189" t="n">
        <v>753.402512</v>
      </c>
      <c r="N189" t="n">
        <v>753.402512</v>
      </c>
      <c r="O189" t="n">
        <v>10.622481</v>
      </c>
      <c r="P189" t="n">
        <v>5.780752</v>
      </c>
      <c r="Q189" t="n">
        <v>753.402512</v>
      </c>
      <c r="R189" t="n">
        <v>753.402512</v>
      </c>
      <c r="S189" t="n">
        <v>10.622481</v>
      </c>
      <c r="T189" t="n">
        <v>10.622481</v>
      </c>
      <c r="U189" t="n">
        <v>5.780752</v>
      </c>
      <c r="V189" t="n">
        <v>5.780752</v>
      </c>
      <c r="W189" t="n">
        <v>11.036237</v>
      </c>
      <c r="X189" t="n">
        <v>791.2975750000001</v>
      </c>
      <c r="Z189" t="n">
        <v>23.932868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H190" t="n">
        <v>32593.399706</v>
      </c>
      <c r="I190" t="n">
        <v>356.10635</v>
      </c>
      <c r="J190" t="n">
        <v>384.755747</v>
      </c>
      <c r="K190" t="n">
        <v>365.51796</v>
      </c>
      <c r="L190" t="n">
        <v>602.712303</v>
      </c>
      <c r="M190" t="n">
        <v>421.28566</v>
      </c>
      <c r="N190" t="n">
        <v>421.28566</v>
      </c>
      <c r="O190" t="n">
        <v>20.384878</v>
      </c>
      <c r="P190" t="n">
        <v>12.067619</v>
      </c>
      <c r="Q190" t="n">
        <v>421.28566</v>
      </c>
      <c r="R190" t="n">
        <v>421.28566</v>
      </c>
      <c r="S190" t="n">
        <v>20.384878</v>
      </c>
      <c r="T190" t="n">
        <v>20.384878</v>
      </c>
      <c r="U190" t="n">
        <v>12.067619</v>
      </c>
      <c r="V190" t="n">
        <v>12.067619</v>
      </c>
      <c r="W190" t="n">
        <v>20.990919</v>
      </c>
      <c r="X190" t="n">
        <v>434.828134</v>
      </c>
      <c r="Z190" t="n">
        <v>44.708144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H191" t="n">
        <v>11759220.471206</v>
      </c>
      <c r="I191" t="n">
        <v>2184.150638</v>
      </c>
      <c r="J191" t="n">
        <v>2277.683197</v>
      </c>
      <c r="K191" t="n">
        <v>2163.799037</v>
      </c>
      <c r="L191" t="n">
        <v>4133.4309</v>
      </c>
      <c r="M191" t="n">
        <v>2817.724532</v>
      </c>
      <c r="N191" t="n">
        <v>2817.724532</v>
      </c>
      <c r="O191" t="n">
        <v>100.301142</v>
      </c>
      <c r="P191" t="n">
        <v>43.53974</v>
      </c>
      <c r="Q191" t="n">
        <v>2817.724532</v>
      </c>
      <c r="R191" t="n">
        <v>2817.724532</v>
      </c>
      <c r="S191" t="n">
        <v>100.301142</v>
      </c>
      <c r="T191" t="n">
        <v>100.301142</v>
      </c>
      <c r="U191" t="n">
        <v>43.53974</v>
      </c>
      <c r="V191" t="n">
        <v>43.53974</v>
      </c>
      <c r="W191" t="n">
        <v>106.305314</v>
      </c>
      <c r="X191" t="n">
        <v>2997.143608</v>
      </c>
      <c r="Z191" t="n">
        <v>261.151532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H192" t="n">
        <v>14879959.242488</v>
      </c>
      <c r="I192" t="n">
        <v>4341.841291</v>
      </c>
      <c r="J192" t="n">
        <v>4398.007385</v>
      </c>
      <c r="K192" t="n">
        <v>1301.694746</v>
      </c>
      <c r="L192" t="n">
        <v>7112.982475</v>
      </c>
      <c r="M192" t="n">
        <v>4967.292392</v>
      </c>
      <c r="N192" t="n">
        <v>4967.292392</v>
      </c>
      <c r="O192" t="n">
        <v>58.311114</v>
      </c>
      <c r="P192" t="n">
        <v>31.032685</v>
      </c>
      <c r="Q192" t="n">
        <v>4967.292392</v>
      </c>
      <c r="R192" t="n">
        <v>4967.292392</v>
      </c>
      <c r="S192" t="n">
        <v>58.311114</v>
      </c>
      <c r="T192" t="n">
        <v>58.311114</v>
      </c>
      <c r="U192" t="n">
        <v>31.032685</v>
      </c>
      <c r="V192" t="n">
        <v>31.032685</v>
      </c>
      <c r="W192" t="n">
        <v>61.724923</v>
      </c>
      <c r="X192" t="n">
        <v>5208.68705</v>
      </c>
      <c r="Z192" t="n">
        <v>132.574913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H193" t="n">
        <v>66499585.166222</v>
      </c>
      <c r="I193" t="n">
        <v>4469.123499</v>
      </c>
      <c r="J193" t="n">
        <v>4793.322749</v>
      </c>
      <c r="K193" t="n">
        <v>1747.151432</v>
      </c>
      <c r="L193" t="n">
        <v>10677.999207</v>
      </c>
      <c r="M193" t="n">
        <v>7305.602239</v>
      </c>
      <c r="N193" t="n">
        <v>7305.602239</v>
      </c>
      <c r="O193" t="n">
        <v>41.400447</v>
      </c>
      <c r="P193" t="n">
        <v>18.192821</v>
      </c>
      <c r="Q193" t="n">
        <v>7305.602239</v>
      </c>
      <c r="R193" t="n">
        <v>7305.602239</v>
      </c>
      <c r="S193" t="n">
        <v>41.400447</v>
      </c>
      <c r="T193" t="n">
        <v>41.400447</v>
      </c>
      <c r="U193" t="n">
        <v>18.192821</v>
      </c>
      <c r="V193" t="n">
        <v>18.192821</v>
      </c>
      <c r="W193" t="n">
        <v>43.295832</v>
      </c>
      <c r="X193" t="n">
        <v>7878.655066</v>
      </c>
      <c r="Z193" t="n">
        <v>171.758301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H194" t="n">
        <v>66499585.166222</v>
      </c>
      <c r="I194" t="n">
        <v>4469.123499</v>
      </c>
      <c r="J194" t="n">
        <v>4793.322749</v>
      </c>
      <c r="K194" t="n">
        <v>1747.151432</v>
      </c>
      <c r="L194" t="n">
        <v>10677.999207</v>
      </c>
      <c r="M194" t="n">
        <v>7305.602239</v>
      </c>
      <c r="N194" t="n">
        <v>7305.602239</v>
      </c>
      <c r="O194" t="n">
        <v>41.400447</v>
      </c>
      <c r="P194" t="n">
        <v>18.192821</v>
      </c>
      <c r="Q194" t="n">
        <v>7305.602239</v>
      </c>
      <c r="R194" t="n">
        <v>7305.602239</v>
      </c>
      <c r="S194" t="n">
        <v>41.400447</v>
      </c>
      <c r="T194" t="n">
        <v>41.400447</v>
      </c>
      <c r="U194" t="n">
        <v>18.192821</v>
      </c>
      <c r="V194" t="n">
        <v>18.192821</v>
      </c>
      <c r="W194" t="n">
        <v>43.295832</v>
      </c>
      <c r="X194" t="n">
        <v>7878.655066</v>
      </c>
      <c r="Z194" t="n">
        <v>171.758301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H195" t="n">
        <v>14879959.242488</v>
      </c>
      <c r="I195" t="n">
        <v>4341.841291</v>
      </c>
      <c r="J195" t="n">
        <v>4398.007385</v>
      </c>
      <c r="K195" t="n">
        <v>1301.694746</v>
      </c>
      <c r="L195" t="n">
        <v>7112.982475</v>
      </c>
      <c r="M195" t="n">
        <v>4967.292392</v>
      </c>
      <c r="N195" t="n">
        <v>4967.292392</v>
      </c>
      <c r="O195" t="n">
        <v>58.311114</v>
      </c>
      <c r="P195" t="n">
        <v>31.032685</v>
      </c>
      <c r="Q195" t="n">
        <v>4967.292392</v>
      </c>
      <c r="R195" t="n">
        <v>4967.292392</v>
      </c>
      <c r="S195" t="n">
        <v>58.311114</v>
      </c>
      <c r="T195" t="n">
        <v>58.311114</v>
      </c>
      <c r="U195" t="n">
        <v>31.032685</v>
      </c>
      <c r="V195" t="n">
        <v>31.032685</v>
      </c>
      <c r="W195" t="n">
        <v>61.724923</v>
      </c>
      <c r="X195" t="n">
        <v>5208.68705</v>
      </c>
      <c r="Z195" t="n">
        <v>132.574913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H196" t="n">
        <v>14879959.242488</v>
      </c>
      <c r="I196" t="n">
        <v>4341.841291</v>
      </c>
      <c r="J196" t="n">
        <v>4398.007385</v>
      </c>
      <c r="K196" t="n">
        <v>1301.694746</v>
      </c>
      <c r="L196" t="n">
        <v>7112.982475</v>
      </c>
      <c r="M196" t="n">
        <v>4967.292392</v>
      </c>
      <c r="N196" t="n">
        <v>4967.292392</v>
      </c>
      <c r="O196" t="n">
        <v>58.311114</v>
      </c>
      <c r="P196" t="n">
        <v>31.032685</v>
      </c>
      <c r="Q196" t="n">
        <v>4967.292392</v>
      </c>
      <c r="R196" t="n">
        <v>4967.292392</v>
      </c>
      <c r="S196" t="n">
        <v>58.311114</v>
      </c>
      <c r="T196" t="n">
        <v>58.311114</v>
      </c>
      <c r="U196" t="n">
        <v>31.032685</v>
      </c>
      <c r="V196" t="n">
        <v>31.032685</v>
      </c>
      <c r="W196" t="n">
        <v>61.724923</v>
      </c>
      <c r="X196" t="n">
        <v>5208.68705</v>
      </c>
      <c r="Z196" t="n">
        <v>132.574913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H197" t="n">
        <v>1993.394013</v>
      </c>
      <c r="I197" t="n">
        <v>277.068801</v>
      </c>
      <c r="J197" t="n">
        <v>277.068801</v>
      </c>
      <c r="K197" t="n">
        <v>263.215361</v>
      </c>
      <c r="L197" t="n">
        <v>393.787233</v>
      </c>
      <c r="M197" t="n">
        <v>277.168933</v>
      </c>
      <c r="N197" t="n">
        <v>277.168933</v>
      </c>
      <c r="O197" t="n">
        <v>14.521402</v>
      </c>
      <c r="P197" t="n">
        <v>9.426283</v>
      </c>
      <c r="Q197" t="n">
        <v>277.168933</v>
      </c>
      <c r="R197" t="n">
        <v>277.168933</v>
      </c>
      <c r="S197" t="n">
        <v>14.521402</v>
      </c>
      <c r="T197" t="n">
        <v>14.521402</v>
      </c>
      <c r="U197" t="n">
        <v>9.426283</v>
      </c>
      <c r="V197" t="n">
        <v>9.426283</v>
      </c>
      <c r="W197" t="n">
        <v>15.223157</v>
      </c>
      <c r="X197" t="n">
        <v>285.614997</v>
      </c>
      <c r="Z197" t="n">
        <v>31.193085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H198" t="n">
        <v>292.214787</v>
      </c>
      <c r="I198" t="n">
        <v>85.939188</v>
      </c>
      <c r="J198" t="n">
        <v>85.939188</v>
      </c>
      <c r="K198" t="n">
        <v>56.546756</v>
      </c>
      <c r="L198" t="n">
        <v>125.3013</v>
      </c>
      <c r="M198" t="n">
        <v>85.939188</v>
      </c>
      <c r="N198" t="n">
        <v>85.939188</v>
      </c>
      <c r="O198" t="n">
        <v>4.822409</v>
      </c>
      <c r="P198" t="n">
        <v>3.403975</v>
      </c>
      <c r="Q198" t="n">
        <v>85.939188</v>
      </c>
      <c r="R198" t="n">
        <v>85.939188</v>
      </c>
      <c r="S198" t="n">
        <v>4.822409</v>
      </c>
      <c r="T198" t="n">
        <v>4.822409</v>
      </c>
      <c r="U198" t="n">
        <v>3.403975</v>
      </c>
      <c r="V198" t="n">
        <v>3.403975</v>
      </c>
      <c r="W198" t="n">
        <v>5.011801</v>
      </c>
      <c r="X198" t="n">
        <v>88.997409</v>
      </c>
      <c r="Z198" t="n">
        <v>7.43399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H199" t="n">
        <v>28044039.752191</v>
      </c>
      <c r="I199" t="n">
        <v>86321.834013</v>
      </c>
      <c r="J199" t="n">
        <v>87278.99642</v>
      </c>
      <c r="K199" t="n">
        <v>43639.49821</v>
      </c>
      <c r="L199" t="n">
        <v>172174.15174</v>
      </c>
      <c r="M199" t="n">
        <v>119442.301921</v>
      </c>
      <c r="N199" t="n">
        <v>119442.301921</v>
      </c>
      <c r="O199" t="n">
        <v>130.775511</v>
      </c>
      <c r="P199" t="n">
        <v>57.053814</v>
      </c>
      <c r="Q199" t="n">
        <v>119442.301921</v>
      </c>
      <c r="R199" t="n">
        <v>119442.301921</v>
      </c>
      <c r="S199" t="n">
        <v>130.775511</v>
      </c>
      <c r="T199" t="n">
        <v>130.775511</v>
      </c>
      <c r="U199" t="n">
        <v>57.053814</v>
      </c>
      <c r="V199" t="n">
        <v>57.053814</v>
      </c>
      <c r="W199" t="n">
        <v>139.198598</v>
      </c>
      <c r="X199" t="n">
        <v>127625.763444</v>
      </c>
      <c r="Z199" t="n">
        <v>467.2534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H201" t="n">
        <v>18724.860706</v>
      </c>
      <c r="I201" t="n">
        <v>98.72009199999999</v>
      </c>
      <c r="J201" t="n">
        <v>98.72009199999999</v>
      </c>
      <c r="K201" t="n">
        <v>93.784087</v>
      </c>
      <c r="L201" t="n">
        <v>173.938876</v>
      </c>
      <c r="M201" t="n">
        <v>115.203607</v>
      </c>
      <c r="N201" t="n">
        <v>115.203607</v>
      </c>
      <c r="O201" t="n">
        <v>4.263184</v>
      </c>
      <c r="P201" t="n">
        <v>2.411197</v>
      </c>
      <c r="Q201" t="n">
        <v>115.203607</v>
      </c>
      <c r="R201" t="n">
        <v>115.203607</v>
      </c>
      <c r="S201" t="n">
        <v>4.263184</v>
      </c>
      <c r="T201" t="n">
        <v>4.263184</v>
      </c>
      <c r="U201" t="n">
        <v>2.411197</v>
      </c>
      <c r="V201" t="n">
        <v>2.411197</v>
      </c>
      <c r="W201" t="n">
        <v>4.428691</v>
      </c>
      <c r="X201" t="n">
        <v>122.757859</v>
      </c>
      <c r="Z201" t="n">
        <v>14.767218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H202" t="n">
        <v>4269.070427</v>
      </c>
      <c r="I202" t="n">
        <v>87.815798</v>
      </c>
      <c r="J202" t="n">
        <v>87.815798</v>
      </c>
      <c r="K202" t="n">
        <v>63.579479</v>
      </c>
      <c r="L202" t="n">
        <v>134.682411</v>
      </c>
      <c r="M202" t="n">
        <v>91.32078300000001</v>
      </c>
      <c r="N202" t="n">
        <v>91.32078300000001</v>
      </c>
      <c r="O202" t="n">
        <v>4.600543</v>
      </c>
      <c r="P202" t="n">
        <v>3.11926</v>
      </c>
      <c r="Q202" t="n">
        <v>91.32078300000001</v>
      </c>
      <c r="R202" t="n">
        <v>91.32078300000001</v>
      </c>
      <c r="S202" t="n">
        <v>4.600543</v>
      </c>
      <c r="T202" t="n">
        <v>4.600543</v>
      </c>
      <c r="U202" t="n">
        <v>3.11926</v>
      </c>
      <c r="V202" t="n">
        <v>3.11926</v>
      </c>
      <c r="W202" t="n">
        <v>4.778635</v>
      </c>
      <c r="X202" t="n">
        <v>95.337259</v>
      </c>
      <c r="Z202" t="n">
        <v>8.914156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H203" t="n">
        <v>14879959.242488</v>
      </c>
      <c r="I203" t="n">
        <v>4341.841291</v>
      </c>
      <c r="J203" t="n">
        <v>4398.007385</v>
      </c>
      <c r="K203" t="n">
        <v>1301.694746</v>
      </c>
      <c r="L203" t="n">
        <v>7112.982475</v>
      </c>
      <c r="M203" t="n">
        <v>4967.292392</v>
      </c>
      <c r="N203" t="n">
        <v>4967.292392</v>
      </c>
      <c r="O203" t="n">
        <v>58.311114</v>
      </c>
      <c r="P203" t="n">
        <v>31.032685</v>
      </c>
      <c r="Q203" t="n">
        <v>4967.292392</v>
      </c>
      <c r="R203" t="n">
        <v>4967.292392</v>
      </c>
      <c r="S203" t="n">
        <v>58.311114</v>
      </c>
      <c r="T203" t="n">
        <v>58.311114</v>
      </c>
      <c r="U203" t="n">
        <v>31.032685</v>
      </c>
      <c r="V203" t="n">
        <v>31.032685</v>
      </c>
      <c r="W203" t="n">
        <v>61.724923</v>
      </c>
      <c r="X203" t="n">
        <v>5208.68705</v>
      </c>
      <c r="Z203" t="n">
        <v>132.574913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H204" t="n">
        <v>426.216492</v>
      </c>
      <c r="I204" t="n">
        <v>88.674335</v>
      </c>
      <c r="J204" t="n">
        <v>88.674335</v>
      </c>
      <c r="K204" t="n">
        <v>84.240618</v>
      </c>
      <c r="L204" t="n">
        <v>130.894857</v>
      </c>
      <c r="M204" t="n">
        <v>88.674335</v>
      </c>
      <c r="N204" t="n">
        <v>88.674335</v>
      </c>
      <c r="O204" t="n">
        <v>5.151693</v>
      </c>
      <c r="P204" t="n">
        <v>3.42724</v>
      </c>
      <c r="Q204" t="n">
        <v>88.674335</v>
      </c>
      <c r="R204" t="n">
        <v>88.674335</v>
      </c>
      <c r="S204" t="n">
        <v>5.151693</v>
      </c>
      <c r="T204" t="n">
        <v>5.151693</v>
      </c>
      <c r="U204" t="n">
        <v>3.42724</v>
      </c>
      <c r="V204" t="n">
        <v>3.42724</v>
      </c>
      <c r="W204" t="n">
        <v>5.382228</v>
      </c>
      <c r="X204" t="n">
        <v>92.561423</v>
      </c>
      <c r="Z204" t="n">
        <v>8.611278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H205" t="n">
        <v>40975539.813113</v>
      </c>
      <c r="I205" t="n">
        <v>2895.31657</v>
      </c>
      <c r="J205" t="n">
        <v>3100.990647</v>
      </c>
      <c r="K205" t="n">
        <v>1221.259727</v>
      </c>
      <c r="L205" t="n">
        <v>6846.4367</v>
      </c>
      <c r="M205" t="n">
        <v>4683.836246</v>
      </c>
      <c r="N205" t="n">
        <v>4683.836246</v>
      </c>
      <c r="O205" t="n">
        <v>33.070685</v>
      </c>
      <c r="P205" t="n">
        <v>15.260526</v>
      </c>
      <c r="Q205" t="n">
        <v>4683.836246</v>
      </c>
      <c r="R205" t="n">
        <v>4683.836246</v>
      </c>
      <c r="S205" t="n">
        <v>33.070685</v>
      </c>
      <c r="T205" t="n">
        <v>33.070685</v>
      </c>
      <c r="U205" t="n">
        <v>15.260526</v>
      </c>
      <c r="V205" t="n">
        <v>15.260526</v>
      </c>
      <c r="W205" t="n">
        <v>34.564338</v>
      </c>
      <c r="X205" t="n">
        <v>5045.299884</v>
      </c>
      <c r="Z205" t="n">
        <v>123.6742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H206" t="n">
        <v>40975539.813113</v>
      </c>
      <c r="I206" t="n">
        <v>2895.31657</v>
      </c>
      <c r="J206" t="n">
        <v>3100.990647</v>
      </c>
      <c r="K206" t="n">
        <v>1221.259727</v>
      </c>
      <c r="L206" t="n">
        <v>6846.4367</v>
      </c>
      <c r="M206" t="n">
        <v>4683.836246</v>
      </c>
      <c r="N206" t="n">
        <v>4683.836246</v>
      </c>
      <c r="O206" t="n">
        <v>33.070685</v>
      </c>
      <c r="P206" t="n">
        <v>15.260526</v>
      </c>
      <c r="Q206" t="n">
        <v>4683.836246</v>
      </c>
      <c r="R206" t="n">
        <v>4683.836246</v>
      </c>
      <c r="S206" t="n">
        <v>33.070685</v>
      </c>
      <c r="T206" t="n">
        <v>33.070685</v>
      </c>
      <c r="U206" t="n">
        <v>15.260526</v>
      </c>
      <c r="V206" t="n">
        <v>15.260526</v>
      </c>
      <c r="W206" t="n">
        <v>34.564338</v>
      </c>
      <c r="X206" t="n">
        <v>5045.299884</v>
      </c>
      <c r="Z206" t="n">
        <v>123.6742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H207" t="n">
        <v>32593.399706</v>
      </c>
      <c r="I207" t="n">
        <v>356.10635</v>
      </c>
      <c r="J207" t="n">
        <v>384.755747</v>
      </c>
      <c r="K207" t="n">
        <v>365.51796</v>
      </c>
      <c r="L207" t="n">
        <v>602.712303</v>
      </c>
      <c r="M207" t="n">
        <v>421.28566</v>
      </c>
      <c r="N207" t="n">
        <v>421.28566</v>
      </c>
      <c r="O207" t="n">
        <v>20.384878</v>
      </c>
      <c r="P207" t="n">
        <v>12.067619</v>
      </c>
      <c r="Q207" t="n">
        <v>421.28566</v>
      </c>
      <c r="R207" t="n">
        <v>421.28566</v>
      </c>
      <c r="S207" t="n">
        <v>20.384878</v>
      </c>
      <c r="T207" t="n">
        <v>20.384878</v>
      </c>
      <c r="U207" t="n">
        <v>12.067619</v>
      </c>
      <c r="V207" t="n">
        <v>12.067619</v>
      </c>
      <c r="W207" t="n">
        <v>20.990919</v>
      </c>
      <c r="X207" t="n">
        <v>434.828134</v>
      </c>
      <c r="Z207" t="n">
        <v>44.708144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H208" t="n">
        <v>3941.73523</v>
      </c>
      <c r="I208" t="n">
        <v>71.47126299999999</v>
      </c>
      <c r="J208" t="n">
        <v>71.47126299999999</v>
      </c>
      <c r="K208" t="n">
        <v>44.598068</v>
      </c>
      <c r="L208" t="n">
        <v>113.463496</v>
      </c>
      <c r="M208" t="n">
        <v>73.744072</v>
      </c>
      <c r="N208" t="n">
        <v>73.744072</v>
      </c>
      <c r="O208" t="n">
        <v>2.758573</v>
      </c>
      <c r="P208" t="n">
        <v>1.846527</v>
      </c>
      <c r="Q208" t="n">
        <v>73.744072</v>
      </c>
      <c r="R208" t="n">
        <v>73.744072</v>
      </c>
      <c r="S208" t="n">
        <v>2.758573</v>
      </c>
      <c r="T208" t="n">
        <v>2.758573</v>
      </c>
      <c r="U208" t="n">
        <v>1.846527</v>
      </c>
      <c r="V208" t="n">
        <v>1.846527</v>
      </c>
      <c r="W208" t="n">
        <v>2.824619</v>
      </c>
      <c r="X208" t="n">
        <v>77.46539799999999</v>
      </c>
      <c r="Z208" t="n">
        <v>6.917933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H209" t="n">
        <v>52027107.267087</v>
      </c>
      <c r="I209" t="n">
        <v>7059.021807</v>
      </c>
      <c r="J209" t="n">
        <v>7260.732834</v>
      </c>
      <c r="K209" t="n">
        <v>2722.774813</v>
      </c>
      <c r="L209" t="n">
        <v>14214.100911</v>
      </c>
      <c r="M209" t="n">
        <v>9730.75452</v>
      </c>
      <c r="N209" t="n">
        <v>9730.75452</v>
      </c>
      <c r="O209" t="n">
        <v>100.399835</v>
      </c>
      <c r="P209" t="n">
        <v>43.4623</v>
      </c>
      <c r="Q209" t="n">
        <v>9730.75452</v>
      </c>
      <c r="R209" t="n">
        <v>9730.75452</v>
      </c>
      <c r="S209" t="n">
        <v>100.399835</v>
      </c>
      <c r="T209" t="n">
        <v>100.399835</v>
      </c>
      <c r="U209" t="n">
        <v>43.4623</v>
      </c>
      <c r="V209" t="n">
        <v>43.4623</v>
      </c>
      <c r="W209" t="n">
        <v>105.723999</v>
      </c>
      <c r="X209" t="n">
        <v>10434.203054</v>
      </c>
      <c r="Z209" t="n">
        <v>282.848189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H210" t="n">
        <v>66499585.166222</v>
      </c>
      <c r="I210" t="n">
        <v>4469.123499</v>
      </c>
      <c r="J210" t="n">
        <v>4793.322749</v>
      </c>
      <c r="K210" t="n">
        <v>1747.151432</v>
      </c>
      <c r="L210" t="n">
        <v>10677.999207</v>
      </c>
      <c r="M210" t="n">
        <v>7305.602239</v>
      </c>
      <c r="N210" t="n">
        <v>7305.602239</v>
      </c>
      <c r="O210" t="n">
        <v>41.400447</v>
      </c>
      <c r="P210" t="n">
        <v>18.192821</v>
      </c>
      <c r="Q210" t="n">
        <v>7305.602239</v>
      </c>
      <c r="R210" t="n">
        <v>7305.602239</v>
      </c>
      <c r="S210" t="n">
        <v>41.400447</v>
      </c>
      <c r="T210" t="n">
        <v>41.400447</v>
      </c>
      <c r="U210" t="n">
        <v>18.192821</v>
      </c>
      <c r="V210" t="n">
        <v>18.192821</v>
      </c>
      <c r="W210" t="n">
        <v>43.295832</v>
      </c>
      <c r="X210" t="n">
        <v>7878.655066</v>
      </c>
      <c r="Z210" t="n">
        <v>171.758301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H211" t="n">
        <v>66499585.166222</v>
      </c>
      <c r="I211" t="n">
        <v>4469.123499</v>
      </c>
      <c r="J211" t="n">
        <v>4793.322749</v>
      </c>
      <c r="K211" t="n">
        <v>1747.151432</v>
      </c>
      <c r="L211" t="n">
        <v>10677.999207</v>
      </c>
      <c r="M211" t="n">
        <v>7305.602239</v>
      </c>
      <c r="N211" t="n">
        <v>7305.602239</v>
      </c>
      <c r="O211" t="n">
        <v>41.400447</v>
      </c>
      <c r="P211" t="n">
        <v>18.192821</v>
      </c>
      <c r="Q211" t="n">
        <v>7305.602239</v>
      </c>
      <c r="R211" t="n">
        <v>7305.602239</v>
      </c>
      <c r="S211" t="n">
        <v>41.400447</v>
      </c>
      <c r="T211" t="n">
        <v>41.400447</v>
      </c>
      <c r="U211" t="n">
        <v>18.192821</v>
      </c>
      <c r="V211" t="n">
        <v>18.192821</v>
      </c>
      <c r="W211" t="n">
        <v>43.295832</v>
      </c>
      <c r="X211" t="n">
        <v>7878.655066</v>
      </c>
      <c r="Z211" t="n">
        <v>171.758301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H212" t="n">
        <v>426.216492</v>
      </c>
      <c r="I212" t="n">
        <v>88.674335</v>
      </c>
      <c r="J212" t="n">
        <v>88.674335</v>
      </c>
      <c r="K212" t="n">
        <v>84.240618</v>
      </c>
      <c r="L212" t="n">
        <v>130.894857</v>
      </c>
      <c r="M212" t="n">
        <v>88.674335</v>
      </c>
      <c r="N212" t="n">
        <v>88.674335</v>
      </c>
      <c r="O212" t="n">
        <v>5.151693</v>
      </c>
      <c r="P212" t="n">
        <v>3.42724</v>
      </c>
      <c r="Q212" t="n">
        <v>88.674335</v>
      </c>
      <c r="R212" t="n">
        <v>88.674335</v>
      </c>
      <c r="S212" t="n">
        <v>5.151693</v>
      </c>
      <c r="T212" t="n">
        <v>5.151693</v>
      </c>
      <c r="U212" t="n">
        <v>3.42724</v>
      </c>
      <c r="V212" t="n">
        <v>3.42724</v>
      </c>
      <c r="W212" t="n">
        <v>5.382228</v>
      </c>
      <c r="X212" t="n">
        <v>92.561423</v>
      </c>
      <c r="Z212" t="n">
        <v>8.611278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H213" t="n">
        <v>97471692.843897</v>
      </c>
      <c r="I213" t="n">
        <v>22014.382452</v>
      </c>
      <c r="J213" t="n">
        <v>22231.430218</v>
      </c>
      <c r="K213" t="n">
        <v>10306.364543</v>
      </c>
      <c r="L213" t="n">
        <v>47447.371867</v>
      </c>
      <c r="M213" t="n">
        <v>32772.930566</v>
      </c>
      <c r="N213" t="n">
        <v>32772.930566</v>
      </c>
      <c r="O213" t="n">
        <v>71.882007</v>
      </c>
      <c r="P213" t="n">
        <v>30.788806</v>
      </c>
      <c r="Q213" t="n">
        <v>32772.930566</v>
      </c>
      <c r="R213" t="n">
        <v>32772.930566</v>
      </c>
      <c r="S213" t="n">
        <v>71.882007</v>
      </c>
      <c r="T213" t="n">
        <v>71.882007</v>
      </c>
      <c r="U213" t="n">
        <v>30.788806</v>
      </c>
      <c r="V213" t="n">
        <v>30.788806</v>
      </c>
      <c r="W213" t="n">
        <v>75.96293799999999</v>
      </c>
      <c r="X213" t="n">
        <v>35173.815829</v>
      </c>
      <c r="Z213" t="n">
        <v>297.776302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H214" t="n">
        <v>40975539.813113</v>
      </c>
      <c r="I214" t="n">
        <v>2895.31657</v>
      </c>
      <c r="J214" t="n">
        <v>3100.990647</v>
      </c>
      <c r="K214" t="n">
        <v>1221.259727</v>
      </c>
      <c r="L214" t="n">
        <v>6846.4367</v>
      </c>
      <c r="M214" t="n">
        <v>4683.836246</v>
      </c>
      <c r="N214" t="n">
        <v>4683.836246</v>
      </c>
      <c r="O214" t="n">
        <v>33.070685</v>
      </c>
      <c r="P214" t="n">
        <v>15.260526</v>
      </c>
      <c r="Q214" t="n">
        <v>4683.836246</v>
      </c>
      <c r="R214" t="n">
        <v>4683.836246</v>
      </c>
      <c r="S214" t="n">
        <v>33.070685</v>
      </c>
      <c r="T214" t="n">
        <v>33.070685</v>
      </c>
      <c r="U214" t="n">
        <v>15.260526</v>
      </c>
      <c r="V214" t="n">
        <v>15.260526</v>
      </c>
      <c r="W214" t="n">
        <v>34.564338</v>
      </c>
      <c r="X214" t="n">
        <v>5045.299884</v>
      </c>
      <c r="Z214" t="n">
        <v>123.6742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H215" t="n">
        <v>66499585.166222</v>
      </c>
      <c r="I215" t="n">
        <v>4469.123499</v>
      </c>
      <c r="J215" t="n">
        <v>4793.322749</v>
      </c>
      <c r="K215" t="n">
        <v>1747.151432</v>
      </c>
      <c r="L215" t="n">
        <v>10677.999207</v>
      </c>
      <c r="M215" t="n">
        <v>7305.602239</v>
      </c>
      <c r="N215" t="n">
        <v>7305.602239</v>
      </c>
      <c r="O215" t="n">
        <v>41.400447</v>
      </c>
      <c r="P215" t="n">
        <v>18.192821</v>
      </c>
      <c r="Q215" t="n">
        <v>7305.602239</v>
      </c>
      <c r="R215" t="n">
        <v>7305.602239</v>
      </c>
      <c r="S215" t="n">
        <v>41.400447</v>
      </c>
      <c r="T215" t="n">
        <v>41.400447</v>
      </c>
      <c r="U215" t="n">
        <v>18.192821</v>
      </c>
      <c r="V215" t="n">
        <v>18.192821</v>
      </c>
      <c r="W215" t="n">
        <v>43.295832</v>
      </c>
      <c r="X215" t="n">
        <v>7878.655066</v>
      </c>
      <c r="Z215" t="n">
        <v>171.758301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H216" t="n">
        <v>1993.394013</v>
      </c>
      <c r="I216" t="n">
        <v>277.068801</v>
      </c>
      <c r="J216" t="n">
        <v>277.068801</v>
      </c>
      <c r="K216" t="n">
        <v>263.215361</v>
      </c>
      <c r="L216" t="n">
        <v>393.787233</v>
      </c>
      <c r="M216" t="n">
        <v>277.168933</v>
      </c>
      <c r="N216" t="n">
        <v>277.168933</v>
      </c>
      <c r="O216" t="n">
        <v>14.521402</v>
      </c>
      <c r="P216" t="n">
        <v>9.426283</v>
      </c>
      <c r="Q216" t="n">
        <v>277.168933</v>
      </c>
      <c r="R216" t="n">
        <v>277.168933</v>
      </c>
      <c r="S216" t="n">
        <v>14.521402</v>
      </c>
      <c r="T216" t="n">
        <v>14.521402</v>
      </c>
      <c r="U216" t="n">
        <v>9.426283</v>
      </c>
      <c r="V216" t="n">
        <v>9.426283</v>
      </c>
      <c r="W216" t="n">
        <v>15.223157</v>
      </c>
      <c r="X216" t="n">
        <v>285.614997</v>
      </c>
      <c r="Z216" t="n">
        <v>31.193085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H217" t="n">
        <v>14879959.242488</v>
      </c>
      <c r="I217" t="n">
        <v>4341.841291</v>
      </c>
      <c r="J217" t="n">
        <v>4398.007385</v>
      </c>
      <c r="K217" t="n">
        <v>1301.694746</v>
      </c>
      <c r="L217" t="n">
        <v>7112.982475</v>
      </c>
      <c r="M217" t="n">
        <v>4967.292392</v>
      </c>
      <c r="N217" t="n">
        <v>4967.292392</v>
      </c>
      <c r="O217" t="n">
        <v>58.311114</v>
      </c>
      <c r="P217" t="n">
        <v>31.032685</v>
      </c>
      <c r="Q217" t="n">
        <v>4967.292392</v>
      </c>
      <c r="R217" t="n">
        <v>4967.292392</v>
      </c>
      <c r="S217" t="n">
        <v>58.311114</v>
      </c>
      <c r="T217" t="n">
        <v>58.311114</v>
      </c>
      <c r="U217" t="n">
        <v>31.032685</v>
      </c>
      <c r="V217" t="n">
        <v>31.032685</v>
      </c>
      <c r="W217" t="n">
        <v>61.724923</v>
      </c>
      <c r="X217" t="n">
        <v>5208.68705</v>
      </c>
      <c r="Z217" t="n">
        <v>132.574913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H218" t="n">
        <v>14879959.242488</v>
      </c>
      <c r="I218" t="n">
        <v>4341.841291</v>
      </c>
      <c r="J218" t="n">
        <v>4398.007385</v>
      </c>
      <c r="K218" t="n">
        <v>1301.694746</v>
      </c>
      <c r="L218" t="n">
        <v>7112.982475</v>
      </c>
      <c r="M218" t="n">
        <v>4967.292392</v>
      </c>
      <c r="N218" t="n">
        <v>4967.292392</v>
      </c>
      <c r="O218" t="n">
        <v>58.311114</v>
      </c>
      <c r="P218" t="n">
        <v>31.032685</v>
      </c>
      <c r="Q218" t="n">
        <v>4967.292392</v>
      </c>
      <c r="R218" t="n">
        <v>4967.292392</v>
      </c>
      <c r="S218" t="n">
        <v>58.311114</v>
      </c>
      <c r="T218" t="n">
        <v>58.311114</v>
      </c>
      <c r="U218" t="n">
        <v>31.032685</v>
      </c>
      <c r="V218" t="n">
        <v>31.032685</v>
      </c>
      <c r="W218" t="n">
        <v>61.724923</v>
      </c>
      <c r="X218" t="n">
        <v>5208.68705</v>
      </c>
      <c r="Z218" t="n">
        <v>132.574913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H219" t="n">
        <v>284212.520683</v>
      </c>
      <c r="I219" t="n">
        <v>386.298429</v>
      </c>
      <c r="J219" t="n">
        <v>403.015522</v>
      </c>
      <c r="K219" t="n">
        <v>382.864746</v>
      </c>
      <c r="L219" t="n">
        <v>738.02552</v>
      </c>
      <c r="M219" t="n">
        <v>504.12505</v>
      </c>
      <c r="N219" t="n">
        <v>504.12505</v>
      </c>
      <c r="O219" t="n">
        <v>19.791087</v>
      </c>
      <c r="P219" t="n">
        <v>10.585758</v>
      </c>
      <c r="Q219" t="n">
        <v>504.12505</v>
      </c>
      <c r="R219" t="n">
        <v>504.12505</v>
      </c>
      <c r="S219" t="n">
        <v>19.791087</v>
      </c>
      <c r="T219" t="n">
        <v>19.791087</v>
      </c>
      <c r="U219" t="n">
        <v>10.585758</v>
      </c>
      <c r="V219" t="n">
        <v>10.585758</v>
      </c>
      <c r="W219" t="n">
        <v>20.644284</v>
      </c>
      <c r="X219" t="n">
        <v>528.265792</v>
      </c>
      <c r="Z219" t="n">
        <v>47.016842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H220" t="n">
        <v>14879959.242488</v>
      </c>
      <c r="I220" t="n">
        <v>4341.841291</v>
      </c>
      <c r="J220" t="n">
        <v>4398.007385</v>
      </c>
      <c r="K220" t="n">
        <v>1301.694746</v>
      </c>
      <c r="L220" t="n">
        <v>7112.982475</v>
      </c>
      <c r="M220" t="n">
        <v>4967.292392</v>
      </c>
      <c r="N220" t="n">
        <v>4967.292392</v>
      </c>
      <c r="O220" t="n">
        <v>58.311114</v>
      </c>
      <c r="P220" t="n">
        <v>31.032685</v>
      </c>
      <c r="Q220" t="n">
        <v>4967.292392</v>
      </c>
      <c r="R220" t="n">
        <v>4967.292392</v>
      </c>
      <c r="S220" t="n">
        <v>58.311114</v>
      </c>
      <c r="T220" t="n">
        <v>58.311114</v>
      </c>
      <c r="U220" t="n">
        <v>31.032685</v>
      </c>
      <c r="V220" t="n">
        <v>31.032685</v>
      </c>
      <c r="W220" t="n">
        <v>61.724923</v>
      </c>
      <c r="X220" t="n">
        <v>5208.68705</v>
      </c>
      <c r="Z220" t="n">
        <v>132.574913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H221" t="n">
        <v>14879959.242488</v>
      </c>
      <c r="I221" t="n">
        <v>4341.841291</v>
      </c>
      <c r="J221" t="n">
        <v>4398.007385</v>
      </c>
      <c r="K221" t="n">
        <v>1301.694746</v>
      </c>
      <c r="L221" t="n">
        <v>7112.982475</v>
      </c>
      <c r="M221" t="n">
        <v>4967.292392</v>
      </c>
      <c r="N221" t="n">
        <v>4967.292392</v>
      </c>
      <c r="O221" t="n">
        <v>58.311114</v>
      </c>
      <c r="P221" t="n">
        <v>31.032685</v>
      </c>
      <c r="Q221" t="n">
        <v>4967.292392</v>
      </c>
      <c r="R221" t="n">
        <v>4967.292392</v>
      </c>
      <c r="S221" t="n">
        <v>58.311114</v>
      </c>
      <c r="T221" t="n">
        <v>58.311114</v>
      </c>
      <c r="U221" t="n">
        <v>31.032685</v>
      </c>
      <c r="V221" t="n">
        <v>31.032685</v>
      </c>
      <c r="W221" t="n">
        <v>61.724923</v>
      </c>
      <c r="X221" t="n">
        <v>5208.68705</v>
      </c>
      <c r="Z221" t="n">
        <v>132.574913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H222" t="n">
        <v>66499585.166222</v>
      </c>
      <c r="I222" t="n">
        <v>4469.123499</v>
      </c>
      <c r="J222" t="n">
        <v>4793.322749</v>
      </c>
      <c r="K222" t="n">
        <v>1747.151432</v>
      </c>
      <c r="L222" t="n">
        <v>10677.999207</v>
      </c>
      <c r="M222" t="n">
        <v>7305.602239</v>
      </c>
      <c r="N222" t="n">
        <v>7305.602239</v>
      </c>
      <c r="O222" t="n">
        <v>41.400447</v>
      </c>
      <c r="P222" t="n">
        <v>18.192821</v>
      </c>
      <c r="Q222" t="n">
        <v>7305.602239</v>
      </c>
      <c r="R222" t="n">
        <v>7305.602239</v>
      </c>
      <c r="S222" t="n">
        <v>41.400447</v>
      </c>
      <c r="T222" t="n">
        <v>41.400447</v>
      </c>
      <c r="U222" t="n">
        <v>18.192821</v>
      </c>
      <c r="V222" t="n">
        <v>18.192821</v>
      </c>
      <c r="W222" t="n">
        <v>43.295832</v>
      </c>
      <c r="X222" t="n">
        <v>7878.655066</v>
      </c>
      <c r="Z222" t="n">
        <v>171.758301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H223" t="n">
        <v>66499585.166222</v>
      </c>
      <c r="I223" t="n">
        <v>4469.123499</v>
      </c>
      <c r="J223" t="n">
        <v>4793.322749</v>
      </c>
      <c r="K223" t="n">
        <v>1747.151432</v>
      </c>
      <c r="L223" t="n">
        <v>10677.999207</v>
      </c>
      <c r="M223" t="n">
        <v>7305.602239</v>
      </c>
      <c r="N223" t="n">
        <v>7305.602239</v>
      </c>
      <c r="O223" t="n">
        <v>41.400447</v>
      </c>
      <c r="P223" t="n">
        <v>18.192821</v>
      </c>
      <c r="Q223" t="n">
        <v>7305.602239</v>
      </c>
      <c r="R223" t="n">
        <v>7305.602239</v>
      </c>
      <c r="S223" t="n">
        <v>41.400447</v>
      </c>
      <c r="T223" t="n">
        <v>41.400447</v>
      </c>
      <c r="U223" t="n">
        <v>18.192821</v>
      </c>
      <c r="V223" t="n">
        <v>18.192821</v>
      </c>
      <c r="W223" t="n">
        <v>43.295832</v>
      </c>
      <c r="X223" t="n">
        <v>7878.655066</v>
      </c>
      <c r="Z223" t="n">
        <v>171.758301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H224" t="n">
        <v>66499585.166222</v>
      </c>
      <c r="I224" t="n">
        <v>4469.123499</v>
      </c>
      <c r="J224" t="n">
        <v>4793.322749</v>
      </c>
      <c r="K224" t="n">
        <v>1747.151432</v>
      </c>
      <c r="L224" t="n">
        <v>10677.999207</v>
      </c>
      <c r="M224" t="n">
        <v>7305.602239</v>
      </c>
      <c r="N224" t="n">
        <v>7305.602239</v>
      </c>
      <c r="O224" t="n">
        <v>41.400447</v>
      </c>
      <c r="P224" t="n">
        <v>18.192821</v>
      </c>
      <c r="Q224" t="n">
        <v>7305.602239</v>
      </c>
      <c r="R224" t="n">
        <v>7305.602239</v>
      </c>
      <c r="S224" t="n">
        <v>41.400447</v>
      </c>
      <c r="T224" t="n">
        <v>41.400447</v>
      </c>
      <c r="U224" t="n">
        <v>18.192821</v>
      </c>
      <c r="V224" t="n">
        <v>18.192821</v>
      </c>
      <c r="W224" t="n">
        <v>43.295832</v>
      </c>
      <c r="X224" t="n">
        <v>7878.655066</v>
      </c>
      <c r="Z224" t="n">
        <v>171.758301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H225" t="n">
        <v>426.216492</v>
      </c>
      <c r="I225" t="n">
        <v>88.674335</v>
      </c>
      <c r="J225" t="n">
        <v>88.674335</v>
      </c>
      <c r="K225" t="n">
        <v>84.240618</v>
      </c>
      <c r="L225" t="n">
        <v>130.894857</v>
      </c>
      <c r="M225" t="n">
        <v>88.674335</v>
      </c>
      <c r="N225" t="n">
        <v>88.674335</v>
      </c>
      <c r="O225" t="n">
        <v>5.151693</v>
      </c>
      <c r="P225" t="n">
        <v>3.42724</v>
      </c>
      <c r="Q225" t="n">
        <v>88.674335</v>
      </c>
      <c r="R225" t="n">
        <v>88.674335</v>
      </c>
      <c r="S225" t="n">
        <v>5.151693</v>
      </c>
      <c r="T225" t="n">
        <v>5.151693</v>
      </c>
      <c r="U225" t="n">
        <v>3.42724</v>
      </c>
      <c r="V225" t="n">
        <v>3.42724</v>
      </c>
      <c r="W225" t="n">
        <v>5.382228</v>
      </c>
      <c r="X225" t="n">
        <v>92.561423</v>
      </c>
      <c r="Z225" t="n">
        <v>8.611278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H226" t="n">
        <v>1993.394013</v>
      </c>
      <c r="I226" t="n">
        <v>277.068801</v>
      </c>
      <c r="J226" t="n">
        <v>277.068801</v>
      </c>
      <c r="K226" t="n">
        <v>263.215361</v>
      </c>
      <c r="L226" t="n">
        <v>393.787233</v>
      </c>
      <c r="M226" t="n">
        <v>277.168933</v>
      </c>
      <c r="N226" t="n">
        <v>277.168933</v>
      </c>
      <c r="O226" t="n">
        <v>14.521402</v>
      </c>
      <c r="P226" t="n">
        <v>9.426283</v>
      </c>
      <c r="Q226" t="n">
        <v>277.168933</v>
      </c>
      <c r="R226" t="n">
        <v>277.168933</v>
      </c>
      <c r="S226" t="n">
        <v>14.521402</v>
      </c>
      <c r="T226" t="n">
        <v>14.521402</v>
      </c>
      <c r="U226" t="n">
        <v>9.426283</v>
      </c>
      <c r="V226" t="n">
        <v>9.426283</v>
      </c>
      <c r="W226" t="n">
        <v>15.223157</v>
      </c>
      <c r="X226" t="n">
        <v>285.614997</v>
      </c>
      <c r="Z226" t="n">
        <v>31.193085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H227" t="n">
        <v>14879959.242488</v>
      </c>
      <c r="I227" t="n">
        <v>4341.841291</v>
      </c>
      <c r="J227" t="n">
        <v>4398.007385</v>
      </c>
      <c r="K227" t="n">
        <v>1301.694746</v>
      </c>
      <c r="L227" t="n">
        <v>7112.982475</v>
      </c>
      <c r="M227" t="n">
        <v>4967.292392</v>
      </c>
      <c r="N227" t="n">
        <v>4967.292392</v>
      </c>
      <c r="O227" t="n">
        <v>58.311114</v>
      </c>
      <c r="P227" t="n">
        <v>31.032685</v>
      </c>
      <c r="Q227" t="n">
        <v>4967.292392</v>
      </c>
      <c r="R227" t="n">
        <v>4967.292392</v>
      </c>
      <c r="S227" t="n">
        <v>58.311114</v>
      </c>
      <c r="T227" t="n">
        <v>58.311114</v>
      </c>
      <c r="U227" t="n">
        <v>31.032685</v>
      </c>
      <c r="V227" t="n">
        <v>31.032685</v>
      </c>
      <c r="W227" t="n">
        <v>61.724923</v>
      </c>
      <c r="X227" t="n">
        <v>5208.68705</v>
      </c>
      <c r="Z227" t="n">
        <v>132.574913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H228" t="n">
        <v>66499585.166222</v>
      </c>
      <c r="I228" t="n">
        <v>4469.123499</v>
      </c>
      <c r="J228" t="n">
        <v>4793.322749</v>
      </c>
      <c r="K228" t="n">
        <v>1747.151432</v>
      </c>
      <c r="L228" t="n">
        <v>10677.999207</v>
      </c>
      <c r="M228" t="n">
        <v>7305.602239</v>
      </c>
      <c r="N228" t="n">
        <v>7305.602239</v>
      </c>
      <c r="O228" t="n">
        <v>41.400447</v>
      </c>
      <c r="P228" t="n">
        <v>18.192821</v>
      </c>
      <c r="Q228" t="n">
        <v>7305.602239</v>
      </c>
      <c r="R228" t="n">
        <v>7305.602239</v>
      </c>
      <c r="S228" t="n">
        <v>41.400447</v>
      </c>
      <c r="T228" t="n">
        <v>41.400447</v>
      </c>
      <c r="U228" t="n">
        <v>18.192821</v>
      </c>
      <c r="V228" t="n">
        <v>18.192821</v>
      </c>
      <c r="W228" t="n">
        <v>43.295832</v>
      </c>
      <c r="X228" t="n">
        <v>7878.655066</v>
      </c>
      <c r="Z228" t="n">
        <v>171.758301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H229" t="n">
        <v>10541.431348</v>
      </c>
      <c r="I229" t="n">
        <v>418.593928</v>
      </c>
      <c r="J229" t="n">
        <v>418.593928</v>
      </c>
      <c r="K229" t="n">
        <v>166.600383</v>
      </c>
      <c r="L229" t="n">
        <v>1080.992157</v>
      </c>
      <c r="M229" t="n">
        <v>753.402512</v>
      </c>
      <c r="N229" t="n">
        <v>753.402512</v>
      </c>
      <c r="O229" t="n">
        <v>10.622481</v>
      </c>
      <c r="P229" t="n">
        <v>5.780752</v>
      </c>
      <c r="Q229" t="n">
        <v>753.402512</v>
      </c>
      <c r="R229" t="n">
        <v>753.402512</v>
      </c>
      <c r="S229" t="n">
        <v>10.622481</v>
      </c>
      <c r="T229" t="n">
        <v>10.622481</v>
      </c>
      <c r="U229" t="n">
        <v>5.780752</v>
      </c>
      <c r="V229" t="n">
        <v>5.780752</v>
      </c>
      <c r="W229" t="n">
        <v>11.036237</v>
      </c>
      <c r="X229" t="n">
        <v>791.2975750000001</v>
      </c>
      <c r="Z229" t="n">
        <v>23.932868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H230" t="n">
        <v>18724.860706</v>
      </c>
      <c r="I230" t="n">
        <v>98.72009199999999</v>
      </c>
      <c r="J230" t="n">
        <v>98.72009199999999</v>
      </c>
      <c r="K230" t="n">
        <v>93.784087</v>
      </c>
      <c r="L230" t="n">
        <v>173.938876</v>
      </c>
      <c r="M230" t="n">
        <v>115.203607</v>
      </c>
      <c r="N230" t="n">
        <v>115.203607</v>
      </c>
      <c r="O230" t="n">
        <v>4.263184</v>
      </c>
      <c r="P230" t="n">
        <v>2.411197</v>
      </c>
      <c r="Q230" t="n">
        <v>115.203607</v>
      </c>
      <c r="R230" t="n">
        <v>115.203607</v>
      </c>
      <c r="S230" t="n">
        <v>4.263184</v>
      </c>
      <c r="T230" t="n">
        <v>4.263184</v>
      </c>
      <c r="U230" t="n">
        <v>2.411197</v>
      </c>
      <c r="V230" t="n">
        <v>2.411197</v>
      </c>
      <c r="W230" t="n">
        <v>4.428691</v>
      </c>
      <c r="X230" t="n">
        <v>122.757859</v>
      </c>
      <c r="Z230" t="n">
        <v>14.767218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H231" t="n">
        <v>842.727401</v>
      </c>
      <c r="I231" t="n">
        <v>57.395403</v>
      </c>
      <c r="J231" t="n">
        <v>57.395403</v>
      </c>
      <c r="K231" t="n">
        <v>21.98244</v>
      </c>
      <c r="L231" t="n">
        <v>92.59366</v>
      </c>
      <c r="M231" t="n">
        <v>61.118924</v>
      </c>
      <c r="N231" t="n">
        <v>61.118924</v>
      </c>
      <c r="O231" t="n">
        <v>1.571536</v>
      </c>
      <c r="P231" t="n">
        <v>1.01605</v>
      </c>
      <c r="Q231" t="n">
        <v>61.118924</v>
      </c>
      <c r="R231" t="n">
        <v>61.118924</v>
      </c>
      <c r="S231" t="n">
        <v>1.571536</v>
      </c>
      <c r="T231" t="n">
        <v>1.571536</v>
      </c>
      <c r="U231" t="n">
        <v>1.01605</v>
      </c>
      <c r="V231" t="n">
        <v>1.01605</v>
      </c>
      <c r="W231" t="n">
        <v>1.626148</v>
      </c>
      <c r="X231" t="n">
        <v>63.787046</v>
      </c>
      <c r="Z231" t="n">
        <v>5.312721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H232" t="n">
        <v>97471692.843897</v>
      </c>
      <c r="I232" t="n">
        <v>22014.382452</v>
      </c>
      <c r="J232" t="n">
        <v>22231.430218</v>
      </c>
      <c r="K232" t="n">
        <v>10306.364543</v>
      </c>
      <c r="L232" t="n">
        <v>47447.371867</v>
      </c>
      <c r="M232" t="n">
        <v>32772.930566</v>
      </c>
      <c r="N232" t="n">
        <v>32772.930566</v>
      </c>
      <c r="O232" t="n">
        <v>71.882007</v>
      </c>
      <c r="P232" t="n">
        <v>30.788806</v>
      </c>
      <c r="Q232" t="n">
        <v>32772.930566</v>
      </c>
      <c r="R232" t="n">
        <v>32772.930566</v>
      </c>
      <c r="S232" t="n">
        <v>71.882007</v>
      </c>
      <c r="T232" t="n">
        <v>71.882007</v>
      </c>
      <c r="U232" t="n">
        <v>30.788806</v>
      </c>
      <c r="V232" t="n">
        <v>30.788806</v>
      </c>
      <c r="W232" t="n">
        <v>75.96293799999999</v>
      </c>
      <c r="X232" t="n">
        <v>35173.815829</v>
      </c>
      <c r="Z232" t="n">
        <v>297.776302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H234" t="n">
        <v>14879959.242488</v>
      </c>
      <c r="I234" t="n">
        <v>4341.841291</v>
      </c>
      <c r="J234" t="n">
        <v>4398.007385</v>
      </c>
      <c r="K234" t="n">
        <v>1301.694746</v>
      </c>
      <c r="L234" t="n">
        <v>7112.982475</v>
      </c>
      <c r="M234" t="n">
        <v>4967.292392</v>
      </c>
      <c r="N234" t="n">
        <v>4967.292392</v>
      </c>
      <c r="O234" t="n">
        <v>58.311114</v>
      </c>
      <c r="P234" t="n">
        <v>31.032685</v>
      </c>
      <c r="Q234" t="n">
        <v>4967.292392</v>
      </c>
      <c r="R234" t="n">
        <v>4967.292392</v>
      </c>
      <c r="S234" t="n">
        <v>58.311114</v>
      </c>
      <c r="T234" t="n">
        <v>58.311114</v>
      </c>
      <c r="U234" t="n">
        <v>31.032685</v>
      </c>
      <c r="V234" t="n">
        <v>31.032685</v>
      </c>
      <c r="W234" t="n">
        <v>61.724923</v>
      </c>
      <c r="X234" t="n">
        <v>5208.68705</v>
      </c>
      <c r="Z234" t="n">
        <v>132.574913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H235" t="n">
        <v>1680573.295471</v>
      </c>
      <c r="I235" t="n">
        <v>2351.601599</v>
      </c>
      <c r="J235" t="n">
        <v>2551.708963</v>
      </c>
      <c r="K235" t="n">
        <v>1196.751504</v>
      </c>
      <c r="L235" t="n">
        <v>4710.704014</v>
      </c>
      <c r="M235" t="n">
        <v>3197.137719</v>
      </c>
      <c r="N235" t="n">
        <v>3197.137719</v>
      </c>
      <c r="O235" t="n">
        <v>47.386821</v>
      </c>
      <c r="P235" t="n">
        <v>22.758425</v>
      </c>
      <c r="Q235" t="n">
        <v>3197.137719</v>
      </c>
      <c r="R235" t="n">
        <v>3197.137719</v>
      </c>
      <c r="S235" t="n">
        <v>47.386821</v>
      </c>
      <c r="T235" t="n">
        <v>47.386821</v>
      </c>
      <c r="U235" t="n">
        <v>22.758425</v>
      </c>
      <c r="V235" t="n">
        <v>22.758425</v>
      </c>
      <c r="W235" t="n">
        <v>49.846385</v>
      </c>
      <c r="X235" t="n">
        <v>3474.67582</v>
      </c>
      <c r="Z235" t="n">
        <v>73.813157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H236" t="n">
        <v>40975539.813113</v>
      </c>
      <c r="I236" t="n">
        <v>2895.31657</v>
      </c>
      <c r="J236" t="n">
        <v>3100.990647</v>
      </c>
      <c r="K236" t="n">
        <v>1221.259727</v>
      </c>
      <c r="L236" t="n">
        <v>6846.4367</v>
      </c>
      <c r="M236" t="n">
        <v>4683.836246</v>
      </c>
      <c r="N236" t="n">
        <v>4683.836246</v>
      </c>
      <c r="O236" t="n">
        <v>33.070685</v>
      </c>
      <c r="P236" t="n">
        <v>15.260526</v>
      </c>
      <c r="Q236" t="n">
        <v>4683.836246</v>
      </c>
      <c r="R236" t="n">
        <v>4683.836246</v>
      </c>
      <c r="S236" t="n">
        <v>33.070685</v>
      </c>
      <c r="T236" t="n">
        <v>33.070685</v>
      </c>
      <c r="U236" t="n">
        <v>15.260526</v>
      </c>
      <c r="V236" t="n">
        <v>15.260526</v>
      </c>
      <c r="W236" t="n">
        <v>34.564338</v>
      </c>
      <c r="X236" t="n">
        <v>5045.299884</v>
      </c>
      <c r="Z236" t="n">
        <v>123.6742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H237" t="n">
        <v>32593.399706</v>
      </c>
      <c r="I237" t="n">
        <v>356.10635</v>
      </c>
      <c r="J237" t="n">
        <v>384.755747</v>
      </c>
      <c r="K237" t="n">
        <v>365.51796</v>
      </c>
      <c r="L237" t="n">
        <v>602.712303</v>
      </c>
      <c r="M237" t="n">
        <v>421.28566</v>
      </c>
      <c r="N237" t="n">
        <v>421.28566</v>
      </c>
      <c r="O237" t="n">
        <v>20.384878</v>
      </c>
      <c r="P237" t="n">
        <v>12.067619</v>
      </c>
      <c r="Q237" t="n">
        <v>421.28566</v>
      </c>
      <c r="R237" t="n">
        <v>421.28566</v>
      </c>
      <c r="S237" t="n">
        <v>20.384878</v>
      </c>
      <c r="T237" t="n">
        <v>20.384878</v>
      </c>
      <c r="U237" t="n">
        <v>12.067619</v>
      </c>
      <c r="V237" t="n">
        <v>12.067619</v>
      </c>
      <c r="W237" t="n">
        <v>20.990919</v>
      </c>
      <c r="X237" t="n">
        <v>434.828134</v>
      </c>
      <c r="Z237" t="n">
        <v>44.708144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H238" t="n">
        <v>66499585.166222</v>
      </c>
      <c r="I238" t="n">
        <v>4469.123499</v>
      </c>
      <c r="J238" t="n">
        <v>4793.322749</v>
      </c>
      <c r="K238" t="n">
        <v>1747.151432</v>
      </c>
      <c r="L238" t="n">
        <v>10677.999207</v>
      </c>
      <c r="M238" t="n">
        <v>7305.602239</v>
      </c>
      <c r="N238" t="n">
        <v>7305.602239</v>
      </c>
      <c r="O238" t="n">
        <v>41.400447</v>
      </c>
      <c r="P238" t="n">
        <v>18.192821</v>
      </c>
      <c r="Q238" t="n">
        <v>7305.602239</v>
      </c>
      <c r="R238" t="n">
        <v>7305.602239</v>
      </c>
      <c r="S238" t="n">
        <v>41.400447</v>
      </c>
      <c r="T238" t="n">
        <v>41.400447</v>
      </c>
      <c r="U238" t="n">
        <v>18.192821</v>
      </c>
      <c r="V238" t="n">
        <v>18.192821</v>
      </c>
      <c r="W238" t="n">
        <v>43.295832</v>
      </c>
      <c r="X238" t="n">
        <v>7878.655066</v>
      </c>
      <c r="Z238" t="n">
        <v>171.758301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H239" t="n">
        <v>14879959.242488</v>
      </c>
      <c r="I239" t="n">
        <v>4341.841291</v>
      </c>
      <c r="J239" t="n">
        <v>4398.007385</v>
      </c>
      <c r="K239" t="n">
        <v>1301.694746</v>
      </c>
      <c r="L239" t="n">
        <v>7112.982475</v>
      </c>
      <c r="M239" t="n">
        <v>4967.292392</v>
      </c>
      <c r="N239" t="n">
        <v>4967.292392</v>
      </c>
      <c r="O239" t="n">
        <v>58.311114</v>
      </c>
      <c r="P239" t="n">
        <v>31.032685</v>
      </c>
      <c r="Q239" t="n">
        <v>4967.292392</v>
      </c>
      <c r="R239" t="n">
        <v>4967.292392</v>
      </c>
      <c r="S239" t="n">
        <v>58.311114</v>
      </c>
      <c r="T239" t="n">
        <v>58.311114</v>
      </c>
      <c r="U239" t="n">
        <v>31.032685</v>
      </c>
      <c r="V239" t="n">
        <v>31.032685</v>
      </c>
      <c r="W239" t="n">
        <v>61.724923</v>
      </c>
      <c r="X239" t="n">
        <v>5208.68705</v>
      </c>
      <c r="Z239" t="n">
        <v>132.574913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H240" t="n">
        <v>12597587.109426</v>
      </c>
      <c r="I240" t="n">
        <v>2011.85117</v>
      </c>
      <c r="J240" t="n">
        <v>2069.253476</v>
      </c>
      <c r="K240" t="n">
        <v>1211.061254</v>
      </c>
      <c r="L240" t="n">
        <v>3691.420719</v>
      </c>
      <c r="M240" t="n">
        <v>2544.206248</v>
      </c>
      <c r="N240" t="n">
        <v>2544.206248</v>
      </c>
      <c r="O240" t="n">
        <v>52.008808</v>
      </c>
      <c r="P240" t="n">
        <v>24.402038</v>
      </c>
      <c r="Q240" t="n">
        <v>2544.206248</v>
      </c>
      <c r="R240" t="n">
        <v>2544.206248</v>
      </c>
      <c r="S240" t="n">
        <v>52.008808</v>
      </c>
      <c r="T240" t="n">
        <v>52.008808</v>
      </c>
      <c r="U240" t="n">
        <v>24.402038</v>
      </c>
      <c r="V240" t="n">
        <v>24.402038</v>
      </c>
      <c r="W240" t="n">
        <v>54.568994</v>
      </c>
      <c r="X240" t="n">
        <v>2714.954335</v>
      </c>
      <c r="Z240" t="n">
        <v>182.392954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H241" t="n">
        <v>842.727401</v>
      </c>
      <c r="I241" t="n">
        <v>57.395403</v>
      </c>
      <c r="J241" t="n">
        <v>57.395403</v>
      </c>
      <c r="K241" t="n">
        <v>21.98244</v>
      </c>
      <c r="L241" t="n">
        <v>92.59366</v>
      </c>
      <c r="M241" t="n">
        <v>61.118924</v>
      </c>
      <c r="N241" t="n">
        <v>61.118924</v>
      </c>
      <c r="O241" t="n">
        <v>1.571536</v>
      </c>
      <c r="P241" t="n">
        <v>1.01605</v>
      </c>
      <c r="Q241" t="n">
        <v>61.118924</v>
      </c>
      <c r="R241" t="n">
        <v>61.118924</v>
      </c>
      <c r="S241" t="n">
        <v>1.571536</v>
      </c>
      <c r="T241" t="n">
        <v>1.571536</v>
      </c>
      <c r="U241" t="n">
        <v>1.01605</v>
      </c>
      <c r="V241" t="n">
        <v>1.01605</v>
      </c>
      <c r="W241" t="n">
        <v>1.626148</v>
      </c>
      <c r="X241" t="n">
        <v>63.787046</v>
      </c>
      <c r="Z241" t="n">
        <v>5.312721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H242" t="n">
        <v>14879959.242488</v>
      </c>
      <c r="I242" t="n">
        <v>4341.841291</v>
      </c>
      <c r="J242" t="n">
        <v>4398.007385</v>
      </c>
      <c r="K242" t="n">
        <v>1301.694746</v>
      </c>
      <c r="L242" t="n">
        <v>7112.982475</v>
      </c>
      <c r="M242" t="n">
        <v>4967.292392</v>
      </c>
      <c r="N242" t="n">
        <v>4967.292392</v>
      </c>
      <c r="O242" t="n">
        <v>58.311114</v>
      </c>
      <c r="P242" t="n">
        <v>31.032685</v>
      </c>
      <c r="Q242" t="n">
        <v>4967.292392</v>
      </c>
      <c r="R242" t="n">
        <v>4967.292392</v>
      </c>
      <c r="S242" t="n">
        <v>58.311114</v>
      </c>
      <c r="T242" t="n">
        <v>58.311114</v>
      </c>
      <c r="U242" t="n">
        <v>31.032685</v>
      </c>
      <c r="V242" t="n">
        <v>31.032685</v>
      </c>
      <c r="W242" t="n">
        <v>61.724923</v>
      </c>
      <c r="X242" t="n">
        <v>5208.68705</v>
      </c>
      <c r="Z242" t="n">
        <v>132.574913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H244" t="n">
        <v>842.727401</v>
      </c>
      <c r="I244" t="n">
        <v>57.395403</v>
      </c>
      <c r="J244" t="n">
        <v>57.395403</v>
      </c>
      <c r="K244" t="n">
        <v>21.98244</v>
      </c>
      <c r="L244" t="n">
        <v>92.59366</v>
      </c>
      <c r="M244" t="n">
        <v>61.118924</v>
      </c>
      <c r="N244" t="n">
        <v>61.118924</v>
      </c>
      <c r="O244" t="n">
        <v>1.571536</v>
      </c>
      <c r="P244" t="n">
        <v>1.01605</v>
      </c>
      <c r="Q244" t="n">
        <v>61.118924</v>
      </c>
      <c r="R244" t="n">
        <v>61.118924</v>
      </c>
      <c r="S244" t="n">
        <v>1.571536</v>
      </c>
      <c r="T244" t="n">
        <v>1.571536</v>
      </c>
      <c r="U244" t="n">
        <v>1.01605</v>
      </c>
      <c r="V244" t="n">
        <v>1.01605</v>
      </c>
      <c r="W244" t="n">
        <v>1.626148</v>
      </c>
      <c r="X244" t="n">
        <v>63.787046</v>
      </c>
      <c r="Z244" t="n">
        <v>5.312721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H246" t="n">
        <v>3660005.658411</v>
      </c>
      <c r="I246" t="n">
        <v>1276.465343</v>
      </c>
      <c r="J246" t="n">
        <v>1290.274775</v>
      </c>
      <c r="K246" t="n">
        <v>518.5439699999999</v>
      </c>
      <c r="L246" t="n">
        <v>2045.820774</v>
      </c>
      <c r="M246" t="n">
        <v>1430.319122</v>
      </c>
      <c r="N246" t="n">
        <v>1430.319122</v>
      </c>
      <c r="O246" t="n">
        <v>25.28788</v>
      </c>
      <c r="P246" t="n">
        <v>14.738601</v>
      </c>
      <c r="Q246" t="n">
        <v>1430.319122</v>
      </c>
      <c r="R246" t="n">
        <v>1430.319122</v>
      </c>
      <c r="S246" t="n">
        <v>25.28788</v>
      </c>
      <c r="T246" t="n">
        <v>25.28788</v>
      </c>
      <c r="U246" t="n">
        <v>14.738601</v>
      </c>
      <c r="V246" t="n">
        <v>14.738601</v>
      </c>
      <c r="W246" t="n">
        <v>26.656442</v>
      </c>
      <c r="X246" t="n">
        <v>1496.039737</v>
      </c>
      <c r="Z246" t="n">
        <v>56.119608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H247" t="n">
        <v>1993.394013</v>
      </c>
      <c r="I247" t="n">
        <v>277.068801</v>
      </c>
      <c r="J247" t="n">
        <v>277.068801</v>
      </c>
      <c r="K247" t="n">
        <v>263.215361</v>
      </c>
      <c r="L247" t="n">
        <v>393.787233</v>
      </c>
      <c r="M247" t="n">
        <v>277.168933</v>
      </c>
      <c r="N247" t="n">
        <v>277.168933</v>
      </c>
      <c r="O247" t="n">
        <v>14.521402</v>
      </c>
      <c r="P247" t="n">
        <v>9.426283</v>
      </c>
      <c r="Q247" t="n">
        <v>277.168933</v>
      </c>
      <c r="R247" t="n">
        <v>277.168933</v>
      </c>
      <c r="S247" t="n">
        <v>14.521402</v>
      </c>
      <c r="T247" t="n">
        <v>14.521402</v>
      </c>
      <c r="U247" t="n">
        <v>9.426283</v>
      </c>
      <c r="V247" t="n">
        <v>9.426283</v>
      </c>
      <c r="W247" t="n">
        <v>15.223157</v>
      </c>
      <c r="X247" t="n">
        <v>285.614997</v>
      </c>
      <c r="Z247" t="n">
        <v>31.193085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H248" t="n">
        <v>66499585.166222</v>
      </c>
      <c r="I248" t="n">
        <v>4469.123499</v>
      </c>
      <c r="J248" t="n">
        <v>4793.322749</v>
      </c>
      <c r="K248" t="n">
        <v>1747.151432</v>
      </c>
      <c r="L248" t="n">
        <v>10677.999207</v>
      </c>
      <c r="M248" t="n">
        <v>7305.602239</v>
      </c>
      <c r="N248" t="n">
        <v>7305.602239</v>
      </c>
      <c r="O248" t="n">
        <v>41.400447</v>
      </c>
      <c r="P248" t="n">
        <v>18.192821</v>
      </c>
      <c r="Q248" t="n">
        <v>7305.602239</v>
      </c>
      <c r="R248" t="n">
        <v>7305.602239</v>
      </c>
      <c r="S248" t="n">
        <v>41.400447</v>
      </c>
      <c r="T248" t="n">
        <v>41.400447</v>
      </c>
      <c r="U248" t="n">
        <v>18.192821</v>
      </c>
      <c r="V248" t="n">
        <v>18.192821</v>
      </c>
      <c r="W248" t="n">
        <v>43.295832</v>
      </c>
      <c r="X248" t="n">
        <v>7878.655066</v>
      </c>
      <c r="Z248" t="n">
        <v>171.758301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H249" t="n">
        <v>14879959.242488</v>
      </c>
      <c r="I249" t="n">
        <v>4341.841291</v>
      </c>
      <c r="J249" t="n">
        <v>4398.007385</v>
      </c>
      <c r="K249" t="n">
        <v>1301.694746</v>
      </c>
      <c r="L249" t="n">
        <v>7112.982475</v>
      </c>
      <c r="M249" t="n">
        <v>4967.292392</v>
      </c>
      <c r="N249" t="n">
        <v>4967.292392</v>
      </c>
      <c r="O249" t="n">
        <v>58.311114</v>
      </c>
      <c r="P249" t="n">
        <v>31.032685</v>
      </c>
      <c r="Q249" t="n">
        <v>4967.292392</v>
      </c>
      <c r="R249" t="n">
        <v>4967.292392</v>
      </c>
      <c r="S249" t="n">
        <v>58.311114</v>
      </c>
      <c r="T249" t="n">
        <v>58.311114</v>
      </c>
      <c r="U249" t="n">
        <v>31.032685</v>
      </c>
      <c r="V249" t="n">
        <v>31.032685</v>
      </c>
      <c r="W249" t="n">
        <v>61.724923</v>
      </c>
      <c r="X249" t="n">
        <v>5208.68705</v>
      </c>
      <c r="Z249" t="n">
        <v>132.574913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H250" t="n">
        <v>426.216492</v>
      </c>
      <c r="I250" t="n">
        <v>88.674335</v>
      </c>
      <c r="J250" t="n">
        <v>88.674335</v>
      </c>
      <c r="K250" t="n">
        <v>84.240618</v>
      </c>
      <c r="L250" t="n">
        <v>130.894857</v>
      </c>
      <c r="M250" t="n">
        <v>88.674335</v>
      </c>
      <c r="N250" t="n">
        <v>88.674335</v>
      </c>
      <c r="O250" t="n">
        <v>5.151693</v>
      </c>
      <c r="P250" t="n">
        <v>3.42724</v>
      </c>
      <c r="Q250" t="n">
        <v>88.674335</v>
      </c>
      <c r="R250" t="n">
        <v>88.674335</v>
      </c>
      <c r="S250" t="n">
        <v>5.151693</v>
      </c>
      <c r="T250" t="n">
        <v>5.151693</v>
      </c>
      <c r="U250" t="n">
        <v>3.42724</v>
      </c>
      <c r="V250" t="n">
        <v>3.42724</v>
      </c>
      <c r="W250" t="n">
        <v>5.382228</v>
      </c>
      <c r="X250" t="n">
        <v>92.561423</v>
      </c>
      <c r="Z250" t="n">
        <v>8.611278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H251" t="n">
        <v>3941.73523</v>
      </c>
      <c r="I251" t="n">
        <v>71.47126299999999</v>
      </c>
      <c r="J251" t="n">
        <v>71.47126299999999</v>
      </c>
      <c r="K251" t="n">
        <v>44.598068</v>
      </c>
      <c r="L251" t="n">
        <v>113.463496</v>
      </c>
      <c r="M251" t="n">
        <v>73.744072</v>
      </c>
      <c r="N251" t="n">
        <v>73.744072</v>
      </c>
      <c r="O251" t="n">
        <v>2.758573</v>
      </c>
      <c r="P251" t="n">
        <v>1.846527</v>
      </c>
      <c r="Q251" t="n">
        <v>73.744072</v>
      </c>
      <c r="R251" t="n">
        <v>73.744072</v>
      </c>
      <c r="S251" t="n">
        <v>2.758573</v>
      </c>
      <c r="T251" t="n">
        <v>2.758573</v>
      </c>
      <c r="U251" t="n">
        <v>1.846527</v>
      </c>
      <c r="V251" t="n">
        <v>1.846527</v>
      </c>
      <c r="W251" t="n">
        <v>2.824619</v>
      </c>
      <c r="X251" t="n">
        <v>77.46539799999999</v>
      </c>
      <c r="Z251" t="n">
        <v>6.917933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H253" t="n">
        <v>3941.73523</v>
      </c>
      <c r="I253" t="n">
        <v>71.47126299999999</v>
      </c>
      <c r="J253" t="n">
        <v>71.47126299999999</v>
      </c>
      <c r="K253" t="n">
        <v>44.598068</v>
      </c>
      <c r="L253" t="n">
        <v>113.463496</v>
      </c>
      <c r="M253" t="n">
        <v>73.744072</v>
      </c>
      <c r="N253" t="n">
        <v>73.744072</v>
      </c>
      <c r="O253" t="n">
        <v>2.758573</v>
      </c>
      <c r="P253" t="n">
        <v>1.846527</v>
      </c>
      <c r="Q253" t="n">
        <v>73.744072</v>
      </c>
      <c r="R253" t="n">
        <v>73.744072</v>
      </c>
      <c r="S253" t="n">
        <v>2.758573</v>
      </c>
      <c r="T253" t="n">
        <v>2.758573</v>
      </c>
      <c r="U253" t="n">
        <v>1.846527</v>
      </c>
      <c r="V253" t="n">
        <v>1.846527</v>
      </c>
      <c r="W253" t="n">
        <v>2.824619</v>
      </c>
      <c r="X253" t="n">
        <v>77.46539799999999</v>
      </c>
      <c r="Z253" t="n">
        <v>6.917933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H254" t="n">
        <v>426.216492</v>
      </c>
      <c r="I254" t="n">
        <v>88.674335</v>
      </c>
      <c r="J254" t="n">
        <v>88.674335</v>
      </c>
      <c r="K254" t="n">
        <v>84.240618</v>
      </c>
      <c r="L254" t="n">
        <v>130.894857</v>
      </c>
      <c r="M254" t="n">
        <v>88.674335</v>
      </c>
      <c r="N254" t="n">
        <v>88.674335</v>
      </c>
      <c r="O254" t="n">
        <v>5.151693</v>
      </c>
      <c r="P254" t="n">
        <v>3.42724</v>
      </c>
      <c r="Q254" t="n">
        <v>88.674335</v>
      </c>
      <c r="R254" t="n">
        <v>88.674335</v>
      </c>
      <c r="S254" t="n">
        <v>5.151693</v>
      </c>
      <c r="T254" t="n">
        <v>5.151693</v>
      </c>
      <c r="U254" t="n">
        <v>3.42724</v>
      </c>
      <c r="V254" t="n">
        <v>3.42724</v>
      </c>
      <c r="W254" t="n">
        <v>5.382228</v>
      </c>
      <c r="X254" t="n">
        <v>92.561423</v>
      </c>
      <c r="Z254" t="n">
        <v>8.611278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H255" t="n">
        <v>284212.520683</v>
      </c>
      <c r="I255" t="n">
        <v>386.298429</v>
      </c>
      <c r="J255" t="n">
        <v>403.015522</v>
      </c>
      <c r="K255" t="n">
        <v>382.864746</v>
      </c>
      <c r="L255" t="n">
        <v>738.02552</v>
      </c>
      <c r="M255" t="n">
        <v>504.12505</v>
      </c>
      <c r="N255" t="n">
        <v>504.12505</v>
      </c>
      <c r="O255" t="n">
        <v>19.791087</v>
      </c>
      <c r="P255" t="n">
        <v>10.585758</v>
      </c>
      <c r="Q255" t="n">
        <v>504.12505</v>
      </c>
      <c r="R255" t="n">
        <v>504.12505</v>
      </c>
      <c r="S255" t="n">
        <v>19.791087</v>
      </c>
      <c r="T255" t="n">
        <v>19.791087</v>
      </c>
      <c r="U255" t="n">
        <v>10.585758</v>
      </c>
      <c r="V255" t="n">
        <v>10.585758</v>
      </c>
      <c r="W255" t="n">
        <v>20.644284</v>
      </c>
      <c r="X255" t="n">
        <v>528.265792</v>
      </c>
      <c r="Z255" t="n">
        <v>47.016842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H256" t="n">
        <v>3941.73523</v>
      </c>
      <c r="I256" t="n">
        <v>71.47126299999999</v>
      </c>
      <c r="J256" t="n">
        <v>71.47126299999999</v>
      </c>
      <c r="K256" t="n">
        <v>44.598068</v>
      </c>
      <c r="L256" t="n">
        <v>113.463496</v>
      </c>
      <c r="M256" t="n">
        <v>73.744072</v>
      </c>
      <c r="N256" t="n">
        <v>73.744072</v>
      </c>
      <c r="O256" t="n">
        <v>2.758573</v>
      </c>
      <c r="P256" t="n">
        <v>1.846527</v>
      </c>
      <c r="Q256" t="n">
        <v>73.744072</v>
      </c>
      <c r="R256" t="n">
        <v>73.744072</v>
      </c>
      <c r="S256" t="n">
        <v>2.758573</v>
      </c>
      <c r="T256" t="n">
        <v>2.758573</v>
      </c>
      <c r="U256" t="n">
        <v>1.846527</v>
      </c>
      <c r="V256" t="n">
        <v>1.846527</v>
      </c>
      <c r="W256" t="n">
        <v>2.824619</v>
      </c>
      <c r="X256" t="n">
        <v>77.46539799999999</v>
      </c>
      <c r="Z256" t="n">
        <v>6.917933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H257" t="n">
        <v>66499585.166222</v>
      </c>
      <c r="I257" t="n">
        <v>4469.123499</v>
      </c>
      <c r="J257" t="n">
        <v>4793.322749</v>
      </c>
      <c r="K257" t="n">
        <v>1747.151432</v>
      </c>
      <c r="L257" t="n">
        <v>10677.999207</v>
      </c>
      <c r="M257" t="n">
        <v>7305.602239</v>
      </c>
      <c r="N257" t="n">
        <v>7305.602239</v>
      </c>
      <c r="O257" t="n">
        <v>41.400447</v>
      </c>
      <c r="P257" t="n">
        <v>18.192821</v>
      </c>
      <c r="Q257" t="n">
        <v>7305.602239</v>
      </c>
      <c r="R257" t="n">
        <v>7305.602239</v>
      </c>
      <c r="S257" t="n">
        <v>41.400447</v>
      </c>
      <c r="T257" t="n">
        <v>41.400447</v>
      </c>
      <c r="U257" t="n">
        <v>18.192821</v>
      </c>
      <c r="V257" t="n">
        <v>18.192821</v>
      </c>
      <c r="W257" t="n">
        <v>43.295832</v>
      </c>
      <c r="X257" t="n">
        <v>7878.655066</v>
      </c>
      <c r="Z257" t="n">
        <v>171.758301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H258" t="n">
        <v>252175.379258</v>
      </c>
      <c r="I258" t="n">
        <v>726.768274</v>
      </c>
      <c r="J258" t="n">
        <v>743.903747</v>
      </c>
      <c r="K258" t="n">
        <v>371.951873</v>
      </c>
      <c r="L258" t="n">
        <v>1659.687874</v>
      </c>
      <c r="M258" t="n">
        <v>1154.615618</v>
      </c>
      <c r="N258" t="n">
        <v>1154.615618</v>
      </c>
      <c r="O258" t="n">
        <v>19.267286</v>
      </c>
      <c r="P258" t="n">
        <v>9.928678</v>
      </c>
      <c r="Q258" t="n">
        <v>1154.615618</v>
      </c>
      <c r="R258" t="n">
        <v>1154.615618</v>
      </c>
      <c r="S258" t="n">
        <v>19.267286</v>
      </c>
      <c r="T258" t="n">
        <v>19.267286</v>
      </c>
      <c r="U258" t="n">
        <v>9.928678</v>
      </c>
      <c r="V258" t="n">
        <v>9.928678</v>
      </c>
      <c r="W258" t="n">
        <v>19.883589</v>
      </c>
      <c r="X258" t="n">
        <v>1235.144457</v>
      </c>
      <c r="Z258" t="n">
        <v>97.384973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H259" t="n">
        <v>426.216492</v>
      </c>
      <c r="I259" t="n">
        <v>88.674335</v>
      </c>
      <c r="J259" t="n">
        <v>88.674335</v>
      </c>
      <c r="K259" t="n">
        <v>84.240618</v>
      </c>
      <c r="L259" t="n">
        <v>130.894857</v>
      </c>
      <c r="M259" t="n">
        <v>88.674335</v>
      </c>
      <c r="N259" t="n">
        <v>88.674335</v>
      </c>
      <c r="O259" t="n">
        <v>5.151693</v>
      </c>
      <c r="P259" t="n">
        <v>3.42724</v>
      </c>
      <c r="Q259" t="n">
        <v>88.674335</v>
      </c>
      <c r="R259" t="n">
        <v>88.674335</v>
      </c>
      <c r="S259" t="n">
        <v>5.151693</v>
      </c>
      <c r="T259" t="n">
        <v>5.151693</v>
      </c>
      <c r="U259" t="n">
        <v>3.42724</v>
      </c>
      <c r="V259" t="n">
        <v>3.42724</v>
      </c>
      <c r="W259" t="n">
        <v>5.382228</v>
      </c>
      <c r="X259" t="n">
        <v>92.561423</v>
      </c>
      <c r="Z259" t="n">
        <v>8.611278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H260" t="n">
        <v>14879959.242488</v>
      </c>
      <c r="I260" t="n">
        <v>4341.841291</v>
      </c>
      <c r="J260" t="n">
        <v>4398.007385</v>
      </c>
      <c r="K260" t="n">
        <v>1301.694746</v>
      </c>
      <c r="L260" t="n">
        <v>7112.982475</v>
      </c>
      <c r="M260" t="n">
        <v>4967.292392</v>
      </c>
      <c r="N260" t="n">
        <v>4967.292392</v>
      </c>
      <c r="O260" t="n">
        <v>58.311114</v>
      </c>
      <c r="P260" t="n">
        <v>31.032685</v>
      </c>
      <c r="Q260" t="n">
        <v>4967.292392</v>
      </c>
      <c r="R260" t="n">
        <v>4967.292392</v>
      </c>
      <c r="S260" t="n">
        <v>58.311114</v>
      </c>
      <c r="T260" t="n">
        <v>58.311114</v>
      </c>
      <c r="U260" t="n">
        <v>31.032685</v>
      </c>
      <c r="V260" t="n">
        <v>31.032685</v>
      </c>
      <c r="W260" t="n">
        <v>61.724923</v>
      </c>
      <c r="X260" t="n">
        <v>5208.68705</v>
      </c>
      <c r="Z260" t="n">
        <v>132.574913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H261" t="n">
        <v>66499585.166222</v>
      </c>
      <c r="I261" t="n">
        <v>4469.123499</v>
      </c>
      <c r="J261" t="n">
        <v>4793.322749</v>
      </c>
      <c r="K261" t="n">
        <v>1747.151432</v>
      </c>
      <c r="L261" t="n">
        <v>10677.999207</v>
      </c>
      <c r="M261" t="n">
        <v>7305.602239</v>
      </c>
      <c r="N261" t="n">
        <v>7305.602239</v>
      </c>
      <c r="O261" t="n">
        <v>41.400447</v>
      </c>
      <c r="P261" t="n">
        <v>18.192821</v>
      </c>
      <c r="Q261" t="n">
        <v>7305.602239</v>
      </c>
      <c r="R261" t="n">
        <v>7305.602239</v>
      </c>
      <c r="S261" t="n">
        <v>41.400447</v>
      </c>
      <c r="T261" t="n">
        <v>41.400447</v>
      </c>
      <c r="U261" t="n">
        <v>18.192821</v>
      </c>
      <c r="V261" t="n">
        <v>18.192821</v>
      </c>
      <c r="W261" t="n">
        <v>43.295832</v>
      </c>
      <c r="X261" t="n">
        <v>7878.655066</v>
      </c>
      <c r="Z261" t="n">
        <v>171.758301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H262" t="n">
        <v>28044039.752191</v>
      </c>
      <c r="I262" t="n">
        <v>86321.834013</v>
      </c>
      <c r="J262" t="n">
        <v>87278.99642</v>
      </c>
      <c r="K262" t="n">
        <v>43639.49821</v>
      </c>
      <c r="L262" t="n">
        <v>172174.15174</v>
      </c>
      <c r="M262" t="n">
        <v>119442.301921</v>
      </c>
      <c r="N262" t="n">
        <v>119442.301921</v>
      </c>
      <c r="O262" t="n">
        <v>130.775511</v>
      </c>
      <c r="P262" t="n">
        <v>57.053814</v>
      </c>
      <c r="Q262" t="n">
        <v>119442.301921</v>
      </c>
      <c r="R262" t="n">
        <v>119442.301921</v>
      </c>
      <c r="S262" t="n">
        <v>130.775511</v>
      </c>
      <c r="T262" t="n">
        <v>130.775511</v>
      </c>
      <c r="U262" t="n">
        <v>57.053814</v>
      </c>
      <c r="V262" t="n">
        <v>57.053814</v>
      </c>
      <c r="W262" t="n">
        <v>139.198598</v>
      </c>
      <c r="X262" t="n">
        <v>127625.763444</v>
      </c>
      <c r="Z262" t="n">
        <v>467.2534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H263" t="n">
        <v>426.216492</v>
      </c>
      <c r="I263" t="n">
        <v>88.674335</v>
      </c>
      <c r="J263" t="n">
        <v>88.674335</v>
      </c>
      <c r="K263" t="n">
        <v>84.240618</v>
      </c>
      <c r="L263" t="n">
        <v>130.894857</v>
      </c>
      <c r="M263" t="n">
        <v>88.674335</v>
      </c>
      <c r="N263" t="n">
        <v>88.674335</v>
      </c>
      <c r="O263" t="n">
        <v>5.151693</v>
      </c>
      <c r="P263" t="n">
        <v>3.42724</v>
      </c>
      <c r="Q263" t="n">
        <v>88.674335</v>
      </c>
      <c r="R263" t="n">
        <v>88.674335</v>
      </c>
      <c r="S263" t="n">
        <v>5.151693</v>
      </c>
      <c r="T263" t="n">
        <v>5.151693</v>
      </c>
      <c r="U263" t="n">
        <v>3.42724</v>
      </c>
      <c r="V263" t="n">
        <v>3.42724</v>
      </c>
      <c r="W263" t="n">
        <v>5.382228</v>
      </c>
      <c r="X263" t="n">
        <v>92.561423</v>
      </c>
      <c r="Z263" t="n">
        <v>8.611278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H264" t="n">
        <v>40975539.813113</v>
      </c>
      <c r="I264" t="n">
        <v>2895.31657</v>
      </c>
      <c r="J264" t="n">
        <v>3100.990647</v>
      </c>
      <c r="K264" t="n">
        <v>1221.259727</v>
      </c>
      <c r="L264" t="n">
        <v>6846.4367</v>
      </c>
      <c r="M264" t="n">
        <v>4683.836246</v>
      </c>
      <c r="N264" t="n">
        <v>4683.836246</v>
      </c>
      <c r="O264" t="n">
        <v>33.070685</v>
      </c>
      <c r="P264" t="n">
        <v>15.260526</v>
      </c>
      <c r="Q264" t="n">
        <v>4683.836246</v>
      </c>
      <c r="R264" t="n">
        <v>4683.836246</v>
      </c>
      <c r="S264" t="n">
        <v>33.070685</v>
      </c>
      <c r="T264" t="n">
        <v>33.070685</v>
      </c>
      <c r="U264" t="n">
        <v>15.260526</v>
      </c>
      <c r="V264" t="n">
        <v>15.260526</v>
      </c>
      <c r="W264" t="n">
        <v>34.564338</v>
      </c>
      <c r="X264" t="n">
        <v>5045.299884</v>
      </c>
      <c r="Z264" t="n">
        <v>123.6742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H265" t="n">
        <v>1993.394013</v>
      </c>
      <c r="I265" t="n">
        <v>277.068801</v>
      </c>
      <c r="J265" t="n">
        <v>277.068801</v>
      </c>
      <c r="K265" t="n">
        <v>263.215361</v>
      </c>
      <c r="L265" t="n">
        <v>393.787233</v>
      </c>
      <c r="M265" t="n">
        <v>277.168933</v>
      </c>
      <c r="N265" t="n">
        <v>277.168933</v>
      </c>
      <c r="O265" t="n">
        <v>14.521402</v>
      </c>
      <c r="P265" t="n">
        <v>9.426283</v>
      </c>
      <c r="Q265" t="n">
        <v>277.168933</v>
      </c>
      <c r="R265" t="n">
        <v>277.168933</v>
      </c>
      <c r="S265" t="n">
        <v>14.521402</v>
      </c>
      <c r="T265" t="n">
        <v>14.521402</v>
      </c>
      <c r="U265" t="n">
        <v>9.426283</v>
      </c>
      <c r="V265" t="n">
        <v>9.426283</v>
      </c>
      <c r="W265" t="n">
        <v>15.223157</v>
      </c>
      <c r="X265" t="n">
        <v>285.614997</v>
      </c>
      <c r="Z265" t="n">
        <v>31.193085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H266" t="n">
        <v>842.727401</v>
      </c>
      <c r="I266" t="n">
        <v>57.395403</v>
      </c>
      <c r="J266" t="n">
        <v>57.395403</v>
      </c>
      <c r="K266" t="n">
        <v>21.98244</v>
      </c>
      <c r="L266" t="n">
        <v>92.59366</v>
      </c>
      <c r="M266" t="n">
        <v>61.118924</v>
      </c>
      <c r="N266" t="n">
        <v>61.118924</v>
      </c>
      <c r="O266" t="n">
        <v>1.571536</v>
      </c>
      <c r="P266" t="n">
        <v>1.01605</v>
      </c>
      <c r="Q266" t="n">
        <v>61.118924</v>
      </c>
      <c r="R266" t="n">
        <v>61.118924</v>
      </c>
      <c r="S266" t="n">
        <v>1.571536</v>
      </c>
      <c r="T266" t="n">
        <v>1.571536</v>
      </c>
      <c r="U266" t="n">
        <v>1.01605</v>
      </c>
      <c r="V266" t="n">
        <v>1.01605</v>
      </c>
      <c r="W266" t="n">
        <v>1.626148</v>
      </c>
      <c r="X266" t="n">
        <v>63.787046</v>
      </c>
      <c r="Z266" t="n">
        <v>5.312721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H267" t="n">
        <v>66499585.166222</v>
      </c>
      <c r="I267" t="n">
        <v>4469.123499</v>
      </c>
      <c r="J267" t="n">
        <v>4793.322749</v>
      </c>
      <c r="K267" t="n">
        <v>1747.151432</v>
      </c>
      <c r="L267" t="n">
        <v>10677.999207</v>
      </c>
      <c r="M267" t="n">
        <v>7305.602239</v>
      </c>
      <c r="N267" t="n">
        <v>7305.602239</v>
      </c>
      <c r="O267" t="n">
        <v>41.400447</v>
      </c>
      <c r="P267" t="n">
        <v>18.192821</v>
      </c>
      <c r="Q267" t="n">
        <v>7305.602239</v>
      </c>
      <c r="R267" t="n">
        <v>7305.602239</v>
      </c>
      <c r="S267" t="n">
        <v>41.400447</v>
      </c>
      <c r="T267" t="n">
        <v>41.400447</v>
      </c>
      <c r="U267" t="n">
        <v>18.192821</v>
      </c>
      <c r="V267" t="n">
        <v>18.192821</v>
      </c>
      <c r="W267" t="n">
        <v>43.295832</v>
      </c>
      <c r="X267" t="n">
        <v>7878.655066</v>
      </c>
      <c r="Z267" t="n">
        <v>171.758301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H268" t="n">
        <v>14879959.242488</v>
      </c>
      <c r="I268" t="n">
        <v>4341.841291</v>
      </c>
      <c r="J268" t="n">
        <v>4398.007385</v>
      </c>
      <c r="K268" t="n">
        <v>1301.694746</v>
      </c>
      <c r="L268" t="n">
        <v>7112.982475</v>
      </c>
      <c r="M268" t="n">
        <v>4967.292392</v>
      </c>
      <c r="N268" t="n">
        <v>4967.292392</v>
      </c>
      <c r="O268" t="n">
        <v>58.311114</v>
      </c>
      <c r="P268" t="n">
        <v>31.032685</v>
      </c>
      <c r="Q268" t="n">
        <v>4967.292392</v>
      </c>
      <c r="R268" t="n">
        <v>4967.292392</v>
      </c>
      <c r="S268" t="n">
        <v>58.311114</v>
      </c>
      <c r="T268" t="n">
        <v>58.311114</v>
      </c>
      <c r="U268" t="n">
        <v>31.032685</v>
      </c>
      <c r="V268" t="n">
        <v>31.032685</v>
      </c>
      <c r="W268" t="n">
        <v>61.724923</v>
      </c>
      <c r="X268" t="n">
        <v>5208.68705</v>
      </c>
      <c r="Z268" t="n">
        <v>132.574913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H269" t="n">
        <v>36215476.90323</v>
      </c>
      <c r="I269" t="n">
        <v>6549.676201</v>
      </c>
      <c r="J269" t="n">
        <v>6897.830047</v>
      </c>
      <c r="K269" t="n">
        <v>1662.377041</v>
      </c>
      <c r="L269" t="n">
        <v>16798.641648</v>
      </c>
      <c r="M269" t="n">
        <v>11531.29792</v>
      </c>
      <c r="N269" t="n">
        <v>11531.29792</v>
      </c>
      <c r="O269" t="n">
        <v>47.733364</v>
      </c>
      <c r="P269" t="n">
        <v>20.713886</v>
      </c>
      <c r="Q269" t="n">
        <v>11531.29792</v>
      </c>
      <c r="R269" t="n">
        <v>11531.29792</v>
      </c>
      <c r="S269" t="n">
        <v>47.733364</v>
      </c>
      <c r="T269" t="n">
        <v>47.733364</v>
      </c>
      <c r="U269" t="n">
        <v>20.713886</v>
      </c>
      <c r="V269" t="n">
        <v>20.713886</v>
      </c>
      <c r="W269" t="n">
        <v>50.435105</v>
      </c>
      <c r="X269" t="n">
        <v>12443.762725</v>
      </c>
      <c r="Z269" t="n">
        <v>326.985876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H270" t="n">
        <v>1993.394013</v>
      </c>
      <c r="I270" t="n">
        <v>277.068801</v>
      </c>
      <c r="J270" t="n">
        <v>277.068801</v>
      </c>
      <c r="K270" t="n">
        <v>263.215361</v>
      </c>
      <c r="L270" t="n">
        <v>393.787233</v>
      </c>
      <c r="M270" t="n">
        <v>277.168933</v>
      </c>
      <c r="N270" t="n">
        <v>277.168933</v>
      </c>
      <c r="O270" t="n">
        <v>14.521402</v>
      </c>
      <c r="P270" t="n">
        <v>9.426283</v>
      </c>
      <c r="Q270" t="n">
        <v>277.168933</v>
      </c>
      <c r="R270" t="n">
        <v>277.168933</v>
      </c>
      <c r="S270" t="n">
        <v>14.521402</v>
      </c>
      <c r="T270" t="n">
        <v>14.521402</v>
      </c>
      <c r="U270" t="n">
        <v>9.426283</v>
      </c>
      <c r="V270" t="n">
        <v>9.426283</v>
      </c>
      <c r="W270" t="n">
        <v>15.223157</v>
      </c>
      <c r="X270" t="n">
        <v>285.614997</v>
      </c>
      <c r="Z270" t="n">
        <v>31.193085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H271" t="n">
        <v>66499585.166222</v>
      </c>
      <c r="I271" t="n">
        <v>4469.123499</v>
      </c>
      <c r="J271" t="n">
        <v>4793.322749</v>
      </c>
      <c r="K271" t="n">
        <v>1747.151432</v>
      </c>
      <c r="L271" t="n">
        <v>10677.999207</v>
      </c>
      <c r="M271" t="n">
        <v>7305.602239</v>
      </c>
      <c r="N271" t="n">
        <v>7305.602239</v>
      </c>
      <c r="O271" t="n">
        <v>41.400447</v>
      </c>
      <c r="P271" t="n">
        <v>18.192821</v>
      </c>
      <c r="Q271" t="n">
        <v>7305.602239</v>
      </c>
      <c r="R271" t="n">
        <v>7305.602239</v>
      </c>
      <c r="S271" t="n">
        <v>41.400447</v>
      </c>
      <c r="T271" t="n">
        <v>41.400447</v>
      </c>
      <c r="U271" t="n">
        <v>18.192821</v>
      </c>
      <c r="V271" t="n">
        <v>18.192821</v>
      </c>
      <c r="W271" t="n">
        <v>43.295832</v>
      </c>
      <c r="X271" t="n">
        <v>7878.655066</v>
      </c>
      <c r="Z271" t="n">
        <v>171.758301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H272" t="n">
        <v>14879959.242488</v>
      </c>
      <c r="I272" t="n">
        <v>4341.841291</v>
      </c>
      <c r="J272" t="n">
        <v>4398.007385</v>
      </c>
      <c r="K272" t="n">
        <v>1301.694746</v>
      </c>
      <c r="L272" t="n">
        <v>7112.982475</v>
      </c>
      <c r="M272" t="n">
        <v>4967.292392</v>
      </c>
      <c r="N272" t="n">
        <v>4967.292392</v>
      </c>
      <c r="O272" t="n">
        <v>58.311114</v>
      </c>
      <c r="P272" t="n">
        <v>31.032685</v>
      </c>
      <c r="Q272" t="n">
        <v>4967.292392</v>
      </c>
      <c r="R272" t="n">
        <v>4967.292392</v>
      </c>
      <c r="S272" t="n">
        <v>58.311114</v>
      </c>
      <c r="T272" t="n">
        <v>58.311114</v>
      </c>
      <c r="U272" t="n">
        <v>31.032685</v>
      </c>
      <c r="V272" t="n">
        <v>31.032685</v>
      </c>
      <c r="W272" t="n">
        <v>61.724923</v>
      </c>
      <c r="X272" t="n">
        <v>5208.68705</v>
      </c>
      <c r="Z272" t="n">
        <v>132.574913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H273" t="n">
        <v>842.727401</v>
      </c>
      <c r="I273" t="n">
        <v>57.395403</v>
      </c>
      <c r="J273" t="n">
        <v>57.395403</v>
      </c>
      <c r="K273" t="n">
        <v>21.98244</v>
      </c>
      <c r="L273" t="n">
        <v>92.59366</v>
      </c>
      <c r="M273" t="n">
        <v>61.118924</v>
      </c>
      <c r="N273" t="n">
        <v>61.118924</v>
      </c>
      <c r="O273" t="n">
        <v>1.571536</v>
      </c>
      <c r="P273" t="n">
        <v>1.01605</v>
      </c>
      <c r="Q273" t="n">
        <v>61.118924</v>
      </c>
      <c r="R273" t="n">
        <v>61.118924</v>
      </c>
      <c r="S273" t="n">
        <v>1.571536</v>
      </c>
      <c r="T273" t="n">
        <v>1.571536</v>
      </c>
      <c r="U273" t="n">
        <v>1.01605</v>
      </c>
      <c r="V273" t="n">
        <v>1.01605</v>
      </c>
      <c r="W273" t="n">
        <v>1.626148</v>
      </c>
      <c r="X273" t="n">
        <v>63.787046</v>
      </c>
      <c r="Z273" t="n">
        <v>5.312721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H274" t="n">
        <v>426.216492</v>
      </c>
      <c r="I274" t="n">
        <v>88.674335</v>
      </c>
      <c r="J274" t="n">
        <v>88.674335</v>
      </c>
      <c r="K274" t="n">
        <v>84.240618</v>
      </c>
      <c r="L274" t="n">
        <v>130.894857</v>
      </c>
      <c r="M274" t="n">
        <v>88.674335</v>
      </c>
      <c r="N274" t="n">
        <v>88.674335</v>
      </c>
      <c r="O274" t="n">
        <v>5.151693</v>
      </c>
      <c r="P274" t="n">
        <v>3.42724</v>
      </c>
      <c r="Q274" t="n">
        <v>88.674335</v>
      </c>
      <c r="R274" t="n">
        <v>88.674335</v>
      </c>
      <c r="S274" t="n">
        <v>5.151693</v>
      </c>
      <c r="T274" t="n">
        <v>5.151693</v>
      </c>
      <c r="U274" t="n">
        <v>3.42724</v>
      </c>
      <c r="V274" t="n">
        <v>3.42724</v>
      </c>
      <c r="W274" t="n">
        <v>5.382228</v>
      </c>
      <c r="X274" t="n">
        <v>92.561423</v>
      </c>
      <c r="Z274" t="n">
        <v>8.611278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H275" t="n">
        <v>14879959.242488</v>
      </c>
      <c r="I275" t="n">
        <v>4341.841291</v>
      </c>
      <c r="J275" t="n">
        <v>4398.007385</v>
      </c>
      <c r="K275" t="n">
        <v>1301.694746</v>
      </c>
      <c r="L275" t="n">
        <v>7112.982475</v>
      </c>
      <c r="M275" t="n">
        <v>4967.292392</v>
      </c>
      <c r="N275" t="n">
        <v>4967.292392</v>
      </c>
      <c r="O275" t="n">
        <v>58.311114</v>
      </c>
      <c r="P275" t="n">
        <v>31.032685</v>
      </c>
      <c r="Q275" t="n">
        <v>4967.292392</v>
      </c>
      <c r="R275" t="n">
        <v>4967.292392</v>
      </c>
      <c r="S275" t="n">
        <v>58.311114</v>
      </c>
      <c r="T275" t="n">
        <v>58.311114</v>
      </c>
      <c r="U275" t="n">
        <v>31.032685</v>
      </c>
      <c r="V275" t="n">
        <v>31.032685</v>
      </c>
      <c r="W275" t="n">
        <v>61.724923</v>
      </c>
      <c r="X275" t="n">
        <v>5208.68705</v>
      </c>
      <c r="Z275" t="n">
        <v>132.574913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H276" t="n">
        <v>66499585.166222</v>
      </c>
      <c r="I276" t="n">
        <v>4469.123499</v>
      </c>
      <c r="J276" t="n">
        <v>4793.322749</v>
      </c>
      <c r="K276" t="n">
        <v>1747.151432</v>
      </c>
      <c r="L276" t="n">
        <v>10677.999207</v>
      </c>
      <c r="M276" t="n">
        <v>7305.602239</v>
      </c>
      <c r="N276" t="n">
        <v>7305.602239</v>
      </c>
      <c r="O276" t="n">
        <v>41.400447</v>
      </c>
      <c r="P276" t="n">
        <v>18.192821</v>
      </c>
      <c r="Q276" t="n">
        <v>7305.602239</v>
      </c>
      <c r="R276" t="n">
        <v>7305.602239</v>
      </c>
      <c r="S276" t="n">
        <v>41.400447</v>
      </c>
      <c r="T276" t="n">
        <v>41.400447</v>
      </c>
      <c r="U276" t="n">
        <v>18.192821</v>
      </c>
      <c r="V276" t="n">
        <v>18.192821</v>
      </c>
      <c r="W276" t="n">
        <v>43.295832</v>
      </c>
      <c r="X276" t="n">
        <v>7878.655066</v>
      </c>
      <c r="Z276" t="n">
        <v>171.758301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H277" t="n">
        <v>32593.399706</v>
      </c>
      <c r="I277" t="n">
        <v>356.10635</v>
      </c>
      <c r="J277" t="n">
        <v>384.755747</v>
      </c>
      <c r="K277" t="n">
        <v>365.51796</v>
      </c>
      <c r="L277" t="n">
        <v>602.712303</v>
      </c>
      <c r="M277" t="n">
        <v>421.28566</v>
      </c>
      <c r="N277" t="n">
        <v>421.28566</v>
      </c>
      <c r="O277" t="n">
        <v>20.384878</v>
      </c>
      <c r="P277" t="n">
        <v>12.067619</v>
      </c>
      <c r="Q277" t="n">
        <v>421.28566</v>
      </c>
      <c r="R277" t="n">
        <v>421.28566</v>
      </c>
      <c r="S277" t="n">
        <v>20.384878</v>
      </c>
      <c r="T277" t="n">
        <v>20.384878</v>
      </c>
      <c r="U277" t="n">
        <v>12.067619</v>
      </c>
      <c r="V277" t="n">
        <v>12.067619</v>
      </c>
      <c r="W277" t="n">
        <v>20.990919</v>
      </c>
      <c r="X277" t="n">
        <v>434.828134</v>
      </c>
      <c r="Z277" t="n">
        <v>44.708144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H278" t="n">
        <v>252175.379258</v>
      </c>
      <c r="I278" t="n">
        <v>726.768274</v>
      </c>
      <c r="J278" t="n">
        <v>743.903747</v>
      </c>
      <c r="K278" t="n">
        <v>371.951873</v>
      </c>
      <c r="L278" t="n">
        <v>1659.687874</v>
      </c>
      <c r="M278" t="n">
        <v>1154.615618</v>
      </c>
      <c r="N278" t="n">
        <v>1154.615618</v>
      </c>
      <c r="O278" t="n">
        <v>19.267286</v>
      </c>
      <c r="P278" t="n">
        <v>9.928678</v>
      </c>
      <c r="Q278" t="n">
        <v>1154.615618</v>
      </c>
      <c r="R278" t="n">
        <v>1154.615618</v>
      </c>
      <c r="S278" t="n">
        <v>19.267286</v>
      </c>
      <c r="T278" t="n">
        <v>19.267286</v>
      </c>
      <c r="U278" t="n">
        <v>9.928678</v>
      </c>
      <c r="V278" t="n">
        <v>9.928678</v>
      </c>
      <c r="W278" t="n">
        <v>19.883589</v>
      </c>
      <c r="X278" t="n">
        <v>1235.144457</v>
      </c>
      <c r="Z278" t="n">
        <v>97.384973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H279" t="n">
        <v>66499585.166222</v>
      </c>
      <c r="I279" t="n">
        <v>4469.123499</v>
      </c>
      <c r="J279" t="n">
        <v>4793.322749</v>
      </c>
      <c r="K279" t="n">
        <v>1747.151432</v>
      </c>
      <c r="L279" t="n">
        <v>10677.999207</v>
      </c>
      <c r="M279" t="n">
        <v>7305.602239</v>
      </c>
      <c r="N279" t="n">
        <v>7305.602239</v>
      </c>
      <c r="O279" t="n">
        <v>41.400447</v>
      </c>
      <c r="P279" t="n">
        <v>18.192821</v>
      </c>
      <c r="Q279" t="n">
        <v>7305.602239</v>
      </c>
      <c r="R279" t="n">
        <v>7305.602239</v>
      </c>
      <c r="S279" t="n">
        <v>41.400447</v>
      </c>
      <c r="T279" t="n">
        <v>41.400447</v>
      </c>
      <c r="U279" t="n">
        <v>18.192821</v>
      </c>
      <c r="V279" t="n">
        <v>18.192821</v>
      </c>
      <c r="W279" t="n">
        <v>43.295832</v>
      </c>
      <c r="X279" t="n">
        <v>7878.655066</v>
      </c>
      <c r="Z279" t="n">
        <v>171.758301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H280" t="n">
        <v>66499585.166222</v>
      </c>
      <c r="I280" t="n">
        <v>4469.123499</v>
      </c>
      <c r="J280" t="n">
        <v>4793.322749</v>
      </c>
      <c r="K280" t="n">
        <v>1747.151432</v>
      </c>
      <c r="L280" t="n">
        <v>10677.999207</v>
      </c>
      <c r="M280" t="n">
        <v>7305.602239</v>
      </c>
      <c r="N280" t="n">
        <v>7305.602239</v>
      </c>
      <c r="O280" t="n">
        <v>41.400447</v>
      </c>
      <c r="P280" t="n">
        <v>18.192821</v>
      </c>
      <c r="Q280" t="n">
        <v>7305.602239</v>
      </c>
      <c r="R280" t="n">
        <v>7305.602239</v>
      </c>
      <c r="S280" t="n">
        <v>41.400447</v>
      </c>
      <c r="T280" t="n">
        <v>41.400447</v>
      </c>
      <c r="U280" t="n">
        <v>18.192821</v>
      </c>
      <c r="V280" t="n">
        <v>18.192821</v>
      </c>
      <c r="W280" t="n">
        <v>43.295832</v>
      </c>
      <c r="X280" t="n">
        <v>7878.655066</v>
      </c>
      <c r="Z280" t="n">
        <v>171.758301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H281" t="n">
        <v>14879959.242488</v>
      </c>
      <c r="I281" t="n">
        <v>4341.841291</v>
      </c>
      <c r="J281" t="n">
        <v>4398.007385</v>
      </c>
      <c r="K281" t="n">
        <v>1301.694746</v>
      </c>
      <c r="L281" t="n">
        <v>7112.982475</v>
      </c>
      <c r="M281" t="n">
        <v>4967.292392</v>
      </c>
      <c r="N281" t="n">
        <v>4967.292392</v>
      </c>
      <c r="O281" t="n">
        <v>58.311114</v>
      </c>
      <c r="P281" t="n">
        <v>31.032685</v>
      </c>
      <c r="Q281" t="n">
        <v>4967.292392</v>
      </c>
      <c r="R281" t="n">
        <v>4967.292392</v>
      </c>
      <c r="S281" t="n">
        <v>58.311114</v>
      </c>
      <c r="T281" t="n">
        <v>58.311114</v>
      </c>
      <c r="U281" t="n">
        <v>31.032685</v>
      </c>
      <c r="V281" t="n">
        <v>31.032685</v>
      </c>
      <c r="W281" t="n">
        <v>61.724923</v>
      </c>
      <c r="X281" t="n">
        <v>5208.68705</v>
      </c>
      <c r="Z281" t="n">
        <v>132.574913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H282" t="n">
        <v>284212.520683</v>
      </c>
      <c r="I282" t="n">
        <v>386.298429</v>
      </c>
      <c r="J282" t="n">
        <v>403.015522</v>
      </c>
      <c r="K282" t="n">
        <v>382.864746</v>
      </c>
      <c r="L282" t="n">
        <v>738.02552</v>
      </c>
      <c r="M282" t="n">
        <v>504.12505</v>
      </c>
      <c r="N282" t="n">
        <v>504.12505</v>
      </c>
      <c r="O282" t="n">
        <v>19.791087</v>
      </c>
      <c r="P282" t="n">
        <v>10.585758</v>
      </c>
      <c r="Q282" t="n">
        <v>504.12505</v>
      </c>
      <c r="R282" t="n">
        <v>504.12505</v>
      </c>
      <c r="S282" t="n">
        <v>19.791087</v>
      </c>
      <c r="T282" t="n">
        <v>19.791087</v>
      </c>
      <c r="U282" t="n">
        <v>10.585758</v>
      </c>
      <c r="V282" t="n">
        <v>10.585758</v>
      </c>
      <c r="W282" t="n">
        <v>20.644284</v>
      </c>
      <c r="X282" t="n">
        <v>528.265792</v>
      </c>
      <c r="Z282" t="n">
        <v>47.016842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H283" t="n">
        <v>66499585.166222</v>
      </c>
      <c r="I283" t="n">
        <v>4469.123499</v>
      </c>
      <c r="J283" t="n">
        <v>4793.322749</v>
      </c>
      <c r="K283" t="n">
        <v>1747.151432</v>
      </c>
      <c r="L283" t="n">
        <v>10677.999207</v>
      </c>
      <c r="M283" t="n">
        <v>7305.602239</v>
      </c>
      <c r="N283" t="n">
        <v>7305.602239</v>
      </c>
      <c r="O283" t="n">
        <v>41.400447</v>
      </c>
      <c r="P283" t="n">
        <v>18.192821</v>
      </c>
      <c r="Q283" t="n">
        <v>7305.602239</v>
      </c>
      <c r="R283" t="n">
        <v>7305.602239</v>
      </c>
      <c r="S283" t="n">
        <v>41.400447</v>
      </c>
      <c r="T283" t="n">
        <v>41.400447</v>
      </c>
      <c r="U283" t="n">
        <v>18.192821</v>
      </c>
      <c r="V283" t="n">
        <v>18.192821</v>
      </c>
      <c r="W283" t="n">
        <v>43.295832</v>
      </c>
      <c r="X283" t="n">
        <v>7878.655066</v>
      </c>
      <c r="Z283" t="n">
        <v>171.758301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H284" t="n">
        <v>1993.394013</v>
      </c>
      <c r="I284" t="n">
        <v>277.068801</v>
      </c>
      <c r="J284" t="n">
        <v>277.068801</v>
      </c>
      <c r="K284" t="n">
        <v>263.215361</v>
      </c>
      <c r="L284" t="n">
        <v>393.787233</v>
      </c>
      <c r="M284" t="n">
        <v>277.168933</v>
      </c>
      <c r="N284" t="n">
        <v>277.168933</v>
      </c>
      <c r="O284" t="n">
        <v>14.521402</v>
      </c>
      <c r="P284" t="n">
        <v>9.426283</v>
      </c>
      <c r="Q284" t="n">
        <v>277.168933</v>
      </c>
      <c r="R284" t="n">
        <v>277.168933</v>
      </c>
      <c r="S284" t="n">
        <v>14.521402</v>
      </c>
      <c r="T284" t="n">
        <v>14.521402</v>
      </c>
      <c r="U284" t="n">
        <v>9.426283</v>
      </c>
      <c r="V284" t="n">
        <v>9.426283</v>
      </c>
      <c r="W284" t="n">
        <v>15.223157</v>
      </c>
      <c r="X284" t="n">
        <v>285.614997</v>
      </c>
      <c r="Z284" t="n">
        <v>31.193085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H285" t="n">
        <v>3941.73523</v>
      </c>
      <c r="I285" t="n">
        <v>71.47126299999999</v>
      </c>
      <c r="J285" t="n">
        <v>71.47126299999999</v>
      </c>
      <c r="K285" t="n">
        <v>44.598068</v>
      </c>
      <c r="L285" t="n">
        <v>113.463496</v>
      </c>
      <c r="M285" t="n">
        <v>73.744072</v>
      </c>
      <c r="N285" t="n">
        <v>73.744072</v>
      </c>
      <c r="O285" t="n">
        <v>2.758573</v>
      </c>
      <c r="P285" t="n">
        <v>1.846527</v>
      </c>
      <c r="Q285" t="n">
        <v>73.744072</v>
      </c>
      <c r="R285" t="n">
        <v>73.744072</v>
      </c>
      <c r="S285" t="n">
        <v>2.758573</v>
      </c>
      <c r="T285" t="n">
        <v>2.758573</v>
      </c>
      <c r="U285" t="n">
        <v>1.846527</v>
      </c>
      <c r="V285" t="n">
        <v>1.846527</v>
      </c>
      <c r="W285" t="n">
        <v>2.824619</v>
      </c>
      <c r="X285" t="n">
        <v>77.46539799999999</v>
      </c>
      <c r="Z285" t="n">
        <v>6.917933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H286" t="n">
        <v>38.925653</v>
      </c>
      <c r="I286" t="n">
        <v>80.769231</v>
      </c>
      <c r="J286" t="n">
        <v>80.769231</v>
      </c>
      <c r="K286" t="n">
        <v>4.2</v>
      </c>
      <c r="L286" t="n">
        <v>114.728394</v>
      </c>
      <c r="M286" t="n">
        <v>80.769231</v>
      </c>
      <c r="N286" t="n">
        <v>80.769231</v>
      </c>
      <c r="O286" t="n">
        <v>4.2</v>
      </c>
      <c r="P286" t="n">
        <v>3.36</v>
      </c>
      <c r="Q286" t="n">
        <v>80.769231</v>
      </c>
      <c r="R286" t="n">
        <v>80.769231</v>
      </c>
      <c r="S286" t="n">
        <v>4.2</v>
      </c>
      <c r="T286" t="n">
        <v>4.2</v>
      </c>
      <c r="U286" t="n">
        <v>3.36</v>
      </c>
      <c r="V286" t="n">
        <v>3.36</v>
      </c>
      <c r="W286" t="n">
        <v>4.311623</v>
      </c>
      <c r="X286" t="n">
        <v>82.260733</v>
      </c>
      <c r="Z286" t="n">
        <v>5.208688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H288" t="n">
        <v>426.216492</v>
      </c>
      <c r="I288" t="n">
        <v>88.674335</v>
      </c>
      <c r="J288" t="n">
        <v>88.674335</v>
      </c>
      <c r="K288" t="n">
        <v>84.240618</v>
      </c>
      <c r="L288" t="n">
        <v>130.894857</v>
      </c>
      <c r="M288" t="n">
        <v>88.674335</v>
      </c>
      <c r="N288" t="n">
        <v>88.674335</v>
      </c>
      <c r="O288" t="n">
        <v>5.151693</v>
      </c>
      <c r="P288" t="n">
        <v>3.42724</v>
      </c>
      <c r="Q288" t="n">
        <v>88.674335</v>
      </c>
      <c r="R288" t="n">
        <v>88.674335</v>
      </c>
      <c r="S288" t="n">
        <v>5.151693</v>
      </c>
      <c r="T288" t="n">
        <v>5.151693</v>
      </c>
      <c r="U288" t="n">
        <v>3.42724</v>
      </c>
      <c r="V288" t="n">
        <v>3.42724</v>
      </c>
      <c r="W288" t="n">
        <v>5.382228</v>
      </c>
      <c r="X288" t="n">
        <v>92.561423</v>
      </c>
      <c r="Z288" t="n">
        <v>8.611278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H289" t="n">
        <v>66499585.166222</v>
      </c>
      <c r="I289" t="n">
        <v>4469.123499</v>
      </c>
      <c r="J289" t="n">
        <v>4793.322749</v>
      </c>
      <c r="K289" t="n">
        <v>1747.151432</v>
      </c>
      <c r="L289" t="n">
        <v>10677.999207</v>
      </c>
      <c r="M289" t="n">
        <v>7305.602239</v>
      </c>
      <c r="N289" t="n">
        <v>7305.602239</v>
      </c>
      <c r="O289" t="n">
        <v>41.400447</v>
      </c>
      <c r="P289" t="n">
        <v>18.192821</v>
      </c>
      <c r="Q289" t="n">
        <v>7305.602239</v>
      </c>
      <c r="R289" t="n">
        <v>7305.602239</v>
      </c>
      <c r="S289" t="n">
        <v>41.400447</v>
      </c>
      <c r="T289" t="n">
        <v>41.400447</v>
      </c>
      <c r="U289" t="n">
        <v>18.192821</v>
      </c>
      <c r="V289" t="n">
        <v>18.192821</v>
      </c>
      <c r="W289" t="n">
        <v>43.295832</v>
      </c>
      <c r="X289" t="n">
        <v>7878.655066</v>
      </c>
      <c r="Z289" t="n">
        <v>171.758301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H290" t="n">
        <v>32593.399706</v>
      </c>
      <c r="I290" t="n">
        <v>356.10635</v>
      </c>
      <c r="J290" t="n">
        <v>384.755747</v>
      </c>
      <c r="K290" t="n">
        <v>365.51796</v>
      </c>
      <c r="L290" t="n">
        <v>602.712303</v>
      </c>
      <c r="M290" t="n">
        <v>421.28566</v>
      </c>
      <c r="N290" t="n">
        <v>421.28566</v>
      </c>
      <c r="O290" t="n">
        <v>20.384878</v>
      </c>
      <c r="P290" t="n">
        <v>12.067619</v>
      </c>
      <c r="Q290" t="n">
        <v>421.28566</v>
      </c>
      <c r="R290" t="n">
        <v>421.28566</v>
      </c>
      <c r="S290" t="n">
        <v>20.384878</v>
      </c>
      <c r="T290" t="n">
        <v>20.384878</v>
      </c>
      <c r="U290" t="n">
        <v>12.067619</v>
      </c>
      <c r="V290" t="n">
        <v>12.067619</v>
      </c>
      <c r="W290" t="n">
        <v>20.990919</v>
      </c>
      <c r="X290" t="n">
        <v>434.828134</v>
      </c>
      <c r="Z290" t="n">
        <v>44.708144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H291" t="n">
        <v>14879959.242488</v>
      </c>
      <c r="I291" t="n">
        <v>4341.841291</v>
      </c>
      <c r="J291" t="n">
        <v>4398.007385</v>
      </c>
      <c r="K291" t="n">
        <v>1301.694746</v>
      </c>
      <c r="L291" t="n">
        <v>7112.982475</v>
      </c>
      <c r="M291" t="n">
        <v>4967.292392</v>
      </c>
      <c r="N291" t="n">
        <v>4967.292392</v>
      </c>
      <c r="O291" t="n">
        <v>58.311114</v>
      </c>
      <c r="P291" t="n">
        <v>31.032685</v>
      </c>
      <c r="Q291" t="n">
        <v>4967.292392</v>
      </c>
      <c r="R291" t="n">
        <v>4967.292392</v>
      </c>
      <c r="S291" t="n">
        <v>58.311114</v>
      </c>
      <c r="T291" t="n">
        <v>58.311114</v>
      </c>
      <c r="U291" t="n">
        <v>31.032685</v>
      </c>
      <c r="V291" t="n">
        <v>31.032685</v>
      </c>
      <c r="W291" t="n">
        <v>61.724923</v>
      </c>
      <c r="X291" t="n">
        <v>5208.68705</v>
      </c>
      <c r="Z291" t="n">
        <v>132.574913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H292" t="n">
        <v>52027107.267087</v>
      </c>
      <c r="I292" t="n">
        <v>7059.021807</v>
      </c>
      <c r="J292" t="n">
        <v>7260.732834</v>
      </c>
      <c r="K292" t="n">
        <v>2722.774813</v>
      </c>
      <c r="L292" t="n">
        <v>14214.100911</v>
      </c>
      <c r="M292" t="n">
        <v>9730.75452</v>
      </c>
      <c r="N292" t="n">
        <v>9730.75452</v>
      </c>
      <c r="O292" t="n">
        <v>100.399835</v>
      </c>
      <c r="P292" t="n">
        <v>43.4623</v>
      </c>
      <c r="Q292" t="n">
        <v>9730.75452</v>
      </c>
      <c r="R292" t="n">
        <v>9730.75452</v>
      </c>
      <c r="S292" t="n">
        <v>100.399835</v>
      </c>
      <c r="T292" t="n">
        <v>100.399835</v>
      </c>
      <c r="U292" t="n">
        <v>43.4623</v>
      </c>
      <c r="V292" t="n">
        <v>43.4623</v>
      </c>
      <c r="W292" t="n">
        <v>105.723999</v>
      </c>
      <c r="X292" t="n">
        <v>10434.203054</v>
      </c>
      <c r="Z292" t="n">
        <v>282.848189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H293" t="n">
        <v>14879959.242488</v>
      </c>
      <c r="I293" t="n">
        <v>4341.841291</v>
      </c>
      <c r="J293" t="n">
        <v>4398.007385</v>
      </c>
      <c r="K293" t="n">
        <v>1301.694746</v>
      </c>
      <c r="L293" t="n">
        <v>7112.982475</v>
      </c>
      <c r="M293" t="n">
        <v>4967.292392</v>
      </c>
      <c r="N293" t="n">
        <v>4967.292392</v>
      </c>
      <c r="O293" t="n">
        <v>58.311114</v>
      </c>
      <c r="P293" t="n">
        <v>31.032685</v>
      </c>
      <c r="Q293" t="n">
        <v>4967.292392</v>
      </c>
      <c r="R293" t="n">
        <v>4967.292392</v>
      </c>
      <c r="S293" t="n">
        <v>58.311114</v>
      </c>
      <c r="T293" t="n">
        <v>58.311114</v>
      </c>
      <c r="U293" t="n">
        <v>31.032685</v>
      </c>
      <c r="V293" t="n">
        <v>31.032685</v>
      </c>
      <c r="W293" t="n">
        <v>61.724923</v>
      </c>
      <c r="X293" t="n">
        <v>5208.68705</v>
      </c>
      <c r="Z293" t="n">
        <v>132.574913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H295" t="n">
        <v>14879959.242488</v>
      </c>
      <c r="I295" t="n">
        <v>4341.841291</v>
      </c>
      <c r="J295" t="n">
        <v>4398.007385</v>
      </c>
      <c r="K295" t="n">
        <v>1301.694746</v>
      </c>
      <c r="L295" t="n">
        <v>7112.982475</v>
      </c>
      <c r="M295" t="n">
        <v>4967.292392</v>
      </c>
      <c r="N295" t="n">
        <v>4967.292392</v>
      </c>
      <c r="O295" t="n">
        <v>58.311114</v>
      </c>
      <c r="P295" t="n">
        <v>31.032685</v>
      </c>
      <c r="Q295" t="n">
        <v>4967.292392</v>
      </c>
      <c r="R295" t="n">
        <v>4967.292392</v>
      </c>
      <c r="S295" t="n">
        <v>58.311114</v>
      </c>
      <c r="T295" t="n">
        <v>58.311114</v>
      </c>
      <c r="U295" t="n">
        <v>31.032685</v>
      </c>
      <c r="V295" t="n">
        <v>31.032685</v>
      </c>
      <c r="W295" t="n">
        <v>61.724923</v>
      </c>
      <c r="X295" t="n">
        <v>5208.68705</v>
      </c>
      <c r="Z295" t="n">
        <v>132.574913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H296" t="n">
        <v>28044039.752191</v>
      </c>
      <c r="I296" t="n">
        <v>86321.834013</v>
      </c>
      <c r="J296" t="n">
        <v>87278.99642</v>
      </c>
      <c r="K296" t="n">
        <v>43639.49821</v>
      </c>
      <c r="L296" t="n">
        <v>172174.15174</v>
      </c>
      <c r="M296" t="n">
        <v>119442.301921</v>
      </c>
      <c r="N296" t="n">
        <v>119442.301921</v>
      </c>
      <c r="O296" t="n">
        <v>130.775511</v>
      </c>
      <c r="P296" t="n">
        <v>57.053814</v>
      </c>
      <c r="Q296" t="n">
        <v>119442.301921</v>
      </c>
      <c r="R296" t="n">
        <v>119442.301921</v>
      </c>
      <c r="S296" t="n">
        <v>130.775511</v>
      </c>
      <c r="T296" t="n">
        <v>130.775511</v>
      </c>
      <c r="U296" t="n">
        <v>57.053814</v>
      </c>
      <c r="V296" t="n">
        <v>57.053814</v>
      </c>
      <c r="W296" t="n">
        <v>139.198598</v>
      </c>
      <c r="X296" t="n">
        <v>127625.763444</v>
      </c>
      <c r="Z296" t="n">
        <v>467.2534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H297" t="n">
        <v>284212.520683</v>
      </c>
      <c r="I297" t="n">
        <v>386.298429</v>
      </c>
      <c r="J297" t="n">
        <v>403.015522</v>
      </c>
      <c r="K297" t="n">
        <v>382.864746</v>
      </c>
      <c r="L297" t="n">
        <v>738.02552</v>
      </c>
      <c r="M297" t="n">
        <v>504.12505</v>
      </c>
      <c r="N297" t="n">
        <v>504.12505</v>
      </c>
      <c r="O297" t="n">
        <v>19.791087</v>
      </c>
      <c r="P297" t="n">
        <v>10.585758</v>
      </c>
      <c r="Q297" t="n">
        <v>504.12505</v>
      </c>
      <c r="R297" t="n">
        <v>504.12505</v>
      </c>
      <c r="S297" t="n">
        <v>19.791087</v>
      </c>
      <c r="T297" t="n">
        <v>19.791087</v>
      </c>
      <c r="U297" t="n">
        <v>10.585758</v>
      </c>
      <c r="V297" t="n">
        <v>10.585758</v>
      </c>
      <c r="W297" t="n">
        <v>20.644284</v>
      </c>
      <c r="X297" t="n">
        <v>528.265792</v>
      </c>
      <c r="Z297" t="n">
        <v>47.016842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H298" t="n">
        <v>284212.520683</v>
      </c>
      <c r="I298" t="n">
        <v>386.298429</v>
      </c>
      <c r="J298" t="n">
        <v>403.015522</v>
      </c>
      <c r="K298" t="n">
        <v>382.864746</v>
      </c>
      <c r="L298" t="n">
        <v>738.02552</v>
      </c>
      <c r="M298" t="n">
        <v>504.12505</v>
      </c>
      <c r="N298" t="n">
        <v>504.12505</v>
      </c>
      <c r="O298" t="n">
        <v>19.791087</v>
      </c>
      <c r="P298" t="n">
        <v>10.585758</v>
      </c>
      <c r="Q298" t="n">
        <v>504.12505</v>
      </c>
      <c r="R298" t="n">
        <v>504.12505</v>
      </c>
      <c r="S298" t="n">
        <v>19.791087</v>
      </c>
      <c r="T298" t="n">
        <v>19.791087</v>
      </c>
      <c r="U298" t="n">
        <v>10.585758</v>
      </c>
      <c r="V298" t="n">
        <v>10.585758</v>
      </c>
      <c r="W298" t="n">
        <v>20.644284</v>
      </c>
      <c r="X298" t="n">
        <v>528.265792</v>
      </c>
      <c r="Z298" t="n">
        <v>47.016842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H299" t="n">
        <v>66499585.166222</v>
      </c>
      <c r="I299" t="n">
        <v>4469.123499</v>
      </c>
      <c r="J299" t="n">
        <v>4793.322749</v>
      </c>
      <c r="K299" t="n">
        <v>1747.151432</v>
      </c>
      <c r="L299" t="n">
        <v>10677.999207</v>
      </c>
      <c r="M299" t="n">
        <v>7305.602239</v>
      </c>
      <c r="N299" t="n">
        <v>7305.602239</v>
      </c>
      <c r="O299" t="n">
        <v>41.400447</v>
      </c>
      <c r="P299" t="n">
        <v>18.192821</v>
      </c>
      <c r="Q299" t="n">
        <v>7305.602239</v>
      </c>
      <c r="R299" t="n">
        <v>7305.602239</v>
      </c>
      <c r="S299" t="n">
        <v>41.400447</v>
      </c>
      <c r="T299" t="n">
        <v>41.400447</v>
      </c>
      <c r="U299" t="n">
        <v>18.192821</v>
      </c>
      <c r="V299" t="n">
        <v>18.192821</v>
      </c>
      <c r="W299" t="n">
        <v>43.295832</v>
      </c>
      <c r="X299" t="n">
        <v>7878.655066</v>
      </c>
      <c r="Z299" t="n">
        <v>171.758301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H300" t="n">
        <v>113391773.775872</v>
      </c>
      <c r="I300" t="n">
        <v>7268.387336</v>
      </c>
      <c r="J300" t="n">
        <v>7315.723404</v>
      </c>
      <c r="K300" t="n">
        <v>2662.923319</v>
      </c>
      <c r="L300" t="n">
        <v>18846.946222</v>
      </c>
      <c r="M300" t="n">
        <v>12899.244148</v>
      </c>
      <c r="N300" t="n">
        <v>12899.244148</v>
      </c>
      <c r="O300" t="n">
        <v>58.377455</v>
      </c>
      <c r="P300" t="n">
        <v>24.766119</v>
      </c>
      <c r="Q300" t="n">
        <v>12899.244148</v>
      </c>
      <c r="R300" t="n">
        <v>12899.244148</v>
      </c>
      <c r="S300" t="n">
        <v>58.377455</v>
      </c>
      <c r="T300" t="n">
        <v>58.377455</v>
      </c>
      <c r="U300" t="n">
        <v>24.766119</v>
      </c>
      <c r="V300" t="n">
        <v>24.766119</v>
      </c>
      <c r="W300" t="n">
        <v>61.462709</v>
      </c>
      <c r="X300" t="n">
        <v>13974.158015</v>
      </c>
      <c r="Z300" t="n">
        <v>258.914422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H301" t="n">
        <v>10541.431348</v>
      </c>
      <c r="I301" t="n">
        <v>418.593928</v>
      </c>
      <c r="J301" t="n">
        <v>418.593928</v>
      </c>
      <c r="K301" t="n">
        <v>166.600383</v>
      </c>
      <c r="L301" t="n">
        <v>1080.992157</v>
      </c>
      <c r="M301" t="n">
        <v>753.402512</v>
      </c>
      <c r="N301" t="n">
        <v>753.402512</v>
      </c>
      <c r="O301" t="n">
        <v>10.622481</v>
      </c>
      <c r="P301" t="n">
        <v>5.780752</v>
      </c>
      <c r="Q301" t="n">
        <v>753.402512</v>
      </c>
      <c r="R301" t="n">
        <v>753.402512</v>
      </c>
      <c r="S301" t="n">
        <v>10.622481</v>
      </c>
      <c r="T301" t="n">
        <v>10.622481</v>
      </c>
      <c r="U301" t="n">
        <v>5.780752</v>
      </c>
      <c r="V301" t="n">
        <v>5.780752</v>
      </c>
      <c r="W301" t="n">
        <v>11.036237</v>
      </c>
      <c r="X301" t="n">
        <v>791.2975750000001</v>
      </c>
      <c r="Z301" t="n">
        <v>23.932868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H302" t="n">
        <v>113391773.775872</v>
      </c>
      <c r="I302" t="n">
        <v>7268.387336</v>
      </c>
      <c r="J302" t="n">
        <v>7315.723404</v>
      </c>
      <c r="K302" t="n">
        <v>2662.923319</v>
      </c>
      <c r="L302" t="n">
        <v>18846.946222</v>
      </c>
      <c r="M302" t="n">
        <v>12899.244148</v>
      </c>
      <c r="N302" t="n">
        <v>12899.244148</v>
      </c>
      <c r="O302" t="n">
        <v>58.377455</v>
      </c>
      <c r="P302" t="n">
        <v>24.766119</v>
      </c>
      <c r="Q302" t="n">
        <v>12899.244148</v>
      </c>
      <c r="R302" t="n">
        <v>12899.244148</v>
      </c>
      <c r="S302" t="n">
        <v>58.377455</v>
      </c>
      <c r="T302" t="n">
        <v>58.377455</v>
      </c>
      <c r="U302" t="n">
        <v>24.766119</v>
      </c>
      <c r="V302" t="n">
        <v>24.766119</v>
      </c>
      <c r="W302" t="n">
        <v>61.462709</v>
      </c>
      <c r="X302" t="n">
        <v>13974.158015</v>
      </c>
      <c r="Z302" t="n">
        <v>258.914422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H303" t="n">
        <v>32593.399706</v>
      </c>
      <c r="I303" t="n">
        <v>356.10635</v>
      </c>
      <c r="J303" t="n">
        <v>384.755747</v>
      </c>
      <c r="K303" t="n">
        <v>365.51796</v>
      </c>
      <c r="L303" t="n">
        <v>602.712303</v>
      </c>
      <c r="M303" t="n">
        <v>421.28566</v>
      </c>
      <c r="N303" t="n">
        <v>421.28566</v>
      </c>
      <c r="O303" t="n">
        <v>20.384878</v>
      </c>
      <c r="P303" t="n">
        <v>12.067619</v>
      </c>
      <c r="Q303" t="n">
        <v>421.28566</v>
      </c>
      <c r="R303" t="n">
        <v>421.28566</v>
      </c>
      <c r="S303" t="n">
        <v>20.384878</v>
      </c>
      <c r="T303" t="n">
        <v>20.384878</v>
      </c>
      <c r="U303" t="n">
        <v>12.067619</v>
      </c>
      <c r="V303" t="n">
        <v>12.067619</v>
      </c>
      <c r="W303" t="n">
        <v>20.990919</v>
      </c>
      <c r="X303" t="n">
        <v>434.828134</v>
      </c>
      <c r="Z303" t="n">
        <v>44.708144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H304" t="n">
        <v>14879959.242488</v>
      </c>
      <c r="I304" t="n">
        <v>4341.841291</v>
      </c>
      <c r="J304" t="n">
        <v>4398.007385</v>
      </c>
      <c r="K304" t="n">
        <v>1301.694746</v>
      </c>
      <c r="L304" t="n">
        <v>7112.982475</v>
      </c>
      <c r="M304" t="n">
        <v>4967.292392</v>
      </c>
      <c r="N304" t="n">
        <v>4967.292392</v>
      </c>
      <c r="O304" t="n">
        <v>58.311114</v>
      </c>
      <c r="P304" t="n">
        <v>31.032685</v>
      </c>
      <c r="Q304" t="n">
        <v>4967.292392</v>
      </c>
      <c r="R304" t="n">
        <v>4967.292392</v>
      </c>
      <c r="S304" t="n">
        <v>58.311114</v>
      </c>
      <c r="T304" t="n">
        <v>58.311114</v>
      </c>
      <c r="U304" t="n">
        <v>31.032685</v>
      </c>
      <c r="V304" t="n">
        <v>31.032685</v>
      </c>
      <c r="W304" t="n">
        <v>61.724923</v>
      </c>
      <c r="X304" t="n">
        <v>5208.68705</v>
      </c>
      <c r="Z304" t="n">
        <v>132.574913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H305" t="n">
        <v>66499585.166222</v>
      </c>
      <c r="I305" t="n">
        <v>4469.123499</v>
      </c>
      <c r="J305" t="n">
        <v>4793.322749</v>
      </c>
      <c r="K305" t="n">
        <v>1747.151432</v>
      </c>
      <c r="L305" t="n">
        <v>10677.999207</v>
      </c>
      <c r="M305" t="n">
        <v>7305.602239</v>
      </c>
      <c r="N305" t="n">
        <v>7305.602239</v>
      </c>
      <c r="O305" t="n">
        <v>41.400447</v>
      </c>
      <c r="P305" t="n">
        <v>18.192821</v>
      </c>
      <c r="Q305" t="n">
        <v>7305.602239</v>
      </c>
      <c r="R305" t="n">
        <v>7305.602239</v>
      </c>
      <c r="S305" t="n">
        <v>41.400447</v>
      </c>
      <c r="T305" t="n">
        <v>41.400447</v>
      </c>
      <c r="U305" t="n">
        <v>18.192821</v>
      </c>
      <c r="V305" t="n">
        <v>18.192821</v>
      </c>
      <c r="W305" t="n">
        <v>43.295832</v>
      </c>
      <c r="X305" t="n">
        <v>7878.655066</v>
      </c>
      <c r="Z305" t="n">
        <v>171.758301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H306" t="n">
        <v>40975539.813113</v>
      </c>
      <c r="I306" t="n">
        <v>2895.31657</v>
      </c>
      <c r="J306" t="n">
        <v>3100.990647</v>
      </c>
      <c r="K306" t="n">
        <v>1221.259727</v>
      </c>
      <c r="L306" t="n">
        <v>6846.4367</v>
      </c>
      <c r="M306" t="n">
        <v>4683.836246</v>
      </c>
      <c r="N306" t="n">
        <v>4683.836246</v>
      </c>
      <c r="O306" t="n">
        <v>33.070685</v>
      </c>
      <c r="P306" t="n">
        <v>15.260526</v>
      </c>
      <c r="Q306" t="n">
        <v>4683.836246</v>
      </c>
      <c r="R306" t="n">
        <v>4683.836246</v>
      </c>
      <c r="S306" t="n">
        <v>33.070685</v>
      </c>
      <c r="T306" t="n">
        <v>33.070685</v>
      </c>
      <c r="U306" t="n">
        <v>15.260526</v>
      </c>
      <c r="V306" t="n">
        <v>15.260526</v>
      </c>
      <c r="W306" t="n">
        <v>34.564338</v>
      </c>
      <c r="X306" t="n">
        <v>5045.299884</v>
      </c>
      <c r="Z306" t="n">
        <v>123.6742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H307" t="n">
        <v>3941.73523</v>
      </c>
      <c r="I307" t="n">
        <v>71.47126299999999</v>
      </c>
      <c r="J307" t="n">
        <v>71.47126299999999</v>
      </c>
      <c r="K307" t="n">
        <v>44.598068</v>
      </c>
      <c r="L307" t="n">
        <v>113.463496</v>
      </c>
      <c r="M307" t="n">
        <v>73.744072</v>
      </c>
      <c r="N307" t="n">
        <v>73.744072</v>
      </c>
      <c r="O307" t="n">
        <v>2.758573</v>
      </c>
      <c r="P307" t="n">
        <v>1.846527</v>
      </c>
      <c r="Q307" t="n">
        <v>73.744072</v>
      </c>
      <c r="R307" t="n">
        <v>73.744072</v>
      </c>
      <c r="S307" t="n">
        <v>2.758573</v>
      </c>
      <c r="T307" t="n">
        <v>2.758573</v>
      </c>
      <c r="U307" t="n">
        <v>1.846527</v>
      </c>
      <c r="V307" t="n">
        <v>1.846527</v>
      </c>
      <c r="W307" t="n">
        <v>2.824619</v>
      </c>
      <c r="X307" t="n">
        <v>77.46539799999999</v>
      </c>
      <c r="Z307" t="n">
        <v>6.917933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H308" t="n">
        <v>28044039.752191</v>
      </c>
      <c r="I308" t="n">
        <v>86321.834013</v>
      </c>
      <c r="J308" t="n">
        <v>87278.99642</v>
      </c>
      <c r="K308" t="n">
        <v>43639.49821</v>
      </c>
      <c r="L308" t="n">
        <v>172174.15174</v>
      </c>
      <c r="M308" t="n">
        <v>119442.301921</v>
      </c>
      <c r="N308" t="n">
        <v>119442.301921</v>
      </c>
      <c r="O308" t="n">
        <v>130.775511</v>
      </c>
      <c r="P308" t="n">
        <v>57.053814</v>
      </c>
      <c r="Q308" t="n">
        <v>119442.301921</v>
      </c>
      <c r="R308" t="n">
        <v>119442.301921</v>
      </c>
      <c r="S308" t="n">
        <v>130.775511</v>
      </c>
      <c r="T308" t="n">
        <v>130.775511</v>
      </c>
      <c r="U308" t="n">
        <v>57.053814</v>
      </c>
      <c r="V308" t="n">
        <v>57.053814</v>
      </c>
      <c r="W308" t="n">
        <v>139.198598</v>
      </c>
      <c r="X308" t="n">
        <v>127625.763444</v>
      </c>
      <c r="Z308" t="n">
        <v>467.2534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H309" t="n">
        <v>14879959.242488</v>
      </c>
      <c r="I309" t="n">
        <v>4341.841291</v>
      </c>
      <c r="J309" t="n">
        <v>4398.007385</v>
      </c>
      <c r="K309" t="n">
        <v>1301.694746</v>
      </c>
      <c r="L309" t="n">
        <v>7112.982475</v>
      </c>
      <c r="M309" t="n">
        <v>4967.292392</v>
      </c>
      <c r="N309" t="n">
        <v>4967.292392</v>
      </c>
      <c r="O309" t="n">
        <v>58.311114</v>
      </c>
      <c r="P309" t="n">
        <v>31.032685</v>
      </c>
      <c r="Q309" t="n">
        <v>4967.292392</v>
      </c>
      <c r="R309" t="n">
        <v>4967.292392</v>
      </c>
      <c r="S309" t="n">
        <v>58.311114</v>
      </c>
      <c r="T309" t="n">
        <v>58.311114</v>
      </c>
      <c r="U309" t="n">
        <v>31.032685</v>
      </c>
      <c r="V309" t="n">
        <v>31.032685</v>
      </c>
      <c r="W309" t="n">
        <v>61.724923</v>
      </c>
      <c r="X309" t="n">
        <v>5208.68705</v>
      </c>
      <c r="Z309" t="n">
        <v>132.574913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H310" t="n">
        <v>842.727401</v>
      </c>
      <c r="I310" t="n">
        <v>57.395403</v>
      </c>
      <c r="J310" t="n">
        <v>57.395403</v>
      </c>
      <c r="K310" t="n">
        <v>21.98244</v>
      </c>
      <c r="L310" t="n">
        <v>92.59366</v>
      </c>
      <c r="M310" t="n">
        <v>61.118924</v>
      </c>
      <c r="N310" t="n">
        <v>61.118924</v>
      </c>
      <c r="O310" t="n">
        <v>1.571536</v>
      </c>
      <c r="P310" t="n">
        <v>1.01605</v>
      </c>
      <c r="Q310" t="n">
        <v>61.118924</v>
      </c>
      <c r="R310" t="n">
        <v>61.118924</v>
      </c>
      <c r="S310" t="n">
        <v>1.571536</v>
      </c>
      <c r="T310" t="n">
        <v>1.571536</v>
      </c>
      <c r="U310" t="n">
        <v>1.01605</v>
      </c>
      <c r="V310" t="n">
        <v>1.01605</v>
      </c>
      <c r="W310" t="n">
        <v>1.626148</v>
      </c>
      <c r="X310" t="n">
        <v>63.787046</v>
      </c>
      <c r="Z310" t="n">
        <v>5.312721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H311" t="n">
        <v>66499585.166222</v>
      </c>
      <c r="I311" t="n">
        <v>4469.123499</v>
      </c>
      <c r="J311" t="n">
        <v>4793.322749</v>
      </c>
      <c r="K311" t="n">
        <v>1747.151432</v>
      </c>
      <c r="L311" t="n">
        <v>10677.999207</v>
      </c>
      <c r="M311" t="n">
        <v>7305.602239</v>
      </c>
      <c r="N311" t="n">
        <v>7305.602239</v>
      </c>
      <c r="O311" t="n">
        <v>41.400447</v>
      </c>
      <c r="P311" t="n">
        <v>18.192821</v>
      </c>
      <c r="Q311" t="n">
        <v>7305.602239</v>
      </c>
      <c r="R311" t="n">
        <v>7305.602239</v>
      </c>
      <c r="S311" t="n">
        <v>41.400447</v>
      </c>
      <c r="T311" t="n">
        <v>41.400447</v>
      </c>
      <c r="U311" t="n">
        <v>18.192821</v>
      </c>
      <c r="V311" t="n">
        <v>18.192821</v>
      </c>
      <c r="W311" t="n">
        <v>43.295832</v>
      </c>
      <c r="X311" t="n">
        <v>7878.655066</v>
      </c>
      <c r="Z311" t="n">
        <v>171.758301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H312" t="n">
        <v>66499585.166222</v>
      </c>
      <c r="I312" t="n">
        <v>4469.123499</v>
      </c>
      <c r="J312" t="n">
        <v>4793.322749</v>
      </c>
      <c r="K312" t="n">
        <v>1747.151432</v>
      </c>
      <c r="L312" t="n">
        <v>10677.999207</v>
      </c>
      <c r="M312" t="n">
        <v>7305.602239</v>
      </c>
      <c r="N312" t="n">
        <v>7305.602239</v>
      </c>
      <c r="O312" t="n">
        <v>41.400447</v>
      </c>
      <c r="P312" t="n">
        <v>18.192821</v>
      </c>
      <c r="Q312" t="n">
        <v>7305.602239</v>
      </c>
      <c r="R312" t="n">
        <v>7305.602239</v>
      </c>
      <c r="S312" t="n">
        <v>41.400447</v>
      </c>
      <c r="T312" t="n">
        <v>41.400447</v>
      </c>
      <c r="U312" t="n">
        <v>18.192821</v>
      </c>
      <c r="V312" t="n">
        <v>18.192821</v>
      </c>
      <c r="W312" t="n">
        <v>43.295832</v>
      </c>
      <c r="X312" t="n">
        <v>7878.655066</v>
      </c>
      <c r="Z312" t="n">
        <v>171.758301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H313" t="n">
        <v>14879959.242488</v>
      </c>
      <c r="I313" t="n">
        <v>4341.841291</v>
      </c>
      <c r="J313" t="n">
        <v>4398.007385</v>
      </c>
      <c r="K313" t="n">
        <v>1301.694746</v>
      </c>
      <c r="L313" t="n">
        <v>7112.982475</v>
      </c>
      <c r="M313" t="n">
        <v>4967.292392</v>
      </c>
      <c r="N313" t="n">
        <v>4967.292392</v>
      </c>
      <c r="O313" t="n">
        <v>58.311114</v>
      </c>
      <c r="P313" t="n">
        <v>31.032685</v>
      </c>
      <c r="Q313" t="n">
        <v>4967.292392</v>
      </c>
      <c r="R313" t="n">
        <v>4967.292392</v>
      </c>
      <c r="S313" t="n">
        <v>58.311114</v>
      </c>
      <c r="T313" t="n">
        <v>58.311114</v>
      </c>
      <c r="U313" t="n">
        <v>31.032685</v>
      </c>
      <c r="V313" t="n">
        <v>31.032685</v>
      </c>
      <c r="W313" t="n">
        <v>61.724923</v>
      </c>
      <c r="X313" t="n">
        <v>5208.68705</v>
      </c>
      <c r="Z313" t="n">
        <v>132.574913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H314" t="n">
        <v>66499585.166222</v>
      </c>
      <c r="I314" t="n">
        <v>4469.123499</v>
      </c>
      <c r="J314" t="n">
        <v>4793.322749</v>
      </c>
      <c r="K314" t="n">
        <v>1747.151432</v>
      </c>
      <c r="L314" t="n">
        <v>10677.999207</v>
      </c>
      <c r="M314" t="n">
        <v>7305.602239</v>
      </c>
      <c r="N314" t="n">
        <v>7305.602239</v>
      </c>
      <c r="O314" t="n">
        <v>41.400447</v>
      </c>
      <c r="P314" t="n">
        <v>18.192821</v>
      </c>
      <c r="Q314" t="n">
        <v>7305.602239</v>
      </c>
      <c r="R314" t="n">
        <v>7305.602239</v>
      </c>
      <c r="S314" t="n">
        <v>41.400447</v>
      </c>
      <c r="T314" t="n">
        <v>41.400447</v>
      </c>
      <c r="U314" t="n">
        <v>18.192821</v>
      </c>
      <c r="V314" t="n">
        <v>18.192821</v>
      </c>
      <c r="W314" t="n">
        <v>43.295832</v>
      </c>
      <c r="X314" t="n">
        <v>7878.655066</v>
      </c>
      <c r="Z314" t="n">
        <v>171.758301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H315" t="n">
        <v>18724.860706</v>
      </c>
      <c r="I315" t="n">
        <v>98.72009199999999</v>
      </c>
      <c r="J315" t="n">
        <v>98.72009199999999</v>
      </c>
      <c r="K315" t="n">
        <v>93.784087</v>
      </c>
      <c r="L315" t="n">
        <v>173.938876</v>
      </c>
      <c r="M315" t="n">
        <v>115.203607</v>
      </c>
      <c r="N315" t="n">
        <v>115.203607</v>
      </c>
      <c r="O315" t="n">
        <v>4.263184</v>
      </c>
      <c r="P315" t="n">
        <v>2.411197</v>
      </c>
      <c r="Q315" t="n">
        <v>115.203607</v>
      </c>
      <c r="R315" t="n">
        <v>115.203607</v>
      </c>
      <c r="S315" t="n">
        <v>4.263184</v>
      </c>
      <c r="T315" t="n">
        <v>4.263184</v>
      </c>
      <c r="U315" t="n">
        <v>2.411197</v>
      </c>
      <c r="V315" t="n">
        <v>2.411197</v>
      </c>
      <c r="W315" t="n">
        <v>4.428691</v>
      </c>
      <c r="X315" t="n">
        <v>122.757859</v>
      </c>
      <c r="Z315" t="n">
        <v>14.767218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H316" t="n">
        <v>18724.860706</v>
      </c>
      <c r="I316" t="n">
        <v>98.72009199999999</v>
      </c>
      <c r="J316" t="n">
        <v>98.72009199999999</v>
      </c>
      <c r="K316" t="n">
        <v>93.784087</v>
      </c>
      <c r="L316" t="n">
        <v>173.938876</v>
      </c>
      <c r="M316" t="n">
        <v>115.203607</v>
      </c>
      <c r="N316" t="n">
        <v>115.203607</v>
      </c>
      <c r="O316" t="n">
        <v>4.263184</v>
      </c>
      <c r="P316" t="n">
        <v>2.411197</v>
      </c>
      <c r="Q316" t="n">
        <v>115.203607</v>
      </c>
      <c r="R316" t="n">
        <v>115.203607</v>
      </c>
      <c r="S316" t="n">
        <v>4.263184</v>
      </c>
      <c r="T316" t="n">
        <v>4.263184</v>
      </c>
      <c r="U316" t="n">
        <v>2.411197</v>
      </c>
      <c r="V316" t="n">
        <v>2.411197</v>
      </c>
      <c r="W316" t="n">
        <v>4.428691</v>
      </c>
      <c r="X316" t="n">
        <v>122.757859</v>
      </c>
      <c r="Z316" t="n">
        <v>14.767218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H317" t="n">
        <v>14879959.242488</v>
      </c>
      <c r="I317" t="n">
        <v>4341.841291</v>
      </c>
      <c r="J317" t="n">
        <v>4398.007385</v>
      </c>
      <c r="K317" t="n">
        <v>1301.694746</v>
      </c>
      <c r="L317" t="n">
        <v>7112.982475</v>
      </c>
      <c r="M317" t="n">
        <v>4967.292392</v>
      </c>
      <c r="N317" t="n">
        <v>4967.292392</v>
      </c>
      <c r="O317" t="n">
        <v>58.311114</v>
      </c>
      <c r="P317" t="n">
        <v>31.032685</v>
      </c>
      <c r="Q317" t="n">
        <v>4967.292392</v>
      </c>
      <c r="R317" t="n">
        <v>4967.292392</v>
      </c>
      <c r="S317" t="n">
        <v>58.311114</v>
      </c>
      <c r="T317" t="n">
        <v>58.311114</v>
      </c>
      <c r="U317" t="n">
        <v>31.032685</v>
      </c>
      <c r="V317" t="n">
        <v>31.032685</v>
      </c>
      <c r="W317" t="n">
        <v>61.724923</v>
      </c>
      <c r="X317" t="n">
        <v>5208.68705</v>
      </c>
      <c r="Z317" t="n">
        <v>132.574913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H318" t="n">
        <v>426.216492</v>
      </c>
      <c r="I318" t="n">
        <v>88.674335</v>
      </c>
      <c r="J318" t="n">
        <v>88.674335</v>
      </c>
      <c r="K318" t="n">
        <v>84.240618</v>
      </c>
      <c r="L318" t="n">
        <v>130.894857</v>
      </c>
      <c r="M318" t="n">
        <v>88.674335</v>
      </c>
      <c r="N318" t="n">
        <v>88.674335</v>
      </c>
      <c r="O318" t="n">
        <v>5.151693</v>
      </c>
      <c r="P318" t="n">
        <v>3.42724</v>
      </c>
      <c r="Q318" t="n">
        <v>88.674335</v>
      </c>
      <c r="R318" t="n">
        <v>88.674335</v>
      </c>
      <c r="S318" t="n">
        <v>5.151693</v>
      </c>
      <c r="T318" t="n">
        <v>5.151693</v>
      </c>
      <c r="U318" t="n">
        <v>3.42724</v>
      </c>
      <c r="V318" t="n">
        <v>3.42724</v>
      </c>
      <c r="W318" t="n">
        <v>5.382228</v>
      </c>
      <c r="X318" t="n">
        <v>92.561423</v>
      </c>
      <c r="Z318" t="n">
        <v>8.611278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H319" t="n">
        <v>14879959.242488</v>
      </c>
      <c r="I319" t="n">
        <v>4341.841291</v>
      </c>
      <c r="J319" t="n">
        <v>4398.007385</v>
      </c>
      <c r="K319" t="n">
        <v>1301.694746</v>
      </c>
      <c r="L319" t="n">
        <v>7112.982475</v>
      </c>
      <c r="M319" t="n">
        <v>4967.292392</v>
      </c>
      <c r="N319" t="n">
        <v>4967.292392</v>
      </c>
      <c r="O319" t="n">
        <v>58.311114</v>
      </c>
      <c r="P319" t="n">
        <v>31.032685</v>
      </c>
      <c r="Q319" t="n">
        <v>4967.292392</v>
      </c>
      <c r="R319" t="n">
        <v>4967.292392</v>
      </c>
      <c r="S319" t="n">
        <v>58.311114</v>
      </c>
      <c r="T319" t="n">
        <v>58.311114</v>
      </c>
      <c r="U319" t="n">
        <v>31.032685</v>
      </c>
      <c r="V319" t="n">
        <v>31.032685</v>
      </c>
      <c r="W319" t="n">
        <v>61.724923</v>
      </c>
      <c r="X319" t="n">
        <v>5208.68705</v>
      </c>
      <c r="Z319" t="n">
        <v>132.574913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H320" t="n">
        <v>66499585.166222</v>
      </c>
      <c r="I320" t="n">
        <v>4469.123499</v>
      </c>
      <c r="J320" t="n">
        <v>4793.322749</v>
      </c>
      <c r="K320" t="n">
        <v>1747.151432</v>
      </c>
      <c r="L320" t="n">
        <v>10677.999207</v>
      </c>
      <c r="M320" t="n">
        <v>7305.602239</v>
      </c>
      <c r="N320" t="n">
        <v>7305.602239</v>
      </c>
      <c r="O320" t="n">
        <v>41.400447</v>
      </c>
      <c r="P320" t="n">
        <v>18.192821</v>
      </c>
      <c r="Q320" t="n">
        <v>7305.602239</v>
      </c>
      <c r="R320" t="n">
        <v>7305.602239</v>
      </c>
      <c r="S320" t="n">
        <v>41.400447</v>
      </c>
      <c r="T320" t="n">
        <v>41.400447</v>
      </c>
      <c r="U320" t="n">
        <v>18.192821</v>
      </c>
      <c r="V320" t="n">
        <v>18.192821</v>
      </c>
      <c r="W320" t="n">
        <v>43.295832</v>
      </c>
      <c r="X320" t="n">
        <v>7878.655066</v>
      </c>
      <c r="Z320" t="n">
        <v>171.758301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H321" t="n">
        <v>252175.379258</v>
      </c>
      <c r="I321" t="n">
        <v>726.768274</v>
      </c>
      <c r="J321" t="n">
        <v>743.903747</v>
      </c>
      <c r="K321" t="n">
        <v>371.951873</v>
      </c>
      <c r="L321" t="n">
        <v>1659.687874</v>
      </c>
      <c r="M321" t="n">
        <v>1154.615618</v>
      </c>
      <c r="N321" t="n">
        <v>1154.615618</v>
      </c>
      <c r="O321" t="n">
        <v>19.267286</v>
      </c>
      <c r="P321" t="n">
        <v>9.928678</v>
      </c>
      <c r="Q321" t="n">
        <v>1154.615618</v>
      </c>
      <c r="R321" t="n">
        <v>1154.615618</v>
      </c>
      <c r="S321" t="n">
        <v>19.267286</v>
      </c>
      <c r="T321" t="n">
        <v>19.267286</v>
      </c>
      <c r="U321" t="n">
        <v>9.928678</v>
      </c>
      <c r="V321" t="n">
        <v>9.928678</v>
      </c>
      <c r="W321" t="n">
        <v>19.883589</v>
      </c>
      <c r="X321" t="n">
        <v>1235.144457</v>
      </c>
      <c r="Z321" t="n">
        <v>97.384973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H322" t="n">
        <v>66499585.166222</v>
      </c>
      <c r="I322" t="n">
        <v>4469.123499</v>
      </c>
      <c r="J322" t="n">
        <v>4793.322749</v>
      </c>
      <c r="K322" t="n">
        <v>1747.151432</v>
      </c>
      <c r="L322" t="n">
        <v>10677.999207</v>
      </c>
      <c r="M322" t="n">
        <v>7305.602239</v>
      </c>
      <c r="N322" t="n">
        <v>7305.602239</v>
      </c>
      <c r="O322" t="n">
        <v>41.400447</v>
      </c>
      <c r="P322" t="n">
        <v>18.192821</v>
      </c>
      <c r="Q322" t="n">
        <v>7305.602239</v>
      </c>
      <c r="R322" t="n">
        <v>7305.602239</v>
      </c>
      <c r="S322" t="n">
        <v>41.400447</v>
      </c>
      <c r="T322" t="n">
        <v>41.400447</v>
      </c>
      <c r="U322" t="n">
        <v>18.192821</v>
      </c>
      <c r="V322" t="n">
        <v>18.192821</v>
      </c>
      <c r="W322" t="n">
        <v>43.295832</v>
      </c>
      <c r="X322" t="n">
        <v>7878.655066</v>
      </c>
      <c r="Z322" t="n">
        <v>171.758301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H323" t="n">
        <v>28044039.752191</v>
      </c>
      <c r="I323" t="n">
        <v>86321.834013</v>
      </c>
      <c r="J323" t="n">
        <v>87278.99642</v>
      </c>
      <c r="K323" t="n">
        <v>43639.49821</v>
      </c>
      <c r="L323" t="n">
        <v>172174.15174</v>
      </c>
      <c r="M323" t="n">
        <v>119442.301921</v>
      </c>
      <c r="N323" t="n">
        <v>119442.301921</v>
      </c>
      <c r="O323" t="n">
        <v>130.775511</v>
      </c>
      <c r="P323" t="n">
        <v>57.053814</v>
      </c>
      <c r="Q323" t="n">
        <v>119442.301921</v>
      </c>
      <c r="R323" t="n">
        <v>119442.301921</v>
      </c>
      <c r="S323" t="n">
        <v>130.775511</v>
      </c>
      <c r="T323" t="n">
        <v>130.775511</v>
      </c>
      <c r="U323" t="n">
        <v>57.053814</v>
      </c>
      <c r="V323" t="n">
        <v>57.053814</v>
      </c>
      <c r="W323" t="n">
        <v>139.198598</v>
      </c>
      <c r="X323" t="n">
        <v>127625.763444</v>
      </c>
      <c r="Z323" t="n">
        <v>467.2534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H324" t="n">
        <v>14879959.242488</v>
      </c>
      <c r="I324" t="n">
        <v>4341.841291</v>
      </c>
      <c r="J324" t="n">
        <v>4398.007385</v>
      </c>
      <c r="K324" t="n">
        <v>1301.694746</v>
      </c>
      <c r="L324" t="n">
        <v>7112.982475</v>
      </c>
      <c r="M324" t="n">
        <v>4967.292392</v>
      </c>
      <c r="N324" t="n">
        <v>4967.292392</v>
      </c>
      <c r="O324" t="n">
        <v>58.311114</v>
      </c>
      <c r="P324" t="n">
        <v>31.032685</v>
      </c>
      <c r="Q324" t="n">
        <v>4967.292392</v>
      </c>
      <c r="R324" t="n">
        <v>4967.292392</v>
      </c>
      <c r="S324" t="n">
        <v>58.311114</v>
      </c>
      <c r="T324" t="n">
        <v>58.311114</v>
      </c>
      <c r="U324" t="n">
        <v>31.032685</v>
      </c>
      <c r="V324" t="n">
        <v>31.032685</v>
      </c>
      <c r="W324" t="n">
        <v>61.724923</v>
      </c>
      <c r="X324" t="n">
        <v>5208.68705</v>
      </c>
      <c r="Z324" t="n">
        <v>132.574913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H325" t="n">
        <v>1993.394013</v>
      </c>
      <c r="I325" t="n">
        <v>277.068801</v>
      </c>
      <c r="J325" t="n">
        <v>277.068801</v>
      </c>
      <c r="K325" t="n">
        <v>263.215361</v>
      </c>
      <c r="L325" t="n">
        <v>393.787233</v>
      </c>
      <c r="M325" t="n">
        <v>277.168933</v>
      </c>
      <c r="N325" t="n">
        <v>277.168933</v>
      </c>
      <c r="O325" t="n">
        <v>14.521402</v>
      </c>
      <c r="P325" t="n">
        <v>9.426283</v>
      </c>
      <c r="Q325" t="n">
        <v>277.168933</v>
      </c>
      <c r="R325" t="n">
        <v>277.168933</v>
      </c>
      <c r="S325" t="n">
        <v>14.521402</v>
      </c>
      <c r="T325" t="n">
        <v>14.521402</v>
      </c>
      <c r="U325" t="n">
        <v>9.426283</v>
      </c>
      <c r="V325" t="n">
        <v>9.426283</v>
      </c>
      <c r="W325" t="n">
        <v>15.223157</v>
      </c>
      <c r="X325" t="n">
        <v>285.614997</v>
      </c>
      <c r="Z325" t="n">
        <v>31.193085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H326" t="n">
        <v>284212.520683</v>
      </c>
      <c r="I326" t="n">
        <v>386.298429</v>
      </c>
      <c r="J326" t="n">
        <v>403.015522</v>
      </c>
      <c r="K326" t="n">
        <v>382.864746</v>
      </c>
      <c r="L326" t="n">
        <v>738.02552</v>
      </c>
      <c r="M326" t="n">
        <v>504.12505</v>
      </c>
      <c r="N326" t="n">
        <v>504.12505</v>
      </c>
      <c r="O326" t="n">
        <v>19.791087</v>
      </c>
      <c r="P326" t="n">
        <v>10.585758</v>
      </c>
      <c r="Q326" t="n">
        <v>504.12505</v>
      </c>
      <c r="R326" t="n">
        <v>504.12505</v>
      </c>
      <c r="S326" t="n">
        <v>19.791087</v>
      </c>
      <c r="T326" t="n">
        <v>19.791087</v>
      </c>
      <c r="U326" t="n">
        <v>10.585758</v>
      </c>
      <c r="V326" t="n">
        <v>10.585758</v>
      </c>
      <c r="W326" t="n">
        <v>20.644284</v>
      </c>
      <c r="X326" t="n">
        <v>528.265792</v>
      </c>
      <c r="Z326" t="n">
        <v>47.016842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H327" t="n">
        <v>66499585.166222</v>
      </c>
      <c r="I327" t="n">
        <v>4469.123499</v>
      </c>
      <c r="J327" t="n">
        <v>4793.322749</v>
      </c>
      <c r="K327" t="n">
        <v>1747.151432</v>
      </c>
      <c r="L327" t="n">
        <v>10677.999207</v>
      </c>
      <c r="M327" t="n">
        <v>7305.602239</v>
      </c>
      <c r="N327" t="n">
        <v>7305.602239</v>
      </c>
      <c r="O327" t="n">
        <v>41.400447</v>
      </c>
      <c r="P327" t="n">
        <v>18.192821</v>
      </c>
      <c r="Q327" t="n">
        <v>7305.602239</v>
      </c>
      <c r="R327" t="n">
        <v>7305.602239</v>
      </c>
      <c r="S327" t="n">
        <v>41.400447</v>
      </c>
      <c r="T327" t="n">
        <v>41.400447</v>
      </c>
      <c r="U327" t="n">
        <v>18.192821</v>
      </c>
      <c r="V327" t="n">
        <v>18.192821</v>
      </c>
      <c r="W327" t="n">
        <v>43.295832</v>
      </c>
      <c r="X327" t="n">
        <v>7878.655066</v>
      </c>
      <c r="Z327" t="n">
        <v>171.758301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H328" t="n">
        <v>66499585.166222</v>
      </c>
      <c r="I328" t="n">
        <v>4469.123499</v>
      </c>
      <c r="J328" t="n">
        <v>4793.322749</v>
      </c>
      <c r="K328" t="n">
        <v>1747.151432</v>
      </c>
      <c r="L328" t="n">
        <v>10677.999207</v>
      </c>
      <c r="M328" t="n">
        <v>7305.602239</v>
      </c>
      <c r="N328" t="n">
        <v>7305.602239</v>
      </c>
      <c r="O328" t="n">
        <v>41.400447</v>
      </c>
      <c r="P328" t="n">
        <v>18.192821</v>
      </c>
      <c r="Q328" t="n">
        <v>7305.602239</v>
      </c>
      <c r="R328" t="n">
        <v>7305.602239</v>
      </c>
      <c r="S328" t="n">
        <v>41.400447</v>
      </c>
      <c r="T328" t="n">
        <v>41.400447</v>
      </c>
      <c r="U328" t="n">
        <v>18.192821</v>
      </c>
      <c r="V328" t="n">
        <v>18.192821</v>
      </c>
      <c r="W328" t="n">
        <v>43.295832</v>
      </c>
      <c r="X328" t="n">
        <v>7878.655066</v>
      </c>
      <c r="Z328" t="n">
        <v>171.758301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H329" t="n">
        <v>18724.860706</v>
      </c>
      <c r="I329" t="n">
        <v>98.72009199999999</v>
      </c>
      <c r="J329" t="n">
        <v>98.72009199999999</v>
      </c>
      <c r="K329" t="n">
        <v>93.784087</v>
      </c>
      <c r="L329" t="n">
        <v>173.938876</v>
      </c>
      <c r="M329" t="n">
        <v>115.203607</v>
      </c>
      <c r="N329" t="n">
        <v>115.203607</v>
      </c>
      <c r="O329" t="n">
        <v>4.263184</v>
      </c>
      <c r="P329" t="n">
        <v>2.411197</v>
      </c>
      <c r="Q329" t="n">
        <v>115.203607</v>
      </c>
      <c r="R329" t="n">
        <v>115.203607</v>
      </c>
      <c r="S329" t="n">
        <v>4.263184</v>
      </c>
      <c r="T329" t="n">
        <v>4.263184</v>
      </c>
      <c r="U329" t="n">
        <v>2.411197</v>
      </c>
      <c r="V329" t="n">
        <v>2.411197</v>
      </c>
      <c r="W329" t="n">
        <v>4.428691</v>
      </c>
      <c r="X329" t="n">
        <v>122.757859</v>
      </c>
      <c r="Z329" t="n">
        <v>14.767218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H330" t="n">
        <v>113391773.775872</v>
      </c>
      <c r="I330" t="n">
        <v>7268.387336</v>
      </c>
      <c r="J330" t="n">
        <v>7315.723404</v>
      </c>
      <c r="K330" t="n">
        <v>2662.923319</v>
      </c>
      <c r="L330" t="n">
        <v>18846.946222</v>
      </c>
      <c r="M330" t="n">
        <v>12899.244148</v>
      </c>
      <c r="N330" t="n">
        <v>12899.244148</v>
      </c>
      <c r="O330" t="n">
        <v>58.377455</v>
      </c>
      <c r="P330" t="n">
        <v>24.766119</v>
      </c>
      <c r="Q330" t="n">
        <v>12899.244148</v>
      </c>
      <c r="R330" t="n">
        <v>12899.244148</v>
      </c>
      <c r="S330" t="n">
        <v>58.377455</v>
      </c>
      <c r="T330" t="n">
        <v>58.377455</v>
      </c>
      <c r="U330" t="n">
        <v>24.766119</v>
      </c>
      <c r="V330" t="n">
        <v>24.766119</v>
      </c>
      <c r="W330" t="n">
        <v>61.462709</v>
      </c>
      <c r="X330" t="n">
        <v>13974.158015</v>
      </c>
      <c r="Z330" t="n">
        <v>258.914422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H332" t="n">
        <v>18724.860706</v>
      </c>
      <c r="I332" t="n">
        <v>98.72009199999999</v>
      </c>
      <c r="J332" t="n">
        <v>98.72009199999999</v>
      </c>
      <c r="K332" t="n">
        <v>93.784087</v>
      </c>
      <c r="L332" t="n">
        <v>173.938876</v>
      </c>
      <c r="M332" t="n">
        <v>115.203607</v>
      </c>
      <c r="N332" t="n">
        <v>115.203607</v>
      </c>
      <c r="O332" t="n">
        <v>4.263184</v>
      </c>
      <c r="P332" t="n">
        <v>2.411197</v>
      </c>
      <c r="Q332" t="n">
        <v>115.203607</v>
      </c>
      <c r="R332" t="n">
        <v>115.203607</v>
      </c>
      <c r="S332" t="n">
        <v>4.263184</v>
      </c>
      <c r="T332" t="n">
        <v>4.263184</v>
      </c>
      <c r="U332" t="n">
        <v>2.411197</v>
      </c>
      <c r="V332" t="n">
        <v>2.411197</v>
      </c>
      <c r="W332" t="n">
        <v>4.428691</v>
      </c>
      <c r="X332" t="n">
        <v>122.757859</v>
      </c>
      <c r="Z332" t="n">
        <v>14.767218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H333" t="n">
        <v>1993.394013</v>
      </c>
      <c r="I333" t="n">
        <v>277.068801</v>
      </c>
      <c r="J333" t="n">
        <v>277.068801</v>
      </c>
      <c r="K333" t="n">
        <v>263.215361</v>
      </c>
      <c r="L333" t="n">
        <v>393.787233</v>
      </c>
      <c r="M333" t="n">
        <v>277.168933</v>
      </c>
      <c r="N333" t="n">
        <v>277.168933</v>
      </c>
      <c r="O333" t="n">
        <v>14.521402</v>
      </c>
      <c r="P333" t="n">
        <v>9.426283</v>
      </c>
      <c r="Q333" t="n">
        <v>277.168933</v>
      </c>
      <c r="R333" t="n">
        <v>277.168933</v>
      </c>
      <c r="S333" t="n">
        <v>14.521402</v>
      </c>
      <c r="T333" t="n">
        <v>14.521402</v>
      </c>
      <c r="U333" t="n">
        <v>9.426283</v>
      </c>
      <c r="V333" t="n">
        <v>9.426283</v>
      </c>
      <c r="W333" t="n">
        <v>15.223157</v>
      </c>
      <c r="X333" t="n">
        <v>285.614997</v>
      </c>
      <c r="Z333" t="n">
        <v>31.193085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H334" t="n">
        <v>1298.748387</v>
      </c>
      <c r="I334" t="n">
        <v>516.158398</v>
      </c>
      <c r="J334" t="n">
        <v>516.158398</v>
      </c>
      <c r="K334" t="n">
        <v>436.153846</v>
      </c>
      <c r="L334" t="n">
        <v>737.355125</v>
      </c>
      <c r="M334" t="n">
        <v>516.158398</v>
      </c>
      <c r="N334" t="n">
        <v>516.158398</v>
      </c>
      <c r="O334" t="n">
        <v>22.68</v>
      </c>
      <c r="P334" t="n">
        <v>14.5152</v>
      </c>
      <c r="Q334" t="n">
        <v>516.158398</v>
      </c>
      <c r="R334" t="n">
        <v>516.158398</v>
      </c>
      <c r="S334" t="n">
        <v>22.68</v>
      </c>
      <c r="T334" t="n">
        <v>22.68</v>
      </c>
      <c r="U334" t="n">
        <v>14.5152</v>
      </c>
      <c r="V334" t="n">
        <v>14.5152</v>
      </c>
      <c r="W334" t="n">
        <v>23.4128</v>
      </c>
      <c r="X334" t="n">
        <v>535.928446</v>
      </c>
      <c r="Z334" t="n">
        <v>23.254659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H335" t="n">
        <v>842.727401</v>
      </c>
      <c r="I335" t="n">
        <v>57.395403</v>
      </c>
      <c r="J335" t="n">
        <v>57.395403</v>
      </c>
      <c r="K335" t="n">
        <v>21.98244</v>
      </c>
      <c r="L335" t="n">
        <v>92.59366</v>
      </c>
      <c r="M335" t="n">
        <v>61.118924</v>
      </c>
      <c r="N335" t="n">
        <v>61.118924</v>
      </c>
      <c r="O335" t="n">
        <v>1.571536</v>
      </c>
      <c r="P335" t="n">
        <v>1.01605</v>
      </c>
      <c r="Q335" t="n">
        <v>61.118924</v>
      </c>
      <c r="R335" t="n">
        <v>61.118924</v>
      </c>
      <c r="S335" t="n">
        <v>1.571536</v>
      </c>
      <c r="T335" t="n">
        <v>1.571536</v>
      </c>
      <c r="U335" t="n">
        <v>1.01605</v>
      </c>
      <c r="V335" t="n">
        <v>1.01605</v>
      </c>
      <c r="W335" t="n">
        <v>1.626148</v>
      </c>
      <c r="X335" t="n">
        <v>63.787046</v>
      </c>
      <c r="Z335" t="n">
        <v>5.312721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H336" t="n">
        <v>66499585.166222</v>
      </c>
      <c r="I336" t="n">
        <v>4469.123499</v>
      </c>
      <c r="J336" t="n">
        <v>4793.322749</v>
      </c>
      <c r="K336" t="n">
        <v>1747.151432</v>
      </c>
      <c r="L336" t="n">
        <v>10677.999207</v>
      </c>
      <c r="M336" t="n">
        <v>7305.602239</v>
      </c>
      <c r="N336" t="n">
        <v>7305.602239</v>
      </c>
      <c r="O336" t="n">
        <v>41.400447</v>
      </c>
      <c r="P336" t="n">
        <v>18.192821</v>
      </c>
      <c r="Q336" t="n">
        <v>7305.602239</v>
      </c>
      <c r="R336" t="n">
        <v>7305.602239</v>
      </c>
      <c r="S336" t="n">
        <v>41.400447</v>
      </c>
      <c r="T336" t="n">
        <v>41.400447</v>
      </c>
      <c r="U336" t="n">
        <v>18.192821</v>
      </c>
      <c r="V336" t="n">
        <v>18.192821</v>
      </c>
      <c r="W336" t="n">
        <v>43.295832</v>
      </c>
      <c r="X336" t="n">
        <v>7878.655066</v>
      </c>
      <c r="Z336" t="n">
        <v>171.758301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H337" t="n">
        <v>18724.860706</v>
      </c>
      <c r="I337" t="n">
        <v>98.72009199999999</v>
      </c>
      <c r="J337" t="n">
        <v>98.72009199999999</v>
      </c>
      <c r="K337" t="n">
        <v>93.784087</v>
      </c>
      <c r="L337" t="n">
        <v>173.938876</v>
      </c>
      <c r="M337" t="n">
        <v>115.203607</v>
      </c>
      <c r="N337" t="n">
        <v>115.203607</v>
      </c>
      <c r="O337" t="n">
        <v>4.263184</v>
      </c>
      <c r="P337" t="n">
        <v>2.411197</v>
      </c>
      <c r="Q337" t="n">
        <v>115.203607</v>
      </c>
      <c r="R337" t="n">
        <v>115.203607</v>
      </c>
      <c r="S337" t="n">
        <v>4.263184</v>
      </c>
      <c r="T337" t="n">
        <v>4.263184</v>
      </c>
      <c r="U337" t="n">
        <v>2.411197</v>
      </c>
      <c r="V337" t="n">
        <v>2.411197</v>
      </c>
      <c r="W337" t="n">
        <v>4.428691</v>
      </c>
      <c r="X337" t="n">
        <v>122.757859</v>
      </c>
      <c r="Z337" t="n">
        <v>14.767218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H338" t="n">
        <v>66499585.166222</v>
      </c>
      <c r="I338" t="n">
        <v>4469.123499</v>
      </c>
      <c r="J338" t="n">
        <v>4793.322749</v>
      </c>
      <c r="K338" t="n">
        <v>1747.151432</v>
      </c>
      <c r="L338" t="n">
        <v>10677.999207</v>
      </c>
      <c r="M338" t="n">
        <v>7305.602239</v>
      </c>
      <c r="N338" t="n">
        <v>7305.602239</v>
      </c>
      <c r="O338" t="n">
        <v>41.400447</v>
      </c>
      <c r="P338" t="n">
        <v>18.192821</v>
      </c>
      <c r="Q338" t="n">
        <v>7305.602239</v>
      </c>
      <c r="R338" t="n">
        <v>7305.602239</v>
      </c>
      <c r="S338" t="n">
        <v>41.400447</v>
      </c>
      <c r="T338" t="n">
        <v>41.400447</v>
      </c>
      <c r="U338" t="n">
        <v>18.192821</v>
      </c>
      <c r="V338" t="n">
        <v>18.192821</v>
      </c>
      <c r="W338" t="n">
        <v>43.295832</v>
      </c>
      <c r="X338" t="n">
        <v>7878.655066</v>
      </c>
      <c r="Z338" t="n">
        <v>171.758301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H339" t="n">
        <v>18724.860706</v>
      </c>
      <c r="I339" t="n">
        <v>98.72009199999999</v>
      </c>
      <c r="J339" t="n">
        <v>98.72009199999999</v>
      </c>
      <c r="K339" t="n">
        <v>93.784087</v>
      </c>
      <c r="L339" t="n">
        <v>173.938876</v>
      </c>
      <c r="M339" t="n">
        <v>115.203607</v>
      </c>
      <c r="N339" t="n">
        <v>115.203607</v>
      </c>
      <c r="O339" t="n">
        <v>4.263184</v>
      </c>
      <c r="P339" t="n">
        <v>2.411197</v>
      </c>
      <c r="Q339" t="n">
        <v>115.203607</v>
      </c>
      <c r="R339" t="n">
        <v>115.203607</v>
      </c>
      <c r="S339" t="n">
        <v>4.263184</v>
      </c>
      <c r="T339" t="n">
        <v>4.263184</v>
      </c>
      <c r="U339" t="n">
        <v>2.411197</v>
      </c>
      <c r="V339" t="n">
        <v>2.411197</v>
      </c>
      <c r="W339" t="n">
        <v>4.428691</v>
      </c>
      <c r="X339" t="n">
        <v>122.757859</v>
      </c>
      <c r="Z339" t="n">
        <v>14.767218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H340" t="n">
        <v>32593.399706</v>
      </c>
      <c r="I340" t="n">
        <v>356.10635</v>
      </c>
      <c r="J340" t="n">
        <v>384.755747</v>
      </c>
      <c r="K340" t="n">
        <v>365.51796</v>
      </c>
      <c r="L340" t="n">
        <v>602.712303</v>
      </c>
      <c r="M340" t="n">
        <v>421.28566</v>
      </c>
      <c r="N340" t="n">
        <v>421.28566</v>
      </c>
      <c r="O340" t="n">
        <v>20.384878</v>
      </c>
      <c r="P340" t="n">
        <v>12.067619</v>
      </c>
      <c r="Q340" t="n">
        <v>421.28566</v>
      </c>
      <c r="R340" t="n">
        <v>421.28566</v>
      </c>
      <c r="S340" t="n">
        <v>20.384878</v>
      </c>
      <c r="T340" t="n">
        <v>20.384878</v>
      </c>
      <c r="U340" t="n">
        <v>12.067619</v>
      </c>
      <c r="V340" t="n">
        <v>12.067619</v>
      </c>
      <c r="W340" t="n">
        <v>20.990919</v>
      </c>
      <c r="X340" t="n">
        <v>434.828134</v>
      </c>
      <c r="Z340" t="n">
        <v>44.708144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H341" t="n">
        <v>842.727401</v>
      </c>
      <c r="I341" t="n">
        <v>57.395403</v>
      </c>
      <c r="J341" t="n">
        <v>57.395403</v>
      </c>
      <c r="K341" t="n">
        <v>21.98244</v>
      </c>
      <c r="L341" t="n">
        <v>92.59366</v>
      </c>
      <c r="M341" t="n">
        <v>61.118924</v>
      </c>
      <c r="N341" t="n">
        <v>61.118924</v>
      </c>
      <c r="O341" t="n">
        <v>1.571536</v>
      </c>
      <c r="P341" t="n">
        <v>1.01605</v>
      </c>
      <c r="Q341" t="n">
        <v>61.118924</v>
      </c>
      <c r="R341" t="n">
        <v>61.118924</v>
      </c>
      <c r="S341" t="n">
        <v>1.571536</v>
      </c>
      <c r="T341" t="n">
        <v>1.571536</v>
      </c>
      <c r="U341" t="n">
        <v>1.01605</v>
      </c>
      <c r="V341" t="n">
        <v>1.01605</v>
      </c>
      <c r="W341" t="n">
        <v>1.626148</v>
      </c>
      <c r="X341" t="n">
        <v>63.787046</v>
      </c>
      <c r="Z341" t="n">
        <v>5.312721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H342" t="n">
        <v>66499585.166222</v>
      </c>
      <c r="I342" t="n">
        <v>4469.123499</v>
      </c>
      <c r="J342" t="n">
        <v>4793.322749</v>
      </c>
      <c r="K342" t="n">
        <v>1747.151432</v>
      </c>
      <c r="L342" t="n">
        <v>10677.999207</v>
      </c>
      <c r="M342" t="n">
        <v>7305.602239</v>
      </c>
      <c r="N342" t="n">
        <v>7305.602239</v>
      </c>
      <c r="O342" t="n">
        <v>41.400447</v>
      </c>
      <c r="P342" t="n">
        <v>18.192821</v>
      </c>
      <c r="Q342" t="n">
        <v>7305.602239</v>
      </c>
      <c r="R342" t="n">
        <v>7305.602239</v>
      </c>
      <c r="S342" t="n">
        <v>41.400447</v>
      </c>
      <c r="T342" t="n">
        <v>41.400447</v>
      </c>
      <c r="U342" t="n">
        <v>18.192821</v>
      </c>
      <c r="V342" t="n">
        <v>18.192821</v>
      </c>
      <c r="W342" t="n">
        <v>43.295832</v>
      </c>
      <c r="X342" t="n">
        <v>7878.655066</v>
      </c>
      <c r="Z342" t="n">
        <v>171.758301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H343" t="n">
        <v>842.727401</v>
      </c>
      <c r="I343" t="n">
        <v>57.395403</v>
      </c>
      <c r="J343" t="n">
        <v>57.395403</v>
      </c>
      <c r="K343" t="n">
        <v>21.98244</v>
      </c>
      <c r="L343" t="n">
        <v>92.59366</v>
      </c>
      <c r="M343" t="n">
        <v>61.118924</v>
      </c>
      <c r="N343" t="n">
        <v>61.118924</v>
      </c>
      <c r="O343" t="n">
        <v>1.571536</v>
      </c>
      <c r="P343" t="n">
        <v>1.01605</v>
      </c>
      <c r="Q343" t="n">
        <v>61.118924</v>
      </c>
      <c r="R343" t="n">
        <v>61.118924</v>
      </c>
      <c r="S343" t="n">
        <v>1.571536</v>
      </c>
      <c r="T343" t="n">
        <v>1.571536</v>
      </c>
      <c r="U343" t="n">
        <v>1.01605</v>
      </c>
      <c r="V343" t="n">
        <v>1.01605</v>
      </c>
      <c r="W343" t="n">
        <v>1.626148</v>
      </c>
      <c r="X343" t="n">
        <v>63.787046</v>
      </c>
      <c r="Z343" t="n">
        <v>5.312721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H344" t="n">
        <v>426.216492</v>
      </c>
      <c r="I344" t="n">
        <v>88.674335</v>
      </c>
      <c r="J344" t="n">
        <v>88.674335</v>
      </c>
      <c r="K344" t="n">
        <v>84.240618</v>
      </c>
      <c r="L344" t="n">
        <v>130.894857</v>
      </c>
      <c r="M344" t="n">
        <v>88.674335</v>
      </c>
      <c r="N344" t="n">
        <v>88.674335</v>
      </c>
      <c r="O344" t="n">
        <v>5.151693</v>
      </c>
      <c r="P344" t="n">
        <v>3.42724</v>
      </c>
      <c r="Q344" t="n">
        <v>88.674335</v>
      </c>
      <c r="R344" t="n">
        <v>88.674335</v>
      </c>
      <c r="S344" t="n">
        <v>5.151693</v>
      </c>
      <c r="T344" t="n">
        <v>5.151693</v>
      </c>
      <c r="U344" t="n">
        <v>3.42724</v>
      </c>
      <c r="V344" t="n">
        <v>3.42724</v>
      </c>
      <c r="W344" t="n">
        <v>5.382228</v>
      </c>
      <c r="X344" t="n">
        <v>92.561423</v>
      </c>
      <c r="Z344" t="n">
        <v>8.611278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H345" t="n">
        <v>11759220.471206</v>
      </c>
      <c r="I345" t="n">
        <v>2184.150638</v>
      </c>
      <c r="J345" t="n">
        <v>2277.683197</v>
      </c>
      <c r="K345" t="n">
        <v>2163.799037</v>
      </c>
      <c r="L345" t="n">
        <v>4133.4309</v>
      </c>
      <c r="M345" t="n">
        <v>2817.724532</v>
      </c>
      <c r="N345" t="n">
        <v>2817.724532</v>
      </c>
      <c r="O345" t="n">
        <v>100.301142</v>
      </c>
      <c r="P345" t="n">
        <v>43.53974</v>
      </c>
      <c r="Q345" t="n">
        <v>2817.724532</v>
      </c>
      <c r="R345" t="n">
        <v>2817.724532</v>
      </c>
      <c r="S345" t="n">
        <v>100.301142</v>
      </c>
      <c r="T345" t="n">
        <v>100.301142</v>
      </c>
      <c r="U345" t="n">
        <v>43.53974</v>
      </c>
      <c r="V345" t="n">
        <v>43.53974</v>
      </c>
      <c r="W345" t="n">
        <v>106.305314</v>
      </c>
      <c r="X345" t="n">
        <v>2997.143608</v>
      </c>
      <c r="Z345" t="n">
        <v>261.151532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H346" t="n">
        <v>842.727401</v>
      </c>
      <c r="I346" t="n">
        <v>57.395403</v>
      </c>
      <c r="J346" t="n">
        <v>57.395403</v>
      </c>
      <c r="K346" t="n">
        <v>21.98244</v>
      </c>
      <c r="L346" t="n">
        <v>92.59366</v>
      </c>
      <c r="M346" t="n">
        <v>61.118924</v>
      </c>
      <c r="N346" t="n">
        <v>61.118924</v>
      </c>
      <c r="O346" t="n">
        <v>1.571536</v>
      </c>
      <c r="P346" t="n">
        <v>1.01605</v>
      </c>
      <c r="Q346" t="n">
        <v>61.118924</v>
      </c>
      <c r="R346" t="n">
        <v>61.118924</v>
      </c>
      <c r="S346" t="n">
        <v>1.571536</v>
      </c>
      <c r="T346" t="n">
        <v>1.571536</v>
      </c>
      <c r="U346" t="n">
        <v>1.01605</v>
      </c>
      <c r="V346" t="n">
        <v>1.01605</v>
      </c>
      <c r="W346" t="n">
        <v>1.626148</v>
      </c>
      <c r="X346" t="n">
        <v>63.787046</v>
      </c>
      <c r="Z346" t="n">
        <v>5.312721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H347" t="n">
        <v>32593.399706</v>
      </c>
      <c r="I347" t="n">
        <v>356.10635</v>
      </c>
      <c r="J347" t="n">
        <v>384.755747</v>
      </c>
      <c r="K347" t="n">
        <v>365.51796</v>
      </c>
      <c r="L347" t="n">
        <v>602.712303</v>
      </c>
      <c r="M347" t="n">
        <v>421.28566</v>
      </c>
      <c r="N347" t="n">
        <v>421.28566</v>
      </c>
      <c r="O347" t="n">
        <v>20.384878</v>
      </c>
      <c r="P347" t="n">
        <v>12.067619</v>
      </c>
      <c r="Q347" t="n">
        <v>421.28566</v>
      </c>
      <c r="R347" t="n">
        <v>421.28566</v>
      </c>
      <c r="S347" t="n">
        <v>20.384878</v>
      </c>
      <c r="T347" t="n">
        <v>20.384878</v>
      </c>
      <c r="U347" t="n">
        <v>12.067619</v>
      </c>
      <c r="V347" t="n">
        <v>12.067619</v>
      </c>
      <c r="W347" t="n">
        <v>20.990919</v>
      </c>
      <c r="X347" t="n">
        <v>434.828134</v>
      </c>
      <c r="Z347" t="n">
        <v>44.708144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H349" t="n">
        <v>11759220.471206</v>
      </c>
      <c r="I349" t="n">
        <v>2184.150638</v>
      </c>
      <c r="J349" t="n">
        <v>2277.683197</v>
      </c>
      <c r="K349" t="n">
        <v>2163.799037</v>
      </c>
      <c r="L349" t="n">
        <v>4133.4309</v>
      </c>
      <c r="M349" t="n">
        <v>2817.724532</v>
      </c>
      <c r="N349" t="n">
        <v>2817.724532</v>
      </c>
      <c r="O349" t="n">
        <v>100.301142</v>
      </c>
      <c r="P349" t="n">
        <v>43.53974</v>
      </c>
      <c r="Q349" t="n">
        <v>2817.724532</v>
      </c>
      <c r="R349" t="n">
        <v>2817.724532</v>
      </c>
      <c r="S349" t="n">
        <v>100.301142</v>
      </c>
      <c r="T349" t="n">
        <v>100.301142</v>
      </c>
      <c r="U349" t="n">
        <v>43.53974</v>
      </c>
      <c r="V349" t="n">
        <v>43.53974</v>
      </c>
      <c r="W349" t="n">
        <v>106.305314</v>
      </c>
      <c r="X349" t="n">
        <v>2997.143608</v>
      </c>
      <c r="Z349" t="n">
        <v>261.151532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H350" t="n">
        <v>66499585.166222</v>
      </c>
      <c r="I350" t="n">
        <v>4469.123499</v>
      </c>
      <c r="J350" t="n">
        <v>4793.322749</v>
      </c>
      <c r="K350" t="n">
        <v>1747.151432</v>
      </c>
      <c r="L350" t="n">
        <v>10677.999207</v>
      </c>
      <c r="M350" t="n">
        <v>7305.602239</v>
      </c>
      <c r="N350" t="n">
        <v>7305.602239</v>
      </c>
      <c r="O350" t="n">
        <v>41.400447</v>
      </c>
      <c r="P350" t="n">
        <v>18.192821</v>
      </c>
      <c r="Q350" t="n">
        <v>7305.602239</v>
      </c>
      <c r="R350" t="n">
        <v>7305.602239</v>
      </c>
      <c r="S350" t="n">
        <v>41.400447</v>
      </c>
      <c r="T350" t="n">
        <v>41.400447</v>
      </c>
      <c r="U350" t="n">
        <v>18.192821</v>
      </c>
      <c r="V350" t="n">
        <v>18.192821</v>
      </c>
      <c r="W350" t="n">
        <v>43.295832</v>
      </c>
      <c r="X350" t="n">
        <v>7878.655066</v>
      </c>
      <c r="Z350" t="n">
        <v>171.758301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H351" t="n">
        <v>14879959.242488</v>
      </c>
      <c r="I351" t="n">
        <v>4341.841291</v>
      </c>
      <c r="J351" t="n">
        <v>4398.007385</v>
      </c>
      <c r="K351" t="n">
        <v>1301.694746</v>
      </c>
      <c r="L351" t="n">
        <v>7112.982475</v>
      </c>
      <c r="M351" t="n">
        <v>4967.292392</v>
      </c>
      <c r="N351" t="n">
        <v>4967.292392</v>
      </c>
      <c r="O351" t="n">
        <v>58.311114</v>
      </c>
      <c r="P351" t="n">
        <v>31.032685</v>
      </c>
      <c r="Q351" t="n">
        <v>4967.292392</v>
      </c>
      <c r="R351" t="n">
        <v>4967.292392</v>
      </c>
      <c r="S351" t="n">
        <v>58.311114</v>
      </c>
      <c r="T351" t="n">
        <v>58.311114</v>
      </c>
      <c r="U351" t="n">
        <v>31.032685</v>
      </c>
      <c r="V351" t="n">
        <v>31.032685</v>
      </c>
      <c r="W351" t="n">
        <v>61.724923</v>
      </c>
      <c r="X351" t="n">
        <v>5208.68705</v>
      </c>
      <c r="Z351" t="n">
        <v>132.574913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H352" t="n">
        <v>1993.394013</v>
      </c>
      <c r="I352" t="n">
        <v>277.068801</v>
      </c>
      <c r="J352" t="n">
        <v>277.068801</v>
      </c>
      <c r="K352" t="n">
        <v>263.215361</v>
      </c>
      <c r="L352" t="n">
        <v>393.787233</v>
      </c>
      <c r="M352" t="n">
        <v>277.168933</v>
      </c>
      <c r="N352" t="n">
        <v>277.168933</v>
      </c>
      <c r="O352" t="n">
        <v>14.521402</v>
      </c>
      <c r="P352" t="n">
        <v>9.426283</v>
      </c>
      <c r="Q352" t="n">
        <v>277.168933</v>
      </c>
      <c r="R352" t="n">
        <v>277.168933</v>
      </c>
      <c r="S352" t="n">
        <v>14.521402</v>
      </c>
      <c r="T352" t="n">
        <v>14.521402</v>
      </c>
      <c r="U352" t="n">
        <v>9.426283</v>
      </c>
      <c r="V352" t="n">
        <v>9.426283</v>
      </c>
      <c r="W352" t="n">
        <v>15.223157</v>
      </c>
      <c r="X352" t="n">
        <v>285.614997</v>
      </c>
      <c r="Z352" t="n">
        <v>31.193085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H353" t="n">
        <v>12597587.109426</v>
      </c>
      <c r="I353" t="n">
        <v>2011.85117</v>
      </c>
      <c r="J353" t="n">
        <v>2069.253476</v>
      </c>
      <c r="K353" t="n">
        <v>1211.061254</v>
      </c>
      <c r="L353" t="n">
        <v>3691.420719</v>
      </c>
      <c r="M353" t="n">
        <v>2544.206248</v>
      </c>
      <c r="N353" t="n">
        <v>2544.206248</v>
      </c>
      <c r="O353" t="n">
        <v>52.008808</v>
      </c>
      <c r="P353" t="n">
        <v>24.402038</v>
      </c>
      <c r="Q353" t="n">
        <v>2544.206248</v>
      </c>
      <c r="R353" t="n">
        <v>2544.206248</v>
      </c>
      <c r="S353" t="n">
        <v>52.008808</v>
      </c>
      <c r="T353" t="n">
        <v>52.008808</v>
      </c>
      <c r="U353" t="n">
        <v>24.402038</v>
      </c>
      <c r="V353" t="n">
        <v>24.402038</v>
      </c>
      <c r="W353" t="n">
        <v>54.568994</v>
      </c>
      <c r="X353" t="n">
        <v>2714.954335</v>
      </c>
      <c r="Z353" t="n">
        <v>182.392954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H354" t="n">
        <v>14879959.242488</v>
      </c>
      <c r="I354" t="n">
        <v>4341.841291</v>
      </c>
      <c r="J354" t="n">
        <v>4398.007385</v>
      </c>
      <c r="K354" t="n">
        <v>1301.694746</v>
      </c>
      <c r="L354" t="n">
        <v>7112.982475</v>
      </c>
      <c r="M354" t="n">
        <v>4967.292392</v>
      </c>
      <c r="N354" t="n">
        <v>4967.292392</v>
      </c>
      <c r="O354" t="n">
        <v>58.311114</v>
      </c>
      <c r="P354" t="n">
        <v>31.032685</v>
      </c>
      <c r="Q354" t="n">
        <v>4967.292392</v>
      </c>
      <c r="R354" t="n">
        <v>4967.292392</v>
      </c>
      <c r="S354" t="n">
        <v>58.311114</v>
      </c>
      <c r="T354" t="n">
        <v>58.311114</v>
      </c>
      <c r="U354" t="n">
        <v>31.032685</v>
      </c>
      <c r="V354" t="n">
        <v>31.032685</v>
      </c>
      <c r="W354" t="n">
        <v>61.724923</v>
      </c>
      <c r="X354" t="n">
        <v>5208.68705</v>
      </c>
      <c r="Z354" t="n">
        <v>132.574913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H355" t="n">
        <v>66499585.166222</v>
      </c>
      <c r="I355" t="n">
        <v>4469.123499</v>
      </c>
      <c r="J355" t="n">
        <v>4793.322749</v>
      </c>
      <c r="K355" t="n">
        <v>1747.151432</v>
      </c>
      <c r="L355" t="n">
        <v>10677.999207</v>
      </c>
      <c r="M355" t="n">
        <v>7305.602239</v>
      </c>
      <c r="N355" t="n">
        <v>7305.602239</v>
      </c>
      <c r="O355" t="n">
        <v>41.400447</v>
      </c>
      <c r="P355" t="n">
        <v>18.192821</v>
      </c>
      <c r="Q355" t="n">
        <v>7305.602239</v>
      </c>
      <c r="R355" t="n">
        <v>7305.602239</v>
      </c>
      <c r="S355" t="n">
        <v>41.400447</v>
      </c>
      <c r="T355" t="n">
        <v>41.400447</v>
      </c>
      <c r="U355" t="n">
        <v>18.192821</v>
      </c>
      <c r="V355" t="n">
        <v>18.192821</v>
      </c>
      <c r="W355" t="n">
        <v>43.295832</v>
      </c>
      <c r="X355" t="n">
        <v>7878.655066</v>
      </c>
      <c r="Z355" t="n">
        <v>171.758301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H356" t="n">
        <v>842.727401</v>
      </c>
      <c r="I356" t="n">
        <v>57.395403</v>
      </c>
      <c r="J356" t="n">
        <v>57.395403</v>
      </c>
      <c r="K356" t="n">
        <v>21.98244</v>
      </c>
      <c r="L356" t="n">
        <v>92.59366</v>
      </c>
      <c r="M356" t="n">
        <v>61.118924</v>
      </c>
      <c r="N356" t="n">
        <v>61.118924</v>
      </c>
      <c r="O356" t="n">
        <v>1.571536</v>
      </c>
      <c r="P356" t="n">
        <v>1.01605</v>
      </c>
      <c r="Q356" t="n">
        <v>61.118924</v>
      </c>
      <c r="R356" t="n">
        <v>61.118924</v>
      </c>
      <c r="S356" t="n">
        <v>1.571536</v>
      </c>
      <c r="T356" t="n">
        <v>1.571536</v>
      </c>
      <c r="U356" t="n">
        <v>1.01605</v>
      </c>
      <c r="V356" t="n">
        <v>1.01605</v>
      </c>
      <c r="W356" t="n">
        <v>1.626148</v>
      </c>
      <c r="X356" t="n">
        <v>63.787046</v>
      </c>
      <c r="Z356" t="n">
        <v>5.312721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H357" t="n">
        <v>284212.520683</v>
      </c>
      <c r="I357" t="n">
        <v>386.298429</v>
      </c>
      <c r="J357" t="n">
        <v>403.015522</v>
      </c>
      <c r="K357" t="n">
        <v>382.864746</v>
      </c>
      <c r="L357" t="n">
        <v>738.02552</v>
      </c>
      <c r="M357" t="n">
        <v>504.12505</v>
      </c>
      <c r="N357" t="n">
        <v>504.12505</v>
      </c>
      <c r="O357" t="n">
        <v>19.791087</v>
      </c>
      <c r="P357" t="n">
        <v>10.585758</v>
      </c>
      <c r="Q357" t="n">
        <v>504.12505</v>
      </c>
      <c r="R357" t="n">
        <v>504.12505</v>
      </c>
      <c r="S357" t="n">
        <v>19.791087</v>
      </c>
      <c r="T357" t="n">
        <v>19.791087</v>
      </c>
      <c r="U357" t="n">
        <v>10.585758</v>
      </c>
      <c r="V357" t="n">
        <v>10.585758</v>
      </c>
      <c r="W357" t="n">
        <v>20.644284</v>
      </c>
      <c r="X357" t="n">
        <v>528.265792</v>
      </c>
      <c r="Z357" t="n">
        <v>47.016842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H358" t="n">
        <v>10541.431348</v>
      </c>
      <c r="I358" t="n">
        <v>418.593928</v>
      </c>
      <c r="J358" t="n">
        <v>418.593928</v>
      </c>
      <c r="K358" t="n">
        <v>166.600383</v>
      </c>
      <c r="L358" t="n">
        <v>1080.992157</v>
      </c>
      <c r="M358" t="n">
        <v>753.402512</v>
      </c>
      <c r="N358" t="n">
        <v>753.402512</v>
      </c>
      <c r="O358" t="n">
        <v>10.622481</v>
      </c>
      <c r="P358" t="n">
        <v>5.780752</v>
      </c>
      <c r="Q358" t="n">
        <v>753.402512</v>
      </c>
      <c r="R358" t="n">
        <v>753.402512</v>
      </c>
      <c r="S358" t="n">
        <v>10.622481</v>
      </c>
      <c r="T358" t="n">
        <v>10.622481</v>
      </c>
      <c r="U358" t="n">
        <v>5.780752</v>
      </c>
      <c r="V358" t="n">
        <v>5.780752</v>
      </c>
      <c r="W358" t="n">
        <v>11.036237</v>
      </c>
      <c r="X358" t="n">
        <v>791.2975750000001</v>
      </c>
      <c r="Z358" t="n">
        <v>23.932868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H359" t="n">
        <v>28044039.752191</v>
      </c>
      <c r="I359" t="n">
        <v>86321.834013</v>
      </c>
      <c r="J359" t="n">
        <v>87278.99642</v>
      </c>
      <c r="K359" t="n">
        <v>43639.49821</v>
      </c>
      <c r="L359" t="n">
        <v>172174.15174</v>
      </c>
      <c r="M359" t="n">
        <v>119442.301921</v>
      </c>
      <c r="N359" t="n">
        <v>119442.301921</v>
      </c>
      <c r="O359" t="n">
        <v>130.775511</v>
      </c>
      <c r="P359" t="n">
        <v>57.053814</v>
      </c>
      <c r="Q359" t="n">
        <v>119442.301921</v>
      </c>
      <c r="R359" t="n">
        <v>119442.301921</v>
      </c>
      <c r="S359" t="n">
        <v>130.775511</v>
      </c>
      <c r="T359" t="n">
        <v>130.775511</v>
      </c>
      <c r="U359" t="n">
        <v>57.053814</v>
      </c>
      <c r="V359" t="n">
        <v>57.053814</v>
      </c>
      <c r="W359" t="n">
        <v>139.198598</v>
      </c>
      <c r="X359" t="n">
        <v>127625.763444</v>
      </c>
      <c r="Z359" t="n">
        <v>467.2534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H360" t="n">
        <v>1993.394013</v>
      </c>
      <c r="I360" t="n">
        <v>277.068801</v>
      </c>
      <c r="J360" t="n">
        <v>277.068801</v>
      </c>
      <c r="K360" t="n">
        <v>263.215361</v>
      </c>
      <c r="L360" t="n">
        <v>393.787233</v>
      </c>
      <c r="M360" t="n">
        <v>277.168933</v>
      </c>
      <c r="N360" t="n">
        <v>277.168933</v>
      </c>
      <c r="O360" t="n">
        <v>14.521402</v>
      </c>
      <c r="P360" t="n">
        <v>9.426283</v>
      </c>
      <c r="Q360" t="n">
        <v>277.168933</v>
      </c>
      <c r="R360" t="n">
        <v>277.168933</v>
      </c>
      <c r="S360" t="n">
        <v>14.521402</v>
      </c>
      <c r="T360" t="n">
        <v>14.521402</v>
      </c>
      <c r="U360" t="n">
        <v>9.426283</v>
      </c>
      <c r="V360" t="n">
        <v>9.426283</v>
      </c>
      <c r="W360" t="n">
        <v>15.223157</v>
      </c>
      <c r="X360" t="n">
        <v>285.614997</v>
      </c>
      <c r="Z360" t="n">
        <v>31.193085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H362" t="n">
        <v>842.727401</v>
      </c>
      <c r="I362" t="n">
        <v>57.395403</v>
      </c>
      <c r="J362" t="n">
        <v>57.395403</v>
      </c>
      <c r="K362" t="n">
        <v>21.98244</v>
      </c>
      <c r="L362" t="n">
        <v>92.59366</v>
      </c>
      <c r="M362" t="n">
        <v>61.118924</v>
      </c>
      <c r="N362" t="n">
        <v>61.118924</v>
      </c>
      <c r="O362" t="n">
        <v>1.571536</v>
      </c>
      <c r="P362" t="n">
        <v>1.01605</v>
      </c>
      <c r="Q362" t="n">
        <v>61.118924</v>
      </c>
      <c r="R362" t="n">
        <v>61.118924</v>
      </c>
      <c r="S362" t="n">
        <v>1.571536</v>
      </c>
      <c r="T362" t="n">
        <v>1.571536</v>
      </c>
      <c r="U362" t="n">
        <v>1.01605</v>
      </c>
      <c r="V362" t="n">
        <v>1.01605</v>
      </c>
      <c r="W362" t="n">
        <v>1.626148</v>
      </c>
      <c r="X362" t="n">
        <v>63.787046</v>
      </c>
      <c r="Z362" t="n">
        <v>5.312721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H363" t="n">
        <v>14879959.242488</v>
      </c>
      <c r="I363" t="n">
        <v>4341.841291</v>
      </c>
      <c r="J363" t="n">
        <v>4398.007385</v>
      </c>
      <c r="K363" t="n">
        <v>1301.694746</v>
      </c>
      <c r="L363" t="n">
        <v>7112.982475</v>
      </c>
      <c r="M363" t="n">
        <v>4967.292392</v>
      </c>
      <c r="N363" t="n">
        <v>4967.292392</v>
      </c>
      <c r="O363" t="n">
        <v>58.311114</v>
      </c>
      <c r="P363" t="n">
        <v>31.032685</v>
      </c>
      <c r="Q363" t="n">
        <v>4967.292392</v>
      </c>
      <c r="R363" t="n">
        <v>4967.292392</v>
      </c>
      <c r="S363" t="n">
        <v>58.311114</v>
      </c>
      <c r="T363" t="n">
        <v>58.311114</v>
      </c>
      <c r="U363" t="n">
        <v>31.032685</v>
      </c>
      <c r="V363" t="n">
        <v>31.032685</v>
      </c>
      <c r="W363" t="n">
        <v>61.724923</v>
      </c>
      <c r="X363" t="n">
        <v>5208.68705</v>
      </c>
      <c r="Z363" t="n">
        <v>132.574913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H364" t="n">
        <v>14879959.242488</v>
      </c>
      <c r="I364" t="n">
        <v>4341.841291</v>
      </c>
      <c r="J364" t="n">
        <v>4398.007385</v>
      </c>
      <c r="K364" t="n">
        <v>1301.694746</v>
      </c>
      <c r="L364" t="n">
        <v>7112.982475</v>
      </c>
      <c r="M364" t="n">
        <v>4967.292392</v>
      </c>
      <c r="N364" t="n">
        <v>4967.292392</v>
      </c>
      <c r="O364" t="n">
        <v>58.311114</v>
      </c>
      <c r="P364" t="n">
        <v>31.032685</v>
      </c>
      <c r="Q364" t="n">
        <v>4967.292392</v>
      </c>
      <c r="R364" t="n">
        <v>4967.292392</v>
      </c>
      <c r="S364" t="n">
        <v>58.311114</v>
      </c>
      <c r="T364" t="n">
        <v>58.311114</v>
      </c>
      <c r="U364" t="n">
        <v>31.032685</v>
      </c>
      <c r="V364" t="n">
        <v>31.032685</v>
      </c>
      <c r="W364" t="n">
        <v>61.724923</v>
      </c>
      <c r="X364" t="n">
        <v>5208.68705</v>
      </c>
      <c r="Z364" t="n">
        <v>132.574913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H365" t="n">
        <v>28044039.752191</v>
      </c>
      <c r="I365" t="n">
        <v>86321.834013</v>
      </c>
      <c r="J365" t="n">
        <v>87278.99642</v>
      </c>
      <c r="K365" t="n">
        <v>43639.49821</v>
      </c>
      <c r="L365" t="n">
        <v>172174.15174</v>
      </c>
      <c r="M365" t="n">
        <v>119442.301921</v>
      </c>
      <c r="N365" t="n">
        <v>119442.301921</v>
      </c>
      <c r="O365" t="n">
        <v>130.775511</v>
      </c>
      <c r="P365" t="n">
        <v>57.053814</v>
      </c>
      <c r="Q365" t="n">
        <v>119442.301921</v>
      </c>
      <c r="R365" t="n">
        <v>119442.301921</v>
      </c>
      <c r="S365" t="n">
        <v>130.775511</v>
      </c>
      <c r="T365" t="n">
        <v>130.775511</v>
      </c>
      <c r="U365" t="n">
        <v>57.053814</v>
      </c>
      <c r="V365" t="n">
        <v>57.053814</v>
      </c>
      <c r="W365" t="n">
        <v>139.198598</v>
      </c>
      <c r="X365" t="n">
        <v>127625.763444</v>
      </c>
      <c r="Z365" t="n">
        <v>467.2534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H366" t="n">
        <v>842.727401</v>
      </c>
      <c r="I366" t="n">
        <v>57.395403</v>
      </c>
      <c r="J366" t="n">
        <v>57.395403</v>
      </c>
      <c r="K366" t="n">
        <v>21.98244</v>
      </c>
      <c r="L366" t="n">
        <v>92.59366</v>
      </c>
      <c r="M366" t="n">
        <v>61.118924</v>
      </c>
      <c r="N366" t="n">
        <v>61.118924</v>
      </c>
      <c r="O366" t="n">
        <v>1.571536</v>
      </c>
      <c r="P366" t="n">
        <v>1.01605</v>
      </c>
      <c r="Q366" t="n">
        <v>61.118924</v>
      </c>
      <c r="R366" t="n">
        <v>61.118924</v>
      </c>
      <c r="S366" t="n">
        <v>1.571536</v>
      </c>
      <c r="T366" t="n">
        <v>1.571536</v>
      </c>
      <c r="U366" t="n">
        <v>1.01605</v>
      </c>
      <c r="V366" t="n">
        <v>1.01605</v>
      </c>
      <c r="W366" t="n">
        <v>1.626148</v>
      </c>
      <c r="X366" t="n">
        <v>63.787046</v>
      </c>
      <c r="Z366" t="n">
        <v>5.312721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H367" t="n">
        <v>10541.431348</v>
      </c>
      <c r="I367" t="n">
        <v>418.593928</v>
      </c>
      <c r="J367" t="n">
        <v>418.593928</v>
      </c>
      <c r="K367" t="n">
        <v>166.600383</v>
      </c>
      <c r="L367" t="n">
        <v>1080.992157</v>
      </c>
      <c r="M367" t="n">
        <v>753.402512</v>
      </c>
      <c r="N367" t="n">
        <v>753.402512</v>
      </c>
      <c r="O367" t="n">
        <v>10.622481</v>
      </c>
      <c r="P367" t="n">
        <v>5.780752</v>
      </c>
      <c r="Q367" t="n">
        <v>753.402512</v>
      </c>
      <c r="R367" t="n">
        <v>753.402512</v>
      </c>
      <c r="S367" t="n">
        <v>10.622481</v>
      </c>
      <c r="T367" t="n">
        <v>10.622481</v>
      </c>
      <c r="U367" t="n">
        <v>5.780752</v>
      </c>
      <c r="V367" t="n">
        <v>5.780752</v>
      </c>
      <c r="W367" t="n">
        <v>11.036237</v>
      </c>
      <c r="X367" t="n">
        <v>791.2975750000001</v>
      </c>
      <c r="Z367" t="n">
        <v>23.932868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H368" t="n">
        <v>11759220.471206</v>
      </c>
      <c r="I368" t="n">
        <v>2184.150638</v>
      </c>
      <c r="J368" t="n">
        <v>2277.683197</v>
      </c>
      <c r="K368" t="n">
        <v>2163.799037</v>
      </c>
      <c r="L368" t="n">
        <v>4133.4309</v>
      </c>
      <c r="M368" t="n">
        <v>2817.724532</v>
      </c>
      <c r="N368" t="n">
        <v>2817.724532</v>
      </c>
      <c r="O368" t="n">
        <v>100.301142</v>
      </c>
      <c r="P368" t="n">
        <v>43.53974</v>
      </c>
      <c r="Q368" t="n">
        <v>2817.724532</v>
      </c>
      <c r="R368" t="n">
        <v>2817.724532</v>
      </c>
      <c r="S368" t="n">
        <v>100.301142</v>
      </c>
      <c r="T368" t="n">
        <v>100.301142</v>
      </c>
      <c r="U368" t="n">
        <v>43.53974</v>
      </c>
      <c r="V368" t="n">
        <v>43.53974</v>
      </c>
      <c r="W368" t="n">
        <v>106.305314</v>
      </c>
      <c r="X368" t="n">
        <v>2997.143608</v>
      </c>
      <c r="Z368" t="n">
        <v>261.151532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H369" t="n">
        <v>14879959.242488</v>
      </c>
      <c r="I369" t="n">
        <v>4341.841291</v>
      </c>
      <c r="J369" t="n">
        <v>4398.007385</v>
      </c>
      <c r="K369" t="n">
        <v>1301.694746</v>
      </c>
      <c r="L369" t="n">
        <v>7112.982475</v>
      </c>
      <c r="M369" t="n">
        <v>4967.292392</v>
      </c>
      <c r="N369" t="n">
        <v>4967.292392</v>
      </c>
      <c r="O369" t="n">
        <v>58.311114</v>
      </c>
      <c r="P369" t="n">
        <v>31.032685</v>
      </c>
      <c r="Q369" t="n">
        <v>4967.292392</v>
      </c>
      <c r="R369" t="n">
        <v>4967.292392</v>
      </c>
      <c r="S369" t="n">
        <v>58.311114</v>
      </c>
      <c r="T369" t="n">
        <v>58.311114</v>
      </c>
      <c r="U369" t="n">
        <v>31.032685</v>
      </c>
      <c r="V369" t="n">
        <v>31.032685</v>
      </c>
      <c r="W369" t="n">
        <v>61.724923</v>
      </c>
      <c r="X369" t="n">
        <v>5208.68705</v>
      </c>
      <c r="Z369" t="n">
        <v>132.574913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H370" t="n">
        <v>14879959.242488</v>
      </c>
      <c r="I370" t="n">
        <v>4341.841291</v>
      </c>
      <c r="J370" t="n">
        <v>4398.007385</v>
      </c>
      <c r="K370" t="n">
        <v>1301.694746</v>
      </c>
      <c r="L370" t="n">
        <v>7112.982475</v>
      </c>
      <c r="M370" t="n">
        <v>4967.292392</v>
      </c>
      <c r="N370" t="n">
        <v>4967.292392</v>
      </c>
      <c r="O370" t="n">
        <v>58.311114</v>
      </c>
      <c r="P370" t="n">
        <v>31.032685</v>
      </c>
      <c r="Q370" t="n">
        <v>4967.292392</v>
      </c>
      <c r="R370" t="n">
        <v>4967.292392</v>
      </c>
      <c r="S370" t="n">
        <v>58.311114</v>
      </c>
      <c r="T370" t="n">
        <v>58.311114</v>
      </c>
      <c r="U370" t="n">
        <v>31.032685</v>
      </c>
      <c r="V370" t="n">
        <v>31.032685</v>
      </c>
      <c r="W370" t="n">
        <v>61.724923</v>
      </c>
      <c r="X370" t="n">
        <v>5208.68705</v>
      </c>
      <c r="Z370" t="n">
        <v>132.574913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H371" t="n">
        <v>10541.431348</v>
      </c>
      <c r="I371" t="n">
        <v>418.593928</v>
      </c>
      <c r="J371" t="n">
        <v>418.593928</v>
      </c>
      <c r="K371" t="n">
        <v>166.600383</v>
      </c>
      <c r="L371" t="n">
        <v>1080.992157</v>
      </c>
      <c r="M371" t="n">
        <v>753.402512</v>
      </c>
      <c r="N371" t="n">
        <v>753.402512</v>
      </c>
      <c r="O371" t="n">
        <v>10.622481</v>
      </c>
      <c r="P371" t="n">
        <v>5.780752</v>
      </c>
      <c r="Q371" t="n">
        <v>753.402512</v>
      </c>
      <c r="R371" t="n">
        <v>753.402512</v>
      </c>
      <c r="S371" t="n">
        <v>10.622481</v>
      </c>
      <c r="T371" t="n">
        <v>10.622481</v>
      </c>
      <c r="U371" t="n">
        <v>5.780752</v>
      </c>
      <c r="V371" t="n">
        <v>5.780752</v>
      </c>
      <c r="W371" t="n">
        <v>11.036237</v>
      </c>
      <c r="X371" t="n">
        <v>791.2975750000001</v>
      </c>
      <c r="Z371" t="n">
        <v>23.932868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H373" t="n">
        <v>28044039.752191</v>
      </c>
      <c r="I373" t="n">
        <v>86321.834013</v>
      </c>
      <c r="J373" t="n">
        <v>87278.99642</v>
      </c>
      <c r="K373" t="n">
        <v>43639.49821</v>
      </c>
      <c r="L373" t="n">
        <v>172174.15174</v>
      </c>
      <c r="M373" t="n">
        <v>119442.301921</v>
      </c>
      <c r="N373" t="n">
        <v>119442.301921</v>
      </c>
      <c r="O373" t="n">
        <v>130.775511</v>
      </c>
      <c r="P373" t="n">
        <v>57.053814</v>
      </c>
      <c r="Q373" t="n">
        <v>119442.301921</v>
      </c>
      <c r="R373" t="n">
        <v>119442.301921</v>
      </c>
      <c r="S373" t="n">
        <v>130.775511</v>
      </c>
      <c r="T373" t="n">
        <v>130.775511</v>
      </c>
      <c r="U373" t="n">
        <v>57.053814</v>
      </c>
      <c r="V373" t="n">
        <v>57.053814</v>
      </c>
      <c r="W373" t="n">
        <v>139.198598</v>
      </c>
      <c r="X373" t="n">
        <v>127625.763444</v>
      </c>
      <c r="Z373" t="n">
        <v>467.2534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H374" t="n">
        <v>842.727401</v>
      </c>
      <c r="I374" t="n">
        <v>57.395403</v>
      </c>
      <c r="J374" t="n">
        <v>57.395403</v>
      </c>
      <c r="K374" t="n">
        <v>21.98244</v>
      </c>
      <c r="L374" t="n">
        <v>92.59366</v>
      </c>
      <c r="M374" t="n">
        <v>61.118924</v>
      </c>
      <c r="N374" t="n">
        <v>61.118924</v>
      </c>
      <c r="O374" t="n">
        <v>1.571536</v>
      </c>
      <c r="P374" t="n">
        <v>1.01605</v>
      </c>
      <c r="Q374" t="n">
        <v>61.118924</v>
      </c>
      <c r="R374" t="n">
        <v>61.118924</v>
      </c>
      <c r="S374" t="n">
        <v>1.571536</v>
      </c>
      <c r="T374" t="n">
        <v>1.571536</v>
      </c>
      <c r="U374" t="n">
        <v>1.01605</v>
      </c>
      <c r="V374" t="n">
        <v>1.01605</v>
      </c>
      <c r="W374" t="n">
        <v>1.626148</v>
      </c>
      <c r="X374" t="n">
        <v>63.787046</v>
      </c>
      <c r="Z374" t="n">
        <v>5.312721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H375" t="n">
        <v>10541.431348</v>
      </c>
      <c r="I375" t="n">
        <v>418.593928</v>
      </c>
      <c r="J375" t="n">
        <v>418.593928</v>
      </c>
      <c r="K375" t="n">
        <v>166.600383</v>
      </c>
      <c r="L375" t="n">
        <v>1080.992157</v>
      </c>
      <c r="M375" t="n">
        <v>753.402512</v>
      </c>
      <c r="N375" t="n">
        <v>753.402512</v>
      </c>
      <c r="O375" t="n">
        <v>10.622481</v>
      </c>
      <c r="P375" t="n">
        <v>5.780752</v>
      </c>
      <c r="Q375" t="n">
        <v>753.402512</v>
      </c>
      <c r="R375" t="n">
        <v>753.402512</v>
      </c>
      <c r="S375" t="n">
        <v>10.622481</v>
      </c>
      <c r="T375" t="n">
        <v>10.622481</v>
      </c>
      <c r="U375" t="n">
        <v>5.780752</v>
      </c>
      <c r="V375" t="n">
        <v>5.780752</v>
      </c>
      <c r="W375" t="n">
        <v>11.036237</v>
      </c>
      <c r="X375" t="n">
        <v>791.2975750000001</v>
      </c>
      <c r="Z375" t="n">
        <v>23.932868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H376" t="n">
        <v>842.727401</v>
      </c>
      <c r="I376" t="n">
        <v>57.395403</v>
      </c>
      <c r="J376" t="n">
        <v>57.395403</v>
      </c>
      <c r="K376" t="n">
        <v>21.98244</v>
      </c>
      <c r="L376" t="n">
        <v>92.59366</v>
      </c>
      <c r="M376" t="n">
        <v>61.118924</v>
      </c>
      <c r="N376" t="n">
        <v>61.118924</v>
      </c>
      <c r="O376" t="n">
        <v>1.571536</v>
      </c>
      <c r="P376" t="n">
        <v>1.01605</v>
      </c>
      <c r="Q376" t="n">
        <v>61.118924</v>
      </c>
      <c r="R376" t="n">
        <v>61.118924</v>
      </c>
      <c r="S376" t="n">
        <v>1.571536</v>
      </c>
      <c r="T376" t="n">
        <v>1.571536</v>
      </c>
      <c r="U376" t="n">
        <v>1.01605</v>
      </c>
      <c r="V376" t="n">
        <v>1.01605</v>
      </c>
      <c r="W376" t="n">
        <v>1.626148</v>
      </c>
      <c r="X376" t="n">
        <v>63.787046</v>
      </c>
      <c r="Z376" t="n">
        <v>5.312721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H377" t="n">
        <v>113391773.775872</v>
      </c>
      <c r="I377" t="n">
        <v>7268.387336</v>
      </c>
      <c r="J377" t="n">
        <v>7315.723404</v>
      </c>
      <c r="K377" t="n">
        <v>2662.923319</v>
      </c>
      <c r="L377" t="n">
        <v>18846.946222</v>
      </c>
      <c r="M377" t="n">
        <v>12899.244148</v>
      </c>
      <c r="N377" t="n">
        <v>12899.244148</v>
      </c>
      <c r="O377" t="n">
        <v>58.377455</v>
      </c>
      <c r="P377" t="n">
        <v>24.766119</v>
      </c>
      <c r="Q377" t="n">
        <v>12899.244148</v>
      </c>
      <c r="R377" t="n">
        <v>12899.244148</v>
      </c>
      <c r="S377" t="n">
        <v>58.377455</v>
      </c>
      <c r="T377" t="n">
        <v>58.377455</v>
      </c>
      <c r="U377" t="n">
        <v>24.766119</v>
      </c>
      <c r="V377" t="n">
        <v>24.766119</v>
      </c>
      <c r="W377" t="n">
        <v>61.462709</v>
      </c>
      <c r="X377" t="n">
        <v>13974.158015</v>
      </c>
      <c r="Z377" t="n">
        <v>258.914422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H378" t="n">
        <v>28044039.752191</v>
      </c>
      <c r="I378" t="n">
        <v>86321.834013</v>
      </c>
      <c r="J378" t="n">
        <v>87278.99642</v>
      </c>
      <c r="K378" t="n">
        <v>43639.49821</v>
      </c>
      <c r="L378" t="n">
        <v>172174.15174</v>
      </c>
      <c r="M378" t="n">
        <v>119442.301921</v>
      </c>
      <c r="N378" t="n">
        <v>119442.301921</v>
      </c>
      <c r="O378" t="n">
        <v>130.775511</v>
      </c>
      <c r="P378" t="n">
        <v>57.053814</v>
      </c>
      <c r="Q378" t="n">
        <v>119442.301921</v>
      </c>
      <c r="R378" t="n">
        <v>119442.301921</v>
      </c>
      <c r="S378" t="n">
        <v>130.775511</v>
      </c>
      <c r="T378" t="n">
        <v>130.775511</v>
      </c>
      <c r="U378" t="n">
        <v>57.053814</v>
      </c>
      <c r="V378" t="n">
        <v>57.053814</v>
      </c>
      <c r="W378" t="n">
        <v>139.198598</v>
      </c>
      <c r="X378" t="n">
        <v>127625.763444</v>
      </c>
      <c r="Z378" t="n">
        <v>467.2534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s="18" t="inlineStr">
        <is>
          <t>SPPR_1986</t>
        </is>
      </c>
      <c r="B9" s="9" t="inlineStr">
        <is>
          <t>did not resolve for any mapped group</t>
        </is>
      </c>
    </row>
    <row r="10">
      <c r="A10" s="18" t="inlineStr">
        <is>
          <t>SPPR_1995_TE0.1</t>
        </is>
      </c>
      <c r="B10" s="9" t="inlineStr">
        <is>
          <t>did not resolve for any mapped group</t>
        </is>
      </c>
    </row>
    <row r="11">
      <c r="A11" s="18" t="inlineStr">
        <is>
          <t>SPPR_1995_TEmean</t>
        </is>
      </c>
      <c r="B11" s="9" t="inlineStr">
        <is>
          <t>did not resolve for any mapped group</t>
        </is>
      </c>
    </row>
    <row r="12">
      <c r="A12" s="18" t="inlineStr">
        <is>
          <t>Ulanowicz_globalTEmean</t>
        </is>
      </c>
      <c r="B12" s="9" t="inlineStr">
        <is>
          <t>IMPLAUSIBLE - up to 41,039x the trophic-chain estimate; the solve is near-singular for this model</t>
        </is>
      </c>
      <c r="C12" t="n">
        <v>21718064401300.32</v>
      </c>
      <c r="D12" t="n">
        <v>27425491152937.41</v>
      </c>
      <c r="E12" t="n">
        <v>32691104092897.96</v>
      </c>
      <c r="F12" t="n">
        <v>33322935171428.95</v>
      </c>
      <c r="G12" t="n">
        <v>39633781579956.86</v>
      </c>
      <c r="H12" t="n">
        <v>43400559583651.71</v>
      </c>
      <c r="I12" t="n">
        <v>48591936401168.18</v>
      </c>
      <c r="J12" t="n">
        <v>47865712006779.83</v>
      </c>
      <c r="K12" t="n">
        <v>50030633218426.24</v>
      </c>
      <c r="L12" t="n">
        <v>51645630469356.1</v>
      </c>
      <c r="M12" t="n">
        <v>57874508961282.88</v>
      </c>
      <c r="N12" t="n">
        <v>53378919580242.12</v>
      </c>
      <c r="O12" t="n">
        <v>60174100066357.27</v>
      </c>
      <c r="P12" t="n">
        <v>60789693297219.67</v>
      </c>
      <c r="Q12" t="n">
        <v>63598375586360.82</v>
      </c>
      <c r="R12" t="n">
        <v>69472972644963.62</v>
      </c>
      <c r="S12" t="n">
        <v>74116672805928.52</v>
      </c>
      <c r="T12" t="n">
        <v>71616817351975.23</v>
      </c>
      <c r="U12" t="n">
        <v>74331452626174.22</v>
      </c>
      <c r="V12" t="n">
        <v>77831807624960.17</v>
      </c>
      <c r="W12" t="n">
        <v>77681486898619.2</v>
      </c>
      <c r="X12" t="n">
        <v>78630647730273.5</v>
      </c>
      <c r="Y12" t="n">
        <v>82903001311235.95</v>
      </c>
      <c r="Z12" t="n">
        <v>94871050068043.47</v>
      </c>
      <c r="AA12" t="n">
        <v>93886893429322.2</v>
      </c>
      <c r="AB12" t="n">
        <v>91893729803481.23</v>
      </c>
      <c r="AC12" t="n">
        <v>90153184465204.97</v>
      </c>
      <c r="AD12" t="n">
        <v>95363627931263.23</v>
      </c>
      <c r="AE12" t="n">
        <v>96792713599493.44</v>
      </c>
      <c r="AF12" t="n">
        <v>95807738033547.97</v>
      </c>
      <c r="AG12" t="n">
        <v>94415885485490.17</v>
      </c>
      <c r="AH12" t="n">
        <v>102067083697545</v>
      </c>
      <c r="AI12" t="n">
        <v>108017081716258.5</v>
      </c>
      <c r="AJ12" t="n">
        <v>104367583492836</v>
      </c>
      <c r="AK12" t="n">
        <v>115005807543935.9</v>
      </c>
      <c r="AL12" t="n">
        <v>118514633289470.4</v>
      </c>
      <c r="AM12" t="n">
        <v>116954953045195.8</v>
      </c>
      <c r="AN12" t="n">
        <v>123303947641232.3</v>
      </c>
      <c r="AO12" t="n">
        <v>118238977731056.8</v>
      </c>
      <c r="AP12" t="n">
        <v>124575424310565.8</v>
      </c>
      <c r="AQ12" t="n">
        <v>131498952696117.7</v>
      </c>
      <c r="AR12" t="n">
        <v>135120266276744.1</v>
      </c>
      <c r="AS12" t="n">
        <v>138992969926570.3</v>
      </c>
      <c r="AT12" t="n">
        <v>134477220962285.9</v>
      </c>
      <c r="AU12" t="n">
        <v>161080975219177.4</v>
      </c>
      <c r="AV12" t="n">
        <v>169705879757213</v>
      </c>
      <c r="AW12" t="n">
        <v>181632606959691.2</v>
      </c>
      <c r="AX12" t="n">
        <v>179474461581461.9</v>
      </c>
      <c r="AY12" t="n">
        <v>182476045033547.8</v>
      </c>
      <c r="AZ12" t="n">
        <v>180547085710441.3</v>
      </c>
      <c r="BA12" t="n">
        <v>179665888171884.4</v>
      </c>
      <c r="BB12" t="n">
        <v>188210370266138.6</v>
      </c>
      <c r="BC12" t="n">
        <v>190669149906678.9</v>
      </c>
      <c r="BD12" t="n">
        <v>205712897548422.9</v>
      </c>
      <c r="BE12" t="n">
        <v>200679892982485</v>
      </c>
      <c r="BF12" t="n">
        <v>191443998695560.1</v>
      </c>
      <c r="BG12" t="n">
        <v>196152618206709.4</v>
      </c>
      <c r="BH12" t="n">
        <v>193551703281869.2</v>
      </c>
      <c r="BI12" t="n">
        <v>195385162266149.8</v>
      </c>
      <c r="BJ12" t="n">
        <v>213171293838220.5</v>
      </c>
      <c r="BK12" t="n">
        <v>210941557520865.3</v>
      </c>
      <c r="BL12" t="n">
        <v>195795167682513.9</v>
      </c>
      <c r="BM12" t="n">
        <v>207289126578804.9</v>
      </c>
      <c r="BN12" t="n">
        <v>225425802298702.5</v>
      </c>
      <c r="BO12" t="n">
        <v>212105768342940.6</v>
      </c>
      <c r="BP12" t="n">
        <v>221663173657884.5</v>
      </c>
      <c r="BQ12" t="n">
        <v>220476452983333.9</v>
      </c>
      <c r="BR12" t="n">
        <v>215857358120631.6</v>
      </c>
      <c r="BS12" t="n">
        <v>216975345859116.2</v>
      </c>
      <c r="BT12" t="n">
        <v>222443106794636.5</v>
      </c>
    </row>
    <row r="13">
      <c r="A13" t="inlineStr">
        <is>
          <t>Ulanowicz_TE</t>
        </is>
      </c>
      <c r="B13" t="inlineStr">
        <is>
          <t>ok</t>
        </is>
      </c>
      <c r="C13" t="n">
        <v>2405600374.07</v>
      </c>
      <c r="D13" t="n">
        <v>3028182476.601</v>
      </c>
      <c r="E13" t="n">
        <v>3639328130.867</v>
      </c>
      <c r="F13" t="n">
        <v>3724115355.509</v>
      </c>
      <c r="G13" t="n">
        <v>4558817887.827</v>
      </c>
      <c r="H13" t="n">
        <v>5217861075.836</v>
      </c>
      <c r="I13" t="n">
        <v>5792231176.586</v>
      </c>
      <c r="J13" t="n">
        <v>5757718133.283</v>
      </c>
      <c r="K13" t="n">
        <v>6104805010.45</v>
      </c>
      <c r="L13" t="n">
        <v>6538369723.023</v>
      </c>
      <c r="M13" t="n">
        <v>7337009612.752</v>
      </c>
      <c r="N13" t="n">
        <v>7118495499.413</v>
      </c>
      <c r="O13" t="n">
        <v>8075232005.297</v>
      </c>
      <c r="P13" t="n">
        <v>8491400866.429</v>
      </c>
      <c r="Q13" t="n">
        <v>8684718892.861</v>
      </c>
      <c r="R13" t="n">
        <v>9358276645.934999</v>
      </c>
      <c r="S13" t="n">
        <v>9818836704.754999</v>
      </c>
      <c r="T13" t="n">
        <v>9860854751.729</v>
      </c>
      <c r="U13" t="n">
        <v>10430121279.46</v>
      </c>
      <c r="V13" t="n">
        <v>10726767049.032</v>
      </c>
      <c r="W13" t="n">
        <v>10372356901.851</v>
      </c>
      <c r="X13" t="n">
        <v>10485419096.004</v>
      </c>
      <c r="Y13" t="n">
        <v>10953009363.105</v>
      </c>
      <c r="Z13" t="n">
        <v>11975315750.529</v>
      </c>
      <c r="AA13" t="n">
        <v>11885451523.245</v>
      </c>
      <c r="AB13" t="n">
        <v>11878814629.671</v>
      </c>
      <c r="AC13" t="n">
        <v>11988858247.899</v>
      </c>
      <c r="AD13" t="n">
        <v>12307652026.341</v>
      </c>
      <c r="AE13" t="n">
        <v>12092271833.134</v>
      </c>
      <c r="AF13" t="n">
        <v>12566242337.136</v>
      </c>
      <c r="AG13" t="n">
        <v>12558410973.791</v>
      </c>
      <c r="AH13" t="n">
        <v>13174977883.576</v>
      </c>
      <c r="AI13" t="n">
        <v>14027017874.995</v>
      </c>
      <c r="AJ13" t="n">
        <v>14377377876.479</v>
      </c>
      <c r="AK13" t="n">
        <v>14931935168.655</v>
      </c>
      <c r="AL13" t="n">
        <v>15440044077.923</v>
      </c>
      <c r="AM13" t="n">
        <v>15640480735.699</v>
      </c>
      <c r="AN13" t="n">
        <v>16531453320.852</v>
      </c>
      <c r="AO13" t="n">
        <v>16012945291.875</v>
      </c>
      <c r="AP13" t="n">
        <v>16763334727.224</v>
      </c>
      <c r="AQ13" t="n">
        <v>17903300414.647</v>
      </c>
      <c r="AR13" t="n">
        <v>18726372887.58</v>
      </c>
      <c r="AS13" t="n">
        <v>19320802535.47</v>
      </c>
      <c r="AT13" t="n">
        <v>18441831147.277</v>
      </c>
      <c r="AU13" t="n">
        <v>21428925502.233</v>
      </c>
      <c r="AV13" t="n">
        <v>22952329698.311</v>
      </c>
      <c r="AW13" t="n">
        <v>24693050542.953</v>
      </c>
      <c r="AX13" t="n">
        <v>24464172911.13</v>
      </c>
      <c r="AY13" t="n">
        <v>24486503161.294</v>
      </c>
      <c r="AZ13" t="n">
        <v>25511677796.849</v>
      </c>
      <c r="BA13" t="n">
        <v>24716006934.509</v>
      </c>
      <c r="BB13" t="n">
        <v>25276575883.358</v>
      </c>
      <c r="BC13" t="n">
        <v>25880090234.618</v>
      </c>
      <c r="BD13" t="n">
        <v>27413744413.306</v>
      </c>
      <c r="BE13" t="n">
        <v>27606529129.256</v>
      </c>
      <c r="BF13" t="n">
        <v>26589976095.714</v>
      </c>
      <c r="BG13" t="n">
        <v>26817122153.971</v>
      </c>
      <c r="BH13" t="n">
        <v>26374949555.644</v>
      </c>
      <c r="BI13" t="n">
        <v>26455307698.753</v>
      </c>
      <c r="BJ13" t="n">
        <v>28530227803.634</v>
      </c>
      <c r="BK13" t="n">
        <v>28312003984.487</v>
      </c>
      <c r="BL13" t="n">
        <v>27057010530.687</v>
      </c>
      <c r="BM13" t="n">
        <v>28701018598.778</v>
      </c>
      <c r="BN13" t="n">
        <v>30441807041.355</v>
      </c>
      <c r="BO13" t="n">
        <v>29452160083.074</v>
      </c>
      <c r="BP13" t="n">
        <v>30549770020.272</v>
      </c>
      <c r="BQ13" t="n">
        <v>30725614795.224</v>
      </c>
      <c r="BR13" t="n">
        <v>30275759945.299</v>
      </c>
      <c r="BS13" t="n">
        <v>30428872113.837</v>
      </c>
      <c r="BT13" t="n">
        <v>31380362588.598</v>
      </c>
    </row>
    <row r="14">
      <c r="A14" t="inlineStr">
        <is>
          <t>EwE_TE_noEE</t>
        </is>
      </c>
      <c r="B14" t="inlineStr">
        <is>
          <t>ok</t>
        </is>
      </c>
      <c r="C14" t="n">
        <v>2502784061.689</v>
      </c>
      <c r="D14" t="n">
        <v>3147603135.479</v>
      </c>
      <c r="E14" t="n">
        <v>3780698775.471</v>
      </c>
      <c r="F14" t="n">
        <v>3867983460.252</v>
      </c>
      <c r="G14" t="n">
        <v>4731155978.338</v>
      </c>
      <c r="H14" t="n">
        <v>5413760229.507</v>
      </c>
      <c r="I14" t="n">
        <v>6010136260.542</v>
      </c>
      <c r="J14" t="n">
        <v>5973739816.725</v>
      </c>
      <c r="K14" t="n">
        <v>6332765077.492</v>
      </c>
      <c r="L14" t="n">
        <v>6777711703.46</v>
      </c>
      <c r="M14" t="n">
        <v>7614455638.208</v>
      </c>
      <c r="N14" t="n">
        <v>7375182329.525</v>
      </c>
      <c r="O14" t="n">
        <v>8365944059.577</v>
      </c>
      <c r="P14" t="n">
        <v>8792638093.004999</v>
      </c>
      <c r="Q14" t="n">
        <v>8995439716.868</v>
      </c>
      <c r="R14" t="n">
        <v>9702284537.334999</v>
      </c>
      <c r="S14" t="n">
        <v>10189636462.947</v>
      </c>
      <c r="T14" t="n">
        <v>10219037119.717</v>
      </c>
      <c r="U14" t="n">
        <v>10803083175.987</v>
      </c>
      <c r="V14" t="n">
        <v>11117435264.696</v>
      </c>
      <c r="W14" t="n">
        <v>10759650391.604</v>
      </c>
      <c r="X14" t="n">
        <v>10879197204.724</v>
      </c>
      <c r="Y14" t="n">
        <v>11368515889.061</v>
      </c>
      <c r="Z14" t="n">
        <v>12437536906.798</v>
      </c>
      <c r="AA14" t="n">
        <v>12343760299.584</v>
      </c>
      <c r="AB14" t="n">
        <v>12332285696.531</v>
      </c>
      <c r="AC14" t="n">
        <v>12437295930.982</v>
      </c>
      <c r="AD14" t="n">
        <v>12783353784.774</v>
      </c>
      <c r="AE14" t="n">
        <v>12575592259.578</v>
      </c>
      <c r="AF14" t="n">
        <v>13048070061.853</v>
      </c>
      <c r="AG14" t="n">
        <v>13027192056.12</v>
      </c>
      <c r="AH14" t="n">
        <v>13673601014.718</v>
      </c>
      <c r="AI14" t="n">
        <v>14559057977.512</v>
      </c>
      <c r="AJ14" t="n">
        <v>14898078527.666</v>
      </c>
      <c r="AK14" t="n">
        <v>15503329759.604</v>
      </c>
      <c r="AL14" t="n">
        <v>16029384263.495</v>
      </c>
      <c r="AM14" t="n">
        <v>16238730538.698</v>
      </c>
      <c r="AN14" t="n">
        <v>17169882678.926</v>
      </c>
      <c r="AO14" t="n">
        <v>16634580342.449</v>
      </c>
      <c r="AP14" t="n">
        <v>17414121810.581</v>
      </c>
      <c r="AQ14" t="n">
        <v>18582978331.184</v>
      </c>
      <c r="AR14" t="n">
        <v>19428889921.789</v>
      </c>
      <c r="AS14" t="n">
        <v>20055398453.491</v>
      </c>
      <c r="AT14" t="n">
        <v>19152761426.871</v>
      </c>
      <c r="AU14" t="n">
        <v>22246821142.727</v>
      </c>
      <c r="AV14" t="n">
        <v>23829553232.289</v>
      </c>
      <c r="AW14" t="n">
        <v>25640115545.764</v>
      </c>
      <c r="AX14" t="n">
        <v>25400732212.938</v>
      </c>
      <c r="AY14" t="n">
        <v>25426755061.458</v>
      </c>
      <c r="AZ14" t="n">
        <v>26436806003.179</v>
      </c>
      <c r="BA14" t="n">
        <v>25645733163.6</v>
      </c>
      <c r="BB14" t="n">
        <v>26259516014.438</v>
      </c>
      <c r="BC14" t="n">
        <v>26871844379.571</v>
      </c>
      <c r="BD14" t="n">
        <v>28482174128.097</v>
      </c>
      <c r="BE14" t="n">
        <v>28632863297.766</v>
      </c>
      <c r="BF14" t="n">
        <v>27594544470.811</v>
      </c>
      <c r="BG14" t="n">
        <v>27835625495.11</v>
      </c>
      <c r="BH14" t="n">
        <v>27373969040.367</v>
      </c>
      <c r="BI14" t="n">
        <v>27467448447.29</v>
      </c>
      <c r="BJ14" t="n">
        <v>29629146199.465</v>
      </c>
      <c r="BK14" t="n">
        <v>29408466156.848</v>
      </c>
      <c r="BL14" t="n">
        <v>28082808264.08</v>
      </c>
      <c r="BM14" t="n">
        <v>29788031628.574</v>
      </c>
      <c r="BN14" t="n">
        <v>31620166215.344</v>
      </c>
      <c r="BO14" t="n">
        <v>30569605132.416</v>
      </c>
      <c r="BP14" t="n">
        <v>31716412963.137</v>
      </c>
      <c r="BQ14" t="n">
        <v>31902725546.985</v>
      </c>
      <c r="BR14" t="n">
        <v>31435983387.299</v>
      </c>
      <c r="BS14" t="n">
        <v>31613064505.211</v>
      </c>
      <c r="BT14" t="n">
        <v>32598519200.716</v>
      </c>
    </row>
    <row r="15">
      <c r="A15" t="inlineStr">
        <is>
          <t>EwE_TE_EE</t>
        </is>
      </c>
      <c r="B15" t="inlineStr">
        <is>
          <t>ok</t>
        </is>
      </c>
      <c r="C15" t="n">
        <v>941708179.774</v>
      </c>
      <c r="D15" t="n">
        <v>1181618591.403</v>
      </c>
      <c r="E15" t="n">
        <v>1416121734.719</v>
      </c>
      <c r="F15" t="n">
        <v>1450719269.497</v>
      </c>
      <c r="G15" t="n">
        <v>1762022712.303</v>
      </c>
      <c r="H15" t="n">
        <v>1967617205.168</v>
      </c>
      <c r="I15" t="n">
        <v>2191160175.681</v>
      </c>
      <c r="J15" t="n">
        <v>2179619136.749</v>
      </c>
      <c r="K15" t="n">
        <v>2340908772.03</v>
      </c>
      <c r="L15" t="n">
        <v>2492271726.568</v>
      </c>
      <c r="M15" t="n">
        <v>2817748550.798</v>
      </c>
      <c r="N15" t="n">
        <v>2743361141.793</v>
      </c>
      <c r="O15" t="n">
        <v>3135437466.442</v>
      </c>
      <c r="P15" t="n">
        <v>3290519677.46</v>
      </c>
      <c r="Q15" t="n">
        <v>3366461173.946</v>
      </c>
      <c r="R15" t="n">
        <v>3622018776.494</v>
      </c>
      <c r="S15" t="n">
        <v>3798688111.493</v>
      </c>
      <c r="T15" t="n">
        <v>3832473201.822</v>
      </c>
      <c r="U15" t="n">
        <v>4081061171.545</v>
      </c>
      <c r="V15" t="n">
        <v>4218833954.291</v>
      </c>
      <c r="W15" t="n">
        <v>4078262396.391</v>
      </c>
      <c r="X15" t="n">
        <v>4127647284.528</v>
      </c>
      <c r="Y15" t="n">
        <v>4280533330.166</v>
      </c>
      <c r="Z15" t="n">
        <v>4708511703.438</v>
      </c>
      <c r="AA15" t="n">
        <v>4699566108.201</v>
      </c>
      <c r="AB15" t="n">
        <v>4722235488.177</v>
      </c>
      <c r="AC15" t="n">
        <v>4718090660.562</v>
      </c>
      <c r="AD15" t="n">
        <v>4802552223.971</v>
      </c>
      <c r="AE15" t="n">
        <v>4741916962.725</v>
      </c>
      <c r="AF15" t="n">
        <v>4896378661.805</v>
      </c>
      <c r="AG15" t="n">
        <v>4863715396.424</v>
      </c>
      <c r="AH15" t="n">
        <v>5105505262.624</v>
      </c>
      <c r="AI15" t="n">
        <v>5419861061.573</v>
      </c>
      <c r="AJ15" t="n">
        <v>5538059120.234</v>
      </c>
      <c r="AK15" t="n">
        <v>5776532690.248</v>
      </c>
      <c r="AL15" t="n">
        <v>5986010438.935</v>
      </c>
      <c r="AM15" t="n">
        <v>6043037391.975</v>
      </c>
      <c r="AN15" t="n">
        <v>6368762838.273</v>
      </c>
      <c r="AO15" t="n">
        <v>6189941676.391</v>
      </c>
      <c r="AP15" t="n">
        <v>6464444329.097</v>
      </c>
      <c r="AQ15" t="n">
        <v>6857721494.473</v>
      </c>
      <c r="AR15" t="n">
        <v>7083219418.747</v>
      </c>
      <c r="AS15" t="n">
        <v>7333208415.982</v>
      </c>
      <c r="AT15" t="n">
        <v>7063088937.91</v>
      </c>
      <c r="AU15" t="n">
        <v>8137537530.808</v>
      </c>
      <c r="AV15" t="n">
        <v>8705348804.132999</v>
      </c>
      <c r="AW15" t="n">
        <v>9388428958.990999</v>
      </c>
      <c r="AX15" t="n">
        <v>9325942310.766001</v>
      </c>
      <c r="AY15" t="n">
        <v>9297749049.372999</v>
      </c>
      <c r="AZ15" t="n">
        <v>9804471701.188999</v>
      </c>
      <c r="BA15" t="n">
        <v>9505757371.801001</v>
      </c>
      <c r="BB15" t="n">
        <v>9606654278.642</v>
      </c>
      <c r="BC15" t="n">
        <v>9807887626.346001</v>
      </c>
      <c r="BD15" t="n">
        <v>10455863968.822</v>
      </c>
      <c r="BE15" t="n">
        <v>10535505777.251</v>
      </c>
      <c r="BF15" t="n">
        <v>10086109039.684</v>
      </c>
      <c r="BG15" t="n">
        <v>10125588561.914</v>
      </c>
      <c r="BH15" t="n">
        <v>9899771017.799999</v>
      </c>
      <c r="BI15" t="n">
        <v>9953954976.643</v>
      </c>
      <c r="BJ15" t="n">
        <v>10773326243.346</v>
      </c>
      <c r="BK15" t="n">
        <v>10648018289.119</v>
      </c>
      <c r="BL15" t="n">
        <v>10222375618.503</v>
      </c>
      <c r="BM15" t="n">
        <v>10814327353.382</v>
      </c>
      <c r="BN15" t="n">
        <v>11473449529.997</v>
      </c>
      <c r="BO15" t="n">
        <v>11090434073.268</v>
      </c>
      <c r="BP15" t="n">
        <v>11505540676.104</v>
      </c>
      <c r="BQ15" t="n">
        <v>11587624232.439</v>
      </c>
      <c r="BR15" t="n">
        <v>11369298868.09</v>
      </c>
      <c r="BS15" t="n">
        <v>11426619318.03</v>
      </c>
      <c r="BT15" t="n">
        <v>11795010675.607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3678562589.761</v>
      </c>
      <c r="D17" t="n">
        <v>4663717494.831</v>
      </c>
      <c r="E17" t="n">
        <v>5625542248.941</v>
      </c>
      <c r="F17" t="n">
        <v>5747401462.634</v>
      </c>
      <c r="G17" t="n">
        <v>6980242752.191</v>
      </c>
      <c r="H17" t="n">
        <v>7996233992.354</v>
      </c>
      <c r="I17" t="n">
        <v>8926732657.579</v>
      </c>
      <c r="J17" t="n">
        <v>8856520912.816</v>
      </c>
      <c r="K17" t="n">
        <v>9348852570.188</v>
      </c>
      <c r="L17" t="n">
        <v>9991397343.818001</v>
      </c>
      <c r="M17" t="n">
        <v>11235456154.071</v>
      </c>
      <c r="N17" t="n">
        <v>10878453436.358</v>
      </c>
      <c r="O17" t="n">
        <v>12314389726.262</v>
      </c>
      <c r="P17" t="n">
        <v>12907336211.26</v>
      </c>
      <c r="Q17" t="n">
        <v>13182091122.996</v>
      </c>
      <c r="R17" t="n">
        <v>14287635707.731</v>
      </c>
      <c r="S17" t="n">
        <v>15044422982.999</v>
      </c>
      <c r="T17" t="n">
        <v>15043415142.158</v>
      </c>
      <c r="U17" t="n">
        <v>15877280621.886</v>
      </c>
      <c r="V17" t="n">
        <v>16356758172.398</v>
      </c>
      <c r="W17" t="n">
        <v>15746658323.117</v>
      </c>
      <c r="X17" t="n">
        <v>16068519676.567</v>
      </c>
      <c r="Y17" t="n">
        <v>16802036663.479</v>
      </c>
      <c r="Z17" t="n">
        <v>18429867512.51</v>
      </c>
      <c r="AA17" t="n">
        <v>18241305460.621</v>
      </c>
      <c r="AB17" t="n">
        <v>18198040557.473</v>
      </c>
      <c r="AC17" t="n">
        <v>18313607665.799</v>
      </c>
      <c r="AD17" t="n">
        <v>18690001819.341</v>
      </c>
      <c r="AE17" t="n">
        <v>18350220049.86</v>
      </c>
      <c r="AF17" t="n">
        <v>19016331277.244</v>
      </c>
      <c r="AG17" t="n">
        <v>18867651443.614</v>
      </c>
      <c r="AH17" t="n">
        <v>19867178622.325</v>
      </c>
      <c r="AI17" t="n">
        <v>21123249746.396</v>
      </c>
      <c r="AJ17" t="n">
        <v>21483103424.451</v>
      </c>
      <c r="AK17" t="n">
        <v>22413217519.951</v>
      </c>
      <c r="AL17" t="n">
        <v>23103280479.827</v>
      </c>
      <c r="AM17" t="n">
        <v>23378392297.016</v>
      </c>
      <c r="AN17" t="n">
        <v>24575981350.329</v>
      </c>
      <c r="AO17" t="n">
        <v>23795265581.028</v>
      </c>
      <c r="AP17" t="n">
        <v>24879826710.34</v>
      </c>
      <c r="AQ17" t="n">
        <v>26464062475.381</v>
      </c>
      <c r="AR17" t="n">
        <v>27654181277.987</v>
      </c>
      <c r="AS17" t="n">
        <v>28620018420.505</v>
      </c>
      <c r="AT17" t="n">
        <v>27465300744.857</v>
      </c>
      <c r="AU17" t="n">
        <v>31957466251.704</v>
      </c>
      <c r="AV17" t="n">
        <v>34164065671.337</v>
      </c>
      <c r="AW17" t="n">
        <v>36818872252.137</v>
      </c>
      <c r="AX17" t="n">
        <v>36215582895.966</v>
      </c>
      <c r="AY17" t="n">
        <v>36325911857.284</v>
      </c>
      <c r="AZ17" t="n">
        <v>37847757840.846</v>
      </c>
      <c r="BA17" t="n">
        <v>36806104457.067</v>
      </c>
      <c r="BB17" t="n">
        <v>37667329839.789</v>
      </c>
      <c r="BC17" t="n">
        <v>38403831168.208</v>
      </c>
      <c r="BD17" t="n">
        <v>40801250049.627</v>
      </c>
      <c r="BE17" t="n">
        <v>40965618650.099</v>
      </c>
      <c r="BF17" t="n">
        <v>39348263948.611</v>
      </c>
      <c r="BG17" t="n">
        <v>39811722819.195</v>
      </c>
      <c r="BH17" t="n">
        <v>39074855403.758</v>
      </c>
      <c r="BI17" t="n">
        <v>39172993269.501</v>
      </c>
      <c r="BJ17" t="n">
        <v>42286163716.222</v>
      </c>
      <c r="BK17" t="n">
        <v>41871047792.654</v>
      </c>
      <c r="BL17" t="n">
        <v>39805826648.108</v>
      </c>
      <c r="BM17" t="n">
        <v>42002895392.089</v>
      </c>
      <c r="BN17" t="n">
        <v>44693781983.541</v>
      </c>
      <c r="BO17" t="n">
        <v>43163564008.094</v>
      </c>
      <c r="BP17" t="n">
        <v>44773279116.87</v>
      </c>
      <c r="BQ17" t="n">
        <v>45076029470.964</v>
      </c>
      <c r="BR17" t="n">
        <v>44528645109.754</v>
      </c>
      <c r="BS17" t="n">
        <v>44988920224.74</v>
      </c>
      <c r="BT17" t="n">
        <v>46336490792.416</v>
      </c>
    </row>
    <row r="18">
      <c r="A18" t="inlineStr">
        <is>
          <t>new_TE_EEfix</t>
        </is>
      </c>
      <c r="B18" t="inlineStr">
        <is>
          <t>ok</t>
        </is>
      </c>
      <c r="C18" t="n">
        <v>3678562589.761</v>
      </c>
      <c r="D18" t="n">
        <v>4663717494.831</v>
      </c>
      <c r="E18" t="n">
        <v>5625542248.941</v>
      </c>
      <c r="F18" t="n">
        <v>5747401462.634</v>
      </c>
      <c r="G18" t="n">
        <v>6980242752.191</v>
      </c>
      <c r="H18" t="n">
        <v>7996233992.354</v>
      </c>
      <c r="I18" t="n">
        <v>8926732657.579</v>
      </c>
      <c r="J18" t="n">
        <v>8856520912.816</v>
      </c>
      <c r="K18" t="n">
        <v>9348852570.188</v>
      </c>
      <c r="L18" t="n">
        <v>9991397343.818001</v>
      </c>
      <c r="M18" t="n">
        <v>11235456154.071</v>
      </c>
      <c r="N18" t="n">
        <v>10878453436.358</v>
      </c>
      <c r="O18" t="n">
        <v>12314389726.262</v>
      </c>
      <c r="P18" t="n">
        <v>12907336211.26</v>
      </c>
      <c r="Q18" t="n">
        <v>13182091122.996</v>
      </c>
      <c r="R18" t="n">
        <v>14287635707.731</v>
      </c>
      <c r="S18" t="n">
        <v>15044422982.999</v>
      </c>
      <c r="T18" t="n">
        <v>15043415142.158</v>
      </c>
      <c r="U18" t="n">
        <v>15877280621.886</v>
      </c>
      <c r="V18" t="n">
        <v>16356758172.398</v>
      </c>
      <c r="W18" t="n">
        <v>15746658323.117</v>
      </c>
      <c r="X18" t="n">
        <v>16068519676.567</v>
      </c>
      <c r="Y18" t="n">
        <v>16802036663.479</v>
      </c>
      <c r="Z18" t="n">
        <v>18429867512.51</v>
      </c>
      <c r="AA18" t="n">
        <v>18241305460.621</v>
      </c>
      <c r="AB18" t="n">
        <v>18198040557.473</v>
      </c>
      <c r="AC18" t="n">
        <v>18313607665.799</v>
      </c>
      <c r="AD18" t="n">
        <v>18690001819.341</v>
      </c>
      <c r="AE18" t="n">
        <v>18350220049.86</v>
      </c>
      <c r="AF18" t="n">
        <v>19016331277.244</v>
      </c>
      <c r="AG18" t="n">
        <v>18867651443.614</v>
      </c>
      <c r="AH18" t="n">
        <v>19867178622.325</v>
      </c>
      <c r="AI18" t="n">
        <v>21123249746.396</v>
      </c>
      <c r="AJ18" t="n">
        <v>21483103424.451</v>
      </c>
      <c r="AK18" t="n">
        <v>22413217519.951</v>
      </c>
      <c r="AL18" t="n">
        <v>23103280479.827</v>
      </c>
      <c r="AM18" t="n">
        <v>23378392297.016</v>
      </c>
      <c r="AN18" t="n">
        <v>24575981350.329</v>
      </c>
      <c r="AO18" t="n">
        <v>23795265581.028</v>
      </c>
      <c r="AP18" t="n">
        <v>24879826710.34</v>
      </c>
      <c r="AQ18" t="n">
        <v>26464062475.381</v>
      </c>
      <c r="AR18" t="n">
        <v>27654181277.987</v>
      </c>
      <c r="AS18" t="n">
        <v>28620018420.505</v>
      </c>
      <c r="AT18" t="n">
        <v>27465300744.857</v>
      </c>
      <c r="AU18" t="n">
        <v>31957466251.704</v>
      </c>
      <c r="AV18" t="n">
        <v>34164065671.337</v>
      </c>
      <c r="AW18" t="n">
        <v>36818872252.137</v>
      </c>
      <c r="AX18" t="n">
        <v>36215582895.966</v>
      </c>
      <c r="AY18" t="n">
        <v>36325911857.284</v>
      </c>
      <c r="AZ18" t="n">
        <v>37847757840.846</v>
      </c>
      <c r="BA18" t="n">
        <v>36806104457.067</v>
      </c>
      <c r="BB18" t="n">
        <v>37667329839.789</v>
      </c>
      <c r="BC18" t="n">
        <v>38403831168.208</v>
      </c>
      <c r="BD18" t="n">
        <v>40801250049.627</v>
      </c>
      <c r="BE18" t="n">
        <v>40965618650.099</v>
      </c>
      <c r="BF18" t="n">
        <v>39348263948.611</v>
      </c>
      <c r="BG18" t="n">
        <v>39811722819.195</v>
      </c>
      <c r="BH18" t="n">
        <v>39074855403.758</v>
      </c>
      <c r="BI18" t="n">
        <v>39172993269.501</v>
      </c>
      <c r="BJ18" t="n">
        <v>42286163716.222</v>
      </c>
      <c r="BK18" t="n">
        <v>41871047792.654</v>
      </c>
      <c r="BL18" t="n">
        <v>39805826648.108</v>
      </c>
      <c r="BM18" t="n">
        <v>42002895392.089</v>
      </c>
      <c r="BN18" t="n">
        <v>44693781983.541</v>
      </c>
      <c r="BO18" t="n">
        <v>43163564008.094</v>
      </c>
      <c r="BP18" t="n">
        <v>44773279116.87</v>
      </c>
      <c r="BQ18" t="n">
        <v>45076029470.964</v>
      </c>
      <c r="BR18" t="n">
        <v>44528645109.754</v>
      </c>
      <c r="BS18" t="n">
        <v>44988920224.74</v>
      </c>
      <c r="BT18" t="n">
        <v>46336490792.416</v>
      </c>
    </row>
    <row r="19">
      <c r="A19" t="inlineStr">
        <is>
          <t>new_GE</t>
        </is>
      </c>
      <c r="B19" t="inlineStr">
        <is>
          <t>ok</t>
        </is>
      </c>
      <c r="C19" t="n">
        <v>26573211.055</v>
      </c>
      <c r="D19" t="n">
        <v>32827391.134</v>
      </c>
      <c r="E19" t="n">
        <v>38823414.167</v>
      </c>
      <c r="F19" t="n">
        <v>39690514.472</v>
      </c>
      <c r="G19" t="n">
        <v>50297246.226</v>
      </c>
      <c r="H19" t="n">
        <v>57243845.632</v>
      </c>
      <c r="I19" t="n">
        <v>62841207.425</v>
      </c>
      <c r="J19" t="n">
        <v>62906145.954</v>
      </c>
      <c r="K19" t="n">
        <v>67622612.35699999</v>
      </c>
      <c r="L19" t="n">
        <v>71785626.69499999</v>
      </c>
      <c r="M19" t="n">
        <v>80524520.016</v>
      </c>
      <c r="N19" t="n">
        <v>78859650.58499999</v>
      </c>
      <c r="O19" t="n">
        <v>87439611.977</v>
      </c>
      <c r="P19" t="n">
        <v>92087029.418</v>
      </c>
      <c r="Q19" t="n">
        <v>95218402.625</v>
      </c>
      <c r="R19" t="n">
        <v>101280842.259</v>
      </c>
      <c r="S19" t="n">
        <v>107432042.004</v>
      </c>
      <c r="T19" t="n">
        <v>106564307.459</v>
      </c>
      <c r="U19" t="n">
        <v>110278407.525</v>
      </c>
      <c r="V19" t="n">
        <v>112977769.028</v>
      </c>
      <c r="W19" t="n">
        <v>113606931.128</v>
      </c>
      <c r="X19" t="n">
        <v>113457432.385</v>
      </c>
      <c r="Y19" t="n">
        <v>121943850.307</v>
      </c>
      <c r="Z19" t="n">
        <v>131154780.813</v>
      </c>
      <c r="AA19" t="n">
        <v>131412219.687</v>
      </c>
      <c r="AB19" t="n">
        <v>129767054.602</v>
      </c>
      <c r="AC19" t="n">
        <v>130815358.038</v>
      </c>
      <c r="AD19" t="n">
        <v>135364336.227</v>
      </c>
      <c r="AE19" t="n">
        <v>135231321.613</v>
      </c>
      <c r="AF19" t="n">
        <v>140582108.725</v>
      </c>
      <c r="AG19" t="n">
        <v>142578152.19</v>
      </c>
      <c r="AH19" t="n">
        <v>149455401.334</v>
      </c>
      <c r="AI19" t="n">
        <v>159202442.813</v>
      </c>
      <c r="AJ19" t="n">
        <v>163936493.523</v>
      </c>
      <c r="AK19" t="n">
        <v>169855908.16</v>
      </c>
      <c r="AL19" t="n">
        <v>178161025.881</v>
      </c>
      <c r="AM19" t="n">
        <v>182015237.829</v>
      </c>
      <c r="AN19" t="n">
        <v>195316648.826</v>
      </c>
      <c r="AO19" t="n">
        <v>193871731.182</v>
      </c>
      <c r="AP19" t="n">
        <v>205901355.886</v>
      </c>
      <c r="AQ19" t="n">
        <v>221369329.079</v>
      </c>
      <c r="AR19" t="n">
        <v>233611000.227</v>
      </c>
      <c r="AS19" t="n">
        <v>246644779.033</v>
      </c>
      <c r="AT19" t="n">
        <v>236677850.439</v>
      </c>
      <c r="AU19" t="n">
        <v>273410493.793</v>
      </c>
      <c r="AV19" t="n">
        <v>298204482.414</v>
      </c>
      <c r="AW19" t="n">
        <v>324581888.934</v>
      </c>
      <c r="AX19" t="n">
        <v>324831038.178</v>
      </c>
      <c r="AY19" t="n">
        <v>326496967.007</v>
      </c>
      <c r="AZ19" t="n">
        <v>319182670.833</v>
      </c>
      <c r="BA19" t="n">
        <v>313686200.71</v>
      </c>
      <c r="BB19" t="n">
        <v>328794103.978</v>
      </c>
      <c r="BC19" t="n">
        <v>336077243.163</v>
      </c>
      <c r="BD19" t="n">
        <v>356389387.341</v>
      </c>
      <c r="BE19" t="n">
        <v>347859063.841</v>
      </c>
      <c r="BF19" t="n">
        <v>342070195.158</v>
      </c>
      <c r="BG19" t="n">
        <v>342463533.652</v>
      </c>
      <c r="BH19" t="n">
        <v>341392692.497</v>
      </c>
      <c r="BI19" t="n">
        <v>341739536.689</v>
      </c>
      <c r="BJ19" t="n">
        <v>370862927.782</v>
      </c>
      <c r="BK19" t="n">
        <v>373343034.449</v>
      </c>
      <c r="BL19" t="n">
        <v>355065529.865</v>
      </c>
      <c r="BM19" t="n">
        <v>383308015.704</v>
      </c>
      <c r="BN19" t="n">
        <v>406688970.994</v>
      </c>
      <c r="BO19" t="n">
        <v>396903136.543</v>
      </c>
      <c r="BP19" t="n">
        <v>411455587.666</v>
      </c>
      <c r="BQ19" t="n">
        <v>414241503.873</v>
      </c>
      <c r="BR19" t="n">
        <v>405504665.802</v>
      </c>
      <c r="BS19" t="n">
        <v>405109810.906</v>
      </c>
      <c r="BT19" t="n">
        <v>417562398.339</v>
      </c>
    </row>
    <row r="20">
      <c r="A20" t="inlineStr">
        <is>
          <t>new_WithEgestion</t>
        </is>
      </c>
      <c r="B20" t="inlineStr">
        <is>
          <t>ok</t>
        </is>
      </c>
      <c r="C20" t="n">
        <v>12749332.693</v>
      </c>
      <c r="D20" t="n">
        <v>15668605.09</v>
      </c>
      <c r="E20" t="n">
        <v>18459492</v>
      </c>
      <c r="F20" t="n">
        <v>18883313.239</v>
      </c>
      <c r="G20" t="n">
        <v>24221908.73</v>
      </c>
      <c r="H20" t="n">
        <v>27565106.099</v>
      </c>
      <c r="I20" t="n">
        <v>30154792.692</v>
      </c>
      <c r="J20" t="n">
        <v>30207587.404</v>
      </c>
      <c r="K20" t="n">
        <v>32484772.661</v>
      </c>
      <c r="L20" t="n">
        <v>34534423.249</v>
      </c>
      <c r="M20" t="n">
        <v>38615748.453</v>
      </c>
      <c r="N20" t="n">
        <v>37866018.073</v>
      </c>
      <c r="O20" t="n">
        <v>42024594.21</v>
      </c>
      <c r="P20" t="n">
        <v>44396831.218</v>
      </c>
      <c r="Q20" t="n">
        <v>45917007.41</v>
      </c>
      <c r="R20" t="n">
        <v>48624642.561</v>
      </c>
      <c r="S20" t="n">
        <v>51372916.973</v>
      </c>
      <c r="T20" t="n">
        <v>51002530.228</v>
      </c>
      <c r="U20" t="n">
        <v>52782393.614</v>
      </c>
      <c r="V20" t="n">
        <v>53981992.724</v>
      </c>
      <c r="W20" t="n">
        <v>54456023.615</v>
      </c>
      <c r="X20" t="n">
        <v>54103447.385</v>
      </c>
      <c r="Y20" t="n">
        <v>58068438.329</v>
      </c>
      <c r="Z20" t="n">
        <v>62307388.741</v>
      </c>
      <c r="AA20" t="n">
        <v>62638438.698</v>
      </c>
      <c r="AB20" t="n">
        <v>61988039.051</v>
      </c>
      <c r="AC20" t="n">
        <v>62677760.163</v>
      </c>
      <c r="AD20" t="n">
        <v>65156009.454</v>
      </c>
      <c r="AE20" t="n">
        <v>65130982.934</v>
      </c>
      <c r="AF20" t="n">
        <v>67836390.233</v>
      </c>
      <c r="AG20" t="n">
        <v>69022462.68700001</v>
      </c>
      <c r="AH20" t="n">
        <v>72218725.579</v>
      </c>
      <c r="AI20" t="n">
        <v>77077479.317</v>
      </c>
      <c r="AJ20" t="n">
        <v>79865966.14399999</v>
      </c>
      <c r="AK20" t="n">
        <v>82454373.7</v>
      </c>
      <c r="AL20" t="n">
        <v>86758532.09900001</v>
      </c>
      <c r="AM20" t="n">
        <v>88751925.171</v>
      </c>
      <c r="AN20" t="n">
        <v>95514409.75</v>
      </c>
      <c r="AO20" t="n">
        <v>95233165.92</v>
      </c>
      <c r="AP20" t="n">
        <v>101124352.126</v>
      </c>
      <c r="AQ20" t="n">
        <v>109006013.493</v>
      </c>
      <c r="AR20" t="n">
        <v>115081783.315</v>
      </c>
      <c r="AS20" t="n">
        <v>121869795.989</v>
      </c>
      <c r="AT20" t="n">
        <v>117300797.423</v>
      </c>
      <c r="AU20" t="n">
        <v>135367051.226</v>
      </c>
      <c r="AV20" t="n">
        <v>147738472.214</v>
      </c>
      <c r="AW20" t="n">
        <v>161049843.676</v>
      </c>
      <c r="AX20" t="n">
        <v>162285692.383</v>
      </c>
      <c r="AY20" t="n">
        <v>163049534.215</v>
      </c>
      <c r="AZ20" t="n">
        <v>158790745.478</v>
      </c>
      <c r="BA20" t="n">
        <v>155818977.244</v>
      </c>
      <c r="BB20" t="n">
        <v>163471264.909</v>
      </c>
      <c r="BC20" t="n">
        <v>167138162.263</v>
      </c>
      <c r="BD20" t="n">
        <v>176247539.687</v>
      </c>
      <c r="BE20" t="n">
        <v>172035694.009</v>
      </c>
      <c r="BF20" t="n">
        <v>169605916.407</v>
      </c>
      <c r="BG20" t="n">
        <v>169303506.461</v>
      </c>
      <c r="BH20" t="n">
        <v>168998351.642</v>
      </c>
      <c r="BI20" t="n">
        <v>169070068.32</v>
      </c>
      <c r="BJ20" t="n">
        <v>183435321.039</v>
      </c>
      <c r="BK20" t="n">
        <v>184979781.72</v>
      </c>
      <c r="BL20" t="n">
        <v>176481549.71</v>
      </c>
      <c r="BM20" t="n">
        <v>190930366.868</v>
      </c>
      <c r="BN20" t="n">
        <v>202089043.338</v>
      </c>
      <c r="BO20" t="n">
        <v>197940341.789</v>
      </c>
      <c r="BP20" t="n">
        <v>204876044.128</v>
      </c>
      <c r="BQ20" t="n">
        <v>206274998.814</v>
      </c>
      <c r="BR20" t="n">
        <v>201739853.443</v>
      </c>
      <c r="BS20" t="n">
        <v>201249223.968</v>
      </c>
      <c r="BT20" t="n">
        <v>207683825.109</v>
      </c>
    </row>
    <row r="21">
      <c r="A21" t="inlineStr">
        <is>
          <t>sym_TE_asPP</t>
        </is>
      </c>
      <c r="B21" t="inlineStr">
        <is>
          <t>ok</t>
        </is>
      </c>
      <c r="C21" t="n">
        <v>3678562589.761</v>
      </c>
      <c r="D21" t="n">
        <v>4663717494.831</v>
      </c>
      <c r="E21" t="n">
        <v>5625542248.941</v>
      </c>
      <c r="F21" t="n">
        <v>5747401462.634</v>
      </c>
      <c r="G21" t="n">
        <v>6980242752.191</v>
      </c>
      <c r="H21" t="n">
        <v>7996233992.354</v>
      </c>
      <c r="I21" t="n">
        <v>8926732657.579</v>
      </c>
      <c r="J21" t="n">
        <v>8856520912.816</v>
      </c>
      <c r="K21" t="n">
        <v>9348852570.188</v>
      </c>
      <c r="L21" t="n">
        <v>9991397343.818001</v>
      </c>
      <c r="M21" t="n">
        <v>11235456154.071</v>
      </c>
      <c r="N21" t="n">
        <v>10878453436.358</v>
      </c>
      <c r="O21" t="n">
        <v>12314389726.262</v>
      </c>
      <c r="P21" t="n">
        <v>12907336211.26</v>
      </c>
      <c r="Q21" t="n">
        <v>13182091122.996</v>
      </c>
      <c r="R21" t="n">
        <v>14287635707.731</v>
      </c>
      <c r="S21" t="n">
        <v>15044422982.999</v>
      </c>
      <c r="T21" t="n">
        <v>15043415142.158</v>
      </c>
      <c r="U21" t="n">
        <v>15877280621.886</v>
      </c>
      <c r="V21" t="n">
        <v>16356758172.398</v>
      </c>
      <c r="W21" t="n">
        <v>15746658323.117</v>
      </c>
      <c r="X21" t="n">
        <v>16068519676.567</v>
      </c>
      <c r="Y21" t="n">
        <v>16802036663.479</v>
      </c>
      <c r="Z21" t="n">
        <v>18429867512.51</v>
      </c>
      <c r="AA21" t="n">
        <v>18241305460.621</v>
      </c>
      <c r="AB21" t="n">
        <v>18198040557.473</v>
      </c>
      <c r="AC21" t="n">
        <v>18313607665.799</v>
      </c>
      <c r="AD21" t="n">
        <v>18690001819.341</v>
      </c>
      <c r="AE21" t="n">
        <v>18350220049.86</v>
      </c>
      <c r="AF21" t="n">
        <v>19016331277.244</v>
      </c>
      <c r="AG21" t="n">
        <v>18867651443.614</v>
      </c>
      <c r="AH21" t="n">
        <v>19867178622.325</v>
      </c>
      <c r="AI21" t="n">
        <v>21123249746.396</v>
      </c>
      <c r="AJ21" t="n">
        <v>21483103424.451</v>
      </c>
      <c r="AK21" t="n">
        <v>22413217519.951</v>
      </c>
      <c r="AL21" t="n">
        <v>23103280479.827</v>
      </c>
      <c r="AM21" t="n">
        <v>23378392297.016</v>
      </c>
      <c r="AN21" t="n">
        <v>24575981350.329</v>
      </c>
      <c r="AO21" t="n">
        <v>23795265581.028</v>
      </c>
      <c r="AP21" t="n">
        <v>24879826710.34</v>
      </c>
      <c r="AQ21" t="n">
        <v>26464062475.381</v>
      </c>
      <c r="AR21" t="n">
        <v>27654181277.987</v>
      </c>
      <c r="AS21" t="n">
        <v>28620018420.505</v>
      </c>
      <c r="AT21" t="n">
        <v>27465300744.857</v>
      </c>
      <c r="AU21" t="n">
        <v>31957466251.704</v>
      </c>
      <c r="AV21" t="n">
        <v>34164065671.337</v>
      </c>
      <c r="AW21" t="n">
        <v>36818872252.137</v>
      </c>
      <c r="AX21" t="n">
        <v>36215582895.966</v>
      </c>
      <c r="AY21" t="n">
        <v>36325911857.284</v>
      </c>
      <c r="AZ21" t="n">
        <v>37847757840.846</v>
      </c>
      <c r="BA21" t="n">
        <v>36806104457.067</v>
      </c>
      <c r="BB21" t="n">
        <v>37667329839.789</v>
      </c>
      <c r="BC21" t="n">
        <v>38403831168.208</v>
      </c>
      <c r="BD21" t="n">
        <v>40801250049.627</v>
      </c>
      <c r="BE21" t="n">
        <v>40965618650.099</v>
      </c>
      <c r="BF21" t="n">
        <v>39348263948.611</v>
      </c>
      <c r="BG21" t="n">
        <v>39811722819.195</v>
      </c>
      <c r="BH21" t="n">
        <v>39074855403.758</v>
      </c>
      <c r="BI21" t="n">
        <v>39172993269.501</v>
      </c>
      <c r="BJ21" t="n">
        <v>42286163716.222</v>
      </c>
      <c r="BK21" t="n">
        <v>41871047792.654</v>
      </c>
      <c r="BL21" t="n">
        <v>39805826648.108</v>
      </c>
      <c r="BM21" t="n">
        <v>42002895392.089</v>
      </c>
      <c r="BN21" t="n">
        <v>44693781983.541</v>
      </c>
      <c r="BO21" t="n">
        <v>43163564008.094</v>
      </c>
      <c r="BP21" t="n">
        <v>44773279116.87</v>
      </c>
      <c r="BQ21" t="n">
        <v>45076029470.964</v>
      </c>
      <c r="BR21" t="n">
        <v>44528645109.754</v>
      </c>
      <c r="BS21" t="n">
        <v>44988920224.74</v>
      </c>
      <c r="BT21" t="n">
        <v>46336490792.416</v>
      </c>
    </row>
    <row r="22">
      <c r="A22" t="inlineStr">
        <is>
          <t>sym_TE_asDC</t>
        </is>
      </c>
      <c r="B22" t="inlineStr">
        <is>
          <t>ok</t>
        </is>
      </c>
      <c r="C22" t="n">
        <v>3678562589.761</v>
      </c>
      <c r="D22" t="n">
        <v>4663717494.831</v>
      </c>
      <c r="E22" t="n">
        <v>5625542248.941</v>
      </c>
      <c r="F22" t="n">
        <v>5747401462.634</v>
      </c>
      <c r="G22" t="n">
        <v>6980242752.191</v>
      </c>
      <c r="H22" t="n">
        <v>7996233992.354</v>
      </c>
      <c r="I22" t="n">
        <v>8926732657.579</v>
      </c>
      <c r="J22" t="n">
        <v>8856520912.816</v>
      </c>
      <c r="K22" t="n">
        <v>9348852570.188</v>
      </c>
      <c r="L22" t="n">
        <v>9991397343.818001</v>
      </c>
      <c r="M22" t="n">
        <v>11235456154.071</v>
      </c>
      <c r="N22" t="n">
        <v>10878453436.358</v>
      </c>
      <c r="O22" t="n">
        <v>12314389726.262</v>
      </c>
      <c r="P22" t="n">
        <v>12907336211.26</v>
      </c>
      <c r="Q22" t="n">
        <v>13182091122.996</v>
      </c>
      <c r="R22" t="n">
        <v>14287635707.731</v>
      </c>
      <c r="S22" t="n">
        <v>15044422982.999</v>
      </c>
      <c r="T22" t="n">
        <v>15043415142.158</v>
      </c>
      <c r="U22" t="n">
        <v>15877280621.886</v>
      </c>
      <c r="V22" t="n">
        <v>16356758172.398</v>
      </c>
      <c r="W22" t="n">
        <v>15746658323.117</v>
      </c>
      <c r="X22" t="n">
        <v>16068519676.567</v>
      </c>
      <c r="Y22" t="n">
        <v>16802036663.479</v>
      </c>
      <c r="Z22" t="n">
        <v>18429867512.51</v>
      </c>
      <c r="AA22" t="n">
        <v>18241305460.621</v>
      </c>
      <c r="AB22" t="n">
        <v>18198040557.473</v>
      </c>
      <c r="AC22" t="n">
        <v>18313607665.799</v>
      </c>
      <c r="AD22" t="n">
        <v>18690001819.341</v>
      </c>
      <c r="AE22" t="n">
        <v>18350220049.86</v>
      </c>
      <c r="AF22" t="n">
        <v>19016331277.244</v>
      </c>
      <c r="AG22" t="n">
        <v>18867651443.614</v>
      </c>
      <c r="AH22" t="n">
        <v>19867178622.325</v>
      </c>
      <c r="AI22" t="n">
        <v>21123249746.396</v>
      </c>
      <c r="AJ22" t="n">
        <v>21483103424.451</v>
      </c>
      <c r="AK22" t="n">
        <v>22413217519.951</v>
      </c>
      <c r="AL22" t="n">
        <v>23103280479.827</v>
      </c>
      <c r="AM22" t="n">
        <v>23378392297.016</v>
      </c>
      <c r="AN22" t="n">
        <v>24575981350.329</v>
      </c>
      <c r="AO22" t="n">
        <v>23795265581.028</v>
      </c>
      <c r="AP22" t="n">
        <v>24879826710.34</v>
      </c>
      <c r="AQ22" t="n">
        <v>26464062475.381</v>
      </c>
      <c r="AR22" t="n">
        <v>27654181277.987</v>
      </c>
      <c r="AS22" t="n">
        <v>28620018420.505</v>
      </c>
      <c r="AT22" t="n">
        <v>27465300744.857</v>
      </c>
      <c r="AU22" t="n">
        <v>31957466251.704</v>
      </c>
      <c r="AV22" t="n">
        <v>34164065671.337</v>
      </c>
      <c r="AW22" t="n">
        <v>36818872252.137</v>
      </c>
      <c r="AX22" t="n">
        <v>36215582895.966</v>
      </c>
      <c r="AY22" t="n">
        <v>36325911857.284</v>
      </c>
      <c r="AZ22" t="n">
        <v>37847757840.846</v>
      </c>
      <c r="BA22" t="n">
        <v>36806104457.067</v>
      </c>
      <c r="BB22" t="n">
        <v>37667329839.789</v>
      </c>
      <c r="BC22" t="n">
        <v>38403831168.208</v>
      </c>
      <c r="BD22" t="n">
        <v>40801250049.627</v>
      </c>
      <c r="BE22" t="n">
        <v>40965618650.099</v>
      </c>
      <c r="BF22" t="n">
        <v>39348263948.611</v>
      </c>
      <c r="BG22" t="n">
        <v>39811722819.195</v>
      </c>
      <c r="BH22" t="n">
        <v>39074855403.758</v>
      </c>
      <c r="BI22" t="n">
        <v>39172993269.501</v>
      </c>
      <c r="BJ22" t="n">
        <v>42286163716.222</v>
      </c>
      <c r="BK22" t="n">
        <v>41871047792.654</v>
      </c>
      <c r="BL22" t="n">
        <v>39805826648.108</v>
      </c>
      <c r="BM22" t="n">
        <v>42002895392.089</v>
      </c>
      <c r="BN22" t="n">
        <v>44693781983.541</v>
      </c>
      <c r="BO22" t="n">
        <v>43163564008.094</v>
      </c>
      <c r="BP22" t="n">
        <v>44773279116.87</v>
      </c>
      <c r="BQ22" t="n">
        <v>45076029470.964</v>
      </c>
      <c r="BR22" t="n">
        <v>44528645109.754</v>
      </c>
      <c r="BS22" t="n">
        <v>44988920224.74</v>
      </c>
      <c r="BT22" t="n">
        <v>46336490792.416</v>
      </c>
    </row>
    <row r="23">
      <c r="A23" t="inlineStr">
        <is>
          <t>sym_GE_asPP</t>
        </is>
      </c>
      <c r="B23" t="inlineStr">
        <is>
          <t>ok</t>
        </is>
      </c>
      <c r="C23" t="n">
        <v>26573211.055</v>
      </c>
      <c r="D23" t="n">
        <v>32827391.134</v>
      </c>
      <c r="E23" t="n">
        <v>38823414.167</v>
      </c>
      <c r="F23" t="n">
        <v>39690514.472</v>
      </c>
      <c r="G23" t="n">
        <v>50297246.226</v>
      </c>
      <c r="H23" t="n">
        <v>57243845.632</v>
      </c>
      <c r="I23" t="n">
        <v>62841207.425</v>
      </c>
      <c r="J23" t="n">
        <v>62906145.954</v>
      </c>
      <c r="K23" t="n">
        <v>67622612.35699999</v>
      </c>
      <c r="L23" t="n">
        <v>71785626.69499999</v>
      </c>
      <c r="M23" t="n">
        <v>80524520.016</v>
      </c>
      <c r="N23" t="n">
        <v>78859650.58499999</v>
      </c>
      <c r="O23" t="n">
        <v>87439611.977</v>
      </c>
      <c r="P23" t="n">
        <v>92087029.418</v>
      </c>
      <c r="Q23" t="n">
        <v>95218402.625</v>
      </c>
      <c r="R23" t="n">
        <v>101280842.259</v>
      </c>
      <c r="S23" t="n">
        <v>107432042.004</v>
      </c>
      <c r="T23" t="n">
        <v>106564307.459</v>
      </c>
      <c r="U23" t="n">
        <v>110278407.525</v>
      </c>
      <c r="V23" t="n">
        <v>112977769.028</v>
      </c>
      <c r="W23" t="n">
        <v>113606931.128</v>
      </c>
      <c r="X23" t="n">
        <v>113457432.385</v>
      </c>
      <c r="Y23" t="n">
        <v>121943850.307</v>
      </c>
      <c r="Z23" t="n">
        <v>131154780.813</v>
      </c>
      <c r="AA23" t="n">
        <v>131412219.687</v>
      </c>
      <c r="AB23" t="n">
        <v>129767054.602</v>
      </c>
      <c r="AC23" t="n">
        <v>130815358.038</v>
      </c>
      <c r="AD23" t="n">
        <v>135364336.227</v>
      </c>
      <c r="AE23" t="n">
        <v>135231321.613</v>
      </c>
      <c r="AF23" t="n">
        <v>140582108.725</v>
      </c>
      <c r="AG23" t="n">
        <v>142578152.19</v>
      </c>
      <c r="AH23" t="n">
        <v>149455401.334</v>
      </c>
      <c r="AI23" t="n">
        <v>159202442.813</v>
      </c>
      <c r="AJ23" t="n">
        <v>163936493.523</v>
      </c>
      <c r="AK23" t="n">
        <v>169855908.16</v>
      </c>
      <c r="AL23" t="n">
        <v>178161025.881</v>
      </c>
      <c r="AM23" t="n">
        <v>182015237.829</v>
      </c>
      <c r="AN23" t="n">
        <v>195316648.826</v>
      </c>
      <c r="AO23" t="n">
        <v>193871731.182</v>
      </c>
      <c r="AP23" t="n">
        <v>205901355.886</v>
      </c>
      <c r="AQ23" t="n">
        <v>221369329.079</v>
      </c>
      <c r="AR23" t="n">
        <v>233611000.227</v>
      </c>
      <c r="AS23" t="n">
        <v>246644779.033</v>
      </c>
      <c r="AT23" t="n">
        <v>236677850.439</v>
      </c>
      <c r="AU23" t="n">
        <v>273410493.793</v>
      </c>
      <c r="AV23" t="n">
        <v>298204482.414</v>
      </c>
      <c r="AW23" t="n">
        <v>324581888.934</v>
      </c>
      <c r="AX23" t="n">
        <v>324831038.178</v>
      </c>
      <c r="AY23" t="n">
        <v>326496967.007</v>
      </c>
      <c r="AZ23" t="n">
        <v>319182670.833</v>
      </c>
      <c r="BA23" t="n">
        <v>313686200.71</v>
      </c>
      <c r="BB23" t="n">
        <v>328794103.978</v>
      </c>
      <c r="BC23" t="n">
        <v>336077243.163</v>
      </c>
      <c r="BD23" t="n">
        <v>356389387.341</v>
      </c>
      <c r="BE23" t="n">
        <v>347859063.841</v>
      </c>
      <c r="BF23" t="n">
        <v>342070195.158</v>
      </c>
      <c r="BG23" t="n">
        <v>342463533.652</v>
      </c>
      <c r="BH23" t="n">
        <v>341392692.497</v>
      </c>
      <c r="BI23" t="n">
        <v>341739536.689</v>
      </c>
      <c r="BJ23" t="n">
        <v>370862927.782</v>
      </c>
      <c r="BK23" t="n">
        <v>373343034.449</v>
      </c>
      <c r="BL23" t="n">
        <v>355065529.865</v>
      </c>
      <c r="BM23" t="n">
        <v>383308015.704</v>
      </c>
      <c r="BN23" t="n">
        <v>406688970.994</v>
      </c>
      <c r="BO23" t="n">
        <v>396903136.543</v>
      </c>
      <c r="BP23" t="n">
        <v>411455587.666</v>
      </c>
      <c r="BQ23" t="n">
        <v>414241503.873</v>
      </c>
      <c r="BR23" t="n">
        <v>405504665.802</v>
      </c>
      <c r="BS23" t="n">
        <v>405109810.906</v>
      </c>
      <c r="BT23" t="n">
        <v>417562398.339</v>
      </c>
    </row>
    <row r="24">
      <c r="A24" t="inlineStr">
        <is>
          <t>sym_GE_asDC</t>
        </is>
      </c>
      <c r="B24" t="inlineStr">
        <is>
          <t>ok</t>
        </is>
      </c>
      <c r="C24" t="n">
        <v>26573211.055</v>
      </c>
      <c r="D24" t="n">
        <v>32827391.134</v>
      </c>
      <c r="E24" t="n">
        <v>38823414.167</v>
      </c>
      <c r="F24" t="n">
        <v>39690514.472</v>
      </c>
      <c r="G24" t="n">
        <v>50297246.226</v>
      </c>
      <c r="H24" t="n">
        <v>57243845.632</v>
      </c>
      <c r="I24" t="n">
        <v>62841207.425</v>
      </c>
      <c r="J24" t="n">
        <v>62906145.954</v>
      </c>
      <c r="K24" t="n">
        <v>67622612.35699999</v>
      </c>
      <c r="L24" t="n">
        <v>71785626.69499999</v>
      </c>
      <c r="M24" t="n">
        <v>80524520.016</v>
      </c>
      <c r="N24" t="n">
        <v>78859650.58499999</v>
      </c>
      <c r="O24" t="n">
        <v>87439611.977</v>
      </c>
      <c r="P24" t="n">
        <v>92087029.418</v>
      </c>
      <c r="Q24" t="n">
        <v>95218402.625</v>
      </c>
      <c r="R24" t="n">
        <v>101280842.259</v>
      </c>
      <c r="S24" t="n">
        <v>107432042.004</v>
      </c>
      <c r="T24" t="n">
        <v>106564307.459</v>
      </c>
      <c r="U24" t="n">
        <v>110278407.525</v>
      </c>
      <c r="V24" t="n">
        <v>112977769.028</v>
      </c>
      <c r="W24" t="n">
        <v>113606931.128</v>
      </c>
      <c r="X24" t="n">
        <v>113457432.385</v>
      </c>
      <c r="Y24" t="n">
        <v>121943850.307</v>
      </c>
      <c r="Z24" t="n">
        <v>131154780.813</v>
      </c>
      <c r="AA24" t="n">
        <v>131412219.687</v>
      </c>
      <c r="AB24" t="n">
        <v>129767054.602</v>
      </c>
      <c r="AC24" t="n">
        <v>130815358.038</v>
      </c>
      <c r="AD24" t="n">
        <v>135364336.227</v>
      </c>
      <c r="AE24" t="n">
        <v>135231321.613</v>
      </c>
      <c r="AF24" t="n">
        <v>140582108.725</v>
      </c>
      <c r="AG24" t="n">
        <v>142578152.19</v>
      </c>
      <c r="AH24" t="n">
        <v>149455401.334</v>
      </c>
      <c r="AI24" t="n">
        <v>159202442.813</v>
      </c>
      <c r="AJ24" t="n">
        <v>163936493.523</v>
      </c>
      <c r="AK24" t="n">
        <v>169855908.16</v>
      </c>
      <c r="AL24" t="n">
        <v>178161025.881</v>
      </c>
      <c r="AM24" t="n">
        <v>182015237.829</v>
      </c>
      <c r="AN24" t="n">
        <v>195316648.826</v>
      </c>
      <c r="AO24" t="n">
        <v>193871731.182</v>
      </c>
      <c r="AP24" t="n">
        <v>205901355.886</v>
      </c>
      <c r="AQ24" t="n">
        <v>221369329.079</v>
      </c>
      <c r="AR24" t="n">
        <v>233611000.227</v>
      </c>
      <c r="AS24" t="n">
        <v>246644779.033</v>
      </c>
      <c r="AT24" t="n">
        <v>236677850.439</v>
      </c>
      <c r="AU24" t="n">
        <v>273410493.793</v>
      </c>
      <c r="AV24" t="n">
        <v>298204482.414</v>
      </c>
      <c r="AW24" t="n">
        <v>324581888.934</v>
      </c>
      <c r="AX24" t="n">
        <v>324831038.178</v>
      </c>
      <c r="AY24" t="n">
        <v>326496967.007</v>
      </c>
      <c r="AZ24" t="n">
        <v>319182670.833</v>
      </c>
      <c r="BA24" t="n">
        <v>313686200.71</v>
      </c>
      <c r="BB24" t="n">
        <v>328794103.978</v>
      </c>
      <c r="BC24" t="n">
        <v>336077243.163</v>
      </c>
      <c r="BD24" t="n">
        <v>356389387.341</v>
      </c>
      <c r="BE24" t="n">
        <v>347859063.841</v>
      </c>
      <c r="BF24" t="n">
        <v>342070195.158</v>
      </c>
      <c r="BG24" t="n">
        <v>342463533.652</v>
      </c>
      <c r="BH24" t="n">
        <v>341392692.497</v>
      </c>
      <c r="BI24" t="n">
        <v>341739536.689</v>
      </c>
      <c r="BJ24" t="n">
        <v>370862927.782</v>
      </c>
      <c r="BK24" t="n">
        <v>373343034.449</v>
      </c>
      <c r="BL24" t="n">
        <v>355065529.865</v>
      </c>
      <c r="BM24" t="n">
        <v>383308015.704</v>
      </c>
      <c r="BN24" t="n">
        <v>406688970.994</v>
      </c>
      <c r="BO24" t="n">
        <v>396903136.543</v>
      </c>
      <c r="BP24" t="n">
        <v>411455587.666</v>
      </c>
      <c r="BQ24" t="n">
        <v>414241503.873</v>
      </c>
      <c r="BR24" t="n">
        <v>405504665.802</v>
      </c>
      <c r="BS24" t="n">
        <v>405109810.906</v>
      </c>
      <c r="BT24" t="n">
        <v>417562398.339</v>
      </c>
    </row>
    <row r="25">
      <c r="A25" t="inlineStr">
        <is>
          <t>sym_WithEgestion_asPP</t>
        </is>
      </c>
      <c r="B25" t="inlineStr">
        <is>
          <t>ok</t>
        </is>
      </c>
      <c r="C25" t="n">
        <v>12749332.693</v>
      </c>
      <c r="D25" t="n">
        <v>15668605.09</v>
      </c>
      <c r="E25" t="n">
        <v>18459492</v>
      </c>
      <c r="F25" t="n">
        <v>18883313.239</v>
      </c>
      <c r="G25" t="n">
        <v>24221908.73</v>
      </c>
      <c r="H25" t="n">
        <v>27565106.099</v>
      </c>
      <c r="I25" t="n">
        <v>30154792.692</v>
      </c>
      <c r="J25" t="n">
        <v>30207587.404</v>
      </c>
      <c r="K25" t="n">
        <v>32484772.661</v>
      </c>
      <c r="L25" t="n">
        <v>34534423.249</v>
      </c>
      <c r="M25" t="n">
        <v>38615748.453</v>
      </c>
      <c r="N25" t="n">
        <v>37866018.073</v>
      </c>
      <c r="O25" t="n">
        <v>42024594.21</v>
      </c>
      <c r="P25" t="n">
        <v>44396831.218</v>
      </c>
      <c r="Q25" t="n">
        <v>45917007.41</v>
      </c>
      <c r="R25" t="n">
        <v>48624642.561</v>
      </c>
      <c r="S25" t="n">
        <v>51372916.973</v>
      </c>
      <c r="T25" t="n">
        <v>51002530.228</v>
      </c>
      <c r="U25" t="n">
        <v>52782393.614</v>
      </c>
      <c r="V25" t="n">
        <v>53981992.724</v>
      </c>
      <c r="W25" t="n">
        <v>54456023.615</v>
      </c>
      <c r="X25" t="n">
        <v>54103447.385</v>
      </c>
      <c r="Y25" t="n">
        <v>58068438.329</v>
      </c>
      <c r="Z25" t="n">
        <v>62307388.741</v>
      </c>
      <c r="AA25" t="n">
        <v>62638438.698</v>
      </c>
      <c r="AB25" t="n">
        <v>61988039.051</v>
      </c>
      <c r="AC25" t="n">
        <v>62677760.163</v>
      </c>
      <c r="AD25" t="n">
        <v>65156009.454</v>
      </c>
      <c r="AE25" t="n">
        <v>65130982.934</v>
      </c>
      <c r="AF25" t="n">
        <v>67836390.233</v>
      </c>
      <c r="AG25" t="n">
        <v>69022462.68700001</v>
      </c>
      <c r="AH25" t="n">
        <v>72218725.579</v>
      </c>
      <c r="AI25" t="n">
        <v>77077479.317</v>
      </c>
      <c r="AJ25" t="n">
        <v>79865966.14399999</v>
      </c>
      <c r="AK25" t="n">
        <v>82454373.7</v>
      </c>
      <c r="AL25" t="n">
        <v>86758532.09900001</v>
      </c>
      <c r="AM25" t="n">
        <v>88751925.171</v>
      </c>
      <c r="AN25" t="n">
        <v>95514409.75</v>
      </c>
      <c r="AO25" t="n">
        <v>95233165.92</v>
      </c>
      <c r="AP25" t="n">
        <v>101124352.126</v>
      </c>
      <c r="AQ25" t="n">
        <v>109006013.493</v>
      </c>
      <c r="AR25" t="n">
        <v>115081783.315</v>
      </c>
      <c r="AS25" t="n">
        <v>121869795.989</v>
      </c>
      <c r="AT25" t="n">
        <v>117300797.423</v>
      </c>
      <c r="AU25" t="n">
        <v>135367051.226</v>
      </c>
      <c r="AV25" t="n">
        <v>147738472.214</v>
      </c>
      <c r="AW25" t="n">
        <v>161049843.676</v>
      </c>
      <c r="AX25" t="n">
        <v>162285692.383</v>
      </c>
      <c r="AY25" t="n">
        <v>163049534.215</v>
      </c>
      <c r="AZ25" t="n">
        <v>158790745.478</v>
      </c>
      <c r="BA25" t="n">
        <v>155818977.244</v>
      </c>
      <c r="BB25" t="n">
        <v>163471264.909</v>
      </c>
      <c r="BC25" t="n">
        <v>167138162.263</v>
      </c>
      <c r="BD25" t="n">
        <v>176247539.687</v>
      </c>
      <c r="BE25" t="n">
        <v>172035694.009</v>
      </c>
      <c r="BF25" t="n">
        <v>169605916.407</v>
      </c>
      <c r="BG25" t="n">
        <v>169303506.461</v>
      </c>
      <c r="BH25" t="n">
        <v>168998351.642</v>
      </c>
      <c r="BI25" t="n">
        <v>169070068.32</v>
      </c>
      <c r="BJ25" t="n">
        <v>183435321.039</v>
      </c>
      <c r="BK25" t="n">
        <v>184979781.72</v>
      </c>
      <c r="BL25" t="n">
        <v>176481549.71</v>
      </c>
      <c r="BM25" t="n">
        <v>190930366.868</v>
      </c>
      <c r="BN25" t="n">
        <v>202089043.338</v>
      </c>
      <c r="BO25" t="n">
        <v>197940341.789</v>
      </c>
      <c r="BP25" t="n">
        <v>204876044.128</v>
      </c>
      <c r="BQ25" t="n">
        <v>206274998.814</v>
      </c>
      <c r="BR25" t="n">
        <v>201739853.443</v>
      </c>
      <c r="BS25" t="n">
        <v>201249223.968</v>
      </c>
      <c r="BT25" t="n">
        <v>207683825.109</v>
      </c>
    </row>
    <row r="26">
      <c r="A26" t="inlineStr">
        <is>
          <t>sym_WithEgestion_asDC</t>
        </is>
      </c>
      <c r="B26" t="inlineStr">
        <is>
          <t>ok</t>
        </is>
      </c>
      <c r="C26" t="n">
        <v>12749332.693</v>
      </c>
      <c r="D26" t="n">
        <v>15668605.09</v>
      </c>
      <c r="E26" t="n">
        <v>18459492</v>
      </c>
      <c r="F26" t="n">
        <v>18883313.239</v>
      </c>
      <c r="G26" t="n">
        <v>24221908.73</v>
      </c>
      <c r="H26" t="n">
        <v>27565106.099</v>
      </c>
      <c r="I26" t="n">
        <v>30154792.692</v>
      </c>
      <c r="J26" t="n">
        <v>30207587.404</v>
      </c>
      <c r="K26" t="n">
        <v>32484772.661</v>
      </c>
      <c r="L26" t="n">
        <v>34534423.249</v>
      </c>
      <c r="M26" t="n">
        <v>38615748.453</v>
      </c>
      <c r="N26" t="n">
        <v>37866018.073</v>
      </c>
      <c r="O26" t="n">
        <v>42024594.21</v>
      </c>
      <c r="P26" t="n">
        <v>44396831.218</v>
      </c>
      <c r="Q26" t="n">
        <v>45917007.41</v>
      </c>
      <c r="R26" t="n">
        <v>48624642.561</v>
      </c>
      <c r="S26" t="n">
        <v>51372916.973</v>
      </c>
      <c r="T26" t="n">
        <v>51002530.228</v>
      </c>
      <c r="U26" t="n">
        <v>52782393.614</v>
      </c>
      <c r="V26" t="n">
        <v>53981992.724</v>
      </c>
      <c r="W26" t="n">
        <v>54456023.615</v>
      </c>
      <c r="X26" t="n">
        <v>54103447.385</v>
      </c>
      <c r="Y26" t="n">
        <v>58068438.329</v>
      </c>
      <c r="Z26" t="n">
        <v>62307388.741</v>
      </c>
      <c r="AA26" t="n">
        <v>62638438.698</v>
      </c>
      <c r="AB26" t="n">
        <v>61988039.051</v>
      </c>
      <c r="AC26" t="n">
        <v>62677760.163</v>
      </c>
      <c r="AD26" t="n">
        <v>65156009.454</v>
      </c>
      <c r="AE26" t="n">
        <v>65130982.934</v>
      </c>
      <c r="AF26" t="n">
        <v>67836390.233</v>
      </c>
      <c r="AG26" t="n">
        <v>69022462.68700001</v>
      </c>
      <c r="AH26" t="n">
        <v>72218725.579</v>
      </c>
      <c r="AI26" t="n">
        <v>77077479.317</v>
      </c>
      <c r="AJ26" t="n">
        <v>79865966.14399999</v>
      </c>
      <c r="AK26" t="n">
        <v>82454373.7</v>
      </c>
      <c r="AL26" t="n">
        <v>86758532.09900001</v>
      </c>
      <c r="AM26" t="n">
        <v>88751925.171</v>
      </c>
      <c r="AN26" t="n">
        <v>95514409.75</v>
      </c>
      <c r="AO26" t="n">
        <v>95233165.92</v>
      </c>
      <c r="AP26" t="n">
        <v>101124352.126</v>
      </c>
      <c r="AQ26" t="n">
        <v>109006013.493</v>
      </c>
      <c r="AR26" t="n">
        <v>115081783.315</v>
      </c>
      <c r="AS26" t="n">
        <v>121869795.989</v>
      </c>
      <c r="AT26" t="n">
        <v>117300797.423</v>
      </c>
      <c r="AU26" t="n">
        <v>135367051.226</v>
      </c>
      <c r="AV26" t="n">
        <v>147738472.214</v>
      </c>
      <c r="AW26" t="n">
        <v>161049843.676</v>
      </c>
      <c r="AX26" t="n">
        <v>162285692.383</v>
      </c>
      <c r="AY26" t="n">
        <v>163049534.215</v>
      </c>
      <c r="AZ26" t="n">
        <v>158790745.478</v>
      </c>
      <c r="BA26" t="n">
        <v>155818977.244</v>
      </c>
      <c r="BB26" t="n">
        <v>163471264.909</v>
      </c>
      <c r="BC26" t="n">
        <v>167138162.263</v>
      </c>
      <c r="BD26" t="n">
        <v>176247539.687</v>
      </c>
      <c r="BE26" t="n">
        <v>172035694.009</v>
      </c>
      <c r="BF26" t="n">
        <v>169605916.407</v>
      </c>
      <c r="BG26" t="n">
        <v>169303506.461</v>
      </c>
      <c r="BH26" t="n">
        <v>168998351.642</v>
      </c>
      <c r="BI26" t="n">
        <v>169070068.32</v>
      </c>
      <c r="BJ26" t="n">
        <v>183435321.039</v>
      </c>
      <c r="BK26" t="n">
        <v>184979781.72</v>
      </c>
      <c r="BL26" t="n">
        <v>176481549.71</v>
      </c>
      <c r="BM26" t="n">
        <v>190930366.868</v>
      </c>
      <c r="BN26" t="n">
        <v>202089043.338</v>
      </c>
      <c r="BO26" t="n">
        <v>197940341.789</v>
      </c>
      <c r="BP26" t="n">
        <v>204876044.128</v>
      </c>
      <c r="BQ26" t="n">
        <v>206274998.814</v>
      </c>
      <c r="BR26" t="n">
        <v>201739853.443</v>
      </c>
      <c r="BS26" t="n">
        <v>201249223.968</v>
      </c>
      <c r="BT26" t="n">
        <v>207683825.109</v>
      </c>
    </row>
    <row r="27">
      <c r="A27" t="inlineStr">
        <is>
          <t>MC_new_GE</t>
        </is>
      </c>
      <c r="B27" t="inlineStr">
        <is>
          <t>ok</t>
        </is>
      </c>
      <c r="C27" t="n">
        <v>28033981.255</v>
      </c>
      <c r="D27" t="n">
        <v>34653994.91</v>
      </c>
      <c r="E27" t="n">
        <v>41000829.235</v>
      </c>
      <c r="F27" t="n">
        <v>41917869.708</v>
      </c>
      <c r="G27" t="n">
        <v>53129845.517</v>
      </c>
      <c r="H27" t="n">
        <v>60487113.701</v>
      </c>
      <c r="I27" t="n">
        <v>66409909.433</v>
      </c>
      <c r="J27" t="n">
        <v>66474857.092</v>
      </c>
      <c r="K27" t="n">
        <v>71442989.43799999</v>
      </c>
      <c r="L27" t="n">
        <v>75854454.76899999</v>
      </c>
      <c r="M27" t="n">
        <v>85049456.03200001</v>
      </c>
      <c r="N27" t="n">
        <v>83327275.67200001</v>
      </c>
      <c r="O27" t="n">
        <v>92368245.338</v>
      </c>
      <c r="P27" t="n">
        <v>97273364.483</v>
      </c>
      <c r="Q27" t="n">
        <v>100565959.588</v>
      </c>
      <c r="R27" t="n">
        <v>106953386.887</v>
      </c>
      <c r="S27" t="n">
        <v>113426701.814</v>
      </c>
      <c r="T27" t="n">
        <v>112545162.502</v>
      </c>
      <c r="U27" t="n">
        <v>116460518.124</v>
      </c>
      <c r="V27" t="n">
        <v>119277073.535</v>
      </c>
      <c r="W27" t="n">
        <v>119881781.724</v>
      </c>
      <c r="X27" t="n">
        <v>119755967.415</v>
      </c>
      <c r="Y27" t="n">
        <v>128760283.33</v>
      </c>
      <c r="Z27" t="n">
        <v>138465013.159</v>
      </c>
      <c r="AA27" t="n">
        <v>138711346.845</v>
      </c>
      <c r="AB27" t="n">
        <v>136927788.427</v>
      </c>
      <c r="AC27" t="n">
        <v>138022629.184</v>
      </c>
      <c r="AD27" t="n">
        <v>142738039.284</v>
      </c>
      <c r="AE27" t="n">
        <v>142561176.582</v>
      </c>
      <c r="AF27" t="n">
        <v>148268930.816</v>
      </c>
      <c r="AG27" t="n">
        <v>150401110.844</v>
      </c>
      <c r="AH27" t="n">
        <v>157682445.741</v>
      </c>
      <c r="AI27" t="n">
        <v>167959269.1</v>
      </c>
      <c r="AJ27" t="n">
        <v>172955396.98</v>
      </c>
      <c r="AK27" t="n">
        <v>179112013.73</v>
      </c>
      <c r="AL27" t="n">
        <v>187840167.223</v>
      </c>
      <c r="AM27" t="n">
        <v>191893912.797</v>
      </c>
      <c r="AN27" t="n">
        <v>205862150.928</v>
      </c>
      <c r="AO27" t="n">
        <v>204297258.904</v>
      </c>
      <c r="AP27" t="n">
        <v>216990820.402</v>
      </c>
      <c r="AQ27" t="n">
        <v>233360109.468</v>
      </c>
      <c r="AR27" t="n">
        <v>246368725.401</v>
      </c>
      <c r="AS27" t="n">
        <v>260071103.247</v>
      </c>
      <c r="AT27" t="n">
        <v>249468792.384</v>
      </c>
      <c r="AU27" t="n">
        <v>288271973.455</v>
      </c>
      <c r="AV27" t="n">
        <v>314470963.553</v>
      </c>
      <c r="AW27" t="n">
        <v>342223792.147</v>
      </c>
      <c r="AX27" t="n">
        <v>342372157.306</v>
      </c>
      <c r="AY27" t="n">
        <v>344165630.348</v>
      </c>
      <c r="AZ27" t="n">
        <v>336424359.111</v>
      </c>
      <c r="BA27" t="n">
        <v>330564575.381</v>
      </c>
      <c r="BB27" t="n">
        <v>346519949.886</v>
      </c>
      <c r="BC27" t="n">
        <v>354226896.169</v>
      </c>
      <c r="BD27" t="n">
        <v>375607007.251</v>
      </c>
      <c r="BE27" t="n">
        <v>366663943.743</v>
      </c>
      <c r="BF27" t="n">
        <v>360501581.118</v>
      </c>
      <c r="BG27" t="n">
        <v>360985872.171</v>
      </c>
      <c r="BH27" t="n">
        <v>359820543.969</v>
      </c>
      <c r="BI27" t="n">
        <v>360183192.425</v>
      </c>
      <c r="BJ27" t="n">
        <v>390885969.651</v>
      </c>
      <c r="BK27" t="n">
        <v>393493544.42</v>
      </c>
      <c r="BL27" t="n">
        <v>374115712.409</v>
      </c>
      <c r="BM27" t="n">
        <v>403863676.673</v>
      </c>
      <c r="BN27" t="n">
        <v>428501671.825</v>
      </c>
      <c r="BO27" t="n">
        <v>418217070.498</v>
      </c>
      <c r="BP27" t="n">
        <v>433557153.464</v>
      </c>
      <c r="BQ27" t="n">
        <v>436452914.763</v>
      </c>
      <c r="BR27" t="n">
        <v>427232073.994</v>
      </c>
      <c r="BS27" t="n">
        <v>426779788.86</v>
      </c>
      <c r="BT27" t="n">
        <v>439857499.545</v>
      </c>
    </row>
    <row r="28">
      <c r="A28" t="inlineStr">
        <is>
          <t>MC_new_TE_EEfix</t>
        </is>
      </c>
      <c r="B28" t="inlineStr">
        <is>
          <t>ok</t>
        </is>
      </c>
      <c r="C28" t="n">
        <v>3968429537.661</v>
      </c>
      <c r="D28" t="n">
        <v>5036733627.335</v>
      </c>
      <c r="E28" t="n">
        <v>6078639191.78</v>
      </c>
      <c r="F28" t="n">
        <v>6209429936.543</v>
      </c>
      <c r="G28" t="n">
        <v>7536044202.358</v>
      </c>
      <c r="H28" t="n">
        <v>8628591656.826</v>
      </c>
      <c r="I28" t="n">
        <v>9637759719.756001</v>
      </c>
      <c r="J28" t="n">
        <v>9559324418.062</v>
      </c>
      <c r="K28" t="n">
        <v>10080272015.184</v>
      </c>
      <c r="L28" t="n">
        <v>10770652930.385</v>
      </c>
      <c r="M28" t="n">
        <v>12106487092.91</v>
      </c>
      <c r="N28" t="n">
        <v>11714027493.859</v>
      </c>
      <c r="O28" t="n">
        <v>13259117021.231</v>
      </c>
      <c r="P28" t="n">
        <v>13891831941.529</v>
      </c>
      <c r="Q28" t="n">
        <v>14184010789.673</v>
      </c>
      <c r="R28" t="n">
        <v>15378447174.481</v>
      </c>
      <c r="S28" t="n">
        <v>16185250598.62</v>
      </c>
      <c r="T28" t="n">
        <v>16178544558.935</v>
      </c>
      <c r="U28" t="n">
        <v>17075308413.179</v>
      </c>
      <c r="V28" t="n">
        <v>17590109147.044</v>
      </c>
      <c r="W28" t="n">
        <v>16929058103.019</v>
      </c>
      <c r="X28" t="n">
        <v>17288007665.713</v>
      </c>
      <c r="Y28" t="n">
        <v>18081649158.475</v>
      </c>
      <c r="Z28" t="n">
        <v>19845107985.568</v>
      </c>
      <c r="AA28" t="n">
        <v>19650148731.68</v>
      </c>
      <c r="AB28" t="n">
        <v>19586685862.556</v>
      </c>
      <c r="AC28" t="n">
        <v>19691154540.292</v>
      </c>
      <c r="AD28" t="n">
        <v>20080181690.892</v>
      </c>
      <c r="AE28" t="n">
        <v>19726420312.823</v>
      </c>
      <c r="AF28" t="n">
        <v>20433064799.887</v>
      </c>
      <c r="AG28" t="n">
        <v>20255075635.289</v>
      </c>
      <c r="AH28" t="n">
        <v>21344626862.381</v>
      </c>
      <c r="AI28" t="n">
        <v>22696690708.874</v>
      </c>
      <c r="AJ28" t="n">
        <v>23054251600.849</v>
      </c>
      <c r="AK28" t="n">
        <v>24066468054.734</v>
      </c>
      <c r="AL28" t="n">
        <v>24795982582.78</v>
      </c>
      <c r="AM28" t="n">
        <v>25075232889.219</v>
      </c>
      <c r="AN28" t="n">
        <v>26339274680.956</v>
      </c>
      <c r="AO28" t="n">
        <v>25502180416.416</v>
      </c>
      <c r="AP28" t="n">
        <v>26661088993.929</v>
      </c>
      <c r="AQ28" t="n">
        <v>28356514203.349</v>
      </c>
      <c r="AR28" t="n">
        <v>29632388407.879</v>
      </c>
      <c r="AS28" t="n">
        <v>30672378639.147</v>
      </c>
      <c r="AT28" t="n">
        <v>29448827062.579</v>
      </c>
      <c r="AU28" t="n">
        <v>34299388797.627</v>
      </c>
      <c r="AV28" t="n">
        <v>36673302770.708</v>
      </c>
      <c r="AW28" t="n">
        <v>39509716464.886</v>
      </c>
      <c r="AX28" t="n">
        <v>38842143318.927</v>
      </c>
      <c r="AY28" t="n">
        <v>38976462120.825</v>
      </c>
      <c r="AZ28" t="n">
        <v>40589015867.998</v>
      </c>
      <c r="BA28" t="n">
        <v>39491093949.478</v>
      </c>
      <c r="BB28" t="n">
        <v>40429960091.248</v>
      </c>
      <c r="BC28" t="n">
        <v>41207522680.911</v>
      </c>
      <c r="BD28" t="n">
        <v>43809287611.61</v>
      </c>
      <c r="BE28" t="n">
        <v>43949459825.285</v>
      </c>
      <c r="BF28" t="n">
        <v>42192962628.877</v>
      </c>
      <c r="BG28" t="n">
        <v>42709809150.307</v>
      </c>
      <c r="BH28" t="n">
        <v>41900499832.916</v>
      </c>
      <c r="BI28" t="n">
        <v>42022461838.691</v>
      </c>
      <c r="BJ28" t="n">
        <v>45372322487.583</v>
      </c>
      <c r="BK28" t="n">
        <v>44920619148.788</v>
      </c>
      <c r="BL28" t="n">
        <v>42668291330.175</v>
      </c>
      <c r="BM28" t="n">
        <v>45005031869.508</v>
      </c>
      <c r="BN28" t="n">
        <v>47909612935.024</v>
      </c>
      <c r="BO28" t="n">
        <v>46262598911.676</v>
      </c>
      <c r="BP28" t="n">
        <v>47993763481.983</v>
      </c>
      <c r="BQ28" t="n">
        <v>48309861537.07</v>
      </c>
      <c r="BR28" t="n">
        <v>47720777835.524</v>
      </c>
      <c r="BS28" t="n">
        <v>48212910535.728</v>
      </c>
      <c r="BT28" t="n">
        <v>49647541711.128</v>
      </c>
    </row>
    <row r="29">
      <c r="A29" s="18" t="inlineStr">
        <is>
          <t>SPPR_1995_TEmean_catch</t>
        </is>
      </c>
      <c r="B29" s="9" t="inlineStr">
        <is>
          <t>did not resolve for any mapped group</t>
        </is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95492654.817</v>
      </c>
      <c r="D30" t="n">
        <v>120521398.015</v>
      </c>
      <c r="E30" t="n">
        <v>144677583.009</v>
      </c>
      <c r="F30" t="n">
        <v>147327157.476</v>
      </c>
      <c r="G30" t="n">
        <v>181838383.306</v>
      </c>
      <c r="H30" t="n">
        <v>209171044.934</v>
      </c>
      <c r="I30" t="n">
        <v>232040807.615</v>
      </c>
      <c r="J30" t="n">
        <v>230383069.478</v>
      </c>
      <c r="K30" t="n">
        <v>239648247.486</v>
      </c>
      <c r="L30" t="n">
        <v>254916209.333</v>
      </c>
      <c r="M30" t="n">
        <v>285972496.795</v>
      </c>
      <c r="N30" t="n">
        <v>272761035.392</v>
      </c>
      <c r="O30" t="n">
        <v>304600297.458</v>
      </c>
      <c r="P30" t="n">
        <v>319325221.561</v>
      </c>
      <c r="Q30" t="n">
        <v>326699726.898</v>
      </c>
      <c r="R30" t="n">
        <v>353157427.231</v>
      </c>
      <c r="S30" t="n">
        <v>372129067.884</v>
      </c>
      <c r="T30" t="n">
        <v>365253298.767</v>
      </c>
      <c r="U30" t="n">
        <v>379191488.524</v>
      </c>
      <c r="V30" t="n">
        <v>389071125.956</v>
      </c>
      <c r="W30" t="n">
        <v>387528276.895</v>
      </c>
      <c r="X30" t="n">
        <v>393452636.497</v>
      </c>
      <c r="Y30" t="n">
        <v>420891636.375</v>
      </c>
      <c r="Z30" t="n">
        <v>456147239.613</v>
      </c>
      <c r="AA30" t="n">
        <v>457368748.92</v>
      </c>
      <c r="AB30" t="n">
        <v>447500238.268</v>
      </c>
      <c r="AC30" t="n">
        <v>445512558.826</v>
      </c>
      <c r="AD30" t="n">
        <v>458518286.404</v>
      </c>
      <c r="AE30" t="n">
        <v>458586880.446</v>
      </c>
      <c r="AF30" t="n">
        <v>473325197.462</v>
      </c>
      <c r="AG30" t="n">
        <v>470680174.092</v>
      </c>
      <c r="AH30" t="n">
        <v>496479002.71</v>
      </c>
      <c r="AI30" t="n">
        <v>530359655.784</v>
      </c>
      <c r="AJ30" t="n">
        <v>535891181.229</v>
      </c>
      <c r="AK30" t="n">
        <v>563692422.378</v>
      </c>
      <c r="AL30" t="n">
        <v>583364250.448</v>
      </c>
      <c r="AM30" t="n">
        <v>589631233.4</v>
      </c>
      <c r="AN30" t="n">
        <v>624882603.865</v>
      </c>
      <c r="AO30" t="n">
        <v>618779842.75</v>
      </c>
      <c r="AP30" t="n">
        <v>653971305.738</v>
      </c>
      <c r="AQ30" t="n">
        <v>695944577.263</v>
      </c>
      <c r="AR30" t="n">
        <v>732253276.174</v>
      </c>
      <c r="AS30" t="n">
        <v>769944014.659</v>
      </c>
      <c r="AT30" t="n">
        <v>747533032.086</v>
      </c>
      <c r="AU30" t="n">
        <v>878676181.7869999</v>
      </c>
      <c r="AV30" t="n">
        <v>948523878.451</v>
      </c>
      <c r="AW30" t="n">
        <v>1027611635.439</v>
      </c>
      <c r="AX30" t="n">
        <v>1019928219.925</v>
      </c>
      <c r="AY30" t="n">
        <v>1030922014.178</v>
      </c>
      <c r="AZ30" t="n">
        <v>1020004153.469</v>
      </c>
      <c r="BA30" t="n">
        <v>1010046888.582</v>
      </c>
      <c r="BB30" t="n">
        <v>1061833455.474</v>
      </c>
      <c r="BC30" t="n">
        <v>1079994280.987</v>
      </c>
      <c r="BD30" t="n">
        <v>1162184173.781</v>
      </c>
      <c r="BE30" t="n">
        <v>1129820466.016</v>
      </c>
      <c r="BF30" t="n">
        <v>1107253003.057</v>
      </c>
      <c r="BG30" t="n">
        <v>1116009390.28</v>
      </c>
      <c r="BH30" t="n">
        <v>1111900600.157</v>
      </c>
      <c r="BI30" t="n">
        <v>1114184790.21</v>
      </c>
      <c r="BJ30" t="n">
        <v>1203021649.899</v>
      </c>
      <c r="BK30" t="n">
        <v>1206237534.897</v>
      </c>
      <c r="BL30" t="n">
        <v>1139107969.122</v>
      </c>
      <c r="BM30" t="n">
        <v>1219809583.435</v>
      </c>
      <c r="BN30" t="n">
        <v>1300761878.61</v>
      </c>
      <c r="BO30" t="n">
        <v>1260961357.451</v>
      </c>
      <c r="BP30" t="n">
        <v>1311120141.506</v>
      </c>
      <c r="BQ30" t="n">
        <v>1315705144.524</v>
      </c>
      <c r="BR30" t="n">
        <v>1299617509.876</v>
      </c>
      <c r="BS30" t="n">
        <v>1306107150.169</v>
      </c>
      <c r="BT30" t="n">
        <v>1346263160.211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s="18" t="inlineStr">
        <is>
          <t>5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99.94</v>
      </c>
      <c r="D35" t="n">
        <v>99.95999999999999</v>
      </c>
      <c r="E35" t="n">
        <v>99.95999999999999</v>
      </c>
      <c r="F35" t="n">
        <v>99.95999999999999</v>
      </c>
      <c r="G35" t="n">
        <v>99.97</v>
      </c>
      <c r="H35" t="n">
        <v>99.97</v>
      </c>
      <c r="I35" t="n">
        <v>99.95999999999999</v>
      </c>
      <c r="J35" t="n">
        <v>99.97</v>
      </c>
      <c r="K35" t="n">
        <v>99.92</v>
      </c>
      <c r="L35" t="n">
        <v>99.94</v>
      </c>
      <c r="M35" t="n">
        <v>99.93000000000001</v>
      </c>
      <c r="N35" t="n">
        <v>99.93000000000001</v>
      </c>
      <c r="O35" t="n">
        <v>99.92</v>
      </c>
      <c r="P35" t="n">
        <v>99.91</v>
      </c>
      <c r="Q35" t="n">
        <v>99.92</v>
      </c>
      <c r="R35" t="n">
        <v>99.91</v>
      </c>
      <c r="S35" t="n">
        <v>99.92</v>
      </c>
      <c r="T35" t="n">
        <v>99.89</v>
      </c>
      <c r="U35" t="n">
        <v>99.88</v>
      </c>
      <c r="V35" t="n">
        <v>99.87</v>
      </c>
      <c r="W35" t="n">
        <v>99.88</v>
      </c>
      <c r="X35" t="n">
        <v>99.87</v>
      </c>
      <c r="Y35" t="n">
        <v>99.89</v>
      </c>
      <c r="Z35" t="n">
        <v>99.88</v>
      </c>
      <c r="AA35" t="n">
        <v>99.89</v>
      </c>
      <c r="AB35" t="n">
        <v>99.86</v>
      </c>
      <c r="AC35" t="n">
        <v>99.89</v>
      </c>
      <c r="AD35" t="n">
        <v>99.88</v>
      </c>
      <c r="AE35" t="n">
        <v>99.88</v>
      </c>
      <c r="AF35" t="n">
        <v>99.90000000000001</v>
      </c>
      <c r="AG35" t="n">
        <v>99.90000000000001</v>
      </c>
      <c r="AH35" t="n">
        <v>99.89</v>
      </c>
      <c r="AI35" t="n">
        <v>99.90000000000001</v>
      </c>
      <c r="AJ35" t="n">
        <v>99.91</v>
      </c>
      <c r="AK35" t="n">
        <v>99.90000000000001</v>
      </c>
      <c r="AL35" t="n">
        <v>99.90000000000001</v>
      </c>
      <c r="AM35" t="n">
        <v>99.90000000000001</v>
      </c>
      <c r="AN35" t="n">
        <v>99.91</v>
      </c>
      <c r="AO35" t="n">
        <v>99.89</v>
      </c>
      <c r="AP35" t="n">
        <v>99.88</v>
      </c>
      <c r="AQ35" t="n">
        <v>99.77</v>
      </c>
      <c r="AR35" t="n">
        <v>99.75</v>
      </c>
      <c r="AS35" t="n">
        <v>99.8</v>
      </c>
      <c r="AT35" t="n">
        <v>99.88</v>
      </c>
      <c r="AU35" t="n">
        <v>99.89</v>
      </c>
      <c r="AV35" t="n">
        <v>99.84</v>
      </c>
      <c r="AW35" t="n">
        <v>99.86</v>
      </c>
      <c r="AX35" t="n">
        <v>99.87</v>
      </c>
      <c r="AY35" t="n">
        <v>99.87</v>
      </c>
      <c r="AZ35" t="n">
        <v>99.87</v>
      </c>
      <c r="BA35" t="n">
        <v>99.88</v>
      </c>
      <c r="BB35" t="n">
        <v>99.86</v>
      </c>
      <c r="BC35" t="n">
        <v>99.87</v>
      </c>
      <c r="BD35" t="n">
        <v>99.91</v>
      </c>
      <c r="BE35" t="n">
        <v>99.83</v>
      </c>
      <c r="BF35" t="n">
        <v>99.77</v>
      </c>
      <c r="BG35" t="n">
        <v>99.18000000000001</v>
      </c>
      <c r="BH35" t="n">
        <v>99.3</v>
      </c>
      <c r="BI35" t="n">
        <v>99.70999999999999</v>
      </c>
      <c r="BJ35" t="n">
        <v>99.55</v>
      </c>
      <c r="BK35" t="n">
        <v>99.73999999999999</v>
      </c>
      <c r="BL35" t="n">
        <v>99.78</v>
      </c>
      <c r="BM35" t="n">
        <v>99.81999999999999</v>
      </c>
      <c r="BN35" t="n">
        <v>99.73</v>
      </c>
      <c r="BO35" t="n">
        <v>99.70999999999999</v>
      </c>
      <c r="BP35" t="n">
        <v>99.76000000000001</v>
      </c>
      <c r="BQ35" t="n">
        <v>99.66</v>
      </c>
      <c r="BR35" t="n">
        <v>99.66</v>
      </c>
      <c r="BS35" t="n">
        <v>99.7</v>
      </c>
      <c r="BT35" t="n">
        <v>99.66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36_2_South_China_Sea_SCS-2007_Northern_South_China_Sea_(1970s)</t>
        </is>
      </c>
      <c r="B5" t="inlineStr">
        <is>
          <t>GE</t>
        </is>
      </c>
      <c r="C5" s="21" t="n">
        <v>0.01631263510340195</v>
      </c>
      <c r="D5" s="21" t="n">
        <v>0.3212682901734352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  <row r="6">
      <c r="A6" t="inlineStr">
        <is>
          <t>36_2_South_China_Sea_SCS-2007_Northern_South_China_Sea_(1970s)</t>
        </is>
      </c>
      <c r="B6" t="inlineStr">
        <is>
          <t>TE</t>
        </is>
      </c>
      <c r="C6" s="21" t="n">
        <v>0</v>
      </c>
      <c r="D6" s="21" t="n">
        <v>0.442252931323283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"South_China_Sea_SCS-2007_Northern_South_China_Sea (1970s)", "would_pool": false}</t>
        </is>
      </c>
    </row>
    <row r="7">
      <c r="A7" t="inlineStr">
        <is>
          <t>36_2_South_China_Sea_SCS-2007_Northern_South_China_Sea_(1970s)</t>
        </is>
      </c>
      <c r="B7" t="inlineStr">
        <is>
          <t>With Egestion</t>
        </is>
      </c>
      <c r="C7" s="21" t="n">
        <v>0.01651691203182949</v>
      </c>
      <c r="D7" s="21" t="n">
        <v>0.2570146321387488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8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  <c r="X6" s="4" t="inlineStr">
        <is>
          <t>SPPR_1995_TEmean_catch</t>
        </is>
      </c>
      <c r="Y6" s="4" t="inlineStr">
        <is>
          <t>Ulanowicz_globalTEmean_catch</t>
        </is>
      </c>
    </row>
    <row r="7">
      <c r="A7" s="2" t="inlineStr">
        <is>
          <t>ALL TAXA</t>
        </is>
      </c>
      <c r="C7" s="2">
        <f>SUM(C8:C381)</f>
        <v/>
      </c>
      <c r="D7" s="2">
        <f>IF(COUNT(D8:D381)=0,"",SUM(D8:D381))</f>
        <v/>
      </c>
      <c r="E7" s="2">
        <f>IF(COUNT(E8:E381)=0,"",SUM(E8:E381))</f>
        <v/>
      </c>
      <c r="F7" s="2">
        <f>IF(COUNT(F8:F381)=0,"",SUM(F8:F381))</f>
        <v/>
      </c>
      <c r="G7" s="2">
        <f>IF(COUNT(G8:G381)=0,"",SUM(G8:G381))</f>
        <v/>
      </c>
      <c r="H7" s="2">
        <f>IF(COUNT(H8:H381)=0,"",SUM(H8:H381))</f>
        <v/>
      </c>
      <c r="I7" s="2">
        <f>IF(COUNT(I8:I381)=0,"",SUM(I8:I381))</f>
        <v/>
      </c>
      <c r="J7" s="2">
        <f>IF(COUNT(J8:J381)=0,"",SUM(J8:J381))</f>
        <v/>
      </c>
      <c r="K7" s="2">
        <f>IF(COUNT(K8:K381)=0,"",SUM(K8:K381))</f>
        <v/>
      </c>
      <c r="L7" s="2">
        <f>IF(COUNT(L8:L381)=0,"",SUM(L8:L381))</f>
        <v/>
      </c>
      <c r="M7" s="2">
        <f>IF(COUNT(M8:M381)=0,"",SUM(M8:M381))</f>
        <v/>
      </c>
      <c r="N7" s="2">
        <f>IF(COUNT(N8:N381)=0,"",SUM(N8:N381))</f>
        <v/>
      </c>
      <c r="O7" s="2">
        <f>IF(COUNT(O8:O381)=0,"",SUM(O8:O381))</f>
        <v/>
      </c>
      <c r="P7" s="2">
        <f>IF(COUNT(P8:P381)=0,"",SUM(P8:P381))</f>
        <v/>
      </c>
      <c r="Q7" s="2">
        <f>IF(COUNT(Q8:Q381)=0,"",SUM(Q8:Q381))</f>
        <v/>
      </c>
      <c r="R7" s="2">
        <f>IF(COUNT(R8:R381)=0,"",SUM(R8:R381))</f>
        <v/>
      </c>
      <c r="S7" s="2">
        <f>IF(COUNT(S8:S381)=0,"",SUM(S8:S381))</f>
        <v/>
      </c>
      <c r="T7" s="2">
        <f>IF(COUNT(T8:T381)=0,"",SUM(T8:T381))</f>
        <v/>
      </c>
      <c r="U7" s="2">
        <f>IF(COUNT(U8:U381)=0,"",SUM(U8:U381))</f>
        <v/>
      </c>
      <c r="V7" s="2">
        <f>IF(COUNT(V8:V381)=0,"",SUM(V8:V381))</f>
        <v/>
      </c>
      <c r="W7" s="2">
        <f>IF(COUNT(W8:W381)=0,"",SUM(W8:W381))</f>
        <v/>
      </c>
      <c r="X7" s="2">
        <f>IF(COUNT(X8:X381)=0,"",SUM(X8:X381))</f>
        <v/>
      </c>
      <c r="Y7" s="2">
        <f>IF(COUNT(Y8:Y381)=0,"",SUM(Y8:Y381))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IFERROR(IF(ISNUMBER(INDEX(SPPR!$E:$Z,MATCH($A8,SPPR!$A:$A,0),1)),$C8*INDEX(SPPR!$E:$Z,MATCH($A8,SPPR!$A:$A,0),1),""),"")</f>
        <v/>
      </c>
      <c r="E8">
        <f>IFERROR(IF(ISNUMBER(INDEX(SPPR!$E:$Z,MATCH($A8,SPPR!$A:$A,0),2)),$C8*INDEX(SPPR!$E:$Z,MATCH($A8,SPPR!$A:$A,0),2),""),"")</f>
        <v/>
      </c>
      <c r="F8">
        <f>IFERROR(IF(ISNUMBER(INDEX(SPPR!$E:$Z,MATCH($A8,SPPR!$A:$A,0),3)),$C8*INDEX(SPPR!$E:$Z,MATCH($A8,SPPR!$A:$A,0),3),""),"")</f>
        <v/>
      </c>
      <c r="G8">
        <f>IFERROR(IF(ISNUMBER(INDEX(SPPR!$E:$Z,MATCH($A8,SPPR!$A:$A,0),4)),$C8*INDEX(SPPR!$E:$Z,MATCH($A8,SPPR!$A:$A,0),4),""),"")</f>
        <v/>
      </c>
      <c r="H8">
        <f>IFERROR(IF(ISNUMBER(INDEX(SPPR!$E:$Z,MATCH($A8,SPPR!$A:$A,0),5)),$C8*INDEX(SPPR!$E:$Z,MATCH($A8,SPPR!$A:$A,0),5),""),"")</f>
        <v/>
      </c>
      <c r="I8">
        <f>IFERROR(IF(ISNUMBER(INDEX(SPPR!$E:$Z,MATCH($A8,SPPR!$A:$A,0),6)),$C8*INDEX(SPPR!$E:$Z,MATCH($A8,SPPR!$A:$A,0),6),""),"")</f>
        <v/>
      </c>
      <c r="J8">
        <f>IFERROR(IF(ISNUMBER(INDEX(SPPR!$E:$Z,MATCH($A8,SPPR!$A:$A,0),7)),$C8*INDEX(SPPR!$E:$Z,MATCH($A8,SPPR!$A:$A,0),7),""),"")</f>
        <v/>
      </c>
      <c r="K8">
        <f>IFERROR(IF(ISNUMBER(INDEX(SPPR!$E:$Z,MATCH($A8,SPPR!$A:$A,0),8)),$C8*INDEX(SPPR!$E:$Z,MATCH($A8,SPPR!$A:$A,0),8),""),"")</f>
        <v/>
      </c>
      <c r="L8">
        <f>IFERROR(IF(ISNUMBER(INDEX(SPPR!$E:$Z,MATCH($A8,SPPR!$A:$A,0),9)),$C8*INDEX(SPPR!$E:$Z,MATCH($A8,SPPR!$A:$A,0),9),""),"")</f>
        <v/>
      </c>
      <c r="M8">
        <f>IFERROR(IF(ISNUMBER(INDEX(SPPR!$E:$Z,MATCH($A8,SPPR!$A:$A,0),10)),$C8*INDEX(SPPR!$E:$Z,MATCH($A8,SPPR!$A:$A,0),10),""),"")</f>
        <v/>
      </c>
      <c r="N8">
        <f>IFERROR(IF(ISNUMBER(INDEX(SPPR!$E:$Z,MATCH($A8,SPPR!$A:$A,0),11)),$C8*INDEX(SPPR!$E:$Z,MATCH($A8,SPPR!$A:$A,0),11),""),"")</f>
        <v/>
      </c>
      <c r="O8">
        <f>IFERROR(IF(ISNUMBER(INDEX(SPPR!$E:$Z,MATCH($A8,SPPR!$A:$A,0),12)),$C8*INDEX(SPPR!$E:$Z,MATCH($A8,SPPR!$A:$A,0),12),""),"")</f>
        <v/>
      </c>
      <c r="P8">
        <f>IFERROR(IF(ISNUMBER(INDEX(SPPR!$E:$Z,MATCH($A8,SPPR!$A:$A,0),13)),$C8*INDEX(SPPR!$E:$Z,MATCH($A8,SPPR!$A:$A,0),13),""),"")</f>
        <v/>
      </c>
      <c r="Q8">
        <f>IFERROR(IF(ISNUMBER(INDEX(SPPR!$E:$Z,MATCH($A8,SPPR!$A:$A,0),14)),$C8*INDEX(SPPR!$E:$Z,MATCH($A8,SPPR!$A:$A,0),14),""),"")</f>
        <v/>
      </c>
      <c r="R8">
        <f>IFERROR(IF(ISNUMBER(INDEX(SPPR!$E:$Z,MATCH($A8,SPPR!$A:$A,0),15)),$C8*INDEX(SPPR!$E:$Z,MATCH($A8,SPPR!$A:$A,0),15),""),"")</f>
        <v/>
      </c>
      <c r="S8">
        <f>IFERROR(IF(ISNUMBER(INDEX(SPPR!$E:$Z,MATCH($A8,SPPR!$A:$A,0),16)),$C8*INDEX(SPPR!$E:$Z,MATCH($A8,SPPR!$A:$A,0),16),""),"")</f>
        <v/>
      </c>
      <c r="T8">
        <f>IFERROR(IF(ISNUMBER(INDEX(SPPR!$E:$Z,MATCH($A8,SPPR!$A:$A,0),17)),$C8*INDEX(SPPR!$E:$Z,MATCH($A8,SPPR!$A:$A,0),17),""),"")</f>
        <v/>
      </c>
      <c r="U8">
        <f>IFERROR(IF(ISNUMBER(INDEX(SPPR!$E:$Z,MATCH($A8,SPPR!$A:$A,0),18)),$C8*INDEX(SPPR!$E:$Z,MATCH($A8,SPPR!$A:$A,0),18),""),"")</f>
        <v/>
      </c>
      <c r="V8">
        <f>IFERROR(IF(ISNUMBER(INDEX(SPPR!$E:$Z,MATCH($A8,SPPR!$A:$A,0),19)),$C8*INDEX(SPPR!$E:$Z,MATCH($A8,SPPR!$A:$A,0),19),""),"")</f>
        <v/>
      </c>
      <c r="W8">
        <f>IFERROR(IF(ISNUMBER(INDEX(SPPR!$E:$Z,MATCH($A8,SPPR!$A:$A,0),20)),$C8*INDEX(SPPR!$E:$Z,MATCH($A8,SPPR!$A:$A,0),20),""),"")</f>
        <v/>
      </c>
      <c r="X8">
        <f>IFERROR(IF(ISNUMBER(INDEX(SPPR!$E:$Z,MATCH($A8,SPPR!$A:$A,0),21)),$C8*INDEX(SPPR!$E:$Z,MATCH($A8,SPPR!$A:$A,0),21),""),"")</f>
        <v/>
      </c>
      <c r="Y8">
        <f>IFERROR(IF(ISNUMBER(INDEX(SPPR!$E:$Z,MATCH($A8,SPPR!$A:$A,0),22)),$C8*INDEX(SPPR!$E:$Z,MATCH($A8,SPPR!$A:$A,0),22),""),"")</f>
        <v/>
      </c>
    </row>
    <row r="9">
      <c r="A9" t="inlineStr">
        <is>
          <t>Trichiurus lepturus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IFERROR(IF(ISNUMBER(INDEX(SPPR!$E:$Z,MATCH($A9,SPPR!$A:$A,0),1)),$C9*INDEX(SPPR!$E:$Z,MATCH($A9,SPPR!$A:$A,0),1),""),"")</f>
        <v/>
      </c>
      <c r="E9">
        <f>IFERROR(IF(ISNUMBER(INDEX(SPPR!$E:$Z,MATCH($A9,SPPR!$A:$A,0),2)),$C9*INDEX(SPPR!$E:$Z,MATCH($A9,SPPR!$A:$A,0),2),""),"")</f>
        <v/>
      </c>
      <c r="F9">
        <f>IFERROR(IF(ISNUMBER(INDEX(SPPR!$E:$Z,MATCH($A9,SPPR!$A:$A,0),3)),$C9*INDEX(SPPR!$E:$Z,MATCH($A9,SPPR!$A:$A,0),3),""),"")</f>
        <v/>
      </c>
      <c r="G9">
        <f>IFERROR(IF(ISNUMBER(INDEX(SPPR!$E:$Z,MATCH($A9,SPPR!$A:$A,0),4)),$C9*INDEX(SPPR!$E:$Z,MATCH($A9,SPPR!$A:$A,0),4),""),"")</f>
        <v/>
      </c>
      <c r="H9">
        <f>IFERROR(IF(ISNUMBER(INDEX(SPPR!$E:$Z,MATCH($A9,SPPR!$A:$A,0),5)),$C9*INDEX(SPPR!$E:$Z,MATCH($A9,SPPR!$A:$A,0),5),""),"")</f>
        <v/>
      </c>
      <c r="I9">
        <f>IFERROR(IF(ISNUMBER(INDEX(SPPR!$E:$Z,MATCH($A9,SPPR!$A:$A,0),6)),$C9*INDEX(SPPR!$E:$Z,MATCH($A9,SPPR!$A:$A,0),6),""),"")</f>
        <v/>
      </c>
      <c r="J9">
        <f>IFERROR(IF(ISNUMBER(INDEX(SPPR!$E:$Z,MATCH($A9,SPPR!$A:$A,0),7)),$C9*INDEX(SPPR!$E:$Z,MATCH($A9,SPPR!$A:$A,0),7),""),"")</f>
        <v/>
      </c>
      <c r="K9">
        <f>IFERROR(IF(ISNUMBER(INDEX(SPPR!$E:$Z,MATCH($A9,SPPR!$A:$A,0),8)),$C9*INDEX(SPPR!$E:$Z,MATCH($A9,SPPR!$A:$A,0),8),""),"")</f>
        <v/>
      </c>
      <c r="L9">
        <f>IFERROR(IF(ISNUMBER(INDEX(SPPR!$E:$Z,MATCH($A9,SPPR!$A:$A,0),9)),$C9*INDEX(SPPR!$E:$Z,MATCH($A9,SPPR!$A:$A,0),9),""),"")</f>
        <v/>
      </c>
      <c r="M9">
        <f>IFERROR(IF(ISNUMBER(INDEX(SPPR!$E:$Z,MATCH($A9,SPPR!$A:$A,0),10)),$C9*INDEX(SPPR!$E:$Z,MATCH($A9,SPPR!$A:$A,0),10),""),"")</f>
        <v/>
      </c>
      <c r="N9">
        <f>IFERROR(IF(ISNUMBER(INDEX(SPPR!$E:$Z,MATCH($A9,SPPR!$A:$A,0),11)),$C9*INDEX(SPPR!$E:$Z,MATCH($A9,SPPR!$A:$A,0),11),""),"")</f>
        <v/>
      </c>
      <c r="O9">
        <f>IFERROR(IF(ISNUMBER(INDEX(SPPR!$E:$Z,MATCH($A9,SPPR!$A:$A,0),12)),$C9*INDEX(SPPR!$E:$Z,MATCH($A9,SPPR!$A:$A,0),12),""),"")</f>
        <v/>
      </c>
      <c r="P9">
        <f>IFERROR(IF(ISNUMBER(INDEX(SPPR!$E:$Z,MATCH($A9,SPPR!$A:$A,0),13)),$C9*INDEX(SPPR!$E:$Z,MATCH($A9,SPPR!$A:$A,0),13),""),"")</f>
        <v/>
      </c>
      <c r="Q9">
        <f>IFERROR(IF(ISNUMBER(INDEX(SPPR!$E:$Z,MATCH($A9,SPPR!$A:$A,0),14)),$C9*INDEX(SPPR!$E:$Z,MATCH($A9,SPPR!$A:$A,0),14),""),"")</f>
        <v/>
      </c>
      <c r="R9">
        <f>IFERROR(IF(ISNUMBER(INDEX(SPPR!$E:$Z,MATCH($A9,SPPR!$A:$A,0),15)),$C9*INDEX(SPPR!$E:$Z,MATCH($A9,SPPR!$A:$A,0),15),""),"")</f>
        <v/>
      </c>
      <c r="S9">
        <f>IFERROR(IF(ISNUMBER(INDEX(SPPR!$E:$Z,MATCH($A9,SPPR!$A:$A,0),16)),$C9*INDEX(SPPR!$E:$Z,MATCH($A9,SPPR!$A:$A,0),16),""),"")</f>
        <v/>
      </c>
      <c r="T9">
        <f>IFERROR(IF(ISNUMBER(INDEX(SPPR!$E:$Z,MATCH($A9,SPPR!$A:$A,0),17)),$C9*INDEX(SPPR!$E:$Z,MATCH($A9,SPPR!$A:$A,0),17),""),"")</f>
        <v/>
      </c>
      <c r="U9">
        <f>IFERROR(IF(ISNUMBER(INDEX(SPPR!$E:$Z,MATCH($A9,SPPR!$A:$A,0),18)),$C9*INDEX(SPPR!$E:$Z,MATCH($A9,SPPR!$A:$A,0),18),""),"")</f>
        <v/>
      </c>
      <c r="V9">
        <f>IFERROR(IF(ISNUMBER(INDEX(SPPR!$E:$Z,MATCH($A9,SPPR!$A:$A,0),19)),$C9*INDEX(SPPR!$E:$Z,MATCH($A9,SPPR!$A:$A,0),19),""),"")</f>
        <v/>
      </c>
      <c r="W9">
        <f>IFERROR(IF(ISNUMBER(INDEX(SPPR!$E:$Z,MATCH($A9,SPPR!$A:$A,0),20)),$C9*INDEX(SPPR!$E:$Z,MATCH($A9,SPPR!$A:$A,0),20),""),"")</f>
        <v/>
      </c>
      <c r="X9">
        <f>IFERROR(IF(ISNUMBER(INDEX(SPPR!$E:$Z,MATCH($A9,SPPR!$A:$A,0),21)),$C9*INDEX(SPPR!$E:$Z,MATCH($A9,SPPR!$A:$A,0),21),""),"")</f>
        <v/>
      </c>
      <c r="Y9">
        <f>IFERROR(IF(ISNUMBER(INDEX(SPPR!$E:$Z,MATCH($A9,SPPR!$A:$A,0),22)),$C9*INDEX(SPPR!$E:$Z,MATCH($A9,SPPR!$A:$A,0),22),""),"")</f>
        <v/>
      </c>
    </row>
    <row r="10">
      <c r="A10" t="inlineStr">
        <is>
          <t>Scyphozoa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IFERROR(IF(ISNUMBER(INDEX(SPPR!$E:$Z,MATCH($A10,SPPR!$A:$A,0),1)),$C10*INDEX(SPPR!$E:$Z,MATCH($A10,SPPR!$A:$A,0),1),""),"")</f>
        <v/>
      </c>
      <c r="E10">
        <f>IFERROR(IF(ISNUMBER(INDEX(SPPR!$E:$Z,MATCH($A10,SPPR!$A:$A,0),2)),$C10*INDEX(SPPR!$E:$Z,MATCH($A10,SPPR!$A:$A,0),2),""),"")</f>
        <v/>
      </c>
      <c r="F10">
        <f>IFERROR(IF(ISNUMBER(INDEX(SPPR!$E:$Z,MATCH($A10,SPPR!$A:$A,0),3)),$C10*INDEX(SPPR!$E:$Z,MATCH($A10,SPPR!$A:$A,0),3),""),"")</f>
        <v/>
      </c>
      <c r="G10">
        <f>IFERROR(IF(ISNUMBER(INDEX(SPPR!$E:$Z,MATCH($A10,SPPR!$A:$A,0),4)),$C10*INDEX(SPPR!$E:$Z,MATCH($A10,SPPR!$A:$A,0),4),""),"")</f>
        <v/>
      </c>
      <c r="H10">
        <f>IFERROR(IF(ISNUMBER(INDEX(SPPR!$E:$Z,MATCH($A10,SPPR!$A:$A,0),5)),$C10*INDEX(SPPR!$E:$Z,MATCH($A10,SPPR!$A:$A,0),5),""),"")</f>
        <v/>
      </c>
      <c r="I10">
        <f>IFERROR(IF(ISNUMBER(INDEX(SPPR!$E:$Z,MATCH($A10,SPPR!$A:$A,0),6)),$C10*INDEX(SPPR!$E:$Z,MATCH($A10,SPPR!$A:$A,0),6),""),"")</f>
        <v/>
      </c>
      <c r="J10">
        <f>IFERROR(IF(ISNUMBER(INDEX(SPPR!$E:$Z,MATCH($A10,SPPR!$A:$A,0),7)),$C10*INDEX(SPPR!$E:$Z,MATCH($A10,SPPR!$A:$A,0),7),""),"")</f>
        <v/>
      </c>
      <c r="K10">
        <f>IFERROR(IF(ISNUMBER(INDEX(SPPR!$E:$Z,MATCH($A10,SPPR!$A:$A,0),8)),$C10*INDEX(SPPR!$E:$Z,MATCH($A10,SPPR!$A:$A,0),8),""),"")</f>
        <v/>
      </c>
      <c r="L10">
        <f>IFERROR(IF(ISNUMBER(INDEX(SPPR!$E:$Z,MATCH($A10,SPPR!$A:$A,0),9)),$C10*INDEX(SPPR!$E:$Z,MATCH($A10,SPPR!$A:$A,0),9),""),"")</f>
        <v/>
      </c>
      <c r="M10">
        <f>IFERROR(IF(ISNUMBER(INDEX(SPPR!$E:$Z,MATCH($A10,SPPR!$A:$A,0),10)),$C10*INDEX(SPPR!$E:$Z,MATCH($A10,SPPR!$A:$A,0),10),""),"")</f>
        <v/>
      </c>
      <c r="N10">
        <f>IFERROR(IF(ISNUMBER(INDEX(SPPR!$E:$Z,MATCH($A10,SPPR!$A:$A,0),11)),$C10*INDEX(SPPR!$E:$Z,MATCH($A10,SPPR!$A:$A,0),11),""),"")</f>
        <v/>
      </c>
      <c r="O10">
        <f>IFERROR(IF(ISNUMBER(INDEX(SPPR!$E:$Z,MATCH($A10,SPPR!$A:$A,0),12)),$C10*INDEX(SPPR!$E:$Z,MATCH($A10,SPPR!$A:$A,0),12),""),"")</f>
        <v/>
      </c>
      <c r="P10">
        <f>IFERROR(IF(ISNUMBER(INDEX(SPPR!$E:$Z,MATCH($A10,SPPR!$A:$A,0),13)),$C10*INDEX(SPPR!$E:$Z,MATCH($A10,SPPR!$A:$A,0),13),""),"")</f>
        <v/>
      </c>
      <c r="Q10">
        <f>IFERROR(IF(ISNUMBER(INDEX(SPPR!$E:$Z,MATCH($A10,SPPR!$A:$A,0),14)),$C10*INDEX(SPPR!$E:$Z,MATCH($A10,SPPR!$A:$A,0),14),""),"")</f>
        <v/>
      </c>
      <c r="R10">
        <f>IFERROR(IF(ISNUMBER(INDEX(SPPR!$E:$Z,MATCH($A10,SPPR!$A:$A,0),15)),$C10*INDEX(SPPR!$E:$Z,MATCH($A10,SPPR!$A:$A,0),15),""),"")</f>
        <v/>
      </c>
      <c r="S10">
        <f>IFERROR(IF(ISNUMBER(INDEX(SPPR!$E:$Z,MATCH($A10,SPPR!$A:$A,0),16)),$C10*INDEX(SPPR!$E:$Z,MATCH($A10,SPPR!$A:$A,0),16),""),"")</f>
        <v/>
      </c>
      <c r="T10">
        <f>IFERROR(IF(ISNUMBER(INDEX(SPPR!$E:$Z,MATCH($A10,SPPR!$A:$A,0),17)),$C10*INDEX(SPPR!$E:$Z,MATCH($A10,SPPR!$A:$A,0),17),""),"")</f>
        <v/>
      </c>
      <c r="U10">
        <f>IFERROR(IF(ISNUMBER(INDEX(SPPR!$E:$Z,MATCH($A10,SPPR!$A:$A,0),18)),$C10*INDEX(SPPR!$E:$Z,MATCH($A10,SPPR!$A:$A,0),18),""),"")</f>
        <v/>
      </c>
      <c r="V10">
        <f>IFERROR(IF(ISNUMBER(INDEX(SPPR!$E:$Z,MATCH($A10,SPPR!$A:$A,0),19)),$C10*INDEX(SPPR!$E:$Z,MATCH($A10,SPPR!$A:$A,0),19),""),"")</f>
        <v/>
      </c>
      <c r="W10">
        <f>IFERROR(IF(ISNUMBER(INDEX(SPPR!$E:$Z,MATCH($A10,SPPR!$A:$A,0),20)),$C10*INDEX(SPPR!$E:$Z,MATCH($A10,SPPR!$A:$A,0),20),""),"")</f>
        <v/>
      </c>
      <c r="X10">
        <f>IFERROR(IF(ISNUMBER(INDEX(SPPR!$E:$Z,MATCH($A10,SPPR!$A:$A,0),21)),$C10*INDEX(SPPR!$E:$Z,MATCH($A10,SPPR!$A:$A,0),21),""),"")</f>
        <v/>
      </c>
      <c r="Y10">
        <f>IFERROR(IF(ISNUMBER(INDEX(SPPR!$E:$Z,MATCH($A10,SPPR!$A:$A,0),22)),$C10*INDEX(SPPR!$E:$Z,MATCH($A10,SPPR!$A:$A,0),22),""),"")</f>
        <v/>
      </c>
    </row>
    <row r="11">
      <c r="A11" t="inlineStr">
        <is>
          <t>Synodontidae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IFERROR(IF(ISNUMBER(INDEX(SPPR!$E:$Z,MATCH($A11,SPPR!$A:$A,0),1)),$C11*INDEX(SPPR!$E:$Z,MATCH($A11,SPPR!$A:$A,0),1),""),"")</f>
        <v/>
      </c>
      <c r="E11">
        <f>IFERROR(IF(ISNUMBER(INDEX(SPPR!$E:$Z,MATCH($A11,SPPR!$A:$A,0),2)),$C11*INDEX(SPPR!$E:$Z,MATCH($A11,SPPR!$A:$A,0),2),""),"")</f>
        <v/>
      </c>
      <c r="F11">
        <f>IFERROR(IF(ISNUMBER(INDEX(SPPR!$E:$Z,MATCH($A11,SPPR!$A:$A,0),3)),$C11*INDEX(SPPR!$E:$Z,MATCH($A11,SPPR!$A:$A,0),3),""),"")</f>
        <v/>
      </c>
      <c r="G11">
        <f>IFERROR(IF(ISNUMBER(INDEX(SPPR!$E:$Z,MATCH($A11,SPPR!$A:$A,0),4)),$C11*INDEX(SPPR!$E:$Z,MATCH($A11,SPPR!$A:$A,0),4),""),"")</f>
        <v/>
      </c>
      <c r="H11">
        <f>IFERROR(IF(ISNUMBER(INDEX(SPPR!$E:$Z,MATCH($A11,SPPR!$A:$A,0),5)),$C11*INDEX(SPPR!$E:$Z,MATCH($A11,SPPR!$A:$A,0),5),""),"")</f>
        <v/>
      </c>
      <c r="I11">
        <f>IFERROR(IF(ISNUMBER(INDEX(SPPR!$E:$Z,MATCH($A11,SPPR!$A:$A,0),6)),$C11*INDEX(SPPR!$E:$Z,MATCH($A11,SPPR!$A:$A,0),6),""),"")</f>
        <v/>
      </c>
      <c r="J11">
        <f>IFERROR(IF(ISNUMBER(INDEX(SPPR!$E:$Z,MATCH($A11,SPPR!$A:$A,0),7)),$C11*INDEX(SPPR!$E:$Z,MATCH($A11,SPPR!$A:$A,0),7),""),"")</f>
        <v/>
      </c>
      <c r="K11">
        <f>IFERROR(IF(ISNUMBER(INDEX(SPPR!$E:$Z,MATCH($A11,SPPR!$A:$A,0),8)),$C11*INDEX(SPPR!$E:$Z,MATCH($A11,SPPR!$A:$A,0),8),""),"")</f>
        <v/>
      </c>
      <c r="L11">
        <f>IFERROR(IF(ISNUMBER(INDEX(SPPR!$E:$Z,MATCH($A11,SPPR!$A:$A,0),9)),$C11*INDEX(SPPR!$E:$Z,MATCH($A11,SPPR!$A:$A,0),9),""),"")</f>
        <v/>
      </c>
      <c r="M11">
        <f>IFERROR(IF(ISNUMBER(INDEX(SPPR!$E:$Z,MATCH($A11,SPPR!$A:$A,0),10)),$C11*INDEX(SPPR!$E:$Z,MATCH($A11,SPPR!$A:$A,0),10),""),"")</f>
        <v/>
      </c>
      <c r="N11">
        <f>IFERROR(IF(ISNUMBER(INDEX(SPPR!$E:$Z,MATCH($A11,SPPR!$A:$A,0),11)),$C11*INDEX(SPPR!$E:$Z,MATCH($A11,SPPR!$A:$A,0),11),""),"")</f>
        <v/>
      </c>
      <c r="O11">
        <f>IFERROR(IF(ISNUMBER(INDEX(SPPR!$E:$Z,MATCH($A11,SPPR!$A:$A,0),12)),$C11*INDEX(SPPR!$E:$Z,MATCH($A11,SPPR!$A:$A,0),12),""),"")</f>
        <v/>
      </c>
      <c r="P11">
        <f>IFERROR(IF(ISNUMBER(INDEX(SPPR!$E:$Z,MATCH($A11,SPPR!$A:$A,0),13)),$C11*INDEX(SPPR!$E:$Z,MATCH($A11,SPPR!$A:$A,0),13),""),"")</f>
        <v/>
      </c>
      <c r="Q11">
        <f>IFERROR(IF(ISNUMBER(INDEX(SPPR!$E:$Z,MATCH($A11,SPPR!$A:$A,0),14)),$C11*INDEX(SPPR!$E:$Z,MATCH($A11,SPPR!$A:$A,0),14),""),"")</f>
        <v/>
      </c>
      <c r="R11">
        <f>IFERROR(IF(ISNUMBER(INDEX(SPPR!$E:$Z,MATCH($A11,SPPR!$A:$A,0),15)),$C11*INDEX(SPPR!$E:$Z,MATCH($A11,SPPR!$A:$A,0),15),""),"")</f>
        <v/>
      </c>
      <c r="S11">
        <f>IFERROR(IF(ISNUMBER(INDEX(SPPR!$E:$Z,MATCH($A11,SPPR!$A:$A,0),16)),$C11*INDEX(SPPR!$E:$Z,MATCH($A11,SPPR!$A:$A,0),16),""),"")</f>
        <v/>
      </c>
      <c r="T11">
        <f>IFERROR(IF(ISNUMBER(INDEX(SPPR!$E:$Z,MATCH($A11,SPPR!$A:$A,0),17)),$C11*INDEX(SPPR!$E:$Z,MATCH($A11,SPPR!$A:$A,0),17),""),"")</f>
        <v/>
      </c>
      <c r="U11">
        <f>IFERROR(IF(ISNUMBER(INDEX(SPPR!$E:$Z,MATCH($A11,SPPR!$A:$A,0),18)),$C11*INDEX(SPPR!$E:$Z,MATCH($A11,SPPR!$A:$A,0),18),""),"")</f>
        <v/>
      </c>
      <c r="V11">
        <f>IFERROR(IF(ISNUMBER(INDEX(SPPR!$E:$Z,MATCH($A11,SPPR!$A:$A,0),19)),$C11*INDEX(SPPR!$E:$Z,MATCH($A11,SPPR!$A:$A,0),19),""),"")</f>
        <v/>
      </c>
      <c r="W11">
        <f>IFERROR(IF(ISNUMBER(INDEX(SPPR!$E:$Z,MATCH($A11,SPPR!$A:$A,0),20)),$C11*INDEX(SPPR!$E:$Z,MATCH($A11,SPPR!$A:$A,0),20),""),"")</f>
        <v/>
      </c>
      <c r="X11">
        <f>IFERROR(IF(ISNUMBER(INDEX(SPPR!$E:$Z,MATCH($A11,SPPR!$A:$A,0),21)),$C11*INDEX(SPPR!$E:$Z,MATCH($A11,SPPR!$A:$A,0),21),""),"")</f>
        <v/>
      </c>
      <c r="Y11">
        <f>IFERROR(IF(ISNUMBER(INDEX(SPPR!$E:$Z,MATCH($A11,SPPR!$A:$A,0),22)),$C11*INDEX(SPPR!$E:$Z,MATCH($A11,SPPR!$A:$A,0),22),""),"")</f>
        <v/>
      </c>
    </row>
    <row r="12">
      <c r="A12" t="inlineStr">
        <is>
          <t>Alepes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IFERROR(IF(ISNUMBER(INDEX(SPPR!$E:$Z,MATCH($A12,SPPR!$A:$A,0),1)),$C12*INDEX(SPPR!$E:$Z,MATCH($A12,SPPR!$A:$A,0),1),""),"")</f>
        <v/>
      </c>
      <c r="E12">
        <f>IFERROR(IF(ISNUMBER(INDEX(SPPR!$E:$Z,MATCH($A12,SPPR!$A:$A,0),2)),$C12*INDEX(SPPR!$E:$Z,MATCH($A12,SPPR!$A:$A,0),2),""),"")</f>
        <v/>
      </c>
      <c r="F12">
        <f>IFERROR(IF(ISNUMBER(INDEX(SPPR!$E:$Z,MATCH($A12,SPPR!$A:$A,0),3)),$C12*INDEX(SPPR!$E:$Z,MATCH($A12,SPPR!$A:$A,0),3),""),"")</f>
        <v/>
      </c>
      <c r="G12">
        <f>IFERROR(IF(ISNUMBER(INDEX(SPPR!$E:$Z,MATCH($A12,SPPR!$A:$A,0),4)),$C12*INDEX(SPPR!$E:$Z,MATCH($A12,SPPR!$A:$A,0),4),""),"")</f>
        <v/>
      </c>
      <c r="H12">
        <f>IFERROR(IF(ISNUMBER(INDEX(SPPR!$E:$Z,MATCH($A12,SPPR!$A:$A,0),5)),$C12*INDEX(SPPR!$E:$Z,MATCH($A12,SPPR!$A:$A,0),5),""),"")</f>
        <v/>
      </c>
      <c r="I12">
        <f>IFERROR(IF(ISNUMBER(INDEX(SPPR!$E:$Z,MATCH($A12,SPPR!$A:$A,0),6)),$C12*INDEX(SPPR!$E:$Z,MATCH($A12,SPPR!$A:$A,0),6),""),"")</f>
        <v/>
      </c>
      <c r="J12">
        <f>IFERROR(IF(ISNUMBER(INDEX(SPPR!$E:$Z,MATCH($A12,SPPR!$A:$A,0),7)),$C12*INDEX(SPPR!$E:$Z,MATCH($A12,SPPR!$A:$A,0),7),""),"")</f>
        <v/>
      </c>
      <c r="K12">
        <f>IFERROR(IF(ISNUMBER(INDEX(SPPR!$E:$Z,MATCH($A12,SPPR!$A:$A,0),8)),$C12*INDEX(SPPR!$E:$Z,MATCH($A12,SPPR!$A:$A,0),8),""),"")</f>
        <v/>
      </c>
      <c r="L12">
        <f>IFERROR(IF(ISNUMBER(INDEX(SPPR!$E:$Z,MATCH($A12,SPPR!$A:$A,0),9)),$C12*INDEX(SPPR!$E:$Z,MATCH($A12,SPPR!$A:$A,0),9),""),"")</f>
        <v/>
      </c>
      <c r="M12">
        <f>IFERROR(IF(ISNUMBER(INDEX(SPPR!$E:$Z,MATCH($A12,SPPR!$A:$A,0),10)),$C12*INDEX(SPPR!$E:$Z,MATCH($A12,SPPR!$A:$A,0),10),""),"")</f>
        <v/>
      </c>
      <c r="N12">
        <f>IFERROR(IF(ISNUMBER(INDEX(SPPR!$E:$Z,MATCH($A12,SPPR!$A:$A,0),11)),$C12*INDEX(SPPR!$E:$Z,MATCH($A12,SPPR!$A:$A,0),11),""),"")</f>
        <v/>
      </c>
      <c r="O12">
        <f>IFERROR(IF(ISNUMBER(INDEX(SPPR!$E:$Z,MATCH($A12,SPPR!$A:$A,0),12)),$C12*INDEX(SPPR!$E:$Z,MATCH($A12,SPPR!$A:$A,0),12),""),"")</f>
        <v/>
      </c>
      <c r="P12">
        <f>IFERROR(IF(ISNUMBER(INDEX(SPPR!$E:$Z,MATCH($A12,SPPR!$A:$A,0),13)),$C12*INDEX(SPPR!$E:$Z,MATCH($A12,SPPR!$A:$A,0),13),""),"")</f>
        <v/>
      </c>
      <c r="Q12">
        <f>IFERROR(IF(ISNUMBER(INDEX(SPPR!$E:$Z,MATCH($A12,SPPR!$A:$A,0),14)),$C12*INDEX(SPPR!$E:$Z,MATCH($A12,SPPR!$A:$A,0),14),""),"")</f>
        <v/>
      </c>
      <c r="R12">
        <f>IFERROR(IF(ISNUMBER(INDEX(SPPR!$E:$Z,MATCH($A12,SPPR!$A:$A,0),15)),$C12*INDEX(SPPR!$E:$Z,MATCH($A12,SPPR!$A:$A,0),15),""),"")</f>
        <v/>
      </c>
      <c r="S12">
        <f>IFERROR(IF(ISNUMBER(INDEX(SPPR!$E:$Z,MATCH($A12,SPPR!$A:$A,0),16)),$C12*INDEX(SPPR!$E:$Z,MATCH($A12,SPPR!$A:$A,0),16),""),"")</f>
        <v/>
      </c>
      <c r="T12">
        <f>IFERROR(IF(ISNUMBER(INDEX(SPPR!$E:$Z,MATCH($A12,SPPR!$A:$A,0),17)),$C12*INDEX(SPPR!$E:$Z,MATCH($A12,SPPR!$A:$A,0),17),""),"")</f>
        <v/>
      </c>
      <c r="U12">
        <f>IFERROR(IF(ISNUMBER(INDEX(SPPR!$E:$Z,MATCH($A12,SPPR!$A:$A,0),18)),$C12*INDEX(SPPR!$E:$Z,MATCH($A12,SPPR!$A:$A,0),18),""),"")</f>
        <v/>
      </c>
      <c r="V12">
        <f>IFERROR(IF(ISNUMBER(INDEX(SPPR!$E:$Z,MATCH($A12,SPPR!$A:$A,0),19)),$C12*INDEX(SPPR!$E:$Z,MATCH($A12,SPPR!$A:$A,0),19),""),"")</f>
        <v/>
      </c>
      <c r="W12">
        <f>IFERROR(IF(ISNUMBER(INDEX(SPPR!$E:$Z,MATCH($A12,SPPR!$A:$A,0),20)),$C12*INDEX(SPPR!$E:$Z,MATCH($A12,SPPR!$A:$A,0),20),""),"")</f>
        <v/>
      </c>
      <c r="X12">
        <f>IFERROR(IF(ISNUMBER(INDEX(SPPR!$E:$Z,MATCH($A12,SPPR!$A:$A,0),21)),$C12*INDEX(SPPR!$E:$Z,MATCH($A12,SPPR!$A:$A,0),21),""),"")</f>
        <v/>
      </c>
      <c r="Y12">
        <f>IFERROR(IF(ISNUMBER(INDEX(SPPR!$E:$Z,MATCH($A12,SPPR!$A:$A,0),22)),$C12*INDEX(SPPR!$E:$Z,MATCH($A12,SPPR!$A:$A,0),22),""),"")</f>
        <v/>
      </c>
    </row>
    <row r="13">
      <c r="A13" t="inlineStr">
        <is>
          <t>Carangidae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IFERROR(IF(ISNUMBER(INDEX(SPPR!$E:$Z,MATCH($A13,SPPR!$A:$A,0),1)),$C13*INDEX(SPPR!$E:$Z,MATCH($A13,SPPR!$A:$A,0),1),""),"")</f>
        <v/>
      </c>
      <c r="E13">
        <f>IFERROR(IF(ISNUMBER(INDEX(SPPR!$E:$Z,MATCH($A13,SPPR!$A:$A,0),2)),$C13*INDEX(SPPR!$E:$Z,MATCH($A13,SPPR!$A:$A,0),2),""),"")</f>
        <v/>
      </c>
      <c r="F13">
        <f>IFERROR(IF(ISNUMBER(INDEX(SPPR!$E:$Z,MATCH($A13,SPPR!$A:$A,0),3)),$C13*INDEX(SPPR!$E:$Z,MATCH($A13,SPPR!$A:$A,0),3),""),"")</f>
        <v/>
      </c>
      <c r="G13">
        <f>IFERROR(IF(ISNUMBER(INDEX(SPPR!$E:$Z,MATCH($A13,SPPR!$A:$A,0),4)),$C13*INDEX(SPPR!$E:$Z,MATCH($A13,SPPR!$A:$A,0),4),""),"")</f>
        <v/>
      </c>
      <c r="H13">
        <f>IFERROR(IF(ISNUMBER(INDEX(SPPR!$E:$Z,MATCH($A13,SPPR!$A:$A,0),5)),$C13*INDEX(SPPR!$E:$Z,MATCH($A13,SPPR!$A:$A,0),5),""),"")</f>
        <v/>
      </c>
      <c r="I13">
        <f>IFERROR(IF(ISNUMBER(INDEX(SPPR!$E:$Z,MATCH($A13,SPPR!$A:$A,0),6)),$C13*INDEX(SPPR!$E:$Z,MATCH($A13,SPPR!$A:$A,0),6),""),"")</f>
        <v/>
      </c>
      <c r="J13">
        <f>IFERROR(IF(ISNUMBER(INDEX(SPPR!$E:$Z,MATCH($A13,SPPR!$A:$A,0),7)),$C13*INDEX(SPPR!$E:$Z,MATCH($A13,SPPR!$A:$A,0),7),""),"")</f>
        <v/>
      </c>
      <c r="K13">
        <f>IFERROR(IF(ISNUMBER(INDEX(SPPR!$E:$Z,MATCH($A13,SPPR!$A:$A,0),8)),$C13*INDEX(SPPR!$E:$Z,MATCH($A13,SPPR!$A:$A,0),8),""),"")</f>
        <v/>
      </c>
      <c r="L13">
        <f>IFERROR(IF(ISNUMBER(INDEX(SPPR!$E:$Z,MATCH($A13,SPPR!$A:$A,0),9)),$C13*INDEX(SPPR!$E:$Z,MATCH($A13,SPPR!$A:$A,0),9),""),"")</f>
        <v/>
      </c>
      <c r="M13">
        <f>IFERROR(IF(ISNUMBER(INDEX(SPPR!$E:$Z,MATCH($A13,SPPR!$A:$A,0),10)),$C13*INDEX(SPPR!$E:$Z,MATCH($A13,SPPR!$A:$A,0),10),""),"")</f>
        <v/>
      </c>
      <c r="N13">
        <f>IFERROR(IF(ISNUMBER(INDEX(SPPR!$E:$Z,MATCH($A13,SPPR!$A:$A,0),11)),$C13*INDEX(SPPR!$E:$Z,MATCH($A13,SPPR!$A:$A,0),11),""),"")</f>
        <v/>
      </c>
      <c r="O13">
        <f>IFERROR(IF(ISNUMBER(INDEX(SPPR!$E:$Z,MATCH($A13,SPPR!$A:$A,0),12)),$C13*INDEX(SPPR!$E:$Z,MATCH($A13,SPPR!$A:$A,0),12),""),"")</f>
        <v/>
      </c>
      <c r="P13">
        <f>IFERROR(IF(ISNUMBER(INDEX(SPPR!$E:$Z,MATCH($A13,SPPR!$A:$A,0),13)),$C13*INDEX(SPPR!$E:$Z,MATCH($A13,SPPR!$A:$A,0),13),""),"")</f>
        <v/>
      </c>
      <c r="Q13">
        <f>IFERROR(IF(ISNUMBER(INDEX(SPPR!$E:$Z,MATCH($A13,SPPR!$A:$A,0),14)),$C13*INDEX(SPPR!$E:$Z,MATCH($A13,SPPR!$A:$A,0),14),""),"")</f>
        <v/>
      </c>
      <c r="R13">
        <f>IFERROR(IF(ISNUMBER(INDEX(SPPR!$E:$Z,MATCH($A13,SPPR!$A:$A,0),15)),$C13*INDEX(SPPR!$E:$Z,MATCH($A13,SPPR!$A:$A,0),15),""),"")</f>
        <v/>
      </c>
      <c r="S13">
        <f>IFERROR(IF(ISNUMBER(INDEX(SPPR!$E:$Z,MATCH($A13,SPPR!$A:$A,0),16)),$C13*INDEX(SPPR!$E:$Z,MATCH($A13,SPPR!$A:$A,0),16),""),"")</f>
        <v/>
      </c>
      <c r="T13">
        <f>IFERROR(IF(ISNUMBER(INDEX(SPPR!$E:$Z,MATCH($A13,SPPR!$A:$A,0),17)),$C13*INDEX(SPPR!$E:$Z,MATCH($A13,SPPR!$A:$A,0),17),""),"")</f>
        <v/>
      </c>
      <c r="U13">
        <f>IFERROR(IF(ISNUMBER(INDEX(SPPR!$E:$Z,MATCH($A13,SPPR!$A:$A,0),18)),$C13*INDEX(SPPR!$E:$Z,MATCH($A13,SPPR!$A:$A,0),18),""),"")</f>
        <v/>
      </c>
      <c r="V13">
        <f>IFERROR(IF(ISNUMBER(INDEX(SPPR!$E:$Z,MATCH($A13,SPPR!$A:$A,0),19)),$C13*INDEX(SPPR!$E:$Z,MATCH($A13,SPPR!$A:$A,0),19),""),"")</f>
        <v/>
      </c>
      <c r="W13">
        <f>IFERROR(IF(ISNUMBER(INDEX(SPPR!$E:$Z,MATCH($A13,SPPR!$A:$A,0),20)),$C13*INDEX(SPPR!$E:$Z,MATCH($A13,SPPR!$A:$A,0),20),""),"")</f>
        <v/>
      </c>
      <c r="X13">
        <f>IFERROR(IF(ISNUMBER(INDEX(SPPR!$E:$Z,MATCH($A13,SPPR!$A:$A,0),21)),$C13*INDEX(SPPR!$E:$Z,MATCH($A13,SPPR!$A:$A,0),21),""),"")</f>
        <v/>
      </c>
      <c r="Y13">
        <f>IFERROR(IF(ISNUMBER(INDEX(SPPR!$E:$Z,MATCH($A13,SPPR!$A:$A,0),22)),$C13*INDEX(SPPR!$E:$Z,MATCH($A13,SPPR!$A:$A,0),22),""),"")</f>
        <v/>
      </c>
    </row>
    <row r="14">
      <c r="A14" t="inlineStr">
        <is>
          <t>Mollusca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IFERROR(IF(ISNUMBER(INDEX(SPPR!$E:$Z,MATCH($A14,SPPR!$A:$A,0),1)),$C14*INDEX(SPPR!$E:$Z,MATCH($A14,SPPR!$A:$A,0),1),""),"")</f>
        <v/>
      </c>
      <c r="E14">
        <f>IFERROR(IF(ISNUMBER(INDEX(SPPR!$E:$Z,MATCH($A14,SPPR!$A:$A,0),2)),$C14*INDEX(SPPR!$E:$Z,MATCH($A14,SPPR!$A:$A,0),2),""),"")</f>
        <v/>
      </c>
      <c r="F14">
        <f>IFERROR(IF(ISNUMBER(INDEX(SPPR!$E:$Z,MATCH($A14,SPPR!$A:$A,0),3)),$C14*INDEX(SPPR!$E:$Z,MATCH($A14,SPPR!$A:$A,0),3),""),"")</f>
        <v/>
      </c>
      <c r="G14">
        <f>IFERROR(IF(ISNUMBER(INDEX(SPPR!$E:$Z,MATCH($A14,SPPR!$A:$A,0),4)),$C14*INDEX(SPPR!$E:$Z,MATCH($A14,SPPR!$A:$A,0),4),""),"")</f>
        <v/>
      </c>
      <c r="H14">
        <f>IFERROR(IF(ISNUMBER(INDEX(SPPR!$E:$Z,MATCH($A14,SPPR!$A:$A,0),5)),$C14*INDEX(SPPR!$E:$Z,MATCH($A14,SPPR!$A:$A,0),5),""),"")</f>
        <v/>
      </c>
      <c r="I14">
        <f>IFERROR(IF(ISNUMBER(INDEX(SPPR!$E:$Z,MATCH($A14,SPPR!$A:$A,0),6)),$C14*INDEX(SPPR!$E:$Z,MATCH($A14,SPPR!$A:$A,0),6),""),"")</f>
        <v/>
      </c>
      <c r="J14">
        <f>IFERROR(IF(ISNUMBER(INDEX(SPPR!$E:$Z,MATCH($A14,SPPR!$A:$A,0),7)),$C14*INDEX(SPPR!$E:$Z,MATCH($A14,SPPR!$A:$A,0),7),""),"")</f>
        <v/>
      </c>
      <c r="K14">
        <f>IFERROR(IF(ISNUMBER(INDEX(SPPR!$E:$Z,MATCH($A14,SPPR!$A:$A,0),8)),$C14*INDEX(SPPR!$E:$Z,MATCH($A14,SPPR!$A:$A,0),8),""),"")</f>
        <v/>
      </c>
      <c r="L14">
        <f>IFERROR(IF(ISNUMBER(INDEX(SPPR!$E:$Z,MATCH($A14,SPPR!$A:$A,0),9)),$C14*INDEX(SPPR!$E:$Z,MATCH($A14,SPPR!$A:$A,0),9),""),"")</f>
        <v/>
      </c>
      <c r="M14">
        <f>IFERROR(IF(ISNUMBER(INDEX(SPPR!$E:$Z,MATCH($A14,SPPR!$A:$A,0),10)),$C14*INDEX(SPPR!$E:$Z,MATCH($A14,SPPR!$A:$A,0),10),""),"")</f>
        <v/>
      </c>
      <c r="N14">
        <f>IFERROR(IF(ISNUMBER(INDEX(SPPR!$E:$Z,MATCH($A14,SPPR!$A:$A,0),11)),$C14*INDEX(SPPR!$E:$Z,MATCH($A14,SPPR!$A:$A,0),11),""),"")</f>
        <v/>
      </c>
      <c r="O14">
        <f>IFERROR(IF(ISNUMBER(INDEX(SPPR!$E:$Z,MATCH($A14,SPPR!$A:$A,0),12)),$C14*INDEX(SPPR!$E:$Z,MATCH($A14,SPPR!$A:$A,0),12),""),"")</f>
        <v/>
      </c>
      <c r="P14">
        <f>IFERROR(IF(ISNUMBER(INDEX(SPPR!$E:$Z,MATCH($A14,SPPR!$A:$A,0),13)),$C14*INDEX(SPPR!$E:$Z,MATCH($A14,SPPR!$A:$A,0),13),""),"")</f>
        <v/>
      </c>
      <c r="Q14">
        <f>IFERROR(IF(ISNUMBER(INDEX(SPPR!$E:$Z,MATCH($A14,SPPR!$A:$A,0),14)),$C14*INDEX(SPPR!$E:$Z,MATCH($A14,SPPR!$A:$A,0),14),""),"")</f>
        <v/>
      </c>
      <c r="R14">
        <f>IFERROR(IF(ISNUMBER(INDEX(SPPR!$E:$Z,MATCH($A14,SPPR!$A:$A,0),15)),$C14*INDEX(SPPR!$E:$Z,MATCH($A14,SPPR!$A:$A,0),15),""),"")</f>
        <v/>
      </c>
      <c r="S14">
        <f>IFERROR(IF(ISNUMBER(INDEX(SPPR!$E:$Z,MATCH($A14,SPPR!$A:$A,0),16)),$C14*INDEX(SPPR!$E:$Z,MATCH($A14,SPPR!$A:$A,0),16),""),"")</f>
        <v/>
      </c>
      <c r="T14">
        <f>IFERROR(IF(ISNUMBER(INDEX(SPPR!$E:$Z,MATCH($A14,SPPR!$A:$A,0),17)),$C14*INDEX(SPPR!$E:$Z,MATCH($A14,SPPR!$A:$A,0),17),""),"")</f>
        <v/>
      </c>
      <c r="U14">
        <f>IFERROR(IF(ISNUMBER(INDEX(SPPR!$E:$Z,MATCH($A14,SPPR!$A:$A,0),18)),$C14*INDEX(SPPR!$E:$Z,MATCH($A14,SPPR!$A:$A,0),18),""),"")</f>
        <v/>
      </c>
      <c r="V14">
        <f>IFERROR(IF(ISNUMBER(INDEX(SPPR!$E:$Z,MATCH($A14,SPPR!$A:$A,0),19)),$C14*INDEX(SPPR!$E:$Z,MATCH($A14,SPPR!$A:$A,0),19),""),"")</f>
        <v/>
      </c>
      <c r="W14">
        <f>IFERROR(IF(ISNUMBER(INDEX(SPPR!$E:$Z,MATCH($A14,SPPR!$A:$A,0),20)),$C14*INDEX(SPPR!$E:$Z,MATCH($A14,SPPR!$A:$A,0),20),""),"")</f>
        <v/>
      </c>
      <c r="X14">
        <f>IFERROR(IF(ISNUMBER(INDEX(SPPR!$E:$Z,MATCH($A14,SPPR!$A:$A,0),21)),$C14*INDEX(SPPR!$E:$Z,MATCH($A14,SPPR!$A:$A,0),21),""),"")</f>
        <v/>
      </c>
      <c r="Y14">
        <f>IFERROR(IF(ISNUMBER(INDEX(SPPR!$E:$Z,MATCH($A14,SPPR!$A:$A,0),22)),$C14*INDEX(SPPR!$E:$Z,MATCH($A14,SPPR!$A:$A,0),22),""),"")</f>
        <v/>
      </c>
    </row>
    <row r="15">
      <c r="A15" t="inlineStr">
        <is>
          <t>Acetes japonicus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IFERROR(IF(ISNUMBER(INDEX(SPPR!$E:$Z,MATCH($A15,SPPR!$A:$A,0),1)),$C15*INDEX(SPPR!$E:$Z,MATCH($A15,SPPR!$A:$A,0),1),""),"")</f>
        <v/>
      </c>
      <c r="E15">
        <f>IFERROR(IF(ISNUMBER(INDEX(SPPR!$E:$Z,MATCH($A15,SPPR!$A:$A,0),2)),$C15*INDEX(SPPR!$E:$Z,MATCH($A15,SPPR!$A:$A,0),2),""),"")</f>
        <v/>
      </c>
      <c r="F15">
        <f>IFERROR(IF(ISNUMBER(INDEX(SPPR!$E:$Z,MATCH($A15,SPPR!$A:$A,0),3)),$C15*INDEX(SPPR!$E:$Z,MATCH($A15,SPPR!$A:$A,0),3),""),"")</f>
        <v/>
      </c>
      <c r="G15">
        <f>IFERROR(IF(ISNUMBER(INDEX(SPPR!$E:$Z,MATCH($A15,SPPR!$A:$A,0),4)),$C15*INDEX(SPPR!$E:$Z,MATCH($A15,SPPR!$A:$A,0),4),""),"")</f>
        <v/>
      </c>
      <c r="H15">
        <f>IFERROR(IF(ISNUMBER(INDEX(SPPR!$E:$Z,MATCH($A15,SPPR!$A:$A,0),5)),$C15*INDEX(SPPR!$E:$Z,MATCH($A15,SPPR!$A:$A,0),5),""),"")</f>
        <v/>
      </c>
      <c r="I15">
        <f>IFERROR(IF(ISNUMBER(INDEX(SPPR!$E:$Z,MATCH($A15,SPPR!$A:$A,0),6)),$C15*INDEX(SPPR!$E:$Z,MATCH($A15,SPPR!$A:$A,0),6),""),"")</f>
        <v/>
      </c>
      <c r="J15">
        <f>IFERROR(IF(ISNUMBER(INDEX(SPPR!$E:$Z,MATCH($A15,SPPR!$A:$A,0),7)),$C15*INDEX(SPPR!$E:$Z,MATCH($A15,SPPR!$A:$A,0),7),""),"")</f>
        <v/>
      </c>
      <c r="K15">
        <f>IFERROR(IF(ISNUMBER(INDEX(SPPR!$E:$Z,MATCH($A15,SPPR!$A:$A,0),8)),$C15*INDEX(SPPR!$E:$Z,MATCH($A15,SPPR!$A:$A,0),8),""),"")</f>
        <v/>
      </c>
      <c r="L15">
        <f>IFERROR(IF(ISNUMBER(INDEX(SPPR!$E:$Z,MATCH($A15,SPPR!$A:$A,0),9)),$C15*INDEX(SPPR!$E:$Z,MATCH($A15,SPPR!$A:$A,0),9),""),"")</f>
        <v/>
      </c>
      <c r="M15">
        <f>IFERROR(IF(ISNUMBER(INDEX(SPPR!$E:$Z,MATCH($A15,SPPR!$A:$A,0),10)),$C15*INDEX(SPPR!$E:$Z,MATCH($A15,SPPR!$A:$A,0),10),""),"")</f>
        <v/>
      </c>
      <c r="N15">
        <f>IFERROR(IF(ISNUMBER(INDEX(SPPR!$E:$Z,MATCH($A15,SPPR!$A:$A,0),11)),$C15*INDEX(SPPR!$E:$Z,MATCH($A15,SPPR!$A:$A,0),11),""),"")</f>
        <v/>
      </c>
      <c r="O15">
        <f>IFERROR(IF(ISNUMBER(INDEX(SPPR!$E:$Z,MATCH($A15,SPPR!$A:$A,0),12)),$C15*INDEX(SPPR!$E:$Z,MATCH($A15,SPPR!$A:$A,0),12),""),"")</f>
        <v/>
      </c>
      <c r="P15">
        <f>IFERROR(IF(ISNUMBER(INDEX(SPPR!$E:$Z,MATCH($A15,SPPR!$A:$A,0),13)),$C15*INDEX(SPPR!$E:$Z,MATCH($A15,SPPR!$A:$A,0),13),""),"")</f>
        <v/>
      </c>
      <c r="Q15">
        <f>IFERROR(IF(ISNUMBER(INDEX(SPPR!$E:$Z,MATCH($A15,SPPR!$A:$A,0),14)),$C15*INDEX(SPPR!$E:$Z,MATCH($A15,SPPR!$A:$A,0),14),""),"")</f>
        <v/>
      </c>
      <c r="R15">
        <f>IFERROR(IF(ISNUMBER(INDEX(SPPR!$E:$Z,MATCH($A15,SPPR!$A:$A,0),15)),$C15*INDEX(SPPR!$E:$Z,MATCH($A15,SPPR!$A:$A,0),15),""),"")</f>
        <v/>
      </c>
      <c r="S15">
        <f>IFERROR(IF(ISNUMBER(INDEX(SPPR!$E:$Z,MATCH($A15,SPPR!$A:$A,0),16)),$C15*INDEX(SPPR!$E:$Z,MATCH($A15,SPPR!$A:$A,0),16),""),"")</f>
        <v/>
      </c>
      <c r="T15">
        <f>IFERROR(IF(ISNUMBER(INDEX(SPPR!$E:$Z,MATCH($A15,SPPR!$A:$A,0),17)),$C15*INDEX(SPPR!$E:$Z,MATCH($A15,SPPR!$A:$A,0),17),""),"")</f>
        <v/>
      </c>
      <c r="U15">
        <f>IFERROR(IF(ISNUMBER(INDEX(SPPR!$E:$Z,MATCH($A15,SPPR!$A:$A,0),18)),$C15*INDEX(SPPR!$E:$Z,MATCH($A15,SPPR!$A:$A,0),18),""),"")</f>
        <v/>
      </c>
      <c r="V15">
        <f>IFERROR(IF(ISNUMBER(INDEX(SPPR!$E:$Z,MATCH($A15,SPPR!$A:$A,0),19)),$C15*INDEX(SPPR!$E:$Z,MATCH($A15,SPPR!$A:$A,0),19),""),"")</f>
        <v/>
      </c>
      <c r="W15">
        <f>IFERROR(IF(ISNUMBER(INDEX(SPPR!$E:$Z,MATCH($A15,SPPR!$A:$A,0),20)),$C15*INDEX(SPPR!$E:$Z,MATCH($A15,SPPR!$A:$A,0),20),""),"")</f>
        <v/>
      </c>
      <c r="X15">
        <f>IFERROR(IF(ISNUMBER(INDEX(SPPR!$E:$Z,MATCH($A15,SPPR!$A:$A,0),21)),$C15*INDEX(SPPR!$E:$Z,MATCH($A15,SPPR!$A:$A,0),21),""),"")</f>
        <v/>
      </c>
      <c r="Y15">
        <f>IFERROR(IF(ISNUMBER(INDEX(SPPR!$E:$Z,MATCH($A15,SPPR!$A:$A,0),22)),$C15*INDEX(SPPR!$E:$Z,MATCH($A15,SPPR!$A:$A,0),22),""),"")</f>
        <v/>
      </c>
    </row>
    <row r="16">
      <c r="A16" t="inlineStr">
        <is>
          <t>Perciformes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IFERROR(IF(ISNUMBER(INDEX(SPPR!$E:$Z,MATCH($A16,SPPR!$A:$A,0),1)),$C16*INDEX(SPPR!$E:$Z,MATCH($A16,SPPR!$A:$A,0),1),""),"")</f>
        <v/>
      </c>
      <c r="E16">
        <f>IFERROR(IF(ISNUMBER(INDEX(SPPR!$E:$Z,MATCH($A16,SPPR!$A:$A,0),2)),$C16*INDEX(SPPR!$E:$Z,MATCH($A16,SPPR!$A:$A,0),2),""),"")</f>
        <v/>
      </c>
      <c r="F16">
        <f>IFERROR(IF(ISNUMBER(INDEX(SPPR!$E:$Z,MATCH($A16,SPPR!$A:$A,0),3)),$C16*INDEX(SPPR!$E:$Z,MATCH($A16,SPPR!$A:$A,0),3),""),"")</f>
        <v/>
      </c>
      <c r="G16">
        <f>IFERROR(IF(ISNUMBER(INDEX(SPPR!$E:$Z,MATCH($A16,SPPR!$A:$A,0),4)),$C16*INDEX(SPPR!$E:$Z,MATCH($A16,SPPR!$A:$A,0),4),""),"")</f>
        <v/>
      </c>
      <c r="H16">
        <f>IFERROR(IF(ISNUMBER(INDEX(SPPR!$E:$Z,MATCH($A16,SPPR!$A:$A,0),5)),$C16*INDEX(SPPR!$E:$Z,MATCH($A16,SPPR!$A:$A,0),5),""),"")</f>
        <v/>
      </c>
      <c r="I16">
        <f>IFERROR(IF(ISNUMBER(INDEX(SPPR!$E:$Z,MATCH($A16,SPPR!$A:$A,0),6)),$C16*INDEX(SPPR!$E:$Z,MATCH($A16,SPPR!$A:$A,0),6),""),"")</f>
        <v/>
      </c>
      <c r="J16">
        <f>IFERROR(IF(ISNUMBER(INDEX(SPPR!$E:$Z,MATCH($A16,SPPR!$A:$A,0),7)),$C16*INDEX(SPPR!$E:$Z,MATCH($A16,SPPR!$A:$A,0),7),""),"")</f>
        <v/>
      </c>
      <c r="K16">
        <f>IFERROR(IF(ISNUMBER(INDEX(SPPR!$E:$Z,MATCH($A16,SPPR!$A:$A,0),8)),$C16*INDEX(SPPR!$E:$Z,MATCH($A16,SPPR!$A:$A,0),8),""),"")</f>
        <v/>
      </c>
      <c r="L16">
        <f>IFERROR(IF(ISNUMBER(INDEX(SPPR!$E:$Z,MATCH($A16,SPPR!$A:$A,0),9)),$C16*INDEX(SPPR!$E:$Z,MATCH($A16,SPPR!$A:$A,0),9),""),"")</f>
        <v/>
      </c>
      <c r="M16">
        <f>IFERROR(IF(ISNUMBER(INDEX(SPPR!$E:$Z,MATCH($A16,SPPR!$A:$A,0),10)),$C16*INDEX(SPPR!$E:$Z,MATCH($A16,SPPR!$A:$A,0),10),""),"")</f>
        <v/>
      </c>
      <c r="N16">
        <f>IFERROR(IF(ISNUMBER(INDEX(SPPR!$E:$Z,MATCH($A16,SPPR!$A:$A,0),11)),$C16*INDEX(SPPR!$E:$Z,MATCH($A16,SPPR!$A:$A,0),11),""),"")</f>
        <v/>
      </c>
      <c r="O16">
        <f>IFERROR(IF(ISNUMBER(INDEX(SPPR!$E:$Z,MATCH($A16,SPPR!$A:$A,0),12)),$C16*INDEX(SPPR!$E:$Z,MATCH($A16,SPPR!$A:$A,0),12),""),"")</f>
        <v/>
      </c>
      <c r="P16">
        <f>IFERROR(IF(ISNUMBER(INDEX(SPPR!$E:$Z,MATCH($A16,SPPR!$A:$A,0),13)),$C16*INDEX(SPPR!$E:$Z,MATCH($A16,SPPR!$A:$A,0),13),""),"")</f>
        <v/>
      </c>
      <c r="Q16">
        <f>IFERROR(IF(ISNUMBER(INDEX(SPPR!$E:$Z,MATCH($A16,SPPR!$A:$A,0),14)),$C16*INDEX(SPPR!$E:$Z,MATCH($A16,SPPR!$A:$A,0),14),""),"")</f>
        <v/>
      </c>
      <c r="R16">
        <f>IFERROR(IF(ISNUMBER(INDEX(SPPR!$E:$Z,MATCH($A16,SPPR!$A:$A,0),15)),$C16*INDEX(SPPR!$E:$Z,MATCH($A16,SPPR!$A:$A,0),15),""),"")</f>
        <v/>
      </c>
      <c r="S16">
        <f>IFERROR(IF(ISNUMBER(INDEX(SPPR!$E:$Z,MATCH($A16,SPPR!$A:$A,0),16)),$C16*INDEX(SPPR!$E:$Z,MATCH($A16,SPPR!$A:$A,0),16),""),"")</f>
        <v/>
      </c>
      <c r="T16">
        <f>IFERROR(IF(ISNUMBER(INDEX(SPPR!$E:$Z,MATCH($A16,SPPR!$A:$A,0),17)),$C16*INDEX(SPPR!$E:$Z,MATCH($A16,SPPR!$A:$A,0),17),""),"")</f>
        <v/>
      </c>
      <c r="U16">
        <f>IFERROR(IF(ISNUMBER(INDEX(SPPR!$E:$Z,MATCH($A16,SPPR!$A:$A,0),18)),$C16*INDEX(SPPR!$E:$Z,MATCH($A16,SPPR!$A:$A,0),18),""),"")</f>
        <v/>
      </c>
      <c r="V16">
        <f>IFERROR(IF(ISNUMBER(INDEX(SPPR!$E:$Z,MATCH($A16,SPPR!$A:$A,0),19)),$C16*INDEX(SPPR!$E:$Z,MATCH($A16,SPPR!$A:$A,0),19),""),"")</f>
        <v/>
      </c>
      <c r="W16">
        <f>IFERROR(IF(ISNUMBER(INDEX(SPPR!$E:$Z,MATCH($A16,SPPR!$A:$A,0),20)),$C16*INDEX(SPPR!$E:$Z,MATCH($A16,SPPR!$A:$A,0),20),""),"")</f>
        <v/>
      </c>
      <c r="X16">
        <f>IFERROR(IF(ISNUMBER(INDEX(SPPR!$E:$Z,MATCH($A16,SPPR!$A:$A,0),21)),$C16*INDEX(SPPR!$E:$Z,MATCH($A16,SPPR!$A:$A,0),21),""),"")</f>
        <v/>
      </c>
      <c r="Y16">
        <f>IFERROR(IF(ISNUMBER(INDEX(SPPR!$E:$Z,MATCH($A16,SPPR!$A:$A,0),22)),$C16*INDEX(SPPR!$E:$Z,MATCH($A16,SPPR!$A:$A,0),22),""),"")</f>
        <v/>
      </c>
    </row>
    <row r="17">
      <c r="A17" t="inlineStr">
        <is>
          <t>Nemipterus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IFERROR(IF(ISNUMBER(INDEX(SPPR!$E:$Z,MATCH($A17,SPPR!$A:$A,0),1)),$C17*INDEX(SPPR!$E:$Z,MATCH($A17,SPPR!$A:$A,0),1),""),"")</f>
        <v/>
      </c>
      <c r="E17">
        <f>IFERROR(IF(ISNUMBER(INDEX(SPPR!$E:$Z,MATCH($A17,SPPR!$A:$A,0),2)),$C17*INDEX(SPPR!$E:$Z,MATCH($A17,SPPR!$A:$A,0),2),""),"")</f>
        <v/>
      </c>
      <c r="F17">
        <f>IFERROR(IF(ISNUMBER(INDEX(SPPR!$E:$Z,MATCH($A17,SPPR!$A:$A,0),3)),$C17*INDEX(SPPR!$E:$Z,MATCH($A17,SPPR!$A:$A,0),3),""),"")</f>
        <v/>
      </c>
      <c r="G17">
        <f>IFERROR(IF(ISNUMBER(INDEX(SPPR!$E:$Z,MATCH($A17,SPPR!$A:$A,0),4)),$C17*INDEX(SPPR!$E:$Z,MATCH($A17,SPPR!$A:$A,0),4),""),"")</f>
        <v/>
      </c>
      <c r="H17">
        <f>IFERROR(IF(ISNUMBER(INDEX(SPPR!$E:$Z,MATCH($A17,SPPR!$A:$A,0),5)),$C17*INDEX(SPPR!$E:$Z,MATCH($A17,SPPR!$A:$A,0),5),""),"")</f>
        <v/>
      </c>
      <c r="I17">
        <f>IFERROR(IF(ISNUMBER(INDEX(SPPR!$E:$Z,MATCH($A17,SPPR!$A:$A,0),6)),$C17*INDEX(SPPR!$E:$Z,MATCH($A17,SPPR!$A:$A,0),6),""),"")</f>
        <v/>
      </c>
      <c r="J17">
        <f>IFERROR(IF(ISNUMBER(INDEX(SPPR!$E:$Z,MATCH($A17,SPPR!$A:$A,0),7)),$C17*INDEX(SPPR!$E:$Z,MATCH($A17,SPPR!$A:$A,0),7),""),"")</f>
        <v/>
      </c>
      <c r="K17">
        <f>IFERROR(IF(ISNUMBER(INDEX(SPPR!$E:$Z,MATCH($A17,SPPR!$A:$A,0),8)),$C17*INDEX(SPPR!$E:$Z,MATCH($A17,SPPR!$A:$A,0),8),""),"")</f>
        <v/>
      </c>
      <c r="L17">
        <f>IFERROR(IF(ISNUMBER(INDEX(SPPR!$E:$Z,MATCH($A17,SPPR!$A:$A,0),9)),$C17*INDEX(SPPR!$E:$Z,MATCH($A17,SPPR!$A:$A,0),9),""),"")</f>
        <v/>
      </c>
      <c r="M17">
        <f>IFERROR(IF(ISNUMBER(INDEX(SPPR!$E:$Z,MATCH($A17,SPPR!$A:$A,0),10)),$C17*INDEX(SPPR!$E:$Z,MATCH($A17,SPPR!$A:$A,0),10),""),"")</f>
        <v/>
      </c>
      <c r="N17">
        <f>IFERROR(IF(ISNUMBER(INDEX(SPPR!$E:$Z,MATCH($A17,SPPR!$A:$A,0),11)),$C17*INDEX(SPPR!$E:$Z,MATCH($A17,SPPR!$A:$A,0),11),""),"")</f>
        <v/>
      </c>
      <c r="O17">
        <f>IFERROR(IF(ISNUMBER(INDEX(SPPR!$E:$Z,MATCH($A17,SPPR!$A:$A,0),12)),$C17*INDEX(SPPR!$E:$Z,MATCH($A17,SPPR!$A:$A,0),12),""),"")</f>
        <v/>
      </c>
      <c r="P17">
        <f>IFERROR(IF(ISNUMBER(INDEX(SPPR!$E:$Z,MATCH($A17,SPPR!$A:$A,0),13)),$C17*INDEX(SPPR!$E:$Z,MATCH($A17,SPPR!$A:$A,0),13),""),"")</f>
        <v/>
      </c>
      <c r="Q17">
        <f>IFERROR(IF(ISNUMBER(INDEX(SPPR!$E:$Z,MATCH($A17,SPPR!$A:$A,0),14)),$C17*INDEX(SPPR!$E:$Z,MATCH($A17,SPPR!$A:$A,0),14),""),"")</f>
        <v/>
      </c>
      <c r="R17">
        <f>IFERROR(IF(ISNUMBER(INDEX(SPPR!$E:$Z,MATCH($A17,SPPR!$A:$A,0),15)),$C17*INDEX(SPPR!$E:$Z,MATCH($A17,SPPR!$A:$A,0),15),""),"")</f>
        <v/>
      </c>
      <c r="S17">
        <f>IFERROR(IF(ISNUMBER(INDEX(SPPR!$E:$Z,MATCH($A17,SPPR!$A:$A,0),16)),$C17*INDEX(SPPR!$E:$Z,MATCH($A17,SPPR!$A:$A,0),16),""),"")</f>
        <v/>
      </c>
      <c r="T17">
        <f>IFERROR(IF(ISNUMBER(INDEX(SPPR!$E:$Z,MATCH($A17,SPPR!$A:$A,0),17)),$C17*INDEX(SPPR!$E:$Z,MATCH($A17,SPPR!$A:$A,0),17),""),"")</f>
        <v/>
      </c>
      <c r="U17">
        <f>IFERROR(IF(ISNUMBER(INDEX(SPPR!$E:$Z,MATCH($A17,SPPR!$A:$A,0),18)),$C17*INDEX(SPPR!$E:$Z,MATCH($A17,SPPR!$A:$A,0),18),""),"")</f>
        <v/>
      </c>
      <c r="V17">
        <f>IFERROR(IF(ISNUMBER(INDEX(SPPR!$E:$Z,MATCH($A17,SPPR!$A:$A,0),19)),$C17*INDEX(SPPR!$E:$Z,MATCH($A17,SPPR!$A:$A,0),19),""),"")</f>
        <v/>
      </c>
      <c r="W17">
        <f>IFERROR(IF(ISNUMBER(INDEX(SPPR!$E:$Z,MATCH($A17,SPPR!$A:$A,0),20)),$C17*INDEX(SPPR!$E:$Z,MATCH($A17,SPPR!$A:$A,0),20),""),"")</f>
        <v/>
      </c>
      <c r="X17">
        <f>IFERROR(IF(ISNUMBER(INDEX(SPPR!$E:$Z,MATCH($A17,SPPR!$A:$A,0),21)),$C17*INDEX(SPPR!$E:$Z,MATCH($A17,SPPR!$A:$A,0),21),""),"")</f>
        <v/>
      </c>
      <c r="Y17">
        <f>IFERROR(IF(ISNUMBER(INDEX(SPPR!$E:$Z,MATCH($A17,SPPR!$A:$A,0),22)),$C17*INDEX(SPPR!$E:$Z,MATCH($A17,SPPR!$A:$A,0),22),""),"")</f>
        <v/>
      </c>
    </row>
    <row r="18">
      <c r="A18" t="inlineStr">
        <is>
          <t>Miscellaneous marine crustaceans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IFERROR(IF(ISNUMBER(INDEX(SPPR!$E:$Z,MATCH($A18,SPPR!$A:$A,0),1)),$C18*INDEX(SPPR!$E:$Z,MATCH($A18,SPPR!$A:$A,0),1),""),"")</f>
        <v/>
      </c>
      <c r="E18">
        <f>IFERROR(IF(ISNUMBER(INDEX(SPPR!$E:$Z,MATCH($A18,SPPR!$A:$A,0),2)),$C18*INDEX(SPPR!$E:$Z,MATCH($A18,SPPR!$A:$A,0),2),""),"")</f>
        <v/>
      </c>
      <c r="F18">
        <f>IFERROR(IF(ISNUMBER(INDEX(SPPR!$E:$Z,MATCH($A18,SPPR!$A:$A,0),3)),$C18*INDEX(SPPR!$E:$Z,MATCH($A18,SPPR!$A:$A,0),3),""),"")</f>
        <v/>
      </c>
      <c r="G18">
        <f>IFERROR(IF(ISNUMBER(INDEX(SPPR!$E:$Z,MATCH($A18,SPPR!$A:$A,0),4)),$C18*INDEX(SPPR!$E:$Z,MATCH($A18,SPPR!$A:$A,0),4),""),"")</f>
        <v/>
      </c>
      <c r="H18">
        <f>IFERROR(IF(ISNUMBER(INDEX(SPPR!$E:$Z,MATCH($A18,SPPR!$A:$A,0),5)),$C18*INDEX(SPPR!$E:$Z,MATCH($A18,SPPR!$A:$A,0),5),""),"")</f>
        <v/>
      </c>
      <c r="I18">
        <f>IFERROR(IF(ISNUMBER(INDEX(SPPR!$E:$Z,MATCH($A18,SPPR!$A:$A,0),6)),$C18*INDEX(SPPR!$E:$Z,MATCH($A18,SPPR!$A:$A,0),6),""),"")</f>
        <v/>
      </c>
      <c r="J18">
        <f>IFERROR(IF(ISNUMBER(INDEX(SPPR!$E:$Z,MATCH($A18,SPPR!$A:$A,0),7)),$C18*INDEX(SPPR!$E:$Z,MATCH($A18,SPPR!$A:$A,0),7),""),"")</f>
        <v/>
      </c>
      <c r="K18">
        <f>IFERROR(IF(ISNUMBER(INDEX(SPPR!$E:$Z,MATCH($A18,SPPR!$A:$A,0),8)),$C18*INDEX(SPPR!$E:$Z,MATCH($A18,SPPR!$A:$A,0),8),""),"")</f>
        <v/>
      </c>
      <c r="L18">
        <f>IFERROR(IF(ISNUMBER(INDEX(SPPR!$E:$Z,MATCH($A18,SPPR!$A:$A,0),9)),$C18*INDEX(SPPR!$E:$Z,MATCH($A18,SPPR!$A:$A,0),9),""),"")</f>
        <v/>
      </c>
      <c r="M18">
        <f>IFERROR(IF(ISNUMBER(INDEX(SPPR!$E:$Z,MATCH($A18,SPPR!$A:$A,0),10)),$C18*INDEX(SPPR!$E:$Z,MATCH($A18,SPPR!$A:$A,0),10),""),"")</f>
        <v/>
      </c>
      <c r="N18">
        <f>IFERROR(IF(ISNUMBER(INDEX(SPPR!$E:$Z,MATCH($A18,SPPR!$A:$A,0),11)),$C18*INDEX(SPPR!$E:$Z,MATCH($A18,SPPR!$A:$A,0),11),""),"")</f>
        <v/>
      </c>
      <c r="O18">
        <f>IFERROR(IF(ISNUMBER(INDEX(SPPR!$E:$Z,MATCH($A18,SPPR!$A:$A,0),12)),$C18*INDEX(SPPR!$E:$Z,MATCH($A18,SPPR!$A:$A,0),12),""),"")</f>
        <v/>
      </c>
      <c r="P18">
        <f>IFERROR(IF(ISNUMBER(INDEX(SPPR!$E:$Z,MATCH($A18,SPPR!$A:$A,0),13)),$C18*INDEX(SPPR!$E:$Z,MATCH($A18,SPPR!$A:$A,0),13),""),"")</f>
        <v/>
      </c>
      <c r="Q18">
        <f>IFERROR(IF(ISNUMBER(INDEX(SPPR!$E:$Z,MATCH($A18,SPPR!$A:$A,0),14)),$C18*INDEX(SPPR!$E:$Z,MATCH($A18,SPPR!$A:$A,0),14),""),"")</f>
        <v/>
      </c>
      <c r="R18">
        <f>IFERROR(IF(ISNUMBER(INDEX(SPPR!$E:$Z,MATCH($A18,SPPR!$A:$A,0),15)),$C18*INDEX(SPPR!$E:$Z,MATCH($A18,SPPR!$A:$A,0),15),""),"")</f>
        <v/>
      </c>
      <c r="S18">
        <f>IFERROR(IF(ISNUMBER(INDEX(SPPR!$E:$Z,MATCH($A18,SPPR!$A:$A,0),16)),$C18*INDEX(SPPR!$E:$Z,MATCH($A18,SPPR!$A:$A,0),16),""),"")</f>
        <v/>
      </c>
      <c r="T18">
        <f>IFERROR(IF(ISNUMBER(INDEX(SPPR!$E:$Z,MATCH($A18,SPPR!$A:$A,0),17)),$C18*INDEX(SPPR!$E:$Z,MATCH($A18,SPPR!$A:$A,0),17),""),"")</f>
        <v/>
      </c>
      <c r="U18">
        <f>IFERROR(IF(ISNUMBER(INDEX(SPPR!$E:$Z,MATCH($A18,SPPR!$A:$A,0),18)),$C18*INDEX(SPPR!$E:$Z,MATCH($A18,SPPR!$A:$A,0),18),""),"")</f>
        <v/>
      </c>
      <c r="V18">
        <f>IFERROR(IF(ISNUMBER(INDEX(SPPR!$E:$Z,MATCH($A18,SPPR!$A:$A,0),19)),$C18*INDEX(SPPR!$E:$Z,MATCH($A18,SPPR!$A:$A,0),19),""),"")</f>
        <v/>
      </c>
      <c r="W18">
        <f>IFERROR(IF(ISNUMBER(INDEX(SPPR!$E:$Z,MATCH($A18,SPPR!$A:$A,0),20)),$C18*INDEX(SPPR!$E:$Z,MATCH($A18,SPPR!$A:$A,0),20),""),"")</f>
        <v/>
      </c>
      <c r="X18">
        <f>IFERROR(IF(ISNUMBER(INDEX(SPPR!$E:$Z,MATCH($A18,SPPR!$A:$A,0),21)),$C18*INDEX(SPPR!$E:$Z,MATCH($A18,SPPR!$A:$A,0),21),""),"")</f>
        <v/>
      </c>
      <c r="Y18">
        <f>IFERROR(IF(ISNUMBER(INDEX(SPPR!$E:$Z,MATCH($A18,SPPR!$A:$A,0),22)),$C18*INDEX(SPPR!$E:$Z,MATCH($A18,SPPR!$A:$A,0),22),""),"")</f>
        <v/>
      </c>
    </row>
    <row r="19">
      <c r="A19" t="inlineStr">
        <is>
          <t>Leiognathidae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IFERROR(IF(ISNUMBER(INDEX(SPPR!$E:$Z,MATCH($A19,SPPR!$A:$A,0),1)),$C19*INDEX(SPPR!$E:$Z,MATCH($A19,SPPR!$A:$A,0),1),""),"")</f>
        <v/>
      </c>
      <c r="E19">
        <f>IFERROR(IF(ISNUMBER(INDEX(SPPR!$E:$Z,MATCH($A19,SPPR!$A:$A,0),2)),$C19*INDEX(SPPR!$E:$Z,MATCH($A19,SPPR!$A:$A,0),2),""),"")</f>
        <v/>
      </c>
      <c r="F19">
        <f>IFERROR(IF(ISNUMBER(INDEX(SPPR!$E:$Z,MATCH($A19,SPPR!$A:$A,0),3)),$C19*INDEX(SPPR!$E:$Z,MATCH($A19,SPPR!$A:$A,0),3),""),"")</f>
        <v/>
      </c>
      <c r="G19">
        <f>IFERROR(IF(ISNUMBER(INDEX(SPPR!$E:$Z,MATCH($A19,SPPR!$A:$A,0),4)),$C19*INDEX(SPPR!$E:$Z,MATCH($A19,SPPR!$A:$A,0),4),""),"")</f>
        <v/>
      </c>
      <c r="H19">
        <f>IFERROR(IF(ISNUMBER(INDEX(SPPR!$E:$Z,MATCH($A19,SPPR!$A:$A,0),5)),$C19*INDEX(SPPR!$E:$Z,MATCH($A19,SPPR!$A:$A,0),5),""),"")</f>
        <v/>
      </c>
      <c r="I19">
        <f>IFERROR(IF(ISNUMBER(INDEX(SPPR!$E:$Z,MATCH($A19,SPPR!$A:$A,0),6)),$C19*INDEX(SPPR!$E:$Z,MATCH($A19,SPPR!$A:$A,0),6),""),"")</f>
        <v/>
      </c>
      <c r="J19">
        <f>IFERROR(IF(ISNUMBER(INDEX(SPPR!$E:$Z,MATCH($A19,SPPR!$A:$A,0),7)),$C19*INDEX(SPPR!$E:$Z,MATCH($A19,SPPR!$A:$A,0),7),""),"")</f>
        <v/>
      </c>
      <c r="K19">
        <f>IFERROR(IF(ISNUMBER(INDEX(SPPR!$E:$Z,MATCH($A19,SPPR!$A:$A,0),8)),$C19*INDEX(SPPR!$E:$Z,MATCH($A19,SPPR!$A:$A,0),8),""),"")</f>
        <v/>
      </c>
      <c r="L19">
        <f>IFERROR(IF(ISNUMBER(INDEX(SPPR!$E:$Z,MATCH($A19,SPPR!$A:$A,0),9)),$C19*INDEX(SPPR!$E:$Z,MATCH($A19,SPPR!$A:$A,0),9),""),"")</f>
        <v/>
      </c>
      <c r="M19">
        <f>IFERROR(IF(ISNUMBER(INDEX(SPPR!$E:$Z,MATCH($A19,SPPR!$A:$A,0),10)),$C19*INDEX(SPPR!$E:$Z,MATCH($A19,SPPR!$A:$A,0),10),""),"")</f>
        <v/>
      </c>
      <c r="N19">
        <f>IFERROR(IF(ISNUMBER(INDEX(SPPR!$E:$Z,MATCH($A19,SPPR!$A:$A,0),11)),$C19*INDEX(SPPR!$E:$Z,MATCH($A19,SPPR!$A:$A,0),11),""),"")</f>
        <v/>
      </c>
      <c r="O19">
        <f>IFERROR(IF(ISNUMBER(INDEX(SPPR!$E:$Z,MATCH($A19,SPPR!$A:$A,0),12)),$C19*INDEX(SPPR!$E:$Z,MATCH($A19,SPPR!$A:$A,0),12),""),"")</f>
        <v/>
      </c>
      <c r="P19">
        <f>IFERROR(IF(ISNUMBER(INDEX(SPPR!$E:$Z,MATCH($A19,SPPR!$A:$A,0),13)),$C19*INDEX(SPPR!$E:$Z,MATCH($A19,SPPR!$A:$A,0),13),""),"")</f>
        <v/>
      </c>
      <c r="Q19">
        <f>IFERROR(IF(ISNUMBER(INDEX(SPPR!$E:$Z,MATCH($A19,SPPR!$A:$A,0),14)),$C19*INDEX(SPPR!$E:$Z,MATCH($A19,SPPR!$A:$A,0),14),""),"")</f>
        <v/>
      </c>
      <c r="R19">
        <f>IFERROR(IF(ISNUMBER(INDEX(SPPR!$E:$Z,MATCH($A19,SPPR!$A:$A,0),15)),$C19*INDEX(SPPR!$E:$Z,MATCH($A19,SPPR!$A:$A,0),15),""),"")</f>
        <v/>
      </c>
      <c r="S19">
        <f>IFERROR(IF(ISNUMBER(INDEX(SPPR!$E:$Z,MATCH($A19,SPPR!$A:$A,0),16)),$C19*INDEX(SPPR!$E:$Z,MATCH($A19,SPPR!$A:$A,0),16),""),"")</f>
        <v/>
      </c>
      <c r="T19">
        <f>IFERROR(IF(ISNUMBER(INDEX(SPPR!$E:$Z,MATCH($A19,SPPR!$A:$A,0),17)),$C19*INDEX(SPPR!$E:$Z,MATCH($A19,SPPR!$A:$A,0),17),""),"")</f>
        <v/>
      </c>
      <c r="U19">
        <f>IFERROR(IF(ISNUMBER(INDEX(SPPR!$E:$Z,MATCH($A19,SPPR!$A:$A,0),18)),$C19*INDEX(SPPR!$E:$Z,MATCH($A19,SPPR!$A:$A,0),18),""),"")</f>
        <v/>
      </c>
      <c r="V19">
        <f>IFERROR(IF(ISNUMBER(INDEX(SPPR!$E:$Z,MATCH($A19,SPPR!$A:$A,0),19)),$C19*INDEX(SPPR!$E:$Z,MATCH($A19,SPPR!$A:$A,0),19),""),"")</f>
        <v/>
      </c>
      <c r="W19">
        <f>IFERROR(IF(ISNUMBER(INDEX(SPPR!$E:$Z,MATCH($A19,SPPR!$A:$A,0),20)),$C19*INDEX(SPPR!$E:$Z,MATCH($A19,SPPR!$A:$A,0),20),""),"")</f>
        <v/>
      </c>
      <c r="X19">
        <f>IFERROR(IF(ISNUMBER(INDEX(SPPR!$E:$Z,MATCH($A19,SPPR!$A:$A,0),21)),$C19*INDEX(SPPR!$E:$Z,MATCH($A19,SPPR!$A:$A,0),21),""),"")</f>
        <v/>
      </c>
      <c r="Y19">
        <f>IFERROR(IF(ISNUMBER(INDEX(SPPR!$E:$Z,MATCH($A19,SPPR!$A:$A,0),22)),$C19*INDEX(SPPR!$E:$Z,MATCH($A19,SPPR!$A:$A,0),22),""),"")</f>
        <v/>
      </c>
    </row>
    <row r="20">
      <c r="A20" t="inlineStr">
        <is>
          <t>Engraulis japonicus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IFERROR(IF(ISNUMBER(INDEX(SPPR!$E:$Z,MATCH($A20,SPPR!$A:$A,0),1)),$C20*INDEX(SPPR!$E:$Z,MATCH($A20,SPPR!$A:$A,0),1),""),"")</f>
        <v/>
      </c>
      <c r="E20">
        <f>IFERROR(IF(ISNUMBER(INDEX(SPPR!$E:$Z,MATCH($A20,SPPR!$A:$A,0),2)),$C20*INDEX(SPPR!$E:$Z,MATCH($A20,SPPR!$A:$A,0),2),""),"")</f>
        <v/>
      </c>
      <c r="F20">
        <f>IFERROR(IF(ISNUMBER(INDEX(SPPR!$E:$Z,MATCH($A20,SPPR!$A:$A,0),3)),$C20*INDEX(SPPR!$E:$Z,MATCH($A20,SPPR!$A:$A,0),3),""),"")</f>
        <v/>
      </c>
      <c r="G20">
        <f>IFERROR(IF(ISNUMBER(INDEX(SPPR!$E:$Z,MATCH($A20,SPPR!$A:$A,0),4)),$C20*INDEX(SPPR!$E:$Z,MATCH($A20,SPPR!$A:$A,0),4),""),"")</f>
        <v/>
      </c>
      <c r="H20">
        <f>IFERROR(IF(ISNUMBER(INDEX(SPPR!$E:$Z,MATCH($A20,SPPR!$A:$A,0),5)),$C20*INDEX(SPPR!$E:$Z,MATCH($A20,SPPR!$A:$A,0),5),""),"")</f>
        <v/>
      </c>
      <c r="I20">
        <f>IFERROR(IF(ISNUMBER(INDEX(SPPR!$E:$Z,MATCH($A20,SPPR!$A:$A,0),6)),$C20*INDEX(SPPR!$E:$Z,MATCH($A20,SPPR!$A:$A,0),6),""),"")</f>
        <v/>
      </c>
      <c r="J20">
        <f>IFERROR(IF(ISNUMBER(INDEX(SPPR!$E:$Z,MATCH($A20,SPPR!$A:$A,0),7)),$C20*INDEX(SPPR!$E:$Z,MATCH($A20,SPPR!$A:$A,0),7),""),"")</f>
        <v/>
      </c>
      <c r="K20">
        <f>IFERROR(IF(ISNUMBER(INDEX(SPPR!$E:$Z,MATCH($A20,SPPR!$A:$A,0),8)),$C20*INDEX(SPPR!$E:$Z,MATCH($A20,SPPR!$A:$A,0),8),""),"")</f>
        <v/>
      </c>
      <c r="L20">
        <f>IFERROR(IF(ISNUMBER(INDEX(SPPR!$E:$Z,MATCH($A20,SPPR!$A:$A,0),9)),$C20*INDEX(SPPR!$E:$Z,MATCH($A20,SPPR!$A:$A,0),9),""),"")</f>
        <v/>
      </c>
      <c r="M20">
        <f>IFERROR(IF(ISNUMBER(INDEX(SPPR!$E:$Z,MATCH($A20,SPPR!$A:$A,0),10)),$C20*INDEX(SPPR!$E:$Z,MATCH($A20,SPPR!$A:$A,0),10),""),"")</f>
        <v/>
      </c>
      <c r="N20">
        <f>IFERROR(IF(ISNUMBER(INDEX(SPPR!$E:$Z,MATCH($A20,SPPR!$A:$A,0),11)),$C20*INDEX(SPPR!$E:$Z,MATCH($A20,SPPR!$A:$A,0),11),""),"")</f>
        <v/>
      </c>
      <c r="O20">
        <f>IFERROR(IF(ISNUMBER(INDEX(SPPR!$E:$Z,MATCH($A20,SPPR!$A:$A,0),12)),$C20*INDEX(SPPR!$E:$Z,MATCH($A20,SPPR!$A:$A,0),12),""),"")</f>
        <v/>
      </c>
      <c r="P20">
        <f>IFERROR(IF(ISNUMBER(INDEX(SPPR!$E:$Z,MATCH($A20,SPPR!$A:$A,0),13)),$C20*INDEX(SPPR!$E:$Z,MATCH($A20,SPPR!$A:$A,0),13),""),"")</f>
        <v/>
      </c>
      <c r="Q20">
        <f>IFERROR(IF(ISNUMBER(INDEX(SPPR!$E:$Z,MATCH($A20,SPPR!$A:$A,0),14)),$C20*INDEX(SPPR!$E:$Z,MATCH($A20,SPPR!$A:$A,0),14),""),"")</f>
        <v/>
      </c>
      <c r="R20">
        <f>IFERROR(IF(ISNUMBER(INDEX(SPPR!$E:$Z,MATCH($A20,SPPR!$A:$A,0),15)),$C20*INDEX(SPPR!$E:$Z,MATCH($A20,SPPR!$A:$A,0),15),""),"")</f>
        <v/>
      </c>
      <c r="S20">
        <f>IFERROR(IF(ISNUMBER(INDEX(SPPR!$E:$Z,MATCH($A20,SPPR!$A:$A,0),16)),$C20*INDEX(SPPR!$E:$Z,MATCH($A20,SPPR!$A:$A,0),16),""),"")</f>
        <v/>
      </c>
      <c r="T20">
        <f>IFERROR(IF(ISNUMBER(INDEX(SPPR!$E:$Z,MATCH($A20,SPPR!$A:$A,0),17)),$C20*INDEX(SPPR!$E:$Z,MATCH($A20,SPPR!$A:$A,0),17),""),"")</f>
        <v/>
      </c>
      <c r="U20">
        <f>IFERROR(IF(ISNUMBER(INDEX(SPPR!$E:$Z,MATCH($A20,SPPR!$A:$A,0),18)),$C20*INDEX(SPPR!$E:$Z,MATCH($A20,SPPR!$A:$A,0),18),""),"")</f>
        <v/>
      </c>
      <c r="V20">
        <f>IFERROR(IF(ISNUMBER(INDEX(SPPR!$E:$Z,MATCH($A20,SPPR!$A:$A,0),19)),$C20*INDEX(SPPR!$E:$Z,MATCH($A20,SPPR!$A:$A,0),19),""),"")</f>
        <v/>
      </c>
      <c r="W20">
        <f>IFERROR(IF(ISNUMBER(INDEX(SPPR!$E:$Z,MATCH($A20,SPPR!$A:$A,0),20)),$C20*INDEX(SPPR!$E:$Z,MATCH($A20,SPPR!$A:$A,0),20),""),"")</f>
        <v/>
      </c>
      <c r="X20">
        <f>IFERROR(IF(ISNUMBER(INDEX(SPPR!$E:$Z,MATCH($A20,SPPR!$A:$A,0),21)),$C20*INDEX(SPPR!$E:$Z,MATCH($A20,SPPR!$A:$A,0),21),""),"")</f>
        <v/>
      </c>
      <c r="Y20">
        <f>IFERROR(IF(ISNUMBER(INDEX(SPPR!$E:$Z,MATCH($A20,SPPR!$A:$A,0),22)),$C20*INDEX(SPPR!$E:$Z,MATCH($A20,SPPR!$A:$A,0),22),""),"")</f>
        <v/>
      </c>
    </row>
    <row r="21">
      <c r="A21" t="inlineStr">
        <is>
          <t>Scomberomorus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IFERROR(IF(ISNUMBER(INDEX(SPPR!$E:$Z,MATCH($A21,SPPR!$A:$A,0),1)),$C21*INDEX(SPPR!$E:$Z,MATCH($A21,SPPR!$A:$A,0),1),""),"")</f>
        <v/>
      </c>
      <c r="E21">
        <f>IFERROR(IF(ISNUMBER(INDEX(SPPR!$E:$Z,MATCH($A21,SPPR!$A:$A,0),2)),$C21*INDEX(SPPR!$E:$Z,MATCH($A21,SPPR!$A:$A,0),2),""),"")</f>
        <v/>
      </c>
      <c r="F21">
        <f>IFERROR(IF(ISNUMBER(INDEX(SPPR!$E:$Z,MATCH($A21,SPPR!$A:$A,0),3)),$C21*INDEX(SPPR!$E:$Z,MATCH($A21,SPPR!$A:$A,0),3),""),"")</f>
        <v/>
      </c>
      <c r="G21">
        <f>IFERROR(IF(ISNUMBER(INDEX(SPPR!$E:$Z,MATCH($A21,SPPR!$A:$A,0),4)),$C21*INDEX(SPPR!$E:$Z,MATCH($A21,SPPR!$A:$A,0),4),""),"")</f>
        <v/>
      </c>
      <c r="H21">
        <f>IFERROR(IF(ISNUMBER(INDEX(SPPR!$E:$Z,MATCH($A21,SPPR!$A:$A,0),5)),$C21*INDEX(SPPR!$E:$Z,MATCH($A21,SPPR!$A:$A,0),5),""),"")</f>
        <v/>
      </c>
      <c r="I21">
        <f>IFERROR(IF(ISNUMBER(INDEX(SPPR!$E:$Z,MATCH($A21,SPPR!$A:$A,0),6)),$C21*INDEX(SPPR!$E:$Z,MATCH($A21,SPPR!$A:$A,0),6),""),"")</f>
        <v/>
      </c>
      <c r="J21">
        <f>IFERROR(IF(ISNUMBER(INDEX(SPPR!$E:$Z,MATCH($A21,SPPR!$A:$A,0),7)),$C21*INDEX(SPPR!$E:$Z,MATCH($A21,SPPR!$A:$A,0),7),""),"")</f>
        <v/>
      </c>
      <c r="K21">
        <f>IFERROR(IF(ISNUMBER(INDEX(SPPR!$E:$Z,MATCH($A21,SPPR!$A:$A,0),8)),$C21*INDEX(SPPR!$E:$Z,MATCH($A21,SPPR!$A:$A,0),8),""),"")</f>
        <v/>
      </c>
      <c r="L21">
        <f>IFERROR(IF(ISNUMBER(INDEX(SPPR!$E:$Z,MATCH($A21,SPPR!$A:$A,0),9)),$C21*INDEX(SPPR!$E:$Z,MATCH($A21,SPPR!$A:$A,0),9),""),"")</f>
        <v/>
      </c>
      <c r="M21">
        <f>IFERROR(IF(ISNUMBER(INDEX(SPPR!$E:$Z,MATCH($A21,SPPR!$A:$A,0),10)),$C21*INDEX(SPPR!$E:$Z,MATCH($A21,SPPR!$A:$A,0),10),""),"")</f>
        <v/>
      </c>
      <c r="N21">
        <f>IFERROR(IF(ISNUMBER(INDEX(SPPR!$E:$Z,MATCH($A21,SPPR!$A:$A,0),11)),$C21*INDEX(SPPR!$E:$Z,MATCH($A21,SPPR!$A:$A,0),11),""),"")</f>
        <v/>
      </c>
      <c r="O21">
        <f>IFERROR(IF(ISNUMBER(INDEX(SPPR!$E:$Z,MATCH($A21,SPPR!$A:$A,0),12)),$C21*INDEX(SPPR!$E:$Z,MATCH($A21,SPPR!$A:$A,0),12),""),"")</f>
        <v/>
      </c>
      <c r="P21">
        <f>IFERROR(IF(ISNUMBER(INDEX(SPPR!$E:$Z,MATCH($A21,SPPR!$A:$A,0),13)),$C21*INDEX(SPPR!$E:$Z,MATCH($A21,SPPR!$A:$A,0),13),""),"")</f>
        <v/>
      </c>
      <c r="Q21">
        <f>IFERROR(IF(ISNUMBER(INDEX(SPPR!$E:$Z,MATCH($A21,SPPR!$A:$A,0),14)),$C21*INDEX(SPPR!$E:$Z,MATCH($A21,SPPR!$A:$A,0),14),""),"")</f>
        <v/>
      </c>
      <c r="R21">
        <f>IFERROR(IF(ISNUMBER(INDEX(SPPR!$E:$Z,MATCH($A21,SPPR!$A:$A,0),15)),$C21*INDEX(SPPR!$E:$Z,MATCH($A21,SPPR!$A:$A,0),15),""),"")</f>
        <v/>
      </c>
      <c r="S21">
        <f>IFERROR(IF(ISNUMBER(INDEX(SPPR!$E:$Z,MATCH($A21,SPPR!$A:$A,0),16)),$C21*INDEX(SPPR!$E:$Z,MATCH($A21,SPPR!$A:$A,0),16),""),"")</f>
        <v/>
      </c>
      <c r="T21">
        <f>IFERROR(IF(ISNUMBER(INDEX(SPPR!$E:$Z,MATCH($A21,SPPR!$A:$A,0),17)),$C21*INDEX(SPPR!$E:$Z,MATCH($A21,SPPR!$A:$A,0),17),""),"")</f>
        <v/>
      </c>
      <c r="U21">
        <f>IFERROR(IF(ISNUMBER(INDEX(SPPR!$E:$Z,MATCH($A21,SPPR!$A:$A,0),18)),$C21*INDEX(SPPR!$E:$Z,MATCH($A21,SPPR!$A:$A,0),18),""),"")</f>
        <v/>
      </c>
      <c r="V21">
        <f>IFERROR(IF(ISNUMBER(INDEX(SPPR!$E:$Z,MATCH($A21,SPPR!$A:$A,0),19)),$C21*INDEX(SPPR!$E:$Z,MATCH($A21,SPPR!$A:$A,0),19),""),"")</f>
        <v/>
      </c>
      <c r="W21">
        <f>IFERROR(IF(ISNUMBER(INDEX(SPPR!$E:$Z,MATCH($A21,SPPR!$A:$A,0),20)),$C21*INDEX(SPPR!$E:$Z,MATCH($A21,SPPR!$A:$A,0),20),""),"")</f>
        <v/>
      </c>
      <c r="X21">
        <f>IFERROR(IF(ISNUMBER(INDEX(SPPR!$E:$Z,MATCH($A21,SPPR!$A:$A,0),21)),$C21*INDEX(SPPR!$E:$Z,MATCH($A21,SPPR!$A:$A,0),21),""),"")</f>
        <v/>
      </c>
      <c r="Y21">
        <f>IFERROR(IF(ISNUMBER(INDEX(SPPR!$E:$Z,MATCH($A21,SPPR!$A:$A,0),22)),$C21*INDEX(SPPR!$E:$Z,MATCH($A21,SPPR!$A:$A,0),22),""),"")</f>
        <v/>
      </c>
    </row>
    <row r="22">
      <c r="A22" t="inlineStr">
        <is>
          <t>Scombridae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IFERROR(IF(ISNUMBER(INDEX(SPPR!$E:$Z,MATCH($A22,SPPR!$A:$A,0),1)),$C22*INDEX(SPPR!$E:$Z,MATCH($A22,SPPR!$A:$A,0),1),""),"")</f>
        <v/>
      </c>
      <c r="E22">
        <f>IFERROR(IF(ISNUMBER(INDEX(SPPR!$E:$Z,MATCH($A22,SPPR!$A:$A,0),2)),$C22*INDEX(SPPR!$E:$Z,MATCH($A22,SPPR!$A:$A,0),2),""),"")</f>
        <v/>
      </c>
      <c r="F22">
        <f>IFERROR(IF(ISNUMBER(INDEX(SPPR!$E:$Z,MATCH($A22,SPPR!$A:$A,0),3)),$C22*INDEX(SPPR!$E:$Z,MATCH($A22,SPPR!$A:$A,0),3),""),"")</f>
        <v/>
      </c>
      <c r="G22">
        <f>IFERROR(IF(ISNUMBER(INDEX(SPPR!$E:$Z,MATCH($A22,SPPR!$A:$A,0),4)),$C22*INDEX(SPPR!$E:$Z,MATCH($A22,SPPR!$A:$A,0),4),""),"")</f>
        <v/>
      </c>
      <c r="H22">
        <f>IFERROR(IF(ISNUMBER(INDEX(SPPR!$E:$Z,MATCH($A22,SPPR!$A:$A,0),5)),$C22*INDEX(SPPR!$E:$Z,MATCH($A22,SPPR!$A:$A,0),5),""),"")</f>
        <v/>
      </c>
      <c r="I22">
        <f>IFERROR(IF(ISNUMBER(INDEX(SPPR!$E:$Z,MATCH($A22,SPPR!$A:$A,0),6)),$C22*INDEX(SPPR!$E:$Z,MATCH($A22,SPPR!$A:$A,0),6),""),"")</f>
        <v/>
      </c>
      <c r="J22">
        <f>IFERROR(IF(ISNUMBER(INDEX(SPPR!$E:$Z,MATCH($A22,SPPR!$A:$A,0),7)),$C22*INDEX(SPPR!$E:$Z,MATCH($A22,SPPR!$A:$A,0),7),""),"")</f>
        <v/>
      </c>
      <c r="K22">
        <f>IFERROR(IF(ISNUMBER(INDEX(SPPR!$E:$Z,MATCH($A22,SPPR!$A:$A,0),8)),$C22*INDEX(SPPR!$E:$Z,MATCH($A22,SPPR!$A:$A,0),8),""),"")</f>
        <v/>
      </c>
      <c r="L22">
        <f>IFERROR(IF(ISNUMBER(INDEX(SPPR!$E:$Z,MATCH($A22,SPPR!$A:$A,0),9)),$C22*INDEX(SPPR!$E:$Z,MATCH($A22,SPPR!$A:$A,0),9),""),"")</f>
        <v/>
      </c>
      <c r="M22">
        <f>IFERROR(IF(ISNUMBER(INDEX(SPPR!$E:$Z,MATCH($A22,SPPR!$A:$A,0),10)),$C22*INDEX(SPPR!$E:$Z,MATCH($A22,SPPR!$A:$A,0),10),""),"")</f>
        <v/>
      </c>
      <c r="N22">
        <f>IFERROR(IF(ISNUMBER(INDEX(SPPR!$E:$Z,MATCH($A22,SPPR!$A:$A,0),11)),$C22*INDEX(SPPR!$E:$Z,MATCH($A22,SPPR!$A:$A,0),11),""),"")</f>
        <v/>
      </c>
      <c r="O22">
        <f>IFERROR(IF(ISNUMBER(INDEX(SPPR!$E:$Z,MATCH($A22,SPPR!$A:$A,0),12)),$C22*INDEX(SPPR!$E:$Z,MATCH($A22,SPPR!$A:$A,0),12),""),"")</f>
        <v/>
      </c>
      <c r="P22">
        <f>IFERROR(IF(ISNUMBER(INDEX(SPPR!$E:$Z,MATCH($A22,SPPR!$A:$A,0),13)),$C22*INDEX(SPPR!$E:$Z,MATCH($A22,SPPR!$A:$A,0),13),""),"")</f>
        <v/>
      </c>
      <c r="Q22">
        <f>IFERROR(IF(ISNUMBER(INDEX(SPPR!$E:$Z,MATCH($A22,SPPR!$A:$A,0),14)),$C22*INDEX(SPPR!$E:$Z,MATCH($A22,SPPR!$A:$A,0),14),""),"")</f>
        <v/>
      </c>
      <c r="R22">
        <f>IFERROR(IF(ISNUMBER(INDEX(SPPR!$E:$Z,MATCH($A22,SPPR!$A:$A,0),15)),$C22*INDEX(SPPR!$E:$Z,MATCH($A22,SPPR!$A:$A,0),15),""),"")</f>
        <v/>
      </c>
      <c r="S22">
        <f>IFERROR(IF(ISNUMBER(INDEX(SPPR!$E:$Z,MATCH($A22,SPPR!$A:$A,0),16)),$C22*INDEX(SPPR!$E:$Z,MATCH($A22,SPPR!$A:$A,0),16),""),"")</f>
        <v/>
      </c>
      <c r="T22">
        <f>IFERROR(IF(ISNUMBER(INDEX(SPPR!$E:$Z,MATCH($A22,SPPR!$A:$A,0),17)),$C22*INDEX(SPPR!$E:$Z,MATCH($A22,SPPR!$A:$A,0),17),""),"")</f>
        <v/>
      </c>
      <c r="U22">
        <f>IFERROR(IF(ISNUMBER(INDEX(SPPR!$E:$Z,MATCH($A22,SPPR!$A:$A,0),18)),$C22*INDEX(SPPR!$E:$Z,MATCH($A22,SPPR!$A:$A,0),18),""),"")</f>
        <v/>
      </c>
      <c r="V22">
        <f>IFERROR(IF(ISNUMBER(INDEX(SPPR!$E:$Z,MATCH($A22,SPPR!$A:$A,0),19)),$C22*INDEX(SPPR!$E:$Z,MATCH($A22,SPPR!$A:$A,0),19),""),"")</f>
        <v/>
      </c>
      <c r="W22">
        <f>IFERROR(IF(ISNUMBER(INDEX(SPPR!$E:$Z,MATCH($A22,SPPR!$A:$A,0),20)),$C22*INDEX(SPPR!$E:$Z,MATCH($A22,SPPR!$A:$A,0),20),""),"")</f>
        <v/>
      </c>
      <c r="X22">
        <f>IFERROR(IF(ISNUMBER(INDEX(SPPR!$E:$Z,MATCH($A22,SPPR!$A:$A,0),21)),$C22*INDEX(SPPR!$E:$Z,MATCH($A22,SPPR!$A:$A,0),21),""),"")</f>
        <v/>
      </c>
      <c r="Y22">
        <f>IFERROR(IF(ISNUMBER(INDEX(SPPR!$E:$Z,MATCH($A22,SPPR!$A:$A,0),22)),$C22*INDEX(SPPR!$E:$Z,MATCH($A22,SPPR!$A:$A,0),22),""),"")</f>
        <v/>
      </c>
    </row>
    <row r="23">
      <c r="A23" t="inlineStr">
        <is>
          <t>Sparidae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IFERROR(IF(ISNUMBER(INDEX(SPPR!$E:$Z,MATCH($A23,SPPR!$A:$A,0),1)),$C23*INDEX(SPPR!$E:$Z,MATCH($A23,SPPR!$A:$A,0),1),""),"")</f>
        <v/>
      </c>
      <c r="E23">
        <f>IFERROR(IF(ISNUMBER(INDEX(SPPR!$E:$Z,MATCH($A23,SPPR!$A:$A,0),2)),$C23*INDEX(SPPR!$E:$Z,MATCH($A23,SPPR!$A:$A,0),2),""),"")</f>
        <v/>
      </c>
      <c r="F23">
        <f>IFERROR(IF(ISNUMBER(INDEX(SPPR!$E:$Z,MATCH($A23,SPPR!$A:$A,0),3)),$C23*INDEX(SPPR!$E:$Z,MATCH($A23,SPPR!$A:$A,0),3),""),"")</f>
        <v/>
      </c>
      <c r="G23">
        <f>IFERROR(IF(ISNUMBER(INDEX(SPPR!$E:$Z,MATCH($A23,SPPR!$A:$A,0),4)),$C23*INDEX(SPPR!$E:$Z,MATCH($A23,SPPR!$A:$A,0),4),""),"")</f>
        <v/>
      </c>
      <c r="H23">
        <f>IFERROR(IF(ISNUMBER(INDEX(SPPR!$E:$Z,MATCH($A23,SPPR!$A:$A,0),5)),$C23*INDEX(SPPR!$E:$Z,MATCH($A23,SPPR!$A:$A,0),5),""),"")</f>
        <v/>
      </c>
      <c r="I23">
        <f>IFERROR(IF(ISNUMBER(INDEX(SPPR!$E:$Z,MATCH($A23,SPPR!$A:$A,0),6)),$C23*INDEX(SPPR!$E:$Z,MATCH($A23,SPPR!$A:$A,0),6),""),"")</f>
        <v/>
      </c>
      <c r="J23">
        <f>IFERROR(IF(ISNUMBER(INDEX(SPPR!$E:$Z,MATCH($A23,SPPR!$A:$A,0),7)),$C23*INDEX(SPPR!$E:$Z,MATCH($A23,SPPR!$A:$A,0),7),""),"")</f>
        <v/>
      </c>
      <c r="K23">
        <f>IFERROR(IF(ISNUMBER(INDEX(SPPR!$E:$Z,MATCH($A23,SPPR!$A:$A,0),8)),$C23*INDEX(SPPR!$E:$Z,MATCH($A23,SPPR!$A:$A,0),8),""),"")</f>
        <v/>
      </c>
      <c r="L23">
        <f>IFERROR(IF(ISNUMBER(INDEX(SPPR!$E:$Z,MATCH($A23,SPPR!$A:$A,0),9)),$C23*INDEX(SPPR!$E:$Z,MATCH($A23,SPPR!$A:$A,0),9),""),"")</f>
        <v/>
      </c>
      <c r="M23">
        <f>IFERROR(IF(ISNUMBER(INDEX(SPPR!$E:$Z,MATCH($A23,SPPR!$A:$A,0),10)),$C23*INDEX(SPPR!$E:$Z,MATCH($A23,SPPR!$A:$A,0),10),""),"")</f>
        <v/>
      </c>
      <c r="N23">
        <f>IFERROR(IF(ISNUMBER(INDEX(SPPR!$E:$Z,MATCH($A23,SPPR!$A:$A,0),11)),$C23*INDEX(SPPR!$E:$Z,MATCH($A23,SPPR!$A:$A,0),11),""),"")</f>
        <v/>
      </c>
      <c r="O23">
        <f>IFERROR(IF(ISNUMBER(INDEX(SPPR!$E:$Z,MATCH($A23,SPPR!$A:$A,0),12)),$C23*INDEX(SPPR!$E:$Z,MATCH($A23,SPPR!$A:$A,0),12),""),"")</f>
        <v/>
      </c>
      <c r="P23">
        <f>IFERROR(IF(ISNUMBER(INDEX(SPPR!$E:$Z,MATCH($A23,SPPR!$A:$A,0),13)),$C23*INDEX(SPPR!$E:$Z,MATCH($A23,SPPR!$A:$A,0),13),""),"")</f>
        <v/>
      </c>
      <c r="Q23">
        <f>IFERROR(IF(ISNUMBER(INDEX(SPPR!$E:$Z,MATCH($A23,SPPR!$A:$A,0),14)),$C23*INDEX(SPPR!$E:$Z,MATCH($A23,SPPR!$A:$A,0),14),""),"")</f>
        <v/>
      </c>
      <c r="R23">
        <f>IFERROR(IF(ISNUMBER(INDEX(SPPR!$E:$Z,MATCH($A23,SPPR!$A:$A,0),15)),$C23*INDEX(SPPR!$E:$Z,MATCH($A23,SPPR!$A:$A,0),15),""),"")</f>
        <v/>
      </c>
      <c r="S23">
        <f>IFERROR(IF(ISNUMBER(INDEX(SPPR!$E:$Z,MATCH($A23,SPPR!$A:$A,0),16)),$C23*INDEX(SPPR!$E:$Z,MATCH($A23,SPPR!$A:$A,0),16),""),"")</f>
        <v/>
      </c>
      <c r="T23">
        <f>IFERROR(IF(ISNUMBER(INDEX(SPPR!$E:$Z,MATCH($A23,SPPR!$A:$A,0),17)),$C23*INDEX(SPPR!$E:$Z,MATCH($A23,SPPR!$A:$A,0),17),""),"")</f>
        <v/>
      </c>
      <c r="U23">
        <f>IFERROR(IF(ISNUMBER(INDEX(SPPR!$E:$Z,MATCH($A23,SPPR!$A:$A,0),18)),$C23*INDEX(SPPR!$E:$Z,MATCH($A23,SPPR!$A:$A,0),18),""),"")</f>
        <v/>
      </c>
      <c r="V23">
        <f>IFERROR(IF(ISNUMBER(INDEX(SPPR!$E:$Z,MATCH($A23,SPPR!$A:$A,0),19)),$C23*INDEX(SPPR!$E:$Z,MATCH($A23,SPPR!$A:$A,0),19),""),"")</f>
        <v/>
      </c>
      <c r="W23">
        <f>IFERROR(IF(ISNUMBER(INDEX(SPPR!$E:$Z,MATCH($A23,SPPR!$A:$A,0),20)),$C23*INDEX(SPPR!$E:$Z,MATCH($A23,SPPR!$A:$A,0),20),""),"")</f>
        <v/>
      </c>
      <c r="X23">
        <f>IFERROR(IF(ISNUMBER(INDEX(SPPR!$E:$Z,MATCH($A23,SPPR!$A:$A,0),21)),$C23*INDEX(SPPR!$E:$Z,MATCH($A23,SPPR!$A:$A,0),21),""),"")</f>
        <v/>
      </c>
      <c r="Y23">
        <f>IFERROR(IF(ISNUMBER(INDEX(SPPR!$E:$Z,MATCH($A23,SPPR!$A:$A,0),22)),$C23*INDEX(SPPR!$E:$Z,MATCH($A23,SPPR!$A:$A,0),22),""),"")</f>
        <v/>
      </c>
    </row>
    <row r="24">
      <c r="A24" t="inlineStr">
        <is>
          <t>Sciaenidae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IFERROR(IF(ISNUMBER(INDEX(SPPR!$E:$Z,MATCH($A24,SPPR!$A:$A,0),1)),$C24*INDEX(SPPR!$E:$Z,MATCH($A24,SPPR!$A:$A,0),1),""),"")</f>
        <v/>
      </c>
      <c r="E24">
        <f>IFERROR(IF(ISNUMBER(INDEX(SPPR!$E:$Z,MATCH($A24,SPPR!$A:$A,0),2)),$C24*INDEX(SPPR!$E:$Z,MATCH($A24,SPPR!$A:$A,0),2),""),"")</f>
        <v/>
      </c>
      <c r="F24">
        <f>IFERROR(IF(ISNUMBER(INDEX(SPPR!$E:$Z,MATCH($A24,SPPR!$A:$A,0),3)),$C24*INDEX(SPPR!$E:$Z,MATCH($A24,SPPR!$A:$A,0),3),""),"")</f>
        <v/>
      </c>
      <c r="G24">
        <f>IFERROR(IF(ISNUMBER(INDEX(SPPR!$E:$Z,MATCH($A24,SPPR!$A:$A,0),4)),$C24*INDEX(SPPR!$E:$Z,MATCH($A24,SPPR!$A:$A,0),4),""),"")</f>
        <v/>
      </c>
      <c r="H24">
        <f>IFERROR(IF(ISNUMBER(INDEX(SPPR!$E:$Z,MATCH($A24,SPPR!$A:$A,0),5)),$C24*INDEX(SPPR!$E:$Z,MATCH($A24,SPPR!$A:$A,0),5),""),"")</f>
        <v/>
      </c>
      <c r="I24">
        <f>IFERROR(IF(ISNUMBER(INDEX(SPPR!$E:$Z,MATCH($A24,SPPR!$A:$A,0),6)),$C24*INDEX(SPPR!$E:$Z,MATCH($A24,SPPR!$A:$A,0),6),""),"")</f>
        <v/>
      </c>
      <c r="J24">
        <f>IFERROR(IF(ISNUMBER(INDEX(SPPR!$E:$Z,MATCH($A24,SPPR!$A:$A,0),7)),$C24*INDEX(SPPR!$E:$Z,MATCH($A24,SPPR!$A:$A,0),7),""),"")</f>
        <v/>
      </c>
      <c r="K24">
        <f>IFERROR(IF(ISNUMBER(INDEX(SPPR!$E:$Z,MATCH($A24,SPPR!$A:$A,0),8)),$C24*INDEX(SPPR!$E:$Z,MATCH($A24,SPPR!$A:$A,0),8),""),"")</f>
        <v/>
      </c>
      <c r="L24">
        <f>IFERROR(IF(ISNUMBER(INDEX(SPPR!$E:$Z,MATCH($A24,SPPR!$A:$A,0),9)),$C24*INDEX(SPPR!$E:$Z,MATCH($A24,SPPR!$A:$A,0),9),""),"")</f>
        <v/>
      </c>
      <c r="M24">
        <f>IFERROR(IF(ISNUMBER(INDEX(SPPR!$E:$Z,MATCH($A24,SPPR!$A:$A,0),10)),$C24*INDEX(SPPR!$E:$Z,MATCH($A24,SPPR!$A:$A,0),10),""),"")</f>
        <v/>
      </c>
      <c r="N24">
        <f>IFERROR(IF(ISNUMBER(INDEX(SPPR!$E:$Z,MATCH($A24,SPPR!$A:$A,0),11)),$C24*INDEX(SPPR!$E:$Z,MATCH($A24,SPPR!$A:$A,0),11),""),"")</f>
        <v/>
      </c>
      <c r="O24">
        <f>IFERROR(IF(ISNUMBER(INDEX(SPPR!$E:$Z,MATCH($A24,SPPR!$A:$A,0),12)),$C24*INDEX(SPPR!$E:$Z,MATCH($A24,SPPR!$A:$A,0),12),""),"")</f>
        <v/>
      </c>
      <c r="P24">
        <f>IFERROR(IF(ISNUMBER(INDEX(SPPR!$E:$Z,MATCH($A24,SPPR!$A:$A,0),13)),$C24*INDEX(SPPR!$E:$Z,MATCH($A24,SPPR!$A:$A,0),13),""),"")</f>
        <v/>
      </c>
      <c r="Q24">
        <f>IFERROR(IF(ISNUMBER(INDEX(SPPR!$E:$Z,MATCH($A24,SPPR!$A:$A,0),14)),$C24*INDEX(SPPR!$E:$Z,MATCH($A24,SPPR!$A:$A,0),14),""),"")</f>
        <v/>
      </c>
      <c r="R24">
        <f>IFERROR(IF(ISNUMBER(INDEX(SPPR!$E:$Z,MATCH($A24,SPPR!$A:$A,0),15)),$C24*INDEX(SPPR!$E:$Z,MATCH($A24,SPPR!$A:$A,0),15),""),"")</f>
        <v/>
      </c>
      <c r="S24">
        <f>IFERROR(IF(ISNUMBER(INDEX(SPPR!$E:$Z,MATCH($A24,SPPR!$A:$A,0),16)),$C24*INDEX(SPPR!$E:$Z,MATCH($A24,SPPR!$A:$A,0),16),""),"")</f>
        <v/>
      </c>
      <c r="T24">
        <f>IFERROR(IF(ISNUMBER(INDEX(SPPR!$E:$Z,MATCH($A24,SPPR!$A:$A,0),17)),$C24*INDEX(SPPR!$E:$Z,MATCH($A24,SPPR!$A:$A,0),17),""),"")</f>
        <v/>
      </c>
      <c r="U24">
        <f>IFERROR(IF(ISNUMBER(INDEX(SPPR!$E:$Z,MATCH($A24,SPPR!$A:$A,0),18)),$C24*INDEX(SPPR!$E:$Z,MATCH($A24,SPPR!$A:$A,0),18),""),"")</f>
        <v/>
      </c>
      <c r="V24">
        <f>IFERROR(IF(ISNUMBER(INDEX(SPPR!$E:$Z,MATCH($A24,SPPR!$A:$A,0),19)),$C24*INDEX(SPPR!$E:$Z,MATCH($A24,SPPR!$A:$A,0),19),""),"")</f>
        <v/>
      </c>
      <c r="W24">
        <f>IFERROR(IF(ISNUMBER(INDEX(SPPR!$E:$Z,MATCH($A24,SPPR!$A:$A,0),20)),$C24*INDEX(SPPR!$E:$Z,MATCH($A24,SPPR!$A:$A,0),20),""),"")</f>
        <v/>
      </c>
      <c r="X24">
        <f>IFERROR(IF(ISNUMBER(INDEX(SPPR!$E:$Z,MATCH($A24,SPPR!$A:$A,0),21)),$C24*INDEX(SPPR!$E:$Z,MATCH($A24,SPPR!$A:$A,0),21),""),"")</f>
        <v/>
      </c>
      <c r="Y24">
        <f>IFERROR(IF(ISNUMBER(INDEX(SPPR!$E:$Z,MATCH($A24,SPPR!$A:$A,0),22)),$C24*INDEX(SPPR!$E:$Z,MATCH($A24,SPPR!$A:$A,0),22),""),"")</f>
        <v/>
      </c>
    </row>
    <row r="25">
      <c r="A25" t="inlineStr">
        <is>
          <t>Dendrobranchiata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IFERROR(IF(ISNUMBER(INDEX(SPPR!$E:$Z,MATCH($A25,SPPR!$A:$A,0),1)),$C25*INDEX(SPPR!$E:$Z,MATCH($A25,SPPR!$A:$A,0),1),""),"")</f>
        <v/>
      </c>
      <c r="E25">
        <f>IFERROR(IF(ISNUMBER(INDEX(SPPR!$E:$Z,MATCH($A25,SPPR!$A:$A,0),2)),$C25*INDEX(SPPR!$E:$Z,MATCH($A25,SPPR!$A:$A,0),2),""),"")</f>
        <v/>
      </c>
      <c r="F25">
        <f>IFERROR(IF(ISNUMBER(INDEX(SPPR!$E:$Z,MATCH($A25,SPPR!$A:$A,0),3)),$C25*INDEX(SPPR!$E:$Z,MATCH($A25,SPPR!$A:$A,0),3),""),"")</f>
        <v/>
      </c>
      <c r="G25">
        <f>IFERROR(IF(ISNUMBER(INDEX(SPPR!$E:$Z,MATCH($A25,SPPR!$A:$A,0),4)),$C25*INDEX(SPPR!$E:$Z,MATCH($A25,SPPR!$A:$A,0),4),""),"")</f>
        <v/>
      </c>
      <c r="H25">
        <f>IFERROR(IF(ISNUMBER(INDEX(SPPR!$E:$Z,MATCH($A25,SPPR!$A:$A,0),5)),$C25*INDEX(SPPR!$E:$Z,MATCH($A25,SPPR!$A:$A,0),5),""),"")</f>
        <v/>
      </c>
      <c r="I25">
        <f>IFERROR(IF(ISNUMBER(INDEX(SPPR!$E:$Z,MATCH($A25,SPPR!$A:$A,0),6)),$C25*INDEX(SPPR!$E:$Z,MATCH($A25,SPPR!$A:$A,0),6),""),"")</f>
        <v/>
      </c>
      <c r="J25">
        <f>IFERROR(IF(ISNUMBER(INDEX(SPPR!$E:$Z,MATCH($A25,SPPR!$A:$A,0),7)),$C25*INDEX(SPPR!$E:$Z,MATCH($A25,SPPR!$A:$A,0),7),""),"")</f>
        <v/>
      </c>
      <c r="K25">
        <f>IFERROR(IF(ISNUMBER(INDEX(SPPR!$E:$Z,MATCH($A25,SPPR!$A:$A,0),8)),$C25*INDEX(SPPR!$E:$Z,MATCH($A25,SPPR!$A:$A,0),8),""),"")</f>
        <v/>
      </c>
      <c r="L25">
        <f>IFERROR(IF(ISNUMBER(INDEX(SPPR!$E:$Z,MATCH($A25,SPPR!$A:$A,0),9)),$C25*INDEX(SPPR!$E:$Z,MATCH($A25,SPPR!$A:$A,0),9),""),"")</f>
        <v/>
      </c>
      <c r="M25">
        <f>IFERROR(IF(ISNUMBER(INDEX(SPPR!$E:$Z,MATCH($A25,SPPR!$A:$A,0),10)),$C25*INDEX(SPPR!$E:$Z,MATCH($A25,SPPR!$A:$A,0),10),""),"")</f>
        <v/>
      </c>
      <c r="N25">
        <f>IFERROR(IF(ISNUMBER(INDEX(SPPR!$E:$Z,MATCH($A25,SPPR!$A:$A,0),11)),$C25*INDEX(SPPR!$E:$Z,MATCH($A25,SPPR!$A:$A,0),11),""),"")</f>
        <v/>
      </c>
      <c r="O25">
        <f>IFERROR(IF(ISNUMBER(INDEX(SPPR!$E:$Z,MATCH($A25,SPPR!$A:$A,0),12)),$C25*INDEX(SPPR!$E:$Z,MATCH($A25,SPPR!$A:$A,0),12),""),"")</f>
        <v/>
      </c>
      <c r="P25">
        <f>IFERROR(IF(ISNUMBER(INDEX(SPPR!$E:$Z,MATCH($A25,SPPR!$A:$A,0),13)),$C25*INDEX(SPPR!$E:$Z,MATCH($A25,SPPR!$A:$A,0),13),""),"")</f>
        <v/>
      </c>
      <c r="Q25">
        <f>IFERROR(IF(ISNUMBER(INDEX(SPPR!$E:$Z,MATCH($A25,SPPR!$A:$A,0),14)),$C25*INDEX(SPPR!$E:$Z,MATCH($A25,SPPR!$A:$A,0),14),""),"")</f>
        <v/>
      </c>
      <c r="R25">
        <f>IFERROR(IF(ISNUMBER(INDEX(SPPR!$E:$Z,MATCH($A25,SPPR!$A:$A,0),15)),$C25*INDEX(SPPR!$E:$Z,MATCH($A25,SPPR!$A:$A,0),15),""),"")</f>
        <v/>
      </c>
      <c r="S25">
        <f>IFERROR(IF(ISNUMBER(INDEX(SPPR!$E:$Z,MATCH($A25,SPPR!$A:$A,0),16)),$C25*INDEX(SPPR!$E:$Z,MATCH($A25,SPPR!$A:$A,0),16),""),"")</f>
        <v/>
      </c>
      <c r="T25">
        <f>IFERROR(IF(ISNUMBER(INDEX(SPPR!$E:$Z,MATCH($A25,SPPR!$A:$A,0),17)),$C25*INDEX(SPPR!$E:$Z,MATCH($A25,SPPR!$A:$A,0),17),""),"")</f>
        <v/>
      </c>
      <c r="U25">
        <f>IFERROR(IF(ISNUMBER(INDEX(SPPR!$E:$Z,MATCH($A25,SPPR!$A:$A,0),18)),$C25*INDEX(SPPR!$E:$Z,MATCH($A25,SPPR!$A:$A,0),18),""),"")</f>
        <v/>
      </c>
      <c r="V25">
        <f>IFERROR(IF(ISNUMBER(INDEX(SPPR!$E:$Z,MATCH($A25,SPPR!$A:$A,0),19)),$C25*INDEX(SPPR!$E:$Z,MATCH($A25,SPPR!$A:$A,0),19),""),"")</f>
        <v/>
      </c>
      <c r="W25">
        <f>IFERROR(IF(ISNUMBER(INDEX(SPPR!$E:$Z,MATCH($A25,SPPR!$A:$A,0),20)),$C25*INDEX(SPPR!$E:$Z,MATCH($A25,SPPR!$A:$A,0),20),""),"")</f>
        <v/>
      </c>
      <c r="X25">
        <f>IFERROR(IF(ISNUMBER(INDEX(SPPR!$E:$Z,MATCH($A25,SPPR!$A:$A,0),21)),$C25*INDEX(SPPR!$E:$Z,MATCH($A25,SPPR!$A:$A,0),21),""),"")</f>
        <v/>
      </c>
      <c r="Y25">
        <f>IFERROR(IF(ISNUMBER(INDEX(SPPR!$E:$Z,MATCH($A25,SPPR!$A:$A,0),22)),$C25*INDEX(SPPR!$E:$Z,MATCH($A25,SPPR!$A:$A,0),22),""),"")</f>
        <v/>
      </c>
    </row>
    <row r="26">
      <c r="A26" t="inlineStr">
        <is>
          <t>Sardinella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IFERROR(IF(ISNUMBER(INDEX(SPPR!$E:$Z,MATCH($A26,SPPR!$A:$A,0),1)),$C26*INDEX(SPPR!$E:$Z,MATCH($A26,SPPR!$A:$A,0),1),""),"")</f>
        <v/>
      </c>
      <c r="E26">
        <f>IFERROR(IF(ISNUMBER(INDEX(SPPR!$E:$Z,MATCH($A26,SPPR!$A:$A,0),2)),$C26*INDEX(SPPR!$E:$Z,MATCH($A26,SPPR!$A:$A,0),2),""),"")</f>
        <v/>
      </c>
      <c r="F26">
        <f>IFERROR(IF(ISNUMBER(INDEX(SPPR!$E:$Z,MATCH($A26,SPPR!$A:$A,0),3)),$C26*INDEX(SPPR!$E:$Z,MATCH($A26,SPPR!$A:$A,0),3),""),"")</f>
        <v/>
      </c>
      <c r="G26">
        <f>IFERROR(IF(ISNUMBER(INDEX(SPPR!$E:$Z,MATCH($A26,SPPR!$A:$A,0),4)),$C26*INDEX(SPPR!$E:$Z,MATCH($A26,SPPR!$A:$A,0),4),""),"")</f>
        <v/>
      </c>
      <c r="H26">
        <f>IFERROR(IF(ISNUMBER(INDEX(SPPR!$E:$Z,MATCH($A26,SPPR!$A:$A,0),5)),$C26*INDEX(SPPR!$E:$Z,MATCH($A26,SPPR!$A:$A,0),5),""),"")</f>
        <v/>
      </c>
      <c r="I26">
        <f>IFERROR(IF(ISNUMBER(INDEX(SPPR!$E:$Z,MATCH($A26,SPPR!$A:$A,0),6)),$C26*INDEX(SPPR!$E:$Z,MATCH($A26,SPPR!$A:$A,0),6),""),"")</f>
        <v/>
      </c>
      <c r="J26">
        <f>IFERROR(IF(ISNUMBER(INDEX(SPPR!$E:$Z,MATCH($A26,SPPR!$A:$A,0),7)),$C26*INDEX(SPPR!$E:$Z,MATCH($A26,SPPR!$A:$A,0),7),""),"")</f>
        <v/>
      </c>
      <c r="K26">
        <f>IFERROR(IF(ISNUMBER(INDEX(SPPR!$E:$Z,MATCH($A26,SPPR!$A:$A,0),8)),$C26*INDEX(SPPR!$E:$Z,MATCH($A26,SPPR!$A:$A,0),8),""),"")</f>
        <v/>
      </c>
      <c r="L26">
        <f>IFERROR(IF(ISNUMBER(INDEX(SPPR!$E:$Z,MATCH($A26,SPPR!$A:$A,0),9)),$C26*INDEX(SPPR!$E:$Z,MATCH($A26,SPPR!$A:$A,0),9),""),"")</f>
        <v/>
      </c>
      <c r="M26">
        <f>IFERROR(IF(ISNUMBER(INDEX(SPPR!$E:$Z,MATCH($A26,SPPR!$A:$A,0),10)),$C26*INDEX(SPPR!$E:$Z,MATCH($A26,SPPR!$A:$A,0),10),""),"")</f>
        <v/>
      </c>
      <c r="N26">
        <f>IFERROR(IF(ISNUMBER(INDEX(SPPR!$E:$Z,MATCH($A26,SPPR!$A:$A,0),11)),$C26*INDEX(SPPR!$E:$Z,MATCH($A26,SPPR!$A:$A,0),11),""),"")</f>
        <v/>
      </c>
      <c r="O26">
        <f>IFERROR(IF(ISNUMBER(INDEX(SPPR!$E:$Z,MATCH($A26,SPPR!$A:$A,0),12)),$C26*INDEX(SPPR!$E:$Z,MATCH($A26,SPPR!$A:$A,0),12),""),"")</f>
        <v/>
      </c>
      <c r="P26">
        <f>IFERROR(IF(ISNUMBER(INDEX(SPPR!$E:$Z,MATCH($A26,SPPR!$A:$A,0),13)),$C26*INDEX(SPPR!$E:$Z,MATCH($A26,SPPR!$A:$A,0),13),""),"")</f>
        <v/>
      </c>
      <c r="Q26">
        <f>IFERROR(IF(ISNUMBER(INDEX(SPPR!$E:$Z,MATCH($A26,SPPR!$A:$A,0),14)),$C26*INDEX(SPPR!$E:$Z,MATCH($A26,SPPR!$A:$A,0),14),""),"")</f>
        <v/>
      </c>
      <c r="R26">
        <f>IFERROR(IF(ISNUMBER(INDEX(SPPR!$E:$Z,MATCH($A26,SPPR!$A:$A,0),15)),$C26*INDEX(SPPR!$E:$Z,MATCH($A26,SPPR!$A:$A,0),15),""),"")</f>
        <v/>
      </c>
      <c r="S26">
        <f>IFERROR(IF(ISNUMBER(INDEX(SPPR!$E:$Z,MATCH($A26,SPPR!$A:$A,0),16)),$C26*INDEX(SPPR!$E:$Z,MATCH($A26,SPPR!$A:$A,0),16),""),"")</f>
        <v/>
      </c>
      <c r="T26">
        <f>IFERROR(IF(ISNUMBER(INDEX(SPPR!$E:$Z,MATCH($A26,SPPR!$A:$A,0),17)),$C26*INDEX(SPPR!$E:$Z,MATCH($A26,SPPR!$A:$A,0),17),""),"")</f>
        <v/>
      </c>
      <c r="U26">
        <f>IFERROR(IF(ISNUMBER(INDEX(SPPR!$E:$Z,MATCH($A26,SPPR!$A:$A,0),18)),$C26*INDEX(SPPR!$E:$Z,MATCH($A26,SPPR!$A:$A,0),18),""),"")</f>
        <v/>
      </c>
      <c r="V26">
        <f>IFERROR(IF(ISNUMBER(INDEX(SPPR!$E:$Z,MATCH($A26,SPPR!$A:$A,0),19)),$C26*INDEX(SPPR!$E:$Z,MATCH($A26,SPPR!$A:$A,0),19),""),"")</f>
        <v/>
      </c>
      <c r="W26">
        <f>IFERROR(IF(ISNUMBER(INDEX(SPPR!$E:$Z,MATCH($A26,SPPR!$A:$A,0),20)),$C26*INDEX(SPPR!$E:$Z,MATCH($A26,SPPR!$A:$A,0),20),""),"")</f>
        <v/>
      </c>
      <c r="X26">
        <f>IFERROR(IF(ISNUMBER(INDEX(SPPR!$E:$Z,MATCH($A26,SPPR!$A:$A,0),21)),$C26*INDEX(SPPR!$E:$Z,MATCH($A26,SPPR!$A:$A,0),21),""),"")</f>
        <v/>
      </c>
      <c r="Y26">
        <f>IFERROR(IF(ISNUMBER(INDEX(SPPR!$E:$Z,MATCH($A26,SPPR!$A:$A,0),22)),$C26*INDEX(SPPR!$E:$Z,MATCH($A26,SPPR!$A:$A,0),22),""),"")</f>
        <v/>
      </c>
    </row>
    <row r="27">
      <c r="A27" t="inlineStr">
        <is>
          <t>Marine finfishes not identified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IFERROR(IF(ISNUMBER(INDEX(SPPR!$E:$Z,MATCH($A27,SPPR!$A:$A,0),1)),$C27*INDEX(SPPR!$E:$Z,MATCH($A27,SPPR!$A:$A,0),1),""),"")</f>
        <v/>
      </c>
      <c r="E27">
        <f>IFERROR(IF(ISNUMBER(INDEX(SPPR!$E:$Z,MATCH($A27,SPPR!$A:$A,0),2)),$C27*INDEX(SPPR!$E:$Z,MATCH($A27,SPPR!$A:$A,0),2),""),"")</f>
        <v/>
      </c>
      <c r="F27">
        <f>IFERROR(IF(ISNUMBER(INDEX(SPPR!$E:$Z,MATCH($A27,SPPR!$A:$A,0),3)),$C27*INDEX(SPPR!$E:$Z,MATCH($A27,SPPR!$A:$A,0),3),""),"")</f>
        <v/>
      </c>
      <c r="G27">
        <f>IFERROR(IF(ISNUMBER(INDEX(SPPR!$E:$Z,MATCH($A27,SPPR!$A:$A,0),4)),$C27*INDEX(SPPR!$E:$Z,MATCH($A27,SPPR!$A:$A,0),4),""),"")</f>
        <v/>
      </c>
      <c r="H27">
        <f>IFERROR(IF(ISNUMBER(INDEX(SPPR!$E:$Z,MATCH($A27,SPPR!$A:$A,0),5)),$C27*INDEX(SPPR!$E:$Z,MATCH($A27,SPPR!$A:$A,0),5),""),"")</f>
        <v/>
      </c>
      <c r="I27">
        <f>IFERROR(IF(ISNUMBER(INDEX(SPPR!$E:$Z,MATCH($A27,SPPR!$A:$A,0),6)),$C27*INDEX(SPPR!$E:$Z,MATCH($A27,SPPR!$A:$A,0),6),""),"")</f>
        <v/>
      </c>
      <c r="J27">
        <f>IFERROR(IF(ISNUMBER(INDEX(SPPR!$E:$Z,MATCH($A27,SPPR!$A:$A,0),7)),$C27*INDEX(SPPR!$E:$Z,MATCH($A27,SPPR!$A:$A,0),7),""),"")</f>
        <v/>
      </c>
      <c r="K27">
        <f>IFERROR(IF(ISNUMBER(INDEX(SPPR!$E:$Z,MATCH($A27,SPPR!$A:$A,0),8)),$C27*INDEX(SPPR!$E:$Z,MATCH($A27,SPPR!$A:$A,0),8),""),"")</f>
        <v/>
      </c>
      <c r="L27">
        <f>IFERROR(IF(ISNUMBER(INDEX(SPPR!$E:$Z,MATCH($A27,SPPR!$A:$A,0),9)),$C27*INDEX(SPPR!$E:$Z,MATCH($A27,SPPR!$A:$A,0),9),""),"")</f>
        <v/>
      </c>
      <c r="M27">
        <f>IFERROR(IF(ISNUMBER(INDEX(SPPR!$E:$Z,MATCH($A27,SPPR!$A:$A,0),10)),$C27*INDEX(SPPR!$E:$Z,MATCH($A27,SPPR!$A:$A,0),10),""),"")</f>
        <v/>
      </c>
      <c r="N27">
        <f>IFERROR(IF(ISNUMBER(INDEX(SPPR!$E:$Z,MATCH($A27,SPPR!$A:$A,0),11)),$C27*INDEX(SPPR!$E:$Z,MATCH($A27,SPPR!$A:$A,0),11),""),"")</f>
        <v/>
      </c>
      <c r="O27">
        <f>IFERROR(IF(ISNUMBER(INDEX(SPPR!$E:$Z,MATCH($A27,SPPR!$A:$A,0),12)),$C27*INDEX(SPPR!$E:$Z,MATCH($A27,SPPR!$A:$A,0),12),""),"")</f>
        <v/>
      </c>
      <c r="P27">
        <f>IFERROR(IF(ISNUMBER(INDEX(SPPR!$E:$Z,MATCH($A27,SPPR!$A:$A,0),13)),$C27*INDEX(SPPR!$E:$Z,MATCH($A27,SPPR!$A:$A,0),13),""),"")</f>
        <v/>
      </c>
      <c r="Q27">
        <f>IFERROR(IF(ISNUMBER(INDEX(SPPR!$E:$Z,MATCH($A27,SPPR!$A:$A,0),14)),$C27*INDEX(SPPR!$E:$Z,MATCH($A27,SPPR!$A:$A,0),14),""),"")</f>
        <v/>
      </c>
      <c r="R27">
        <f>IFERROR(IF(ISNUMBER(INDEX(SPPR!$E:$Z,MATCH($A27,SPPR!$A:$A,0),15)),$C27*INDEX(SPPR!$E:$Z,MATCH($A27,SPPR!$A:$A,0),15),""),"")</f>
        <v/>
      </c>
      <c r="S27">
        <f>IFERROR(IF(ISNUMBER(INDEX(SPPR!$E:$Z,MATCH($A27,SPPR!$A:$A,0),16)),$C27*INDEX(SPPR!$E:$Z,MATCH($A27,SPPR!$A:$A,0),16),""),"")</f>
        <v/>
      </c>
      <c r="T27">
        <f>IFERROR(IF(ISNUMBER(INDEX(SPPR!$E:$Z,MATCH($A27,SPPR!$A:$A,0),17)),$C27*INDEX(SPPR!$E:$Z,MATCH($A27,SPPR!$A:$A,0),17),""),"")</f>
        <v/>
      </c>
      <c r="U27">
        <f>IFERROR(IF(ISNUMBER(INDEX(SPPR!$E:$Z,MATCH($A27,SPPR!$A:$A,0),18)),$C27*INDEX(SPPR!$E:$Z,MATCH($A27,SPPR!$A:$A,0),18),""),"")</f>
        <v/>
      </c>
      <c r="V27">
        <f>IFERROR(IF(ISNUMBER(INDEX(SPPR!$E:$Z,MATCH($A27,SPPR!$A:$A,0),19)),$C27*INDEX(SPPR!$E:$Z,MATCH($A27,SPPR!$A:$A,0),19),""),"")</f>
        <v/>
      </c>
      <c r="W27">
        <f>IFERROR(IF(ISNUMBER(INDEX(SPPR!$E:$Z,MATCH($A27,SPPR!$A:$A,0),20)),$C27*INDEX(SPPR!$E:$Z,MATCH($A27,SPPR!$A:$A,0),20),""),"")</f>
        <v/>
      </c>
      <c r="X27">
        <f>IFERROR(IF(ISNUMBER(INDEX(SPPR!$E:$Z,MATCH($A27,SPPR!$A:$A,0),21)),$C27*INDEX(SPPR!$E:$Z,MATCH($A27,SPPR!$A:$A,0),21),""),"")</f>
        <v/>
      </c>
      <c r="Y27">
        <f>IFERROR(IF(ISNUMBER(INDEX(SPPR!$E:$Z,MATCH($A27,SPPR!$A:$A,0),22)),$C27*INDEX(SPPR!$E:$Z,MATCH($A27,SPPR!$A:$A,0),22),""),"")</f>
        <v/>
      </c>
    </row>
    <row r="28">
      <c r="A28" t="inlineStr">
        <is>
          <t>Priacanthus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IFERROR(IF(ISNUMBER(INDEX(SPPR!$E:$Z,MATCH($A28,SPPR!$A:$A,0),1)),$C28*INDEX(SPPR!$E:$Z,MATCH($A28,SPPR!$A:$A,0),1),""),"")</f>
        <v/>
      </c>
      <c r="E28">
        <f>IFERROR(IF(ISNUMBER(INDEX(SPPR!$E:$Z,MATCH($A28,SPPR!$A:$A,0),2)),$C28*INDEX(SPPR!$E:$Z,MATCH($A28,SPPR!$A:$A,0),2),""),"")</f>
        <v/>
      </c>
      <c r="F28">
        <f>IFERROR(IF(ISNUMBER(INDEX(SPPR!$E:$Z,MATCH($A28,SPPR!$A:$A,0),3)),$C28*INDEX(SPPR!$E:$Z,MATCH($A28,SPPR!$A:$A,0),3),""),"")</f>
        <v/>
      </c>
      <c r="G28">
        <f>IFERROR(IF(ISNUMBER(INDEX(SPPR!$E:$Z,MATCH($A28,SPPR!$A:$A,0),4)),$C28*INDEX(SPPR!$E:$Z,MATCH($A28,SPPR!$A:$A,0),4),""),"")</f>
        <v/>
      </c>
      <c r="H28">
        <f>IFERROR(IF(ISNUMBER(INDEX(SPPR!$E:$Z,MATCH($A28,SPPR!$A:$A,0),5)),$C28*INDEX(SPPR!$E:$Z,MATCH($A28,SPPR!$A:$A,0),5),""),"")</f>
        <v/>
      </c>
      <c r="I28">
        <f>IFERROR(IF(ISNUMBER(INDEX(SPPR!$E:$Z,MATCH($A28,SPPR!$A:$A,0),6)),$C28*INDEX(SPPR!$E:$Z,MATCH($A28,SPPR!$A:$A,0),6),""),"")</f>
        <v/>
      </c>
      <c r="J28">
        <f>IFERROR(IF(ISNUMBER(INDEX(SPPR!$E:$Z,MATCH($A28,SPPR!$A:$A,0),7)),$C28*INDEX(SPPR!$E:$Z,MATCH($A28,SPPR!$A:$A,0),7),""),"")</f>
        <v/>
      </c>
      <c r="K28">
        <f>IFERROR(IF(ISNUMBER(INDEX(SPPR!$E:$Z,MATCH($A28,SPPR!$A:$A,0),8)),$C28*INDEX(SPPR!$E:$Z,MATCH($A28,SPPR!$A:$A,0),8),""),"")</f>
        <v/>
      </c>
      <c r="L28">
        <f>IFERROR(IF(ISNUMBER(INDEX(SPPR!$E:$Z,MATCH($A28,SPPR!$A:$A,0),9)),$C28*INDEX(SPPR!$E:$Z,MATCH($A28,SPPR!$A:$A,0),9),""),"")</f>
        <v/>
      </c>
      <c r="M28">
        <f>IFERROR(IF(ISNUMBER(INDEX(SPPR!$E:$Z,MATCH($A28,SPPR!$A:$A,0),10)),$C28*INDEX(SPPR!$E:$Z,MATCH($A28,SPPR!$A:$A,0),10),""),"")</f>
        <v/>
      </c>
      <c r="N28">
        <f>IFERROR(IF(ISNUMBER(INDEX(SPPR!$E:$Z,MATCH($A28,SPPR!$A:$A,0),11)),$C28*INDEX(SPPR!$E:$Z,MATCH($A28,SPPR!$A:$A,0),11),""),"")</f>
        <v/>
      </c>
      <c r="O28">
        <f>IFERROR(IF(ISNUMBER(INDEX(SPPR!$E:$Z,MATCH($A28,SPPR!$A:$A,0),12)),$C28*INDEX(SPPR!$E:$Z,MATCH($A28,SPPR!$A:$A,0),12),""),"")</f>
        <v/>
      </c>
      <c r="P28">
        <f>IFERROR(IF(ISNUMBER(INDEX(SPPR!$E:$Z,MATCH($A28,SPPR!$A:$A,0),13)),$C28*INDEX(SPPR!$E:$Z,MATCH($A28,SPPR!$A:$A,0),13),""),"")</f>
        <v/>
      </c>
      <c r="Q28">
        <f>IFERROR(IF(ISNUMBER(INDEX(SPPR!$E:$Z,MATCH($A28,SPPR!$A:$A,0),14)),$C28*INDEX(SPPR!$E:$Z,MATCH($A28,SPPR!$A:$A,0),14),""),"")</f>
        <v/>
      </c>
      <c r="R28">
        <f>IFERROR(IF(ISNUMBER(INDEX(SPPR!$E:$Z,MATCH($A28,SPPR!$A:$A,0),15)),$C28*INDEX(SPPR!$E:$Z,MATCH($A28,SPPR!$A:$A,0),15),""),"")</f>
        <v/>
      </c>
      <c r="S28">
        <f>IFERROR(IF(ISNUMBER(INDEX(SPPR!$E:$Z,MATCH($A28,SPPR!$A:$A,0),16)),$C28*INDEX(SPPR!$E:$Z,MATCH($A28,SPPR!$A:$A,0),16),""),"")</f>
        <v/>
      </c>
      <c r="T28">
        <f>IFERROR(IF(ISNUMBER(INDEX(SPPR!$E:$Z,MATCH($A28,SPPR!$A:$A,0),17)),$C28*INDEX(SPPR!$E:$Z,MATCH($A28,SPPR!$A:$A,0),17),""),"")</f>
        <v/>
      </c>
      <c r="U28">
        <f>IFERROR(IF(ISNUMBER(INDEX(SPPR!$E:$Z,MATCH($A28,SPPR!$A:$A,0),18)),$C28*INDEX(SPPR!$E:$Z,MATCH($A28,SPPR!$A:$A,0),18),""),"")</f>
        <v/>
      </c>
      <c r="V28">
        <f>IFERROR(IF(ISNUMBER(INDEX(SPPR!$E:$Z,MATCH($A28,SPPR!$A:$A,0),19)),$C28*INDEX(SPPR!$E:$Z,MATCH($A28,SPPR!$A:$A,0),19),""),"")</f>
        <v/>
      </c>
      <c r="W28">
        <f>IFERROR(IF(ISNUMBER(INDEX(SPPR!$E:$Z,MATCH($A28,SPPR!$A:$A,0),20)),$C28*INDEX(SPPR!$E:$Z,MATCH($A28,SPPR!$A:$A,0),20),""),"")</f>
        <v/>
      </c>
      <c r="X28">
        <f>IFERROR(IF(ISNUMBER(INDEX(SPPR!$E:$Z,MATCH($A28,SPPR!$A:$A,0),21)),$C28*INDEX(SPPR!$E:$Z,MATCH($A28,SPPR!$A:$A,0),21),""),"")</f>
        <v/>
      </c>
      <c r="Y28">
        <f>IFERROR(IF(ISNUMBER(INDEX(SPPR!$E:$Z,MATCH($A28,SPPR!$A:$A,0),22)),$C28*INDEX(SPPR!$E:$Z,MATCH($A28,SPPR!$A:$A,0),22),""),"")</f>
        <v/>
      </c>
    </row>
    <row r="29">
      <c r="A29" t="inlineStr">
        <is>
          <t>Penaeidae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IFERROR(IF(ISNUMBER(INDEX(SPPR!$E:$Z,MATCH($A29,SPPR!$A:$A,0),1)),$C29*INDEX(SPPR!$E:$Z,MATCH($A29,SPPR!$A:$A,0),1),""),"")</f>
        <v/>
      </c>
      <c r="E29">
        <f>IFERROR(IF(ISNUMBER(INDEX(SPPR!$E:$Z,MATCH($A29,SPPR!$A:$A,0),2)),$C29*INDEX(SPPR!$E:$Z,MATCH($A29,SPPR!$A:$A,0),2),""),"")</f>
        <v/>
      </c>
      <c r="F29">
        <f>IFERROR(IF(ISNUMBER(INDEX(SPPR!$E:$Z,MATCH($A29,SPPR!$A:$A,0),3)),$C29*INDEX(SPPR!$E:$Z,MATCH($A29,SPPR!$A:$A,0),3),""),"")</f>
        <v/>
      </c>
      <c r="G29">
        <f>IFERROR(IF(ISNUMBER(INDEX(SPPR!$E:$Z,MATCH($A29,SPPR!$A:$A,0),4)),$C29*INDEX(SPPR!$E:$Z,MATCH($A29,SPPR!$A:$A,0),4),""),"")</f>
        <v/>
      </c>
      <c r="H29">
        <f>IFERROR(IF(ISNUMBER(INDEX(SPPR!$E:$Z,MATCH($A29,SPPR!$A:$A,0),5)),$C29*INDEX(SPPR!$E:$Z,MATCH($A29,SPPR!$A:$A,0),5),""),"")</f>
        <v/>
      </c>
      <c r="I29">
        <f>IFERROR(IF(ISNUMBER(INDEX(SPPR!$E:$Z,MATCH($A29,SPPR!$A:$A,0),6)),$C29*INDEX(SPPR!$E:$Z,MATCH($A29,SPPR!$A:$A,0),6),""),"")</f>
        <v/>
      </c>
      <c r="J29">
        <f>IFERROR(IF(ISNUMBER(INDEX(SPPR!$E:$Z,MATCH($A29,SPPR!$A:$A,0),7)),$C29*INDEX(SPPR!$E:$Z,MATCH($A29,SPPR!$A:$A,0),7),""),"")</f>
        <v/>
      </c>
      <c r="K29">
        <f>IFERROR(IF(ISNUMBER(INDEX(SPPR!$E:$Z,MATCH($A29,SPPR!$A:$A,0),8)),$C29*INDEX(SPPR!$E:$Z,MATCH($A29,SPPR!$A:$A,0),8),""),"")</f>
        <v/>
      </c>
      <c r="L29">
        <f>IFERROR(IF(ISNUMBER(INDEX(SPPR!$E:$Z,MATCH($A29,SPPR!$A:$A,0),9)),$C29*INDEX(SPPR!$E:$Z,MATCH($A29,SPPR!$A:$A,0),9),""),"")</f>
        <v/>
      </c>
      <c r="M29">
        <f>IFERROR(IF(ISNUMBER(INDEX(SPPR!$E:$Z,MATCH($A29,SPPR!$A:$A,0),10)),$C29*INDEX(SPPR!$E:$Z,MATCH($A29,SPPR!$A:$A,0),10),""),"")</f>
        <v/>
      </c>
      <c r="N29">
        <f>IFERROR(IF(ISNUMBER(INDEX(SPPR!$E:$Z,MATCH($A29,SPPR!$A:$A,0),11)),$C29*INDEX(SPPR!$E:$Z,MATCH($A29,SPPR!$A:$A,0),11),""),"")</f>
        <v/>
      </c>
      <c r="O29">
        <f>IFERROR(IF(ISNUMBER(INDEX(SPPR!$E:$Z,MATCH($A29,SPPR!$A:$A,0),12)),$C29*INDEX(SPPR!$E:$Z,MATCH($A29,SPPR!$A:$A,0),12),""),"")</f>
        <v/>
      </c>
      <c r="P29">
        <f>IFERROR(IF(ISNUMBER(INDEX(SPPR!$E:$Z,MATCH($A29,SPPR!$A:$A,0),13)),$C29*INDEX(SPPR!$E:$Z,MATCH($A29,SPPR!$A:$A,0),13),""),"")</f>
        <v/>
      </c>
      <c r="Q29">
        <f>IFERROR(IF(ISNUMBER(INDEX(SPPR!$E:$Z,MATCH($A29,SPPR!$A:$A,0),14)),$C29*INDEX(SPPR!$E:$Z,MATCH($A29,SPPR!$A:$A,0),14),""),"")</f>
        <v/>
      </c>
      <c r="R29">
        <f>IFERROR(IF(ISNUMBER(INDEX(SPPR!$E:$Z,MATCH($A29,SPPR!$A:$A,0),15)),$C29*INDEX(SPPR!$E:$Z,MATCH($A29,SPPR!$A:$A,0),15),""),"")</f>
        <v/>
      </c>
      <c r="S29">
        <f>IFERROR(IF(ISNUMBER(INDEX(SPPR!$E:$Z,MATCH($A29,SPPR!$A:$A,0),16)),$C29*INDEX(SPPR!$E:$Z,MATCH($A29,SPPR!$A:$A,0),16),""),"")</f>
        <v/>
      </c>
      <c r="T29">
        <f>IFERROR(IF(ISNUMBER(INDEX(SPPR!$E:$Z,MATCH($A29,SPPR!$A:$A,0),17)),$C29*INDEX(SPPR!$E:$Z,MATCH($A29,SPPR!$A:$A,0),17),""),"")</f>
        <v/>
      </c>
      <c r="U29">
        <f>IFERROR(IF(ISNUMBER(INDEX(SPPR!$E:$Z,MATCH($A29,SPPR!$A:$A,0),18)),$C29*INDEX(SPPR!$E:$Z,MATCH($A29,SPPR!$A:$A,0),18),""),"")</f>
        <v/>
      </c>
      <c r="V29">
        <f>IFERROR(IF(ISNUMBER(INDEX(SPPR!$E:$Z,MATCH($A29,SPPR!$A:$A,0),19)),$C29*INDEX(SPPR!$E:$Z,MATCH($A29,SPPR!$A:$A,0),19),""),"")</f>
        <v/>
      </c>
      <c r="W29">
        <f>IFERROR(IF(ISNUMBER(INDEX(SPPR!$E:$Z,MATCH($A29,SPPR!$A:$A,0),20)),$C29*INDEX(SPPR!$E:$Z,MATCH($A29,SPPR!$A:$A,0),20),""),"")</f>
        <v/>
      </c>
      <c r="X29">
        <f>IFERROR(IF(ISNUMBER(INDEX(SPPR!$E:$Z,MATCH($A29,SPPR!$A:$A,0),21)),$C29*INDEX(SPPR!$E:$Z,MATCH($A29,SPPR!$A:$A,0),21),""),"")</f>
        <v/>
      </c>
      <c r="Y29">
        <f>IFERROR(IF(ISNUMBER(INDEX(SPPR!$E:$Z,MATCH($A29,SPPR!$A:$A,0),22)),$C29*INDEX(SPPR!$E:$Z,MATCH($A29,SPPR!$A:$A,0),22),""),"")</f>
        <v/>
      </c>
    </row>
    <row r="30">
      <c r="A30" t="inlineStr">
        <is>
          <t>Loliginidae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IFERROR(IF(ISNUMBER(INDEX(SPPR!$E:$Z,MATCH($A30,SPPR!$A:$A,0),1)),$C30*INDEX(SPPR!$E:$Z,MATCH($A30,SPPR!$A:$A,0),1),""),"")</f>
        <v/>
      </c>
      <c r="E30">
        <f>IFERROR(IF(ISNUMBER(INDEX(SPPR!$E:$Z,MATCH($A30,SPPR!$A:$A,0),2)),$C30*INDEX(SPPR!$E:$Z,MATCH($A30,SPPR!$A:$A,0),2),""),"")</f>
        <v/>
      </c>
      <c r="F30">
        <f>IFERROR(IF(ISNUMBER(INDEX(SPPR!$E:$Z,MATCH($A30,SPPR!$A:$A,0),3)),$C30*INDEX(SPPR!$E:$Z,MATCH($A30,SPPR!$A:$A,0),3),""),"")</f>
        <v/>
      </c>
      <c r="G30">
        <f>IFERROR(IF(ISNUMBER(INDEX(SPPR!$E:$Z,MATCH($A30,SPPR!$A:$A,0),4)),$C30*INDEX(SPPR!$E:$Z,MATCH($A30,SPPR!$A:$A,0),4),""),"")</f>
        <v/>
      </c>
      <c r="H30">
        <f>IFERROR(IF(ISNUMBER(INDEX(SPPR!$E:$Z,MATCH($A30,SPPR!$A:$A,0),5)),$C30*INDEX(SPPR!$E:$Z,MATCH($A30,SPPR!$A:$A,0),5),""),"")</f>
        <v/>
      </c>
      <c r="I30">
        <f>IFERROR(IF(ISNUMBER(INDEX(SPPR!$E:$Z,MATCH($A30,SPPR!$A:$A,0),6)),$C30*INDEX(SPPR!$E:$Z,MATCH($A30,SPPR!$A:$A,0),6),""),"")</f>
        <v/>
      </c>
      <c r="J30">
        <f>IFERROR(IF(ISNUMBER(INDEX(SPPR!$E:$Z,MATCH($A30,SPPR!$A:$A,0),7)),$C30*INDEX(SPPR!$E:$Z,MATCH($A30,SPPR!$A:$A,0),7),""),"")</f>
        <v/>
      </c>
      <c r="K30">
        <f>IFERROR(IF(ISNUMBER(INDEX(SPPR!$E:$Z,MATCH($A30,SPPR!$A:$A,0),8)),$C30*INDEX(SPPR!$E:$Z,MATCH($A30,SPPR!$A:$A,0),8),""),"")</f>
        <v/>
      </c>
      <c r="L30">
        <f>IFERROR(IF(ISNUMBER(INDEX(SPPR!$E:$Z,MATCH($A30,SPPR!$A:$A,0),9)),$C30*INDEX(SPPR!$E:$Z,MATCH($A30,SPPR!$A:$A,0),9),""),"")</f>
        <v/>
      </c>
      <c r="M30">
        <f>IFERROR(IF(ISNUMBER(INDEX(SPPR!$E:$Z,MATCH($A30,SPPR!$A:$A,0),10)),$C30*INDEX(SPPR!$E:$Z,MATCH($A30,SPPR!$A:$A,0),10),""),"")</f>
        <v/>
      </c>
      <c r="N30">
        <f>IFERROR(IF(ISNUMBER(INDEX(SPPR!$E:$Z,MATCH($A30,SPPR!$A:$A,0),11)),$C30*INDEX(SPPR!$E:$Z,MATCH($A30,SPPR!$A:$A,0),11),""),"")</f>
        <v/>
      </c>
      <c r="O30">
        <f>IFERROR(IF(ISNUMBER(INDEX(SPPR!$E:$Z,MATCH($A30,SPPR!$A:$A,0),12)),$C30*INDEX(SPPR!$E:$Z,MATCH($A30,SPPR!$A:$A,0),12),""),"")</f>
        <v/>
      </c>
      <c r="P30">
        <f>IFERROR(IF(ISNUMBER(INDEX(SPPR!$E:$Z,MATCH($A30,SPPR!$A:$A,0),13)),$C30*INDEX(SPPR!$E:$Z,MATCH($A30,SPPR!$A:$A,0),13),""),"")</f>
        <v/>
      </c>
      <c r="Q30">
        <f>IFERROR(IF(ISNUMBER(INDEX(SPPR!$E:$Z,MATCH($A30,SPPR!$A:$A,0),14)),$C30*INDEX(SPPR!$E:$Z,MATCH($A30,SPPR!$A:$A,0),14),""),"")</f>
        <v/>
      </c>
      <c r="R30">
        <f>IFERROR(IF(ISNUMBER(INDEX(SPPR!$E:$Z,MATCH($A30,SPPR!$A:$A,0),15)),$C30*INDEX(SPPR!$E:$Z,MATCH($A30,SPPR!$A:$A,0),15),""),"")</f>
        <v/>
      </c>
      <c r="S30">
        <f>IFERROR(IF(ISNUMBER(INDEX(SPPR!$E:$Z,MATCH($A30,SPPR!$A:$A,0),16)),$C30*INDEX(SPPR!$E:$Z,MATCH($A30,SPPR!$A:$A,0),16),""),"")</f>
        <v/>
      </c>
      <c r="T30">
        <f>IFERROR(IF(ISNUMBER(INDEX(SPPR!$E:$Z,MATCH($A30,SPPR!$A:$A,0),17)),$C30*INDEX(SPPR!$E:$Z,MATCH($A30,SPPR!$A:$A,0),17),""),"")</f>
        <v/>
      </c>
      <c r="U30">
        <f>IFERROR(IF(ISNUMBER(INDEX(SPPR!$E:$Z,MATCH($A30,SPPR!$A:$A,0),18)),$C30*INDEX(SPPR!$E:$Z,MATCH($A30,SPPR!$A:$A,0),18),""),"")</f>
        <v/>
      </c>
      <c r="V30">
        <f>IFERROR(IF(ISNUMBER(INDEX(SPPR!$E:$Z,MATCH($A30,SPPR!$A:$A,0),19)),$C30*INDEX(SPPR!$E:$Z,MATCH($A30,SPPR!$A:$A,0),19),""),"")</f>
        <v/>
      </c>
      <c r="W30">
        <f>IFERROR(IF(ISNUMBER(INDEX(SPPR!$E:$Z,MATCH($A30,SPPR!$A:$A,0),20)),$C30*INDEX(SPPR!$E:$Z,MATCH($A30,SPPR!$A:$A,0),20),""),"")</f>
        <v/>
      </c>
      <c r="X30">
        <f>IFERROR(IF(ISNUMBER(INDEX(SPPR!$E:$Z,MATCH($A30,SPPR!$A:$A,0),21)),$C30*INDEX(SPPR!$E:$Z,MATCH($A30,SPPR!$A:$A,0),21),""),"")</f>
        <v/>
      </c>
      <c r="Y30">
        <f>IFERROR(IF(ISNUMBER(INDEX(SPPR!$E:$Z,MATCH($A30,SPPR!$A:$A,0),22)),$C30*INDEX(SPPR!$E:$Z,MATCH($A30,SPPR!$A:$A,0),22),""),"")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IFERROR(IF(ISNUMBER(INDEX(SPPR!$E:$Z,MATCH($A31,SPPR!$A:$A,0),1)),$C31*INDEX(SPPR!$E:$Z,MATCH($A31,SPPR!$A:$A,0),1),""),"")</f>
        <v/>
      </c>
      <c r="E31">
        <f>IFERROR(IF(ISNUMBER(INDEX(SPPR!$E:$Z,MATCH($A31,SPPR!$A:$A,0),2)),$C31*INDEX(SPPR!$E:$Z,MATCH($A31,SPPR!$A:$A,0),2),""),"")</f>
        <v/>
      </c>
      <c r="F31">
        <f>IFERROR(IF(ISNUMBER(INDEX(SPPR!$E:$Z,MATCH($A31,SPPR!$A:$A,0),3)),$C31*INDEX(SPPR!$E:$Z,MATCH($A31,SPPR!$A:$A,0),3),""),"")</f>
        <v/>
      </c>
      <c r="G31">
        <f>IFERROR(IF(ISNUMBER(INDEX(SPPR!$E:$Z,MATCH($A31,SPPR!$A:$A,0),4)),$C31*INDEX(SPPR!$E:$Z,MATCH($A31,SPPR!$A:$A,0),4),""),"")</f>
        <v/>
      </c>
      <c r="H31">
        <f>IFERROR(IF(ISNUMBER(INDEX(SPPR!$E:$Z,MATCH($A31,SPPR!$A:$A,0),5)),$C31*INDEX(SPPR!$E:$Z,MATCH($A31,SPPR!$A:$A,0),5),""),"")</f>
        <v/>
      </c>
      <c r="I31">
        <f>IFERROR(IF(ISNUMBER(INDEX(SPPR!$E:$Z,MATCH($A31,SPPR!$A:$A,0),6)),$C31*INDEX(SPPR!$E:$Z,MATCH($A31,SPPR!$A:$A,0),6),""),"")</f>
        <v/>
      </c>
      <c r="J31">
        <f>IFERROR(IF(ISNUMBER(INDEX(SPPR!$E:$Z,MATCH($A31,SPPR!$A:$A,0),7)),$C31*INDEX(SPPR!$E:$Z,MATCH($A31,SPPR!$A:$A,0),7),""),"")</f>
        <v/>
      </c>
      <c r="K31">
        <f>IFERROR(IF(ISNUMBER(INDEX(SPPR!$E:$Z,MATCH($A31,SPPR!$A:$A,0),8)),$C31*INDEX(SPPR!$E:$Z,MATCH($A31,SPPR!$A:$A,0),8),""),"")</f>
        <v/>
      </c>
      <c r="L31">
        <f>IFERROR(IF(ISNUMBER(INDEX(SPPR!$E:$Z,MATCH($A31,SPPR!$A:$A,0),9)),$C31*INDEX(SPPR!$E:$Z,MATCH($A31,SPPR!$A:$A,0),9),""),"")</f>
        <v/>
      </c>
      <c r="M31">
        <f>IFERROR(IF(ISNUMBER(INDEX(SPPR!$E:$Z,MATCH($A31,SPPR!$A:$A,0),10)),$C31*INDEX(SPPR!$E:$Z,MATCH($A31,SPPR!$A:$A,0),10),""),"")</f>
        <v/>
      </c>
      <c r="N31">
        <f>IFERROR(IF(ISNUMBER(INDEX(SPPR!$E:$Z,MATCH($A31,SPPR!$A:$A,0),11)),$C31*INDEX(SPPR!$E:$Z,MATCH($A31,SPPR!$A:$A,0),11),""),"")</f>
        <v/>
      </c>
      <c r="O31">
        <f>IFERROR(IF(ISNUMBER(INDEX(SPPR!$E:$Z,MATCH($A31,SPPR!$A:$A,0),12)),$C31*INDEX(SPPR!$E:$Z,MATCH($A31,SPPR!$A:$A,0),12),""),"")</f>
        <v/>
      </c>
      <c r="P31">
        <f>IFERROR(IF(ISNUMBER(INDEX(SPPR!$E:$Z,MATCH($A31,SPPR!$A:$A,0),13)),$C31*INDEX(SPPR!$E:$Z,MATCH($A31,SPPR!$A:$A,0),13),""),"")</f>
        <v/>
      </c>
      <c r="Q31">
        <f>IFERROR(IF(ISNUMBER(INDEX(SPPR!$E:$Z,MATCH($A31,SPPR!$A:$A,0),14)),$C31*INDEX(SPPR!$E:$Z,MATCH($A31,SPPR!$A:$A,0),14),""),"")</f>
        <v/>
      </c>
      <c r="R31">
        <f>IFERROR(IF(ISNUMBER(INDEX(SPPR!$E:$Z,MATCH($A31,SPPR!$A:$A,0),15)),$C31*INDEX(SPPR!$E:$Z,MATCH($A31,SPPR!$A:$A,0),15),""),"")</f>
        <v/>
      </c>
      <c r="S31">
        <f>IFERROR(IF(ISNUMBER(INDEX(SPPR!$E:$Z,MATCH($A31,SPPR!$A:$A,0),16)),$C31*INDEX(SPPR!$E:$Z,MATCH($A31,SPPR!$A:$A,0),16),""),"")</f>
        <v/>
      </c>
      <c r="T31">
        <f>IFERROR(IF(ISNUMBER(INDEX(SPPR!$E:$Z,MATCH($A31,SPPR!$A:$A,0),17)),$C31*INDEX(SPPR!$E:$Z,MATCH($A31,SPPR!$A:$A,0),17),""),"")</f>
        <v/>
      </c>
      <c r="U31">
        <f>IFERROR(IF(ISNUMBER(INDEX(SPPR!$E:$Z,MATCH($A31,SPPR!$A:$A,0),18)),$C31*INDEX(SPPR!$E:$Z,MATCH($A31,SPPR!$A:$A,0),18),""),"")</f>
        <v/>
      </c>
      <c r="V31">
        <f>IFERROR(IF(ISNUMBER(INDEX(SPPR!$E:$Z,MATCH($A31,SPPR!$A:$A,0),19)),$C31*INDEX(SPPR!$E:$Z,MATCH($A31,SPPR!$A:$A,0),19),""),"")</f>
        <v/>
      </c>
      <c r="W31">
        <f>IFERROR(IF(ISNUMBER(INDEX(SPPR!$E:$Z,MATCH($A31,SPPR!$A:$A,0),20)),$C31*INDEX(SPPR!$E:$Z,MATCH($A31,SPPR!$A:$A,0),20),""),"")</f>
        <v/>
      </c>
      <c r="X31">
        <f>IFERROR(IF(ISNUMBER(INDEX(SPPR!$E:$Z,MATCH($A31,SPPR!$A:$A,0),21)),$C31*INDEX(SPPR!$E:$Z,MATCH($A31,SPPR!$A:$A,0),21),""),"")</f>
        <v/>
      </c>
      <c r="Y31">
        <f>IFERROR(IF(ISNUMBER(INDEX(SPPR!$E:$Z,MATCH($A31,SPPR!$A:$A,0),22)),$C31*INDEX(SPPR!$E:$Z,MATCH($A31,SPPR!$A:$A,0),22),""),"")</f>
        <v/>
      </c>
    </row>
    <row r="32">
      <c r="A32" t="inlineStr">
        <is>
          <t>Portunus trituberculatus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IFERROR(IF(ISNUMBER(INDEX(SPPR!$E:$Z,MATCH($A32,SPPR!$A:$A,0),1)),$C32*INDEX(SPPR!$E:$Z,MATCH($A32,SPPR!$A:$A,0),1),""),"")</f>
        <v/>
      </c>
      <c r="E32">
        <f>IFERROR(IF(ISNUMBER(INDEX(SPPR!$E:$Z,MATCH($A32,SPPR!$A:$A,0),2)),$C32*INDEX(SPPR!$E:$Z,MATCH($A32,SPPR!$A:$A,0),2),""),"")</f>
        <v/>
      </c>
      <c r="F32">
        <f>IFERROR(IF(ISNUMBER(INDEX(SPPR!$E:$Z,MATCH($A32,SPPR!$A:$A,0),3)),$C32*INDEX(SPPR!$E:$Z,MATCH($A32,SPPR!$A:$A,0),3),""),"")</f>
        <v/>
      </c>
      <c r="G32">
        <f>IFERROR(IF(ISNUMBER(INDEX(SPPR!$E:$Z,MATCH($A32,SPPR!$A:$A,0),4)),$C32*INDEX(SPPR!$E:$Z,MATCH($A32,SPPR!$A:$A,0),4),""),"")</f>
        <v/>
      </c>
      <c r="H32">
        <f>IFERROR(IF(ISNUMBER(INDEX(SPPR!$E:$Z,MATCH($A32,SPPR!$A:$A,0),5)),$C32*INDEX(SPPR!$E:$Z,MATCH($A32,SPPR!$A:$A,0),5),""),"")</f>
        <v/>
      </c>
      <c r="I32">
        <f>IFERROR(IF(ISNUMBER(INDEX(SPPR!$E:$Z,MATCH($A32,SPPR!$A:$A,0),6)),$C32*INDEX(SPPR!$E:$Z,MATCH($A32,SPPR!$A:$A,0),6),""),"")</f>
        <v/>
      </c>
      <c r="J32">
        <f>IFERROR(IF(ISNUMBER(INDEX(SPPR!$E:$Z,MATCH($A32,SPPR!$A:$A,0),7)),$C32*INDEX(SPPR!$E:$Z,MATCH($A32,SPPR!$A:$A,0),7),""),"")</f>
        <v/>
      </c>
      <c r="K32">
        <f>IFERROR(IF(ISNUMBER(INDEX(SPPR!$E:$Z,MATCH($A32,SPPR!$A:$A,0),8)),$C32*INDEX(SPPR!$E:$Z,MATCH($A32,SPPR!$A:$A,0),8),""),"")</f>
        <v/>
      </c>
      <c r="L32">
        <f>IFERROR(IF(ISNUMBER(INDEX(SPPR!$E:$Z,MATCH($A32,SPPR!$A:$A,0),9)),$C32*INDEX(SPPR!$E:$Z,MATCH($A32,SPPR!$A:$A,0),9),""),"")</f>
        <v/>
      </c>
      <c r="M32">
        <f>IFERROR(IF(ISNUMBER(INDEX(SPPR!$E:$Z,MATCH($A32,SPPR!$A:$A,0),10)),$C32*INDEX(SPPR!$E:$Z,MATCH($A32,SPPR!$A:$A,0),10),""),"")</f>
        <v/>
      </c>
      <c r="N32">
        <f>IFERROR(IF(ISNUMBER(INDEX(SPPR!$E:$Z,MATCH($A32,SPPR!$A:$A,0),11)),$C32*INDEX(SPPR!$E:$Z,MATCH($A32,SPPR!$A:$A,0),11),""),"")</f>
        <v/>
      </c>
      <c r="O32">
        <f>IFERROR(IF(ISNUMBER(INDEX(SPPR!$E:$Z,MATCH($A32,SPPR!$A:$A,0),12)),$C32*INDEX(SPPR!$E:$Z,MATCH($A32,SPPR!$A:$A,0),12),""),"")</f>
        <v/>
      </c>
      <c r="P32">
        <f>IFERROR(IF(ISNUMBER(INDEX(SPPR!$E:$Z,MATCH($A32,SPPR!$A:$A,0),13)),$C32*INDEX(SPPR!$E:$Z,MATCH($A32,SPPR!$A:$A,0),13),""),"")</f>
        <v/>
      </c>
      <c r="Q32">
        <f>IFERROR(IF(ISNUMBER(INDEX(SPPR!$E:$Z,MATCH($A32,SPPR!$A:$A,0),14)),$C32*INDEX(SPPR!$E:$Z,MATCH($A32,SPPR!$A:$A,0),14),""),"")</f>
        <v/>
      </c>
      <c r="R32">
        <f>IFERROR(IF(ISNUMBER(INDEX(SPPR!$E:$Z,MATCH($A32,SPPR!$A:$A,0),15)),$C32*INDEX(SPPR!$E:$Z,MATCH($A32,SPPR!$A:$A,0),15),""),"")</f>
        <v/>
      </c>
      <c r="S32">
        <f>IFERROR(IF(ISNUMBER(INDEX(SPPR!$E:$Z,MATCH($A32,SPPR!$A:$A,0),16)),$C32*INDEX(SPPR!$E:$Z,MATCH($A32,SPPR!$A:$A,0),16),""),"")</f>
        <v/>
      </c>
      <c r="T32">
        <f>IFERROR(IF(ISNUMBER(INDEX(SPPR!$E:$Z,MATCH($A32,SPPR!$A:$A,0),17)),$C32*INDEX(SPPR!$E:$Z,MATCH($A32,SPPR!$A:$A,0),17),""),"")</f>
        <v/>
      </c>
      <c r="U32">
        <f>IFERROR(IF(ISNUMBER(INDEX(SPPR!$E:$Z,MATCH($A32,SPPR!$A:$A,0),18)),$C32*INDEX(SPPR!$E:$Z,MATCH($A32,SPPR!$A:$A,0),18),""),"")</f>
        <v/>
      </c>
      <c r="V32">
        <f>IFERROR(IF(ISNUMBER(INDEX(SPPR!$E:$Z,MATCH($A32,SPPR!$A:$A,0),19)),$C32*INDEX(SPPR!$E:$Z,MATCH($A32,SPPR!$A:$A,0),19),""),"")</f>
        <v/>
      </c>
      <c r="W32">
        <f>IFERROR(IF(ISNUMBER(INDEX(SPPR!$E:$Z,MATCH($A32,SPPR!$A:$A,0),20)),$C32*INDEX(SPPR!$E:$Z,MATCH($A32,SPPR!$A:$A,0),20),""),"")</f>
        <v/>
      </c>
      <c r="X32">
        <f>IFERROR(IF(ISNUMBER(INDEX(SPPR!$E:$Z,MATCH($A32,SPPR!$A:$A,0),21)),$C32*INDEX(SPPR!$E:$Z,MATCH($A32,SPPR!$A:$A,0),21),""),"")</f>
        <v/>
      </c>
      <c r="Y32">
        <f>IFERROR(IF(ISNUMBER(INDEX(SPPR!$E:$Z,MATCH($A32,SPPR!$A:$A,0),22)),$C32*INDEX(SPPR!$E:$Z,MATCH($A32,SPPR!$A:$A,0),22),""),"")</f>
        <v/>
      </c>
    </row>
    <row r="33">
      <c r="A33" t="inlineStr">
        <is>
          <t>Monacanthidae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IFERROR(IF(ISNUMBER(INDEX(SPPR!$E:$Z,MATCH($A33,SPPR!$A:$A,0),1)),$C33*INDEX(SPPR!$E:$Z,MATCH($A33,SPPR!$A:$A,0),1),""),"")</f>
        <v/>
      </c>
      <c r="E33">
        <f>IFERROR(IF(ISNUMBER(INDEX(SPPR!$E:$Z,MATCH($A33,SPPR!$A:$A,0),2)),$C33*INDEX(SPPR!$E:$Z,MATCH($A33,SPPR!$A:$A,0),2),""),"")</f>
        <v/>
      </c>
      <c r="F33">
        <f>IFERROR(IF(ISNUMBER(INDEX(SPPR!$E:$Z,MATCH($A33,SPPR!$A:$A,0),3)),$C33*INDEX(SPPR!$E:$Z,MATCH($A33,SPPR!$A:$A,0),3),""),"")</f>
        <v/>
      </c>
      <c r="G33">
        <f>IFERROR(IF(ISNUMBER(INDEX(SPPR!$E:$Z,MATCH($A33,SPPR!$A:$A,0),4)),$C33*INDEX(SPPR!$E:$Z,MATCH($A33,SPPR!$A:$A,0),4),""),"")</f>
        <v/>
      </c>
      <c r="H33">
        <f>IFERROR(IF(ISNUMBER(INDEX(SPPR!$E:$Z,MATCH($A33,SPPR!$A:$A,0),5)),$C33*INDEX(SPPR!$E:$Z,MATCH($A33,SPPR!$A:$A,0),5),""),"")</f>
        <v/>
      </c>
      <c r="I33">
        <f>IFERROR(IF(ISNUMBER(INDEX(SPPR!$E:$Z,MATCH($A33,SPPR!$A:$A,0),6)),$C33*INDEX(SPPR!$E:$Z,MATCH($A33,SPPR!$A:$A,0),6),""),"")</f>
        <v/>
      </c>
      <c r="J33">
        <f>IFERROR(IF(ISNUMBER(INDEX(SPPR!$E:$Z,MATCH($A33,SPPR!$A:$A,0),7)),$C33*INDEX(SPPR!$E:$Z,MATCH($A33,SPPR!$A:$A,0),7),""),"")</f>
        <v/>
      </c>
      <c r="K33">
        <f>IFERROR(IF(ISNUMBER(INDEX(SPPR!$E:$Z,MATCH($A33,SPPR!$A:$A,0),8)),$C33*INDEX(SPPR!$E:$Z,MATCH($A33,SPPR!$A:$A,0),8),""),"")</f>
        <v/>
      </c>
      <c r="L33">
        <f>IFERROR(IF(ISNUMBER(INDEX(SPPR!$E:$Z,MATCH($A33,SPPR!$A:$A,0),9)),$C33*INDEX(SPPR!$E:$Z,MATCH($A33,SPPR!$A:$A,0),9),""),"")</f>
        <v/>
      </c>
      <c r="M33">
        <f>IFERROR(IF(ISNUMBER(INDEX(SPPR!$E:$Z,MATCH($A33,SPPR!$A:$A,0),10)),$C33*INDEX(SPPR!$E:$Z,MATCH($A33,SPPR!$A:$A,0),10),""),"")</f>
        <v/>
      </c>
      <c r="N33">
        <f>IFERROR(IF(ISNUMBER(INDEX(SPPR!$E:$Z,MATCH($A33,SPPR!$A:$A,0),11)),$C33*INDEX(SPPR!$E:$Z,MATCH($A33,SPPR!$A:$A,0),11),""),"")</f>
        <v/>
      </c>
      <c r="O33">
        <f>IFERROR(IF(ISNUMBER(INDEX(SPPR!$E:$Z,MATCH($A33,SPPR!$A:$A,0),12)),$C33*INDEX(SPPR!$E:$Z,MATCH($A33,SPPR!$A:$A,0),12),""),"")</f>
        <v/>
      </c>
      <c r="P33">
        <f>IFERROR(IF(ISNUMBER(INDEX(SPPR!$E:$Z,MATCH($A33,SPPR!$A:$A,0),13)),$C33*INDEX(SPPR!$E:$Z,MATCH($A33,SPPR!$A:$A,0),13),""),"")</f>
        <v/>
      </c>
      <c r="Q33">
        <f>IFERROR(IF(ISNUMBER(INDEX(SPPR!$E:$Z,MATCH($A33,SPPR!$A:$A,0),14)),$C33*INDEX(SPPR!$E:$Z,MATCH($A33,SPPR!$A:$A,0),14),""),"")</f>
        <v/>
      </c>
      <c r="R33">
        <f>IFERROR(IF(ISNUMBER(INDEX(SPPR!$E:$Z,MATCH($A33,SPPR!$A:$A,0),15)),$C33*INDEX(SPPR!$E:$Z,MATCH($A33,SPPR!$A:$A,0),15),""),"")</f>
        <v/>
      </c>
      <c r="S33">
        <f>IFERROR(IF(ISNUMBER(INDEX(SPPR!$E:$Z,MATCH($A33,SPPR!$A:$A,0),16)),$C33*INDEX(SPPR!$E:$Z,MATCH($A33,SPPR!$A:$A,0),16),""),"")</f>
        <v/>
      </c>
      <c r="T33">
        <f>IFERROR(IF(ISNUMBER(INDEX(SPPR!$E:$Z,MATCH($A33,SPPR!$A:$A,0),17)),$C33*INDEX(SPPR!$E:$Z,MATCH($A33,SPPR!$A:$A,0),17),""),"")</f>
        <v/>
      </c>
      <c r="U33">
        <f>IFERROR(IF(ISNUMBER(INDEX(SPPR!$E:$Z,MATCH($A33,SPPR!$A:$A,0),18)),$C33*INDEX(SPPR!$E:$Z,MATCH($A33,SPPR!$A:$A,0),18),""),"")</f>
        <v/>
      </c>
      <c r="V33">
        <f>IFERROR(IF(ISNUMBER(INDEX(SPPR!$E:$Z,MATCH($A33,SPPR!$A:$A,0),19)),$C33*INDEX(SPPR!$E:$Z,MATCH($A33,SPPR!$A:$A,0),19),""),"")</f>
        <v/>
      </c>
      <c r="W33">
        <f>IFERROR(IF(ISNUMBER(INDEX(SPPR!$E:$Z,MATCH($A33,SPPR!$A:$A,0),20)),$C33*INDEX(SPPR!$E:$Z,MATCH($A33,SPPR!$A:$A,0),20),""),"")</f>
        <v/>
      </c>
      <c r="X33">
        <f>IFERROR(IF(ISNUMBER(INDEX(SPPR!$E:$Z,MATCH($A33,SPPR!$A:$A,0),21)),$C33*INDEX(SPPR!$E:$Z,MATCH($A33,SPPR!$A:$A,0),21),""),"")</f>
        <v/>
      </c>
      <c r="Y33">
        <f>IFERROR(IF(ISNUMBER(INDEX(SPPR!$E:$Z,MATCH($A33,SPPR!$A:$A,0),22)),$C33*INDEX(SPPR!$E:$Z,MATCH($A33,SPPR!$A:$A,0),22),""),"")</f>
        <v/>
      </c>
    </row>
    <row r="34">
      <c r="A34" t="inlineStr">
        <is>
          <t>Trachysalambria curvirostris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IFERROR(IF(ISNUMBER(INDEX(SPPR!$E:$Z,MATCH($A34,SPPR!$A:$A,0),1)),$C34*INDEX(SPPR!$E:$Z,MATCH($A34,SPPR!$A:$A,0),1),""),"")</f>
        <v/>
      </c>
      <c r="E34">
        <f>IFERROR(IF(ISNUMBER(INDEX(SPPR!$E:$Z,MATCH($A34,SPPR!$A:$A,0),2)),$C34*INDEX(SPPR!$E:$Z,MATCH($A34,SPPR!$A:$A,0),2),""),"")</f>
        <v/>
      </c>
      <c r="F34">
        <f>IFERROR(IF(ISNUMBER(INDEX(SPPR!$E:$Z,MATCH($A34,SPPR!$A:$A,0),3)),$C34*INDEX(SPPR!$E:$Z,MATCH($A34,SPPR!$A:$A,0),3),""),"")</f>
        <v/>
      </c>
      <c r="G34">
        <f>IFERROR(IF(ISNUMBER(INDEX(SPPR!$E:$Z,MATCH($A34,SPPR!$A:$A,0),4)),$C34*INDEX(SPPR!$E:$Z,MATCH($A34,SPPR!$A:$A,0),4),""),"")</f>
        <v/>
      </c>
      <c r="H34">
        <f>IFERROR(IF(ISNUMBER(INDEX(SPPR!$E:$Z,MATCH($A34,SPPR!$A:$A,0),5)),$C34*INDEX(SPPR!$E:$Z,MATCH($A34,SPPR!$A:$A,0),5),""),"")</f>
        <v/>
      </c>
      <c r="I34">
        <f>IFERROR(IF(ISNUMBER(INDEX(SPPR!$E:$Z,MATCH($A34,SPPR!$A:$A,0),6)),$C34*INDEX(SPPR!$E:$Z,MATCH($A34,SPPR!$A:$A,0),6),""),"")</f>
        <v/>
      </c>
      <c r="J34">
        <f>IFERROR(IF(ISNUMBER(INDEX(SPPR!$E:$Z,MATCH($A34,SPPR!$A:$A,0),7)),$C34*INDEX(SPPR!$E:$Z,MATCH($A34,SPPR!$A:$A,0),7),""),"")</f>
        <v/>
      </c>
      <c r="K34">
        <f>IFERROR(IF(ISNUMBER(INDEX(SPPR!$E:$Z,MATCH($A34,SPPR!$A:$A,0),8)),$C34*INDEX(SPPR!$E:$Z,MATCH($A34,SPPR!$A:$A,0),8),""),"")</f>
        <v/>
      </c>
      <c r="L34">
        <f>IFERROR(IF(ISNUMBER(INDEX(SPPR!$E:$Z,MATCH($A34,SPPR!$A:$A,0),9)),$C34*INDEX(SPPR!$E:$Z,MATCH($A34,SPPR!$A:$A,0),9),""),"")</f>
        <v/>
      </c>
      <c r="M34">
        <f>IFERROR(IF(ISNUMBER(INDEX(SPPR!$E:$Z,MATCH($A34,SPPR!$A:$A,0),10)),$C34*INDEX(SPPR!$E:$Z,MATCH($A34,SPPR!$A:$A,0),10),""),"")</f>
        <v/>
      </c>
      <c r="N34">
        <f>IFERROR(IF(ISNUMBER(INDEX(SPPR!$E:$Z,MATCH($A34,SPPR!$A:$A,0),11)),$C34*INDEX(SPPR!$E:$Z,MATCH($A34,SPPR!$A:$A,0),11),""),"")</f>
        <v/>
      </c>
      <c r="O34">
        <f>IFERROR(IF(ISNUMBER(INDEX(SPPR!$E:$Z,MATCH($A34,SPPR!$A:$A,0),12)),$C34*INDEX(SPPR!$E:$Z,MATCH($A34,SPPR!$A:$A,0),12),""),"")</f>
        <v/>
      </c>
      <c r="P34">
        <f>IFERROR(IF(ISNUMBER(INDEX(SPPR!$E:$Z,MATCH($A34,SPPR!$A:$A,0),13)),$C34*INDEX(SPPR!$E:$Z,MATCH($A34,SPPR!$A:$A,0),13),""),"")</f>
        <v/>
      </c>
      <c r="Q34">
        <f>IFERROR(IF(ISNUMBER(INDEX(SPPR!$E:$Z,MATCH($A34,SPPR!$A:$A,0),14)),$C34*INDEX(SPPR!$E:$Z,MATCH($A34,SPPR!$A:$A,0),14),""),"")</f>
        <v/>
      </c>
      <c r="R34">
        <f>IFERROR(IF(ISNUMBER(INDEX(SPPR!$E:$Z,MATCH($A34,SPPR!$A:$A,0),15)),$C34*INDEX(SPPR!$E:$Z,MATCH($A34,SPPR!$A:$A,0),15),""),"")</f>
        <v/>
      </c>
      <c r="S34">
        <f>IFERROR(IF(ISNUMBER(INDEX(SPPR!$E:$Z,MATCH($A34,SPPR!$A:$A,0),16)),$C34*INDEX(SPPR!$E:$Z,MATCH($A34,SPPR!$A:$A,0),16),""),"")</f>
        <v/>
      </c>
      <c r="T34">
        <f>IFERROR(IF(ISNUMBER(INDEX(SPPR!$E:$Z,MATCH($A34,SPPR!$A:$A,0),17)),$C34*INDEX(SPPR!$E:$Z,MATCH($A34,SPPR!$A:$A,0),17),""),"")</f>
        <v/>
      </c>
      <c r="U34">
        <f>IFERROR(IF(ISNUMBER(INDEX(SPPR!$E:$Z,MATCH($A34,SPPR!$A:$A,0),18)),$C34*INDEX(SPPR!$E:$Z,MATCH($A34,SPPR!$A:$A,0),18),""),"")</f>
        <v/>
      </c>
      <c r="V34">
        <f>IFERROR(IF(ISNUMBER(INDEX(SPPR!$E:$Z,MATCH($A34,SPPR!$A:$A,0),19)),$C34*INDEX(SPPR!$E:$Z,MATCH($A34,SPPR!$A:$A,0),19),""),"")</f>
        <v/>
      </c>
      <c r="W34">
        <f>IFERROR(IF(ISNUMBER(INDEX(SPPR!$E:$Z,MATCH($A34,SPPR!$A:$A,0),20)),$C34*INDEX(SPPR!$E:$Z,MATCH($A34,SPPR!$A:$A,0),20),""),"")</f>
        <v/>
      </c>
      <c r="X34">
        <f>IFERROR(IF(ISNUMBER(INDEX(SPPR!$E:$Z,MATCH($A34,SPPR!$A:$A,0),21)),$C34*INDEX(SPPR!$E:$Z,MATCH($A34,SPPR!$A:$A,0),21),""),"")</f>
        <v/>
      </c>
      <c r="Y34">
        <f>IFERROR(IF(ISNUMBER(INDEX(SPPR!$E:$Z,MATCH($A34,SPPR!$A:$A,0),22)),$C34*INDEX(SPPR!$E:$Z,MATCH($A34,SPPR!$A:$A,0),22),""),"")</f>
        <v/>
      </c>
    </row>
    <row r="35">
      <c r="A35" t="inlineStr">
        <is>
          <t>Larimichthys crocea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IFERROR(IF(ISNUMBER(INDEX(SPPR!$E:$Z,MATCH($A35,SPPR!$A:$A,0),1)),$C35*INDEX(SPPR!$E:$Z,MATCH($A35,SPPR!$A:$A,0),1),""),"")</f>
        <v/>
      </c>
      <c r="E35">
        <f>IFERROR(IF(ISNUMBER(INDEX(SPPR!$E:$Z,MATCH($A35,SPPR!$A:$A,0),2)),$C35*INDEX(SPPR!$E:$Z,MATCH($A35,SPPR!$A:$A,0),2),""),"")</f>
        <v/>
      </c>
      <c r="F35">
        <f>IFERROR(IF(ISNUMBER(INDEX(SPPR!$E:$Z,MATCH($A35,SPPR!$A:$A,0),3)),$C35*INDEX(SPPR!$E:$Z,MATCH($A35,SPPR!$A:$A,0),3),""),"")</f>
        <v/>
      </c>
      <c r="G35">
        <f>IFERROR(IF(ISNUMBER(INDEX(SPPR!$E:$Z,MATCH($A35,SPPR!$A:$A,0),4)),$C35*INDEX(SPPR!$E:$Z,MATCH($A35,SPPR!$A:$A,0),4),""),"")</f>
        <v/>
      </c>
      <c r="H35">
        <f>IFERROR(IF(ISNUMBER(INDEX(SPPR!$E:$Z,MATCH($A35,SPPR!$A:$A,0),5)),$C35*INDEX(SPPR!$E:$Z,MATCH($A35,SPPR!$A:$A,0),5),""),"")</f>
        <v/>
      </c>
      <c r="I35">
        <f>IFERROR(IF(ISNUMBER(INDEX(SPPR!$E:$Z,MATCH($A35,SPPR!$A:$A,0),6)),$C35*INDEX(SPPR!$E:$Z,MATCH($A35,SPPR!$A:$A,0),6),""),"")</f>
        <v/>
      </c>
      <c r="J35">
        <f>IFERROR(IF(ISNUMBER(INDEX(SPPR!$E:$Z,MATCH($A35,SPPR!$A:$A,0),7)),$C35*INDEX(SPPR!$E:$Z,MATCH($A35,SPPR!$A:$A,0),7),""),"")</f>
        <v/>
      </c>
      <c r="K35">
        <f>IFERROR(IF(ISNUMBER(INDEX(SPPR!$E:$Z,MATCH($A35,SPPR!$A:$A,0),8)),$C35*INDEX(SPPR!$E:$Z,MATCH($A35,SPPR!$A:$A,0),8),""),"")</f>
        <v/>
      </c>
      <c r="L35">
        <f>IFERROR(IF(ISNUMBER(INDEX(SPPR!$E:$Z,MATCH($A35,SPPR!$A:$A,0),9)),$C35*INDEX(SPPR!$E:$Z,MATCH($A35,SPPR!$A:$A,0),9),""),"")</f>
        <v/>
      </c>
      <c r="M35">
        <f>IFERROR(IF(ISNUMBER(INDEX(SPPR!$E:$Z,MATCH($A35,SPPR!$A:$A,0),10)),$C35*INDEX(SPPR!$E:$Z,MATCH($A35,SPPR!$A:$A,0),10),""),"")</f>
        <v/>
      </c>
      <c r="N35">
        <f>IFERROR(IF(ISNUMBER(INDEX(SPPR!$E:$Z,MATCH($A35,SPPR!$A:$A,0),11)),$C35*INDEX(SPPR!$E:$Z,MATCH($A35,SPPR!$A:$A,0),11),""),"")</f>
        <v/>
      </c>
      <c r="O35">
        <f>IFERROR(IF(ISNUMBER(INDEX(SPPR!$E:$Z,MATCH($A35,SPPR!$A:$A,0),12)),$C35*INDEX(SPPR!$E:$Z,MATCH($A35,SPPR!$A:$A,0),12),""),"")</f>
        <v/>
      </c>
      <c r="P35">
        <f>IFERROR(IF(ISNUMBER(INDEX(SPPR!$E:$Z,MATCH($A35,SPPR!$A:$A,0),13)),$C35*INDEX(SPPR!$E:$Z,MATCH($A35,SPPR!$A:$A,0),13),""),"")</f>
        <v/>
      </c>
      <c r="Q35">
        <f>IFERROR(IF(ISNUMBER(INDEX(SPPR!$E:$Z,MATCH($A35,SPPR!$A:$A,0),14)),$C35*INDEX(SPPR!$E:$Z,MATCH($A35,SPPR!$A:$A,0),14),""),"")</f>
        <v/>
      </c>
      <c r="R35">
        <f>IFERROR(IF(ISNUMBER(INDEX(SPPR!$E:$Z,MATCH($A35,SPPR!$A:$A,0),15)),$C35*INDEX(SPPR!$E:$Z,MATCH($A35,SPPR!$A:$A,0),15),""),"")</f>
        <v/>
      </c>
      <c r="S35">
        <f>IFERROR(IF(ISNUMBER(INDEX(SPPR!$E:$Z,MATCH($A35,SPPR!$A:$A,0),16)),$C35*INDEX(SPPR!$E:$Z,MATCH($A35,SPPR!$A:$A,0),16),""),"")</f>
        <v/>
      </c>
      <c r="T35">
        <f>IFERROR(IF(ISNUMBER(INDEX(SPPR!$E:$Z,MATCH($A35,SPPR!$A:$A,0),17)),$C35*INDEX(SPPR!$E:$Z,MATCH($A35,SPPR!$A:$A,0),17),""),"")</f>
        <v/>
      </c>
      <c r="U35">
        <f>IFERROR(IF(ISNUMBER(INDEX(SPPR!$E:$Z,MATCH($A35,SPPR!$A:$A,0),18)),$C35*INDEX(SPPR!$E:$Z,MATCH($A35,SPPR!$A:$A,0),18),""),"")</f>
        <v/>
      </c>
      <c r="V35">
        <f>IFERROR(IF(ISNUMBER(INDEX(SPPR!$E:$Z,MATCH($A35,SPPR!$A:$A,0),19)),$C35*INDEX(SPPR!$E:$Z,MATCH($A35,SPPR!$A:$A,0),19),""),"")</f>
        <v/>
      </c>
      <c r="W35">
        <f>IFERROR(IF(ISNUMBER(INDEX(SPPR!$E:$Z,MATCH($A35,SPPR!$A:$A,0),20)),$C35*INDEX(SPPR!$E:$Z,MATCH($A35,SPPR!$A:$A,0),20),""),"")</f>
        <v/>
      </c>
      <c r="X35">
        <f>IFERROR(IF(ISNUMBER(INDEX(SPPR!$E:$Z,MATCH($A35,SPPR!$A:$A,0),21)),$C35*INDEX(SPPR!$E:$Z,MATCH($A35,SPPR!$A:$A,0),21),""),"")</f>
        <v/>
      </c>
      <c r="Y35">
        <f>IFERROR(IF(ISNUMBER(INDEX(SPPR!$E:$Z,MATCH($A35,SPPR!$A:$A,0),22)),$C35*INDEX(SPPR!$E:$Z,MATCH($A35,SPPR!$A:$A,0),22),""),"")</f>
        <v/>
      </c>
    </row>
    <row r="36">
      <c r="A36" t="inlineStr">
        <is>
          <t>Clupeidae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IFERROR(IF(ISNUMBER(INDEX(SPPR!$E:$Z,MATCH($A36,SPPR!$A:$A,0),1)),$C36*INDEX(SPPR!$E:$Z,MATCH($A36,SPPR!$A:$A,0),1),""),"")</f>
        <v/>
      </c>
      <c r="E36">
        <f>IFERROR(IF(ISNUMBER(INDEX(SPPR!$E:$Z,MATCH($A36,SPPR!$A:$A,0),2)),$C36*INDEX(SPPR!$E:$Z,MATCH($A36,SPPR!$A:$A,0),2),""),"")</f>
        <v/>
      </c>
      <c r="F36">
        <f>IFERROR(IF(ISNUMBER(INDEX(SPPR!$E:$Z,MATCH($A36,SPPR!$A:$A,0),3)),$C36*INDEX(SPPR!$E:$Z,MATCH($A36,SPPR!$A:$A,0),3),""),"")</f>
        <v/>
      </c>
      <c r="G36">
        <f>IFERROR(IF(ISNUMBER(INDEX(SPPR!$E:$Z,MATCH($A36,SPPR!$A:$A,0),4)),$C36*INDEX(SPPR!$E:$Z,MATCH($A36,SPPR!$A:$A,0),4),""),"")</f>
        <v/>
      </c>
      <c r="H36">
        <f>IFERROR(IF(ISNUMBER(INDEX(SPPR!$E:$Z,MATCH($A36,SPPR!$A:$A,0),5)),$C36*INDEX(SPPR!$E:$Z,MATCH($A36,SPPR!$A:$A,0),5),""),"")</f>
        <v/>
      </c>
      <c r="I36">
        <f>IFERROR(IF(ISNUMBER(INDEX(SPPR!$E:$Z,MATCH($A36,SPPR!$A:$A,0),6)),$C36*INDEX(SPPR!$E:$Z,MATCH($A36,SPPR!$A:$A,0),6),""),"")</f>
        <v/>
      </c>
      <c r="J36">
        <f>IFERROR(IF(ISNUMBER(INDEX(SPPR!$E:$Z,MATCH($A36,SPPR!$A:$A,0),7)),$C36*INDEX(SPPR!$E:$Z,MATCH($A36,SPPR!$A:$A,0),7),""),"")</f>
        <v/>
      </c>
      <c r="K36">
        <f>IFERROR(IF(ISNUMBER(INDEX(SPPR!$E:$Z,MATCH($A36,SPPR!$A:$A,0),8)),$C36*INDEX(SPPR!$E:$Z,MATCH($A36,SPPR!$A:$A,0),8),""),"")</f>
        <v/>
      </c>
      <c r="L36">
        <f>IFERROR(IF(ISNUMBER(INDEX(SPPR!$E:$Z,MATCH($A36,SPPR!$A:$A,0),9)),$C36*INDEX(SPPR!$E:$Z,MATCH($A36,SPPR!$A:$A,0),9),""),"")</f>
        <v/>
      </c>
      <c r="M36">
        <f>IFERROR(IF(ISNUMBER(INDEX(SPPR!$E:$Z,MATCH($A36,SPPR!$A:$A,0),10)),$C36*INDEX(SPPR!$E:$Z,MATCH($A36,SPPR!$A:$A,0),10),""),"")</f>
        <v/>
      </c>
      <c r="N36">
        <f>IFERROR(IF(ISNUMBER(INDEX(SPPR!$E:$Z,MATCH($A36,SPPR!$A:$A,0),11)),$C36*INDEX(SPPR!$E:$Z,MATCH($A36,SPPR!$A:$A,0),11),""),"")</f>
        <v/>
      </c>
      <c r="O36">
        <f>IFERROR(IF(ISNUMBER(INDEX(SPPR!$E:$Z,MATCH($A36,SPPR!$A:$A,0),12)),$C36*INDEX(SPPR!$E:$Z,MATCH($A36,SPPR!$A:$A,0),12),""),"")</f>
        <v/>
      </c>
      <c r="P36">
        <f>IFERROR(IF(ISNUMBER(INDEX(SPPR!$E:$Z,MATCH($A36,SPPR!$A:$A,0),13)),$C36*INDEX(SPPR!$E:$Z,MATCH($A36,SPPR!$A:$A,0),13),""),"")</f>
        <v/>
      </c>
      <c r="Q36">
        <f>IFERROR(IF(ISNUMBER(INDEX(SPPR!$E:$Z,MATCH($A36,SPPR!$A:$A,0),14)),$C36*INDEX(SPPR!$E:$Z,MATCH($A36,SPPR!$A:$A,0),14),""),"")</f>
        <v/>
      </c>
      <c r="R36">
        <f>IFERROR(IF(ISNUMBER(INDEX(SPPR!$E:$Z,MATCH($A36,SPPR!$A:$A,0),15)),$C36*INDEX(SPPR!$E:$Z,MATCH($A36,SPPR!$A:$A,0),15),""),"")</f>
        <v/>
      </c>
      <c r="S36">
        <f>IFERROR(IF(ISNUMBER(INDEX(SPPR!$E:$Z,MATCH($A36,SPPR!$A:$A,0),16)),$C36*INDEX(SPPR!$E:$Z,MATCH($A36,SPPR!$A:$A,0),16),""),"")</f>
        <v/>
      </c>
      <c r="T36">
        <f>IFERROR(IF(ISNUMBER(INDEX(SPPR!$E:$Z,MATCH($A36,SPPR!$A:$A,0),17)),$C36*INDEX(SPPR!$E:$Z,MATCH($A36,SPPR!$A:$A,0),17),""),"")</f>
        <v/>
      </c>
      <c r="U36">
        <f>IFERROR(IF(ISNUMBER(INDEX(SPPR!$E:$Z,MATCH($A36,SPPR!$A:$A,0),18)),$C36*INDEX(SPPR!$E:$Z,MATCH($A36,SPPR!$A:$A,0),18),""),"")</f>
        <v/>
      </c>
      <c r="V36">
        <f>IFERROR(IF(ISNUMBER(INDEX(SPPR!$E:$Z,MATCH($A36,SPPR!$A:$A,0),19)),$C36*INDEX(SPPR!$E:$Z,MATCH($A36,SPPR!$A:$A,0),19),""),"")</f>
        <v/>
      </c>
      <c r="W36">
        <f>IFERROR(IF(ISNUMBER(INDEX(SPPR!$E:$Z,MATCH($A36,SPPR!$A:$A,0),20)),$C36*INDEX(SPPR!$E:$Z,MATCH($A36,SPPR!$A:$A,0),20),""),"")</f>
        <v/>
      </c>
      <c r="X36">
        <f>IFERROR(IF(ISNUMBER(INDEX(SPPR!$E:$Z,MATCH($A36,SPPR!$A:$A,0),21)),$C36*INDEX(SPPR!$E:$Z,MATCH($A36,SPPR!$A:$A,0),21),""),"")</f>
        <v/>
      </c>
      <c r="Y36">
        <f>IFERROR(IF(ISNUMBER(INDEX(SPPR!$E:$Z,MATCH($A36,SPPR!$A:$A,0),22)),$C36*INDEX(SPPR!$E:$Z,MATCH($A36,SPPR!$A:$A,0),22),""),"")</f>
        <v/>
      </c>
    </row>
    <row r="37">
      <c r="A37" t="inlineStr">
        <is>
          <t>Muraenesox cinereus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IFERROR(IF(ISNUMBER(INDEX(SPPR!$E:$Z,MATCH($A37,SPPR!$A:$A,0),1)),$C37*INDEX(SPPR!$E:$Z,MATCH($A37,SPPR!$A:$A,0),1),""),"")</f>
        <v/>
      </c>
      <c r="E37">
        <f>IFERROR(IF(ISNUMBER(INDEX(SPPR!$E:$Z,MATCH($A37,SPPR!$A:$A,0),2)),$C37*INDEX(SPPR!$E:$Z,MATCH($A37,SPPR!$A:$A,0),2),""),"")</f>
        <v/>
      </c>
      <c r="F37">
        <f>IFERROR(IF(ISNUMBER(INDEX(SPPR!$E:$Z,MATCH($A37,SPPR!$A:$A,0),3)),$C37*INDEX(SPPR!$E:$Z,MATCH($A37,SPPR!$A:$A,0),3),""),"")</f>
        <v/>
      </c>
      <c r="G37">
        <f>IFERROR(IF(ISNUMBER(INDEX(SPPR!$E:$Z,MATCH($A37,SPPR!$A:$A,0),4)),$C37*INDEX(SPPR!$E:$Z,MATCH($A37,SPPR!$A:$A,0),4),""),"")</f>
        <v/>
      </c>
      <c r="H37">
        <f>IFERROR(IF(ISNUMBER(INDEX(SPPR!$E:$Z,MATCH($A37,SPPR!$A:$A,0),5)),$C37*INDEX(SPPR!$E:$Z,MATCH($A37,SPPR!$A:$A,0),5),""),"")</f>
        <v/>
      </c>
      <c r="I37">
        <f>IFERROR(IF(ISNUMBER(INDEX(SPPR!$E:$Z,MATCH($A37,SPPR!$A:$A,0),6)),$C37*INDEX(SPPR!$E:$Z,MATCH($A37,SPPR!$A:$A,0),6),""),"")</f>
        <v/>
      </c>
      <c r="J37">
        <f>IFERROR(IF(ISNUMBER(INDEX(SPPR!$E:$Z,MATCH($A37,SPPR!$A:$A,0),7)),$C37*INDEX(SPPR!$E:$Z,MATCH($A37,SPPR!$A:$A,0),7),""),"")</f>
        <v/>
      </c>
      <c r="K37">
        <f>IFERROR(IF(ISNUMBER(INDEX(SPPR!$E:$Z,MATCH($A37,SPPR!$A:$A,0),8)),$C37*INDEX(SPPR!$E:$Z,MATCH($A37,SPPR!$A:$A,0),8),""),"")</f>
        <v/>
      </c>
      <c r="L37">
        <f>IFERROR(IF(ISNUMBER(INDEX(SPPR!$E:$Z,MATCH($A37,SPPR!$A:$A,0),9)),$C37*INDEX(SPPR!$E:$Z,MATCH($A37,SPPR!$A:$A,0),9),""),"")</f>
        <v/>
      </c>
      <c r="M37">
        <f>IFERROR(IF(ISNUMBER(INDEX(SPPR!$E:$Z,MATCH($A37,SPPR!$A:$A,0),10)),$C37*INDEX(SPPR!$E:$Z,MATCH($A37,SPPR!$A:$A,0),10),""),"")</f>
        <v/>
      </c>
      <c r="N37">
        <f>IFERROR(IF(ISNUMBER(INDEX(SPPR!$E:$Z,MATCH($A37,SPPR!$A:$A,0),11)),$C37*INDEX(SPPR!$E:$Z,MATCH($A37,SPPR!$A:$A,0),11),""),"")</f>
        <v/>
      </c>
      <c r="O37">
        <f>IFERROR(IF(ISNUMBER(INDEX(SPPR!$E:$Z,MATCH($A37,SPPR!$A:$A,0),12)),$C37*INDEX(SPPR!$E:$Z,MATCH($A37,SPPR!$A:$A,0),12),""),"")</f>
        <v/>
      </c>
      <c r="P37">
        <f>IFERROR(IF(ISNUMBER(INDEX(SPPR!$E:$Z,MATCH($A37,SPPR!$A:$A,0),13)),$C37*INDEX(SPPR!$E:$Z,MATCH($A37,SPPR!$A:$A,0),13),""),"")</f>
        <v/>
      </c>
      <c r="Q37">
        <f>IFERROR(IF(ISNUMBER(INDEX(SPPR!$E:$Z,MATCH($A37,SPPR!$A:$A,0),14)),$C37*INDEX(SPPR!$E:$Z,MATCH($A37,SPPR!$A:$A,0),14),""),"")</f>
        <v/>
      </c>
      <c r="R37">
        <f>IFERROR(IF(ISNUMBER(INDEX(SPPR!$E:$Z,MATCH($A37,SPPR!$A:$A,0),15)),$C37*INDEX(SPPR!$E:$Z,MATCH($A37,SPPR!$A:$A,0),15),""),"")</f>
        <v/>
      </c>
      <c r="S37">
        <f>IFERROR(IF(ISNUMBER(INDEX(SPPR!$E:$Z,MATCH($A37,SPPR!$A:$A,0),16)),$C37*INDEX(SPPR!$E:$Z,MATCH($A37,SPPR!$A:$A,0),16),""),"")</f>
        <v/>
      </c>
      <c r="T37">
        <f>IFERROR(IF(ISNUMBER(INDEX(SPPR!$E:$Z,MATCH($A37,SPPR!$A:$A,0),17)),$C37*INDEX(SPPR!$E:$Z,MATCH($A37,SPPR!$A:$A,0),17),""),"")</f>
        <v/>
      </c>
      <c r="U37">
        <f>IFERROR(IF(ISNUMBER(INDEX(SPPR!$E:$Z,MATCH($A37,SPPR!$A:$A,0),18)),$C37*INDEX(SPPR!$E:$Z,MATCH($A37,SPPR!$A:$A,0),18),""),"")</f>
        <v/>
      </c>
      <c r="V37">
        <f>IFERROR(IF(ISNUMBER(INDEX(SPPR!$E:$Z,MATCH($A37,SPPR!$A:$A,0),19)),$C37*INDEX(SPPR!$E:$Z,MATCH($A37,SPPR!$A:$A,0),19),""),"")</f>
        <v/>
      </c>
      <c r="W37">
        <f>IFERROR(IF(ISNUMBER(INDEX(SPPR!$E:$Z,MATCH($A37,SPPR!$A:$A,0),20)),$C37*INDEX(SPPR!$E:$Z,MATCH($A37,SPPR!$A:$A,0),20),""),"")</f>
        <v/>
      </c>
      <c r="X37">
        <f>IFERROR(IF(ISNUMBER(INDEX(SPPR!$E:$Z,MATCH($A37,SPPR!$A:$A,0),21)),$C37*INDEX(SPPR!$E:$Z,MATCH($A37,SPPR!$A:$A,0),21),""),"")</f>
        <v/>
      </c>
      <c r="Y37">
        <f>IFERROR(IF(ISNUMBER(INDEX(SPPR!$E:$Z,MATCH($A37,SPPR!$A:$A,0),22)),$C37*INDEX(SPPR!$E:$Z,MATCH($A37,SPPR!$A:$A,0),22),""),"")</f>
        <v/>
      </c>
    </row>
    <row r="38">
      <c r="A38" t="inlineStr">
        <is>
          <t>Portunus pelagicus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IFERROR(IF(ISNUMBER(INDEX(SPPR!$E:$Z,MATCH($A38,SPPR!$A:$A,0),1)),$C38*INDEX(SPPR!$E:$Z,MATCH($A38,SPPR!$A:$A,0),1),""),"")</f>
        <v/>
      </c>
      <c r="E38">
        <f>IFERROR(IF(ISNUMBER(INDEX(SPPR!$E:$Z,MATCH($A38,SPPR!$A:$A,0),2)),$C38*INDEX(SPPR!$E:$Z,MATCH($A38,SPPR!$A:$A,0),2),""),"")</f>
        <v/>
      </c>
      <c r="F38">
        <f>IFERROR(IF(ISNUMBER(INDEX(SPPR!$E:$Z,MATCH($A38,SPPR!$A:$A,0),3)),$C38*INDEX(SPPR!$E:$Z,MATCH($A38,SPPR!$A:$A,0),3),""),"")</f>
        <v/>
      </c>
      <c r="G38">
        <f>IFERROR(IF(ISNUMBER(INDEX(SPPR!$E:$Z,MATCH($A38,SPPR!$A:$A,0),4)),$C38*INDEX(SPPR!$E:$Z,MATCH($A38,SPPR!$A:$A,0),4),""),"")</f>
        <v/>
      </c>
      <c r="H38">
        <f>IFERROR(IF(ISNUMBER(INDEX(SPPR!$E:$Z,MATCH($A38,SPPR!$A:$A,0),5)),$C38*INDEX(SPPR!$E:$Z,MATCH($A38,SPPR!$A:$A,0),5),""),"")</f>
        <v/>
      </c>
      <c r="I38">
        <f>IFERROR(IF(ISNUMBER(INDEX(SPPR!$E:$Z,MATCH($A38,SPPR!$A:$A,0),6)),$C38*INDEX(SPPR!$E:$Z,MATCH($A38,SPPR!$A:$A,0),6),""),"")</f>
        <v/>
      </c>
      <c r="J38">
        <f>IFERROR(IF(ISNUMBER(INDEX(SPPR!$E:$Z,MATCH($A38,SPPR!$A:$A,0),7)),$C38*INDEX(SPPR!$E:$Z,MATCH($A38,SPPR!$A:$A,0),7),""),"")</f>
        <v/>
      </c>
      <c r="K38">
        <f>IFERROR(IF(ISNUMBER(INDEX(SPPR!$E:$Z,MATCH($A38,SPPR!$A:$A,0),8)),$C38*INDEX(SPPR!$E:$Z,MATCH($A38,SPPR!$A:$A,0),8),""),"")</f>
        <v/>
      </c>
      <c r="L38">
        <f>IFERROR(IF(ISNUMBER(INDEX(SPPR!$E:$Z,MATCH($A38,SPPR!$A:$A,0),9)),$C38*INDEX(SPPR!$E:$Z,MATCH($A38,SPPR!$A:$A,0),9),""),"")</f>
        <v/>
      </c>
      <c r="M38">
        <f>IFERROR(IF(ISNUMBER(INDEX(SPPR!$E:$Z,MATCH($A38,SPPR!$A:$A,0),10)),$C38*INDEX(SPPR!$E:$Z,MATCH($A38,SPPR!$A:$A,0),10),""),"")</f>
        <v/>
      </c>
      <c r="N38">
        <f>IFERROR(IF(ISNUMBER(INDEX(SPPR!$E:$Z,MATCH($A38,SPPR!$A:$A,0),11)),$C38*INDEX(SPPR!$E:$Z,MATCH($A38,SPPR!$A:$A,0),11),""),"")</f>
        <v/>
      </c>
      <c r="O38">
        <f>IFERROR(IF(ISNUMBER(INDEX(SPPR!$E:$Z,MATCH($A38,SPPR!$A:$A,0),12)),$C38*INDEX(SPPR!$E:$Z,MATCH($A38,SPPR!$A:$A,0),12),""),"")</f>
        <v/>
      </c>
      <c r="P38">
        <f>IFERROR(IF(ISNUMBER(INDEX(SPPR!$E:$Z,MATCH($A38,SPPR!$A:$A,0),13)),$C38*INDEX(SPPR!$E:$Z,MATCH($A38,SPPR!$A:$A,0),13),""),"")</f>
        <v/>
      </c>
      <c r="Q38">
        <f>IFERROR(IF(ISNUMBER(INDEX(SPPR!$E:$Z,MATCH($A38,SPPR!$A:$A,0),14)),$C38*INDEX(SPPR!$E:$Z,MATCH($A38,SPPR!$A:$A,0),14),""),"")</f>
        <v/>
      </c>
      <c r="R38">
        <f>IFERROR(IF(ISNUMBER(INDEX(SPPR!$E:$Z,MATCH($A38,SPPR!$A:$A,0),15)),$C38*INDEX(SPPR!$E:$Z,MATCH($A38,SPPR!$A:$A,0),15),""),"")</f>
        <v/>
      </c>
      <c r="S38">
        <f>IFERROR(IF(ISNUMBER(INDEX(SPPR!$E:$Z,MATCH($A38,SPPR!$A:$A,0),16)),$C38*INDEX(SPPR!$E:$Z,MATCH($A38,SPPR!$A:$A,0),16),""),"")</f>
        <v/>
      </c>
      <c r="T38">
        <f>IFERROR(IF(ISNUMBER(INDEX(SPPR!$E:$Z,MATCH($A38,SPPR!$A:$A,0),17)),$C38*INDEX(SPPR!$E:$Z,MATCH($A38,SPPR!$A:$A,0),17),""),"")</f>
        <v/>
      </c>
      <c r="U38">
        <f>IFERROR(IF(ISNUMBER(INDEX(SPPR!$E:$Z,MATCH($A38,SPPR!$A:$A,0),18)),$C38*INDEX(SPPR!$E:$Z,MATCH($A38,SPPR!$A:$A,0),18),""),"")</f>
        <v/>
      </c>
      <c r="V38">
        <f>IFERROR(IF(ISNUMBER(INDEX(SPPR!$E:$Z,MATCH($A38,SPPR!$A:$A,0),19)),$C38*INDEX(SPPR!$E:$Z,MATCH($A38,SPPR!$A:$A,0),19),""),"")</f>
        <v/>
      </c>
      <c r="W38">
        <f>IFERROR(IF(ISNUMBER(INDEX(SPPR!$E:$Z,MATCH($A38,SPPR!$A:$A,0),20)),$C38*INDEX(SPPR!$E:$Z,MATCH($A38,SPPR!$A:$A,0),20),""),"")</f>
        <v/>
      </c>
      <c r="X38">
        <f>IFERROR(IF(ISNUMBER(INDEX(SPPR!$E:$Z,MATCH($A38,SPPR!$A:$A,0),21)),$C38*INDEX(SPPR!$E:$Z,MATCH($A38,SPPR!$A:$A,0),21),""),"")</f>
        <v/>
      </c>
      <c r="Y38">
        <f>IFERROR(IF(ISNUMBER(INDEX(SPPR!$E:$Z,MATCH($A38,SPPR!$A:$A,0),22)),$C38*INDEX(SPPR!$E:$Z,MATCH($A38,SPPR!$A:$A,0),22),""),"")</f>
        <v/>
      </c>
    </row>
    <row r="39">
      <c r="A39" t="inlineStr">
        <is>
          <t>Engraulidae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IFERROR(IF(ISNUMBER(INDEX(SPPR!$E:$Z,MATCH($A39,SPPR!$A:$A,0),1)),$C39*INDEX(SPPR!$E:$Z,MATCH($A39,SPPR!$A:$A,0),1),""),"")</f>
        <v/>
      </c>
      <c r="E39">
        <f>IFERROR(IF(ISNUMBER(INDEX(SPPR!$E:$Z,MATCH($A39,SPPR!$A:$A,0),2)),$C39*INDEX(SPPR!$E:$Z,MATCH($A39,SPPR!$A:$A,0),2),""),"")</f>
        <v/>
      </c>
      <c r="F39">
        <f>IFERROR(IF(ISNUMBER(INDEX(SPPR!$E:$Z,MATCH($A39,SPPR!$A:$A,0),3)),$C39*INDEX(SPPR!$E:$Z,MATCH($A39,SPPR!$A:$A,0),3),""),"")</f>
        <v/>
      </c>
      <c r="G39">
        <f>IFERROR(IF(ISNUMBER(INDEX(SPPR!$E:$Z,MATCH($A39,SPPR!$A:$A,0),4)),$C39*INDEX(SPPR!$E:$Z,MATCH($A39,SPPR!$A:$A,0),4),""),"")</f>
        <v/>
      </c>
      <c r="H39">
        <f>IFERROR(IF(ISNUMBER(INDEX(SPPR!$E:$Z,MATCH($A39,SPPR!$A:$A,0),5)),$C39*INDEX(SPPR!$E:$Z,MATCH($A39,SPPR!$A:$A,0),5),""),"")</f>
        <v/>
      </c>
      <c r="I39">
        <f>IFERROR(IF(ISNUMBER(INDEX(SPPR!$E:$Z,MATCH($A39,SPPR!$A:$A,0),6)),$C39*INDEX(SPPR!$E:$Z,MATCH($A39,SPPR!$A:$A,0),6),""),"")</f>
        <v/>
      </c>
      <c r="J39">
        <f>IFERROR(IF(ISNUMBER(INDEX(SPPR!$E:$Z,MATCH($A39,SPPR!$A:$A,0),7)),$C39*INDEX(SPPR!$E:$Z,MATCH($A39,SPPR!$A:$A,0),7),""),"")</f>
        <v/>
      </c>
      <c r="K39">
        <f>IFERROR(IF(ISNUMBER(INDEX(SPPR!$E:$Z,MATCH($A39,SPPR!$A:$A,0),8)),$C39*INDEX(SPPR!$E:$Z,MATCH($A39,SPPR!$A:$A,0),8),""),"")</f>
        <v/>
      </c>
      <c r="L39">
        <f>IFERROR(IF(ISNUMBER(INDEX(SPPR!$E:$Z,MATCH($A39,SPPR!$A:$A,0),9)),$C39*INDEX(SPPR!$E:$Z,MATCH($A39,SPPR!$A:$A,0),9),""),"")</f>
        <v/>
      </c>
      <c r="M39">
        <f>IFERROR(IF(ISNUMBER(INDEX(SPPR!$E:$Z,MATCH($A39,SPPR!$A:$A,0),10)),$C39*INDEX(SPPR!$E:$Z,MATCH($A39,SPPR!$A:$A,0),10),""),"")</f>
        <v/>
      </c>
      <c r="N39">
        <f>IFERROR(IF(ISNUMBER(INDEX(SPPR!$E:$Z,MATCH($A39,SPPR!$A:$A,0),11)),$C39*INDEX(SPPR!$E:$Z,MATCH($A39,SPPR!$A:$A,0),11),""),"")</f>
        <v/>
      </c>
      <c r="O39">
        <f>IFERROR(IF(ISNUMBER(INDEX(SPPR!$E:$Z,MATCH($A39,SPPR!$A:$A,0),12)),$C39*INDEX(SPPR!$E:$Z,MATCH($A39,SPPR!$A:$A,0),12),""),"")</f>
        <v/>
      </c>
      <c r="P39">
        <f>IFERROR(IF(ISNUMBER(INDEX(SPPR!$E:$Z,MATCH($A39,SPPR!$A:$A,0),13)),$C39*INDEX(SPPR!$E:$Z,MATCH($A39,SPPR!$A:$A,0),13),""),"")</f>
        <v/>
      </c>
      <c r="Q39">
        <f>IFERROR(IF(ISNUMBER(INDEX(SPPR!$E:$Z,MATCH($A39,SPPR!$A:$A,0),14)),$C39*INDEX(SPPR!$E:$Z,MATCH($A39,SPPR!$A:$A,0),14),""),"")</f>
        <v/>
      </c>
      <c r="R39">
        <f>IFERROR(IF(ISNUMBER(INDEX(SPPR!$E:$Z,MATCH($A39,SPPR!$A:$A,0),15)),$C39*INDEX(SPPR!$E:$Z,MATCH($A39,SPPR!$A:$A,0),15),""),"")</f>
        <v/>
      </c>
      <c r="S39">
        <f>IFERROR(IF(ISNUMBER(INDEX(SPPR!$E:$Z,MATCH($A39,SPPR!$A:$A,0),16)),$C39*INDEX(SPPR!$E:$Z,MATCH($A39,SPPR!$A:$A,0),16),""),"")</f>
        <v/>
      </c>
      <c r="T39">
        <f>IFERROR(IF(ISNUMBER(INDEX(SPPR!$E:$Z,MATCH($A39,SPPR!$A:$A,0),17)),$C39*INDEX(SPPR!$E:$Z,MATCH($A39,SPPR!$A:$A,0),17),""),"")</f>
        <v/>
      </c>
      <c r="U39">
        <f>IFERROR(IF(ISNUMBER(INDEX(SPPR!$E:$Z,MATCH($A39,SPPR!$A:$A,0),18)),$C39*INDEX(SPPR!$E:$Z,MATCH($A39,SPPR!$A:$A,0),18),""),"")</f>
        <v/>
      </c>
      <c r="V39">
        <f>IFERROR(IF(ISNUMBER(INDEX(SPPR!$E:$Z,MATCH($A39,SPPR!$A:$A,0),19)),$C39*INDEX(SPPR!$E:$Z,MATCH($A39,SPPR!$A:$A,0),19),""),"")</f>
        <v/>
      </c>
      <c r="W39">
        <f>IFERROR(IF(ISNUMBER(INDEX(SPPR!$E:$Z,MATCH($A39,SPPR!$A:$A,0),20)),$C39*INDEX(SPPR!$E:$Z,MATCH($A39,SPPR!$A:$A,0),20),""),"")</f>
        <v/>
      </c>
      <c r="X39">
        <f>IFERROR(IF(ISNUMBER(INDEX(SPPR!$E:$Z,MATCH($A39,SPPR!$A:$A,0),21)),$C39*INDEX(SPPR!$E:$Z,MATCH($A39,SPPR!$A:$A,0),21),""),"")</f>
        <v/>
      </c>
      <c r="Y39">
        <f>IFERROR(IF(ISNUMBER(INDEX(SPPR!$E:$Z,MATCH($A39,SPPR!$A:$A,0),22)),$C39*INDEX(SPPR!$E:$Z,MATCH($A39,SPPR!$A:$A,0),22),""),"")</f>
        <v/>
      </c>
    </row>
    <row r="40">
      <c r="A40" t="inlineStr">
        <is>
          <t>Pampus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IFERROR(IF(ISNUMBER(INDEX(SPPR!$E:$Z,MATCH($A40,SPPR!$A:$A,0),1)),$C40*INDEX(SPPR!$E:$Z,MATCH($A40,SPPR!$A:$A,0),1),""),"")</f>
        <v/>
      </c>
      <c r="E40">
        <f>IFERROR(IF(ISNUMBER(INDEX(SPPR!$E:$Z,MATCH($A40,SPPR!$A:$A,0),2)),$C40*INDEX(SPPR!$E:$Z,MATCH($A40,SPPR!$A:$A,0),2),""),"")</f>
        <v/>
      </c>
      <c r="F40">
        <f>IFERROR(IF(ISNUMBER(INDEX(SPPR!$E:$Z,MATCH($A40,SPPR!$A:$A,0),3)),$C40*INDEX(SPPR!$E:$Z,MATCH($A40,SPPR!$A:$A,0),3),""),"")</f>
        <v/>
      </c>
      <c r="G40">
        <f>IFERROR(IF(ISNUMBER(INDEX(SPPR!$E:$Z,MATCH($A40,SPPR!$A:$A,0),4)),$C40*INDEX(SPPR!$E:$Z,MATCH($A40,SPPR!$A:$A,0),4),""),"")</f>
        <v/>
      </c>
      <c r="H40">
        <f>IFERROR(IF(ISNUMBER(INDEX(SPPR!$E:$Z,MATCH($A40,SPPR!$A:$A,0),5)),$C40*INDEX(SPPR!$E:$Z,MATCH($A40,SPPR!$A:$A,0),5),""),"")</f>
        <v/>
      </c>
      <c r="I40">
        <f>IFERROR(IF(ISNUMBER(INDEX(SPPR!$E:$Z,MATCH($A40,SPPR!$A:$A,0),6)),$C40*INDEX(SPPR!$E:$Z,MATCH($A40,SPPR!$A:$A,0),6),""),"")</f>
        <v/>
      </c>
      <c r="J40">
        <f>IFERROR(IF(ISNUMBER(INDEX(SPPR!$E:$Z,MATCH($A40,SPPR!$A:$A,0),7)),$C40*INDEX(SPPR!$E:$Z,MATCH($A40,SPPR!$A:$A,0),7),""),"")</f>
        <v/>
      </c>
      <c r="K40">
        <f>IFERROR(IF(ISNUMBER(INDEX(SPPR!$E:$Z,MATCH($A40,SPPR!$A:$A,0),8)),$C40*INDEX(SPPR!$E:$Z,MATCH($A40,SPPR!$A:$A,0),8),""),"")</f>
        <v/>
      </c>
      <c r="L40">
        <f>IFERROR(IF(ISNUMBER(INDEX(SPPR!$E:$Z,MATCH($A40,SPPR!$A:$A,0),9)),$C40*INDEX(SPPR!$E:$Z,MATCH($A40,SPPR!$A:$A,0),9),""),"")</f>
        <v/>
      </c>
      <c r="M40">
        <f>IFERROR(IF(ISNUMBER(INDEX(SPPR!$E:$Z,MATCH($A40,SPPR!$A:$A,0),10)),$C40*INDEX(SPPR!$E:$Z,MATCH($A40,SPPR!$A:$A,0),10),""),"")</f>
        <v/>
      </c>
      <c r="N40">
        <f>IFERROR(IF(ISNUMBER(INDEX(SPPR!$E:$Z,MATCH($A40,SPPR!$A:$A,0),11)),$C40*INDEX(SPPR!$E:$Z,MATCH($A40,SPPR!$A:$A,0),11),""),"")</f>
        <v/>
      </c>
      <c r="O40">
        <f>IFERROR(IF(ISNUMBER(INDEX(SPPR!$E:$Z,MATCH($A40,SPPR!$A:$A,0),12)),$C40*INDEX(SPPR!$E:$Z,MATCH($A40,SPPR!$A:$A,0),12),""),"")</f>
        <v/>
      </c>
      <c r="P40">
        <f>IFERROR(IF(ISNUMBER(INDEX(SPPR!$E:$Z,MATCH($A40,SPPR!$A:$A,0),13)),$C40*INDEX(SPPR!$E:$Z,MATCH($A40,SPPR!$A:$A,0),13),""),"")</f>
        <v/>
      </c>
      <c r="Q40">
        <f>IFERROR(IF(ISNUMBER(INDEX(SPPR!$E:$Z,MATCH($A40,SPPR!$A:$A,0),14)),$C40*INDEX(SPPR!$E:$Z,MATCH($A40,SPPR!$A:$A,0),14),""),"")</f>
        <v/>
      </c>
      <c r="R40">
        <f>IFERROR(IF(ISNUMBER(INDEX(SPPR!$E:$Z,MATCH($A40,SPPR!$A:$A,0),15)),$C40*INDEX(SPPR!$E:$Z,MATCH($A40,SPPR!$A:$A,0),15),""),"")</f>
        <v/>
      </c>
      <c r="S40">
        <f>IFERROR(IF(ISNUMBER(INDEX(SPPR!$E:$Z,MATCH($A40,SPPR!$A:$A,0),16)),$C40*INDEX(SPPR!$E:$Z,MATCH($A40,SPPR!$A:$A,0),16),""),"")</f>
        <v/>
      </c>
      <c r="T40">
        <f>IFERROR(IF(ISNUMBER(INDEX(SPPR!$E:$Z,MATCH($A40,SPPR!$A:$A,0),17)),$C40*INDEX(SPPR!$E:$Z,MATCH($A40,SPPR!$A:$A,0),17),""),"")</f>
        <v/>
      </c>
      <c r="U40">
        <f>IFERROR(IF(ISNUMBER(INDEX(SPPR!$E:$Z,MATCH($A40,SPPR!$A:$A,0),18)),$C40*INDEX(SPPR!$E:$Z,MATCH($A40,SPPR!$A:$A,0),18),""),"")</f>
        <v/>
      </c>
      <c r="V40">
        <f>IFERROR(IF(ISNUMBER(INDEX(SPPR!$E:$Z,MATCH($A40,SPPR!$A:$A,0),19)),$C40*INDEX(SPPR!$E:$Z,MATCH($A40,SPPR!$A:$A,0),19),""),"")</f>
        <v/>
      </c>
      <c r="W40">
        <f>IFERROR(IF(ISNUMBER(INDEX(SPPR!$E:$Z,MATCH($A40,SPPR!$A:$A,0),20)),$C40*INDEX(SPPR!$E:$Z,MATCH($A40,SPPR!$A:$A,0),20),""),"")</f>
        <v/>
      </c>
      <c r="X40">
        <f>IFERROR(IF(ISNUMBER(INDEX(SPPR!$E:$Z,MATCH($A40,SPPR!$A:$A,0),21)),$C40*INDEX(SPPR!$E:$Z,MATCH($A40,SPPR!$A:$A,0),21),""),"")</f>
        <v/>
      </c>
      <c r="Y40">
        <f>IFERROR(IF(ISNUMBER(INDEX(SPPR!$E:$Z,MATCH($A40,SPPR!$A:$A,0),22)),$C40*INDEX(SPPR!$E:$Z,MATCH($A40,SPPR!$A:$A,0),22),""),"")</f>
        <v/>
      </c>
    </row>
    <row r="41">
      <c r="A41" t="inlineStr">
        <is>
          <t>Nemipteridae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IFERROR(IF(ISNUMBER(INDEX(SPPR!$E:$Z,MATCH($A41,SPPR!$A:$A,0),1)),$C41*INDEX(SPPR!$E:$Z,MATCH($A41,SPPR!$A:$A,0),1),""),"")</f>
        <v/>
      </c>
      <c r="E41">
        <f>IFERROR(IF(ISNUMBER(INDEX(SPPR!$E:$Z,MATCH($A41,SPPR!$A:$A,0),2)),$C41*INDEX(SPPR!$E:$Z,MATCH($A41,SPPR!$A:$A,0),2),""),"")</f>
        <v/>
      </c>
      <c r="F41">
        <f>IFERROR(IF(ISNUMBER(INDEX(SPPR!$E:$Z,MATCH($A41,SPPR!$A:$A,0),3)),$C41*INDEX(SPPR!$E:$Z,MATCH($A41,SPPR!$A:$A,0),3),""),"")</f>
        <v/>
      </c>
      <c r="G41">
        <f>IFERROR(IF(ISNUMBER(INDEX(SPPR!$E:$Z,MATCH($A41,SPPR!$A:$A,0),4)),$C41*INDEX(SPPR!$E:$Z,MATCH($A41,SPPR!$A:$A,0),4),""),"")</f>
        <v/>
      </c>
      <c r="H41">
        <f>IFERROR(IF(ISNUMBER(INDEX(SPPR!$E:$Z,MATCH($A41,SPPR!$A:$A,0),5)),$C41*INDEX(SPPR!$E:$Z,MATCH($A41,SPPR!$A:$A,0),5),""),"")</f>
        <v/>
      </c>
      <c r="I41">
        <f>IFERROR(IF(ISNUMBER(INDEX(SPPR!$E:$Z,MATCH($A41,SPPR!$A:$A,0),6)),$C41*INDEX(SPPR!$E:$Z,MATCH($A41,SPPR!$A:$A,0),6),""),"")</f>
        <v/>
      </c>
      <c r="J41">
        <f>IFERROR(IF(ISNUMBER(INDEX(SPPR!$E:$Z,MATCH($A41,SPPR!$A:$A,0),7)),$C41*INDEX(SPPR!$E:$Z,MATCH($A41,SPPR!$A:$A,0),7),""),"")</f>
        <v/>
      </c>
      <c r="K41">
        <f>IFERROR(IF(ISNUMBER(INDEX(SPPR!$E:$Z,MATCH($A41,SPPR!$A:$A,0),8)),$C41*INDEX(SPPR!$E:$Z,MATCH($A41,SPPR!$A:$A,0),8),""),"")</f>
        <v/>
      </c>
      <c r="L41">
        <f>IFERROR(IF(ISNUMBER(INDEX(SPPR!$E:$Z,MATCH($A41,SPPR!$A:$A,0),9)),$C41*INDEX(SPPR!$E:$Z,MATCH($A41,SPPR!$A:$A,0),9),""),"")</f>
        <v/>
      </c>
      <c r="M41">
        <f>IFERROR(IF(ISNUMBER(INDEX(SPPR!$E:$Z,MATCH($A41,SPPR!$A:$A,0),10)),$C41*INDEX(SPPR!$E:$Z,MATCH($A41,SPPR!$A:$A,0),10),""),"")</f>
        <v/>
      </c>
      <c r="N41">
        <f>IFERROR(IF(ISNUMBER(INDEX(SPPR!$E:$Z,MATCH($A41,SPPR!$A:$A,0),11)),$C41*INDEX(SPPR!$E:$Z,MATCH($A41,SPPR!$A:$A,0),11),""),"")</f>
        <v/>
      </c>
      <c r="O41">
        <f>IFERROR(IF(ISNUMBER(INDEX(SPPR!$E:$Z,MATCH($A41,SPPR!$A:$A,0),12)),$C41*INDEX(SPPR!$E:$Z,MATCH($A41,SPPR!$A:$A,0),12),""),"")</f>
        <v/>
      </c>
      <c r="P41">
        <f>IFERROR(IF(ISNUMBER(INDEX(SPPR!$E:$Z,MATCH($A41,SPPR!$A:$A,0),13)),$C41*INDEX(SPPR!$E:$Z,MATCH($A41,SPPR!$A:$A,0),13),""),"")</f>
        <v/>
      </c>
      <c r="Q41">
        <f>IFERROR(IF(ISNUMBER(INDEX(SPPR!$E:$Z,MATCH($A41,SPPR!$A:$A,0),14)),$C41*INDEX(SPPR!$E:$Z,MATCH($A41,SPPR!$A:$A,0),14),""),"")</f>
        <v/>
      </c>
      <c r="R41">
        <f>IFERROR(IF(ISNUMBER(INDEX(SPPR!$E:$Z,MATCH($A41,SPPR!$A:$A,0),15)),$C41*INDEX(SPPR!$E:$Z,MATCH($A41,SPPR!$A:$A,0),15),""),"")</f>
        <v/>
      </c>
      <c r="S41">
        <f>IFERROR(IF(ISNUMBER(INDEX(SPPR!$E:$Z,MATCH($A41,SPPR!$A:$A,0),16)),$C41*INDEX(SPPR!$E:$Z,MATCH($A41,SPPR!$A:$A,0),16),""),"")</f>
        <v/>
      </c>
      <c r="T41">
        <f>IFERROR(IF(ISNUMBER(INDEX(SPPR!$E:$Z,MATCH($A41,SPPR!$A:$A,0),17)),$C41*INDEX(SPPR!$E:$Z,MATCH($A41,SPPR!$A:$A,0),17),""),"")</f>
        <v/>
      </c>
      <c r="U41">
        <f>IFERROR(IF(ISNUMBER(INDEX(SPPR!$E:$Z,MATCH($A41,SPPR!$A:$A,0),18)),$C41*INDEX(SPPR!$E:$Z,MATCH($A41,SPPR!$A:$A,0),18),""),"")</f>
        <v/>
      </c>
      <c r="V41">
        <f>IFERROR(IF(ISNUMBER(INDEX(SPPR!$E:$Z,MATCH($A41,SPPR!$A:$A,0),19)),$C41*INDEX(SPPR!$E:$Z,MATCH($A41,SPPR!$A:$A,0),19),""),"")</f>
        <v/>
      </c>
      <c r="W41">
        <f>IFERROR(IF(ISNUMBER(INDEX(SPPR!$E:$Z,MATCH($A41,SPPR!$A:$A,0),20)),$C41*INDEX(SPPR!$E:$Z,MATCH($A41,SPPR!$A:$A,0),20),""),"")</f>
        <v/>
      </c>
      <c r="X41">
        <f>IFERROR(IF(ISNUMBER(INDEX(SPPR!$E:$Z,MATCH($A41,SPPR!$A:$A,0),21)),$C41*INDEX(SPPR!$E:$Z,MATCH($A41,SPPR!$A:$A,0),21),""),"")</f>
        <v/>
      </c>
      <c r="Y41">
        <f>IFERROR(IF(ISNUMBER(INDEX(SPPR!$E:$Z,MATCH($A41,SPPR!$A:$A,0),22)),$C41*INDEX(SPPR!$E:$Z,MATCH($A41,SPPR!$A:$A,0),22),""),"")</f>
        <v/>
      </c>
    </row>
    <row r="42">
      <c r="A42" t="inlineStr">
        <is>
          <t>Sepiidae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IFERROR(IF(ISNUMBER(INDEX(SPPR!$E:$Z,MATCH($A42,SPPR!$A:$A,0),1)),$C42*INDEX(SPPR!$E:$Z,MATCH($A42,SPPR!$A:$A,0),1),""),"")</f>
        <v/>
      </c>
      <c r="E42">
        <f>IFERROR(IF(ISNUMBER(INDEX(SPPR!$E:$Z,MATCH($A42,SPPR!$A:$A,0),2)),$C42*INDEX(SPPR!$E:$Z,MATCH($A42,SPPR!$A:$A,0),2),""),"")</f>
        <v/>
      </c>
      <c r="F42">
        <f>IFERROR(IF(ISNUMBER(INDEX(SPPR!$E:$Z,MATCH($A42,SPPR!$A:$A,0),3)),$C42*INDEX(SPPR!$E:$Z,MATCH($A42,SPPR!$A:$A,0),3),""),"")</f>
        <v/>
      </c>
      <c r="G42">
        <f>IFERROR(IF(ISNUMBER(INDEX(SPPR!$E:$Z,MATCH($A42,SPPR!$A:$A,0),4)),$C42*INDEX(SPPR!$E:$Z,MATCH($A42,SPPR!$A:$A,0),4),""),"")</f>
        <v/>
      </c>
      <c r="H42">
        <f>IFERROR(IF(ISNUMBER(INDEX(SPPR!$E:$Z,MATCH($A42,SPPR!$A:$A,0),5)),$C42*INDEX(SPPR!$E:$Z,MATCH($A42,SPPR!$A:$A,0),5),""),"")</f>
        <v/>
      </c>
      <c r="I42">
        <f>IFERROR(IF(ISNUMBER(INDEX(SPPR!$E:$Z,MATCH($A42,SPPR!$A:$A,0),6)),$C42*INDEX(SPPR!$E:$Z,MATCH($A42,SPPR!$A:$A,0),6),""),"")</f>
        <v/>
      </c>
      <c r="J42">
        <f>IFERROR(IF(ISNUMBER(INDEX(SPPR!$E:$Z,MATCH($A42,SPPR!$A:$A,0),7)),$C42*INDEX(SPPR!$E:$Z,MATCH($A42,SPPR!$A:$A,0),7),""),"")</f>
        <v/>
      </c>
      <c r="K42">
        <f>IFERROR(IF(ISNUMBER(INDEX(SPPR!$E:$Z,MATCH($A42,SPPR!$A:$A,0),8)),$C42*INDEX(SPPR!$E:$Z,MATCH($A42,SPPR!$A:$A,0),8),""),"")</f>
        <v/>
      </c>
      <c r="L42">
        <f>IFERROR(IF(ISNUMBER(INDEX(SPPR!$E:$Z,MATCH($A42,SPPR!$A:$A,0),9)),$C42*INDEX(SPPR!$E:$Z,MATCH($A42,SPPR!$A:$A,0),9),""),"")</f>
        <v/>
      </c>
      <c r="M42">
        <f>IFERROR(IF(ISNUMBER(INDEX(SPPR!$E:$Z,MATCH($A42,SPPR!$A:$A,0),10)),$C42*INDEX(SPPR!$E:$Z,MATCH($A42,SPPR!$A:$A,0),10),""),"")</f>
        <v/>
      </c>
      <c r="N42">
        <f>IFERROR(IF(ISNUMBER(INDEX(SPPR!$E:$Z,MATCH($A42,SPPR!$A:$A,0),11)),$C42*INDEX(SPPR!$E:$Z,MATCH($A42,SPPR!$A:$A,0),11),""),"")</f>
        <v/>
      </c>
      <c r="O42">
        <f>IFERROR(IF(ISNUMBER(INDEX(SPPR!$E:$Z,MATCH($A42,SPPR!$A:$A,0),12)),$C42*INDEX(SPPR!$E:$Z,MATCH($A42,SPPR!$A:$A,0),12),""),"")</f>
        <v/>
      </c>
      <c r="P42">
        <f>IFERROR(IF(ISNUMBER(INDEX(SPPR!$E:$Z,MATCH($A42,SPPR!$A:$A,0),13)),$C42*INDEX(SPPR!$E:$Z,MATCH($A42,SPPR!$A:$A,0),13),""),"")</f>
        <v/>
      </c>
      <c r="Q42">
        <f>IFERROR(IF(ISNUMBER(INDEX(SPPR!$E:$Z,MATCH($A42,SPPR!$A:$A,0),14)),$C42*INDEX(SPPR!$E:$Z,MATCH($A42,SPPR!$A:$A,0),14),""),"")</f>
        <v/>
      </c>
      <c r="R42">
        <f>IFERROR(IF(ISNUMBER(INDEX(SPPR!$E:$Z,MATCH($A42,SPPR!$A:$A,0),15)),$C42*INDEX(SPPR!$E:$Z,MATCH($A42,SPPR!$A:$A,0),15),""),"")</f>
        <v/>
      </c>
      <c r="S42">
        <f>IFERROR(IF(ISNUMBER(INDEX(SPPR!$E:$Z,MATCH($A42,SPPR!$A:$A,0),16)),$C42*INDEX(SPPR!$E:$Z,MATCH($A42,SPPR!$A:$A,0),16),""),"")</f>
        <v/>
      </c>
      <c r="T42">
        <f>IFERROR(IF(ISNUMBER(INDEX(SPPR!$E:$Z,MATCH($A42,SPPR!$A:$A,0),17)),$C42*INDEX(SPPR!$E:$Z,MATCH($A42,SPPR!$A:$A,0),17),""),"")</f>
        <v/>
      </c>
      <c r="U42">
        <f>IFERROR(IF(ISNUMBER(INDEX(SPPR!$E:$Z,MATCH($A42,SPPR!$A:$A,0),18)),$C42*INDEX(SPPR!$E:$Z,MATCH($A42,SPPR!$A:$A,0),18),""),"")</f>
        <v/>
      </c>
      <c r="V42">
        <f>IFERROR(IF(ISNUMBER(INDEX(SPPR!$E:$Z,MATCH($A42,SPPR!$A:$A,0),19)),$C42*INDEX(SPPR!$E:$Z,MATCH($A42,SPPR!$A:$A,0),19),""),"")</f>
        <v/>
      </c>
      <c r="W42">
        <f>IFERROR(IF(ISNUMBER(INDEX(SPPR!$E:$Z,MATCH($A42,SPPR!$A:$A,0),20)),$C42*INDEX(SPPR!$E:$Z,MATCH($A42,SPPR!$A:$A,0),20),""),"")</f>
        <v/>
      </c>
      <c r="X42">
        <f>IFERROR(IF(ISNUMBER(INDEX(SPPR!$E:$Z,MATCH($A42,SPPR!$A:$A,0),21)),$C42*INDEX(SPPR!$E:$Z,MATCH($A42,SPPR!$A:$A,0),21),""),"")</f>
        <v/>
      </c>
      <c r="Y42">
        <f>IFERROR(IF(ISNUMBER(INDEX(SPPR!$E:$Z,MATCH($A42,SPPR!$A:$A,0),22)),$C42*INDEX(SPPR!$E:$Z,MATCH($A42,SPPR!$A:$A,0),22),""),"")</f>
        <v/>
      </c>
    </row>
    <row r="43">
      <c r="A43" t="inlineStr">
        <is>
          <t>Decapterus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IFERROR(IF(ISNUMBER(INDEX(SPPR!$E:$Z,MATCH($A43,SPPR!$A:$A,0),1)),$C43*INDEX(SPPR!$E:$Z,MATCH($A43,SPPR!$A:$A,0),1),""),"")</f>
        <v/>
      </c>
      <c r="E43">
        <f>IFERROR(IF(ISNUMBER(INDEX(SPPR!$E:$Z,MATCH($A43,SPPR!$A:$A,0),2)),$C43*INDEX(SPPR!$E:$Z,MATCH($A43,SPPR!$A:$A,0),2),""),"")</f>
        <v/>
      </c>
      <c r="F43">
        <f>IFERROR(IF(ISNUMBER(INDEX(SPPR!$E:$Z,MATCH($A43,SPPR!$A:$A,0),3)),$C43*INDEX(SPPR!$E:$Z,MATCH($A43,SPPR!$A:$A,0),3),""),"")</f>
        <v/>
      </c>
      <c r="G43">
        <f>IFERROR(IF(ISNUMBER(INDEX(SPPR!$E:$Z,MATCH($A43,SPPR!$A:$A,0),4)),$C43*INDEX(SPPR!$E:$Z,MATCH($A43,SPPR!$A:$A,0),4),""),"")</f>
        <v/>
      </c>
      <c r="H43">
        <f>IFERROR(IF(ISNUMBER(INDEX(SPPR!$E:$Z,MATCH($A43,SPPR!$A:$A,0),5)),$C43*INDEX(SPPR!$E:$Z,MATCH($A43,SPPR!$A:$A,0),5),""),"")</f>
        <v/>
      </c>
      <c r="I43">
        <f>IFERROR(IF(ISNUMBER(INDEX(SPPR!$E:$Z,MATCH($A43,SPPR!$A:$A,0),6)),$C43*INDEX(SPPR!$E:$Z,MATCH($A43,SPPR!$A:$A,0),6),""),"")</f>
        <v/>
      </c>
      <c r="J43">
        <f>IFERROR(IF(ISNUMBER(INDEX(SPPR!$E:$Z,MATCH($A43,SPPR!$A:$A,0),7)),$C43*INDEX(SPPR!$E:$Z,MATCH($A43,SPPR!$A:$A,0),7),""),"")</f>
        <v/>
      </c>
      <c r="K43">
        <f>IFERROR(IF(ISNUMBER(INDEX(SPPR!$E:$Z,MATCH($A43,SPPR!$A:$A,0),8)),$C43*INDEX(SPPR!$E:$Z,MATCH($A43,SPPR!$A:$A,0),8),""),"")</f>
        <v/>
      </c>
      <c r="L43">
        <f>IFERROR(IF(ISNUMBER(INDEX(SPPR!$E:$Z,MATCH($A43,SPPR!$A:$A,0),9)),$C43*INDEX(SPPR!$E:$Z,MATCH($A43,SPPR!$A:$A,0),9),""),"")</f>
        <v/>
      </c>
      <c r="M43">
        <f>IFERROR(IF(ISNUMBER(INDEX(SPPR!$E:$Z,MATCH($A43,SPPR!$A:$A,0),10)),$C43*INDEX(SPPR!$E:$Z,MATCH($A43,SPPR!$A:$A,0),10),""),"")</f>
        <v/>
      </c>
      <c r="N43">
        <f>IFERROR(IF(ISNUMBER(INDEX(SPPR!$E:$Z,MATCH($A43,SPPR!$A:$A,0),11)),$C43*INDEX(SPPR!$E:$Z,MATCH($A43,SPPR!$A:$A,0),11),""),"")</f>
        <v/>
      </c>
      <c r="O43">
        <f>IFERROR(IF(ISNUMBER(INDEX(SPPR!$E:$Z,MATCH($A43,SPPR!$A:$A,0),12)),$C43*INDEX(SPPR!$E:$Z,MATCH($A43,SPPR!$A:$A,0),12),""),"")</f>
        <v/>
      </c>
      <c r="P43">
        <f>IFERROR(IF(ISNUMBER(INDEX(SPPR!$E:$Z,MATCH($A43,SPPR!$A:$A,0),13)),$C43*INDEX(SPPR!$E:$Z,MATCH($A43,SPPR!$A:$A,0),13),""),"")</f>
        <v/>
      </c>
      <c r="Q43">
        <f>IFERROR(IF(ISNUMBER(INDEX(SPPR!$E:$Z,MATCH($A43,SPPR!$A:$A,0),14)),$C43*INDEX(SPPR!$E:$Z,MATCH($A43,SPPR!$A:$A,0),14),""),"")</f>
        <v/>
      </c>
      <c r="R43">
        <f>IFERROR(IF(ISNUMBER(INDEX(SPPR!$E:$Z,MATCH($A43,SPPR!$A:$A,0),15)),$C43*INDEX(SPPR!$E:$Z,MATCH($A43,SPPR!$A:$A,0),15),""),"")</f>
        <v/>
      </c>
      <c r="S43">
        <f>IFERROR(IF(ISNUMBER(INDEX(SPPR!$E:$Z,MATCH($A43,SPPR!$A:$A,0),16)),$C43*INDEX(SPPR!$E:$Z,MATCH($A43,SPPR!$A:$A,0),16),""),"")</f>
        <v/>
      </c>
      <c r="T43">
        <f>IFERROR(IF(ISNUMBER(INDEX(SPPR!$E:$Z,MATCH($A43,SPPR!$A:$A,0),17)),$C43*INDEX(SPPR!$E:$Z,MATCH($A43,SPPR!$A:$A,0),17),""),"")</f>
        <v/>
      </c>
      <c r="U43">
        <f>IFERROR(IF(ISNUMBER(INDEX(SPPR!$E:$Z,MATCH($A43,SPPR!$A:$A,0),18)),$C43*INDEX(SPPR!$E:$Z,MATCH($A43,SPPR!$A:$A,0),18),""),"")</f>
        <v/>
      </c>
      <c r="V43">
        <f>IFERROR(IF(ISNUMBER(INDEX(SPPR!$E:$Z,MATCH($A43,SPPR!$A:$A,0),19)),$C43*INDEX(SPPR!$E:$Z,MATCH($A43,SPPR!$A:$A,0),19),""),"")</f>
        <v/>
      </c>
      <c r="W43">
        <f>IFERROR(IF(ISNUMBER(INDEX(SPPR!$E:$Z,MATCH($A43,SPPR!$A:$A,0),20)),$C43*INDEX(SPPR!$E:$Z,MATCH($A43,SPPR!$A:$A,0),20),""),"")</f>
        <v/>
      </c>
      <c r="X43">
        <f>IFERROR(IF(ISNUMBER(INDEX(SPPR!$E:$Z,MATCH($A43,SPPR!$A:$A,0),21)),$C43*INDEX(SPPR!$E:$Z,MATCH($A43,SPPR!$A:$A,0),21),""),"")</f>
        <v/>
      </c>
      <c r="Y43">
        <f>IFERROR(IF(ISNUMBER(INDEX(SPPR!$E:$Z,MATCH($A43,SPPR!$A:$A,0),22)),$C43*INDEX(SPPR!$E:$Z,MATCH($A43,SPPR!$A:$A,0),22),""),"")</f>
        <v/>
      </c>
    </row>
    <row r="44">
      <c r="A44" t="inlineStr">
        <is>
          <t>Teuthida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IFERROR(IF(ISNUMBER(INDEX(SPPR!$E:$Z,MATCH($A44,SPPR!$A:$A,0),1)),$C44*INDEX(SPPR!$E:$Z,MATCH($A44,SPPR!$A:$A,0),1),""),"")</f>
        <v/>
      </c>
      <c r="E44">
        <f>IFERROR(IF(ISNUMBER(INDEX(SPPR!$E:$Z,MATCH($A44,SPPR!$A:$A,0),2)),$C44*INDEX(SPPR!$E:$Z,MATCH($A44,SPPR!$A:$A,0),2),""),"")</f>
        <v/>
      </c>
      <c r="F44">
        <f>IFERROR(IF(ISNUMBER(INDEX(SPPR!$E:$Z,MATCH($A44,SPPR!$A:$A,0),3)),$C44*INDEX(SPPR!$E:$Z,MATCH($A44,SPPR!$A:$A,0),3),""),"")</f>
        <v/>
      </c>
      <c r="G44">
        <f>IFERROR(IF(ISNUMBER(INDEX(SPPR!$E:$Z,MATCH($A44,SPPR!$A:$A,0),4)),$C44*INDEX(SPPR!$E:$Z,MATCH($A44,SPPR!$A:$A,0),4),""),"")</f>
        <v/>
      </c>
      <c r="H44">
        <f>IFERROR(IF(ISNUMBER(INDEX(SPPR!$E:$Z,MATCH($A44,SPPR!$A:$A,0),5)),$C44*INDEX(SPPR!$E:$Z,MATCH($A44,SPPR!$A:$A,0),5),""),"")</f>
        <v/>
      </c>
      <c r="I44">
        <f>IFERROR(IF(ISNUMBER(INDEX(SPPR!$E:$Z,MATCH($A44,SPPR!$A:$A,0),6)),$C44*INDEX(SPPR!$E:$Z,MATCH($A44,SPPR!$A:$A,0),6),""),"")</f>
        <v/>
      </c>
      <c r="J44">
        <f>IFERROR(IF(ISNUMBER(INDEX(SPPR!$E:$Z,MATCH($A44,SPPR!$A:$A,0),7)),$C44*INDEX(SPPR!$E:$Z,MATCH($A44,SPPR!$A:$A,0),7),""),"")</f>
        <v/>
      </c>
      <c r="K44">
        <f>IFERROR(IF(ISNUMBER(INDEX(SPPR!$E:$Z,MATCH($A44,SPPR!$A:$A,0),8)),$C44*INDEX(SPPR!$E:$Z,MATCH($A44,SPPR!$A:$A,0),8),""),"")</f>
        <v/>
      </c>
      <c r="L44">
        <f>IFERROR(IF(ISNUMBER(INDEX(SPPR!$E:$Z,MATCH($A44,SPPR!$A:$A,0),9)),$C44*INDEX(SPPR!$E:$Z,MATCH($A44,SPPR!$A:$A,0),9),""),"")</f>
        <v/>
      </c>
      <c r="M44">
        <f>IFERROR(IF(ISNUMBER(INDEX(SPPR!$E:$Z,MATCH($A44,SPPR!$A:$A,0),10)),$C44*INDEX(SPPR!$E:$Z,MATCH($A44,SPPR!$A:$A,0),10),""),"")</f>
        <v/>
      </c>
      <c r="N44">
        <f>IFERROR(IF(ISNUMBER(INDEX(SPPR!$E:$Z,MATCH($A44,SPPR!$A:$A,0),11)),$C44*INDEX(SPPR!$E:$Z,MATCH($A44,SPPR!$A:$A,0),11),""),"")</f>
        <v/>
      </c>
      <c r="O44">
        <f>IFERROR(IF(ISNUMBER(INDEX(SPPR!$E:$Z,MATCH($A44,SPPR!$A:$A,0),12)),$C44*INDEX(SPPR!$E:$Z,MATCH($A44,SPPR!$A:$A,0),12),""),"")</f>
        <v/>
      </c>
      <c r="P44">
        <f>IFERROR(IF(ISNUMBER(INDEX(SPPR!$E:$Z,MATCH($A44,SPPR!$A:$A,0),13)),$C44*INDEX(SPPR!$E:$Z,MATCH($A44,SPPR!$A:$A,0),13),""),"")</f>
        <v/>
      </c>
      <c r="Q44">
        <f>IFERROR(IF(ISNUMBER(INDEX(SPPR!$E:$Z,MATCH($A44,SPPR!$A:$A,0),14)),$C44*INDEX(SPPR!$E:$Z,MATCH($A44,SPPR!$A:$A,0),14),""),"")</f>
        <v/>
      </c>
      <c r="R44">
        <f>IFERROR(IF(ISNUMBER(INDEX(SPPR!$E:$Z,MATCH($A44,SPPR!$A:$A,0),15)),$C44*INDEX(SPPR!$E:$Z,MATCH($A44,SPPR!$A:$A,0),15),""),"")</f>
        <v/>
      </c>
      <c r="S44">
        <f>IFERROR(IF(ISNUMBER(INDEX(SPPR!$E:$Z,MATCH($A44,SPPR!$A:$A,0),16)),$C44*INDEX(SPPR!$E:$Z,MATCH($A44,SPPR!$A:$A,0),16),""),"")</f>
        <v/>
      </c>
      <c r="T44">
        <f>IFERROR(IF(ISNUMBER(INDEX(SPPR!$E:$Z,MATCH($A44,SPPR!$A:$A,0),17)),$C44*INDEX(SPPR!$E:$Z,MATCH($A44,SPPR!$A:$A,0),17),""),"")</f>
        <v/>
      </c>
      <c r="U44">
        <f>IFERROR(IF(ISNUMBER(INDEX(SPPR!$E:$Z,MATCH($A44,SPPR!$A:$A,0),18)),$C44*INDEX(SPPR!$E:$Z,MATCH($A44,SPPR!$A:$A,0),18),""),"")</f>
        <v/>
      </c>
      <c r="V44">
        <f>IFERROR(IF(ISNUMBER(INDEX(SPPR!$E:$Z,MATCH($A44,SPPR!$A:$A,0),19)),$C44*INDEX(SPPR!$E:$Z,MATCH($A44,SPPR!$A:$A,0),19),""),"")</f>
        <v/>
      </c>
      <c r="W44">
        <f>IFERROR(IF(ISNUMBER(INDEX(SPPR!$E:$Z,MATCH($A44,SPPR!$A:$A,0),20)),$C44*INDEX(SPPR!$E:$Z,MATCH($A44,SPPR!$A:$A,0),20),""),"")</f>
        <v/>
      </c>
      <c r="X44">
        <f>IFERROR(IF(ISNUMBER(INDEX(SPPR!$E:$Z,MATCH($A44,SPPR!$A:$A,0),21)),$C44*INDEX(SPPR!$E:$Z,MATCH($A44,SPPR!$A:$A,0),21),""),"")</f>
        <v/>
      </c>
      <c r="Y44">
        <f>IFERROR(IF(ISNUMBER(INDEX(SPPR!$E:$Z,MATCH($A44,SPPR!$A:$A,0),22)),$C44*INDEX(SPPR!$E:$Z,MATCH($A44,SPPR!$A:$A,0),22),""),"")</f>
        <v/>
      </c>
    </row>
    <row r="45">
      <c r="A45" t="inlineStr">
        <is>
          <t>Saurida tumbil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IFERROR(IF(ISNUMBER(INDEX(SPPR!$E:$Z,MATCH($A45,SPPR!$A:$A,0),1)),$C45*INDEX(SPPR!$E:$Z,MATCH($A45,SPPR!$A:$A,0),1),""),"")</f>
        <v/>
      </c>
      <c r="E45">
        <f>IFERROR(IF(ISNUMBER(INDEX(SPPR!$E:$Z,MATCH($A45,SPPR!$A:$A,0),2)),$C45*INDEX(SPPR!$E:$Z,MATCH($A45,SPPR!$A:$A,0),2),""),"")</f>
        <v/>
      </c>
      <c r="F45">
        <f>IFERROR(IF(ISNUMBER(INDEX(SPPR!$E:$Z,MATCH($A45,SPPR!$A:$A,0),3)),$C45*INDEX(SPPR!$E:$Z,MATCH($A45,SPPR!$A:$A,0),3),""),"")</f>
        <v/>
      </c>
      <c r="G45">
        <f>IFERROR(IF(ISNUMBER(INDEX(SPPR!$E:$Z,MATCH($A45,SPPR!$A:$A,0),4)),$C45*INDEX(SPPR!$E:$Z,MATCH($A45,SPPR!$A:$A,0),4),""),"")</f>
        <v/>
      </c>
      <c r="H45">
        <f>IFERROR(IF(ISNUMBER(INDEX(SPPR!$E:$Z,MATCH($A45,SPPR!$A:$A,0),5)),$C45*INDEX(SPPR!$E:$Z,MATCH($A45,SPPR!$A:$A,0),5),""),"")</f>
        <v/>
      </c>
      <c r="I45">
        <f>IFERROR(IF(ISNUMBER(INDEX(SPPR!$E:$Z,MATCH($A45,SPPR!$A:$A,0),6)),$C45*INDEX(SPPR!$E:$Z,MATCH($A45,SPPR!$A:$A,0),6),""),"")</f>
        <v/>
      </c>
      <c r="J45">
        <f>IFERROR(IF(ISNUMBER(INDEX(SPPR!$E:$Z,MATCH($A45,SPPR!$A:$A,0),7)),$C45*INDEX(SPPR!$E:$Z,MATCH($A45,SPPR!$A:$A,0),7),""),"")</f>
        <v/>
      </c>
      <c r="K45">
        <f>IFERROR(IF(ISNUMBER(INDEX(SPPR!$E:$Z,MATCH($A45,SPPR!$A:$A,0),8)),$C45*INDEX(SPPR!$E:$Z,MATCH($A45,SPPR!$A:$A,0),8),""),"")</f>
        <v/>
      </c>
      <c r="L45">
        <f>IFERROR(IF(ISNUMBER(INDEX(SPPR!$E:$Z,MATCH($A45,SPPR!$A:$A,0),9)),$C45*INDEX(SPPR!$E:$Z,MATCH($A45,SPPR!$A:$A,0),9),""),"")</f>
        <v/>
      </c>
      <c r="M45">
        <f>IFERROR(IF(ISNUMBER(INDEX(SPPR!$E:$Z,MATCH($A45,SPPR!$A:$A,0),10)),$C45*INDEX(SPPR!$E:$Z,MATCH($A45,SPPR!$A:$A,0),10),""),"")</f>
        <v/>
      </c>
      <c r="N45">
        <f>IFERROR(IF(ISNUMBER(INDEX(SPPR!$E:$Z,MATCH($A45,SPPR!$A:$A,0),11)),$C45*INDEX(SPPR!$E:$Z,MATCH($A45,SPPR!$A:$A,0),11),""),"")</f>
        <v/>
      </c>
      <c r="O45">
        <f>IFERROR(IF(ISNUMBER(INDEX(SPPR!$E:$Z,MATCH($A45,SPPR!$A:$A,0),12)),$C45*INDEX(SPPR!$E:$Z,MATCH($A45,SPPR!$A:$A,0),12),""),"")</f>
        <v/>
      </c>
      <c r="P45">
        <f>IFERROR(IF(ISNUMBER(INDEX(SPPR!$E:$Z,MATCH($A45,SPPR!$A:$A,0),13)),$C45*INDEX(SPPR!$E:$Z,MATCH($A45,SPPR!$A:$A,0),13),""),"")</f>
        <v/>
      </c>
      <c r="Q45">
        <f>IFERROR(IF(ISNUMBER(INDEX(SPPR!$E:$Z,MATCH($A45,SPPR!$A:$A,0),14)),$C45*INDEX(SPPR!$E:$Z,MATCH($A45,SPPR!$A:$A,0),14),""),"")</f>
        <v/>
      </c>
      <c r="R45">
        <f>IFERROR(IF(ISNUMBER(INDEX(SPPR!$E:$Z,MATCH($A45,SPPR!$A:$A,0),15)),$C45*INDEX(SPPR!$E:$Z,MATCH($A45,SPPR!$A:$A,0),15),""),"")</f>
        <v/>
      </c>
      <c r="S45">
        <f>IFERROR(IF(ISNUMBER(INDEX(SPPR!$E:$Z,MATCH($A45,SPPR!$A:$A,0),16)),$C45*INDEX(SPPR!$E:$Z,MATCH($A45,SPPR!$A:$A,0),16),""),"")</f>
        <v/>
      </c>
      <c r="T45">
        <f>IFERROR(IF(ISNUMBER(INDEX(SPPR!$E:$Z,MATCH($A45,SPPR!$A:$A,0),17)),$C45*INDEX(SPPR!$E:$Z,MATCH($A45,SPPR!$A:$A,0),17),""),"")</f>
        <v/>
      </c>
      <c r="U45">
        <f>IFERROR(IF(ISNUMBER(INDEX(SPPR!$E:$Z,MATCH($A45,SPPR!$A:$A,0),18)),$C45*INDEX(SPPR!$E:$Z,MATCH($A45,SPPR!$A:$A,0),18),""),"")</f>
        <v/>
      </c>
      <c r="V45">
        <f>IFERROR(IF(ISNUMBER(INDEX(SPPR!$E:$Z,MATCH($A45,SPPR!$A:$A,0),19)),$C45*INDEX(SPPR!$E:$Z,MATCH($A45,SPPR!$A:$A,0),19),""),"")</f>
        <v/>
      </c>
      <c r="W45">
        <f>IFERROR(IF(ISNUMBER(INDEX(SPPR!$E:$Z,MATCH($A45,SPPR!$A:$A,0),20)),$C45*INDEX(SPPR!$E:$Z,MATCH($A45,SPPR!$A:$A,0),20),""),"")</f>
        <v/>
      </c>
      <c r="X45">
        <f>IFERROR(IF(ISNUMBER(INDEX(SPPR!$E:$Z,MATCH($A45,SPPR!$A:$A,0),21)),$C45*INDEX(SPPR!$E:$Z,MATCH($A45,SPPR!$A:$A,0),21),""),"")</f>
        <v/>
      </c>
      <c r="Y45">
        <f>IFERROR(IF(ISNUMBER(INDEX(SPPR!$E:$Z,MATCH($A45,SPPR!$A:$A,0),22)),$C45*INDEX(SPPR!$E:$Z,MATCH($A45,SPPR!$A:$A,0),22),""),"")</f>
        <v/>
      </c>
    </row>
    <row r="46">
      <c r="A46" t="inlineStr">
        <is>
          <t>Scombroidei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IFERROR(IF(ISNUMBER(INDEX(SPPR!$E:$Z,MATCH($A46,SPPR!$A:$A,0),1)),$C46*INDEX(SPPR!$E:$Z,MATCH($A46,SPPR!$A:$A,0),1),""),"")</f>
        <v/>
      </c>
      <c r="E46">
        <f>IFERROR(IF(ISNUMBER(INDEX(SPPR!$E:$Z,MATCH($A46,SPPR!$A:$A,0),2)),$C46*INDEX(SPPR!$E:$Z,MATCH($A46,SPPR!$A:$A,0),2),""),"")</f>
        <v/>
      </c>
      <c r="F46">
        <f>IFERROR(IF(ISNUMBER(INDEX(SPPR!$E:$Z,MATCH($A46,SPPR!$A:$A,0),3)),$C46*INDEX(SPPR!$E:$Z,MATCH($A46,SPPR!$A:$A,0),3),""),"")</f>
        <v/>
      </c>
      <c r="G46">
        <f>IFERROR(IF(ISNUMBER(INDEX(SPPR!$E:$Z,MATCH($A46,SPPR!$A:$A,0),4)),$C46*INDEX(SPPR!$E:$Z,MATCH($A46,SPPR!$A:$A,0),4),""),"")</f>
        <v/>
      </c>
      <c r="H46">
        <f>IFERROR(IF(ISNUMBER(INDEX(SPPR!$E:$Z,MATCH($A46,SPPR!$A:$A,0),5)),$C46*INDEX(SPPR!$E:$Z,MATCH($A46,SPPR!$A:$A,0),5),""),"")</f>
        <v/>
      </c>
      <c r="I46">
        <f>IFERROR(IF(ISNUMBER(INDEX(SPPR!$E:$Z,MATCH($A46,SPPR!$A:$A,0),6)),$C46*INDEX(SPPR!$E:$Z,MATCH($A46,SPPR!$A:$A,0),6),""),"")</f>
        <v/>
      </c>
      <c r="J46">
        <f>IFERROR(IF(ISNUMBER(INDEX(SPPR!$E:$Z,MATCH($A46,SPPR!$A:$A,0),7)),$C46*INDEX(SPPR!$E:$Z,MATCH($A46,SPPR!$A:$A,0),7),""),"")</f>
        <v/>
      </c>
      <c r="K46">
        <f>IFERROR(IF(ISNUMBER(INDEX(SPPR!$E:$Z,MATCH($A46,SPPR!$A:$A,0),8)),$C46*INDEX(SPPR!$E:$Z,MATCH($A46,SPPR!$A:$A,0),8),""),"")</f>
        <v/>
      </c>
      <c r="L46">
        <f>IFERROR(IF(ISNUMBER(INDEX(SPPR!$E:$Z,MATCH($A46,SPPR!$A:$A,0),9)),$C46*INDEX(SPPR!$E:$Z,MATCH($A46,SPPR!$A:$A,0),9),""),"")</f>
        <v/>
      </c>
      <c r="M46">
        <f>IFERROR(IF(ISNUMBER(INDEX(SPPR!$E:$Z,MATCH($A46,SPPR!$A:$A,0),10)),$C46*INDEX(SPPR!$E:$Z,MATCH($A46,SPPR!$A:$A,0),10),""),"")</f>
        <v/>
      </c>
      <c r="N46">
        <f>IFERROR(IF(ISNUMBER(INDEX(SPPR!$E:$Z,MATCH($A46,SPPR!$A:$A,0),11)),$C46*INDEX(SPPR!$E:$Z,MATCH($A46,SPPR!$A:$A,0),11),""),"")</f>
        <v/>
      </c>
      <c r="O46">
        <f>IFERROR(IF(ISNUMBER(INDEX(SPPR!$E:$Z,MATCH($A46,SPPR!$A:$A,0),12)),$C46*INDEX(SPPR!$E:$Z,MATCH($A46,SPPR!$A:$A,0),12),""),"")</f>
        <v/>
      </c>
      <c r="P46">
        <f>IFERROR(IF(ISNUMBER(INDEX(SPPR!$E:$Z,MATCH($A46,SPPR!$A:$A,0),13)),$C46*INDEX(SPPR!$E:$Z,MATCH($A46,SPPR!$A:$A,0),13),""),"")</f>
        <v/>
      </c>
      <c r="Q46">
        <f>IFERROR(IF(ISNUMBER(INDEX(SPPR!$E:$Z,MATCH($A46,SPPR!$A:$A,0),14)),$C46*INDEX(SPPR!$E:$Z,MATCH($A46,SPPR!$A:$A,0),14),""),"")</f>
        <v/>
      </c>
      <c r="R46">
        <f>IFERROR(IF(ISNUMBER(INDEX(SPPR!$E:$Z,MATCH($A46,SPPR!$A:$A,0),15)),$C46*INDEX(SPPR!$E:$Z,MATCH($A46,SPPR!$A:$A,0),15),""),"")</f>
        <v/>
      </c>
      <c r="S46">
        <f>IFERROR(IF(ISNUMBER(INDEX(SPPR!$E:$Z,MATCH($A46,SPPR!$A:$A,0),16)),$C46*INDEX(SPPR!$E:$Z,MATCH($A46,SPPR!$A:$A,0),16),""),"")</f>
        <v/>
      </c>
      <c r="T46">
        <f>IFERROR(IF(ISNUMBER(INDEX(SPPR!$E:$Z,MATCH($A46,SPPR!$A:$A,0),17)),$C46*INDEX(SPPR!$E:$Z,MATCH($A46,SPPR!$A:$A,0),17),""),"")</f>
        <v/>
      </c>
      <c r="U46">
        <f>IFERROR(IF(ISNUMBER(INDEX(SPPR!$E:$Z,MATCH($A46,SPPR!$A:$A,0),18)),$C46*INDEX(SPPR!$E:$Z,MATCH($A46,SPPR!$A:$A,0),18),""),"")</f>
        <v/>
      </c>
      <c r="V46">
        <f>IFERROR(IF(ISNUMBER(INDEX(SPPR!$E:$Z,MATCH($A46,SPPR!$A:$A,0),19)),$C46*INDEX(SPPR!$E:$Z,MATCH($A46,SPPR!$A:$A,0),19),""),"")</f>
        <v/>
      </c>
      <c r="W46">
        <f>IFERROR(IF(ISNUMBER(INDEX(SPPR!$E:$Z,MATCH($A46,SPPR!$A:$A,0),20)),$C46*INDEX(SPPR!$E:$Z,MATCH($A46,SPPR!$A:$A,0),20),""),"")</f>
        <v/>
      </c>
      <c r="X46">
        <f>IFERROR(IF(ISNUMBER(INDEX(SPPR!$E:$Z,MATCH($A46,SPPR!$A:$A,0),21)),$C46*INDEX(SPPR!$E:$Z,MATCH($A46,SPPR!$A:$A,0),21),""),"")</f>
        <v/>
      </c>
      <c r="Y46">
        <f>IFERROR(IF(ISNUMBER(INDEX(SPPR!$E:$Z,MATCH($A46,SPPR!$A:$A,0),22)),$C46*INDEX(SPPR!$E:$Z,MATCH($A46,SPPR!$A:$A,0),22),""),"")</f>
        <v/>
      </c>
    </row>
    <row r="47">
      <c r="A47" t="inlineStr">
        <is>
          <t>Decapoda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IFERROR(IF(ISNUMBER(INDEX(SPPR!$E:$Z,MATCH($A47,SPPR!$A:$A,0),1)),$C47*INDEX(SPPR!$E:$Z,MATCH($A47,SPPR!$A:$A,0),1),""),"")</f>
        <v/>
      </c>
      <c r="E47">
        <f>IFERROR(IF(ISNUMBER(INDEX(SPPR!$E:$Z,MATCH($A47,SPPR!$A:$A,0),2)),$C47*INDEX(SPPR!$E:$Z,MATCH($A47,SPPR!$A:$A,0),2),""),"")</f>
        <v/>
      </c>
      <c r="F47">
        <f>IFERROR(IF(ISNUMBER(INDEX(SPPR!$E:$Z,MATCH($A47,SPPR!$A:$A,0),3)),$C47*INDEX(SPPR!$E:$Z,MATCH($A47,SPPR!$A:$A,0),3),""),"")</f>
        <v/>
      </c>
      <c r="G47">
        <f>IFERROR(IF(ISNUMBER(INDEX(SPPR!$E:$Z,MATCH($A47,SPPR!$A:$A,0),4)),$C47*INDEX(SPPR!$E:$Z,MATCH($A47,SPPR!$A:$A,0),4),""),"")</f>
        <v/>
      </c>
      <c r="H47">
        <f>IFERROR(IF(ISNUMBER(INDEX(SPPR!$E:$Z,MATCH($A47,SPPR!$A:$A,0),5)),$C47*INDEX(SPPR!$E:$Z,MATCH($A47,SPPR!$A:$A,0),5),""),"")</f>
        <v/>
      </c>
      <c r="I47">
        <f>IFERROR(IF(ISNUMBER(INDEX(SPPR!$E:$Z,MATCH($A47,SPPR!$A:$A,0),6)),$C47*INDEX(SPPR!$E:$Z,MATCH($A47,SPPR!$A:$A,0),6),""),"")</f>
        <v/>
      </c>
      <c r="J47">
        <f>IFERROR(IF(ISNUMBER(INDEX(SPPR!$E:$Z,MATCH($A47,SPPR!$A:$A,0),7)),$C47*INDEX(SPPR!$E:$Z,MATCH($A47,SPPR!$A:$A,0),7),""),"")</f>
        <v/>
      </c>
      <c r="K47">
        <f>IFERROR(IF(ISNUMBER(INDEX(SPPR!$E:$Z,MATCH($A47,SPPR!$A:$A,0),8)),$C47*INDEX(SPPR!$E:$Z,MATCH($A47,SPPR!$A:$A,0),8),""),"")</f>
        <v/>
      </c>
      <c r="L47">
        <f>IFERROR(IF(ISNUMBER(INDEX(SPPR!$E:$Z,MATCH($A47,SPPR!$A:$A,0),9)),$C47*INDEX(SPPR!$E:$Z,MATCH($A47,SPPR!$A:$A,0),9),""),"")</f>
        <v/>
      </c>
      <c r="M47">
        <f>IFERROR(IF(ISNUMBER(INDEX(SPPR!$E:$Z,MATCH($A47,SPPR!$A:$A,0),10)),$C47*INDEX(SPPR!$E:$Z,MATCH($A47,SPPR!$A:$A,0),10),""),"")</f>
        <v/>
      </c>
      <c r="N47">
        <f>IFERROR(IF(ISNUMBER(INDEX(SPPR!$E:$Z,MATCH($A47,SPPR!$A:$A,0),11)),$C47*INDEX(SPPR!$E:$Z,MATCH($A47,SPPR!$A:$A,0),11),""),"")</f>
        <v/>
      </c>
      <c r="O47">
        <f>IFERROR(IF(ISNUMBER(INDEX(SPPR!$E:$Z,MATCH($A47,SPPR!$A:$A,0),12)),$C47*INDEX(SPPR!$E:$Z,MATCH($A47,SPPR!$A:$A,0),12),""),"")</f>
        <v/>
      </c>
      <c r="P47">
        <f>IFERROR(IF(ISNUMBER(INDEX(SPPR!$E:$Z,MATCH($A47,SPPR!$A:$A,0),13)),$C47*INDEX(SPPR!$E:$Z,MATCH($A47,SPPR!$A:$A,0),13),""),"")</f>
        <v/>
      </c>
      <c r="Q47">
        <f>IFERROR(IF(ISNUMBER(INDEX(SPPR!$E:$Z,MATCH($A47,SPPR!$A:$A,0),14)),$C47*INDEX(SPPR!$E:$Z,MATCH($A47,SPPR!$A:$A,0),14),""),"")</f>
        <v/>
      </c>
      <c r="R47">
        <f>IFERROR(IF(ISNUMBER(INDEX(SPPR!$E:$Z,MATCH($A47,SPPR!$A:$A,0),15)),$C47*INDEX(SPPR!$E:$Z,MATCH($A47,SPPR!$A:$A,0),15),""),"")</f>
        <v/>
      </c>
      <c r="S47">
        <f>IFERROR(IF(ISNUMBER(INDEX(SPPR!$E:$Z,MATCH($A47,SPPR!$A:$A,0),16)),$C47*INDEX(SPPR!$E:$Z,MATCH($A47,SPPR!$A:$A,0),16),""),"")</f>
        <v/>
      </c>
      <c r="T47">
        <f>IFERROR(IF(ISNUMBER(INDEX(SPPR!$E:$Z,MATCH($A47,SPPR!$A:$A,0),17)),$C47*INDEX(SPPR!$E:$Z,MATCH($A47,SPPR!$A:$A,0),17),""),"")</f>
        <v/>
      </c>
      <c r="U47">
        <f>IFERROR(IF(ISNUMBER(INDEX(SPPR!$E:$Z,MATCH($A47,SPPR!$A:$A,0),18)),$C47*INDEX(SPPR!$E:$Z,MATCH($A47,SPPR!$A:$A,0),18),""),"")</f>
        <v/>
      </c>
      <c r="V47">
        <f>IFERROR(IF(ISNUMBER(INDEX(SPPR!$E:$Z,MATCH($A47,SPPR!$A:$A,0),19)),$C47*INDEX(SPPR!$E:$Z,MATCH($A47,SPPR!$A:$A,0),19),""),"")</f>
        <v/>
      </c>
      <c r="W47">
        <f>IFERROR(IF(ISNUMBER(INDEX(SPPR!$E:$Z,MATCH($A47,SPPR!$A:$A,0),20)),$C47*INDEX(SPPR!$E:$Z,MATCH($A47,SPPR!$A:$A,0),20),""),"")</f>
        <v/>
      </c>
      <c r="X47">
        <f>IFERROR(IF(ISNUMBER(INDEX(SPPR!$E:$Z,MATCH($A47,SPPR!$A:$A,0),21)),$C47*INDEX(SPPR!$E:$Z,MATCH($A47,SPPR!$A:$A,0),21),""),"")</f>
        <v/>
      </c>
      <c r="Y47">
        <f>IFERROR(IF(ISNUMBER(INDEX(SPPR!$E:$Z,MATCH($A47,SPPR!$A:$A,0),22)),$C47*INDEX(SPPR!$E:$Z,MATCH($A47,SPPR!$A:$A,0),22),""),"")</f>
        <v/>
      </c>
    </row>
    <row r="48">
      <c r="A48" t="inlineStr">
        <is>
          <t>Auxis thazard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IFERROR(IF(ISNUMBER(INDEX(SPPR!$E:$Z,MATCH($A48,SPPR!$A:$A,0),1)),$C48*INDEX(SPPR!$E:$Z,MATCH($A48,SPPR!$A:$A,0),1),""),"")</f>
        <v/>
      </c>
      <c r="E48">
        <f>IFERROR(IF(ISNUMBER(INDEX(SPPR!$E:$Z,MATCH($A48,SPPR!$A:$A,0),2)),$C48*INDEX(SPPR!$E:$Z,MATCH($A48,SPPR!$A:$A,0),2),""),"")</f>
        <v/>
      </c>
      <c r="F48">
        <f>IFERROR(IF(ISNUMBER(INDEX(SPPR!$E:$Z,MATCH($A48,SPPR!$A:$A,0),3)),$C48*INDEX(SPPR!$E:$Z,MATCH($A48,SPPR!$A:$A,0),3),""),"")</f>
        <v/>
      </c>
      <c r="G48">
        <f>IFERROR(IF(ISNUMBER(INDEX(SPPR!$E:$Z,MATCH($A48,SPPR!$A:$A,0),4)),$C48*INDEX(SPPR!$E:$Z,MATCH($A48,SPPR!$A:$A,0),4),""),"")</f>
        <v/>
      </c>
      <c r="H48">
        <f>IFERROR(IF(ISNUMBER(INDEX(SPPR!$E:$Z,MATCH($A48,SPPR!$A:$A,0),5)),$C48*INDEX(SPPR!$E:$Z,MATCH($A48,SPPR!$A:$A,0),5),""),"")</f>
        <v/>
      </c>
      <c r="I48">
        <f>IFERROR(IF(ISNUMBER(INDEX(SPPR!$E:$Z,MATCH($A48,SPPR!$A:$A,0),6)),$C48*INDEX(SPPR!$E:$Z,MATCH($A48,SPPR!$A:$A,0),6),""),"")</f>
        <v/>
      </c>
      <c r="J48">
        <f>IFERROR(IF(ISNUMBER(INDEX(SPPR!$E:$Z,MATCH($A48,SPPR!$A:$A,0),7)),$C48*INDEX(SPPR!$E:$Z,MATCH($A48,SPPR!$A:$A,0),7),""),"")</f>
        <v/>
      </c>
      <c r="K48">
        <f>IFERROR(IF(ISNUMBER(INDEX(SPPR!$E:$Z,MATCH($A48,SPPR!$A:$A,0),8)),$C48*INDEX(SPPR!$E:$Z,MATCH($A48,SPPR!$A:$A,0),8),""),"")</f>
        <v/>
      </c>
      <c r="L48">
        <f>IFERROR(IF(ISNUMBER(INDEX(SPPR!$E:$Z,MATCH($A48,SPPR!$A:$A,0),9)),$C48*INDEX(SPPR!$E:$Z,MATCH($A48,SPPR!$A:$A,0),9),""),"")</f>
        <v/>
      </c>
      <c r="M48">
        <f>IFERROR(IF(ISNUMBER(INDEX(SPPR!$E:$Z,MATCH($A48,SPPR!$A:$A,0),10)),$C48*INDEX(SPPR!$E:$Z,MATCH($A48,SPPR!$A:$A,0),10),""),"")</f>
        <v/>
      </c>
      <c r="N48">
        <f>IFERROR(IF(ISNUMBER(INDEX(SPPR!$E:$Z,MATCH($A48,SPPR!$A:$A,0),11)),$C48*INDEX(SPPR!$E:$Z,MATCH($A48,SPPR!$A:$A,0),11),""),"")</f>
        <v/>
      </c>
      <c r="O48">
        <f>IFERROR(IF(ISNUMBER(INDEX(SPPR!$E:$Z,MATCH($A48,SPPR!$A:$A,0),12)),$C48*INDEX(SPPR!$E:$Z,MATCH($A48,SPPR!$A:$A,0),12),""),"")</f>
        <v/>
      </c>
      <c r="P48">
        <f>IFERROR(IF(ISNUMBER(INDEX(SPPR!$E:$Z,MATCH($A48,SPPR!$A:$A,0),13)),$C48*INDEX(SPPR!$E:$Z,MATCH($A48,SPPR!$A:$A,0),13),""),"")</f>
        <v/>
      </c>
      <c r="Q48">
        <f>IFERROR(IF(ISNUMBER(INDEX(SPPR!$E:$Z,MATCH($A48,SPPR!$A:$A,0),14)),$C48*INDEX(SPPR!$E:$Z,MATCH($A48,SPPR!$A:$A,0),14),""),"")</f>
        <v/>
      </c>
      <c r="R48">
        <f>IFERROR(IF(ISNUMBER(INDEX(SPPR!$E:$Z,MATCH($A48,SPPR!$A:$A,0),15)),$C48*INDEX(SPPR!$E:$Z,MATCH($A48,SPPR!$A:$A,0),15),""),"")</f>
        <v/>
      </c>
      <c r="S48">
        <f>IFERROR(IF(ISNUMBER(INDEX(SPPR!$E:$Z,MATCH($A48,SPPR!$A:$A,0),16)),$C48*INDEX(SPPR!$E:$Z,MATCH($A48,SPPR!$A:$A,0),16),""),"")</f>
        <v/>
      </c>
      <c r="T48">
        <f>IFERROR(IF(ISNUMBER(INDEX(SPPR!$E:$Z,MATCH($A48,SPPR!$A:$A,0),17)),$C48*INDEX(SPPR!$E:$Z,MATCH($A48,SPPR!$A:$A,0),17),""),"")</f>
        <v/>
      </c>
      <c r="U48">
        <f>IFERROR(IF(ISNUMBER(INDEX(SPPR!$E:$Z,MATCH($A48,SPPR!$A:$A,0),18)),$C48*INDEX(SPPR!$E:$Z,MATCH($A48,SPPR!$A:$A,0),18),""),"")</f>
        <v/>
      </c>
      <c r="V48">
        <f>IFERROR(IF(ISNUMBER(INDEX(SPPR!$E:$Z,MATCH($A48,SPPR!$A:$A,0),19)),$C48*INDEX(SPPR!$E:$Z,MATCH($A48,SPPR!$A:$A,0),19),""),"")</f>
        <v/>
      </c>
      <c r="W48">
        <f>IFERROR(IF(ISNUMBER(INDEX(SPPR!$E:$Z,MATCH($A48,SPPR!$A:$A,0),20)),$C48*INDEX(SPPR!$E:$Z,MATCH($A48,SPPR!$A:$A,0),20),""),"")</f>
        <v/>
      </c>
      <c r="X48">
        <f>IFERROR(IF(ISNUMBER(INDEX(SPPR!$E:$Z,MATCH($A48,SPPR!$A:$A,0),21)),$C48*INDEX(SPPR!$E:$Z,MATCH($A48,SPPR!$A:$A,0),21),""),"")</f>
        <v/>
      </c>
      <c r="Y48">
        <f>IFERROR(IF(ISNUMBER(INDEX(SPPR!$E:$Z,MATCH($A48,SPPR!$A:$A,0),22)),$C48*INDEX(SPPR!$E:$Z,MATCH($A48,SPPR!$A:$A,0),22),""),"")</f>
        <v/>
      </c>
    </row>
    <row r="49">
      <c r="A49" t="inlineStr">
        <is>
          <t>Priacanthidae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IFERROR(IF(ISNUMBER(INDEX(SPPR!$E:$Z,MATCH($A49,SPPR!$A:$A,0),1)),$C49*INDEX(SPPR!$E:$Z,MATCH($A49,SPPR!$A:$A,0),1),""),"")</f>
        <v/>
      </c>
      <c r="E49">
        <f>IFERROR(IF(ISNUMBER(INDEX(SPPR!$E:$Z,MATCH($A49,SPPR!$A:$A,0),2)),$C49*INDEX(SPPR!$E:$Z,MATCH($A49,SPPR!$A:$A,0),2),""),"")</f>
        <v/>
      </c>
      <c r="F49">
        <f>IFERROR(IF(ISNUMBER(INDEX(SPPR!$E:$Z,MATCH($A49,SPPR!$A:$A,0),3)),$C49*INDEX(SPPR!$E:$Z,MATCH($A49,SPPR!$A:$A,0),3),""),"")</f>
        <v/>
      </c>
      <c r="G49">
        <f>IFERROR(IF(ISNUMBER(INDEX(SPPR!$E:$Z,MATCH($A49,SPPR!$A:$A,0),4)),$C49*INDEX(SPPR!$E:$Z,MATCH($A49,SPPR!$A:$A,0),4),""),"")</f>
        <v/>
      </c>
      <c r="H49">
        <f>IFERROR(IF(ISNUMBER(INDEX(SPPR!$E:$Z,MATCH($A49,SPPR!$A:$A,0),5)),$C49*INDEX(SPPR!$E:$Z,MATCH($A49,SPPR!$A:$A,0),5),""),"")</f>
        <v/>
      </c>
      <c r="I49">
        <f>IFERROR(IF(ISNUMBER(INDEX(SPPR!$E:$Z,MATCH($A49,SPPR!$A:$A,0),6)),$C49*INDEX(SPPR!$E:$Z,MATCH($A49,SPPR!$A:$A,0),6),""),"")</f>
        <v/>
      </c>
      <c r="J49">
        <f>IFERROR(IF(ISNUMBER(INDEX(SPPR!$E:$Z,MATCH($A49,SPPR!$A:$A,0),7)),$C49*INDEX(SPPR!$E:$Z,MATCH($A49,SPPR!$A:$A,0),7),""),"")</f>
        <v/>
      </c>
      <c r="K49">
        <f>IFERROR(IF(ISNUMBER(INDEX(SPPR!$E:$Z,MATCH($A49,SPPR!$A:$A,0),8)),$C49*INDEX(SPPR!$E:$Z,MATCH($A49,SPPR!$A:$A,0),8),""),"")</f>
        <v/>
      </c>
      <c r="L49">
        <f>IFERROR(IF(ISNUMBER(INDEX(SPPR!$E:$Z,MATCH($A49,SPPR!$A:$A,0),9)),$C49*INDEX(SPPR!$E:$Z,MATCH($A49,SPPR!$A:$A,0),9),""),"")</f>
        <v/>
      </c>
      <c r="M49">
        <f>IFERROR(IF(ISNUMBER(INDEX(SPPR!$E:$Z,MATCH($A49,SPPR!$A:$A,0),10)),$C49*INDEX(SPPR!$E:$Z,MATCH($A49,SPPR!$A:$A,0),10),""),"")</f>
        <v/>
      </c>
      <c r="N49">
        <f>IFERROR(IF(ISNUMBER(INDEX(SPPR!$E:$Z,MATCH($A49,SPPR!$A:$A,0),11)),$C49*INDEX(SPPR!$E:$Z,MATCH($A49,SPPR!$A:$A,0),11),""),"")</f>
        <v/>
      </c>
      <c r="O49">
        <f>IFERROR(IF(ISNUMBER(INDEX(SPPR!$E:$Z,MATCH($A49,SPPR!$A:$A,0),12)),$C49*INDEX(SPPR!$E:$Z,MATCH($A49,SPPR!$A:$A,0),12),""),"")</f>
        <v/>
      </c>
      <c r="P49">
        <f>IFERROR(IF(ISNUMBER(INDEX(SPPR!$E:$Z,MATCH($A49,SPPR!$A:$A,0),13)),$C49*INDEX(SPPR!$E:$Z,MATCH($A49,SPPR!$A:$A,0),13),""),"")</f>
        <v/>
      </c>
      <c r="Q49">
        <f>IFERROR(IF(ISNUMBER(INDEX(SPPR!$E:$Z,MATCH($A49,SPPR!$A:$A,0),14)),$C49*INDEX(SPPR!$E:$Z,MATCH($A49,SPPR!$A:$A,0),14),""),"")</f>
        <v/>
      </c>
      <c r="R49">
        <f>IFERROR(IF(ISNUMBER(INDEX(SPPR!$E:$Z,MATCH($A49,SPPR!$A:$A,0),15)),$C49*INDEX(SPPR!$E:$Z,MATCH($A49,SPPR!$A:$A,0),15),""),"")</f>
        <v/>
      </c>
      <c r="S49">
        <f>IFERROR(IF(ISNUMBER(INDEX(SPPR!$E:$Z,MATCH($A49,SPPR!$A:$A,0),16)),$C49*INDEX(SPPR!$E:$Z,MATCH($A49,SPPR!$A:$A,0),16),""),"")</f>
        <v/>
      </c>
      <c r="T49">
        <f>IFERROR(IF(ISNUMBER(INDEX(SPPR!$E:$Z,MATCH($A49,SPPR!$A:$A,0),17)),$C49*INDEX(SPPR!$E:$Z,MATCH($A49,SPPR!$A:$A,0),17),""),"")</f>
        <v/>
      </c>
      <c r="U49">
        <f>IFERROR(IF(ISNUMBER(INDEX(SPPR!$E:$Z,MATCH($A49,SPPR!$A:$A,0),18)),$C49*INDEX(SPPR!$E:$Z,MATCH($A49,SPPR!$A:$A,0),18),""),"")</f>
        <v/>
      </c>
      <c r="V49">
        <f>IFERROR(IF(ISNUMBER(INDEX(SPPR!$E:$Z,MATCH($A49,SPPR!$A:$A,0),19)),$C49*INDEX(SPPR!$E:$Z,MATCH($A49,SPPR!$A:$A,0),19),""),"")</f>
        <v/>
      </c>
      <c r="W49">
        <f>IFERROR(IF(ISNUMBER(INDEX(SPPR!$E:$Z,MATCH($A49,SPPR!$A:$A,0),20)),$C49*INDEX(SPPR!$E:$Z,MATCH($A49,SPPR!$A:$A,0),20),""),"")</f>
        <v/>
      </c>
      <c r="X49">
        <f>IFERROR(IF(ISNUMBER(INDEX(SPPR!$E:$Z,MATCH($A49,SPPR!$A:$A,0),21)),$C49*INDEX(SPPR!$E:$Z,MATCH($A49,SPPR!$A:$A,0),21),""),"")</f>
        <v/>
      </c>
      <c r="Y49">
        <f>IFERROR(IF(ISNUMBER(INDEX(SPPR!$E:$Z,MATCH($A49,SPPR!$A:$A,0),22)),$C49*INDEX(SPPR!$E:$Z,MATCH($A49,SPPR!$A:$A,0),22),""),"")</f>
        <v/>
      </c>
    </row>
    <row r="50">
      <c r="A50" t="inlineStr">
        <is>
          <t>Ariidae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IFERROR(IF(ISNUMBER(INDEX(SPPR!$E:$Z,MATCH($A50,SPPR!$A:$A,0),1)),$C50*INDEX(SPPR!$E:$Z,MATCH($A50,SPPR!$A:$A,0),1),""),"")</f>
        <v/>
      </c>
      <c r="E50">
        <f>IFERROR(IF(ISNUMBER(INDEX(SPPR!$E:$Z,MATCH($A50,SPPR!$A:$A,0),2)),$C50*INDEX(SPPR!$E:$Z,MATCH($A50,SPPR!$A:$A,0),2),""),"")</f>
        <v/>
      </c>
      <c r="F50">
        <f>IFERROR(IF(ISNUMBER(INDEX(SPPR!$E:$Z,MATCH($A50,SPPR!$A:$A,0),3)),$C50*INDEX(SPPR!$E:$Z,MATCH($A50,SPPR!$A:$A,0),3),""),"")</f>
        <v/>
      </c>
      <c r="G50">
        <f>IFERROR(IF(ISNUMBER(INDEX(SPPR!$E:$Z,MATCH($A50,SPPR!$A:$A,0),4)),$C50*INDEX(SPPR!$E:$Z,MATCH($A50,SPPR!$A:$A,0),4),""),"")</f>
        <v/>
      </c>
      <c r="H50">
        <f>IFERROR(IF(ISNUMBER(INDEX(SPPR!$E:$Z,MATCH($A50,SPPR!$A:$A,0),5)),$C50*INDEX(SPPR!$E:$Z,MATCH($A50,SPPR!$A:$A,0),5),""),"")</f>
        <v/>
      </c>
      <c r="I50">
        <f>IFERROR(IF(ISNUMBER(INDEX(SPPR!$E:$Z,MATCH($A50,SPPR!$A:$A,0),6)),$C50*INDEX(SPPR!$E:$Z,MATCH($A50,SPPR!$A:$A,0),6),""),"")</f>
        <v/>
      </c>
      <c r="J50">
        <f>IFERROR(IF(ISNUMBER(INDEX(SPPR!$E:$Z,MATCH($A50,SPPR!$A:$A,0),7)),$C50*INDEX(SPPR!$E:$Z,MATCH($A50,SPPR!$A:$A,0),7),""),"")</f>
        <v/>
      </c>
      <c r="K50">
        <f>IFERROR(IF(ISNUMBER(INDEX(SPPR!$E:$Z,MATCH($A50,SPPR!$A:$A,0),8)),$C50*INDEX(SPPR!$E:$Z,MATCH($A50,SPPR!$A:$A,0),8),""),"")</f>
        <v/>
      </c>
      <c r="L50">
        <f>IFERROR(IF(ISNUMBER(INDEX(SPPR!$E:$Z,MATCH($A50,SPPR!$A:$A,0),9)),$C50*INDEX(SPPR!$E:$Z,MATCH($A50,SPPR!$A:$A,0),9),""),"")</f>
        <v/>
      </c>
      <c r="M50">
        <f>IFERROR(IF(ISNUMBER(INDEX(SPPR!$E:$Z,MATCH($A50,SPPR!$A:$A,0),10)),$C50*INDEX(SPPR!$E:$Z,MATCH($A50,SPPR!$A:$A,0),10),""),"")</f>
        <v/>
      </c>
      <c r="N50">
        <f>IFERROR(IF(ISNUMBER(INDEX(SPPR!$E:$Z,MATCH($A50,SPPR!$A:$A,0),11)),$C50*INDEX(SPPR!$E:$Z,MATCH($A50,SPPR!$A:$A,0),11),""),"")</f>
        <v/>
      </c>
      <c r="O50">
        <f>IFERROR(IF(ISNUMBER(INDEX(SPPR!$E:$Z,MATCH($A50,SPPR!$A:$A,0),12)),$C50*INDEX(SPPR!$E:$Z,MATCH($A50,SPPR!$A:$A,0),12),""),"")</f>
        <v/>
      </c>
      <c r="P50">
        <f>IFERROR(IF(ISNUMBER(INDEX(SPPR!$E:$Z,MATCH($A50,SPPR!$A:$A,0),13)),$C50*INDEX(SPPR!$E:$Z,MATCH($A50,SPPR!$A:$A,0),13),""),"")</f>
        <v/>
      </c>
      <c r="Q50">
        <f>IFERROR(IF(ISNUMBER(INDEX(SPPR!$E:$Z,MATCH($A50,SPPR!$A:$A,0),14)),$C50*INDEX(SPPR!$E:$Z,MATCH($A50,SPPR!$A:$A,0),14),""),"")</f>
        <v/>
      </c>
      <c r="R50">
        <f>IFERROR(IF(ISNUMBER(INDEX(SPPR!$E:$Z,MATCH($A50,SPPR!$A:$A,0),15)),$C50*INDEX(SPPR!$E:$Z,MATCH($A50,SPPR!$A:$A,0),15),""),"")</f>
        <v/>
      </c>
      <c r="S50">
        <f>IFERROR(IF(ISNUMBER(INDEX(SPPR!$E:$Z,MATCH($A50,SPPR!$A:$A,0),16)),$C50*INDEX(SPPR!$E:$Z,MATCH($A50,SPPR!$A:$A,0),16),""),"")</f>
        <v/>
      </c>
      <c r="T50">
        <f>IFERROR(IF(ISNUMBER(INDEX(SPPR!$E:$Z,MATCH($A50,SPPR!$A:$A,0),17)),$C50*INDEX(SPPR!$E:$Z,MATCH($A50,SPPR!$A:$A,0),17),""),"")</f>
        <v/>
      </c>
      <c r="U50">
        <f>IFERROR(IF(ISNUMBER(INDEX(SPPR!$E:$Z,MATCH($A50,SPPR!$A:$A,0),18)),$C50*INDEX(SPPR!$E:$Z,MATCH($A50,SPPR!$A:$A,0),18),""),"")</f>
        <v/>
      </c>
      <c r="V50">
        <f>IFERROR(IF(ISNUMBER(INDEX(SPPR!$E:$Z,MATCH($A50,SPPR!$A:$A,0),19)),$C50*INDEX(SPPR!$E:$Z,MATCH($A50,SPPR!$A:$A,0),19),""),"")</f>
        <v/>
      </c>
      <c r="W50">
        <f>IFERROR(IF(ISNUMBER(INDEX(SPPR!$E:$Z,MATCH($A50,SPPR!$A:$A,0),20)),$C50*INDEX(SPPR!$E:$Z,MATCH($A50,SPPR!$A:$A,0),20),""),"")</f>
        <v/>
      </c>
      <c r="X50">
        <f>IFERROR(IF(ISNUMBER(INDEX(SPPR!$E:$Z,MATCH($A50,SPPR!$A:$A,0),21)),$C50*INDEX(SPPR!$E:$Z,MATCH($A50,SPPR!$A:$A,0),21),""),"")</f>
        <v/>
      </c>
      <c r="Y50">
        <f>IFERROR(IF(ISNUMBER(INDEX(SPPR!$E:$Z,MATCH($A50,SPPR!$A:$A,0),22)),$C50*INDEX(SPPR!$E:$Z,MATCH($A50,SPPR!$A:$A,0),22),""),"")</f>
        <v/>
      </c>
    </row>
    <row r="51">
      <c r="A51" t="inlineStr">
        <is>
          <t>Sepiida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IFERROR(IF(ISNUMBER(INDEX(SPPR!$E:$Z,MATCH($A51,SPPR!$A:$A,0),1)),$C51*INDEX(SPPR!$E:$Z,MATCH($A51,SPPR!$A:$A,0),1),""),"")</f>
        <v/>
      </c>
      <c r="E51">
        <f>IFERROR(IF(ISNUMBER(INDEX(SPPR!$E:$Z,MATCH($A51,SPPR!$A:$A,0),2)),$C51*INDEX(SPPR!$E:$Z,MATCH($A51,SPPR!$A:$A,0),2),""),"")</f>
        <v/>
      </c>
      <c r="F51">
        <f>IFERROR(IF(ISNUMBER(INDEX(SPPR!$E:$Z,MATCH($A51,SPPR!$A:$A,0),3)),$C51*INDEX(SPPR!$E:$Z,MATCH($A51,SPPR!$A:$A,0),3),""),"")</f>
        <v/>
      </c>
      <c r="G51">
        <f>IFERROR(IF(ISNUMBER(INDEX(SPPR!$E:$Z,MATCH($A51,SPPR!$A:$A,0),4)),$C51*INDEX(SPPR!$E:$Z,MATCH($A51,SPPR!$A:$A,0),4),""),"")</f>
        <v/>
      </c>
      <c r="H51">
        <f>IFERROR(IF(ISNUMBER(INDEX(SPPR!$E:$Z,MATCH($A51,SPPR!$A:$A,0),5)),$C51*INDEX(SPPR!$E:$Z,MATCH($A51,SPPR!$A:$A,0),5),""),"")</f>
        <v/>
      </c>
      <c r="I51">
        <f>IFERROR(IF(ISNUMBER(INDEX(SPPR!$E:$Z,MATCH($A51,SPPR!$A:$A,0),6)),$C51*INDEX(SPPR!$E:$Z,MATCH($A51,SPPR!$A:$A,0),6),""),"")</f>
        <v/>
      </c>
      <c r="J51">
        <f>IFERROR(IF(ISNUMBER(INDEX(SPPR!$E:$Z,MATCH($A51,SPPR!$A:$A,0),7)),$C51*INDEX(SPPR!$E:$Z,MATCH($A51,SPPR!$A:$A,0),7),""),"")</f>
        <v/>
      </c>
      <c r="K51">
        <f>IFERROR(IF(ISNUMBER(INDEX(SPPR!$E:$Z,MATCH($A51,SPPR!$A:$A,0),8)),$C51*INDEX(SPPR!$E:$Z,MATCH($A51,SPPR!$A:$A,0),8),""),"")</f>
        <v/>
      </c>
      <c r="L51">
        <f>IFERROR(IF(ISNUMBER(INDEX(SPPR!$E:$Z,MATCH($A51,SPPR!$A:$A,0),9)),$C51*INDEX(SPPR!$E:$Z,MATCH($A51,SPPR!$A:$A,0),9),""),"")</f>
        <v/>
      </c>
      <c r="M51">
        <f>IFERROR(IF(ISNUMBER(INDEX(SPPR!$E:$Z,MATCH($A51,SPPR!$A:$A,0),10)),$C51*INDEX(SPPR!$E:$Z,MATCH($A51,SPPR!$A:$A,0),10),""),"")</f>
        <v/>
      </c>
      <c r="N51">
        <f>IFERROR(IF(ISNUMBER(INDEX(SPPR!$E:$Z,MATCH($A51,SPPR!$A:$A,0),11)),$C51*INDEX(SPPR!$E:$Z,MATCH($A51,SPPR!$A:$A,0),11),""),"")</f>
        <v/>
      </c>
      <c r="O51">
        <f>IFERROR(IF(ISNUMBER(INDEX(SPPR!$E:$Z,MATCH($A51,SPPR!$A:$A,0),12)),$C51*INDEX(SPPR!$E:$Z,MATCH($A51,SPPR!$A:$A,0),12),""),"")</f>
        <v/>
      </c>
      <c r="P51">
        <f>IFERROR(IF(ISNUMBER(INDEX(SPPR!$E:$Z,MATCH($A51,SPPR!$A:$A,0),13)),$C51*INDEX(SPPR!$E:$Z,MATCH($A51,SPPR!$A:$A,0),13),""),"")</f>
        <v/>
      </c>
      <c r="Q51">
        <f>IFERROR(IF(ISNUMBER(INDEX(SPPR!$E:$Z,MATCH($A51,SPPR!$A:$A,0),14)),$C51*INDEX(SPPR!$E:$Z,MATCH($A51,SPPR!$A:$A,0),14),""),"")</f>
        <v/>
      </c>
      <c r="R51">
        <f>IFERROR(IF(ISNUMBER(INDEX(SPPR!$E:$Z,MATCH($A51,SPPR!$A:$A,0),15)),$C51*INDEX(SPPR!$E:$Z,MATCH($A51,SPPR!$A:$A,0),15),""),"")</f>
        <v/>
      </c>
      <c r="S51">
        <f>IFERROR(IF(ISNUMBER(INDEX(SPPR!$E:$Z,MATCH($A51,SPPR!$A:$A,0),16)),$C51*INDEX(SPPR!$E:$Z,MATCH($A51,SPPR!$A:$A,0),16),""),"")</f>
        <v/>
      </c>
      <c r="T51">
        <f>IFERROR(IF(ISNUMBER(INDEX(SPPR!$E:$Z,MATCH($A51,SPPR!$A:$A,0),17)),$C51*INDEX(SPPR!$E:$Z,MATCH($A51,SPPR!$A:$A,0),17),""),"")</f>
        <v/>
      </c>
      <c r="U51">
        <f>IFERROR(IF(ISNUMBER(INDEX(SPPR!$E:$Z,MATCH($A51,SPPR!$A:$A,0),18)),$C51*INDEX(SPPR!$E:$Z,MATCH($A51,SPPR!$A:$A,0),18),""),"")</f>
        <v/>
      </c>
      <c r="V51">
        <f>IFERROR(IF(ISNUMBER(INDEX(SPPR!$E:$Z,MATCH($A51,SPPR!$A:$A,0),19)),$C51*INDEX(SPPR!$E:$Z,MATCH($A51,SPPR!$A:$A,0),19),""),"")</f>
        <v/>
      </c>
      <c r="W51">
        <f>IFERROR(IF(ISNUMBER(INDEX(SPPR!$E:$Z,MATCH($A51,SPPR!$A:$A,0),20)),$C51*INDEX(SPPR!$E:$Z,MATCH($A51,SPPR!$A:$A,0),20),""),"")</f>
        <v/>
      </c>
      <c r="X51">
        <f>IFERROR(IF(ISNUMBER(INDEX(SPPR!$E:$Z,MATCH($A51,SPPR!$A:$A,0),21)),$C51*INDEX(SPPR!$E:$Z,MATCH($A51,SPPR!$A:$A,0),21),""),"")</f>
        <v/>
      </c>
      <c r="Y51">
        <f>IFERROR(IF(ISNUMBER(INDEX(SPPR!$E:$Z,MATCH($A51,SPPR!$A:$A,0),22)),$C51*INDEX(SPPR!$E:$Z,MATCH($A51,SPPR!$A:$A,0),22),""),"")</f>
        <v/>
      </c>
    </row>
    <row r="52">
      <c r="A52" t="inlineStr">
        <is>
          <t>Harpadon nehereus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IFERROR(IF(ISNUMBER(INDEX(SPPR!$E:$Z,MATCH($A52,SPPR!$A:$A,0),1)),$C52*INDEX(SPPR!$E:$Z,MATCH($A52,SPPR!$A:$A,0),1),""),"")</f>
        <v/>
      </c>
      <c r="E52">
        <f>IFERROR(IF(ISNUMBER(INDEX(SPPR!$E:$Z,MATCH($A52,SPPR!$A:$A,0),2)),$C52*INDEX(SPPR!$E:$Z,MATCH($A52,SPPR!$A:$A,0),2),""),"")</f>
        <v/>
      </c>
      <c r="F52">
        <f>IFERROR(IF(ISNUMBER(INDEX(SPPR!$E:$Z,MATCH($A52,SPPR!$A:$A,0),3)),$C52*INDEX(SPPR!$E:$Z,MATCH($A52,SPPR!$A:$A,0),3),""),"")</f>
        <v/>
      </c>
      <c r="G52">
        <f>IFERROR(IF(ISNUMBER(INDEX(SPPR!$E:$Z,MATCH($A52,SPPR!$A:$A,0),4)),$C52*INDEX(SPPR!$E:$Z,MATCH($A52,SPPR!$A:$A,0),4),""),"")</f>
        <v/>
      </c>
      <c r="H52">
        <f>IFERROR(IF(ISNUMBER(INDEX(SPPR!$E:$Z,MATCH($A52,SPPR!$A:$A,0),5)),$C52*INDEX(SPPR!$E:$Z,MATCH($A52,SPPR!$A:$A,0),5),""),"")</f>
        <v/>
      </c>
      <c r="I52">
        <f>IFERROR(IF(ISNUMBER(INDEX(SPPR!$E:$Z,MATCH($A52,SPPR!$A:$A,0),6)),$C52*INDEX(SPPR!$E:$Z,MATCH($A52,SPPR!$A:$A,0),6),""),"")</f>
        <v/>
      </c>
      <c r="J52">
        <f>IFERROR(IF(ISNUMBER(INDEX(SPPR!$E:$Z,MATCH($A52,SPPR!$A:$A,0),7)),$C52*INDEX(SPPR!$E:$Z,MATCH($A52,SPPR!$A:$A,0),7),""),"")</f>
        <v/>
      </c>
      <c r="K52">
        <f>IFERROR(IF(ISNUMBER(INDEX(SPPR!$E:$Z,MATCH($A52,SPPR!$A:$A,0),8)),$C52*INDEX(SPPR!$E:$Z,MATCH($A52,SPPR!$A:$A,0),8),""),"")</f>
        <v/>
      </c>
      <c r="L52">
        <f>IFERROR(IF(ISNUMBER(INDEX(SPPR!$E:$Z,MATCH($A52,SPPR!$A:$A,0),9)),$C52*INDEX(SPPR!$E:$Z,MATCH($A52,SPPR!$A:$A,0),9),""),"")</f>
        <v/>
      </c>
      <c r="M52">
        <f>IFERROR(IF(ISNUMBER(INDEX(SPPR!$E:$Z,MATCH($A52,SPPR!$A:$A,0),10)),$C52*INDEX(SPPR!$E:$Z,MATCH($A52,SPPR!$A:$A,0),10),""),"")</f>
        <v/>
      </c>
      <c r="N52">
        <f>IFERROR(IF(ISNUMBER(INDEX(SPPR!$E:$Z,MATCH($A52,SPPR!$A:$A,0),11)),$C52*INDEX(SPPR!$E:$Z,MATCH($A52,SPPR!$A:$A,0),11),""),"")</f>
        <v/>
      </c>
      <c r="O52">
        <f>IFERROR(IF(ISNUMBER(INDEX(SPPR!$E:$Z,MATCH($A52,SPPR!$A:$A,0),12)),$C52*INDEX(SPPR!$E:$Z,MATCH($A52,SPPR!$A:$A,0),12),""),"")</f>
        <v/>
      </c>
      <c r="P52">
        <f>IFERROR(IF(ISNUMBER(INDEX(SPPR!$E:$Z,MATCH($A52,SPPR!$A:$A,0),13)),$C52*INDEX(SPPR!$E:$Z,MATCH($A52,SPPR!$A:$A,0),13),""),"")</f>
        <v/>
      </c>
      <c r="Q52">
        <f>IFERROR(IF(ISNUMBER(INDEX(SPPR!$E:$Z,MATCH($A52,SPPR!$A:$A,0),14)),$C52*INDEX(SPPR!$E:$Z,MATCH($A52,SPPR!$A:$A,0),14),""),"")</f>
        <v/>
      </c>
      <c r="R52">
        <f>IFERROR(IF(ISNUMBER(INDEX(SPPR!$E:$Z,MATCH($A52,SPPR!$A:$A,0),15)),$C52*INDEX(SPPR!$E:$Z,MATCH($A52,SPPR!$A:$A,0),15),""),"")</f>
        <v/>
      </c>
      <c r="S52">
        <f>IFERROR(IF(ISNUMBER(INDEX(SPPR!$E:$Z,MATCH($A52,SPPR!$A:$A,0),16)),$C52*INDEX(SPPR!$E:$Z,MATCH($A52,SPPR!$A:$A,0),16),""),"")</f>
        <v/>
      </c>
      <c r="T52">
        <f>IFERROR(IF(ISNUMBER(INDEX(SPPR!$E:$Z,MATCH($A52,SPPR!$A:$A,0),17)),$C52*INDEX(SPPR!$E:$Z,MATCH($A52,SPPR!$A:$A,0),17),""),"")</f>
        <v/>
      </c>
      <c r="U52">
        <f>IFERROR(IF(ISNUMBER(INDEX(SPPR!$E:$Z,MATCH($A52,SPPR!$A:$A,0),18)),$C52*INDEX(SPPR!$E:$Z,MATCH($A52,SPPR!$A:$A,0),18),""),"")</f>
        <v/>
      </c>
      <c r="V52">
        <f>IFERROR(IF(ISNUMBER(INDEX(SPPR!$E:$Z,MATCH($A52,SPPR!$A:$A,0),19)),$C52*INDEX(SPPR!$E:$Z,MATCH($A52,SPPR!$A:$A,0),19),""),"")</f>
        <v/>
      </c>
      <c r="W52">
        <f>IFERROR(IF(ISNUMBER(INDEX(SPPR!$E:$Z,MATCH($A52,SPPR!$A:$A,0),20)),$C52*INDEX(SPPR!$E:$Z,MATCH($A52,SPPR!$A:$A,0),20),""),"")</f>
        <v/>
      </c>
      <c r="X52">
        <f>IFERROR(IF(ISNUMBER(INDEX(SPPR!$E:$Z,MATCH($A52,SPPR!$A:$A,0),21)),$C52*INDEX(SPPR!$E:$Z,MATCH($A52,SPPR!$A:$A,0),21),""),"")</f>
        <v/>
      </c>
      <c r="Y52">
        <f>IFERROR(IF(ISNUMBER(INDEX(SPPR!$E:$Z,MATCH($A52,SPPR!$A:$A,0),22)),$C52*INDEX(SPPR!$E:$Z,MATCH($A52,SPPR!$A:$A,0),22),""),"")</f>
        <v/>
      </c>
    </row>
    <row r="53">
      <c r="A53" t="inlineStr">
        <is>
          <t>Squillidae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IFERROR(IF(ISNUMBER(INDEX(SPPR!$E:$Z,MATCH($A53,SPPR!$A:$A,0),1)),$C53*INDEX(SPPR!$E:$Z,MATCH($A53,SPPR!$A:$A,0),1),""),"")</f>
        <v/>
      </c>
      <c r="E53">
        <f>IFERROR(IF(ISNUMBER(INDEX(SPPR!$E:$Z,MATCH($A53,SPPR!$A:$A,0),2)),$C53*INDEX(SPPR!$E:$Z,MATCH($A53,SPPR!$A:$A,0),2),""),"")</f>
        <v/>
      </c>
      <c r="F53">
        <f>IFERROR(IF(ISNUMBER(INDEX(SPPR!$E:$Z,MATCH($A53,SPPR!$A:$A,0),3)),$C53*INDEX(SPPR!$E:$Z,MATCH($A53,SPPR!$A:$A,0),3),""),"")</f>
        <v/>
      </c>
      <c r="G53">
        <f>IFERROR(IF(ISNUMBER(INDEX(SPPR!$E:$Z,MATCH($A53,SPPR!$A:$A,0),4)),$C53*INDEX(SPPR!$E:$Z,MATCH($A53,SPPR!$A:$A,0),4),""),"")</f>
        <v/>
      </c>
      <c r="H53">
        <f>IFERROR(IF(ISNUMBER(INDEX(SPPR!$E:$Z,MATCH($A53,SPPR!$A:$A,0),5)),$C53*INDEX(SPPR!$E:$Z,MATCH($A53,SPPR!$A:$A,0),5),""),"")</f>
        <v/>
      </c>
      <c r="I53">
        <f>IFERROR(IF(ISNUMBER(INDEX(SPPR!$E:$Z,MATCH($A53,SPPR!$A:$A,0),6)),$C53*INDEX(SPPR!$E:$Z,MATCH($A53,SPPR!$A:$A,0),6),""),"")</f>
        <v/>
      </c>
      <c r="J53">
        <f>IFERROR(IF(ISNUMBER(INDEX(SPPR!$E:$Z,MATCH($A53,SPPR!$A:$A,0),7)),$C53*INDEX(SPPR!$E:$Z,MATCH($A53,SPPR!$A:$A,0),7),""),"")</f>
        <v/>
      </c>
      <c r="K53">
        <f>IFERROR(IF(ISNUMBER(INDEX(SPPR!$E:$Z,MATCH($A53,SPPR!$A:$A,0),8)),$C53*INDEX(SPPR!$E:$Z,MATCH($A53,SPPR!$A:$A,0),8),""),"")</f>
        <v/>
      </c>
      <c r="L53">
        <f>IFERROR(IF(ISNUMBER(INDEX(SPPR!$E:$Z,MATCH($A53,SPPR!$A:$A,0),9)),$C53*INDEX(SPPR!$E:$Z,MATCH($A53,SPPR!$A:$A,0),9),""),"")</f>
        <v/>
      </c>
      <c r="M53">
        <f>IFERROR(IF(ISNUMBER(INDEX(SPPR!$E:$Z,MATCH($A53,SPPR!$A:$A,0),10)),$C53*INDEX(SPPR!$E:$Z,MATCH($A53,SPPR!$A:$A,0),10),""),"")</f>
        <v/>
      </c>
      <c r="N53">
        <f>IFERROR(IF(ISNUMBER(INDEX(SPPR!$E:$Z,MATCH($A53,SPPR!$A:$A,0),11)),$C53*INDEX(SPPR!$E:$Z,MATCH($A53,SPPR!$A:$A,0),11),""),"")</f>
        <v/>
      </c>
      <c r="O53">
        <f>IFERROR(IF(ISNUMBER(INDEX(SPPR!$E:$Z,MATCH($A53,SPPR!$A:$A,0),12)),$C53*INDEX(SPPR!$E:$Z,MATCH($A53,SPPR!$A:$A,0),12),""),"")</f>
        <v/>
      </c>
      <c r="P53">
        <f>IFERROR(IF(ISNUMBER(INDEX(SPPR!$E:$Z,MATCH($A53,SPPR!$A:$A,0),13)),$C53*INDEX(SPPR!$E:$Z,MATCH($A53,SPPR!$A:$A,0),13),""),"")</f>
        <v/>
      </c>
      <c r="Q53">
        <f>IFERROR(IF(ISNUMBER(INDEX(SPPR!$E:$Z,MATCH($A53,SPPR!$A:$A,0),14)),$C53*INDEX(SPPR!$E:$Z,MATCH($A53,SPPR!$A:$A,0),14),""),"")</f>
        <v/>
      </c>
      <c r="R53">
        <f>IFERROR(IF(ISNUMBER(INDEX(SPPR!$E:$Z,MATCH($A53,SPPR!$A:$A,0),15)),$C53*INDEX(SPPR!$E:$Z,MATCH($A53,SPPR!$A:$A,0),15),""),"")</f>
        <v/>
      </c>
      <c r="S53">
        <f>IFERROR(IF(ISNUMBER(INDEX(SPPR!$E:$Z,MATCH($A53,SPPR!$A:$A,0),16)),$C53*INDEX(SPPR!$E:$Z,MATCH($A53,SPPR!$A:$A,0),16),""),"")</f>
        <v/>
      </c>
      <c r="T53">
        <f>IFERROR(IF(ISNUMBER(INDEX(SPPR!$E:$Z,MATCH($A53,SPPR!$A:$A,0),17)),$C53*INDEX(SPPR!$E:$Z,MATCH($A53,SPPR!$A:$A,0),17),""),"")</f>
        <v/>
      </c>
      <c r="U53">
        <f>IFERROR(IF(ISNUMBER(INDEX(SPPR!$E:$Z,MATCH($A53,SPPR!$A:$A,0),18)),$C53*INDEX(SPPR!$E:$Z,MATCH($A53,SPPR!$A:$A,0),18),""),"")</f>
        <v/>
      </c>
      <c r="V53">
        <f>IFERROR(IF(ISNUMBER(INDEX(SPPR!$E:$Z,MATCH($A53,SPPR!$A:$A,0),19)),$C53*INDEX(SPPR!$E:$Z,MATCH($A53,SPPR!$A:$A,0),19),""),"")</f>
        <v/>
      </c>
      <c r="W53">
        <f>IFERROR(IF(ISNUMBER(INDEX(SPPR!$E:$Z,MATCH($A53,SPPR!$A:$A,0),20)),$C53*INDEX(SPPR!$E:$Z,MATCH($A53,SPPR!$A:$A,0),20),""),"")</f>
        <v/>
      </c>
      <c r="X53">
        <f>IFERROR(IF(ISNUMBER(INDEX(SPPR!$E:$Z,MATCH($A53,SPPR!$A:$A,0),21)),$C53*INDEX(SPPR!$E:$Z,MATCH($A53,SPPR!$A:$A,0),21),""),"")</f>
        <v/>
      </c>
      <c r="Y53">
        <f>IFERROR(IF(ISNUMBER(INDEX(SPPR!$E:$Z,MATCH($A53,SPPR!$A:$A,0),22)),$C53*INDEX(SPPR!$E:$Z,MATCH($A53,SPPR!$A:$A,0),22),""),"")</f>
        <v/>
      </c>
    </row>
    <row r="54">
      <c r="A54" t="inlineStr">
        <is>
          <t>Todarodes pacificus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IFERROR(IF(ISNUMBER(INDEX(SPPR!$E:$Z,MATCH($A54,SPPR!$A:$A,0),1)),$C54*INDEX(SPPR!$E:$Z,MATCH($A54,SPPR!$A:$A,0),1),""),"")</f>
        <v/>
      </c>
      <c r="E54">
        <f>IFERROR(IF(ISNUMBER(INDEX(SPPR!$E:$Z,MATCH($A54,SPPR!$A:$A,0),2)),$C54*INDEX(SPPR!$E:$Z,MATCH($A54,SPPR!$A:$A,0),2),""),"")</f>
        <v/>
      </c>
      <c r="F54">
        <f>IFERROR(IF(ISNUMBER(INDEX(SPPR!$E:$Z,MATCH($A54,SPPR!$A:$A,0),3)),$C54*INDEX(SPPR!$E:$Z,MATCH($A54,SPPR!$A:$A,0),3),""),"")</f>
        <v/>
      </c>
      <c r="G54">
        <f>IFERROR(IF(ISNUMBER(INDEX(SPPR!$E:$Z,MATCH($A54,SPPR!$A:$A,0),4)),$C54*INDEX(SPPR!$E:$Z,MATCH($A54,SPPR!$A:$A,0),4),""),"")</f>
        <v/>
      </c>
      <c r="H54">
        <f>IFERROR(IF(ISNUMBER(INDEX(SPPR!$E:$Z,MATCH($A54,SPPR!$A:$A,0),5)),$C54*INDEX(SPPR!$E:$Z,MATCH($A54,SPPR!$A:$A,0),5),""),"")</f>
        <v/>
      </c>
      <c r="I54">
        <f>IFERROR(IF(ISNUMBER(INDEX(SPPR!$E:$Z,MATCH($A54,SPPR!$A:$A,0),6)),$C54*INDEX(SPPR!$E:$Z,MATCH($A54,SPPR!$A:$A,0),6),""),"")</f>
        <v/>
      </c>
      <c r="J54">
        <f>IFERROR(IF(ISNUMBER(INDEX(SPPR!$E:$Z,MATCH($A54,SPPR!$A:$A,0),7)),$C54*INDEX(SPPR!$E:$Z,MATCH($A54,SPPR!$A:$A,0),7),""),"")</f>
        <v/>
      </c>
      <c r="K54">
        <f>IFERROR(IF(ISNUMBER(INDEX(SPPR!$E:$Z,MATCH($A54,SPPR!$A:$A,0),8)),$C54*INDEX(SPPR!$E:$Z,MATCH($A54,SPPR!$A:$A,0),8),""),"")</f>
        <v/>
      </c>
      <c r="L54">
        <f>IFERROR(IF(ISNUMBER(INDEX(SPPR!$E:$Z,MATCH($A54,SPPR!$A:$A,0),9)),$C54*INDEX(SPPR!$E:$Z,MATCH($A54,SPPR!$A:$A,0),9),""),"")</f>
        <v/>
      </c>
      <c r="M54">
        <f>IFERROR(IF(ISNUMBER(INDEX(SPPR!$E:$Z,MATCH($A54,SPPR!$A:$A,0),10)),$C54*INDEX(SPPR!$E:$Z,MATCH($A54,SPPR!$A:$A,0),10),""),"")</f>
        <v/>
      </c>
      <c r="N54">
        <f>IFERROR(IF(ISNUMBER(INDEX(SPPR!$E:$Z,MATCH($A54,SPPR!$A:$A,0),11)),$C54*INDEX(SPPR!$E:$Z,MATCH($A54,SPPR!$A:$A,0),11),""),"")</f>
        <v/>
      </c>
      <c r="O54">
        <f>IFERROR(IF(ISNUMBER(INDEX(SPPR!$E:$Z,MATCH($A54,SPPR!$A:$A,0),12)),$C54*INDEX(SPPR!$E:$Z,MATCH($A54,SPPR!$A:$A,0),12),""),"")</f>
        <v/>
      </c>
      <c r="P54">
        <f>IFERROR(IF(ISNUMBER(INDEX(SPPR!$E:$Z,MATCH($A54,SPPR!$A:$A,0),13)),$C54*INDEX(SPPR!$E:$Z,MATCH($A54,SPPR!$A:$A,0),13),""),"")</f>
        <v/>
      </c>
      <c r="Q54">
        <f>IFERROR(IF(ISNUMBER(INDEX(SPPR!$E:$Z,MATCH($A54,SPPR!$A:$A,0),14)),$C54*INDEX(SPPR!$E:$Z,MATCH($A54,SPPR!$A:$A,0),14),""),"")</f>
        <v/>
      </c>
      <c r="R54">
        <f>IFERROR(IF(ISNUMBER(INDEX(SPPR!$E:$Z,MATCH($A54,SPPR!$A:$A,0),15)),$C54*INDEX(SPPR!$E:$Z,MATCH($A54,SPPR!$A:$A,0),15),""),"")</f>
        <v/>
      </c>
      <c r="S54">
        <f>IFERROR(IF(ISNUMBER(INDEX(SPPR!$E:$Z,MATCH($A54,SPPR!$A:$A,0),16)),$C54*INDEX(SPPR!$E:$Z,MATCH($A54,SPPR!$A:$A,0),16),""),"")</f>
        <v/>
      </c>
      <c r="T54">
        <f>IFERROR(IF(ISNUMBER(INDEX(SPPR!$E:$Z,MATCH($A54,SPPR!$A:$A,0),17)),$C54*INDEX(SPPR!$E:$Z,MATCH($A54,SPPR!$A:$A,0),17),""),"")</f>
        <v/>
      </c>
      <c r="U54">
        <f>IFERROR(IF(ISNUMBER(INDEX(SPPR!$E:$Z,MATCH($A54,SPPR!$A:$A,0),18)),$C54*INDEX(SPPR!$E:$Z,MATCH($A54,SPPR!$A:$A,0),18),""),"")</f>
        <v/>
      </c>
      <c r="V54">
        <f>IFERROR(IF(ISNUMBER(INDEX(SPPR!$E:$Z,MATCH($A54,SPPR!$A:$A,0),19)),$C54*INDEX(SPPR!$E:$Z,MATCH($A54,SPPR!$A:$A,0),19),""),"")</f>
        <v/>
      </c>
      <c r="W54">
        <f>IFERROR(IF(ISNUMBER(INDEX(SPPR!$E:$Z,MATCH($A54,SPPR!$A:$A,0),20)),$C54*INDEX(SPPR!$E:$Z,MATCH($A54,SPPR!$A:$A,0),20),""),"")</f>
        <v/>
      </c>
      <c r="X54">
        <f>IFERROR(IF(ISNUMBER(INDEX(SPPR!$E:$Z,MATCH($A54,SPPR!$A:$A,0),21)),$C54*INDEX(SPPR!$E:$Z,MATCH($A54,SPPR!$A:$A,0),21),""),"")</f>
        <v/>
      </c>
      <c r="Y54">
        <f>IFERROR(IF(ISNUMBER(INDEX(SPPR!$E:$Z,MATCH($A54,SPPR!$A:$A,0),22)),$C54*INDEX(SPPR!$E:$Z,MATCH($A54,SPPR!$A:$A,0),22),""),"")</f>
        <v/>
      </c>
    </row>
    <row r="55">
      <c r="A55" t="inlineStr">
        <is>
          <t>Elasmobranchii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IFERROR(IF(ISNUMBER(INDEX(SPPR!$E:$Z,MATCH($A55,SPPR!$A:$A,0),1)),$C55*INDEX(SPPR!$E:$Z,MATCH($A55,SPPR!$A:$A,0),1),""),"")</f>
        <v/>
      </c>
      <c r="E55">
        <f>IFERROR(IF(ISNUMBER(INDEX(SPPR!$E:$Z,MATCH($A55,SPPR!$A:$A,0),2)),$C55*INDEX(SPPR!$E:$Z,MATCH($A55,SPPR!$A:$A,0),2),""),"")</f>
        <v/>
      </c>
      <c r="F55">
        <f>IFERROR(IF(ISNUMBER(INDEX(SPPR!$E:$Z,MATCH($A55,SPPR!$A:$A,0),3)),$C55*INDEX(SPPR!$E:$Z,MATCH($A55,SPPR!$A:$A,0),3),""),"")</f>
        <v/>
      </c>
      <c r="G55">
        <f>IFERROR(IF(ISNUMBER(INDEX(SPPR!$E:$Z,MATCH($A55,SPPR!$A:$A,0),4)),$C55*INDEX(SPPR!$E:$Z,MATCH($A55,SPPR!$A:$A,0),4),""),"")</f>
        <v/>
      </c>
      <c r="H55">
        <f>IFERROR(IF(ISNUMBER(INDEX(SPPR!$E:$Z,MATCH($A55,SPPR!$A:$A,0),5)),$C55*INDEX(SPPR!$E:$Z,MATCH($A55,SPPR!$A:$A,0),5),""),"")</f>
        <v/>
      </c>
      <c r="I55">
        <f>IFERROR(IF(ISNUMBER(INDEX(SPPR!$E:$Z,MATCH($A55,SPPR!$A:$A,0),6)),$C55*INDEX(SPPR!$E:$Z,MATCH($A55,SPPR!$A:$A,0),6),""),"")</f>
        <v/>
      </c>
      <c r="J55">
        <f>IFERROR(IF(ISNUMBER(INDEX(SPPR!$E:$Z,MATCH($A55,SPPR!$A:$A,0),7)),$C55*INDEX(SPPR!$E:$Z,MATCH($A55,SPPR!$A:$A,0),7),""),"")</f>
        <v/>
      </c>
      <c r="K55">
        <f>IFERROR(IF(ISNUMBER(INDEX(SPPR!$E:$Z,MATCH($A55,SPPR!$A:$A,0),8)),$C55*INDEX(SPPR!$E:$Z,MATCH($A55,SPPR!$A:$A,0),8),""),"")</f>
        <v/>
      </c>
      <c r="L55">
        <f>IFERROR(IF(ISNUMBER(INDEX(SPPR!$E:$Z,MATCH($A55,SPPR!$A:$A,0),9)),$C55*INDEX(SPPR!$E:$Z,MATCH($A55,SPPR!$A:$A,0),9),""),"")</f>
        <v/>
      </c>
      <c r="M55">
        <f>IFERROR(IF(ISNUMBER(INDEX(SPPR!$E:$Z,MATCH($A55,SPPR!$A:$A,0),10)),$C55*INDEX(SPPR!$E:$Z,MATCH($A55,SPPR!$A:$A,0),10),""),"")</f>
        <v/>
      </c>
      <c r="N55">
        <f>IFERROR(IF(ISNUMBER(INDEX(SPPR!$E:$Z,MATCH($A55,SPPR!$A:$A,0),11)),$C55*INDEX(SPPR!$E:$Z,MATCH($A55,SPPR!$A:$A,0),11),""),"")</f>
        <v/>
      </c>
      <c r="O55">
        <f>IFERROR(IF(ISNUMBER(INDEX(SPPR!$E:$Z,MATCH($A55,SPPR!$A:$A,0),12)),$C55*INDEX(SPPR!$E:$Z,MATCH($A55,SPPR!$A:$A,0),12),""),"")</f>
        <v/>
      </c>
      <c r="P55">
        <f>IFERROR(IF(ISNUMBER(INDEX(SPPR!$E:$Z,MATCH($A55,SPPR!$A:$A,0),13)),$C55*INDEX(SPPR!$E:$Z,MATCH($A55,SPPR!$A:$A,0),13),""),"")</f>
        <v/>
      </c>
      <c r="Q55">
        <f>IFERROR(IF(ISNUMBER(INDEX(SPPR!$E:$Z,MATCH($A55,SPPR!$A:$A,0),14)),$C55*INDEX(SPPR!$E:$Z,MATCH($A55,SPPR!$A:$A,0),14),""),"")</f>
        <v/>
      </c>
      <c r="R55">
        <f>IFERROR(IF(ISNUMBER(INDEX(SPPR!$E:$Z,MATCH($A55,SPPR!$A:$A,0),15)),$C55*INDEX(SPPR!$E:$Z,MATCH($A55,SPPR!$A:$A,0),15),""),"")</f>
        <v/>
      </c>
      <c r="S55">
        <f>IFERROR(IF(ISNUMBER(INDEX(SPPR!$E:$Z,MATCH($A55,SPPR!$A:$A,0),16)),$C55*INDEX(SPPR!$E:$Z,MATCH($A55,SPPR!$A:$A,0),16),""),"")</f>
        <v/>
      </c>
      <c r="T55">
        <f>IFERROR(IF(ISNUMBER(INDEX(SPPR!$E:$Z,MATCH($A55,SPPR!$A:$A,0),17)),$C55*INDEX(SPPR!$E:$Z,MATCH($A55,SPPR!$A:$A,0),17),""),"")</f>
        <v/>
      </c>
      <c r="U55">
        <f>IFERROR(IF(ISNUMBER(INDEX(SPPR!$E:$Z,MATCH($A55,SPPR!$A:$A,0),18)),$C55*INDEX(SPPR!$E:$Z,MATCH($A55,SPPR!$A:$A,0),18),""),"")</f>
        <v/>
      </c>
      <c r="V55">
        <f>IFERROR(IF(ISNUMBER(INDEX(SPPR!$E:$Z,MATCH($A55,SPPR!$A:$A,0),19)),$C55*INDEX(SPPR!$E:$Z,MATCH($A55,SPPR!$A:$A,0),19),""),"")</f>
        <v/>
      </c>
      <c r="W55">
        <f>IFERROR(IF(ISNUMBER(INDEX(SPPR!$E:$Z,MATCH($A55,SPPR!$A:$A,0),20)),$C55*INDEX(SPPR!$E:$Z,MATCH($A55,SPPR!$A:$A,0),20),""),"")</f>
        <v/>
      </c>
      <c r="X55">
        <f>IFERROR(IF(ISNUMBER(INDEX(SPPR!$E:$Z,MATCH($A55,SPPR!$A:$A,0),21)),$C55*INDEX(SPPR!$E:$Z,MATCH($A55,SPPR!$A:$A,0),21),""),"")</f>
        <v/>
      </c>
      <c r="Y55">
        <f>IFERROR(IF(ISNUMBER(INDEX(SPPR!$E:$Z,MATCH($A55,SPPR!$A:$A,0),22)),$C55*INDEX(SPPR!$E:$Z,MATCH($A55,SPPR!$A:$A,0),22),""),"")</f>
        <v/>
      </c>
    </row>
    <row r="56">
      <c r="A56" t="inlineStr">
        <is>
          <t>Rastrelliger brachysoma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IFERROR(IF(ISNUMBER(INDEX(SPPR!$E:$Z,MATCH($A56,SPPR!$A:$A,0),1)),$C56*INDEX(SPPR!$E:$Z,MATCH($A56,SPPR!$A:$A,0),1),""),"")</f>
        <v/>
      </c>
      <c r="E56">
        <f>IFERROR(IF(ISNUMBER(INDEX(SPPR!$E:$Z,MATCH($A56,SPPR!$A:$A,0),2)),$C56*INDEX(SPPR!$E:$Z,MATCH($A56,SPPR!$A:$A,0),2),""),"")</f>
        <v/>
      </c>
      <c r="F56">
        <f>IFERROR(IF(ISNUMBER(INDEX(SPPR!$E:$Z,MATCH($A56,SPPR!$A:$A,0),3)),$C56*INDEX(SPPR!$E:$Z,MATCH($A56,SPPR!$A:$A,0),3),""),"")</f>
        <v/>
      </c>
      <c r="G56">
        <f>IFERROR(IF(ISNUMBER(INDEX(SPPR!$E:$Z,MATCH($A56,SPPR!$A:$A,0),4)),$C56*INDEX(SPPR!$E:$Z,MATCH($A56,SPPR!$A:$A,0),4),""),"")</f>
        <v/>
      </c>
      <c r="H56">
        <f>IFERROR(IF(ISNUMBER(INDEX(SPPR!$E:$Z,MATCH($A56,SPPR!$A:$A,0),5)),$C56*INDEX(SPPR!$E:$Z,MATCH($A56,SPPR!$A:$A,0),5),""),"")</f>
        <v/>
      </c>
      <c r="I56">
        <f>IFERROR(IF(ISNUMBER(INDEX(SPPR!$E:$Z,MATCH($A56,SPPR!$A:$A,0),6)),$C56*INDEX(SPPR!$E:$Z,MATCH($A56,SPPR!$A:$A,0),6),""),"")</f>
        <v/>
      </c>
      <c r="J56">
        <f>IFERROR(IF(ISNUMBER(INDEX(SPPR!$E:$Z,MATCH($A56,SPPR!$A:$A,0),7)),$C56*INDEX(SPPR!$E:$Z,MATCH($A56,SPPR!$A:$A,0),7),""),"")</f>
        <v/>
      </c>
      <c r="K56">
        <f>IFERROR(IF(ISNUMBER(INDEX(SPPR!$E:$Z,MATCH($A56,SPPR!$A:$A,0),8)),$C56*INDEX(SPPR!$E:$Z,MATCH($A56,SPPR!$A:$A,0),8),""),"")</f>
        <v/>
      </c>
      <c r="L56">
        <f>IFERROR(IF(ISNUMBER(INDEX(SPPR!$E:$Z,MATCH($A56,SPPR!$A:$A,0),9)),$C56*INDEX(SPPR!$E:$Z,MATCH($A56,SPPR!$A:$A,0),9),""),"")</f>
        <v/>
      </c>
      <c r="M56">
        <f>IFERROR(IF(ISNUMBER(INDEX(SPPR!$E:$Z,MATCH($A56,SPPR!$A:$A,0),10)),$C56*INDEX(SPPR!$E:$Z,MATCH($A56,SPPR!$A:$A,0),10),""),"")</f>
        <v/>
      </c>
      <c r="N56">
        <f>IFERROR(IF(ISNUMBER(INDEX(SPPR!$E:$Z,MATCH($A56,SPPR!$A:$A,0),11)),$C56*INDEX(SPPR!$E:$Z,MATCH($A56,SPPR!$A:$A,0),11),""),"")</f>
        <v/>
      </c>
      <c r="O56">
        <f>IFERROR(IF(ISNUMBER(INDEX(SPPR!$E:$Z,MATCH($A56,SPPR!$A:$A,0),12)),$C56*INDEX(SPPR!$E:$Z,MATCH($A56,SPPR!$A:$A,0),12),""),"")</f>
        <v/>
      </c>
      <c r="P56">
        <f>IFERROR(IF(ISNUMBER(INDEX(SPPR!$E:$Z,MATCH($A56,SPPR!$A:$A,0),13)),$C56*INDEX(SPPR!$E:$Z,MATCH($A56,SPPR!$A:$A,0),13),""),"")</f>
        <v/>
      </c>
      <c r="Q56">
        <f>IFERROR(IF(ISNUMBER(INDEX(SPPR!$E:$Z,MATCH($A56,SPPR!$A:$A,0),14)),$C56*INDEX(SPPR!$E:$Z,MATCH($A56,SPPR!$A:$A,0),14),""),"")</f>
        <v/>
      </c>
      <c r="R56">
        <f>IFERROR(IF(ISNUMBER(INDEX(SPPR!$E:$Z,MATCH($A56,SPPR!$A:$A,0),15)),$C56*INDEX(SPPR!$E:$Z,MATCH($A56,SPPR!$A:$A,0),15),""),"")</f>
        <v/>
      </c>
      <c r="S56">
        <f>IFERROR(IF(ISNUMBER(INDEX(SPPR!$E:$Z,MATCH($A56,SPPR!$A:$A,0),16)),$C56*INDEX(SPPR!$E:$Z,MATCH($A56,SPPR!$A:$A,0),16),""),"")</f>
        <v/>
      </c>
      <c r="T56">
        <f>IFERROR(IF(ISNUMBER(INDEX(SPPR!$E:$Z,MATCH($A56,SPPR!$A:$A,0),17)),$C56*INDEX(SPPR!$E:$Z,MATCH($A56,SPPR!$A:$A,0),17),""),"")</f>
        <v/>
      </c>
      <c r="U56">
        <f>IFERROR(IF(ISNUMBER(INDEX(SPPR!$E:$Z,MATCH($A56,SPPR!$A:$A,0),18)),$C56*INDEX(SPPR!$E:$Z,MATCH($A56,SPPR!$A:$A,0),18),""),"")</f>
        <v/>
      </c>
      <c r="V56">
        <f>IFERROR(IF(ISNUMBER(INDEX(SPPR!$E:$Z,MATCH($A56,SPPR!$A:$A,0),19)),$C56*INDEX(SPPR!$E:$Z,MATCH($A56,SPPR!$A:$A,0),19),""),"")</f>
        <v/>
      </c>
      <c r="W56">
        <f>IFERROR(IF(ISNUMBER(INDEX(SPPR!$E:$Z,MATCH($A56,SPPR!$A:$A,0),20)),$C56*INDEX(SPPR!$E:$Z,MATCH($A56,SPPR!$A:$A,0),20),""),"")</f>
        <v/>
      </c>
      <c r="X56">
        <f>IFERROR(IF(ISNUMBER(INDEX(SPPR!$E:$Z,MATCH($A56,SPPR!$A:$A,0),21)),$C56*INDEX(SPPR!$E:$Z,MATCH($A56,SPPR!$A:$A,0),21),""),"")</f>
        <v/>
      </c>
      <c r="Y56">
        <f>IFERROR(IF(ISNUMBER(INDEX(SPPR!$E:$Z,MATCH($A56,SPPR!$A:$A,0),22)),$C56*INDEX(SPPR!$E:$Z,MATCH($A56,SPPR!$A:$A,0),22),""),"")</f>
        <v/>
      </c>
    </row>
    <row r="57">
      <c r="A57" t="inlineStr">
        <is>
          <t>Chondrichthyes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IFERROR(IF(ISNUMBER(INDEX(SPPR!$E:$Z,MATCH($A57,SPPR!$A:$A,0),1)),$C57*INDEX(SPPR!$E:$Z,MATCH($A57,SPPR!$A:$A,0),1),""),"")</f>
        <v/>
      </c>
      <c r="E57">
        <f>IFERROR(IF(ISNUMBER(INDEX(SPPR!$E:$Z,MATCH($A57,SPPR!$A:$A,0),2)),$C57*INDEX(SPPR!$E:$Z,MATCH($A57,SPPR!$A:$A,0),2),""),"")</f>
        <v/>
      </c>
      <c r="F57">
        <f>IFERROR(IF(ISNUMBER(INDEX(SPPR!$E:$Z,MATCH($A57,SPPR!$A:$A,0),3)),$C57*INDEX(SPPR!$E:$Z,MATCH($A57,SPPR!$A:$A,0),3),""),"")</f>
        <v/>
      </c>
      <c r="G57">
        <f>IFERROR(IF(ISNUMBER(INDEX(SPPR!$E:$Z,MATCH($A57,SPPR!$A:$A,0),4)),$C57*INDEX(SPPR!$E:$Z,MATCH($A57,SPPR!$A:$A,0),4),""),"")</f>
        <v/>
      </c>
      <c r="H57">
        <f>IFERROR(IF(ISNUMBER(INDEX(SPPR!$E:$Z,MATCH($A57,SPPR!$A:$A,0),5)),$C57*INDEX(SPPR!$E:$Z,MATCH($A57,SPPR!$A:$A,0),5),""),"")</f>
        <v/>
      </c>
      <c r="I57">
        <f>IFERROR(IF(ISNUMBER(INDEX(SPPR!$E:$Z,MATCH($A57,SPPR!$A:$A,0),6)),$C57*INDEX(SPPR!$E:$Z,MATCH($A57,SPPR!$A:$A,0),6),""),"")</f>
        <v/>
      </c>
      <c r="J57">
        <f>IFERROR(IF(ISNUMBER(INDEX(SPPR!$E:$Z,MATCH($A57,SPPR!$A:$A,0),7)),$C57*INDEX(SPPR!$E:$Z,MATCH($A57,SPPR!$A:$A,0),7),""),"")</f>
        <v/>
      </c>
      <c r="K57">
        <f>IFERROR(IF(ISNUMBER(INDEX(SPPR!$E:$Z,MATCH($A57,SPPR!$A:$A,0),8)),$C57*INDEX(SPPR!$E:$Z,MATCH($A57,SPPR!$A:$A,0),8),""),"")</f>
        <v/>
      </c>
      <c r="L57">
        <f>IFERROR(IF(ISNUMBER(INDEX(SPPR!$E:$Z,MATCH($A57,SPPR!$A:$A,0),9)),$C57*INDEX(SPPR!$E:$Z,MATCH($A57,SPPR!$A:$A,0),9),""),"")</f>
        <v/>
      </c>
      <c r="M57">
        <f>IFERROR(IF(ISNUMBER(INDEX(SPPR!$E:$Z,MATCH($A57,SPPR!$A:$A,0),10)),$C57*INDEX(SPPR!$E:$Z,MATCH($A57,SPPR!$A:$A,0),10),""),"")</f>
        <v/>
      </c>
      <c r="N57">
        <f>IFERROR(IF(ISNUMBER(INDEX(SPPR!$E:$Z,MATCH($A57,SPPR!$A:$A,0),11)),$C57*INDEX(SPPR!$E:$Z,MATCH($A57,SPPR!$A:$A,0),11),""),"")</f>
        <v/>
      </c>
      <c r="O57">
        <f>IFERROR(IF(ISNUMBER(INDEX(SPPR!$E:$Z,MATCH($A57,SPPR!$A:$A,0),12)),$C57*INDEX(SPPR!$E:$Z,MATCH($A57,SPPR!$A:$A,0),12),""),"")</f>
        <v/>
      </c>
      <c r="P57">
        <f>IFERROR(IF(ISNUMBER(INDEX(SPPR!$E:$Z,MATCH($A57,SPPR!$A:$A,0),13)),$C57*INDEX(SPPR!$E:$Z,MATCH($A57,SPPR!$A:$A,0),13),""),"")</f>
        <v/>
      </c>
      <c r="Q57">
        <f>IFERROR(IF(ISNUMBER(INDEX(SPPR!$E:$Z,MATCH($A57,SPPR!$A:$A,0),14)),$C57*INDEX(SPPR!$E:$Z,MATCH($A57,SPPR!$A:$A,0),14),""),"")</f>
        <v/>
      </c>
      <c r="R57">
        <f>IFERROR(IF(ISNUMBER(INDEX(SPPR!$E:$Z,MATCH($A57,SPPR!$A:$A,0),15)),$C57*INDEX(SPPR!$E:$Z,MATCH($A57,SPPR!$A:$A,0),15),""),"")</f>
        <v/>
      </c>
      <c r="S57">
        <f>IFERROR(IF(ISNUMBER(INDEX(SPPR!$E:$Z,MATCH($A57,SPPR!$A:$A,0),16)),$C57*INDEX(SPPR!$E:$Z,MATCH($A57,SPPR!$A:$A,0),16),""),"")</f>
        <v/>
      </c>
      <c r="T57">
        <f>IFERROR(IF(ISNUMBER(INDEX(SPPR!$E:$Z,MATCH($A57,SPPR!$A:$A,0),17)),$C57*INDEX(SPPR!$E:$Z,MATCH($A57,SPPR!$A:$A,0),17),""),"")</f>
        <v/>
      </c>
      <c r="U57">
        <f>IFERROR(IF(ISNUMBER(INDEX(SPPR!$E:$Z,MATCH($A57,SPPR!$A:$A,0),18)),$C57*INDEX(SPPR!$E:$Z,MATCH($A57,SPPR!$A:$A,0),18),""),"")</f>
        <v/>
      </c>
      <c r="V57">
        <f>IFERROR(IF(ISNUMBER(INDEX(SPPR!$E:$Z,MATCH($A57,SPPR!$A:$A,0),19)),$C57*INDEX(SPPR!$E:$Z,MATCH($A57,SPPR!$A:$A,0),19),""),"")</f>
        <v/>
      </c>
      <c r="W57">
        <f>IFERROR(IF(ISNUMBER(INDEX(SPPR!$E:$Z,MATCH($A57,SPPR!$A:$A,0),20)),$C57*INDEX(SPPR!$E:$Z,MATCH($A57,SPPR!$A:$A,0),20),""),"")</f>
        <v/>
      </c>
      <c r="X57">
        <f>IFERROR(IF(ISNUMBER(INDEX(SPPR!$E:$Z,MATCH($A57,SPPR!$A:$A,0),21)),$C57*INDEX(SPPR!$E:$Z,MATCH($A57,SPPR!$A:$A,0),21),""),"")</f>
        <v/>
      </c>
      <c r="Y57">
        <f>IFERROR(IF(ISNUMBER(INDEX(SPPR!$E:$Z,MATCH($A57,SPPR!$A:$A,0),22)),$C57*INDEX(SPPR!$E:$Z,MATCH($A57,SPPR!$A:$A,0),22),""),"")</f>
        <v/>
      </c>
    </row>
    <row r="58">
      <c r="A58" t="inlineStr">
        <is>
          <t>Thunnus albacares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IFERROR(IF(ISNUMBER(INDEX(SPPR!$E:$Z,MATCH($A58,SPPR!$A:$A,0),1)),$C58*INDEX(SPPR!$E:$Z,MATCH($A58,SPPR!$A:$A,0),1),""),"")</f>
        <v/>
      </c>
      <c r="E58">
        <f>IFERROR(IF(ISNUMBER(INDEX(SPPR!$E:$Z,MATCH($A58,SPPR!$A:$A,0),2)),$C58*INDEX(SPPR!$E:$Z,MATCH($A58,SPPR!$A:$A,0),2),""),"")</f>
        <v/>
      </c>
      <c r="F58">
        <f>IFERROR(IF(ISNUMBER(INDEX(SPPR!$E:$Z,MATCH($A58,SPPR!$A:$A,0),3)),$C58*INDEX(SPPR!$E:$Z,MATCH($A58,SPPR!$A:$A,0),3),""),"")</f>
        <v/>
      </c>
      <c r="G58">
        <f>IFERROR(IF(ISNUMBER(INDEX(SPPR!$E:$Z,MATCH($A58,SPPR!$A:$A,0),4)),$C58*INDEX(SPPR!$E:$Z,MATCH($A58,SPPR!$A:$A,0),4),""),"")</f>
        <v/>
      </c>
      <c r="H58">
        <f>IFERROR(IF(ISNUMBER(INDEX(SPPR!$E:$Z,MATCH($A58,SPPR!$A:$A,0),5)),$C58*INDEX(SPPR!$E:$Z,MATCH($A58,SPPR!$A:$A,0),5),""),"")</f>
        <v/>
      </c>
      <c r="I58">
        <f>IFERROR(IF(ISNUMBER(INDEX(SPPR!$E:$Z,MATCH($A58,SPPR!$A:$A,0),6)),$C58*INDEX(SPPR!$E:$Z,MATCH($A58,SPPR!$A:$A,0),6),""),"")</f>
        <v/>
      </c>
      <c r="J58">
        <f>IFERROR(IF(ISNUMBER(INDEX(SPPR!$E:$Z,MATCH($A58,SPPR!$A:$A,0),7)),$C58*INDEX(SPPR!$E:$Z,MATCH($A58,SPPR!$A:$A,0),7),""),"")</f>
        <v/>
      </c>
      <c r="K58">
        <f>IFERROR(IF(ISNUMBER(INDEX(SPPR!$E:$Z,MATCH($A58,SPPR!$A:$A,0),8)),$C58*INDEX(SPPR!$E:$Z,MATCH($A58,SPPR!$A:$A,0),8),""),"")</f>
        <v/>
      </c>
      <c r="L58">
        <f>IFERROR(IF(ISNUMBER(INDEX(SPPR!$E:$Z,MATCH($A58,SPPR!$A:$A,0),9)),$C58*INDEX(SPPR!$E:$Z,MATCH($A58,SPPR!$A:$A,0),9),""),"")</f>
        <v/>
      </c>
      <c r="M58">
        <f>IFERROR(IF(ISNUMBER(INDEX(SPPR!$E:$Z,MATCH($A58,SPPR!$A:$A,0),10)),$C58*INDEX(SPPR!$E:$Z,MATCH($A58,SPPR!$A:$A,0),10),""),"")</f>
        <v/>
      </c>
      <c r="N58">
        <f>IFERROR(IF(ISNUMBER(INDEX(SPPR!$E:$Z,MATCH($A58,SPPR!$A:$A,0),11)),$C58*INDEX(SPPR!$E:$Z,MATCH($A58,SPPR!$A:$A,0),11),""),"")</f>
        <v/>
      </c>
      <c r="O58">
        <f>IFERROR(IF(ISNUMBER(INDEX(SPPR!$E:$Z,MATCH($A58,SPPR!$A:$A,0),12)),$C58*INDEX(SPPR!$E:$Z,MATCH($A58,SPPR!$A:$A,0),12),""),"")</f>
        <v/>
      </c>
      <c r="P58">
        <f>IFERROR(IF(ISNUMBER(INDEX(SPPR!$E:$Z,MATCH($A58,SPPR!$A:$A,0),13)),$C58*INDEX(SPPR!$E:$Z,MATCH($A58,SPPR!$A:$A,0),13),""),"")</f>
        <v/>
      </c>
      <c r="Q58">
        <f>IFERROR(IF(ISNUMBER(INDEX(SPPR!$E:$Z,MATCH($A58,SPPR!$A:$A,0),14)),$C58*INDEX(SPPR!$E:$Z,MATCH($A58,SPPR!$A:$A,0),14),""),"")</f>
        <v/>
      </c>
      <c r="R58">
        <f>IFERROR(IF(ISNUMBER(INDEX(SPPR!$E:$Z,MATCH($A58,SPPR!$A:$A,0),15)),$C58*INDEX(SPPR!$E:$Z,MATCH($A58,SPPR!$A:$A,0),15),""),"")</f>
        <v/>
      </c>
      <c r="S58">
        <f>IFERROR(IF(ISNUMBER(INDEX(SPPR!$E:$Z,MATCH($A58,SPPR!$A:$A,0),16)),$C58*INDEX(SPPR!$E:$Z,MATCH($A58,SPPR!$A:$A,0),16),""),"")</f>
        <v/>
      </c>
      <c r="T58">
        <f>IFERROR(IF(ISNUMBER(INDEX(SPPR!$E:$Z,MATCH($A58,SPPR!$A:$A,0),17)),$C58*INDEX(SPPR!$E:$Z,MATCH($A58,SPPR!$A:$A,0),17),""),"")</f>
        <v/>
      </c>
      <c r="U58">
        <f>IFERROR(IF(ISNUMBER(INDEX(SPPR!$E:$Z,MATCH($A58,SPPR!$A:$A,0),18)),$C58*INDEX(SPPR!$E:$Z,MATCH($A58,SPPR!$A:$A,0),18),""),"")</f>
        <v/>
      </c>
      <c r="V58">
        <f>IFERROR(IF(ISNUMBER(INDEX(SPPR!$E:$Z,MATCH($A58,SPPR!$A:$A,0),19)),$C58*INDEX(SPPR!$E:$Z,MATCH($A58,SPPR!$A:$A,0),19),""),"")</f>
        <v/>
      </c>
      <c r="W58">
        <f>IFERROR(IF(ISNUMBER(INDEX(SPPR!$E:$Z,MATCH($A58,SPPR!$A:$A,0),20)),$C58*INDEX(SPPR!$E:$Z,MATCH($A58,SPPR!$A:$A,0),20),""),"")</f>
        <v/>
      </c>
      <c r="X58">
        <f>IFERROR(IF(ISNUMBER(INDEX(SPPR!$E:$Z,MATCH($A58,SPPR!$A:$A,0),21)),$C58*INDEX(SPPR!$E:$Z,MATCH($A58,SPPR!$A:$A,0),21),""),"")</f>
        <v/>
      </c>
      <c r="Y58">
        <f>IFERROR(IF(ISNUMBER(INDEX(SPPR!$E:$Z,MATCH($A58,SPPR!$A:$A,0),22)),$C58*INDEX(SPPR!$E:$Z,MATCH($A58,SPPR!$A:$A,0),22),""),"")</f>
        <v/>
      </c>
    </row>
    <row r="59">
      <c r="A59" t="inlineStr">
        <is>
          <t>Stolephorus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IFERROR(IF(ISNUMBER(INDEX(SPPR!$E:$Z,MATCH($A59,SPPR!$A:$A,0),1)),$C59*INDEX(SPPR!$E:$Z,MATCH($A59,SPPR!$A:$A,0),1),""),"")</f>
        <v/>
      </c>
      <c r="E59">
        <f>IFERROR(IF(ISNUMBER(INDEX(SPPR!$E:$Z,MATCH($A59,SPPR!$A:$A,0),2)),$C59*INDEX(SPPR!$E:$Z,MATCH($A59,SPPR!$A:$A,0),2),""),"")</f>
        <v/>
      </c>
      <c r="F59">
        <f>IFERROR(IF(ISNUMBER(INDEX(SPPR!$E:$Z,MATCH($A59,SPPR!$A:$A,0),3)),$C59*INDEX(SPPR!$E:$Z,MATCH($A59,SPPR!$A:$A,0),3),""),"")</f>
        <v/>
      </c>
      <c r="G59">
        <f>IFERROR(IF(ISNUMBER(INDEX(SPPR!$E:$Z,MATCH($A59,SPPR!$A:$A,0),4)),$C59*INDEX(SPPR!$E:$Z,MATCH($A59,SPPR!$A:$A,0),4),""),"")</f>
        <v/>
      </c>
      <c r="H59">
        <f>IFERROR(IF(ISNUMBER(INDEX(SPPR!$E:$Z,MATCH($A59,SPPR!$A:$A,0),5)),$C59*INDEX(SPPR!$E:$Z,MATCH($A59,SPPR!$A:$A,0),5),""),"")</f>
        <v/>
      </c>
      <c r="I59">
        <f>IFERROR(IF(ISNUMBER(INDEX(SPPR!$E:$Z,MATCH($A59,SPPR!$A:$A,0),6)),$C59*INDEX(SPPR!$E:$Z,MATCH($A59,SPPR!$A:$A,0),6),""),"")</f>
        <v/>
      </c>
      <c r="J59">
        <f>IFERROR(IF(ISNUMBER(INDEX(SPPR!$E:$Z,MATCH($A59,SPPR!$A:$A,0),7)),$C59*INDEX(SPPR!$E:$Z,MATCH($A59,SPPR!$A:$A,0),7),""),"")</f>
        <v/>
      </c>
      <c r="K59">
        <f>IFERROR(IF(ISNUMBER(INDEX(SPPR!$E:$Z,MATCH($A59,SPPR!$A:$A,0),8)),$C59*INDEX(SPPR!$E:$Z,MATCH($A59,SPPR!$A:$A,0),8),""),"")</f>
        <v/>
      </c>
      <c r="L59">
        <f>IFERROR(IF(ISNUMBER(INDEX(SPPR!$E:$Z,MATCH($A59,SPPR!$A:$A,0),9)),$C59*INDEX(SPPR!$E:$Z,MATCH($A59,SPPR!$A:$A,0),9),""),"")</f>
        <v/>
      </c>
      <c r="M59">
        <f>IFERROR(IF(ISNUMBER(INDEX(SPPR!$E:$Z,MATCH($A59,SPPR!$A:$A,0),10)),$C59*INDEX(SPPR!$E:$Z,MATCH($A59,SPPR!$A:$A,0),10),""),"")</f>
        <v/>
      </c>
      <c r="N59">
        <f>IFERROR(IF(ISNUMBER(INDEX(SPPR!$E:$Z,MATCH($A59,SPPR!$A:$A,0),11)),$C59*INDEX(SPPR!$E:$Z,MATCH($A59,SPPR!$A:$A,0),11),""),"")</f>
        <v/>
      </c>
      <c r="O59">
        <f>IFERROR(IF(ISNUMBER(INDEX(SPPR!$E:$Z,MATCH($A59,SPPR!$A:$A,0),12)),$C59*INDEX(SPPR!$E:$Z,MATCH($A59,SPPR!$A:$A,0),12),""),"")</f>
        <v/>
      </c>
      <c r="P59">
        <f>IFERROR(IF(ISNUMBER(INDEX(SPPR!$E:$Z,MATCH($A59,SPPR!$A:$A,0),13)),$C59*INDEX(SPPR!$E:$Z,MATCH($A59,SPPR!$A:$A,0),13),""),"")</f>
        <v/>
      </c>
      <c r="Q59">
        <f>IFERROR(IF(ISNUMBER(INDEX(SPPR!$E:$Z,MATCH($A59,SPPR!$A:$A,0),14)),$C59*INDEX(SPPR!$E:$Z,MATCH($A59,SPPR!$A:$A,0),14),""),"")</f>
        <v/>
      </c>
      <c r="R59">
        <f>IFERROR(IF(ISNUMBER(INDEX(SPPR!$E:$Z,MATCH($A59,SPPR!$A:$A,0),15)),$C59*INDEX(SPPR!$E:$Z,MATCH($A59,SPPR!$A:$A,0),15),""),"")</f>
        <v/>
      </c>
      <c r="S59">
        <f>IFERROR(IF(ISNUMBER(INDEX(SPPR!$E:$Z,MATCH($A59,SPPR!$A:$A,0),16)),$C59*INDEX(SPPR!$E:$Z,MATCH($A59,SPPR!$A:$A,0),16),""),"")</f>
        <v/>
      </c>
      <c r="T59">
        <f>IFERROR(IF(ISNUMBER(INDEX(SPPR!$E:$Z,MATCH($A59,SPPR!$A:$A,0),17)),$C59*INDEX(SPPR!$E:$Z,MATCH($A59,SPPR!$A:$A,0),17),""),"")</f>
        <v/>
      </c>
      <c r="U59">
        <f>IFERROR(IF(ISNUMBER(INDEX(SPPR!$E:$Z,MATCH($A59,SPPR!$A:$A,0),18)),$C59*INDEX(SPPR!$E:$Z,MATCH($A59,SPPR!$A:$A,0),18),""),"")</f>
        <v/>
      </c>
      <c r="V59">
        <f>IFERROR(IF(ISNUMBER(INDEX(SPPR!$E:$Z,MATCH($A59,SPPR!$A:$A,0),19)),$C59*INDEX(SPPR!$E:$Z,MATCH($A59,SPPR!$A:$A,0),19),""),"")</f>
        <v/>
      </c>
      <c r="W59">
        <f>IFERROR(IF(ISNUMBER(INDEX(SPPR!$E:$Z,MATCH($A59,SPPR!$A:$A,0),20)),$C59*INDEX(SPPR!$E:$Z,MATCH($A59,SPPR!$A:$A,0),20),""),"")</f>
        <v/>
      </c>
      <c r="X59">
        <f>IFERROR(IF(ISNUMBER(INDEX(SPPR!$E:$Z,MATCH($A59,SPPR!$A:$A,0),21)),$C59*INDEX(SPPR!$E:$Z,MATCH($A59,SPPR!$A:$A,0),21),""),"")</f>
        <v/>
      </c>
      <c r="Y59">
        <f>IFERROR(IF(ISNUMBER(INDEX(SPPR!$E:$Z,MATCH($A59,SPPR!$A:$A,0),22)),$C59*INDEX(SPPR!$E:$Z,MATCH($A59,SPPR!$A:$A,0),22),""),"")</f>
        <v/>
      </c>
    </row>
    <row r="60">
      <c r="A60" t="inlineStr">
        <is>
          <t>Scomberomorus commerson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IFERROR(IF(ISNUMBER(INDEX(SPPR!$E:$Z,MATCH($A60,SPPR!$A:$A,0),1)),$C60*INDEX(SPPR!$E:$Z,MATCH($A60,SPPR!$A:$A,0),1),""),"")</f>
        <v/>
      </c>
      <c r="E60">
        <f>IFERROR(IF(ISNUMBER(INDEX(SPPR!$E:$Z,MATCH($A60,SPPR!$A:$A,0),2)),$C60*INDEX(SPPR!$E:$Z,MATCH($A60,SPPR!$A:$A,0),2),""),"")</f>
        <v/>
      </c>
      <c r="F60">
        <f>IFERROR(IF(ISNUMBER(INDEX(SPPR!$E:$Z,MATCH($A60,SPPR!$A:$A,0),3)),$C60*INDEX(SPPR!$E:$Z,MATCH($A60,SPPR!$A:$A,0),3),""),"")</f>
        <v/>
      </c>
      <c r="G60">
        <f>IFERROR(IF(ISNUMBER(INDEX(SPPR!$E:$Z,MATCH($A60,SPPR!$A:$A,0),4)),$C60*INDEX(SPPR!$E:$Z,MATCH($A60,SPPR!$A:$A,0),4),""),"")</f>
        <v/>
      </c>
      <c r="H60">
        <f>IFERROR(IF(ISNUMBER(INDEX(SPPR!$E:$Z,MATCH($A60,SPPR!$A:$A,0),5)),$C60*INDEX(SPPR!$E:$Z,MATCH($A60,SPPR!$A:$A,0),5),""),"")</f>
        <v/>
      </c>
      <c r="I60">
        <f>IFERROR(IF(ISNUMBER(INDEX(SPPR!$E:$Z,MATCH($A60,SPPR!$A:$A,0),6)),$C60*INDEX(SPPR!$E:$Z,MATCH($A60,SPPR!$A:$A,0),6),""),"")</f>
        <v/>
      </c>
      <c r="J60">
        <f>IFERROR(IF(ISNUMBER(INDEX(SPPR!$E:$Z,MATCH($A60,SPPR!$A:$A,0),7)),$C60*INDEX(SPPR!$E:$Z,MATCH($A60,SPPR!$A:$A,0),7),""),"")</f>
        <v/>
      </c>
      <c r="K60">
        <f>IFERROR(IF(ISNUMBER(INDEX(SPPR!$E:$Z,MATCH($A60,SPPR!$A:$A,0),8)),$C60*INDEX(SPPR!$E:$Z,MATCH($A60,SPPR!$A:$A,0),8),""),"")</f>
        <v/>
      </c>
      <c r="L60">
        <f>IFERROR(IF(ISNUMBER(INDEX(SPPR!$E:$Z,MATCH($A60,SPPR!$A:$A,0),9)),$C60*INDEX(SPPR!$E:$Z,MATCH($A60,SPPR!$A:$A,0),9),""),"")</f>
        <v/>
      </c>
      <c r="M60">
        <f>IFERROR(IF(ISNUMBER(INDEX(SPPR!$E:$Z,MATCH($A60,SPPR!$A:$A,0),10)),$C60*INDEX(SPPR!$E:$Z,MATCH($A60,SPPR!$A:$A,0),10),""),"")</f>
        <v/>
      </c>
      <c r="N60">
        <f>IFERROR(IF(ISNUMBER(INDEX(SPPR!$E:$Z,MATCH($A60,SPPR!$A:$A,0),11)),$C60*INDEX(SPPR!$E:$Z,MATCH($A60,SPPR!$A:$A,0),11),""),"")</f>
        <v/>
      </c>
      <c r="O60">
        <f>IFERROR(IF(ISNUMBER(INDEX(SPPR!$E:$Z,MATCH($A60,SPPR!$A:$A,0),12)),$C60*INDEX(SPPR!$E:$Z,MATCH($A60,SPPR!$A:$A,0),12),""),"")</f>
        <v/>
      </c>
      <c r="P60">
        <f>IFERROR(IF(ISNUMBER(INDEX(SPPR!$E:$Z,MATCH($A60,SPPR!$A:$A,0),13)),$C60*INDEX(SPPR!$E:$Z,MATCH($A60,SPPR!$A:$A,0),13),""),"")</f>
        <v/>
      </c>
      <c r="Q60">
        <f>IFERROR(IF(ISNUMBER(INDEX(SPPR!$E:$Z,MATCH($A60,SPPR!$A:$A,0),14)),$C60*INDEX(SPPR!$E:$Z,MATCH($A60,SPPR!$A:$A,0),14),""),"")</f>
        <v/>
      </c>
      <c r="R60">
        <f>IFERROR(IF(ISNUMBER(INDEX(SPPR!$E:$Z,MATCH($A60,SPPR!$A:$A,0),15)),$C60*INDEX(SPPR!$E:$Z,MATCH($A60,SPPR!$A:$A,0),15),""),"")</f>
        <v/>
      </c>
      <c r="S60">
        <f>IFERROR(IF(ISNUMBER(INDEX(SPPR!$E:$Z,MATCH($A60,SPPR!$A:$A,0),16)),$C60*INDEX(SPPR!$E:$Z,MATCH($A60,SPPR!$A:$A,0),16),""),"")</f>
        <v/>
      </c>
      <c r="T60">
        <f>IFERROR(IF(ISNUMBER(INDEX(SPPR!$E:$Z,MATCH($A60,SPPR!$A:$A,0),17)),$C60*INDEX(SPPR!$E:$Z,MATCH($A60,SPPR!$A:$A,0),17),""),"")</f>
        <v/>
      </c>
      <c r="U60">
        <f>IFERROR(IF(ISNUMBER(INDEX(SPPR!$E:$Z,MATCH($A60,SPPR!$A:$A,0),18)),$C60*INDEX(SPPR!$E:$Z,MATCH($A60,SPPR!$A:$A,0),18),""),"")</f>
        <v/>
      </c>
      <c r="V60">
        <f>IFERROR(IF(ISNUMBER(INDEX(SPPR!$E:$Z,MATCH($A60,SPPR!$A:$A,0),19)),$C60*INDEX(SPPR!$E:$Z,MATCH($A60,SPPR!$A:$A,0),19),""),"")</f>
        <v/>
      </c>
      <c r="W60">
        <f>IFERROR(IF(ISNUMBER(INDEX(SPPR!$E:$Z,MATCH($A60,SPPR!$A:$A,0),20)),$C60*INDEX(SPPR!$E:$Z,MATCH($A60,SPPR!$A:$A,0),20),""),"")</f>
        <v/>
      </c>
      <c r="X60">
        <f>IFERROR(IF(ISNUMBER(INDEX(SPPR!$E:$Z,MATCH($A60,SPPR!$A:$A,0),21)),$C60*INDEX(SPPR!$E:$Z,MATCH($A60,SPPR!$A:$A,0),21),""),"")</f>
        <v/>
      </c>
      <c r="Y60">
        <f>IFERROR(IF(ISNUMBER(INDEX(SPPR!$E:$Z,MATCH($A60,SPPR!$A:$A,0),22)),$C60*INDEX(SPPR!$E:$Z,MATCH($A60,SPPR!$A:$A,0),22),""),"")</f>
        <v/>
      </c>
    </row>
    <row r="61">
      <c r="A61" t="inlineStr">
        <is>
          <t>Rastrelliger kanagurta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IFERROR(IF(ISNUMBER(INDEX(SPPR!$E:$Z,MATCH($A61,SPPR!$A:$A,0),1)),$C61*INDEX(SPPR!$E:$Z,MATCH($A61,SPPR!$A:$A,0),1),""),"")</f>
        <v/>
      </c>
      <c r="E61">
        <f>IFERROR(IF(ISNUMBER(INDEX(SPPR!$E:$Z,MATCH($A61,SPPR!$A:$A,0),2)),$C61*INDEX(SPPR!$E:$Z,MATCH($A61,SPPR!$A:$A,0),2),""),"")</f>
        <v/>
      </c>
      <c r="F61">
        <f>IFERROR(IF(ISNUMBER(INDEX(SPPR!$E:$Z,MATCH($A61,SPPR!$A:$A,0),3)),$C61*INDEX(SPPR!$E:$Z,MATCH($A61,SPPR!$A:$A,0),3),""),"")</f>
        <v/>
      </c>
      <c r="G61">
        <f>IFERROR(IF(ISNUMBER(INDEX(SPPR!$E:$Z,MATCH($A61,SPPR!$A:$A,0),4)),$C61*INDEX(SPPR!$E:$Z,MATCH($A61,SPPR!$A:$A,0),4),""),"")</f>
        <v/>
      </c>
      <c r="H61">
        <f>IFERROR(IF(ISNUMBER(INDEX(SPPR!$E:$Z,MATCH($A61,SPPR!$A:$A,0),5)),$C61*INDEX(SPPR!$E:$Z,MATCH($A61,SPPR!$A:$A,0),5),""),"")</f>
        <v/>
      </c>
      <c r="I61">
        <f>IFERROR(IF(ISNUMBER(INDEX(SPPR!$E:$Z,MATCH($A61,SPPR!$A:$A,0),6)),$C61*INDEX(SPPR!$E:$Z,MATCH($A61,SPPR!$A:$A,0),6),""),"")</f>
        <v/>
      </c>
      <c r="J61">
        <f>IFERROR(IF(ISNUMBER(INDEX(SPPR!$E:$Z,MATCH($A61,SPPR!$A:$A,0),7)),$C61*INDEX(SPPR!$E:$Z,MATCH($A61,SPPR!$A:$A,0),7),""),"")</f>
        <v/>
      </c>
      <c r="K61">
        <f>IFERROR(IF(ISNUMBER(INDEX(SPPR!$E:$Z,MATCH($A61,SPPR!$A:$A,0),8)),$C61*INDEX(SPPR!$E:$Z,MATCH($A61,SPPR!$A:$A,0),8),""),"")</f>
        <v/>
      </c>
      <c r="L61">
        <f>IFERROR(IF(ISNUMBER(INDEX(SPPR!$E:$Z,MATCH($A61,SPPR!$A:$A,0),9)),$C61*INDEX(SPPR!$E:$Z,MATCH($A61,SPPR!$A:$A,0),9),""),"")</f>
        <v/>
      </c>
      <c r="M61">
        <f>IFERROR(IF(ISNUMBER(INDEX(SPPR!$E:$Z,MATCH($A61,SPPR!$A:$A,0),10)),$C61*INDEX(SPPR!$E:$Z,MATCH($A61,SPPR!$A:$A,0),10),""),"")</f>
        <v/>
      </c>
      <c r="N61">
        <f>IFERROR(IF(ISNUMBER(INDEX(SPPR!$E:$Z,MATCH($A61,SPPR!$A:$A,0),11)),$C61*INDEX(SPPR!$E:$Z,MATCH($A61,SPPR!$A:$A,0),11),""),"")</f>
        <v/>
      </c>
      <c r="O61">
        <f>IFERROR(IF(ISNUMBER(INDEX(SPPR!$E:$Z,MATCH($A61,SPPR!$A:$A,0),12)),$C61*INDEX(SPPR!$E:$Z,MATCH($A61,SPPR!$A:$A,0),12),""),"")</f>
        <v/>
      </c>
      <c r="P61">
        <f>IFERROR(IF(ISNUMBER(INDEX(SPPR!$E:$Z,MATCH($A61,SPPR!$A:$A,0),13)),$C61*INDEX(SPPR!$E:$Z,MATCH($A61,SPPR!$A:$A,0),13),""),"")</f>
        <v/>
      </c>
      <c r="Q61">
        <f>IFERROR(IF(ISNUMBER(INDEX(SPPR!$E:$Z,MATCH($A61,SPPR!$A:$A,0),14)),$C61*INDEX(SPPR!$E:$Z,MATCH($A61,SPPR!$A:$A,0),14),""),"")</f>
        <v/>
      </c>
      <c r="R61">
        <f>IFERROR(IF(ISNUMBER(INDEX(SPPR!$E:$Z,MATCH($A61,SPPR!$A:$A,0),15)),$C61*INDEX(SPPR!$E:$Z,MATCH($A61,SPPR!$A:$A,0),15),""),"")</f>
        <v/>
      </c>
      <c r="S61">
        <f>IFERROR(IF(ISNUMBER(INDEX(SPPR!$E:$Z,MATCH($A61,SPPR!$A:$A,0),16)),$C61*INDEX(SPPR!$E:$Z,MATCH($A61,SPPR!$A:$A,0),16),""),"")</f>
        <v/>
      </c>
      <c r="T61">
        <f>IFERROR(IF(ISNUMBER(INDEX(SPPR!$E:$Z,MATCH($A61,SPPR!$A:$A,0),17)),$C61*INDEX(SPPR!$E:$Z,MATCH($A61,SPPR!$A:$A,0),17),""),"")</f>
        <v/>
      </c>
      <c r="U61">
        <f>IFERROR(IF(ISNUMBER(INDEX(SPPR!$E:$Z,MATCH($A61,SPPR!$A:$A,0),18)),$C61*INDEX(SPPR!$E:$Z,MATCH($A61,SPPR!$A:$A,0),18),""),"")</f>
        <v/>
      </c>
      <c r="V61">
        <f>IFERROR(IF(ISNUMBER(INDEX(SPPR!$E:$Z,MATCH($A61,SPPR!$A:$A,0),19)),$C61*INDEX(SPPR!$E:$Z,MATCH($A61,SPPR!$A:$A,0),19),""),"")</f>
        <v/>
      </c>
      <c r="W61">
        <f>IFERROR(IF(ISNUMBER(INDEX(SPPR!$E:$Z,MATCH($A61,SPPR!$A:$A,0),20)),$C61*INDEX(SPPR!$E:$Z,MATCH($A61,SPPR!$A:$A,0),20),""),"")</f>
        <v/>
      </c>
      <c r="X61">
        <f>IFERROR(IF(ISNUMBER(INDEX(SPPR!$E:$Z,MATCH($A61,SPPR!$A:$A,0),21)),$C61*INDEX(SPPR!$E:$Z,MATCH($A61,SPPR!$A:$A,0),21),""),"")</f>
        <v/>
      </c>
      <c r="Y61">
        <f>IFERROR(IF(ISNUMBER(INDEX(SPPR!$E:$Z,MATCH($A61,SPPR!$A:$A,0),22)),$C61*INDEX(SPPR!$E:$Z,MATCH($A61,SPPR!$A:$A,0),22),""),"")</f>
        <v/>
      </c>
    </row>
    <row r="62">
      <c r="A62" t="inlineStr">
        <is>
          <t>Rastrelliger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IFERROR(IF(ISNUMBER(INDEX(SPPR!$E:$Z,MATCH($A62,SPPR!$A:$A,0),1)),$C62*INDEX(SPPR!$E:$Z,MATCH($A62,SPPR!$A:$A,0),1),""),"")</f>
        <v/>
      </c>
      <c r="E62">
        <f>IFERROR(IF(ISNUMBER(INDEX(SPPR!$E:$Z,MATCH($A62,SPPR!$A:$A,0),2)),$C62*INDEX(SPPR!$E:$Z,MATCH($A62,SPPR!$A:$A,0),2),""),"")</f>
        <v/>
      </c>
      <c r="F62">
        <f>IFERROR(IF(ISNUMBER(INDEX(SPPR!$E:$Z,MATCH($A62,SPPR!$A:$A,0),3)),$C62*INDEX(SPPR!$E:$Z,MATCH($A62,SPPR!$A:$A,0),3),""),"")</f>
        <v/>
      </c>
      <c r="G62">
        <f>IFERROR(IF(ISNUMBER(INDEX(SPPR!$E:$Z,MATCH($A62,SPPR!$A:$A,0),4)),$C62*INDEX(SPPR!$E:$Z,MATCH($A62,SPPR!$A:$A,0),4),""),"")</f>
        <v/>
      </c>
      <c r="H62">
        <f>IFERROR(IF(ISNUMBER(INDEX(SPPR!$E:$Z,MATCH($A62,SPPR!$A:$A,0),5)),$C62*INDEX(SPPR!$E:$Z,MATCH($A62,SPPR!$A:$A,0),5),""),"")</f>
        <v/>
      </c>
      <c r="I62">
        <f>IFERROR(IF(ISNUMBER(INDEX(SPPR!$E:$Z,MATCH($A62,SPPR!$A:$A,0),6)),$C62*INDEX(SPPR!$E:$Z,MATCH($A62,SPPR!$A:$A,0),6),""),"")</f>
        <v/>
      </c>
      <c r="J62">
        <f>IFERROR(IF(ISNUMBER(INDEX(SPPR!$E:$Z,MATCH($A62,SPPR!$A:$A,0),7)),$C62*INDEX(SPPR!$E:$Z,MATCH($A62,SPPR!$A:$A,0),7),""),"")</f>
        <v/>
      </c>
      <c r="K62">
        <f>IFERROR(IF(ISNUMBER(INDEX(SPPR!$E:$Z,MATCH($A62,SPPR!$A:$A,0),8)),$C62*INDEX(SPPR!$E:$Z,MATCH($A62,SPPR!$A:$A,0),8),""),"")</f>
        <v/>
      </c>
      <c r="L62">
        <f>IFERROR(IF(ISNUMBER(INDEX(SPPR!$E:$Z,MATCH($A62,SPPR!$A:$A,0),9)),$C62*INDEX(SPPR!$E:$Z,MATCH($A62,SPPR!$A:$A,0),9),""),"")</f>
        <v/>
      </c>
      <c r="M62">
        <f>IFERROR(IF(ISNUMBER(INDEX(SPPR!$E:$Z,MATCH($A62,SPPR!$A:$A,0),10)),$C62*INDEX(SPPR!$E:$Z,MATCH($A62,SPPR!$A:$A,0),10),""),"")</f>
        <v/>
      </c>
      <c r="N62">
        <f>IFERROR(IF(ISNUMBER(INDEX(SPPR!$E:$Z,MATCH($A62,SPPR!$A:$A,0),11)),$C62*INDEX(SPPR!$E:$Z,MATCH($A62,SPPR!$A:$A,0),11),""),"")</f>
        <v/>
      </c>
      <c r="O62">
        <f>IFERROR(IF(ISNUMBER(INDEX(SPPR!$E:$Z,MATCH($A62,SPPR!$A:$A,0),12)),$C62*INDEX(SPPR!$E:$Z,MATCH($A62,SPPR!$A:$A,0),12),""),"")</f>
        <v/>
      </c>
      <c r="P62">
        <f>IFERROR(IF(ISNUMBER(INDEX(SPPR!$E:$Z,MATCH($A62,SPPR!$A:$A,0),13)),$C62*INDEX(SPPR!$E:$Z,MATCH($A62,SPPR!$A:$A,0),13),""),"")</f>
        <v/>
      </c>
      <c r="Q62">
        <f>IFERROR(IF(ISNUMBER(INDEX(SPPR!$E:$Z,MATCH($A62,SPPR!$A:$A,0),14)),$C62*INDEX(SPPR!$E:$Z,MATCH($A62,SPPR!$A:$A,0),14),""),"")</f>
        <v/>
      </c>
      <c r="R62">
        <f>IFERROR(IF(ISNUMBER(INDEX(SPPR!$E:$Z,MATCH($A62,SPPR!$A:$A,0),15)),$C62*INDEX(SPPR!$E:$Z,MATCH($A62,SPPR!$A:$A,0),15),""),"")</f>
        <v/>
      </c>
      <c r="S62">
        <f>IFERROR(IF(ISNUMBER(INDEX(SPPR!$E:$Z,MATCH($A62,SPPR!$A:$A,0),16)),$C62*INDEX(SPPR!$E:$Z,MATCH($A62,SPPR!$A:$A,0),16),""),"")</f>
        <v/>
      </c>
      <c r="T62">
        <f>IFERROR(IF(ISNUMBER(INDEX(SPPR!$E:$Z,MATCH($A62,SPPR!$A:$A,0),17)),$C62*INDEX(SPPR!$E:$Z,MATCH($A62,SPPR!$A:$A,0),17),""),"")</f>
        <v/>
      </c>
      <c r="U62">
        <f>IFERROR(IF(ISNUMBER(INDEX(SPPR!$E:$Z,MATCH($A62,SPPR!$A:$A,0),18)),$C62*INDEX(SPPR!$E:$Z,MATCH($A62,SPPR!$A:$A,0),18),""),"")</f>
        <v/>
      </c>
      <c r="V62">
        <f>IFERROR(IF(ISNUMBER(INDEX(SPPR!$E:$Z,MATCH($A62,SPPR!$A:$A,0),19)),$C62*INDEX(SPPR!$E:$Z,MATCH($A62,SPPR!$A:$A,0),19),""),"")</f>
        <v/>
      </c>
      <c r="W62">
        <f>IFERROR(IF(ISNUMBER(INDEX(SPPR!$E:$Z,MATCH($A62,SPPR!$A:$A,0),20)),$C62*INDEX(SPPR!$E:$Z,MATCH($A62,SPPR!$A:$A,0),20),""),"")</f>
        <v/>
      </c>
      <c r="X62">
        <f>IFERROR(IF(ISNUMBER(INDEX(SPPR!$E:$Z,MATCH($A62,SPPR!$A:$A,0),21)),$C62*INDEX(SPPR!$E:$Z,MATCH($A62,SPPR!$A:$A,0),21),""),"")</f>
        <v/>
      </c>
      <c r="Y62">
        <f>IFERROR(IF(ISNUMBER(INDEX(SPPR!$E:$Z,MATCH($A62,SPPR!$A:$A,0),22)),$C62*INDEX(SPPR!$E:$Z,MATCH($A62,SPPR!$A:$A,0),22),""),"")</f>
        <v/>
      </c>
    </row>
    <row r="63">
      <c r="A63" t="inlineStr">
        <is>
          <t>Epinephelus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IFERROR(IF(ISNUMBER(INDEX(SPPR!$E:$Z,MATCH($A63,SPPR!$A:$A,0),1)),$C63*INDEX(SPPR!$E:$Z,MATCH($A63,SPPR!$A:$A,0),1),""),"")</f>
        <v/>
      </c>
      <c r="E63">
        <f>IFERROR(IF(ISNUMBER(INDEX(SPPR!$E:$Z,MATCH($A63,SPPR!$A:$A,0),2)),$C63*INDEX(SPPR!$E:$Z,MATCH($A63,SPPR!$A:$A,0),2),""),"")</f>
        <v/>
      </c>
      <c r="F63">
        <f>IFERROR(IF(ISNUMBER(INDEX(SPPR!$E:$Z,MATCH($A63,SPPR!$A:$A,0),3)),$C63*INDEX(SPPR!$E:$Z,MATCH($A63,SPPR!$A:$A,0),3),""),"")</f>
        <v/>
      </c>
      <c r="G63">
        <f>IFERROR(IF(ISNUMBER(INDEX(SPPR!$E:$Z,MATCH($A63,SPPR!$A:$A,0),4)),$C63*INDEX(SPPR!$E:$Z,MATCH($A63,SPPR!$A:$A,0),4),""),"")</f>
        <v/>
      </c>
      <c r="H63">
        <f>IFERROR(IF(ISNUMBER(INDEX(SPPR!$E:$Z,MATCH($A63,SPPR!$A:$A,0),5)),$C63*INDEX(SPPR!$E:$Z,MATCH($A63,SPPR!$A:$A,0),5),""),"")</f>
        <v/>
      </c>
      <c r="I63">
        <f>IFERROR(IF(ISNUMBER(INDEX(SPPR!$E:$Z,MATCH($A63,SPPR!$A:$A,0),6)),$C63*INDEX(SPPR!$E:$Z,MATCH($A63,SPPR!$A:$A,0),6),""),"")</f>
        <v/>
      </c>
      <c r="J63">
        <f>IFERROR(IF(ISNUMBER(INDEX(SPPR!$E:$Z,MATCH($A63,SPPR!$A:$A,0),7)),$C63*INDEX(SPPR!$E:$Z,MATCH($A63,SPPR!$A:$A,0),7),""),"")</f>
        <v/>
      </c>
      <c r="K63">
        <f>IFERROR(IF(ISNUMBER(INDEX(SPPR!$E:$Z,MATCH($A63,SPPR!$A:$A,0),8)),$C63*INDEX(SPPR!$E:$Z,MATCH($A63,SPPR!$A:$A,0),8),""),"")</f>
        <v/>
      </c>
      <c r="L63">
        <f>IFERROR(IF(ISNUMBER(INDEX(SPPR!$E:$Z,MATCH($A63,SPPR!$A:$A,0),9)),$C63*INDEX(SPPR!$E:$Z,MATCH($A63,SPPR!$A:$A,0),9),""),"")</f>
        <v/>
      </c>
      <c r="M63">
        <f>IFERROR(IF(ISNUMBER(INDEX(SPPR!$E:$Z,MATCH($A63,SPPR!$A:$A,0),10)),$C63*INDEX(SPPR!$E:$Z,MATCH($A63,SPPR!$A:$A,0),10),""),"")</f>
        <v/>
      </c>
      <c r="N63">
        <f>IFERROR(IF(ISNUMBER(INDEX(SPPR!$E:$Z,MATCH($A63,SPPR!$A:$A,0),11)),$C63*INDEX(SPPR!$E:$Z,MATCH($A63,SPPR!$A:$A,0),11),""),"")</f>
        <v/>
      </c>
      <c r="O63">
        <f>IFERROR(IF(ISNUMBER(INDEX(SPPR!$E:$Z,MATCH($A63,SPPR!$A:$A,0),12)),$C63*INDEX(SPPR!$E:$Z,MATCH($A63,SPPR!$A:$A,0),12),""),"")</f>
        <v/>
      </c>
      <c r="P63">
        <f>IFERROR(IF(ISNUMBER(INDEX(SPPR!$E:$Z,MATCH($A63,SPPR!$A:$A,0),13)),$C63*INDEX(SPPR!$E:$Z,MATCH($A63,SPPR!$A:$A,0),13),""),"")</f>
        <v/>
      </c>
      <c r="Q63">
        <f>IFERROR(IF(ISNUMBER(INDEX(SPPR!$E:$Z,MATCH($A63,SPPR!$A:$A,0),14)),$C63*INDEX(SPPR!$E:$Z,MATCH($A63,SPPR!$A:$A,0),14),""),"")</f>
        <v/>
      </c>
      <c r="R63">
        <f>IFERROR(IF(ISNUMBER(INDEX(SPPR!$E:$Z,MATCH($A63,SPPR!$A:$A,0),15)),$C63*INDEX(SPPR!$E:$Z,MATCH($A63,SPPR!$A:$A,0),15),""),"")</f>
        <v/>
      </c>
      <c r="S63">
        <f>IFERROR(IF(ISNUMBER(INDEX(SPPR!$E:$Z,MATCH($A63,SPPR!$A:$A,0),16)),$C63*INDEX(SPPR!$E:$Z,MATCH($A63,SPPR!$A:$A,0),16),""),"")</f>
        <v/>
      </c>
      <c r="T63">
        <f>IFERROR(IF(ISNUMBER(INDEX(SPPR!$E:$Z,MATCH($A63,SPPR!$A:$A,0),17)),$C63*INDEX(SPPR!$E:$Z,MATCH($A63,SPPR!$A:$A,0),17),""),"")</f>
        <v/>
      </c>
      <c r="U63">
        <f>IFERROR(IF(ISNUMBER(INDEX(SPPR!$E:$Z,MATCH($A63,SPPR!$A:$A,0),18)),$C63*INDEX(SPPR!$E:$Z,MATCH($A63,SPPR!$A:$A,0),18),""),"")</f>
        <v/>
      </c>
      <c r="V63">
        <f>IFERROR(IF(ISNUMBER(INDEX(SPPR!$E:$Z,MATCH($A63,SPPR!$A:$A,0),19)),$C63*INDEX(SPPR!$E:$Z,MATCH($A63,SPPR!$A:$A,0),19),""),"")</f>
        <v/>
      </c>
      <c r="W63">
        <f>IFERROR(IF(ISNUMBER(INDEX(SPPR!$E:$Z,MATCH($A63,SPPR!$A:$A,0),20)),$C63*INDEX(SPPR!$E:$Z,MATCH($A63,SPPR!$A:$A,0),20),""),"")</f>
        <v/>
      </c>
      <c r="X63">
        <f>IFERROR(IF(ISNUMBER(INDEX(SPPR!$E:$Z,MATCH($A63,SPPR!$A:$A,0),21)),$C63*INDEX(SPPR!$E:$Z,MATCH($A63,SPPR!$A:$A,0),21),""),"")</f>
        <v/>
      </c>
      <c r="Y63">
        <f>IFERROR(IF(ISNUMBER(INDEX(SPPR!$E:$Z,MATCH($A63,SPPR!$A:$A,0),22)),$C63*INDEX(SPPR!$E:$Z,MATCH($A63,SPPR!$A:$A,0),22),""),"")</f>
        <v/>
      </c>
    </row>
    <row r="64">
      <c r="A64" t="inlineStr">
        <is>
          <t>Mullidae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IFERROR(IF(ISNUMBER(INDEX(SPPR!$E:$Z,MATCH($A64,SPPR!$A:$A,0),1)),$C64*INDEX(SPPR!$E:$Z,MATCH($A64,SPPR!$A:$A,0),1),""),"")</f>
        <v/>
      </c>
      <c r="E64">
        <f>IFERROR(IF(ISNUMBER(INDEX(SPPR!$E:$Z,MATCH($A64,SPPR!$A:$A,0),2)),$C64*INDEX(SPPR!$E:$Z,MATCH($A64,SPPR!$A:$A,0),2),""),"")</f>
        <v/>
      </c>
      <c r="F64">
        <f>IFERROR(IF(ISNUMBER(INDEX(SPPR!$E:$Z,MATCH($A64,SPPR!$A:$A,0),3)),$C64*INDEX(SPPR!$E:$Z,MATCH($A64,SPPR!$A:$A,0),3),""),"")</f>
        <v/>
      </c>
      <c r="G64">
        <f>IFERROR(IF(ISNUMBER(INDEX(SPPR!$E:$Z,MATCH($A64,SPPR!$A:$A,0),4)),$C64*INDEX(SPPR!$E:$Z,MATCH($A64,SPPR!$A:$A,0),4),""),"")</f>
        <v/>
      </c>
      <c r="H64">
        <f>IFERROR(IF(ISNUMBER(INDEX(SPPR!$E:$Z,MATCH($A64,SPPR!$A:$A,0),5)),$C64*INDEX(SPPR!$E:$Z,MATCH($A64,SPPR!$A:$A,0),5),""),"")</f>
        <v/>
      </c>
      <c r="I64">
        <f>IFERROR(IF(ISNUMBER(INDEX(SPPR!$E:$Z,MATCH($A64,SPPR!$A:$A,0),6)),$C64*INDEX(SPPR!$E:$Z,MATCH($A64,SPPR!$A:$A,0),6),""),"")</f>
        <v/>
      </c>
      <c r="J64">
        <f>IFERROR(IF(ISNUMBER(INDEX(SPPR!$E:$Z,MATCH($A64,SPPR!$A:$A,0),7)),$C64*INDEX(SPPR!$E:$Z,MATCH($A64,SPPR!$A:$A,0),7),""),"")</f>
        <v/>
      </c>
      <c r="K64">
        <f>IFERROR(IF(ISNUMBER(INDEX(SPPR!$E:$Z,MATCH($A64,SPPR!$A:$A,0),8)),$C64*INDEX(SPPR!$E:$Z,MATCH($A64,SPPR!$A:$A,0),8),""),"")</f>
        <v/>
      </c>
      <c r="L64">
        <f>IFERROR(IF(ISNUMBER(INDEX(SPPR!$E:$Z,MATCH($A64,SPPR!$A:$A,0),9)),$C64*INDEX(SPPR!$E:$Z,MATCH($A64,SPPR!$A:$A,0),9),""),"")</f>
        <v/>
      </c>
      <c r="M64">
        <f>IFERROR(IF(ISNUMBER(INDEX(SPPR!$E:$Z,MATCH($A64,SPPR!$A:$A,0),10)),$C64*INDEX(SPPR!$E:$Z,MATCH($A64,SPPR!$A:$A,0),10),""),"")</f>
        <v/>
      </c>
      <c r="N64">
        <f>IFERROR(IF(ISNUMBER(INDEX(SPPR!$E:$Z,MATCH($A64,SPPR!$A:$A,0),11)),$C64*INDEX(SPPR!$E:$Z,MATCH($A64,SPPR!$A:$A,0),11),""),"")</f>
        <v/>
      </c>
      <c r="O64">
        <f>IFERROR(IF(ISNUMBER(INDEX(SPPR!$E:$Z,MATCH($A64,SPPR!$A:$A,0),12)),$C64*INDEX(SPPR!$E:$Z,MATCH($A64,SPPR!$A:$A,0),12),""),"")</f>
        <v/>
      </c>
      <c r="P64">
        <f>IFERROR(IF(ISNUMBER(INDEX(SPPR!$E:$Z,MATCH($A64,SPPR!$A:$A,0),13)),$C64*INDEX(SPPR!$E:$Z,MATCH($A64,SPPR!$A:$A,0),13),""),"")</f>
        <v/>
      </c>
      <c r="Q64">
        <f>IFERROR(IF(ISNUMBER(INDEX(SPPR!$E:$Z,MATCH($A64,SPPR!$A:$A,0),14)),$C64*INDEX(SPPR!$E:$Z,MATCH($A64,SPPR!$A:$A,0),14),""),"")</f>
        <v/>
      </c>
      <c r="R64">
        <f>IFERROR(IF(ISNUMBER(INDEX(SPPR!$E:$Z,MATCH($A64,SPPR!$A:$A,0),15)),$C64*INDEX(SPPR!$E:$Z,MATCH($A64,SPPR!$A:$A,0),15),""),"")</f>
        <v/>
      </c>
      <c r="S64">
        <f>IFERROR(IF(ISNUMBER(INDEX(SPPR!$E:$Z,MATCH($A64,SPPR!$A:$A,0),16)),$C64*INDEX(SPPR!$E:$Z,MATCH($A64,SPPR!$A:$A,0),16),""),"")</f>
        <v/>
      </c>
      <c r="T64">
        <f>IFERROR(IF(ISNUMBER(INDEX(SPPR!$E:$Z,MATCH($A64,SPPR!$A:$A,0),17)),$C64*INDEX(SPPR!$E:$Z,MATCH($A64,SPPR!$A:$A,0),17),""),"")</f>
        <v/>
      </c>
      <c r="U64">
        <f>IFERROR(IF(ISNUMBER(INDEX(SPPR!$E:$Z,MATCH($A64,SPPR!$A:$A,0),18)),$C64*INDEX(SPPR!$E:$Z,MATCH($A64,SPPR!$A:$A,0),18),""),"")</f>
        <v/>
      </c>
      <c r="V64">
        <f>IFERROR(IF(ISNUMBER(INDEX(SPPR!$E:$Z,MATCH($A64,SPPR!$A:$A,0),19)),$C64*INDEX(SPPR!$E:$Z,MATCH($A64,SPPR!$A:$A,0),19),""),"")</f>
        <v/>
      </c>
      <c r="W64">
        <f>IFERROR(IF(ISNUMBER(INDEX(SPPR!$E:$Z,MATCH($A64,SPPR!$A:$A,0),20)),$C64*INDEX(SPPR!$E:$Z,MATCH($A64,SPPR!$A:$A,0),20),""),"")</f>
        <v/>
      </c>
      <c r="X64">
        <f>IFERROR(IF(ISNUMBER(INDEX(SPPR!$E:$Z,MATCH($A64,SPPR!$A:$A,0),21)),$C64*INDEX(SPPR!$E:$Z,MATCH($A64,SPPR!$A:$A,0),21),""),"")</f>
        <v/>
      </c>
      <c r="Y64">
        <f>IFERROR(IF(ISNUMBER(INDEX(SPPR!$E:$Z,MATCH($A64,SPPR!$A:$A,0),22)),$C64*INDEX(SPPR!$E:$Z,MATCH($A64,SPPR!$A:$A,0),22),""),"")</f>
        <v/>
      </c>
    </row>
    <row r="65">
      <c r="A65" t="inlineStr">
        <is>
          <t>Decapterus macrosoma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IFERROR(IF(ISNUMBER(INDEX(SPPR!$E:$Z,MATCH($A65,SPPR!$A:$A,0),1)),$C65*INDEX(SPPR!$E:$Z,MATCH($A65,SPPR!$A:$A,0),1),""),"")</f>
        <v/>
      </c>
      <c r="E65">
        <f>IFERROR(IF(ISNUMBER(INDEX(SPPR!$E:$Z,MATCH($A65,SPPR!$A:$A,0),2)),$C65*INDEX(SPPR!$E:$Z,MATCH($A65,SPPR!$A:$A,0),2),""),"")</f>
        <v/>
      </c>
      <c r="F65">
        <f>IFERROR(IF(ISNUMBER(INDEX(SPPR!$E:$Z,MATCH($A65,SPPR!$A:$A,0),3)),$C65*INDEX(SPPR!$E:$Z,MATCH($A65,SPPR!$A:$A,0),3),""),"")</f>
        <v/>
      </c>
      <c r="G65">
        <f>IFERROR(IF(ISNUMBER(INDEX(SPPR!$E:$Z,MATCH($A65,SPPR!$A:$A,0),4)),$C65*INDEX(SPPR!$E:$Z,MATCH($A65,SPPR!$A:$A,0),4),""),"")</f>
        <v/>
      </c>
      <c r="H65">
        <f>IFERROR(IF(ISNUMBER(INDEX(SPPR!$E:$Z,MATCH($A65,SPPR!$A:$A,0),5)),$C65*INDEX(SPPR!$E:$Z,MATCH($A65,SPPR!$A:$A,0),5),""),"")</f>
        <v/>
      </c>
      <c r="I65">
        <f>IFERROR(IF(ISNUMBER(INDEX(SPPR!$E:$Z,MATCH($A65,SPPR!$A:$A,0),6)),$C65*INDEX(SPPR!$E:$Z,MATCH($A65,SPPR!$A:$A,0),6),""),"")</f>
        <v/>
      </c>
      <c r="J65">
        <f>IFERROR(IF(ISNUMBER(INDEX(SPPR!$E:$Z,MATCH($A65,SPPR!$A:$A,0),7)),$C65*INDEX(SPPR!$E:$Z,MATCH($A65,SPPR!$A:$A,0),7),""),"")</f>
        <v/>
      </c>
      <c r="K65">
        <f>IFERROR(IF(ISNUMBER(INDEX(SPPR!$E:$Z,MATCH($A65,SPPR!$A:$A,0),8)),$C65*INDEX(SPPR!$E:$Z,MATCH($A65,SPPR!$A:$A,0),8),""),"")</f>
        <v/>
      </c>
      <c r="L65">
        <f>IFERROR(IF(ISNUMBER(INDEX(SPPR!$E:$Z,MATCH($A65,SPPR!$A:$A,0),9)),$C65*INDEX(SPPR!$E:$Z,MATCH($A65,SPPR!$A:$A,0),9),""),"")</f>
        <v/>
      </c>
      <c r="M65">
        <f>IFERROR(IF(ISNUMBER(INDEX(SPPR!$E:$Z,MATCH($A65,SPPR!$A:$A,0),10)),$C65*INDEX(SPPR!$E:$Z,MATCH($A65,SPPR!$A:$A,0),10),""),"")</f>
        <v/>
      </c>
      <c r="N65">
        <f>IFERROR(IF(ISNUMBER(INDEX(SPPR!$E:$Z,MATCH($A65,SPPR!$A:$A,0),11)),$C65*INDEX(SPPR!$E:$Z,MATCH($A65,SPPR!$A:$A,0),11),""),"")</f>
        <v/>
      </c>
      <c r="O65">
        <f>IFERROR(IF(ISNUMBER(INDEX(SPPR!$E:$Z,MATCH($A65,SPPR!$A:$A,0),12)),$C65*INDEX(SPPR!$E:$Z,MATCH($A65,SPPR!$A:$A,0),12),""),"")</f>
        <v/>
      </c>
      <c r="P65">
        <f>IFERROR(IF(ISNUMBER(INDEX(SPPR!$E:$Z,MATCH($A65,SPPR!$A:$A,0),13)),$C65*INDEX(SPPR!$E:$Z,MATCH($A65,SPPR!$A:$A,0),13),""),"")</f>
        <v/>
      </c>
      <c r="Q65">
        <f>IFERROR(IF(ISNUMBER(INDEX(SPPR!$E:$Z,MATCH($A65,SPPR!$A:$A,0),14)),$C65*INDEX(SPPR!$E:$Z,MATCH($A65,SPPR!$A:$A,0),14),""),"")</f>
        <v/>
      </c>
      <c r="R65">
        <f>IFERROR(IF(ISNUMBER(INDEX(SPPR!$E:$Z,MATCH($A65,SPPR!$A:$A,0),15)),$C65*INDEX(SPPR!$E:$Z,MATCH($A65,SPPR!$A:$A,0),15),""),"")</f>
        <v/>
      </c>
      <c r="S65">
        <f>IFERROR(IF(ISNUMBER(INDEX(SPPR!$E:$Z,MATCH($A65,SPPR!$A:$A,0),16)),$C65*INDEX(SPPR!$E:$Z,MATCH($A65,SPPR!$A:$A,0),16),""),"")</f>
        <v/>
      </c>
      <c r="T65">
        <f>IFERROR(IF(ISNUMBER(INDEX(SPPR!$E:$Z,MATCH($A65,SPPR!$A:$A,0),17)),$C65*INDEX(SPPR!$E:$Z,MATCH($A65,SPPR!$A:$A,0),17),""),"")</f>
        <v/>
      </c>
      <c r="U65">
        <f>IFERROR(IF(ISNUMBER(INDEX(SPPR!$E:$Z,MATCH($A65,SPPR!$A:$A,0),18)),$C65*INDEX(SPPR!$E:$Z,MATCH($A65,SPPR!$A:$A,0),18),""),"")</f>
        <v/>
      </c>
      <c r="V65">
        <f>IFERROR(IF(ISNUMBER(INDEX(SPPR!$E:$Z,MATCH($A65,SPPR!$A:$A,0),19)),$C65*INDEX(SPPR!$E:$Z,MATCH($A65,SPPR!$A:$A,0),19),""),"")</f>
        <v/>
      </c>
      <c r="W65">
        <f>IFERROR(IF(ISNUMBER(INDEX(SPPR!$E:$Z,MATCH($A65,SPPR!$A:$A,0),20)),$C65*INDEX(SPPR!$E:$Z,MATCH($A65,SPPR!$A:$A,0),20),""),"")</f>
        <v/>
      </c>
      <c r="X65">
        <f>IFERROR(IF(ISNUMBER(INDEX(SPPR!$E:$Z,MATCH($A65,SPPR!$A:$A,0),21)),$C65*INDEX(SPPR!$E:$Z,MATCH($A65,SPPR!$A:$A,0),21),""),"")</f>
        <v/>
      </c>
      <c r="Y65">
        <f>IFERROR(IF(ISNUMBER(INDEX(SPPR!$E:$Z,MATCH($A65,SPPR!$A:$A,0),22)),$C65*INDEX(SPPR!$E:$Z,MATCH($A65,SPPR!$A:$A,0),22),""),"")</f>
        <v/>
      </c>
    </row>
    <row r="66">
      <c r="A66" t="inlineStr">
        <is>
          <t>Katsuwonus pelamis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IFERROR(IF(ISNUMBER(INDEX(SPPR!$E:$Z,MATCH($A66,SPPR!$A:$A,0),1)),$C66*INDEX(SPPR!$E:$Z,MATCH($A66,SPPR!$A:$A,0),1),""),"")</f>
        <v/>
      </c>
      <c r="E66">
        <f>IFERROR(IF(ISNUMBER(INDEX(SPPR!$E:$Z,MATCH($A66,SPPR!$A:$A,0),2)),$C66*INDEX(SPPR!$E:$Z,MATCH($A66,SPPR!$A:$A,0),2),""),"")</f>
        <v/>
      </c>
      <c r="F66">
        <f>IFERROR(IF(ISNUMBER(INDEX(SPPR!$E:$Z,MATCH($A66,SPPR!$A:$A,0),3)),$C66*INDEX(SPPR!$E:$Z,MATCH($A66,SPPR!$A:$A,0),3),""),"")</f>
        <v/>
      </c>
      <c r="G66">
        <f>IFERROR(IF(ISNUMBER(INDEX(SPPR!$E:$Z,MATCH($A66,SPPR!$A:$A,0),4)),$C66*INDEX(SPPR!$E:$Z,MATCH($A66,SPPR!$A:$A,0),4),""),"")</f>
        <v/>
      </c>
      <c r="H66">
        <f>IFERROR(IF(ISNUMBER(INDEX(SPPR!$E:$Z,MATCH($A66,SPPR!$A:$A,0),5)),$C66*INDEX(SPPR!$E:$Z,MATCH($A66,SPPR!$A:$A,0),5),""),"")</f>
        <v/>
      </c>
      <c r="I66">
        <f>IFERROR(IF(ISNUMBER(INDEX(SPPR!$E:$Z,MATCH($A66,SPPR!$A:$A,0),6)),$C66*INDEX(SPPR!$E:$Z,MATCH($A66,SPPR!$A:$A,0),6),""),"")</f>
        <v/>
      </c>
      <c r="J66">
        <f>IFERROR(IF(ISNUMBER(INDEX(SPPR!$E:$Z,MATCH($A66,SPPR!$A:$A,0),7)),$C66*INDEX(SPPR!$E:$Z,MATCH($A66,SPPR!$A:$A,0),7),""),"")</f>
        <v/>
      </c>
      <c r="K66">
        <f>IFERROR(IF(ISNUMBER(INDEX(SPPR!$E:$Z,MATCH($A66,SPPR!$A:$A,0),8)),$C66*INDEX(SPPR!$E:$Z,MATCH($A66,SPPR!$A:$A,0),8),""),"")</f>
        <v/>
      </c>
      <c r="L66">
        <f>IFERROR(IF(ISNUMBER(INDEX(SPPR!$E:$Z,MATCH($A66,SPPR!$A:$A,0),9)),$C66*INDEX(SPPR!$E:$Z,MATCH($A66,SPPR!$A:$A,0),9),""),"")</f>
        <v/>
      </c>
      <c r="M66">
        <f>IFERROR(IF(ISNUMBER(INDEX(SPPR!$E:$Z,MATCH($A66,SPPR!$A:$A,0),10)),$C66*INDEX(SPPR!$E:$Z,MATCH($A66,SPPR!$A:$A,0),10),""),"")</f>
        <v/>
      </c>
      <c r="N66">
        <f>IFERROR(IF(ISNUMBER(INDEX(SPPR!$E:$Z,MATCH($A66,SPPR!$A:$A,0),11)),$C66*INDEX(SPPR!$E:$Z,MATCH($A66,SPPR!$A:$A,0),11),""),"")</f>
        <v/>
      </c>
      <c r="O66">
        <f>IFERROR(IF(ISNUMBER(INDEX(SPPR!$E:$Z,MATCH($A66,SPPR!$A:$A,0),12)),$C66*INDEX(SPPR!$E:$Z,MATCH($A66,SPPR!$A:$A,0),12),""),"")</f>
        <v/>
      </c>
      <c r="P66">
        <f>IFERROR(IF(ISNUMBER(INDEX(SPPR!$E:$Z,MATCH($A66,SPPR!$A:$A,0),13)),$C66*INDEX(SPPR!$E:$Z,MATCH($A66,SPPR!$A:$A,0),13),""),"")</f>
        <v/>
      </c>
      <c r="Q66">
        <f>IFERROR(IF(ISNUMBER(INDEX(SPPR!$E:$Z,MATCH($A66,SPPR!$A:$A,0),14)),$C66*INDEX(SPPR!$E:$Z,MATCH($A66,SPPR!$A:$A,0),14),""),"")</f>
        <v/>
      </c>
      <c r="R66">
        <f>IFERROR(IF(ISNUMBER(INDEX(SPPR!$E:$Z,MATCH($A66,SPPR!$A:$A,0),15)),$C66*INDEX(SPPR!$E:$Z,MATCH($A66,SPPR!$A:$A,0),15),""),"")</f>
        <v/>
      </c>
      <c r="S66">
        <f>IFERROR(IF(ISNUMBER(INDEX(SPPR!$E:$Z,MATCH($A66,SPPR!$A:$A,0),16)),$C66*INDEX(SPPR!$E:$Z,MATCH($A66,SPPR!$A:$A,0),16),""),"")</f>
        <v/>
      </c>
      <c r="T66">
        <f>IFERROR(IF(ISNUMBER(INDEX(SPPR!$E:$Z,MATCH($A66,SPPR!$A:$A,0),17)),$C66*INDEX(SPPR!$E:$Z,MATCH($A66,SPPR!$A:$A,0),17),""),"")</f>
        <v/>
      </c>
      <c r="U66">
        <f>IFERROR(IF(ISNUMBER(INDEX(SPPR!$E:$Z,MATCH($A66,SPPR!$A:$A,0),18)),$C66*INDEX(SPPR!$E:$Z,MATCH($A66,SPPR!$A:$A,0),18),""),"")</f>
        <v/>
      </c>
      <c r="V66">
        <f>IFERROR(IF(ISNUMBER(INDEX(SPPR!$E:$Z,MATCH($A66,SPPR!$A:$A,0),19)),$C66*INDEX(SPPR!$E:$Z,MATCH($A66,SPPR!$A:$A,0),19),""),"")</f>
        <v/>
      </c>
      <c r="W66">
        <f>IFERROR(IF(ISNUMBER(INDEX(SPPR!$E:$Z,MATCH($A66,SPPR!$A:$A,0),20)),$C66*INDEX(SPPR!$E:$Z,MATCH($A66,SPPR!$A:$A,0),20),""),"")</f>
        <v/>
      </c>
      <c r="X66">
        <f>IFERROR(IF(ISNUMBER(INDEX(SPPR!$E:$Z,MATCH($A66,SPPR!$A:$A,0),21)),$C66*INDEX(SPPR!$E:$Z,MATCH($A66,SPPR!$A:$A,0),21),""),"")</f>
        <v/>
      </c>
      <c r="Y66">
        <f>IFERROR(IF(ISNUMBER(INDEX(SPPR!$E:$Z,MATCH($A66,SPPR!$A:$A,0),22)),$C66*INDEX(SPPR!$E:$Z,MATCH($A66,SPPR!$A:$A,0),22),""),"")</f>
        <v/>
      </c>
    </row>
    <row r="67">
      <c r="A67" t="inlineStr">
        <is>
          <t>Penaeus chinensis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IFERROR(IF(ISNUMBER(INDEX(SPPR!$E:$Z,MATCH($A67,SPPR!$A:$A,0),1)),$C67*INDEX(SPPR!$E:$Z,MATCH($A67,SPPR!$A:$A,0),1),""),"")</f>
        <v/>
      </c>
      <c r="E67">
        <f>IFERROR(IF(ISNUMBER(INDEX(SPPR!$E:$Z,MATCH($A67,SPPR!$A:$A,0),2)),$C67*INDEX(SPPR!$E:$Z,MATCH($A67,SPPR!$A:$A,0),2),""),"")</f>
        <v/>
      </c>
      <c r="F67">
        <f>IFERROR(IF(ISNUMBER(INDEX(SPPR!$E:$Z,MATCH($A67,SPPR!$A:$A,0),3)),$C67*INDEX(SPPR!$E:$Z,MATCH($A67,SPPR!$A:$A,0),3),""),"")</f>
        <v/>
      </c>
      <c r="G67">
        <f>IFERROR(IF(ISNUMBER(INDEX(SPPR!$E:$Z,MATCH($A67,SPPR!$A:$A,0),4)),$C67*INDEX(SPPR!$E:$Z,MATCH($A67,SPPR!$A:$A,0),4),""),"")</f>
        <v/>
      </c>
      <c r="H67">
        <f>IFERROR(IF(ISNUMBER(INDEX(SPPR!$E:$Z,MATCH($A67,SPPR!$A:$A,0),5)),$C67*INDEX(SPPR!$E:$Z,MATCH($A67,SPPR!$A:$A,0),5),""),"")</f>
        <v/>
      </c>
      <c r="I67">
        <f>IFERROR(IF(ISNUMBER(INDEX(SPPR!$E:$Z,MATCH($A67,SPPR!$A:$A,0),6)),$C67*INDEX(SPPR!$E:$Z,MATCH($A67,SPPR!$A:$A,0),6),""),"")</f>
        <v/>
      </c>
      <c r="J67">
        <f>IFERROR(IF(ISNUMBER(INDEX(SPPR!$E:$Z,MATCH($A67,SPPR!$A:$A,0),7)),$C67*INDEX(SPPR!$E:$Z,MATCH($A67,SPPR!$A:$A,0),7),""),"")</f>
        <v/>
      </c>
      <c r="K67">
        <f>IFERROR(IF(ISNUMBER(INDEX(SPPR!$E:$Z,MATCH($A67,SPPR!$A:$A,0),8)),$C67*INDEX(SPPR!$E:$Z,MATCH($A67,SPPR!$A:$A,0),8),""),"")</f>
        <v/>
      </c>
      <c r="L67">
        <f>IFERROR(IF(ISNUMBER(INDEX(SPPR!$E:$Z,MATCH($A67,SPPR!$A:$A,0),9)),$C67*INDEX(SPPR!$E:$Z,MATCH($A67,SPPR!$A:$A,0),9),""),"")</f>
        <v/>
      </c>
      <c r="M67">
        <f>IFERROR(IF(ISNUMBER(INDEX(SPPR!$E:$Z,MATCH($A67,SPPR!$A:$A,0),10)),$C67*INDEX(SPPR!$E:$Z,MATCH($A67,SPPR!$A:$A,0),10),""),"")</f>
        <v/>
      </c>
      <c r="N67">
        <f>IFERROR(IF(ISNUMBER(INDEX(SPPR!$E:$Z,MATCH($A67,SPPR!$A:$A,0),11)),$C67*INDEX(SPPR!$E:$Z,MATCH($A67,SPPR!$A:$A,0),11),""),"")</f>
        <v/>
      </c>
      <c r="O67">
        <f>IFERROR(IF(ISNUMBER(INDEX(SPPR!$E:$Z,MATCH($A67,SPPR!$A:$A,0),12)),$C67*INDEX(SPPR!$E:$Z,MATCH($A67,SPPR!$A:$A,0),12),""),"")</f>
        <v/>
      </c>
      <c r="P67">
        <f>IFERROR(IF(ISNUMBER(INDEX(SPPR!$E:$Z,MATCH($A67,SPPR!$A:$A,0),13)),$C67*INDEX(SPPR!$E:$Z,MATCH($A67,SPPR!$A:$A,0),13),""),"")</f>
        <v/>
      </c>
      <c r="Q67">
        <f>IFERROR(IF(ISNUMBER(INDEX(SPPR!$E:$Z,MATCH($A67,SPPR!$A:$A,0),14)),$C67*INDEX(SPPR!$E:$Z,MATCH($A67,SPPR!$A:$A,0),14),""),"")</f>
        <v/>
      </c>
      <c r="R67">
        <f>IFERROR(IF(ISNUMBER(INDEX(SPPR!$E:$Z,MATCH($A67,SPPR!$A:$A,0),15)),$C67*INDEX(SPPR!$E:$Z,MATCH($A67,SPPR!$A:$A,0),15),""),"")</f>
        <v/>
      </c>
      <c r="S67">
        <f>IFERROR(IF(ISNUMBER(INDEX(SPPR!$E:$Z,MATCH($A67,SPPR!$A:$A,0),16)),$C67*INDEX(SPPR!$E:$Z,MATCH($A67,SPPR!$A:$A,0),16),""),"")</f>
        <v/>
      </c>
      <c r="T67">
        <f>IFERROR(IF(ISNUMBER(INDEX(SPPR!$E:$Z,MATCH($A67,SPPR!$A:$A,0),17)),$C67*INDEX(SPPR!$E:$Z,MATCH($A67,SPPR!$A:$A,0),17),""),"")</f>
        <v/>
      </c>
      <c r="U67">
        <f>IFERROR(IF(ISNUMBER(INDEX(SPPR!$E:$Z,MATCH($A67,SPPR!$A:$A,0),18)),$C67*INDEX(SPPR!$E:$Z,MATCH($A67,SPPR!$A:$A,0),18),""),"")</f>
        <v/>
      </c>
      <c r="V67">
        <f>IFERROR(IF(ISNUMBER(INDEX(SPPR!$E:$Z,MATCH($A67,SPPR!$A:$A,0),19)),$C67*INDEX(SPPR!$E:$Z,MATCH($A67,SPPR!$A:$A,0),19),""),"")</f>
        <v/>
      </c>
      <c r="W67">
        <f>IFERROR(IF(ISNUMBER(INDEX(SPPR!$E:$Z,MATCH($A67,SPPR!$A:$A,0),20)),$C67*INDEX(SPPR!$E:$Z,MATCH($A67,SPPR!$A:$A,0),20),""),"")</f>
        <v/>
      </c>
      <c r="X67">
        <f>IFERROR(IF(ISNUMBER(INDEX(SPPR!$E:$Z,MATCH($A67,SPPR!$A:$A,0),21)),$C67*INDEX(SPPR!$E:$Z,MATCH($A67,SPPR!$A:$A,0),21),""),"")</f>
        <v/>
      </c>
      <c r="Y67">
        <f>IFERROR(IF(ISNUMBER(INDEX(SPPR!$E:$Z,MATCH($A67,SPPR!$A:$A,0),22)),$C67*INDEX(SPPR!$E:$Z,MATCH($A67,SPPR!$A:$A,0),22),""),"")</f>
        <v/>
      </c>
    </row>
    <row r="68">
      <c r="A68" t="inlineStr">
        <is>
          <t>Selaroides leptolepis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IFERROR(IF(ISNUMBER(INDEX(SPPR!$E:$Z,MATCH($A68,SPPR!$A:$A,0),1)),$C68*INDEX(SPPR!$E:$Z,MATCH($A68,SPPR!$A:$A,0),1),""),"")</f>
        <v/>
      </c>
      <c r="E68">
        <f>IFERROR(IF(ISNUMBER(INDEX(SPPR!$E:$Z,MATCH($A68,SPPR!$A:$A,0),2)),$C68*INDEX(SPPR!$E:$Z,MATCH($A68,SPPR!$A:$A,0),2),""),"")</f>
        <v/>
      </c>
      <c r="F68">
        <f>IFERROR(IF(ISNUMBER(INDEX(SPPR!$E:$Z,MATCH($A68,SPPR!$A:$A,0),3)),$C68*INDEX(SPPR!$E:$Z,MATCH($A68,SPPR!$A:$A,0),3),""),"")</f>
        <v/>
      </c>
      <c r="G68">
        <f>IFERROR(IF(ISNUMBER(INDEX(SPPR!$E:$Z,MATCH($A68,SPPR!$A:$A,0),4)),$C68*INDEX(SPPR!$E:$Z,MATCH($A68,SPPR!$A:$A,0),4),""),"")</f>
        <v/>
      </c>
      <c r="H68">
        <f>IFERROR(IF(ISNUMBER(INDEX(SPPR!$E:$Z,MATCH($A68,SPPR!$A:$A,0),5)),$C68*INDEX(SPPR!$E:$Z,MATCH($A68,SPPR!$A:$A,0),5),""),"")</f>
        <v/>
      </c>
      <c r="I68">
        <f>IFERROR(IF(ISNUMBER(INDEX(SPPR!$E:$Z,MATCH($A68,SPPR!$A:$A,0),6)),$C68*INDEX(SPPR!$E:$Z,MATCH($A68,SPPR!$A:$A,0),6),""),"")</f>
        <v/>
      </c>
      <c r="J68">
        <f>IFERROR(IF(ISNUMBER(INDEX(SPPR!$E:$Z,MATCH($A68,SPPR!$A:$A,0),7)),$C68*INDEX(SPPR!$E:$Z,MATCH($A68,SPPR!$A:$A,0),7),""),"")</f>
        <v/>
      </c>
      <c r="K68">
        <f>IFERROR(IF(ISNUMBER(INDEX(SPPR!$E:$Z,MATCH($A68,SPPR!$A:$A,0),8)),$C68*INDEX(SPPR!$E:$Z,MATCH($A68,SPPR!$A:$A,0),8),""),"")</f>
        <v/>
      </c>
      <c r="L68">
        <f>IFERROR(IF(ISNUMBER(INDEX(SPPR!$E:$Z,MATCH($A68,SPPR!$A:$A,0),9)),$C68*INDEX(SPPR!$E:$Z,MATCH($A68,SPPR!$A:$A,0),9),""),"")</f>
        <v/>
      </c>
      <c r="M68">
        <f>IFERROR(IF(ISNUMBER(INDEX(SPPR!$E:$Z,MATCH($A68,SPPR!$A:$A,0),10)),$C68*INDEX(SPPR!$E:$Z,MATCH($A68,SPPR!$A:$A,0),10),""),"")</f>
        <v/>
      </c>
      <c r="N68">
        <f>IFERROR(IF(ISNUMBER(INDEX(SPPR!$E:$Z,MATCH($A68,SPPR!$A:$A,0),11)),$C68*INDEX(SPPR!$E:$Z,MATCH($A68,SPPR!$A:$A,0),11),""),"")</f>
        <v/>
      </c>
      <c r="O68">
        <f>IFERROR(IF(ISNUMBER(INDEX(SPPR!$E:$Z,MATCH($A68,SPPR!$A:$A,0),12)),$C68*INDEX(SPPR!$E:$Z,MATCH($A68,SPPR!$A:$A,0),12),""),"")</f>
        <v/>
      </c>
      <c r="P68">
        <f>IFERROR(IF(ISNUMBER(INDEX(SPPR!$E:$Z,MATCH($A68,SPPR!$A:$A,0),13)),$C68*INDEX(SPPR!$E:$Z,MATCH($A68,SPPR!$A:$A,0),13),""),"")</f>
        <v/>
      </c>
      <c r="Q68">
        <f>IFERROR(IF(ISNUMBER(INDEX(SPPR!$E:$Z,MATCH($A68,SPPR!$A:$A,0),14)),$C68*INDEX(SPPR!$E:$Z,MATCH($A68,SPPR!$A:$A,0),14),""),"")</f>
        <v/>
      </c>
      <c r="R68">
        <f>IFERROR(IF(ISNUMBER(INDEX(SPPR!$E:$Z,MATCH($A68,SPPR!$A:$A,0),15)),$C68*INDEX(SPPR!$E:$Z,MATCH($A68,SPPR!$A:$A,0),15),""),"")</f>
        <v/>
      </c>
      <c r="S68">
        <f>IFERROR(IF(ISNUMBER(INDEX(SPPR!$E:$Z,MATCH($A68,SPPR!$A:$A,0),16)),$C68*INDEX(SPPR!$E:$Z,MATCH($A68,SPPR!$A:$A,0),16),""),"")</f>
        <v/>
      </c>
      <c r="T68">
        <f>IFERROR(IF(ISNUMBER(INDEX(SPPR!$E:$Z,MATCH($A68,SPPR!$A:$A,0),17)),$C68*INDEX(SPPR!$E:$Z,MATCH($A68,SPPR!$A:$A,0),17),""),"")</f>
        <v/>
      </c>
      <c r="U68">
        <f>IFERROR(IF(ISNUMBER(INDEX(SPPR!$E:$Z,MATCH($A68,SPPR!$A:$A,0),18)),$C68*INDEX(SPPR!$E:$Z,MATCH($A68,SPPR!$A:$A,0),18),""),"")</f>
        <v/>
      </c>
      <c r="V68">
        <f>IFERROR(IF(ISNUMBER(INDEX(SPPR!$E:$Z,MATCH($A68,SPPR!$A:$A,0),19)),$C68*INDEX(SPPR!$E:$Z,MATCH($A68,SPPR!$A:$A,0),19),""),"")</f>
        <v/>
      </c>
      <c r="W68">
        <f>IFERROR(IF(ISNUMBER(INDEX(SPPR!$E:$Z,MATCH($A68,SPPR!$A:$A,0),20)),$C68*INDEX(SPPR!$E:$Z,MATCH($A68,SPPR!$A:$A,0),20),""),"")</f>
        <v/>
      </c>
      <c r="X68">
        <f>IFERROR(IF(ISNUMBER(INDEX(SPPR!$E:$Z,MATCH($A68,SPPR!$A:$A,0),21)),$C68*INDEX(SPPR!$E:$Z,MATCH($A68,SPPR!$A:$A,0),21),""),"")</f>
        <v/>
      </c>
      <c r="Y68">
        <f>IFERROR(IF(ISNUMBER(INDEX(SPPR!$E:$Z,MATCH($A68,SPPR!$A:$A,0),22)),$C68*INDEX(SPPR!$E:$Z,MATCH($A68,SPPR!$A:$A,0),22),""),"")</f>
        <v/>
      </c>
    </row>
    <row r="69">
      <c r="A69" t="inlineStr">
        <is>
          <t>Mugilidae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IFERROR(IF(ISNUMBER(INDEX(SPPR!$E:$Z,MATCH($A69,SPPR!$A:$A,0),1)),$C69*INDEX(SPPR!$E:$Z,MATCH($A69,SPPR!$A:$A,0),1),""),"")</f>
        <v/>
      </c>
      <c r="E69">
        <f>IFERROR(IF(ISNUMBER(INDEX(SPPR!$E:$Z,MATCH($A69,SPPR!$A:$A,0),2)),$C69*INDEX(SPPR!$E:$Z,MATCH($A69,SPPR!$A:$A,0),2),""),"")</f>
        <v/>
      </c>
      <c r="F69">
        <f>IFERROR(IF(ISNUMBER(INDEX(SPPR!$E:$Z,MATCH($A69,SPPR!$A:$A,0),3)),$C69*INDEX(SPPR!$E:$Z,MATCH($A69,SPPR!$A:$A,0),3),""),"")</f>
        <v/>
      </c>
      <c r="G69">
        <f>IFERROR(IF(ISNUMBER(INDEX(SPPR!$E:$Z,MATCH($A69,SPPR!$A:$A,0),4)),$C69*INDEX(SPPR!$E:$Z,MATCH($A69,SPPR!$A:$A,0),4),""),"")</f>
        <v/>
      </c>
      <c r="H69">
        <f>IFERROR(IF(ISNUMBER(INDEX(SPPR!$E:$Z,MATCH($A69,SPPR!$A:$A,0),5)),$C69*INDEX(SPPR!$E:$Z,MATCH($A69,SPPR!$A:$A,0),5),""),"")</f>
        <v/>
      </c>
      <c r="I69">
        <f>IFERROR(IF(ISNUMBER(INDEX(SPPR!$E:$Z,MATCH($A69,SPPR!$A:$A,0),6)),$C69*INDEX(SPPR!$E:$Z,MATCH($A69,SPPR!$A:$A,0),6),""),"")</f>
        <v/>
      </c>
      <c r="J69">
        <f>IFERROR(IF(ISNUMBER(INDEX(SPPR!$E:$Z,MATCH($A69,SPPR!$A:$A,0),7)),$C69*INDEX(SPPR!$E:$Z,MATCH($A69,SPPR!$A:$A,0),7),""),"")</f>
        <v/>
      </c>
      <c r="K69">
        <f>IFERROR(IF(ISNUMBER(INDEX(SPPR!$E:$Z,MATCH($A69,SPPR!$A:$A,0),8)),$C69*INDEX(SPPR!$E:$Z,MATCH($A69,SPPR!$A:$A,0),8),""),"")</f>
        <v/>
      </c>
      <c r="L69">
        <f>IFERROR(IF(ISNUMBER(INDEX(SPPR!$E:$Z,MATCH($A69,SPPR!$A:$A,0),9)),$C69*INDEX(SPPR!$E:$Z,MATCH($A69,SPPR!$A:$A,0),9),""),"")</f>
        <v/>
      </c>
      <c r="M69">
        <f>IFERROR(IF(ISNUMBER(INDEX(SPPR!$E:$Z,MATCH($A69,SPPR!$A:$A,0),10)),$C69*INDEX(SPPR!$E:$Z,MATCH($A69,SPPR!$A:$A,0),10),""),"")</f>
        <v/>
      </c>
      <c r="N69">
        <f>IFERROR(IF(ISNUMBER(INDEX(SPPR!$E:$Z,MATCH($A69,SPPR!$A:$A,0),11)),$C69*INDEX(SPPR!$E:$Z,MATCH($A69,SPPR!$A:$A,0),11),""),"")</f>
        <v/>
      </c>
      <c r="O69">
        <f>IFERROR(IF(ISNUMBER(INDEX(SPPR!$E:$Z,MATCH($A69,SPPR!$A:$A,0),12)),$C69*INDEX(SPPR!$E:$Z,MATCH($A69,SPPR!$A:$A,0),12),""),"")</f>
        <v/>
      </c>
      <c r="P69">
        <f>IFERROR(IF(ISNUMBER(INDEX(SPPR!$E:$Z,MATCH($A69,SPPR!$A:$A,0),13)),$C69*INDEX(SPPR!$E:$Z,MATCH($A69,SPPR!$A:$A,0),13),""),"")</f>
        <v/>
      </c>
      <c r="Q69">
        <f>IFERROR(IF(ISNUMBER(INDEX(SPPR!$E:$Z,MATCH($A69,SPPR!$A:$A,0),14)),$C69*INDEX(SPPR!$E:$Z,MATCH($A69,SPPR!$A:$A,0),14),""),"")</f>
        <v/>
      </c>
      <c r="R69">
        <f>IFERROR(IF(ISNUMBER(INDEX(SPPR!$E:$Z,MATCH($A69,SPPR!$A:$A,0),15)),$C69*INDEX(SPPR!$E:$Z,MATCH($A69,SPPR!$A:$A,0),15),""),"")</f>
        <v/>
      </c>
      <c r="S69">
        <f>IFERROR(IF(ISNUMBER(INDEX(SPPR!$E:$Z,MATCH($A69,SPPR!$A:$A,0),16)),$C69*INDEX(SPPR!$E:$Z,MATCH($A69,SPPR!$A:$A,0),16),""),"")</f>
        <v/>
      </c>
      <c r="T69">
        <f>IFERROR(IF(ISNUMBER(INDEX(SPPR!$E:$Z,MATCH($A69,SPPR!$A:$A,0),17)),$C69*INDEX(SPPR!$E:$Z,MATCH($A69,SPPR!$A:$A,0),17),""),"")</f>
        <v/>
      </c>
      <c r="U69">
        <f>IFERROR(IF(ISNUMBER(INDEX(SPPR!$E:$Z,MATCH($A69,SPPR!$A:$A,0),18)),$C69*INDEX(SPPR!$E:$Z,MATCH($A69,SPPR!$A:$A,0),18),""),"")</f>
        <v/>
      </c>
      <c r="V69">
        <f>IFERROR(IF(ISNUMBER(INDEX(SPPR!$E:$Z,MATCH($A69,SPPR!$A:$A,0),19)),$C69*INDEX(SPPR!$E:$Z,MATCH($A69,SPPR!$A:$A,0),19),""),"")</f>
        <v/>
      </c>
      <c r="W69">
        <f>IFERROR(IF(ISNUMBER(INDEX(SPPR!$E:$Z,MATCH($A69,SPPR!$A:$A,0),20)),$C69*INDEX(SPPR!$E:$Z,MATCH($A69,SPPR!$A:$A,0),20),""),"")</f>
        <v/>
      </c>
      <c r="X69">
        <f>IFERROR(IF(ISNUMBER(INDEX(SPPR!$E:$Z,MATCH($A69,SPPR!$A:$A,0),21)),$C69*INDEX(SPPR!$E:$Z,MATCH($A69,SPPR!$A:$A,0),21),""),"")</f>
        <v/>
      </c>
      <c r="Y69">
        <f>IFERROR(IF(ISNUMBER(INDEX(SPPR!$E:$Z,MATCH($A69,SPPR!$A:$A,0),22)),$C69*INDEX(SPPR!$E:$Z,MATCH($A69,SPPR!$A:$A,0),22),""),"")</f>
        <v/>
      </c>
    </row>
    <row r="70">
      <c r="A70" t="inlineStr">
        <is>
          <t>Ilisha elongata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IFERROR(IF(ISNUMBER(INDEX(SPPR!$E:$Z,MATCH($A70,SPPR!$A:$A,0),1)),$C70*INDEX(SPPR!$E:$Z,MATCH($A70,SPPR!$A:$A,0),1),""),"")</f>
        <v/>
      </c>
      <c r="E70">
        <f>IFERROR(IF(ISNUMBER(INDEX(SPPR!$E:$Z,MATCH($A70,SPPR!$A:$A,0),2)),$C70*INDEX(SPPR!$E:$Z,MATCH($A70,SPPR!$A:$A,0),2),""),"")</f>
        <v/>
      </c>
      <c r="F70">
        <f>IFERROR(IF(ISNUMBER(INDEX(SPPR!$E:$Z,MATCH($A70,SPPR!$A:$A,0),3)),$C70*INDEX(SPPR!$E:$Z,MATCH($A70,SPPR!$A:$A,0),3),""),"")</f>
        <v/>
      </c>
      <c r="G70">
        <f>IFERROR(IF(ISNUMBER(INDEX(SPPR!$E:$Z,MATCH($A70,SPPR!$A:$A,0),4)),$C70*INDEX(SPPR!$E:$Z,MATCH($A70,SPPR!$A:$A,0),4),""),"")</f>
        <v/>
      </c>
      <c r="H70">
        <f>IFERROR(IF(ISNUMBER(INDEX(SPPR!$E:$Z,MATCH($A70,SPPR!$A:$A,0),5)),$C70*INDEX(SPPR!$E:$Z,MATCH($A70,SPPR!$A:$A,0),5),""),"")</f>
        <v/>
      </c>
      <c r="I70">
        <f>IFERROR(IF(ISNUMBER(INDEX(SPPR!$E:$Z,MATCH($A70,SPPR!$A:$A,0),6)),$C70*INDEX(SPPR!$E:$Z,MATCH($A70,SPPR!$A:$A,0),6),""),"")</f>
        <v/>
      </c>
      <c r="J70">
        <f>IFERROR(IF(ISNUMBER(INDEX(SPPR!$E:$Z,MATCH($A70,SPPR!$A:$A,0),7)),$C70*INDEX(SPPR!$E:$Z,MATCH($A70,SPPR!$A:$A,0),7),""),"")</f>
        <v/>
      </c>
      <c r="K70">
        <f>IFERROR(IF(ISNUMBER(INDEX(SPPR!$E:$Z,MATCH($A70,SPPR!$A:$A,0),8)),$C70*INDEX(SPPR!$E:$Z,MATCH($A70,SPPR!$A:$A,0),8),""),"")</f>
        <v/>
      </c>
      <c r="L70">
        <f>IFERROR(IF(ISNUMBER(INDEX(SPPR!$E:$Z,MATCH($A70,SPPR!$A:$A,0),9)),$C70*INDEX(SPPR!$E:$Z,MATCH($A70,SPPR!$A:$A,0),9),""),"")</f>
        <v/>
      </c>
      <c r="M70">
        <f>IFERROR(IF(ISNUMBER(INDEX(SPPR!$E:$Z,MATCH($A70,SPPR!$A:$A,0),10)),$C70*INDEX(SPPR!$E:$Z,MATCH($A70,SPPR!$A:$A,0),10),""),"")</f>
        <v/>
      </c>
      <c r="N70">
        <f>IFERROR(IF(ISNUMBER(INDEX(SPPR!$E:$Z,MATCH($A70,SPPR!$A:$A,0),11)),$C70*INDEX(SPPR!$E:$Z,MATCH($A70,SPPR!$A:$A,0),11),""),"")</f>
        <v/>
      </c>
      <c r="O70">
        <f>IFERROR(IF(ISNUMBER(INDEX(SPPR!$E:$Z,MATCH($A70,SPPR!$A:$A,0),12)),$C70*INDEX(SPPR!$E:$Z,MATCH($A70,SPPR!$A:$A,0),12),""),"")</f>
        <v/>
      </c>
      <c r="P70">
        <f>IFERROR(IF(ISNUMBER(INDEX(SPPR!$E:$Z,MATCH($A70,SPPR!$A:$A,0),13)),$C70*INDEX(SPPR!$E:$Z,MATCH($A70,SPPR!$A:$A,0),13),""),"")</f>
        <v/>
      </c>
      <c r="Q70">
        <f>IFERROR(IF(ISNUMBER(INDEX(SPPR!$E:$Z,MATCH($A70,SPPR!$A:$A,0),14)),$C70*INDEX(SPPR!$E:$Z,MATCH($A70,SPPR!$A:$A,0),14),""),"")</f>
        <v/>
      </c>
      <c r="R70">
        <f>IFERROR(IF(ISNUMBER(INDEX(SPPR!$E:$Z,MATCH($A70,SPPR!$A:$A,0),15)),$C70*INDEX(SPPR!$E:$Z,MATCH($A70,SPPR!$A:$A,0),15),""),"")</f>
        <v/>
      </c>
      <c r="S70">
        <f>IFERROR(IF(ISNUMBER(INDEX(SPPR!$E:$Z,MATCH($A70,SPPR!$A:$A,0),16)),$C70*INDEX(SPPR!$E:$Z,MATCH($A70,SPPR!$A:$A,0),16),""),"")</f>
        <v/>
      </c>
      <c r="T70">
        <f>IFERROR(IF(ISNUMBER(INDEX(SPPR!$E:$Z,MATCH($A70,SPPR!$A:$A,0),17)),$C70*INDEX(SPPR!$E:$Z,MATCH($A70,SPPR!$A:$A,0),17),""),"")</f>
        <v/>
      </c>
      <c r="U70">
        <f>IFERROR(IF(ISNUMBER(INDEX(SPPR!$E:$Z,MATCH($A70,SPPR!$A:$A,0),18)),$C70*INDEX(SPPR!$E:$Z,MATCH($A70,SPPR!$A:$A,0),18),""),"")</f>
        <v/>
      </c>
      <c r="V70">
        <f>IFERROR(IF(ISNUMBER(INDEX(SPPR!$E:$Z,MATCH($A70,SPPR!$A:$A,0),19)),$C70*INDEX(SPPR!$E:$Z,MATCH($A70,SPPR!$A:$A,0),19),""),"")</f>
        <v/>
      </c>
      <c r="W70">
        <f>IFERROR(IF(ISNUMBER(INDEX(SPPR!$E:$Z,MATCH($A70,SPPR!$A:$A,0),20)),$C70*INDEX(SPPR!$E:$Z,MATCH($A70,SPPR!$A:$A,0),20),""),"")</f>
        <v/>
      </c>
      <c r="X70">
        <f>IFERROR(IF(ISNUMBER(INDEX(SPPR!$E:$Z,MATCH($A70,SPPR!$A:$A,0),21)),$C70*INDEX(SPPR!$E:$Z,MATCH($A70,SPPR!$A:$A,0),21),""),"")</f>
        <v/>
      </c>
      <c r="Y70">
        <f>IFERROR(IF(ISNUMBER(INDEX(SPPR!$E:$Z,MATCH($A70,SPPR!$A:$A,0),22)),$C70*INDEX(SPPR!$E:$Z,MATCH($A70,SPPR!$A:$A,0),22),""),"")</f>
        <v/>
      </c>
    </row>
    <row r="71">
      <c r="A71" t="inlineStr">
        <is>
          <t>Sardinops sagax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IFERROR(IF(ISNUMBER(INDEX(SPPR!$E:$Z,MATCH($A71,SPPR!$A:$A,0),1)),$C71*INDEX(SPPR!$E:$Z,MATCH($A71,SPPR!$A:$A,0),1),""),"")</f>
        <v/>
      </c>
      <c r="E71">
        <f>IFERROR(IF(ISNUMBER(INDEX(SPPR!$E:$Z,MATCH($A71,SPPR!$A:$A,0),2)),$C71*INDEX(SPPR!$E:$Z,MATCH($A71,SPPR!$A:$A,0),2),""),"")</f>
        <v/>
      </c>
      <c r="F71">
        <f>IFERROR(IF(ISNUMBER(INDEX(SPPR!$E:$Z,MATCH($A71,SPPR!$A:$A,0),3)),$C71*INDEX(SPPR!$E:$Z,MATCH($A71,SPPR!$A:$A,0),3),""),"")</f>
        <v/>
      </c>
      <c r="G71">
        <f>IFERROR(IF(ISNUMBER(INDEX(SPPR!$E:$Z,MATCH($A71,SPPR!$A:$A,0),4)),$C71*INDEX(SPPR!$E:$Z,MATCH($A71,SPPR!$A:$A,0),4),""),"")</f>
        <v/>
      </c>
      <c r="H71">
        <f>IFERROR(IF(ISNUMBER(INDEX(SPPR!$E:$Z,MATCH($A71,SPPR!$A:$A,0),5)),$C71*INDEX(SPPR!$E:$Z,MATCH($A71,SPPR!$A:$A,0),5),""),"")</f>
        <v/>
      </c>
      <c r="I71">
        <f>IFERROR(IF(ISNUMBER(INDEX(SPPR!$E:$Z,MATCH($A71,SPPR!$A:$A,0),6)),$C71*INDEX(SPPR!$E:$Z,MATCH($A71,SPPR!$A:$A,0),6),""),"")</f>
        <v/>
      </c>
      <c r="J71">
        <f>IFERROR(IF(ISNUMBER(INDEX(SPPR!$E:$Z,MATCH($A71,SPPR!$A:$A,0),7)),$C71*INDEX(SPPR!$E:$Z,MATCH($A71,SPPR!$A:$A,0),7),""),"")</f>
        <v/>
      </c>
      <c r="K71">
        <f>IFERROR(IF(ISNUMBER(INDEX(SPPR!$E:$Z,MATCH($A71,SPPR!$A:$A,0),8)),$C71*INDEX(SPPR!$E:$Z,MATCH($A71,SPPR!$A:$A,0),8),""),"")</f>
        <v/>
      </c>
      <c r="L71">
        <f>IFERROR(IF(ISNUMBER(INDEX(SPPR!$E:$Z,MATCH($A71,SPPR!$A:$A,0),9)),$C71*INDEX(SPPR!$E:$Z,MATCH($A71,SPPR!$A:$A,0),9),""),"")</f>
        <v/>
      </c>
      <c r="M71">
        <f>IFERROR(IF(ISNUMBER(INDEX(SPPR!$E:$Z,MATCH($A71,SPPR!$A:$A,0),10)),$C71*INDEX(SPPR!$E:$Z,MATCH($A71,SPPR!$A:$A,0),10),""),"")</f>
        <v/>
      </c>
      <c r="N71">
        <f>IFERROR(IF(ISNUMBER(INDEX(SPPR!$E:$Z,MATCH($A71,SPPR!$A:$A,0),11)),$C71*INDEX(SPPR!$E:$Z,MATCH($A71,SPPR!$A:$A,0),11),""),"")</f>
        <v/>
      </c>
      <c r="O71">
        <f>IFERROR(IF(ISNUMBER(INDEX(SPPR!$E:$Z,MATCH($A71,SPPR!$A:$A,0),12)),$C71*INDEX(SPPR!$E:$Z,MATCH($A71,SPPR!$A:$A,0),12),""),"")</f>
        <v/>
      </c>
      <c r="P71">
        <f>IFERROR(IF(ISNUMBER(INDEX(SPPR!$E:$Z,MATCH($A71,SPPR!$A:$A,0),13)),$C71*INDEX(SPPR!$E:$Z,MATCH($A71,SPPR!$A:$A,0),13),""),"")</f>
        <v/>
      </c>
      <c r="Q71">
        <f>IFERROR(IF(ISNUMBER(INDEX(SPPR!$E:$Z,MATCH($A71,SPPR!$A:$A,0),14)),$C71*INDEX(SPPR!$E:$Z,MATCH($A71,SPPR!$A:$A,0),14),""),"")</f>
        <v/>
      </c>
      <c r="R71">
        <f>IFERROR(IF(ISNUMBER(INDEX(SPPR!$E:$Z,MATCH($A71,SPPR!$A:$A,0),15)),$C71*INDEX(SPPR!$E:$Z,MATCH($A71,SPPR!$A:$A,0),15),""),"")</f>
        <v/>
      </c>
      <c r="S71">
        <f>IFERROR(IF(ISNUMBER(INDEX(SPPR!$E:$Z,MATCH($A71,SPPR!$A:$A,0),16)),$C71*INDEX(SPPR!$E:$Z,MATCH($A71,SPPR!$A:$A,0),16),""),"")</f>
        <v/>
      </c>
      <c r="T71">
        <f>IFERROR(IF(ISNUMBER(INDEX(SPPR!$E:$Z,MATCH($A71,SPPR!$A:$A,0),17)),$C71*INDEX(SPPR!$E:$Z,MATCH($A71,SPPR!$A:$A,0),17),""),"")</f>
        <v/>
      </c>
      <c r="U71">
        <f>IFERROR(IF(ISNUMBER(INDEX(SPPR!$E:$Z,MATCH($A71,SPPR!$A:$A,0),18)),$C71*INDEX(SPPR!$E:$Z,MATCH($A71,SPPR!$A:$A,0),18),""),"")</f>
        <v/>
      </c>
      <c r="V71">
        <f>IFERROR(IF(ISNUMBER(INDEX(SPPR!$E:$Z,MATCH($A71,SPPR!$A:$A,0),19)),$C71*INDEX(SPPR!$E:$Z,MATCH($A71,SPPR!$A:$A,0),19),""),"")</f>
        <v/>
      </c>
      <c r="W71">
        <f>IFERROR(IF(ISNUMBER(INDEX(SPPR!$E:$Z,MATCH($A71,SPPR!$A:$A,0),20)),$C71*INDEX(SPPR!$E:$Z,MATCH($A71,SPPR!$A:$A,0),20),""),"")</f>
        <v/>
      </c>
      <c r="X71">
        <f>IFERROR(IF(ISNUMBER(INDEX(SPPR!$E:$Z,MATCH($A71,SPPR!$A:$A,0),21)),$C71*INDEX(SPPR!$E:$Z,MATCH($A71,SPPR!$A:$A,0),21),""),"")</f>
        <v/>
      </c>
      <c r="Y71">
        <f>IFERROR(IF(ISNUMBER(INDEX(SPPR!$E:$Z,MATCH($A71,SPPR!$A:$A,0),22)),$C71*INDEX(SPPR!$E:$Z,MATCH($A71,SPPR!$A:$A,0),22),""),"")</f>
        <v/>
      </c>
    </row>
    <row r="72">
      <c r="A72" t="inlineStr">
        <is>
          <t>Sardinella lemuru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IFERROR(IF(ISNUMBER(INDEX(SPPR!$E:$Z,MATCH($A72,SPPR!$A:$A,0),1)),$C72*INDEX(SPPR!$E:$Z,MATCH($A72,SPPR!$A:$A,0),1),""),"")</f>
        <v/>
      </c>
      <c r="E72">
        <f>IFERROR(IF(ISNUMBER(INDEX(SPPR!$E:$Z,MATCH($A72,SPPR!$A:$A,0),2)),$C72*INDEX(SPPR!$E:$Z,MATCH($A72,SPPR!$A:$A,0),2),""),"")</f>
        <v/>
      </c>
      <c r="F72">
        <f>IFERROR(IF(ISNUMBER(INDEX(SPPR!$E:$Z,MATCH($A72,SPPR!$A:$A,0),3)),$C72*INDEX(SPPR!$E:$Z,MATCH($A72,SPPR!$A:$A,0),3),""),"")</f>
        <v/>
      </c>
      <c r="G72">
        <f>IFERROR(IF(ISNUMBER(INDEX(SPPR!$E:$Z,MATCH($A72,SPPR!$A:$A,0),4)),$C72*INDEX(SPPR!$E:$Z,MATCH($A72,SPPR!$A:$A,0),4),""),"")</f>
        <v/>
      </c>
      <c r="H72">
        <f>IFERROR(IF(ISNUMBER(INDEX(SPPR!$E:$Z,MATCH($A72,SPPR!$A:$A,0),5)),$C72*INDEX(SPPR!$E:$Z,MATCH($A72,SPPR!$A:$A,0),5),""),"")</f>
        <v/>
      </c>
      <c r="I72">
        <f>IFERROR(IF(ISNUMBER(INDEX(SPPR!$E:$Z,MATCH($A72,SPPR!$A:$A,0),6)),$C72*INDEX(SPPR!$E:$Z,MATCH($A72,SPPR!$A:$A,0),6),""),"")</f>
        <v/>
      </c>
      <c r="J72">
        <f>IFERROR(IF(ISNUMBER(INDEX(SPPR!$E:$Z,MATCH($A72,SPPR!$A:$A,0),7)),$C72*INDEX(SPPR!$E:$Z,MATCH($A72,SPPR!$A:$A,0),7),""),"")</f>
        <v/>
      </c>
      <c r="K72">
        <f>IFERROR(IF(ISNUMBER(INDEX(SPPR!$E:$Z,MATCH($A72,SPPR!$A:$A,0),8)),$C72*INDEX(SPPR!$E:$Z,MATCH($A72,SPPR!$A:$A,0),8),""),"")</f>
        <v/>
      </c>
      <c r="L72">
        <f>IFERROR(IF(ISNUMBER(INDEX(SPPR!$E:$Z,MATCH($A72,SPPR!$A:$A,0),9)),$C72*INDEX(SPPR!$E:$Z,MATCH($A72,SPPR!$A:$A,0),9),""),"")</f>
        <v/>
      </c>
      <c r="M72">
        <f>IFERROR(IF(ISNUMBER(INDEX(SPPR!$E:$Z,MATCH($A72,SPPR!$A:$A,0),10)),$C72*INDEX(SPPR!$E:$Z,MATCH($A72,SPPR!$A:$A,0),10),""),"")</f>
        <v/>
      </c>
      <c r="N72">
        <f>IFERROR(IF(ISNUMBER(INDEX(SPPR!$E:$Z,MATCH($A72,SPPR!$A:$A,0),11)),$C72*INDEX(SPPR!$E:$Z,MATCH($A72,SPPR!$A:$A,0),11),""),"")</f>
        <v/>
      </c>
      <c r="O72">
        <f>IFERROR(IF(ISNUMBER(INDEX(SPPR!$E:$Z,MATCH($A72,SPPR!$A:$A,0),12)),$C72*INDEX(SPPR!$E:$Z,MATCH($A72,SPPR!$A:$A,0),12),""),"")</f>
        <v/>
      </c>
      <c r="P72">
        <f>IFERROR(IF(ISNUMBER(INDEX(SPPR!$E:$Z,MATCH($A72,SPPR!$A:$A,0),13)),$C72*INDEX(SPPR!$E:$Z,MATCH($A72,SPPR!$A:$A,0),13),""),"")</f>
        <v/>
      </c>
      <c r="Q72">
        <f>IFERROR(IF(ISNUMBER(INDEX(SPPR!$E:$Z,MATCH($A72,SPPR!$A:$A,0),14)),$C72*INDEX(SPPR!$E:$Z,MATCH($A72,SPPR!$A:$A,0),14),""),"")</f>
        <v/>
      </c>
      <c r="R72">
        <f>IFERROR(IF(ISNUMBER(INDEX(SPPR!$E:$Z,MATCH($A72,SPPR!$A:$A,0),15)),$C72*INDEX(SPPR!$E:$Z,MATCH($A72,SPPR!$A:$A,0),15),""),"")</f>
        <v/>
      </c>
      <c r="S72">
        <f>IFERROR(IF(ISNUMBER(INDEX(SPPR!$E:$Z,MATCH($A72,SPPR!$A:$A,0),16)),$C72*INDEX(SPPR!$E:$Z,MATCH($A72,SPPR!$A:$A,0),16),""),"")</f>
        <v/>
      </c>
      <c r="T72">
        <f>IFERROR(IF(ISNUMBER(INDEX(SPPR!$E:$Z,MATCH($A72,SPPR!$A:$A,0),17)),$C72*INDEX(SPPR!$E:$Z,MATCH($A72,SPPR!$A:$A,0),17),""),"")</f>
        <v/>
      </c>
      <c r="U72">
        <f>IFERROR(IF(ISNUMBER(INDEX(SPPR!$E:$Z,MATCH($A72,SPPR!$A:$A,0),18)),$C72*INDEX(SPPR!$E:$Z,MATCH($A72,SPPR!$A:$A,0),18),""),"")</f>
        <v/>
      </c>
      <c r="V72">
        <f>IFERROR(IF(ISNUMBER(INDEX(SPPR!$E:$Z,MATCH($A72,SPPR!$A:$A,0),19)),$C72*INDEX(SPPR!$E:$Z,MATCH($A72,SPPR!$A:$A,0),19),""),"")</f>
        <v/>
      </c>
      <c r="W72">
        <f>IFERROR(IF(ISNUMBER(INDEX(SPPR!$E:$Z,MATCH($A72,SPPR!$A:$A,0),20)),$C72*INDEX(SPPR!$E:$Z,MATCH($A72,SPPR!$A:$A,0),20),""),"")</f>
        <v/>
      </c>
      <c r="X72">
        <f>IFERROR(IF(ISNUMBER(INDEX(SPPR!$E:$Z,MATCH($A72,SPPR!$A:$A,0),21)),$C72*INDEX(SPPR!$E:$Z,MATCH($A72,SPPR!$A:$A,0),21),""),"")</f>
        <v/>
      </c>
      <c r="Y72">
        <f>IFERROR(IF(ISNUMBER(INDEX(SPPR!$E:$Z,MATCH($A72,SPPR!$A:$A,0),22)),$C72*INDEX(SPPR!$E:$Z,MATCH($A72,SPPR!$A:$A,0),22),""),"")</f>
        <v/>
      </c>
    </row>
    <row r="73">
      <c r="A73" t="inlineStr">
        <is>
          <t>Coryphaena hippurus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IFERROR(IF(ISNUMBER(INDEX(SPPR!$E:$Z,MATCH($A73,SPPR!$A:$A,0),1)),$C73*INDEX(SPPR!$E:$Z,MATCH($A73,SPPR!$A:$A,0),1),""),"")</f>
        <v/>
      </c>
      <c r="E73">
        <f>IFERROR(IF(ISNUMBER(INDEX(SPPR!$E:$Z,MATCH($A73,SPPR!$A:$A,0),2)),$C73*INDEX(SPPR!$E:$Z,MATCH($A73,SPPR!$A:$A,0),2),""),"")</f>
        <v/>
      </c>
      <c r="F73">
        <f>IFERROR(IF(ISNUMBER(INDEX(SPPR!$E:$Z,MATCH($A73,SPPR!$A:$A,0),3)),$C73*INDEX(SPPR!$E:$Z,MATCH($A73,SPPR!$A:$A,0),3),""),"")</f>
        <v/>
      </c>
      <c r="G73">
        <f>IFERROR(IF(ISNUMBER(INDEX(SPPR!$E:$Z,MATCH($A73,SPPR!$A:$A,0),4)),$C73*INDEX(SPPR!$E:$Z,MATCH($A73,SPPR!$A:$A,0),4),""),"")</f>
        <v/>
      </c>
      <c r="H73">
        <f>IFERROR(IF(ISNUMBER(INDEX(SPPR!$E:$Z,MATCH($A73,SPPR!$A:$A,0),5)),$C73*INDEX(SPPR!$E:$Z,MATCH($A73,SPPR!$A:$A,0),5),""),"")</f>
        <v/>
      </c>
      <c r="I73">
        <f>IFERROR(IF(ISNUMBER(INDEX(SPPR!$E:$Z,MATCH($A73,SPPR!$A:$A,0),6)),$C73*INDEX(SPPR!$E:$Z,MATCH($A73,SPPR!$A:$A,0),6),""),"")</f>
        <v/>
      </c>
      <c r="J73">
        <f>IFERROR(IF(ISNUMBER(INDEX(SPPR!$E:$Z,MATCH($A73,SPPR!$A:$A,0),7)),$C73*INDEX(SPPR!$E:$Z,MATCH($A73,SPPR!$A:$A,0),7),""),"")</f>
        <v/>
      </c>
      <c r="K73">
        <f>IFERROR(IF(ISNUMBER(INDEX(SPPR!$E:$Z,MATCH($A73,SPPR!$A:$A,0),8)),$C73*INDEX(SPPR!$E:$Z,MATCH($A73,SPPR!$A:$A,0),8),""),"")</f>
        <v/>
      </c>
      <c r="L73">
        <f>IFERROR(IF(ISNUMBER(INDEX(SPPR!$E:$Z,MATCH($A73,SPPR!$A:$A,0),9)),$C73*INDEX(SPPR!$E:$Z,MATCH($A73,SPPR!$A:$A,0),9),""),"")</f>
        <v/>
      </c>
      <c r="M73">
        <f>IFERROR(IF(ISNUMBER(INDEX(SPPR!$E:$Z,MATCH($A73,SPPR!$A:$A,0),10)),$C73*INDEX(SPPR!$E:$Z,MATCH($A73,SPPR!$A:$A,0),10),""),"")</f>
        <v/>
      </c>
      <c r="N73">
        <f>IFERROR(IF(ISNUMBER(INDEX(SPPR!$E:$Z,MATCH($A73,SPPR!$A:$A,0),11)),$C73*INDEX(SPPR!$E:$Z,MATCH($A73,SPPR!$A:$A,0),11),""),"")</f>
        <v/>
      </c>
      <c r="O73">
        <f>IFERROR(IF(ISNUMBER(INDEX(SPPR!$E:$Z,MATCH($A73,SPPR!$A:$A,0),12)),$C73*INDEX(SPPR!$E:$Z,MATCH($A73,SPPR!$A:$A,0),12),""),"")</f>
        <v/>
      </c>
      <c r="P73">
        <f>IFERROR(IF(ISNUMBER(INDEX(SPPR!$E:$Z,MATCH($A73,SPPR!$A:$A,0),13)),$C73*INDEX(SPPR!$E:$Z,MATCH($A73,SPPR!$A:$A,0),13),""),"")</f>
        <v/>
      </c>
      <c r="Q73">
        <f>IFERROR(IF(ISNUMBER(INDEX(SPPR!$E:$Z,MATCH($A73,SPPR!$A:$A,0),14)),$C73*INDEX(SPPR!$E:$Z,MATCH($A73,SPPR!$A:$A,0),14),""),"")</f>
        <v/>
      </c>
      <c r="R73">
        <f>IFERROR(IF(ISNUMBER(INDEX(SPPR!$E:$Z,MATCH($A73,SPPR!$A:$A,0),15)),$C73*INDEX(SPPR!$E:$Z,MATCH($A73,SPPR!$A:$A,0),15),""),"")</f>
        <v/>
      </c>
      <c r="S73">
        <f>IFERROR(IF(ISNUMBER(INDEX(SPPR!$E:$Z,MATCH($A73,SPPR!$A:$A,0),16)),$C73*INDEX(SPPR!$E:$Z,MATCH($A73,SPPR!$A:$A,0),16),""),"")</f>
        <v/>
      </c>
      <c r="T73">
        <f>IFERROR(IF(ISNUMBER(INDEX(SPPR!$E:$Z,MATCH($A73,SPPR!$A:$A,0),17)),$C73*INDEX(SPPR!$E:$Z,MATCH($A73,SPPR!$A:$A,0),17),""),"")</f>
        <v/>
      </c>
      <c r="U73">
        <f>IFERROR(IF(ISNUMBER(INDEX(SPPR!$E:$Z,MATCH($A73,SPPR!$A:$A,0),18)),$C73*INDEX(SPPR!$E:$Z,MATCH($A73,SPPR!$A:$A,0),18),""),"")</f>
        <v/>
      </c>
      <c r="V73">
        <f>IFERROR(IF(ISNUMBER(INDEX(SPPR!$E:$Z,MATCH($A73,SPPR!$A:$A,0),19)),$C73*INDEX(SPPR!$E:$Z,MATCH($A73,SPPR!$A:$A,0),19),""),"")</f>
        <v/>
      </c>
      <c r="W73">
        <f>IFERROR(IF(ISNUMBER(INDEX(SPPR!$E:$Z,MATCH($A73,SPPR!$A:$A,0),20)),$C73*INDEX(SPPR!$E:$Z,MATCH($A73,SPPR!$A:$A,0),20),""),"")</f>
        <v/>
      </c>
      <c r="X73">
        <f>IFERROR(IF(ISNUMBER(INDEX(SPPR!$E:$Z,MATCH($A73,SPPR!$A:$A,0),21)),$C73*INDEX(SPPR!$E:$Z,MATCH($A73,SPPR!$A:$A,0),21),""),"")</f>
        <v/>
      </c>
      <c r="Y73">
        <f>IFERROR(IF(ISNUMBER(INDEX(SPPR!$E:$Z,MATCH($A73,SPPR!$A:$A,0),22)),$C73*INDEX(SPPR!$E:$Z,MATCH($A73,SPPR!$A:$A,0),22),""),"")</f>
        <v/>
      </c>
    </row>
    <row r="74">
      <c r="A74" t="inlineStr">
        <is>
          <t>Cololabis saira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IFERROR(IF(ISNUMBER(INDEX(SPPR!$E:$Z,MATCH($A74,SPPR!$A:$A,0),1)),$C74*INDEX(SPPR!$E:$Z,MATCH($A74,SPPR!$A:$A,0),1),""),"")</f>
        <v/>
      </c>
      <c r="E74">
        <f>IFERROR(IF(ISNUMBER(INDEX(SPPR!$E:$Z,MATCH($A74,SPPR!$A:$A,0),2)),$C74*INDEX(SPPR!$E:$Z,MATCH($A74,SPPR!$A:$A,0),2),""),"")</f>
        <v/>
      </c>
      <c r="F74">
        <f>IFERROR(IF(ISNUMBER(INDEX(SPPR!$E:$Z,MATCH($A74,SPPR!$A:$A,0),3)),$C74*INDEX(SPPR!$E:$Z,MATCH($A74,SPPR!$A:$A,0),3),""),"")</f>
        <v/>
      </c>
      <c r="G74">
        <f>IFERROR(IF(ISNUMBER(INDEX(SPPR!$E:$Z,MATCH($A74,SPPR!$A:$A,0),4)),$C74*INDEX(SPPR!$E:$Z,MATCH($A74,SPPR!$A:$A,0),4),""),"")</f>
        <v/>
      </c>
      <c r="H74">
        <f>IFERROR(IF(ISNUMBER(INDEX(SPPR!$E:$Z,MATCH($A74,SPPR!$A:$A,0),5)),$C74*INDEX(SPPR!$E:$Z,MATCH($A74,SPPR!$A:$A,0),5),""),"")</f>
        <v/>
      </c>
      <c r="I74">
        <f>IFERROR(IF(ISNUMBER(INDEX(SPPR!$E:$Z,MATCH($A74,SPPR!$A:$A,0),6)),$C74*INDEX(SPPR!$E:$Z,MATCH($A74,SPPR!$A:$A,0),6),""),"")</f>
        <v/>
      </c>
      <c r="J74">
        <f>IFERROR(IF(ISNUMBER(INDEX(SPPR!$E:$Z,MATCH($A74,SPPR!$A:$A,0),7)),$C74*INDEX(SPPR!$E:$Z,MATCH($A74,SPPR!$A:$A,0),7),""),"")</f>
        <v/>
      </c>
      <c r="K74">
        <f>IFERROR(IF(ISNUMBER(INDEX(SPPR!$E:$Z,MATCH($A74,SPPR!$A:$A,0),8)),$C74*INDEX(SPPR!$E:$Z,MATCH($A74,SPPR!$A:$A,0),8),""),"")</f>
        <v/>
      </c>
      <c r="L74">
        <f>IFERROR(IF(ISNUMBER(INDEX(SPPR!$E:$Z,MATCH($A74,SPPR!$A:$A,0),9)),$C74*INDEX(SPPR!$E:$Z,MATCH($A74,SPPR!$A:$A,0),9),""),"")</f>
        <v/>
      </c>
      <c r="M74">
        <f>IFERROR(IF(ISNUMBER(INDEX(SPPR!$E:$Z,MATCH($A74,SPPR!$A:$A,0),10)),$C74*INDEX(SPPR!$E:$Z,MATCH($A74,SPPR!$A:$A,0),10),""),"")</f>
        <v/>
      </c>
      <c r="N74">
        <f>IFERROR(IF(ISNUMBER(INDEX(SPPR!$E:$Z,MATCH($A74,SPPR!$A:$A,0),11)),$C74*INDEX(SPPR!$E:$Z,MATCH($A74,SPPR!$A:$A,0),11),""),"")</f>
        <v/>
      </c>
      <c r="O74">
        <f>IFERROR(IF(ISNUMBER(INDEX(SPPR!$E:$Z,MATCH($A74,SPPR!$A:$A,0),12)),$C74*INDEX(SPPR!$E:$Z,MATCH($A74,SPPR!$A:$A,0),12),""),"")</f>
        <v/>
      </c>
      <c r="P74">
        <f>IFERROR(IF(ISNUMBER(INDEX(SPPR!$E:$Z,MATCH($A74,SPPR!$A:$A,0),13)),$C74*INDEX(SPPR!$E:$Z,MATCH($A74,SPPR!$A:$A,0),13),""),"")</f>
        <v/>
      </c>
      <c r="Q74">
        <f>IFERROR(IF(ISNUMBER(INDEX(SPPR!$E:$Z,MATCH($A74,SPPR!$A:$A,0),14)),$C74*INDEX(SPPR!$E:$Z,MATCH($A74,SPPR!$A:$A,0),14),""),"")</f>
        <v/>
      </c>
      <c r="R74">
        <f>IFERROR(IF(ISNUMBER(INDEX(SPPR!$E:$Z,MATCH($A74,SPPR!$A:$A,0),15)),$C74*INDEX(SPPR!$E:$Z,MATCH($A74,SPPR!$A:$A,0),15),""),"")</f>
        <v/>
      </c>
      <c r="S74">
        <f>IFERROR(IF(ISNUMBER(INDEX(SPPR!$E:$Z,MATCH($A74,SPPR!$A:$A,0),16)),$C74*INDEX(SPPR!$E:$Z,MATCH($A74,SPPR!$A:$A,0),16),""),"")</f>
        <v/>
      </c>
      <c r="T74">
        <f>IFERROR(IF(ISNUMBER(INDEX(SPPR!$E:$Z,MATCH($A74,SPPR!$A:$A,0),17)),$C74*INDEX(SPPR!$E:$Z,MATCH($A74,SPPR!$A:$A,0),17),""),"")</f>
        <v/>
      </c>
      <c r="U74">
        <f>IFERROR(IF(ISNUMBER(INDEX(SPPR!$E:$Z,MATCH($A74,SPPR!$A:$A,0),18)),$C74*INDEX(SPPR!$E:$Z,MATCH($A74,SPPR!$A:$A,0),18),""),"")</f>
        <v/>
      </c>
      <c r="V74">
        <f>IFERROR(IF(ISNUMBER(INDEX(SPPR!$E:$Z,MATCH($A74,SPPR!$A:$A,0),19)),$C74*INDEX(SPPR!$E:$Z,MATCH($A74,SPPR!$A:$A,0),19),""),"")</f>
        <v/>
      </c>
      <c r="W74">
        <f>IFERROR(IF(ISNUMBER(INDEX(SPPR!$E:$Z,MATCH($A74,SPPR!$A:$A,0),20)),$C74*INDEX(SPPR!$E:$Z,MATCH($A74,SPPR!$A:$A,0),20),""),"")</f>
        <v/>
      </c>
      <c r="X74">
        <f>IFERROR(IF(ISNUMBER(INDEX(SPPR!$E:$Z,MATCH($A74,SPPR!$A:$A,0),21)),$C74*INDEX(SPPR!$E:$Z,MATCH($A74,SPPR!$A:$A,0),21),""),"")</f>
        <v/>
      </c>
      <c r="Y74">
        <f>IFERROR(IF(ISNUMBER(INDEX(SPPR!$E:$Z,MATCH($A74,SPPR!$A:$A,0),22)),$C74*INDEX(SPPR!$E:$Z,MATCH($A74,SPPR!$A:$A,0),22),""),"")</f>
        <v/>
      </c>
    </row>
    <row r="75">
      <c r="A75" t="inlineStr">
        <is>
          <t>Netuma thalassina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IFERROR(IF(ISNUMBER(INDEX(SPPR!$E:$Z,MATCH($A75,SPPR!$A:$A,0),1)),$C75*INDEX(SPPR!$E:$Z,MATCH($A75,SPPR!$A:$A,0),1),""),"")</f>
        <v/>
      </c>
      <c r="E75">
        <f>IFERROR(IF(ISNUMBER(INDEX(SPPR!$E:$Z,MATCH($A75,SPPR!$A:$A,0),2)),$C75*INDEX(SPPR!$E:$Z,MATCH($A75,SPPR!$A:$A,0),2),""),"")</f>
        <v/>
      </c>
      <c r="F75">
        <f>IFERROR(IF(ISNUMBER(INDEX(SPPR!$E:$Z,MATCH($A75,SPPR!$A:$A,0),3)),$C75*INDEX(SPPR!$E:$Z,MATCH($A75,SPPR!$A:$A,0),3),""),"")</f>
        <v/>
      </c>
      <c r="G75">
        <f>IFERROR(IF(ISNUMBER(INDEX(SPPR!$E:$Z,MATCH($A75,SPPR!$A:$A,0),4)),$C75*INDEX(SPPR!$E:$Z,MATCH($A75,SPPR!$A:$A,0),4),""),"")</f>
        <v/>
      </c>
      <c r="H75">
        <f>IFERROR(IF(ISNUMBER(INDEX(SPPR!$E:$Z,MATCH($A75,SPPR!$A:$A,0),5)),$C75*INDEX(SPPR!$E:$Z,MATCH($A75,SPPR!$A:$A,0),5),""),"")</f>
        <v/>
      </c>
      <c r="I75">
        <f>IFERROR(IF(ISNUMBER(INDEX(SPPR!$E:$Z,MATCH($A75,SPPR!$A:$A,0),6)),$C75*INDEX(SPPR!$E:$Z,MATCH($A75,SPPR!$A:$A,0),6),""),"")</f>
        <v/>
      </c>
      <c r="J75">
        <f>IFERROR(IF(ISNUMBER(INDEX(SPPR!$E:$Z,MATCH($A75,SPPR!$A:$A,0),7)),$C75*INDEX(SPPR!$E:$Z,MATCH($A75,SPPR!$A:$A,0),7),""),"")</f>
        <v/>
      </c>
      <c r="K75">
        <f>IFERROR(IF(ISNUMBER(INDEX(SPPR!$E:$Z,MATCH($A75,SPPR!$A:$A,0),8)),$C75*INDEX(SPPR!$E:$Z,MATCH($A75,SPPR!$A:$A,0),8),""),"")</f>
        <v/>
      </c>
      <c r="L75">
        <f>IFERROR(IF(ISNUMBER(INDEX(SPPR!$E:$Z,MATCH($A75,SPPR!$A:$A,0),9)),$C75*INDEX(SPPR!$E:$Z,MATCH($A75,SPPR!$A:$A,0),9),""),"")</f>
        <v/>
      </c>
      <c r="M75">
        <f>IFERROR(IF(ISNUMBER(INDEX(SPPR!$E:$Z,MATCH($A75,SPPR!$A:$A,0),10)),$C75*INDEX(SPPR!$E:$Z,MATCH($A75,SPPR!$A:$A,0),10),""),"")</f>
        <v/>
      </c>
      <c r="N75">
        <f>IFERROR(IF(ISNUMBER(INDEX(SPPR!$E:$Z,MATCH($A75,SPPR!$A:$A,0),11)),$C75*INDEX(SPPR!$E:$Z,MATCH($A75,SPPR!$A:$A,0),11),""),"")</f>
        <v/>
      </c>
      <c r="O75">
        <f>IFERROR(IF(ISNUMBER(INDEX(SPPR!$E:$Z,MATCH($A75,SPPR!$A:$A,0),12)),$C75*INDEX(SPPR!$E:$Z,MATCH($A75,SPPR!$A:$A,0),12),""),"")</f>
        <v/>
      </c>
      <c r="P75">
        <f>IFERROR(IF(ISNUMBER(INDEX(SPPR!$E:$Z,MATCH($A75,SPPR!$A:$A,0),13)),$C75*INDEX(SPPR!$E:$Z,MATCH($A75,SPPR!$A:$A,0),13),""),"")</f>
        <v/>
      </c>
      <c r="Q75">
        <f>IFERROR(IF(ISNUMBER(INDEX(SPPR!$E:$Z,MATCH($A75,SPPR!$A:$A,0),14)),$C75*INDEX(SPPR!$E:$Z,MATCH($A75,SPPR!$A:$A,0),14),""),"")</f>
        <v/>
      </c>
      <c r="R75">
        <f>IFERROR(IF(ISNUMBER(INDEX(SPPR!$E:$Z,MATCH($A75,SPPR!$A:$A,0),15)),$C75*INDEX(SPPR!$E:$Z,MATCH($A75,SPPR!$A:$A,0),15),""),"")</f>
        <v/>
      </c>
      <c r="S75">
        <f>IFERROR(IF(ISNUMBER(INDEX(SPPR!$E:$Z,MATCH($A75,SPPR!$A:$A,0),16)),$C75*INDEX(SPPR!$E:$Z,MATCH($A75,SPPR!$A:$A,0),16),""),"")</f>
        <v/>
      </c>
      <c r="T75">
        <f>IFERROR(IF(ISNUMBER(INDEX(SPPR!$E:$Z,MATCH($A75,SPPR!$A:$A,0),17)),$C75*INDEX(SPPR!$E:$Z,MATCH($A75,SPPR!$A:$A,0),17),""),"")</f>
        <v/>
      </c>
      <c r="U75">
        <f>IFERROR(IF(ISNUMBER(INDEX(SPPR!$E:$Z,MATCH($A75,SPPR!$A:$A,0),18)),$C75*INDEX(SPPR!$E:$Z,MATCH($A75,SPPR!$A:$A,0),18),""),"")</f>
        <v/>
      </c>
      <c r="V75">
        <f>IFERROR(IF(ISNUMBER(INDEX(SPPR!$E:$Z,MATCH($A75,SPPR!$A:$A,0),19)),$C75*INDEX(SPPR!$E:$Z,MATCH($A75,SPPR!$A:$A,0),19),""),"")</f>
        <v/>
      </c>
      <c r="W75">
        <f>IFERROR(IF(ISNUMBER(INDEX(SPPR!$E:$Z,MATCH($A75,SPPR!$A:$A,0),20)),$C75*INDEX(SPPR!$E:$Z,MATCH($A75,SPPR!$A:$A,0),20),""),"")</f>
        <v/>
      </c>
      <c r="X75">
        <f>IFERROR(IF(ISNUMBER(INDEX(SPPR!$E:$Z,MATCH($A75,SPPR!$A:$A,0),21)),$C75*INDEX(SPPR!$E:$Z,MATCH($A75,SPPR!$A:$A,0),21),""),"")</f>
        <v/>
      </c>
      <c r="Y75">
        <f>IFERROR(IF(ISNUMBER(INDEX(SPPR!$E:$Z,MATCH($A75,SPPR!$A:$A,0),22)),$C75*INDEX(SPPR!$E:$Z,MATCH($A75,SPPR!$A:$A,0),22),""),"")</f>
        <v/>
      </c>
    </row>
    <row r="76">
      <c r="A76" t="inlineStr">
        <is>
          <t>Priacanthus macracanthus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IFERROR(IF(ISNUMBER(INDEX(SPPR!$E:$Z,MATCH($A76,SPPR!$A:$A,0),1)),$C76*INDEX(SPPR!$E:$Z,MATCH($A76,SPPR!$A:$A,0),1),""),"")</f>
        <v/>
      </c>
      <c r="E76">
        <f>IFERROR(IF(ISNUMBER(INDEX(SPPR!$E:$Z,MATCH($A76,SPPR!$A:$A,0),2)),$C76*INDEX(SPPR!$E:$Z,MATCH($A76,SPPR!$A:$A,0),2),""),"")</f>
        <v/>
      </c>
      <c r="F76">
        <f>IFERROR(IF(ISNUMBER(INDEX(SPPR!$E:$Z,MATCH($A76,SPPR!$A:$A,0),3)),$C76*INDEX(SPPR!$E:$Z,MATCH($A76,SPPR!$A:$A,0),3),""),"")</f>
        <v/>
      </c>
      <c r="G76">
        <f>IFERROR(IF(ISNUMBER(INDEX(SPPR!$E:$Z,MATCH($A76,SPPR!$A:$A,0),4)),$C76*INDEX(SPPR!$E:$Z,MATCH($A76,SPPR!$A:$A,0),4),""),"")</f>
        <v/>
      </c>
      <c r="H76">
        <f>IFERROR(IF(ISNUMBER(INDEX(SPPR!$E:$Z,MATCH($A76,SPPR!$A:$A,0),5)),$C76*INDEX(SPPR!$E:$Z,MATCH($A76,SPPR!$A:$A,0),5),""),"")</f>
        <v/>
      </c>
      <c r="I76">
        <f>IFERROR(IF(ISNUMBER(INDEX(SPPR!$E:$Z,MATCH($A76,SPPR!$A:$A,0),6)),$C76*INDEX(SPPR!$E:$Z,MATCH($A76,SPPR!$A:$A,0),6),""),"")</f>
        <v/>
      </c>
      <c r="J76">
        <f>IFERROR(IF(ISNUMBER(INDEX(SPPR!$E:$Z,MATCH($A76,SPPR!$A:$A,0),7)),$C76*INDEX(SPPR!$E:$Z,MATCH($A76,SPPR!$A:$A,0),7),""),"")</f>
        <v/>
      </c>
      <c r="K76">
        <f>IFERROR(IF(ISNUMBER(INDEX(SPPR!$E:$Z,MATCH($A76,SPPR!$A:$A,0),8)),$C76*INDEX(SPPR!$E:$Z,MATCH($A76,SPPR!$A:$A,0),8),""),"")</f>
        <v/>
      </c>
      <c r="L76">
        <f>IFERROR(IF(ISNUMBER(INDEX(SPPR!$E:$Z,MATCH($A76,SPPR!$A:$A,0),9)),$C76*INDEX(SPPR!$E:$Z,MATCH($A76,SPPR!$A:$A,0),9),""),"")</f>
        <v/>
      </c>
      <c r="M76">
        <f>IFERROR(IF(ISNUMBER(INDEX(SPPR!$E:$Z,MATCH($A76,SPPR!$A:$A,0),10)),$C76*INDEX(SPPR!$E:$Z,MATCH($A76,SPPR!$A:$A,0),10),""),"")</f>
        <v/>
      </c>
      <c r="N76">
        <f>IFERROR(IF(ISNUMBER(INDEX(SPPR!$E:$Z,MATCH($A76,SPPR!$A:$A,0),11)),$C76*INDEX(SPPR!$E:$Z,MATCH($A76,SPPR!$A:$A,0),11),""),"")</f>
        <v/>
      </c>
      <c r="O76">
        <f>IFERROR(IF(ISNUMBER(INDEX(SPPR!$E:$Z,MATCH($A76,SPPR!$A:$A,0),12)),$C76*INDEX(SPPR!$E:$Z,MATCH($A76,SPPR!$A:$A,0),12),""),"")</f>
        <v/>
      </c>
      <c r="P76">
        <f>IFERROR(IF(ISNUMBER(INDEX(SPPR!$E:$Z,MATCH($A76,SPPR!$A:$A,0),13)),$C76*INDEX(SPPR!$E:$Z,MATCH($A76,SPPR!$A:$A,0),13),""),"")</f>
        <v/>
      </c>
      <c r="Q76">
        <f>IFERROR(IF(ISNUMBER(INDEX(SPPR!$E:$Z,MATCH($A76,SPPR!$A:$A,0),14)),$C76*INDEX(SPPR!$E:$Z,MATCH($A76,SPPR!$A:$A,0),14),""),"")</f>
        <v/>
      </c>
      <c r="R76">
        <f>IFERROR(IF(ISNUMBER(INDEX(SPPR!$E:$Z,MATCH($A76,SPPR!$A:$A,0),15)),$C76*INDEX(SPPR!$E:$Z,MATCH($A76,SPPR!$A:$A,0),15),""),"")</f>
        <v/>
      </c>
      <c r="S76">
        <f>IFERROR(IF(ISNUMBER(INDEX(SPPR!$E:$Z,MATCH($A76,SPPR!$A:$A,0),16)),$C76*INDEX(SPPR!$E:$Z,MATCH($A76,SPPR!$A:$A,0),16),""),"")</f>
        <v/>
      </c>
      <c r="T76">
        <f>IFERROR(IF(ISNUMBER(INDEX(SPPR!$E:$Z,MATCH($A76,SPPR!$A:$A,0),17)),$C76*INDEX(SPPR!$E:$Z,MATCH($A76,SPPR!$A:$A,0),17),""),"")</f>
        <v/>
      </c>
      <c r="U76">
        <f>IFERROR(IF(ISNUMBER(INDEX(SPPR!$E:$Z,MATCH($A76,SPPR!$A:$A,0),18)),$C76*INDEX(SPPR!$E:$Z,MATCH($A76,SPPR!$A:$A,0),18),""),"")</f>
        <v/>
      </c>
      <c r="V76">
        <f>IFERROR(IF(ISNUMBER(INDEX(SPPR!$E:$Z,MATCH($A76,SPPR!$A:$A,0),19)),$C76*INDEX(SPPR!$E:$Z,MATCH($A76,SPPR!$A:$A,0),19),""),"")</f>
        <v/>
      </c>
      <c r="W76">
        <f>IFERROR(IF(ISNUMBER(INDEX(SPPR!$E:$Z,MATCH($A76,SPPR!$A:$A,0),20)),$C76*INDEX(SPPR!$E:$Z,MATCH($A76,SPPR!$A:$A,0),20),""),"")</f>
        <v/>
      </c>
      <c r="X76">
        <f>IFERROR(IF(ISNUMBER(INDEX(SPPR!$E:$Z,MATCH($A76,SPPR!$A:$A,0),21)),$C76*INDEX(SPPR!$E:$Z,MATCH($A76,SPPR!$A:$A,0),21),""),"")</f>
        <v/>
      </c>
      <c r="Y76">
        <f>IFERROR(IF(ISNUMBER(INDEX(SPPR!$E:$Z,MATCH($A76,SPPR!$A:$A,0),22)),$C76*INDEX(SPPR!$E:$Z,MATCH($A76,SPPR!$A:$A,0),22),""),"")</f>
        <v/>
      </c>
    </row>
    <row r="77">
      <c r="A77" t="inlineStr">
        <is>
          <t>Nemipterus virgatus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IFERROR(IF(ISNUMBER(INDEX(SPPR!$E:$Z,MATCH($A77,SPPR!$A:$A,0),1)),$C77*INDEX(SPPR!$E:$Z,MATCH($A77,SPPR!$A:$A,0),1),""),"")</f>
        <v/>
      </c>
      <c r="E77">
        <f>IFERROR(IF(ISNUMBER(INDEX(SPPR!$E:$Z,MATCH($A77,SPPR!$A:$A,0),2)),$C77*INDEX(SPPR!$E:$Z,MATCH($A77,SPPR!$A:$A,0),2),""),"")</f>
        <v/>
      </c>
      <c r="F77">
        <f>IFERROR(IF(ISNUMBER(INDEX(SPPR!$E:$Z,MATCH($A77,SPPR!$A:$A,0),3)),$C77*INDEX(SPPR!$E:$Z,MATCH($A77,SPPR!$A:$A,0),3),""),"")</f>
        <v/>
      </c>
      <c r="G77">
        <f>IFERROR(IF(ISNUMBER(INDEX(SPPR!$E:$Z,MATCH($A77,SPPR!$A:$A,0),4)),$C77*INDEX(SPPR!$E:$Z,MATCH($A77,SPPR!$A:$A,0),4),""),"")</f>
        <v/>
      </c>
      <c r="H77">
        <f>IFERROR(IF(ISNUMBER(INDEX(SPPR!$E:$Z,MATCH($A77,SPPR!$A:$A,0),5)),$C77*INDEX(SPPR!$E:$Z,MATCH($A77,SPPR!$A:$A,0),5),""),"")</f>
        <v/>
      </c>
      <c r="I77">
        <f>IFERROR(IF(ISNUMBER(INDEX(SPPR!$E:$Z,MATCH($A77,SPPR!$A:$A,0),6)),$C77*INDEX(SPPR!$E:$Z,MATCH($A77,SPPR!$A:$A,0),6),""),"")</f>
        <v/>
      </c>
      <c r="J77">
        <f>IFERROR(IF(ISNUMBER(INDEX(SPPR!$E:$Z,MATCH($A77,SPPR!$A:$A,0),7)),$C77*INDEX(SPPR!$E:$Z,MATCH($A77,SPPR!$A:$A,0),7),""),"")</f>
        <v/>
      </c>
      <c r="K77">
        <f>IFERROR(IF(ISNUMBER(INDEX(SPPR!$E:$Z,MATCH($A77,SPPR!$A:$A,0),8)),$C77*INDEX(SPPR!$E:$Z,MATCH($A77,SPPR!$A:$A,0),8),""),"")</f>
        <v/>
      </c>
      <c r="L77">
        <f>IFERROR(IF(ISNUMBER(INDEX(SPPR!$E:$Z,MATCH($A77,SPPR!$A:$A,0),9)),$C77*INDEX(SPPR!$E:$Z,MATCH($A77,SPPR!$A:$A,0),9),""),"")</f>
        <v/>
      </c>
      <c r="M77">
        <f>IFERROR(IF(ISNUMBER(INDEX(SPPR!$E:$Z,MATCH($A77,SPPR!$A:$A,0),10)),$C77*INDEX(SPPR!$E:$Z,MATCH($A77,SPPR!$A:$A,0),10),""),"")</f>
        <v/>
      </c>
      <c r="N77">
        <f>IFERROR(IF(ISNUMBER(INDEX(SPPR!$E:$Z,MATCH($A77,SPPR!$A:$A,0),11)),$C77*INDEX(SPPR!$E:$Z,MATCH($A77,SPPR!$A:$A,0),11),""),"")</f>
        <v/>
      </c>
      <c r="O77">
        <f>IFERROR(IF(ISNUMBER(INDEX(SPPR!$E:$Z,MATCH($A77,SPPR!$A:$A,0),12)),$C77*INDEX(SPPR!$E:$Z,MATCH($A77,SPPR!$A:$A,0),12),""),"")</f>
        <v/>
      </c>
      <c r="P77">
        <f>IFERROR(IF(ISNUMBER(INDEX(SPPR!$E:$Z,MATCH($A77,SPPR!$A:$A,0),13)),$C77*INDEX(SPPR!$E:$Z,MATCH($A77,SPPR!$A:$A,0),13),""),"")</f>
        <v/>
      </c>
      <c r="Q77">
        <f>IFERROR(IF(ISNUMBER(INDEX(SPPR!$E:$Z,MATCH($A77,SPPR!$A:$A,0),14)),$C77*INDEX(SPPR!$E:$Z,MATCH($A77,SPPR!$A:$A,0),14),""),"")</f>
        <v/>
      </c>
      <c r="R77">
        <f>IFERROR(IF(ISNUMBER(INDEX(SPPR!$E:$Z,MATCH($A77,SPPR!$A:$A,0),15)),$C77*INDEX(SPPR!$E:$Z,MATCH($A77,SPPR!$A:$A,0),15),""),"")</f>
        <v/>
      </c>
      <c r="S77">
        <f>IFERROR(IF(ISNUMBER(INDEX(SPPR!$E:$Z,MATCH($A77,SPPR!$A:$A,0),16)),$C77*INDEX(SPPR!$E:$Z,MATCH($A77,SPPR!$A:$A,0),16),""),"")</f>
        <v/>
      </c>
      <c r="T77">
        <f>IFERROR(IF(ISNUMBER(INDEX(SPPR!$E:$Z,MATCH($A77,SPPR!$A:$A,0),17)),$C77*INDEX(SPPR!$E:$Z,MATCH($A77,SPPR!$A:$A,0),17),""),"")</f>
        <v/>
      </c>
      <c r="U77">
        <f>IFERROR(IF(ISNUMBER(INDEX(SPPR!$E:$Z,MATCH($A77,SPPR!$A:$A,0),18)),$C77*INDEX(SPPR!$E:$Z,MATCH($A77,SPPR!$A:$A,0),18),""),"")</f>
        <v/>
      </c>
      <c r="V77">
        <f>IFERROR(IF(ISNUMBER(INDEX(SPPR!$E:$Z,MATCH($A77,SPPR!$A:$A,0),19)),$C77*INDEX(SPPR!$E:$Z,MATCH($A77,SPPR!$A:$A,0),19),""),"")</f>
        <v/>
      </c>
      <c r="W77">
        <f>IFERROR(IF(ISNUMBER(INDEX(SPPR!$E:$Z,MATCH($A77,SPPR!$A:$A,0),20)),$C77*INDEX(SPPR!$E:$Z,MATCH($A77,SPPR!$A:$A,0),20),""),"")</f>
        <v/>
      </c>
      <c r="X77">
        <f>IFERROR(IF(ISNUMBER(INDEX(SPPR!$E:$Z,MATCH($A77,SPPR!$A:$A,0),21)),$C77*INDEX(SPPR!$E:$Z,MATCH($A77,SPPR!$A:$A,0),21),""),"")</f>
        <v/>
      </c>
      <c r="Y77">
        <f>IFERROR(IF(ISNUMBER(INDEX(SPPR!$E:$Z,MATCH($A77,SPPR!$A:$A,0),22)),$C77*INDEX(SPPR!$E:$Z,MATCH($A77,SPPR!$A:$A,0),22),""),"")</f>
        <v/>
      </c>
    </row>
    <row r="78">
      <c r="A78" t="inlineStr">
        <is>
          <t>Parastromateus niger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IFERROR(IF(ISNUMBER(INDEX(SPPR!$E:$Z,MATCH($A78,SPPR!$A:$A,0),1)),$C78*INDEX(SPPR!$E:$Z,MATCH($A78,SPPR!$A:$A,0),1),""),"")</f>
        <v/>
      </c>
      <c r="E78">
        <f>IFERROR(IF(ISNUMBER(INDEX(SPPR!$E:$Z,MATCH($A78,SPPR!$A:$A,0),2)),$C78*INDEX(SPPR!$E:$Z,MATCH($A78,SPPR!$A:$A,0),2),""),"")</f>
        <v/>
      </c>
      <c r="F78">
        <f>IFERROR(IF(ISNUMBER(INDEX(SPPR!$E:$Z,MATCH($A78,SPPR!$A:$A,0),3)),$C78*INDEX(SPPR!$E:$Z,MATCH($A78,SPPR!$A:$A,0),3),""),"")</f>
        <v/>
      </c>
      <c r="G78">
        <f>IFERROR(IF(ISNUMBER(INDEX(SPPR!$E:$Z,MATCH($A78,SPPR!$A:$A,0),4)),$C78*INDEX(SPPR!$E:$Z,MATCH($A78,SPPR!$A:$A,0),4),""),"")</f>
        <v/>
      </c>
      <c r="H78">
        <f>IFERROR(IF(ISNUMBER(INDEX(SPPR!$E:$Z,MATCH($A78,SPPR!$A:$A,0),5)),$C78*INDEX(SPPR!$E:$Z,MATCH($A78,SPPR!$A:$A,0),5),""),"")</f>
        <v/>
      </c>
      <c r="I78">
        <f>IFERROR(IF(ISNUMBER(INDEX(SPPR!$E:$Z,MATCH($A78,SPPR!$A:$A,0),6)),$C78*INDEX(SPPR!$E:$Z,MATCH($A78,SPPR!$A:$A,0),6),""),"")</f>
        <v/>
      </c>
      <c r="J78">
        <f>IFERROR(IF(ISNUMBER(INDEX(SPPR!$E:$Z,MATCH($A78,SPPR!$A:$A,0),7)),$C78*INDEX(SPPR!$E:$Z,MATCH($A78,SPPR!$A:$A,0),7),""),"")</f>
        <v/>
      </c>
      <c r="K78">
        <f>IFERROR(IF(ISNUMBER(INDEX(SPPR!$E:$Z,MATCH($A78,SPPR!$A:$A,0),8)),$C78*INDEX(SPPR!$E:$Z,MATCH($A78,SPPR!$A:$A,0),8),""),"")</f>
        <v/>
      </c>
      <c r="L78">
        <f>IFERROR(IF(ISNUMBER(INDEX(SPPR!$E:$Z,MATCH($A78,SPPR!$A:$A,0),9)),$C78*INDEX(SPPR!$E:$Z,MATCH($A78,SPPR!$A:$A,0),9),""),"")</f>
        <v/>
      </c>
      <c r="M78">
        <f>IFERROR(IF(ISNUMBER(INDEX(SPPR!$E:$Z,MATCH($A78,SPPR!$A:$A,0),10)),$C78*INDEX(SPPR!$E:$Z,MATCH($A78,SPPR!$A:$A,0),10),""),"")</f>
        <v/>
      </c>
      <c r="N78">
        <f>IFERROR(IF(ISNUMBER(INDEX(SPPR!$E:$Z,MATCH($A78,SPPR!$A:$A,0),11)),$C78*INDEX(SPPR!$E:$Z,MATCH($A78,SPPR!$A:$A,0),11),""),"")</f>
        <v/>
      </c>
      <c r="O78">
        <f>IFERROR(IF(ISNUMBER(INDEX(SPPR!$E:$Z,MATCH($A78,SPPR!$A:$A,0),12)),$C78*INDEX(SPPR!$E:$Z,MATCH($A78,SPPR!$A:$A,0),12),""),"")</f>
        <v/>
      </c>
      <c r="P78">
        <f>IFERROR(IF(ISNUMBER(INDEX(SPPR!$E:$Z,MATCH($A78,SPPR!$A:$A,0),13)),$C78*INDEX(SPPR!$E:$Z,MATCH($A78,SPPR!$A:$A,0),13),""),"")</f>
        <v/>
      </c>
      <c r="Q78">
        <f>IFERROR(IF(ISNUMBER(INDEX(SPPR!$E:$Z,MATCH($A78,SPPR!$A:$A,0),14)),$C78*INDEX(SPPR!$E:$Z,MATCH($A78,SPPR!$A:$A,0),14),""),"")</f>
        <v/>
      </c>
      <c r="R78">
        <f>IFERROR(IF(ISNUMBER(INDEX(SPPR!$E:$Z,MATCH($A78,SPPR!$A:$A,0),15)),$C78*INDEX(SPPR!$E:$Z,MATCH($A78,SPPR!$A:$A,0),15),""),"")</f>
        <v/>
      </c>
      <c r="S78">
        <f>IFERROR(IF(ISNUMBER(INDEX(SPPR!$E:$Z,MATCH($A78,SPPR!$A:$A,0),16)),$C78*INDEX(SPPR!$E:$Z,MATCH($A78,SPPR!$A:$A,0),16),""),"")</f>
        <v/>
      </c>
      <c r="T78">
        <f>IFERROR(IF(ISNUMBER(INDEX(SPPR!$E:$Z,MATCH($A78,SPPR!$A:$A,0),17)),$C78*INDEX(SPPR!$E:$Z,MATCH($A78,SPPR!$A:$A,0),17),""),"")</f>
        <v/>
      </c>
      <c r="U78">
        <f>IFERROR(IF(ISNUMBER(INDEX(SPPR!$E:$Z,MATCH($A78,SPPR!$A:$A,0),18)),$C78*INDEX(SPPR!$E:$Z,MATCH($A78,SPPR!$A:$A,0),18),""),"")</f>
        <v/>
      </c>
      <c r="V78">
        <f>IFERROR(IF(ISNUMBER(INDEX(SPPR!$E:$Z,MATCH($A78,SPPR!$A:$A,0),19)),$C78*INDEX(SPPR!$E:$Z,MATCH($A78,SPPR!$A:$A,0),19),""),"")</f>
        <v/>
      </c>
      <c r="W78">
        <f>IFERROR(IF(ISNUMBER(INDEX(SPPR!$E:$Z,MATCH($A78,SPPR!$A:$A,0),20)),$C78*INDEX(SPPR!$E:$Z,MATCH($A78,SPPR!$A:$A,0),20),""),"")</f>
        <v/>
      </c>
      <c r="X78">
        <f>IFERROR(IF(ISNUMBER(INDEX(SPPR!$E:$Z,MATCH($A78,SPPR!$A:$A,0),21)),$C78*INDEX(SPPR!$E:$Z,MATCH($A78,SPPR!$A:$A,0),21),""),"")</f>
        <v/>
      </c>
      <c r="Y78">
        <f>IFERROR(IF(ISNUMBER(INDEX(SPPR!$E:$Z,MATCH($A78,SPPR!$A:$A,0),22)),$C78*INDEX(SPPR!$E:$Z,MATCH($A78,SPPR!$A:$A,0),22),""),"")</f>
        <v/>
      </c>
    </row>
    <row r="79">
      <c r="A79" t="inlineStr">
        <is>
          <t>Mugil cephalus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IFERROR(IF(ISNUMBER(INDEX(SPPR!$E:$Z,MATCH($A79,SPPR!$A:$A,0),1)),$C79*INDEX(SPPR!$E:$Z,MATCH($A79,SPPR!$A:$A,0),1),""),"")</f>
        <v/>
      </c>
      <c r="E79">
        <f>IFERROR(IF(ISNUMBER(INDEX(SPPR!$E:$Z,MATCH($A79,SPPR!$A:$A,0),2)),$C79*INDEX(SPPR!$E:$Z,MATCH($A79,SPPR!$A:$A,0),2),""),"")</f>
        <v/>
      </c>
      <c r="F79">
        <f>IFERROR(IF(ISNUMBER(INDEX(SPPR!$E:$Z,MATCH($A79,SPPR!$A:$A,0),3)),$C79*INDEX(SPPR!$E:$Z,MATCH($A79,SPPR!$A:$A,0),3),""),"")</f>
        <v/>
      </c>
      <c r="G79">
        <f>IFERROR(IF(ISNUMBER(INDEX(SPPR!$E:$Z,MATCH($A79,SPPR!$A:$A,0),4)),$C79*INDEX(SPPR!$E:$Z,MATCH($A79,SPPR!$A:$A,0),4),""),"")</f>
        <v/>
      </c>
      <c r="H79">
        <f>IFERROR(IF(ISNUMBER(INDEX(SPPR!$E:$Z,MATCH($A79,SPPR!$A:$A,0),5)),$C79*INDEX(SPPR!$E:$Z,MATCH($A79,SPPR!$A:$A,0),5),""),"")</f>
        <v/>
      </c>
      <c r="I79">
        <f>IFERROR(IF(ISNUMBER(INDEX(SPPR!$E:$Z,MATCH($A79,SPPR!$A:$A,0),6)),$C79*INDEX(SPPR!$E:$Z,MATCH($A79,SPPR!$A:$A,0),6),""),"")</f>
        <v/>
      </c>
      <c r="J79">
        <f>IFERROR(IF(ISNUMBER(INDEX(SPPR!$E:$Z,MATCH($A79,SPPR!$A:$A,0),7)),$C79*INDEX(SPPR!$E:$Z,MATCH($A79,SPPR!$A:$A,0),7),""),"")</f>
        <v/>
      </c>
      <c r="K79">
        <f>IFERROR(IF(ISNUMBER(INDEX(SPPR!$E:$Z,MATCH($A79,SPPR!$A:$A,0),8)),$C79*INDEX(SPPR!$E:$Z,MATCH($A79,SPPR!$A:$A,0),8),""),"")</f>
        <v/>
      </c>
      <c r="L79">
        <f>IFERROR(IF(ISNUMBER(INDEX(SPPR!$E:$Z,MATCH($A79,SPPR!$A:$A,0),9)),$C79*INDEX(SPPR!$E:$Z,MATCH($A79,SPPR!$A:$A,0),9),""),"")</f>
        <v/>
      </c>
      <c r="M79">
        <f>IFERROR(IF(ISNUMBER(INDEX(SPPR!$E:$Z,MATCH($A79,SPPR!$A:$A,0),10)),$C79*INDEX(SPPR!$E:$Z,MATCH($A79,SPPR!$A:$A,0),10),""),"")</f>
        <v/>
      </c>
      <c r="N79">
        <f>IFERROR(IF(ISNUMBER(INDEX(SPPR!$E:$Z,MATCH($A79,SPPR!$A:$A,0),11)),$C79*INDEX(SPPR!$E:$Z,MATCH($A79,SPPR!$A:$A,0),11),""),"")</f>
        <v/>
      </c>
      <c r="O79">
        <f>IFERROR(IF(ISNUMBER(INDEX(SPPR!$E:$Z,MATCH($A79,SPPR!$A:$A,0),12)),$C79*INDEX(SPPR!$E:$Z,MATCH($A79,SPPR!$A:$A,0),12),""),"")</f>
        <v/>
      </c>
      <c r="P79">
        <f>IFERROR(IF(ISNUMBER(INDEX(SPPR!$E:$Z,MATCH($A79,SPPR!$A:$A,0),13)),$C79*INDEX(SPPR!$E:$Z,MATCH($A79,SPPR!$A:$A,0),13),""),"")</f>
        <v/>
      </c>
      <c r="Q79">
        <f>IFERROR(IF(ISNUMBER(INDEX(SPPR!$E:$Z,MATCH($A79,SPPR!$A:$A,0),14)),$C79*INDEX(SPPR!$E:$Z,MATCH($A79,SPPR!$A:$A,0),14),""),"")</f>
        <v/>
      </c>
      <c r="R79">
        <f>IFERROR(IF(ISNUMBER(INDEX(SPPR!$E:$Z,MATCH($A79,SPPR!$A:$A,0),15)),$C79*INDEX(SPPR!$E:$Z,MATCH($A79,SPPR!$A:$A,0),15),""),"")</f>
        <v/>
      </c>
      <c r="S79">
        <f>IFERROR(IF(ISNUMBER(INDEX(SPPR!$E:$Z,MATCH($A79,SPPR!$A:$A,0),16)),$C79*INDEX(SPPR!$E:$Z,MATCH($A79,SPPR!$A:$A,0),16),""),"")</f>
        <v/>
      </c>
      <c r="T79">
        <f>IFERROR(IF(ISNUMBER(INDEX(SPPR!$E:$Z,MATCH($A79,SPPR!$A:$A,0),17)),$C79*INDEX(SPPR!$E:$Z,MATCH($A79,SPPR!$A:$A,0),17),""),"")</f>
        <v/>
      </c>
      <c r="U79">
        <f>IFERROR(IF(ISNUMBER(INDEX(SPPR!$E:$Z,MATCH($A79,SPPR!$A:$A,0),18)),$C79*INDEX(SPPR!$E:$Z,MATCH($A79,SPPR!$A:$A,0),18),""),"")</f>
        <v/>
      </c>
      <c r="V79">
        <f>IFERROR(IF(ISNUMBER(INDEX(SPPR!$E:$Z,MATCH($A79,SPPR!$A:$A,0),19)),$C79*INDEX(SPPR!$E:$Z,MATCH($A79,SPPR!$A:$A,0),19),""),"")</f>
        <v/>
      </c>
      <c r="W79">
        <f>IFERROR(IF(ISNUMBER(INDEX(SPPR!$E:$Z,MATCH($A79,SPPR!$A:$A,0),20)),$C79*INDEX(SPPR!$E:$Z,MATCH($A79,SPPR!$A:$A,0),20),""),"")</f>
        <v/>
      </c>
      <c r="X79">
        <f>IFERROR(IF(ISNUMBER(INDEX(SPPR!$E:$Z,MATCH($A79,SPPR!$A:$A,0),21)),$C79*INDEX(SPPR!$E:$Z,MATCH($A79,SPPR!$A:$A,0),21),""),"")</f>
        <v/>
      </c>
      <c r="Y79">
        <f>IFERROR(IF(ISNUMBER(INDEX(SPPR!$E:$Z,MATCH($A79,SPPR!$A:$A,0),22)),$C79*INDEX(SPPR!$E:$Z,MATCH($A79,SPPR!$A:$A,0),22),""),"")</f>
        <v/>
      </c>
    </row>
    <row r="80">
      <c r="A80" t="inlineStr">
        <is>
          <t>Cephalopoda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IFERROR(IF(ISNUMBER(INDEX(SPPR!$E:$Z,MATCH($A80,SPPR!$A:$A,0),1)),$C80*INDEX(SPPR!$E:$Z,MATCH($A80,SPPR!$A:$A,0),1),""),"")</f>
        <v/>
      </c>
      <c r="E80">
        <f>IFERROR(IF(ISNUMBER(INDEX(SPPR!$E:$Z,MATCH($A80,SPPR!$A:$A,0),2)),$C80*INDEX(SPPR!$E:$Z,MATCH($A80,SPPR!$A:$A,0),2),""),"")</f>
        <v/>
      </c>
      <c r="F80">
        <f>IFERROR(IF(ISNUMBER(INDEX(SPPR!$E:$Z,MATCH($A80,SPPR!$A:$A,0),3)),$C80*INDEX(SPPR!$E:$Z,MATCH($A80,SPPR!$A:$A,0),3),""),"")</f>
        <v/>
      </c>
      <c r="G80">
        <f>IFERROR(IF(ISNUMBER(INDEX(SPPR!$E:$Z,MATCH($A80,SPPR!$A:$A,0),4)),$C80*INDEX(SPPR!$E:$Z,MATCH($A80,SPPR!$A:$A,0),4),""),"")</f>
        <v/>
      </c>
      <c r="H80">
        <f>IFERROR(IF(ISNUMBER(INDEX(SPPR!$E:$Z,MATCH($A80,SPPR!$A:$A,0),5)),$C80*INDEX(SPPR!$E:$Z,MATCH($A80,SPPR!$A:$A,0),5),""),"")</f>
        <v/>
      </c>
      <c r="I80">
        <f>IFERROR(IF(ISNUMBER(INDEX(SPPR!$E:$Z,MATCH($A80,SPPR!$A:$A,0),6)),$C80*INDEX(SPPR!$E:$Z,MATCH($A80,SPPR!$A:$A,0),6),""),"")</f>
        <v/>
      </c>
      <c r="J80">
        <f>IFERROR(IF(ISNUMBER(INDEX(SPPR!$E:$Z,MATCH($A80,SPPR!$A:$A,0),7)),$C80*INDEX(SPPR!$E:$Z,MATCH($A80,SPPR!$A:$A,0),7),""),"")</f>
        <v/>
      </c>
      <c r="K80">
        <f>IFERROR(IF(ISNUMBER(INDEX(SPPR!$E:$Z,MATCH($A80,SPPR!$A:$A,0),8)),$C80*INDEX(SPPR!$E:$Z,MATCH($A80,SPPR!$A:$A,0),8),""),"")</f>
        <v/>
      </c>
      <c r="L80">
        <f>IFERROR(IF(ISNUMBER(INDEX(SPPR!$E:$Z,MATCH($A80,SPPR!$A:$A,0),9)),$C80*INDEX(SPPR!$E:$Z,MATCH($A80,SPPR!$A:$A,0),9),""),"")</f>
        <v/>
      </c>
      <c r="M80">
        <f>IFERROR(IF(ISNUMBER(INDEX(SPPR!$E:$Z,MATCH($A80,SPPR!$A:$A,0),10)),$C80*INDEX(SPPR!$E:$Z,MATCH($A80,SPPR!$A:$A,0),10),""),"")</f>
        <v/>
      </c>
      <c r="N80">
        <f>IFERROR(IF(ISNUMBER(INDEX(SPPR!$E:$Z,MATCH($A80,SPPR!$A:$A,0),11)),$C80*INDEX(SPPR!$E:$Z,MATCH($A80,SPPR!$A:$A,0),11),""),"")</f>
        <v/>
      </c>
      <c r="O80">
        <f>IFERROR(IF(ISNUMBER(INDEX(SPPR!$E:$Z,MATCH($A80,SPPR!$A:$A,0),12)),$C80*INDEX(SPPR!$E:$Z,MATCH($A80,SPPR!$A:$A,0),12),""),"")</f>
        <v/>
      </c>
      <c r="P80">
        <f>IFERROR(IF(ISNUMBER(INDEX(SPPR!$E:$Z,MATCH($A80,SPPR!$A:$A,0),13)),$C80*INDEX(SPPR!$E:$Z,MATCH($A80,SPPR!$A:$A,0),13),""),"")</f>
        <v/>
      </c>
      <c r="Q80">
        <f>IFERROR(IF(ISNUMBER(INDEX(SPPR!$E:$Z,MATCH($A80,SPPR!$A:$A,0),14)),$C80*INDEX(SPPR!$E:$Z,MATCH($A80,SPPR!$A:$A,0),14),""),"")</f>
        <v/>
      </c>
      <c r="R80">
        <f>IFERROR(IF(ISNUMBER(INDEX(SPPR!$E:$Z,MATCH($A80,SPPR!$A:$A,0),15)),$C80*INDEX(SPPR!$E:$Z,MATCH($A80,SPPR!$A:$A,0),15),""),"")</f>
        <v/>
      </c>
      <c r="S80">
        <f>IFERROR(IF(ISNUMBER(INDEX(SPPR!$E:$Z,MATCH($A80,SPPR!$A:$A,0),16)),$C80*INDEX(SPPR!$E:$Z,MATCH($A80,SPPR!$A:$A,0),16),""),"")</f>
        <v/>
      </c>
      <c r="T80">
        <f>IFERROR(IF(ISNUMBER(INDEX(SPPR!$E:$Z,MATCH($A80,SPPR!$A:$A,0),17)),$C80*INDEX(SPPR!$E:$Z,MATCH($A80,SPPR!$A:$A,0),17),""),"")</f>
        <v/>
      </c>
      <c r="U80">
        <f>IFERROR(IF(ISNUMBER(INDEX(SPPR!$E:$Z,MATCH($A80,SPPR!$A:$A,0),18)),$C80*INDEX(SPPR!$E:$Z,MATCH($A80,SPPR!$A:$A,0),18),""),"")</f>
        <v/>
      </c>
      <c r="V80">
        <f>IFERROR(IF(ISNUMBER(INDEX(SPPR!$E:$Z,MATCH($A80,SPPR!$A:$A,0),19)),$C80*INDEX(SPPR!$E:$Z,MATCH($A80,SPPR!$A:$A,0),19),""),"")</f>
        <v/>
      </c>
      <c r="W80">
        <f>IFERROR(IF(ISNUMBER(INDEX(SPPR!$E:$Z,MATCH($A80,SPPR!$A:$A,0),20)),$C80*INDEX(SPPR!$E:$Z,MATCH($A80,SPPR!$A:$A,0),20),""),"")</f>
        <v/>
      </c>
      <c r="X80">
        <f>IFERROR(IF(ISNUMBER(INDEX(SPPR!$E:$Z,MATCH($A80,SPPR!$A:$A,0),21)),$C80*INDEX(SPPR!$E:$Z,MATCH($A80,SPPR!$A:$A,0),21),""),"")</f>
        <v/>
      </c>
      <c r="Y80">
        <f>IFERROR(IF(ISNUMBER(INDEX(SPPR!$E:$Z,MATCH($A80,SPPR!$A:$A,0),22)),$C80*INDEX(SPPR!$E:$Z,MATCH($A80,SPPR!$A:$A,0),22),""),"")</f>
        <v/>
      </c>
    </row>
    <row r="81">
      <c r="A81" t="inlineStr">
        <is>
          <t>Leiognathus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IFERROR(IF(ISNUMBER(INDEX(SPPR!$E:$Z,MATCH($A81,SPPR!$A:$A,0),1)),$C81*INDEX(SPPR!$E:$Z,MATCH($A81,SPPR!$A:$A,0),1),""),"")</f>
        <v/>
      </c>
      <c r="E81">
        <f>IFERROR(IF(ISNUMBER(INDEX(SPPR!$E:$Z,MATCH($A81,SPPR!$A:$A,0),2)),$C81*INDEX(SPPR!$E:$Z,MATCH($A81,SPPR!$A:$A,0),2),""),"")</f>
        <v/>
      </c>
      <c r="F81">
        <f>IFERROR(IF(ISNUMBER(INDEX(SPPR!$E:$Z,MATCH($A81,SPPR!$A:$A,0),3)),$C81*INDEX(SPPR!$E:$Z,MATCH($A81,SPPR!$A:$A,0),3),""),"")</f>
        <v/>
      </c>
      <c r="G81">
        <f>IFERROR(IF(ISNUMBER(INDEX(SPPR!$E:$Z,MATCH($A81,SPPR!$A:$A,0),4)),$C81*INDEX(SPPR!$E:$Z,MATCH($A81,SPPR!$A:$A,0),4),""),"")</f>
        <v/>
      </c>
      <c r="H81">
        <f>IFERROR(IF(ISNUMBER(INDEX(SPPR!$E:$Z,MATCH($A81,SPPR!$A:$A,0),5)),$C81*INDEX(SPPR!$E:$Z,MATCH($A81,SPPR!$A:$A,0),5),""),"")</f>
        <v/>
      </c>
      <c r="I81">
        <f>IFERROR(IF(ISNUMBER(INDEX(SPPR!$E:$Z,MATCH($A81,SPPR!$A:$A,0),6)),$C81*INDEX(SPPR!$E:$Z,MATCH($A81,SPPR!$A:$A,0),6),""),"")</f>
        <v/>
      </c>
      <c r="J81">
        <f>IFERROR(IF(ISNUMBER(INDEX(SPPR!$E:$Z,MATCH($A81,SPPR!$A:$A,0),7)),$C81*INDEX(SPPR!$E:$Z,MATCH($A81,SPPR!$A:$A,0),7),""),"")</f>
        <v/>
      </c>
      <c r="K81">
        <f>IFERROR(IF(ISNUMBER(INDEX(SPPR!$E:$Z,MATCH($A81,SPPR!$A:$A,0),8)),$C81*INDEX(SPPR!$E:$Z,MATCH($A81,SPPR!$A:$A,0),8),""),"")</f>
        <v/>
      </c>
      <c r="L81">
        <f>IFERROR(IF(ISNUMBER(INDEX(SPPR!$E:$Z,MATCH($A81,SPPR!$A:$A,0),9)),$C81*INDEX(SPPR!$E:$Z,MATCH($A81,SPPR!$A:$A,0),9),""),"")</f>
        <v/>
      </c>
      <c r="M81">
        <f>IFERROR(IF(ISNUMBER(INDEX(SPPR!$E:$Z,MATCH($A81,SPPR!$A:$A,0),10)),$C81*INDEX(SPPR!$E:$Z,MATCH($A81,SPPR!$A:$A,0),10),""),"")</f>
        <v/>
      </c>
      <c r="N81">
        <f>IFERROR(IF(ISNUMBER(INDEX(SPPR!$E:$Z,MATCH($A81,SPPR!$A:$A,0),11)),$C81*INDEX(SPPR!$E:$Z,MATCH($A81,SPPR!$A:$A,0),11),""),"")</f>
        <v/>
      </c>
      <c r="O81">
        <f>IFERROR(IF(ISNUMBER(INDEX(SPPR!$E:$Z,MATCH($A81,SPPR!$A:$A,0),12)),$C81*INDEX(SPPR!$E:$Z,MATCH($A81,SPPR!$A:$A,0),12),""),"")</f>
        <v/>
      </c>
      <c r="P81">
        <f>IFERROR(IF(ISNUMBER(INDEX(SPPR!$E:$Z,MATCH($A81,SPPR!$A:$A,0),13)),$C81*INDEX(SPPR!$E:$Z,MATCH($A81,SPPR!$A:$A,0),13),""),"")</f>
        <v/>
      </c>
      <c r="Q81">
        <f>IFERROR(IF(ISNUMBER(INDEX(SPPR!$E:$Z,MATCH($A81,SPPR!$A:$A,0),14)),$C81*INDEX(SPPR!$E:$Z,MATCH($A81,SPPR!$A:$A,0),14),""),"")</f>
        <v/>
      </c>
      <c r="R81">
        <f>IFERROR(IF(ISNUMBER(INDEX(SPPR!$E:$Z,MATCH($A81,SPPR!$A:$A,0),15)),$C81*INDEX(SPPR!$E:$Z,MATCH($A81,SPPR!$A:$A,0),15),""),"")</f>
        <v/>
      </c>
      <c r="S81">
        <f>IFERROR(IF(ISNUMBER(INDEX(SPPR!$E:$Z,MATCH($A81,SPPR!$A:$A,0),16)),$C81*INDEX(SPPR!$E:$Z,MATCH($A81,SPPR!$A:$A,0),16),""),"")</f>
        <v/>
      </c>
      <c r="T81">
        <f>IFERROR(IF(ISNUMBER(INDEX(SPPR!$E:$Z,MATCH($A81,SPPR!$A:$A,0),17)),$C81*INDEX(SPPR!$E:$Z,MATCH($A81,SPPR!$A:$A,0),17),""),"")</f>
        <v/>
      </c>
      <c r="U81">
        <f>IFERROR(IF(ISNUMBER(INDEX(SPPR!$E:$Z,MATCH($A81,SPPR!$A:$A,0),18)),$C81*INDEX(SPPR!$E:$Z,MATCH($A81,SPPR!$A:$A,0),18),""),"")</f>
        <v/>
      </c>
      <c r="V81">
        <f>IFERROR(IF(ISNUMBER(INDEX(SPPR!$E:$Z,MATCH($A81,SPPR!$A:$A,0),19)),$C81*INDEX(SPPR!$E:$Z,MATCH($A81,SPPR!$A:$A,0),19),""),"")</f>
        <v/>
      </c>
      <c r="W81">
        <f>IFERROR(IF(ISNUMBER(INDEX(SPPR!$E:$Z,MATCH($A81,SPPR!$A:$A,0),20)),$C81*INDEX(SPPR!$E:$Z,MATCH($A81,SPPR!$A:$A,0),20),""),"")</f>
        <v/>
      </c>
      <c r="X81">
        <f>IFERROR(IF(ISNUMBER(INDEX(SPPR!$E:$Z,MATCH($A81,SPPR!$A:$A,0),21)),$C81*INDEX(SPPR!$E:$Z,MATCH($A81,SPPR!$A:$A,0),21),""),"")</f>
        <v/>
      </c>
      <c r="Y81">
        <f>IFERROR(IF(ISNUMBER(INDEX(SPPR!$E:$Z,MATCH($A81,SPPR!$A:$A,0),22)),$C81*INDEX(SPPR!$E:$Z,MATCH($A81,SPPR!$A:$A,0),22),""),"")</f>
        <v/>
      </c>
    </row>
    <row r="82">
      <c r="A82" t="inlineStr">
        <is>
          <t>Octopodidae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IFERROR(IF(ISNUMBER(INDEX(SPPR!$E:$Z,MATCH($A82,SPPR!$A:$A,0),1)),$C82*INDEX(SPPR!$E:$Z,MATCH($A82,SPPR!$A:$A,0),1),""),"")</f>
        <v/>
      </c>
      <c r="E82">
        <f>IFERROR(IF(ISNUMBER(INDEX(SPPR!$E:$Z,MATCH($A82,SPPR!$A:$A,0),2)),$C82*INDEX(SPPR!$E:$Z,MATCH($A82,SPPR!$A:$A,0),2),""),"")</f>
        <v/>
      </c>
      <c r="F82">
        <f>IFERROR(IF(ISNUMBER(INDEX(SPPR!$E:$Z,MATCH($A82,SPPR!$A:$A,0),3)),$C82*INDEX(SPPR!$E:$Z,MATCH($A82,SPPR!$A:$A,0),3),""),"")</f>
        <v/>
      </c>
      <c r="G82">
        <f>IFERROR(IF(ISNUMBER(INDEX(SPPR!$E:$Z,MATCH($A82,SPPR!$A:$A,0),4)),$C82*INDEX(SPPR!$E:$Z,MATCH($A82,SPPR!$A:$A,0),4),""),"")</f>
        <v/>
      </c>
      <c r="H82">
        <f>IFERROR(IF(ISNUMBER(INDEX(SPPR!$E:$Z,MATCH($A82,SPPR!$A:$A,0),5)),$C82*INDEX(SPPR!$E:$Z,MATCH($A82,SPPR!$A:$A,0),5),""),"")</f>
        <v/>
      </c>
      <c r="I82">
        <f>IFERROR(IF(ISNUMBER(INDEX(SPPR!$E:$Z,MATCH($A82,SPPR!$A:$A,0),6)),$C82*INDEX(SPPR!$E:$Z,MATCH($A82,SPPR!$A:$A,0),6),""),"")</f>
        <v/>
      </c>
      <c r="J82">
        <f>IFERROR(IF(ISNUMBER(INDEX(SPPR!$E:$Z,MATCH($A82,SPPR!$A:$A,0),7)),$C82*INDEX(SPPR!$E:$Z,MATCH($A82,SPPR!$A:$A,0),7),""),"")</f>
        <v/>
      </c>
      <c r="K82">
        <f>IFERROR(IF(ISNUMBER(INDEX(SPPR!$E:$Z,MATCH($A82,SPPR!$A:$A,0),8)),$C82*INDEX(SPPR!$E:$Z,MATCH($A82,SPPR!$A:$A,0),8),""),"")</f>
        <v/>
      </c>
      <c r="L82">
        <f>IFERROR(IF(ISNUMBER(INDEX(SPPR!$E:$Z,MATCH($A82,SPPR!$A:$A,0),9)),$C82*INDEX(SPPR!$E:$Z,MATCH($A82,SPPR!$A:$A,0),9),""),"")</f>
        <v/>
      </c>
      <c r="M82">
        <f>IFERROR(IF(ISNUMBER(INDEX(SPPR!$E:$Z,MATCH($A82,SPPR!$A:$A,0),10)),$C82*INDEX(SPPR!$E:$Z,MATCH($A82,SPPR!$A:$A,0),10),""),"")</f>
        <v/>
      </c>
      <c r="N82">
        <f>IFERROR(IF(ISNUMBER(INDEX(SPPR!$E:$Z,MATCH($A82,SPPR!$A:$A,0),11)),$C82*INDEX(SPPR!$E:$Z,MATCH($A82,SPPR!$A:$A,0),11),""),"")</f>
        <v/>
      </c>
      <c r="O82">
        <f>IFERROR(IF(ISNUMBER(INDEX(SPPR!$E:$Z,MATCH($A82,SPPR!$A:$A,0),12)),$C82*INDEX(SPPR!$E:$Z,MATCH($A82,SPPR!$A:$A,0),12),""),"")</f>
        <v/>
      </c>
      <c r="P82">
        <f>IFERROR(IF(ISNUMBER(INDEX(SPPR!$E:$Z,MATCH($A82,SPPR!$A:$A,0),13)),$C82*INDEX(SPPR!$E:$Z,MATCH($A82,SPPR!$A:$A,0),13),""),"")</f>
        <v/>
      </c>
      <c r="Q82">
        <f>IFERROR(IF(ISNUMBER(INDEX(SPPR!$E:$Z,MATCH($A82,SPPR!$A:$A,0),14)),$C82*INDEX(SPPR!$E:$Z,MATCH($A82,SPPR!$A:$A,0),14),""),"")</f>
        <v/>
      </c>
      <c r="R82">
        <f>IFERROR(IF(ISNUMBER(INDEX(SPPR!$E:$Z,MATCH($A82,SPPR!$A:$A,0),15)),$C82*INDEX(SPPR!$E:$Z,MATCH($A82,SPPR!$A:$A,0),15),""),"")</f>
        <v/>
      </c>
      <c r="S82">
        <f>IFERROR(IF(ISNUMBER(INDEX(SPPR!$E:$Z,MATCH($A82,SPPR!$A:$A,0),16)),$C82*INDEX(SPPR!$E:$Z,MATCH($A82,SPPR!$A:$A,0),16),""),"")</f>
        <v/>
      </c>
      <c r="T82">
        <f>IFERROR(IF(ISNUMBER(INDEX(SPPR!$E:$Z,MATCH($A82,SPPR!$A:$A,0),17)),$C82*INDEX(SPPR!$E:$Z,MATCH($A82,SPPR!$A:$A,0),17),""),"")</f>
        <v/>
      </c>
      <c r="U82">
        <f>IFERROR(IF(ISNUMBER(INDEX(SPPR!$E:$Z,MATCH($A82,SPPR!$A:$A,0),18)),$C82*INDEX(SPPR!$E:$Z,MATCH($A82,SPPR!$A:$A,0),18),""),"")</f>
        <v/>
      </c>
      <c r="V82">
        <f>IFERROR(IF(ISNUMBER(INDEX(SPPR!$E:$Z,MATCH($A82,SPPR!$A:$A,0),19)),$C82*INDEX(SPPR!$E:$Z,MATCH($A82,SPPR!$A:$A,0),19),""),"")</f>
        <v/>
      </c>
      <c r="W82">
        <f>IFERROR(IF(ISNUMBER(INDEX(SPPR!$E:$Z,MATCH($A82,SPPR!$A:$A,0),20)),$C82*INDEX(SPPR!$E:$Z,MATCH($A82,SPPR!$A:$A,0),20),""),"")</f>
        <v/>
      </c>
      <c r="X82">
        <f>IFERROR(IF(ISNUMBER(INDEX(SPPR!$E:$Z,MATCH($A82,SPPR!$A:$A,0),21)),$C82*INDEX(SPPR!$E:$Z,MATCH($A82,SPPR!$A:$A,0),21),""),"")</f>
        <v/>
      </c>
      <c r="Y82">
        <f>IFERROR(IF(ISNUMBER(INDEX(SPPR!$E:$Z,MATCH($A82,SPPR!$A:$A,0),22)),$C82*INDEX(SPPR!$E:$Z,MATCH($A82,SPPR!$A:$A,0),22),""),"")</f>
        <v/>
      </c>
    </row>
    <row r="83">
      <c r="A83" t="inlineStr">
        <is>
          <t>Dasyatis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IFERROR(IF(ISNUMBER(INDEX(SPPR!$E:$Z,MATCH($A83,SPPR!$A:$A,0),1)),$C83*INDEX(SPPR!$E:$Z,MATCH($A83,SPPR!$A:$A,0),1),""),"")</f>
        <v/>
      </c>
      <c r="E83">
        <f>IFERROR(IF(ISNUMBER(INDEX(SPPR!$E:$Z,MATCH($A83,SPPR!$A:$A,0),2)),$C83*INDEX(SPPR!$E:$Z,MATCH($A83,SPPR!$A:$A,0),2),""),"")</f>
        <v/>
      </c>
      <c r="F83">
        <f>IFERROR(IF(ISNUMBER(INDEX(SPPR!$E:$Z,MATCH($A83,SPPR!$A:$A,0),3)),$C83*INDEX(SPPR!$E:$Z,MATCH($A83,SPPR!$A:$A,0),3),""),"")</f>
        <v/>
      </c>
      <c r="G83">
        <f>IFERROR(IF(ISNUMBER(INDEX(SPPR!$E:$Z,MATCH($A83,SPPR!$A:$A,0),4)),$C83*INDEX(SPPR!$E:$Z,MATCH($A83,SPPR!$A:$A,0),4),""),"")</f>
        <v/>
      </c>
      <c r="H83">
        <f>IFERROR(IF(ISNUMBER(INDEX(SPPR!$E:$Z,MATCH($A83,SPPR!$A:$A,0),5)),$C83*INDEX(SPPR!$E:$Z,MATCH($A83,SPPR!$A:$A,0),5),""),"")</f>
        <v/>
      </c>
      <c r="I83">
        <f>IFERROR(IF(ISNUMBER(INDEX(SPPR!$E:$Z,MATCH($A83,SPPR!$A:$A,0),6)),$C83*INDEX(SPPR!$E:$Z,MATCH($A83,SPPR!$A:$A,0),6),""),"")</f>
        <v/>
      </c>
      <c r="J83">
        <f>IFERROR(IF(ISNUMBER(INDEX(SPPR!$E:$Z,MATCH($A83,SPPR!$A:$A,0),7)),$C83*INDEX(SPPR!$E:$Z,MATCH($A83,SPPR!$A:$A,0),7),""),"")</f>
        <v/>
      </c>
      <c r="K83">
        <f>IFERROR(IF(ISNUMBER(INDEX(SPPR!$E:$Z,MATCH($A83,SPPR!$A:$A,0),8)),$C83*INDEX(SPPR!$E:$Z,MATCH($A83,SPPR!$A:$A,0),8),""),"")</f>
        <v/>
      </c>
      <c r="L83">
        <f>IFERROR(IF(ISNUMBER(INDEX(SPPR!$E:$Z,MATCH($A83,SPPR!$A:$A,0),9)),$C83*INDEX(SPPR!$E:$Z,MATCH($A83,SPPR!$A:$A,0),9),""),"")</f>
        <v/>
      </c>
      <c r="M83">
        <f>IFERROR(IF(ISNUMBER(INDEX(SPPR!$E:$Z,MATCH($A83,SPPR!$A:$A,0),10)),$C83*INDEX(SPPR!$E:$Z,MATCH($A83,SPPR!$A:$A,0),10),""),"")</f>
        <v/>
      </c>
      <c r="N83">
        <f>IFERROR(IF(ISNUMBER(INDEX(SPPR!$E:$Z,MATCH($A83,SPPR!$A:$A,0),11)),$C83*INDEX(SPPR!$E:$Z,MATCH($A83,SPPR!$A:$A,0),11),""),"")</f>
        <v/>
      </c>
      <c r="O83">
        <f>IFERROR(IF(ISNUMBER(INDEX(SPPR!$E:$Z,MATCH($A83,SPPR!$A:$A,0),12)),$C83*INDEX(SPPR!$E:$Z,MATCH($A83,SPPR!$A:$A,0),12),""),"")</f>
        <v/>
      </c>
      <c r="P83">
        <f>IFERROR(IF(ISNUMBER(INDEX(SPPR!$E:$Z,MATCH($A83,SPPR!$A:$A,0),13)),$C83*INDEX(SPPR!$E:$Z,MATCH($A83,SPPR!$A:$A,0),13),""),"")</f>
        <v/>
      </c>
      <c r="Q83">
        <f>IFERROR(IF(ISNUMBER(INDEX(SPPR!$E:$Z,MATCH($A83,SPPR!$A:$A,0),14)),$C83*INDEX(SPPR!$E:$Z,MATCH($A83,SPPR!$A:$A,0),14),""),"")</f>
        <v/>
      </c>
      <c r="R83">
        <f>IFERROR(IF(ISNUMBER(INDEX(SPPR!$E:$Z,MATCH($A83,SPPR!$A:$A,0),15)),$C83*INDEX(SPPR!$E:$Z,MATCH($A83,SPPR!$A:$A,0),15),""),"")</f>
        <v/>
      </c>
      <c r="S83">
        <f>IFERROR(IF(ISNUMBER(INDEX(SPPR!$E:$Z,MATCH($A83,SPPR!$A:$A,0),16)),$C83*INDEX(SPPR!$E:$Z,MATCH($A83,SPPR!$A:$A,0),16),""),"")</f>
        <v/>
      </c>
      <c r="T83">
        <f>IFERROR(IF(ISNUMBER(INDEX(SPPR!$E:$Z,MATCH($A83,SPPR!$A:$A,0),17)),$C83*INDEX(SPPR!$E:$Z,MATCH($A83,SPPR!$A:$A,0),17),""),"")</f>
        <v/>
      </c>
      <c r="U83">
        <f>IFERROR(IF(ISNUMBER(INDEX(SPPR!$E:$Z,MATCH($A83,SPPR!$A:$A,0),18)),$C83*INDEX(SPPR!$E:$Z,MATCH($A83,SPPR!$A:$A,0),18),""),"")</f>
        <v/>
      </c>
      <c r="V83">
        <f>IFERROR(IF(ISNUMBER(INDEX(SPPR!$E:$Z,MATCH($A83,SPPR!$A:$A,0),19)),$C83*INDEX(SPPR!$E:$Z,MATCH($A83,SPPR!$A:$A,0),19),""),"")</f>
        <v/>
      </c>
      <c r="W83">
        <f>IFERROR(IF(ISNUMBER(INDEX(SPPR!$E:$Z,MATCH($A83,SPPR!$A:$A,0),20)),$C83*INDEX(SPPR!$E:$Z,MATCH($A83,SPPR!$A:$A,0),20),""),"")</f>
        <v/>
      </c>
      <c r="X83">
        <f>IFERROR(IF(ISNUMBER(INDEX(SPPR!$E:$Z,MATCH($A83,SPPR!$A:$A,0),21)),$C83*INDEX(SPPR!$E:$Z,MATCH($A83,SPPR!$A:$A,0),21),""),"")</f>
        <v/>
      </c>
      <c r="Y83">
        <f>IFERROR(IF(ISNUMBER(INDEX(SPPR!$E:$Z,MATCH($A83,SPPR!$A:$A,0),22)),$C83*INDEX(SPPR!$E:$Z,MATCH($A83,SPPR!$A:$A,0),22),""),"")</f>
        <v/>
      </c>
    </row>
    <row r="84">
      <c r="A84" t="inlineStr">
        <is>
          <t>Euthynnus affinis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IFERROR(IF(ISNUMBER(INDEX(SPPR!$E:$Z,MATCH($A84,SPPR!$A:$A,0),1)),$C84*INDEX(SPPR!$E:$Z,MATCH($A84,SPPR!$A:$A,0),1),""),"")</f>
        <v/>
      </c>
      <c r="E84">
        <f>IFERROR(IF(ISNUMBER(INDEX(SPPR!$E:$Z,MATCH($A84,SPPR!$A:$A,0),2)),$C84*INDEX(SPPR!$E:$Z,MATCH($A84,SPPR!$A:$A,0),2),""),"")</f>
        <v/>
      </c>
      <c r="F84">
        <f>IFERROR(IF(ISNUMBER(INDEX(SPPR!$E:$Z,MATCH($A84,SPPR!$A:$A,0),3)),$C84*INDEX(SPPR!$E:$Z,MATCH($A84,SPPR!$A:$A,0),3),""),"")</f>
        <v/>
      </c>
      <c r="G84">
        <f>IFERROR(IF(ISNUMBER(INDEX(SPPR!$E:$Z,MATCH($A84,SPPR!$A:$A,0),4)),$C84*INDEX(SPPR!$E:$Z,MATCH($A84,SPPR!$A:$A,0),4),""),"")</f>
        <v/>
      </c>
      <c r="H84">
        <f>IFERROR(IF(ISNUMBER(INDEX(SPPR!$E:$Z,MATCH($A84,SPPR!$A:$A,0),5)),$C84*INDEX(SPPR!$E:$Z,MATCH($A84,SPPR!$A:$A,0),5),""),"")</f>
        <v/>
      </c>
      <c r="I84">
        <f>IFERROR(IF(ISNUMBER(INDEX(SPPR!$E:$Z,MATCH($A84,SPPR!$A:$A,0),6)),$C84*INDEX(SPPR!$E:$Z,MATCH($A84,SPPR!$A:$A,0),6),""),"")</f>
        <v/>
      </c>
      <c r="J84">
        <f>IFERROR(IF(ISNUMBER(INDEX(SPPR!$E:$Z,MATCH($A84,SPPR!$A:$A,0),7)),$C84*INDEX(SPPR!$E:$Z,MATCH($A84,SPPR!$A:$A,0),7),""),"")</f>
        <v/>
      </c>
      <c r="K84">
        <f>IFERROR(IF(ISNUMBER(INDEX(SPPR!$E:$Z,MATCH($A84,SPPR!$A:$A,0),8)),$C84*INDEX(SPPR!$E:$Z,MATCH($A84,SPPR!$A:$A,0),8),""),"")</f>
        <v/>
      </c>
      <c r="L84">
        <f>IFERROR(IF(ISNUMBER(INDEX(SPPR!$E:$Z,MATCH($A84,SPPR!$A:$A,0),9)),$C84*INDEX(SPPR!$E:$Z,MATCH($A84,SPPR!$A:$A,0),9),""),"")</f>
        <v/>
      </c>
      <c r="M84">
        <f>IFERROR(IF(ISNUMBER(INDEX(SPPR!$E:$Z,MATCH($A84,SPPR!$A:$A,0),10)),$C84*INDEX(SPPR!$E:$Z,MATCH($A84,SPPR!$A:$A,0),10),""),"")</f>
        <v/>
      </c>
      <c r="N84">
        <f>IFERROR(IF(ISNUMBER(INDEX(SPPR!$E:$Z,MATCH($A84,SPPR!$A:$A,0),11)),$C84*INDEX(SPPR!$E:$Z,MATCH($A84,SPPR!$A:$A,0),11),""),"")</f>
        <v/>
      </c>
      <c r="O84">
        <f>IFERROR(IF(ISNUMBER(INDEX(SPPR!$E:$Z,MATCH($A84,SPPR!$A:$A,0),12)),$C84*INDEX(SPPR!$E:$Z,MATCH($A84,SPPR!$A:$A,0),12),""),"")</f>
        <v/>
      </c>
      <c r="P84">
        <f>IFERROR(IF(ISNUMBER(INDEX(SPPR!$E:$Z,MATCH($A84,SPPR!$A:$A,0),13)),$C84*INDEX(SPPR!$E:$Z,MATCH($A84,SPPR!$A:$A,0),13),""),"")</f>
        <v/>
      </c>
      <c r="Q84">
        <f>IFERROR(IF(ISNUMBER(INDEX(SPPR!$E:$Z,MATCH($A84,SPPR!$A:$A,0),14)),$C84*INDEX(SPPR!$E:$Z,MATCH($A84,SPPR!$A:$A,0),14),""),"")</f>
        <v/>
      </c>
      <c r="R84">
        <f>IFERROR(IF(ISNUMBER(INDEX(SPPR!$E:$Z,MATCH($A84,SPPR!$A:$A,0),15)),$C84*INDEX(SPPR!$E:$Z,MATCH($A84,SPPR!$A:$A,0),15),""),"")</f>
        <v/>
      </c>
      <c r="S84">
        <f>IFERROR(IF(ISNUMBER(INDEX(SPPR!$E:$Z,MATCH($A84,SPPR!$A:$A,0),16)),$C84*INDEX(SPPR!$E:$Z,MATCH($A84,SPPR!$A:$A,0),16),""),"")</f>
        <v/>
      </c>
      <c r="T84">
        <f>IFERROR(IF(ISNUMBER(INDEX(SPPR!$E:$Z,MATCH($A84,SPPR!$A:$A,0),17)),$C84*INDEX(SPPR!$E:$Z,MATCH($A84,SPPR!$A:$A,0),17),""),"")</f>
        <v/>
      </c>
      <c r="U84">
        <f>IFERROR(IF(ISNUMBER(INDEX(SPPR!$E:$Z,MATCH($A84,SPPR!$A:$A,0),18)),$C84*INDEX(SPPR!$E:$Z,MATCH($A84,SPPR!$A:$A,0),18),""),"")</f>
        <v/>
      </c>
      <c r="V84">
        <f>IFERROR(IF(ISNUMBER(INDEX(SPPR!$E:$Z,MATCH($A84,SPPR!$A:$A,0),19)),$C84*INDEX(SPPR!$E:$Z,MATCH($A84,SPPR!$A:$A,0),19),""),"")</f>
        <v/>
      </c>
      <c r="W84">
        <f>IFERROR(IF(ISNUMBER(INDEX(SPPR!$E:$Z,MATCH($A84,SPPR!$A:$A,0),20)),$C84*INDEX(SPPR!$E:$Z,MATCH($A84,SPPR!$A:$A,0),20),""),"")</f>
        <v/>
      </c>
      <c r="X84">
        <f>IFERROR(IF(ISNUMBER(INDEX(SPPR!$E:$Z,MATCH($A84,SPPR!$A:$A,0),21)),$C84*INDEX(SPPR!$E:$Z,MATCH($A84,SPPR!$A:$A,0),21),""),"")</f>
        <v/>
      </c>
      <c r="Y84">
        <f>IFERROR(IF(ISNUMBER(INDEX(SPPR!$E:$Z,MATCH($A84,SPPR!$A:$A,0),22)),$C84*INDEX(SPPR!$E:$Z,MATCH($A84,SPPR!$A:$A,0),22),""),"")</f>
        <v/>
      </c>
    </row>
    <row r="85">
      <c r="A85" t="inlineStr">
        <is>
          <t>Auxis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IFERROR(IF(ISNUMBER(INDEX(SPPR!$E:$Z,MATCH($A85,SPPR!$A:$A,0),1)),$C85*INDEX(SPPR!$E:$Z,MATCH($A85,SPPR!$A:$A,0),1),""),"")</f>
        <v/>
      </c>
      <c r="E85">
        <f>IFERROR(IF(ISNUMBER(INDEX(SPPR!$E:$Z,MATCH($A85,SPPR!$A:$A,0),2)),$C85*INDEX(SPPR!$E:$Z,MATCH($A85,SPPR!$A:$A,0),2),""),"")</f>
        <v/>
      </c>
      <c r="F85">
        <f>IFERROR(IF(ISNUMBER(INDEX(SPPR!$E:$Z,MATCH($A85,SPPR!$A:$A,0),3)),$C85*INDEX(SPPR!$E:$Z,MATCH($A85,SPPR!$A:$A,0),3),""),"")</f>
        <v/>
      </c>
      <c r="G85">
        <f>IFERROR(IF(ISNUMBER(INDEX(SPPR!$E:$Z,MATCH($A85,SPPR!$A:$A,0),4)),$C85*INDEX(SPPR!$E:$Z,MATCH($A85,SPPR!$A:$A,0),4),""),"")</f>
        <v/>
      </c>
      <c r="H85">
        <f>IFERROR(IF(ISNUMBER(INDEX(SPPR!$E:$Z,MATCH($A85,SPPR!$A:$A,0),5)),$C85*INDEX(SPPR!$E:$Z,MATCH($A85,SPPR!$A:$A,0),5),""),"")</f>
        <v/>
      </c>
      <c r="I85">
        <f>IFERROR(IF(ISNUMBER(INDEX(SPPR!$E:$Z,MATCH($A85,SPPR!$A:$A,0),6)),$C85*INDEX(SPPR!$E:$Z,MATCH($A85,SPPR!$A:$A,0),6),""),"")</f>
        <v/>
      </c>
      <c r="J85">
        <f>IFERROR(IF(ISNUMBER(INDEX(SPPR!$E:$Z,MATCH($A85,SPPR!$A:$A,0),7)),$C85*INDEX(SPPR!$E:$Z,MATCH($A85,SPPR!$A:$A,0),7),""),"")</f>
        <v/>
      </c>
      <c r="K85">
        <f>IFERROR(IF(ISNUMBER(INDEX(SPPR!$E:$Z,MATCH($A85,SPPR!$A:$A,0),8)),$C85*INDEX(SPPR!$E:$Z,MATCH($A85,SPPR!$A:$A,0),8),""),"")</f>
        <v/>
      </c>
      <c r="L85">
        <f>IFERROR(IF(ISNUMBER(INDEX(SPPR!$E:$Z,MATCH($A85,SPPR!$A:$A,0),9)),$C85*INDEX(SPPR!$E:$Z,MATCH($A85,SPPR!$A:$A,0),9),""),"")</f>
        <v/>
      </c>
      <c r="M85">
        <f>IFERROR(IF(ISNUMBER(INDEX(SPPR!$E:$Z,MATCH($A85,SPPR!$A:$A,0),10)),$C85*INDEX(SPPR!$E:$Z,MATCH($A85,SPPR!$A:$A,0),10),""),"")</f>
        <v/>
      </c>
      <c r="N85">
        <f>IFERROR(IF(ISNUMBER(INDEX(SPPR!$E:$Z,MATCH($A85,SPPR!$A:$A,0),11)),$C85*INDEX(SPPR!$E:$Z,MATCH($A85,SPPR!$A:$A,0),11),""),"")</f>
        <v/>
      </c>
      <c r="O85">
        <f>IFERROR(IF(ISNUMBER(INDEX(SPPR!$E:$Z,MATCH($A85,SPPR!$A:$A,0),12)),$C85*INDEX(SPPR!$E:$Z,MATCH($A85,SPPR!$A:$A,0),12),""),"")</f>
        <v/>
      </c>
      <c r="P85">
        <f>IFERROR(IF(ISNUMBER(INDEX(SPPR!$E:$Z,MATCH($A85,SPPR!$A:$A,0),13)),$C85*INDEX(SPPR!$E:$Z,MATCH($A85,SPPR!$A:$A,0),13),""),"")</f>
        <v/>
      </c>
      <c r="Q85">
        <f>IFERROR(IF(ISNUMBER(INDEX(SPPR!$E:$Z,MATCH($A85,SPPR!$A:$A,0),14)),$C85*INDEX(SPPR!$E:$Z,MATCH($A85,SPPR!$A:$A,0),14),""),"")</f>
        <v/>
      </c>
      <c r="R85">
        <f>IFERROR(IF(ISNUMBER(INDEX(SPPR!$E:$Z,MATCH($A85,SPPR!$A:$A,0),15)),$C85*INDEX(SPPR!$E:$Z,MATCH($A85,SPPR!$A:$A,0),15),""),"")</f>
        <v/>
      </c>
      <c r="S85">
        <f>IFERROR(IF(ISNUMBER(INDEX(SPPR!$E:$Z,MATCH($A85,SPPR!$A:$A,0),16)),$C85*INDEX(SPPR!$E:$Z,MATCH($A85,SPPR!$A:$A,0),16),""),"")</f>
        <v/>
      </c>
      <c r="T85">
        <f>IFERROR(IF(ISNUMBER(INDEX(SPPR!$E:$Z,MATCH($A85,SPPR!$A:$A,0),17)),$C85*INDEX(SPPR!$E:$Z,MATCH($A85,SPPR!$A:$A,0),17),""),"")</f>
        <v/>
      </c>
      <c r="U85">
        <f>IFERROR(IF(ISNUMBER(INDEX(SPPR!$E:$Z,MATCH($A85,SPPR!$A:$A,0),18)),$C85*INDEX(SPPR!$E:$Z,MATCH($A85,SPPR!$A:$A,0),18),""),"")</f>
        <v/>
      </c>
      <c r="V85">
        <f>IFERROR(IF(ISNUMBER(INDEX(SPPR!$E:$Z,MATCH($A85,SPPR!$A:$A,0),19)),$C85*INDEX(SPPR!$E:$Z,MATCH($A85,SPPR!$A:$A,0),19),""),"")</f>
        <v/>
      </c>
      <c r="W85">
        <f>IFERROR(IF(ISNUMBER(INDEX(SPPR!$E:$Z,MATCH($A85,SPPR!$A:$A,0),20)),$C85*INDEX(SPPR!$E:$Z,MATCH($A85,SPPR!$A:$A,0),20),""),"")</f>
        <v/>
      </c>
      <c r="X85">
        <f>IFERROR(IF(ISNUMBER(INDEX(SPPR!$E:$Z,MATCH($A85,SPPR!$A:$A,0),21)),$C85*INDEX(SPPR!$E:$Z,MATCH($A85,SPPR!$A:$A,0),21),""),"")</f>
        <v/>
      </c>
      <c r="Y85">
        <f>IFERROR(IF(ISNUMBER(INDEX(SPPR!$E:$Z,MATCH($A85,SPPR!$A:$A,0),22)),$C85*INDEX(SPPR!$E:$Z,MATCH($A85,SPPR!$A:$A,0),22),""),"")</f>
        <v/>
      </c>
    </row>
    <row r="86">
      <c r="A86" t="inlineStr">
        <is>
          <t>Pampus argenteus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IFERROR(IF(ISNUMBER(INDEX(SPPR!$E:$Z,MATCH($A86,SPPR!$A:$A,0),1)),$C86*INDEX(SPPR!$E:$Z,MATCH($A86,SPPR!$A:$A,0),1),""),"")</f>
        <v/>
      </c>
      <c r="E86">
        <f>IFERROR(IF(ISNUMBER(INDEX(SPPR!$E:$Z,MATCH($A86,SPPR!$A:$A,0),2)),$C86*INDEX(SPPR!$E:$Z,MATCH($A86,SPPR!$A:$A,0),2),""),"")</f>
        <v/>
      </c>
      <c r="F86">
        <f>IFERROR(IF(ISNUMBER(INDEX(SPPR!$E:$Z,MATCH($A86,SPPR!$A:$A,0),3)),$C86*INDEX(SPPR!$E:$Z,MATCH($A86,SPPR!$A:$A,0),3),""),"")</f>
        <v/>
      </c>
      <c r="G86">
        <f>IFERROR(IF(ISNUMBER(INDEX(SPPR!$E:$Z,MATCH($A86,SPPR!$A:$A,0),4)),$C86*INDEX(SPPR!$E:$Z,MATCH($A86,SPPR!$A:$A,0),4),""),"")</f>
        <v/>
      </c>
      <c r="H86">
        <f>IFERROR(IF(ISNUMBER(INDEX(SPPR!$E:$Z,MATCH($A86,SPPR!$A:$A,0),5)),$C86*INDEX(SPPR!$E:$Z,MATCH($A86,SPPR!$A:$A,0),5),""),"")</f>
        <v/>
      </c>
      <c r="I86">
        <f>IFERROR(IF(ISNUMBER(INDEX(SPPR!$E:$Z,MATCH($A86,SPPR!$A:$A,0),6)),$C86*INDEX(SPPR!$E:$Z,MATCH($A86,SPPR!$A:$A,0),6),""),"")</f>
        <v/>
      </c>
      <c r="J86">
        <f>IFERROR(IF(ISNUMBER(INDEX(SPPR!$E:$Z,MATCH($A86,SPPR!$A:$A,0),7)),$C86*INDEX(SPPR!$E:$Z,MATCH($A86,SPPR!$A:$A,0),7),""),"")</f>
        <v/>
      </c>
      <c r="K86">
        <f>IFERROR(IF(ISNUMBER(INDEX(SPPR!$E:$Z,MATCH($A86,SPPR!$A:$A,0),8)),$C86*INDEX(SPPR!$E:$Z,MATCH($A86,SPPR!$A:$A,0),8),""),"")</f>
        <v/>
      </c>
      <c r="L86">
        <f>IFERROR(IF(ISNUMBER(INDEX(SPPR!$E:$Z,MATCH($A86,SPPR!$A:$A,0),9)),$C86*INDEX(SPPR!$E:$Z,MATCH($A86,SPPR!$A:$A,0),9),""),"")</f>
        <v/>
      </c>
      <c r="M86">
        <f>IFERROR(IF(ISNUMBER(INDEX(SPPR!$E:$Z,MATCH($A86,SPPR!$A:$A,0),10)),$C86*INDEX(SPPR!$E:$Z,MATCH($A86,SPPR!$A:$A,0),10),""),"")</f>
        <v/>
      </c>
      <c r="N86">
        <f>IFERROR(IF(ISNUMBER(INDEX(SPPR!$E:$Z,MATCH($A86,SPPR!$A:$A,0),11)),$C86*INDEX(SPPR!$E:$Z,MATCH($A86,SPPR!$A:$A,0),11),""),"")</f>
        <v/>
      </c>
      <c r="O86">
        <f>IFERROR(IF(ISNUMBER(INDEX(SPPR!$E:$Z,MATCH($A86,SPPR!$A:$A,0),12)),$C86*INDEX(SPPR!$E:$Z,MATCH($A86,SPPR!$A:$A,0),12),""),"")</f>
        <v/>
      </c>
      <c r="P86">
        <f>IFERROR(IF(ISNUMBER(INDEX(SPPR!$E:$Z,MATCH($A86,SPPR!$A:$A,0),13)),$C86*INDEX(SPPR!$E:$Z,MATCH($A86,SPPR!$A:$A,0),13),""),"")</f>
        <v/>
      </c>
      <c r="Q86">
        <f>IFERROR(IF(ISNUMBER(INDEX(SPPR!$E:$Z,MATCH($A86,SPPR!$A:$A,0),14)),$C86*INDEX(SPPR!$E:$Z,MATCH($A86,SPPR!$A:$A,0),14),""),"")</f>
        <v/>
      </c>
      <c r="R86">
        <f>IFERROR(IF(ISNUMBER(INDEX(SPPR!$E:$Z,MATCH($A86,SPPR!$A:$A,0),15)),$C86*INDEX(SPPR!$E:$Z,MATCH($A86,SPPR!$A:$A,0),15),""),"")</f>
        <v/>
      </c>
      <c r="S86">
        <f>IFERROR(IF(ISNUMBER(INDEX(SPPR!$E:$Z,MATCH($A86,SPPR!$A:$A,0),16)),$C86*INDEX(SPPR!$E:$Z,MATCH($A86,SPPR!$A:$A,0),16),""),"")</f>
        <v/>
      </c>
      <c r="T86">
        <f>IFERROR(IF(ISNUMBER(INDEX(SPPR!$E:$Z,MATCH($A86,SPPR!$A:$A,0),17)),$C86*INDEX(SPPR!$E:$Z,MATCH($A86,SPPR!$A:$A,0),17),""),"")</f>
        <v/>
      </c>
      <c r="U86">
        <f>IFERROR(IF(ISNUMBER(INDEX(SPPR!$E:$Z,MATCH($A86,SPPR!$A:$A,0),18)),$C86*INDEX(SPPR!$E:$Z,MATCH($A86,SPPR!$A:$A,0),18),""),"")</f>
        <v/>
      </c>
      <c r="V86">
        <f>IFERROR(IF(ISNUMBER(INDEX(SPPR!$E:$Z,MATCH($A86,SPPR!$A:$A,0),19)),$C86*INDEX(SPPR!$E:$Z,MATCH($A86,SPPR!$A:$A,0),19),""),"")</f>
        <v/>
      </c>
      <c r="W86">
        <f>IFERROR(IF(ISNUMBER(INDEX(SPPR!$E:$Z,MATCH($A86,SPPR!$A:$A,0),20)),$C86*INDEX(SPPR!$E:$Z,MATCH($A86,SPPR!$A:$A,0),20),""),"")</f>
        <v/>
      </c>
      <c r="X86">
        <f>IFERROR(IF(ISNUMBER(INDEX(SPPR!$E:$Z,MATCH($A86,SPPR!$A:$A,0),21)),$C86*INDEX(SPPR!$E:$Z,MATCH($A86,SPPR!$A:$A,0),21),""),"")</f>
        <v/>
      </c>
      <c r="Y86">
        <f>IFERROR(IF(ISNUMBER(INDEX(SPPR!$E:$Z,MATCH($A86,SPPR!$A:$A,0),22)),$C86*INDEX(SPPR!$E:$Z,MATCH($A86,SPPR!$A:$A,0),22),""),"")</f>
        <v/>
      </c>
    </row>
    <row r="87">
      <c r="A87" t="inlineStr">
        <is>
          <t>Spratelloides gracilis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IFERROR(IF(ISNUMBER(INDEX(SPPR!$E:$Z,MATCH($A87,SPPR!$A:$A,0),1)),$C87*INDEX(SPPR!$E:$Z,MATCH($A87,SPPR!$A:$A,0),1),""),"")</f>
        <v/>
      </c>
      <c r="E87">
        <f>IFERROR(IF(ISNUMBER(INDEX(SPPR!$E:$Z,MATCH($A87,SPPR!$A:$A,0),2)),$C87*INDEX(SPPR!$E:$Z,MATCH($A87,SPPR!$A:$A,0),2),""),"")</f>
        <v/>
      </c>
      <c r="F87">
        <f>IFERROR(IF(ISNUMBER(INDEX(SPPR!$E:$Z,MATCH($A87,SPPR!$A:$A,0),3)),$C87*INDEX(SPPR!$E:$Z,MATCH($A87,SPPR!$A:$A,0),3),""),"")</f>
        <v/>
      </c>
      <c r="G87">
        <f>IFERROR(IF(ISNUMBER(INDEX(SPPR!$E:$Z,MATCH($A87,SPPR!$A:$A,0),4)),$C87*INDEX(SPPR!$E:$Z,MATCH($A87,SPPR!$A:$A,0),4),""),"")</f>
        <v/>
      </c>
      <c r="H87">
        <f>IFERROR(IF(ISNUMBER(INDEX(SPPR!$E:$Z,MATCH($A87,SPPR!$A:$A,0),5)),$C87*INDEX(SPPR!$E:$Z,MATCH($A87,SPPR!$A:$A,0),5),""),"")</f>
        <v/>
      </c>
      <c r="I87">
        <f>IFERROR(IF(ISNUMBER(INDEX(SPPR!$E:$Z,MATCH($A87,SPPR!$A:$A,0),6)),$C87*INDEX(SPPR!$E:$Z,MATCH($A87,SPPR!$A:$A,0),6),""),"")</f>
        <v/>
      </c>
      <c r="J87">
        <f>IFERROR(IF(ISNUMBER(INDEX(SPPR!$E:$Z,MATCH($A87,SPPR!$A:$A,0),7)),$C87*INDEX(SPPR!$E:$Z,MATCH($A87,SPPR!$A:$A,0),7),""),"")</f>
        <v/>
      </c>
      <c r="K87">
        <f>IFERROR(IF(ISNUMBER(INDEX(SPPR!$E:$Z,MATCH($A87,SPPR!$A:$A,0),8)),$C87*INDEX(SPPR!$E:$Z,MATCH($A87,SPPR!$A:$A,0),8),""),"")</f>
        <v/>
      </c>
      <c r="L87">
        <f>IFERROR(IF(ISNUMBER(INDEX(SPPR!$E:$Z,MATCH($A87,SPPR!$A:$A,0),9)),$C87*INDEX(SPPR!$E:$Z,MATCH($A87,SPPR!$A:$A,0),9),""),"")</f>
        <v/>
      </c>
      <c r="M87">
        <f>IFERROR(IF(ISNUMBER(INDEX(SPPR!$E:$Z,MATCH($A87,SPPR!$A:$A,0),10)),$C87*INDEX(SPPR!$E:$Z,MATCH($A87,SPPR!$A:$A,0),10),""),"")</f>
        <v/>
      </c>
      <c r="N87">
        <f>IFERROR(IF(ISNUMBER(INDEX(SPPR!$E:$Z,MATCH($A87,SPPR!$A:$A,0),11)),$C87*INDEX(SPPR!$E:$Z,MATCH($A87,SPPR!$A:$A,0),11),""),"")</f>
        <v/>
      </c>
      <c r="O87">
        <f>IFERROR(IF(ISNUMBER(INDEX(SPPR!$E:$Z,MATCH($A87,SPPR!$A:$A,0),12)),$C87*INDEX(SPPR!$E:$Z,MATCH($A87,SPPR!$A:$A,0),12),""),"")</f>
        <v/>
      </c>
      <c r="P87">
        <f>IFERROR(IF(ISNUMBER(INDEX(SPPR!$E:$Z,MATCH($A87,SPPR!$A:$A,0),13)),$C87*INDEX(SPPR!$E:$Z,MATCH($A87,SPPR!$A:$A,0),13),""),"")</f>
        <v/>
      </c>
      <c r="Q87">
        <f>IFERROR(IF(ISNUMBER(INDEX(SPPR!$E:$Z,MATCH($A87,SPPR!$A:$A,0),14)),$C87*INDEX(SPPR!$E:$Z,MATCH($A87,SPPR!$A:$A,0),14),""),"")</f>
        <v/>
      </c>
      <c r="R87">
        <f>IFERROR(IF(ISNUMBER(INDEX(SPPR!$E:$Z,MATCH($A87,SPPR!$A:$A,0),15)),$C87*INDEX(SPPR!$E:$Z,MATCH($A87,SPPR!$A:$A,0),15),""),"")</f>
        <v/>
      </c>
      <c r="S87">
        <f>IFERROR(IF(ISNUMBER(INDEX(SPPR!$E:$Z,MATCH($A87,SPPR!$A:$A,0),16)),$C87*INDEX(SPPR!$E:$Z,MATCH($A87,SPPR!$A:$A,0),16),""),"")</f>
        <v/>
      </c>
      <c r="T87">
        <f>IFERROR(IF(ISNUMBER(INDEX(SPPR!$E:$Z,MATCH($A87,SPPR!$A:$A,0),17)),$C87*INDEX(SPPR!$E:$Z,MATCH($A87,SPPR!$A:$A,0),17),""),"")</f>
        <v/>
      </c>
      <c r="U87">
        <f>IFERROR(IF(ISNUMBER(INDEX(SPPR!$E:$Z,MATCH($A87,SPPR!$A:$A,0),18)),$C87*INDEX(SPPR!$E:$Z,MATCH($A87,SPPR!$A:$A,0),18),""),"")</f>
        <v/>
      </c>
      <c r="V87">
        <f>IFERROR(IF(ISNUMBER(INDEX(SPPR!$E:$Z,MATCH($A87,SPPR!$A:$A,0),19)),$C87*INDEX(SPPR!$E:$Z,MATCH($A87,SPPR!$A:$A,0),19),""),"")</f>
        <v/>
      </c>
      <c r="W87">
        <f>IFERROR(IF(ISNUMBER(INDEX(SPPR!$E:$Z,MATCH($A87,SPPR!$A:$A,0),20)),$C87*INDEX(SPPR!$E:$Z,MATCH($A87,SPPR!$A:$A,0),20),""),"")</f>
        <v/>
      </c>
      <c r="X87">
        <f>IFERROR(IF(ISNUMBER(INDEX(SPPR!$E:$Z,MATCH($A87,SPPR!$A:$A,0),21)),$C87*INDEX(SPPR!$E:$Z,MATCH($A87,SPPR!$A:$A,0),21),""),"")</f>
        <v/>
      </c>
      <c r="Y87">
        <f>IFERROR(IF(ISNUMBER(INDEX(SPPR!$E:$Z,MATCH($A87,SPPR!$A:$A,0),22)),$C87*INDEX(SPPR!$E:$Z,MATCH($A87,SPPR!$A:$A,0),22),""),"")</f>
        <v/>
      </c>
    </row>
    <row r="88">
      <c r="A88" t="inlineStr">
        <is>
          <t>Bivalvia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IFERROR(IF(ISNUMBER(INDEX(SPPR!$E:$Z,MATCH($A88,SPPR!$A:$A,0),1)),$C88*INDEX(SPPR!$E:$Z,MATCH($A88,SPPR!$A:$A,0),1),""),"")</f>
        <v/>
      </c>
      <c r="E88">
        <f>IFERROR(IF(ISNUMBER(INDEX(SPPR!$E:$Z,MATCH($A88,SPPR!$A:$A,0),2)),$C88*INDEX(SPPR!$E:$Z,MATCH($A88,SPPR!$A:$A,0),2),""),"")</f>
        <v/>
      </c>
      <c r="F88">
        <f>IFERROR(IF(ISNUMBER(INDEX(SPPR!$E:$Z,MATCH($A88,SPPR!$A:$A,0),3)),$C88*INDEX(SPPR!$E:$Z,MATCH($A88,SPPR!$A:$A,0),3),""),"")</f>
        <v/>
      </c>
      <c r="G88">
        <f>IFERROR(IF(ISNUMBER(INDEX(SPPR!$E:$Z,MATCH($A88,SPPR!$A:$A,0),4)),$C88*INDEX(SPPR!$E:$Z,MATCH($A88,SPPR!$A:$A,0),4),""),"")</f>
        <v/>
      </c>
      <c r="H88">
        <f>IFERROR(IF(ISNUMBER(INDEX(SPPR!$E:$Z,MATCH($A88,SPPR!$A:$A,0),5)),$C88*INDEX(SPPR!$E:$Z,MATCH($A88,SPPR!$A:$A,0),5),""),"")</f>
        <v/>
      </c>
      <c r="I88">
        <f>IFERROR(IF(ISNUMBER(INDEX(SPPR!$E:$Z,MATCH($A88,SPPR!$A:$A,0),6)),$C88*INDEX(SPPR!$E:$Z,MATCH($A88,SPPR!$A:$A,0),6),""),"")</f>
        <v/>
      </c>
      <c r="J88">
        <f>IFERROR(IF(ISNUMBER(INDEX(SPPR!$E:$Z,MATCH($A88,SPPR!$A:$A,0),7)),$C88*INDEX(SPPR!$E:$Z,MATCH($A88,SPPR!$A:$A,0),7),""),"")</f>
        <v/>
      </c>
      <c r="K88">
        <f>IFERROR(IF(ISNUMBER(INDEX(SPPR!$E:$Z,MATCH($A88,SPPR!$A:$A,0),8)),$C88*INDEX(SPPR!$E:$Z,MATCH($A88,SPPR!$A:$A,0),8),""),"")</f>
        <v/>
      </c>
      <c r="L88">
        <f>IFERROR(IF(ISNUMBER(INDEX(SPPR!$E:$Z,MATCH($A88,SPPR!$A:$A,0),9)),$C88*INDEX(SPPR!$E:$Z,MATCH($A88,SPPR!$A:$A,0),9),""),"")</f>
        <v/>
      </c>
      <c r="M88">
        <f>IFERROR(IF(ISNUMBER(INDEX(SPPR!$E:$Z,MATCH($A88,SPPR!$A:$A,0),10)),$C88*INDEX(SPPR!$E:$Z,MATCH($A88,SPPR!$A:$A,0),10),""),"")</f>
        <v/>
      </c>
      <c r="N88">
        <f>IFERROR(IF(ISNUMBER(INDEX(SPPR!$E:$Z,MATCH($A88,SPPR!$A:$A,0),11)),$C88*INDEX(SPPR!$E:$Z,MATCH($A88,SPPR!$A:$A,0),11),""),"")</f>
        <v/>
      </c>
      <c r="O88">
        <f>IFERROR(IF(ISNUMBER(INDEX(SPPR!$E:$Z,MATCH($A88,SPPR!$A:$A,0),12)),$C88*INDEX(SPPR!$E:$Z,MATCH($A88,SPPR!$A:$A,0),12),""),"")</f>
        <v/>
      </c>
      <c r="P88">
        <f>IFERROR(IF(ISNUMBER(INDEX(SPPR!$E:$Z,MATCH($A88,SPPR!$A:$A,0),13)),$C88*INDEX(SPPR!$E:$Z,MATCH($A88,SPPR!$A:$A,0),13),""),"")</f>
        <v/>
      </c>
      <c r="Q88">
        <f>IFERROR(IF(ISNUMBER(INDEX(SPPR!$E:$Z,MATCH($A88,SPPR!$A:$A,0),14)),$C88*INDEX(SPPR!$E:$Z,MATCH($A88,SPPR!$A:$A,0),14),""),"")</f>
        <v/>
      </c>
      <c r="R88">
        <f>IFERROR(IF(ISNUMBER(INDEX(SPPR!$E:$Z,MATCH($A88,SPPR!$A:$A,0),15)),$C88*INDEX(SPPR!$E:$Z,MATCH($A88,SPPR!$A:$A,0),15),""),"")</f>
        <v/>
      </c>
      <c r="S88">
        <f>IFERROR(IF(ISNUMBER(INDEX(SPPR!$E:$Z,MATCH($A88,SPPR!$A:$A,0),16)),$C88*INDEX(SPPR!$E:$Z,MATCH($A88,SPPR!$A:$A,0),16),""),"")</f>
        <v/>
      </c>
      <c r="T88">
        <f>IFERROR(IF(ISNUMBER(INDEX(SPPR!$E:$Z,MATCH($A88,SPPR!$A:$A,0),17)),$C88*INDEX(SPPR!$E:$Z,MATCH($A88,SPPR!$A:$A,0),17),""),"")</f>
        <v/>
      </c>
      <c r="U88">
        <f>IFERROR(IF(ISNUMBER(INDEX(SPPR!$E:$Z,MATCH($A88,SPPR!$A:$A,0),18)),$C88*INDEX(SPPR!$E:$Z,MATCH($A88,SPPR!$A:$A,0),18),""),"")</f>
        <v/>
      </c>
      <c r="V88">
        <f>IFERROR(IF(ISNUMBER(INDEX(SPPR!$E:$Z,MATCH($A88,SPPR!$A:$A,0),19)),$C88*INDEX(SPPR!$E:$Z,MATCH($A88,SPPR!$A:$A,0),19),""),"")</f>
        <v/>
      </c>
      <c r="W88">
        <f>IFERROR(IF(ISNUMBER(INDEX(SPPR!$E:$Z,MATCH($A88,SPPR!$A:$A,0),20)),$C88*INDEX(SPPR!$E:$Z,MATCH($A88,SPPR!$A:$A,0),20),""),"")</f>
        <v/>
      </c>
      <c r="X88">
        <f>IFERROR(IF(ISNUMBER(INDEX(SPPR!$E:$Z,MATCH($A88,SPPR!$A:$A,0),21)),$C88*INDEX(SPPR!$E:$Z,MATCH($A88,SPPR!$A:$A,0),21),""),"")</f>
        <v/>
      </c>
      <c r="Y88">
        <f>IFERROR(IF(ISNUMBER(INDEX(SPPR!$E:$Z,MATCH($A88,SPPR!$A:$A,0),22)),$C88*INDEX(SPPR!$E:$Z,MATCH($A88,SPPR!$A:$A,0),22),""),"")</f>
        <v/>
      </c>
    </row>
    <row r="89">
      <c r="A89" t="inlineStr">
        <is>
          <t>Dussumieria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IFERROR(IF(ISNUMBER(INDEX(SPPR!$E:$Z,MATCH($A89,SPPR!$A:$A,0),1)),$C89*INDEX(SPPR!$E:$Z,MATCH($A89,SPPR!$A:$A,0),1),""),"")</f>
        <v/>
      </c>
      <c r="E89">
        <f>IFERROR(IF(ISNUMBER(INDEX(SPPR!$E:$Z,MATCH($A89,SPPR!$A:$A,0),2)),$C89*INDEX(SPPR!$E:$Z,MATCH($A89,SPPR!$A:$A,0),2),""),"")</f>
        <v/>
      </c>
      <c r="F89">
        <f>IFERROR(IF(ISNUMBER(INDEX(SPPR!$E:$Z,MATCH($A89,SPPR!$A:$A,0),3)),$C89*INDEX(SPPR!$E:$Z,MATCH($A89,SPPR!$A:$A,0),3),""),"")</f>
        <v/>
      </c>
      <c r="G89">
        <f>IFERROR(IF(ISNUMBER(INDEX(SPPR!$E:$Z,MATCH($A89,SPPR!$A:$A,0),4)),$C89*INDEX(SPPR!$E:$Z,MATCH($A89,SPPR!$A:$A,0),4),""),"")</f>
        <v/>
      </c>
      <c r="H89">
        <f>IFERROR(IF(ISNUMBER(INDEX(SPPR!$E:$Z,MATCH($A89,SPPR!$A:$A,0),5)),$C89*INDEX(SPPR!$E:$Z,MATCH($A89,SPPR!$A:$A,0),5),""),"")</f>
        <v/>
      </c>
      <c r="I89">
        <f>IFERROR(IF(ISNUMBER(INDEX(SPPR!$E:$Z,MATCH($A89,SPPR!$A:$A,0),6)),$C89*INDEX(SPPR!$E:$Z,MATCH($A89,SPPR!$A:$A,0),6),""),"")</f>
        <v/>
      </c>
      <c r="J89">
        <f>IFERROR(IF(ISNUMBER(INDEX(SPPR!$E:$Z,MATCH($A89,SPPR!$A:$A,0),7)),$C89*INDEX(SPPR!$E:$Z,MATCH($A89,SPPR!$A:$A,0),7),""),"")</f>
        <v/>
      </c>
      <c r="K89">
        <f>IFERROR(IF(ISNUMBER(INDEX(SPPR!$E:$Z,MATCH($A89,SPPR!$A:$A,0),8)),$C89*INDEX(SPPR!$E:$Z,MATCH($A89,SPPR!$A:$A,0),8),""),"")</f>
        <v/>
      </c>
      <c r="L89">
        <f>IFERROR(IF(ISNUMBER(INDEX(SPPR!$E:$Z,MATCH($A89,SPPR!$A:$A,0),9)),$C89*INDEX(SPPR!$E:$Z,MATCH($A89,SPPR!$A:$A,0),9),""),"")</f>
        <v/>
      </c>
      <c r="M89">
        <f>IFERROR(IF(ISNUMBER(INDEX(SPPR!$E:$Z,MATCH($A89,SPPR!$A:$A,0),10)),$C89*INDEX(SPPR!$E:$Z,MATCH($A89,SPPR!$A:$A,0),10),""),"")</f>
        <v/>
      </c>
      <c r="N89">
        <f>IFERROR(IF(ISNUMBER(INDEX(SPPR!$E:$Z,MATCH($A89,SPPR!$A:$A,0),11)),$C89*INDEX(SPPR!$E:$Z,MATCH($A89,SPPR!$A:$A,0),11),""),"")</f>
        <v/>
      </c>
      <c r="O89">
        <f>IFERROR(IF(ISNUMBER(INDEX(SPPR!$E:$Z,MATCH($A89,SPPR!$A:$A,0),12)),$C89*INDEX(SPPR!$E:$Z,MATCH($A89,SPPR!$A:$A,0),12),""),"")</f>
        <v/>
      </c>
      <c r="P89">
        <f>IFERROR(IF(ISNUMBER(INDEX(SPPR!$E:$Z,MATCH($A89,SPPR!$A:$A,0),13)),$C89*INDEX(SPPR!$E:$Z,MATCH($A89,SPPR!$A:$A,0),13),""),"")</f>
        <v/>
      </c>
      <c r="Q89">
        <f>IFERROR(IF(ISNUMBER(INDEX(SPPR!$E:$Z,MATCH($A89,SPPR!$A:$A,0),14)),$C89*INDEX(SPPR!$E:$Z,MATCH($A89,SPPR!$A:$A,0),14),""),"")</f>
        <v/>
      </c>
      <c r="R89">
        <f>IFERROR(IF(ISNUMBER(INDEX(SPPR!$E:$Z,MATCH($A89,SPPR!$A:$A,0),15)),$C89*INDEX(SPPR!$E:$Z,MATCH($A89,SPPR!$A:$A,0),15),""),"")</f>
        <v/>
      </c>
      <c r="S89">
        <f>IFERROR(IF(ISNUMBER(INDEX(SPPR!$E:$Z,MATCH($A89,SPPR!$A:$A,0),16)),$C89*INDEX(SPPR!$E:$Z,MATCH($A89,SPPR!$A:$A,0),16),""),"")</f>
        <v/>
      </c>
      <c r="T89">
        <f>IFERROR(IF(ISNUMBER(INDEX(SPPR!$E:$Z,MATCH($A89,SPPR!$A:$A,0),17)),$C89*INDEX(SPPR!$E:$Z,MATCH($A89,SPPR!$A:$A,0),17),""),"")</f>
        <v/>
      </c>
      <c r="U89">
        <f>IFERROR(IF(ISNUMBER(INDEX(SPPR!$E:$Z,MATCH($A89,SPPR!$A:$A,0),18)),$C89*INDEX(SPPR!$E:$Z,MATCH($A89,SPPR!$A:$A,0),18),""),"")</f>
        <v/>
      </c>
      <c r="V89">
        <f>IFERROR(IF(ISNUMBER(INDEX(SPPR!$E:$Z,MATCH($A89,SPPR!$A:$A,0),19)),$C89*INDEX(SPPR!$E:$Z,MATCH($A89,SPPR!$A:$A,0),19),""),"")</f>
        <v/>
      </c>
      <c r="W89">
        <f>IFERROR(IF(ISNUMBER(INDEX(SPPR!$E:$Z,MATCH($A89,SPPR!$A:$A,0),20)),$C89*INDEX(SPPR!$E:$Z,MATCH($A89,SPPR!$A:$A,0),20),""),"")</f>
        <v/>
      </c>
      <c r="X89">
        <f>IFERROR(IF(ISNUMBER(INDEX(SPPR!$E:$Z,MATCH($A89,SPPR!$A:$A,0),21)),$C89*INDEX(SPPR!$E:$Z,MATCH($A89,SPPR!$A:$A,0),21),""),"")</f>
        <v/>
      </c>
      <c r="Y89">
        <f>IFERROR(IF(ISNUMBER(INDEX(SPPR!$E:$Z,MATCH($A89,SPPR!$A:$A,0),22)),$C89*INDEX(SPPR!$E:$Z,MATCH($A89,SPPR!$A:$A,0),22),""),"")</f>
        <v/>
      </c>
    </row>
    <row r="90">
      <c r="A90" t="inlineStr">
        <is>
          <t>Carcharhinus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IFERROR(IF(ISNUMBER(INDEX(SPPR!$E:$Z,MATCH($A90,SPPR!$A:$A,0),1)),$C90*INDEX(SPPR!$E:$Z,MATCH($A90,SPPR!$A:$A,0),1),""),"")</f>
        <v/>
      </c>
      <c r="E90">
        <f>IFERROR(IF(ISNUMBER(INDEX(SPPR!$E:$Z,MATCH($A90,SPPR!$A:$A,0),2)),$C90*INDEX(SPPR!$E:$Z,MATCH($A90,SPPR!$A:$A,0),2),""),"")</f>
        <v/>
      </c>
      <c r="F90">
        <f>IFERROR(IF(ISNUMBER(INDEX(SPPR!$E:$Z,MATCH($A90,SPPR!$A:$A,0),3)),$C90*INDEX(SPPR!$E:$Z,MATCH($A90,SPPR!$A:$A,0),3),""),"")</f>
        <v/>
      </c>
      <c r="G90">
        <f>IFERROR(IF(ISNUMBER(INDEX(SPPR!$E:$Z,MATCH($A90,SPPR!$A:$A,0),4)),$C90*INDEX(SPPR!$E:$Z,MATCH($A90,SPPR!$A:$A,0),4),""),"")</f>
        <v/>
      </c>
      <c r="H90">
        <f>IFERROR(IF(ISNUMBER(INDEX(SPPR!$E:$Z,MATCH($A90,SPPR!$A:$A,0),5)),$C90*INDEX(SPPR!$E:$Z,MATCH($A90,SPPR!$A:$A,0),5),""),"")</f>
        <v/>
      </c>
      <c r="I90">
        <f>IFERROR(IF(ISNUMBER(INDEX(SPPR!$E:$Z,MATCH($A90,SPPR!$A:$A,0),6)),$C90*INDEX(SPPR!$E:$Z,MATCH($A90,SPPR!$A:$A,0),6),""),"")</f>
        <v/>
      </c>
      <c r="J90">
        <f>IFERROR(IF(ISNUMBER(INDEX(SPPR!$E:$Z,MATCH($A90,SPPR!$A:$A,0),7)),$C90*INDEX(SPPR!$E:$Z,MATCH($A90,SPPR!$A:$A,0),7),""),"")</f>
        <v/>
      </c>
      <c r="K90">
        <f>IFERROR(IF(ISNUMBER(INDEX(SPPR!$E:$Z,MATCH($A90,SPPR!$A:$A,0),8)),$C90*INDEX(SPPR!$E:$Z,MATCH($A90,SPPR!$A:$A,0),8),""),"")</f>
        <v/>
      </c>
      <c r="L90">
        <f>IFERROR(IF(ISNUMBER(INDEX(SPPR!$E:$Z,MATCH($A90,SPPR!$A:$A,0),9)),$C90*INDEX(SPPR!$E:$Z,MATCH($A90,SPPR!$A:$A,0),9),""),"")</f>
        <v/>
      </c>
      <c r="M90">
        <f>IFERROR(IF(ISNUMBER(INDEX(SPPR!$E:$Z,MATCH($A90,SPPR!$A:$A,0),10)),$C90*INDEX(SPPR!$E:$Z,MATCH($A90,SPPR!$A:$A,0),10),""),"")</f>
        <v/>
      </c>
      <c r="N90">
        <f>IFERROR(IF(ISNUMBER(INDEX(SPPR!$E:$Z,MATCH($A90,SPPR!$A:$A,0),11)),$C90*INDEX(SPPR!$E:$Z,MATCH($A90,SPPR!$A:$A,0),11),""),"")</f>
        <v/>
      </c>
      <c r="O90">
        <f>IFERROR(IF(ISNUMBER(INDEX(SPPR!$E:$Z,MATCH($A90,SPPR!$A:$A,0),12)),$C90*INDEX(SPPR!$E:$Z,MATCH($A90,SPPR!$A:$A,0),12),""),"")</f>
        <v/>
      </c>
      <c r="P90">
        <f>IFERROR(IF(ISNUMBER(INDEX(SPPR!$E:$Z,MATCH($A90,SPPR!$A:$A,0),13)),$C90*INDEX(SPPR!$E:$Z,MATCH($A90,SPPR!$A:$A,0),13),""),"")</f>
        <v/>
      </c>
      <c r="Q90">
        <f>IFERROR(IF(ISNUMBER(INDEX(SPPR!$E:$Z,MATCH($A90,SPPR!$A:$A,0),14)),$C90*INDEX(SPPR!$E:$Z,MATCH($A90,SPPR!$A:$A,0),14),""),"")</f>
        <v/>
      </c>
      <c r="R90">
        <f>IFERROR(IF(ISNUMBER(INDEX(SPPR!$E:$Z,MATCH($A90,SPPR!$A:$A,0),15)),$C90*INDEX(SPPR!$E:$Z,MATCH($A90,SPPR!$A:$A,0),15),""),"")</f>
        <v/>
      </c>
      <c r="S90">
        <f>IFERROR(IF(ISNUMBER(INDEX(SPPR!$E:$Z,MATCH($A90,SPPR!$A:$A,0),16)),$C90*INDEX(SPPR!$E:$Z,MATCH($A90,SPPR!$A:$A,0),16),""),"")</f>
        <v/>
      </c>
      <c r="T90">
        <f>IFERROR(IF(ISNUMBER(INDEX(SPPR!$E:$Z,MATCH($A90,SPPR!$A:$A,0),17)),$C90*INDEX(SPPR!$E:$Z,MATCH($A90,SPPR!$A:$A,0),17),""),"")</f>
        <v/>
      </c>
      <c r="U90">
        <f>IFERROR(IF(ISNUMBER(INDEX(SPPR!$E:$Z,MATCH($A90,SPPR!$A:$A,0),18)),$C90*INDEX(SPPR!$E:$Z,MATCH($A90,SPPR!$A:$A,0),18),""),"")</f>
        <v/>
      </c>
      <c r="V90">
        <f>IFERROR(IF(ISNUMBER(INDEX(SPPR!$E:$Z,MATCH($A90,SPPR!$A:$A,0),19)),$C90*INDEX(SPPR!$E:$Z,MATCH($A90,SPPR!$A:$A,0),19),""),"")</f>
        <v/>
      </c>
      <c r="W90">
        <f>IFERROR(IF(ISNUMBER(INDEX(SPPR!$E:$Z,MATCH($A90,SPPR!$A:$A,0),20)),$C90*INDEX(SPPR!$E:$Z,MATCH($A90,SPPR!$A:$A,0),20),""),"")</f>
        <v/>
      </c>
      <c r="X90">
        <f>IFERROR(IF(ISNUMBER(INDEX(SPPR!$E:$Z,MATCH($A90,SPPR!$A:$A,0),21)),$C90*INDEX(SPPR!$E:$Z,MATCH($A90,SPPR!$A:$A,0),21),""),"")</f>
        <v/>
      </c>
      <c r="Y90">
        <f>IFERROR(IF(ISNUMBER(INDEX(SPPR!$E:$Z,MATCH($A90,SPPR!$A:$A,0),22)),$C90*INDEX(SPPR!$E:$Z,MATCH($A90,SPPR!$A:$A,0),22),""),"")</f>
        <v/>
      </c>
    </row>
    <row r="91">
      <c r="A91" t="inlineStr">
        <is>
          <t>Lutjanus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IFERROR(IF(ISNUMBER(INDEX(SPPR!$E:$Z,MATCH($A91,SPPR!$A:$A,0),1)),$C91*INDEX(SPPR!$E:$Z,MATCH($A91,SPPR!$A:$A,0),1),""),"")</f>
        <v/>
      </c>
      <c r="E91">
        <f>IFERROR(IF(ISNUMBER(INDEX(SPPR!$E:$Z,MATCH($A91,SPPR!$A:$A,0),2)),$C91*INDEX(SPPR!$E:$Z,MATCH($A91,SPPR!$A:$A,0),2),""),"")</f>
        <v/>
      </c>
      <c r="F91">
        <f>IFERROR(IF(ISNUMBER(INDEX(SPPR!$E:$Z,MATCH($A91,SPPR!$A:$A,0),3)),$C91*INDEX(SPPR!$E:$Z,MATCH($A91,SPPR!$A:$A,0),3),""),"")</f>
        <v/>
      </c>
      <c r="G91">
        <f>IFERROR(IF(ISNUMBER(INDEX(SPPR!$E:$Z,MATCH($A91,SPPR!$A:$A,0),4)),$C91*INDEX(SPPR!$E:$Z,MATCH($A91,SPPR!$A:$A,0),4),""),"")</f>
        <v/>
      </c>
      <c r="H91">
        <f>IFERROR(IF(ISNUMBER(INDEX(SPPR!$E:$Z,MATCH($A91,SPPR!$A:$A,0),5)),$C91*INDEX(SPPR!$E:$Z,MATCH($A91,SPPR!$A:$A,0),5),""),"")</f>
        <v/>
      </c>
      <c r="I91">
        <f>IFERROR(IF(ISNUMBER(INDEX(SPPR!$E:$Z,MATCH($A91,SPPR!$A:$A,0),6)),$C91*INDEX(SPPR!$E:$Z,MATCH($A91,SPPR!$A:$A,0),6),""),"")</f>
        <v/>
      </c>
      <c r="J91">
        <f>IFERROR(IF(ISNUMBER(INDEX(SPPR!$E:$Z,MATCH($A91,SPPR!$A:$A,0),7)),$C91*INDEX(SPPR!$E:$Z,MATCH($A91,SPPR!$A:$A,0),7),""),"")</f>
        <v/>
      </c>
      <c r="K91">
        <f>IFERROR(IF(ISNUMBER(INDEX(SPPR!$E:$Z,MATCH($A91,SPPR!$A:$A,0),8)),$C91*INDEX(SPPR!$E:$Z,MATCH($A91,SPPR!$A:$A,0),8),""),"")</f>
        <v/>
      </c>
      <c r="L91">
        <f>IFERROR(IF(ISNUMBER(INDEX(SPPR!$E:$Z,MATCH($A91,SPPR!$A:$A,0),9)),$C91*INDEX(SPPR!$E:$Z,MATCH($A91,SPPR!$A:$A,0),9),""),"")</f>
        <v/>
      </c>
      <c r="M91">
        <f>IFERROR(IF(ISNUMBER(INDEX(SPPR!$E:$Z,MATCH($A91,SPPR!$A:$A,0),10)),$C91*INDEX(SPPR!$E:$Z,MATCH($A91,SPPR!$A:$A,0),10),""),"")</f>
        <v/>
      </c>
      <c r="N91">
        <f>IFERROR(IF(ISNUMBER(INDEX(SPPR!$E:$Z,MATCH($A91,SPPR!$A:$A,0),11)),$C91*INDEX(SPPR!$E:$Z,MATCH($A91,SPPR!$A:$A,0),11),""),"")</f>
        <v/>
      </c>
      <c r="O91">
        <f>IFERROR(IF(ISNUMBER(INDEX(SPPR!$E:$Z,MATCH($A91,SPPR!$A:$A,0),12)),$C91*INDEX(SPPR!$E:$Z,MATCH($A91,SPPR!$A:$A,0),12),""),"")</f>
        <v/>
      </c>
      <c r="P91">
        <f>IFERROR(IF(ISNUMBER(INDEX(SPPR!$E:$Z,MATCH($A91,SPPR!$A:$A,0),13)),$C91*INDEX(SPPR!$E:$Z,MATCH($A91,SPPR!$A:$A,0),13),""),"")</f>
        <v/>
      </c>
      <c r="Q91">
        <f>IFERROR(IF(ISNUMBER(INDEX(SPPR!$E:$Z,MATCH($A91,SPPR!$A:$A,0),14)),$C91*INDEX(SPPR!$E:$Z,MATCH($A91,SPPR!$A:$A,0),14),""),"")</f>
        <v/>
      </c>
      <c r="R91">
        <f>IFERROR(IF(ISNUMBER(INDEX(SPPR!$E:$Z,MATCH($A91,SPPR!$A:$A,0),15)),$C91*INDEX(SPPR!$E:$Z,MATCH($A91,SPPR!$A:$A,0),15),""),"")</f>
        <v/>
      </c>
      <c r="S91">
        <f>IFERROR(IF(ISNUMBER(INDEX(SPPR!$E:$Z,MATCH($A91,SPPR!$A:$A,0),16)),$C91*INDEX(SPPR!$E:$Z,MATCH($A91,SPPR!$A:$A,0),16),""),"")</f>
        <v/>
      </c>
      <c r="T91">
        <f>IFERROR(IF(ISNUMBER(INDEX(SPPR!$E:$Z,MATCH($A91,SPPR!$A:$A,0),17)),$C91*INDEX(SPPR!$E:$Z,MATCH($A91,SPPR!$A:$A,0),17),""),"")</f>
        <v/>
      </c>
      <c r="U91">
        <f>IFERROR(IF(ISNUMBER(INDEX(SPPR!$E:$Z,MATCH($A91,SPPR!$A:$A,0),18)),$C91*INDEX(SPPR!$E:$Z,MATCH($A91,SPPR!$A:$A,0),18),""),"")</f>
        <v/>
      </c>
      <c r="V91">
        <f>IFERROR(IF(ISNUMBER(INDEX(SPPR!$E:$Z,MATCH($A91,SPPR!$A:$A,0),19)),$C91*INDEX(SPPR!$E:$Z,MATCH($A91,SPPR!$A:$A,0),19),""),"")</f>
        <v/>
      </c>
      <c r="W91">
        <f>IFERROR(IF(ISNUMBER(INDEX(SPPR!$E:$Z,MATCH($A91,SPPR!$A:$A,0),20)),$C91*INDEX(SPPR!$E:$Z,MATCH($A91,SPPR!$A:$A,0),20),""),"")</f>
        <v/>
      </c>
      <c r="X91">
        <f>IFERROR(IF(ISNUMBER(INDEX(SPPR!$E:$Z,MATCH($A91,SPPR!$A:$A,0),21)),$C91*INDEX(SPPR!$E:$Z,MATCH($A91,SPPR!$A:$A,0),21),""),"")</f>
        <v/>
      </c>
      <c r="Y91">
        <f>IFERROR(IF(ISNUMBER(INDEX(SPPR!$E:$Z,MATCH($A91,SPPR!$A:$A,0),22)),$C91*INDEX(SPPR!$E:$Z,MATCH($A91,SPPR!$A:$A,0),22),""),"")</f>
        <v/>
      </c>
    </row>
    <row r="92">
      <c r="A92" t="inlineStr">
        <is>
          <t>Penaeus merguiensis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IFERROR(IF(ISNUMBER(INDEX(SPPR!$E:$Z,MATCH($A92,SPPR!$A:$A,0),1)),$C92*INDEX(SPPR!$E:$Z,MATCH($A92,SPPR!$A:$A,0),1),""),"")</f>
        <v/>
      </c>
      <c r="E92">
        <f>IFERROR(IF(ISNUMBER(INDEX(SPPR!$E:$Z,MATCH($A92,SPPR!$A:$A,0),2)),$C92*INDEX(SPPR!$E:$Z,MATCH($A92,SPPR!$A:$A,0),2),""),"")</f>
        <v/>
      </c>
      <c r="F92">
        <f>IFERROR(IF(ISNUMBER(INDEX(SPPR!$E:$Z,MATCH($A92,SPPR!$A:$A,0),3)),$C92*INDEX(SPPR!$E:$Z,MATCH($A92,SPPR!$A:$A,0),3),""),"")</f>
        <v/>
      </c>
      <c r="G92">
        <f>IFERROR(IF(ISNUMBER(INDEX(SPPR!$E:$Z,MATCH($A92,SPPR!$A:$A,0),4)),$C92*INDEX(SPPR!$E:$Z,MATCH($A92,SPPR!$A:$A,0),4),""),"")</f>
        <v/>
      </c>
      <c r="H92">
        <f>IFERROR(IF(ISNUMBER(INDEX(SPPR!$E:$Z,MATCH($A92,SPPR!$A:$A,0),5)),$C92*INDEX(SPPR!$E:$Z,MATCH($A92,SPPR!$A:$A,0),5),""),"")</f>
        <v/>
      </c>
      <c r="I92">
        <f>IFERROR(IF(ISNUMBER(INDEX(SPPR!$E:$Z,MATCH($A92,SPPR!$A:$A,0),6)),$C92*INDEX(SPPR!$E:$Z,MATCH($A92,SPPR!$A:$A,0),6),""),"")</f>
        <v/>
      </c>
      <c r="J92">
        <f>IFERROR(IF(ISNUMBER(INDEX(SPPR!$E:$Z,MATCH($A92,SPPR!$A:$A,0),7)),$C92*INDEX(SPPR!$E:$Z,MATCH($A92,SPPR!$A:$A,0),7),""),"")</f>
        <v/>
      </c>
      <c r="K92">
        <f>IFERROR(IF(ISNUMBER(INDEX(SPPR!$E:$Z,MATCH($A92,SPPR!$A:$A,0),8)),$C92*INDEX(SPPR!$E:$Z,MATCH($A92,SPPR!$A:$A,0),8),""),"")</f>
        <v/>
      </c>
      <c r="L92">
        <f>IFERROR(IF(ISNUMBER(INDEX(SPPR!$E:$Z,MATCH($A92,SPPR!$A:$A,0),9)),$C92*INDEX(SPPR!$E:$Z,MATCH($A92,SPPR!$A:$A,0),9),""),"")</f>
        <v/>
      </c>
      <c r="M92">
        <f>IFERROR(IF(ISNUMBER(INDEX(SPPR!$E:$Z,MATCH($A92,SPPR!$A:$A,0),10)),$C92*INDEX(SPPR!$E:$Z,MATCH($A92,SPPR!$A:$A,0),10),""),"")</f>
        <v/>
      </c>
      <c r="N92">
        <f>IFERROR(IF(ISNUMBER(INDEX(SPPR!$E:$Z,MATCH($A92,SPPR!$A:$A,0),11)),$C92*INDEX(SPPR!$E:$Z,MATCH($A92,SPPR!$A:$A,0),11),""),"")</f>
        <v/>
      </c>
      <c r="O92">
        <f>IFERROR(IF(ISNUMBER(INDEX(SPPR!$E:$Z,MATCH($A92,SPPR!$A:$A,0),12)),$C92*INDEX(SPPR!$E:$Z,MATCH($A92,SPPR!$A:$A,0),12),""),"")</f>
        <v/>
      </c>
      <c r="P92">
        <f>IFERROR(IF(ISNUMBER(INDEX(SPPR!$E:$Z,MATCH($A92,SPPR!$A:$A,0),13)),$C92*INDEX(SPPR!$E:$Z,MATCH($A92,SPPR!$A:$A,0),13),""),"")</f>
        <v/>
      </c>
      <c r="Q92">
        <f>IFERROR(IF(ISNUMBER(INDEX(SPPR!$E:$Z,MATCH($A92,SPPR!$A:$A,0),14)),$C92*INDEX(SPPR!$E:$Z,MATCH($A92,SPPR!$A:$A,0),14),""),"")</f>
        <v/>
      </c>
      <c r="R92">
        <f>IFERROR(IF(ISNUMBER(INDEX(SPPR!$E:$Z,MATCH($A92,SPPR!$A:$A,0),15)),$C92*INDEX(SPPR!$E:$Z,MATCH($A92,SPPR!$A:$A,0),15),""),"")</f>
        <v/>
      </c>
      <c r="S92">
        <f>IFERROR(IF(ISNUMBER(INDEX(SPPR!$E:$Z,MATCH($A92,SPPR!$A:$A,0),16)),$C92*INDEX(SPPR!$E:$Z,MATCH($A92,SPPR!$A:$A,0),16),""),"")</f>
        <v/>
      </c>
      <c r="T92">
        <f>IFERROR(IF(ISNUMBER(INDEX(SPPR!$E:$Z,MATCH($A92,SPPR!$A:$A,0),17)),$C92*INDEX(SPPR!$E:$Z,MATCH($A92,SPPR!$A:$A,0),17),""),"")</f>
        <v/>
      </c>
      <c r="U92">
        <f>IFERROR(IF(ISNUMBER(INDEX(SPPR!$E:$Z,MATCH($A92,SPPR!$A:$A,0),18)),$C92*INDEX(SPPR!$E:$Z,MATCH($A92,SPPR!$A:$A,0),18),""),"")</f>
        <v/>
      </c>
      <c r="V92">
        <f>IFERROR(IF(ISNUMBER(INDEX(SPPR!$E:$Z,MATCH($A92,SPPR!$A:$A,0),19)),$C92*INDEX(SPPR!$E:$Z,MATCH($A92,SPPR!$A:$A,0),19),""),"")</f>
        <v/>
      </c>
      <c r="W92">
        <f>IFERROR(IF(ISNUMBER(INDEX(SPPR!$E:$Z,MATCH($A92,SPPR!$A:$A,0),20)),$C92*INDEX(SPPR!$E:$Z,MATCH($A92,SPPR!$A:$A,0),20),""),"")</f>
        <v/>
      </c>
      <c r="X92">
        <f>IFERROR(IF(ISNUMBER(INDEX(SPPR!$E:$Z,MATCH($A92,SPPR!$A:$A,0),21)),$C92*INDEX(SPPR!$E:$Z,MATCH($A92,SPPR!$A:$A,0),21),""),"")</f>
        <v/>
      </c>
      <c r="Y92">
        <f>IFERROR(IF(ISNUMBER(INDEX(SPPR!$E:$Z,MATCH($A92,SPPR!$A:$A,0),22)),$C92*INDEX(SPPR!$E:$Z,MATCH($A92,SPPR!$A:$A,0),22),""),"")</f>
        <v/>
      </c>
    </row>
    <row r="93">
      <c r="A93" t="inlineStr">
        <is>
          <t>Octopoda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IFERROR(IF(ISNUMBER(INDEX(SPPR!$E:$Z,MATCH($A93,SPPR!$A:$A,0),1)),$C93*INDEX(SPPR!$E:$Z,MATCH($A93,SPPR!$A:$A,0),1),""),"")</f>
        <v/>
      </c>
      <c r="E93">
        <f>IFERROR(IF(ISNUMBER(INDEX(SPPR!$E:$Z,MATCH($A93,SPPR!$A:$A,0),2)),$C93*INDEX(SPPR!$E:$Z,MATCH($A93,SPPR!$A:$A,0),2),""),"")</f>
        <v/>
      </c>
      <c r="F93">
        <f>IFERROR(IF(ISNUMBER(INDEX(SPPR!$E:$Z,MATCH($A93,SPPR!$A:$A,0),3)),$C93*INDEX(SPPR!$E:$Z,MATCH($A93,SPPR!$A:$A,0),3),""),"")</f>
        <v/>
      </c>
      <c r="G93">
        <f>IFERROR(IF(ISNUMBER(INDEX(SPPR!$E:$Z,MATCH($A93,SPPR!$A:$A,0),4)),$C93*INDEX(SPPR!$E:$Z,MATCH($A93,SPPR!$A:$A,0),4),""),"")</f>
        <v/>
      </c>
      <c r="H93">
        <f>IFERROR(IF(ISNUMBER(INDEX(SPPR!$E:$Z,MATCH($A93,SPPR!$A:$A,0),5)),$C93*INDEX(SPPR!$E:$Z,MATCH($A93,SPPR!$A:$A,0),5),""),"")</f>
        <v/>
      </c>
      <c r="I93">
        <f>IFERROR(IF(ISNUMBER(INDEX(SPPR!$E:$Z,MATCH($A93,SPPR!$A:$A,0),6)),$C93*INDEX(SPPR!$E:$Z,MATCH($A93,SPPR!$A:$A,0),6),""),"")</f>
        <v/>
      </c>
      <c r="J93">
        <f>IFERROR(IF(ISNUMBER(INDEX(SPPR!$E:$Z,MATCH($A93,SPPR!$A:$A,0),7)),$C93*INDEX(SPPR!$E:$Z,MATCH($A93,SPPR!$A:$A,0),7),""),"")</f>
        <v/>
      </c>
      <c r="K93">
        <f>IFERROR(IF(ISNUMBER(INDEX(SPPR!$E:$Z,MATCH($A93,SPPR!$A:$A,0),8)),$C93*INDEX(SPPR!$E:$Z,MATCH($A93,SPPR!$A:$A,0),8),""),"")</f>
        <v/>
      </c>
      <c r="L93">
        <f>IFERROR(IF(ISNUMBER(INDEX(SPPR!$E:$Z,MATCH($A93,SPPR!$A:$A,0),9)),$C93*INDEX(SPPR!$E:$Z,MATCH($A93,SPPR!$A:$A,0),9),""),"")</f>
        <v/>
      </c>
      <c r="M93">
        <f>IFERROR(IF(ISNUMBER(INDEX(SPPR!$E:$Z,MATCH($A93,SPPR!$A:$A,0),10)),$C93*INDEX(SPPR!$E:$Z,MATCH($A93,SPPR!$A:$A,0),10),""),"")</f>
        <v/>
      </c>
      <c r="N93">
        <f>IFERROR(IF(ISNUMBER(INDEX(SPPR!$E:$Z,MATCH($A93,SPPR!$A:$A,0),11)),$C93*INDEX(SPPR!$E:$Z,MATCH($A93,SPPR!$A:$A,0),11),""),"")</f>
        <v/>
      </c>
      <c r="O93">
        <f>IFERROR(IF(ISNUMBER(INDEX(SPPR!$E:$Z,MATCH($A93,SPPR!$A:$A,0),12)),$C93*INDEX(SPPR!$E:$Z,MATCH($A93,SPPR!$A:$A,0),12),""),"")</f>
        <v/>
      </c>
      <c r="P93">
        <f>IFERROR(IF(ISNUMBER(INDEX(SPPR!$E:$Z,MATCH($A93,SPPR!$A:$A,0),13)),$C93*INDEX(SPPR!$E:$Z,MATCH($A93,SPPR!$A:$A,0),13),""),"")</f>
        <v/>
      </c>
      <c r="Q93">
        <f>IFERROR(IF(ISNUMBER(INDEX(SPPR!$E:$Z,MATCH($A93,SPPR!$A:$A,0),14)),$C93*INDEX(SPPR!$E:$Z,MATCH($A93,SPPR!$A:$A,0),14),""),"")</f>
        <v/>
      </c>
      <c r="R93">
        <f>IFERROR(IF(ISNUMBER(INDEX(SPPR!$E:$Z,MATCH($A93,SPPR!$A:$A,0),15)),$C93*INDEX(SPPR!$E:$Z,MATCH($A93,SPPR!$A:$A,0),15),""),"")</f>
        <v/>
      </c>
      <c r="S93">
        <f>IFERROR(IF(ISNUMBER(INDEX(SPPR!$E:$Z,MATCH($A93,SPPR!$A:$A,0),16)),$C93*INDEX(SPPR!$E:$Z,MATCH($A93,SPPR!$A:$A,0),16),""),"")</f>
        <v/>
      </c>
      <c r="T93">
        <f>IFERROR(IF(ISNUMBER(INDEX(SPPR!$E:$Z,MATCH($A93,SPPR!$A:$A,0),17)),$C93*INDEX(SPPR!$E:$Z,MATCH($A93,SPPR!$A:$A,0),17),""),"")</f>
        <v/>
      </c>
      <c r="U93">
        <f>IFERROR(IF(ISNUMBER(INDEX(SPPR!$E:$Z,MATCH($A93,SPPR!$A:$A,0),18)),$C93*INDEX(SPPR!$E:$Z,MATCH($A93,SPPR!$A:$A,0),18),""),"")</f>
        <v/>
      </c>
      <c r="V93">
        <f>IFERROR(IF(ISNUMBER(INDEX(SPPR!$E:$Z,MATCH($A93,SPPR!$A:$A,0),19)),$C93*INDEX(SPPR!$E:$Z,MATCH($A93,SPPR!$A:$A,0),19),""),"")</f>
        <v/>
      </c>
      <c r="W93">
        <f>IFERROR(IF(ISNUMBER(INDEX(SPPR!$E:$Z,MATCH($A93,SPPR!$A:$A,0),20)),$C93*INDEX(SPPR!$E:$Z,MATCH($A93,SPPR!$A:$A,0),20),""),"")</f>
        <v/>
      </c>
      <c r="X93">
        <f>IFERROR(IF(ISNUMBER(INDEX(SPPR!$E:$Z,MATCH($A93,SPPR!$A:$A,0),21)),$C93*INDEX(SPPR!$E:$Z,MATCH($A93,SPPR!$A:$A,0),21),""),"")</f>
        <v/>
      </c>
      <c r="Y93">
        <f>IFERROR(IF(ISNUMBER(INDEX(SPPR!$E:$Z,MATCH($A93,SPPR!$A:$A,0),22)),$C93*INDEX(SPPR!$E:$Z,MATCH($A93,SPPR!$A:$A,0),22),""),"")</f>
        <v/>
      </c>
    </row>
    <row r="94">
      <c r="A94" t="inlineStr">
        <is>
          <t>Clupanodon thrissa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IFERROR(IF(ISNUMBER(INDEX(SPPR!$E:$Z,MATCH($A94,SPPR!$A:$A,0),1)),$C94*INDEX(SPPR!$E:$Z,MATCH($A94,SPPR!$A:$A,0),1),""),"")</f>
        <v/>
      </c>
      <c r="E94">
        <f>IFERROR(IF(ISNUMBER(INDEX(SPPR!$E:$Z,MATCH($A94,SPPR!$A:$A,0),2)),$C94*INDEX(SPPR!$E:$Z,MATCH($A94,SPPR!$A:$A,0),2),""),"")</f>
        <v/>
      </c>
      <c r="F94">
        <f>IFERROR(IF(ISNUMBER(INDEX(SPPR!$E:$Z,MATCH($A94,SPPR!$A:$A,0),3)),$C94*INDEX(SPPR!$E:$Z,MATCH($A94,SPPR!$A:$A,0),3),""),"")</f>
        <v/>
      </c>
      <c r="G94">
        <f>IFERROR(IF(ISNUMBER(INDEX(SPPR!$E:$Z,MATCH($A94,SPPR!$A:$A,0),4)),$C94*INDEX(SPPR!$E:$Z,MATCH($A94,SPPR!$A:$A,0),4),""),"")</f>
        <v/>
      </c>
      <c r="H94">
        <f>IFERROR(IF(ISNUMBER(INDEX(SPPR!$E:$Z,MATCH($A94,SPPR!$A:$A,0),5)),$C94*INDEX(SPPR!$E:$Z,MATCH($A94,SPPR!$A:$A,0),5),""),"")</f>
        <v/>
      </c>
      <c r="I94">
        <f>IFERROR(IF(ISNUMBER(INDEX(SPPR!$E:$Z,MATCH($A94,SPPR!$A:$A,0),6)),$C94*INDEX(SPPR!$E:$Z,MATCH($A94,SPPR!$A:$A,0),6),""),"")</f>
        <v/>
      </c>
      <c r="J94">
        <f>IFERROR(IF(ISNUMBER(INDEX(SPPR!$E:$Z,MATCH($A94,SPPR!$A:$A,0),7)),$C94*INDEX(SPPR!$E:$Z,MATCH($A94,SPPR!$A:$A,0),7),""),"")</f>
        <v/>
      </c>
      <c r="K94">
        <f>IFERROR(IF(ISNUMBER(INDEX(SPPR!$E:$Z,MATCH($A94,SPPR!$A:$A,0),8)),$C94*INDEX(SPPR!$E:$Z,MATCH($A94,SPPR!$A:$A,0),8),""),"")</f>
        <v/>
      </c>
      <c r="L94">
        <f>IFERROR(IF(ISNUMBER(INDEX(SPPR!$E:$Z,MATCH($A94,SPPR!$A:$A,0),9)),$C94*INDEX(SPPR!$E:$Z,MATCH($A94,SPPR!$A:$A,0),9),""),"")</f>
        <v/>
      </c>
      <c r="M94">
        <f>IFERROR(IF(ISNUMBER(INDEX(SPPR!$E:$Z,MATCH($A94,SPPR!$A:$A,0),10)),$C94*INDEX(SPPR!$E:$Z,MATCH($A94,SPPR!$A:$A,0),10),""),"")</f>
        <v/>
      </c>
      <c r="N94">
        <f>IFERROR(IF(ISNUMBER(INDEX(SPPR!$E:$Z,MATCH($A94,SPPR!$A:$A,0),11)),$C94*INDEX(SPPR!$E:$Z,MATCH($A94,SPPR!$A:$A,0),11),""),"")</f>
        <v/>
      </c>
      <c r="O94">
        <f>IFERROR(IF(ISNUMBER(INDEX(SPPR!$E:$Z,MATCH($A94,SPPR!$A:$A,0),12)),$C94*INDEX(SPPR!$E:$Z,MATCH($A94,SPPR!$A:$A,0),12),""),"")</f>
        <v/>
      </c>
      <c r="P94">
        <f>IFERROR(IF(ISNUMBER(INDEX(SPPR!$E:$Z,MATCH($A94,SPPR!$A:$A,0),13)),$C94*INDEX(SPPR!$E:$Z,MATCH($A94,SPPR!$A:$A,0),13),""),"")</f>
        <v/>
      </c>
      <c r="Q94">
        <f>IFERROR(IF(ISNUMBER(INDEX(SPPR!$E:$Z,MATCH($A94,SPPR!$A:$A,0),14)),$C94*INDEX(SPPR!$E:$Z,MATCH($A94,SPPR!$A:$A,0),14),""),"")</f>
        <v/>
      </c>
      <c r="R94">
        <f>IFERROR(IF(ISNUMBER(INDEX(SPPR!$E:$Z,MATCH($A94,SPPR!$A:$A,0),15)),$C94*INDEX(SPPR!$E:$Z,MATCH($A94,SPPR!$A:$A,0),15),""),"")</f>
        <v/>
      </c>
      <c r="S94">
        <f>IFERROR(IF(ISNUMBER(INDEX(SPPR!$E:$Z,MATCH($A94,SPPR!$A:$A,0),16)),$C94*INDEX(SPPR!$E:$Z,MATCH($A94,SPPR!$A:$A,0),16),""),"")</f>
        <v/>
      </c>
      <c r="T94">
        <f>IFERROR(IF(ISNUMBER(INDEX(SPPR!$E:$Z,MATCH($A94,SPPR!$A:$A,0),17)),$C94*INDEX(SPPR!$E:$Z,MATCH($A94,SPPR!$A:$A,0),17),""),"")</f>
        <v/>
      </c>
      <c r="U94">
        <f>IFERROR(IF(ISNUMBER(INDEX(SPPR!$E:$Z,MATCH($A94,SPPR!$A:$A,0),18)),$C94*INDEX(SPPR!$E:$Z,MATCH($A94,SPPR!$A:$A,0),18),""),"")</f>
        <v/>
      </c>
      <c r="V94">
        <f>IFERROR(IF(ISNUMBER(INDEX(SPPR!$E:$Z,MATCH($A94,SPPR!$A:$A,0),19)),$C94*INDEX(SPPR!$E:$Z,MATCH($A94,SPPR!$A:$A,0),19),""),"")</f>
        <v/>
      </c>
      <c r="W94">
        <f>IFERROR(IF(ISNUMBER(INDEX(SPPR!$E:$Z,MATCH($A94,SPPR!$A:$A,0),20)),$C94*INDEX(SPPR!$E:$Z,MATCH($A94,SPPR!$A:$A,0),20),""),"")</f>
        <v/>
      </c>
      <c r="X94">
        <f>IFERROR(IF(ISNUMBER(INDEX(SPPR!$E:$Z,MATCH($A94,SPPR!$A:$A,0),21)),$C94*INDEX(SPPR!$E:$Z,MATCH($A94,SPPR!$A:$A,0),21),""),"")</f>
        <v/>
      </c>
      <c r="Y94">
        <f>IFERROR(IF(ISNUMBER(INDEX(SPPR!$E:$Z,MATCH($A94,SPPR!$A:$A,0),22)),$C94*INDEX(SPPR!$E:$Z,MATCH($A94,SPPR!$A:$A,0),22),""),"")</f>
        <v/>
      </c>
    </row>
    <row r="95">
      <c r="A95" t="inlineStr">
        <is>
          <t>Sardinella fimbriata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IFERROR(IF(ISNUMBER(INDEX(SPPR!$E:$Z,MATCH($A95,SPPR!$A:$A,0),1)),$C95*INDEX(SPPR!$E:$Z,MATCH($A95,SPPR!$A:$A,0),1),""),"")</f>
        <v/>
      </c>
      <c r="E95">
        <f>IFERROR(IF(ISNUMBER(INDEX(SPPR!$E:$Z,MATCH($A95,SPPR!$A:$A,0),2)),$C95*INDEX(SPPR!$E:$Z,MATCH($A95,SPPR!$A:$A,0),2),""),"")</f>
        <v/>
      </c>
      <c r="F95">
        <f>IFERROR(IF(ISNUMBER(INDEX(SPPR!$E:$Z,MATCH($A95,SPPR!$A:$A,0),3)),$C95*INDEX(SPPR!$E:$Z,MATCH($A95,SPPR!$A:$A,0),3),""),"")</f>
        <v/>
      </c>
      <c r="G95">
        <f>IFERROR(IF(ISNUMBER(INDEX(SPPR!$E:$Z,MATCH($A95,SPPR!$A:$A,0),4)),$C95*INDEX(SPPR!$E:$Z,MATCH($A95,SPPR!$A:$A,0),4),""),"")</f>
        <v/>
      </c>
      <c r="H95">
        <f>IFERROR(IF(ISNUMBER(INDEX(SPPR!$E:$Z,MATCH($A95,SPPR!$A:$A,0),5)),$C95*INDEX(SPPR!$E:$Z,MATCH($A95,SPPR!$A:$A,0),5),""),"")</f>
        <v/>
      </c>
      <c r="I95">
        <f>IFERROR(IF(ISNUMBER(INDEX(SPPR!$E:$Z,MATCH($A95,SPPR!$A:$A,0),6)),$C95*INDEX(SPPR!$E:$Z,MATCH($A95,SPPR!$A:$A,0),6),""),"")</f>
        <v/>
      </c>
      <c r="J95">
        <f>IFERROR(IF(ISNUMBER(INDEX(SPPR!$E:$Z,MATCH($A95,SPPR!$A:$A,0),7)),$C95*INDEX(SPPR!$E:$Z,MATCH($A95,SPPR!$A:$A,0),7),""),"")</f>
        <v/>
      </c>
      <c r="K95">
        <f>IFERROR(IF(ISNUMBER(INDEX(SPPR!$E:$Z,MATCH($A95,SPPR!$A:$A,0),8)),$C95*INDEX(SPPR!$E:$Z,MATCH($A95,SPPR!$A:$A,0),8),""),"")</f>
        <v/>
      </c>
      <c r="L95">
        <f>IFERROR(IF(ISNUMBER(INDEX(SPPR!$E:$Z,MATCH($A95,SPPR!$A:$A,0),9)),$C95*INDEX(SPPR!$E:$Z,MATCH($A95,SPPR!$A:$A,0),9),""),"")</f>
        <v/>
      </c>
      <c r="M95">
        <f>IFERROR(IF(ISNUMBER(INDEX(SPPR!$E:$Z,MATCH($A95,SPPR!$A:$A,0),10)),$C95*INDEX(SPPR!$E:$Z,MATCH($A95,SPPR!$A:$A,0),10),""),"")</f>
        <v/>
      </c>
      <c r="N95">
        <f>IFERROR(IF(ISNUMBER(INDEX(SPPR!$E:$Z,MATCH($A95,SPPR!$A:$A,0),11)),$C95*INDEX(SPPR!$E:$Z,MATCH($A95,SPPR!$A:$A,0),11),""),"")</f>
        <v/>
      </c>
      <c r="O95">
        <f>IFERROR(IF(ISNUMBER(INDEX(SPPR!$E:$Z,MATCH($A95,SPPR!$A:$A,0),12)),$C95*INDEX(SPPR!$E:$Z,MATCH($A95,SPPR!$A:$A,0),12),""),"")</f>
        <v/>
      </c>
      <c r="P95">
        <f>IFERROR(IF(ISNUMBER(INDEX(SPPR!$E:$Z,MATCH($A95,SPPR!$A:$A,0),13)),$C95*INDEX(SPPR!$E:$Z,MATCH($A95,SPPR!$A:$A,0),13),""),"")</f>
        <v/>
      </c>
      <c r="Q95">
        <f>IFERROR(IF(ISNUMBER(INDEX(SPPR!$E:$Z,MATCH($A95,SPPR!$A:$A,0),14)),$C95*INDEX(SPPR!$E:$Z,MATCH($A95,SPPR!$A:$A,0),14),""),"")</f>
        <v/>
      </c>
      <c r="R95">
        <f>IFERROR(IF(ISNUMBER(INDEX(SPPR!$E:$Z,MATCH($A95,SPPR!$A:$A,0),15)),$C95*INDEX(SPPR!$E:$Z,MATCH($A95,SPPR!$A:$A,0),15),""),"")</f>
        <v/>
      </c>
      <c r="S95">
        <f>IFERROR(IF(ISNUMBER(INDEX(SPPR!$E:$Z,MATCH($A95,SPPR!$A:$A,0),16)),$C95*INDEX(SPPR!$E:$Z,MATCH($A95,SPPR!$A:$A,0),16),""),"")</f>
        <v/>
      </c>
      <c r="T95">
        <f>IFERROR(IF(ISNUMBER(INDEX(SPPR!$E:$Z,MATCH($A95,SPPR!$A:$A,0),17)),$C95*INDEX(SPPR!$E:$Z,MATCH($A95,SPPR!$A:$A,0),17),""),"")</f>
        <v/>
      </c>
      <c r="U95">
        <f>IFERROR(IF(ISNUMBER(INDEX(SPPR!$E:$Z,MATCH($A95,SPPR!$A:$A,0),18)),$C95*INDEX(SPPR!$E:$Z,MATCH($A95,SPPR!$A:$A,0),18),""),"")</f>
        <v/>
      </c>
      <c r="V95">
        <f>IFERROR(IF(ISNUMBER(INDEX(SPPR!$E:$Z,MATCH($A95,SPPR!$A:$A,0),19)),$C95*INDEX(SPPR!$E:$Z,MATCH($A95,SPPR!$A:$A,0),19),""),"")</f>
        <v/>
      </c>
      <c r="W95">
        <f>IFERROR(IF(ISNUMBER(INDEX(SPPR!$E:$Z,MATCH($A95,SPPR!$A:$A,0),20)),$C95*INDEX(SPPR!$E:$Z,MATCH($A95,SPPR!$A:$A,0),20),""),"")</f>
        <v/>
      </c>
      <c r="X95">
        <f>IFERROR(IF(ISNUMBER(INDEX(SPPR!$E:$Z,MATCH($A95,SPPR!$A:$A,0),21)),$C95*INDEX(SPPR!$E:$Z,MATCH($A95,SPPR!$A:$A,0),21),""),"")</f>
        <v/>
      </c>
      <c r="Y95">
        <f>IFERROR(IF(ISNUMBER(INDEX(SPPR!$E:$Z,MATCH($A95,SPPR!$A:$A,0),22)),$C95*INDEX(SPPR!$E:$Z,MATCH($A95,SPPR!$A:$A,0),22),""),"")</f>
        <v/>
      </c>
    </row>
    <row r="96">
      <c r="A96" t="inlineStr">
        <is>
          <t>Ruvettus pretiosus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IFERROR(IF(ISNUMBER(INDEX(SPPR!$E:$Z,MATCH($A96,SPPR!$A:$A,0),1)),$C96*INDEX(SPPR!$E:$Z,MATCH($A96,SPPR!$A:$A,0),1),""),"")</f>
        <v/>
      </c>
      <c r="E96">
        <f>IFERROR(IF(ISNUMBER(INDEX(SPPR!$E:$Z,MATCH($A96,SPPR!$A:$A,0),2)),$C96*INDEX(SPPR!$E:$Z,MATCH($A96,SPPR!$A:$A,0),2),""),"")</f>
        <v/>
      </c>
      <c r="F96">
        <f>IFERROR(IF(ISNUMBER(INDEX(SPPR!$E:$Z,MATCH($A96,SPPR!$A:$A,0),3)),$C96*INDEX(SPPR!$E:$Z,MATCH($A96,SPPR!$A:$A,0),3),""),"")</f>
        <v/>
      </c>
      <c r="G96">
        <f>IFERROR(IF(ISNUMBER(INDEX(SPPR!$E:$Z,MATCH($A96,SPPR!$A:$A,0),4)),$C96*INDEX(SPPR!$E:$Z,MATCH($A96,SPPR!$A:$A,0),4),""),"")</f>
        <v/>
      </c>
      <c r="H96">
        <f>IFERROR(IF(ISNUMBER(INDEX(SPPR!$E:$Z,MATCH($A96,SPPR!$A:$A,0),5)),$C96*INDEX(SPPR!$E:$Z,MATCH($A96,SPPR!$A:$A,0),5),""),"")</f>
        <v/>
      </c>
      <c r="I96">
        <f>IFERROR(IF(ISNUMBER(INDEX(SPPR!$E:$Z,MATCH($A96,SPPR!$A:$A,0),6)),$C96*INDEX(SPPR!$E:$Z,MATCH($A96,SPPR!$A:$A,0),6),""),"")</f>
        <v/>
      </c>
      <c r="J96">
        <f>IFERROR(IF(ISNUMBER(INDEX(SPPR!$E:$Z,MATCH($A96,SPPR!$A:$A,0),7)),$C96*INDEX(SPPR!$E:$Z,MATCH($A96,SPPR!$A:$A,0),7),""),"")</f>
        <v/>
      </c>
      <c r="K96">
        <f>IFERROR(IF(ISNUMBER(INDEX(SPPR!$E:$Z,MATCH($A96,SPPR!$A:$A,0),8)),$C96*INDEX(SPPR!$E:$Z,MATCH($A96,SPPR!$A:$A,0),8),""),"")</f>
        <v/>
      </c>
      <c r="L96">
        <f>IFERROR(IF(ISNUMBER(INDEX(SPPR!$E:$Z,MATCH($A96,SPPR!$A:$A,0),9)),$C96*INDEX(SPPR!$E:$Z,MATCH($A96,SPPR!$A:$A,0),9),""),"")</f>
        <v/>
      </c>
      <c r="M96">
        <f>IFERROR(IF(ISNUMBER(INDEX(SPPR!$E:$Z,MATCH($A96,SPPR!$A:$A,0),10)),$C96*INDEX(SPPR!$E:$Z,MATCH($A96,SPPR!$A:$A,0),10),""),"")</f>
        <v/>
      </c>
      <c r="N96">
        <f>IFERROR(IF(ISNUMBER(INDEX(SPPR!$E:$Z,MATCH($A96,SPPR!$A:$A,0),11)),$C96*INDEX(SPPR!$E:$Z,MATCH($A96,SPPR!$A:$A,0),11),""),"")</f>
        <v/>
      </c>
      <c r="O96">
        <f>IFERROR(IF(ISNUMBER(INDEX(SPPR!$E:$Z,MATCH($A96,SPPR!$A:$A,0),12)),$C96*INDEX(SPPR!$E:$Z,MATCH($A96,SPPR!$A:$A,0),12),""),"")</f>
        <v/>
      </c>
      <c r="P96">
        <f>IFERROR(IF(ISNUMBER(INDEX(SPPR!$E:$Z,MATCH($A96,SPPR!$A:$A,0),13)),$C96*INDEX(SPPR!$E:$Z,MATCH($A96,SPPR!$A:$A,0),13),""),"")</f>
        <v/>
      </c>
      <c r="Q96">
        <f>IFERROR(IF(ISNUMBER(INDEX(SPPR!$E:$Z,MATCH($A96,SPPR!$A:$A,0),14)),$C96*INDEX(SPPR!$E:$Z,MATCH($A96,SPPR!$A:$A,0),14),""),"")</f>
        <v/>
      </c>
      <c r="R96">
        <f>IFERROR(IF(ISNUMBER(INDEX(SPPR!$E:$Z,MATCH($A96,SPPR!$A:$A,0),15)),$C96*INDEX(SPPR!$E:$Z,MATCH($A96,SPPR!$A:$A,0),15),""),"")</f>
        <v/>
      </c>
      <c r="S96">
        <f>IFERROR(IF(ISNUMBER(INDEX(SPPR!$E:$Z,MATCH($A96,SPPR!$A:$A,0),16)),$C96*INDEX(SPPR!$E:$Z,MATCH($A96,SPPR!$A:$A,0),16),""),"")</f>
        <v/>
      </c>
      <c r="T96">
        <f>IFERROR(IF(ISNUMBER(INDEX(SPPR!$E:$Z,MATCH($A96,SPPR!$A:$A,0),17)),$C96*INDEX(SPPR!$E:$Z,MATCH($A96,SPPR!$A:$A,0),17),""),"")</f>
        <v/>
      </c>
      <c r="U96">
        <f>IFERROR(IF(ISNUMBER(INDEX(SPPR!$E:$Z,MATCH($A96,SPPR!$A:$A,0),18)),$C96*INDEX(SPPR!$E:$Z,MATCH($A96,SPPR!$A:$A,0),18),""),"")</f>
        <v/>
      </c>
      <c r="V96">
        <f>IFERROR(IF(ISNUMBER(INDEX(SPPR!$E:$Z,MATCH($A96,SPPR!$A:$A,0),19)),$C96*INDEX(SPPR!$E:$Z,MATCH($A96,SPPR!$A:$A,0),19),""),"")</f>
        <v/>
      </c>
      <c r="W96">
        <f>IFERROR(IF(ISNUMBER(INDEX(SPPR!$E:$Z,MATCH($A96,SPPR!$A:$A,0),20)),$C96*INDEX(SPPR!$E:$Z,MATCH($A96,SPPR!$A:$A,0),20),""),"")</f>
        <v/>
      </c>
      <c r="X96">
        <f>IFERROR(IF(ISNUMBER(INDEX(SPPR!$E:$Z,MATCH($A96,SPPR!$A:$A,0),21)),$C96*INDEX(SPPR!$E:$Z,MATCH($A96,SPPR!$A:$A,0),21),""),"")</f>
        <v/>
      </c>
      <c r="Y96">
        <f>IFERROR(IF(ISNUMBER(INDEX(SPPR!$E:$Z,MATCH($A96,SPPR!$A:$A,0),22)),$C96*INDEX(SPPR!$E:$Z,MATCH($A96,SPPR!$A:$A,0),22),""),"")</f>
        <v/>
      </c>
    </row>
    <row r="97">
      <c r="A97" t="inlineStr">
        <is>
          <t>Lates calcarifer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IFERROR(IF(ISNUMBER(INDEX(SPPR!$E:$Z,MATCH($A97,SPPR!$A:$A,0),1)),$C97*INDEX(SPPR!$E:$Z,MATCH($A97,SPPR!$A:$A,0),1),""),"")</f>
        <v/>
      </c>
      <c r="E97">
        <f>IFERROR(IF(ISNUMBER(INDEX(SPPR!$E:$Z,MATCH($A97,SPPR!$A:$A,0),2)),$C97*INDEX(SPPR!$E:$Z,MATCH($A97,SPPR!$A:$A,0),2),""),"")</f>
        <v/>
      </c>
      <c r="F97">
        <f>IFERROR(IF(ISNUMBER(INDEX(SPPR!$E:$Z,MATCH($A97,SPPR!$A:$A,0),3)),$C97*INDEX(SPPR!$E:$Z,MATCH($A97,SPPR!$A:$A,0),3),""),"")</f>
        <v/>
      </c>
      <c r="G97">
        <f>IFERROR(IF(ISNUMBER(INDEX(SPPR!$E:$Z,MATCH($A97,SPPR!$A:$A,0),4)),$C97*INDEX(SPPR!$E:$Z,MATCH($A97,SPPR!$A:$A,0),4),""),"")</f>
        <v/>
      </c>
      <c r="H97">
        <f>IFERROR(IF(ISNUMBER(INDEX(SPPR!$E:$Z,MATCH($A97,SPPR!$A:$A,0),5)),$C97*INDEX(SPPR!$E:$Z,MATCH($A97,SPPR!$A:$A,0),5),""),"")</f>
        <v/>
      </c>
      <c r="I97">
        <f>IFERROR(IF(ISNUMBER(INDEX(SPPR!$E:$Z,MATCH($A97,SPPR!$A:$A,0),6)),$C97*INDEX(SPPR!$E:$Z,MATCH($A97,SPPR!$A:$A,0),6),""),"")</f>
        <v/>
      </c>
      <c r="J97">
        <f>IFERROR(IF(ISNUMBER(INDEX(SPPR!$E:$Z,MATCH($A97,SPPR!$A:$A,0),7)),$C97*INDEX(SPPR!$E:$Z,MATCH($A97,SPPR!$A:$A,0),7),""),"")</f>
        <v/>
      </c>
      <c r="K97">
        <f>IFERROR(IF(ISNUMBER(INDEX(SPPR!$E:$Z,MATCH($A97,SPPR!$A:$A,0),8)),$C97*INDEX(SPPR!$E:$Z,MATCH($A97,SPPR!$A:$A,0),8),""),"")</f>
        <v/>
      </c>
      <c r="L97">
        <f>IFERROR(IF(ISNUMBER(INDEX(SPPR!$E:$Z,MATCH($A97,SPPR!$A:$A,0),9)),$C97*INDEX(SPPR!$E:$Z,MATCH($A97,SPPR!$A:$A,0),9),""),"")</f>
        <v/>
      </c>
      <c r="M97">
        <f>IFERROR(IF(ISNUMBER(INDEX(SPPR!$E:$Z,MATCH($A97,SPPR!$A:$A,0),10)),$C97*INDEX(SPPR!$E:$Z,MATCH($A97,SPPR!$A:$A,0),10),""),"")</f>
        <v/>
      </c>
      <c r="N97">
        <f>IFERROR(IF(ISNUMBER(INDEX(SPPR!$E:$Z,MATCH($A97,SPPR!$A:$A,0),11)),$C97*INDEX(SPPR!$E:$Z,MATCH($A97,SPPR!$A:$A,0),11),""),"")</f>
        <v/>
      </c>
      <c r="O97">
        <f>IFERROR(IF(ISNUMBER(INDEX(SPPR!$E:$Z,MATCH($A97,SPPR!$A:$A,0),12)),$C97*INDEX(SPPR!$E:$Z,MATCH($A97,SPPR!$A:$A,0),12),""),"")</f>
        <v/>
      </c>
      <c r="P97">
        <f>IFERROR(IF(ISNUMBER(INDEX(SPPR!$E:$Z,MATCH($A97,SPPR!$A:$A,0),13)),$C97*INDEX(SPPR!$E:$Z,MATCH($A97,SPPR!$A:$A,0),13),""),"")</f>
        <v/>
      </c>
      <c r="Q97">
        <f>IFERROR(IF(ISNUMBER(INDEX(SPPR!$E:$Z,MATCH($A97,SPPR!$A:$A,0),14)),$C97*INDEX(SPPR!$E:$Z,MATCH($A97,SPPR!$A:$A,0),14),""),"")</f>
        <v/>
      </c>
      <c r="R97">
        <f>IFERROR(IF(ISNUMBER(INDEX(SPPR!$E:$Z,MATCH($A97,SPPR!$A:$A,0),15)),$C97*INDEX(SPPR!$E:$Z,MATCH($A97,SPPR!$A:$A,0),15),""),"")</f>
        <v/>
      </c>
      <c r="S97">
        <f>IFERROR(IF(ISNUMBER(INDEX(SPPR!$E:$Z,MATCH($A97,SPPR!$A:$A,0),16)),$C97*INDEX(SPPR!$E:$Z,MATCH($A97,SPPR!$A:$A,0),16),""),"")</f>
        <v/>
      </c>
      <c r="T97">
        <f>IFERROR(IF(ISNUMBER(INDEX(SPPR!$E:$Z,MATCH($A97,SPPR!$A:$A,0),17)),$C97*INDEX(SPPR!$E:$Z,MATCH($A97,SPPR!$A:$A,0),17),""),"")</f>
        <v/>
      </c>
      <c r="U97">
        <f>IFERROR(IF(ISNUMBER(INDEX(SPPR!$E:$Z,MATCH($A97,SPPR!$A:$A,0),18)),$C97*INDEX(SPPR!$E:$Z,MATCH($A97,SPPR!$A:$A,0),18),""),"")</f>
        <v/>
      </c>
      <c r="V97">
        <f>IFERROR(IF(ISNUMBER(INDEX(SPPR!$E:$Z,MATCH($A97,SPPR!$A:$A,0),19)),$C97*INDEX(SPPR!$E:$Z,MATCH($A97,SPPR!$A:$A,0),19),""),"")</f>
        <v/>
      </c>
      <c r="W97">
        <f>IFERROR(IF(ISNUMBER(INDEX(SPPR!$E:$Z,MATCH($A97,SPPR!$A:$A,0),20)),$C97*INDEX(SPPR!$E:$Z,MATCH($A97,SPPR!$A:$A,0),20),""),"")</f>
        <v/>
      </c>
      <c r="X97">
        <f>IFERROR(IF(ISNUMBER(INDEX(SPPR!$E:$Z,MATCH($A97,SPPR!$A:$A,0),21)),$C97*INDEX(SPPR!$E:$Z,MATCH($A97,SPPR!$A:$A,0),21),""),"")</f>
        <v/>
      </c>
      <c r="Y97">
        <f>IFERROR(IF(ISNUMBER(INDEX(SPPR!$E:$Z,MATCH($A97,SPPR!$A:$A,0),22)),$C97*INDEX(SPPR!$E:$Z,MATCH($A97,SPPR!$A:$A,0),22),""),"")</f>
        <v/>
      </c>
    </row>
    <row r="98">
      <c r="A98" t="inlineStr">
        <is>
          <t>Carangoides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IFERROR(IF(ISNUMBER(INDEX(SPPR!$E:$Z,MATCH($A98,SPPR!$A:$A,0),1)),$C98*INDEX(SPPR!$E:$Z,MATCH($A98,SPPR!$A:$A,0),1),""),"")</f>
        <v/>
      </c>
      <c r="E98">
        <f>IFERROR(IF(ISNUMBER(INDEX(SPPR!$E:$Z,MATCH($A98,SPPR!$A:$A,0),2)),$C98*INDEX(SPPR!$E:$Z,MATCH($A98,SPPR!$A:$A,0),2),""),"")</f>
        <v/>
      </c>
      <c r="F98">
        <f>IFERROR(IF(ISNUMBER(INDEX(SPPR!$E:$Z,MATCH($A98,SPPR!$A:$A,0),3)),$C98*INDEX(SPPR!$E:$Z,MATCH($A98,SPPR!$A:$A,0),3),""),"")</f>
        <v/>
      </c>
      <c r="G98">
        <f>IFERROR(IF(ISNUMBER(INDEX(SPPR!$E:$Z,MATCH($A98,SPPR!$A:$A,0),4)),$C98*INDEX(SPPR!$E:$Z,MATCH($A98,SPPR!$A:$A,0),4),""),"")</f>
        <v/>
      </c>
      <c r="H98">
        <f>IFERROR(IF(ISNUMBER(INDEX(SPPR!$E:$Z,MATCH($A98,SPPR!$A:$A,0),5)),$C98*INDEX(SPPR!$E:$Z,MATCH($A98,SPPR!$A:$A,0),5),""),"")</f>
        <v/>
      </c>
      <c r="I98">
        <f>IFERROR(IF(ISNUMBER(INDEX(SPPR!$E:$Z,MATCH($A98,SPPR!$A:$A,0),6)),$C98*INDEX(SPPR!$E:$Z,MATCH($A98,SPPR!$A:$A,0),6),""),"")</f>
        <v/>
      </c>
      <c r="J98">
        <f>IFERROR(IF(ISNUMBER(INDEX(SPPR!$E:$Z,MATCH($A98,SPPR!$A:$A,0),7)),$C98*INDEX(SPPR!$E:$Z,MATCH($A98,SPPR!$A:$A,0),7),""),"")</f>
        <v/>
      </c>
      <c r="K98">
        <f>IFERROR(IF(ISNUMBER(INDEX(SPPR!$E:$Z,MATCH($A98,SPPR!$A:$A,0),8)),$C98*INDEX(SPPR!$E:$Z,MATCH($A98,SPPR!$A:$A,0),8),""),"")</f>
        <v/>
      </c>
      <c r="L98">
        <f>IFERROR(IF(ISNUMBER(INDEX(SPPR!$E:$Z,MATCH($A98,SPPR!$A:$A,0),9)),$C98*INDEX(SPPR!$E:$Z,MATCH($A98,SPPR!$A:$A,0),9),""),"")</f>
        <v/>
      </c>
      <c r="M98">
        <f>IFERROR(IF(ISNUMBER(INDEX(SPPR!$E:$Z,MATCH($A98,SPPR!$A:$A,0),10)),$C98*INDEX(SPPR!$E:$Z,MATCH($A98,SPPR!$A:$A,0),10),""),"")</f>
        <v/>
      </c>
      <c r="N98">
        <f>IFERROR(IF(ISNUMBER(INDEX(SPPR!$E:$Z,MATCH($A98,SPPR!$A:$A,0),11)),$C98*INDEX(SPPR!$E:$Z,MATCH($A98,SPPR!$A:$A,0),11),""),"")</f>
        <v/>
      </c>
      <c r="O98">
        <f>IFERROR(IF(ISNUMBER(INDEX(SPPR!$E:$Z,MATCH($A98,SPPR!$A:$A,0),12)),$C98*INDEX(SPPR!$E:$Z,MATCH($A98,SPPR!$A:$A,0),12),""),"")</f>
        <v/>
      </c>
      <c r="P98">
        <f>IFERROR(IF(ISNUMBER(INDEX(SPPR!$E:$Z,MATCH($A98,SPPR!$A:$A,0),13)),$C98*INDEX(SPPR!$E:$Z,MATCH($A98,SPPR!$A:$A,0),13),""),"")</f>
        <v/>
      </c>
      <c r="Q98">
        <f>IFERROR(IF(ISNUMBER(INDEX(SPPR!$E:$Z,MATCH($A98,SPPR!$A:$A,0),14)),$C98*INDEX(SPPR!$E:$Z,MATCH($A98,SPPR!$A:$A,0),14),""),"")</f>
        <v/>
      </c>
      <c r="R98">
        <f>IFERROR(IF(ISNUMBER(INDEX(SPPR!$E:$Z,MATCH($A98,SPPR!$A:$A,0),15)),$C98*INDEX(SPPR!$E:$Z,MATCH($A98,SPPR!$A:$A,0),15),""),"")</f>
        <v/>
      </c>
      <c r="S98">
        <f>IFERROR(IF(ISNUMBER(INDEX(SPPR!$E:$Z,MATCH($A98,SPPR!$A:$A,0),16)),$C98*INDEX(SPPR!$E:$Z,MATCH($A98,SPPR!$A:$A,0),16),""),"")</f>
        <v/>
      </c>
      <c r="T98">
        <f>IFERROR(IF(ISNUMBER(INDEX(SPPR!$E:$Z,MATCH($A98,SPPR!$A:$A,0),17)),$C98*INDEX(SPPR!$E:$Z,MATCH($A98,SPPR!$A:$A,0),17),""),"")</f>
        <v/>
      </c>
      <c r="U98">
        <f>IFERROR(IF(ISNUMBER(INDEX(SPPR!$E:$Z,MATCH($A98,SPPR!$A:$A,0),18)),$C98*INDEX(SPPR!$E:$Z,MATCH($A98,SPPR!$A:$A,0),18),""),"")</f>
        <v/>
      </c>
      <c r="V98">
        <f>IFERROR(IF(ISNUMBER(INDEX(SPPR!$E:$Z,MATCH($A98,SPPR!$A:$A,0),19)),$C98*INDEX(SPPR!$E:$Z,MATCH($A98,SPPR!$A:$A,0),19),""),"")</f>
        <v/>
      </c>
      <c r="W98">
        <f>IFERROR(IF(ISNUMBER(INDEX(SPPR!$E:$Z,MATCH($A98,SPPR!$A:$A,0),20)),$C98*INDEX(SPPR!$E:$Z,MATCH($A98,SPPR!$A:$A,0),20),""),"")</f>
        <v/>
      </c>
      <c r="X98">
        <f>IFERROR(IF(ISNUMBER(INDEX(SPPR!$E:$Z,MATCH($A98,SPPR!$A:$A,0),21)),$C98*INDEX(SPPR!$E:$Z,MATCH($A98,SPPR!$A:$A,0),21),""),"")</f>
        <v/>
      </c>
      <c r="Y98">
        <f>IFERROR(IF(ISNUMBER(INDEX(SPPR!$E:$Z,MATCH($A98,SPPR!$A:$A,0),22)),$C98*INDEX(SPPR!$E:$Z,MATCH($A98,SPPR!$A:$A,0),22),""),"")</f>
        <v/>
      </c>
    </row>
    <row r="99">
      <c r="A99" t="inlineStr">
        <is>
          <t>Scomberomorus niphonius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IFERROR(IF(ISNUMBER(INDEX(SPPR!$E:$Z,MATCH($A99,SPPR!$A:$A,0),1)),$C99*INDEX(SPPR!$E:$Z,MATCH($A99,SPPR!$A:$A,0),1),""),"")</f>
        <v/>
      </c>
      <c r="E99">
        <f>IFERROR(IF(ISNUMBER(INDEX(SPPR!$E:$Z,MATCH($A99,SPPR!$A:$A,0),2)),$C99*INDEX(SPPR!$E:$Z,MATCH($A99,SPPR!$A:$A,0),2),""),"")</f>
        <v/>
      </c>
      <c r="F99">
        <f>IFERROR(IF(ISNUMBER(INDEX(SPPR!$E:$Z,MATCH($A99,SPPR!$A:$A,0),3)),$C99*INDEX(SPPR!$E:$Z,MATCH($A99,SPPR!$A:$A,0),3),""),"")</f>
        <v/>
      </c>
      <c r="G99">
        <f>IFERROR(IF(ISNUMBER(INDEX(SPPR!$E:$Z,MATCH($A99,SPPR!$A:$A,0),4)),$C99*INDEX(SPPR!$E:$Z,MATCH($A99,SPPR!$A:$A,0),4),""),"")</f>
        <v/>
      </c>
      <c r="H99">
        <f>IFERROR(IF(ISNUMBER(INDEX(SPPR!$E:$Z,MATCH($A99,SPPR!$A:$A,0),5)),$C99*INDEX(SPPR!$E:$Z,MATCH($A99,SPPR!$A:$A,0),5),""),"")</f>
        <v/>
      </c>
      <c r="I99">
        <f>IFERROR(IF(ISNUMBER(INDEX(SPPR!$E:$Z,MATCH($A99,SPPR!$A:$A,0),6)),$C99*INDEX(SPPR!$E:$Z,MATCH($A99,SPPR!$A:$A,0),6),""),"")</f>
        <v/>
      </c>
      <c r="J99">
        <f>IFERROR(IF(ISNUMBER(INDEX(SPPR!$E:$Z,MATCH($A99,SPPR!$A:$A,0),7)),$C99*INDEX(SPPR!$E:$Z,MATCH($A99,SPPR!$A:$A,0),7),""),"")</f>
        <v/>
      </c>
      <c r="K99">
        <f>IFERROR(IF(ISNUMBER(INDEX(SPPR!$E:$Z,MATCH($A99,SPPR!$A:$A,0),8)),$C99*INDEX(SPPR!$E:$Z,MATCH($A99,SPPR!$A:$A,0),8),""),"")</f>
        <v/>
      </c>
      <c r="L99">
        <f>IFERROR(IF(ISNUMBER(INDEX(SPPR!$E:$Z,MATCH($A99,SPPR!$A:$A,0),9)),$C99*INDEX(SPPR!$E:$Z,MATCH($A99,SPPR!$A:$A,0),9),""),"")</f>
        <v/>
      </c>
      <c r="M99">
        <f>IFERROR(IF(ISNUMBER(INDEX(SPPR!$E:$Z,MATCH($A99,SPPR!$A:$A,0),10)),$C99*INDEX(SPPR!$E:$Z,MATCH($A99,SPPR!$A:$A,0),10),""),"")</f>
        <v/>
      </c>
      <c r="N99">
        <f>IFERROR(IF(ISNUMBER(INDEX(SPPR!$E:$Z,MATCH($A99,SPPR!$A:$A,0),11)),$C99*INDEX(SPPR!$E:$Z,MATCH($A99,SPPR!$A:$A,0),11),""),"")</f>
        <v/>
      </c>
      <c r="O99">
        <f>IFERROR(IF(ISNUMBER(INDEX(SPPR!$E:$Z,MATCH($A99,SPPR!$A:$A,0),12)),$C99*INDEX(SPPR!$E:$Z,MATCH($A99,SPPR!$A:$A,0),12),""),"")</f>
        <v/>
      </c>
      <c r="P99">
        <f>IFERROR(IF(ISNUMBER(INDEX(SPPR!$E:$Z,MATCH($A99,SPPR!$A:$A,0),13)),$C99*INDEX(SPPR!$E:$Z,MATCH($A99,SPPR!$A:$A,0),13),""),"")</f>
        <v/>
      </c>
      <c r="Q99">
        <f>IFERROR(IF(ISNUMBER(INDEX(SPPR!$E:$Z,MATCH($A99,SPPR!$A:$A,0),14)),$C99*INDEX(SPPR!$E:$Z,MATCH($A99,SPPR!$A:$A,0),14),""),"")</f>
        <v/>
      </c>
      <c r="R99">
        <f>IFERROR(IF(ISNUMBER(INDEX(SPPR!$E:$Z,MATCH($A99,SPPR!$A:$A,0),15)),$C99*INDEX(SPPR!$E:$Z,MATCH($A99,SPPR!$A:$A,0),15),""),"")</f>
        <v/>
      </c>
      <c r="S99">
        <f>IFERROR(IF(ISNUMBER(INDEX(SPPR!$E:$Z,MATCH($A99,SPPR!$A:$A,0),16)),$C99*INDEX(SPPR!$E:$Z,MATCH($A99,SPPR!$A:$A,0),16),""),"")</f>
        <v/>
      </c>
      <c r="T99">
        <f>IFERROR(IF(ISNUMBER(INDEX(SPPR!$E:$Z,MATCH($A99,SPPR!$A:$A,0),17)),$C99*INDEX(SPPR!$E:$Z,MATCH($A99,SPPR!$A:$A,0),17),""),"")</f>
        <v/>
      </c>
      <c r="U99">
        <f>IFERROR(IF(ISNUMBER(INDEX(SPPR!$E:$Z,MATCH($A99,SPPR!$A:$A,0),18)),$C99*INDEX(SPPR!$E:$Z,MATCH($A99,SPPR!$A:$A,0),18),""),"")</f>
        <v/>
      </c>
      <c r="V99">
        <f>IFERROR(IF(ISNUMBER(INDEX(SPPR!$E:$Z,MATCH($A99,SPPR!$A:$A,0),19)),$C99*INDEX(SPPR!$E:$Z,MATCH($A99,SPPR!$A:$A,0),19),""),"")</f>
        <v/>
      </c>
      <c r="W99">
        <f>IFERROR(IF(ISNUMBER(INDEX(SPPR!$E:$Z,MATCH($A99,SPPR!$A:$A,0),20)),$C99*INDEX(SPPR!$E:$Z,MATCH($A99,SPPR!$A:$A,0),20),""),"")</f>
        <v/>
      </c>
      <c r="X99">
        <f>IFERROR(IF(ISNUMBER(INDEX(SPPR!$E:$Z,MATCH($A99,SPPR!$A:$A,0),21)),$C99*INDEX(SPPR!$E:$Z,MATCH($A99,SPPR!$A:$A,0),21),""),"")</f>
        <v/>
      </c>
      <c r="Y99">
        <f>IFERROR(IF(ISNUMBER(INDEX(SPPR!$E:$Z,MATCH($A99,SPPR!$A:$A,0),22)),$C99*INDEX(SPPR!$E:$Z,MATCH($A99,SPPR!$A:$A,0),22),""),"")</f>
        <v/>
      </c>
    </row>
    <row r="100">
      <c r="A100" t="inlineStr">
        <is>
          <t>Megalaspis cordyla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IFERROR(IF(ISNUMBER(INDEX(SPPR!$E:$Z,MATCH($A100,SPPR!$A:$A,0),1)),$C100*INDEX(SPPR!$E:$Z,MATCH($A100,SPPR!$A:$A,0),1),""),"")</f>
        <v/>
      </c>
      <c r="E100">
        <f>IFERROR(IF(ISNUMBER(INDEX(SPPR!$E:$Z,MATCH($A100,SPPR!$A:$A,0),2)),$C100*INDEX(SPPR!$E:$Z,MATCH($A100,SPPR!$A:$A,0),2),""),"")</f>
        <v/>
      </c>
      <c r="F100">
        <f>IFERROR(IF(ISNUMBER(INDEX(SPPR!$E:$Z,MATCH($A100,SPPR!$A:$A,0),3)),$C100*INDEX(SPPR!$E:$Z,MATCH($A100,SPPR!$A:$A,0),3),""),"")</f>
        <v/>
      </c>
      <c r="G100">
        <f>IFERROR(IF(ISNUMBER(INDEX(SPPR!$E:$Z,MATCH($A100,SPPR!$A:$A,0),4)),$C100*INDEX(SPPR!$E:$Z,MATCH($A100,SPPR!$A:$A,0),4),""),"")</f>
        <v/>
      </c>
      <c r="H100">
        <f>IFERROR(IF(ISNUMBER(INDEX(SPPR!$E:$Z,MATCH($A100,SPPR!$A:$A,0),5)),$C100*INDEX(SPPR!$E:$Z,MATCH($A100,SPPR!$A:$A,0),5),""),"")</f>
        <v/>
      </c>
      <c r="I100">
        <f>IFERROR(IF(ISNUMBER(INDEX(SPPR!$E:$Z,MATCH($A100,SPPR!$A:$A,0),6)),$C100*INDEX(SPPR!$E:$Z,MATCH($A100,SPPR!$A:$A,0),6),""),"")</f>
        <v/>
      </c>
      <c r="J100">
        <f>IFERROR(IF(ISNUMBER(INDEX(SPPR!$E:$Z,MATCH($A100,SPPR!$A:$A,0),7)),$C100*INDEX(SPPR!$E:$Z,MATCH($A100,SPPR!$A:$A,0),7),""),"")</f>
        <v/>
      </c>
      <c r="K100">
        <f>IFERROR(IF(ISNUMBER(INDEX(SPPR!$E:$Z,MATCH($A100,SPPR!$A:$A,0),8)),$C100*INDEX(SPPR!$E:$Z,MATCH($A100,SPPR!$A:$A,0),8),""),"")</f>
        <v/>
      </c>
      <c r="L100">
        <f>IFERROR(IF(ISNUMBER(INDEX(SPPR!$E:$Z,MATCH($A100,SPPR!$A:$A,0),9)),$C100*INDEX(SPPR!$E:$Z,MATCH($A100,SPPR!$A:$A,0),9),""),"")</f>
        <v/>
      </c>
      <c r="M100">
        <f>IFERROR(IF(ISNUMBER(INDEX(SPPR!$E:$Z,MATCH($A100,SPPR!$A:$A,0),10)),$C100*INDEX(SPPR!$E:$Z,MATCH($A100,SPPR!$A:$A,0),10),""),"")</f>
        <v/>
      </c>
      <c r="N100">
        <f>IFERROR(IF(ISNUMBER(INDEX(SPPR!$E:$Z,MATCH($A100,SPPR!$A:$A,0),11)),$C100*INDEX(SPPR!$E:$Z,MATCH($A100,SPPR!$A:$A,0),11),""),"")</f>
        <v/>
      </c>
      <c r="O100">
        <f>IFERROR(IF(ISNUMBER(INDEX(SPPR!$E:$Z,MATCH($A100,SPPR!$A:$A,0),12)),$C100*INDEX(SPPR!$E:$Z,MATCH($A100,SPPR!$A:$A,0),12),""),"")</f>
        <v/>
      </c>
      <c r="P100">
        <f>IFERROR(IF(ISNUMBER(INDEX(SPPR!$E:$Z,MATCH($A100,SPPR!$A:$A,0),13)),$C100*INDEX(SPPR!$E:$Z,MATCH($A100,SPPR!$A:$A,0),13),""),"")</f>
        <v/>
      </c>
      <c r="Q100">
        <f>IFERROR(IF(ISNUMBER(INDEX(SPPR!$E:$Z,MATCH($A100,SPPR!$A:$A,0),14)),$C100*INDEX(SPPR!$E:$Z,MATCH($A100,SPPR!$A:$A,0),14),""),"")</f>
        <v/>
      </c>
      <c r="R100">
        <f>IFERROR(IF(ISNUMBER(INDEX(SPPR!$E:$Z,MATCH($A100,SPPR!$A:$A,0),15)),$C100*INDEX(SPPR!$E:$Z,MATCH($A100,SPPR!$A:$A,0),15),""),"")</f>
        <v/>
      </c>
      <c r="S100">
        <f>IFERROR(IF(ISNUMBER(INDEX(SPPR!$E:$Z,MATCH($A100,SPPR!$A:$A,0),16)),$C100*INDEX(SPPR!$E:$Z,MATCH($A100,SPPR!$A:$A,0),16),""),"")</f>
        <v/>
      </c>
      <c r="T100">
        <f>IFERROR(IF(ISNUMBER(INDEX(SPPR!$E:$Z,MATCH($A100,SPPR!$A:$A,0),17)),$C100*INDEX(SPPR!$E:$Z,MATCH($A100,SPPR!$A:$A,0),17),""),"")</f>
        <v/>
      </c>
      <c r="U100">
        <f>IFERROR(IF(ISNUMBER(INDEX(SPPR!$E:$Z,MATCH($A100,SPPR!$A:$A,0),18)),$C100*INDEX(SPPR!$E:$Z,MATCH($A100,SPPR!$A:$A,0),18),""),"")</f>
        <v/>
      </c>
      <c r="V100">
        <f>IFERROR(IF(ISNUMBER(INDEX(SPPR!$E:$Z,MATCH($A100,SPPR!$A:$A,0),19)),$C100*INDEX(SPPR!$E:$Z,MATCH($A100,SPPR!$A:$A,0),19),""),"")</f>
        <v/>
      </c>
      <c r="W100">
        <f>IFERROR(IF(ISNUMBER(INDEX(SPPR!$E:$Z,MATCH($A100,SPPR!$A:$A,0),20)),$C100*INDEX(SPPR!$E:$Z,MATCH($A100,SPPR!$A:$A,0),20),""),"")</f>
        <v/>
      </c>
      <c r="X100">
        <f>IFERROR(IF(ISNUMBER(INDEX(SPPR!$E:$Z,MATCH($A100,SPPR!$A:$A,0),21)),$C100*INDEX(SPPR!$E:$Z,MATCH($A100,SPPR!$A:$A,0),21),""),"")</f>
        <v/>
      </c>
      <c r="Y100">
        <f>IFERROR(IF(ISNUMBER(INDEX(SPPR!$E:$Z,MATCH($A100,SPPR!$A:$A,0),22)),$C100*INDEX(SPPR!$E:$Z,MATCH($A100,SPPR!$A:$A,0),22),""),"")</f>
        <v/>
      </c>
    </row>
    <row r="101">
      <c r="A101" t="inlineStr">
        <is>
          <t>Scomberomorus guttatus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IFERROR(IF(ISNUMBER(INDEX(SPPR!$E:$Z,MATCH($A101,SPPR!$A:$A,0),1)),$C101*INDEX(SPPR!$E:$Z,MATCH($A101,SPPR!$A:$A,0),1),""),"")</f>
        <v/>
      </c>
      <c r="E101">
        <f>IFERROR(IF(ISNUMBER(INDEX(SPPR!$E:$Z,MATCH($A101,SPPR!$A:$A,0),2)),$C101*INDEX(SPPR!$E:$Z,MATCH($A101,SPPR!$A:$A,0),2),""),"")</f>
        <v/>
      </c>
      <c r="F101">
        <f>IFERROR(IF(ISNUMBER(INDEX(SPPR!$E:$Z,MATCH($A101,SPPR!$A:$A,0),3)),$C101*INDEX(SPPR!$E:$Z,MATCH($A101,SPPR!$A:$A,0),3),""),"")</f>
        <v/>
      </c>
      <c r="G101">
        <f>IFERROR(IF(ISNUMBER(INDEX(SPPR!$E:$Z,MATCH($A101,SPPR!$A:$A,0),4)),$C101*INDEX(SPPR!$E:$Z,MATCH($A101,SPPR!$A:$A,0),4),""),"")</f>
        <v/>
      </c>
      <c r="H101">
        <f>IFERROR(IF(ISNUMBER(INDEX(SPPR!$E:$Z,MATCH($A101,SPPR!$A:$A,0),5)),$C101*INDEX(SPPR!$E:$Z,MATCH($A101,SPPR!$A:$A,0),5),""),"")</f>
        <v/>
      </c>
      <c r="I101">
        <f>IFERROR(IF(ISNUMBER(INDEX(SPPR!$E:$Z,MATCH($A101,SPPR!$A:$A,0),6)),$C101*INDEX(SPPR!$E:$Z,MATCH($A101,SPPR!$A:$A,0),6),""),"")</f>
        <v/>
      </c>
      <c r="J101">
        <f>IFERROR(IF(ISNUMBER(INDEX(SPPR!$E:$Z,MATCH($A101,SPPR!$A:$A,0),7)),$C101*INDEX(SPPR!$E:$Z,MATCH($A101,SPPR!$A:$A,0),7),""),"")</f>
        <v/>
      </c>
      <c r="K101">
        <f>IFERROR(IF(ISNUMBER(INDEX(SPPR!$E:$Z,MATCH($A101,SPPR!$A:$A,0),8)),$C101*INDEX(SPPR!$E:$Z,MATCH($A101,SPPR!$A:$A,0),8),""),"")</f>
        <v/>
      </c>
      <c r="L101">
        <f>IFERROR(IF(ISNUMBER(INDEX(SPPR!$E:$Z,MATCH($A101,SPPR!$A:$A,0),9)),$C101*INDEX(SPPR!$E:$Z,MATCH($A101,SPPR!$A:$A,0),9),""),"")</f>
        <v/>
      </c>
      <c r="M101">
        <f>IFERROR(IF(ISNUMBER(INDEX(SPPR!$E:$Z,MATCH($A101,SPPR!$A:$A,0),10)),$C101*INDEX(SPPR!$E:$Z,MATCH($A101,SPPR!$A:$A,0),10),""),"")</f>
        <v/>
      </c>
      <c r="N101">
        <f>IFERROR(IF(ISNUMBER(INDEX(SPPR!$E:$Z,MATCH($A101,SPPR!$A:$A,0),11)),$C101*INDEX(SPPR!$E:$Z,MATCH($A101,SPPR!$A:$A,0),11),""),"")</f>
        <v/>
      </c>
      <c r="O101">
        <f>IFERROR(IF(ISNUMBER(INDEX(SPPR!$E:$Z,MATCH($A101,SPPR!$A:$A,0),12)),$C101*INDEX(SPPR!$E:$Z,MATCH($A101,SPPR!$A:$A,0),12),""),"")</f>
        <v/>
      </c>
      <c r="P101">
        <f>IFERROR(IF(ISNUMBER(INDEX(SPPR!$E:$Z,MATCH($A101,SPPR!$A:$A,0),13)),$C101*INDEX(SPPR!$E:$Z,MATCH($A101,SPPR!$A:$A,0),13),""),"")</f>
        <v/>
      </c>
      <c r="Q101">
        <f>IFERROR(IF(ISNUMBER(INDEX(SPPR!$E:$Z,MATCH($A101,SPPR!$A:$A,0),14)),$C101*INDEX(SPPR!$E:$Z,MATCH($A101,SPPR!$A:$A,0),14),""),"")</f>
        <v/>
      </c>
      <c r="R101">
        <f>IFERROR(IF(ISNUMBER(INDEX(SPPR!$E:$Z,MATCH($A101,SPPR!$A:$A,0),15)),$C101*INDEX(SPPR!$E:$Z,MATCH($A101,SPPR!$A:$A,0),15),""),"")</f>
        <v/>
      </c>
      <c r="S101">
        <f>IFERROR(IF(ISNUMBER(INDEX(SPPR!$E:$Z,MATCH($A101,SPPR!$A:$A,0),16)),$C101*INDEX(SPPR!$E:$Z,MATCH($A101,SPPR!$A:$A,0),16),""),"")</f>
        <v/>
      </c>
      <c r="T101">
        <f>IFERROR(IF(ISNUMBER(INDEX(SPPR!$E:$Z,MATCH($A101,SPPR!$A:$A,0),17)),$C101*INDEX(SPPR!$E:$Z,MATCH($A101,SPPR!$A:$A,0),17),""),"")</f>
        <v/>
      </c>
      <c r="U101">
        <f>IFERROR(IF(ISNUMBER(INDEX(SPPR!$E:$Z,MATCH($A101,SPPR!$A:$A,0),18)),$C101*INDEX(SPPR!$E:$Z,MATCH($A101,SPPR!$A:$A,0),18),""),"")</f>
        <v/>
      </c>
      <c r="V101">
        <f>IFERROR(IF(ISNUMBER(INDEX(SPPR!$E:$Z,MATCH($A101,SPPR!$A:$A,0),19)),$C101*INDEX(SPPR!$E:$Z,MATCH($A101,SPPR!$A:$A,0),19),""),"")</f>
        <v/>
      </c>
      <c r="W101">
        <f>IFERROR(IF(ISNUMBER(INDEX(SPPR!$E:$Z,MATCH($A101,SPPR!$A:$A,0),20)),$C101*INDEX(SPPR!$E:$Z,MATCH($A101,SPPR!$A:$A,0),20),""),"")</f>
        <v/>
      </c>
      <c r="X101">
        <f>IFERROR(IF(ISNUMBER(INDEX(SPPR!$E:$Z,MATCH($A101,SPPR!$A:$A,0),21)),$C101*INDEX(SPPR!$E:$Z,MATCH($A101,SPPR!$A:$A,0),21),""),"")</f>
        <v/>
      </c>
      <c r="Y101">
        <f>IFERROR(IF(ISNUMBER(INDEX(SPPR!$E:$Z,MATCH($A101,SPPR!$A:$A,0),22)),$C101*INDEX(SPPR!$E:$Z,MATCH($A101,SPPR!$A:$A,0),22),""),"")</f>
        <v/>
      </c>
    </row>
    <row r="102">
      <c r="A102" t="inlineStr">
        <is>
          <t>Atrobucca nibe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IFERROR(IF(ISNUMBER(INDEX(SPPR!$E:$Z,MATCH($A102,SPPR!$A:$A,0),1)),$C102*INDEX(SPPR!$E:$Z,MATCH($A102,SPPR!$A:$A,0),1),""),"")</f>
        <v/>
      </c>
      <c r="E102">
        <f>IFERROR(IF(ISNUMBER(INDEX(SPPR!$E:$Z,MATCH($A102,SPPR!$A:$A,0),2)),$C102*INDEX(SPPR!$E:$Z,MATCH($A102,SPPR!$A:$A,0),2),""),"")</f>
        <v/>
      </c>
      <c r="F102">
        <f>IFERROR(IF(ISNUMBER(INDEX(SPPR!$E:$Z,MATCH($A102,SPPR!$A:$A,0),3)),$C102*INDEX(SPPR!$E:$Z,MATCH($A102,SPPR!$A:$A,0),3),""),"")</f>
        <v/>
      </c>
      <c r="G102">
        <f>IFERROR(IF(ISNUMBER(INDEX(SPPR!$E:$Z,MATCH($A102,SPPR!$A:$A,0),4)),$C102*INDEX(SPPR!$E:$Z,MATCH($A102,SPPR!$A:$A,0),4),""),"")</f>
        <v/>
      </c>
      <c r="H102">
        <f>IFERROR(IF(ISNUMBER(INDEX(SPPR!$E:$Z,MATCH($A102,SPPR!$A:$A,0),5)),$C102*INDEX(SPPR!$E:$Z,MATCH($A102,SPPR!$A:$A,0),5),""),"")</f>
        <v/>
      </c>
      <c r="I102">
        <f>IFERROR(IF(ISNUMBER(INDEX(SPPR!$E:$Z,MATCH($A102,SPPR!$A:$A,0),6)),$C102*INDEX(SPPR!$E:$Z,MATCH($A102,SPPR!$A:$A,0),6),""),"")</f>
        <v/>
      </c>
      <c r="J102">
        <f>IFERROR(IF(ISNUMBER(INDEX(SPPR!$E:$Z,MATCH($A102,SPPR!$A:$A,0),7)),$C102*INDEX(SPPR!$E:$Z,MATCH($A102,SPPR!$A:$A,0),7),""),"")</f>
        <v/>
      </c>
      <c r="K102">
        <f>IFERROR(IF(ISNUMBER(INDEX(SPPR!$E:$Z,MATCH($A102,SPPR!$A:$A,0),8)),$C102*INDEX(SPPR!$E:$Z,MATCH($A102,SPPR!$A:$A,0),8),""),"")</f>
        <v/>
      </c>
      <c r="L102">
        <f>IFERROR(IF(ISNUMBER(INDEX(SPPR!$E:$Z,MATCH($A102,SPPR!$A:$A,0),9)),$C102*INDEX(SPPR!$E:$Z,MATCH($A102,SPPR!$A:$A,0),9),""),"")</f>
        <v/>
      </c>
      <c r="M102">
        <f>IFERROR(IF(ISNUMBER(INDEX(SPPR!$E:$Z,MATCH($A102,SPPR!$A:$A,0),10)),$C102*INDEX(SPPR!$E:$Z,MATCH($A102,SPPR!$A:$A,0),10),""),"")</f>
        <v/>
      </c>
      <c r="N102">
        <f>IFERROR(IF(ISNUMBER(INDEX(SPPR!$E:$Z,MATCH($A102,SPPR!$A:$A,0),11)),$C102*INDEX(SPPR!$E:$Z,MATCH($A102,SPPR!$A:$A,0),11),""),"")</f>
        <v/>
      </c>
      <c r="O102">
        <f>IFERROR(IF(ISNUMBER(INDEX(SPPR!$E:$Z,MATCH($A102,SPPR!$A:$A,0),12)),$C102*INDEX(SPPR!$E:$Z,MATCH($A102,SPPR!$A:$A,0),12),""),"")</f>
        <v/>
      </c>
      <c r="P102">
        <f>IFERROR(IF(ISNUMBER(INDEX(SPPR!$E:$Z,MATCH($A102,SPPR!$A:$A,0),13)),$C102*INDEX(SPPR!$E:$Z,MATCH($A102,SPPR!$A:$A,0),13),""),"")</f>
        <v/>
      </c>
      <c r="Q102">
        <f>IFERROR(IF(ISNUMBER(INDEX(SPPR!$E:$Z,MATCH($A102,SPPR!$A:$A,0),14)),$C102*INDEX(SPPR!$E:$Z,MATCH($A102,SPPR!$A:$A,0),14),""),"")</f>
        <v/>
      </c>
      <c r="R102">
        <f>IFERROR(IF(ISNUMBER(INDEX(SPPR!$E:$Z,MATCH($A102,SPPR!$A:$A,0),15)),$C102*INDEX(SPPR!$E:$Z,MATCH($A102,SPPR!$A:$A,0),15),""),"")</f>
        <v/>
      </c>
      <c r="S102">
        <f>IFERROR(IF(ISNUMBER(INDEX(SPPR!$E:$Z,MATCH($A102,SPPR!$A:$A,0),16)),$C102*INDEX(SPPR!$E:$Z,MATCH($A102,SPPR!$A:$A,0),16),""),"")</f>
        <v/>
      </c>
      <c r="T102">
        <f>IFERROR(IF(ISNUMBER(INDEX(SPPR!$E:$Z,MATCH($A102,SPPR!$A:$A,0),17)),$C102*INDEX(SPPR!$E:$Z,MATCH($A102,SPPR!$A:$A,0),17),""),"")</f>
        <v/>
      </c>
      <c r="U102">
        <f>IFERROR(IF(ISNUMBER(INDEX(SPPR!$E:$Z,MATCH($A102,SPPR!$A:$A,0),18)),$C102*INDEX(SPPR!$E:$Z,MATCH($A102,SPPR!$A:$A,0),18),""),"")</f>
        <v/>
      </c>
      <c r="V102">
        <f>IFERROR(IF(ISNUMBER(INDEX(SPPR!$E:$Z,MATCH($A102,SPPR!$A:$A,0),19)),$C102*INDEX(SPPR!$E:$Z,MATCH($A102,SPPR!$A:$A,0),19),""),"")</f>
        <v/>
      </c>
      <c r="W102">
        <f>IFERROR(IF(ISNUMBER(INDEX(SPPR!$E:$Z,MATCH($A102,SPPR!$A:$A,0),20)),$C102*INDEX(SPPR!$E:$Z,MATCH($A102,SPPR!$A:$A,0),20),""),"")</f>
        <v/>
      </c>
      <c r="X102">
        <f>IFERROR(IF(ISNUMBER(INDEX(SPPR!$E:$Z,MATCH($A102,SPPR!$A:$A,0),21)),$C102*INDEX(SPPR!$E:$Z,MATCH($A102,SPPR!$A:$A,0),21),""),"")</f>
        <v/>
      </c>
      <c r="Y102">
        <f>IFERROR(IF(ISNUMBER(INDEX(SPPR!$E:$Z,MATCH($A102,SPPR!$A:$A,0),22)),$C102*INDEX(SPPR!$E:$Z,MATCH($A102,SPPR!$A:$A,0),22),""),"")</f>
        <v/>
      </c>
    </row>
    <row r="103">
      <c r="A103" t="inlineStr">
        <is>
          <t>Trichiuridae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IFERROR(IF(ISNUMBER(INDEX(SPPR!$E:$Z,MATCH($A103,SPPR!$A:$A,0),1)),$C103*INDEX(SPPR!$E:$Z,MATCH($A103,SPPR!$A:$A,0),1),""),"")</f>
        <v/>
      </c>
      <c r="E103">
        <f>IFERROR(IF(ISNUMBER(INDEX(SPPR!$E:$Z,MATCH($A103,SPPR!$A:$A,0),2)),$C103*INDEX(SPPR!$E:$Z,MATCH($A103,SPPR!$A:$A,0),2),""),"")</f>
        <v/>
      </c>
      <c r="F103">
        <f>IFERROR(IF(ISNUMBER(INDEX(SPPR!$E:$Z,MATCH($A103,SPPR!$A:$A,0),3)),$C103*INDEX(SPPR!$E:$Z,MATCH($A103,SPPR!$A:$A,0),3),""),"")</f>
        <v/>
      </c>
      <c r="G103">
        <f>IFERROR(IF(ISNUMBER(INDEX(SPPR!$E:$Z,MATCH($A103,SPPR!$A:$A,0),4)),$C103*INDEX(SPPR!$E:$Z,MATCH($A103,SPPR!$A:$A,0),4),""),"")</f>
        <v/>
      </c>
      <c r="H103">
        <f>IFERROR(IF(ISNUMBER(INDEX(SPPR!$E:$Z,MATCH($A103,SPPR!$A:$A,0),5)),$C103*INDEX(SPPR!$E:$Z,MATCH($A103,SPPR!$A:$A,0),5),""),"")</f>
        <v/>
      </c>
      <c r="I103">
        <f>IFERROR(IF(ISNUMBER(INDEX(SPPR!$E:$Z,MATCH($A103,SPPR!$A:$A,0),6)),$C103*INDEX(SPPR!$E:$Z,MATCH($A103,SPPR!$A:$A,0),6),""),"")</f>
        <v/>
      </c>
      <c r="J103">
        <f>IFERROR(IF(ISNUMBER(INDEX(SPPR!$E:$Z,MATCH($A103,SPPR!$A:$A,0),7)),$C103*INDEX(SPPR!$E:$Z,MATCH($A103,SPPR!$A:$A,0),7),""),"")</f>
        <v/>
      </c>
      <c r="K103">
        <f>IFERROR(IF(ISNUMBER(INDEX(SPPR!$E:$Z,MATCH($A103,SPPR!$A:$A,0),8)),$C103*INDEX(SPPR!$E:$Z,MATCH($A103,SPPR!$A:$A,0),8),""),"")</f>
        <v/>
      </c>
      <c r="L103">
        <f>IFERROR(IF(ISNUMBER(INDEX(SPPR!$E:$Z,MATCH($A103,SPPR!$A:$A,0),9)),$C103*INDEX(SPPR!$E:$Z,MATCH($A103,SPPR!$A:$A,0),9),""),"")</f>
        <v/>
      </c>
      <c r="M103">
        <f>IFERROR(IF(ISNUMBER(INDEX(SPPR!$E:$Z,MATCH($A103,SPPR!$A:$A,0),10)),$C103*INDEX(SPPR!$E:$Z,MATCH($A103,SPPR!$A:$A,0),10),""),"")</f>
        <v/>
      </c>
      <c r="N103">
        <f>IFERROR(IF(ISNUMBER(INDEX(SPPR!$E:$Z,MATCH($A103,SPPR!$A:$A,0),11)),$C103*INDEX(SPPR!$E:$Z,MATCH($A103,SPPR!$A:$A,0),11),""),"")</f>
        <v/>
      </c>
      <c r="O103">
        <f>IFERROR(IF(ISNUMBER(INDEX(SPPR!$E:$Z,MATCH($A103,SPPR!$A:$A,0),12)),$C103*INDEX(SPPR!$E:$Z,MATCH($A103,SPPR!$A:$A,0),12),""),"")</f>
        <v/>
      </c>
      <c r="P103">
        <f>IFERROR(IF(ISNUMBER(INDEX(SPPR!$E:$Z,MATCH($A103,SPPR!$A:$A,0),13)),$C103*INDEX(SPPR!$E:$Z,MATCH($A103,SPPR!$A:$A,0),13),""),"")</f>
        <v/>
      </c>
      <c r="Q103">
        <f>IFERROR(IF(ISNUMBER(INDEX(SPPR!$E:$Z,MATCH($A103,SPPR!$A:$A,0),14)),$C103*INDEX(SPPR!$E:$Z,MATCH($A103,SPPR!$A:$A,0),14),""),"")</f>
        <v/>
      </c>
      <c r="R103">
        <f>IFERROR(IF(ISNUMBER(INDEX(SPPR!$E:$Z,MATCH($A103,SPPR!$A:$A,0),15)),$C103*INDEX(SPPR!$E:$Z,MATCH($A103,SPPR!$A:$A,0),15),""),"")</f>
        <v/>
      </c>
      <c r="S103">
        <f>IFERROR(IF(ISNUMBER(INDEX(SPPR!$E:$Z,MATCH($A103,SPPR!$A:$A,0),16)),$C103*INDEX(SPPR!$E:$Z,MATCH($A103,SPPR!$A:$A,0),16),""),"")</f>
        <v/>
      </c>
      <c r="T103">
        <f>IFERROR(IF(ISNUMBER(INDEX(SPPR!$E:$Z,MATCH($A103,SPPR!$A:$A,0),17)),$C103*INDEX(SPPR!$E:$Z,MATCH($A103,SPPR!$A:$A,0),17),""),"")</f>
        <v/>
      </c>
      <c r="U103">
        <f>IFERROR(IF(ISNUMBER(INDEX(SPPR!$E:$Z,MATCH($A103,SPPR!$A:$A,0),18)),$C103*INDEX(SPPR!$E:$Z,MATCH($A103,SPPR!$A:$A,0),18),""),"")</f>
        <v/>
      </c>
      <c r="V103">
        <f>IFERROR(IF(ISNUMBER(INDEX(SPPR!$E:$Z,MATCH($A103,SPPR!$A:$A,0),19)),$C103*INDEX(SPPR!$E:$Z,MATCH($A103,SPPR!$A:$A,0),19),""),"")</f>
        <v/>
      </c>
      <c r="W103">
        <f>IFERROR(IF(ISNUMBER(INDEX(SPPR!$E:$Z,MATCH($A103,SPPR!$A:$A,0),20)),$C103*INDEX(SPPR!$E:$Z,MATCH($A103,SPPR!$A:$A,0),20),""),"")</f>
        <v/>
      </c>
      <c r="X103">
        <f>IFERROR(IF(ISNUMBER(INDEX(SPPR!$E:$Z,MATCH($A103,SPPR!$A:$A,0),21)),$C103*INDEX(SPPR!$E:$Z,MATCH($A103,SPPR!$A:$A,0),21),""),"")</f>
        <v/>
      </c>
      <c r="Y103">
        <f>IFERROR(IF(ISNUMBER(INDEX(SPPR!$E:$Z,MATCH($A103,SPPR!$A:$A,0),22)),$C103*INDEX(SPPR!$E:$Z,MATCH($A103,SPPR!$A:$A,0),22),""),"")</f>
        <v/>
      </c>
    </row>
    <row r="104">
      <c r="A104" t="inlineStr">
        <is>
          <t>Thunnus tonggol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IFERROR(IF(ISNUMBER(INDEX(SPPR!$E:$Z,MATCH($A104,SPPR!$A:$A,0),1)),$C104*INDEX(SPPR!$E:$Z,MATCH($A104,SPPR!$A:$A,0),1),""),"")</f>
        <v/>
      </c>
      <c r="E104">
        <f>IFERROR(IF(ISNUMBER(INDEX(SPPR!$E:$Z,MATCH($A104,SPPR!$A:$A,0),2)),$C104*INDEX(SPPR!$E:$Z,MATCH($A104,SPPR!$A:$A,0),2),""),"")</f>
        <v/>
      </c>
      <c r="F104">
        <f>IFERROR(IF(ISNUMBER(INDEX(SPPR!$E:$Z,MATCH($A104,SPPR!$A:$A,0),3)),$C104*INDEX(SPPR!$E:$Z,MATCH($A104,SPPR!$A:$A,0),3),""),"")</f>
        <v/>
      </c>
      <c r="G104">
        <f>IFERROR(IF(ISNUMBER(INDEX(SPPR!$E:$Z,MATCH($A104,SPPR!$A:$A,0),4)),$C104*INDEX(SPPR!$E:$Z,MATCH($A104,SPPR!$A:$A,0),4),""),"")</f>
        <v/>
      </c>
      <c r="H104">
        <f>IFERROR(IF(ISNUMBER(INDEX(SPPR!$E:$Z,MATCH($A104,SPPR!$A:$A,0),5)),$C104*INDEX(SPPR!$E:$Z,MATCH($A104,SPPR!$A:$A,0),5),""),"")</f>
        <v/>
      </c>
      <c r="I104">
        <f>IFERROR(IF(ISNUMBER(INDEX(SPPR!$E:$Z,MATCH($A104,SPPR!$A:$A,0),6)),$C104*INDEX(SPPR!$E:$Z,MATCH($A104,SPPR!$A:$A,0),6),""),"")</f>
        <v/>
      </c>
      <c r="J104">
        <f>IFERROR(IF(ISNUMBER(INDEX(SPPR!$E:$Z,MATCH($A104,SPPR!$A:$A,0),7)),$C104*INDEX(SPPR!$E:$Z,MATCH($A104,SPPR!$A:$A,0),7),""),"")</f>
        <v/>
      </c>
      <c r="K104">
        <f>IFERROR(IF(ISNUMBER(INDEX(SPPR!$E:$Z,MATCH($A104,SPPR!$A:$A,0),8)),$C104*INDEX(SPPR!$E:$Z,MATCH($A104,SPPR!$A:$A,0),8),""),"")</f>
        <v/>
      </c>
      <c r="L104">
        <f>IFERROR(IF(ISNUMBER(INDEX(SPPR!$E:$Z,MATCH($A104,SPPR!$A:$A,0),9)),$C104*INDEX(SPPR!$E:$Z,MATCH($A104,SPPR!$A:$A,0),9),""),"")</f>
        <v/>
      </c>
      <c r="M104">
        <f>IFERROR(IF(ISNUMBER(INDEX(SPPR!$E:$Z,MATCH($A104,SPPR!$A:$A,0),10)),$C104*INDEX(SPPR!$E:$Z,MATCH($A104,SPPR!$A:$A,0),10),""),"")</f>
        <v/>
      </c>
      <c r="N104">
        <f>IFERROR(IF(ISNUMBER(INDEX(SPPR!$E:$Z,MATCH($A104,SPPR!$A:$A,0),11)),$C104*INDEX(SPPR!$E:$Z,MATCH($A104,SPPR!$A:$A,0),11),""),"")</f>
        <v/>
      </c>
      <c r="O104">
        <f>IFERROR(IF(ISNUMBER(INDEX(SPPR!$E:$Z,MATCH($A104,SPPR!$A:$A,0),12)),$C104*INDEX(SPPR!$E:$Z,MATCH($A104,SPPR!$A:$A,0),12),""),"")</f>
        <v/>
      </c>
      <c r="P104">
        <f>IFERROR(IF(ISNUMBER(INDEX(SPPR!$E:$Z,MATCH($A104,SPPR!$A:$A,0),13)),$C104*INDEX(SPPR!$E:$Z,MATCH($A104,SPPR!$A:$A,0),13),""),"")</f>
        <v/>
      </c>
      <c r="Q104">
        <f>IFERROR(IF(ISNUMBER(INDEX(SPPR!$E:$Z,MATCH($A104,SPPR!$A:$A,0),14)),$C104*INDEX(SPPR!$E:$Z,MATCH($A104,SPPR!$A:$A,0),14),""),"")</f>
        <v/>
      </c>
      <c r="R104">
        <f>IFERROR(IF(ISNUMBER(INDEX(SPPR!$E:$Z,MATCH($A104,SPPR!$A:$A,0),15)),$C104*INDEX(SPPR!$E:$Z,MATCH($A104,SPPR!$A:$A,0),15),""),"")</f>
        <v/>
      </c>
      <c r="S104">
        <f>IFERROR(IF(ISNUMBER(INDEX(SPPR!$E:$Z,MATCH($A104,SPPR!$A:$A,0),16)),$C104*INDEX(SPPR!$E:$Z,MATCH($A104,SPPR!$A:$A,0),16),""),"")</f>
        <v/>
      </c>
      <c r="T104">
        <f>IFERROR(IF(ISNUMBER(INDEX(SPPR!$E:$Z,MATCH($A104,SPPR!$A:$A,0),17)),$C104*INDEX(SPPR!$E:$Z,MATCH($A104,SPPR!$A:$A,0),17),""),"")</f>
        <v/>
      </c>
      <c r="U104">
        <f>IFERROR(IF(ISNUMBER(INDEX(SPPR!$E:$Z,MATCH($A104,SPPR!$A:$A,0),18)),$C104*INDEX(SPPR!$E:$Z,MATCH($A104,SPPR!$A:$A,0),18),""),"")</f>
        <v/>
      </c>
      <c r="V104">
        <f>IFERROR(IF(ISNUMBER(INDEX(SPPR!$E:$Z,MATCH($A104,SPPR!$A:$A,0),19)),$C104*INDEX(SPPR!$E:$Z,MATCH($A104,SPPR!$A:$A,0),19),""),"")</f>
        <v/>
      </c>
      <c r="W104">
        <f>IFERROR(IF(ISNUMBER(INDEX(SPPR!$E:$Z,MATCH($A104,SPPR!$A:$A,0),20)),$C104*INDEX(SPPR!$E:$Z,MATCH($A104,SPPR!$A:$A,0),20),""),"")</f>
        <v/>
      </c>
      <c r="X104">
        <f>IFERROR(IF(ISNUMBER(INDEX(SPPR!$E:$Z,MATCH($A104,SPPR!$A:$A,0),21)),$C104*INDEX(SPPR!$E:$Z,MATCH($A104,SPPR!$A:$A,0),21),""),"")</f>
        <v/>
      </c>
      <c r="Y104">
        <f>IFERROR(IF(ISNUMBER(INDEX(SPPR!$E:$Z,MATCH($A104,SPPR!$A:$A,0),22)),$C104*INDEX(SPPR!$E:$Z,MATCH($A104,SPPR!$A:$A,0),22),""),"")</f>
        <v/>
      </c>
    </row>
    <row r="105">
      <c r="A105" t="inlineStr">
        <is>
          <t>Penaeus indicus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IFERROR(IF(ISNUMBER(INDEX(SPPR!$E:$Z,MATCH($A105,SPPR!$A:$A,0),1)),$C105*INDEX(SPPR!$E:$Z,MATCH($A105,SPPR!$A:$A,0),1),""),"")</f>
        <v/>
      </c>
      <c r="E105">
        <f>IFERROR(IF(ISNUMBER(INDEX(SPPR!$E:$Z,MATCH($A105,SPPR!$A:$A,0),2)),$C105*INDEX(SPPR!$E:$Z,MATCH($A105,SPPR!$A:$A,0),2),""),"")</f>
        <v/>
      </c>
      <c r="F105">
        <f>IFERROR(IF(ISNUMBER(INDEX(SPPR!$E:$Z,MATCH($A105,SPPR!$A:$A,0),3)),$C105*INDEX(SPPR!$E:$Z,MATCH($A105,SPPR!$A:$A,0),3),""),"")</f>
        <v/>
      </c>
      <c r="G105">
        <f>IFERROR(IF(ISNUMBER(INDEX(SPPR!$E:$Z,MATCH($A105,SPPR!$A:$A,0),4)),$C105*INDEX(SPPR!$E:$Z,MATCH($A105,SPPR!$A:$A,0),4),""),"")</f>
        <v/>
      </c>
      <c r="H105">
        <f>IFERROR(IF(ISNUMBER(INDEX(SPPR!$E:$Z,MATCH($A105,SPPR!$A:$A,0),5)),$C105*INDEX(SPPR!$E:$Z,MATCH($A105,SPPR!$A:$A,0),5),""),"")</f>
        <v/>
      </c>
      <c r="I105">
        <f>IFERROR(IF(ISNUMBER(INDEX(SPPR!$E:$Z,MATCH($A105,SPPR!$A:$A,0),6)),$C105*INDEX(SPPR!$E:$Z,MATCH($A105,SPPR!$A:$A,0),6),""),"")</f>
        <v/>
      </c>
      <c r="J105">
        <f>IFERROR(IF(ISNUMBER(INDEX(SPPR!$E:$Z,MATCH($A105,SPPR!$A:$A,0),7)),$C105*INDEX(SPPR!$E:$Z,MATCH($A105,SPPR!$A:$A,0),7),""),"")</f>
        <v/>
      </c>
      <c r="K105">
        <f>IFERROR(IF(ISNUMBER(INDEX(SPPR!$E:$Z,MATCH($A105,SPPR!$A:$A,0),8)),$C105*INDEX(SPPR!$E:$Z,MATCH($A105,SPPR!$A:$A,0),8),""),"")</f>
        <v/>
      </c>
      <c r="L105">
        <f>IFERROR(IF(ISNUMBER(INDEX(SPPR!$E:$Z,MATCH($A105,SPPR!$A:$A,0),9)),$C105*INDEX(SPPR!$E:$Z,MATCH($A105,SPPR!$A:$A,0),9),""),"")</f>
        <v/>
      </c>
      <c r="M105">
        <f>IFERROR(IF(ISNUMBER(INDEX(SPPR!$E:$Z,MATCH($A105,SPPR!$A:$A,0),10)),$C105*INDEX(SPPR!$E:$Z,MATCH($A105,SPPR!$A:$A,0),10),""),"")</f>
        <v/>
      </c>
      <c r="N105">
        <f>IFERROR(IF(ISNUMBER(INDEX(SPPR!$E:$Z,MATCH($A105,SPPR!$A:$A,0),11)),$C105*INDEX(SPPR!$E:$Z,MATCH($A105,SPPR!$A:$A,0),11),""),"")</f>
        <v/>
      </c>
      <c r="O105">
        <f>IFERROR(IF(ISNUMBER(INDEX(SPPR!$E:$Z,MATCH($A105,SPPR!$A:$A,0),12)),$C105*INDEX(SPPR!$E:$Z,MATCH($A105,SPPR!$A:$A,0),12),""),"")</f>
        <v/>
      </c>
      <c r="P105">
        <f>IFERROR(IF(ISNUMBER(INDEX(SPPR!$E:$Z,MATCH($A105,SPPR!$A:$A,0),13)),$C105*INDEX(SPPR!$E:$Z,MATCH($A105,SPPR!$A:$A,0),13),""),"")</f>
        <v/>
      </c>
      <c r="Q105">
        <f>IFERROR(IF(ISNUMBER(INDEX(SPPR!$E:$Z,MATCH($A105,SPPR!$A:$A,0),14)),$C105*INDEX(SPPR!$E:$Z,MATCH($A105,SPPR!$A:$A,0),14),""),"")</f>
        <v/>
      </c>
      <c r="R105">
        <f>IFERROR(IF(ISNUMBER(INDEX(SPPR!$E:$Z,MATCH($A105,SPPR!$A:$A,0),15)),$C105*INDEX(SPPR!$E:$Z,MATCH($A105,SPPR!$A:$A,0),15),""),"")</f>
        <v/>
      </c>
      <c r="S105">
        <f>IFERROR(IF(ISNUMBER(INDEX(SPPR!$E:$Z,MATCH($A105,SPPR!$A:$A,0),16)),$C105*INDEX(SPPR!$E:$Z,MATCH($A105,SPPR!$A:$A,0),16),""),"")</f>
        <v/>
      </c>
      <c r="T105">
        <f>IFERROR(IF(ISNUMBER(INDEX(SPPR!$E:$Z,MATCH($A105,SPPR!$A:$A,0),17)),$C105*INDEX(SPPR!$E:$Z,MATCH($A105,SPPR!$A:$A,0),17),""),"")</f>
        <v/>
      </c>
      <c r="U105">
        <f>IFERROR(IF(ISNUMBER(INDEX(SPPR!$E:$Z,MATCH($A105,SPPR!$A:$A,0),18)),$C105*INDEX(SPPR!$E:$Z,MATCH($A105,SPPR!$A:$A,0),18),""),"")</f>
        <v/>
      </c>
      <c r="V105">
        <f>IFERROR(IF(ISNUMBER(INDEX(SPPR!$E:$Z,MATCH($A105,SPPR!$A:$A,0),19)),$C105*INDEX(SPPR!$E:$Z,MATCH($A105,SPPR!$A:$A,0),19),""),"")</f>
        <v/>
      </c>
      <c r="W105">
        <f>IFERROR(IF(ISNUMBER(INDEX(SPPR!$E:$Z,MATCH($A105,SPPR!$A:$A,0),20)),$C105*INDEX(SPPR!$E:$Z,MATCH($A105,SPPR!$A:$A,0),20),""),"")</f>
        <v/>
      </c>
      <c r="X105">
        <f>IFERROR(IF(ISNUMBER(INDEX(SPPR!$E:$Z,MATCH($A105,SPPR!$A:$A,0),21)),$C105*INDEX(SPPR!$E:$Z,MATCH($A105,SPPR!$A:$A,0),21),""),"")</f>
        <v/>
      </c>
      <c r="Y105">
        <f>IFERROR(IF(ISNUMBER(INDEX(SPPR!$E:$Z,MATCH($A105,SPPR!$A:$A,0),22)),$C105*INDEX(SPPR!$E:$Z,MATCH($A105,SPPR!$A:$A,0),22),""),"")</f>
        <v/>
      </c>
    </row>
    <row r="106">
      <c r="A106" t="inlineStr">
        <is>
          <t>Rhopilema esculentum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IFERROR(IF(ISNUMBER(INDEX(SPPR!$E:$Z,MATCH($A106,SPPR!$A:$A,0),1)),$C106*INDEX(SPPR!$E:$Z,MATCH($A106,SPPR!$A:$A,0),1),""),"")</f>
        <v/>
      </c>
      <c r="E106">
        <f>IFERROR(IF(ISNUMBER(INDEX(SPPR!$E:$Z,MATCH($A106,SPPR!$A:$A,0),2)),$C106*INDEX(SPPR!$E:$Z,MATCH($A106,SPPR!$A:$A,0),2),""),"")</f>
        <v/>
      </c>
      <c r="F106">
        <f>IFERROR(IF(ISNUMBER(INDEX(SPPR!$E:$Z,MATCH($A106,SPPR!$A:$A,0),3)),$C106*INDEX(SPPR!$E:$Z,MATCH($A106,SPPR!$A:$A,0),3),""),"")</f>
        <v/>
      </c>
      <c r="G106">
        <f>IFERROR(IF(ISNUMBER(INDEX(SPPR!$E:$Z,MATCH($A106,SPPR!$A:$A,0),4)),$C106*INDEX(SPPR!$E:$Z,MATCH($A106,SPPR!$A:$A,0),4),""),"")</f>
        <v/>
      </c>
      <c r="H106">
        <f>IFERROR(IF(ISNUMBER(INDEX(SPPR!$E:$Z,MATCH($A106,SPPR!$A:$A,0),5)),$C106*INDEX(SPPR!$E:$Z,MATCH($A106,SPPR!$A:$A,0),5),""),"")</f>
        <v/>
      </c>
      <c r="I106">
        <f>IFERROR(IF(ISNUMBER(INDEX(SPPR!$E:$Z,MATCH($A106,SPPR!$A:$A,0),6)),$C106*INDEX(SPPR!$E:$Z,MATCH($A106,SPPR!$A:$A,0),6),""),"")</f>
        <v/>
      </c>
      <c r="J106">
        <f>IFERROR(IF(ISNUMBER(INDEX(SPPR!$E:$Z,MATCH($A106,SPPR!$A:$A,0),7)),$C106*INDEX(SPPR!$E:$Z,MATCH($A106,SPPR!$A:$A,0),7),""),"")</f>
        <v/>
      </c>
      <c r="K106">
        <f>IFERROR(IF(ISNUMBER(INDEX(SPPR!$E:$Z,MATCH($A106,SPPR!$A:$A,0),8)),$C106*INDEX(SPPR!$E:$Z,MATCH($A106,SPPR!$A:$A,0),8),""),"")</f>
        <v/>
      </c>
      <c r="L106">
        <f>IFERROR(IF(ISNUMBER(INDEX(SPPR!$E:$Z,MATCH($A106,SPPR!$A:$A,0),9)),$C106*INDEX(SPPR!$E:$Z,MATCH($A106,SPPR!$A:$A,0),9),""),"")</f>
        <v/>
      </c>
      <c r="M106">
        <f>IFERROR(IF(ISNUMBER(INDEX(SPPR!$E:$Z,MATCH($A106,SPPR!$A:$A,0),10)),$C106*INDEX(SPPR!$E:$Z,MATCH($A106,SPPR!$A:$A,0),10),""),"")</f>
        <v/>
      </c>
      <c r="N106">
        <f>IFERROR(IF(ISNUMBER(INDEX(SPPR!$E:$Z,MATCH($A106,SPPR!$A:$A,0),11)),$C106*INDEX(SPPR!$E:$Z,MATCH($A106,SPPR!$A:$A,0),11),""),"")</f>
        <v/>
      </c>
      <c r="O106">
        <f>IFERROR(IF(ISNUMBER(INDEX(SPPR!$E:$Z,MATCH($A106,SPPR!$A:$A,0),12)),$C106*INDEX(SPPR!$E:$Z,MATCH($A106,SPPR!$A:$A,0),12),""),"")</f>
        <v/>
      </c>
      <c r="P106">
        <f>IFERROR(IF(ISNUMBER(INDEX(SPPR!$E:$Z,MATCH($A106,SPPR!$A:$A,0),13)),$C106*INDEX(SPPR!$E:$Z,MATCH($A106,SPPR!$A:$A,0),13),""),"")</f>
        <v/>
      </c>
      <c r="Q106">
        <f>IFERROR(IF(ISNUMBER(INDEX(SPPR!$E:$Z,MATCH($A106,SPPR!$A:$A,0),14)),$C106*INDEX(SPPR!$E:$Z,MATCH($A106,SPPR!$A:$A,0),14),""),"")</f>
        <v/>
      </c>
      <c r="R106">
        <f>IFERROR(IF(ISNUMBER(INDEX(SPPR!$E:$Z,MATCH($A106,SPPR!$A:$A,0),15)),$C106*INDEX(SPPR!$E:$Z,MATCH($A106,SPPR!$A:$A,0),15),""),"")</f>
        <v/>
      </c>
      <c r="S106">
        <f>IFERROR(IF(ISNUMBER(INDEX(SPPR!$E:$Z,MATCH($A106,SPPR!$A:$A,0),16)),$C106*INDEX(SPPR!$E:$Z,MATCH($A106,SPPR!$A:$A,0),16),""),"")</f>
        <v/>
      </c>
      <c r="T106">
        <f>IFERROR(IF(ISNUMBER(INDEX(SPPR!$E:$Z,MATCH($A106,SPPR!$A:$A,0),17)),$C106*INDEX(SPPR!$E:$Z,MATCH($A106,SPPR!$A:$A,0),17),""),"")</f>
        <v/>
      </c>
      <c r="U106">
        <f>IFERROR(IF(ISNUMBER(INDEX(SPPR!$E:$Z,MATCH($A106,SPPR!$A:$A,0),18)),$C106*INDEX(SPPR!$E:$Z,MATCH($A106,SPPR!$A:$A,0),18),""),"")</f>
        <v/>
      </c>
      <c r="V106">
        <f>IFERROR(IF(ISNUMBER(INDEX(SPPR!$E:$Z,MATCH($A106,SPPR!$A:$A,0),19)),$C106*INDEX(SPPR!$E:$Z,MATCH($A106,SPPR!$A:$A,0),19),""),"")</f>
        <v/>
      </c>
      <c r="W106">
        <f>IFERROR(IF(ISNUMBER(INDEX(SPPR!$E:$Z,MATCH($A106,SPPR!$A:$A,0),20)),$C106*INDEX(SPPR!$E:$Z,MATCH($A106,SPPR!$A:$A,0),20),""),"")</f>
        <v/>
      </c>
      <c r="X106">
        <f>IFERROR(IF(ISNUMBER(INDEX(SPPR!$E:$Z,MATCH($A106,SPPR!$A:$A,0),21)),$C106*INDEX(SPPR!$E:$Z,MATCH($A106,SPPR!$A:$A,0),21),""),"")</f>
        <v/>
      </c>
      <c r="Y106">
        <f>IFERROR(IF(ISNUMBER(INDEX(SPPR!$E:$Z,MATCH($A106,SPPR!$A:$A,0),22)),$C106*INDEX(SPPR!$E:$Z,MATCH($A106,SPPR!$A:$A,0),22),""),"")</f>
        <v/>
      </c>
    </row>
    <row r="107">
      <c r="A107" t="inlineStr">
        <is>
          <t>Clupeiformes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IFERROR(IF(ISNUMBER(INDEX(SPPR!$E:$Z,MATCH($A107,SPPR!$A:$A,0),1)),$C107*INDEX(SPPR!$E:$Z,MATCH($A107,SPPR!$A:$A,0),1),""),"")</f>
        <v/>
      </c>
      <c r="E107">
        <f>IFERROR(IF(ISNUMBER(INDEX(SPPR!$E:$Z,MATCH($A107,SPPR!$A:$A,0),2)),$C107*INDEX(SPPR!$E:$Z,MATCH($A107,SPPR!$A:$A,0),2),""),"")</f>
        <v/>
      </c>
      <c r="F107">
        <f>IFERROR(IF(ISNUMBER(INDEX(SPPR!$E:$Z,MATCH($A107,SPPR!$A:$A,0),3)),$C107*INDEX(SPPR!$E:$Z,MATCH($A107,SPPR!$A:$A,0),3),""),"")</f>
        <v/>
      </c>
      <c r="G107">
        <f>IFERROR(IF(ISNUMBER(INDEX(SPPR!$E:$Z,MATCH($A107,SPPR!$A:$A,0),4)),$C107*INDEX(SPPR!$E:$Z,MATCH($A107,SPPR!$A:$A,0),4),""),"")</f>
        <v/>
      </c>
      <c r="H107">
        <f>IFERROR(IF(ISNUMBER(INDEX(SPPR!$E:$Z,MATCH($A107,SPPR!$A:$A,0),5)),$C107*INDEX(SPPR!$E:$Z,MATCH($A107,SPPR!$A:$A,0),5),""),"")</f>
        <v/>
      </c>
      <c r="I107">
        <f>IFERROR(IF(ISNUMBER(INDEX(SPPR!$E:$Z,MATCH($A107,SPPR!$A:$A,0),6)),$C107*INDEX(SPPR!$E:$Z,MATCH($A107,SPPR!$A:$A,0),6),""),"")</f>
        <v/>
      </c>
      <c r="J107">
        <f>IFERROR(IF(ISNUMBER(INDEX(SPPR!$E:$Z,MATCH($A107,SPPR!$A:$A,0),7)),$C107*INDEX(SPPR!$E:$Z,MATCH($A107,SPPR!$A:$A,0),7),""),"")</f>
        <v/>
      </c>
      <c r="K107">
        <f>IFERROR(IF(ISNUMBER(INDEX(SPPR!$E:$Z,MATCH($A107,SPPR!$A:$A,0),8)),$C107*INDEX(SPPR!$E:$Z,MATCH($A107,SPPR!$A:$A,0),8),""),"")</f>
        <v/>
      </c>
      <c r="L107">
        <f>IFERROR(IF(ISNUMBER(INDEX(SPPR!$E:$Z,MATCH($A107,SPPR!$A:$A,0),9)),$C107*INDEX(SPPR!$E:$Z,MATCH($A107,SPPR!$A:$A,0),9),""),"")</f>
        <v/>
      </c>
      <c r="M107">
        <f>IFERROR(IF(ISNUMBER(INDEX(SPPR!$E:$Z,MATCH($A107,SPPR!$A:$A,0),10)),$C107*INDEX(SPPR!$E:$Z,MATCH($A107,SPPR!$A:$A,0),10),""),"")</f>
        <v/>
      </c>
      <c r="N107">
        <f>IFERROR(IF(ISNUMBER(INDEX(SPPR!$E:$Z,MATCH($A107,SPPR!$A:$A,0),11)),$C107*INDEX(SPPR!$E:$Z,MATCH($A107,SPPR!$A:$A,0),11),""),"")</f>
        <v/>
      </c>
      <c r="O107">
        <f>IFERROR(IF(ISNUMBER(INDEX(SPPR!$E:$Z,MATCH($A107,SPPR!$A:$A,0),12)),$C107*INDEX(SPPR!$E:$Z,MATCH($A107,SPPR!$A:$A,0),12),""),"")</f>
        <v/>
      </c>
      <c r="P107">
        <f>IFERROR(IF(ISNUMBER(INDEX(SPPR!$E:$Z,MATCH($A107,SPPR!$A:$A,0),13)),$C107*INDEX(SPPR!$E:$Z,MATCH($A107,SPPR!$A:$A,0),13),""),"")</f>
        <v/>
      </c>
      <c r="Q107">
        <f>IFERROR(IF(ISNUMBER(INDEX(SPPR!$E:$Z,MATCH($A107,SPPR!$A:$A,0),14)),$C107*INDEX(SPPR!$E:$Z,MATCH($A107,SPPR!$A:$A,0),14),""),"")</f>
        <v/>
      </c>
      <c r="R107">
        <f>IFERROR(IF(ISNUMBER(INDEX(SPPR!$E:$Z,MATCH($A107,SPPR!$A:$A,0),15)),$C107*INDEX(SPPR!$E:$Z,MATCH($A107,SPPR!$A:$A,0),15),""),"")</f>
        <v/>
      </c>
      <c r="S107">
        <f>IFERROR(IF(ISNUMBER(INDEX(SPPR!$E:$Z,MATCH($A107,SPPR!$A:$A,0),16)),$C107*INDEX(SPPR!$E:$Z,MATCH($A107,SPPR!$A:$A,0),16),""),"")</f>
        <v/>
      </c>
      <c r="T107">
        <f>IFERROR(IF(ISNUMBER(INDEX(SPPR!$E:$Z,MATCH($A107,SPPR!$A:$A,0),17)),$C107*INDEX(SPPR!$E:$Z,MATCH($A107,SPPR!$A:$A,0),17),""),"")</f>
        <v/>
      </c>
      <c r="U107">
        <f>IFERROR(IF(ISNUMBER(INDEX(SPPR!$E:$Z,MATCH($A107,SPPR!$A:$A,0),18)),$C107*INDEX(SPPR!$E:$Z,MATCH($A107,SPPR!$A:$A,0),18),""),"")</f>
        <v/>
      </c>
      <c r="V107">
        <f>IFERROR(IF(ISNUMBER(INDEX(SPPR!$E:$Z,MATCH($A107,SPPR!$A:$A,0),19)),$C107*INDEX(SPPR!$E:$Z,MATCH($A107,SPPR!$A:$A,0),19),""),"")</f>
        <v/>
      </c>
      <c r="W107">
        <f>IFERROR(IF(ISNUMBER(INDEX(SPPR!$E:$Z,MATCH($A107,SPPR!$A:$A,0),20)),$C107*INDEX(SPPR!$E:$Z,MATCH($A107,SPPR!$A:$A,0),20),""),"")</f>
        <v/>
      </c>
      <c r="X107">
        <f>IFERROR(IF(ISNUMBER(INDEX(SPPR!$E:$Z,MATCH($A107,SPPR!$A:$A,0),21)),$C107*INDEX(SPPR!$E:$Z,MATCH($A107,SPPR!$A:$A,0),21),""),"")</f>
        <v/>
      </c>
      <c r="Y107">
        <f>IFERROR(IF(ISNUMBER(INDEX(SPPR!$E:$Z,MATCH($A107,SPPR!$A:$A,0),22)),$C107*INDEX(SPPR!$E:$Z,MATCH($A107,SPPR!$A:$A,0),22),""),"")</f>
        <v/>
      </c>
    </row>
    <row r="108">
      <c r="A108" t="inlineStr">
        <is>
          <t>Miichthys miiuy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IFERROR(IF(ISNUMBER(INDEX(SPPR!$E:$Z,MATCH($A108,SPPR!$A:$A,0),1)),$C108*INDEX(SPPR!$E:$Z,MATCH($A108,SPPR!$A:$A,0),1),""),"")</f>
        <v/>
      </c>
      <c r="E108">
        <f>IFERROR(IF(ISNUMBER(INDEX(SPPR!$E:$Z,MATCH($A108,SPPR!$A:$A,0),2)),$C108*INDEX(SPPR!$E:$Z,MATCH($A108,SPPR!$A:$A,0),2),""),"")</f>
        <v/>
      </c>
      <c r="F108">
        <f>IFERROR(IF(ISNUMBER(INDEX(SPPR!$E:$Z,MATCH($A108,SPPR!$A:$A,0),3)),$C108*INDEX(SPPR!$E:$Z,MATCH($A108,SPPR!$A:$A,0),3),""),"")</f>
        <v/>
      </c>
      <c r="G108">
        <f>IFERROR(IF(ISNUMBER(INDEX(SPPR!$E:$Z,MATCH($A108,SPPR!$A:$A,0),4)),$C108*INDEX(SPPR!$E:$Z,MATCH($A108,SPPR!$A:$A,0),4),""),"")</f>
        <v/>
      </c>
      <c r="H108">
        <f>IFERROR(IF(ISNUMBER(INDEX(SPPR!$E:$Z,MATCH($A108,SPPR!$A:$A,0),5)),$C108*INDEX(SPPR!$E:$Z,MATCH($A108,SPPR!$A:$A,0),5),""),"")</f>
        <v/>
      </c>
      <c r="I108">
        <f>IFERROR(IF(ISNUMBER(INDEX(SPPR!$E:$Z,MATCH($A108,SPPR!$A:$A,0),6)),$C108*INDEX(SPPR!$E:$Z,MATCH($A108,SPPR!$A:$A,0),6),""),"")</f>
        <v/>
      </c>
      <c r="J108">
        <f>IFERROR(IF(ISNUMBER(INDEX(SPPR!$E:$Z,MATCH($A108,SPPR!$A:$A,0),7)),$C108*INDEX(SPPR!$E:$Z,MATCH($A108,SPPR!$A:$A,0),7),""),"")</f>
        <v/>
      </c>
      <c r="K108">
        <f>IFERROR(IF(ISNUMBER(INDEX(SPPR!$E:$Z,MATCH($A108,SPPR!$A:$A,0),8)),$C108*INDEX(SPPR!$E:$Z,MATCH($A108,SPPR!$A:$A,0),8),""),"")</f>
        <v/>
      </c>
      <c r="L108">
        <f>IFERROR(IF(ISNUMBER(INDEX(SPPR!$E:$Z,MATCH($A108,SPPR!$A:$A,0),9)),$C108*INDEX(SPPR!$E:$Z,MATCH($A108,SPPR!$A:$A,0),9),""),"")</f>
        <v/>
      </c>
      <c r="M108">
        <f>IFERROR(IF(ISNUMBER(INDEX(SPPR!$E:$Z,MATCH($A108,SPPR!$A:$A,0),10)),$C108*INDEX(SPPR!$E:$Z,MATCH($A108,SPPR!$A:$A,0),10),""),"")</f>
        <v/>
      </c>
      <c r="N108">
        <f>IFERROR(IF(ISNUMBER(INDEX(SPPR!$E:$Z,MATCH($A108,SPPR!$A:$A,0),11)),$C108*INDEX(SPPR!$E:$Z,MATCH($A108,SPPR!$A:$A,0),11),""),"")</f>
        <v/>
      </c>
      <c r="O108">
        <f>IFERROR(IF(ISNUMBER(INDEX(SPPR!$E:$Z,MATCH($A108,SPPR!$A:$A,0),12)),$C108*INDEX(SPPR!$E:$Z,MATCH($A108,SPPR!$A:$A,0),12),""),"")</f>
        <v/>
      </c>
      <c r="P108">
        <f>IFERROR(IF(ISNUMBER(INDEX(SPPR!$E:$Z,MATCH($A108,SPPR!$A:$A,0),13)),$C108*INDEX(SPPR!$E:$Z,MATCH($A108,SPPR!$A:$A,0),13),""),"")</f>
        <v/>
      </c>
      <c r="Q108">
        <f>IFERROR(IF(ISNUMBER(INDEX(SPPR!$E:$Z,MATCH($A108,SPPR!$A:$A,0),14)),$C108*INDEX(SPPR!$E:$Z,MATCH($A108,SPPR!$A:$A,0),14),""),"")</f>
        <v/>
      </c>
      <c r="R108">
        <f>IFERROR(IF(ISNUMBER(INDEX(SPPR!$E:$Z,MATCH($A108,SPPR!$A:$A,0),15)),$C108*INDEX(SPPR!$E:$Z,MATCH($A108,SPPR!$A:$A,0),15),""),"")</f>
        <v/>
      </c>
      <c r="S108">
        <f>IFERROR(IF(ISNUMBER(INDEX(SPPR!$E:$Z,MATCH($A108,SPPR!$A:$A,0),16)),$C108*INDEX(SPPR!$E:$Z,MATCH($A108,SPPR!$A:$A,0),16),""),"")</f>
        <v/>
      </c>
      <c r="T108">
        <f>IFERROR(IF(ISNUMBER(INDEX(SPPR!$E:$Z,MATCH($A108,SPPR!$A:$A,0),17)),$C108*INDEX(SPPR!$E:$Z,MATCH($A108,SPPR!$A:$A,0),17),""),"")</f>
        <v/>
      </c>
      <c r="U108">
        <f>IFERROR(IF(ISNUMBER(INDEX(SPPR!$E:$Z,MATCH($A108,SPPR!$A:$A,0),18)),$C108*INDEX(SPPR!$E:$Z,MATCH($A108,SPPR!$A:$A,0),18),""),"")</f>
        <v/>
      </c>
      <c r="V108">
        <f>IFERROR(IF(ISNUMBER(INDEX(SPPR!$E:$Z,MATCH($A108,SPPR!$A:$A,0),19)),$C108*INDEX(SPPR!$E:$Z,MATCH($A108,SPPR!$A:$A,0),19),""),"")</f>
        <v/>
      </c>
      <c r="W108">
        <f>IFERROR(IF(ISNUMBER(INDEX(SPPR!$E:$Z,MATCH($A108,SPPR!$A:$A,0),20)),$C108*INDEX(SPPR!$E:$Z,MATCH($A108,SPPR!$A:$A,0),20),""),"")</f>
        <v/>
      </c>
      <c r="X108">
        <f>IFERROR(IF(ISNUMBER(INDEX(SPPR!$E:$Z,MATCH($A108,SPPR!$A:$A,0),21)),$C108*INDEX(SPPR!$E:$Z,MATCH($A108,SPPR!$A:$A,0),21),""),"")</f>
        <v/>
      </c>
      <c r="Y108">
        <f>IFERROR(IF(ISNUMBER(INDEX(SPPR!$E:$Z,MATCH($A108,SPPR!$A:$A,0),22)),$C108*INDEX(SPPR!$E:$Z,MATCH($A108,SPPR!$A:$A,0),22),""),"")</f>
        <v/>
      </c>
    </row>
    <row r="109">
      <c r="A109" t="inlineStr">
        <is>
          <t>Platycephalidae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IFERROR(IF(ISNUMBER(INDEX(SPPR!$E:$Z,MATCH($A109,SPPR!$A:$A,0),1)),$C109*INDEX(SPPR!$E:$Z,MATCH($A109,SPPR!$A:$A,0),1),""),"")</f>
        <v/>
      </c>
      <c r="E109">
        <f>IFERROR(IF(ISNUMBER(INDEX(SPPR!$E:$Z,MATCH($A109,SPPR!$A:$A,0),2)),$C109*INDEX(SPPR!$E:$Z,MATCH($A109,SPPR!$A:$A,0),2),""),"")</f>
        <v/>
      </c>
      <c r="F109">
        <f>IFERROR(IF(ISNUMBER(INDEX(SPPR!$E:$Z,MATCH($A109,SPPR!$A:$A,0),3)),$C109*INDEX(SPPR!$E:$Z,MATCH($A109,SPPR!$A:$A,0),3),""),"")</f>
        <v/>
      </c>
      <c r="G109">
        <f>IFERROR(IF(ISNUMBER(INDEX(SPPR!$E:$Z,MATCH($A109,SPPR!$A:$A,0),4)),$C109*INDEX(SPPR!$E:$Z,MATCH($A109,SPPR!$A:$A,0),4),""),"")</f>
        <v/>
      </c>
      <c r="H109">
        <f>IFERROR(IF(ISNUMBER(INDEX(SPPR!$E:$Z,MATCH($A109,SPPR!$A:$A,0),5)),$C109*INDEX(SPPR!$E:$Z,MATCH($A109,SPPR!$A:$A,0),5),""),"")</f>
        <v/>
      </c>
      <c r="I109">
        <f>IFERROR(IF(ISNUMBER(INDEX(SPPR!$E:$Z,MATCH($A109,SPPR!$A:$A,0),6)),$C109*INDEX(SPPR!$E:$Z,MATCH($A109,SPPR!$A:$A,0),6),""),"")</f>
        <v/>
      </c>
      <c r="J109">
        <f>IFERROR(IF(ISNUMBER(INDEX(SPPR!$E:$Z,MATCH($A109,SPPR!$A:$A,0),7)),$C109*INDEX(SPPR!$E:$Z,MATCH($A109,SPPR!$A:$A,0),7),""),"")</f>
        <v/>
      </c>
      <c r="K109">
        <f>IFERROR(IF(ISNUMBER(INDEX(SPPR!$E:$Z,MATCH($A109,SPPR!$A:$A,0),8)),$C109*INDEX(SPPR!$E:$Z,MATCH($A109,SPPR!$A:$A,0),8),""),"")</f>
        <v/>
      </c>
      <c r="L109">
        <f>IFERROR(IF(ISNUMBER(INDEX(SPPR!$E:$Z,MATCH($A109,SPPR!$A:$A,0),9)),$C109*INDEX(SPPR!$E:$Z,MATCH($A109,SPPR!$A:$A,0),9),""),"")</f>
        <v/>
      </c>
      <c r="M109">
        <f>IFERROR(IF(ISNUMBER(INDEX(SPPR!$E:$Z,MATCH($A109,SPPR!$A:$A,0),10)),$C109*INDEX(SPPR!$E:$Z,MATCH($A109,SPPR!$A:$A,0),10),""),"")</f>
        <v/>
      </c>
      <c r="N109">
        <f>IFERROR(IF(ISNUMBER(INDEX(SPPR!$E:$Z,MATCH($A109,SPPR!$A:$A,0),11)),$C109*INDEX(SPPR!$E:$Z,MATCH($A109,SPPR!$A:$A,0),11),""),"")</f>
        <v/>
      </c>
      <c r="O109">
        <f>IFERROR(IF(ISNUMBER(INDEX(SPPR!$E:$Z,MATCH($A109,SPPR!$A:$A,0),12)),$C109*INDEX(SPPR!$E:$Z,MATCH($A109,SPPR!$A:$A,0),12),""),"")</f>
        <v/>
      </c>
      <c r="P109">
        <f>IFERROR(IF(ISNUMBER(INDEX(SPPR!$E:$Z,MATCH($A109,SPPR!$A:$A,0),13)),$C109*INDEX(SPPR!$E:$Z,MATCH($A109,SPPR!$A:$A,0),13),""),"")</f>
        <v/>
      </c>
      <c r="Q109">
        <f>IFERROR(IF(ISNUMBER(INDEX(SPPR!$E:$Z,MATCH($A109,SPPR!$A:$A,0),14)),$C109*INDEX(SPPR!$E:$Z,MATCH($A109,SPPR!$A:$A,0),14),""),"")</f>
        <v/>
      </c>
      <c r="R109">
        <f>IFERROR(IF(ISNUMBER(INDEX(SPPR!$E:$Z,MATCH($A109,SPPR!$A:$A,0),15)),$C109*INDEX(SPPR!$E:$Z,MATCH($A109,SPPR!$A:$A,0),15),""),"")</f>
        <v/>
      </c>
      <c r="S109">
        <f>IFERROR(IF(ISNUMBER(INDEX(SPPR!$E:$Z,MATCH($A109,SPPR!$A:$A,0),16)),$C109*INDEX(SPPR!$E:$Z,MATCH($A109,SPPR!$A:$A,0),16),""),"")</f>
        <v/>
      </c>
      <c r="T109">
        <f>IFERROR(IF(ISNUMBER(INDEX(SPPR!$E:$Z,MATCH($A109,SPPR!$A:$A,0),17)),$C109*INDEX(SPPR!$E:$Z,MATCH($A109,SPPR!$A:$A,0),17),""),"")</f>
        <v/>
      </c>
      <c r="U109">
        <f>IFERROR(IF(ISNUMBER(INDEX(SPPR!$E:$Z,MATCH($A109,SPPR!$A:$A,0),18)),$C109*INDEX(SPPR!$E:$Z,MATCH($A109,SPPR!$A:$A,0),18),""),"")</f>
        <v/>
      </c>
      <c r="V109">
        <f>IFERROR(IF(ISNUMBER(INDEX(SPPR!$E:$Z,MATCH($A109,SPPR!$A:$A,0),19)),$C109*INDEX(SPPR!$E:$Z,MATCH($A109,SPPR!$A:$A,0),19),""),"")</f>
        <v/>
      </c>
      <c r="W109">
        <f>IFERROR(IF(ISNUMBER(INDEX(SPPR!$E:$Z,MATCH($A109,SPPR!$A:$A,0),20)),$C109*INDEX(SPPR!$E:$Z,MATCH($A109,SPPR!$A:$A,0),20),""),"")</f>
        <v/>
      </c>
      <c r="X109">
        <f>IFERROR(IF(ISNUMBER(INDEX(SPPR!$E:$Z,MATCH($A109,SPPR!$A:$A,0),21)),$C109*INDEX(SPPR!$E:$Z,MATCH($A109,SPPR!$A:$A,0),21),""),"")</f>
        <v/>
      </c>
      <c r="Y109">
        <f>IFERROR(IF(ISNUMBER(INDEX(SPPR!$E:$Z,MATCH($A109,SPPR!$A:$A,0),22)),$C109*INDEX(SPPR!$E:$Z,MATCH($A109,SPPR!$A:$A,0),22),""),"")</f>
        <v/>
      </c>
    </row>
    <row r="110">
      <c r="A110" t="inlineStr">
        <is>
          <t>Lutjanidae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IFERROR(IF(ISNUMBER(INDEX(SPPR!$E:$Z,MATCH($A110,SPPR!$A:$A,0),1)),$C110*INDEX(SPPR!$E:$Z,MATCH($A110,SPPR!$A:$A,0),1),""),"")</f>
        <v/>
      </c>
      <c r="E110">
        <f>IFERROR(IF(ISNUMBER(INDEX(SPPR!$E:$Z,MATCH($A110,SPPR!$A:$A,0),2)),$C110*INDEX(SPPR!$E:$Z,MATCH($A110,SPPR!$A:$A,0),2),""),"")</f>
        <v/>
      </c>
      <c r="F110">
        <f>IFERROR(IF(ISNUMBER(INDEX(SPPR!$E:$Z,MATCH($A110,SPPR!$A:$A,0),3)),$C110*INDEX(SPPR!$E:$Z,MATCH($A110,SPPR!$A:$A,0),3),""),"")</f>
        <v/>
      </c>
      <c r="G110">
        <f>IFERROR(IF(ISNUMBER(INDEX(SPPR!$E:$Z,MATCH($A110,SPPR!$A:$A,0),4)),$C110*INDEX(SPPR!$E:$Z,MATCH($A110,SPPR!$A:$A,0),4),""),"")</f>
        <v/>
      </c>
      <c r="H110">
        <f>IFERROR(IF(ISNUMBER(INDEX(SPPR!$E:$Z,MATCH($A110,SPPR!$A:$A,0),5)),$C110*INDEX(SPPR!$E:$Z,MATCH($A110,SPPR!$A:$A,0),5),""),"")</f>
        <v/>
      </c>
      <c r="I110">
        <f>IFERROR(IF(ISNUMBER(INDEX(SPPR!$E:$Z,MATCH($A110,SPPR!$A:$A,0),6)),$C110*INDEX(SPPR!$E:$Z,MATCH($A110,SPPR!$A:$A,0),6),""),"")</f>
        <v/>
      </c>
      <c r="J110">
        <f>IFERROR(IF(ISNUMBER(INDEX(SPPR!$E:$Z,MATCH($A110,SPPR!$A:$A,0),7)),$C110*INDEX(SPPR!$E:$Z,MATCH($A110,SPPR!$A:$A,0),7),""),"")</f>
        <v/>
      </c>
      <c r="K110">
        <f>IFERROR(IF(ISNUMBER(INDEX(SPPR!$E:$Z,MATCH($A110,SPPR!$A:$A,0),8)),$C110*INDEX(SPPR!$E:$Z,MATCH($A110,SPPR!$A:$A,0),8),""),"")</f>
        <v/>
      </c>
      <c r="L110">
        <f>IFERROR(IF(ISNUMBER(INDEX(SPPR!$E:$Z,MATCH($A110,SPPR!$A:$A,0),9)),$C110*INDEX(SPPR!$E:$Z,MATCH($A110,SPPR!$A:$A,0),9),""),"")</f>
        <v/>
      </c>
      <c r="M110">
        <f>IFERROR(IF(ISNUMBER(INDEX(SPPR!$E:$Z,MATCH($A110,SPPR!$A:$A,0),10)),$C110*INDEX(SPPR!$E:$Z,MATCH($A110,SPPR!$A:$A,0),10),""),"")</f>
        <v/>
      </c>
      <c r="N110">
        <f>IFERROR(IF(ISNUMBER(INDEX(SPPR!$E:$Z,MATCH($A110,SPPR!$A:$A,0),11)),$C110*INDEX(SPPR!$E:$Z,MATCH($A110,SPPR!$A:$A,0),11),""),"")</f>
        <v/>
      </c>
      <c r="O110">
        <f>IFERROR(IF(ISNUMBER(INDEX(SPPR!$E:$Z,MATCH($A110,SPPR!$A:$A,0),12)),$C110*INDEX(SPPR!$E:$Z,MATCH($A110,SPPR!$A:$A,0),12),""),"")</f>
        <v/>
      </c>
      <c r="P110">
        <f>IFERROR(IF(ISNUMBER(INDEX(SPPR!$E:$Z,MATCH($A110,SPPR!$A:$A,0),13)),$C110*INDEX(SPPR!$E:$Z,MATCH($A110,SPPR!$A:$A,0),13),""),"")</f>
        <v/>
      </c>
      <c r="Q110">
        <f>IFERROR(IF(ISNUMBER(INDEX(SPPR!$E:$Z,MATCH($A110,SPPR!$A:$A,0),14)),$C110*INDEX(SPPR!$E:$Z,MATCH($A110,SPPR!$A:$A,0),14),""),"")</f>
        <v/>
      </c>
      <c r="R110">
        <f>IFERROR(IF(ISNUMBER(INDEX(SPPR!$E:$Z,MATCH($A110,SPPR!$A:$A,0),15)),$C110*INDEX(SPPR!$E:$Z,MATCH($A110,SPPR!$A:$A,0),15),""),"")</f>
        <v/>
      </c>
      <c r="S110">
        <f>IFERROR(IF(ISNUMBER(INDEX(SPPR!$E:$Z,MATCH($A110,SPPR!$A:$A,0),16)),$C110*INDEX(SPPR!$E:$Z,MATCH($A110,SPPR!$A:$A,0),16),""),"")</f>
        <v/>
      </c>
      <c r="T110">
        <f>IFERROR(IF(ISNUMBER(INDEX(SPPR!$E:$Z,MATCH($A110,SPPR!$A:$A,0),17)),$C110*INDEX(SPPR!$E:$Z,MATCH($A110,SPPR!$A:$A,0),17),""),"")</f>
        <v/>
      </c>
      <c r="U110">
        <f>IFERROR(IF(ISNUMBER(INDEX(SPPR!$E:$Z,MATCH($A110,SPPR!$A:$A,0),18)),$C110*INDEX(SPPR!$E:$Z,MATCH($A110,SPPR!$A:$A,0),18),""),"")</f>
        <v/>
      </c>
      <c r="V110">
        <f>IFERROR(IF(ISNUMBER(INDEX(SPPR!$E:$Z,MATCH($A110,SPPR!$A:$A,0),19)),$C110*INDEX(SPPR!$E:$Z,MATCH($A110,SPPR!$A:$A,0),19),""),"")</f>
        <v/>
      </c>
      <c r="W110">
        <f>IFERROR(IF(ISNUMBER(INDEX(SPPR!$E:$Z,MATCH($A110,SPPR!$A:$A,0),20)),$C110*INDEX(SPPR!$E:$Z,MATCH($A110,SPPR!$A:$A,0),20),""),"")</f>
        <v/>
      </c>
      <c r="X110">
        <f>IFERROR(IF(ISNUMBER(INDEX(SPPR!$E:$Z,MATCH($A110,SPPR!$A:$A,0),21)),$C110*INDEX(SPPR!$E:$Z,MATCH($A110,SPPR!$A:$A,0),21),""),"")</f>
        <v/>
      </c>
      <c r="Y110">
        <f>IFERROR(IF(ISNUMBER(INDEX(SPPR!$E:$Z,MATCH($A110,SPPR!$A:$A,0),22)),$C110*INDEX(SPPR!$E:$Z,MATCH($A110,SPPR!$A:$A,0),22),""),"")</f>
        <v/>
      </c>
    </row>
    <row r="111">
      <c r="A111" t="inlineStr">
        <is>
          <t>Chelidonichthys kumu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IFERROR(IF(ISNUMBER(INDEX(SPPR!$E:$Z,MATCH($A111,SPPR!$A:$A,0),1)),$C111*INDEX(SPPR!$E:$Z,MATCH($A111,SPPR!$A:$A,0),1),""),"")</f>
        <v/>
      </c>
      <c r="E111">
        <f>IFERROR(IF(ISNUMBER(INDEX(SPPR!$E:$Z,MATCH($A111,SPPR!$A:$A,0),2)),$C111*INDEX(SPPR!$E:$Z,MATCH($A111,SPPR!$A:$A,0),2),""),"")</f>
        <v/>
      </c>
      <c r="F111">
        <f>IFERROR(IF(ISNUMBER(INDEX(SPPR!$E:$Z,MATCH($A111,SPPR!$A:$A,0),3)),$C111*INDEX(SPPR!$E:$Z,MATCH($A111,SPPR!$A:$A,0),3),""),"")</f>
        <v/>
      </c>
      <c r="G111">
        <f>IFERROR(IF(ISNUMBER(INDEX(SPPR!$E:$Z,MATCH($A111,SPPR!$A:$A,0),4)),$C111*INDEX(SPPR!$E:$Z,MATCH($A111,SPPR!$A:$A,0),4),""),"")</f>
        <v/>
      </c>
      <c r="H111">
        <f>IFERROR(IF(ISNUMBER(INDEX(SPPR!$E:$Z,MATCH($A111,SPPR!$A:$A,0),5)),$C111*INDEX(SPPR!$E:$Z,MATCH($A111,SPPR!$A:$A,0),5),""),"")</f>
        <v/>
      </c>
      <c r="I111">
        <f>IFERROR(IF(ISNUMBER(INDEX(SPPR!$E:$Z,MATCH($A111,SPPR!$A:$A,0),6)),$C111*INDEX(SPPR!$E:$Z,MATCH($A111,SPPR!$A:$A,0),6),""),"")</f>
        <v/>
      </c>
      <c r="J111">
        <f>IFERROR(IF(ISNUMBER(INDEX(SPPR!$E:$Z,MATCH($A111,SPPR!$A:$A,0),7)),$C111*INDEX(SPPR!$E:$Z,MATCH($A111,SPPR!$A:$A,0),7),""),"")</f>
        <v/>
      </c>
      <c r="K111">
        <f>IFERROR(IF(ISNUMBER(INDEX(SPPR!$E:$Z,MATCH($A111,SPPR!$A:$A,0),8)),$C111*INDEX(SPPR!$E:$Z,MATCH($A111,SPPR!$A:$A,0),8),""),"")</f>
        <v/>
      </c>
      <c r="L111">
        <f>IFERROR(IF(ISNUMBER(INDEX(SPPR!$E:$Z,MATCH($A111,SPPR!$A:$A,0),9)),$C111*INDEX(SPPR!$E:$Z,MATCH($A111,SPPR!$A:$A,0),9),""),"")</f>
        <v/>
      </c>
      <c r="M111">
        <f>IFERROR(IF(ISNUMBER(INDEX(SPPR!$E:$Z,MATCH($A111,SPPR!$A:$A,0),10)),$C111*INDEX(SPPR!$E:$Z,MATCH($A111,SPPR!$A:$A,0),10),""),"")</f>
        <v/>
      </c>
      <c r="N111">
        <f>IFERROR(IF(ISNUMBER(INDEX(SPPR!$E:$Z,MATCH($A111,SPPR!$A:$A,0),11)),$C111*INDEX(SPPR!$E:$Z,MATCH($A111,SPPR!$A:$A,0),11),""),"")</f>
        <v/>
      </c>
      <c r="O111">
        <f>IFERROR(IF(ISNUMBER(INDEX(SPPR!$E:$Z,MATCH($A111,SPPR!$A:$A,0),12)),$C111*INDEX(SPPR!$E:$Z,MATCH($A111,SPPR!$A:$A,0),12),""),"")</f>
        <v/>
      </c>
      <c r="P111">
        <f>IFERROR(IF(ISNUMBER(INDEX(SPPR!$E:$Z,MATCH($A111,SPPR!$A:$A,0),13)),$C111*INDEX(SPPR!$E:$Z,MATCH($A111,SPPR!$A:$A,0),13),""),"")</f>
        <v/>
      </c>
      <c r="Q111">
        <f>IFERROR(IF(ISNUMBER(INDEX(SPPR!$E:$Z,MATCH($A111,SPPR!$A:$A,0),14)),$C111*INDEX(SPPR!$E:$Z,MATCH($A111,SPPR!$A:$A,0),14),""),"")</f>
        <v/>
      </c>
      <c r="R111">
        <f>IFERROR(IF(ISNUMBER(INDEX(SPPR!$E:$Z,MATCH($A111,SPPR!$A:$A,0),15)),$C111*INDEX(SPPR!$E:$Z,MATCH($A111,SPPR!$A:$A,0),15),""),"")</f>
        <v/>
      </c>
      <c r="S111">
        <f>IFERROR(IF(ISNUMBER(INDEX(SPPR!$E:$Z,MATCH($A111,SPPR!$A:$A,0),16)),$C111*INDEX(SPPR!$E:$Z,MATCH($A111,SPPR!$A:$A,0),16),""),"")</f>
        <v/>
      </c>
      <c r="T111">
        <f>IFERROR(IF(ISNUMBER(INDEX(SPPR!$E:$Z,MATCH($A111,SPPR!$A:$A,0),17)),$C111*INDEX(SPPR!$E:$Z,MATCH($A111,SPPR!$A:$A,0),17),""),"")</f>
        <v/>
      </c>
      <c r="U111">
        <f>IFERROR(IF(ISNUMBER(INDEX(SPPR!$E:$Z,MATCH($A111,SPPR!$A:$A,0),18)),$C111*INDEX(SPPR!$E:$Z,MATCH($A111,SPPR!$A:$A,0),18),""),"")</f>
        <v/>
      </c>
      <c r="V111">
        <f>IFERROR(IF(ISNUMBER(INDEX(SPPR!$E:$Z,MATCH($A111,SPPR!$A:$A,0),19)),$C111*INDEX(SPPR!$E:$Z,MATCH($A111,SPPR!$A:$A,0),19),""),"")</f>
        <v/>
      </c>
      <c r="W111">
        <f>IFERROR(IF(ISNUMBER(INDEX(SPPR!$E:$Z,MATCH($A111,SPPR!$A:$A,0),20)),$C111*INDEX(SPPR!$E:$Z,MATCH($A111,SPPR!$A:$A,0),20),""),"")</f>
        <v/>
      </c>
      <c r="X111">
        <f>IFERROR(IF(ISNUMBER(INDEX(SPPR!$E:$Z,MATCH($A111,SPPR!$A:$A,0),21)),$C111*INDEX(SPPR!$E:$Z,MATCH($A111,SPPR!$A:$A,0),21),""),"")</f>
        <v/>
      </c>
      <c r="Y111">
        <f>IFERROR(IF(ISNUMBER(INDEX(SPPR!$E:$Z,MATCH($A111,SPPR!$A:$A,0),22)),$C111*INDEX(SPPR!$E:$Z,MATCH($A111,SPPR!$A:$A,0),22),""),"")</f>
        <v/>
      </c>
    </row>
    <row r="112">
      <c r="A112" t="inlineStr">
        <is>
          <t>Chirocentrus dorab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IFERROR(IF(ISNUMBER(INDEX(SPPR!$E:$Z,MATCH($A112,SPPR!$A:$A,0),1)),$C112*INDEX(SPPR!$E:$Z,MATCH($A112,SPPR!$A:$A,0),1),""),"")</f>
        <v/>
      </c>
      <c r="E112">
        <f>IFERROR(IF(ISNUMBER(INDEX(SPPR!$E:$Z,MATCH($A112,SPPR!$A:$A,0),2)),$C112*INDEX(SPPR!$E:$Z,MATCH($A112,SPPR!$A:$A,0),2),""),"")</f>
        <v/>
      </c>
      <c r="F112">
        <f>IFERROR(IF(ISNUMBER(INDEX(SPPR!$E:$Z,MATCH($A112,SPPR!$A:$A,0),3)),$C112*INDEX(SPPR!$E:$Z,MATCH($A112,SPPR!$A:$A,0),3),""),"")</f>
        <v/>
      </c>
      <c r="G112">
        <f>IFERROR(IF(ISNUMBER(INDEX(SPPR!$E:$Z,MATCH($A112,SPPR!$A:$A,0),4)),$C112*INDEX(SPPR!$E:$Z,MATCH($A112,SPPR!$A:$A,0),4),""),"")</f>
        <v/>
      </c>
      <c r="H112">
        <f>IFERROR(IF(ISNUMBER(INDEX(SPPR!$E:$Z,MATCH($A112,SPPR!$A:$A,0),5)),$C112*INDEX(SPPR!$E:$Z,MATCH($A112,SPPR!$A:$A,0),5),""),"")</f>
        <v/>
      </c>
      <c r="I112">
        <f>IFERROR(IF(ISNUMBER(INDEX(SPPR!$E:$Z,MATCH($A112,SPPR!$A:$A,0),6)),$C112*INDEX(SPPR!$E:$Z,MATCH($A112,SPPR!$A:$A,0),6),""),"")</f>
        <v/>
      </c>
      <c r="J112">
        <f>IFERROR(IF(ISNUMBER(INDEX(SPPR!$E:$Z,MATCH($A112,SPPR!$A:$A,0),7)),$C112*INDEX(SPPR!$E:$Z,MATCH($A112,SPPR!$A:$A,0),7),""),"")</f>
        <v/>
      </c>
      <c r="K112">
        <f>IFERROR(IF(ISNUMBER(INDEX(SPPR!$E:$Z,MATCH($A112,SPPR!$A:$A,0),8)),$C112*INDEX(SPPR!$E:$Z,MATCH($A112,SPPR!$A:$A,0),8),""),"")</f>
        <v/>
      </c>
      <c r="L112">
        <f>IFERROR(IF(ISNUMBER(INDEX(SPPR!$E:$Z,MATCH($A112,SPPR!$A:$A,0),9)),$C112*INDEX(SPPR!$E:$Z,MATCH($A112,SPPR!$A:$A,0),9),""),"")</f>
        <v/>
      </c>
      <c r="M112">
        <f>IFERROR(IF(ISNUMBER(INDEX(SPPR!$E:$Z,MATCH($A112,SPPR!$A:$A,0),10)),$C112*INDEX(SPPR!$E:$Z,MATCH($A112,SPPR!$A:$A,0),10),""),"")</f>
        <v/>
      </c>
      <c r="N112">
        <f>IFERROR(IF(ISNUMBER(INDEX(SPPR!$E:$Z,MATCH($A112,SPPR!$A:$A,0),11)),$C112*INDEX(SPPR!$E:$Z,MATCH($A112,SPPR!$A:$A,0),11),""),"")</f>
        <v/>
      </c>
      <c r="O112">
        <f>IFERROR(IF(ISNUMBER(INDEX(SPPR!$E:$Z,MATCH($A112,SPPR!$A:$A,0),12)),$C112*INDEX(SPPR!$E:$Z,MATCH($A112,SPPR!$A:$A,0),12),""),"")</f>
        <v/>
      </c>
      <c r="P112">
        <f>IFERROR(IF(ISNUMBER(INDEX(SPPR!$E:$Z,MATCH($A112,SPPR!$A:$A,0),13)),$C112*INDEX(SPPR!$E:$Z,MATCH($A112,SPPR!$A:$A,0),13),""),"")</f>
        <v/>
      </c>
      <c r="Q112">
        <f>IFERROR(IF(ISNUMBER(INDEX(SPPR!$E:$Z,MATCH($A112,SPPR!$A:$A,0),14)),$C112*INDEX(SPPR!$E:$Z,MATCH($A112,SPPR!$A:$A,0),14),""),"")</f>
        <v/>
      </c>
      <c r="R112">
        <f>IFERROR(IF(ISNUMBER(INDEX(SPPR!$E:$Z,MATCH($A112,SPPR!$A:$A,0),15)),$C112*INDEX(SPPR!$E:$Z,MATCH($A112,SPPR!$A:$A,0),15),""),"")</f>
        <v/>
      </c>
      <c r="S112">
        <f>IFERROR(IF(ISNUMBER(INDEX(SPPR!$E:$Z,MATCH($A112,SPPR!$A:$A,0),16)),$C112*INDEX(SPPR!$E:$Z,MATCH($A112,SPPR!$A:$A,0),16),""),"")</f>
        <v/>
      </c>
      <c r="T112">
        <f>IFERROR(IF(ISNUMBER(INDEX(SPPR!$E:$Z,MATCH($A112,SPPR!$A:$A,0),17)),$C112*INDEX(SPPR!$E:$Z,MATCH($A112,SPPR!$A:$A,0),17),""),"")</f>
        <v/>
      </c>
      <c r="U112">
        <f>IFERROR(IF(ISNUMBER(INDEX(SPPR!$E:$Z,MATCH($A112,SPPR!$A:$A,0),18)),$C112*INDEX(SPPR!$E:$Z,MATCH($A112,SPPR!$A:$A,0),18),""),"")</f>
        <v/>
      </c>
      <c r="V112">
        <f>IFERROR(IF(ISNUMBER(INDEX(SPPR!$E:$Z,MATCH($A112,SPPR!$A:$A,0),19)),$C112*INDEX(SPPR!$E:$Z,MATCH($A112,SPPR!$A:$A,0),19),""),"")</f>
        <v/>
      </c>
      <c r="W112">
        <f>IFERROR(IF(ISNUMBER(INDEX(SPPR!$E:$Z,MATCH($A112,SPPR!$A:$A,0),20)),$C112*INDEX(SPPR!$E:$Z,MATCH($A112,SPPR!$A:$A,0),20),""),"")</f>
        <v/>
      </c>
      <c r="X112">
        <f>IFERROR(IF(ISNUMBER(INDEX(SPPR!$E:$Z,MATCH($A112,SPPR!$A:$A,0),21)),$C112*INDEX(SPPR!$E:$Z,MATCH($A112,SPPR!$A:$A,0),21),""),"")</f>
        <v/>
      </c>
      <c r="Y112">
        <f>IFERROR(IF(ISNUMBER(INDEX(SPPR!$E:$Z,MATCH($A112,SPPR!$A:$A,0),22)),$C112*INDEX(SPPR!$E:$Z,MATCH($A112,SPPR!$A:$A,0),22),""),"")</f>
        <v/>
      </c>
    </row>
    <row r="113">
      <c r="A113" t="inlineStr">
        <is>
          <t>Parapenaeopsis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IFERROR(IF(ISNUMBER(INDEX(SPPR!$E:$Z,MATCH($A113,SPPR!$A:$A,0),1)),$C113*INDEX(SPPR!$E:$Z,MATCH($A113,SPPR!$A:$A,0),1),""),"")</f>
        <v/>
      </c>
      <c r="E113">
        <f>IFERROR(IF(ISNUMBER(INDEX(SPPR!$E:$Z,MATCH($A113,SPPR!$A:$A,0),2)),$C113*INDEX(SPPR!$E:$Z,MATCH($A113,SPPR!$A:$A,0),2),""),"")</f>
        <v/>
      </c>
      <c r="F113">
        <f>IFERROR(IF(ISNUMBER(INDEX(SPPR!$E:$Z,MATCH($A113,SPPR!$A:$A,0),3)),$C113*INDEX(SPPR!$E:$Z,MATCH($A113,SPPR!$A:$A,0),3),""),"")</f>
        <v/>
      </c>
      <c r="G113">
        <f>IFERROR(IF(ISNUMBER(INDEX(SPPR!$E:$Z,MATCH($A113,SPPR!$A:$A,0),4)),$C113*INDEX(SPPR!$E:$Z,MATCH($A113,SPPR!$A:$A,0),4),""),"")</f>
        <v/>
      </c>
      <c r="H113">
        <f>IFERROR(IF(ISNUMBER(INDEX(SPPR!$E:$Z,MATCH($A113,SPPR!$A:$A,0),5)),$C113*INDEX(SPPR!$E:$Z,MATCH($A113,SPPR!$A:$A,0),5),""),"")</f>
        <v/>
      </c>
      <c r="I113">
        <f>IFERROR(IF(ISNUMBER(INDEX(SPPR!$E:$Z,MATCH($A113,SPPR!$A:$A,0),6)),$C113*INDEX(SPPR!$E:$Z,MATCH($A113,SPPR!$A:$A,0),6),""),"")</f>
        <v/>
      </c>
      <c r="J113">
        <f>IFERROR(IF(ISNUMBER(INDEX(SPPR!$E:$Z,MATCH($A113,SPPR!$A:$A,0),7)),$C113*INDEX(SPPR!$E:$Z,MATCH($A113,SPPR!$A:$A,0),7),""),"")</f>
        <v/>
      </c>
      <c r="K113">
        <f>IFERROR(IF(ISNUMBER(INDEX(SPPR!$E:$Z,MATCH($A113,SPPR!$A:$A,0),8)),$C113*INDEX(SPPR!$E:$Z,MATCH($A113,SPPR!$A:$A,0),8),""),"")</f>
        <v/>
      </c>
      <c r="L113">
        <f>IFERROR(IF(ISNUMBER(INDEX(SPPR!$E:$Z,MATCH($A113,SPPR!$A:$A,0),9)),$C113*INDEX(SPPR!$E:$Z,MATCH($A113,SPPR!$A:$A,0),9),""),"")</f>
        <v/>
      </c>
      <c r="M113">
        <f>IFERROR(IF(ISNUMBER(INDEX(SPPR!$E:$Z,MATCH($A113,SPPR!$A:$A,0),10)),$C113*INDEX(SPPR!$E:$Z,MATCH($A113,SPPR!$A:$A,0),10),""),"")</f>
        <v/>
      </c>
      <c r="N113">
        <f>IFERROR(IF(ISNUMBER(INDEX(SPPR!$E:$Z,MATCH($A113,SPPR!$A:$A,0),11)),$C113*INDEX(SPPR!$E:$Z,MATCH($A113,SPPR!$A:$A,0),11),""),"")</f>
        <v/>
      </c>
      <c r="O113">
        <f>IFERROR(IF(ISNUMBER(INDEX(SPPR!$E:$Z,MATCH($A113,SPPR!$A:$A,0),12)),$C113*INDEX(SPPR!$E:$Z,MATCH($A113,SPPR!$A:$A,0),12),""),"")</f>
        <v/>
      </c>
      <c r="P113">
        <f>IFERROR(IF(ISNUMBER(INDEX(SPPR!$E:$Z,MATCH($A113,SPPR!$A:$A,0),13)),$C113*INDEX(SPPR!$E:$Z,MATCH($A113,SPPR!$A:$A,0),13),""),"")</f>
        <v/>
      </c>
      <c r="Q113">
        <f>IFERROR(IF(ISNUMBER(INDEX(SPPR!$E:$Z,MATCH($A113,SPPR!$A:$A,0),14)),$C113*INDEX(SPPR!$E:$Z,MATCH($A113,SPPR!$A:$A,0),14),""),"")</f>
        <v/>
      </c>
      <c r="R113">
        <f>IFERROR(IF(ISNUMBER(INDEX(SPPR!$E:$Z,MATCH($A113,SPPR!$A:$A,0),15)),$C113*INDEX(SPPR!$E:$Z,MATCH($A113,SPPR!$A:$A,0),15),""),"")</f>
        <v/>
      </c>
      <c r="S113">
        <f>IFERROR(IF(ISNUMBER(INDEX(SPPR!$E:$Z,MATCH($A113,SPPR!$A:$A,0),16)),$C113*INDEX(SPPR!$E:$Z,MATCH($A113,SPPR!$A:$A,0),16),""),"")</f>
        <v/>
      </c>
      <c r="T113">
        <f>IFERROR(IF(ISNUMBER(INDEX(SPPR!$E:$Z,MATCH($A113,SPPR!$A:$A,0),17)),$C113*INDEX(SPPR!$E:$Z,MATCH($A113,SPPR!$A:$A,0),17),""),"")</f>
        <v/>
      </c>
      <c r="U113">
        <f>IFERROR(IF(ISNUMBER(INDEX(SPPR!$E:$Z,MATCH($A113,SPPR!$A:$A,0),18)),$C113*INDEX(SPPR!$E:$Z,MATCH($A113,SPPR!$A:$A,0),18),""),"")</f>
        <v/>
      </c>
      <c r="V113">
        <f>IFERROR(IF(ISNUMBER(INDEX(SPPR!$E:$Z,MATCH($A113,SPPR!$A:$A,0),19)),$C113*INDEX(SPPR!$E:$Z,MATCH($A113,SPPR!$A:$A,0),19),""),"")</f>
        <v/>
      </c>
      <c r="W113">
        <f>IFERROR(IF(ISNUMBER(INDEX(SPPR!$E:$Z,MATCH($A113,SPPR!$A:$A,0),20)),$C113*INDEX(SPPR!$E:$Z,MATCH($A113,SPPR!$A:$A,0),20),""),"")</f>
        <v/>
      </c>
      <c r="X113">
        <f>IFERROR(IF(ISNUMBER(INDEX(SPPR!$E:$Z,MATCH($A113,SPPR!$A:$A,0),21)),$C113*INDEX(SPPR!$E:$Z,MATCH($A113,SPPR!$A:$A,0),21),""),"")</f>
        <v/>
      </c>
      <c r="Y113">
        <f>IFERROR(IF(ISNUMBER(INDEX(SPPR!$E:$Z,MATCH($A113,SPPR!$A:$A,0),22)),$C113*INDEX(SPPR!$E:$Z,MATCH($A113,SPPR!$A:$A,0),22),""),"")</f>
        <v/>
      </c>
    </row>
    <row r="114">
      <c r="A114" t="inlineStr">
        <is>
          <t>Lutjanus malabaricus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IFERROR(IF(ISNUMBER(INDEX(SPPR!$E:$Z,MATCH($A114,SPPR!$A:$A,0),1)),$C114*INDEX(SPPR!$E:$Z,MATCH($A114,SPPR!$A:$A,0),1),""),"")</f>
        <v/>
      </c>
      <c r="E114">
        <f>IFERROR(IF(ISNUMBER(INDEX(SPPR!$E:$Z,MATCH($A114,SPPR!$A:$A,0),2)),$C114*INDEX(SPPR!$E:$Z,MATCH($A114,SPPR!$A:$A,0),2),""),"")</f>
        <v/>
      </c>
      <c r="F114">
        <f>IFERROR(IF(ISNUMBER(INDEX(SPPR!$E:$Z,MATCH($A114,SPPR!$A:$A,0),3)),$C114*INDEX(SPPR!$E:$Z,MATCH($A114,SPPR!$A:$A,0),3),""),"")</f>
        <v/>
      </c>
      <c r="G114">
        <f>IFERROR(IF(ISNUMBER(INDEX(SPPR!$E:$Z,MATCH($A114,SPPR!$A:$A,0),4)),$C114*INDEX(SPPR!$E:$Z,MATCH($A114,SPPR!$A:$A,0),4),""),"")</f>
        <v/>
      </c>
      <c r="H114">
        <f>IFERROR(IF(ISNUMBER(INDEX(SPPR!$E:$Z,MATCH($A114,SPPR!$A:$A,0),5)),$C114*INDEX(SPPR!$E:$Z,MATCH($A114,SPPR!$A:$A,0),5),""),"")</f>
        <v/>
      </c>
      <c r="I114">
        <f>IFERROR(IF(ISNUMBER(INDEX(SPPR!$E:$Z,MATCH($A114,SPPR!$A:$A,0),6)),$C114*INDEX(SPPR!$E:$Z,MATCH($A114,SPPR!$A:$A,0),6),""),"")</f>
        <v/>
      </c>
      <c r="J114">
        <f>IFERROR(IF(ISNUMBER(INDEX(SPPR!$E:$Z,MATCH($A114,SPPR!$A:$A,0),7)),$C114*INDEX(SPPR!$E:$Z,MATCH($A114,SPPR!$A:$A,0),7),""),"")</f>
        <v/>
      </c>
      <c r="K114">
        <f>IFERROR(IF(ISNUMBER(INDEX(SPPR!$E:$Z,MATCH($A114,SPPR!$A:$A,0),8)),$C114*INDEX(SPPR!$E:$Z,MATCH($A114,SPPR!$A:$A,0),8),""),"")</f>
        <v/>
      </c>
      <c r="L114">
        <f>IFERROR(IF(ISNUMBER(INDEX(SPPR!$E:$Z,MATCH($A114,SPPR!$A:$A,0),9)),$C114*INDEX(SPPR!$E:$Z,MATCH($A114,SPPR!$A:$A,0),9),""),"")</f>
        <v/>
      </c>
      <c r="M114">
        <f>IFERROR(IF(ISNUMBER(INDEX(SPPR!$E:$Z,MATCH($A114,SPPR!$A:$A,0),10)),$C114*INDEX(SPPR!$E:$Z,MATCH($A114,SPPR!$A:$A,0),10),""),"")</f>
        <v/>
      </c>
      <c r="N114">
        <f>IFERROR(IF(ISNUMBER(INDEX(SPPR!$E:$Z,MATCH($A114,SPPR!$A:$A,0),11)),$C114*INDEX(SPPR!$E:$Z,MATCH($A114,SPPR!$A:$A,0),11),""),"")</f>
        <v/>
      </c>
      <c r="O114">
        <f>IFERROR(IF(ISNUMBER(INDEX(SPPR!$E:$Z,MATCH($A114,SPPR!$A:$A,0),12)),$C114*INDEX(SPPR!$E:$Z,MATCH($A114,SPPR!$A:$A,0),12),""),"")</f>
        <v/>
      </c>
      <c r="P114">
        <f>IFERROR(IF(ISNUMBER(INDEX(SPPR!$E:$Z,MATCH($A114,SPPR!$A:$A,0),13)),$C114*INDEX(SPPR!$E:$Z,MATCH($A114,SPPR!$A:$A,0),13),""),"")</f>
        <v/>
      </c>
      <c r="Q114">
        <f>IFERROR(IF(ISNUMBER(INDEX(SPPR!$E:$Z,MATCH($A114,SPPR!$A:$A,0),14)),$C114*INDEX(SPPR!$E:$Z,MATCH($A114,SPPR!$A:$A,0),14),""),"")</f>
        <v/>
      </c>
      <c r="R114">
        <f>IFERROR(IF(ISNUMBER(INDEX(SPPR!$E:$Z,MATCH($A114,SPPR!$A:$A,0),15)),$C114*INDEX(SPPR!$E:$Z,MATCH($A114,SPPR!$A:$A,0),15),""),"")</f>
        <v/>
      </c>
      <c r="S114">
        <f>IFERROR(IF(ISNUMBER(INDEX(SPPR!$E:$Z,MATCH($A114,SPPR!$A:$A,0),16)),$C114*INDEX(SPPR!$E:$Z,MATCH($A114,SPPR!$A:$A,0),16),""),"")</f>
        <v/>
      </c>
      <c r="T114">
        <f>IFERROR(IF(ISNUMBER(INDEX(SPPR!$E:$Z,MATCH($A114,SPPR!$A:$A,0),17)),$C114*INDEX(SPPR!$E:$Z,MATCH($A114,SPPR!$A:$A,0),17),""),"")</f>
        <v/>
      </c>
      <c r="U114">
        <f>IFERROR(IF(ISNUMBER(INDEX(SPPR!$E:$Z,MATCH($A114,SPPR!$A:$A,0),18)),$C114*INDEX(SPPR!$E:$Z,MATCH($A114,SPPR!$A:$A,0),18),""),"")</f>
        <v/>
      </c>
      <c r="V114">
        <f>IFERROR(IF(ISNUMBER(INDEX(SPPR!$E:$Z,MATCH($A114,SPPR!$A:$A,0),19)),$C114*INDEX(SPPR!$E:$Z,MATCH($A114,SPPR!$A:$A,0),19),""),"")</f>
        <v/>
      </c>
      <c r="W114">
        <f>IFERROR(IF(ISNUMBER(INDEX(SPPR!$E:$Z,MATCH($A114,SPPR!$A:$A,0),20)),$C114*INDEX(SPPR!$E:$Z,MATCH($A114,SPPR!$A:$A,0),20),""),"")</f>
        <v/>
      </c>
      <c r="X114">
        <f>IFERROR(IF(ISNUMBER(INDEX(SPPR!$E:$Z,MATCH($A114,SPPR!$A:$A,0),21)),$C114*INDEX(SPPR!$E:$Z,MATCH($A114,SPPR!$A:$A,0),21),""),"")</f>
        <v/>
      </c>
      <c r="Y114">
        <f>IFERROR(IF(ISNUMBER(INDEX(SPPR!$E:$Z,MATCH($A114,SPPR!$A:$A,0),22)),$C114*INDEX(SPPR!$E:$Z,MATCH($A114,SPPR!$A:$A,0),22),""),"")</f>
        <v/>
      </c>
    </row>
    <row r="115">
      <c r="A115" t="inlineStr">
        <is>
          <t>Charybdis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IFERROR(IF(ISNUMBER(INDEX(SPPR!$E:$Z,MATCH($A115,SPPR!$A:$A,0),1)),$C115*INDEX(SPPR!$E:$Z,MATCH($A115,SPPR!$A:$A,0),1),""),"")</f>
        <v/>
      </c>
      <c r="E115">
        <f>IFERROR(IF(ISNUMBER(INDEX(SPPR!$E:$Z,MATCH($A115,SPPR!$A:$A,0),2)),$C115*INDEX(SPPR!$E:$Z,MATCH($A115,SPPR!$A:$A,0),2),""),"")</f>
        <v/>
      </c>
      <c r="F115">
        <f>IFERROR(IF(ISNUMBER(INDEX(SPPR!$E:$Z,MATCH($A115,SPPR!$A:$A,0),3)),$C115*INDEX(SPPR!$E:$Z,MATCH($A115,SPPR!$A:$A,0),3),""),"")</f>
        <v/>
      </c>
      <c r="G115">
        <f>IFERROR(IF(ISNUMBER(INDEX(SPPR!$E:$Z,MATCH($A115,SPPR!$A:$A,0),4)),$C115*INDEX(SPPR!$E:$Z,MATCH($A115,SPPR!$A:$A,0),4),""),"")</f>
        <v/>
      </c>
      <c r="H115">
        <f>IFERROR(IF(ISNUMBER(INDEX(SPPR!$E:$Z,MATCH($A115,SPPR!$A:$A,0),5)),$C115*INDEX(SPPR!$E:$Z,MATCH($A115,SPPR!$A:$A,0),5),""),"")</f>
        <v/>
      </c>
      <c r="I115">
        <f>IFERROR(IF(ISNUMBER(INDEX(SPPR!$E:$Z,MATCH($A115,SPPR!$A:$A,0),6)),$C115*INDEX(SPPR!$E:$Z,MATCH($A115,SPPR!$A:$A,0),6),""),"")</f>
        <v/>
      </c>
      <c r="J115">
        <f>IFERROR(IF(ISNUMBER(INDEX(SPPR!$E:$Z,MATCH($A115,SPPR!$A:$A,0),7)),$C115*INDEX(SPPR!$E:$Z,MATCH($A115,SPPR!$A:$A,0),7),""),"")</f>
        <v/>
      </c>
      <c r="K115">
        <f>IFERROR(IF(ISNUMBER(INDEX(SPPR!$E:$Z,MATCH($A115,SPPR!$A:$A,0),8)),$C115*INDEX(SPPR!$E:$Z,MATCH($A115,SPPR!$A:$A,0),8),""),"")</f>
        <v/>
      </c>
      <c r="L115">
        <f>IFERROR(IF(ISNUMBER(INDEX(SPPR!$E:$Z,MATCH($A115,SPPR!$A:$A,0),9)),$C115*INDEX(SPPR!$E:$Z,MATCH($A115,SPPR!$A:$A,0),9),""),"")</f>
        <v/>
      </c>
      <c r="M115">
        <f>IFERROR(IF(ISNUMBER(INDEX(SPPR!$E:$Z,MATCH($A115,SPPR!$A:$A,0),10)),$C115*INDEX(SPPR!$E:$Z,MATCH($A115,SPPR!$A:$A,0),10),""),"")</f>
        <v/>
      </c>
      <c r="N115">
        <f>IFERROR(IF(ISNUMBER(INDEX(SPPR!$E:$Z,MATCH($A115,SPPR!$A:$A,0),11)),$C115*INDEX(SPPR!$E:$Z,MATCH($A115,SPPR!$A:$A,0),11),""),"")</f>
        <v/>
      </c>
      <c r="O115">
        <f>IFERROR(IF(ISNUMBER(INDEX(SPPR!$E:$Z,MATCH($A115,SPPR!$A:$A,0),12)),$C115*INDEX(SPPR!$E:$Z,MATCH($A115,SPPR!$A:$A,0),12),""),"")</f>
        <v/>
      </c>
      <c r="P115">
        <f>IFERROR(IF(ISNUMBER(INDEX(SPPR!$E:$Z,MATCH($A115,SPPR!$A:$A,0),13)),$C115*INDEX(SPPR!$E:$Z,MATCH($A115,SPPR!$A:$A,0),13),""),"")</f>
        <v/>
      </c>
      <c r="Q115">
        <f>IFERROR(IF(ISNUMBER(INDEX(SPPR!$E:$Z,MATCH($A115,SPPR!$A:$A,0),14)),$C115*INDEX(SPPR!$E:$Z,MATCH($A115,SPPR!$A:$A,0),14),""),"")</f>
        <v/>
      </c>
      <c r="R115">
        <f>IFERROR(IF(ISNUMBER(INDEX(SPPR!$E:$Z,MATCH($A115,SPPR!$A:$A,0),15)),$C115*INDEX(SPPR!$E:$Z,MATCH($A115,SPPR!$A:$A,0),15),""),"")</f>
        <v/>
      </c>
      <c r="S115">
        <f>IFERROR(IF(ISNUMBER(INDEX(SPPR!$E:$Z,MATCH($A115,SPPR!$A:$A,0),16)),$C115*INDEX(SPPR!$E:$Z,MATCH($A115,SPPR!$A:$A,0),16),""),"")</f>
        <v/>
      </c>
      <c r="T115">
        <f>IFERROR(IF(ISNUMBER(INDEX(SPPR!$E:$Z,MATCH($A115,SPPR!$A:$A,0),17)),$C115*INDEX(SPPR!$E:$Z,MATCH($A115,SPPR!$A:$A,0),17),""),"")</f>
        <v/>
      </c>
      <c r="U115">
        <f>IFERROR(IF(ISNUMBER(INDEX(SPPR!$E:$Z,MATCH($A115,SPPR!$A:$A,0),18)),$C115*INDEX(SPPR!$E:$Z,MATCH($A115,SPPR!$A:$A,0),18),""),"")</f>
        <v/>
      </c>
      <c r="V115">
        <f>IFERROR(IF(ISNUMBER(INDEX(SPPR!$E:$Z,MATCH($A115,SPPR!$A:$A,0),19)),$C115*INDEX(SPPR!$E:$Z,MATCH($A115,SPPR!$A:$A,0),19),""),"")</f>
        <v/>
      </c>
      <c r="W115">
        <f>IFERROR(IF(ISNUMBER(INDEX(SPPR!$E:$Z,MATCH($A115,SPPR!$A:$A,0),20)),$C115*INDEX(SPPR!$E:$Z,MATCH($A115,SPPR!$A:$A,0),20),""),"")</f>
        <v/>
      </c>
      <c r="X115">
        <f>IFERROR(IF(ISNUMBER(INDEX(SPPR!$E:$Z,MATCH($A115,SPPR!$A:$A,0),21)),$C115*INDEX(SPPR!$E:$Z,MATCH($A115,SPPR!$A:$A,0),21),""),"")</f>
        <v/>
      </c>
      <c r="Y115">
        <f>IFERROR(IF(ISNUMBER(INDEX(SPPR!$E:$Z,MATCH($A115,SPPR!$A:$A,0),22)),$C115*INDEX(SPPR!$E:$Z,MATCH($A115,SPPR!$A:$A,0),22),""),"")</f>
        <v/>
      </c>
    </row>
    <row r="116">
      <c r="A116" t="inlineStr">
        <is>
          <t>Penaeus japonicus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IFERROR(IF(ISNUMBER(INDEX(SPPR!$E:$Z,MATCH($A116,SPPR!$A:$A,0),1)),$C116*INDEX(SPPR!$E:$Z,MATCH($A116,SPPR!$A:$A,0),1),""),"")</f>
        <v/>
      </c>
      <c r="E116">
        <f>IFERROR(IF(ISNUMBER(INDEX(SPPR!$E:$Z,MATCH($A116,SPPR!$A:$A,0),2)),$C116*INDEX(SPPR!$E:$Z,MATCH($A116,SPPR!$A:$A,0),2),""),"")</f>
        <v/>
      </c>
      <c r="F116">
        <f>IFERROR(IF(ISNUMBER(INDEX(SPPR!$E:$Z,MATCH($A116,SPPR!$A:$A,0),3)),$C116*INDEX(SPPR!$E:$Z,MATCH($A116,SPPR!$A:$A,0),3),""),"")</f>
        <v/>
      </c>
      <c r="G116">
        <f>IFERROR(IF(ISNUMBER(INDEX(SPPR!$E:$Z,MATCH($A116,SPPR!$A:$A,0),4)),$C116*INDEX(SPPR!$E:$Z,MATCH($A116,SPPR!$A:$A,0),4),""),"")</f>
        <v/>
      </c>
      <c r="H116">
        <f>IFERROR(IF(ISNUMBER(INDEX(SPPR!$E:$Z,MATCH($A116,SPPR!$A:$A,0),5)),$C116*INDEX(SPPR!$E:$Z,MATCH($A116,SPPR!$A:$A,0),5),""),"")</f>
        <v/>
      </c>
      <c r="I116">
        <f>IFERROR(IF(ISNUMBER(INDEX(SPPR!$E:$Z,MATCH($A116,SPPR!$A:$A,0),6)),$C116*INDEX(SPPR!$E:$Z,MATCH($A116,SPPR!$A:$A,0),6),""),"")</f>
        <v/>
      </c>
      <c r="J116">
        <f>IFERROR(IF(ISNUMBER(INDEX(SPPR!$E:$Z,MATCH($A116,SPPR!$A:$A,0),7)),$C116*INDEX(SPPR!$E:$Z,MATCH($A116,SPPR!$A:$A,0),7),""),"")</f>
        <v/>
      </c>
      <c r="K116">
        <f>IFERROR(IF(ISNUMBER(INDEX(SPPR!$E:$Z,MATCH($A116,SPPR!$A:$A,0),8)),$C116*INDEX(SPPR!$E:$Z,MATCH($A116,SPPR!$A:$A,0),8),""),"")</f>
        <v/>
      </c>
      <c r="L116">
        <f>IFERROR(IF(ISNUMBER(INDEX(SPPR!$E:$Z,MATCH($A116,SPPR!$A:$A,0),9)),$C116*INDEX(SPPR!$E:$Z,MATCH($A116,SPPR!$A:$A,0),9),""),"")</f>
        <v/>
      </c>
      <c r="M116">
        <f>IFERROR(IF(ISNUMBER(INDEX(SPPR!$E:$Z,MATCH($A116,SPPR!$A:$A,0),10)),$C116*INDEX(SPPR!$E:$Z,MATCH($A116,SPPR!$A:$A,0),10),""),"")</f>
        <v/>
      </c>
      <c r="N116">
        <f>IFERROR(IF(ISNUMBER(INDEX(SPPR!$E:$Z,MATCH($A116,SPPR!$A:$A,0),11)),$C116*INDEX(SPPR!$E:$Z,MATCH($A116,SPPR!$A:$A,0),11),""),"")</f>
        <v/>
      </c>
      <c r="O116">
        <f>IFERROR(IF(ISNUMBER(INDEX(SPPR!$E:$Z,MATCH($A116,SPPR!$A:$A,0),12)),$C116*INDEX(SPPR!$E:$Z,MATCH($A116,SPPR!$A:$A,0),12),""),"")</f>
        <v/>
      </c>
      <c r="P116">
        <f>IFERROR(IF(ISNUMBER(INDEX(SPPR!$E:$Z,MATCH($A116,SPPR!$A:$A,0),13)),$C116*INDEX(SPPR!$E:$Z,MATCH($A116,SPPR!$A:$A,0),13),""),"")</f>
        <v/>
      </c>
      <c r="Q116">
        <f>IFERROR(IF(ISNUMBER(INDEX(SPPR!$E:$Z,MATCH($A116,SPPR!$A:$A,0),14)),$C116*INDEX(SPPR!$E:$Z,MATCH($A116,SPPR!$A:$A,0),14),""),"")</f>
        <v/>
      </c>
      <c r="R116">
        <f>IFERROR(IF(ISNUMBER(INDEX(SPPR!$E:$Z,MATCH($A116,SPPR!$A:$A,0),15)),$C116*INDEX(SPPR!$E:$Z,MATCH($A116,SPPR!$A:$A,0),15),""),"")</f>
        <v/>
      </c>
      <c r="S116">
        <f>IFERROR(IF(ISNUMBER(INDEX(SPPR!$E:$Z,MATCH($A116,SPPR!$A:$A,0),16)),$C116*INDEX(SPPR!$E:$Z,MATCH($A116,SPPR!$A:$A,0),16),""),"")</f>
        <v/>
      </c>
      <c r="T116">
        <f>IFERROR(IF(ISNUMBER(INDEX(SPPR!$E:$Z,MATCH($A116,SPPR!$A:$A,0),17)),$C116*INDEX(SPPR!$E:$Z,MATCH($A116,SPPR!$A:$A,0),17),""),"")</f>
        <v/>
      </c>
      <c r="U116">
        <f>IFERROR(IF(ISNUMBER(INDEX(SPPR!$E:$Z,MATCH($A116,SPPR!$A:$A,0),18)),$C116*INDEX(SPPR!$E:$Z,MATCH($A116,SPPR!$A:$A,0),18),""),"")</f>
        <v/>
      </c>
      <c r="V116">
        <f>IFERROR(IF(ISNUMBER(INDEX(SPPR!$E:$Z,MATCH($A116,SPPR!$A:$A,0),19)),$C116*INDEX(SPPR!$E:$Z,MATCH($A116,SPPR!$A:$A,0),19),""),"")</f>
        <v/>
      </c>
      <c r="W116">
        <f>IFERROR(IF(ISNUMBER(INDEX(SPPR!$E:$Z,MATCH($A116,SPPR!$A:$A,0),20)),$C116*INDEX(SPPR!$E:$Z,MATCH($A116,SPPR!$A:$A,0),20),""),"")</f>
        <v/>
      </c>
      <c r="X116">
        <f>IFERROR(IF(ISNUMBER(INDEX(SPPR!$E:$Z,MATCH($A116,SPPR!$A:$A,0),21)),$C116*INDEX(SPPR!$E:$Z,MATCH($A116,SPPR!$A:$A,0),21),""),"")</f>
        <v/>
      </c>
      <c r="Y116">
        <f>IFERROR(IF(ISNUMBER(INDEX(SPPR!$E:$Z,MATCH($A116,SPPR!$A:$A,0),22)),$C116*INDEX(SPPR!$E:$Z,MATCH($A116,SPPR!$A:$A,0),22),""),"")</f>
        <v/>
      </c>
    </row>
    <row r="117">
      <c r="A117" t="inlineStr">
        <is>
          <t>Caesionidae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IFERROR(IF(ISNUMBER(INDEX(SPPR!$E:$Z,MATCH($A117,SPPR!$A:$A,0),1)),$C117*INDEX(SPPR!$E:$Z,MATCH($A117,SPPR!$A:$A,0),1),""),"")</f>
        <v/>
      </c>
      <c r="E117">
        <f>IFERROR(IF(ISNUMBER(INDEX(SPPR!$E:$Z,MATCH($A117,SPPR!$A:$A,0),2)),$C117*INDEX(SPPR!$E:$Z,MATCH($A117,SPPR!$A:$A,0),2),""),"")</f>
        <v/>
      </c>
      <c r="F117">
        <f>IFERROR(IF(ISNUMBER(INDEX(SPPR!$E:$Z,MATCH($A117,SPPR!$A:$A,0),3)),$C117*INDEX(SPPR!$E:$Z,MATCH($A117,SPPR!$A:$A,0),3),""),"")</f>
        <v/>
      </c>
      <c r="G117">
        <f>IFERROR(IF(ISNUMBER(INDEX(SPPR!$E:$Z,MATCH($A117,SPPR!$A:$A,0),4)),$C117*INDEX(SPPR!$E:$Z,MATCH($A117,SPPR!$A:$A,0),4),""),"")</f>
        <v/>
      </c>
      <c r="H117">
        <f>IFERROR(IF(ISNUMBER(INDEX(SPPR!$E:$Z,MATCH($A117,SPPR!$A:$A,0),5)),$C117*INDEX(SPPR!$E:$Z,MATCH($A117,SPPR!$A:$A,0),5),""),"")</f>
        <v/>
      </c>
      <c r="I117">
        <f>IFERROR(IF(ISNUMBER(INDEX(SPPR!$E:$Z,MATCH($A117,SPPR!$A:$A,0),6)),$C117*INDEX(SPPR!$E:$Z,MATCH($A117,SPPR!$A:$A,0),6),""),"")</f>
        <v/>
      </c>
      <c r="J117">
        <f>IFERROR(IF(ISNUMBER(INDEX(SPPR!$E:$Z,MATCH($A117,SPPR!$A:$A,0),7)),$C117*INDEX(SPPR!$E:$Z,MATCH($A117,SPPR!$A:$A,0),7),""),"")</f>
        <v/>
      </c>
      <c r="K117">
        <f>IFERROR(IF(ISNUMBER(INDEX(SPPR!$E:$Z,MATCH($A117,SPPR!$A:$A,0),8)),$C117*INDEX(SPPR!$E:$Z,MATCH($A117,SPPR!$A:$A,0),8),""),"")</f>
        <v/>
      </c>
      <c r="L117">
        <f>IFERROR(IF(ISNUMBER(INDEX(SPPR!$E:$Z,MATCH($A117,SPPR!$A:$A,0),9)),$C117*INDEX(SPPR!$E:$Z,MATCH($A117,SPPR!$A:$A,0),9),""),"")</f>
        <v/>
      </c>
      <c r="M117">
        <f>IFERROR(IF(ISNUMBER(INDEX(SPPR!$E:$Z,MATCH($A117,SPPR!$A:$A,0),10)),$C117*INDEX(SPPR!$E:$Z,MATCH($A117,SPPR!$A:$A,0),10),""),"")</f>
        <v/>
      </c>
      <c r="N117">
        <f>IFERROR(IF(ISNUMBER(INDEX(SPPR!$E:$Z,MATCH($A117,SPPR!$A:$A,0),11)),$C117*INDEX(SPPR!$E:$Z,MATCH($A117,SPPR!$A:$A,0),11),""),"")</f>
        <v/>
      </c>
      <c r="O117">
        <f>IFERROR(IF(ISNUMBER(INDEX(SPPR!$E:$Z,MATCH($A117,SPPR!$A:$A,0),12)),$C117*INDEX(SPPR!$E:$Z,MATCH($A117,SPPR!$A:$A,0),12),""),"")</f>
        <v/>
      </c>
      <c r="P117">
        <f>IFERROR(IF(ISNUMBER(INDEX(SPPR!$E:$Z,MATCH($A117,SPPR!$A:$A,0),13)),$C117*INDEX(SPPR!$E:$Z,MATCH($A117,SPPR!$A:$A,0),13),""),"")</f>
        <v/>
      </c>
      <c r="Q117">
        <f>IFERROR(IF(ISNUMBER(INDEX(SPPR!$E:$Z,MATCH($A117,SPPR!$A:$A,0),14)),$C117*INDEX(SPPR!$E:$Z,MATCH($A117,SPPR!$A:$A,0),14),""),"")</f>
        <v/>
      </c>
      <c r="R117">
        <f>IFERROR(IF(ISNUMBER(INDEX(SPPR!$E:$Z,MATCH($A117,SPPR!$A:$A,0),15)),$C117*INDEX(SPPR!$E:$Z,MATCH($A117,SPPR!$A:$A,0),15),""),"")</f>
        <v/>
      </c>
      <c r="S117">
        <f>IFERROR(IF(ISNUMBER(INDEX(SPPR!$E:$Z,MATCH($A117,SPPR!$A:$A,0),16)),$C117*INDEX(SPPR!$E:$Z,MATCH($A117,SPPR!$A:$A,0),16),""),"")</f>
        <v/>
      </c>
      <c r="T117">
        <f>IFERROR(IF(ISNUMBER(INDEX(SPPR!$E:$Z,MATCH($A117,SPPR!$A:$A,0),17)),$C117*INDEX(SPPR!$E:$Z,MATCH($A117,SPPR!$A:$A,0),17),""),"")</f>
        <v/>
      </c>
      <c r="U117">
        <f>IFERROR(IF(ISNUMBER(INDEX(SPPR!$E:$Z,MATCH($A117,SPPR!$A:$A,0),18)),$C117*INDEX(SPPR!$E:$Z,MATCH($A117,SPPR!$A:$A,0),18),""),"")</f>
        <v/>
      </c>
      <c r="V117">
        <f>IFERROR(IF(ISNUMBER(INDEX(SPPR!$E:$Z,MATCH($A117,SPPR!$A:$A,0),19)),$C117*INDEX(SPPR!$E:$Z,MATCH($A117,SPPR!$A:$A,0),19),""),"")</f>
        <v/>
      </c>
      <c r="W117">
        <f>IFERROR(IF(ISNUMBER(INDEX(SPPR!$E:$Z,MATCH($A117,SPPR!$A:$A,0),20)),$C117*INDEX(SPPR!$E:$Z,MATCH($A117,SPPR!$A:$A,0),20),""),"")</f>
        <v/>
      </c>
      <c r="X117">
        <f>IFERROR(IF(ISNUMBER(INDEX(SPPR!$E:$Z,MATCH($A117,SPPR!$A:$A,0),21)),$C117*INDEX(SPPR!$E:$Z,MATCH($A117,SPPR!$A:$A,0),21),""),"")</f>
        <v/>
      </c>
      <c r="Y117">
        <f>IFERROR(IF(ISNUMBER(INDEX(SPPR!$E:$Z,MATCH($A117,SPPR!$A:$A,0),22)),$C117*INDEX(SPPR!$E:$Z,MATCH($A117,SPPR!$A:$A,0),22),""),"")</f>
        <v/>
      </c>
    </row>
    <row r="118">
      <c r="A118" t="inlineStr">
        <is>
          <t>Trichiurus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IFERROR(IF(ISNUMBER(INDEX(SPPR!$E:$Z,MATCH($A118,SPPR!$A:$A,0),1)),$C118*INDEX(SPPR!$E:$Z,MATCH($A118,SPPR!$A:$A,0),1),""),"")</f>
        <v/>
      </c>
      <c r="E118">
        <f>IFERROR(IF(ISNUMBER(INDEX(SPPR!$E:$Z,MATCH($A118,SPPR!$A:$A,0),2)),$C118*INDEX(SPPR!$E:$Z,MATCH($A118,SPPR!$A:$A,0),2),""),"")</f>
        <v/>
      </c>
      <c r="F118">
        <f>IFERROR(IF(ISNUMBER(INDEX(SPPR!$E:$Z,MATCH($A118,SPPR!$A:$A,0),3)),$C118*INDEX(SPPR!$E:$Z,MATCH($A118,SPPR!$A:$A,0),3),""),"")</f>
        <v/>
      </c>
      <c r="G118">
        <f>IFERROR(IF(ISNUMBER(INDEX(SPPR!$E:$Z,MATCH($A118,SPPR!$A:$A,0),4)),$C118*INDEX(SPPR!$E:$Z,MATCH($A118,SPPR!$A:$A,0),4),""),"")</f>
        <v/>
      </c>
      <c r="H118">
        <f>IFERROR(IF(ISNUMBER(INDEX(SPPR!$E:$Z,MATCH($A118,SPPR!$A:$A,0),5)),$C118*INDEX(SPPR!$E:$Z,MATCH($A118,SPPR!$A:$A,0),5),""),"")</f>
        <v/>
      </c>
      <c r="I118">
        <f>IFERROR(IF(ISNUMBER(INDEX(SPPR!$E:$Z,MATCH($A118,SPPR!$A:$A,0),6)),$C118*INDEX(SPPR!$E:$Z,MATCH($A118,SPPR!$A:$A,0),6),""),"")</f>
        <v/>
      </c>
      <c r="J118">
        <f>IFERROR(IF(ISNUMBER(INDEX(SPPR!$E:$Z,MATCH($A118,SPPR!$A:$A,0),7)),$C118*INDEX(SPPR!$E:$Z,MATCH($A118,SPPR!$A:$A,0),7),""),"")</f>
        <v/>
      </c>
      <c r="K118">
        <f>IFERROR(IF(ISNUMBER(INDEX(SPPR!$E:$Z,MATCH($A118,SPPR!$A:$A,0),8)),$C118*INDEX(SPPR!$E:$Z,MATCH($A118,SPPR!$A:$A,0),8),""),"")</f>
        <v/>
      </c>
      <c r="L118">
        <f>IFERROR(IF(ISNUMBER(INDEX(SPPR!$E:$Z,MATCH($A118,SPPR!$A:$A,0),9)),$C118*INDEX(SPPR!$E:$Z,MATCH($A118,SPPR!$A:$A,0),9),""),"")</f>
        <v/>
      </c>
      <c r="M118">
        <f>IFERROR(IF(ISNUMBER(INDEX(SPPR!$E:$Z,MATCH($A118,SPPR!$A:$A,0),10)),$C118*INDEX(SPPR!$E:$Z,MATCH($A118,SPPR!$A:$A,0),10),""),"")</f>
        <v/>
      </c>
      <c r="N118">
        <f>IFERROR(IF(ISNUMBER(INDEX(SPPR!$E:$Z,MATCH($A118,SPPR!$A:$A,0),11)),$C118*INDEX(SPPR!$E:$Z,MATCH($A118,SPPR!$A:$A,0),11),""),"")</f>
        <v/>
      </c>
      <c r="O118">
        <f>IFERROR(IF(ISNUMBER(INDEX(SPPR!$E:$Z,MATCH($A118,SPPR!$A:$A,0),12)),$C118*INDEX(SPPR!$E:$Z,MATCH($A118,SPPR!$A:$A,0),12),""),"")</f>
        <v/>
      </c>
      <c r="P118">
        <f>IFERROR(IF(ISNUMBER(INDEX(SPPR!$E:$Z,MATCH($A118,SPPR!$A:$A,0),13)),$C118*INDEX(SPPR!$E:$Z,MATCH($A118,SPPR!$A:$A,0),13),""),"")</f>
        <v/>
      </c>
      <c r="Q118">
        <f>IFERROR(IF(ISNUMBER(INDEX(SPPR!$E:$Z,MATCH($A118,SPPR!$A:$A,0),14)),$C118*INDEX(SPPR!$E:$Z,MATCH($A118,SPPR!$A:$A,0),14),""),"")</f>
        <v/>
      </c>
      <c r="R118">
        <f>IFERROR(IF(ISNUMBER(INDEX(SPPR!$E:$Z,MATCH($A118,SPPR!$A:$A,0),15)),$C118*INDEX(SPPR!$E:$Z,MATCH($A118,SPPR!$A:$A,0),15),""),"")</f>
        <v/>
      </c>
      <c r="S118">
        <f>IFERROR(IF(ISNUMBER(INDEX(SPPR!$E:$Z,MATCH($A118,SPPR!$A:$A,0),16)),$C118*INDEX(SPPR!$E:$Z,MATCH($A118,SPPR!$A:$A,0),16),""),"")</f>
        <v/>
      </c>
      <c r="T118">
        <f>IFERROR(IF(ISNUMBER(INDEX(SPPR!$E:$Z,MATCH($A118,SPPR!$A:$A,0),17)),$C118*INDEX(SPPR!$E:$Z,MATCH($A118,SPPR!$A:$A,0),17),""),"")</f>
        <v/>
      </c>
      <c r="U118">
        <f>IFERROR(IF(ISNUMBER(INDEX(SPPR!$E:$Z,MATCH($A118,SPPR!$A:$A,0),18)),$C118*INDEX(SPPR!$E:$Z,MATCH($A118,SPPR!$A:$A,0),18),""),"")</f>
        <v/>
      </c>
      <c r="V118">
        <f>IFERROR(IF(ISNUMBER(INDEX(SPPR!$E:$Z,MATCH($A118,SPPR!$A:$A,0),19)),$C118*INDEX(SPPR!$E:$Z,MATCH($A118,SPPR!$A:$A,0),19),""),"")</f>
        <v/>
      </c>
      <c r="W118">
        <f>IFERROR(IF(ISNUMBER(INDEX(SPPR!$E:$Z,MATCH($A118,SPPR!$A:$A,0),20)),$C118*INDEX(SPPR!$E:$Z,MATCH($A118,SPPR!$A:$A,0),20),""),"")</f>
        <v/>
      </c>
      <c r="X118">
        <f>IFERROR(IF(ISNUMBER(INDEX(SPPR!$E:$Z,MATCH($A118,SPPR!$A:$A,0),21)),$C118*INDEX(SPPR!$E:$Z,MATCH($A118,SPPR!$A:$A,0),21),""),"")</f>
        <v/>
      </c>
      <c r="Y118">
        <f>IFERROR(IF(ISNUMBER(INDEX(SPPR!$E:$Z,MATCH($A118,SPPR!$A:$A,0),22)),$C118*INDEX(SPPR!$E:$Z,MATCH($A118,SPPR!$A:$A,0),22),""),"")</f>
        <v/>
      </c>
    </row>
    <row r="119">
      <c r="A119" t="inlineStr">
        <is>
          <t>Sphyraena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IFERROR(IF(ISNUMBER(INDEX(SPPR!$E:$Z,MATCH($A119,SPPR!$A:$A,0),1)),$C119*INDEX(SPPR!$E:$Z,MATCH($A119,SPPR!$A:$A,0),1),""),"")</f>
        <v/>
      </c>
      <c r="E119">
        <f>IFERROR(IF(ISNUMBER(INDEX(SPPR!$E:$Z,MATCH($A119,SPPR!$A:$A,0),2)),$C119*INDEX(SPPR!$E:$Z,MATCH($A119,SPPR!$A:$A,0),2),""),"")</f>
        <v/>
      </c>
      <c r="F119">
        <f>IFERROR(IF(ISNUMBER(INDEX(SPPR!$E:$Z,MATCH($A119,SPPR!$A:$A,0),3)),$C119*INDEX(SPPR!$E:$Z,MATCH($A119,SPPR!$A:$A,0),3),""),"")</f>
        <v/>
      </c>
      <c r="G119">
        <f>IFERROR(IF(ISNUMBER(INDEX(SPPR!$E:$Z,MATCH($A119,SPPR!$A:$A,0),4)),$C119*INDEX(SPPR!$E:$Z,MATCH($A119,SPPR!$A:$A,0),4),""),"")</f>
        <v/>
      </c>
      <c r="H119">
        <f>IFERROR(IF(ISNUMBER(INDEX(SPPR!$E:$Z,MATCH($A119,SPPR!$A:$A,0),5)),$C119*INDEX(SPPR!$E:$Z,MATCH($A119,SPPR!$A:$A,0),5),""),"")</f>
        <v/>
      </c>
      <c r="I119">
        <f>IFERROR(IF(ISNUMBER(INDEX(SPPR!$E:$Z,MATCH($A119,SPPR!$A:$A,0),6)),$C119*INDEX(SPPR!$E:$Z,MATCH($A119,SPPR!$A:$A,0),6),""),"")</f>
        <v/>
      </c>
      <c r="J119">
        <f>IFERROR(IF(ISNUMBER(INDEX(SPPR!$E:$Z,MATCH($A119,SPPR!$A:$A,0),7)),$C119*INDEX(SPPR!$E:$Z,MATCH($A119,SPPR!$A:$A,0),7),""),"")</f>
        <v/>
      </c>
      <c r="K119">
        <f>IFERROR(IF(ISNUMBER(INDEX(SPPR!$E:$Z,MATCH($A119,SPPR!$A:$A,0),8)),$C119*INDEX(SPPR!$E:$Z,MATCH($A119,SPPR!$A:$A,0),8),""),"")</f>
        <v/>
      </c>
      <c r="L119">
        <f>IFERROR(IF(ISNUMBER(INDEX(SPPR!$E:$Z,MATCH($A119,SPPR!$A:$A,0),9)),$C119*INDEX(SPPR!$E:$Z,MATCH($A119,SPPR!$A:$A,0),9),""),"")</f>
        <v/>
      </c>
      <c r="M119">
        <f>IFERROR(IF(ISNUMBER(INDEX(SPPR!$E:$Z,MATCH($A119,SPPR!$A:$A,0),10)),$C119*INDEX(SPPR!$E:$Z,MATCH($A119,SPPR!$A:$A,0),10),""),"")</f>
        <v/>
      </c>
      <c r="N119">
        <f>IFERROR(IF(ISNUMBER(INDEX(SPPR!$E:$Z,MATCH($A119,SPPR!$A:$A,0),11)),$C119*INDEX(SPPR!$E:$Z,MATCH($A119,SPPR!$A:$A,0),11),""),"")</f>
        <v/>
      </c>
      <c r="O119">
        <f>IFERROR(IF(ISNUMBER(INDEX(SPPR!$E:$Z,MATCH($A119,SPPR!$A:$A,0),12)),$C119*INDEX(SPPR!$E:$Z,MATCH($A119,SPPR!$A:$A,0),12),""),"")</f>
        <v/>
      </c>
      <c r="P119">
        <f>IFERROR(IF(ISNUMBER(INDEX(SPPR!$E:$Z,MATCH($A119,SPPR!$A:$A,0),13)),$C119*INDEX(SPPR!$E:$Z,MATCH($A119,SPPR!$A:$A,0),13),""),"")</f>
        <v/>
      </c>
      <c r="Q119">
        <f>IFERROR(IF(ISNUMBER(INDEX(SPPR!$E:$Z,MATCH($A119,SPPR!$A:$A,0),14)),$C119*INDEX(SPPR!$E:$Z,MATCH($A119,SPPR!$A:$A,0),14),""),"")</f>
        <v/>
      </c>
      <c r="R119">
        <f>IFERROR(IF(ISNUMBER(INDEX(SPPR!$E:$Z,MATCH($A119,SPPR!$A:$A,0),15)),$C119*INDEX(SPPR!$E:$Z,MATCH($A119,SPPR!$A:$A,0),15),""),"")</f>
        <v/>
      </c>
      <c r="S119">
        <f>IFERROR(IF(ISNUMBER(INDEX(SPPR!$E:$Z,MATCH($A119,SPPR!$A:$A,0),16)),$C119*INDEX(SPPR!$E:$Z,MATCH($A119,SPPR!$A:$A,0),16),""),"")</f>
        <v/>
      </c>
      <c r="T119">
        <f>IFERROR(IF(ISNUMBER(INDEX(SPPR!$E:$Z,MATCH($A119,SPPR!$A:$A,0),17)),$C119*INDEX(SPPR!$E:$Z,MATCH($A119,SPPR!$A:$A,0),17),""),"")</f>
        <v/>
      </c>
      <c r="U119">
        <f>IFERROR(IF(ISNUMBER(INDEX(SPPR!$E:$Z,MATCH($A119,SPPR!$A:$A,0),18)),$C119*INDEX(SPPR!$E:$Z,MATCH($A119,SPPR!$A:$A,0),18),""),"")</f>
        <v/>
      </c>
      <c r="V119">
        <f>IFERROR(IF(ISNUMBER(INDEX(SPPR!$E:$Z,MATCH($A119,SPPR!$A:$A,0),19)),$C119*INDEX(SPPR!$E:$Z,MATCH($A119,SPPR!$A:$A,0),19),""),"")</f>
        <v/>
      </c>
      <c r="W119">
        <f>IFERROR(IF(ISNUMBER(INDEX(SPPR!$E:$Z,MATCH($A119,SPPR!$A:$A,0),20)),$C119*INDEX(SPPR!$E:$Z,MATCH($A119,SPPR!$A:$A,0),20),""),"")</f>
        <v/>
      </c>
      <c r="X119">
        <f>IFERROR(IF(ISNUMBER(INDEX(SPPR!$E:$Z,MATCH($A119,SPPR!$A:$A,0),21)),$C119*INDEX(SPPR!$E:$Z,MATCH($A119,SPPR!$A:$A,0),21),""),"")</f>
        <v/>
      </c>
      <c r="Y119">
        <f>IFERROR(IF(ISNUMBER(INDEX(SPPR!$E:$Z,MATCH($A119,SPPR!$A:$A,0),22)),$C119*INDEX(SPPR!$E:$Z,MATCH($A119,SPPR!$A:$A,0),22),""),"")</f>
        <v/>
      </c>
    </row>
    <row r="120">
      <c r="A120" t="inlineStr">
        <is>
          <t>Metapenaeus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IFERROR(IF(ISNUMBER(INDEX(SPPR!$E:$Z,MATCH($A120,SPPR!$A:$A,0),1)),$C120*INDEX(SPPR!$E:$Z,MATCH($A120,SPPR!$A:$A,0),1),""),"")</f>
        <v/>
      </c>
      <c r="E120">
        <f>IFERROR(IF(ISNUMBER(INDEX(SPPR!$E:$Z,MATCH($A120,SPPR!$A:$A,0),2)),$C120*INDEX(SPPR!$E:$Z,MATCH($A120,SPPR!$A:$A,0),2),""),"")</f>
        <v/>
      </c>
      <c r="F120">
        <f>IFERROR(IF(ISNUMBER(INDEX(SPPR!$E:$Z,MATCH($A120,SPPR!$A:$A,0),3)),$C120*INDEX(SPPR!$E:$Z,MATCH($A120,SPPR!$A:$A,0),3),""),"")</f>
        <v/>
      </c>
      <c r="G120">
        <f>IFERROR(IF(ISNUMBER(INDEX(SPPR!$E:$Z,MATCH($A120,SPPR!$A:$A,0),4)),$C120*INDEX(SPPR!$E:$Z,MATCH($A120,SPPR!$A:$A,0),4),""),"")</f>
        <v/>
      </c>
      <c r="H120">
        <f>IFERROR(IF(ISNUMBER(INDEX(SPPR!$E:$Z,MATCH($A120,SPPR!$A:$A,0),5)),$C120*INDEX(SPPR!$E:$Z,MATCH($A120,SPPR!$A:$A,0),5),""),"")</f>
        <v/>
      </c>
      <c r="I120">
        <f>IFERROR(IF(ISNUMBER(INDEX(SPPR!$E:$Z,MATCH($A120,SPPR!$A:$A,0),6)),$C120*INDEX(SPPR!$E:$Z,MATCH($A120,SPPR!$A:$A,0),6),""),"")</f>
        <v/>
      </c>
      <c r="J120">
        <f>IFERROR(IF(ISNUMBER(INDEX(SPPR!$E:$Z,MATCH($A120,SPPR!$A:$A,0),7)),$C120*INDEX(SPPR!$E:$Z,MATCH($A120,SPPR!$A:$A,0),7),""),"")</f>
        <v/>
      </c>
      <c r="K120">
        <f>IFERROR(IF(ISNUMBER(INDEX(SPPR!$E:$Z,MATCH($A120,SPPR!$A:$A,0),8)),$C120*INDEX(SPPR!$E:$Z,MATCH($A120,SPPR!$A:$A,0),8),""),"")</f>
        <v/>
      </c>
      <c r="L120">
        <f>IFERROR(IF(ISNUMBER(INDEX(SPPR!$E:$Z,MATCH($A120,SPPR!$A:$A,0),9)),$C120*INDEX(SPPR!$E:$Z,MATCH($A120,SPPR!$A:$A,0),9),""),"")</f>
        <v/>
      </c>
      <c r="M120">
        <f>IFERROR(IF(ISNUMBER(INDEX(SPPR!$E:$Z,MATCH($A120,SPPR!$A:$A,0),10)),$C120*INDEX(SPPR!$E:$Z,MATCH($A120,SPPR!$A:$A,0),10),""),"")</f>
        <v/>
      </c>
      <c r="N120">
        <f>IFERROR(IF(ISNUMBER(INDEX(SPPR!$E:$Z,MATCH($A120,SPPR!$A:$A,0),11)),$C120*INDEX(SPPR!$E:$Z,MATCH($A120,SPPR!$A:$A,0),11),""),"")</f>
        <v/>
      </c>
      <c r="O120">
        <f>IFERROR(IF(ISNUMBER(INDEX(SPPR!$E:$Z,MATCH($A120,SPPR!$A:$A,0),12)),$C120*INDEX(SPPR!$E:$Z,MATCH($A120,SPPR!$A:$A,0),12),""),"")</f>
        <v/>
      </c>
      <c r="P120">
        <f>IFERROR(IF(ISNUMBER(INDEX(SPPR!$E:$Z,MATCH($A120,SPPR!$A:$A,0),13)),$C120*INDEX(SPPR!$E:$Z,MATCH($A120,SPPR!$A:$A,0),13),""),"")</f>
        <v/>
      </c>
      <c r="Q120">
        <f>IFERROR(IF(ISNUMBER(INDEX(SPPR!$E:$Z,MATCH($A120,SPPR!$A:$A,0),14)),$C120*INDEX(SPPR!$E:$Z,MATCH($A120,SPPR!$A:$A,0),14),""),"")</f>
        <v/>
      </c>
      <c r="R120">
        <f>IFERROR(IF(ISNUMBER(INDEX(SPPR!$E:$Z,MATCH($A120,SPPR!$A:$A,0),15)),$C120*INDEX(SPPR!$E:$Z,MATCH($A120,SPPR!$A:$A,0),15),""),"")</f>
        <v/>
      </c>
      <c r="S120">
        <f>IFERROR(IF(ISNUMBER(INDEX(SPPR!$E:$Z,MATCH($A120,SPPR!$A:$A,0),16)),$C120*INDEX(SPPR!$E:$Z,MATCH($A120,SPPR!$A:$A,0),16),""),"")</f>
        <v/>
      </c>
      <c r="T120">
        <f>IFERROR(IF(ISNUMBER(INDEX(SPPR!$E:$Z,MATCH($A120,SPPR!$A:$A,0),17)),$C120*INDEX(SPPR!$E:$Z,MATCH($A120,SPPR!$A:$A,0),17),""),"")</f>
        <v/>
      </c>
      <c r="U120">
        <f>IFERROR(IF(ISNUMBER(INDEX(SPPR!$E:$Z,MATCH($A120,SPPR!$A:$A,0),18)),$C120*INDEX(SPPR!$E:$Z,MATCH($A120,SPPR!$A:$A,0),18),""),"")</f>
        <v/>
      </c>
      <c r="V120">
        <f>IFERROR(IF(ISNUMBER(INDEX(SPPR!$E:$Z,MATCH($A120,SPPR!$A:$A,0),19)),$C120*INDEX(SPPR!$E:$Z,MATCH($A120,SPPR!$A:$A,0),19),""),"")</f>
        <v/>
      </c>
      <c r="W120">
        <f>IFERROR(IF(ISNUMBER(INDEX(SPPR!$E:$Z,MATCH($A120,SPPR!$A:$A,0),20)),$C120*INDEX(SPPR!$E:$Z,MATCH($A120,SPPR!$A:$A,0),20),""),"")</f>
        <v/>
      </c>
      <c r="X120">
        <f>IFERROR(IF(ISNUMBER(INDEX(SPPR!$E:$Z,MATCH($A120,SPPR!$A:$A,0),21)),$C120*INDEX(SPPR!$E:$Z,MATCH($A120,SPPR!$A:$A,0),21),""),"")</f>
        <v/>
      </c>
      <c r="Y120">
        <f>IFERROR(IF(ISNUMBER(INDEX(SPPR!$E:$Z,MATCH($A120,SPPR!$A:$A,0),22)),$C120*INDEX(SPPR!$E:$Z,MATCH($A120,SPPR!$A:$A,0),22),""),"")</f>
        <v/>
      </c>
    </row>
    <row r="121">
      <c r="A121" t="inlineStr">
        <is>
          <t>Pennahia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IFERROR(IF(ISNUMBER(INDEX(SPPR!$E:$Z,MATCH($A121,SPPR!$A:$A,0),1)),$C121*INDEX(SPPR!$E:$Z,MATCH($A121,SPPR!$A:$A,0),1),""),"")</f>
        <v/>
      </c>
      <c r="E121">
        <f>IFERROR(IF(ISNUMBER(INDEX(SPPR!$E:$Z,MATCH($A121,SPPR!$A:$A,0),2)),$C121*INDEX(SPPR!$E:$Z,MATCH($A121,SPPR!$A:$A,0),2),""),"")</f>
        <v/>
      </c>
      <c r="F121">
        <f>IFERROR(IF(ISNUMBER(INDEX(SPPR!$E:$Z,MATCH($A121,SPPR!$A:$A,0),3)),$C121*INDEX(SPPR!$E:$Z,MATCH($A121,SPPR!$A:$A,0),3),""),"")</f>
        <v/>
      </c>
      <c r="G121">
        <f>IFERROR(IF(ISNUMBER(INDEX(SPPR!$E:$Z,MATCH($A121,SPPR!$A:$A,0),4)),$C121*INDEX(SPPR!$E:$Z,MATCH($A121,SPPR!$A:$A,0),4),""),"")</f>
        <v/>
      </c>
      <c r="H121">
        <f>IFERROR(IF(ISNUMBER(INDEX(SPPR!$E:$Z,MATCH($A121,SPPR!$A:$A,0),5)),$C121*INDEX(SPPR!$E:$Z,MATCH($A121,SPPR!$A:$A,0),5),""),"")</f>
        <v/>
      </c>
      <c r="I121">
        <f>IFERROR(IF(ISNUMBER(INDEX(SPPR!$E:$Z,MATCH($A121,SPPR!$A:$A,0),6)),$C121*INDEX(SPPR!$E:$Z,MATCH($A121,SPPR!$A:$A,0),6),""),"")</f>
        <v/>
      </c>
      <c r="J121">
        <f>IFERROR(IF(ISNUMBER(INDEX(SPPR!$E:$Z,MATCH($A121,SPPR!$A:$A,0),7)),$C121*INDEX(SPPR!$E:$Z,MATCH($A121,SPPR!$A:$A,0),7),""),"")</f>
        <v/>
      </c>
      <c r="K121">
        <f>IFERROR(IF(ISNUMBER(INDEX(SPPR!$E:$Z,MATCH($A121,SPPR!$A:$A,0),8)),$C121*INDEX(SPPR!$E:$Z,MATCH($A121,SPPR!$A:$A,0),8),""),"")</f>
        <v/>
      </c>
      <c r="L121">
        <f>IFERROR(IF(ISNUMBER(INDEX(SPPR!$E:$Z,MATCH($A121,SPPR!$A:$A,0),9)),$C121*INDEX(SPPR!$E:$Z,MATCH($A121,SPPR!$A:$A,0),9),""),"")</f>
        <v/>
      </c>
      <c r="M121">
        <f>IFERROR(IF(ISNUMBER(INDEX(SPPR!$E:$Z,MATCH($A121,SPPR!$A:$A,0),10)),$C121*INDEX(SPPR!$E:$Z,MATCH($A121,SPPR!$A:$A,0),10),""),"")</f>
        <v/>
      </c>
      <c r="N121">
        <f>IFERROR(IF(ISNUMBER(INDEX(SPPR!$E:$Z,MATCH($A121,SPPR!$A:$A,0),11)),$C121*INDEX(SPPR!$E:$Z,MATCH($A121,SPPR!$A:$A,0),11),""),"")</f>
        <v/>
      </c>
      <c r="O121">
        <f>IFERROR(IF(ISNUMBER(INDEX(SPPR!$E:$Z,MATCH($A121,SPPR!$A:$A,0),12)),$C121*INDEX(SPPR!$E:$Z,MATCH($A121,SPPR!$A:$A,0),12),""),"")</f>
        <v/>
      </c>
      <c r="P121">
        <f>IFERROR(IF(ISNUMBER(INDEX(SPPR!$E:$Z,MATCH($A121,SPPR!$A:$A,0),13)),$C121*INDEX(SPPR!$E:$Z,MATCH($A121,SPPR!$A:$A,0),13),""),"")</f>
        <v/>
      </c>
      <c r="Q121">
        <f>IFERROR(IF(ISNUMBER(INDEX(SPPR!$E:$Z,MATCH($A121,SPPR!$A:$A,0),14)),$C121*INDEX(SPPR!$E:$Z,MATCH($A121,SPPR!$A:$A,0),14),""),"")</f>
        <v/>
      </c>
      <c r="R121">
        <f>IFERROR(IF(ISNUMBER(INDEX(SPPR!$E:$Z,MATCH($A121,SPPR!$A:$A,0),15)),$C121*INDEX(SPPR!$E:$Z,MATCH($A121,SPPR!$A:$A,0),15),""),"")</f>
        <v/>
      </c>
      <c r="S121">
        <f>IFERROR(IF(ISNUMBER(INDEX(SPPR!$E:$Z,MATCH($A121,SPPR!$A:$A,0),16)),$C121*INDEX(SPPR!$E:$Z,MATCH($A121,SPPR!$A:$A,0),16),""),"")</f>
        <v/>
      </c>
      <c r="T121">
        <f>IFERROR(IF(ISNUMBER(INDEX(SPPR!$E:$Z,MATCH($A121,SPPR!$A:$A,0),17)),$C121*INDEX(SPPR!$E:$Z,MATCH($A121,SPPR!$A:$A,0),17),""),"")</f>
        <v/>
      </c>
      <c r="U121">
        <f>IFERROR(IF(ISNUMBER(INDEX(SPPR!$E:$Z,MATCH($A121,SPPR!$A:$A,0),18)),$C121*INDEX(SPPR!$E:$Z,MATCH($A121,SPPR!$A:$A,0),18),""),"")</f>
        <v/>
      </c>
      <c r="V121">
        <f>IFERROR(IF(ISNUMBER(INDEX(SPPR!$E:$Z,MATCH($A121,SPPR!$A:$A,0),19)),$C121*INDEX(SPPR!$E:$Z,MATCH($A121,SPPR!$A:$A,0),19),""),"")</f>
        <v/>
      </c>
      <c r="W121">
        <f>IFERROR(IF(ISNUMBER(INDEX(SPPR!$E:$Z,MATCH($A121,SPPR!$A:$A,0),20)),$C121*INDEX(SPPR!$E:$Z,MATCH($A121,SPPR!$A:$A,0),20),""),"")</f>
        <v/>
      </c>
      <c r="X121">
        <f>IFERROR(IF(ISNUMBER(INDEX(SPPR!$E:$Z,MATCH($A121,SPPR!$A:$A,0),21)),$C121*INDEX(SPPR!$E:$Z,MATCH($A121,SPPR!$A:$A,0),21),""),"")</f>
        <v/>
      </c>
      <c r="Y121">
        <f>IFERROR(IF(ISNUMBER(INDEX(SPPR!$E:$Z,MATCH($A121,SPPR!$A:$A,0),22)),$C121*INDEX(SPPR!$E:$Z,MATCH($A121,SPPR!$A:$A,0),22),""),"")</f>
        <v/>
      </c>
    </row>
    <row r="122">
      <c r="A122" t="inlineStr">
        <is>
          <t>Selar crumenophthalmus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IFERROR(IF(ISNUMBER(INDEX(SPPR!$E:$Z,MATCH($A122,SPPR!$A:$A,0),1)),$C122*INDEX(SPPR!$E:$Z,MATCH($A122,SPPR!$A:$A,0),1),""),"")</f>
        <v/>
      </c>
      <c r="E122">
        <f>IFERROR(IF(ISNUMBER(INDEX(SPPR!$E:$Z,MATCH($A122,SPPR!$A:$A,0),2)),$C122*INDEX(SPPR!$E:$Z,MATCH($A122,SPPR!$A:$A,0),2),""),"")</f>
        <v/>
      </c>
      <c r="F122">
        <f>IFERROR(IF(ISNUMBER(INDEX(SPPR!$E:$Z,MATCH($A122,SPPR!$A:$A,0),3)),$C122*INDEX(SPPR!$E:$Z,MATCH($A122,SPPR!$A:$A,0),3),""),"")</f>
        <v/>
      </c>
      <c r="G122">
        <f>IFERROR(IF(ISNUMBER(INDEX(SPPR!$E:$Z,MATCH($A122,SPPR!$A:$A,0),4)),$C122*INDEX(SPPR!$E:$Z,MATCH($A122,SPPR!$A:$A,0),4),""),"")</f>
        <v/>
      </c>
      <c r="H122">
        <f>IFERROR(IF(ISNUMBER(INDEX(SPPR!$E:$Z,MATCH($A122,SPPR!$A:$A,0),5)),$C122*INDEX(SPPR!$E:$Z,MATCH($A122,SPPR!$A:$A,0),5),""),"")</f>
        <v/>
      </c>
      <c r="I122">
        <f>IFERROR(IF(ISNUMBER(INDEX(SPPR!$E:$Z,MATCH($A122,SPPR!$A:$A,0),6)),$C122*INDEX(SPPR!$E:$Z,MATCH($A122,SPPR!$A:$A,0),6),""),"")</f>
        <v/>
      </c>
      <c r="J122">
        <f>IFERROR(IF(ISNUMBER(INDEX(SPPR!$E:$Z,MATCH($A122,SPPR!$A:$A,0),7)),$C122*INDEX(SPPR!$E:$Z,MATCH($A122,SPPR!$A:$A,0),7),""),"")</f>
        <v/>
      </c>
      <c r="K122">
        <f>IFERROR(IF(ISNUMBER(INDEX(SPPR!$E:$Z,MATCH($A122,SPPR!$A:$A,0),8)),$C122*INDEX(SPPR!$E:$Z,MATCH($A122,SPPR!$A:$A,0),8),""),"")</f>
        <v/>
      </c>
      <c r="L122">
        <f>IFERROR(IF(ISNUMBER(INDEX(SPPR!$E:$Z,MATCH($A122,SPPR!$A:$A,0),9)),$C122*INDEX(SPPR!$E:$Z,MATCH($A122,SPPR!$A:$A,0),9),""),"")</f>
        <v/>
      </c>
      <c r="M122">
        <f>IFERROR(IF(ISNUMBER(INDEX(SPPR!$E:$Z,MATCH($A122,SPPR!$A:$A,0),10)),$C122*INDEX(SPPR!$E:$Z,MATCH($A122,SPPR!$A:$A,0),10),""),"")</f>
        <v/>
      </c>
      <c r="N122">
        <f>IFERROR(IF(ISNUMBER(INDEX(SPPR!$E:$Z,MATCH($A122,SPPR!$A:$A,0),11)),$C122*INDEX(SPPR!$E:$Z,MATCH($A122,SPPR!$A:$A,0),11),""),"")</f>
        <v/>
      </c>
      <c r="O122">
        <f>IFERROR(IF(ISNUMBER(INDEX(SPPR!$E:$Z,MATCH($A122,SPPR!$A:$A,0),12)),$C122*INDEX(SPPR!$E:$Z,MATCH($A122,SPPR!$A:$A,0),12),""),"")</f>
        <v/>
      </c>
      <c r="P122">
        <f>IFERROR(IF(ISNUMBER(INDEX(SPPR!$E:$Z,MATCH($A122,SPPR!$A:$A,0),13)),$C122*INDEX(SPPR!$E:$Z,MATCH($A122,SPPR!$A:$A,0),13),""),"")</f>
        <v/>
      </c>
      <c r="Q122">
        <f>IFERROR(IF(ISNUMBER(INDEX(SPPR!$E:$Z,MATCH($A122,SPPR!$A:$A,0),14)),$C122*INDEX(SPPR!$E:$Z,MATCH($A122,SPPR!$A:$A,0),14),""),"")</f>
        <v/>
      </c>
      <c r="R122">
        <f>IFERROR(IF(ISNUMBER(INDEX(SPPR!$E:$Z,MATCH($A122,SPPR!$A:$A,0),15)),$C122*INDEX(SPPR!$E:$Z,MATCH($A122,SPPR!$A:$A,0),15),""),"")</f>
        <v/>
      </c>
      <c r="S122">
        <f>IFERROR(IF(ISNUMBER(INDEX(SPPR!$E:$Z,MATCH($A122,SPPR!$A:$A,0),16)),$C122*INDEX(SPPR!$E:$Z,MATCH($A122,SPPR!$A:$A,0),16),""),"")</f>
        <v/>
      </c>
      <c r="T122">
        <f>IFERROR(IF(ISNUMBER(INDEX(SPPR!$E:$Z,MATCH($A122,SPPR!$A:$A,0),17)),$C122*INDEX(SPPR!$E:$Z,MATCH($A122,SPPR!$A:$A,0),17),""),"")</f>
        <v/>
      </c>
      <c r="U122">
        <f>IFERROR(IF(ISNUMBER(INDEX(SPPR!$E:$Z,MATCH($A122,SPPR!$A:$A,0),18)),$C122*INDEX(SPPR!$E:$Z,MATCH($A122,SPPR!$A:$A,0),18),""),"")</f>
        <v/>
      </c>
      <c r="V122">
        <f>IFERROR(IF(ISNUMBER(INDEX(SPPR!$E:$Z,MATCH($A122,SPPR!$A:$A,0),19)),$C122*INDEX(SPPR!$E:$Z,MATCH($A122,SPPR!$A:$A,0),19),""),"")</f>
        <v/>
      </c>
      <c r="W122">
        <f>IFERROR(IF(ISNUMBER(INDEX(SPPR!$E:$Z,MATCH($A122,SPPR!$A:$A,0),20)),$C122*INDEX(SPPR!$E:$Z,MATCH($A122,SPPR!$A:$A,0),20),""),"")</f>
        <v/>
      </c>
      <c r="X122">
        <f>IFERROR(IF(ISNUMBER(INDEX(SPPR!$E:$Z,MATCH($A122,SPPR!$A:$A,0),21)),$C122*INDEX(SPPR!$E:$Z,MATCH($A122,SPPR!$A:$A,0),21),""),"")</f>
        <v/>
      </c>
      <c r="Y122">
        <f>IFERROR(IF(ISNUMBER(INDEX(SPPR!$E:$Z,MATCH($A122,SPPR!$A:$A,0),22)),$C122*INDEX(SPPR!$E:$Z,MATCH($A122,SPPR!$A:$A,0),22),""),"")</f>
        <v/>
      </c>
    </row>
    <row r="123">
      <c r="A123" t="inlineStr">
        <is>
          <t>Penaeus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IFERROR(IF(ISNUMBER(INDEX(SPPR!$E:$Z,MATCH($A123,SPPR!$A:$A,0),1)),$C123*INDEX(SPPR!$E:$Z,MATCH($A123,SPPR!$A:$A,0),1),""),"")</f>
        <v/>
      </c>
      <c r="E123">
        <f>IFERROR(IF(ISNUMBER(INDEX(SPPR!$E:$Z,MATCH($A123,SPPR!$A:$A,0),2)),$C123*INDEX(SPPR!$E:$Z,MATCH($A123,SPPR!$A:$A,0),2),""),"")</f>
        <v/>
      </c>
      <c r="F123">
        <f>IFERROR(IF(ISNUMBER(INDEX(SPPR!$E:$Z,MATCH($A123,SPPR!$A:$A,0),3)),$C123*INDEX(SPPR!$E:$Z,MATCH($A123,SPPR!$A:$A,0),3),""),"")</f>
        <v/>
      </c>
      <c r="G123">
        <f>IFERROR(IF(ISNUMBER(INDEX(SPPR!$E:$Z,MATCH($A123,SPPR!$A:$A,0),4)),$C123*INDEX(SPPR!$E:$Z,MATCH($A123,SPPR!$A:$A,0),4),""),"")</f>
        <v/>
      </c>
      <c r="H123">
        <f>IFERROR(IF(ISNUMBER(INDEX(SPPR!$E:$Z,MATCH($A123,SPPR!$A:$A,0),5)),$C123*INDEX(SPPR!$E:$Z,MATCH($A123,SPPR!$A:$A,0),5),""),"")</f>
        <v/>
      </c>
      <c r="I123">
        <f>IFERROR(IF(ISNUMBER(INDEX(SPPR!$E:$Z,MATCH($A123,SPPR!$A:$A,0),6)),$C123*INDEX(SPPR!$E:$Z,MATCH($A123,SPPR!$A:$A,0),6),""),"")</f>
        <v/>
      </c>
      <c r="J123">
        <f>IFERROR(IF(ISNUMBER(INDEX(SPPR!$E:$Z,MATCH($A123,SPPR!$A:$A,0),7)),$C123*INDEX(SPPR!$E:$Z,MATCH($A123,SPPR!$A:$A,0),7),""),"")</f>
        <v/>
      </c>
      <c r="K123">
        <f>IFERROR(IF(ISNUMBER(INDEX(SPPR!$E:$Z,MATCH($A123,SPPR!$A:$A,0),8)),$C123*INDEX(SPPR!$E:$Z,MATCH($A123,SPPR!$A:$A,0),8),""),"")</f>
        <v/>
      </c>
      <c r="L123">
        <f>IFERROR(IF(ISNUMBER(INDEX(SPPR!$E:$Z,MATCH($A123,SPPR!$A:$A,0),9)),$C123*INDEX(SPPR!$E:$Z,MATCH($A123,SPPR!$A:$A,0),9),""),"")</f>
        <v/>
      </c>
      <c r="M123">
        <f>IFERROR(IF(ISNUMBER(INDEX(SPPR!$E:$Z,MATCH($A123,SPPR!$A:$A,0),10)),$C123*INDEX(SPPR!$E:$Z,MATCH($A123,SPPR!$A:$A,0),10),""),"")</f>
        <v/>
      </c>
      <c r="N123">
        <f>IFERROR(IF(ISNUMBER(INDEX(SPPR!$E:$Z,MATCH($A123,SPPR!$A:$A,0),11)),$C123*INDEX(SPPR!$E:$Z,MATCH($A123,SPPR!$A:$A,0),11),""),"")</f>
        <v/>
      </c>
      <c r="O123">
        <f>IFERROR(IF(ISNUMBER(INDEX(SPPR!$E:$Z,MATCH($A123,SPPR!$A:$A,0),12)),$C123*INDEX(SPPR!$E:$Z,MATCH($A123,SPPR!$A:$A,0),12),""),"")</f>
        <v/>
      </c>
      <c r="P123">
        <f>IFERROR(IF(ISNUMBER(INDEX(SPPR!$E:$Z,MATCH($A123,SPPR!$A:$A,0),13)),$C123*INDEX(SPPR!$E:$Z,MATCH($A123,SPPR!$A:$A,0),13),""),"")</f>
        <v/>
      </c>
      <c r="Q123">
        <f>IFERROR(IF(ISNUMBER(INDEX(SPPR!$E:$Z,MATCH($A123,SPPR!$A:$A,0),14)),$C123*INDEX(SPPR!$E:$Z,MATCH($A123,SPPR!$A:$A,0),14),""),"")</f>
        <v/>
      </c>
      <c r="R123">
        <f>IFERROR(IF(ISNUMBER(INDEX(SPPR!$E:$Z,MATCH($A123,SPPR!$A:$A,0),15)),$C123*INDEX(SPPR!$E:$Z,MATCH($A123,SPPR!$A:$A,0),15),""),"")</f>
        <v/>
      </c>
      <c r="S123">
        <f>IFERROR(IF(ISNUMBER(INDEX(SPPR!$E:$Z,MATCH($A123,SPPR!$A:$A,0),16)),$C123*INDEX(SPPR!$E:$Z,MATCH($A123,SPPR!$A:$A,0),16),""),"")</f>
        <v/>
      </c>
      <c r="T123">
        <f>IFERROR(IF(ISNUMBER(INDEX(SPPR!$E:$Z,MATCH($A123,SPPR!$A:$A,0),17)),$C123*INDEX(SPPR!$E:$Z,MATCH($A123,SPPR!$A:$A,0),17),""),"")</f>
        <v/>
      </c>
      <c r="U123">
        <f>IFERROR(IF(ISNUMBER(INDEX(SPPR!$E:$Z,MATCH($A123,SPPR!$A:$A,0),18)),$C123*INDEX(SPPR!$E:$Z,MATCH($A123,SPPR!$A:$A,0),18),""),"")</f>
        <v/>
      </c>
      <c r="V123">
        <f>IFERROR(IF(ISNUMBER(INDEX(SPPR!$E:$Z,MATCH($A123,SPPR!$A:$A,0),19)),$C123*INDEX(SPPR!$E:$Z,MATCH($A123,SPPR!$A:$A,0),19),""),"")</f>
        <v/>
      </c>
      <c r="W123">
        <f>IFERROR(IF(ISNUMBER(INDEX(SPPR!$E:$Z,MATCH($A123,SPPR!$A:$A,0),20)),$C123*INDEX(SPPR!$E:$Z,MATCH($A123,SPPR!$A:$A,0),20),""),"")</f>
        <v/>
      </c>
      <c r="X123">
        <f>IFERROR(IF(ISNUMBER(INDEX(SPPR!$E:$Z,MATCH($A123,SPPR!$A:$A,0),21)),$C123*INDEX(SPPR!$E:$Z,MATCH($A123,SPPR!$A:$A,0),21),""),"")</f>
        <v/>
      </c>
      <c r="Y123">
        <f>IFERROR(IF(ISNUMBER(INDEX(SPPR!$E:$Z,MATCH($A123,SPPR!$A:$A,0),22)),$C123*INDEX(SPPR!$E:$Z,MATCH($A123,SPPR!$A:$A,0),22),""),"")</f>
        <v/>
      </c>
    </row>
    <row r="124">
      <c r="A124" t="inlineStr">
        <is>
          <t>Himantura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IFERROR(IF(ISNUMBER(INDEX(SPPR!$E:$Z,MATCH($A124,SPPR!$A:$A,0),1)),$C124*INDEX(SPPR!$E:$Z,MATCH($A124,SPPR!$A:$A,0),1),""),"")</f>
        <v/>
      </c>
      <c r="E124">
        <f>IFERROR(IF(ISNUMBER(INDEX(SPPR!$E:$Z,MATCH($A124,SPPR!$A:$A,0),2)),$C124*INDEX(SPPR!$E:$Z,MATCH($A124,SPPR!$A:$A,0),2),""),"")</f>
        <v/>
      </c>
      <c r="F124">
        <f>IFERROR(IF(ISNUMBER(INDEX(SPPR!$E:$Z,MATCH($A124,SPPR!$A:$A,0),3)),$C124*INDEX(SPPR!$E:$Z,MATCH($A124,SPPR!$A:$A,0),3),""),"")</f>
        <v/>
      </c>
      <c r="G124">
        <f>IFERROR(IF(ISNUMBER(INDEX(SPPR!$E:$Z,MATCH($A124,SPPR!$A:$A,0),4)),$C124*INDEX(SPPR!$E:$Z,MATCH($A124,SPPR!$A:$A,0),4),""),"")</f>
        <v/>
      </c>
      <c r="H124">
        <f>IFERROR(IF(ISNUMBER(INDEX(SPPR!$E:$Z,MATCH($A124,SPPR!$A:$A,0),5)),$C124*INDEX(SPPR!$E:$Z,MATCH($A124,SPPR!$A:$A,0),5),""),"")</f>
        <v/>
      </c>
      <c r="I124">
        <f>IFERROR(IF(ISNUMBER(INDEX(SPPR!$E:$Z,MATCH($A124,SPPR!$A:$A,0),6)),$C124*INDEX(SPPR!$E:$Z,MATCH($A124,SPPR!$A:$A,0),6),""),"")</f>
        <v/>
      </c>
      <c r="J124">
        <f>IFERROR(IF(ISNUMBER(INDEX(SPPR!$E:$Z,MATCH($A124,SPPR!$A:$A,0),7)),$C124*INDEX(SPPR!$E:$Z,MATCH($A124,SPPR!$A:$A,0),7),""),"")</f>
        <v/>
      </c>
      <c r="K124">
        <f>IFERROR(IF(ISNUMBER(INDEX(SPPR!$E:$Z,MATCH($A124,SPPR!$A:$A,0),8)),$C124*INDEX(SPPR!$E:$Z,MATCH($A124,SPPR!$A:$A,0),8),""),"")</f>
        <v/>
      </c>
      <c r="L124">
        <f>IFERROR(IF(ISNUMBER(INDEX(SPPR!$E:$Z,MATCH($A124,SPPR!$A:$A,0),9)),$C124*INDEX(SPPR!$E:$Z,MATCH($A124,SPPR!$A:$A,0),9),""),"")</f>
        <v/>
      </c>
      <c r="M124">
        <f>IFERROR(IF(ISNUMBER(INDEX(SPPR!$E:$Z,MATCH($A124,SPPR!$A:$A,0),10)),$C124*INDEX(SPPR!$E:$Z,MATCH($A124,SPPR!$A:$A,0),10),""),"")</f>
        <v/>
      </c>
      <c r="N124">
        <f>IFERROR(IF(ISNUMBER(INDEX(SPPR!$E:$Z,MATCH($A124,SPPR!$A:$A,0),11)),$C124*INDEX(SPPR!$E:$Z,MATCH($A124,SPPR!$A:$A,0),11),""),"")</f>
        <v/>
      </c>
      <c r="O124">
        <f>IFERROR(IF(ISNUMBER(INDEX(SPPR!$E:$Z,MATCH($A124,SPPR!$A:$A,0),12)),$C124*INDEX(SPPR!$E:$Z,MATCH($A124,SPPR!$A:$A,0),12),""),"")</f>
        <v/>
      </c>
      <c r="P124">
        <f>IFERROR(IF(ISNUMBER(INDEX(SPPR!$E:$Z,MATCH($A124,SPPR!$A:$A,0),13)),$C124*INDEX(SPPR!$E:$Z,MATCH($A124,SPPR!$A:$A,0),13),""),"")</f>
        <v/>
      </c>
      <c r="Q124">
        <f>IFERROR(IF(ISNUMBER(INDEX(SPPR!$E:$Z,MATCH($A124,SPPR!$A:$A,0),14)),$C124*INDEX(SPPR!$E:$Z,MATCH($A124,SPPR!$A:$A,0),14),""),"")</f>
        <v/>
      </c>
      <c r="R124">
        <f>IFERROR(IF(ISNUMBER(INDEX(SPPR!$E:$Z,MATCH($A124,SPPR!$A:$A,0),15)),$C124*INDEX(SPPR!$E:$Z,MATCH($A124,SPPR!$A:$A,0),15),""),"")</f>
        <v/>
      </c>
      <c r="S124">
        <f>IFERROR(IF(ISNUMBER(INDEX(SPPR!$E:$Z,MATCH($A124,SPPR!$A:$A,0),16)),$C124*INDEX(SPPR!$E:$Z,MATCH($A124,SPPR!$A:$A,0),16),""),"")</f>
        <v/>
      </c>
      <c r="T124">
        <f>IFERROR(IF(ISNUMBER(INDEX(SPPR!$E:$Z,MATCH($A124,SPPR!$A:$A,0),17)),$C124*INDEX(SPPR!$E:$Z,MATCH($A124,SPPR!$A:$A,0),17),""),"")</f>
        <v/>
      </c>
      <c r="U124">
        <f>IFERROR(IF(ISNUMBER(INDEX(SPPR!$E:$Z,MATCH($A124,SPPR!$A:$A,0),18)),$C124*INDEX(SPPR!$E:$Z,MATCH($A124,SPPR!$A:$A,0),18),""),"")</f>
        <v/>
      </c>
      <c r="V124">
        <f>IFERROR(IF(ISNUMBER(INDEX(SPPR!$E:$Z,MATCH($A124,SPPR!$A:$A,0),19)),$C124*INDEX(SPPR!$E:$Z,MATCH($A124,SPPR!$A:$A,0),19),""),"")</f>
        <v/>
      </c>
      <c r="W124">
        <f>IFERROR(IF(ISNUMBER(INDEX(SPPR!$E:$Z,MATCH($A124,SPPR!$A:$A,0),20)),$C124*INDEX(SPPR!$E:$Z,MATCH($A124,SPPR!$A:$A,0),20),""),"")</f>
        <v/>
      </c>
      <c r="X124">
        <f>IFERROR(IF(ISNUMBER(INDEX(SPPR!$E:$Z,MATCH($A124,SPPR!$A:$A,0),21)),$C124*INDEX(SPPR!$E:$Z,MATCH($A124,SPPR!$A:$A,0),21),""),"")</f>
        <v/>
      </c>
      <c r="Y124">
        <f>IFERROR(IF(ISNUMBER(INDEX(SPPR!$E:$Z,MATCH($A124,SPPR!$A:$A,0),22)),$C124*INDEX(SPPR!$E:$Z,MATCH($A124,SPPR!$A:$A,0),22),""),"")</f>
        <v/>
      </c>
    </row>
    <row r="125">
      <c r="A125" t="inlineStr">
        <is>
          <t>Menidae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IFERROR(IF(ISNUMBER(INDEX(SPPR!$E:$Z,MATCH($A125,SPPR!$A:$A,0),1)),$C125*INDEX(SPPR!$E:$Z,MATCH($A125,SPPR!$A:$A,0),1),""),"")</f>
        <v/>
      </c>
      <c r="E125">
        <f>IFERROR(IF(ISNUMBER(INDEX(SPPR!$E:$Z,MATCH($A125,SPPR!$A:$A,0),2)),$C125*INDEX(SPPR!$E:$Z,MATCH($A125,SPPR!$A:$A,0),2),""),"")</f>
        <v/>
      </c>
      <c r="F125">
        <f>IFERROR(IF(ISNUMBER(INDEX(SPPR!$E:$Z,MATCH($A125,SPPR!$A:$A,0),3)),$C125*INDEX(SPPR!$E:$Z,MATCH($A125,SPPR!$A:$A,0),3),""),"")</f>
        <v/>
      </c>
      <c r="G125">
        <f>IFERROR(IF(ISNUMBER(INDEX(SPPR!$E:$Z,MATCH($A125,SPPR!$A:$A,0),4)),$C125*INDEX(SPPR!$E:$Z,MATCH($A125,SPPR!$A:$A,0),4),""),"")</f>
        <v/>
      </c>
      <c r="H125">
        <f>IFERROR(IF(ISNUMBER(INDEX(SPPR!$E:$Z,MATCH($A125,SPPR!$A:$A,0),5)),$C125*INDEX(SPPR!$E:$Z,MATCH($A125,SPPR!$A:$A,0),5),""),"")</f>
        <v/>
      </c>
      <c r="I125">
        <f>IFERROR(IF(ISNUMBER(INDEX(SPPR!$E:$Z,MATCH($A125,SPPR!$A:$A,0),6)),$C125*INDEX(SPPR!$E:$Z,MATCH($A125,SPPR!$A:$A,0),6),""),"")</f>
        <v/>
      </c>
      <c r="J125">
        <f>IFERROR(IF(ISNUMBER(INDEX(SPPR!$E:$Z,MATCH($A125,SPPR!$A:$A,0),7)),$C125*INDEX(SPPR!$E:$Z,MATCH($A125,SPPR!$A:$A,0),7),""),"")</f>
        <v/>
      </c>
      <c r="K125">
        <f>IFERROR(IF(ISNUMBER(INDEX(SPPR!$E:$Z,MATCH($A125,SPPR!$A:$A,0),8)),$C125*INDEX(SPPR!$E:$Z,MATCH($A125,SPPR!$A:$A,0),8),""),"")</f>
        <v/>
      </c>
      <c r="L125">
        <f>IFERROR(IF(ISNUMBER(INDEX(SPPR!$E:$Z,MATCH($A125,SPPR!$A:$A,0),9)),$C125*INDEX(SPPR!$E:$Z,MATCH($A125,SPPR!$A:$A,0),9),""),"")</f>
        <v/>
      </c>
      <c r="M125">
        <f>IFERROR(IF(ISNUMBER(INDEX(SPPR!$E:$Z,MATCH($A125,SPPR!$A:$A,0),10)),$C125*INDEX(SPPR!$E:$Z,MATCH($A125,SPPR!$A:$A,0),10),""),"")</f>
        <v/>
      </c>
      <c r="N125">
        <f>IFERROR(IF(ISNUMBER(INDEX(SPPR!$E:$Z,MATCH($A125,SPPR!$A:$A,0),11)),$C125*INDEX(SPPR!$E:$Z,MATCH($A125,SPPR!$A:$A,0),11),""),"")</f>
        <v/>
      </c>
      <c r="O125">
        <f>IFERROR(IF(ISNUMBER(INDEX(SPPR!$E:$Z,MATCH($A125,SPPR!$A:$A,0),12)),$C125*INDEX(SPPR!$E:$Z,MATCH($A125,SPPR!$A:$A,0),12),""),"")</f>
        <v/>
      </c>
      <c r="P125">
        <f>IFERROR(IF(ISNUMBER(INDEX(SPPR!$E:$Z,MATCH($A125,SPPR!$A:$A,0),13)),$C125*INDEX(SPPR!$E:$Z,MATCH($A125,SPPR!$A:$A,0),13),""),"")</f>
        <v/>
      </c>
      <c r="Q125">
        <f>IFERROR(IF(ISNUMBER(INDEX(SPPR!$E:$Z,MATCH($A125,SPPR!$A:$A,0),14)),$C125*INDEX(SPPR!$E:$Z,MATCH($A125,SPPR!$A:$A,0),14),""),"")</f>
        <v/>
      </c>
      <c r="R125">
        <f>IFERROR(IF(ISNUMBER(INDEX(SPPR!$E:$Z,MATCH($A125,SPPR!$A:$A,0),15)),$C125*INDEX(SPPR!$E:$Z,MATCH($A125,SPPR!$A:$A,0),15),""),"")</f>
        <v/>
      </c>
      <c r="S125">
        <f>IFERROR(IF(ISNUMBER(INDEX(SPPR!$E:$Z,MATCH($A125,SPPR!$A:$A,0),16)),$C125*INDEX(SPPR!$E:$Z,MATCH($A125,SPPR!$A:$A,0),16),""),"")</f>
        <v/>
      </c>
      <c r="T125">
        <f>IFERROR(IF(ISNUMBER(INDEX(SPPR!$E:$Z,MATCH($A125,SPPR!$A:$A,0),17)),$C125*INDEX(SPPR!$E:$Z,MATCH($A125,SPPR!$A:$A,0),17),""),"")</f>
        <v/>
      </c>
      <c r="U125">
        <f>IFERROR(IF(ISNUMBER(INDEX(SPPR!$E:$Z,MATCH($A125,SPPR!$A:$A,0),18)),$C125*INDEX(SPPR!$E:$Z,MATCH($A125,SPPR!$A:$A,0),18),""),"")</f>
        <v/>
      </c>
      <c r="V125">
        <f>IFERROR(IF(ISNUMBER(INDEX(SPPR!$E:$Z,MATCH($A125,SPPR!$A:$A,0),19)),$C125*INDEX(SPPR!$E:$Z,MATCH($A125,SPPR!$A:$A,0),19),""),"")</f>
        <v/>
      </c>
      <c r="W125">
        <f>IFERROR(IF(ISNUMBER(INDEX(SPPR!$E:$Z,MATCH($A125,SPPR!$A:$A,0),20)),$C125*INDEX(SPPR!$E:$Z,MATCH($A125,SPPR!$A:$A,0),20),""),"")</f>
        <v/>
      </c>
      <c r="X125">
        <f>IFERROR(IF(ISNUMBER(INDEX(SPPR!$E:$Z,MATCH($A125,SPPR!$A:$A,0),21)),$C125*INDEX(SPPR!$E:$Z,MATCH($A125,SPPR!$A:$A,0),21),""),"")</f>
        <v/>
      </c>
      <c r="Y125">
        <f>IFERROR(IF(ISNUMBER(INDEX(SPPR!$E:$Z,MATCH($A125,SPPR!$A:$A,0),22)),$C125*INDEX(SPPR!$E:$Z,MATCH($A125,SPPR!$A:$A,0),22),""),"")</f>
        <v/>
      </c>
    </row>
    <row r="126">
      <c r="A126" t="inlineStr">
        <is>
          <t>Scolopsis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IFERROR(IF(ISNUMBER(INDEX(SPPR!$E:$Z,MATCH($A126,SPPR!$A:$A,0),1)),$C126*INDEX(SPPR!$E:$Z,MATCH($A126,SPPR!$A:$A,0),1),""),"")</f>
        <v/>
      </c>
      <c r="E126">
        <f>IFERROR(IF(ISNUMBER(INDEX(SPPR!$E:$Z,MATCH($A126,SPPR!$A:$A,0),2)),$C126*INDEX(SPPR!$E:$Z,MATCH($A126,SPPR!$A:$A,0),2),""),"")</f>
        <v/>
      </c>
      <c r="F126">
        <f>IFERROR(IF(ISNUMBER(INDEX(SPPR!$E:$Z,MATCH($A126,SPPR!$A:$A,0),3)),$C126*INDEX(SPPR!$E:$Z,MATCH($A126,SPPR!$A:$A,0),3),""),"")</f>
        <v/>
      </c>
      <c r="G126">
        <f>IFERROR(IF(ISNUMBER(INDEX(SPPR!$E:$Z,MATCH($A126,SPPR!$A:$A,0),4)),$C126*INDEX(SPPR!$E:$Z,MATCH($A126,SPPR!$A:$A,0),4),""),"")</f>
        <v/>
      </c>
      <c r="H126">
        <f>IFERROR(IF(ISNUMBER(INDEX(SPPR!$E:$Z,MATCH($A126,SPPR!$A:$A,0),5)),$C126*INDEX(SPPR!$E:$Z,MATCH($A126,SPPR!$A:$A,0),5),""),"")</f>
        <v/>
      </c>
      <c r="I126">
        <f>IFERROR(IF(ISNUMBER(INDEX(SPPR!$E:$Z,MATCH($A126,SPPR!$A:$A,0),6)),$C126*INDEX(SPPR!$E:$Z,MATCH($A126,SPPR!$A:$A,0),6),""),"")</f>
        <v/>
      </c>
      <c r="J126">
        <f>IFERROR(IF(ISNUMBER(INDEX(SPPR!$E:$Z,MATCH($A126,SPPR!$A:$A,0),7)),$C126*INDEX(SPPR!$E:$Z,MATCH($A126,SPPR!$A:$A,0),7),""),"")</f>
        <v/>
      </c>
      <c r="K126">
        <f>IFERROR(IF(ISNUMBER(INDEX(SPPR!$E:$Z,MATCH($A126,SPPR!$A:$A,0),8)),$C126*INDEX(SPPR!$E:$Z,MATCH($A126,SPPR!$A:$A,0),8),""),"")</f>
        <v/>
      </c>
      <c r="L126">
        <f>IFERROR(IF(ISNUMBER(INDEX(SPPR!$E:$Z,MATCH($A126,SPPR!$A:$A,0),9)),$C126*INDEX(SPPR!$E:$Z,MATCH($A126,SPPR!$A:$A,0),9),""),"")</f>
        <v/>
      </c>
      <c r="M126">
        <f>IFERROR(IF(ISNUMBER(INDEX(SPPR!$E:$Z,MATCH($A126,SPPR!$A:$A,0),10)),$C126*INDEX(SPPR!$E:$Z,MATCH($A126,SPPR!$A:$A,0),10),""),"")</f>
        <v/>
      </c>
      <c r="N126">
        <f>IFERROR(IF(ISNUMBER(INDEX(SPPR!$E:$Z,MATCH($A126,SPPR!$A:$A,0),11)),$C126*INDEX(SPPR!$E:$Z,MATCH($A126,SPPR!$A:$A,0),11),""),"")</f>
        <v/>
      </c>
      <c r="O126">
        <f>IFERROR(IF(ISNUMBER(INDEX(SPPR!$E:$Z,MATCH($A126,SPPR!$A:$A,0),12)),$C126*INDEX(SPPR!$E:$Z,MATCH($A126,SPPR!$A:$A,0),12),""),"")</f>
        <v/>
      </c>
      <c r="P126">
        <f>IFERROR(IF(ISNUMBER(INDEX(SPPR!$E:$Z,MATCH($A126,SPPR!$A:$A,0),13)),$C126*INDEX(SPPR!$E:$Z,MATCH($A126,SPPR!$A:$A,0),13),""),"")</f>
        <v/>
      </c>
      <c r="Q126">
        <f>IFERROR(IF(ISNUMBER(INDEX(SPPR!$E:$Z,MATCH($A126,SPPR!$A:$A,0),14)),$C126*INDEX(SPPR!$E:$Z,MATCH($A126,SPPR!$A:$A,0),14),""),"")</f>
        <v/>
      </c>
      <c r="R126">
        <f>IFERROR(IF(ISNUMBER(INDEX(SPPR!$E:$Z,MATCH($A126,SPPR!$A:$A,0),15)),$C126*INDEX(SPPR!$E:$Z,MATCH($A126,SPPR!$A:$A,0),15),""),"")</f>
        <v/>
      </c>
      <c r="S126">
        <f>IFERROR(IF(ISNUMBER(INDEX(SPPR!$E:$Z,MATCH($A126,SPPR!$A:$A,0),16)),$C126*INDEX(SPPR!$E:$Z,MATCH($A126,SPPR!$A:$A,0),16),""),"")</f>
        <v/>
      </c>
      <c r="T126">
        <f>IFERROR(IF(ISNUMBER(INDEX(SPPR!$E:$Z,MATCH($A126,SPPR!$A:$A,0),17)),$C126*INDEX(SPPR!$E:$Z,MATCH($A126,SPPR!$A:$A,0),17),""),"")</f>
        <v/>
      </c>
      <c r="U126">
        <f>IFERROR(IF(ISNUMBER(INDEX(SPPR!$E:$Z,MATCH($A126,SPPR!$A:$A,0),18)),$C126*INDEX(SPPR!$E:$Z,MATCH($A126,SPPR!$A:$A,0),18),""),"")</f>
        <v/>
      </c>
      <c r="V126">
        <f>IFERROR(IF(ISNUMBER(INDEX(SPPR!$E:$Z,MATCH($A126,SPPR!$A:$A,0),19)),$C126*INDEX(SPPR!$E:$Z,MATCH($A126,SPPR!$A:$A,0),19),""),"")</f>
        <v/>
      </c>
      <c r="W126">
        <f>IFERROR(IF(ISNUMBER(INDEX(SPPR!$E:$Z,MATCH($A126,SPPR!$A:$A,0),20)),$C126*INDEX(SPPR!$E:$Z,MATCH($A126,SPPR!$A:$A,0),20),""),"")</f>
        <v/>
      </c>
      <c r="X126">
        <f>IFERROR(IF(ISNUMBER(INDEX(SPPR!$E:$Z,MATCH($A126,SPPR!$A:$A,0),21)),$C126*INDEX(SPPR!$E:$Z,MATCH($A126,SPPR!$A:$A,0),21),""),"")</f>
        <v/>
      </c>
      <c r="Y126">
        <f>IFERROR(IF(ISNUMBER(INDEX(SPPR!$E:$Z,MATCH($A126,SPPR!$A:$A,0),22)),$C126*INDEX(SPPR!$E:$Z,MATCH($A126,SPPR!$A:$A,0),22),""),"")</f>
        <v/>
      </c>
    </row>
    <row r="127">
      <c r="A127" t="inlineStr">
        <is>
          <t>Siganus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IFERROR(IF(ISNUMBER(INDEX(SPPR!$E:$Z,MATCH($A127,SPPR!$A:$A,0),1)),$C127*INDEX(SPPR!$E:$Z,MATCH($A127,SPPR!$A:$A,0),1),""),"")</f>
        <v/>
      </c>
      <c r="E127">
        <f>IFERROR(IF(ISNUMBER(INDEX(SPPR!$E:$Z,MATCH($A127,SPPR!$A:$A,0),2)),$C127*INDEX(SPPR!$E:$Z,MATCH($A127,SPPR!$A:$A,0),2),""),"")</f>
        <v/>
      </c>
      <c r="F127">
        <f>IFERROR(IF(ISNUMBER(INDEX(SPPR!$E:$Z,MATCH($A127,SPPR!$A:$A,0),3)),$C127*INDEX(SPPR!$E:$Z,MATCH($A127,SPPR!$A:$A,0),3),""),"")</f>
        <v/>
      </c>
      <c r="G127">
        <f>IFERROR(IF(ISNUMBER(INDEX(SPPR!$E:$Z,MATCH($A127,SPPR!$A:$A,0),4)),$C127*INDEX(SPPR!$E:$Z,MATCH($A127,SPPR!$A:$A,0),4),""),"")</f>
        <v/>
      </c>
      <c r="H127">
        <f>IFERROR(IF(ISNUMBER(INDEX(SPPR!$E:$Z,MATCH($A127,SPPR!$A:$A,0),5)),$C127*INDEX(SPPR!$E:$Z,MATCH($A127,SPPR!$A:$A,0),5),""),"")</f>
        <v/>
      </c>
      <c r="I127">
        <f>IFERROR(IF(ISNUMBER(INDEX(SPPR!$E:$Z,MATCH($A127,SPPR!$A:$A,0),6)),$C127*INDEX(SPPR!$E:$Z,MATCH($A127,SPPR!$A:$A,0),6),""),"")</f>
        <v/>
      </c>
      <c r="J127">
        <f>IFERROR(IF(ISNUMBER(INDEX(SPPR!$E:$Z,MATCH($A127,SPPR!$A:$A,0),7)),$C127*INDEX(SPPR!$E:$Z,MATCH($A127,SPPR!$A:$A,0),7),""),"")</f>
        <v/>
      </c>
      <c r="K127">
        <f>IFERROR(IF(ISNUMBER(INDEX(SPPR!$E:$Z,MATCH($A127,SPPR!$A:$A,0),8)),$C127*INDEX(SPPR!$E:$Z,MATCH($A127,SPPR!$A:$A,0),8),""),"")</f>
        <v/>
      </c>
      <c r="L127">
        <f>IFERROR(IF(ISNUMBER(INDEX(SPPR!$E:$Z,MATCH($A127,SPPR!$A:$A,0),9)),$C127*INDEX(SPPR!$E:$Z,MATCH($A127,SPPR!$A:$A,0),9),""),"")</f>
        <v/>
      </c>
      <c r="M127">
        <f>IFERROR(IF(ISNUMBER(INDEX(SPPR!$E:$Z,MATCH($A127,SPPR!$A:$A,0),10)),$C127*INDEX(SPPR!$E:$Z,MATCH($A127,SPPR!$A:$A,0),10),""),"")</f>
        <v/>
      </c>
      <c r="N127">
        <f>IFERROR(IF(ISNUMBER(INDEX(SPPR!$E:$Z,MATCH($A127,SPPR!$A:$A,0),11)),$C127*INDEX(SPPR!$E:$Z,MATCH($A127,SPPR!$A:$A,0),11),""),"")</f>
        <v/>
      </c>
      <c r="O127">
        <f>IFERROR(IF(ISNUMBER(INDEX(SPPR!$E:$Z,MATCH($A127,SPPR!$A:$A,0),12)),$C127*INDEX(SPPR!$E:$Z,MATCH($A127,SPPR!$A:$A,0),12),""),"")</f>
        <v/>
      </c>
      <c r="P127">
        <f>IFERROR(IF(ISNUMBER(INDEX(SPPR!$E:$Z,MATCH($A127,SPPR!$A:$A,0),13)),$C127*INDEX(SPPR!$E:$Z,MATCH($A127,SPPR!$A:$A,0),13),""),"")</f>
        <v/>
      </c>
      <c r="Q127">
        <f>IFERROR(IF(ISNUMBER(INDEX(SPPR!$E:$Z,MATCH($A127,SPPR!$A:$A,0),14)),$C127*INDEX(SPPR!$E:$Z,MATCH($A127,SPPR!$A:$A,0),14),""),"")</f>
        <v/>
      </c>
      <c r="R127">
        <f>IFERROR(IF(ISNUMBER(INDEX(SPPR!$E:$Z,MATCH($A127,SPPR!$A:$A,0),15)),$C127*INDEX(SPPR!$E:$Z,MATCH($A127,SPPR!$A:$A,0),15),""),"")</f>
        <v/>
      </c>
      <c r="S127">
        <f>IFERROR(IF(ISNUMBER(INDEX(SPPR!$E:$Z,MATCH($A127,SPPR!$A:$A,0),16)),$C127*INDEX(SPPR!$E:$Z,MATCH($A127,SPPR!$A:$A,0),16),""),"")</f>
        <v/>
      </c>
      <c r="T127">
        <f>IFERROR(IF(ISNUMBER(INDEX(SPPR!$E:$Z,MATCH($A127,SPPR!$A:$A,0),17)),$C127*INDEX(SPPR!$E:$Z,MATCH($A127,SPPR!$A:$A,0),17),""),"")</f>
        <v/>
      </c>
      <c r="U127">
        <f>IFERROR(IF(ISNUMBER(INDEX(SPPR!$E:$Z,MATCH($A127,SPPR!$A:$A,0),18)),$C127*INDEX(SPPR!$E:$Z,MATCH($A127,SPPR!$A:$A,0),18),""),"")</f>
        <v/>
      </c>
      <c r="V127">
        <f>IFERROR(IF(ISNUMBER(INDEX(SPPR!$E:$Z,MATCH($A127,SPPR!$A:$A,0),19)),$C127*INDEX(SPPR!$E:$Z,MATCH($A127,SPPR!$A:$A,0),19),""),"")</f>
        <v/>
      </c>
      <c r="W127">
        <f>IFERROR(IF(ISNUMBER(INDEX(SPPR!$E:$Z,MATCH($A127,SPPR!$A:$A,0),20)),$C127*INDEX(SPPR!$E:$Z,MATCH($A127,SPPR!$A:$A,0),20),""),"")</f>
        <v/>
      </c>
      <c r="X127">
        <f>IFERROR(IF(ISNUMBER(INDEX(SPPR!$E:$Z,MATCH($A127,SPPR!$A:$A,0),21)),$C127*INDEX(SPPR!$E:$Z,MATCH($A127,SPPR!$A:$A,0),21),""),"")</f>
        <v/>
      </c>
      <c r="Y127">
        <f>IFERROR(IF(ISNUMBER(INDEX(SPPR!$E:$Z,MATCH($A127,SPPR!$A:$A,0),22)),$C127*INDEX(SPPR!$E:$Z,MATCH($A127,SPPR!$A:$A,0),22),""),"")</f>
        <v/>
      </c>
    </row>
    <row r="128">
      <c r="A128" t="inlineStr">
        <is>
          <t>Pagrus auratus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IFERROR(IF(ISNUMBER(INDEX(SPPR!$E:$Z,MATCH($A128,SPPR!$A:$A,0),1)),$C128*INDEX(SPPR!$E:$Z,MATCH($A128,SPPR!$A:$A,0),1),""),"")</f>
        <v/>
      </c>
      <c r="E128">
        <f>IFERROR(IF(ISNUMBER(INDEX(SPPR!$E:$Z,MATCH($A128,SPPR!$A:$A,0),2)),$C128*INDEX(SPPR!$E:$Z,MATCH($A128,SPPR!$A:$A,0),2),""),"")</f>
        <v/>
      </c>
      <c r="F128">
        <f>IFERROR(IF(ISNUMBER(INDEX(SPPR!$E:$Z,MATCH($A128,SPPR!$A:$A,0),3)),$C128*INDEX(SPPR!$E:$Z,MATCH($A128,SPPR!$A:$A,0),3),""),"")</f>
        <v/>
      </c>
      <c r="G128">
        <f>IFERROR(IF(ISNUMBER(INDEX(SPPR!$E:$Z,MATCH($A128,SPPR!$A:$A,0),4)),$C128*INDEX(SPPR!$E:$Z,MATCH($A128,SPPR!$A:$A,0),4),""),"")</f>
        <v/>
      </c>
      <c r="H128">
        <f>IFERROR(IF(ISNUMBER(INDEX(SPPR!$E:$Z,MATCH($A128,SPPR!$A:$A,0),5)),$C128*INDEX(SPPR!$E:$Z,MATCH($A128,SPPR!$A:$A,0),5),""),"")</f>
        <v/>
      </c>
      <c r="I128">
        <f>IFERROR(IF(ISNUMBER(INDEX(SPPR!$E:$Z,MATCH($A128,SPPR!$A:$A,0),6)),$C128*INDEX(SPPR!$E:$Z,MATCH($A128,SPPR!$A:$A,0),6),""),"")</f>
        <v/>
      </c>
      <c r="J128">
        <f>IFERROR(IF(ISNUMBER(INDEX(SPPR!$E:$Z,MATCH($A128,SPPR!$A:$A,0),7)),$C128*INDEX(SPPR!$E:$Z,MATCH($A128,SPPR!$A:$A,0),7),""),"")</f>
        <v/>
      </c>
      <c r="K128">
        <f>IFERROR(IF(ISNUMBER(INDEX(SPPR!$E:$Z,MATCH($A128,SPPR!$A:$A,0),8)),$C128*INDEX(SPPR!$E:$Z,MATCH($A128,SPPR!$A:$A,0),8),""),"")</f>
        <v/>
      </c>
      <c r="L128">
        <f>IFERROR(IF(ISNUMBER(INDEX(SPPR!$E:$Z,MATCH($A128,SPPR!$A:$A,0),9)),$C128*INDEX(SPPR!$E:$Z,MATCH($A128,SPPR!$A:$A,0),9),""),"")</f>
        <v/>
      </c>
      <c r="M128">
        <f>IFERROR(IF(ISNUMBER(INDEX(SPPR!$E:$Z,MATCH($A128,SPPR!$A:$A,0),10)),$C128*INDEX(SPPR!$E:$Z,MATCH($A128,SPPR!$A:$A,0),10),""),"")</f>
        <v/>
      </c>
      <c r="N128">
        <f>IFERROR(IF(ISNUMBER(INDEX(SPPR!$E:$Z,MATCH($A128,SPPR!$A:$A,0),11)),$C128*INDEX(SPPR!$E:$Z,MATCH($A128,SPPR!$A:$A,0),11),""),"")</f>
        <v/>
      </c>
      <c r="O128">
        <f>IFERROR(IF(ISNUMBER(INDEX(SPPR!$E:$Z,MATCH($A128,SPPR!$A:$A,0),12)),$C128*INDEX(SPPR!$E:$Z,MATCH($A128,SPPR!$A:$A,0),12),""),"")</f>
        <v/>
      </c>
      <c r="P128">
        <f>IFERROR(IF(ISNUMBER(INDEX(SPPR!$E:$Z,MATCH($A128,SPPR!$A:$A,0),13)),$C128*INDEX(SPPR!$E:$Z,MATCH($A128,SPPR!$A:$A,0),13),""),"")</f>
        <v/>
      </c>
      <c r="Q128">
        <f>IFERROR(IF(ISNUMBER(INDEX(SPPR!$E:$Z,MATCH($A128,SPPR!$A:$A,0),14)),$C128*INDEX(SPPR!$E:$Z,MATCH($A128,SPPR!$A:$A,0),14),""),"")</f>
        <v/>
      </c>
      <c r="R128">
        <f>IFERROR(IF(ISNUMBER(INDEX(SPPR!$E:$Z,MATCH($A128,SPPR!$A:$A,0),15)),$C128*INDEX(SPPR!$E:$Z,MATCH($A128,SPPR!$A:$A,0),15),""),"")</f>
        <v/>
      </c>
      <c r="S128">
        <f>IFERROR(IF(ISNUMBER(INDEX(SPPR!$E:$Z,MATCH($A128,SPPR!$A:$A,0),16)),$C128*INDEX(SPPR!$E:$Z,MATCH($A128,SPPR!$A:$A,0),16),""),"")</f>
        <v/>
      </c>
      <c r="T128">
        <f>IFERROR(IF(ISNUMBER(INDEX(SPPR!$E:$Z,MATCH($A128,SPPR!$A:$A,0),17)),$C128*INDEX(SPPR!$E:$Z,MATCH($A128,SPPR!$A:$A,0),17),""),"")</f>
        <v/>
      </c>
      <c r="U128">
        <f>IFERROR(IF(ISNUMBER(INDEX(SPPR!$E:$Z,MATCH($A128,SPPR!$A:$A,0),18)),$C128*INDEX(SPPR!$E:$Z,MATCH($A128,SPPR!$A:$A,0),18),""),"")</f>
        <v/>
      </c>
      <c r="V128">
        <f>IFERROR(IF(ISNUMBER(INDEX(SPPR!$E:$Z,MATCH($A128,SPPR!$A:$A,0),19)),$C128*INDEX(SPPR!$E:$Z,MATCH($A128,SPPR!$A:$A,0),19),""),"")</f>
        <v/>
      </c>
      <c r="W128">
        <f>IFERROR(IF(ISNUMBER(INDEX(SPPR!$E:$Z,MATCH($A128,SPPR!$A:$A,0),20)),$C128*INDEX(SPPR!$E:$Z,MATCH($A128,SPPR!$A:$A,0),20),""),"")</f>
        <v/>
      </c>
      <c r="X128">
        <f>IFERROR(IF(ISNUMBER(INDEX(SPPR!$E:$Z,MATCH($A128,SPPR!$A:$A,0),21)),$C128*INDEX(SPPR!$E:$Z,MATCH($A128,SPPR!$A:$A,0),21),""),"")</f>
        <v/>
      </c>
      <c r="Y128">
        <f>IFERROR(IF(ISNUMBER(INDEX(SPPR!$E:$Z,MATCH($A128,SPPR!$A:$A,0),22)),$C128*INDEX(SPPR!$E:$Z,MATCH($A128,SPPR!$A:$A,0),22),""),"")</f>
        <v/>
      </c>
    </row>
    <row r="129">
      <c r="A129" t="inlineStr">
        <is>
          <t>Nemipterus hexodon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IFERROR(IF(ISNUMBER(INDEX(SPPR!$E:$Z,MATCH($A129,SPPR!$A:$A,0),1)),$C129*INDEX(SPPR!$E:$Z,MATCH($A129,SPPR!$A:$A,0),1),""),"")</f>
        <v/>
      </c>
      <c r="E129">
        <f>IFERROR(IF(ISNUMBER(INDEX(SPPR!$E:$Z,MATCH($A129,SPPR!$A:$A,0),2)),$C129*INDEX(SPPR!$E:$Z,MATCH($A129,SPPR!$A:$A,0),2),""),"")</f>
        <v/>
      </c>
      <c r="F129">
        <f>IFERROR(IF(ISNUMBER(INDEX(SPPR!$E:$Z,MATCH($A129,SPPR!$A:$A,0),3)),$C129*INDEX(SPPR!$E:$Z,MATCH($A129,SPPR!$A:$A,0),3),""),"")</f>
        <v/>
      </c>
      <c r="G129">
        <f>IFERROR(IF(ISNUMBER(INDEX(SPPR!$E:$Z,MATCH($A129,SPPR!$A:$A,0),4)),$C129*INDEX(SPPR!$E:$Z,MATCH($A129,SPPR!$A:$A,0),4),""),"")</f>
        <v/>
      </c>
      <c r="H129">
        <f>IFERROR(IF(ISNUMBER(INDEX(SPPR!$E:$Z,MATCH($A129,SPPR!$A:$A,0),5)),$C129*INDEX(SPPR!$E:$Z,MATCH($A129,SPPR!$A:$A,0),5),""),"")</f>
        <v/>
      </c>
      <c r="I129">
        <f>IFERROR(IF(ISNUMBER(INDEX(SPPR!$E:$Z,MATCH($A129,SPPR!$A:$A,0),6)),$C129*INDEX(SPPR!$E:$Z,MATCH($A129,SPPR!$A:$A,0),6),""),"")</f>
        <v/>
      </c>
      <c r="J129">
        <f>IFERROR(IF(ISNUMBER(INDEX(SPPR!$E:$Z,MATCH($A129,SPPR!$A:$A,0),7)),$C129*INDEX(SPPR!$E:$Z,MATCH($A129,SPPR!$A:$A,0),7),""),"")</f>
        <v/>
      </c>
      <c r="K129">
        <f>IFERROR(IF(ISNUMBER(INDEX(SPPR!$E:$Z,MATCH($A129,SPPR!$A:$A,0),8)),$C129*INDEX(SPPR!$E:$Z,MATCH($A129,SPPR!$A:$A,0),8),""),"")</f>
        <v/>
      </c>
      <c r="L129">
        <f>IFERROR(IF(ISNUMBER(INDEX(SPPR!$E:$Z,MATCH($A129,SPPR!$A:$A,0),9)),$C129*INDEX(SPPR!$E:$Z,MATCH($A129,SPPR!$A:$A,0),9),""),"")</f>
        <v/>
      </c>
      <c r="M129">
        <f>IFERROR(IF(ISNUMBER(INDEX(SPPR!$E:$Z,MATCH($A129,SPPR!$A:$A,0),10)),$C129*INDEX(SPPR!$E:$Z,MATCH($A129,SPPR!$A:$A,0),10),""),"")</f>
        <v/>
      </c>
      <c r="N129">
        <f>IFERROR(IF(ISNUMBER(INDEX(SPPR!$E:$Z,MATCH($A129,SPPR!$A:$A,0),11)),$C129*INDEX(SPPR!$E:$Z,MATCH($A129,SPPR!$A:$A,0),11),""),"")</f>
        <v/>
      </c>
      <c r="O129">
        <f>IFERROR(IF(ISNUMBER(INDEX(SPPR!$E:$Z,MATCH($A129,SPPR!$A:$A,0),12)),$C129*INDEX(SPPR!$E:$Z,MATCH($A129,SPPR!$A:$A,0),12),""),"")</f>
        <v/>
      </c>
      <c r="P129">
        <f>IFERROR(IF(ISNUMBER(INDEX(SPPR!$E:$Z,MATCH($A129,SPPR!$A:$A,0),13)),$C129*INDEX(SPPR!$E:$Z,MATCH($A129,SPPR!$A:$A,0),13),""),"")</f>
        <v/>
      </c>
      <c r="Q129">
        <f>IFERROR(IF(ISNUMBER(INDEX(SPPR!$E:$Z,MATCH($A129,SPPR!$A:$A,0),14)),$C129*INDEX(SPPR!$E:$Z,MATCH($A129,SPPR!$A:$A,0),14),""),"")</f>
        <v/>
      </c>
      <c r="R129">
        <f>IFERROR(IF(ISNUMBER(INDEX(SPPR!$E:$Z,MATCH($A129,SPPR!$A:$A,0),15)),$C129*INDEX(SPPR!$E:$Z,MATCH($A129,SPPR!$A:$A,0),15),""),"")</f>
        <v/>
      </c>
      <c r="S129">
        <f>IFERROR(IF(ISNUMBER(INDEX(SPPR!$E:$Z,MATCH($A129,SPPR!$A:$A,0),16)),$C129*INDEX(SPPR!$E:$Z,MATCH($A129,SPPR!$A:$A,0),16),""),"")</f>
        <v/>
      </c>
      <c r="T129">
        <f>IFERROR(IF(ISNUMBER(INDEX(SPPR!$E:$Z,MATCH($A129,SPPR!$A:$A,0),17)),$C129*INDEX(SPPR!$E:$Z,MATCH($A129,SPPR!$A:$A,0),17),""),"")</f>
        <v/>
      </c>
      <c r="U129">
        <f>IFERROR(IF(ISNUMBER(INDEX(SPPR!$E:$Z,MATCH($A129,SPPR!$A:$A,0),18)),$C129*INDEX(SPPR!$E:$Z,MATCH($A129,SPPR!$A:$A,0),18),""),"")</f>
        <v/>
      </c>
      <c r="V129">
        <f>IFERROR(IF(ISNUMBER(INDEX(SPPR!$E:$Z,MATCH($A129,SPPR!$A:$A,0),19)),$C129*INDEX(SPPR!$E:$Z,MATCH($A129,SPPR!$A:$A,0),19),""),"")</f>
        <v/>
      </c>
      <c r="W129">
        <f>IFERROR(IF(ISNUMBER(INDEX(SPPR!$E:$Z,MATCH($A129,SPPR!$A:$A,0),20)),$C129*INDEX(SPPR!$E:$Z,MATCH($A129,SPPR!$A:$A,0),20),""),"")</f>
        <v/>
      </c>
      <c r="X129">
        <f>IFERROR(IF(ISNUMBER(INDEX(SPPR!$E:$Z,MATCH($A129,SPPR!$A:$A,0),21)),$C129*INDEX(SPPR!$E:$Z,MATCH($A129,SPPR!$A:$A,0),21),""),"")</f>
        <v/>
      </c>
      <c r="Y129">
        <f>IFERROR(IF(ISNUMBER(INDEX(SPPR!$E:$Z,MATCH($A129,SPPR!$A:$A,0),22)),$C129*INDEX(SPPR!$E:$Z,MATCH($A129,SPPR!$A:$A,0),22),""),"")</f>
        <v/>
      </c>
    </row>
    <row r="130">
      <c r="A130" t="inlineStr">
        <is>
          <t>Penaeus penicillatus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IFERROR(IF(ISNUMBER(INDEX(SPPR!$E:$Z,MATCH($A130,SPPR!$A:$A,0),1)),$C130*INDEX(SPPR!$E:$Z,MATCH($A130,SPPR!$A:$A,0),1),""),"")</f>
        <v/>
      </c>
      <c r="E130">
        <f>IFERROR(IF(ISNUMBER(INDEX(SPPR!$E:$Z,MATCH($A130,SPPR!$A:$A,0),2)),$C130*INDEX(SPPR!$E:$Z,MATCH($A130,SPPR!$A:$A,0),2),""),"")</f>
        <v/>
      </c>
      <c r="F130">
        <f>IFERROR(IF(ISNUMBER(INDEX(SPPR!$E:$Z,MATCH($A130,SPPR!$A:$A,0),3)),$C130*INDEX(SPPR!$E:$Z,MATCH($A130,SPPR!$A:$A,0),3),""),"")</f>
        <v/>
      </c>
      <c r="G130">
        <f>IFERROR(IF(ISNUMBER(INDEX(SPPR!$E:$Z,MATCH($A130,SPPR!$A:$A,0),4)),$C130*INDEX(SPPR!$E:$Z,MATCH($A130,SPPR!$A:$A,0),4),""),"")</f>
        <v/>
      </c>
      <c r="H130">
        <f>IFERROR(IF(ISNUMBER(INDEX(SPPR!$E:$Z,MATCH($A130,SPPR!$A:$A,0),5)),$C130*INDEX(SPPR!$E:$Z,MATCH($A130,SPPR!$A:$A,0),5),""),"")</f>
        <v/>
      </c>
      <c r="I130">
        <f>IFERROR(IF(ISNUMBER(INDEX(SPPR!$E:$Z,MATCH($A130,SPPR!$A:$A,0),6)),$C130*INDEX(SPPR!$E:$Z,MATCH($A130,SPPR!$A:$A,0),6),""),"")</f>
        <v/>
      </c>
      <c r="J130">
        <f>IFERROR(IF(ISNUMBER(INDEX(SPPR!$E:$Z,MATCH($A130,SPPR!$A:$A,0),7)),$C130*INDEX(SPPR!$E:$Z,MATCH($A130,SPPR!$A:$A,0),7),""),"")</f>
        <v/>
      </c>
      <c r="K130">
        <f>IFERROR(IF(ISNUMBER(INDEX(SPPR!$E:$Z,MATCH($A130,SPPR!$A:$A,0),8)),$C130*INDEX(SPPR!$E:$Z,MATCH($A130,SPPR!$A:$A,0),8),""),"")</f>
        <v/>
      </c>
      <c r="L130">
        <f>IFERROR(IF(ISNUMBER(INDEX(SPPR!$E:$Z,MATCH($A130,SPPR!$A:$A,0),9)),$C130*INDEX(SPPR!$E:$Z,MATCH($A130,SPPR!$A:$A,0),9),""),"")</f>
        <v/>
      </c>
      <c r="M130">
        <f>IFERROR(IF(ISNUMBER(INDEX(SPPR!$E:$Z,MATCH($A130,SPPR!$A:$A,0),10)),$C130*INDEX(SPPR!$E:$Z,MATCH($A130,SPPR!$A:$A,0),10),""),"")</f>
        <v/>
      </c>
      <c r="N130">
        <f>IFERROR(IF(ISNUMBER(INDEX(SPPR!$E:$Z,MATCH($A130,SPPR!$A:$A,0),11)),$C130*INDEX(SPPR!$E:$Z,MATCH($A130,SPPR!$A:$A,0),11),""),"")</f>
        <v/>
      </c>
      <c r="O130">
        <f>IFERROR(IF(ISNUMBER(INDEX(SPPR!$E:$Z,MATCH($A130,SPPR!$A:$A,0),12)),$C130*INDEX(SPPR!$E:$Z,MATCH($A130,SPPR!$A:$A,0),12),""),"")</f>
        <v/>
      </c>
      <c r="P130">
        <f>IFERROR(IF(ISNUMBER(INDEX(SPPR!$E:$Z,MATCH($A130,SPPR!$A:$A,0),13)),$C130*INDEX(SPPR!$E:$Z,MATCH($A130,SPPR!$A:$A,0),13),""),"")</f>
        <v/>
      </c>
      <c r="Q130">
        <f>IFERROR(IF(ISNUMBER(INDEX(SPPR!$E:$Z,MATCH($A130,SPPR!$A:$A,0),14)),$C130*INDEX(SPPR!$E:$Z,MATCH($A130,SPPR!$A:$A,0),14),""),"")</f>
        <v/>
      </c>
      <c r="R130">
        <f>IFERROR(IF(ISNUMBER(INDEX(SPPR!$E:$Z,MATCH($A130,SPPR!$A:$A,0),15)),$C130*INDEX(SPPR!$E:$Z,MATCH($A130,SPPR!$A:$A,0),15),""),"")</f>
        <v/>
      </c>
      <c r="S130">
        <f>IFERROR(IF(ISNUMBER(INDEX(SPPR!$E:$Z,MATCH($A130,SPPR!$A:$A,0),16)),$C130*INDEX(SPPR!$E:$Z,MATCH($A130,SPPR!$A:$A,0),16),""),"")</f>
        <v/>
      </c>
      <c r="T130">
        <f>IFERROR(IF(ISNUMBER(INDEX(SPPR!$E:$Z,MATCH($A130,SPPR!$A:$A,0),17)),$C130*INDEX(SPPR!$E:$Z,MATCH($A130,SPPR!$A:$A,0),17),""),"")</f>
        <v/>
      </c>
      <c r="U130">
        <f>IFERROR(IF(ISNUMBER(INDEX(SPPR!$E:$Z,MATCH($A130,SPPR!$A:$A,0),18)),$C130*INDEX(SPPR!$E:$Z,MATCH($A130,SPPR!$A:$A,0),18),""),"")</f>
        <v/>
      </c>
      <c r="V130">
        <f>IFERROR(IF(ISNUMBER(INDEX(SPPR!$E:$Z,MATCH($A130,SPPR!$A:$A,0),19)),$C130*INDEX(SPPR!$E:$Z,MATCH($A130,SPPR!$A:$A,0),19),""),"")</f>
        <v/>
      </c>
      <c r="W130">
        <f>IFERROR(IF(ISNUMBER(INDEX(SPPR!$E:$Z,MATCH($A130,SPPR!$A:$A,0),20)),$C130*INDEX(SPPR!$E:$Z,MATCH($A130,SPPR!$A:$A,0),20),""),"")</f>
        <v/>
      </c>
      <c r="X130">
        <f>IFERROR(IF(ISNUMBER(INDEX(SPPR!$E:$Z,MATCH($A130,SPPR!$A:$A,0),21)),$C130*INDEX(SPPR!$E:$Z,MATCH($A130,SPPR!$A:$A,0),21),""),"")</f>
        <v/>
      </c>
      <c r="Y130">
        <f>IFERROR(IF(ISNUMBER(INDEX(SPPR!$E:$Z,MATCH($A130,SPPR!$A:$A,0),22)),$C130*INDEX(SPPR!$E:$Z,MATCH($A130,SPPR!$A:$A,0),22),""),"")</f>
        <v/>
      </c>
    </row>
    <row r="131">
      <c r="A131" t="inlineStr">
        <is>
          <t>Thunnus obesus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IFERROR(IF(ISNUMBER(INDEX(SPPR!$E:$Z,MATCH($A131,SPPR!$A:$A,0),1)),$C131*INDEX(SPPR!$E:$Z,MATCH($A131,SPPR!$A:$A,0),1),""),"")</f>
        <v/>
      </c>
      <c r="E131">
        <f>IFERROR(IF(ISNUMBER(INDEX(SPPR!$E:$Z,MATCH($A131,SPPR!$A:$A,0),2)),$C131*INDEX(SPPR!$E:$Z,MATCH($A131,SPPR!$A:$A,0),2),""),"")</f>
        <v/>
      </c>
      <c r="F131">
        <f>IFERROR(IF(ISNUMBER(INDEX(SPPR!$E:$Z,MATCH($A131,SPPR!$A:$A,0),3)),$C131*INDEX(SPPR!$E:$Z,MATCH($A131,SPPR!$A:$A,0),3),""),"")</f>
        <v/>
      </c>
      <c r="G131">
        <f>IFERROR(IF(ISNUMBER(INDEX(SPPR!$E:$Z,MATCH($A131,SPPR!$A:$A,0),4)),$C131*INDEX(SPPR!$E:$Z,MATCH($A131,SPPR!$A:$A,0),4),""),"")</f>
        <v/>
      </c>
      <c r="H131">
        <f>IFERROR(IF(ISNUMBER(INDEX(SPPR!$E:$Z,MATCH($A131,SPPR!$A:$A,0),5)),$C131*INDEX(SPPR!$E:$Z,MATCH($A131,SPPR!$A:$A,0),5),""),"")</f>
        <v/>
      </c>
      <c r="I131">
        <f>IFERROR(IF(ISNUMBER(INDEX(SPPR!$E:$Z,MATCH($A131,SPPR!$A:$A,0),6)),$C131*INDEX(SPPR!$E:$Z,MATCH($A131,SPPR!$A:$A,0),6),""),"")</f>
        <v/>
      </c>
      <c r="J131">
        <f>IFERROR(IF(ISNUMBER(INDEX(SPPR!$E:$Z,MATCH($A131,SPPR!$A:$A,0),7)),$C131*INDEX(SPPR!$E:$Z,MATCH($A131,SPPR!$A:$A,0),7),""),"")</f>
        <v/>
      </c>
      <c r="K131">
        <f>IFERROR(IF(ISNUMBER(INDEX(SPPR!$E:$Z,MATCH($A131,SPPR!$A:$A,0),8)),$C131*INDEX(SPPR!$E:$Z,MATCH($A131,SPPR!$A:$A,0),8),""),"")</f>
        <v/>
      </c>
      <c r="L131">
        <f>IFERROR(IF(ISNUMBER(INDEX(SPPR!$E:$Z,MATCH($A131,SPPR!$A:$A,0),9)),$C131*INDEX(SPPR!$E:$Z,MATCH($A131,SPPR!$A:$A,0),9),""),"")</f>
        <v/>
      </c>
      <c r="M131">
        <f>IFERROR(IF(ISNUMBER(INDEX(SPPR!$E:$Z,MATCH($A131,SPPR!$A:$A,0),10)),$C131*INDEX(SPPR!$E:$Z,MATCH($A131,SPPR!$A:$A,0),10),""),"")</f>
        <v/>
      </c>
      <c r="N131">
        <f>IFERROR(IF(ISNUMBER(INDEX(SPPR!$E:$Z,MATCH($A131,SPPR!$A:$A,0),11)),$C131*INDEX(SPPR!$E:$Z,MATCH($A131,SPPR!$A:$A,0),11),""),"")</f>
        <v/>
      </c>
      <c r="O131">
        <f>IFERROR(IF(ISNUMBER(INDEX(SPPR!$E:$Z,MATCH($A131,SPPR!$A:$A,0),12)),$C131*INDEX(SPPR!$E:$Z,MATCH($A131,SPPR!$A:$A,0),12),""),"")</f>
        <v/>
      </c>
      <c r="P131">
        <f>IFERROR(IF(ISNUMBER(INDEX(SPPR!$E:$Z,MATCH($A131,SPPR!$A:$A,0),13)),$C131*INDEX(SPPR!$E:$Z,MATCH($A131,SPPR!$A:$A,0),13),""),"")</f>
        <v/>
      </c>
      <c r="Q131">
        <f>IFERROR(IF(ISNUMBER(INDEX(SPPR!$E:$Z,MATCH($A131,SPPR!$A:$A,0),14)),$C131*INDEX(SPPR!$E:$Z,MATCH($A131,SPPR!$A:$A,0),14),""),"")</f>
        <v/>
      </c>
      <c r="R131">
        <f>IFERROR(IF(ISNUMBER(INDEX(SPPR!$E:$Z,MATCH($A131,SPPR!$A:$A,0),15)),$C131*INDEX(SPPR!$E:$Z,MATCH($A131,SPPR!$A:$A,0),15),""),"")</f>
        <v/>
      </c>
      <c r="S131">
        <f>IFERROR(IF(ISNUMBER(INDEX(SPPR!$E:$Z,MATCH($A131,SPPR!$A:$A,0),16)),$C131*INDEX(SPPR!$E:$Z,MATCH($A131,SPPR!$A:$A,0),16),""),"")</f>
        <v/>
      </c>
      <c r="T131">
        <f>IFERROR(IF(ISNUMBER(INDEX(SPPR!$E:$Z,MATCH($A131,SPPR!$A:$A,0),17)),$C131*INDEX(SPPR!$E:$Z,MATCH($A131,SPPR!$A:$A,0),17),""),"")</f>
        <v/>
      </c>
      <c r="U131">
        <f>IFERROR(IF(ISNUMBER(INDEX(SPPR!$E:$Z,MATCH($A131,SPPR!$A:$A,0),18)),$C131*INDEX(SPPR!$E:$Z,MATCH($A131,SPPR!$A:$A,0),18),""),"")</f>
        <v/>
      </c>
      <c r="V131">
        <f>IFERROR(IF(ISNUMBER(INDEX(SPPR!$E:$Z,MATCH($A131,SPPR!$A:$A,0),19)),$C131*INDEX(SPPR!$E:$Z,MATCH($A131,SPPR!$A:$A,0),19),""),"")</f>
        <v/>
      </c>
      <c r="W131">
        <f>IFERROR(IF(ISNUMBER(INDEX(SPPR!$E:$Z,MATCH($A131,SPPR!$A:$A,0),20)),$C131*INDEX(SPPR!$E:$Z,MATCH($A131,SPPR!$A:$A,0),20),""),"")</f>
        <v/>
      </c>
      <c r="X131">
        <f>IFERROR(IF(ISNUMBER(INDEX(SPPR!$E:$Z,MATCH($A131,SPPR!$A:$A,0),21)),$C131*INDEX(SPPR!$E:$Z,MATCH($A131,SPPR!$A:$A,0),21),""),"")</f>
        <v/>
      </c>
      <c r="Y131">
        <f>IFERROR(IF(ISNUMBER(INDEX(SPPR!$E:$Z,MATCH($A131,SPPR!$A:$A,0),22)),$C131*INDEX(SPPR!$E:$Z,MATCH($A131,SPPR!$A:$A,0),22),""),"")</f>
        <v/>
      </c>
    </row>
    <row r="132">
      <c r="A132" t="inlineStr">
        <is>
          <t>Muraenesocidae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IFERROR(IF(ISNUMBER(INDEX(SPPR!$E:$Z,MATCH($A132,SPPR!$A:$A,0),1)),$C132*INDEX(SPPR!$E:$Z,MATCH($A132,SPPR!$A:$A,0),1),""),"")</f>
        <v/>
      </c>
      <c r="E132">
        <f>IFERROR(IF(ISNUMBER(INDEX(SPPR!$E:$Z,MATCH($A132,SPPR!$A:$A,0),2)),$C132*INDEX(SPPR!$E:$Z,MATCH($A132,SPPR!$A:$A,0),2),""),"")</f>
        <v/>
      </c>
      <c r="F132">
        <f>IFERROR(IF(ISNUMBER(INDEX(SPPR!$E:$Z,MATCH($A132,SPPR!$A:$A,0),3)),$C132*INDEX(SPPR!$E:$Z,MATCH($A132,SPPR!$A:$A,0),3),""),"")</f>
        <v/>
      </c>
      <c r="G132">
        <f>IFERROR(IF(ISNUMBER(INDEX(SPPR!$E:$Z,MATCH($A132,SPPR!$A:$A,0),4)),$C132*INDEX(SPPR!$E:$Z,MATCH($A132,SPPR!$A:$A,0),4),""),"")</f>
        <v/>
      </c>
      <c r="H132">
        <f>IFERROR(IF(ISNUMBER(INDEX(SPPR!$E:$Z,MATCH($A132,SPPR!$A:$A,0),5)),$C132*INDEX(SPPR!$E:$Z,MATCH($A132,SPPR!$A:$A,0),5),""),"")</f>
        <v/>
      </c>
      <c r="I132">
        <f>IFERROR(IF(ISNUMBER(INDEX(SPPR!$E:$Z,MATCH($A132,SPPR!$A:$A,0),6)),$C132*INDEX(SPPR!$E:$Z,MATCH($A132,SPPR!$A:$A,0),6),""),"")</f>
        <v/>
      </c>
      <c r="J132">
        <f>IFERROR(IF(ISNUMBER(INDEX(SPPR!$E:$Z,MATCH($A132,SPPR!$A:$A,0),7)),$C132*INDEX(SPPR!$E:$Z,MATCH($A132,SPPR!$A:$A,0),7),""),"")</f>
        <v/>
      </c>
      <c r="K132">
        <f>IFERROR(IF(ISNUMBER(INDEX(SPPR!$E:$Z,MATCH($A132,SPPR!$A:$A,0),8)),$C132*INDEX(SPPR!$E:$Z,MATCH($A132,SPPR!$A:$A,0),8),""),"")</f>
        <v/>
      </c>
      <c r="L132">
        <f>IFERROR(IF(ISNUMBER(INDEX(SPPR!$E:$Z,MATCH($A132,SPPR!$A:$A,0),9)),$C132*INDEX(SPPR!$E:$Z,MATCH($A132,SPPR!$A:$A,0),9),""),"")</f>
        <v/>
      </c>
      <c r="M132">
        <f>IFERROR(IF(ISNUMBER(INDEX(SPPR!$E:$Z,MATCH($A132,SPPR!$A:$A,0),10)),$C132*INDEX(SPPR!$E:$Z,MATCH($A132,SPPR!$A:$A,0),10),""),"")</f>
        <v/>
      </c>
      <c r="N132">
        <f>IFERROR(IF(ISNUMBER(INDEX(SPPR!$E:$Z,MATCH($A132,SPPR!$A:$A,0),11)),$C132*INDEX(SPPR!$E:$Z,MATCH($A132,SPPR!$A:$A,0),11),""),"")</f>
        <v/>
      </c>
      <c r="O132">
        <f>IFERROR(IF(ISNUMBER(INDEX(SPPR!$E:$Z,MATCH($A132,SPPR!$A:$A,0),12)),$C132*INDEX(SPPR!$E:$Z,MATCH($A132,SPPR!$A:$A,0),12),""),"")</f>
        <v/>
      </c>
      <c r="P132">
        <f>IFERROR(IF(ISNUMBER(INDEX(SPPR!$E:$Z,MATCH($A132,SPPR!$A:$A,0),13)),$C132*INDEX(SPPR!$E:$Z,MATCH($A132,SPPR!$A:$A,0),13),""),"")</f>
        <v/>
      </c>
      <c r="Q132">
        <f>IFERROR(IF(ISNUMBER(INDEX(SPPR!$E:$Z,MATCH($A132,SPPR!$A:$A,0),14)),$C132*INDEX(SPPR!$E:$Z,MATCH($A132,SPPR!$A:$A,0),14),""),"")</f>
        <v/>
      </c>
      <c r="R132">
        <f>IFERROR(IF(ISNUMBER(INDEX(SPPR!$E:$Z,MATCH($A132,SPPR!$A:$A,0),15)),$C132*INDEX(SPPR!$E:$Z,MATCH($A132,SPPR!$A:$A,0),15),""),"")</f>
        <v/>
      </c>
      <c r="S132">
        <f>IFERROR(IF(ISNUMBER(INDEX(SPPR!$E:$Z,MATCH($A132,SPPR!$A:$A,0),16)),$C132*INDEX(SPPR!$E:$Z,MATCH($A132,SPPR!$A:$A,0),16),""),"")</f>
        <v/>
      </c>
      <c r="T132">
        <f>IFERROR(IF(ISNUMBER(INDEX(SPPR!$E:$Z,MATCH($A132,SPPR!$A:$A,0),17)),$C132*INDEX(SPPR!$E:$Z,MATCH($A132,SPPR!$A:$A,0),17),""),"")</f>
        <v/>
      </c>
      <c r="U132">
        <f>IFERROR(IF(ISNUMBER(INDEX(SPPR!$E:$Z,MATCH($A132,SPPR!$A:$A,0),18)),$C132*INDEX(SPPR!$E:$Z,MATCH($A132,SPPR!$A:$A,0),18),""),"")</f>
        <v/>
      </c>
      <c r="V132">
        <f>IFERROR(IF(ISNUMBER(INDEX(SPPR!$E:$Z,MATCH($A132,SPPR!$A:$A,0),19)),$C132*INDEX(SPPR!$E:$Z,MATCH($A132,SPPR!$A:$A,0),19),""),"")</f>
        <v/>
      </c>
      <c r="W132">
        <f>IFERROR(IF(ISNUMBER(INDEX(SPPR!$E:$Z,MATCH($A132,SPPR!$A:$A,0),20)),$C132*INDEX(SPPR!$E:$Z,MATCH($A132,SPPR!$A:$A,0),20),""),"")</f>
        <v/>
      </c>
      <c r="X132">
        <f>IFERROR(IF(ISNUMBER(INDEX(SPPR!$E:$Z,MATCH($A132,SPPR!$A:$A,0),21)),$C132*INDEX(SPPR!$E:$Z,MATCH($A132,SPPR!$A:$A,0),21),""),"")</f>
        <v/>
      </c>
      <c r="Y132">
        <f>IFERROR(IF(ISNUMBER(INDEX(SPPR!$E:$Z,MATCH($A132,SPPR!$A:$A,0),22)),$C132*INDEX(SPPR!$E:$Z,MATCH($A132,SPPR!$A:$A,0),22),""),"")</f>
        <v/>
      </c>
    </row>
    <row r="133">
      <c r="A133" t="inlineStr">
        <is>
          <t>Dussumieria acuta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IFERROR(IF(ISNUMBER(INDEX(SPPR!$E:$Z,MATCH($A133,SPPR!$A:$A,0),1)),$C133*INDEX(SPPR!$E:$Z,MATCH($A133,SPPR!$A:$A,0),1),""),"")</f>
        <v/>
      </c>
      <c r="E133">
        <f>IFERROR(IF(ISNUMBER(INDEX(SPPR!$E:$Z,MATCH($A133,SPPR!$A:$A,0),2)),$C133*INDEX(SPPR!$E:$Z,MATCH($A133,SPPR!$A:$A,0),2),""),"")</f>
        <v/>
      </c>
      <c r="F133">
        <f>IFERROR(IF(ISNUMBER(INDEX(SPPR!$E:$Z,MATCH($A133,SPPR!$A:$A,0),3)),$C133*INDEX(SPPR!$E:$Z,MATCH($A133,SPPR!$A:$A,0),3),""),"")</f>
        <v/>
      </c>
      <c r="G133">
        <f>IFERROR(IF(ISNUMBER(INDEX(SPPR!$E:$Z,MATCH($A133,SPPR!$A:$A,0),4)),$C133*INDEX(SPPR!$E:$Z,MATCH($A133,SPPR!$A:$A,0),4),""),"")</f>
        <v/>
      </c>
      <c r="H133">
        <f>IFERROR(IF(ISNUMBER(INDEX(SPPR!$E:$Z,MATCH($A133,SPPR!$A:$A,0),5)),$C133*INDEX(SPPR!$E:$Z,MATCH($A133,SPPR!$A:$A,0),5),""),"")</f>
        <v/>
      </c>
      <c r="I133">
        <f>IFERROR(IF(ISNUMBER(INDEX(SPPR!$E:$Z,MATCH($A133,SPPR!$A:$A,0),6)),$C133*INDEX(SPPR!$E:$Z,MATCH($A133,SPPR!$A:$A,0),6),""),"")</f>
        <v/>
      </c>
      <c r="J133">
        <f>IFERROR(IF(ISNUMBER(INDEX(SPPR!$E:$Z,MATCH($A133,SPPR!$A:$A,0),7)),$C133*INDEX(SPPR!$E:$Z,MATCH($A133,SPPR!$A:$A,0),7),""),"")</f>
        <v/>
      </c>
      <c r="K133">
        <f>IFERROR(IF(ISNUMBER(INDEX(SPPR!$E:$Z,MATCH($A133,SPPR!$A:$A,0),8)),$C133*INDEX(SPPR!$E:$Z,MATCH($A133,SPPR!$A:$A,0),8),""),"")</f>
        <v/>
      </c>
      <c r="L133">
        <f>IFERROR(IF(ISNUMBER(INDEX(SPPR!$E:$Z,MATCH($A133,SPPR!$A:$A,0),9)),$C133*INDEX(SPPR!$E:$Z,MATCH($A133,SPPR!$A:$A,0),9),""),"")</f>
        <v/>
      </c>
      <c r="M133">
        <f>IFERROR(IF(ISNUMBER(INDEX(SPPR!$E:$Z,MATCH($A133,SPPR!$A:$A,0),10)),$C133*INDEX(SPPR!$E:$Z,MATCH($A133,SPPR!$A:$A,0),10),""),"")</f>
        <v/>
      </c>
      <c r="N133">
        <f>IFERROR(IF(ISNUMBER(INDEX(SPPR!$E:$Z,MATCH($A133,SPPR!$A:$A,0),11)),$C133*INDEX(SPPR!$E:$Z,MATCH($A133,SPPR!$A:$A,0),11),""),"")</f>
        <v/>
      </c>
      <c r="O133">
        <f>IFERROR(IF(ISNUMBER(INDEX(SPPR!$E:$Z,MATCH($A133,SPPR!$A:$A,0),12)),$C133*INDEX(SPPR!$E:$Z,MATCH($A133,SPPR!$A:$A,0),12),""),"")</f>
        <v/>
      </c>
      <c r="P133">
        <f>IFERROR(IF(ISNUMBER(INDEX(SPPR!$E:$Z,MATCH($A133,SPPR!$A:$A,0),13)),$C133*INDEX(SPPR!$E:$Z,MATCH($A133,SPPR!$A:$A,0),13),""),"")</f>
        <v/>
      </c>
      <c r="Q133">
        <f>IFERROR(IF(ISNUMBER(INDEX(SPPR!$E:$Z,MATCH($A133,SPPR!$A:$A,0),14)),$C133*INDEX(SPPR!$E:$Z,MATCH($A133,SPPR!$A:$A,0),14),""),"")</f>
        <v/>
      </c>
      <c r="R133">
        <f>IFERROR(IF(ISNUMBER(INDEX(SPPR!$E:$Z,MATCH($A133,SPPR!$A:$A,0),15)),$C133*INDEX(SPPR!$E:$Z,MATCH($A133,SPPR!$A:$A,0),15),""),"")</f>
        <v/>
      </c>
      <c r="S133">
        <f>IFERROR(IF(ISNUMBER(INDEX(SPPR!$E:$Z,MATCH($A133,SPPR!$A:$A,0),16)),$C133*INDEX(SPPR!$E:$Z,MATCH($A133,SPPR!$A:$A,0),16),""),"")</f>
        <v/>
      </c>
      <c r="T133">
        <f>IFERROR(IF(ISNUMBER(INDEX(SPPR!$E:$Z,MATCH($A133,SPPR!$A:$A,0),17)),$C133*INDEX(SPPR!$E:$Z,MATCH($A133,SPPR!$A:$A,0),17),""),"")</f>
        <v/>
      </c>
      <c r="U133">
        <f>IFERROR(IF(ISNUMBER(INDEX(SPPR!$E:$Z,MATCH($A133,SPPR!$A:$A,0),18)),$C133*INDEX(SPPR!$E:$Z,MATCH($A133,SPPR!$A:$A,0),18),""),"")</f>
        <v/>
      </c>
      <c r="V133">
        <f>IFERROR(IF(ISNUMBER(INDEX(SPPR!$E:$Z,MATCH($A133,SPPR!$A:$A,0),19)),$C133*INDEX(SPPR!$E:$Z,MATCH($A133,SPPR!$A:$A,0),19),""),"")</f>
        <v/>
      </c>
      <c r="W133">
        <f>IFERROR(IF(ISNUMBER(INDEX(SPPR!$E:$Z,MATCH($A133,SPPR!$A:$A,0),20)),$C133*INDEX(SPPR!$E:$Z,MATCH($A133,SPPR!$A:$A,0),20),""),"")</f>
        <v/>
      </c>
      <c r="X133">
        <f>IFERROR(IF(ISNUMBER(INDEX(SPPR!$E:$Z,MATCH($A133,SPPR!$A:$A,0),21)),$C133*INDEX(SPPR!$E:$Z,MATCH($A133,SPPR!$A:$A,0),21),""),"")</f>
        <v/>
      </c>
      <c r="Y133">
        <f>IFERROR(IF(ISNUMBER(INDEX(SPPR!$E:$Z,MATCH($A133,SPPR!$A:$A,0),22)),$C133*INDEX(SPPR!$E:$Z,MATCH($A133,SPPR!$A:$A,0),22),""),"")</f>
        <v/>
      </c>
    </row>
    <row r="134">
      <c r="A134" t="inlineStr">
        <is>
          <t>Pennahia argentata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IFERROR(IF(ISNUMBER(INDEX(SPPR!$E:$Z,MATCH($A134,SPPR!$A:$A,0),1)),$C134*INDEX(SPPR!$E:$Z,MATCH($A134,SPPR!$A:$A,0),1),""),"")</f>
        <v/>
      </c>
      <c r="E134">
        <f>IFERROR(IF(ISNUMBER(INDEX(SPPR!$E:$Z,MATCH($A134,SPPR!$A:$A,0),2)),$C134*INDEX(SPPR!$E:$Z,MATCH($A134,SPPR!$A:$A,0),2),""),"")</f>
        <v/>
      </c>
      <c r="F134">
        <f>IFERROR(IF(ISNUMBER(INDEX(SPPR!$E:$Z,MATCH($A134,SPPR!$A:$A,0),3)),$C134*INDEX(SPPR!$E:$Z,MATCH($A134,SPPR!$A:$A,0),3),""),"")</f>
        <v/>
      </c>
      <c r="G134">
        <f>IFERROR(IF(ISNUMBER(INDEX(SPPR!$E:$Z,MATCH($A134,SPPR!$A:$A,0),4)),$C134*INDEX(SPPR!$E:$Z,MATCH($A134,SPPR!$A:$A,0),4),""),"")</f>
        <v/>
      </c>
      <c r="H134">
        <f>IFERROR(IF(ISNUMBER(INDEX(SPPR!$E:$Z,MATCH($A134,SPPR!$A:$A,0),5)),$C134*INDEX(SPPR!$E:$Z,MATCH($A134,SPPR!$A:$A,0),5),""),"")</f>
        <v/>
      </c>
      <c r="I134">
        <f>IFERROR(IF(ISNUMBER(INDEX(SPPR!$E:$Z,MATCH($A134,SPPR!$A:$A,0),6)),$C134*INDEX(SPPR!$E:$Z,MATCH($A134,SPPR!$A:$A,0),6),""),"")</f>
        <v/>
      </c>
      <c r="J134">
        <f>IFERROR(IF(ISNUMBER(INDEX(SPPR!$E:$Z,MATCH($A134,SPPR!$A:$A,0),7)),$C134*INDEX(SPPR!$E:$Z,MATCH($A134,SPPR!$A:$A,0),7),""),"")</f>
        <v/>
      </c>
      <c r="K134">
        <f>IFERROR(IF(ISNUMBER(INDEX(SPPR!$E:$Z,MATCH($A134,SPPR!$A:$A,0),8)),$C134*INDEX(SPPR!$E:$Z,MATCH($A134,SPPR!$A:$A,0),8),""),"")</f>
        <v/>
      </c>
      <c r="L134">
        <f>IFERROR(IF(ISNUMBER(INDEX(SPPR!$E:$Z,MATCH($A134,SPPR!$A:$A,0),9)),$C134*INDEX(SPPR!$E:$Z,MATCH($A134,SPPR!$A:$A,0),9),""),"")</f>
        <v/>
      </c>
      <c r="M134">
        <f>IFERROR(IF(ISNUMBER(INDEX(SPPR!$E:$Z,MATCH($A134,SPPR!$A:$A,0),10)),$C134*INDEX(SPPR!$E:$Z,MATCH($A134,SPPR!$A:$A,0),10),""),"")</f>
        <v/>
      </c>
      <c r="N134">
        <f>IFERROR(IF(ISNUMBER(INDEX(SPPR!$E:$Z,MATCH($A134,SPPR!$A:$A,0),11)),$C134*INDEX(SPPR!$E:$Z,MATCH($A134,SPPR!$A:$A,0),11),""),"")</f>
        <v/>
      </c>
      <c r="O134">
        <f>IFERROR(IF(ISNUMBER(INDEX(SPPR!$E:$Z,MATCH($A134,SPPR!$A:$A,0),12)),$C134*INDEX(SPPR!$E:$Z,MATCH($A134,SPPR!$A:$A,0),12),""),"")</f>
        <v/>
      </c>
      <c r="P134">
        <f>IFERROR(IF(ISNUMBER(INDEX(SPPR!$E:$Z,MATCH($A134,SPPR!$A:$A,0),13)),$C134*INDEX(SPPR!$E:$Z,MATCH($A134,SPPR!$A:$A,0),13),""),"")</f>
        <v/>
      </c>
      <c r="Q134">
        <f>IFERROR(IF(ISNUMBER(INDEX(SPPR!$E:$Z,MATCH($A134,SPPR!$A:$A,0),14)),$C134*INDEX(SPPR!$E:$Z,MATCH($A134,SPPR!$A:$A,0),14),""),"")</f>
        <v/>
      </c>
      <c r="R134">
        <f>IFERROR(IF(ISNUMBER(INDEX(SPPR!$E:$Z,MATCH($A134,SPPR!$A:$A,0),15)),$C134*INDEX(SPPR!$E:$Z,MATCH($A134,SPPR!$A:$A,0),15),""),"")</f>
        <v/>
      </c>
      <c r="S134">
        <f>IFERROR(IF(ISNUMBER(INDEX(SPPR!$E:$Z,MATCH($A134,SPPR!$A:$A,0),16)),$C134*INDEX(SPPR!$E:$Z,MATCH($A134,SPPR!$A:$A,0),16),""),"")</f>
        <v/>
      </c>
      <c r="T134">
        <f>IFERROR(IF(ISNUMBER(INDEX(SPPR!$E:$Z,MATCH($A134,SPPR!$A:$A,0),17)),$C134*INDEX(SPPR!$E:$Z,MATCH($A134,SPPR!$A:$A,0),17),""),"")</f>
        <v/>
      </c>
      <c r="U134">
        <f>IFERROR(IF(ISNUMBER(INDEX(SPPR!$E:$Z,MATCH($A134,SPPR!$A:$A,0),18)),$C134*INDEX(SPPR!$E:$Z,MATCH($A134,SPPR!$A:$A,0),18),""),"")</f>
        <v/>
      </c>
      <c r="V134">
        <f>IFERROR(IF(ISNUMBER(INDEX(SPPR!$E:$Z,MATCH($A134,SPPR!$A:$A,0),19)),$C134*INDEX(SPPR!$E:$Z,MATCH($A134,SPPR!$A:$A,0),19),""),"")</f>
        <v/>
      </c>
      <c r="W134">
        <f>IFERROR(IF(ISNUMBER(INDEX(SPPR!$E:$Z,MATCH($A134,SPPR!$A:$A,0),20)),$C134*INDEX(SPPR!$E:$Z,MATCH($A134,SPPR!$A:$A,0),20),""),"")</f>
        <v/>
      </c>
      <c r="X134">
        <f>IFERROR(IF(ISNUMBER(INDEX(SPPR!$E:$Z,MATCH($A134,SPPR!$A:$A,0),21)),$C134*INDEX(SPPR!$E:$Z,MATCH($A134,SPPR!$A:$A,0),21),""),"")</f>
        <v/>
      </c>
      <c r="Y134">
        <f>IFERROR(IF(ISNUMBER(INDEX(SPPR!$E:$Z,MATCH($A134,SPPR!$A:$A,0),22)),$C134*INDEX(SPPR!$E:$Z,MATCH($A134,SPPR!$A:$A,0),22),""),"")</f>
        <v/>
      </c>
    </row>
    <row r="135">
      <c r="A135" t="inlineStr">
        <is>
          <t>Stephanolepis cirrhifer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IFERROR(IF(ISNUMBER(INDEX(SPPR!$E:$Z,MATCH($A135,SPPR!$A:$A,0),1)),$C135*INDEX(SPPR!$E:$Z,MATCH($A135,SPPR!$A:$A,0),1),""),"")</f>
        <v/>
      </c>
      <c r="E135">
        <f>IFERROR(IF(ISNUMBER(INDEX(SPPR!$E:$Z,MATCH($A135,SPPR!$A:$A,0),2)),$C135*INDEX(SPPR!$E:$Z,MATCH($A135,SPPR!$A:$A,0),2),""),"")</f>
        <v/>
      </c>
      <c r="F135">
        <f>IFERROR(IF(ISNUMBER(INDEX(SPPR!$E:$Z,MATCH($A135,SPPR!$A:$A,0),3)),$C135*INDEX(SPPR!$E:$Z,MATCH($A135,SPPR!$A:$A,0),3),""),"")</f>
        <v/>
      </c>
      <c r="G135">
        <f>IFERROR(IF(ISNUMBER(INDEX(SPPR!$E:$Z,MATCH($A135,SPPR!$A:$A,0),4)),$C135*INDEX(SPPR!$E:$Z,MATCH($A135,SPPR!$A:$A,0),4),""),"")</f>
        <v/>
      </c>
      <c r="H135">
        <f>IFERROR(IF(ISNUMBER(INDEX(SPPR!$E:$Z,MATCH($A135,SPPR!$A:$A,0),5)),$C135*INDEX(SPPR!$E:$Z,MATCH($A135,SPPR!$A:$A,0),5),""),"")</f>
        <v/>
      </c>
      <c r="I135">
        <f>IFERROR(IF(ISNUMBER(INDEX(SPPR!$E:$Z,MATCH($A135,SPPR!$A:$A,0),6)),$C135*INDEX(SPPR!$E:$Z,MATCH($A135,SPPR!$A:$A,0),6),""),"")</f>
        <v/>
      </c>
      <c r="J135">
        <f>IFERROR(IF(ISNUMBER(INDEX(SPPR!$E:$Z,MATCH($A135,SPPR!$A:$A,0),7)),$C135*INDEX(SPPR!$E:$Z,MATCH($A135,SPPR!$A:$A,0),7),""),"")</f>
        <v/>
      </c>
      <c r="K135">
        <f>IFERROR(IF(ISNUMBER(INDEX(SPPR!$E:$Z,MATCH($A135,SPPR!$A:$A,0),8)),$C135*INDEX(SPPR!$E:$Z,MATCH($A135,SPPR!$A:$A,0),8),""),"")</f>
        <v/>
      </c>
      <c r="L135">
        <f>IFERROR(IF(ISNUMBER(INDEX(SPPR!$E:$Z,MATCH($A135,SPPR!$A:$A,0),9)),$C135*INDEX(SPPR!$E:$Z,MATCH($A135,SPPR!$A:$A,0),9),""),"")</f>
        <v/>
      </c>
      <c r="M135">
        <f>IFERROR(IF(ISNUMBER(INDEX(SPPR!$E:$Z,MATCH($A135,SPPR!$A:$A,0),10)),$C135*INDEX(SPPR!$E:$Z,MATCH($A135,SPPR!$A:$A,0),10),""),"")</f>
        <v/>
      </c>
      <c r="N135">
        <f>IFERROR(IF(ISNUMBER(INDEX(SPPR!$E:$Z,MATCH($A135,SPPR!$A:$A,0),11)),$C135*INDEX(SPPR!$E:$Z,MATCH($A135,SPPR!$A:$A,0),11),""),"")</f>
        <v/>
      </c>
      <c r="O135">
        <f>IFERROR(IF(ISNUMBER(INDEX(SPPR!$E:$Z,MATCH($A135,SPPR!$A:$A,0),12)),$C135*INDEX(SPPR!$E:$Z,MATCH($A135,SPPR!$A:$A,0),12),""),"")</f>
        <v/>
      </c>
      <c r="P135">
        <f>IFERROR(IF(ISNUMBER(INDEX(SPPR!$E:$Z,MATCH($A135,SPPR!$A:$A,0),13)),$C135*INDEX(SPPR!$E:$Z,MATCH($A135,SPPR!$A:$A,0),13),""),"")</f>
        <v/>
      </c>
      <c r="Q135">
        <f>IFERROR(IF(ISNUMBER(INDEX(SPPR!$E:$Z,MATCH($A135,SPPR!$A:$A,0),14)),$C135*INDEX(SPPR!$E:$Z,MATCH($A135,SPPR!$A:$A,0),14),""),"")</f>
        <v/>
      </c>
      <c r="R135">
        <f>IFERROR(IF(ISNUMBER(INDEX(SPPR!$E:$Z,MATCH($A135,SPPR!$A:$A,0),15)),$C135*INDEX(SPPR!$E:$Z,MATCH($A135,SPPR!$A:$A,0),15),""),"")</f>
        <v/>
      </c>
      <c r="S135">
        <f>IFERROR(IF(ISNUMBER(INDEX(SPPR!$E:$Z,MATCH($A135,SPPR!$A:$A,0),16)),$C135*INDEX(SPPR!$E:$Z,MATCH($A135,SPPR!$A:$A,0),16),""),"")</f>
        <v/>
      </c>
      <c r="T135">
        <f>IFERROR(IF(ISNUMBER(INDEX(SPPR!$E:$Z,MATCH($A135,SPPR!$A:$A,0),17)),$C135*INDEX(SPPR!$E:$Z,MATCH($A135,SPPR!$A:$A,0),17),""),"")</f>
        <v/>
      </c>
      <c r="U135">
        <f>IFERROR(IF(ISNUMBER(INDEX(SPPR!$E:$Z,MATCH($A135,SPPR!$A:$A,0),18)),$C135*INDEX(SPPR!$E:$Z,MATCH($A135,SPPR!$A:$A,0),18),""),"")</f>
        <v/>
      </c>
      <c r="V135">
        <f>IFERROR(IF(ISNUMBER(INDEX(SPPR!$E:$Z,MATCH($A135,SPPR!$A:$A,0),19)),$C135*INDEX(SPPR!$E:$Z,MATCH($A135,SPPR!$A:$A,0),19),""),"")</f>
        <v/>
      </c>
      <c r="W135">
        <f>IFERROR(IF(ISNUMBER(INDEX(SPPR!$E:$Z,MATCH($A135,SPPR!$A:$A,0),20)),$C135*INDEX(SPPR!$E:$Z,MATCH($A135,SPPR!$A:$A,0),20),""),"")</f>
        <v/>
      </c>
      <c r="X135">
        <f>IFERROR(IF(ISNUMBER(INDEX(SPPR!$E:$Z,MATCH($A135,SPPR!$A:$A,0),21)),$C135*INDEX(SPPR!$E:$Z,MATCH($A135,SPPR!$A:$A,0),21),""),"")</f>
        <v/>
      </c>
      <c r="Y135">
        <f>IFERROR(IF(ISNUMBER(INDEX(SPPR!$E:$Z,MATCH($A135,SPPR!$A:$A,0),22)),$C135*INDEX(SPPR!$E:$Z,MATCH($A135,SPPR!$A:$A,0),22),""),"")</f>
        <v/>
      </c>
    </row>
    <row r="136">
      <c r="A136" t="inlineStr">
        <is>
          <t>Stromateidae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IFERROR(IF(ISNUMBER(INDEX(SPPR!$E:$Z,MATCH($A136,SPPR!$A:$A,0),1)),$C136*INDEX(SPPR!$E:$Z,MATCH($A136,SPPR!$A:$A,0),1),""),"")</f>
        <v/>
      </c>
      <c r="E136">
        <f>IFERROR(IF(ISNUMBER(INDEX(SPPR!$E:$Z,MATCH($A136,SPPR!$A:$A,0),2)),$C136*INDEX(SPPR!$E:$Z,MATCH($A136,SPPR!$A:$A,0),2),""),"")</f>
        <v/>
      </c>
      <c r="F136">
        <f>IFERROR(IF(ISNUMBER(INDEX(SPPR!$E:$Z,MATCH($A136,SPPR!$A:$A,0),3)),$C136*INDEX(SPPR!$E:$Z,MATCH($A136,SPPR!$A:$A,0),3),""),"")</f>
        <v/>
      </c>
      <c r="G136">
        <f>IFERROR(IF(ISNUMBER(INDEX(SPPR!$E:$Z,MATCH($A136,SPPR!$A:$A,0),4)),$C136*INDEX(SPPR!$E:$Z,MATCH($A136,SPPR!$A:$A,0),4),""),"")</f>
        <v/>
      </c>
      <c r="H136">
        <f>IFERROR(IF(ISNUMBER(INDEX(SPPR!$E:$Z,MATCH($A136,SPPR!$A:$A,0),5)),$C136*INDEX(SPPR!$E:$Z,MATCH($A136,SPPR!$A:$A,0),5),""),"")</f>
        <v/>
      </c>
      <c r="I136">
        <f>IFERROR(IF(ISNUMBER(INDEX(SPPR!$E:$Z,MATCH($A136,SPPR!$A:$A,0),6)),$C136*INDEX(SPPR!$E:$Z,MATCH($A136,SPPR!$A:$A,0),6),""),"")</f>
        <v/>
      </c>
      <c r="J136">
        <f>IFERROR(IF(ISNUMBER(INDEX(SPPR!$E:$Z,MATCH($A136,SPPR!$A:$A,0),7)),$C136*INDEX(SPPR!$E:$Z,MATCH($A136,SPPR!$A:$A,0),7),""),"")</f>
        <v/>
      </c>
      <c r="K136">
        <f>IFERROR(IF(ISNUMBER(INDEX(SPPR!$E:$Z,MATCH($A136,SPPR!$A:$A,0),8)),$C136*INDEX(SPPR!$E:$Z,MATCH($A136,SPPR!$A:$A,0),8),""),"")</f>
        <v/>
      </c>
      <c r="L136">
        <f>IFERROR(IF(ISNUMBER(INDEX(SPPR!$E:$Z,MATCH($A136,SPPR!$A:$A,0),9)),$C136*INDEX(SPPR!$E:$Z,MATCH($A136,SPPR!$A:$A,0),9),""),"")</f>
        <v/>
      </c>
      <c r="M136">
        <f>IFERROR(IF(ISNUMBER(INDEX(SPPR!$E:$Z,MATCH($A136,SPPR!$A:$A,0),10)),$C136*INDEX(SPPR!$E:$Z,MATCH($A136,SPPR!$A:$A,0),10),""),"")</f>
        <v/>
      </c>
      <c r="N136">
        <f>IFERROR(IF(ISNUMBER(INDEX(SPPR!$E:$Z,MATCH($A136,SPPR!$A:$A,0),11)),$C136*INDEX(SPPR!$E:$Z,MATCH($A136,SPPR!$A:$A,0),11),""),"")</f>
        <v/>
      </c>
      <c r="O136">
        <f>IFERROR(IF(ISNUMBER(INDEX(SPPR!$E:$Z,MATCH($A136,SPPR!$A:$A,0),12)),$C136*INDEX(SPPR!$E:$Z,MATCH($A136,SPPR!$A:$A,0),12),""),"")</f>
        <v/>
      </c>
      <c r="P136">
        <f>IFERROR(IF(ISNUMBER(INDEX(SPPR!$E:$Z,MATCH($A136,SPPR!$A:$A,0),13)),$C136*INDEX(SPPR!$E:$Z,MATCH($A136,SPPR!$A:$A,0),13),""),"")</f>
        <v/>
      </c>
      <c r="Q136">
        <f>IFERROR(IF(ISNUMBER(INDEX(SPPR!$E:$Z,MATCH($A136,SPPR!$A:$A,0),14)),$C136*INDEX(SPPR!$E:$Z,MATCH($A136,SPPR!$A:$A,0),14),""),"")</f>
        <v/>
      </c>
      <c r="R136">
        <f>IFERROR(IF(ISNUMBER(INDEX(SPPR!$E:$Z,MATCH($A136,SPPR!$A:$A,0),15)),$C136*INDEX(SPPR!$E:$Z,MATCH($A136,SPPR!$A:$A,0),15),""),"")</f>
        <v/>
      </c>
      <c r="S136">
        <f>IFERROR(IF(ISNUMBER(INDEX(SPPR!$E:$Z,MATCH($A136,SPPR!$A:$A,0),16)),$C136*INDEX(SPPR!$E:$Z,MATCH($A136,SPPR!$A:$A,0),16),""),"")</f>
        <v/>
      </c>
      <c r="T136">
        <f>IFERROR(IF(ISNUMBER(INDEX(SPPR!$E:$Z,MATCH($A136,SPPR!$A:$A,0),17)),$C136*INDEX(SPPR!$E:$Z,MATCH($A136,SPPR!$A:$A,0),17),""),"")</f>
        <v/>
      </c>
      <c r="U136">
        <f>IFERROR(IF(ISNUMBER(INDEX(SPPR!$E:$Z,MATCH($A136,SPPR!$A:$A,0),18)),$C136*INDEX(SPPR!$E:$Z,MATCH($A136,SPPR!$A:$A,0),18),""),"")</f>
        <v/>
      </c>
      <c r="V136">
        <f>IFERROR(IF(ISNUMBER(INDEX(SPPR!$E:$Z,MATCH($A136,SPPR!$A:$A,0),19)),$C136*INDEX(SPPR!$E:$Z,MATCH($A136,SPPR!$A:$A,0),19),""),"")</f>
        <v/>
      </c>
      <c r="W136">
        <f>IFERROR(IF(ISNUMBER(INDEX(SPPR!$E:$Z,MATCH($A136,SPPR!$A:$A,0),20)),$C136*INDEX(SPPR!$E:$Z,MATCH($A136,SPPR!$A:$A,0),20),""),"")</f>
        <v/>
      </c>
      <c r="X136">
        <f>IFERROR(IF(ISNUMBER(INDEX(SPPR!$E:$Z,MATCH($A136,SPPR!$A:$A,0),21)),$C136*INDEX(SPPR!$E:$Z,MATCH($A136,SPPR!$A:$A,0),21),""),"")</f>
        <v/>
      </c>
      <c r="Y136">
        <f>IFERROR(IF(ISNUMBER(INDEX(SPPR!$E:$Z,MATCH($A136,SPPR!$A:$A,0),22)),$C136*INDEX(SPPR!$E:$Z,MATCH($A136,SPPR!$A:$A,0),22),""),"")</f>
        <v/>
      </c>
    </row>
    <row r="137">
      <c r="A137" t="inlineStr">
        <is>
          <t>Lutjanus johnii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IFERROR(IF(ISNUMBER(INDEX(SPPR!$E:$Z,MATCH($A137,SPPR!$A:$A,0),1)),$C137*INDEX(SPPR!$E:$Z,MATCH($A137,SPPR!$A:$A,0),1),""),"")</f>
        <v/>
      </c>
      <c r="E137">
        <f>IFERROR(IF(ISNUMBER(INDEX(SPPR!$E:$Z,MATCH($A137,SPPR!$A:$A,0),2)),$C137*INDEX(SPPR!$E:$Z,MATCH($A137,SPPR!$A:$A,0),2),""),"")</f>
        <v/>
      </c>
      <c r="F137">
        <f>IFERROR(IF(ISNUMBER(INDEX(SPPR!$E:$Z,MATCH($A137,SPPR!$A:$A,0),3)),$C137*INDEX(SPPR!$E:$Z,MATCH($A137,SPPR!$A:$A,0),3),""),"")</f>
        <v/>
      </c>
      <c r="G137">
        <f>IFERROR(IF(ISNUMBER(INDEX(SPPR!$E:$Z,MATCH($A137,SPPR!$A:$A,0),4)),$C137*INDEX(SPPR!$E:$Z,MATCH($A137,SPPR!$A:$A,0),4),""),"")</f>
        <v/>
      </c>
      <c r="H137">
        <f>IFERROR(IF(ISNUMBER(INDEX(SPPR!$E:$Z,MATCH($A137,SPPR!$A:$A,0),5)),$C137*INDEX(SPPR!$E:$Z,MATCH($A137,SPPR!$A:$A,0),5),""),"")</f>
        <v/>
      </c>
      <c r="I137">
        <f>IFERROR(IF(ISNUMBER(INDEX(SPPR!$E:$Z,MATCH($A137,SPPR!$A:$A,0),6)),$C137*INDEX(SPPR!$E:$Z,MATCH($A137,SPPR!$A:$A,0),6),""),"")</f>
        <v/>
      </c>
      <c r="J137">
        <f>IFERROR(IF(ISNUMBER(INDEX(SPPR!$E:$Z,MATCH($A137,SPPR!$A:$A,0),7)),$C137*INDEX(SPPR!$E:$Z,MATCH($A137,SPPR!$A:$A,0),7),""),"")</f>
        <v/>
      </c>
      <c r="K137">
        <f>IFERROR(IF(ISNUMBER(INDEX(SPPR!$E:$Z,MATCH($A137,SPPR!$A:$A,0),8)),$C137*INDEX(SPPR!$E:$Z,MATCH($A137,SPPR!$A:$A,0),8),""),"")</f>
        <v/>
      </c>
      <c r="L137">
        <f>IFERROR(IF(ISNUMBER(INDEX(SPPR!$E:$Z,MATCH($A137,SPPR!$A:$A,0),9)),$C137*INDEX(SPPR!$E:$Z,MATCH($A137,SPPR!$A:$A,0),9),""),"")</f>
        <v/>
      </c>
      <c r="M137">
        <f>IFERROR(IF(ISNUMBER(INDEX(SPPR!$E:$Z,MATCH($A137,SPPR!$A:$A,0),10)),$C137*INDEX(SPPR!$E:$Z,MATCH($A137,SPPR!$A:$A,0),10),""),"")</f>
        <v/>
      </c>
      <c r="N137">
        <f>IFERROR(IF(ISNUMBER(INDEX(SPPR!$E:$Z,MATCH($A137,SPPR!$A:$A,0),11)),$C137*INDEX(SPPR!$E:$Z,MATCH($A137,SPPR!$A:$A,0),11),""),"")</f>
        <v/>
      </c>
      <c r="O137">
        <f>IFERROR(IF(ISNUMBER(INDEX(SPPR!$E:$Z,MATCH($A137,SPPR!$A:$A,0),12)),$C137*INDEX(SPPR!$E:$Z,MATCH($A137,SPPR!$A:$A,0),12),""),"")</f>
        <v/>
      </c>
      <c r="P137">
        <f>IFERROR(IF(ISNUMBER(INDEX(SPPR!$E:$Z,MATCH($A137,SPPR!$A:$A,0),13)),$C137*INDEX(SPPR!$E:$Z,MATCH($A137,SPPR!$A:$A,0),13),""),"")</f>
        <v/>
      </c>
      <c r="Q137">
        <f>IFERROR(IF(ISNUMBER(INDEX(SPPR!$E:$Z,MATCH($A137,SPPR!$A:$A,0),14)),$C137*INDEX(SPPR!$E:$Z,MATCH($A137,SPPR!$A:$A,0),14),""),"")</f>
        <v/>
      </c>
      <c r="R137">
        <f>IFERROR(IF(ISNUMBER(INDEX(SPPR!$E:$Z,MATCH($A137,SPPR!$A:$A,0),15)),$C137*INDEX(SPPR!$E:$Z,MATCH($A137,SPPR!$A:$A,0),15),""),"")</f>
        <v/>
      </c>
      <c r="S137">
        <f>IFERROR(IF(ISNUMBER(INDEX(SPPR!$E:$Z,MATCH($A137,SPPR!$A:$A,0),16)),$C137*INDEX(SPPR!$E:$Z,MATCH($A137,SPPR!$A:$A,0),16),""),"")</f>
        <v/>
      </c>
      <c r="T137">
        <f>IFERROR(IF(ISNUMBER(INDEX(SPPR!$E:$Z,MATCH($A137,SPPR!$A:$A,0),17)),$C137*INDEX(SPPR!$E:$Z,MATCH($A137,SPPR!$A:$A,0),17),""),"")</f>
        <v/>
      </c>
      <c r="U137">
        <f>IFERROR(IF(ISNUMBER(INDEX(SPPR!$E:$Z,MATCH($A137,SPPR!$A:$A,0),18)),$C137*INDEX(SPPR!$E:$Z,MATCH($A137,SPPR!$A:$A,0),18),""),"")</f>
        <v/>
      </c>
      <c r="V137">
        <f>IFERROR(IF(ISNUMBER(INDEX(SPPR!$E:$Z,MATCH($A137,SPPR!$A:$A,0),19)),$C137*INDEX(SPPR!$E:$Z,MATCH($A137,SPPR!$A:$A,0),19),""),"")</f>
        <v/>
      </c>
      <c r="W137">
        <f>IFERROR(IF(ISNUMBER(INDEX(SPPR!$E:$Z,MATCH($A137,SPPR!$A:$A,0),20)),$C137*INDEX(SPPR!$E:$Z,MATCH($A137,SPPR!$A:$A,0),20),""),"")</f>
        <v/>
      </c>
      <c r="X137">
        <f>IFERROR(IF(ISNUMBER(INDEX(SPPR!$E:$Z,MATCH($A137,SPPR!$A:$A,0),21)),$C137*INDEX(SPPR!$E:$Z,MATCH($A137,SPPR!$A:$A,0),21),""),"")</f>
        <v/>
      </c>
      <c r="Y137">
        <f>IFERROR(IF(ISNUMBER(INDEX(SPPR!$E:$Z,MATCH($A137,SPPR!$A:$A,0),22)),$C137*INDEX(SPPR!$E:$Z,MATCH($A137,SPPR!$A:$A,0),22),""),"")</f>
        <v/>
      </c>
    </row>
    <row r="138">
      <c r="A138" t="inlineStr">
        <is>
          <t>Elagatis bipinnulata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IFERROR(IF(ISNUMBER(INDEX(SPPR!$E:$Z,MATCH($A138,SPPR!$A:$A,0),1)),$C138*INDEX(SPPR!$E:$Z,MATCH($A138,SPPR!$A:$A,0),1),""),"")</f>
        <v/>
      </c>
      <c r="E138">
        <f>IFERROR(IF(ISNUMBER(INDEX(SPPR!$E:$Z,MATCH($A138,SPPR!$A:$A,0),2)),$C138*INDEX(SPPR!$E:$Z,MATCH($A138,SPPR!$A:$A,0),2),""),"")</f>
        <v/>
      </c>
      <c r="F138">
        <f>IFERROR(IF(ISNUMBER(INDEX(SPPR!$E:$Z,MATCH($A138,SPPR!$A:$A,0),3)),$C138*INDEX(SPPR!$E:$Z,MATCH($A138,SPPR!$A:$A,0),3),""),"")</f>
        <v/>
      </c>
      <c r="G138">
        <f>IFERROR(IF(ISNUMBER(INDEX(SPPR!$E:$Z,MATCH($A138,SPPR!$A:$A,0),4)),$C138*INDEX(SPPR!$E:$Z,MATCH($A138,SPPR!$A:$A,0),4),""),"")</f>
        <v/>
      </c>
      <c r="H138">
        <f>IFERROR(IF(ISNUMBER(INDEX(SPPR!$E:$Z,MATCH($A138,SPPR!$A:$A,0),5)),$C138*INDEX(SPPR!$E:$Z,MATCH($A138,SPPR!$A:$A,0),5),""),"")</f>
        <v/>
      </c>
      <c r="I138">
        <f>IFERROR(IF(ISNUMBER(INDEX(SPPR!$E:$Z,MATCH($A138,SPPR!$A:$A,0),6)),$C138*INDEX(SPPR!$E:$Z,MATCH($A138,SPPR!$A:$A,0),6),""),"")</f>
        <v/>
      </c>
      <c r="J138">
        <f>IFERROR(IF(ISNUMBER(INDEX(SPPR!$E:$Z,MATCH($A138,SPPR!$A:$A,0),7)),$C138*INDEX(SPPR!$E:$Z,MATCH($A138,SPPR!$A:$A,0),7),""),"")</f>
        <v/>
      </c>
      <c r="K138">
        <f>IFERROR(IF(ISNUMBER(INDEX(SPPR!$E:$Z,MATCH($A138,SPPR!$A:$A,0),8)),$C138*INDEX(SPPR!$E:$Z,MATCH($A138,SPPR!$A:$A,0),8),""),"")</f>
        <v/>
      </c>
      <c r="L138">
        <f>IFERROR(IF(ISNUMBER(INDEX(SPPR!$E:$Z,MATCH($A138,SPPR!$A:$A,0),9)),$C138*INDEX(SPPR!$E:$Z,MATCH($A138,SPPR!$A:$A,0),9),""),"")</f>
        <v/>
      </c>
      <c r="M138">
        <f>IFERROR(IF(ISNUMBER(INDEX(SPPR!$E:$Z,MATCH($A138,SPPR!$A:$A,0),10)),$C138*INDEX(SPPR!$E:$Z,MATCH($A138,SPPR!$A:$A,0),10),""),"")</f>
        <v/>
      </c>
      <c r="N138">
        <f>IFERROR(IF(ISNUMBER(INDEX(SPPR!$E:$Z,MATCH($A138,SPPR!$A:$A,0),11)),$C138*INDEX(SPPR!$E:$Z,MATCH($A138,SPPR!$A:$A,0),11),""),"")</f>
        <v/>
      </c>
      <c r="O138">
        <f>IFERROR(IF(ISNUMBER(INDEX(SPPR!$E:$Z,MATCH($A138,SPPR!$A:$A,0),12)),$C138*INDEX(SPPR!$E:$Z,MATCH($A138,SPPR!$A:$A,0),12),""),"")</f>
        <v/>
      </c>
      <c r="P138">
        <f>IFERROR(IF(ISNUMBER(INDEX(SPPR!$E:$Z,MATCH($A138,SPPR!$A:$A,0),13)),$C138*INDEX(SPPR!$E:$Z,MATCH($A138,SPPR!$A:$A,0),13),""),"")</f>
        <v/>
      </c>
      <c r="Q138">
        <f>IFERROR(IF(ISNUMBER(INDEX(SPPR!$E:$Z,MATCH($A138,SPPR!$A:$A,0),14)),$C138*INDEX(SPPR!$E:$Z,MATCH($A138,SPPR!$A:$A,0),14),""),"")</f>
        <v/>
      </c>
      <c r="R138">
        <f>IFERROR(IF(ISNUMBER(INDEX(SPPR!$E:$Z,MATCH($A138,SPPR!$A:$A,0),15)),$C138*INDEX(SPPR!$E:$Z,MATCH($A138,SPPR!$A:$A,0),15),""),"")</f>
        <v/>
      </c>
      <c r="S138">
        <f>IFERROR(IF(ISNUMBER(INDEX(SPPR!$E:$Z,MATCH($A138,SPPR!$A:$A,0),16)),$C138*INDEX(SPPR!$E:$Z,MATCH($A138,SPPR!$A:$A,0),16),""),"")</f>
        <v/>
      </c>
      <c r="T138">
        <f>IFERROR(IF(ISNUMBER(INDEX(SPPR!$E:$Z,MATCH($A138,SPPR!$A:$A,0),17)),$C138*INDEX(SPPR!$E:$Z,MATCH($A138,SPPR!$A:$A,0),17),""),"")</f>
        <v/>
      </c>
      <c r="U138">
        <f>IFERROR(IF(ISNUMBER(INDEX(SPPR!$E:$Z,MATCH($A138,SPPR!$A:$A,0),18)),$C138*INDEX(SPPR!$E:$Z,MATCH($A138,SPPR!$A:$A,0),18),""),"")</f>
        <v/>
      </c>
      <c r="V138">
        <f>IFERROR(IF(ISNUMBER(INDEX(SPPR!$E:$Z,MATCH($A138,SPPR!$A:$A,0),19)),$C138*INDEX(SPPR!$E:$Z,MATCH($A138,SPPR!$A:$A,0),19),""),"")</f>
        <v/>
      </c>
      <c r="W138">
        <f>IFERROR(IF(ISNUMBER(INDEX(SPPR!$E:$Z,MATCH($A138,SPPR!$A:$A,0),20)),$C138*INDEX(SPPR!$E:$Z,MATCH($A138,SPPR!$A:$A,0),20),""),"")</f>
        <v/>
      </c>
      <c r="X138">
        <f>IFERROR(IF(ISNUMBER(INDEX(SPPR!$E:$Z,MATCH($A138,SPPR!$A:$A,0),21)),$C138*INDEX(SPPR!$E:$Z,MATCH($A138,SPPR!$A:$A,0),21),""),"")</f>
        <v/>
      </c>
      <c r="Y138">
        <f>IFERROR(IF(ISNUMBER(INDEX(SPPR!$E:$Z,MATCH($A138,SPPR!$A:$A,0),22)),$C138*INDEX(SPPR!$E:$Z,MATCH($A138,SPPR!$A:$A,0),22),""),"")</f>
        <v/>
      </c>
    </row>
    <row r="139">
      <c r="A139" t="inlineStr">
        <is>
          <t>Saurida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IFERROR(IF(ISNUMBER(INDEX(SPPR!$E:$Z,MATCH($A139,SPPR!$A:$A,0),1)),$C139*INDEX(SPPR!$E:$Z,MATCH($A139,SPPR!$A:$A,0),1),""),"")</f>
        <v/>
      </c>
      <c r="E139">
        <f>IFERROR(IF(ISNUMBER(INDEX(SPPR!$E:$Z,MATCH($A139,SPPR!$A:$A,0),2)),$C139*INDEX(SPPR!$E:$Z,MATCH($A139,SPPR!$A:$A,0),2),""),"")</f>
        <v/>
      </c>
      <c r="F139">
        <f>IFERROR(IF(ISNUMBER(INDEX(SPPR!$E:$Z,MATCH($A139,SPPR!$A:$A,0),3)),$C139*INDEX(SPPR!$E:$Z,MATCH($A139,SPPR!$A:$A,0),3),""),"")</f>
        <v/>
      </c>
      <c r="G139">
        <f>IFERROR(IF(ISNUMBER(INDEX(SPPR!$E:$Z,MATCH($A139,SPPR!$A:$A,0),4)),$C139*INDEX(SPPR!$E:$Z,MATCH($A139,SPPR!$A:$A,0),4),""),"")</f>
        <v/>
      </c>
      <c r="H139">
        <f>IFERROR(IF(ISNUMBER(INDEX(SPPR!$E:$Z,MATCH($A139,SPPR!$A:$A,0),5)),$C139*INDEX(SPPR!$E:$Z,MATCH($A139,SPPR!$A:$A,0),5),""),"")</f>
        <v/>
      </c>
      <c r="I139">
        <f>IFERROR(IF(ISNUMBER(INDEX(SPPR!$E:$Z,MATCH($A139,SPPR!$A:$A,0),6)),$C139*INDEX(SPPR!$E:$Z,MATCH($A139,SPPR!$A:$A,0),6),""),"")</f>
        <v/>
      </c>
      <c r="J139">
        <f>IFERROR(IF(ISNUMBER(INDEX(SPPR!$E:$Z,MATCH($A139,SPPR!$A:$A,0),7)),$C139*INDEX(SPPR!$E:$Z,MATCH($A139,SPPR!$A:$A,0),7),""),"")</f>
        <v/>
      </c>
      <c r="K139">
        <f>IFERROR(IF(ISNUMBER(INDEX(SPPR!$E:$Z,MATCH($A139,SPPR!$A:$A,0),8)),$C139*INDEX(SPPR!$E:$Z,MATCH($A139,SPPR!$A:$A,0),8),""),"")</f>
        <v/>
      </c>
      <c r="L139">
        <f>IFERROR(IF(ISNUMBER(INDEX(SPPR!$E:$Z,MATCH($A139,SPPR!$A:$A,0),9)),$C139*INDEX(SPPR!$E:$Z,MATCH($A139,SPPR!$A:$A,0),9),""),"")</f>
        <v/>
      </c>
      <c r="M139">
        <f>IFERROR(IF(ISNUMBER(INDEX(SPPR!$E:$Z,MATCH($A139,SPPR!$A:$A,0),10)),$C139*INDEX(SPPR!$E:$Z,MATCH($A139,SPPR!$A:$A,0),10),""),"")</f>
        <v/>
      </c>
      <c r="N139">
        <f>IFERROR(IF(ISNUMBER(INDEX(SPPR!$E:$Z,MATCH($A139,SPPR!$A:$A,0),11)),$C139*INDEX(SPPR!$E:$Z,MATCH($A139,SPPR!$A:$A,0),11),""),"")</f>
        <v/>
      </c>
      <c r="O139">
        <f>IFERROR(IF(ISNUMBER(INDEX(SPPR!$E:$Z,MATCH($A139,SPPR!$A:$A,0),12)),$C139*INDEX(SPPR!$E:$Z,MATCH($A139,SPPR!$A:$A,0),12),""),"")</f>
        <v/>
      </c>
      <c r="P139">
        <f>IFERROR(IF(ISNUMBER(INDEX(SPPR!$E:$Z,MATCH($A139,SPPR!$A:$A,0),13)),$C139*INDEX(SPPR!$E:$Z,MATCH($A139,SPPR!$A:$A,0),13),""),"")</f>
        <v/>
      </c>
      <c r="Q139">
        <f>IFERROR(IF(ISNUMBER(INDEX(SPPR!$E:$Z,MATCH($A139,SPPR!$A:$A,0),14)),$C139*INDEX(SPPR!$E:$Z,MATCH($A139,SPPR!$A:$A,0),14),""),"")</f>
        <v/>
      </c>
      <c r="R139">
        <f>IFERROR(IF(ISNUMBER(INDEX(SPPR!$E:$Z,MATCH($A139,SPPR!$A:$A,0),15)),$C139*INDEX(SPPR!$E:$Z,MATCH($A139,SPPR!$A:$A,0),15),""),"")</f>
        <v/>
      </c>
      <c r="S139">
        <f>IFERROR(IF(ISNUMBER(INDEX(SPPR!$E:$Z,MATCH($A139,SPPR!$A:$A,0),16)),$C139*INDEX(SPPR!$E:$Z,MATCH($A139,SPPR!$A:$A,0),16),""),"")</f>
        <v/>
      </c>
      <c r="T139">
        <f>IFERROR(IF(ISNUMBER(INDEX(SPPR!$E:$Z,MATCH($A139,SPPR!$A:$A,0),17)),$C139*INDEX(SPPR!$E:$Z,MATCH($A139,SPPR!$A:$A,0),17),""),"")</f>
        <v/>
      </c>
      <c r="U139">
        <f>IFERROR(IF(ISNUMBER(INDEX(SPPR!$E:$Z,MATCH($A139,SPPR!$A:$A,0),18)),$C139*INDEX(SPPR!$E:$Z,MATCH($A139,SPPR!$A:$A,0),18),""),"")</f>
        <v/>
      </c>
      <c r="V139">
        <f>IFERROR(IF(ISNUMBER(INDEX(SPPR!$E:$Z,MATCH($A139,SPPR!$A:$A,0),19)),$C139*INDEX(SPPR!$E:$Z,MATCH($A139,SPPR!$A:$A,0),19),""),"")</f>
        <v/>
      </c>
      <c r="W139">
        <f>IFERROR(IF(ISNUMBER(INDEX(SPPR!$E:$Z,MATCH($A139,SPPR!$A:$A,0),20)),$C139*INDEX(SPPR!$E:$Z,MATCH($A139,SPPR!$A:$A,0),20),""),"")</f>
        <v/>
      </c>
      <c r="X139">
        <f>IFERROR(IF(ISNUMBER(INDEX(SPPR!$E:$Z,MATCH($A139,SPPR!$A:$A,0),21)),$C139*INDEX(SPPR!$E:$Z,MATCH($A139,SPPR!$A:$A,0),21),""),"")</f>
        <v/>
      </c>
      <c r="Y139">
        <f>IFERROR(IF(ISNUMBER(INDEX(SPPR!$E:$Z,MATCH($A139,SPPR!$A:$A,0),22)),$C139*INDEX(SPPR!$E:$Z,MATCH($A139,SPPR!$A:$A,0),22),""),"")</f>
        <v/>
      </c>
    </row>
    <row r="140">
      <c r="A140" t="inlineStr">
        <is>
          <t>Serranidae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IFERROR(IF(ISNUMBER(INDEX(SPPR!$E:$Z,MATCH($A140,SPPR!$A:$A,0),1)),$C140*INDEX(SPPR!$E:$Z,MATCH($A140,SPPR!$A:$A,0),1),""),"")</f>
        <v/>
      </c>
      <c r="E140">
        <f>IFERROR(IF(ISNUMBER(INDEX(SPPR!$E:$Z,MATCH($A140,SPPR!$A:$A,0),2)),$C140*INDEX(SPPR!$E:$Z,MATCH($A140,SPPR!$A:$A,0),2),""),"")</f>
        <v/>
      </c>
      <c r="F140">
        <f>IFERROR(IF(ISNUMBER(INDEX(SPPR!$E:$Z,MATCH($A140,SPPR!$A:$A,0),3)),$C140*INDEX(SPPR!$E:$Z,MATCH($A140,SPPR!$A:$A,0),3),""),"")</f>
        <v/>
      </c>
      <c r="G140">
        <f>IFERROR(IF(ISNUMBER(INDEX(SPPR!$E:$Z,MATCH($A140,SPPR!$A:$A,0),4)),$C140*INDEX(SPPR!$E:$Z,MATCH($A140,SPPR!$A:$A,0),4),""),"")</f>
        <v/>
      </c>
      <c r="H140">
        <f>IFERROR(IF(ISNUMBER(INDEX(SPPR!$E:$Z,MATCH($A140,SPPR!$A:$A,0),5)),$C140*INDEX(SPPR!$E:$Z,MATCH($A140,SPPR!$A:$A,0),5),""),"")</f>
        <v/>
      </c>
      <c r="I140">
        <f>IFERROR(IF(ISNUMBER(INDEX(SPPR!$E:$Z,MATCH($A140,SPPR!$A:$A,0),6)),$C140*INDEX(SPPR!$E:$Z,MATCH($A140,SPPR!$A:$A,0),6),""),"")</f>
        <v/>
      </c>
      <c r="J140">
        <f>IFERROR(IF(ISNUMBER(INDEX(SPPR!$E:$Z,MATCH($A140,SPPR!$A:$A,0),7)),$C140*INDEX(SPPR!$E:$Z,MATCH($A140,SPPR!$A:$A,0),7),""),"")</f>
        <v/>
      </c>
      <c r="K140">
        <f>IFERROR(IF(ISNUMBER(INDEX(SPPR!$E:$Z,MATCH($A140,SPPR!$A:$A,0),8)),$C140*INDEX(SPPR!$E:$Z,MATCH($A140,SPPR!$A:$A,0),8),""),"")</f>
        <v/>
      </c>
      <c r="L140">
        <f>IFERROR(IF(ISNUMBER(INDEX(SPPR!$E:$Z,MATCH($A140,SPPR!$A:$A,0),9)),$C140*INDEX(SPPR!$E:$Z,MATCH($A140,SPPR!$A:$A,0),9),""),"")</f>
        <v/>
      </c>
      <c r="M140">
        <f>IFERROR(IF(ISNUMBER(INDEX(SPPR!$E:$Z,MATCH($A140,SPPR!$A:$A,0),10)),$C140*INDEX(SPPR!$E:$Z,MATCH($A140,SPPR!$A:$A,0),10),""),"")</f>
        <v/>
      </c>
      <c r="N140">
        <f>IFERROR(IF(ISNUMBER(INDEX(SPPR!$E:$Z,MATCH($A140,SPPR!$A:$A,0),11)),$C140*INDEX(SPPR!$E:$Z,MATCH($A140,SPPR!$A:$A,0),11),""),"")</f>
        <v/>
      </c>
      <c r="O140">
        <f>IFERROR(IF(ISNUMBER(INDEX(SPPR!$E:$Z,MATCH($A140,SPPR!$A:$A,0),12)),$C140*INDEX(SPPR!$E:$Z,MATCH($A140,SPPR!$A:$A,0),12),""),"")</f>
        <v/>
      </c>
      <c r="P140">
        <f>IFERROR(IF(ISNUMBER(INDEX(SPPR!$E:$Z,MATCH($A140,SPPR!$A:$A,0),13)),$C140*INDEX(SPPR!$E:$Z,MATCH($A140,SPPR!$A:$A,0),13),""),"")</f>
        <v/>
      </c>
      <c r="Q140">
        <f>IFERROR(IF(ISNUMBER(INDEX(SPPR!$E:$Z,MATCH($A140,SPPR!$A:$A,0),14)),$C140*INDEX(SPPR!$E:$Z,MATCH($A140,SPPR!$A:$A,0),14),""),"")</f>
        <v/>
      </c>
      <c r="R140">
        <f>IFERROR(IF(ISNUMBER(INDEX(SPPR!$E:$Z,MATCH($A140,SPPR!$A:$A,0),15)),$C140*INDEX(SPPR!$E:$Z,MATCH($A140,SPPR!$A:$A,0),15),""),"")</f>
        <v/>
      </c>
      <c r="S140">
        <f>IFERROR(IF(ISNUMBER(INDEX(SPPR!$E:$Z,MATCH($A140,SPPR!$A:$A,0),16)),$C140*INDEX(SPPR!$E:$Z,MATCH($A140,SPPR!$A:$A,0),16),""),"")</f>
        <v/>
      </c>
      <c r="T140">
        <f>IFERROR(IF(ISNUMBER(INDEX(SPPR!$E:$Z,MATCH($A140,SPPR!$A:$A,0),17)),$C140*INDEX(SPPR!$E:$Z,MATCH($A140,SPPR!$A:$A,0),17),""),"")</f>
        <v/>
      </c>
      <c r="U140">
        <f>IFERROR(IF(ISNUMBER(INDEX(SPPR!$E:$Z,MATCH($A140,SPPR!$A:$A,0),18)),$C140*INDEX(SPPR!$E:$Z,MATCH($A140,SPPR!$A:$A,0),18),""),"")</f>
        <v/>
      </c>
      <c r="V140">
        <f>IFERROR(IF(ISNUMBER(INDEX(SPPR!$E:$Z,MATCH($A140,SPPR!$A:$A,0),19)),$C140*INDEX(SPPR!$E:$Z,MATCH($A140,SPPR!$A:$A,0),19),""),"")</f>
        <v/>
      </c>
      <c r="W140">
        <f>IFERROR(IF(ISNUMBER(INDEX(SPPR!$E:$Z,MATCH($A140,SPPR!$A:$A,0),20)),$C140*INDEX(SPPR!$E:$Z,MATCH($A140,SPPR!$A:$A,0),20),""),"")</f>
        <v/>
      </c>
      <c r="X140">
        <f>IFERROR(IF(ISNUMBER(INDEX(SPPR!$E:$Z,MATCH($A140,SPPR!$A:$A,0),21)),$C140*INDEX(SPPR!$E:$Z,MATCH($A140,SPPR!$A:$A,0),21),""),"")</f>
        <v/>
      </c>
      <c r="Y140">
        <f>IFERROR(IF(ISNUMBER(INDEX(SPPR!$E:$Z,MATCH($A140,SPPR!$A:$A,0),22)),$C140*INDEX(SPPR!$E:$Z,MATCH($A140,SPPR!$A:$A,0),22),""),"")</f>
        <v/>
      </c>
    </row>
    <row r="141">
      <c r="A141" t="inlineStr">
        <is>
          <t>Tegillarca granosa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IFERROR(IF(ISNUMBER(INDEX(SPPR!$E:$Z,MATCH($A141,SPPR!$A:$A,0),1)),$C141*INDEX(SPPR!$E:$Z,MATCH($A141,SPPR!$A:$A,0),1),""),"")</f>
        <v/>
      </c>
      <c r="E141">
        <f>IFERROR(IF(ISNUMBER(INDEX(SPPR!$E:$Z,MATCH($A141,SPPR!$A:$A,0),2)),$C141*INDEX(SPPR!$E:$Z,MATCH($A141,SPPR!$A:$A,0),2),""),"")</f>
        <v/>
      </c>
      <c r="F141">
        <f>IFERROR(IF(ISNUMBER(INDEX(SPPR!$E:$Z,MATCH($A141,SPPR!$A:$A,0),3)),$C141*INDEX(SPPR!$E:$Z,MATCH($A141,SPPR!$A:$A,0),3),""),"")</f>
        <v/>
      </c>
      <c r="G141">
        <f>IFERROR(IF(ISNUMBER(INDEX(SPPR!$E:$Z,MATCH($A141,SPPR!$A:$A,0),4)),$C141*INDEX(SPPR!$E:$Z,MATCH($A141,SPPR!$A:$A,0),4),""),"")</f>
        <v/>
      </c>
      <c r="H141">
        <f>IFERROR(IF(ISNUMBER(INDEX(SPPR!$E:$Z,MATCH($A141,SPPR!$A:$A,0),5)),$C141*INDEX(SPPR!$E:$Z,MATCH($A141,SPPR!$A:$A,0),5),""),"")</f>
        <v/>
      </c>
      <c r="I141">
        <f>IFERROR(IF(ISNUMBER(INDEX(SPPR!$E:$Z,MATCH($A141,SPPR!$A:$A,0),6)),$C141*INDEX(SPPR!$E:$Z,MATCH($A141,SPPR!$A:$A,0),6),""),"")</f>
        <v/>
      </c>
      <c r="J141">
        <f>IFERROR(IF(ISNUMBER(INDEX(SPPR!$E:$Z,MATCH($A141,SPPR!$A:$A,0),7)),$C141*INDEX(SPPR!$E:$Z,MATCH($A141,SPPR!$A:$A,0),7),""),"")</f>
        <v/>
      </c>
      <c r="K141">
        <f>IFERROR(IF(ISNUMBER(INDEX(SPPR!$E:$Z,MATCH($A141,SPPR!$A:$A,0),8)),$C141*INDEX(SPPR!$E:$Z,MATCH($A141,SPPR!$A:$A,0),8),""),"")</f>
        <v/>
      </c>
      <c r="L141">
        <f>IFERROR(IF(ISNUMBER(INDEX(SPPR!$E:$Z,MATCH($A141,SPPR!$A:$A,0),9)),$C141*INDEX(SPPR!$E:$Z,MATCH($A141,SPPR!$A:$A,0),9),""),"")</f>
        <v/>
      </c>
      <c r="M141">
        <f>IFERROR(IF(ISNUMBER(INDEX(SPPR!$E:$Z,MATCH($A141,SPPR!$A:$A,0),10)),$C141*INDEX(SPPR!$E:$Z,MATCH($A141,SPPR!$A:$A,0),10),""),"")</f>
        <v/>
      </c>
      <c r="N141">
        <f>IFERROR(IF(ISNUMBER(INDEX(SPPR!$E:$Z,MATCH($A141,SPPR!$A:$A,0),11)),$C141*INDEX(SPPR!$E:$Z,MATCH($A141,SPPR!$A:$A,0),11),""),"")</f>
        <v/>
      </c>
      <c r="O141">
        <f>IFERROR(IF(ISNUMBER(INDEX(SPPR!$E:$Z,MATCH($A141,SPPR!$A:$A,0),12)),$C141*INDEX(SPPR!$E:$Z,MATCH($A141,SPPR!$A:$A,0),12),""),"")</f>
        <v/>
      </c>
      <c r="P141">
        <f>IFERROR(IF(ISNUMBER(INDEX(SPPR!$E:$Z,MATCH($A141,SPPR!$A:$A,0),13)),$C141*INDEX(SPPR!$E:$Z,MATCH($A141,SPPR!$A:$A,0),13),""),"")</f>
        <v/>
      </c>
      <c r="Q141">
        <f>IFERROR(IF(ISNUMBER(INDEX(SPPR!$E:$Z,MATCH($A141,SPPR!$A:$A,0),14)),$C141*INDEX(SPPR!$E:$Z,MATCH($A141,SPPR!$A:$A,0),14),""),"")</f>
        <v/>
      </c>
      <c r="R141">
        <f>IFERROR(IF(ISNUMBER(INDEX(SPPR!$E:$Z,MATCH($A141,SPPR!$A:$A,0),15)),$C141*INDEX(SPPR!$E:$Z,MATCH($A141,SPPR!$A:$A,0),15),""),"")</f>
        <v/>
      </c>
      <c r="S141">
        <f>IFERROR(IF(ISNUMBER(INDEX(SPPR!$E:$Z,MATCH($A141,SPPR!$A:$A,0),16)),$C141*INDEX(SPPR!$E:$Z,MATCH($A141,SPPR!$A:$A,0),16),""),"")</f>
        <v/>
      </c>
      <c r="T141">
        <f>IFERROR(IF(ISNUMBER(INDEX(SPPR!$E:$Z,MATCH($A141,SPPR!$A:$A,0),17)),$C141*INDEX(SPPR!$E:$Z,MATCH($A141,SPPR!$A:$A,0),17),""),"")</f>
        <v/>
      </c>
      <c r="U141">
        <f>IFERROR(IF(ISNUMBER(INDEX(SPPR!$E:$Z,MATCH($A141,SPPR!$A:$A,0),18)),$C141*INDEX(SPPR!$E:$Z,MATCH($A141,SPPR!$A:$A,0),18),""),"")</f>
        <v/>
      </c>
      <c r="V141">
        <f>IFERROR(IF(ISNUMBER(INDEX(SPPR!$E:$Z,MATCH($A141,SPPR!$A:$A,0),19)),$C141*INDEX(SPPR!$E:$Z,MATCH($A141,SPPR!$A:$A,0),19),""),"")</f>
        <v/>
      </c>
      <c r="W141">
        <f>IFERROR(IF(ISNUMBER(INDEX(SPPR!$E:$Z,MATCH($A141,SPPR!$A:$A,0),20)),$C141*INDEX(SPPR!$E:$Z,MATCH($A141,SPPR!$A:$A,0),20),""),"")</f>
        <v/>
      </c>
      <c r="X141">
        <f>IFERROR(IF(ISNUMBER(INDEX(SPPR!$E:$Z,MATCH($A141,SPPR!$A:$A,0),21)),$C141*INDEX(SPPR!$E:$Z,MATCH($A141,SPPR!$A:$A,0),21),""),"")</f>
        <v/>
      </c>
      <c r="Y141">
        <f>IFERROR(IF(ISNUMBER(INDEX(SPPR!$E:$Z,MATCH($A141,SPPR!$A:$A,0),22)),$C141*INDEX(SPPR!$E:$Z,MATCH($A141,SPPR!$A:$A,0),22),""),"")</f>
        <v/>
      </c>
    </row>
    <row r="142">
      <c r="A142" t="inlineStr">
        <is>
          <t>Pristipomoides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IFERROR(IF(ISNUMBER(INDEX(SPPR!$E:$Z,MATCH($A142,SPPR!$A:$A,0),1)),$C142*INDEX(SPPR!$E:$Z,MATCH($A142,SPPR!$A:$A,0),1),""),"")</f>
        <v/>
      </c>
      <c r="E142">
        <f>IFERROR(IF(ISNUMBER(INDEX(SPPR!$E:$Z,MATCH($A142,SPPR!$A:$A,0),2)),$C142*INDEX(SPPR!$E:$Z,MATCH($A142,SPPR!$A:$A,0),2),""),"")</f>
        <v/>
      </c>
      <c r="F142">
        <f>IFERROR(IF(ISNUMBER(INDEX(SPPR!$E:$Z,MATCH($A142,SPPR!$A:$A,0),3)),$C142*INDEX(SPPR!$E:$Z,MATCH($A142,SPPR!$A:$A,0),3),""),"")</f>
        <v/>
      </c>
      <c r="G142">
        <f>IFERROR(IF(ISNUMBER(INDEX(SPPR!$E:$Z,MATCH($A142,SPPR!$A:$A,0),4)),$C142*INDEX(SPPR!$E:$Z,MATCH($A142,SPPR!$A:$A,0),4),""),"")</f>
        <v/>
      </c>
      <c r="H142">
        <f>IFERROR(IF(ISNUMBER(INDEX(SPPR!$E:$Z,MATCH($A142,SPPR!$A:$A,0),5)),$C142*INDEX(SPPR!$E:$Z,MATCH($A142,SPPR!$A:$A,0),5),""),"")</f>
        <v/>
      </c>
      <c r="I142">
        <f>IFERROR(IF(ISNUMBER(INDEX(SPPR!$E:$Z,MATCH($A142,SPPR!$A:$A,0),6)),$C142*INDEX(SPPR!$E:$Z,MATCH($A142,SPPR!$A:$A,0),6),""),"")</f>
        <v/>
      </c>
      <c r="J142">
        <f>IFERROR(IF(ISNUMBER(INDEX(SPPR!$E:$Z,MATCH($A142,SPPR!$A:$A,0),7)),$C142*INDEX(SPPR!$E:$Z,MATCH($A142,SPPR!$A:$A,0),7),""),"")</f>
        <v/>
      </c>
      <c r="K142">
        <f>IFERROR(IF(ISNUMBER(INDEX(SPPR!$E:$Z,MATCH($A142,SPPR!$A:$A,0),8)),$C142*INDEX(SPPR!$E:$Z,MATCH($A142,SPPR!$A:$A,0),8),""),"")</f>
        <v/>
      </c>
      <c r="L142">
        <f>IFERROR(IF(ISNUMBER(INDEX(SPPR!$E:$Z,MATCH($A142,SPPR!$A:$A,0),9)),$C142*INDEX(SPPR!$E:$Z,MATCH($A142,SPPR!$A:$A,0),9),""),"")</f>
        <v/>
      </c>
      <c r="M142">
        <f>IFERROR(IF(ISNUMBER(INDEX(SPPR!$E:$Z,MATCH($A142,SPPR!$A:$A,0),10)),$C142*INDEX(SPPR!$E:$Z,MATCH($A142,SPPR!$A:$A,0),10),""),"")</f>
        <v/>
      </c>
      <c r="N142">
        <f>IFERROR(IF(ISNUMBER(INDEX(SPPR!$E:$Z,MATCH($A142,SPPR!$A:$A,0),11)),$C142*INDEX(SPPR!$E:$Z,MATCH($A142,SPPR!$A:$A,0),11),""),"")</f>
        <v/>
      </c>
      <c r="O142">
        <f>IFERROR(IF(ISNUMBER(INDEX(SPPR!$E:$Z,MATCH($A142,SPPR!$A:$A,0),12)),$C142*INDEX(SPPR!$E:$Z,MATCH($A142,SPPR!$A:$A,0),12),""),"")</f>
        <v/>
      </c>
      <c r="P142">
        <f>IFERROR(IF(ISNUMBER(INDEX(SPPR!$E:$Z,MATCH($A142,SPPR!$A:$A,0),13)),$C142*INDEX(SPPR!$E:$Z,MATCH($A142,SPPR!$A:$A,0),13),""),"")</f>
        <v/>
      </c>
      <c r="Q142">
        <f>IFERROR(IF(ISNUMBER(INDEX(SPPR!$E:$Z,MATCH($A142,SPPR!$A:$A,0),14)),$C142*INDEX(SPPR!$E:$Z,MATCH($A142,SPPR!$A:$A,0),14),""),"")</f>
        <v/>
      </c>
      <c r="R142">
        <f>IFERROR(IF(ISNUMBER(INDEX(SPPR!$E:$Z,MATCH($A142,SPPR!$A:$A,0),15)),$C142*INDEX(SPPR!$E:$Z,MATCH($A142,SPPR!$A:$A,0),15),""),"")</f>
        <v/>
      </c>
      <c r="S142">
        <f>IFERROR(IF(ISNUMBER(INDEX(SPPR!$E:$Z,MATCH($A142,SPPR!$A:$A,0),16)),$C142*INDEX(SPPR!$E:$Z,MATCH($A142,SPPR!$A:$A,0),16),""),"")</f>
        <v/>
      </c>
      <c r="T142">
        <f>IFERROR(IF(ISNUMBER(INDEX(SPPR!$E:$Z,MATCH($A142,SPPR!$A:$A,0),17)),$C142*INDEX(SPPR!$E:$Z,MATCH($A142,SPPR!$A:$A,0),17),""),"")</f>
        <v/>
      </c>
      <c r="U142">
        <f>IFERROR(IF(ISNUMBER(INDEX(SPPR!$E:$Z,MATCH($A142,SPPR!$A:$A,0),18)),$C142*INDEX(SPPR!$E:$Z,MATCH($A142,SPPR!$A:$A,0),18),""),"")</f>
        <v/>
      </c>
      <c r="V142">
        <f>IFERROR(IF(ISNUMBER(INDEX(SPPR!$E:$Z,MATCH($A142,SPPR!$A:$A,0),19)),$C142*INDEX(SPPR!$E:$Z,MATCH($A142,SPPR!$A:$A,0),19),""),"")</f>
        <v/>
      </c>
      <c r="W142">
        <f>IFERROR(IF(ISNUMBER(INDEX(SPPR!$E:$Z,MATCH($A142,SPPR!$A:$A,0),20)),$C142*INDEX(SPPR!$E:$Z,MATCH($A142,SPPR!$A:$A,0),20),""),"")</f>
        <v/>
      </c>
      <c r="X142">
        <f>IFERROR(IF(ISNUMBER(INDEX(SPPR!$E:$Z,MATCH($A142,SPPR!$A:$A,0),21)),$C142*INDEX(SPPR!$E:$Z,MATCH($A142,SPPR!$A:$A,0),21),""),"")</f>
        <v/>
      </c>
      <c r="Y142">
        <f>IFERROR(IF(ISNUMBER(INDEX(SPPR!$E:$Z,MATCH($A142,SPPR!$A:$A,0),22)),$C142*INDEX(SPPR!$E:$Z,MATCH($A142,SPPR!$A:$A,0),22),""),"")</f>
        <v/>
      </c>
    </row>
    <row r="143">
      <c r="A143" t="inlineStr">
        <is>
          <t>Apogonidae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IFERROR(IF(ISNUMBER(INDEX(SPPR!$E:$Z,MATCH($A143,SPPR!$A:$A,0),1)),$C143*INDEX(SPPR!$E:$Z,MATCH($A143,SPPR!$A:$A,0),1),""),"")</f>
        <v/>
      </c>
      <c r="E143">
        <f>IFERROR(IF(ISNUMBER(INDEX(SPPR!$E:$Z,MATCH($A143,SPPR!$A:$A,0),2)),$C143*INDEX(SPPR!$E:$Z,MATCH($A143,SPPR!$A:$A,0),2),""),"")</f>
        <v/>
      </c>
      <c r="F143">
        <f>IFERROR(IF(ISNUMBER(INDEX(SPPR!$E:$Z,MATCH($A143,SPPR!$A:$A,0),3)),$C143*INDEX(SPPR!$E:$Z,MATCH($A143,SPPR!$A:$A,0),3),""),"")</f>
        <v/>
      </c>
      <c r="G143">
        <f>IFERROR(IF(ISNUMBER(INDEX(SPPR!$E:$Z,MATCH($A143,SPPR!$A:$A,0),4)),$C143*INDEX(SPPR!$E:$Z,MATCH($A143,SPPR!$A:$A,0),4),""),"")</f>
        <v/>
      </c>
      <c r="H143">
        <f>IFERROR(IF(ISNUMBER(INDEX(SPPR!$E:$Z,MATCH($A143,SPPR!$A:$A,0),5)),$C143*INDEX(SPPR!$E:$Z,MATCH($A143,SPPR!$A:$A,0),5),""),"")</f>
        <v/>
      </c>
      <c r="I143">
        <f>IFERROR(IF(ISNUMBER(INDEX(SPPR!$E:$Z,MATCH($A143,SPPR!$A:$A,0),6)),$C143*INDEX(SPPR!$E:$Z,MATCH($A143,SPPR!$A:$A,0),6),""),"")</f>
        <v/>
      </c>
      <c r="J143">
        <f>IFERROR(IF(ISNUMBER(INDEX(SPPR!$E:$Z,MATCH($A143,SPPR!$A:$A,0),7)),$C143*INDEX(SPPR!$E:$Z,MATCH($A143,SPPR!$A:$A,0),7),""),"")</f>
        <v/>
      </c>
      <c r="K143">
        <f>IFERROR(IF(ISNUMBER(INDEX(SPPR!$E:$Z,MATCH($A143,SPPR!$A:$A,0),8)),$C143*INDEX(SPPR!$E:$Z,MATCH($A143,SPPR!$A:$A,0),8),""),"")</f>
        <v/>
      </c>
      <c r="L143">
        <f>IFERROR(IF(ISNUMBER(INDEX(SPPR!$E:$Z,MATCH($A143,SPPR!$A:$A,0),9)),$C143*INDEX(SPPR!$E:$Z,MATCH($A143,SPPR!$A:$A,0),9),""),"")</f>
        <v/>
      </c>
      <c r="M143">
        <f>IFERROR(IF(ISNUMBER(INDEX(SPPR!$E:$Z,MATCH($A143,SPPR!$A:$A,0),10)),$C143*INDEX(SPPR!$E:$Z,MATCH($A143,SPPR!$A:$A,0),10),""),"")</f>
        <v/>
      </c>
      <c r="N143">
        <f>IFERROR(IF(ISNUMBER(INDEX(SPPR!$E:$Z,MATCH($A143,SPPR!$A:$A,0),11)),$C143*INDEX(SPPR!$E:$Z,MATCH($A143,SPPR!$A:$A,0),11),""),"")</f>
        <v/>
      </c>
      <c r="O143">
        <f>IFERROR(IF(ISNUMBER(INDEX(SPPR!$E:$Z,MATCH($A143,SPPR!$A:$A,0),12)),$C143*INDEX(SPPR!$E:$Z,MATCH($A143,SPPR!$A:$A,0),12),""),"")</f>
        <v/>
      </c>
      <c r="P143">
        <f>IFERROR(IF(ISNUMBER(INDEX(SPPR!$E:$Z,MATCH($A143,SPPR!$A:$A,0),13)),$C143*INDEX(SPPR!$E:$Z,MATCH($A143,SPPR!$A:$A,0),13),""),"")</f>
        <v/>
      </c>
      <c r="Q143">
        <f>IFERROR(IF(ISNUMBER(INDEX(SPPR!$E:$Z,MATCH($A143,SPPR!$A:$A,0),14)),$C143*INDEX(SPPR!$E:$Z,MATCH($A143,SPPR!$A:$A,0),14),""),"")</f>
        <v/>
      </c>
      <c r="R143">
        <f>IFERROR(IF(ISNUMBER(INDEX(SPPR!$E:$Z,MATCH($A143,SPPR!$A:$A,0),15)),$C143*INDEX(SPPR!$E:$Z,MATCH($A143,SPPR!$A:$A,0),15),""),"")</f>
        <v/>
      </c>
      <c r="S143">
        <f>IFERROR(IF(ISNUMBER(INDEX(SPPR!$E:$Z,MATCH($A143,SPPR!$A:$A,0),16)),$C143*INDEX(SPPR!$E:$Z,MATCH($A143,SPPR!$A:$A,0),16),""),"")</f>
        <v/>
      </c>
      <c r="T143">
        <f>IFERROR(IF(ISNUMBER(INDEX(SPPR!$E:$Z,MATCH($A143,SPPR!$A:$A,0),17)),$C143*INDEX(SPPR!$E:$Z,MATCH($A143,SPPR!$A:$A,0),17),""),"")</f>
        <v/>
      </c>
      <c r="U143">
        <f>IFERROR(IF(ISNUMBER(INDEX(SPPR!$E:$Z,MATCH($A143,SPPR!$A:$A,0),18)),$C143*INDEX(SPPR!$E:$Z,MATCH($A143,SPPR!$A:$A,0),18),""),"")</f>
        <v/>
      </c>
      <c r="V143">
        <f>IFERROR(IF(ISNUMBER(INDEX(SPPR!$E:$Z,MATCH($A143,SPPR!$A:$A,0),19)),$C143*INDEX(SPPR!$E:$Z,MATCH($A143,SPPR!$A:$A,0),19),""),"")</f>
        <v/>
      </c>
      <c r="W143">
        <f>IFERROR(IF(ISNUMBER(INDEX(SPPR!$E:$Z,MATCH($A143,SPPR!$A:$A,0),20)),$C143*INDEX(SPPR!$E:$Z,MATCH($A143,SPPR!$A:$A,0),20),""),"")</f>
        <v/>
      </c>
      <c r="X143">
        <f>IFERROR(IF(ISNUMBER(INDEX(SPPR!$E:$Z,MATCH($A143,SPPR!$A:$A,0),21)),$C143*INDEX(SPPR!$E:$Z,MATCH($A143,SPPR!$A:$A,0),21),""),"")</f>
        <v/>
      </c>
      <c r="Y143">
        <f>IFERROR(IF(ISNUMBER(INDEX(SPPR!$E:$Z,MATCH($A143,SPPR!$A:$A,0),22)),$C143*INDEX(SPPR!$E:$Z,MATCH($A143,SPPR!$A:$A,0),22),""),"")</f>
        <v/>
      </c>
    </row>
    <row r="144">
      <c r="A144" t="inlineStr">
        <is>
          <t>Miscellaneous aquatic invertebrates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IFERROR(IF(ISNUMBER(INDEX(SPPR!$E:$Z,MATCH($A144,SPPR!$A:$A,0),1)),$C144*INDEX(SPPR!$E:$Z,MATCH($A144,SPPR!$A:$A,0),1),""),"")</f>
        <v/>
      </c>
      <c r="E144">
        <f>IFERROR(IF(ISNUMBER(INDEX(SPPR!$E:$Z,MATCH($A144,SPPR!$A:$A,0),2)),$C144*INDEX(SPPR!$E:$Z,MATCH($A144,SPPR!$A:$A,0),2),""),"")</f>
        <v/>
      </c>
      <c r="F144">
        <f>IFERROR(IF(ISNUMBER(INDEX(SPPR!$E:$Z,MATCH($A144,SPPR!$A:$A,0),3)),$C144*INDEX(SPPR!$E:$Z,MATCH($A144,SPPR!$A:$A,0),3),""),"")</f>
        <v/>
      </c>
      <c r="G144">
        <f>IFERROR(IF(ISNUMBER(INDEX(SPPR!$E:$Z,MATCH($A144,SPPR!$A:$A,0),4)),$C144*INDEX(SPPR!$E:$Z,MATCH($A144,SPPR!$A:$A,0),4),""),"")</f>
        <v/>
      </c>
      <c r="H144">
        <f>IFERROR(IF(ISNUMBER(INDEX(SPPR!$E:$Z,MATCH($A144,SPPR!$A:$A,0),5)),$C144*INDEX(SPPR!$E:$Z,MATCH($A144,SPPR!$A:$A,0),5),""),"")</f>
        <v/>
      </c>
      <c r="I144">
        <f>IFERROR(IF(ISNUMBER(INDEX(SPPR!$E:$Z,MATCH($A144,SPPR!$A:$A,0),6)),$C144*INDEX(SPPR!$E:$Z,MATCH($A144,SPPR!$A:$A,0),6),""),"")</f>
        <v/>
      </c>
      <c r="J144">
        <f>IFERROR(IF(ISNUMBER(INDEX(SPPR!$E:$Z,MATCH($A144,SPPR!$A:$A,0),7)),$C144*INDEX(SPPR!$E:$Z,MATCH($A144,SPPR!$A:$A,0),7),""),"")</f>
        <v/>
      </c>
      <c r="K144">
        <f>IFERROR(IF(ISNUMBER(INDEX(SPPR!$E:$Z,MATCH($A144,SPPR!$A:$A,0),8)),$C144*INDEX(SPPR!$E:$Z,MATCH($A144,SPPR!$A:$A,0),8),""),"")</f>
        <v/>
      </c>
      <c r="L144">
        <f>IFERROR(IF(ISNUMBER(INDEX(SPPR!$E:$Z,MATCH($A144,SPPR!$A:$A,0),9)),$C144*INDEX(SPPR!$E:$Z,MATCH($A144,SPPR!$A:$A,0),9),""),"")</f>
        <v/>
      </c>
      <c r="M144">
        <f>IFERROR(IF(ISNUMBER(INDEX(SPPR!$E:$Z,MATCH($A144,SPPR!$A:$A,0),10)),$C144*INDEX(SPPR!$E:$Z,MATCH($A144,SPPR!$A:$A,0),10),""),"")</f>
        <v/>
      </c>
      <c r="N144">
        <f>IFERROR(IF(ISNUMBER(INDEX(SPPR!$E:$Z,MATCH($A144,SPPR!$A:$A,0),11)),$C144*INDEX(SPPR!$E:$Z,MATCH($A144,SPPR!$A:$A,0),11),""),"")</f>
        <v/>
      </c>
      <c r="O144">
        <f>IFERROR(IF(ISNUMBER(INDEX(SPPR!$E:$Z,MATCH($A144,SPPR!$A:$A,0),12)),$C144*INDEX(SPPR!$E:$Z,MATCH($A144,SPPR!$A:$A,0),12),""),"")</f>
        <v/>
      </c>
      <c r="P144">
        <f>IFERROR(IF(ISNUMBER(INDEX(SPPR!$E:$Z,MATCH($A144,SPPR!$A:$A,0),13)),$C144*INDEX(SPPR!$E:$Z,MATCH($A144,SPPR!$A:$A,0),13),""),"")</f>
        <v/>
      </c>
      <c r="Q144">
        <f>IFERROR(IF(ISNUMBER(INDEX(SPPR!$E:$Z,MATCH($A144,SPPR!$A:$A,0),14)),$C144*INDEX(SPPR!$E:$Z,MATCH($A144,SPPR!$A:$A,0),14),""),"")</f>
        <v/>
      </c>
      <c r="R144">
        <f>IFERROR(IF(ISNUMBER(INDEX(SPPR!$E:$Z,MATCH($A144,SPPR!$A:$A,0),15)),$C144*INDEX(SPPR!$E:$Z,MATCH($A144,SPPR!$A:$A,0),15),""),"")</f>
        <v/>
      </c>
      <c r="S144">
        <f>IFERROR(IF(ISNUMBER(INDEX(SPPR!$E:$Z,MATCH($A144,SPPR!$A:$A,0),16)),$C144*INDEX(SPPR!$E:$Z,MATCH($A144,SPPR!$A:$A,0),16),""),"")</f>
        <v/>
      </c>
      <c r="T144">
        <f>IFERROR(IF(ISNUMBER(INDEX(SPPR!$E:$Z,MATCH($A144,SPPR!$A:$A,0),17)),$C144*INDEX(SPPR!$E:$Z,MATCH($A144,SPPR!$A:$A,0),17),""),"")</f>
        <v/>
      </c>
      <c r="U144">
        <f>IFERROR(IF(ISNUMBER(INDEX(SPPR!$E:$Z,MATCH($A144,SPPR!$A:$A,0),18)),$C144*INDEX(SPPR!$E:$Z,MATCH($A144,SPPR!$A:$A,0),18),""),"")</f>
        <v/>
      </c>
      <c r="V144">
        <f>IFERROR(IF(ISNUMBER(INDEX(SPPR!$E:$Z,MATCH($A144,SPPR!$A:$A,0),19)),$C144*INDEX(SPPR!$E:$Z,MATCH($A144,SPPR!$A:$A,0),19),""),"")</f>
        <v/>
      </c>
      <c r="W144">
        <f>IFERROR(IF(ISNUMBER(INDEX(SPPR!$E:$Z,MATCH($A144,SPPR!$A:$A,0),20)),$C144*INDEX(SPPR!$E:$Z,MATCH($A144,SPPR!$A:$A,0),20),""),"")</f>
        <v/>
      </c>
      <c r="X144">
        <f>IFERROR(IF(ISNUMBER(INDEX(SPPR!$E:$Z,MATCH($A144,SPPR!$A:$A,0),21)),$C144*INDEX(SPPR!$E:$Z,MATCH($A144,SPPR!$A:$A,0),21),""),"")</f>
        <v/>
      </c>
      <c r="Y144">
        <f>IFERROR(IF(ISNUMBER(INDEX(SPPR!$E:$Z,MATCH($A144,SPPR!$A:$A,0),22)),$C144*INDEX(SPPR!$E:$Z,MATCH($A144,SPPR!$A:$A,0),22),""),"")</f>
        <v/>
      </c>
    </row>
    <row r="145">
      <c r="A145" t="inlineStr">
        <is>
          <t>Scomber australasicus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IFERROR(IF(ISNUMBER(INDEX(SPPR!$E:$Z,MATCH($A145,SPPR!$A:$A,0),1)),$C145*INDEX(SPPR!$E:$Z,MATCH($A145,SPPR!$A:$A,0),1),""),"")</f>
        <v/>
      </c>
      <c r="E145">
        <f>IFERROR(IF(ISNUMBER(INDEX(SPPR!$E:$Z,MATCH($A145,SPPR!$A:$A,0),2)),$C145*INDEX(SPPR!$E:$Z,MATCH($A145,SPPR!$A:$A,0),2),""),"")</f>
        <v/>
      </c>
      <c r="F145">
        <f>IFERROR(IF(ISNUMBER(INDEX(SPPR!$E:$Z,MATCH($A145,SPPR!$A:$A,0),3)),$C145*INDEX(SPPR!$E:$Z,MATCH($A145,SPPR!$A:$A,0),3),""),"")</f>
        <v/>
      </c>
      <c r="G145">
        <f>IFERROR(IF(ISNUMBER(INDEX(SPPR!$E:$Z,MATCH($A145,SPPR!$A:$A,0),4)),$C145*INDEX(SPPR!$E:$Z,MATCH($A145,SPPR!$A:$A,0),4),""),"")</f>
        <v/>
      </c>
      <c r="H145">
        <f>IFERROR(IF(ISNUMBER(INDEX(SPPR!$E:$Z,MATCH($A145,SPPR!$A:$A,0),5)),$C145*INDEX(SPPR!$E:$Z,MATCH($A145,SPPR!$A:$A,0),5),""),"")</f>
        <v/>
      </c>
      <c r="I145">
        <f>IFERROR(IF(ISNUMBER(INDEX(SPPR!$E:$Z,MATCH($A145,SPPR!$A:$A,0),6)),$C145*INDEX(SPPR!$E:$Z,MATCH($A145,SPPR!$A:$A,0),6),""),"")</f>
        <v/>
      </c>
      <c r="J145">
        <f>IFERROR(IF(ISNUMBER(INDEX(SPPR!$E:$Z,MATCH($A145,SPPR!$A:$A,0),7)),$C145*INDEX(SPPR!$E:$Z,MATCH($A145,SPPR!$A:$A,0),7),""),"")</f>
        <v/>
      </c>
      <c r="K145">
        <f>IFERROR(IF(ISNUMBER(INDEX(SPPR!$E:$Z,MATCH($A145,SPPR!$A:$A,0),8)),$C145*INDEX(SPPR!$E:$Z,MATCH($A145,SPPR!$A:$A,0),8),""),"")</f>
        <v/>
      </c>
      <c r="L145">
        <f>IFERROR(IF(ISNUMBER(INDEX(SPPR!$E:$Z,MATCH($A145,SPPR!$A:$A,0),9)),$C145*INDEX(SPPR!$E:$Z,MATCH($A145,SPPR!$A:$A,0),9),""),"")</f>
        <v/>
      </c>
      <c r="M145">
        <f>IFERROR(IF(ISNUMBER(INDEX(SPPR!$E:$Z,MATCH($A145,SPPR!$A:$A,0),10)),$C145*INDEX(SPPR!$E:$Z,MATCH($A145,SPPR!$A:$A,0),10),""),"")</f>
        <v/>
      </c>
      <c r="N145">
        <f>IFERROR(IF(ISNUMBER(INDEX(SPPR!$E:$Z,MATCH($A145,SPPR!$A:$A,0),11)),$C145*INDEX(SPPR!$E:$Z,MATCH($A145,SPPR!$A:$A,0),11),""),"")</f>
        <v/>
      </c>
      <c r="O145">
        <f>IFERROR(IF(ISNUMBER(INDEX(SPPR!$E:$Z,MATCH($A145,SPPR!$A:$A,0),12)),$C145*INDEX(SPPR!$E:$Z,MATCH($A145,SPPR!$A:$A,0),12),""),"")</f>
        <v/>
      </c>
      <c r="P145">
        <f>IFERROR(IF(ISNUMBER(INDEX(SPPR!$E:$Z,MATCH($A145,SPPR!$A:$A,0),13)),$C145*INDEX(SPPR!$E:$Z,MATCH($A145,SPPR!$A:$A,0),13),""),"")</f>
        <v/>
      </c>
      <c r="Q145">
        <f>IFERROR(IF(ISNUMBER(INDEX(SPPR!$E:$Z,MATCH($A145,SPPR!$A:$A,0),14)),$C145*INDEX(SPPR!$E:$Z,MATCH($A145,SPPR!$A:$A,0),14),""),"")</f>
        <v/>
      </c>
      <c r="R145">
        <f>IFERROR(IF(ISNUMBER(INDEX(SPPR!$E:$Z,MATCH($A145,SPPR!$A:$A,0),15)),$C145*INDEX(SPPR!$E:$Z,MATCH($A145,SPPR!$A:$A,0),15),""),"")</f>
        <v/>
      </c>
      <c r="S145">
        <f>IFERROR(IF(ISNUMBER(INDEX(SPPR!$E:$Z,MATCH($A145,SPPR!$A:$A,0),16)),$C145*INDEX(SPPR!$E:$Z,MATCH($A145,SPPR!$A:$A,0),16),""),"")</f>
        <v/>
      </c>
      <c r="T145">
        <f>IFERROR(IF(ISNUMBER(INDEX(SPPR!$E:$Z,MATCH($A145,SPPR!$A:$A,0),17)),$C145*INDEX(SPPR!$E:$Z,MATCH($A145,SPPR!$A:$A,0),17),""),"")</f>
        <v/>
      </c>
      <c r="U145">
        <f>IFERROR(IF(ISNUMBER(INDEX(SPPR!$E:$Z,MATCH($A145,SPPR!$A:$A,0),18)),$C145*INDEX(SPPR!$E:$Z,MATCH($A145,SPPR!$A:$A,0),18),""),"")</f>
        <v/>
      </c>
      <c r="V145">
        <f>IFERROR(IF(ISNUMBER(INDEX(SPPR!$E:$Z,MATCH($A145,SPPR!$A:$A,0),19)),$C145*INDEX(SPPR!$E:$Z,MATCH($A145,SPPR!$A:$A,0),19),""),"")</f>
        <v/>
      </c>
      <c r="W145">
        <f>IFERROR(IF(ISNUMBER(INDEX(SPPR!$E:$Z,MATCH($A145,SPPR!$A:$A,0),20)),$C145*INDEX(SPPR!$E:$Z,MATCH($A145,SPPR!$A:$A,0),20),""),"")</f>
        <v/>
      </c>
      <c r="X145">
        <f>IFERROR(IF(ISNUMBER(INDEX(SPPR!$E:$Z,MATCH($A145,SPPR!$A:$A,0),21)),$C145*INDEX(SPPR!$E:$Z,MATCH($A145,SPPR!$A:$A,0),21),""),"")</f>
        <v/>
      </c>
      <c r="Y145">
        <f>IFERROR(IF(ISNUMBER(INDEX(SPPR!$E:$Z,MATCH($A145,SPPR!$A:$A,0),22)),$C145*INDEX(SPPR!$E:$Z,MATCH($A145,SPPR!$A:$A,0),22),""),"")</f>
        <v/>
      </c>
    </row>
    <row r="146">
      <c r="A146" t="inlineStr">
        <is>
          <t>Sepia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IFERROR(IF(ISNUMBER(INDEX(SPPR!$E:$Z,MATCH($A146,SPPR!$A:$A,0),1)),$C146*INDEX(SPPR!$E:$Z,MATCH($A146,SPPR!$A:$A,0),1),""),"")</f>
        <v/>
      </c>
      <c r="E146">
        <f>IFERROR(IF(ISNUMBER(INDEX(SPPR!$E:$Z,MATCH($A146,SPPR!$A:$A,0),2)),$C146*INDEX(SPPR!$E:$Z,MATCH($A146,SPPR!$A:$A,0),2),""),"")</f>
        <v/>
      </c>
      <c r="F146">
        <f>IFERROR(IF(ISNUMBER(INDEX(SPPR!$E:$Z,MATCH($A146,SPPR!$A:$A,0),3)),$C146*INDEX(SPPR!$E:$Z,MATCH($A146,SPPR!$A:$A,0),3),""),"")</f>
        <v/>
      </c>
      <c r="G146">
        <f>IFERROR(IF(ISNUMBER(INDEX(SPPR!$E:$Z,MATCH($A146,SPPR!$A:$A,0),4)),$C146*INDEX(SPPR!$E:$Z,MATCH($A146,SPPR!$A:$A,0),4),""),"")</f>
        <v/>
      </c>
      <c r="H146">
        <f>IFERROR(IF(ISNUMBER(INDEX(SPPR!$E:$Z,MATCH($A146,SPPR!$A:$A,0),5)),$C146*INDEX(SPPR!$E:$Z,MATCH($A146,SPPR!$A:$A,0),5),""),"")</f>
        <v/>
      </c>
      <c r="I146">
        <f>IFERROR(IF(ISNUMBER(INDEX(SPPR!$E:$Z,MATCH($A146,SPPR!$A:$A,0),6)),$C146*INDEX(SPPR!$E:$Z,MATCH($A146,SPPR!$A:$A,0),6),""),"")</f>
        <v/>
      </c>
      <c r="J146">
        <f>IFERROR(IF(ISNUMBER(INDEX(SPPR!$E:$Z,MATCH($A146,SPPR!$A:$A,0),7)),$C146*INDEX(SPPR!$E:$Z,MATCH($A146,SPPR!$A:$A,0),7),""),"")</f>
        <v/>
      </c>
      <c r="K146">
        <f>IFERROR(IF(ISNUMBER(INDEX(SPPR!$E:$Z,MATCH($A146,SPPR!$A:$A,0),8)),$C146*INDEX(SPPR!$E:$Z,MATCH($A146,SPPR!$A:$A,0),8),""),"")</f>
        <v/>
      </c>
      <c r="L146">
        <f>IFERROR(IF(ISNUMBER(INDEX(SPPR!$E:$Z,MATCH($A146,SPPR!$A:$A,0),9)),$C146*INDEX(SPPR!$E:$Z,MATCH($A146,SPPR!$A:$A,0),9),""),"")</f>
        <v/>
      </c>
      <c r="M146">
        <f>IFERROR(IF(ISNUMBER(INDEX(SPPR!$E:$Z,MATCH($A146,SPPR!$A:$A,0),10)),$C146*INDEX(SPPR!$E:$Z,MATCH($A146,SPPR!$A:$A,0),10),""),"")</f>
        <v/>
      </c>
      <c r="N146">
        <f>IFERROR(IF(ISNUMBER(INDEX(SPPR!$E:$Z,MATCH($A146,SPPR!$A:$A,0),11)),$C146*INDEX(SPPR!$E:$Z,MATCH($A146,SPPR!$A:$A,0),11),""),"")</f>
        <v/>
      </c>
      <c r="O146">
        <f>IFERROR(IF(ISNUMBER(INDEX(SPPR!$E:$Z,MATCH($A146,SPPR!$A:$A,0),12)),$C146*INDEX(SPPR!$E:$Z,MATCH($A146,SPPR!$A:$A,0),12),""),"")</f>
        <v/>
      </c>
      <c r="P146">
        <f>IFERROR(IF(ISNUMBER(INDEX(SPPR!$E:$Z,MATCH($A146,SPPR!$A:$A,0),13)),$C146*INDEX(SPPR!$E:$Z,MATCH($A146,SPPR!$A:$A,0),13),""),"")</f>
        <v/>
      </c>
      <c r="Q146">
        <f>IFERROR(IF(ISNUMBER(INDEX(SPPR!$E:$Z,MATCH($A146,SPPR!$A:$A,0),14)),$C146*INDEX(SPPR!$E:$Z,MATCH($A146,SPPR!$A:$A,0),14),""),"")</f>
        <v/>
      </c>
      <c r="R146">
        <f>IFERROR(IF(ISNUMBER(INDEX(SPPR!$E:$Z,MATCH($A146,SPPR!$A:$A,0),15)),$C146*INDEX(SPPR!$E:$Z,MATCH($A146,SPPR!$A:$A,0),15),""),"")</f>
        <v/>
      </c>
      <c r="S146">
        <f>IFERROR(IF(ISNUMBER(INDEX(SPPR!$E:$Z,MATCH($A146,SPPR!$A:$A,0),16)),$C146*INDEX(SPPR!$E:$Z,MATCH($A146,SPPR!$A:$A,0),16),""),"")</f>
        <v/>
      </c>
      <c r="T146">
        <f>IFERROR(IF(ISNUMBER(INDEX(SPPR!$E:$Z,MATCH($A146,SPPR!$A:$A,0),17)),$C146*INDEX(SPPR!$E:$Z,MATCH($A146,SPPR!$A:$A,0),17),""),"")</f>
        <v/>
      </c>
      <c r="U146">
        <f>IFERROR(IF(ISNUMBER(INDEX(SPPR!$E:$Z,MATCH($A146,SPPR!$A:$A,0),18)),$C146*INDEX(SPPR!$E:$Z,MATCH($A146,SPPR!$A:$A,0),18),""),"")</f>
        <v/>
      </c>
      <c r="V146">
        <f>IFERROR(IF(ISNUMBER(INDEX(SPPR!$E:$Z,MATCH($A146,SPPR!$A:$A,0),19)),$C146*INDEX(SPPR!$E:$Z,MATCH($A146,SPPR!$A:$A,0),19),""),"")</f>
        <v/>
      </c>
      <c r="W146">
        <f>IFERROR(IF(ISNUMBER(INDEX(SPPR!$E:$Z,MATCH($A146,SPPR!$A:$A,0),20)),$C146*INDEX(SPPR!$E:$Z,MATCH($A146,SPPR!$A:$A,0),20),""),"")</f>
        <v/>
      </c>
      <c r="X146">
        <f>IFERROR(IF(ISNUMBER(INDEX(SPPR!$E:$Z,MATCH($A146,SPPR!$A:$A,0),21)),$C146*INDEX(SPPR!$E:$Z,MATCH($A146,SPPR!$A:$A,0),21),""),"")</f>
        <v/>
      </c>
      <c r="Y146">
        <f>IFERROR(IF(ISNUMBER(INDEX(SPPR!$E:$Z,MATCH($A146,SPPR!$A:$A,0),22)),$C146*INDEX(SPPR!$E:$Z,MATCH($A146,SPPR!$A:$A,0),22),""),"")</f>
        <v/>
      </c>
    </row>
    <row r="147">
      <c r="A147" t="inlineStr">
        <is>
          <t>Epinephelus coioides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IFERROR(IF(ISNUMBER(INDEX(SPPR!$E:$Z,MATCH($A147,SPPR!$A:$A,0),1)),$C147*INDEX(SPPR!$E:$Z,MATCH($A147,SPPR!$A:$A,0),1),""),"")</f>
        <v/>
      </c>
      <c r="E147">
        <f>IFERROR(IF(ISNUMBER(INDEX(SPPR!$E:$Z,MATCH($A147,SPPR!$A:$A,0),2)),$C147*INDEX(SPPR!$E:$Z,MATCH($A147,SPPR!$A:$A,0),2),""),"")</f>
        <v/>
      </c>
      <c r="F147">
        <f>IFERROR(IF(ISNUMBER(INDEX(SPPR!$E:$Z,MATCH($A147,SPPR!$A:$A,0),3)),$C147*INDEX(SPPR!$E:$Z,MATCH($A147,SPPR!$A:$A,0),3),""),"")</f>
        <v/>
      </c>
      <c r="G147">
        <f>IFERROR(IF(ISNUMBER(INDEX(SPPR!$E:$Z,MATCH($A147,SPPR!$A:$A,0),4)),$C147*INDEX(SPPR!$E:$Z,MATCH($A147,SPPR!$A:$A,0),4),""),"")</f>
        <v/>
      </c>
      <c r="H147">
        <f>IFERROR(IF(ISNUMBER(INDEX(SPPR!$E:$Z,MATCH($A147,SPPR!$A:$A,0),5)),$C147*INDEX(SPPR!$E:$Z,MATCH($A147,SPPR!$A:$A,0),5),""),"")</f>
        <v/>
      </c>
      <c r="I147">
        <f>IFERROR(IF(ISNUMBER(INDEX(SPPR!$E:$Z,MATCH($A147,SPPR!$A:$A,0),6)),$C147*INDEX(SPPR!$E:$Z,MATCH($A147,SPPR!$A:$A,0),6),""),"")</f>
        <v/>
      </c>
      <c r="J147">
        <f>IFERROR(IF(ISNUMBER(INDEX(SPPR!$E:$Z,MATCH($A147,SPPR!$A:$A,0),7)),$C147*INDEX(SPPR!$E:$Z,MATCH($A147,SPPR!$A:$A,0),7),""),"")</f>
        <v/>
      </c>
      <c r="K147">
        <f>IFERROR(IF(ISNUMBER(INDEX(SPPR!$E:$Z,MATCH($A147,SPPR!$A:$A,0),8)),$C147*INDEX(SPPR!$E:$Z,MATCH($A147,SPPR!$A:$A,0),8),""),"")</f>
        <v/>
      </c>
      <c r="L147">
        <f>IFERROR(IF(ISNUMBER(INDEX(SPPR!$E:$Z,MATCH($A147,SPPR!$A:$A,0),9)),$C147*INDEX(SPPR!$E:$Z,MATCH($A147,SPPR!$A:$A,0),9),""),"")</f>
        <v/>
      </c>
      <c r="M147">
        <f>IFERROR(IF(ISNUMBER(INDEX(SPPR!$E:$Z,MATCH($A147,SPPR!$A:$A,0),10)),$C147*INDEX(SPPR!$E:$Z,MATCH($A147,SPPR!$A:$A,0),10),""),"")</f>
        <v/>
      </c>
      <c r="N147">
        <f>IFERROR(IF(ISNUMBER(INDEX(SPPR!$E:$Z,MATCH($A147,SPPR!$A:$A,0),11)),$C147*INDEX(SPPR!$E:$Z,MATCH($A147,SPPR!$A:$A,0),11),""),"")</f>
        <v/>
      </c>
      <c r="O147">
        <f>IFERROR(IF(ISNUMBER(INDEX(SPPR!$E:$Z,MATCH($A147,SPPR!$A:$A,0),12)),$C147*INDEX(SPPR!$E:$Z,MATCH($A147,SPPR!$A:$A,0),12),""),"")</f>
        <v/>
      </c>
      <c r="P147">
        <f>IFERROR(IF(ISNUMBER(INDEX(SPPR!$E:$Z,MATCH($A147,SPPR!$A:$A,0),13)),$C147*INDEX(SPPR!$E:$Z,MATCH($A147,SPPR!$A:$A,0),13),""),"")</f>
        <v/>
      </c>
      <c r="Q147">
        <f>IFERROR(IF(ISNUMBER(INDEX(SPPR!$E:$Z,MATCH($A147,SPPR!$A:$A,0),14)),$C147*INDEX(SPPR!$E:$Z,MATCH($A147,SPPR!$A:$A,0),14),""),"")</f>
        <v/>
      </c>
      <c r="R147">
        <f>IFERROR(IF(ISNUMBER(INDEX(SPPR!$E:$Z,MATCH($A147,SPPR!$A:$A,0),15)),$C147*INDEX(SPPR!$E:$Z,MATCH($A147,SPPR!$A:$A,0),15),""),"")</f>
        <v/>
      </c>
      <c r="S147">
        <f>IFERROR(IF(ISNUMBER(INDEX(SPPR!$E:$Z,MATCH($A147,SPPR!$A:$A,0),16)),$C147*INDEX(SPPR!$E:$Z,MATCH($A147,SPPR!$A:$A,0),16),""),"")</f>
        <v/>
      </c>
      <c r="T147">
        <f>IFERROR(IF(ISNUMBER(INDEX(SPPR!$E:$Z,MATCH($A147,SPPR!$A:$A,0),17)),$C147*INDEX(SPPR!$E:$Z,MATCH($A147,SPPR!$A:$A,0),17),""),"")</f>
        <v/>
      </c>
      <c r="U147">
        <f>IFERROR(IF(ISNUMBER(INDEX(SPPR!$E:$Z,MATCH($A147,SPPR!$A:$A,0),18)),$C147*INDEX(SPPR!$E:$Z,MATCH($A147,SPPR!$A:$A,0),18),""),"")</f>
        <v/>
      </c>
      <c r="V147">
        <f>IFERROR(IF(ISNUMBER(INDEX(SPPR!$E:$Z,MATCH($A147,SPPR!$A:$A,0),19)),$C147*INDEX(SPPR!$E:$Z,MATCH($A147,SPPR!$A:$A,0),19),""),"")</f>
        <v/>
      </c>
      <c r="W147">
        <f>IFERROR(IF(ISNUMBER(INDEX(SPPR!$E:$Z,MATCH($A147,SPPR!$A:$A,0),20)),$C147*INDEX(SPPR!$E:$Z,MATCH($A147,SPPR!$A:$A,0),20),""),"")</f>
        <v/>
      </c>
      <c r="X147">
        <f>IFERROR(IF(ISNUMBER(INDEX(SPPR!$E:$Z,MATCH($A147,SPPR!$A:$A,0),21)),$C147*INDEX(SPPR!$E:$Z,MATCH($A147,SPPR!$A:$A,0),21),""),"")</f>
        <v/>
      </c>
      <c r="Y147">
        <f>IFERROR(IF(ISNUMBER(INDEX(SPPR!$E:$Z,MATCH($A147,SPPR!$A:$A,0),22)),$C147*INDEX(SPPR!$E:$Z,MATCH($A147,SPPR!$A:$A,0),22),""),"")</f>
        <v/>
      </c>
    </row>
    <row r="148">
      <c r="A148" t="inlineStr">
        <is>
          <t>Larimichthys polyactis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IFERROR(IF(ISNUMBER(INDEX(SPPR!$E:$Z,MATCH($A148,SPPR!$A:$A,0),1)),$C148*INDEX(SPPR!$E:$Z,MATCH($A148,SPPR!$A:$A,0),1),""),"")</f>
        <v/>
      </c>
      <c r="E148">
        <f>IFERROR(IF(ISNUMBER(INDEX(SPPR!$E:$Z,MATCH($A148,SPPR!$A:$A,0),2)),$C148*INDEX(SPPR!$E:$Z,MATCH($A148,SPPR!$A:$A,0),2),""),"")</f>
        <v/>
      </c>
      <c r="F148">
        <f>IFERROR(IF(ISNUMBER(INDEX(SPPR!$E:$Z,MATCH($A148,SPPR!$A:$A,0),3)),$C148*INDEX(SPPR!$E:$Z,MATCH($A148,SPPR!$A:$A,0),3),""),"")</f>
        <v/>
      </c>
      <c r="G148">
        <f>IFERROR(IF(ISNUMBER(INDEX(SPPR!$E:$Z,MATCH($A148,SPPR!$A:$A,0),4)),$C148*INDEX(SPPR!$E:$Z,MATCH($A148,SPPR!$A:$A,0),4),""),"")</f>
        <v/>
      </c>
      <c r="H148">
        <f>IFERROR(IF(ISNUMBER(INDEX(SPPR!$E:$Z,MATCH($A148,SPPR!$A:$A,0),5)),$C148*INDEX(SPPR!$E:$Z,MATCH($A148,SPPR!$A:$A,0),5),""),"")</f>
        <v/>
      </c>
      <c r="I148">
        <f>IFERROR(IF(ISNUMBER(INDEX(SPPR!$E:$Z,MATCH($A148,SPPR!$A:$A,0),6)),$C148*INDEX(SPPR!$E:$Z,MATCH($A148,SPPR!$A:$A,0),6),""),"")</f>
        <v/>
      </c>
      <c r="J148">
        <f>IFERROR(IF(ISNUMBER(INDEX(SPPR!$E:$Z,MATCH($A148,SPPR!$A:$A,0),7)),$C148*INDEX(SPPR!$E:$Z,MATCH($A148,SPPR!$A:$A,0),7),""),"")</f>
        <v/>
      </c>
      <c r="K148">
        <f>IFERROR(IF(ISNUMBER(INDEX(SPPR!$E:$Z,MATCH($A148,SPPR!$A:$A,0),8)),$C148*INDEX(SPPR!$E:$Z,MATCH($A148,SPPR!$A:$A,0),8),""),"")</f>
        <v/>
      </c>
      <c r="L148">
        <f>IFERROR(IF(ISNUMBER(INDEX(SPPR!$E:$Z,MATCH($A148,SPPR!$A:$A,0),9)),$C148*INDEX(SPPR!$E:$Z,MATCH($A148,SPPR!$A:$A,0),9),""),"")</f>
        <v/>
      </c>
      <c r="M148">
        <f>IFERROR(IF(ISNUMBER(INDEX(SPPR!$E:$Z,MATCH($A148,SPPR!$A:$A,0),10)),$C148*INDEX(SPPR!$E:$Z,MATCH($A148,SPPR!$A:$A,0),10),""),"")</f>
        <v/>
      </c>
      <c r="N148">
        <f>IFERROR(IF(ISNUMBER(INDEX(SPPR!$E:$Z,MATCH($A148,SPPR!$A:$A,0),11)),$C148*INDEX(SPPR!$E:$Z,MATCH($A148,SPPR!$A:$A,0),11),""),"")</f>
        <v/>
      </c>
      <c r="O148">
        <f>IFERROR(IF(ISNUMBER(INDEX(SPPR!$E:$Z,MATCH($A148,SPPR!$A:$A,0),12)),$C148*INDEX(SPPR!$E:$Z,MATCH($A148,SPPR!$A:$A,0),12),""),"")</f>
        <v/>
      </c>
      <c r="P148">
        <f>IFERROR(IF(ISNUMBER(INDEX(SPPR!$E:$Z,MATCH($A148,SPPR!$A:$A,0),13)),$C148*INDEX(SPPR!$E:$Z,MATCH($A148,SPPR!$A:$A,0),13),""),"")</f>
        <v/>
      </c>
      <c r="Q148">
        <f>IFERROR(IF(ISNUMBER(INDEX(SPPR!$E:$Z,MATCH($A148,SPPR!$A:$A,0),14)),$C148*INDEX(SPPR!$E:$Z,MATCH($A148,SPPR!$A:$A,0),14),""),"")</f>
        <v/>
      </c>
      <c r="R148">
        <f>IFERROR(IF(ISNUMBER(INDEX(SPPR!$E:$Z,MATCH($A148,SPPR!$A:$A,0),15)),$C148*INDEX(SPPR!$E:$Z,MATCH($A148,SPPR!$A:$A,0),15),""),"")</f>
        <v/>
      </c>
      <c r="S148">
        <f>IFERROR(IF(ISNUMBER(INDEX(SPPR!$E:$Z,MATCH($A148,SPPR!$A:$A,0),16)),$C148*INDEX(SPPR!$E:$Z,MATCH($A148,SPPR!$A:$A,0),16),""),"")</f>
        <v/>
      </c>
      <c r="T148">
        <f>IFERROR(IF(ISNUMBER(INDEX(SPPR!$E:$Z,MATCH($A148,SPPR!$A:$A,0),17)),$C148*INDEX(SPPR!$E:$Z,MATCH($A148,SPPR!$A:$A,0),17),""),"")</f>
        <v/>
      </c>
      <c r="U148">
        <f>IFERROR(IF(ISNUMBER(INDEX(SPPR!$E:$Z,MATCH($A148,SPPR!$A:$A,0),18)),$C148*INDEX(SPPR!$E:$Z,MATCH($A148,SPPR!$A:$A,0),18),""),"")</f>
        <v/>
      </c>
      <c r="V148">
        <f>IFERROR(IF(ISNUMBER(INDEX(SPPR!$E:$Z,MATCH($A148,SPPR!$A:$A,0),19)),$C148*INDEX(SPPR!$E:$Z,MATCH($A148,SPPR!$A:$A,0),19),""),"")</f>
        <v/>
      </c>
      <c r="W148">
        <f>IFERROR(IF(ISNUMBER(INDEX(SPPR!$E:$Z,MATCH($A148,SPPR!$A:$A,0),20)),$C148*INDEX(SPPR!$E:$Z,MATCH($A148,SPPR!$A:$A,0),20),""),"")</f>
        <v/>
      </c>
      <c r="X148">
        <f>IFERROR(IF(ISNUMBER(INDEX(SPPR!$E:$Z,MATCH($A148,SPPR!$A:$A,0),21)),$C148*INDEX(SPPR!$E:$Z,MATCH($A148,SPPR!$A:$A,0),21),""),"")</f>
        <v/>
      </c>
      <c r="Y148">
        <f>IFERROR(IF(ISNUMBER(INDEX(SPPR!$E:$Z,MATCH($A148,SPPR!$A:$A,0),22)),$C148*INDEX(SPPR!$E:$Z,MATCH($A148,SPPR!$A:$A,0),22),""),"")</f>
        <v/>
      </c>
    </row>
    <row r="149">
      <c r="A149" t="inlineStr">
        <is>
          <t>Tetraodontidae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IFERROR(IF(ISNUMBER(INDEX(SPPR!$E:$Z,MATCH($A149,SPPR!$A:$A,0),1)),$C149*INDEX(SPPR!$E:$Z,MATCH($A149,SPPR!$A:$A,0),1),""),"")</f>
        <v/>
      </c>
      <c r="E149">
        <f>IFERROR(IF(ISNUMBER(INDEX(SPPR!$E:$Z,MATCH($A149,SPPR!$A:$A,0),2)),$C149*INDEX(SPPR!$E:$Z,MATCH($A149,SPPR!$A:$A,0),2),""),"")</f>
        <v/>
      </c>
      <c r="F149">
        <f>IFERROR(IF(ISNUMBER(INDEX(SPPR!$E:$Z,MATCH($A149,SPPR!$A:$A,0),3)),$C149*INDEX(SPPR!$E:$Z,MATCH($A149,SPPR!$A:$A,0),3),""),"")</f>
        <v/>
      </c>
      <c r="G149">
        <f>IFERROR(IF(ISNUMBER(INDEX(SPPR!$E:$Z,MATCH($A149,SPPR!$A:$A,0),4)),$C149*INDEX(SPPR!$E:$Z,MATCH($A149,SPPR!$A:$A,0),4),""),"")</f>
        <v/>
      </c>
      <c r="H149">
        <f>IFERROR(IF(ISNUMBER(INDEX(SPPR!$E:$Z,MATCH($A149,SPPR!$A:$A,0),5)),$C149*INDEX(SPPR!$E:$Z,MATCH($A149,SPPR!$A:$A,0),5),""),"")</f>
        <v/>
      </c>
      <c r="I149">
        <f>IFERROR(IF(ISNUMBER(INDEX(SPPR!$E:$Z,MATCH($A149,SPPR!$A:$A,0),6)),$C149*INDEX(SPPR!$E:$Z,MATCH($A149,SPPR!$A:$A,0),6),""),"")</f>
        <v/>
      </c>
      <c r="J149">
        <f>IFERROR(IF(ISNUMBER(INDEX(SPPR!$E:$Z,MATCH($A149,SPPR!$A:$A,0),7)),$C149*INDEX(SPPR!$E:$Z,MATCH($A149,SPPR!$A:$A,0),7),""),"")</f>
        <v/>
      </c>
      <c r="K149">
        <f>IFERROR(IF(ISNUMBER(INDEX(SPPR!$E:$Z,MATCH($A149,SPPR!$A:$A,0),8)),$C149*INDEX(SPPR!$E:$Z,MATCH($A149,SPPR!$A:$A,0),8),""),"")</f>
        <v/>
      </c>
      <c r="L149">
        <f>IFERROR(IF(ISNUMBER(INDEX(SPPR!$E:$Z,MATCH($A149,SPPR!$A:$A,0),9)),$C149*INDEX(SPPR!$E:$Z,MATCH($A149,SPPR!$A:$A,0),9),""),"")</f>
        <v/>
      </c>
      <c r="M149">
        <f>IFERROR(IF(ISNUMBER(INDEX(SPPR!$E:$Z,MATCH($A149,SPPR!$A:$A,0),10)),$C149*INDEX(SPPR!$E:$Z,MATCH($A149,SPPR!$A:$A,0),10),""),"")</f>
        <v/>
      </c>
      <c r="N149">
        <f>IFERROR(IF(ISNUMBER(INDEX(SPPR!$E:$Z,MATCH($A149,SPPR!$A:$A,0),11)),$C149*INDEX(SPPR!$E:$Z,MATCH($A149,SPPR!$A:$A,0),11),""),"")</f>
        <v/>
      </c>
      <c r="O149">
        <f>IFERROR(IF(ISNUMBER(INDEX(SPPR!$E:$Z,MATCH($A149,SPPR!$A:$A,0),12)),$C149*INDEX(SPPR!$E:$Z,MATCH($A149,SPPR!$A:$A,0),12),""),"")</f>
        <v/>
      </c>
      <c r="P149">
        <f>IFERROR(IF(ISNUMBER(INDEX(SPPR!$E:$Z,MATCH($A149,SPPR!$A:$A,0),13)),$C149*INDEX(SPPR!$E:$Z,MATCH($A149,SPPR!$A:$A,0),13),""),"")</f>
        <v/>
      </c>
      <c r="Q149">
        <f>IFERROR(IF(ISNUMBER(INDEX(SPPR!$E:$Z,MATCH($A149,SPPR!$A:$A,0),14)),$C149*INDEX(SPPR!$E:$Z,MATCH($A149,SPPR!$A:$A,0),14),""),"")</f>
        <v/>
      </c>
      <c r="R149">
        <f>IFERROR(IF(ISNUMBER(INDEX(SPPR!$E:$Z,MATCH($A149,SPPR!$A:$A,0),15)),$C149*INDEX(SPPR!$E:$Z,MATCH($A149,SPPR!$A:$A,0),15),""),"")</f>
        <v/>
      </c>
      <c r="S149">
        <f>IFERROR(IF(ISNUMBER(INDEX(SPPR!$E:$Z,MATCH($A149,SPPR!$A:$A,0),16)),$C149*INDEX(SPPR!$E:$Z,MATCH($A149,SPPR!$A:$A,0),16),""),"")</f>
        <v/>
      </c>
      <c r="T149">
        <f>IFERROR(IF(ISNUMBER(INDEX(SPPR!$E:$Z,MATCH($A149,SPPR!$A:$A,0),17)),$C149*INDEX(SPPR!$E:$Z,MATCH($A149,SPPR!$A:$A,0),17),""),"")</f>
        <v/>
      </c>
      <c r="U149">
        <f>IFERROR(IF(ISNUMBER(INDEX(SPPR!$E:$Z,MATCH($A149,SPPR!$A:$A,0),18)),$C149*INDEX(SPPR!$E:$Z,MATCH($A149,SPPR!$A:$A,0),18),""),"")</f>
        <v/>
      </c>
      <c r="V149">
        <f>IFERROR(IF(ISNUMBER(INDEX(SPPR!$E:$Z,MATCH($A149,SPPR!$A:$A,0),19)),$C149*INDEX(SPPR!$E:$Z,MATCH($A149,SPPR!$A:$A,0),19),""),"")</f>
        <v/>
      </c>
      <c r="W149">
        <f>IFERROR(IF(ISNUMBER(INDEX(SPPR!$E:$Z,MATCH($A149,SPPR!$A:$A,0),20)),$C149*INDEX(SPPR!$E:$Z,MATCH($A149,SPPR!$A:$A,0),20),""),"")</f>
        <v/>
      </c>
      <c r="X149">
        <f>IFERROR(IF(ISNUMBER(INDEX(SPPR!$E:$Z,MATCH($A149,SPPR!$A:$A,0),21)),$C149*INDEX(SPPR!$E:$Z,MATCH($A149,SPPR!$A:$A,0),21),""),"")</f>
        <v/>
      </c>
      <c r="Y149">
        <f>IFERROR(IF(ISNUMBER(INDEX(SPPR!$E:$Z,MATCH($A149,SPPR!$A:$A,0),22)),$C149*INDEX(SPPR!$E:$Z,MATCH($A149,SPPR!$A:$A,0),22),""),"")</f>
        <v/>
      </c>
    </row>
    <row r="150">
      <c r="A150" t="inlineStr">
        <is>
          <t>Exocoetidae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IFERROR(IF(ISNUMBER(INDEX(SPPR!$E:$Z,MATCH($A150,SPPR!$A:$A,0),1)),$C150*INDEX(SPPR!$E:$Z,MATCH($A150,SPPR!$A:$A,0),1),""),"")</f>
        <v/>
      </c>
      <c r="E150">
        <f>IFERROR(IF(ISNUMBER(INDEX(SPPR!$E:$Z,MATCH($A150,SPPR!$A:$A,0),2)),$C150*INDEX(SPPR!$E:$Z,MATCH($A150,SPPR!$A:$A,0),2),""),"")</f>
        <v/>
      </c>
      <c r="F150">
        <f>IFERROR(IF(ISNUMBER(INDEX(SPPR!$E:$Z,MATCH($A150,SPPR!$A:$A,0),3)),$C150*INDEX(SPPR!$E:$Z,MATCH($A150,SPPR!$A:$A,0),3),""),"")</f>
        <v/>
      </c>
      <c r="G150">
        <f>IFERROR(IF(ISNUMBER(INDEX(SPPR!$E:$Z,MATCH($A150,SPPR!$A:$A,0),4)),$C150*INDEX(SPPR!$E:$Z,MATCH($A150,SPPR!$A:$A,0),4),""),"")</f>
        <v/>
      </c>
      <c r="H150">
        <f>IFERROR(IF(ISNUMBER(INDEX(SPPR!$E:$Z,MATCH($A150,SPPR!$A:$A,0),5)),$C150*INDEX(SPPR!$E:$Z,MATCH($A150,SPPR!$A:$A,0),5),""),"")</f>
        <v/>
      </c>
      <c r="I150">
        <f>IFERROR(IF(ISNUMBER(INDEX(SPPR!$E:$Z,MATCH($A150,SPPR!$A:$A,0),6)),$C150*INDEX(SPPR!$E:$Z,MATCH($A150,SPPR!$A:$A,0),6),""),"")</f>
        <v/>
      </c>
      <c r="J150">
        <f>IFERROR(IF(ISNUMBER(INDEX(SPPR!$E:$Z,MATCH($A150,SPPR!$A:$A,0),7)),$C150*INDEX(SPPR!$E:$Z,MATCH($A150,SPPR!$A:$A,0),7),""),"")</f>
        <v/>
      </c>
      <c r="K150">
        <f>IFERROR(IF(ISNUMBER(INDEX(SPPR!$E:$Z,MATCH($A150,SPPR!$A:$A,0),8)),$C150*INDEX(SPPR!$E:$Z,MATCH($A150,SPPR!$A:$A,0),8),""),"")</f>
        <v/>
      </c>
      <c r="L150">
        <f>IFERROR(IF(ISNUMBER(INDEX(SPPR!$E:$Z,MATCH($A150,SPPR!$A:$A,0),9)),$C150*INDEX(SPPR!$E:$Z,MATCH($A150,SPPR!$A:$A,0),9),""),"")</f>
        <v/>
      </c>
      <c r="M150">
        <f>IFERROR(IF(ISNUMBER(INDEX(SPPR!$E:$Z,MATCH($A150,SPPR!$A:$A,0),10)),$C150*INDEX(SPPR!$E:$Z,MATCH($A150,SPPR!$A:$A,0),10),""),"")</f>
        <v/>
      </c>
      <c r="N150">
        <f>IFERROR(IF(ISNUMBER(INDEX(SPPR!$E:$Z,MATCH($A150,SPPR!$A:$A,0),11)),$C150*INDEX(SPPR!$E:$Z,MATCH($A150,SPPR!$A:$A,0),11),""),"")</f>
        <v/>
      </c>
      <c r="O150">
        <f>IFERROR(IF(ISNUMBER(INDEX(SPPR!$E:$Z,MATCH($A150,SPPR!$A:$A,0),12)),$C150*INDEX(SPPR!$E:$Z,MATCH($A150,SPPR!$A:$A,0),12),""),"")</f>
        <v/>
      </c>
      <c r="P150">
        <f>IFERROR(IF(ISNUMBER(INDEX(SPPR!$E:$Z,MATCH($A150,SPPR!$A:$A,0),13)),$C150*INDEX(SPPR!$E:$Z,MATCH($A150,SPPR!$A:$A,0),13),""),"")</f>
        <v/>
      </c>
      <c r="Q150">
        <f>IFERROR(IF(ISNUMBER(INDEX(SPPR!$E:$Z,MATCH($A150,SPPR!$A:$A,0),14)),$C150*INDEX(SPPR!$E:$Z,MATCH($A150,SPPR!$A:$A,0),14),""),"")</f>
        <v/>
      </c>
      <c r="R150">
        <f>IFERROR(IF(ISNUMBER(INDEX(SPPR!$E:$Z,MATCH($A150,SPPR!$A:$A,0),15)),$C150*INDEX(SPPR!$E:$Z,MATCH($A150,SPPR!$A:$A,0),15),""),"")</f>
        <v/>
      </c>
      <c r="S150">
        <f>IFERROR(IF(ISNUMBER(INDEX(SPPR!$E:$Z,MATCH($A150,SPPR!$A:$A,0),16)),$C150*INDEX(SPPR!$E:$Z,MATCH($A150,SPPR!$A:$A,0),16),""),"")</f>
        <v/>
      </c>
      <c r="T150">
        <f>IFERROR(IF(ISNUMBER(INDEX(SPPR!$E:$Z,MATCH($A150,SPPR!$A:$A,0),17)),$C150*INDEX(SPPR!$E:$Z,MATCH($A150,SPPR!$A:$A,0),17),""),"")</f>
        <v/>
      </c>
      <c r="U150">
        <f>IFERROR(IF(ISNUMBER(INDEX(SPPR!$E:$Z,MATCH($A150,SPPR!$A:$A,0),18)),$C150*INDEX(SPPR!$E:$Z,MATCH($A150,SPPR!$A:$A,0),18),""),"")</f>
        <v/>
      </c>
      <c r="V150">
        <f>IFERROR(IF(ISNUMBER(INDEX(SPPR!$E:$Z,MATCH($A150,SPPR!$A:$A,0),19)),$C150*INDEX(SPPR!$E:$Z,MATCH($A150,SPPR!$A:$A,0),19),""),"")</f>
        <v/>
      </c>
      <c r="W150">
        <f>IFERROR(IF(ISNUMBER(INDEX(SPPR!$E:$Z,MATCH($A150,SPPR!$A:$A,0),20)),$C150*INDEX(SPPR!$E:$Z,MATCH($A150,SPPR!$A:$A,0),20),""),"")</f>
        <v/>
      </c>
      <c r="X150">
        <f>IFERROR(IF(ISNUMBER(INDEX(SPPR!$E:$Z,MATCH($A150,SPPR!$A:$A,0),21)),$C150*INDEX(SPPR!$E:$Z,MATCH($A150,SPPR!$A:$A,0),21),""),"")</f>
        <v/>
      </c>
      <c r="Y150">
        <f>IFERROR(IF(ISNUMBER(INDEX(SPPR!$E:$Z,MATCH($A150,SPPR!$A:$A,0),22)),$C150*INDEX(SPPR!$E:$Z,MATCH($A150,SPPR!$A:$A,0),22),""),"")</f>
        <v/>
      </c>
    </row>
    <row r="151">
      <c r="A151" t="inlineStr">
        <is>
          <t>Upeneus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IFERROR(IF(ISNUMBER(INDEX(SPPR!$E:$Z,MATCH($A151,SPPR!$A:$A,0),1)),$C151*INDEX(SPPR!$E:$Z,MATCH($A151,SPPR!$A:$A,0),1),""),"")</f>
        <v/>
      </c>
      <c r="E151">
        <f>IFERROR(IF(ISNUMBER(INDEX(SPPR!$E:$Z,MATCH($A151,SPPR!$A:$A,0),2)),$C151*INDEX(SPPR!$E:$Z,MATCH($A151,SPPR!$A:$A,0),2),""),"")</f>
        <v/>
      </c>
      <c r="F151">
        <f>IFERROR(IF(ISNUMBER(INDEX(SPPR!$E:$Z,MATCH($A151,SPPR!$A:$A,0),3)),$C151*INDEX(SPPR!$E:$Z,MATCH($A151,SPPR!$A:$A,0),3),""),"")</f>
        <v/>
      </c>
      <c r="G151">
        <f>IFERROR(IF(ISNUMBER(INDEX(SPPR!$E:$Z,MATCH($A151,SPPR!$A:$A,0),4)),$C151*INDEX(SPPR!$E:$Z,MATCH($A151,SPPR!$A:$A,0),4),""),"")</f>
        <v/>
      </c>
      <c r="H151">
        <f>IFERROR(IF(ISNUMBER(INDEX(SPPR!$E:$Z,MATCH($A151,SPPR!$A:$A,0),5)),$C151*INDEX(SPPR!$E:$Z,MATCH($A151,SPPR!$A:$A,0),5),""),"")</f>
        <v/>
      </c>
      <c r="I151">
        <f>IFERROR(IF(ISNUMBER(INDEX(SPPR!$E:$Z,MATCH($A151,SPPR!$A:$A,0),6)),$C151*INDEX(SPPR!$E:$Z,MATCH($A151,SPPR!$A:$A,0),6),""),"")</f>
        <v/>
      </c>
      <c r="J151">
        <f>IFERROR(IF(ISNUMBER(INDEX(SPPR!$E:$Z,MATCH($A151,SPPR!$A:$A,0),7)),$C151*INDEX(SPPR!$E:$Z,MATCH($A151,SPPR!$A:$A,0),7),""),"")</f>
        <v/>
      </c>
      <c r="K151">
        <f>IFERROR(IF(ISNUMBER(INDEX(SPPR!$E:$Z,MATCH($A151,SPPR!$A:$A,0),8)),$C151*INDEX(SPPR!$E:$Z,MATCH($A151,SPPR!$A:$A,0),8),""),"")</f>
        <v/>
      </c>
      <c r="L151">
        <f>IFERROR(IF(ISNUMBER(INDEX(SPPR!$E:$Z,MATCH($A151,SPPR!$A:$A,0),9)),$C151*INDEX(SPPR!$E:$Z,MATCH($A151,SPPR!$A:$A,0),9),""),"")</f>
        <v/>
      </c>
      <c r="M151">
        <f>IFERROR(IF(ISNUMBER(INDEX(SPPR!$E:$Z,MATCH($A151,SPPR!$A:$A,0),10)),$C151*INDEX(SPPR!$E:$Z,MATCH($A151,SPPR!$A:$A,0),10),""),"")</f>
        <v/>
      </c>
      <c r="N151">
        <f>IFERROR(IF(ISNUMBER(INDEX(SPPR!$E:$Z,MATCH($A151,SPPR!$A:$A,0),11)),$C151*INDEX(SPPR!$E:$Z,MATCH($A151,SPPR!$A:$A,0),11),""),"")</f>
        <v/>
      </c>
      <c r="O151">
        <f>IFERROR(IF(ISNUMBER(INDEX(SPPR!$E:$Z,MATCH($A151,SPPR!$A:$A,0),12)),$C151*INDEX(SPPR!$E:$Z,MATCH($A151,SPPR!$A:$A,0),12),""),"")</f>
        <v/>
      </c>
      <c r="P151">
        <f>IFERROR(IF(ISNUMBER(INDEX(SPPR!$E:$Z,MATCH($A151,SPPR!$A:$A,0),13)),$C151*INDEX(SPPR!$E:$Z,MATCH($A151,SPPR!$A:$A,0),13),""),"")</f>
        <v/>
      </c>
      <c r="Q151">
        <f>IFERROR(IF(ISNUMBER(INDEX(SPPR!$E:$Z,MATCH($A151,SPPR!$A:$A,0),14)),$C151*INDEX(SPPR!$E:$Z,MATCH($A151,SPPR!$A:$A,0),14),""),"")</f>
        <v/>
      </c>
      <c r="R151">
        <f>IFERROR(IF(ISNUMBER(INDEX(SPPR!$E:$Z,MATCH($A151,SPPR!$A:$A,0),15)),$C151*INDEX(SPPR!$E:$Z,MATCH($A151,SPPR!$A:$A,0),15),""),"")</f>
        <v/>
      </c>
      <c r="S151">
        <f>IFERROR(IF(ISNUMBER(INDEX(SPPR!$E:$Z,MATCH($A151,SPPR!$A:$A,0),16)),$C151*INDEX(SPPR!$E:$Z,MATCH($A151,SPPR!$A:$A,0),16),""),"")</f>
        <v/>
      </c>
      <c r="T151">
        <f>IFERROR(IF(ISNUMBER(INDEX(SPPR!$E:$Z,MATCH($A151,SPPR!$A:$A,0),17)),$C151*INDEX(SPPR!$E:$Z,MATCH($A151,SPPR!$A:$A,0),17),""),"")</f>
        <v/>
      </c>
      <c r="U151">
        <f>IFERROR(IF(ISNUMBER(INDEX(SPPR!$E:$Z,MATCH($A151,SPPR!$A:$A,0),18)),$C151*INDEX(SPPR!$E:$Z,MATCH($A151,SPPR!$A:$A,0),18),""),"")</f>
        <v/>
      </c>
      <c r="V151">
        <f>IFERROR(IF(ISNUMBER(INDEX(SPPR!$E:$Z,MATCH($A151,SPPR!$A:$A,0),19)),$C151*INDEX(SPPR!$E:$Z,MATCH($A151,SPPR!$A:$A,0),19),""),"")</f>
        <v/>
      </c>
      <c r="W151">
        <f>IFERROR(IF(ISNUMBER(INDEX(SPPR!$E:$Z,MATCH($A151,SPPR!$A:$A,0),20)),$C151*INDEX(SPPR!$E:$Z,MATCH($A151,SPPR!$A:$A,0),20),""),"")</f>
        <v/>
      </c>
      <c r="X151">
        <f>IFERROR(IF(ISNUMBER(INDEX(SPPR!$E:$Z,MATCH($A151,SPPR!$A:$A,0),21)),$C151*INDEX(SPPR!$E:$Z,MATCH($A151,SPPR!$A:$A,0),21),""),"")</f>
        <v/>
      </c>
      <c r="Y151">
        <f>IFERROR(IF(ISNUMBER(INDEX(SPPR!$E:$Z,MATCH($A151,SPPR!$A:$A,0),22)),$C151*INDEX(SPPR!$E:$Z,MATCH($A151,SPPR!$A:$A,0),22),""),"")</f>
        <v/>
      </c>
    </row>
    <row r="152">
      <c r="A152" t="inlineStr">
        <is>
          <t>Seriola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IFERROR(IF(ISNUMBER(INDEX(SPPR!$E:$Z,MATCH($A152,SPPR!$A:$A,0),1)),$C152*INDEX(SPPR!$E:$Z,MATCH($A152,SPPR!$A:$A,0),1),""),"")</f>
        <v/>
      </c>
      <c r="E152">
        <f>IFERROR(IF(ISNUMBER(INDEX(SPPR!$E:$Z,MATCH($A152,SPPR!$A:$A,0),2)),$C152*INDEX(SPPR!$E:$Z,MATCH($A152,SPPR!$A:$A,0),2),""),"")</f>
        <v/>
      </c>
      <c r="F152">
        <f>IFERROR(IF(ISNUMBER(INDEX(SPPR!$E:$Z,MATCH($A152,SPPR!$A:$A,0),3)),$C152*INDEX(SPPR!$E:$Z,MATCH($A152,SPPR!$A:$A,0),3),""),"")</f>
        <v/>
      </c>
      <c r="G152">
        <f>IFERROR(IF(ISNUMBER(INDEX(SPPR!$E:$Z,MATCH($A152,SPPR!$A:$A,0),4)),$C152*INDEX(SPPR!$E:$Z,MATCH($A152,SPPR!$A:$A,0),4),""),"")</f>
        <v/>
      </c>
      <c r="H152">
        <f>IFERROR(IF(ISNUMBER(INDEX(SPPR!$E:$Z,MATCH($A152,SPPR!$A:$A,0),5)),$C152*INDEX(SPPR!$E:$Z,MATCH($A152,SPPR!$A:$A,0),5),""),"")</f>
        <v/>
      </c>
      <c r="I152">
        <f>IFERROR(IF(ISNUMBER(INDEX(SPPR!$E:$Z,MATCH($A152,SPPR!$A:$A,0),6)),$C152*INDEX(SPPR!$E:$Z,MATCH($A152,SPPR!$A:$A,0),6),""),"")</f>
        <v/>
      </c>
      <c r="J152">
        <f>IFERROR(IF(ISNUMBER(INDEX(SPPR!$E:$Z,MATCH($A152,SPPR!$A:$A,0),7)),$C152*INDEX(SPPR!$E:$Z,MATCH($A152,SPPR!$A:$A,0),7),""),"")</f>
        <v/>
      </c>
      <c r="K152">
        <f>IFERROR(IF(ISNUMBER(INDEX(SPPR!$E:$Z,MATCH($A152,SPPR!$A:$A,0),8)),$C152*INDEX(SPPR!$E:$Z,MATCH($A152,SPPR!$A:$A,0),8),""),"")</f>
        <v/>
      </c>
      <c r="L152">
        <f>IFERROR(IF(ISNUMBER(INDEX(SPPR!$E:$Z,MATCH($A152,SPPR!$A:$A,0),9)),$C152*INDEX(SPPR!$E:$Z,MATCH($A152,SPPR!$A:$A,0),9),""),"")</f>
        <v/>
      </c>
      <c r="M152">
        <f>IFERROR(IF(ISNUMBER(INDEX(SPPR!$E:$Z,MATCH($A152,SPPR!$A:$A,0),10)),$C152*INDEX(SPPR!$E:$Z,MATCH($A152,SPPR!$A:$A,0),10),""),"")</f>
        <v/>
      </c>
      <c r="N152">
        <f>IFERROR(IF(ISNUMBER(INDEX(SPPR!$E:$Z,MATCH($A152,SPPR!$A:$A,0),11)),$C152*INDEX(SPPR!$E:$Z,MATCH($A152,SPPR!$A:$A,0),11),""),"")</f>
        <v/>
      </c>
      <c r="O152">
        <f>IFERROR(IF(ISNUMBER(INDEX(SPPR!$E:$Z,MATCH($A152,SPPR!$A:$A,0),12)),$C152*INDEX(SPPR!$E:$Z,MATCH($A152,SPPR!$A:$A,0),12),""),"")</f>
        <v/>
      </c>
      <c r="P152">
        <f>IFERROR(IF(ISNUMBER(INDEX(SPPR!$E:$Z,MATCH($A152,SPPR!$A:$A,0),13)),$C152*INDEX(SPPR!$E:$Z,MATCH($A152,SPPR!$A:$A,0),13),""),"")</f>
        <v/>
      </c>
      <c r="Q152">
        <f>IFERROR(IF(ISNUMBER(INDEX(SPPR!$E:$Z,MATCH($A152,SPPR!$A:$A,0),14)),$C152*INDEX(SPPR!$E:$Z,MATCH($A152,SPPR!$A:$A,0),14),""),"")</f>
        <v/>
      </c>
      <c r="R152">
        <f>IFERROR(IF(ISNUMBER(INDEX(SPPR!$E:$Z,MATCH($A152,SPPR!$A:$A,0),15)),$C152*INDEX(SPPR!$E:$Z,MATCH($A152,SPPR!$A:$A,0),15),""),"")</f>
        <v/>
      </c>
      <c r="S152">
        <f>IFERROR(IF(ISNUMBER(INDEX(SPPR!$E:$Z,MATCH($A152,SPPR!$A:$A,0),16)),$C152*INDEX(SPPR!$E:$Z,MATCH($A152,SPPR!$A:$A,0),16),""),"")</f>
        <v/>
      </c>
      <c r="T152">
        <f>IFERROR(IF(ISNUMBER(INDEX(SPPR!$E:$Z,MATCH($A152,SPPR!$A:$A,0),17)),$C152*INDEX(SPPR!$E:$Z,MATCH($A152,SPPR!$A:$A,0),17),""),"")</f>
        <v/>
      </c>
      <c r="U152">
        <f>IFERROR(IF(ISNUMBER(INDEX(SPPR!$E:$Z,MATCH($A152,SPPR!$A:$A,0),18)),$C152*INDEX(SPPR!$E:$Z,MATCH($A152,SPPR!$A:$A,0),18),""),"")</f>
        <v/>
      </c>
      <c r="V152">
        <f>IFERROR(IF(ISNUMBER(INDEX(SPPR!$E:$Z,MATCH($A152,SPPR!$A:$A,0),19)),$C152*INDEX(SPPR!$E:$Z,MATCH($A152,SPPR!$A:$A,0),19),""),"")</f>
        <v/>
      </c>
      <c r="W152">
        <f>IFERROR(IF(ISNUMBER(INDEX(SPPR!$E:$Z,MATCH($A152,SPPR!$A:$A,0),20)),$C152*INDEX(SPPR!$E:$Z,MATCH($A152,SPPR!$A:$A,0),20),""),"")</f>
        <v/>
      </c>
      <c r="X152">
        <f>IFERROR(IF(ISNUMBER(INDEX(SPPR!$E:$Z,MATCH($A152,SPPR!$A:$A,0),21)),$C152*INDEX(SPPR!$E:$Z,MATCH($A152,SPPR!$A:$A,0),21),""),"")</f>
        <v/>
      </c>
      <c r="Y152">
        <f>IFERROR(IF(ISNUMBER(INDEX(SPPR!$E:$Z,MATCH($A152,SPPR!$A:$A,0),22)),$C152*INDEX(SPPR!$E:$Z,MATCH($A152,SPPR!$A:$A,0),22),""),"")</f>
        <v/>
      </c>
    </row>
    <row r="153">
      <c r="A153" t="inlineStr">
        <is>
          <t>Conger myriaster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IFERROR(IF(ISNUMBER(INDEX(SPPR!$E:$Z,MATCH($A153,SPPR!$A:$A,0),1)),$C153*INDEX(SPPR!$E:$Z,MATCH($A153,SPPR!$A:$A,0),1),""),"")</f>
        <v/>
      </c>
      <c r="E153">
        <f>IFERROR(IF(ISNUMBER(INDEX(SPPR!$E:$Z,MATCH($A153,SPPR!$A:$A,0),2)),$C153*INDEX(SPPR!$E:$Z,MATCH($A153,SPPR!$A:$A,0),2),""),"")</f>
        <v/>
      </c>
      <c r="F153">
        <f>IFERROR(IF(ISNUMBER(INDEX(SPPR!$E:$Z,MATCH($A153,SPPR!$A:$A,0),3)),$C153*INDEX(SPPR!$E:$Z,MATCH($A153,SPPR!$A:$A,0),3),""),"")</f>
        <v/>
      </c>
      <c r="G153">
        <f>IFERROR(IF(ISNUMBER(INDEX(SPPR!$E:$Z,MATCH($A153,SPPR!$A:$A,0),4)),$C153*INDEX(SPPR!$E:$Z,MATCH($A153,SPPR!$A:$A,0),4),""),"")</f>
        <v/>
      </c>
      <c r="H153">
        <f>IFERROR(IF(ISNUMBER(INDEX(SPPR!$E:$Z,MATCH($A153,SPPR!$A:$A,0),5)),$C153*INDEX(SPPR!$E:$Z,MATCH($A153,SPPR!$A:$A,0),5),""),"")</f>
        <v/>
      </c>
      <c r="I153">
        <f>IFERROR(IF(ISNUMBER(INDEX(SPPR!$E:$Z,MATCH($A153,SPPR!$A:$A,0),6)),$C153*INDEX(SPPR!$E:$Z,MATCH($A153,SPPR!$A:$A,0),6),""),"")</f>
        <v/>
      </c>
      <c r="J153">
        <f>IFERROR(IF(ISNUMBER(INDEX(SPPR!$E:$Z,MATCH($A153,SPPR!$A:$A,0),7)),$C153*INDEX(SPPR!$E:$Z,MATCH($A153,SPPR!$A:$A,0),7),""),"")</f>
        <v/>
      </c>
      <c r="K153">
        <f>IFERROR(IF(ISNUMBER(INDEX(SPPR!$E:$Z,MATCH($A153,SPPR!$A:$A,0),8)),$C153*INDEX(SPPR!$E:$Z,MATCH($A153,SPPR!$A:$A,0),8),""),"")</f>
        <v/>
      </c>
      <c r="L153">
        <f>IFERROR(IF(ISNUMBER(INDEX(SPPR!$E:$Z,MATCH($A153,SPPR!$A:$A,0),9)),$C153*INDEX(SPPR!$E:$Z,MATCH($A153,SPPR!$A:$A,0),9),""),"")</f>
        <v/>
      </c>
      <c r="M153">
        <f>IFERROR(IF(ISNUMBER(INDEX(SPPR!$E:$Z,MATCH($A153,SPPR!$A:$A,0),10)),$C153*INDEX(SPPR!$E:$Z,MATCH($A153,SPPR!$A:$A,0),10),""),"")</f>
        <v/>
      </c>
      <c r="N153">
        <f>IFERROR(IF(ISNUMBER(INDEX(SPPR!$E:$Z,MATCH($A153,SPPR!$A:$A,0),11)),$C153*INDEX(SPPR!$E:$Z,MATCH($A153,SPPR!$A:$A,0),11),""),"")</f>
        <v/>
      </c>
      <c r="O153">
        <f>IFERROR(IF(ISNUMBER(INDEX(SPPR!$E:$Z,MATCH($A153,SPPR!$A:$A,0),12)),$C153*INDEX(SPPR!$E:$Z,MATCH($A153,SPPR!$A:$A,0),12),""),"")</f>
        <v/>
      </c>
      <c r="P153">
        <f>IFERROR(IF(ISNUMBER(INDEX(SPPR!$E:$Z,MATCH($A153,SPPR!$A:$A,0),13)),$C153*INDEX(SPPR!$E:$Z,MATCH($A153,SPPR!$A:$A,0),13),""),"")</f>
        <v/>
      </c>
      <c r="Q153">
        <f>IFERROR(IF(ISNUMBER(INDEX(SPPR!$E:$Z,MATCH($A153,SPPR!$A:$A,0),14)),$C153*INDEX(SPPR!$E:$Z,MATCH($A153,SPPR!$A:$A,0),14),""),"")</f>
        <v/>
      </c>
      <c r="R153">
        <f>IFERROR(IF(ISNUMBER(INDEX(SPPR!$E:$Z,MATCH($A153,SPPR!$A:$A,0),15)),$C153*INDEX(SPPR!$E:$Z,MATCH($A153,SPPR!$A:$A,0),15),""),"")</f>
        <v/>
      </c>
      <c r="S153">
        <f>IFERROR(IF(ISNUMBER(INDEX(SPPR!$E:$Z,MATCH($A153,SPPR!$A:$A,0),16)),$C153*INDEX(SPPR!$E:$Z,MATCH($A153,SPPR!$A:$A,0),16),""),"")</f>
        <v/>
      </c>
      <c r="T153">
        <f>IFERROR(IF(ISNUMBER(INDEX(SPPR!$E:$Z,MATCH($A153,SPPR!$A:$A,0),17)),$C153*INDEX(SPPR!$E:$Z,MATCH($A153,SPPR!$A:$A,0),17),""),"")</f>
        <v/>
      </c>
      <c r="U153">
        <f>IFERROR(IF(ISNUMBER(INDEX(SPPR!$E:$Z,MATCH($A153,SPPR!$A:$A,0),18)),$C153*INDEX(SPPR!$E:$Z,MATCH($A153,SPPR!$A:$A,0),18),""),"")</f>
        <v/>
      </c>
      <c r="V153">
        <f>IFERROR(IF(ISNUMBER(INDEX(SPPR!$E:$Z,MATCH($A153,SPPR!$A:$A,0),19)),$C153*INDEX(SPPR!$E:$Z,MATCH($A153,SPPR!$A:$A,0),19),""),"")</f>
        <v/>
      </c>
      <c r="W153">
        <f>IFERROR(IF(ISNUMBER(INDEX(SPPR!$E:$Z,MATCH($A153,SPPR!$A:$A,0),20)),$C153*INDEX(SPPR!$E:$Z,MATCH($A153,SPPR!$A:$A,0),20),""),"")</f>
        <v/>
      </c>
      <c r="X153">
        <f>IFERROR(IF(ISNUMBER(INDEX(SPPR!$E:$Z,MATCH($A153,SPPR!$A:$A,0),21)),$C153*INDEX(SPPR!$E:$Z,MATCH($A153,SPPR!$A:$A,0),21),""),"")</f>
        <v/>
      </c>
      <c r="Y153">
        <f>IFERROR(IF(ISNUMBER(INDEX(SPPR!$E:$Z,MATCH($A153,SPPR!$A:$A,0),22)),$C153*INDEX(SPPR!$E:$Z,MATCH($A153,SPPR!$A:$A,0),22),""),"")</f>
        <v/>
      </c>
    </row>
    <row r="154">
      <c r="A154" t="inlineStr">
        <is>
          <t>Mugil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IFERROR(IF(ISNUMBER(INDEX(SPPR!$E:$Z,MATCH($A154,SPPR!$A:$A,0),1)),$C154*INDEX(SPPR!$E:$Z,MATCH($A154,SPPR!$A:$A,0),1),""),"")</f>
        <v/>
      </c>
      <c r="E154">
        <f>IFERROR(IF(ISNUMBER(INDEX(SPPR!$E:$Z,MATCH($A154,SPPR!$A:$A,0),2)),$C154*INDEX(SPPR!$E:$Z,MATCH($A154,SPPR!$A:$A,0),2),""),"")</f>
        <v/>
      </c>
      <c r="F154">
        <f>IFERROR(IF(ISNUMBER(INDEX(SPPR!$E:$Z,MATCH($A154,SPPR!$A:$A,0),3)),$C154*INDEX(SPPR!$E:$Z,MATCH($A154,SPPR!$A:$A,0),3),""),"")</f>
        <v/>
      </c>
      <c r="G154">
        <f>IFERROR(IF(ISNUMBER(INDEX(SPPR!$E:$Z,MATCH($A154,SPPR!$A:$A,0),4)),$C154*INDEX(SPPR!$E:$Z,MATCH($A154,SPPR!$A:$A,0),4),""),"")</f>
        <v/>
      </c>
      <c r="H154">
        <f>IFERROR(IF(ISNUMBER(INDEX(SPPR!$E:$Z,MATCH($A154,SPPR!$A:$A,0),5)),$C154*INDEX(SPPR!$E:$Z,MATCH($A154,SPPR!$A:$A,0),5),""),"")</f>
        <v/>
      </c>
      <c r="I154">
        <f>IFERROR(IF(ISNUMBER(INDEX(SPPR!$E:$Z,MATCH($A154,SPPR!$A:$A,0),6)),$C154*INDEX(SPPR!$E:$Z,MATCH($A154,SPPR!$A:$A,0),6),""),"")</f>
        <v/>
      </c>
      <c r="J154">
        <f>IFERROR(IF(ISNUMBER(INDEX(SPPR!$E:$Z,MATCH($A154,SPPR!$A:$A,0),7)),$C154*INDEX(SPPR!$E:$Z,MATCH($A154,SPPR!$A:$A,0),7),""),"")</f>
        <v/>
      </c>
      <c r="K154">
        <f>IFERROR(IF(ISNUMBER(INDEX(SPPR!$E:$Z,MATCH($A154,SPPR!$A:$A,0),8)),$C154*INDEX(SPPR!$E:$Z,MATCH($A154,SPPR!$A:$A,0),8),""),"")</f>
        <v/>
      </c>
      <c r="L154">
        <f>IFERROR(IF(ISNUMBER(INDEX(SPPR!$E:$Z,MATCH($A154,SPPR!$A:$A,0),9)),$C154*INDEX(SPPR!$E:$Z,MATCH($A154,SPPR!$A:$A,0),9),""),"")</f>
        <v/>
      </c>
      <c r="M154">
        <f>IFERROR(IF(ISNUMBER(INDEX(SPPR!$E:$Z,MATCH($A154,SPPR!$A:$A,0),10)),$C154*INDEX(SPPR!$E:$Z,MATCH($A154,SPPR!$A:$A,0),10),""),"")</f>
        <v/>
      </c>
      <c r="N154">
        <f>IFERROR(IF(ISNUMBER(INDEX(SPPR!$E:$Z,MATCH($A154,SPPR!$A:$A,0),11)),$C154*INDEX(SPPR!$E:$Z,MATCH($A154,SPPR!$A:$A,0),11),""),"")</f>
        <v/>
      </c>
      <c r="O154">
        <f>IFERROR(IF(ISNUMBER(INDEX(SPPR!$E:$Z,MATCH($A154,SPPR!$A:$A,0),12)),$C154*INDEX(SPPR!$E:$Z,MATCH($A154,SPPR!$A:$A,0),12),""),"")</f>
        <v/>
      </c>
      <c r="P154">
        <f>IFERROR(IF(ISNUMBER(INDEX(SPPR!$E:$Z,MATCH($A154,SPPR!$A:$A,0),13)),$C154*INDEX(SPPR!$E:$Z,MATCH($A154,SPPR!$A:$A,0),13),""),"")</f>
        <v/>
      </c>
      <c r="Q154">
        <f>IFERROR(IF(ISNUMBER(INDEX(SPPR!$E:$Z,MATCH($A154,SPPR!$A:$A,0),14)),$C154*INDEX(SPPR!$E:$Z,MATCH($A154,SPPR!$A:$A,0),14),""),"")</f>
        <v/>
      </c>
      <c r="R154">
        <f>IFERROR(IF(ISNUMBER(INDEX(SPPR!$E:$Z,MATCH($A154,SPPR!$A:$A,0),15)),$C154*INDEX(SPPR!$E:$Z,MATCH($A154,SPPR!$A:$A,0),15),""),"")</f>
        <v/>
      </c>
      <c r="S154">
        <f>IFERROR(IF(ISNUMBER(INDEX(SPPR!$E:$Z,MATCH($A154,SPPR!$A:$A,0),16)),$C154*INDEX(SPPR!$E:$Z,MATCH($A154,SPPR!$A:$A,0),16),""),"")</f>
        <v/>
      </c>
      <c r="T154">
        <f>IFERROR(IF(ISNUMBER(INDEX(SPPR!$E:$Z,MATCH($A154,SPPR!$A:$A,0),17)),$C154*INDEX(SPPR!$E:$Z,MATCH($A154,SPPR!$A:$A,0),17),""),"")</f>
        <v/>
      </c>
      <c r="U154">
        <f>IFERROR(IF(ISNUMBER(INDEX(SPPR!$E:$Z,MATCH($A154,SPPR!$A:$A,0),18)),$C154*INDEX(SPPR!$E:$Z,MATCH($A154,SPPR!$A:$A,0),18),""),"")</f>
        <v/>
      </c>
      <c r="V154">
        <f>IFERROR(IF(ISNUMBER(INDEX(SPPR!$E:$Z,MATCH($A154,SPPR!$A:$A,0),19)),$C154*INDEX(SPPR!$E:$Z,MATCH($A154,SPPR!$A:$A,0),19),""),"")</f>
        <v/>
      </c>
      <c r="W154">
        <f>IFERROR(IF(ISNUMBER(INDEX(SPPR!$E:$Z,MATCH($A154,SPPR!$A:$A,0),20)),$C154*INDEX(SPPR!$E:$Z,MATCH($A154,SPPR!$A:$A,0),20),""),"")</f>
        <v/>
      </c>
      <c r="X154">
        <f>IFERROR(IF(ISNUMBER(INDEX(SPPR!$E:$Z,MATCH($A154,SPPR!$A:$A,0),21)),$C154*INDEX(SPPR!$E:$Z,MATCH($A154,SPPR!$A:$A,0),21),""),"")</f>
        <v/>
      </c>
      <c r="Y154">
        <f>IFERROR(IF(ISNUMBER(INDEX(SPPR!$E:$Z,MATCH($A154,SPPR!$A:$A,0),22)),$C154*INDEX(SPPR!$E:$Z,MATCH($A154,SPPR!$A:$A,0),22),""),"")</f>
        <v/>
      </c>
    </row>
    <row r="155">
      <c r="A155" t="inlineStr">
        <is>
          <t>Psettodes erumei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IFERROR(IF(ISNUMBER(INDEX(SPPR!$E:$Z,MATCH($A155,SPPR!$A:$A,0),1)),$C155*INDEX(SPPR!$E:$Z,MATCH($A155,SPPR!$A:$A,0),1),""),"")</f>
        <v/>
      </c>
      <c r="E155">
        <f>IFERROR(IF(ISNUMBER(INDEX(SPPR!$E:$Z,MATCH($A155,SPPR!$A:$A,0),2)),$C155*INDEX(SPPR!$E:$Z,MATCH($A155,SPPR!$A:$A,0),2),""),"")</f>
        <v/>
      </c>
      <c r="F155">
        <f>IFERROR(IF(ISNUMBER(INDEX(SPPR!$E:$Z,MATCH($A155,SPPR!$A:$A,0),3)),$C155*INDEX(SPPR!$E:$Z,MATCH($A155,SPPR!$A:$A,0),3),""),"")</f>
        <v/>
      </c>
      <c r="G155">
        <f>IFERROR(IF(ISNUMBER(INDEX(SPPR!$E:$Z,MATCH($A155,SPPR!$A:$A,0),4)),$C155*INDEX(SPPR!$E:$Z,MATCH($A155,SPPR!$A:$A,0),4),""),"")</f>
        <v/>
      </c>
      <c r="H155">
        <f>IFERROR(IF(ISNUMBER(INDEX(SPPR!$E:$Z,MATCH($A155,SPPR!$A:$A,0),5)),$C155*INDEX(SPPR!$E:$Z,MATCH($A155,SPPR!$A:$A,0),5),""),"")</f>
        <v/>
      </c>
      <c r="I155">
        <f>IFERROR(IF(ISNUMBER(INDEX(SPPR!$E:$Z,MATCH($A155,SPPR!$A:$A,0),6)),$C155*INDEX(SPPR!$E:$Z,MATCH($A155,SPPR!$A:$A,0),6),""),"")</f>
        <v/>
      </c>
      <c r="J155">
        <f>IFERROR(IF(ISNUMBER(INDEX(SPPR!$E:$Z,MATCH($A155,SPPR!$A:$A,0),7)),$C155*INDEX(SPPR!$E:$Z,MATCH($A155,SPPR!$A:$A,0),7),""),"")</f>
        <v/>
      </c>
      <c r="K155">
        <f>IFERROR(IF(ISNUMBER(INDEX(SPPR!$E:$Z,MATCH($A155,SPPR!$A:$A,0),8)),$C155*INDEX(SPPR!$E:$Z,MATCH($A155,SPPR!$A:$A,0),8),""),"")</f>
        <v/>
      </c>
      <c r="L155">
        <f>IFERROR(IF(ISNUMBER(INDEX(SPPR!$E:$Z,MATCH($A155,SPPR!$A:$A,0),9)),$C155*INDEX(SPPR!$E:$Z,MATCH($A155,SPPR!$A:$A,0),9),""),"")</f>
        <v/>
      </c>
      <c r="M155">
        <f>IFERROR(IF(ISNUMBER(INDEX(SPPR!$E:$Z,MATCH($A155,SPPR!$A:$A,0),10)),$C155*INDEX(SPPR!$E:$Z,MATCH($A155,SPPR!$A:$A,0),10),""),"")</f>
        <v/>
      </c>
      <c r="N155">
        <f>IFERROR(IF(ISNUMBER(INDEX(SPPR!$E:$Z,MATCH($A155,SPPR!$A:$A,0),11)),$C155*INDEX(SPPR!$E:$Z,MATCH($A155,SPPR!$A:$A,0),11),""),"")</f>
        <v/>
      </c>
      <c r="O155">
        <f>IFERROR(IF(ISNUMBER(INDEX(SPPR!$E:$Z,MATCH($A155,SPPR!$A:$A,0),12)),$C155*INDEX(SPPR!$E:$Z,MATCH($A155,SPPR!$A:$A,0),12),""),"")</f>
        <v/>
      </c>
      <c r="P155">
        <f>IFERROR(IF(ISNUMBER(INDEX(SPPR!$E:$Z,MATCH($A155,SPPR!$A:$A,0),13)),$C155*INDEX(SPPR!$E:$Z,MATCH($A155,SPPR!$A:$A,0),13),""),"")</f>
        <v/>
      </c>
      <c r="Q155">
        <f>IFERROR(IF(ISNUMBER(INDEX(SPPR!$E:$Z,MATCH($A155,SPPR!$A:$A,0),14)),$C155*INDEX(SPPR!$E:$Z,MATCH($A155,SPPR!$A:$A,0),14),""),"")</f>
        <v/>
      </c>
      <c r="R155">
        <f>IFERROR(IF(ISNUMBER(INDEX(SPPR!$E:$Z,MATCH($A155,SPPR!$A:$A,0),15)),$C155*INDEX(SPPR!$E:$Z,MATCH($A155,SPPR!$A:$A,0),15),""),"")</f>
        <v/>
      </c>
      <c r="S155">
        <f>IFERROR(IF(ISNUMBER(INDEX(SPPR!$E:$Z,MATCH($A155,SPPR!$A:$A,0),16)),$C155*INDEX(SPPR!$E:$Z,MATCH($A155,SPPR!$A:$A,0),16),""),"")</f>
        <v/>
      </c>
      <c r="T155">
        <f>IFERROR(IF(ISNUMBER(INDEX(SPPR!$E:$Z,MATCH($A155,SPPR!$A:$A,0),17)),$C155*INDEX(SPPR!$E:$Z,MATCH($A155,SPPR!$A:$A,0),17),""),"")</f>
        <v/>
      </c>
      <c r="U155">
        <f>IFERROR(IF(ISNUMBER(INDEX(SPPR!$E:$Z,MATCH($A155,SPPR!$A:$A,0),18)),$C155*INDEX(SPPR!$E:$Z,MATCH($A155,SPPR!$A:$A,0),18),""),"")</f>
        <v/>
      </c>
      <c r="V155">
        <f>IFERROR(IF(ISNUMBER(INDEX(SPPR!$E:$Z,MATCH($A155,SPPR!$A:$A,0),19)),$C155*INDEX(SPPR!$E:$Z,MATCH($A155,SPPR!$A:$A,0),19),""),"")</f>
        <v/>
      </c>
      <c r="W155">
        <f>IFERROR(IF(ISNUMBER(INDEX(SPPR!$E:$Z,MATCH($A155,SPPR!$A:$A,0),20)),$C155*INDEX(SPPR!$E:$Z,MATCH($A155,SPPR!$A:$A,0),20),""),"")</f>
        <v/>
      </c>
      <c r="X155">
        <f>IFERROR(IF(ISNUMBER(INDEX(SPPR!$E:$Z,MATCH($A155,SPPR!$A:$A,0),21)),$C155*INDEX(SPPR!$E:$Z,MATCH($A155,SPPR!$A:$A,0),21),""),"")</f>
        <v/>
      </c>
      <c r="Y155">
        <f>IFERROR(IF(ISNUMBER(INDEX(SPPR!$E:$Z,MATCH($A155,SPPR!$A:$A,0),22)),$C155*INDEX(SPPR!$E:$Z,MATCH($A155,SPPR!$A:$A,0),22),""),"")</f>
        <v/>
      </c>
    </row>
    <row r="156">
      <c r="A156" t="inlineStr">
        <is>
          <t>Acetes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IFERROR(IF(ISNUMBER(INDEX(SPPR!$E:$Z,MATCH($A156,SPPR!$A:$A,0),1)),$C156*INDEX(SPPR!$E:$Z,MATCH($A156,SPPR!$A:$A,0),1),""),"")</f>
        <v/>
      </c>
      <c r="E156">
        <f>IFERROR(IF(ISNUMBER(INDEX(SPPR!$E:$Z,MATCH($A156,SPPR!$A:$A,0),2)),$C156*INDEX(SPPR!$E:$Z,MATCH($A156,SPPR!$A:$A,0),2),""),"")</f>
        <v/>
      </c>
      <c r="F156">
        <f>IFERROR(IF(ISNUMBER(INDEX(SPPR!$E:$Z,MATCH($A156,SPPR!$A:$A,0),3)),$C156*INDEX(SPPR!$E:$Z,MATCH($A156,SPPR!$A:$A,0),3),""),"")</f>
        <v/>
      </c>
      <c r="G156">
        <f>IFERROR(IF(ISNUMBER(INDEX(SPPR!$E:$Z,MATCH($A156,SPPR!$A:$A,0),4)),$C156*INDEX(SPPR!$E:$Z,MATCH($A156,SPPR!$A:$A,0),4),""),"")</f>
        <v/>
      </c>
      <c r="H156">
        <f>IFERROR(IF(ISNUMBER(INDEX(SPPR!$E:$Z,MATCH($A156,SPPR!$A:$A,0),5)),$C156*INDEX(SPPR!$E:$Z,MATCH($A156,SPPR!$A:$A,0),5),""),"")</f>
        <v/>
      </c>
      <c r="I156">
        <f>IFERROR(IF(ISNUMBER(INDEX(SPPR!$E:$Z,MATCH($A156,SPPR!$A:$A,0),6)),$C156*INDEX(SPPR!$E:$Z,MATCH($A156,SPPR!$A:$A,0),6),""),"")</f>
        <v/>
      </c>
      <c r="J156">
        <f>IFERROR(IF(ISNUMBER(INDEX(SPPR!$E:$Z,MATCH($A156,SPPR!$A:$A,0),7)),$C156*INDEX(SPPR!$E:$Z,MATCH($A156,SPPR!$A:$A,0),7),""),"")</f>
        <v/>
      </c>
      <c r="K156">
        <f>IFERROR(IF(ISNUMBER(INDEX(SPPR!$E:$Z,MATCH($A156,SPPR!$A:$A,0),8)),$C156*INDEX(SPPR!$E:$Z,MATCH($A156,SPPR!$A:$A,0),8),""),"")</f>
        <v/>
      </c>
      <c r="L156">
        <f>IFERROR(IF(ISNUMBER(INDEX(SPPR!$E:$Z,MATCH($A156,SPPR!$A:$A,0),9)),$C156*INDEX(SPPR!$E:$Z,MATCH($A156,SPPR!$A:$A,0),9),""),"")</f>
        <v/>
      </c>
      <c r="M156">
        <f>IFERROR(IF(ISNUMBER(INDEX(SPPR!$E:$Z,MATCH($A156,SPPR!$A:$A,0),10)),$C156*INDEX(SPPR!$E:$Z,MATCH($A156,SPPR!$A:$A,0),10),""),"")</f>
        <v/>
      </c>
      <c r="N156">
        <f>IFERROR(IF(ISNUMBER(INDEX(SPPR!$E:$Z,MATCH($A156,SPPR!$A:$A,0),11)),$C156*INDEX(SPPR!$E:$Z,MATCH($A156,SPPR!$A:$A,0),11),""),"")</f>
        <v/>
      </c>
      <c r="O156">
        <f>IFERROR(IF(ISNUMBER(INDEX(SPPR!$E:$Z,MATCH($A156,SPPR!$A:$A,0),12)),$C156*INDEX(SPPR!$E:$Z,MATCH($A156,SPPR!$A:$A,0),12),""),"")</f>
        <v/>
      </c>
      <c r="P156">
        <f>IFERROR(IF(ISNUMBER(INDEX(SPPR!$E:$Z,MATCH($A156,SPPR!$A:$A,0),13)),$C156*INDEX(SPPR!$E:$Z,MATCH($A156,SPPR!$A:$A,0),13),""),"")</f>
        <v/>
      </c>
      <c r="Q156">
        <f>IFERROR(IF(ISNUMBER(INDEX(SPPR!$E:$Z,MATCH($A156,SPPR!$A:$A,0),14)),$C156*INDEX(SPPR!$E:$Z,MATCH($A156,SPPR!$A:$A,0),14),""),"")</f>
        <v/>
      </c>
      <c r="R156">
        <f>IFERROR(IF(ISNUMBER(INDEX(SPPR!$E:$Z,MATCH($A156,SPPR!$A:$A,0),15)),$C156*INDEX(SPPR!$E:$Z,MATCH($A156,SPPR!$A:$A,0),15),""),"")</f>
        <v/>
      </c>
      <c r="S156">
        <f>IFERROR(IF(ISNUMBER(INDEX(SPPR!$E:$Z,MATCH($A156,SPPR!$A:$A,0),16)),$C156*INDEX(SPPR!$E:$Z,MATCH($A156,SPPR!$A:$A,0),16),""),"")</f>
        <v/>
      </c>
      <c r="T156">
        <f>IFERROR(IF(ISNUMBER(INDEX(SPPR!$E:$Z,MATCH($A156,SPPR!$A:$A,0),17)),$C156*INDEX(SPPR!$E:$Z,MATCH($A156,SPPR!$A:$A,0),17),""),"")</f>
        <v/>
      </c>
      <c r="U156">
        <f>IFERROR(IF(ISNUMBER(INDEX(SPPR!$E:$Z,MATCH($A156,SPPR!$A:$A,0),18)),$C156*INDEX(SPPR!$E:$Z,MATCH($A156,SPPR!$A:$A,0),18),""),"")</f>
        <v/>
      </c>
      <c r="V156">
        <f>IFERROR(IF(ISNUMBER(INDEX(SPPR!$E:$Z,MATCH($A156,SPPR!$A:$A,0),19)),$C156*INDEX(SPPR!$E:$Z,MATCH($A156,SPPR!$A:$A,0),19),""),"")</f>
        <v/>
      </c>
      <c r="W156">
        <f>IFERROR(IF(ISNUMBER(INDEX(SPPR!$E:$Z,MATCH($A156,SPPR!$A:$A,0),20)),$C156*INDEX(SPPR!$E:$Z,MATCH($A156,SPPR!$A:$A,0),20),""),"")</f>
        <v/>
      </c>
      <c r="X156">
        <f>IFERROR(IF(ISNUMBER(INDEX(SPPR!$E:$Z,MATCH($A156,SPPR!$A:$A,0),21)),$C156*INDEX(SPPR!$E:$Z,MATCH($A156,SPPR!$A:$A,0),21),""),"")</f>
        <v/>
      </c>
      <c r="Y156">
        <f>IFERROR(IF(ISNUMBER(INDEX(SPPR!$E:$Z,MATCH($A156,SPPR!$A:$A,0),22)),$C156*INDEX(SPPR!$E:$Z,MATCH($A156,SPPR!$A:$A,0),22),""),"")</f>
        <v/>
      </c>
    </row>
    <row r="157">
      <c r="A157" t="inlineStr">
        <is>
          <t>Cypselurus poecilopterus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IFERROR(IF(ISNUMBER(INDEX(SPPR!$E:$Z,MATCH($A157,SPPR!$A:$A,0),1)),$C157*INDEX(SPPR!$E:$Z,MATCH($A157,SPPR!$A:$A,0),1),""),"")</f>
        <v/>
      </c>
      <c r="E157">
        <f>IFERROR(IF(ISNUMBER(INDEX(SPPR!$E:$Z,MATCH($A157,SPPR!$A:$A,0),2)),$C157*INDEX(SPPR!$E:$Z,MATCH($A157,SPPR!$A:$A,0),2),""),"")</f>
        <v/>
      </c>
      <c r="F157">
        <f>IFERROR(IF(ISNUMBER(INDEX(SPPR!$E:$Z,MATCH($A157,SPPR!$A:$A,0),3)),$C157*INDEX(SPPR!$E:$Z,MATCH($A157,SPPR!$A:$A,0),3),""),"")</f>
        <v/>
      </c>
      <c r="G157">
        <f>IFERROR(IF(ISNUMBER(INDEX(SPPR!$E:$Z,MATCH($A157,SPPR!$A:$A,0),4)),$C157*INDEX(SPPR!$E:$Z,MATCH($A157,SPPR!$A:$A,0),4),""),"")</f>
        <v/>
      </c>
      <c r="H157">
        <f>IFERROR(IF(ISNUMBER(INDEX(SPPR!$E:$Z,MATCH($A157,SPPR!$A:$A,0),5)),$C157*INDEX(SPPR!$E:$Z,MATCH($A157,SPPR!$A:$A,0),5),""),"")</f>
        <v/>
      </c>
      <c r="I157">
        <f>IFERROR(IF(ISNUMBER(INDEX(SPPR!$E:$Z,MATCH($A157,SPPR!$A:$A,0),6)),$C157*INDEX(SPPR!$E:$Z,MATCH($A157,SPPR!$A:$A,0),6),""),"")</f>
        <v/>
      </c>
      <c r="J157">
        <f>IFERROR(IF(ISNUMBER(INDEX(SPPR!$E:$Z,MATCH($A157,SPPR!$A:$A,0),7)),$C157*INDEX(SPPR!$E:$Z,MATCH($A157,SPPR!$A:$A,0),7),""),"")</f>
        <v/>
      </c>
      <c r="K157">
        <f>IFERROR(IF(ISNUMBER(INDEX(SPPR!$E:$Z,MATCH($A157,SPPR!$A:$A,0),8)),$C157*INDEX(SPPR!$E:$Z,MATCH($A157,SPPR!$A:$A,0),8),""),"")</f>
        <v/>
      </c>
      <c r="L157">
        <f>IFERROR(IF(ISNUMBER(INDEX(SPPR!$E:$Z,MATCH($A157,SPPR!$A:$A,0),9)),$C157*INDEX(SPPR!$E:$Z,MATCH($A157,SPPR!$A:$A,0),9),""),"")</f>
        <v/>
      </c>
      <c r="M157">
        <f>IFERROR(IF(ISNUMBER(INDEX(SPPR!$E:$Z,MATCH($A157,SPPR!$A:$A,0),10)),$C157*INDEX(SPPR!$E:$Z,MATCH($A157,SPPR!$A:$A,0),10),""),"")</f>
        <v/>
      </c>
      <c r="N157">
        <f>IFERROR(IF(ISNUMBER(INDEX(SPPR!$E:$Z,MATCH($A157,SPPR!$A:$A,0),11)),$C157*INDEX(SPPR!$E:$Z,MATCH($A157,SPPR!$A:$A,0),11),""),"")</f>
        <v/>
      </c>
      <c r="O157">
        <f>IFERROR(IF(ISNUMBER(INDEX(SPPR!$E:$Z,MATCH($A157,SPPR!$A:$A,0),12)),$C157*INDEX(SPPR!$E:$Z,MATCH($A157,SPPR!$A:$A,0),12),""),"")</f>
        <v/>
      </c>
      <c r="P157">
        <f>IFERROR(IF(ISNUMBER(INDEX(SPPR!$E:$Z,MATCH($A157,SPPR!$A:$A,0),13)),$C157*INDEX(SPPR!$E:$Z,MATCH($A157,SPPR!$A:$A,0),13),""),"")</f>
        <v/>
      </c>
      <c r="Q157">
        <f>IFERROR(IF(ISNUMBER(INDEX(SPPR!$E:$Z,MATCH($A157,SPPR!$A:$A,0),14)),$C157*INDEX(SPPR!$E:$Z,MATCH($A157,SPPR!$A:$A,0),14),""),"")</f>
        <v/>
      </c>
      <c r="R157">
        <f>IFERROR(IF(ISNUMBER(INDEX(SPPR!$E:$Z,MATCH($A157,SPPR!$A:$A,0),15)),$C157*INDEX(SPPR!$E:$Z,MATCH($A157,SPPR!$A:$A,0),15),""),"")</f>
        <v/>
      </c>
      <c r="S157">
        <f>IFERROR(IF(ISNUMBER(INDEX(SPPR!$E:$Z,MATCH($A157,SPPR!$A:$A,0),16)),$C157*INDEX(SPPR!$E:$Z,MATCH($A157,SPPR!$A:$A,0),16),""),"")</f>
        <v/>
      </c>
      <c r="T157">
        <f>IFERROR(IF(ISNUMBER(INDEX(SPPR!$E:$Z,MATCH($A157,SPPR!$A:$A,0),17)),$C157*INDEX(SPPR!$E:$Z,MATCH($A157,SPPR!$A:$A,0),17),""),"")</f>
        <v/>
      </c>
      <c r="U157">
        <f>IFERROR(IF(ISNUMBER(INDEX(SPPR!$E:$Z,MATCH($A157,SPPR!$A:$A,0),18)),$C157*INDEX(SPPR!$E:$Z,MATCH($A157,SPPR!$A:$A,0),18),""),"")</f>
        <v/>
      </c>
      <c r="V157">
        <f>IFERROR(IF(ISNUMBER(INDEX(SPPR!$E:$Z,MATCH($A157,SPPR!$A:$A,0),19)),$C157*INDEX(SPPR!$E:$Z,MATCH($A157,SPPR!$A:$A,0),19),""),"")</f>
        <v/>
      </c>
      <c r="W157">
        <f>IFERROR(IF(ISNUMBER(INDEX(SPPR!$E:$Z,MATCH($A157,SPPR!$A:$A,0),20)),$C157*INDEX(SPPR!$E:$Z,MATCH($A157,SPPR!$A:$A,0),20),""),"")</f>
        <v/>
      </c>
      <c r="X157">
        <f>IFERROR(IF(ISNUMBER(INDEX(SPPR!$E:$Z,MATCH($A157,SPPR!$A:$A,0),21)),$C157*INDEX(SPPR!$E:$Z,MATCH($A157,SPPR!$A:$A,0),21),""),"")</f>
        <v/>
      </c>
      <c r="Y157">
        <f>IFERROR(IF(ISNUMBER(INDEX(SPPR!$E:$Z,MATCH($A157,SPPR!$A:$A,0),22)),$C157*INDEX(SPPR!$E:$Z,MATCH($A157,SPPR!$A:$A,0),22),""),"")</f>
        <v/>
      </c>
    </row>
    <row r="158">
      <c r="A158" t="inlineStr">
        <is>
          <t>Decapterus russelli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IFERROR(IF(ISNUMBER(INDEX(SPPR!$E:$Z,MATCH($A158,SPPR!$A:$A,0),1)),$C158*INDEX(SPPR!$E:$Z,MATCH($A158,SPPR!$A:$A,0),1),""),"")</f>
        <v/>
      </c>
      <c r="E158">
        <f>IFERROR(IF(ISNUMBER(INDEX(SPPR!$E:$Z,MATCH($A158,SPPR!$A:$A,0),2)),$C158*INDEX(SPPR!$E:$Z,MATCH($A158,SPPR!$A:$A,0),2),""),"")</f>
        <v/>
      </c>
      <c r="F158">
        <f>IFERROR(IF(ISNUMBER(INDEX(SPPR!$E:$Z,MATCH($A158,SPPR!$A:$A,0),3)),$C158*INDEX(SPPR!$E:$Z,MATCH($A158,SPPR!$A:$A,0),3),""),"")</f>
        <v/>
      </c>
      <c r="G158">
        <f>IFERROR(IF(ISNUMBER(INDEX(SPPR!$E:$Z,MATCH($A158,SPPR!$A:$A,0),4)),$C158*INDEX(SPPR!$E:$Z,MATCH($A158,SPPR!$A:$A,0),4),""),"")</f>
        <v/>
      </c>
      <c r="H158">
        <f>IFERROR(IF(ISNUMBER(INDEX(SPPR!$E:$Z,MATCH($A158,SPPR!$A:$A,0),5)),$C158*INDEX(SPPR!$E:$Z,MATCH($A158,SPPR!$A:$A,0),5),""),"")</f>
        <v/>
      </c>
      <c r="I158">
        <f>IFERROR(IF(ISNUMBER(INDEX(SPPR!$E:$Z,MATCH($A158,SPPR!$A:$A,0),6)),$C158*INDEX(SPPR!$E:$Z,MATCH($A158,SPPR!$A:$A,0),6),""),"")</f>
        <v/>
      </c>
      <c r="J158">
        <f>IFERROR(IF(ISNUMBER(INDEX(SPPR!$E:$Z,MATCH($A158,SPPR!$A:$A,0),7)),$C158*INDEX(SPPR!$E:$Z,MATCH($A158,SPPR!$A:$A,0),7),""),"")</f>
        <v/>
      </c>
      <c r="K158">
        <f>IFERROR(IF(ISNUMBER(INDEX(SPPR!$E:$Z,MATCH($A158,SPPR!$A:$A,0),8)),$C158*INDEX(SPPR!$E:$Z,MATCH($A158,SPPR!$A:$A,0),8),""),"")</f>
        <v/>
      </c>
      <c r="L158">
        <f>IFERROR(IF(ISNUMBER(INDEX(SPPR!$E:$Z,MATCH($A158,SPPR!$A:$A,0),9)),$C158*INDEX(SPPR!$E:$Z,MATCH($A158,SPPR!$A:$A,0),9),""),"")</f>
        <v/>
      </c>
      <c r="M158">
        <f>IFERROR(IF(ISNUMBER(INDEX(SPPR!$E:$Z,MATCH($A158,SPPR!$A:$A,0),10)),$C158*INDEX(SPPR!$E:$Z,MATCH($A158,SPPR!$A:$A,0),10),""),"")</f>
        <v/>
      </c>
      <c r="N158">
        <f>IFERROR(IF(ISNUMBER(INDEX(SPPR!$E:$Z,MATCH($A158,SPPR!$A:$A,0),11)),$C158*INDEX(SPPR!$E:$Z,MATCH($A158,SPPR!$A:$A,0),11),""),"")</f>
        <v/>
      </c>
      <c r="O158">
        <f>IFERROR(IF(ISNUMBER(INDEX(SPPR!$E:$Z,MATCH($A158,SPPR!$A:$A,0),12)),$C158*INDEX(SPPR!$E:$Z,MATCH($A158,SPPR!$A:$A,0),12),""),"")</f>
        <v/>
      </c>
      <c r="P158">
        <f>IFERROR(IF(ISNUMBER(INDEX(SPPR!$E:$Z,MATCH($A158,SPPR!$A:$A,0),13)),$C158*INDEX(SPPR!$E:$Z,MATCH($A158,SPPR!$A:$A,0),13),""),"")</f>
        <v/>
      </c>
      <c r="Q158">
        <f>IFERROR(IF(ISNUMBER(INDEX(SPPR!$E:$Z,MATCH($A158,SPPR!$A:$A,0),14)),$C158*INDEX(SPPR!$E:$Z,MATCH($A158,SPPR!$A:$A,0),14),""),"")</f>
        <v/>
      </c>
      <c r="R158">
        <f>IFERROR(IF(ISNUMBER(INDEX(SPPR!$E:$Z,MATCH($A158,SPPR!$A:$A,0),15)),$C158*INDEX(SPPR!$E:$Z,MATCH($A158,SPPR!$A:$A,0),15),""),"")</f>
        <v/>
      </c>
      <c r="S158">
        <f>IFERROR(IF(ISNUMBER(INDEX(SPPR!$E:$Z,MATCH($A158,SPPR!$A:$A,0),16)),$C158*INDEX(SPPR!$E:$Z,MATCH($A158,SPPR!$A:$A,0),16),""),"")</f>
        <v/>
      </c>
      <c r="T158">
        <f>IFERROR(IF(ISNUMBER(INDEX(SPPR!$E:$Z,MATCH($A158,SPPR!$A:$A,0),17)),$C158*INDEX(SPPR!$E:$Z,MATCH($A158,SPPR!$A:$A,0),17),""),"")</f>
        <v/>
      </c>
      <c r="U158">
        <f>IFERROR(IF(ISNUMBER(INDEX(SPPR!$E:$Z,MATCH($A158,SPPR!$A:$A,0),18)),$C158*INDEX(SPPR!$E:$Z,MATCH($A158,SPPR!$A:$A,0),18),""),"")</f>
        <v/>
      </c>
      <c r="V158">
        <f>IFERROR(IF(ISNUMBER(INDEX(SPPR!$E:$Z,MATCH($A158,SPPR!$A:$A,0),19)),$C158*INDEX(SPPR!$E:$Z,MATCH($A158,SPPR!$A:$A,0),19),""),"")</f>
        <v/>
      </c>
      <c r="W158">
        <f>IFERROR(IF(ISNUMBER(INDEX(SPPR!$E:$Z,MATCH($A158,SPPR!$A:$A,0),20)),$C158*INDEX(SPPR!$E:$Z,MATCH($A158,SPPR!$A:$A,0),20),""),"")</f>
        <v/>
      </c>
      <c r="X158">
        <f>IFERROR(IF(ISNUMBER(INDEX(SPPR!$E:$Z,MATCH($A158,SPPR!$A:$A,0),21)),$C158*INDEX(SPPR!$E:$Z,MATCH($A158,SPPR!$A:$A,0),21),""),"")</f>
        <v/>
      </c>
      <c r="Y158">
        <f>IFERROR(IF(ISNUMBER(INDEX(SPPR!$E:$Z,MATCH($A158,SPPR!$A:$A,0),22)),$C158*INDEX(SPPR!$E:$Z,MATCH($A158,SPPR!$A:$A,0),22),""),"")</f>
        <v/>
      </c>
    </row>
    <row r="159">
      <c r="A159" t="inlineStr">
        <is>
          <t>Lethrinidae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IFERROR(IF(ISNUMBER(INDEX(SPPR!$E:$Z,MATCH($A159,SPPR!$A:$A,0),1)),$C159*INDEX(SPPR!$E:$Z,MATCH($A159,SPPR!$A:$A,0),1),""),"")</f>
        <v/>
      </c>
      <c r="E159">
        <f>IFERROR(IF(ISNUMBER(INDEX(SPPR!$E:$Z,MATCH($A159,SPPR!$A:$A,0),2)),$C159*INDEX(SPPR!$E:$Z,MATCH($A159,SPPR!$A:$A,0),2),""),"")</f>
        <v/>
      </c>
      <c r="F159">
        <f>IFERROR(IF(ISNUMBER(INDEX(SPPR!$E:$Z,MATCH($A159,SPPR!$A:$A,0),3)),$C159*INDEX(SPPR!$E:$Z,MATCH($A159,SPPR!$A:$A,0),3),""),"")</f>
        <v/>
      </c>
      <c r="G159">
        <f>IFERROR(IF(ISNUMBER(INDEX(SPPR!$E:$Z,MATCH($A159,SPPR!$A:$A,0),4)),$C159*INDEX(SPPR!$E:$Z,MATCH($A159,SPPR!$A:$A,0),4),""),"")</f>
        <v/>
      </c>
      <c r="H159">
        <f>IFERROR(IF(ISNUMBER(INDEX(SPPR!$E:$Z,MATCH($A159,SPPR!$A:$A,0),5)),$C159*INDEX(SPPR!$E:$Z,MATCH($A159,SPPR!$A:$A,0),5),""),"")</f>
        <v/>
      </c>
      <c r="I159">
        <f>IFERROR(IF(ISNUMBER(INDEX(SPPR!$E:$Z,MATCH($A159,SPPR!$A:$A,0),6)),$C159*INDEX(SPPR!$E:$Z,MATCH($A159,SPPR!$A:$A,0),6),""),"")</f>
        <v/>
      </c>
      <c r="J159">
        <f>IFERROR(IF(ISNUMBER(INDEX(SPPR!$E:$Z,MATCH($A159,SPPR!$A:$A,0),7)),$C159*INDEX(SPPR!$E:$Z,MATCH($A159,SPPR!$A:$A,0),7),""),"")</f>
        <v/>
      </c>
      <c r="K159">
        <f>IFERROR(IF(ISNUMBER(INDEX(SPPR!$E:$Z,MATCH($A159,SPPR!$A:$A,0),8)),$C159*INDEX(SPPR!$E:$Z,MATCH($A159,SPPR!$A:$A,0),8),""),"")</f>
        <v/>
      </c>
      <c r="L159">
        <f>IFERROR(IF(ISNUMBER(INDEX(SPPR!$E:$Z,MATCH($A159,SPPR!$A:$A,0),9)),$C159*INDEX(SPPR!$E:$Z,MATCH($A159,SPPR!$A:$A,0),9),""),"")</f>
        <v/>
      </c>
      <c r="M159">
        <f>IFERROR(IF(ISNUMBER(INDEX(SPPR!$E:$Z,MATCH($A159,SPPR!$A:$A,0),10)),$C159*INDEX(SPPR!$E:$Z,MATCH($A159,SPPR!$A:$A,0),10),""),"")</f>
        <v/>
      </c>
      <c r="N159">
        <f>IFERROR(IF(ISNUMBER(INDEX(SPPR!$E:$Z,MATCH($A159,SPPR!$A:$A,0),11)),$C159*INDEX(SPPR!$E:$Z,MATCH($A159,SPPR!$A:$A,0),11),""),"")</f>
        <v/>
      </c>
      <c r="O159">
        <f>IFERROR(IF(ISNUMBER(INDEX(SPPR!$E:$Z,MATCH($A159,SPPR!$A:$A,0),12)),$C159*INDEX(SPPR!$E:$Z,MATCH($A159,SPPR!$A:$A,0),12),""),"")</f>
        <v/>
      </c>
      <c r="P159">
        <f>IFERROR(IF(ISNUMBER(INDEX(SPPR!$E:$Z,MATCH($A159,SPPR!$A:$A,0),13)),$C159*INDEX(SPPR!$E:$Z,MATCH($A159,SPPR!$A:$A,0),13),""),"")</f>
        <v/>
      </c>
      <c r="Q159">
        <f>IFERROR(IF(ISNUMBER(INDEX(SPPR!$E:$Z,MATCH($A159,SPPR!$A:$A,0),14)),$C159*INDEX(SPPR!$E:$Z,MATCH($A159,SPPR!$A:$A,0),14),""),"")</f>
        <v/>
      </c>
      <c r="R159">
        <f>IFERROR(IF(ISNUMBER(INDEX(SPPR!$E:$Z,MATCH($A159,SPPR!$A:$A,0),15)),$C159*INDEX(SPPR!$E:$Z,MATCH($A159,SPPR!$A:$A,0),15),""),"")</f>
        <v/>
      </c>
      <c r="S159">
        <f>IFERROR(IF(ISNUMBER(INDEX(SPPR!$E:$Z,MATCH($A159,SPPR!$A:$A,0),16)),$C159*INDEX(SPPR!$E:$Z,MATCH($A159,SPPR!$A:$A,0),16),""),"")</f>
        <v/>
      </c>
      <c r="T159">
        <f>IFERROR(IF(ISNUMBER(INDEX(SPPR!$E:$Z,MATCH($A159,SPPR!$A:$A,0),17)),$C159*INDEX(SPPR!$E:$Z,MATCH($A159,SPPR!$A:$A,0),17),""),"")</f>
        <v/>
      </c>
      <c r="U159">
        <f>IFERROR(IF(ISNUMBER(INDEX(SPPR!$E:$Z,MATCH($A159,SPPR!$A:$A,0),18)),$C159*INDEX(SPPR!$E:$Z,MATCH($A159,SPPR!$A:$A,0),18),""),"")</f>
        <v/>
      </c>
      <c r="V159">
        <f>IFERROR(IF(ISNUMBER(INDEX(SPPR!$E:$Z,MATCH($A159,SPPR!$A:$A,0),19)),$C159*INDEX(SPPR!$E:$Z,MATCH($A159,SPPR!$A:$A,0),19),""),"")</f>
        <v/>
      </c>
      <c r="W159">
        <f>IFERROR(IF(ISNUMBER(INDEX(SPPR!$E:$Z,MATCH($A159,SPPR!$A:$A,0),20)),$C159*INDEX(SPPR!$E:$Z,MATCH($A159,SPPR!$A:$A,0),20),""),"")</f>
        <v/>
      </c>
      <c r="X159">
        <f>IFERROR(IF(ISNUMBER(INDEX(SPPR!$E:$Z,MATCH($A159,SPPR!$A:$A,0),21)),$C159*INDEX(SPPR!$E:$Z,MATCH($A159,SPPR!$A:$A,0),21),""),"")</f>
        <v/>
      </c>
      <c r="Y159">
        <f>IFERROR(IF(ISNUMBER(INDEX(SPPR!$E:$Z,MATCH($A159,SPPR!$A:$A,0),22)),$C159*INDEX(SPPR!$E:$Z,MATCH($A159,SPPR!$A:$A,0),22),""),"")</f>
        <v/>
      </c>
    </row>
    <row r="160">
      <c r="A160" t="inlineStr">
        <is>
          <t>Scomberoides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IFERROR(IF(ISNUMBER(INDEX(SPPR!$E:$Z,MATCH($A160,SPPR!$A:$A,0),1)),$C160*INDEX(SPPR!$E:$Z,MATCH($A160,SPPR!$A:$A,0),1),""),"")</f>
        <v/>
      </c>
      <c r="E160">
        <f>IFERROR(IF(ISNUMBER(INDEX(SPPR!$E:$Z,MATCH($A160,SPPR!$A:$A,0),2)),$C160*INDEX(SPPR!$E:$Z,MATCH($A160,SPPR!$A:$A,0),2),""),"")</f>
        <v/>
      </c>
      <c r="F160">
        <f>IFERROR(IF(ISNUMBER(INDEX(SPPR!$E:$Z,MATCH($A160,SPPR!$A:$A,0),3)),$C160*INDEX(SPPR!$E:$Z,MATCH($A160,SPPR!$A:$A,0),3),""),"")</f>
        <v/>
      </c>
      <c r="G160">
        <f>IFERROR(IF(ISNUMBER(INDEX(SPPR!$E:$Z,MATCH($A160,SPPR!$A:$A,0),4)),$C160*INDEX(SPPR!$E:$Z,MATCH($A160,SPPR!$A:$A,0),4),""),"")</f>
        <v/>
      </c>
      <c r="H160">
        <f>IFERROR(IF(ISNUMBER(INDEX(SPPR!$E:$Z,MATCH($A160,SPPR!$A:$A,0),5)),$C160*INDEX(SPPR!$E:$Z,MATCH($A160,SPPR!$A:$A,0),5),""),"")</f>
        <v/>
      </c>
      <c r="I160">
        <f>IFERROR(IF(ISNUMBER(INDEX(SPPR!$E:$Z,MATCH($A160,SPPR!$A:$A,0),6)),$C160*INDEX(SPPR!$E:$Z,MATCH($A160,SPPR!$A:$A,0),6),""),"")</f>
        <v/>
      </c>
      <c r="J160">
        <f>IFERROR(IF(ISNUMBER(INDEX(SPPR!$E:$Z,MATCH($A160,SPPR!$A:$A,0),7)),$C160*INDEX(SPPR!$E:$Z,MATCH($A160,SPPR!$A:$A,0),7),""),"")</f>
        <v/>
      </c>
      <c r="K160">
        <f>IFERROR(IF(ISNUMBER(INDEX(SPPR!$E:$Z,MATCH($A160,SPPR!$A:$A,0),8)),$C160*INDEX(SPPR!$E:$Z,MATCH($A160,SPPR!$A:$A,0),8),""),"")</f>
        <v/>
      </c>
      <c r="L160">
        <f>IFERROR(IF(ISNUMBER(INDEX(SPPR!$E:$Z,MATCH($A160,SPPR!$A:$A,0),9)),$C160*INDEX(SPPR!$E:$Z,MATCH($A160,SPPR!$A:$A,0),9),""),"")</f>
        <v/>
      </c>
      <c r="M160">
        <f>IFERROR(IF(ISNUMBER(INDEX(SPPR!$E:$Z,MATCH($A160,SPPR!$A:$A,0),10)),$C160*INDEX(SPPR!$E:$Z,MATCH($A160,SPPR!$A:$A,0),10),""),"")</f>
        <v/>
      </c>
      <c r="N160">
        <f>IFERROR(IF(ISNUMBER(INDEX(SPPR!$E:$Z,MATCH($A160,SPPR!$A:$A,0),11)),$C160*INDEX(SPPR!$E:$Z,MATCH($A160,SPPR!$A:$A,0),11),""),"")</f>
        <v/>
      </c>
      <c r="O160">
        <f>IFERROR(IF(ISNUMBER(INDEX(SPPR!$E:$Z,MATCH($A160,SPPR!$A:$A,0),12)),$C160*INDEX(SPPR!$E:$Z,MATCH($A160,SPPR!$A:$A,0),12),""),"")</f>
        <v/>
      </c>
      <c r="P160">
        <f>IFERROR(IF(ISNUMBER(INDEX(SPPR!$E:$Z,MATCH($A160,SPPR!$A:$A,0),13)),$C160*INDEX(SPPR!$E:$Z,MATCH($A160,SPPR!$A:$A,0),13),""),"")</f>
        <v/>
      </c>
      <c r="Q160">
        <f>IFERROR(IF(ISNUMBER(INDEX(SPPR!$E:$Z,MATCH($A160,SPPR!$A:$A,0),14)),$C160*INDEX(SPPR!$E:$Z,MATCH($A160,SPPR!$A:$A,0),14),""),"")</f>
        <v/>
      </c>
      <c r="R160">
        <f>IFERROR(IF(ISNUMBER(INDEX(SPPR!$E:$Z,MATCH($A160,SPPR!$A:$A,0),15)),$C160*INDEX(SPPR!$E:$Z,MATCH($A160,SPPR!$A:$A,0),15),""),"")</f>
        <v/>
      </c>
      <c r="S160">
        <f>IFERROR(IF(ISNUMBER(INDEX(SPPR!$E:$Z,MATCH($A160,SPPR!$A:$A,0),16)),$C160*INDEX(SPPR!$E:$Z,MATCH($A160,SPPR!$A:$A,0),16),""),"")</f>
        <v/>
      </c>
      <c r="T160">
        <f>IFERROR(IF(ISNUMBER(INDEX(SPPR!$E:$Z,MATCH($A160,SPPR!$A:$A,0),17)),$C160*INDEX(SPPR!$E:$Z,MATCH($A160,SPPR!$A:$A,0),17),""),"")</f>
        <v/>
      </c>
      <c r="U160">
        <f>IFERROR(IF(ISNUMBER(INDEX(SPPR!$E:$Z,MATCH($A160,SPPR!$A:$A,0),18)),$C160*INDEX(SPPR!$E:$Z,MATCH($A160,SPPR!$A:$A,0),18),""),"")</f>
        <v/>
      </c>
      <c r="V160">
        <f>IFERROR(IF(ISNUMBER(INDEX(SPPR!$E:$Z,MATCH($A160,SPPR!$A:$A,0),19)),$C160*INDEX(SPPR!$E:$Z,MATCH($A160,SPPR!$A:$A,0),19),""),"")</f>
        <v/>
      </c>
      <c r="W160">
        <f>IFERROR(IF(ISNUMBER(INDEX(SPPR!$E:$Z,MATCH($A160,SPPR!$A:$A,0),20)),$C160*INDEX(SPPR!$E:$Z,MATCH($A160,SPPR!$A:$A,0),20),""),"")</f>
        <v/>
      </c>
      <c r="X160">
        <f>IFERROR(IF(ISNUMBER(INDEX(SPPR!$E:$Z,MATCH($A160,SPPR!$A:$A,0),21)),$C160*INDEX(SPPR!$E:$Z,MATCH($A160,SPPR!$A:$A,0),21),""),"")</f>
        <v/>
      </c>
      <c r="Y160">
        <f>IFERROR(IF(ISNUMBER(INDEX(SPPR!$E:$Z,MATCH($A160,SPPR!$A:$A,0),22)),$C160*INDEX(SPPR!$E:$Z,MATCH($A160,SPPR!$A:$A,0),22),""),"")</f>
        <v/>
      </c>
    </row>
    <row r="161">
      <c r="A161" t="inlineStr">
        <is>
          <t>Caranx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IFERROR(IF(ISNUMBER(INDEX(SPPR!$E:$Z,MATCH($A161,SPPR!$A:$A,0),1)),$C161*INDEX(SPPR!$E:$Z,MATCH($A161,SPPR!$A:$A,0),1),""),"")</f>
        <v/>
      </c>
      <c r="E161">
        <f>IFERROR(IF(ISNUMBER(INDEX(SPPR!$E:$Z,MATCH($A161,SPPR!$A:$A,0),2)),$C161*INDEX(SPPR!$E:$Z,MATCH($A161,SPPR!$A:$A,0),2),""),"")</f>
        <v/>
      </c>
      <c r="F161">
        <f>IFERROR(IF(ISNUMBER(INDEX(SPPR!$E:$Z,MATCH($A161,SPPR!$A:$A,0),3)),$C161*INDEX(SPPR!$E:$Z,MATCH($A161,SPPR!$A:$A,0),3),""),"")</f>
        <v/>
      </c>
      <c r="G161">
        <f>IFERROR(IF(ISNUMBER(INDEX(SPPR!$E:$Z,MATCH($A161,SPPR!$A:$A,0),4)),$C161*INDEX(SPPR!$E:$Z,MATCH($A161,SPPR!$A:$A,0),4),""),"")</f>
        <v/>
      </c>
      <c r="H161">
        <f>IFERROR(IF(ISNUMBER(INDEX(SPPR!$E:$Z,MATCH($A161,SPPR!$A:$A,0),5)),$C161*INDEX(SPPR!$E:$Z,MATCH($A161,SPPR!$A:$A,0),5),""),"")</f>
        <v/>
      </c>
      <c r="I161">
        <f>IFERROR(IF(ISNUMBER(INDEX(SPPR!$E:$Z,MATCH($A161,SPPR!$A:$A,0),6)),$C161*INDEX(SPPR!$E:$Z,MATCH($A161,SPPR!$A:$A,0),6),""),"")</f>
        <v/>
      </c>
      <c r="J161">
        <f>IFERROR(IF(ISNUMBER(INDEX(SPPR!$E:$Z,MATCH($A161,SPPR!$A:$A,0),7)),$C161*INDEX(SPPR!$E:$Z,MATCH($A161,SPPR!$A:$A,0),7),""),"")</f>
        <v/>
      </c>
      <c r="K161">
        <f>IFERROR(IF(ISNUMBER(INDEX(SPPR!$E:$Z,MATCH($A161,SPPR!$A:$A,0),8)),$C161*INDEX(SPPR!$E:$Z,MATCH($A161,SPPR!$A:$A,0),8),""),"")</f>
        <v/>
      </c>
      <c r="L161">
        <f>IFERROR(IF(ISNUMBER(INDEX(SPPR!$E:$Z,MATCH($A161,SPPR!$A:$A,0),9)),$C161*INDEX(SPPR!$E:$Z,MATCH($A161,SPPR!$A:$A,0),9),""),"")</f>
        <v/>
      </c>
      <c r="M161">
        <f>IFERROR(IF(ISNUMBER(INDEX(SPPR!$E:$Z,MATCH($A161,SPPR!$A:$A,0),10)),$C161*INDEX(SPPR!$E:$Z,MATCH($A161,SPPR!$A:$A,0),10),""),"")</f>
        <v/>
      </c>
      <c r="N161">
        <f>IFERROR(IF(ISNUMBER(INDEX(SPPR!$E:$Z,MATCH($A161,SPPR!$A:$A,0),11)),$C161*INDEX(SPPR!$E:$Z,MATCH($A161,SPPR!$A:$A,0),11),""),"")</f>
        <v/>
      </c>
      <c r="O161">
        <f>IFERROR(IF(ISNUMBER(INDEX(SPPR!$E:$Z,MATCH($A161,SPPR!$A:$A,0),12)),$C161*INDEX(SPPR!$E:$Z,MATCH($A161,SPPR!$A:$A,0),12),""),"")</f>
        <v/>
      </c>
      <c r="P161">
        <f>IFERROR(IF(ISNUMBER(INDEX(SPPR!$E:$Z,MATCH($A161,SPPR!$A:$A,0),13)),$C161*INDEX(SPPR!$E:$Z,MATCH($A161,SPPR!$A:$A,0),13),""),"")</f>
        <v/>
      </c>
      <c r="Q161">
        <f>IFERROR(IF(ISNUMBER(INDEX(SPPR!$E:$Z,MATCH($A161,SPPR!$A:$A,0),14)),$C161*INDEX(SPPR!$E:$Z,MATCH($A161,SPPR!$A:$A,0),14),""),"")</f>
        <v/>
      </c>
      <c r="R161">
        <f>IFERROR(IF(ISNUMBER(INDEX(SPPR!$E:$Z,MATCH($A161,SPPR!$A:$A,0),15)),$C161*INDEX(SPPR!$E:$Z,MATCH($A161,SPPR!$A:$A,0),15),""),"")</f>
        <v/>
      </c>
      <c r="S161">
        <f>IFERROR(IF(ISNUMBER(INDEX(SPPR!$E:$Z,MATCH($A161,SPPR!$A:$A,0),16)),$C161*INDEX(SPPR!$E:$Z,MATCH($A161,SPPR!$A:$A,0),16),""),"")</f>
        <v/>
      </c>
      <c r="T161">
        <f>IFERROR(IF(ISNUMBER(INDEX(SPPR!$E:$Z,MATCH($A161,SPPR!$A:$A,0),17)),$C161*INDEX(SPPR!$E:$Z,MATCH($A161,SPPR!$A:$A,0),17),""),"")</f>
        <v/>
      </c>
      <c r="U161">
        <f>IFERROR(IF(ISNUMBER(INDEX(SPPR!$E:$Z,MATCH($A161,SPPR!$A:$A,0),18)),$C161*INDEX(SPPR!$E:$Z,MATCH($A161,SPPR!$A:$A,0),18),""),"")</f>
        <v/>
      </c>
      <c r="V161">
        <f>IFERROR(IF(ISNUMBER(INDEX(SPPR!$E:$Z,MATCH($A161,SPPR!$A:$A,0),19)),$C161*INDEX(SPPR!$E:$Z,MATCH($A161,SPPR!$A:$A,0),19),""),"")</f>
        <v/>
      </c>
      <c r="W161">
        <f>IFERROR(IF(ISNUMBER(INDEX(SPPR!$E:$Z,MATCH($A161,SPPR!$A:$A,0),20)),$C161*INDEX(SPPR!$E:$Z,MATCH($A161,SPPR!$A:$A,0),20),""),"")</f>
        <v/>
      </c>
      <c r="X161">
        <f>IFERROR(IF(ISNUMBER(INDEX(SPPR!$E:$Z,MATCH($A161,SPPR!$A:$A,0),21)),$C161*INDEX(SPPR!$E:$Z,MATCH($A161,SPPR!$A:$A,0),21),""),"")</f>
        <v/>
      </c>
      <c r="Y161">
        <f>IFERROR(IF(ISNUMBER(INDEX(SPPR!$E:$Z,MATCH($A161,SPPR!$A:$A,0),22)),$C161*INDEX(SPPR!$E:$Z,MATCH($A161,SPPR!$A:$A,0),22),""),"")</f>
        <v/>
      </c>
    </row>
    <row r="162">
      <c r="A162" t="inlineStr">
        <is>
          <t>Muraenesox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IFERROR(IF(ISNUMBER(INDEX(SPPR!$E:$Z,MATCH($A162,SPPR!$A:$A,0),1)),$C162*INDEX(SPPR!$E:$Z,MATCH($A162,SPPR!$A:$A,0),1),""),"")</f>
        <v/>
      </c>
      <c r="E162">
        <f>IFERROR(IF(ISNUMBER(INDEX(SPPR!$E:$Z,MATCH($A162,SPPR!$A:$A,0),2)),$C162*INDEX(SPPR!$E:$Z,MATCH($A162,SPPR!$A:$A,0),2),""),"")</f>
        <v/>
      </c>
      <c r="F162">
        <f>IFERROR(IF(ISNUMBER(INDEX(SPPR!$E:$Z,MATCH($A162,SPPR!$A:$A,0),3)),$C162*INDEX(SPPR!$E:$Z,MATCH($A162,SPPR!$A:$A,0),3),""),"")</f>
        <v/>
      </c>
      <c r="G162">
        <f>IFERROR(IF(ISNUMBER(INDEX(SPPR!$E:$Z,MATCH($A162,SPPR!$A:$A,0),4)),$C162*INDEX(SPPR!$E:$Z,MATCH($A162,SPPR!$A:$A,0),4),""),"")</f>
        <v/>
      </c>
      <c r="H162">
        <f>IFERROR(IF(ISNUMBER(INDEX(SPPR!$E:$Z,MATCH($A162,SPPR!$A:$A,0),5)),$C162*INDEX(SPPR!$E:$Z,MATCH($A162,SPPR!$A:$A,0),5),""),"")</f>
        <v/>
      </c>
      <c r="I162">
        <f>IFERROR(IF(ISNUMBER(INDEX(SPPR!$E:$Z,MATCH($A162,SPPR!$A:$A,0),6)),$C162*INDEX(SPPR!$E:$Z,MATCH($A162,SPPR!$A:$A,0),6),""),"")</f>
        <v/>
      </c>
      <c r="J162">
        <f>IFERROR(IF(ISNUMBER(INDEX(SPPR!$E:$Z,MATCH($A162,SPPR!$A:$A,0),7)),$C162*INDEX(SPPR!$E:$Z,MATCH($A162,SPPR!$A:$A,0),7),""),"")</f>
        <v/>
      </c>
      <c r="K162">
        <f>IFERROR(IF(ISNUMBER(INDEX(SPPR!$E:$Z,MATCH($A162,SPPR!$A:$A,0),8)),$C162*INDEX(SPPR!$E:$Z,MATCH($A162,SPPR!$A:$A,0),8),""),"")</f>
        <v/>
      </c>
      <c r="L162">
        <f>IFERROR(IF(ISNUMBER(INDEX(SPPR!$E:$Z,MATCH($A162,SPPR!$A:$A,0),9)),$C162*INDEX(SPPR!$E:$Z,MATCH($A162,SPPR!$A:$A,0),9),""),"")</f>
        <v/>
      </c>
      <c r="M162">
        <f>IFERROR(IF(ISNUMBER(INDEX(SPPR!$E:$Z,MATCH($A162,SPPR!$A:$A,0),10)),$C162*INDEX(SPPR!$E:$Z,MATCH($A162,SPPR!$A:$A,0),10),""),"")</f>
        <v/>
      </c>
      <c r="N162">
        <f>IFERROR(IF(ISNUMBER(INDEX(SPPR!$E:$Z,MATCH($A162,SPPR!$A:$A,0),11)),$C162*INDEX(SPPR!$E:$Z,MATCH($A162,SPPR!$A:$A,0),11),""),"")</f>
        <v/>
      </c>
      <c r="O162">
        <f>IFERROR(IF(ISNUMBER(INDEX(SPPR!$E:$Z,MATCH($A162,SPPR!$A:$A,0),12)),$C162*INDEX(SPPR!$E:$Z,MATCH($A162,SPPR!$A:$A,0),12),""),"")</f>
        <v/>
      </c>
      <c r="P162">
        <f>IFERROR(IF(ISNUMBER(INDEX(SPPR!$E:$Z,MATCH($A162,SPPR!$A:$A,0),13)),$C162*INDEX(SPPR!$E:$Z,MATCH($A162,SPPR!$A:$A,0),13),""),"")</f>
        <v/>
      </c>
      <c r="Q162">
        <f>IFERROR(IF(ISNUMBER(INDEX(SPPR!$E:$Z,MATCH($A162,SPPR!$A:$A,0),14)),$C162*INDEX(SPPR!$E:$Z,MATCH($A162,SPPR!$A:$A,0),14),""),"")</f>
        <v/>
      </c>
      <c r="R162">
        <f>IFERROR(IF(ISNUMBER(INDEX(SPPR!$E:$Z,MATCH($A162,SPPR!$A:$A,0),15)),$C162*INDEX(SPPR!$E:$Z,MATCH($A162,SPPR!$A:$A,0),15),""),"")</f>
        <v/>
      </c>
      <c r="S162">
        <f>IFERROR(IF(ISNUMBER(INDEX(SPPR!$E:$Z,MATCH($A162,SPPR!$A:$A,0),16)),$C162*INDEX(SPPR!$E:$Z,MATCH($A162,SPPR!$A:$A,0),16),""),"")</f>
        <v/>
      </c>
      <c r="T162">
        <f>IFERROR(IF(ISNUMBER(INDEX(SPPR!$E:$Z,MATCH($A162,SPPR!$A:$A,0),17)),$C162*INDEX(SPPR!$E:$Z,MATCH($A162,SPPR!$A:$A,0),17),""),"")</f>
        <v/>
      </c>
      <c r="U162">
        <f>IFERROR(IF(ISNUMBER(INDEX(SPPR!$E:$Z,MATCH($A162,SPPR!$A:$A,0),18)),$C162*INDEX(SPPR!$E:$Z,MATCH($A162,SPPR!$A:$A,0),18),""),"")</f>
        <v/>
      </c>
      <c r="V162">
        <f>IFERROR(IF(ISNUMBER(INDEX(SPPR!$E:$Z,MATCH($A162,SPPR!$A:$A,0),19)),$C162*INDEX(SPPR!$E:$Z,MATCH($A162,SPPR!$A:$A,0),19),""),"")</f>
        <v/>
      </c>
      <c r="W162">
        <f>IFERROR(IF(ISNUMBER(INDEX(SPPR!$E:$Z,MATCH($A162,SPPR!$A:$A,0),20)),$C162*INDEX(SPPR!$E:$Z,MATCH($A162,SPPR!$A:$A,0),20),""),"")</f>
        <v/>
      </c>
      <c r="X162">
        <f>IFERROR(IF(ISNUMBER(INDEX(SPPR!$E:$Z,MATCH($A162,SPPR!$A:$A,0),21)),$C162*INDEX(SPPR!$E:$Z,MATCH($A162,SPPR!$A:$A,0),21),""),"")</f>
        <v/>
      </c>
      <c r="Y162">
        <f>IFERROR(IF(ISNUMBER(INDEX(SPPR!$E:$Z,MATCH($A162,SPPR!$A:$A,0),22)),$C162*INDEX(SPPR!$E:$Z,MATCH($A162,SPPR!$A:$A,0),22),""),"")</f>
        <v/>
      </c>
    </row>
    <row r="163">
      <c r="A163" t="inlineStr">
        <is>
          <t>Cephalopholis boenak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IFERROR(IF(ISNUMBER(INDEX(SPPR!$E:$Z,MATCH($A163,SPPR!$A:$A,0),1)),$C163*INDEX(SPPR!$E:$Z,MATCH($A163,SPPR!$A:$A,0),1),""),"")</f>
        <v/>
      </c>
      <c r="E163">
        <f>IFERROR(IF(ISNUMBER(INDEX(SPPR!$E:$Z,MATCH($A163,SPPR!$A:$A,0),2)),$C163*INDEX(SPPR!$E:$Z,MATCH($A163,SPPR!$A:$A,0),2),""),"")</f>
        <v/>
      </c>
      <c r="F163">
        <f>IFERROR(IF(ISNUMBER(INDEX(SPPR!$E:$Z,MATCH($A163,SPPR!$A:$A,0),3)),$C163*INDEX(SPPR!$E:$Z,MATCH($A163,SPPR!$A:$A,0),3),""),"")</f>
        <v/>
      </c>
      <c r="G163">
        <f>IFERROR(IF(ISNUMBER(INDEX(SPPR!$E:$Z,MATCH($A163,SPPR!$A:$A,0),4)),$C163*INDEX(SPPR!$E:$Z,MATCH($A163,SPPR!$A:$A,0),4),""),"")</f>
        <v/>
      </c>
      <c r="H163">
        <f>IFERROR(IF(ISNUMBER(INDEX(SPPR!$E:$Z,MATCH($A163,SPPR!$A:$A,0),5)),$C163*INDEX(SPPR!$E:$Z,MATCH($A163,SPPR!$A:$A,0),5),""),"")</f>
        <v/>
      </c>
      <c r="I163">
        <f>IFERROR(IF(ISNUMBER(INDEX(SPPR!$E:$Z,MATCH($A163,SPPR!$A:$A,0),6)),$C163*INDEX(SPPR!$E:$Z,MATCH($A163,SPPR!$A:$A,0),6),""),"")</f>
        <v/>
      </c>
      <c r="J163">
        <f>IFERROR(IF(ISNUMBER(INDEX(SPPR!$E:$Z,MATCH($A163,SPPR!$A:$A,0),7)),$C163*INDEX(SPPR!$E:$Z,MATCH($A163,SPPR!$A:$A,0),7),""),"")</f>
        <v/>
      </c>
      <c r="K163">
        <f>IFERROR(IF(ISNUMBER(INDEX(SPPR!$E:$Z,MATCH($A163,SPPR!$A:$A,0),8)),$C163*INDEX(SPPR!$E:$Z,MATCH($A163,SPPR!$A:$A,0),8),""),"")</f>
        <v/>
      </c>
      <c r="L163">
        <f>IFERROR(IF(ISNUMBER(INDEX(SPPR!$E:$Z,MATCH($A163,SPPR!$A:$A,0),9)),$C163*INDEX(SPPR!$E:$Z,MATCH($A163,SPPR!$A:$A,0),9),""),"")</f>
        <v/>
      </c>
      <c r="M163">
        <f>IFERROR(IF(ISNUMBER(INDEX(SPPR!$E:$Z,MATCH($A163,SPPR!$A:$A,0),10)),$C163*INDEX(SPPR!$E:$Z,MATCH($A163,SPPR!$A:$A,0),10),""),"")</f>
        <v/>
      </c>
      <c r="N163">
        <f>IFERROR(IF(ISNUMBER(INDEX(SPPR!$E:$Z,MATCH($A163,SPPR!$A:$A,0),11)),$C163*INDEX(SPPR!$E:$Z,MATCH($A163,SPPR!$A:$A,0),11),""),"")</f>
        <v/>
      </c>
      <c r="O163">
        <f>IFERROR(IF(ISNUMBER(INDEX(SPPR!$E:$Z,MATCH($A163,SPPR!$A:$A,0),12)),$C163*INDEX(SPPR!$E:$Z,MATCH($A163,SPPR!$A:$A,0),12),""),"")</f>
        <v/>
      </c>
      <c r="P163">
        <f>IFERROR(IF(ISNUMBER(INDEX(SPPR!$E:$Z,MATCH($A163,SPPR!$A:$A,0),13)),$C163*INDEX(SPPR!$E:$Z,MATCH($A163,SPPR!$A:$A,0),13),""),"")</f>
        <v/>
      </c>
      <c r="Q163">
        <f>IFERROR(IF(ISNUMBER(INDEX(SPPR!$E:$Z,MATCH($A163,SPPR!$A:$A,0),14)),$C163*INDEX(SPPR!$E:$Z,MATCH($A163,SPPR!$A:$A,0),14),""),"")</f>
        <v/>
      </c>
      <c r="R163">
        <f>IFERROR(IF(ISNUMBER(INDEX(SPPR!$E:$Z,MATCH($A163,SPPR!$A:$A,0),15)),$C163*INDEX(SPPR!$E:$Z,MATCH($A163,SPPR!$A:$A,0),15),""),"")</f>
        <v/>
      </c>
      <c r="S163">
        <f>IFERROR(IF(ISNUMBER(INDEX(SPPR!$E:$Z,MATCH($A163,SPPR!$A:$A,0),16)),$C163*INDEX(SPPR!$E:$Z,MATCH($A163,SPPR!$A:$A,0),16),""),"")</f>
        <v/>
      </c>
      <c r="T163">
        <f>IFERROR(IF(ISNUMBER(INDEX(SPPR!$E:$Z,MATCH($A163,SPPR!$A:$A,0),17)),$C163*INDEX(SPPR!$E:$Z,MATCH($A163,SPPR!$A:$A,0),17),""),"")</f>
        <v/>
      </c>
      <c r="U163">
        <f>IFERROR(IF(ISNUMBER(INDEX(SPPR!$E:$Z,MATCH($A163,SPPR!$A:$A,0),18)),$C163*INDEX(SPPR!$E:$Z,MATCH($A163,SPPR!$A:$A,0),18),""),"")</f>
        <v/>
      </c>
      <c r="V163">
        <f>IFERROR(IF(ISNUMBER(INDEX(SPPR!$E:$Z,MATCH($A163,SPPR!$A:$A,0),19)),$C163*INDEX(SPPR!$E:$Z,MATCH($A163,SPPR!$A:$A,0),19),""),"")</f>
        <v/>
      </c>
      <c r="W163">
        <f>IFERROR(IF(ISNUMBER(INDEX(SPPR!$E:$Z,MATCH($A163,SPPR!$A:$A,0),20)),$C163*INDEX(SPPR!$E:$Z,MATCH($A163,SPPR!$A:$A,0),20),""),"")</f>
        <v/>
      </c>
      <c r="X163">
        <f>IFERROR(IF(ISNUMBER(INDEX(SPPR!$E:$Z,MATCH($A163,SPPR!$A:$A,0),21)),$C163*INDEX(SPPR!$E:$Z,MATCH($A163,SPPR!$A:$A,0),21),""),"")</f>
        <v/>
      </c>
      <c r="Y163">
        <f>IFERROR(IF(ISNUMBER(INDEX(SPPR!$E:$Z,MATCH($A163,SPPR!$A:$A,0),22)),$C163*INDEX(SPPR!$E:$Z,MATCH($A163,SPPR!$A:$A,0),22),""),"")</f>
        <v/>
      </c>
    </row>
    <row r="164">
      <c r="A164" t="inlineStr">
        <is>
          <t>Decapterus maruadsi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IFERROR(IF(ISNUMBER(INDEX(SPPR!$E:$Z,MATCH($A164,SPPR!$A:$A,0),1)),$C164*INDEX(SPPR!$E:$Z,MATCH($A164,SPPR!$A:$A,0),1),""),"")</f>
        <v/>
      </c>
      <c r="E164">
        <f>IFERROR(IF(ISNUMBER(INDEX(SPPR!$E:$Z,MATCH($A164,SPPR!$A:$A,0),2)),$C164*INDEX(SPPR!$E:$Z,MATCH($A164,SPPR!$A:$A,0),2),""),"")</f>
        <v/>
      </c>
      <c r="F164">
        <f>IFERROR(IF(ISNUMBER(INDEX(SPPR!$E:$Z,MATCH($A164,SPPR!$A:$A,0),3)),$C164*INDEX(SPPR!$E:$Z,MATCH($A164,SPPR!$A:$A,0),3),""),"")</f>
        <v/>
      </c>
      <c r="G164">
        <f>IFERROR(IF(ISNUMBER(INDEX(SPPR!$E:$Z,MATCH($A164,SPPR!$A:$A,0),4)),$C164*INDEX(SPPR!$E:$Z,MATCH($A164,SPPR!$A:$A,0),4),""),"")</f>
        <v/>
      </c>
      <c r="H164">
        <f>IFERROR(IF(ISNUMBER(INDEX(SPPR!$E:$Z,MATCH($A164,SPPR!$A:$A,0),5)),$C164*INDEX(SPPR!$E:$Z,MATCH($A164,SPPR!$A:$A,0),5),""),"")</f>
        <v/>
      </c>
      <c r="I164">
        <f>IFERROR(IF(ISNUMBER(INDEX(SPPR!$E:$Z,MATCH($A164,SPPR!$A:$A,0),6)),$C164*INDEX(SPPR!$E:$Z,MATCH($A164,SPPR!$A:$A,0),6),""),"")</f>
        <v/>
      </c>
      <c r="J164">
        <f>IFERROR(IF(ISNUMBER(INDEX(SPPR!$E:$Z,MATCH($A164,SPPR!$A:$A,0),7)),$C164*INDEX(SPPR!$E:$Z,MATCH($A164,SPPR!$A:$A,0),7),""),"")</f>
        <v/>
      </c>
      <c r="K164">
        <f>IFERROR(IF(ISNUMBER(INDEX(SPPR!$E:$Z,MATCH($A164,SPPR!$A:$A,0),8)),$C164*INDEX(SPPR!$E:$Z,MATCH($A164,SPPR!$A:$A,0),8),""),"")</f>
        <v/>
      </c>
      <c r="L164">
        <f>IFERROR(IF(ISNUMBER(INDEX(SPPR!$E:$Z,MATCH($A164,SPPR!$A:$A,0),9)),$C164*INDEX(SPPR!$E:$Z,MATCH($A164,SPPR!$A:$A,0),9),""),"")</f>
        <v/>
      </c>
      <c r="M164">
        <f>IFERROR(IF(ISNUMBER(INDEX(SPPR!$E:$Z,MATCH($A164,SPPR!$A:$A,0),10)),$C164*INDEX(SPPR!$E:$Z,MATCH($A164,SPPR!$A:$A,0),10),""),"")</f>
        <v/>
      </c>
      <c r="N164">
        <f>IFERROR(IF(ISNUMBER(INDEX(SPPR!$E:$Z,MATCH($A164,SPPR!$A:$A,0),11)),$C164*INDEX(SPPR!$E:$Z,MATCH($A164,SPPR!$A:$A,0),11),""),"")</f>
        <v/>
      </c>
      <c r="O164">
        <f>IFERROR(IF(ISNUMBER(INDEX(SPPR!$E:$Z,MATCH($A164,SPPR!$A:$A,0),12)),$C164*INDEX(SPPR!$E:$Z,MATCH($A164,SPPR!$A:$A,0),12),""),"")</f>
        <v/>
      </c>
      <c r="P164">
        <f>IFERROR(IF(ISNUMBER(INDEX(SPPR!$E:$Z,MATCH($A164,SPPR!$A:$A,0),13)),$C164*INDEX(SPPR!$E:$Z,MATCH($A164,SPPR!$A:$A,0),13),""),"")</f>
        <v/>
      </c>
      <c r="Q164">
        <f>IFERROR(IF(ISNUMBER(INDEX(SPPR!$E:$Z,MATCH($A164,SPPR!$A:$A,0),14)),$C164*INDEX(SPPR!$E:$Z,MATCH($A164,SPPR!$A:$A,0),14),""),"")</f>
        <v/>
      </c>
      <c r="R164">
        <f>IFERROR(IF(ISNUMBER(INDEX(SPPR!$E:$Z,MATCH($A164,SPPR!$A:$A,0),15)),$C164*INDEX(SPPR!$E:$Z,MATCH($A164,SPPR!$A:$A,0),15),""),"")</f>
        <v/>
      </c>
      <c r="S164">
        <f>IFERROR(IF(ISNUMBER(INDEX(SPPR!$E:$Z,MATCH($A164,SPPR!$A:$A,0),16)),$C164*INDEX(SPPR!$E:$Z,MATCH($A164,SPPR!$A:$A,0),16),""),"")</f>
        <v/>
      </c>
      <c r="T164">
        <f>IFERROR(IF(ISNUMBER(INDEX(SPPR!$E:$Z,MATCH($A164,SPPR!$A:$A,0),17)),$C164*INDEX(SPPR!$E:$Z,MATCH($A164,SPPR!$A:$A,0),17),""),"")</f>
        <v/>
      </c>
      <c r="U164">
        <f>IFERROR(IF(ISNUMBER(INDEX(SPPR!$E:$Z,MATCH($A164,SPPR!$A:$A,0),18)),$C164*INDEX(SPPR!$E:$Z,MATCH($A164,SPPR!$A:$A,0),18),""),"")</f>
        <v/>
      </c>
      <c r="V164">
        <f>IFERROR(IF(ISNUMBER(INDEX(SPPR!$E:$Z,MATCH($A164,SPPR!$A:$A,0),19)),$C164*INDEX(SPPR!$E:$Z,MATCH($A164,SPPR!$A:$A,0),19),""),"")</f>
        <v/>
      </c>
      <c r="W164">
        <f>IFERROR(IF(ISNUMBER(INDEX(SPPR!$E:$Z,MATCH($A164,SPPR!$A:$A,0),20)),$C164*INDEX(SPPR!$E:$Z,MATCH($A164,SPPR!$A:$A,0),20),""),"")</f>
        <v/>
      </c>
      <c r="X164">
        <f>IFERROR(IF(ISNUMBER(INDEX(SPPR!$E:$Z,MATCH($A164,SPPR!$A:$A,0),21)),$C164*INDEX(SPPR!$E:$Z,MATCH($A164,SPPR!$A:$A,0),21),""),"")</f>
        <v/>
      </c>
      <c r="Y164">
        <f>IFERROR(IF(ISNUMBER(INDEX(SPPR!$E:$Z,MATCH($A164,SPPR!$A:$A,0),22)),$C164*INDEX(SPPR!$E:$Z,MATCH($A164,SPPR!$A:$A,0),22),""),"")</f>
        <v/>
      </c>
    </row>
    <row r="165">
      <c r="A165" t="inlineStr">
        <is>
          <t>Veneridae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IFERROR(IF(ISNUMBER(INDEX(SPPR!$E:$Z,MATCH($A165,SPPR!$A:$A,0),1)),$C165*INDEX(SPPR!$E:$Z,MATCH($A165,SPPR!$A:$A,0),1),""),"")</f>
        <v/>
      </c>
      <c r="E165">
        <f>IFERROR(IF(ISNUMBER(INDEX(SPPR!$E:$Z,MATCH($A165,SPPR!$A:$A,0),2)),$C165*INDEX(SPPR!$E:$Z,MATCH($A165,SPPR!$A:$A,0),2),""),"")</f>
        <v/>
      </c>
      <c r="F165">
        <f>IFERROR(IF(ISNUMBER(INDEX(SPPR!$E:$Z,MATCH($A165,SPPR!$A:$A,0),3)),$C165*INDEX(SPPR!$E:$Z,MATCH($A165,SPPR!$A:$A,0),3),""),"")</f>
        <v/>
      </c>
      <c r="G165">
        <f>IFERROR(IF(ISNUMBER(INDEX(SPPR!$E:$Z,MATCH($A165,SPPR!$A:$A,0),4)),$C165*INDEX(SPPR!$E:$Z,MATCH($A165,SPPR!$A:$A,0),4),""),"")</f>
        <v/>
      </c>
      <c r="H165">
        <f>IFERROR(IF(ISNUMBER(INDEX(SPPR!$E:$Z,MATCH($A165,SPPR!$A:$A,0),5)),$C165*INDEX(SPPR!$E:$Z,MATCH($A165,SPPR!$A:$A,0),5),""),"")</f>
        <v/>
      </c>
      <c r="I165">
        <f>IFERROR(IF(ISNUMBER(INDEX(SPPR!$E:$Z,MATCH($A165,SPPR!$A:$A,0),6)),$C165*INDEX(SPPR!$E:$Z,MATCH($A165,SPPR!$A:$A,0),6),""),"")</f>
        <v/>
      </c>
      <c r="J165">
        <f>IFERROR(IF(ISNUMBER(INDEX(SPPR!$E:$Z,MATCH($A165,SPPR!$A:$A,0),7)),$C165*INDEX(SPPR!$E:$Z,MATCH($A165,SPPR!$A:$A,0),7),""),"")</f>
        <v/>
      </c>
      <c r="K165">
        <f>IFERROR(IF(ISNUMBER(INDEX(SPPR!$E:$Z,MATCH($A165,SPPR!$A:$A,0),8)),$C165*INDEX(SPPR!$E:$Z,MATCH($A165,SPPR!$A:$A,0),8),""),"")</f>
        <v/>
      </c>
      <c r="L165">
        <f>IFERROR(IF(ISNUMBER(INDEX(SPPR!$E:$Z,MATCH($A165,SPPR!$A:$A,0),9)),$C165*INDEX(SPPR!$E:$Z,MATCH($A165,SPPR!$A:$A,0),9),""),"")</f>
        <v/>
      </c>
      <c r="M165">
        <f>IFERROR(IF(ISNUMBER(INDEX(SPPR!$E:$Z,MATCH($A165,SPPR!$A:$A,0),10)),$C165*INDEX(SPPR!$E:$Z,MATCH($A165,SPPR!$A:$A,0),10),""),"")</f>
        <v/>
      </c>
      <c r="N165">
        <f>IFERROR(IF(ISNUMBER(INDEX(SPPR!$E:$Z,MATCH($A165,SPPR!$A:$A,0),11)),$C165*INDEX(SPPR!$E:$Z,MATCH($A165,SPPR!$A:$A,0),11),""),"")</f>
        <v/>
      </c>
      <c r="O165">
        <f>IFERROR(IF(ISNUMBER(INDEX(SPPR!$E:$Z,MATCH($A165,SPPR!$A:$A,0),12)),$C165*INDEX(SPPR!$E:$Z,MATCH($A165,SPPR!$A:$A,0),12),""),"")</f>
        <v/>
      </c>
      <c r="P165">
        <f>IFERROR(IF(ISNUMBER(INDEX(SPPR!$E:$Z,MATCH($A165,SPPR!$A:$A,0),13)),$C165*INDEX(SPPR!$E:$Z,MATCH($A165,SPPR!$A:$A,0),13),""),"")</f>
        <v/>
      </c>
      <c r="Q165">
        <f>IFERROR(IF(ISNUMBER(INDEX(SPPR!$E:$Z,MATCH($A165,SPPR!$A:$A,0),14)),$C165*INDEX(SPPR!$E:$Z,MATCH($A165,SPPR!$A:$A,0),14),""),"")</f>
        <v/>
      </c>
      <c r="R165">
        <f>IFERROR(IF(ISNUMBER(INDEX(SPPR!$E:$Z,MATCH($A165,SPPR!$A:$A,0),15)),$C165*INDEX(SPPR!$E:$Z,MATCH($A165,SPPR!$A:$A,0),15),""),"")</f>
        <v/>
      </c>
      <c r="S165">
        <f>IFERROR(IF(ISNUMBER(INDEX(SPPR!$E:$Z,MATCH($A165,SPPR!$A:$A,0),16)),$C165*INDEX(SPPR!$E:$Z,MATCH($A165,SPPR!$A:$A,0),16),""),"")</f>
        <v/>
      </c>
      <c r="T165">
        <f>IFERROR(IF(ISNUMBER(INDEX(SPPR!$E:$Z,MATCH($A165,SPPR!$A:$A,0),17)),$C165*INDEX(SPPR!$E:$Z,MATCH($A165,SPPR!$A:$A,0),17),""),"")</f>
        <v/>
      </c>
      <c r="U165">
        <f>IFERROR(IF(ISNUMBER(INDEX(SPPR!$E:$Z,MATCH($A165,SPPR!$A:$A,0),18)),$C165*INDEX(SPPR!$E:$Z,MATCH($A165,SPPR!$A:$A,0),18),""),"")</f>
        <v/>
      </c>
      <c r="V165">
        <f>IFERROR(IF(ISNUMBER(INDEX(SPPR!$E:$Z,MATCH($A165,SPPR!$A:$A,0),19)),$C165*INDEX(SPPR!$E:$Z,MATCH($A165,SPPR!$A:$A,0),19),""),"")</f>
        <v/>
      </c>
      <c r="W165">
        <f>IFERROR(IF(ISNUMBER(INDEX(SPPR!$E:$Z,MATCH($A165,SPPR!$A:$A,0),20)),$C165*INDEX(SPPR!$E:$Z,MATCH($A165,SPPR!$A:$A,0),20),""),"")</f>
        <v/>
      </c>
      <c r="X165">
        <f>IFERROR(IF(ISNUMBER(INDEX(SPPR!$E:$Z,MATCH($A165,SPPR!$A:$A,0),21)),$C165*INDEX(SPPR!$E:$Z,MATCH($A165,SPPR!$A:$A,0),21),""),"")</f>
        <v/>
      </c>
      <c r="Y165">
        <f>IFERROR(IF(ISNUMBER(INDEX(SPPR!$E:$Z,MATCH($A165,SPPR!$A:$A,0),22)),$C165*INDEX(SPPR!$E:$Z,MATCH($A165,SPPR!$A:$A,0),22),""),"")</f>
        <v/>
      </c>
    </row>
    <row r="166">
      <c r="A166" t="inlineStr">
        <is>
          <t>Isurus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IFERROR(IF(ISNUMBER(INDEX(SPPR!$E:$Z,MATCH($A166,SPPR!$A:$A,0),1)),$C166*INDEX(SPPR!$E:$Z,MATCH($A166,SPPR!$A:$A,0),1),""),"")</f>
        <v/>
      </c>
      <c r="E166">
        <f>IFERROR(IF(ISNUMBER(INDEX(SPPR!$E:$Z,MATCH($A166,SPPR!$A:$A,0),2)),$C166*INDEX(SPPR!$E:$Z,MATCH($A166,SPPR!$A:$A,0),2),""),"")</f>
        <v/>
      </c>
      <c r="F166">
        <f>IFERROR(IF(ISNUMBER(INDEX(SPPR!$E:$Z,MATCH($A166,SPPR!$A:$A,0),3)),$C166*INDEX(SPPR!$E:$Z,MATCH($A166,SPPR!$A:$A,0),3),""),"")</f>
        <v/>
      </c>
      <c r="G166">
        <f>IFERROR(IF(ISNUMBER(INDEX(SPPR!$E:$Z,MATCH($A166,SPPR!$A:$A,0),4)),$C166*INDEX(SPPR!$E:$Z,MATCH($A166,SPPR!$A:$A,0),4),""),"")</f>
        <v/>
      </c>
      <c r="H166">
        <f>IFERROR(IF(ISNUMBER(INDEX(SPPR!$E:$Z,MATCH($A166,SPPR!$A:$A,0),5)),$C166*INDEX(SPPR!$E:$Z,MATCH($A166,SPPR!$A:$A,0),5),""),"")</f>
        <v/>
      </c>
      <c r="I166">
        <f>IFERROR(IF(ISNUMBER(INDEX(SPPR!$E:$Z,MATCH($A166,SPPR!$A:$A,0),6)),$C166*INDEX(SPPR!$E:$Z,MATCH($A166,SPPR!$A:$A,0),6),""),"")</f>
        <v/>
      </c>
      <c r="J166">
        <f>IFERROR(IF(ISNUMBER(INDEX(SPPR!$E:$Z,MATCH($A166,SPPR!$A:$A,0),7)),$C166*INDEX(SPPR!$E:$Z,MATCH($A166,SPPR!$A:$A,0),7),""),"")</f>
        <v/>
      </c>
      <c r="K166">
        <f>IFERROR(IF(ISNUMBER(INDEX(SPPR!$E:$Z,MATCH($A166,SPPR!$A:$A,0),8)),$C166*INDEX(SPPR!$E:$Z,MATCH($A166,SPPR!$A:$A,0),8),""),"")</f>
        <v/>
      </c>
      <c r="L166">
        <f>IFERROR(IF(ISNUMBER(INDEX(SPPR!$E:$Z,MATCH($A166,SPPR!$A:$A,0),9)),$C166*INDEX(SPPR!$E:$Z,MATCH($A166,SPPR!$A:$A,0),9),""),"")</f>
        <v/>
      </c>
      <c r="M166">
        <f>IFERROR(IF(ISNUMBER(INDEX(SPPR!$E:$Z,MATCH($A166,SPPR!$A:$A,0),10)),$C166*INDEX(SPPR!$E:$Z,MATCH($A166,SPPR!$A:$A,0),10),""),"")</f>
        <v/>
      </c>
      <c r="N166">
        <f>IFERROR(IF(ISNUMBER(INDEX(SPPR!$E:$Z,MATCH($A166,SPPR!$A:$A,0),11)),$C166*INDEX(SPPR!$E:$Z,MATCH($A166,SPPR!$A:$A,0),11),""),"")</f>
        <v/>
      </c>
      <c r="O166">
        <f>IFERROR(IF(ISNUMBER(INDEX(SPPR!$E:$Z,MATCH($A166,SPPR!$A:$A,0),12)),$C166*INDEX(SPPR!$E:$Z,MATCH($A166,SPPR!$A:$A,0),12),""),"")</f>
        <v/>
      </c>
      <c r="P166">
        <f>IFERROR(IF(ISNUMBER(INDEX(SPPR!$E:$Z,MATCH($A166,SPPR!$A:$A,0),13)),$C166*INDEX(SPPR!$E:$Z,MATCH($A166,SPPR!$A:$A,0),13),""),"")</f>
        <v/>
      </c>
      <c r="Q166">
        <f>IFERROR(IF(ISNUMBER(INDEX(SPPR!$E:$Z,MATCH($A166,SPPR!$A:$A,0),14)),$C166*INDEX(SPPR!$E:$Z,MATCH($A166,SPPR!$A:$A,0),14),""),"")</f>
        <v/>
      </c>
      <c r="R166">
        <f>IFERROR(IF(ISNUMBER(INDEX(SPPR!$E:$Z,MATCH($A166,SPPR!$A:$A,0),15)),$C166*INDEX(SPPR!$E:$Z,MATCH($A166,SPPR!$A:$A,0),15),""),"")</f>
        <v/>
      </c>
      <c r="S166">
        <f>IFERROR(IF(ISNUMBER(INDEX(SPPR!$E:$Z,MATCH($A166,SPPR!$A:$A,0),16)),$C166*INDEX(SPPR!$E:$Z,MATCH($A166,SPPR!$A:$A,0),16),""),"")</f>
        <v/>
      </c>
      <c r="T166">
        <f>IFERROR(IF(ISNUMBER(INDEX(SPPR!$E:$Z,MATCH($A166,SPPR!$A:$A,0),17)),$C166*INDEX(SPPR!$E:$Z,MATCH($A166,SPPR!$A:$A,0),17),""),"")</f>
        <v/>
      </c>
      <c r="U166">
        <f>IFERROR(IF(ISNUMBER(INDEX(SPPR!$E:$Z,MATCH($A166,SPPR!$A:$A,0),18)),$C166*INDEX(SPPR!$E:$Z,MATCH($A166,SPPR!$A:$A,0),18),""),"")</f>
        <v/>
      </c>
      <c r="V166">
        <f>IFERROR(IF(ISNUMBER(INDEX(SPPR!$E:$Z,MATCH($A166,SPPR!$A:$A,0),19)),$C166*INDEX(SPPR!$E:$Z,MATCH($A166,SPPR!$A:$A,0),19),""),"")</f>
        <v/>
      </c>
      <c r="W166">
        <f>IFERROR(IF(ISNUMBER(INDEX(SPPR!$E:$Z,MATCH($A166,SPPR!$A:$A,0),20)),$C166*INDEX(SPPR!$E:$Z,MATCH($A166,SPPR!$A:$A,0),20),""),"")</f>
        <v/>
      </c>
      <c r="X166">
        <f>IFERROR(IF(ISNUMBER(INDEX(SPPR!$E:$Z,MATCH($A166,SPPR!$A:$A,0),21)),$C166*INDEX(SPPR!$E:$Z,MATCH($A166,SPPR!$A:$A,0),21),""),"")</f>
        <v/>
      </c>
      <c r="Y166">
        <f>IFERROR(IF(ISNUMBER(INDEX(SPPR!$E:$Z,MATCH($A166,SPPR!$A:$A,0),22)),$C166*INDEX(SPPR!$E:$Z,MATCH($A166,SPPR!$A:$A,0),22),""),"")</f>
        <v/>
      </c>
    </row>
    <row r="167">
      <c r="A167" t="inlineStr">
        <is>
          <t>Sphyraenidae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IFERROR(IF(ISNUMBER(INDEX(SPPR!$E:$Z,MATCH($A167,SPPR!$A:$A,0),1)),$C167*INDEX(SPPR!$E:$Z,MATCH($A167,SPPR!$A:$A,0),1),""),"")</f>
        <v/>
      </c>
      <c r="E167">
        <f>IFERROR(IF(ISNUMBER(INDEX(SPPR!$E:$Z,MATCH($A167,SPPR!$A:$A,0),2)),$C167*INDEX(SPPR!$E:$Z,MATCH($A167,SPPR!$A:$A,0),2),""),"")</f>
        <v/>
      </c>
      <c r="F167">
        <f>IFERROR(IF(ISNUMBER(INDEX(SPPR!$E:$Z,MATCH($A167,SPPR!$A:$A,0),3)),$C167*INDEX(SPPR!$E:$Z,MATCH($A167,SPPR!$A:$A,0),3),""),"")</f>
        <v/>
      </c>
      <c r="G167">
        <f>IFERROR(IF(ISNUMBER(INDEX(SPPR!$E:$Z,MATCH($A167,SPPR!$A:$A,0),4)),$C167*INDEX(SPPR!$E:$Z,MATCH($A167,SPPR!$A:$A,0),4),""),"")</f>
        <v/>
      </c>
      <c r="H167">
        <f>IFERROR(IF(ISNUMBER(INDEX(SPPR!$E:$Z,MATCH($A167,SPPR!$A:$A,0),5)),$C167*INDEX(SPPR!$E:$Z,MATCH($A167,SPPR!$A:$A,0),5),""),"")</f>
        <v/>
      </c>
      <c r="I167">
        <f>IFERROR(IF(ISNUMBER(INDEX(SPPR!$E:$Z,MATCH($A167,SPPR!$A:$A,0),6)),$C167*INDEX(SPPR!$E:$Z,MATCH($A167,SPPR!$A:$A,0),6),""),"")</f>
        <v/>
      </c>
      <c r="J167">
        <f>IFERROR(IF(ISNUMBER(INDEX(SPPR!$E:$Z,MATCH($A167,SPPR!$A:$A,0),7)),$C167*INDEX(SPPR!$E:$Z,MATCH($A167,SPPR!$A:$A,0),7),""),"")</f>
        <v/>
      </c>
      <c r="K167">
        <f>IFERROR(IF(ISNUMBER(INDEX(SPPR!$E:$Z,MATCH($A167,SPPR!$A:$A,0),8)),$C167*INDEX(SPPR!$E:$Z,MATCH($A167,SPPR!$A:$A,0),8),""),"")</f>
        <v/>
      </c>
      <c r="L167">
        <f>IFERROR(IF(ISNUMBER(INDEX(SPPR!$E:$Z,MATCH($A167,SPPR!$A:$A,0),9)),$C167*INDEX(SPPR!$E:$Z,MATCH($A167,SPPR!$A:$A,0),9),""),"")</f>
        <v/>
      </c>
      <c r="M167">
        <f>IFERROR(IF(ISNUMBER(INDEX(SPPR!$E:$Z,MATCH($A167,SPPR!$A:$A,0),10)),$C167*INDEX(SPPR!$E:$Z,MATCH($A167,SPPR!$A:$A,0),10),""),"")</f>
        <v/>
      </c>
      <c r="N167">
        <f>IFERROR(IF(ISNUMBER(INDEX(SPPR!$E:$Z,MATCH($A167,SPPR!$A:$A,0),11)),$C167*INDEX(SPPR!$E:$Z,MATCH($A167,SPPR!$A:$A,0),11),""),"")</f>
        <v/>
      </c>
      <c r="O167">
        <f>IFERROR(IF(ISNUMBER(INDEX(SPPR!$E:$Z,MATCH($A167,SPPR!$A:$A,0),12)),$C167*INDEX(SPPR!$E:$Z,MATCH($A167,SPPR!$A:$A,0),12),""),"")</f>
        <v/>
      </c>
      <c r="P167">
        <f>IFERROR(IF(ISNUMBER(INDEX(SPPR!$E:$Z,MATCH($A167,SPPR!$A:$A,0),13)),$C167*INDEX(SPPR!$E:$Z,MATCH($A167,SPPR!$A:$A,0),13),""),"")</f>
        <v/>
      </c>
      <c r="Q167">
        <f>IFERROR(IF(ISNUMBER(INDEX(SPPR!$E:$Z,MATCH($A167,SPPR!$A:$A,0),14)),$C167*INDEX(SPPR!$E:$Z,MATCH($A167,SPPR!$A:$A,0),14),""),"")</f>
        <v/>
      </c>
      <c r="R167">
        <f>IFERROR(IF(ISNUMBER(INDEX(SPPR!$E:$Z,MATCH($A167,SPPR!$A:$A,0),15)),$C167*INDEX(SPPR!$E:$Z,MATCH($A167,SPPR!$A:$A,0),15),""),"")</f>
        <v/>
      </c>
      <c r="S167">
        <f>IFERROR(IF(ISNUMBER(INDEX(SPPR!$E:$Z,MATCH($A167,SPPR!$A:$A,0),16)),$C167*INDEX(SPPR!$E:$Z,MATCH($A167,SPPR!$A:$A,0),16),""),"")</f>
        <v/>
      </c>
      <c r="T167">
        <f>IFERROR(IF(ISNUMBER(INDEX(SPPR!$E:$Z,MATCH($A167,SPPR!$A:$A,0),17)),$C167*INDEX(SPPR!$E:$Z,MATCH($A167,SPPR!$A:$A,0),17),""),"")</f>
        <v/>
      </c>
      <c r="U167">
        <f>IFERROR(IF(ISNUMBER(INDEX(SPPR!$E:$Z,MATCH($A167,SPPR!$A:$A,0),18)),$C167*INDEX(SPPR!$E:$Z,MATCH($A167,SPPR!$A:$A,0),18),""),"")</f>
        <v/>
      </c>
      <c r="V167">
        <f>IFERROR(IF(ISNUMBER(INDEX(SPPR!$E:$Z,MATCH($A167,SPPR!$A:$A,0),19)),$C167*INDEX(SPPR!$E:$Z,MATCH($A167,SPPR!$A:$A,0),19),""),"")</f>
        <v/>
      </c>
      <c r="W167">
        <f>IFERROR(IF(ISNUMBER(INDEX(SPPR!$E:$Z,MATCH($A167,SPPR!$A:$A,0),20)),$C167*INDEX(SPPR!$E:$Z,MATCH($A167,SPPR!$A:$A,0),20),""),"")</f>
        <v/>
      </c>
      <c r="X167">
        <f>IFERROR(IF(ISNUMBER(INDEX(SPPR!$E:$Z,MATCH($A167,SPPR!$A:$A,0),21)),$C167*INDEX(SPPR!$E:$Z,MATCH($A167,SPPR!$A:$A,0),21),""),"")</f>
        <v/>
      </c>
      <c r="Y167">
        <f>IFERROR(IF(ISNUMBER(INDEX(SPPR!$E:$Z,MATCH($A167,SPPR!$A:$A,0),22)),$C167*INDEX(SPPR!$E:$Z,MATCH($A167,SPPR!$A:$A,0),22),""),"")</f>
        <v/>
      </c>
    </row>
    <row r="168">
      <c r="A168" t="inlineStr">
        <is>
          <t>Mene maculata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IFERROR(IF(ISNUMBER(INDEX(SPPR!$E:$Z,MATCH($A168,SPPR!$A:$A,0),1)),$C168*INDEX(SPPR!$E:$Z,MATCH($A168,SPPR!$A:$A,0),1),""),"")</f>
        <v/>
      </c>
      <c r="E168">
        <f>IFERROR(IF(ISNUMBER(INDEX(SPPR!$E:$Z,MATCH($A168,SPPR!$A:$A,0),2)),$C168*INDEX(SPPR!$E:$Z,MATCH($A168,SPPR!$A:$A,0),2),""),"")</f>
        <v/>
      </c>
      <c r="F168">
        <f>IFERROR(IF(ISNUMBER(INDEX(SPPR!$E:$Z,MATCH($A168,SPPR!$A:$A,0),3)),$C168*INDEX(SPPR!$E:$Z,MATCH($A168,SPPR!$A:$A,0),3),""),"")</f>
        <v/>
      </c>
      <c r="G168">
        <f>IFERROR(IF(ISNUMBER(INDEX(SPPR!$E:$Z,MATCH($A168,SPPR!$A:$A,0),4)),$C168*INDEX(SPPR!$E:$Z,MATCH($A168,SPPR!$A:$A,0),4),""),"")</f>
        <v/>
      </c>
      <c r="H168">
        <f>IFERROR(IF(ISNUMBER(INDEX(SPPR!$E:$Z,MATCH($A168,SPPR!$A:$A,0),5)),$C168*INDEX(SPPR!$E:$Z,MATCH($A168,SPPR!$A:$A,0),5),""),"")</f>
        <v/>
      </c>
      <c r="I168">
        <f>IFERROR(IF(ISNUMBER(INDEX(SPPR!$E:$Z,MATCH($A168,SPPR!$A:$A,0),6)),$C168*INDEX(SPPR!$E:$Z,MATCH($A168,SPPR!$A:$A,0),6),""),"")</f>
        <v/>
      </c>
      <c r="J168">
        <f>IFERROR(IF(ISNUMBER(INDEX(SPPR!$E:$Z,MATCH($A168,SPPR!$A:$A,0),7)),$C168*INDEX(SPPR!$E:$Z,MATCH($A168,SPPR!$A:$A,0),7),""),"")</f>
        <v/>
      </c>
      <c r="K168">
        <f>IFERROR(IF(ISNUMBER(INDEX(SPPR!$E:$Z,MATCH($A168,SPPR!$A:$A,0),8)),$C168*INDEX(SPPR!$E:$Z,MATCH($A168,SPPR!$A:$A,0),8),""),"")</f>
        <v/>
      </c>
      <c r="L168">
        <f>IFERROR(IF(ISNUMBER(INDEX(SPPR!$E:$Z,MATCH($A168,SPPR!$A:$A,0),9)),$C168*INDEX(SPPR!$E:$Z,MATCH($A168,SPPR!$A:$A,0),9),""),"")</f>
        <v/>
      </c>
      <c r="M168">
        <f>IFERROR(IF(ISNUMBER(INDEX(SPPR!$E:$Z,MATCH($A168,SPPR!$A:$A,0),10)),$C168*INDEX(SPPR!$E:$Z,MATCH($A168,SPPR!$A:$A,0),10),""),"")</f>
        <v/>
      </c>
      <c r="N168">
        <f>IFERROR(IF(ISNUMBER(INDEX(SPPR!$E:$Z,MATCH($A168,SPPR!$A:$A,0),11)),$C168*INDEX(SPPR!$E:$Z,MATCH($A168,SPPR!$A:$A,0),11),""),"")</f>
        <v/>
      </c>
      <c r="O168">
        <f>IFERROR(IF(ISNUMBER(INDEX(SPPR!$E:$Z,MATCH($A168,SPPR!$A:$A,0),12)),$C168*INDEX(SPPR!$E:$Z,MATCH($A168,SPPR!$A:$A,0),12),""),"")</f>
        <v/>
      </c>
      <c r="P168">
        <f>IFERROR(IF(ISNUMBER(INDEX(SPPR!$E:$Z,MATCH($A168,SPPR!$A:$A,0),13)),$C168*INDEX(SPPR!$E:$Z,MATCH($A168,SPPR!$A:$A,0),13),""),"")</f>
        <v/>
      </c>
      <c r="Q168">
        <f>IFERROR(IF(ISNUMBER(INDEX(SPPR!$E:$Z,MATCH($A168,SPPR!$A:$A,0),14)),$C168*INDEX(SPPR!$E:$Z,MATCH($A168,SPPR!$A:$A,0),14),""),"")</f>
        <v/>
      </c>
      <c r="R168">
        <f>IFERROR(IF(ISNUMBER(INDEX(SPPR!$E:$Z,MATCH($A168,SPPR!$A:$A,0),15)),$C168*INDEX(SPPR!$E:$Z,MATCH($A168,SPPR!$A:$A,0),15),""),"")</f>
        <v/>
      </c>
      <c r="S168">
        <f>IFERROR(IF(ISNUMBER(INDEX(SPPR!$E:$Z,MATCH($A168,SPPR!$A:$A,0),16)),$C168*INDEX(SPPR!$E:$Z,MATCH($A168,SPPR!$A:$A,0),16),""),"")</f>
        <v/>
      </c>
      <c r="T168">
        <f>IFERROR(IF(ISNUMBER(INDEX(SPPR!$E:$Z,MATCH($A168,SPPR!$A:$A,0),17)),$C168*INDEX(SPPR!$E:$Z,MATCH($A168,SPPR!$A:$A,0),17),""),"")</f>
        <v/>
      </c>
      <c r="U168">
        <f>IFERROR(IF(ISNUMBER(INDEX(SPPR!$E:$Z,MATCH($A168,SPPR!$A:$A,0),18)),$C168*INDEX(SPPR!$E:$Z,MATCH($A168,SPPR!$A:$A,0),18),""),"")</f>
        <v/>
      </c>
      <c r="V168">
        <f>IFERROR(IF(ISNUMBER(INDEX(SPPR!$E:$Z,MATCH($A168,SPPR!$A:$A,0),19)),$C168*INDEX(SPPR!$E:$Z,MATCH($A168,SPPR!$A:$A,0),19),""),"")</f>
        <v/>
      </c>
      <c r="W168">
        <f>IFERROR(IF(ISNUMBER(INDEX(SPPR!$E:$Z,MATCH($A168,SPPR!$A:$A,0),20)),$C168*INDEX(SPPR!$E:$Z,MATCH($A168,SPPR!$A:$A,0),20),""),"")</f>
        <v/>
      </c>
      <c r="X168">
        <f>IFERROR(IF(ISNUMBER(INDEX(SPPR!$E:$Z,MATCH($A168,SPPR!$A:$A,0),21)),$C168*INDEX(SPPR!$E:$Z,MATCH($A168,SPPR!$A:$A,0),21),""),"")</f>
        <v/>
      </c>
      <c r="Y168">
        <f>IFERROR(IF(ISNUMBER(INDEX(SPPR!$E:$Z,MATCH($A168,SPPR!$A:$A,0),22)),$C168*INDEX(SPPR!$E:$Z,MATCH($A168,SPPR!$A:$A,0),22),""),"")</f>
        <v/>
      </c>
    </row>
    <row r="169">
      <c r="A169" t="inlineStr">
        <is>
          <t>Chirocentrus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IFERROR(IF(ISNUMBER(INDEX(SPPR!$E:$Z,MATCH($A169,SPPR!$A:$A,0),1)),$C169*INDEX(SPPR!$E:$Z,MATCH($A169,SPPR!$A:$A,0),1),""),"")</f>
        <v/>
      </c>
      <c r="E169">
        <f>IFERROR(IF(ISNUMBER(INDEX(SPPR!$E:$Z,MATCH($A169,SPPR!$A:$A,0),2)),$C169*INDEX(SPPR!$E:$Z,MATCH($A169,SPPR!$A:$A,0),2),""),"")</f>
        <v/>
      </c>
      <c r="F169">
        <f>IFERROR(IF(ISNUMBER(INDEX(SPPR!$E:$Z,MATCH($A169,SPPR!$A:$A,0),3)),$C169*INDEX(SPPR!$E:$Z,MATCH($A169,SPPR!$A:$A,0),3),""),"")</f>
        <v/>
      </c>
      <c r="G169">
        <f>IFERROR(IF(ISNUMBER(INDEX(SPPR!$E:$Z,MATCH($A169,SPPR!$A:$A,0),4)),$C169*INDEX(SPPR!$E:$Z,MATCH($A169,SPPR!$A:$A,0),4),""),"")</f>
        <v/>
      </c>
      <c r="H169">
        <f>IFERROR(IF(ISNUMBER(INDEX(SPPR!$E:$Z,MATCH($A169,SPPR!$A:$A,0),5)),$C169*INDEX(SPPR!$E:$Z,MATCH($A169,SPPR!$A:$A,0),5),""),"")</f>
        <v/>
      </c>
      <c r="I169">
        <f>IFERROR(IF(ISNUMBER(INDEX(SPPR!$E:$Z,MATCH($A169,SPPR!$A:$A,0),6)),$C169*INDEX(SPPR!$E:$Z,MATCH($A169,SPPR!$A:$A,0),6),""),"")</f>
        <v/>
      </c>
      <c r="J169">
        <f>IFERROR(IF(ISNUMBER(INDEX(SPPR!$E:$Z,MATCH($A169,SPPR!$A:$A,0),7)),$C169*INDEX(SPPR!$E:$Z,MATCH($A169,SPPR!$A:$A,0),7),""),"")</f>
        <v/>
      </c>
      <c r="K169">
        <f>IFERROR(IF(ISNUMBER(INDEX(SPPR!$E:$Z,MATCH($A169,SPPR!$A:$A,0),8)),$C169*INDEX(SPPR!$E:$Z,MATCH($A169,SPPR!$A:$A,0),8),""),"")</f>
        <v/>
      </c>
      <c r="L169">
        <f>IFERROR(IF(ISNUMBER(INDEX(SPPR!$E:$Z,MATCH($A169,SPPR!$A:$A,0),9)),$C169*INDEX(SPPR!$E:$Z,MATCH($A169,SPPR!$A:$A,0),9),""),"")</f>
        <v/>
      </c>
      <c r="M169">
        <f>IFERROR(IF(ISNUMBER(INDEX(SPPR!$E:$Z,MATCH($A169,SPPR!$A:$A,0),10)),$C169*INDEX(SPPR!$E:$Z,MATCH($A169,SPPR!$A:$A,0),10),""),"")</f>
        <v/>
      </c>
      <c r="N169">
        <f>IFERROR(IF(ISNUMBER(INDEX(SPPR!$E:$Z,MATCH($A169,SPPR!$A:$A,0),11)),$C169*INDEX(SPPR!$E:$Z,MATCH($A169,SPPR!$A:$A,0),11),""),"")</f>
        <v/>
      </c>
      <c r="O169">
        <f>IFERROR(IF(ISNUMBER(INDEX(SPPR!$E:$Z,MATCH($A169,SPPR!$A:$A,0),12)),$C169*INDEX(SPPR!$E:$Z,MATCH($A169,SPPR!$A:$A,0),12),""),"")</f>
        <v/>
      </c>
      <c r="P169">
        <f>IFERROR(IF(ISNUMBER(INDEX(SPPR!$E:$Z,MATCH($A169,SPPR!$A:$A,0),13)),$C169*INDEX(SPPR!$E:$Z,MATCH($A169,SPPR!$A:$A,0),13),""),"")</f>
        <v/>
      </c>
      <c r="Q169">
        <f>IFERROR(IF(ISNUMBER(INDEX(SPPR!$E:$Z,MATCH($A169,SPPR!$A:$A,0),14)),$C169*INDEX(SPPR!$E:$Z,MATCH($A169,SPPR!$A:$A,0),14),""),"")</f>
        <v/>
      </c>
      <c r="R169">
        <f>IFERROR(IF(ISNUMBER(INDEX(SPPR!$E:$Z,MATCH($A169,SPPR!$A:$A,0),15)),$C169*INDEX(SPPR!$E:$Z,MATCH($A169,SPPR!$A:$A,0),15),""),"")</f>
        <v/>
      </c>
      <c r="S169">
        <f>IFERROR(IF(ISNUMBER(INDEX(SPPR!$E:$Z,MATCH($A169,SPPR!$A:$A,0),16)),$C169*INDEX(SPPR!$E:$Z,MATCH($A169,SPPR!$A:$A,0),16),""),"")</f>
        <v/>
      </c>
      <c r="T169">
        <f>IFERROR(IF(ISNUMBER(INDEX(SPPR!$E:$Z,MATCH($A169,SPPR!$A:$A,0),17)),$C169*INDEX(SPPR!$E:$Z,MATCH($A169,SPPR!$A:$A,0),17),""),"")</f>
        <v/>
      </c>
      <c r="U169">
        <f>IFERROR(IF(ISNUMBER(INDEX(SPPR!$E:$Z,MATCH($A169,SPPR!$A:$A,0),18)),$C169*INDEX(SPPR!$E:$Z,MATCH($A169,SPPR!$A:$A,0),18),""),"")</f>
        <v/>
      </c>
      <c r="V169">
        <f>IFERROR(IF(ISNUMBER(INDEX(SPPR!$E:$Z,MATCH($A169,SPPR!$A:$A,0),19)),$C169*INDEX(SPPR!$E:$Z,MATCH($A169,SPPR!$A:$A,0),19),""),"")</f>
        <v/>
      </c>
      <c r="W169">
        <f>IFERROR(IF(ISNUMBER(INDEX(SPPR!$E:$Z,MATCH($A169,SPPR!$A:$A,0),20)),$C169*INDEX(SPPR!$E:$Z,MATCH($A169,SPPR!$A:$A,0),20),""),"")</f>
        <v/>
      </c>
      <c r="X169">
        <f>IFERROR(IF(ISNUMBER(INDEX(SPPR!$E:$Z,MATCH($A169,SPPR!$A:$A,0),21)),$C169*INDEX(SPPR!$E:$Z,MATCH($A169,SPPR!$A:$A,0),21),""),"")</f>
        <v/>
      </c>
      <c r="Y169">
        <f>IFERROR(IF(ISNUMBER(INDEX(SPPR!$E:$Z,MATCH($A169,SPPR!$A:$A,0),22)),$C169*INDEX(SPPR!$E:$Z,MATCH($A169,SPPR!$A:$A,0),22),""),"")</f>
        <v/>
      </c>
    </row>
    <row r="170">
      <c r="A170" t="inlineStr">
        <is>
          <t>Portunus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IFERROR(IF(ISNUMBER(INDEX(SPPR!$E:$Z,MATCH($A170,SPPR!$A:$A,0),1)),$C170*INDEX(SPPR!$E:$Z,MATCH($A170,SPPR!$A:$A,0),1),""),"")</f>
        <v/>
      </c>
      <c r="E170">
        <f>IFERROR(IF(ISNUMBER(INDEX(SPPR!$E:$Z,MATCH($A170,SPPR!$A:$A,0),2)),$C170*INDEX(SPPR!$E:$Z,MATCH($A170,SPPR!$A:$A,0),2),""),"")</f>
        <v/>
      </c>
      <c r="F170">
        <f>IFERROR(IF(ISNUMBER(INDEX(SPPR!$E:$Z,MATCH($A170,SPPR!$A:$A,0),3)),$C170*INDEX(SPPR!$E:$Z,MATCH($A170,SPPR!$A:$A,0),3),""),"")</f>
        <v/>
      </c>
      <c r="G170">
        <f>IFERROR(IF(ISNUMBER(INDEX(SPPR!$E:$Z,MATCH($A170,SPPR!$A:$A,0),4)),$C170*INDEX(SPPR!$E:$Z,MATCH($A170,SPPR!$A:$A,0),4),""),"")</f>
        <v/>
      </c>
      <c r="H170">
        <f>IFERROR(IF(ISNUMBER(INDEX(SPPR!$E:$Z,MATCH($A170,SPPR!$A:$A,0),5)),$C170*INDEX(SPPR!$E:$Z,MATCH($A170,SPPR!$A:$A,0),5),""),"")</f>
        <v/>
      </c>
      <c r="I170">
        <f>IFERROR(IF(ISNUMBER(INDEX(SPPR!$E:$Z,MATCH($A170,SPPR!$A:$A,0),6)),$C170*INDEX(SPPR!$E:$Z,MATCH($A170,SPPR!$A:$A,0),6),""),"")</f>
        <v/>
      </c>
      <c r="J170">
        <f>IFERROR(IF(ISNUMBER(INDEX(SPPR!$E:$Z,MATCH($A170,SPPR!$A:$A,0),7)),$C170*INDEX(SPPR!$E:$Z,MATCH($A170,SPPR!$A:$A,0),7),""),"")</f>
        <v/>
      </c>
      <c r="K170">
        <f>IFERROR(IF(ISNUMBER(INDEX(SPPR!$E:$Z,MATCH($A170,SPPR!$A:$A,0),8)),$C170*INDEX(SPPR!$E:$Z,MATCH($A170,SPPR!$A:$A,0),8),""),"")</f>
        <v/>
      </c>
      <c r="L170">
        <f>IFERROR(IF(ISNUMBER(INDEX(SPPR!$E:$Z,MATCH($A170,SPPR!$A:$A,0),9)),$C170*INDEX(SPPR!$E:$Z,MATCH($A170,SPPR!$A:$A,0),9),""),"")</f>
        <v/>
      </c>
      <c r="M170">
        <f>IFERROR(IF(ISNUMBER(INDEX(SPPR!$E:$Z,MATCH($A170,SPPR!$A:$A,0),10)),$C170*INDEX(SPPR!$E:$Z,MATCH($A170,SPPR!$A:$A,0),10),""),"")</f>
        <v/>
      </c>
      <c r="N170">
        <f>IFERROR(IF(ISNUMBER(INDEX(SPPR!$E:$Z,MATCH($A170,SPPR!$A:$A,0),11)),$C170*INDEX(SPPR!$E:$Z,MATCH($A170,SPPR!$A:$A,0),11),""),"")</f>
        <v/>
      </c>
      <c r="O170">
        <f>IFERROR(IF(ISNUMBER(INDEX(SPPR!$E:$Z,MATCH($A170,SPPR!$A:$A,0),12)),$C170*INDEX(SPPR!$E:$Z,MATCH($A170,SPPR!$A:$A,0),12),""),"")</f>
        <v/>
      </c>
      <c r="P170">
        <f>IFERROR(IF(ISNUMBER(INDEX(SPPR!$E:$Z,MATCH($A170,SPPR!$A:$A,0),13)),$C170*INDEX(SPPR!$E:$Z,MATCH($A170,SPPR!$A:$A,0),13),""),"")</f>
        <v/>
      </c>
      <c r="Q170">
        <f>IFERROR(IF(ISNUMBER(INDEX(SPPR!$E:$Z,MATCH($A170,SPPR!$A:$A,0),14)),$C170*INDEX(SPPR!$E:$Z,MATCH($A170,SPPR!$A:$A,0),14),""),"")</f>
        <v/>
      </c>
      <c r="R170">
        <f>IFERROR(IF(ISNUMBER(INDEX(SPPR!$E:$Z,MATCH($A170,SPPR!$A:$A,0),15)),$C170*INDEX(SPPR!$E:$Z,MATCH($A170,SPPR!$A:$A,0),15),""),"")</f>
        <v/>
      </c>
      <c r="S170">
        <f>IFERROR(IF(ISNUMBER(INDEX(SPPR!$E:$Z,MATCH($A170,SPPR!$A:$A,0),16)),$C170*INDEX(SPPR!$E:$Z,MATCH($A170,SPPR!$A:$A,0),16),""),"")</f>
        <v/>
      </c>
      <c r="T170">
        <f>IFERROR(IF(ISNUMBER(INDEX(SPPR!$E:$Z,MATCH($A170,SPPR!$A:$A,0),17)),$C170*INDEX(SPPR!$E:$Z,MATCH($A170,SPPR!$A:$A,0),17),""),"")</f>
        <v/>
      </c>
      <c r="U170">
        <f>IFERROR(IF(ISNUMBER(INDEX(SPPR!$E:$Z,MATCH($A170,SPPR!$A:$A,0),18)),$C170*INDEX(SPPR!$E:$Z,MATCH($A170,SPPR!$A:$A,0),18),""),"")</f>
        <v/>
      </c>
      <c r="V170">
        <f>IFERROR(IF(ISNUMBER(INDEX(SPPR!$E:$Z,MATCH($A170,SPPR!$A:$A,0),19)),$C170*INDEX(SPPR!$E:$Z,MATCH($A170,SPPR!$A:$A,0),19),""),"")</f>
        <v/>
      </c>
      <c r="W170">
        <f>IFERROR(IF(ISNUMBER(INDEX(SPPR!$E:$Z,MATCH($A170,SPPR!$A:$A,0),20)),$C170*INDEX(SPPR!$E:$Z,MATCH($A170,SPPR!$A:$A,0),20),""),"")</f>
        <v/>
      </c>
      <c r="X170">
        <f>IFERROR(IF(ISNUMBER(INDEX(SPPR!$E:$Z,MATCH($A170,SPPR!$A:$A,0),21)),$C170*INDEX(SPPR!$E:$Z,MATCH($A170,SPPR!$A:$A,0),21),""),"")</f>
        <v/>
      </c>
      <c r="Y170">
        <f>IFERROR(IF(ISNUMBER(INDEX(SPPR!$E:$Z,MATCH($A170,SPPR!$A:$A,0),22)),$C170*INDEX(SPPR!$E:$Z,MATCH($A170,SPPR!$A:$A,0),22),""),"")</f>
        <v/>
      </c>
    </row>
    <row r="171">
      <c r="A171" t="inlineStr">
        <is>
          <t>Pleuronectiformes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IFERROR(IF(ISNUMBER(INDEX(SPPR!$E:$Z,MATCH($A171,SPPR!$A:$A,0),1)),$C171*INDEX(SPPR!$E:$Z,MATCH($A171,SPPR!$A:$A,0),1),""),"")</f>
        <v/>
      </c>
      <c r="E171">
        <f>IFERROR(IF(ISNUMBER(INDEX(SPPR!$E:$Z,MATCH($A171,SPPR!$A:$A,0),2)),$C171*INDEX(SPPR!$E:$Z,MATCH($A171,SPPR!$A:$A,0),2),""),"")</f>
        <v/>
      </c>
      <c r="F171">
        <f>IFERROR(IF(ISNUMBER(INDEX(SPPR!$E:$Z,MATCH($A171,SPPR!$A:$A,0),3)),$C171*INDEX(SPPR!$E:$Z,MATCH($A171,SPPR!$A:$A,0),3),""),"")</f>
        <v/>
      </c>
      <c r="G171">
        <f>IFERROR(IF(ISNUMBER(INDEX(SPPR!$E:$Z,MATCH($A171,SPPR!$A:$A,0),4)),$C171*INDEX(SPPR!$E:$Z,MATCH($A171,SPPR!$A:$A,0),4),""),"")</f>
        <v/>
      </c>
      <c r="H171">
        <f>IFERROR(IF(ISNUMBER(INDEX(SPPR!$E:$Z,MATCH($A171,SPPR!$A:$A,0),5)),$C171*INDEX(SPPR!$E:$Z,MATCH($A171,SPPR!$A:$A,0),5),""),"")</f>
        <v/>
      </c>
      <c r="I171">
        <f>IFERROR(IF(ISNUMBER(INDEX(SPPR!$E:$Z,MATCH($A171,SPPR!$A:$A,0),6)),$C171*INDEX(SPPR!$E:$Z,MATCH($A171,SPPR!$A:$A,0),6),""),"")</f>
        <v/>
      </c>
      <c r="J171">
        <f>IFERROR(IF(ISNUMBER(INDEX(SPPR!$E:$Z,MATCH($A171,SPPR!$A:$A,0),7)),$C171*INDEX(SPPR!$E:$Z,MATCH($A171,SPPR!$A:$A,0),7),""),"")</f>
        <v/>
      </c>
      <c r="K171">
        <f>IFERROR(IF(ISNUMBER(INDEX(SPPR!$E:$Z,MATCH($A171,SPPR!$A:$A,0),8)),$C171*INDEX(SPPR!$E:$Z,MATCH($A171,SPPR!$A:$A,0),8),""),"")</f>
        <v/>
      </c>
      <c r="L171">
        <f>IFERROR(IF(ISNUMBER(INDEX(SPPR!$E:$Z,MATCH($A171,SPPR!$A:$A,0),9)),$C171*INDEX(SPPR!$E:$Z,MATCH($A171,SPPR!$A:$A,0),9),""),"")</f>
        <v/>
      </c>
      <c r="M171">
        <f>IFERROR(IF(ISNUMBER(INDEX(SPPR!$E:$Z,MATCH($A171,SPPR!$A:$A,0),10)),$C171*INDEX(SPPR!$E:$Z,MATCH($A171,SPPR!$A:$A,0),10),""),"")</f>
        <v/>
      </c>
      <c r="N171">
        <f>IFERROR(IF(ISNUMBER(INDEX(SPPR!$E:$Z,MATCH($A171,SPPR!$A:$A,0),11)),$C171*INDEX(SPPR!$E:$Z,MATCH($A171,SPPR!$A:$A,0),11),""),"")</f>
        <v/>
      </c>
      <c r="O171">
        <f>IFERROR(IF(ISNUMBER(INDEX(SPPR!$E:$Z,MATCH($A171,SPPR!$A:$A,0),12)),$C171*INDEX(SPPR!$E:$Z,MATCH($A171,SPPR!$A:$A,0),12),""),"")</f>
        <v/>
      </c>
      <c r="P171">
        <f>IFERROR(IF(ISNUMBER(INDEX(SPPR!$E:$Z,MATCH($A171,SPPR!$A:$A,0),13)),$C171*INDEX(SPPR!$E:$Z,MATCH($A171,SPPR!$A:$A,0),13),""),"")</f>
        <v/>
      </c>
      <c r="Q171">
        <f>IFERROR(IF(ISNUMBER(INDEX(SPPR!$E:$Z,MATCH($A171,SPPR!$A:$A,0),14)),$C171*INDEX(SPPR!$E:$Z,MATCH($A171,SPPR!$A:$A,0),14),""),"")</f>
        <v/>
      </c>
      <c r="R171">
        <f>IFERROR(IF(ISNUMBER(INDEX(SPPR!$E:$Z,MATCH($A171,SPPR!$A:$A,0),15)),$C171*INDEX(SPPR!$E:$Z,MATCH($A171,SPPR!$A:$A,0),15),""),"")</f>
        <v/>
      </c>
      <c r="S171">
        <f>IFERROR(IF(ISNUMBER(INDEX(SPPR!$E:$Z,MATCH($A171,SPPR!$A:$A,0),16)),$C171*INDEX(SPPR!$E:$Z,MATCH($A171,SPPR!$A:$A,0),16),""),"")</f>
        <v/>
      </c>
      <c r="T171">
        <f>IFERROR(IF(ISNUMBER(INDEX(SPPR!$E:$Z,MATCH($A171,SPPR!$A:$A,0),17)),$C171*INDEX(SPPR!$E:$Z,MATCH($A171,SPPR!$A:$A,0),17),""),"")</f>
        <v/>
      </c>
      <c r="U171">
        <f>IFERROR(IF(ISNUMBER(INDEX(SPPR!$E:$Z,MATCH($A171,SPPR!$A:$A,0),18)),$C171*INDEX(SPPR!$E:$Z,MATCH($A171,SPPR!$A:$A,0),18),""),"")</f>
        <v/>
      </c>
      <c r="V171">
        <f>IFERROR(IF(ISNUMBER(INDEX(SPPR!$E:$Z,MATCH($A171,SPPR!$A:$A,0),19)),$C171*INDEX(SPPR!$E:$Z,MATCH($A171,SPPR!$A:$A,0),19),""),"")</f>
        <v/>
      </c>
      <c r="W171">
        <f>IFERROR(IF(ISNUMBER(INDEX(SPPR!$E:$Z,MATCH($A171,SPPR!$A:$A,0),20)),$C171*INDEX(SPPR!$E:$Z,MATCH($A171,SPPR!$A:$A,0),20),""),"")</f>
        <v/>
      </c>
      <c r="X171">
        <f>IFERROR(IF(ISNUMBER(INDEX(SPPR!$E:$Z,MATCH($A171,SPPR!$A:$A,0),21)),$C171*INDEX(SPPR!$E:$Z,MATCH($A171,SPPR!$A:$A,0),21),""),"")</f>
        <v/>
      </c>
      <c r="Y171">
        <f>IFERROR(IF(ISNUMBER(INDEX(SPPR!$E:$Z,MATCH($A171,SPPR!$A:$A,0),22)),$C171*INDEX(SPPR!$E:$Z,MATCH($A171,SPPR!$A:$A,0),22),""),"")</f>
        <v/>
      </c>
    </row>
    <row r="172">
      <c r="A172" t="inlineStr">
        <is>
          <t>Paralichthys olivaceus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IFERROR(IF(ISNUMBER(INDEX(SPPR!$E:$Z,MATCH($A172,SPPR!$A:$A,0),1)),$C172*INDEX(SPPR!$E:$Z,MATCH($A172,SPPR!$A:$A,0),1),""),"")</f>
        <v/>
      </c>
      <c r="E172">
        <f>IFERROR(IF(ISNUMBER(INDEX(SPPR!$E:$Z,MATCH($A172,SPPR!$A:$A,0),2)),$C172*INDEX(SPPR!$E:$Z,MATCH($A172,SPPR!$A:$A,0),2),""),"")</f>
        <v/>
      </c>
      <c r="F172">
        <f>IFERROR(IF(ISNUMBER(INDEX(SPPR!$E:$Z,MATCH($A172,SPPR!$A:$A,0),3)),$C172*INDEX(SPPR!$E:$Z,MATCH($A172,SPPR!$A:$A,0),3),""),"")</f>
        <v/>
      </c>
      <c r="G172">
        <f>IFERROR(IF(ISNUMBER(INDEX(SPPR!$E:$Z,MATCH($A172,SPPR!$A:$A,0),4)),$C172*INDEX(SPPR!$E:$Z,MATCH($A172,SPPR!$A:$A,0),4),""),"")</f>
        <v/>
      </c>
      <c r="H172">
        <f>IFERROR(IF(ISNUMBER(INDEX(SPPR!$E:$Z,MATCH($A172,SPPR!$A:$A,0),5)),$C172*INDEX(SPPR!$E:$Z,MATCH($A172,SPPR!$A:$A,0),5),""),"")</f>
        <v/>
      </c>
      <c r="I172">
        <f>IFERROR(IF(ISNUMBER(INDEX(SPPR!$E:$Z,MATCH($A172,SPPR!$A:$A,0),6)),$C172*INDEX(SPPR!$E:$Z,MATCH($A172,SPPR!$A:$A,0),6),""),"")</f>
        <v/>
      </c>
      <c r="J172">
        <f>IFERROR(IF(ISNUMBER(INDEX(SPPR!$E:$Z,MATCH($A172,SPPR!$A:$A,0),7)),$C172*INDEX(SPPR!$E:$Z,MATCH($A172,SPPR!$A:$A,0),7),""),"")</f>
        <v/>
      </c>
      <c r="K172">
        <f>IFERROR(IF(ISNUMBER(INDEX(SPPR!$E:$Z,MATCH($A172,SPPR!$A:$A,0),8)),$C172*INDEX(SPPR!$E:$Z,MATCH($A172,SPPR!$A:$A,0),8),""),"")</f>
        <v/>
      </c>
      <c r="L172">
        <f>IFERROR(IF(ISNUMBER(INDEX(SPPR!$E:$Z,MATCH($A172,SPPR!$A:$A,0),9)),$C172*INDEX(SPPR!$E:$Z,MATCH($A172,SPPR!$A:$A,0),9),""),"")</f>
        <v/>
      </c>
      <c r="M172">
        <f>IFERROR(IF(ISNUMBER(INDEX(SPPR!$E:$Z,MATCH($A172,SPPR!$A:$A,0),10)),$C172*INDEX(SPPR!$E:$Z,MATCH($A172,SPPR!$A:$A,0),10),""),"")</f>
        <v/>
      </c>
      <c r="N172">
        <f>IFERROR(IF(ISNUMBER(INDEX(SPPR!$E:$Z,MATCH($A172,SPPR!$A:$A,0),11)),$C172*INDEX(SPPR!$E:$Z,MATCH($A172,SPPR!$A:$A,0),11),""),"")</f>
        <v/>
      </c>
      <c r="O172">
        <f>IFERROR(IF(ISNUMBER(INDEX(SPPR!$E:$Z,MATCH($A172,SPPR!$A:$A,0),12)),$C172*INDEX(SPPR!$E:$Z,MATCH($A172,SPPR!$A:$A,0),12),""),"")</f>
        <v/>
      </c>
      <c r="P172">
        <f>IFERROR(IF(ISNUMBER(INDEX(SPPR!$E:$Z,MATCH($A172,SPPR!$A:$A,0),13)),$C172*INDEX(SPPR!$E:$Z,MATCH($A172,SPPR!$A:$A,0),13),""),"")</f>
        <v/>
      </c>
      <c r="Q172">
        <f>IFERROR(IF(ISNUMBER(INDEX(SPPR!$E:$Z,MATCH($A172,SPPR!$A:$A,0),14)),$C172*INDEX(SPPR!$E:$Z,MATCH($A172,SPPR!$A:$A,0),14),""),"")</f>
        <v/>
      </c>
      <c r="R172">
        <f>IFERROR(IF(ISNUMBER(INDEX(SPPR!$E:$Z,MATCH($A172,SPPR!$A:$A,0),15)),$C172*INDEX(SPPR!$E:$Z,MATCH($A172,SPPR!$A:$A,0),15),""),"")</f>
        <v/>
      </c>
      <c r="S172">
        <f>IFERROR(IF(ISNUMBER(INDEX(SPPR!$E:$Z,MATCH($A172,SPPR!$A:$A,0),16)),$C172*INDEX(SPPR!$E:$Z,MATCH($A172,SPPR!$A:$A,0),16),""),"")</f>
        <v/>
      </c>
      <c r="T172">
        <f>IFERROR(IF(ISNUMBER(INDEX(SPPR!$E:$Z,MATCH($A172,SPPR!$A:$A,0),17)),$C172*INDEX(SPPR!$E:$Z,MATCH($A172,SPPR!$A:$A,0),17),""),"")</f>
        <v/>
      </c>
      <c r="U172">
        <f>IFERROR(IF(ISNUMBER(INDEX(SPPR!$E:$Z,MATCH($A172,SPPR!$A:$A,0),18)),$C172*INDEX(SPPR!$E:$Z,MATCH($A172,SPPR!$A:$A,0),18),""),"")</f>
        <v/>
      </c>
      <c r="V172">
        <f>IFERROR(IF(ISNUMBER(INDEX(SPPR!$E:$Z,MATCH($A172,SPPR!$A:$A,0),19)),$C172*INDEX(SPPR!$E:$Z,MATCH($A172,SPPR!$A:$A,0),19),""),"")</f>
        <v/>
      </c>
      <c r="W172">
        <f>IFERROR(IF(ISNUMBER(INDEX(SPPR!$E:$Z,MATCH($A172,SPPR!$A:$A,0),20)),$C172*INDEX(SPPR!$E:$Z,MATCH($A172,SPPR!$A:$A,0),20),""),"")</f>
        <v/>
      </c>
      <c r="X172">
        <f>IFERROR(IF(ISNUMBER(INDEX(SPPR!$E:$Z,MATCH($A172,SPPR!$A:$A,0),21)),$C172*INDEX(SPPR!$E:$Z,MATCH($A172,SPPR!$A:$A,0),21),""),"")</f>
        <v/>
      </c>
      <c r="Y172">
        <f>IFERROR(IF(ISNUMBER(INDEX(SPPR!$E:$Z,MATCH($A172,SPPR!$A:$A,0),22)),$C172*INDEX(SPPR!$E:$Z,MATCH($A172,SPPR!$A:$A,0),22),""),"")</f>
        <v/>
      </c>
    </row>
    <row r="173">
      <c r="A173" t="inlineStr">
        <is>
          <t>Polynemidae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IFERROR(IF(ISNUMBER(INDEX(SPPR!$E:$Z,MATCH($A173,SPPR!$A:$A,0),1)),$C173*INDEX(SPPR!$E:$Z,MATCH($A173,SPPR!$A:$A,0),1),""),"")</f>
        <v/>
      </c>
      <c r="E173">
        <f>IFERROR(IF(ISNUMBER(INDEX(SPPR!$E:$Z,MATCH($A173,SPPR!$A:$A,0),2)),$C173*INDEX(SPPR!$E:$Z,MATCH($A173,SPPR!$A:$A,0),2),""),"")</f>
        <v/>
      </c>
      <c r="F173">
        <f>IFERROR(IF(ISNUMBER(INDEX(SPPR!$E:$Z,MATCH($A173,SPPR!$A:$A,0),3)),$C173*INDEX(SPPR!$E:$Z,MATCH($A173,SPPR!$A:$A,0),3),""),"")</f>
        <v/>
      </c>
      <c r="G173">
        <f>IFERROR(IF(ISNUMBER(INDEX(SPPR!$E:$Z,MATCH($A173,SPPR!$A:$A,0),4)),$C173*INDEX(SPPR!$E:$Z,MATCH($A173,SPPR!$A:$A,0),4),""),"")</f>
        <v/>
      </c>
      <c r="H173">
        <f>IFERROR(IF(ISNUMBER(INDEX(SPPR!$E:$Z,MATCH($A173,SPPR!$A:$A,0),5)),$C173*INDEX(SPPR!$E:$Z,MATCH($A173,SPPR!$A:$A,0),5),""),"")</f>
        <v/>
      </c>
      <c r="I173">
        <f>IFERROR(IF(ISNUMBER(INDEX(SPPR!$E:$Z,MATCH($A173,SPPR!$A:$A,0),6)),$C173*INDEX(SPPR!$E:$Z,MATCH($A173,SPPR!$A:$A,0),6),""),"")</f>
        <v/>
      </c>
      <c r="J173">
        <f>IFERROR(IF(ISNUMBER(INDEX(SPPR!$E:$Z,MATCH($A173,SPPR!$A:$A,0),7)),$C173*INDEX(SPPR!$E:$Z,MATCH($A173,SPPR!$A:$A,0),7),""),"")</f>
        <v/>
      </c>
      <c r="K173">
        <f>IFERROR(IF(ISNUMBER(INDEX(SPPR!$E:$Z,MATCH($A173,SPPR!$A:$A,0),8)),$C173*INDEX(SPPR!$E:$Z,MATCH($A173,SPPR!$A:$A,0),8),""),"")</f>
        <v/>
      </c>
      <c r="L173">
        <f>IFERROR(IF(ISNUMBER(INDEX(SPPR!$E:$Z,MATCH($A173,SPPR!$A:$A,0),9)),$C173*INDEX(SPPR!$E:$Z,MATCH($A173,SPPR!$A:$A,0),9),""),"")</f>
        <v/>
      </c>
      <c r="M173">
        <f>IFERROR(IF(ISNUMBER(INDEX(SPPR!$E:$Z,MATCH($A173,SPPR!$A:$A,0),10)),$C173*INDEX(SPPR!$E:$Z,MATCH($A173,SPPR!$A:$A,0),10),""),"")</f>
        <v/>
      </c>
      <c r="N173">
        <f>IFERROR(IF(ISNUMBER(INDEX(SPPR!$E:$Z,MATCH($A173,SPPR!$A:$A,0),11)),$C173*INDEX(SPPR!$E:$Z,MATCH($A173,SPPR!$A:$A,0),11),""),"")</f>
        <v/>
      </c>
      <c r="O173">
        <f>IFERROR(IF(ISNUMBER(INDEX(SPPR!$E:$Z,MATCH($A173,SPPR!$A:$A,0),12)),$C173*INDEX(SPPR!$E:$Z,MATCH($A173,SPPR!$A:$A,0),12),""),"")</f>
        <v/>
      </c>
      <c r="P173">
        <f>IFERROR(IF(ISNUMBER(INDEX(SPPR!$E:$Z,MATCH($A173,SPPR!$A:$A,0),13)),$C173*INDEX(SPPR!$E:$Z,MATCH($A173,SPPR!$A:$A,0),13),""),"")</f>
        <v/>
      </c>
      <c r="Q173">
        <f>IFERROR(IF(ISNUMBER(INDEX(SPPR!$E:$Z,MATCH($A173,SPPR!$A:$A,0),14)),$C173*INDEX(SPPR!$E:$Z,MATCH($A173,SPPR!$A:$A,0),14),""),"")</f>
        <v/>
      </c>
      <c r="R173">
        <f>IFERROR(IF(ISNUMBER(INDEX(SPPR!$E:$Z,MATCH($A173,SPPR!$A:$A,0),15)),$C173*INDEX(SPPR!$E:$Z,MATCH($A173,SPPR!$A:$A,0),15),""),"")</f>
        <v/>
      </c>
      <c r="S173">
        <f>IFERROR(IF(ISNUMBER(INDEX(SPPR!$E:$Z,MATCH($A173,SPPR!$A:$A,0),16)),$C173*INDEX(SPPR!$E:$Z,MATCH($A173,SPPR!$A:$A,0),16),""),"")</f>
        <v/>
      </c>
      <c r="T173">
        <f>IFERROR(IF(ISNUMBER(INDEX(SPPR!$E:$Z,MATCH($A173,SPPR!$A:$A,0),17)),$C173*INDEX(SPPR!$E:$Z,MATCH($A173,SPPR!$A:$A,0),17),""),"")</f>
        <v/>
      </c>
      <c r="U173">
        <f>IFERROR(IF(ISNUMBER(INDEX(SPPR!$E:$Z,MATCH($A173,SPPR!$A:$A,0),18)),$C173*INDEX(SPPR!$E:$Z,MATCH($A173,SPPR!$A:$A,0),18),""),"")</f>
        <v/>
      </c>
      <c r="V173">
        <f>IFERROR(IF(ISNUMBER(INDEX(SPPR!$E:$Z,MATCH($A173,SPPR!$A:$A,0),19)),$C173*INDEX(SPPR!$E:$Z,MATCH($A173,SPPR!$A:$A,0),19),""),"")</f>
        <v/>
      </c>
      <c r="W173">
        <f>IFERROR(IF(ISNUMBER(INDEX(SPPR!$E:$Z,MATCH($A173,SPPR!$A:$A,0),20)),$C173*INDEX(SPPR!$E:$Z,MATCH($A173,SPPR!$A:$A,0),20),""),"")</f>
        <v/>
      </c>
      <c r="X173">
        <f>IFERROR(IF(ISNUMBER(INDEX(SPPR!$E:$Z,MATCH($A173,SPPR!$A:$A,0),21)),$C173*INDEX(SPPR!$E:$Z,MATCH($A173,SPPR!$A:$A,0),21),""),"")</f>
        <v/>
      </c>
      <c r="Y173">
        <f>IFERROR(IF(ISNUMBER(INDEX(SPPR!$E:$Z,MATCH($A173,SPPR!$A:$A,0),22)),$C173*INDEX(SPPR!$E:$Z,MATCH($A173,SPPR!$A:$A,0),22),""),"")</f>
        <v/>
      </c>
    </row>
    <row r="174">
      <c r="A174" t="inlineStr">
        <is>
          <t>Caranx ignobilis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IFERROR(IF(ISNUMBER(INDEX(SPPR!$E:$Z,MATCH($A174,SPPR!$A:$A,0),1)),$C174*INDEX(SPPR!$E:$Z,MATCH($A174,SPPR!$A:$A,0),1),""),"")</f>
        <v/>
      </c>
      <c r="E174">
        <f>IFERROR(IF(ISNUMBER(INDEX(SPPR!$E:$Z,MATCH($A174,SPPR!$A:$A,0),2)),$C174*INDEX(SPPR!$E:$Z,MATCH($A174,SPPR!$A:$A,0),2),""),"")</f>
        <v/>
      </c>
      <c r="F174">
        <f>IFERROR(IF(ISNUMBER(INDEX(SPPR!$E:$Z,MATCH($A174,SPPR!$A:$A,0),3)),$C174*INDEX(SPPR!$E:$Z,MATCH($A174,SPPR!$A:$A,0),3),""),"")</f>
        <v/>
      </c>
      <c r="G174">
        <f>IFERROR(IF(ISNUMBER(INDEX(SPPR!$E:$Z,MATCH($A174,SPPR!$A:$A,0),4)),$C174*INDEX(SPPR!$E:$Z,MATCH($A174,SPPR!$A:$A,0),4),""),"")</f>
        <v/>
      </c>
      <c r="H174">
        <f>IFERROR(IF(ISNUMBER(INDEX(SPPR!$E:$Z,MATCH($A174,SPPR!$A:$A,0),5)),$C174*INDEX(SPPR!$E:$Z,MATCH($A174,SPPR!$A:$A,0),5),""),"")</f>
        <v/>
      </c>
      <c r="I174">
        <f>IFERROR(IF(ISNUMBER(INDEX(SPPR!$E:$Z,MATCH($A174,SPPR!$A:$A,0),6)),$C174*INDEX(SPPR!$E:$Z,MATCH($A174,SPPR!$A:$A,0),6),""),"")</f>
        <v/>
      </c>
      <c r="J174">
        <f>IFERROR(IF(ISNUMBER(INDEX(SPPR!$E:$Z,MATCH($A174,SPPR!$A:$A,0),7)),$C174*INDEX(SPPR!$E:$Z,MATCH($A174,SPPR!$A:$A,0),7),""),"")</f>
        <v/>
      </c>
      <c r="K174">
        <f>IFERROR(IF(ISNUMBER(INDEX(SPPR!$E:$Z,MATCH($A174,SPPR!$A:$A,0),8)),$C174*INDEX(SPPR!$E:$Z,MATCH($A174,SPPR!$A:$A,0),8),""),"")</f>
        <v/>
      </c>
      <c r="L174">
        <f>IFERROR(IF(ISNUMBER(INDEX(SPPR!$E:$Z,MATCH($A174,SPPR!$A:$A,0),9)),$C174*INDEX(SPPR!$E:$Z,MATCH($A174,SPPR!$A:$A,0),9),""),"")</f>
        <v/>
      </c>
      <c r="M174">
        <f>IFERROR(IF(ISNUMBER(INDEX(SPPR!$E:$Z,MATCH($A174,SPPR!$A:$A,0),10)),$C174*INDEX(SPPR!$E:$Z,MATCH($A174,SPPR!$A:$A,0),10),""),"")</f>
        <v/>
      </c>
      <c r="N174">
        <f>IFERROR(IF(ISNUMBER(INDEX(SPPR!$E:$Z,MATCH($A174,SPPR!$A:$A,0),11)),$C174*INDEX(SPPR!$E:$Z,MATCH($A174,SPPR!$A:$A,0),11),""),"")</f>
        <v/>
      </c>
      <c r="O174">
        <f>IFERROR(IF(ISNUMBER(INDEX(SPPR!$E:$Z,MATCH($A174,SPPR!$A:$A,0),12)),$C174*INDEX(SPPR!$E:$Z,MATCH($A174,SPPR!$A:$A,0),12),""),"")</f>
        <v/>
      </c>
      <c r="P174">
        <f>IFERROR(IF(ISNUMBER(INDEX(SPPR!$E:$Z,MATCH($A174,SPPR!$A:$A,0),13)),$C174*INDEX(SPPR!$E:$Z,MATCH($A174,SPPR!$A:$A,0),13),""),"")</f>
        <v/>
      </c>
      <c r="Q174">
        <f>IFERROR(IF(ISNUMBER(INDEX(SPPR!$E:$Z,MATCH($A174,SPPR!$A:$A,0),14)),$C174*INDEX(SPPR!$E:$Z,MATCH($A174,SPPR!$A:$A,0),14),""),"")</f>
        <v/>
      </c>
      <c r="R174">
        <f>IFERROR(IF(ISNUMBER(INDEX(SPPR!$E:$Z,MATCH($A174,SPPR!$A:$A,0),15)),$C174*INDEX(SPPR!$E:$Z,MATCH($A174,SPPR!$A:$A,0),15),""),"")</f>
        <v/>
      </c>
      <c r="S174">
        <f>IFERROR(IF(ISNUMBER(INDEX(SPPR!$E:$Z,MATCH($A174,SPPR!$A:$A,0),16)),$C174*INDEX(SPPR!$E:$Z,MATCH($A174,SPPR!$A:$A,0),16),""),"")</f>
        <v/>
      </c>
      <c r="T174">
        <f>IFERROR(IF(ISNUMBER(INDEX(SPPR!$E:$Z,MATCH($A174,SPPR!$A:$A,0),17)),$C174*INDEX(SPPR!$E:$Z,MATCH($A174,SPPR!$A:$A,0),17),""),"")</f>
        <v/>
      </c>
      <c r="U174">
        <f>IFERROR(IF(ISNUMBER(INDEX(SPPR!$E:$Z,MATCH($A174,SPPR!$A:$A,0),18)),$C174*INDEX(SPPR!$E:$Z,MATCH($A174,SPPR!$A:$A,0),18),""),"")</f>
        <v/>
      </c>
      <c r="V174">
        <f>IFERROR(IF(ISNUMBER(INDEX(SPPR!$E:$Z,MATCH($A174,SPPR!$A:$A,0),19)),$C174*INDEX(SPPR!$E:$Z,MATCH($A174,SPPR!$A:$A,0),19),""),"")</f>
        <v/>
      </c>
      <c r="W174">
        <f>IFERROR(IF(ISNUMBER(INDEX(SPPR!$E:$Z,MATCH($A174,SPPR!$A:$A,0),20)),$C174*INDEX(SPPR!$E:$Z,MATCH($A174,SPPR!$A:$A,0),20),""),"")</f>
        <v/>
      </c>
      <c r="X174">
        <f>IFERROR(IF(ISNUMBER(INDEX(SPPR!$E:$Z,MATCH($A174,SPPR!$A:$A,0),21)),$C174*INDEX(SPPR!$E:$Z,MATCH($A174,SPPR!$A:$A,0),21),""),"")</f>
        <v/>
      </c>
      <c r="Y174">
        <f>IFERROR(IF(ISNUMBER(INDEX(SPPR!$E:$Z,MATCH($A174,SPPR!$A:$A,0),22)),$C174*INDEX(SPPR!$E:$Z,MATCH($A174,SPPR!$A:$A,0),22),""),"")</f>
        <v/>
      </c>
    </row>
    <row r="175">
      <c r="A175" t="inlineStr">
        <is>
          <t>Pomadasys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IFERROR(IF(ISNUMBER(INDEX(SPPR!$E:$Z,MATCH($A175,SPPR!$A:$A,0),1)),$C175*INDEX(SPPR!$E:$Z,MATCH($A175,SPPR!$A:$A,0),1),""),"")</f>
        <v/>
      </c>
      <c r="E175">
        <f>IFERROR(IF(ISNUMBER(INDEX(SPPR!$E:$Z,MATCH($A175,SPPR!$A:$A,0),2)),$C175*INDEX(SPPR!$E:$Z,MATCH($A175,SPPR!$A:$A,0),2),""),"")</f>
        <v/>
      </c>
      <c r="F175">
        <f>IFERROR(IF(ISNUMBER(INDEX(SPPR!$E:$Z,MATCH($A175,SPPR!$A:$A,0),3)),$C175*INDEX(SPPR!$E:$Z,MATCH($A175,SPPR!$A:$A,0),3),""),"")</f>
        <v/>
      </c>
      <c r="G175">
        <f>IFERROR(IF(ISNUMBER(INDEX(SPPR!$E:$Z,MATCH($A175,SPPR!$A:$A,0),4)),$C175*INDEX(SPPR!$E:$Z,MATCH($A175,SPPR!$A:$A,0),4),""),"")</f>
        <v/>
      </c>
      <c r="H175">
        <f>IFERROR(IF(ISNUMBER(INDEX(SPPR!$E:$Z,MATCH($A175,SPPR!$A:$A,0),5)),$C175*INDEX(SPPR!$E:$Z,MATCH($A175,SPPR!$A:$A,0),5),""),"")</f>
        <v/>
      </c>
      <c r="I175">
        <f>IFERROR(IF(ISNUMBER(INDEX(SPPR!$E:$Z,MATCH($A175,SPPR!$A:$A,0),6)),$C175*INDEX(SPPR!$E:$Z,MATCH($A175,SPPR!$A:$A,0),6),""),"")</f>
        <v/>
      </c>
      <c r="J175">
        <f>IFERROR(IF(ISNUMBER(INDEX(SPPR!$E:$Z,MATCH($A175,SPPR!$A:$A,0),7)),$C175*INDEX(SPPR!$E:$Z,MATCH($A175,SPPR!$A:$A,0),7),""),"")</f>
        <v/>
      </c>
      <c r="K175">
        <f>IFERROR(IF(ISNUMBER(INDEX(SPPR!$E:$Z,MATCH($A175,SPPR!$A:$A,0),8)),$C175*INDEX(SPPR!$E:$Z,MATCH($A175,SPPR!$A:$A,0),8),""),"")</f>
        <v/>
      </c>
      <c r="L175">
        <f>IFERROR(IF(ISNUMBER(INDEX(SPPR!$E:$Z,MATCH($A175,SPPR!$A:$A,0),9)),$C175*INDEX(SPPR!$E:$Z,MATCH($A175,SPPR!$A:$A,0),9),""),"")</f>
        <v/>
      </c>
      <c r="M175">
        <f>IFERROR(IF(ISNUMBER(INDEX(SPPR!$E:$Z,MATCH($A175,SPPR!$A:$A,0),10)),$C175*INDEX(SPPR!$E:$Z,MATCH($A175,SPPR!$A:$A,0),10),""),"")</f>
        <v/>
      </c>
      <c r="N175">
        <f>IFERROR(IF(ISNUMBER(INDEX(SPPR!$E:$Z,MATCH($A175,SPPR!$A:$A,0),11)),$C175*INDEX(SPPR!$E:$Z,MATCH($A175,SPPR!$A:$A,0),11),""),"")</f>
        <v/>
      </c>
      <c r="O175">
        <f>IFERROR(IF(ISNUMBER(INDEX(SPPR!$E:$Z,MATCH($A175,SPPR!$A:$A,0),12)),$C175*INDEX(SPPR!$E:$Z,MATCH($A175,SPPR!$A:$A,0),12),""),"")</f>
        <v/>
      </c>
      <c r="P175">
        <f>IFERROR(IF(ISNUMBER(INDEX(SPPR!$E:$Z,MATCH($A175,SPPR!$A:$A,0),13)),$C175*INDEX(SPPR!$E:$Z,MATCH($A175,SPPR!$A:$A,0),13),""),"")</f>
        <v/>
      </c>
      <c r="Q175">
        <f>IFERROR(IF(ISNUMBER(INDEX(SPPR!$E:$Z,MATCH($A175,SPPR!$A:$A,0),14)),$C175*INDEX(SPPR!$E:$Z,MATCH($A175,SPPR!$A:$A,0),14),""),"")</f>
        <v/>
      </c>
      <c r="R175">
        <f>IFERROR(IF(ISNUMBER(INDEX(SPPR!$E:$Z,MATCH($A175,SPPR!$A:$A,0),15)),$C175*INDEX(SPPR!$E:$Z,MATCH($A175,SPPR!$A:$A,0),15),""),"")</f>
        <v/>
      </c>
      <c r="S175">
        <f>IFERROR(IF(ISNUMBER(INDEX(SPPR!$E:$Z,MATCH($A175,SPPR!$A:$A,0),16)),$C175*INDEX(SPPR!$E:$Z,MATCH($A175,SPPR!$A:$A,0),16),""),"")</f>
        <v/>
      </c>
      <c r="T175">
        <f>IFERROR(IF(ISNUMBER(INDEX(SPPR!$E:$Z,MATCH($A175,SPPR!$A:$A,0),17)),$C175*INDEX(SPPR!$E:$Z,MATCH($A175,SPPR!$A:$A,0),17),""),"")</f>
        <v/>
      </c>
      <c r="U175">
        <f>IFERROR(IF(ISNUMBER(INDEX(SPPR!$E:$Z,MATCH($A175,SPPR!$A:$A,0),18)),$C175*INDEX(SPPR!$E:$Z,MATCH($A175,SPPR!$A:$A,0),18),""),"")</f>
        <v/>
      </c>
      <c r="V175">
        <f>IFERROR(IF(ISNUMBER(INDEX(SPPR!$E:$Z,MATCH($A175,SPPR!$A:$A,0),19)),$C175*INDEX(SPPR!$E:$Z,MATCH($A175,SPPR!$A:$A,0),19),""),"")</f>
        <v/>
      </c>
      <c r="W175">
        <f>IFERROR(IF(ISNUMBER(INDEX(SPPR!$E:$Z,MATCH($A175,SPPR!$A:$A,0),20)),$C175*INDEX(SPPR!$E:$Z,MATCH($A175,SPPR!$A:$A,0),20),""),"")</f>
        <v/>
      </c>
      <c r="X175">
        <f>IFERROR(IF(ISNUMBER(INDEX(SPPR!$E:$Z,MATCH($A175,SPPR!$A:$A,0),21)),$C175*INDEX(SPPR!$E:$Z,MATCH($A175,SPPR!$A:$A,0),21),""),"")</f>
        <v/>
      </c>
      <c r="Y175">
        <f>IFERROR(IF(ISNUMBER(INDEX(SPPR!$E:$Z,MATCH($A175,SPPR!$A:$A,0),22)),$C175*INDEX(SPPR!$E:$Z,MATCH($A175,SPPR!$A:$A,0),22),""),"")</f>
        <v/>
      </c>
    </row>
    <row r="176">
      <c r="A176" t="inlineStr">
        <is>
          <t>Gastropoda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IFERROR(IF(ISNUMBER(INDEX(SPPR!$E:$Z,MATCH($A176,SPPR!$A:$A,0),1)),$C176*INDEX(SPPR!$E:$Z,MATCH($A176,SPPR!$A:$A,0),1),""),"")</f>
        <v/>
      </c>
      <c r="E176">
        <f>IFERROR(IF(ISNUMBER(INDEX(SPPR!$E:$Z,MATCH($A176,SPPR!$A:$A,0),2)),$C176*INDEX(SPPR!$E:$Z,MATCH($A176,SPPR!$A:$A,0),2),""),"")</f>
        <v/>
      </c>
      <c r="F176">
        <f>IFERROR(IF(ISNUMBER(INDEX(SPPR!$E:$Z,MATCH($A176,SPPR!$A:$A,0),3)),$C176*INDEX(SPPR!$E:$Z,MATCH($A176,SPPR!$A:$A,0),3),""),"")</f>
        <v/>
      </c>
      <c r="G176">
        <f>IFERROR(IF(ISNUMBER(INDEX(SPPR!$E:$Z,MATCH($A176,SPPR!$A:$A,0),4)),$C176*INDEX(SPPR!$E:$Z,MATCH($A176,SPPR!$A:$A,0),4),""),"")</f>
        <v/>
      </c>
      <c r="H176">
        <f>IFERROR(IF(ISNUMBER(INDEX(SPPR!$E:$Z,MATCH($A176,SPPR!$A:$A,0),5)),$C176*INDEX(SPPR!$E:$Z,MATCH($A176,SPPR!$A:$A,0),5),""),"")</f>
        <v/>
      </c>
      <c r="I176">
        <f>IFERROR(IF(ISNUMBER(INDEX(SPPR!$E:$Z,MATCH($A176,SPPR!$A:$A,0),6)),$C176*INDEX(SPPR!$E:$Z,MATCH($A176,SPPR!$A:$A,0),6),""),"")</f>
        <v/>
      </c>
      <c r="J176">
        <f>IFERROR(IF(ISNUMBER(INDEX(SPPR!$E:$Z,MATCH($A176,SPPR!$A:$A,0),7)),$C176*INDEX(SPPR!$E:$Z,MATCH($A176,SPPR!$A:$A,0),7),""),"")</f>
        <v/>
      </c>
      <c r="K176">
        <f>IFERROR(IF(ISNUMBER(INDEX(SPPR!$E:$Z,MATCH($A176,SPPR!$A:$A,0),8)),$C176*INDEX(SPPR!$E:$Z,MATCH($A176,SPPR!$A:$A,0),8),""),"")</f>
        <v/>
      </c>
      <c r="L176">
        <f>IFERROR(IF(ISNUMBER(INDEX(SPPR!$E:$Z,MATCH($A176,SPPR!$A:$A,0),9)),$C176*INDEX(SPPR!$E:$Z,MATCH($A176,SPPR!$A:$A,0),9),""),"")</f>
        <v/>
      </c>
      <c r="M176">
        <f>IFERROR(IF(ISNUMBER(INDEX(SPPR!$E:$Z,MATCH($A176,SPPR!$A:$A,0),10)),$C176*INDEX(SPPR!$E:$Z,MATCH($A176,SPPR!$A:$A,0),10),""),"")</f>
        <v/>
      </c>
      <c r="N176">
        <f>IFERROR(IF(ISNUMBER(INDEX(SPPR!$E:$Z,MATCH($A176,SPPR!$A:$A,0),11)),$C176*INDEX(SPPR!$E:$Z,MATCH($A176,SPPR!$A:$A,0),11),""),"")</f>
        <v/>
      </c>
      <c r="O176">
        <f>IFERROR(IF(ISNUMBER(INDEX(SPPR!$E:$Z,MATCH($A176,SPPR!$A:$A,0),12)),$C176*INDEX(SPPR!$E:$Z,MATCH($A176,SPPR!$A:$A,0),12),""),"")</f>
        <v/>
      </c>
      <c r="P176">
        <f>IFERROR(IF(ISNUMBER(INDEX(SPPR!$E:$Z,MATCH($A176,SPPR!$A:$A,0),13)),$C176*INDEX(SPPR!$E:$Z,MATCH($A176,SPPR!$A:$A,0),13),""),"")</f>
        <v/>
      </c>
      <c r="Q176">
        <f>IFERROR(IF(ISNUMBER(INDEX(SPPR!$E:$Z,MATCH($A176,SPPR!$A:$A,0),14)),$C176*INDEX(SPPR!$E:$Z,MATCH($A176,SPPR!$A:$A,0),14),""),"")</f>
        <v/>
      </c>
      <c r="R176">
        <f>IFERROR(IF(ISNUMBER(INDEX(SPPR!$E:$Z,MATCH($A176,SPPR!$A:$A,0),15)),$C176*INDEX(SPPR!$E:$Z,MATCH($A176,SPPR!$A:$A,0),15),""),"")</f>
        <v/>
      </c>
      <c r="S176">
        <f>IFERROR(IF(ISNUMBER(INDEX(SPPR!$E:$Z,MATCH($A176,SPPR!$A:$A,0),16)),$C176*INDEX(SPPR!$E:$Z,MATCH($A176,SPPR!$A:$A,0),16),""),"")</f>
        <v/>
      </c>
      <c r="T176">
        <f>IFERROR(IF(ISNUMBER(INDEX(SPPR!$E:$Z,MATCH($A176,SPPR!$A:$A,0),17)),$C176*INDEX(SPPR!$E:$Z,MATCH($A176,SPPR!$A:$A,0),17),""),"")</f>
        <v/>
      </c>
      <c r="U176">
        <f>IFERROR(IF(ISNUMBER(INDEX(SPPR!$E:$Z,MATCH($A176,SPPR!$A:$A,0),18)),$C176*INDEX(SPPR!$E:$Z,MATCH($A176,SPPR!$A:$A,0),18),""),"")</f>
        <v/>
      </c>
      <c r="V176">
        <f>IFERROR(IF(ISNUMBER(INDEX(SPPR!$E:$Z,MATCH($A176,SPPR!$A:$A,0),19)),$C176*INDEX(SPPR!$E:$Z,MATCH($A176,SPPR!$A:$A,0),19),""),"")</f>
        <v/>
      </c>
      <c r="W176">
        <f>IFERROR(IF(ISNUMBER(INDEX(SPPR!$E:$Z,MATCH($A176,SPPR!$A:$A,0),20)),$C176*INDEX(SPPR!$E:$Z,MATCH($A176,SPPR!$A:$A,0),20),""),"")</f>
        <v/>
      </c>
      <c r="X176">
        <f>IFERROR(IF(ISNUMBER(INDEX(SPPR!$E:$Z,MATCH($A176,SPPR!$A:$A,0),21)),$C176*INDEX(SPPR!$E:$Z,MATCH($A176,SPPR!$A:$A,0),21),""),"")</f>
        <v/>
      </c>
      <c r="Y176">
        <f>IFERROR(IF(ISNUMBER(INDEX(SPPR!$E:$Z,MATCH($A176,SPPR!$A:$A,0),22)),$C176*INDEX(SPPR!$E:$Z,MATCH($A176,SPPR!$A:$A,0),22),""),"")</f>
        <v/>
      </c>
    </row>
    <row r="177">
      <c r="A177" t="inlineStr">
        <is>
          <t>Psenopsis anomala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IFERROR(IF(ISNUMBER(INDEX(SPPR!$E:$Z,MATCH($A177,SPPR!$A:$A,0),1)),$C177*INDEX(SPPR!$E:$Z,MATCH($A177,SPPR!$A:$A,0),1),""),"")</f>
        <v/>
      </c>
      <c r="E177">
        <f>IFERROR(IF(ISNUMBER(INDEX(SPPR!$E:$Z,MATCH($A177,SPPR!$A:$A,0),2)),$C177*INDEX(SPPR!$E:$Z,MATCH($A177,SPPR!$A:$A,0),2),""),"")</f>
        <v/>
      </c>
      <c r="F177">
        <f>IFERROR(IF(ISNUMBER(INDEX(SPPR!$E:$Z,MATCH($A177,SPPR!$A:$A,0),3)),$C177*INDEX(SPPR!$E:$Z,MATCH($A177,SPPR!$A:$A,0),3),""),"")</f>
        <v/>
      </c>
      <c r="G177">
        <f>IFERROR(IF(ISNUMBER(INDEX(SPPR!$E:$Z,MATCH($A177,SPPR!$A:$A,0),4)),$C177*INDEX(SPPR!$E:$Z,MATCH($A177,SPPR!$A:$A,0),4),""),"")</f>
        <v/>
      </c>
      <c r="H177">
        <f>IFERROR(IF(ISNUMBER(INDEX(SPPR!$E:$Z,MATCH($A177,SPPR!$A:$A,0),5)),$C177*INDEX(SPPR!$E:$Z,MATCH($A177,SPPR!$A:$A,0),5),""),"")</f>
        <v/>
      </c>
      <c r="I177">
        <f>IFERROR(IF(ISNUMBER(INDEX(SPPR!$E:$Z,MATCH($A177,SPPR!$A:$A,0),6)),$C177*INDEX(SPPR!$E:$Z,MATCH($A177,SPPR!$A:$A,0),6),""),"")</f>
        <v/>
      </c>
      <c r="J177">
        <f>IFERROR(IF(ISNUMBER(INDEX(SPPR!$E:$Z,MATCH($A177,SPPR!$A:$A,0),7)),$C177*INDEX(SPPR!$E:$Z,MATCH($A177,SPPR!$A:$A,0),7),""),"")</f>
        <v/>
      </c>
      <c r="K177">
        <f>IFERROR(IF(ISNUMBER(INDEX(SPPR!$E:$Z,MATCH($A177,SPPR!$A:$A,0),8)),$C177*INDEX(SPPR!$E:$Z,MATCH($A177,SPPR!$A:$A,0),8),""),"")</f>
        <v/>
      </c>
      <c r="L177">
        <f>IFERROR(IF(ISNUMBER(INDEX(SPPR!$E:$Z,MATCH($A177,SPPR!$A:$A,0),9)),$C177*INDEX(SPPR!$E:$Z,MATCH($A177,SPPR!$A:$A,0),9),""),"")</f>
        <v/>
      </c>
      <c r="M177">
        <f>IFERROR(IF(ISNUMBER(INDEX(SPPR!$E:$Z,MATCH($A177,SPPR!$A:$A,0),10)),$C177*INDEX(SPPR!$E:$Z,MATCH($A177,SPPR!$A:$A,0),10),""),"")</f>
        <v/>
      </c>
      <c r="N177">
        <f>IFERROR(IF(ISNUMBER(INDEX(SPPR!$E:$Z,MATCH($A177,SPPR!$A:$A,0),11)),$C177*INDEX(SPPR!$E:$Z,MATCH($A177,SPPR!$A:$A,0),11),""),"")</f>
        <v/>
      </c>
      <c r="O177">
        <f>IFERROR(IF(ISNUMBER(INDEX(SPPR!$E:$Z,MATCH($A177,SPPR!$A:$A,0),12)),$C177*INDEX(SPPR!$E:$Z,MATCH($A177,SPPR!$A:$A,0),12),""),"")</f>
        <v/>
      </c>
      <c r="P177">
        <f>IFERROR(IF(ISNUMBER(INDEX(SPPR!$E:$Z,MATCH($A177,SPPR!$A:$A,0),13)),$C177*INDEX(SPPR!$E:$Z,MATCH($A177,SPPR!$A:$A,0),13),""),"")</f>
        <v/>
      </c>
      <c r="Q177">
        <f>IFERROR(IF(ISNUMBER(INDEX(SPPR!$E:$Z,MATCH($A177,SPPR!$A:$A,0),14)),$C177*INDEX(SPPR!$E:$Z,MATCH($A177,SPPR!$A:$A,0),14),""),"")</f>
        <v/>
      </c>
      <c r="R177">
        <f>IFERROR(IF(ISNUMBER(INDEX(SPPR!$E:$Z,MATCH($A177,SPPR!$A:$A,0),15)),$C177*INDEX(SPPR!$E:$Z,MATCH($A177,SPPR!$A:$A,0),15),""),"")</f>
        <v/>
      </c>
      <c r="S177">
        <f>IFERROR(IF(ISNUMBER(INDEX(SPPR!$E:$Z,MATCH($A177,SPPR!$A:$A,0),16)),$C177*INDEX(SPPR!$E:$Z,MATCH($A177,SPPR!$A:$A,0),16),""),"")</f>
        <v/>
      </c>
      <c r="T177">
        <f>IFERROR(IF(ISNUMBER(INDEX(SPPR!$E:$Z,MATCH($A177,SPPR!$A:$A,0),17)),$C177*INDEX(SPPR!$E:$Z,MATCH($A177,SPPR!$A:$A,0),17),""),"")</f>
        <v/>
      </c>
      <c r="U177">
        <f>IFERROR(IF(ISNUMBER(INDEX(SPPR!$E:$Z,MATCH($A177,SPPR!$A:$A,0),18)),$C177*INDEX(SPPR!$E:$Z,MATCH($A177,SPPR!$A:$A,0),18),""),"")</f>
        <v/>
      </c>
      <c r="V177">
        <f>IFERROR(IF(ISNUMBER(INDEX(SPPR!$E:$Z,MATCH($A177,SPPR!$A:$A,0),19)),$C177*INDEX(SPPR!$E:$Z,MATCH($A177,SPPR!$A:$A,0),19),""),"")</f>
        <v/>
      </c>
      <c r="W177">
        <f>IFERROR(IF(ISNUMBER(INDEX(SPPR!$E:$Z,MATCH($A177,SPPR!$A:$A,0),20)),$C177*INDEX(SPPR!$E:$Z,MATCH($A177,SPPR!$A:$A,0),20),""),"")</f>
        <v/>
      </c>
      <c r="X177">
        <f>IFERROR(IF(ISNUMBER(INDEX(SPPR!$E:$Z,MATCH($A177,SPPR!$A:$A,0),21)),$C177*INDEX(SPPR!$E:$Z,MATCH($A177,SPPR!$A:$A,0),21),""),"")</f>
        <v/>
      </c>
      <c r="Y177">
        <f>IFERROR(IF(ISNUMBER(INDEX(SPPR!$E:$Z,MATCH($A177,SPPR!$A:$A,0),22)),$C177*INDEX(SPPR!$E:$Z,MATCH($A177,SPPR!$A:$A,0),22),""),"")</f>
        <v/>
      </c>
    </row>
    <row r="178">
      <c r="A178" t="inlineStr">
        <is>
          <t>Platycephalus indicus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IFERROR(IF(ISNUMBER(INDEX(SPPR!$E:$Z,MATCH($A178,SPPR!$A:$A,0),1)),$C178*INDEX(SPPR!$E:$Z,MATCH($A178,SPPR!$A:$A,0),1),""),"")</f>
        <v/>
      </c>
      <c r="E178">
        <f>IFERROR(IF(ISNUMBER(INDEX(SPPR!$E:$Z,MATCH($A178,SPPR!$A:$A,0),2)),$C178*INDEX(SPPR!$E:$Z,MATCH($A178,SPPR!$A:$A,0),2),""),"")</f>
        <v/>
      </c>
      <c r="F178">
        <f>IFERROR(IF(ISNUMBER(INDEX(SPPR!$E:$Z,MATCH($A178,SPPR!$A:$A,0),3)),$C178*INDEX(SPPR!$E:$Z,MATCH($A178,SPPR!$A:$A,0),3),""),"")</f>
        <v/>
      </c>
      <c r="G178">
        <f>IFERROR(IF(ISNUMBER(INDEX(SPPR!$E:$Z,MATCH($A178,SPPR!$A:$A,0),4)),$C178*INDEX(SPPR!$E:$Z,MATCH($A178,SPPR!$A:$A,0),4),""),"")</f>
        <v/>
      </c>
      <c r="H178">
        <f>IFERROR(IF(ISNUMBER(INDEX(SPPR!$E:$Z,MATCH($A178,SPPR!$A:$A,0),5)),$C178*INDEX(SPPR!$E:$Z,MATCH($A178,SPPR!$A:$A,0),5),""),"")</f>
        <v/>
      </c>
      <c r="I178">
        <f>IFERROR(IF(ISNUMBER(INDEX(SPPR!$E:$Z,MATCH($A178,SPPR!$A:$A,0),6)),$C178*INDEX(SPPR!$E:$Z,MATCH($A178,SPPR!$A:$A,0),6),""),"")</f>
        <v/>
      </c>
      <c r="J178">
        <f>IFERROR(IF(ISNUMBER(INDEX(SPPR!$E:$Z,MATCH($A178,SPPR!$A:$A,0),7)),$C178*INDEX(SPPR!$E:$Z,MATCH($A178,SPPR!$A:$A,0),7),""),"")</f>
        <v/>
      </c>
      <c r="K178">
        <f>IFERROR(IF(ISNUMBER(INDEX(SPPR!$E:$Z,MATCH($A178,SPPR!$A:$A,0),8)),$C178*INDEX(SPPR!$E:$Z,MATCH($A178,SPPR!$A:$A,0),8),""),"")</f>
        <v/>
      </c>
      <c r="L178">
        <f>IFERROR(IF(ISNUMBER(INDEX(SPPR!$E:$Z,MATCH($A178,SPPR!$A:$A,0),9)),$C178*INDEX(SPPR!$E:$Z,MATCH($A178,SPPR!$A:$A,0),9),""),"")</f>
        <v/>
      </c>
      <c r="M178">
        <f>IFERROR(IF(ISNUMBER(INDEX(SPPR!$E:$Z,MATCH($A178,SPPR!$A:$A,0),10)),$C178*INDEX(SPPR!$E:$Z,MATCH($A178,SPPR!$A:$A,0),10),""),"")</f>
        <v/>
      </c>
      <c r="N178">
        <f>IFERROR(IF(ISNUMBER(INDEX(SPPR!$E:$Z,MATCH($A178,SPPR!$A:$A,0),11)),$C178*INDEX(SPPR!$E:$Z,MATCH($A178,SPPR!$A:$A,0),11),""),"")</f>
        <v/>
      </c>
      <c r="O178">
        <f>IFERROR(IF(ISNUMBER(INDEX(SPPR!$E:$Z,MATCH($A178,SPPR!$A:$A,0),12)),$C178*INDEX(SPPR!$E:$Z,MATCH($A178,SPPR!$A:$A,0),12),""),"")</f>
        <v/>
      </c>
      <c r="P178">
        <f>IFERROR(IF(ISNUMBER(INDEX(SPPR!$E:$Z,MATCH($A178,SPPR!$A:$A,0),13)),$C178*INDEX(SPPR!$E:$Z,MATCH($A178,SPPR!$A:$A,0),13),""),"")</f>
        <v/>
      </c>
      <c r="Q178">
        <f>IFERROR(IF(ISNUMBER(INDEX(SPPR!$E:$Z,MATCH($A178,SPPR!$A:$A,0),14)),$C178*INDEX(SPPR!$E:$Z,MATCH($A178,SPPR!$A:$A,0),14),""),"")</f>
        <v/>
      </c>
      <c r="R178">
        <f>IFERROR(IF(ISNUMBER(INDEX(SPPR!$E:$Z,MATCH($A178,SPPR!$A:$A,0),15)),$C178*INDEX(SPPR!$E:$Z,MATCH($A178,SPPR!$A:$A,0),15),""),"")</f>
        <v/>
      </c>
      <c r="S178">
        <f>IFERROR(IF(ISNUMBER(INDEX(SPPR!$E:$Z,MATCH($A178,SPPR!$A:$A,0),16)),$C178*INDEX(SPPR!$E:$Z,MATCH($A178,SPPR!$A:$A,0),16),""),"")</f>
        <v/>
      </c>
      <c r="T178">
        <f>IFERROR(IF(ISNUMBER(INDEX(SPPR!$E:$Z,MATCH($A178,SPPR!$A:$A,0),17)),$C178*INDEX(SPPR!$E:$Z,MATCH($A178,SPPR!$A:$A,0),17),""),"")</f>
        <v/>
      </c>
      <c r="U178">
        <f>IFERROR(IF(ISNUMBER(INDEX(SPPR!$E:$Z,MATCH($A178,SPPR!$A:$A,0),18)),$C178*INDEX(SPPR!$E:$Z,MATCH($A178,SPPR!$A:$A,0),18),""),"")</f>
        <v/>
      </c>
      <c r="V178">
        <f>IFERROR(IF(ISNUMBER(INDEX(SPPR!$E:$Z,MATCH($A178,SPPR!$A:$A,0),19)),$C178*INDEX(SPPR!$E:$Z,MATCH($A178,SPPR!$A:$A,0),19),""),"")</f>
        <v/>
      </c>
      <c r="W178">
        <f>IFERROR(IF(ISNUMBER(INDEX(SPPR!$E:$Z,MATCH($A178,SPPR!$A:$A,0),20)),$C178*INDEX(SPPR!$E:$Z,MATCH($A178,SPPR!$A:$A,0),20),""),"")</f>
        <v/>
      </c>
      <c r="X178">
        <f>IFERROR(IF(ISNUMBER(INDEX(SPPR!$E:$Z,MATCH($A178,SPPR!$A:$A,0),21)),$C178*INDEX(SPPR!$E:$Z,MATCH($A178,SPPR!$A:$A,0),21),""),"")</f>
        <v/>
      </c>
      <c r="Y178">
        <f>IFERROR(IF(ISNUMBER(INDEX(SPPR!$E:$Z,MATCH($A178,SPPR!$A:$A,0),22)),$C178*INDEX(SPPR!$E:$Z,MATCH($A178,SPPR!$A:$A,0),22),""),"")</f>
        <v/>
      </c>
    </row>
    <row r="179">
      <c r="A179" t="inlineStr">
        <is>
          <t>Ommastrephidae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IFERROR(IF(ISNUMBER(INDEX(SPPR!$E:$Z,MATCH($A179,SPPR!$A:$A,0),1)),$C179*INDEX(SPPR!$E:$Z,MATCH($A179,SPPR!$A:$A,0),1),""),"")</f>
        <v/>
      </c>
      <c r="E179">
        <f>IFERROR(IF(ISNUMBER(INDEX(SPPR!$E:$Z,MATCH($A179,SPPR!$A:$A,0),2)),$C179*INDEX(SPPR!$E:$Z,MATCH($A179,SPPR!$A:$A,0),2),""),"")</f>
        <v/>
      </c>
      <c r="F179">
        <f>IFERROR(IF(ISNUMBER(INDEX(SPPR!$E:$Z,MATCH($A179,SPPR!$A:$A,0),3)),$C179*INDEX(SPPR!$E:$Z,MATCH($A179,SPPR!$A:$A,0),3),""),"")</f>
        <v/>
      </c>
      <c r="G179">
        <f>IFERROR(IF(ISNUMBER(INDEX(SPPR!$E:$Z,MATCH($A179,SPPR!$A:$A,0),4)),$C179*INDEX(SPPR!$E:$Z,MATCH($A179,SPPR!$A:$A,0),4),""),"")</f>
        <v/>
      </c>
      <c r="H179">
        <f>IFERROR(IF(ISNUMBER(INDEX(SPPR!$E:$Z,MATCH($A179,SPPR!$A:$A,0),5)),$C179*INDEX(SPPR!$E:$Z,MATCH($A179,SPPR!$A:$A,0),5),""),"")</f>
        <v/>
      </c>
      <c r="I179">
        <f>IFERROR(IF(ISNUMBER(INDEX(SPPR!$E:$Z,MATCH($A179,SPPR!$A:$A,0),6)),$C179*INDEX(SPPR!$E:$Z,MATCH($A179,SPPR!$A:$A,0),6),""),"")</f>
        <v/>
      </c>
      <c r="J179">
        <f>IFERROR(IF(ISNUMBER(INDEX(SPPR!$E:$Z,MATCH($A179,SPPR!$A:$A,0),7)),$C179*INDEX(SPPR!$E:$Z,MATCH($A179,SPPR!$A:$A,0),7),""),"")</f>
        <v/>
      </c>
      <c r="K179">
        <f>IFERROR(IF(ISNUMBER(INDEX(SPPR!$E:$Z,MATCH($A179,SPPR!$A:$A,0),8)),$C179*INDEX(SPPR!$E:$Z,MATCH($A179,SPPR!$A:$A,0),8),""),"")</f>
        <v/>
      </c>
      <c r="L179">
        <f>IFERROR(IF(ISNUMBER(INDEX(SPPR!$E:$Z,MATCH($A179,SPPR!$A:$A,0),9)),$C179*INDEX(SPPR!$E:$Z,MATCH($A179,SPPR!$A:$A,0),9),""),"")</f>
        <v/>
      </c>
      <c r="M179">
        <f>IFERROR(IF(ISNUMBER(INDEX(SPPR!$E:$Z,MATCH($A179,SPPR!$A:$A,0),10)),$C179*INDEX(SPPR!$E:$Z,MATCH($A179,SPPR!$A:$A,0),10),""),"")</f>
        <v/>
      </c>
      <c r="N179">
        <f>IFERROR(IF(ISNUMBER(INDEX(SPPR!$E:$Z,MATCH($A179,SPPR!$A:$A,0),11)),$C179*INDEX(SPPR!$E:$Z,MATCH($A179,SPPR!$A:$A,0),11),""),"")</f>
        <v/>
      </c>
      <c r="O179">
        <f>IFERROR(IF(ISNUMBER(INDEX(SPPR!$E:$Z,MATCH($A179,SPPR!$A:$A,0),12)),$C179*INDEX(SPPR!$E:$Z,MATCH($A179,SPPR!$A:$A,0),12),""),"")</f>
        <v/>
      </c>
      <c r="P179">
        <f>IFERROR(IF(ISNUMBER(INDEX(SPPR!$E:$Z,MATCH($A179,SPPR!$A:$A,0),13)),$C179*INDEX(SPPR!$E:$Z,MATCH($A179,SPPR!$A:$A,0),13),""),"")</f>
        <v/>
      </c>
      <c r="Q179">
        <f>IFERROR(IF(ISNUMBER(INDEX(SPPR!$E:$Z,MATCH($A179,SPPR!$A:$A,0),14)),$C179*INDEX(SPPR!$E:$Z,MATCH($A179,SPPR!$A:$A,0),14),""),"")</f>
        <v/>
      </c>
      <c r="R179">
        <f>IFERROR(IF(ISNUMBER(INDEX(SPPR!$E:$Z,MATCH($A179,SPPR!$A:$A,0),15)),$C179*INDEX(SPPR!$E:$Z,MATCH($A179,SPPR!$A:$A,0),15),""),"")</f>
        <v/>
      </c>
      <c r="S179">
        <f>IFERROR(IF(ISNUMBER(INDEX(SPPR!$E:$Z,MATCH($A179,SPPR!$A:$A,0),16)),$C179*INDEX(SPPR!$E:$Z,MATCH($A179,SPPR!$A:$A,0),16),""),"")</f>
        <v/>
      </c>
      <c r="T179">
        <f>IFERROR(IF(ISNUMBER(INDEX(SPPR!$E:$Z,MATCH($A179,SPPR!$A:$A,0),17)),$C179*INDEX(SPPR!$E:$Z,MATCH($A179,SPPR!$A:$A,0),17),""),"")</f>
        <v/>
      </c>
      <c r="U179">
        <f>IFERROR(IF(ISNUMBER(INDEX(SPPR!$E:$Z,MATCH($A179,SPPR!$A:$A,0),18)),$C179*INDEX(SPPR!$E:$Z,MATCH($A179,SPPR!$A:$A,0),18),""),"")</f>
        <v/>
      </c>
      <c r="V179">
        <f>IFERROR(IF(ISNUMBER(INDEX(SPPR!$E:$Z,MATCH($A179,SPPR!$A:$A,0),19)),$C179*INDEX(SPPR!$E:$Z,MATCH($A179,SPPR!$A:$A,0),19),""),"")</f>
        <v/>
      </c>
      <c r="W179">
        <f>IFERROR(IF(ISNUMBER(INDEX(SPPR!$E:$Z,MATCH($A179,SPPR!$A:$A,0),20)),$C179*INDEX(SPPR!$E:$Z,MATCH($A179,SPPR!$A:$A,0),20),""),"")</f>
        <v/>
      </c>
      <c r="X179">
        <f>IFERROR(IF(ISNUMBER(INDEX(SPPR!$E:$Z,MATCH($A179,SPPR!$A:$A,0),21)),$C179*INDEX(SPPR!$E:$Z,MATCH($A179,SPPR!$A:$A,0),21),""),"")</f>
        <v/>
      </c>
      <c r="Y179">
        <f>IFERROR(IF(ISNUMBER(INDEX(SPPR!$E:$Z,MATCH($A179,SPPR!$A:$A,0),22)),$C179*INDEX(SPPR!$E:$Z,MATCH($A179,SPPR!$A:$A,0),22),""),"")</f>
        <v/>
      </c>
    </row>
    <row r="180">
      <c r="A180" t="inlineStr">
        <is>
          <t>Gobiidae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IFERROR(IF(ISNUMBER(INDEX(SPPR!$E:$Z,MATCH($A180,SPPR!$A:$A,0),1)),$C180*INDEX(SPPR!$E:$Z,MATCH($A180,SPPR!$A:$A,0),1),""),"")</f>
        <v/>
      </c>
      <c r="E180">
        <f>IFERROR(IF(ISNUMBER(INDEX(SPPR!$E:$Z,MATCH($A180,SPPR!$A:$A,0),2)),$C180*INDEX(SPPR!$E:$Z,MATCH($A180,SPPR!$A:$A,0),2),""),"")</f>
        <v/>
      </c>
      <c r="F180">
        <f>IFERROR(IF(ISNUMBER(INDEX(SPPR!$E:$Z,MATCH($A180,SPPR!$A:$A,0),3)),$C180*INDEX(SPPR!$E:$Z,MATCH($A180,SPPR!$A:$A,0),3),""),"")</f>
        <v/>
      </c>
      <c r="G180">
        <f>IFERROR(IF(ISNUMBER(INDEX(SPPR!$E:$Z,MATCH($A180,SPPR!$A:$A,0),4)),$C180*INDEX(SPPR!$E:$Z,MATCH($A180,SPPR!$A:$A,0),4),""),"")</f>
        <v/>
      </c>
      <c r="H180">
        <f>IFERROR(IF(ISNUMBER(INDEX(SPPR!$E:$Z,MATCH($A180,SPPR!$A:$A,0),5)),$C180*INDEX(SPPR!$E:$Z,MATCH($A180,SPPR!$A:$A,0),5),""),"")</f>
        <v/>
      </c>
      <c r="I180">
        <f>IFERROR(IF(ISNUMBER(INDEX(SPPR!$E:$Z,MATCH($A180,SPPR!$A:$A,0),6)),$C180*INDEX(SPPR!$E:$Z,MATCH($A180,SPPR!$A:$A,0),6),""),"")</f>
        <v/>
      </c>
      <c r="J180">
        <f>IFERROR(IF(ISNUMBER(INDEX(SPPR!$E:$Z,MATCH($A180,SPPR!$A:$A,0),7)),$C180*INDEX(SPPR!$E:$Z,MATCH($A180,SPPR!$A:$A,0),7),""),"")</f>
        <v/>
      </c>
      <c r="K180">
        <f>IFERROR(IF(ISNUMBER(INDEX(SPPR!$E:$Z,MATCH($A180,SPPR!$A:$A,0),8)),$C180*INDEX(SPPR!$E:$Z,MATCH($A180,SPPR!$A:$A,0),8),""),"")</f>
        <v/>
      </c>
      <c r="L180">
        <f>IFERROR(IF(ISNUMBER(INDEX(SPPR!$E:$Z,MATCH($A180,SPPR!$A:$A,0),9)),$C180*INDEX(SPPR!$E:$Z,MATCH($A180,SPPR!$A:$A,0),9),""),"")</f>
        <v/>
      </c>
      <c r="M180">
        <f>IFERROR(IF(ISNUMBER(INDEX(SPPR!$E:$Z,MATCH($A180,SPPR!$A:$A,0),10)),$C180*INDEX(SPPR!$E:$Z,MATCH($A180,SPPR!$A:$A,0),10),""),"")</f>
        <v/>
      </c>
      <c r="N180">
        <f>IFERROR(IF(ISNUMBER(INDEX(SPPR!$E:$Z,MATCH($A180,SPPR!$A:$A,0),11)),$C180*INDEX(SPPR!$E:$Z,MATCH($A180,SPPR!$A:$A,0),11),""),"")</f>
        <v/>
      </c>
      <c r="O180">
        <f>IFERROR(IF(ISNUMBER(INDEX(SPPR!$E:$Z,MATCH($A180,SPPR!$A:$A,0),12)),$C180*INDEX(SPPR!$E:$Z,MATCH($A180,SPPR!$A:$A,0),12),""),"")</f>
        <v/>
      </c>
      <c r="P180">
        <f>IFERROR(IF(ISNUMBER(INDEX(SPPR!$E:$Z,MATCH($A180,SPPR!$A:$A,0),13)),$C180*INDEX(SPPR!$E:$Z,MATCH($A180,SPPR!$A:$A,0),13),""),"")</f>
        <v/>
      </c>
      <c r="Q180">
        <f>IFERROR(IF(ISNUMBER(INDEX(SPPR!$E:$Z,MATCH($A180,SPPR!$A:$A,0),14)),$C180*INDEX(SPPR!$E:$Z,MATCH($A180,SPPR!$A:$A,0),14),""),"")</f>
        <v/>
      </c>
      <c r="R180">
        <f>IFERROR(IF(ISNUMBER(INDEX(SPPR!$E:$Z,MATCH($A180,SPPR!$A:$A,0),15)),$C180*INDEX(SPPR!$E:$Z,MATCH($A180,SPPR!$A:$A,0),15),""),"")</f>
        <v/>
      </c>
      <c r="S180">
        <f>IFERROR(IF(ISNUMBER(INDEX(SPPR!$E:$Z,MATCH($A180,SPPR!$A:$A,0),16)),$C180*INDEX(SPPR!$E:$Z,MATCH($A180,SPPR!$A:$A,0),16),""),"")</f>
        <v/>
      </c>
      <c r="T180">
        <f>IFERROR(IF(ISNUMBER(INDEX(SPPR!$E:$Z,MATCH($A180,SPPR!$A:$A,0),17)),$C180*INDEX(SPPR!$E:$Z,MATCH($A180,SPPR!$A:$A,0),17),""),"")</f>
        <v/>
      </c>
      <c r="U180">
        <f>IFERROR(IF(ISNUMBER(INDEX(SPPR!$E:$Z,MATCH($A180,SPPR!$A:$A,0),18)),$C180*INDEX(SPPR!$E:$Z,MATCH($A180,SPPR!$A:$A,0),18),""),"")</f>
        <v/>
      </c>
      <c r="V180">
        <f>IFERROR(IF(ISNUMBER(INDEX(SPPR!$E:$Z,MATCH($A180,SPPR!$A:$A,0),19)),$C180*INDEX(SPPR!$E:$Z,MATCH($A180,SPPR!$A:$A,0),19),""),"")</f>
        <v/>
      </c>
      <c r="W180">
        <f>IFERROR(IF(ISNUMBER(INDEX(SPPR!$E:$Z,MATCH($A180,SPPR!$A:$A,0),20)),$C180*INDEX(SPPR!$E:$Z,MATCH($A180,SPPR!$A:$A,0),20),""),"")</f>
        <v/>
      </c>
      <c r="X180">
        <f>IFERROR(IF(ISNUMBER(INDEX(SPPR!$E:$Z,MATCH($A180,SPPR!$A:$A,0),21)),$C180*INDEX(SPPR!$E:$Z,MATCH($A180,SPPR!$A:$A,0),21),""),"")</f>
        <v/>
      </c>
      <c r="Y180">
        <f>IFERROR(IF(ISNUMBER(INDEX(SPPR!$E:$Z,MATCH($A180,SPPR!$A:$A,0),22)),$C180*INDEX(SPPR!$E:$Z,MATCH($A180,SPPR!$A:$A,0),22),""),"")</f>
        <v/>
      </c>
    </row>
    <row r="181">
      <c r="A181" t="inlineStr">
        <is>
          <t>Cephea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IFERROR(IF(ISNUMBER(INDEX(SPPR!$E:$Z,MATCH($A181,SPPR!$A:$A,0),1)),$C181*INDEX(SPPR!$E:$Z,MATCH($A181,SPPR!$A:$A,0),1),""),"")</f>
        <v/>
      </c>
      <c r="E181">
        <f>IFERROR(IF(ISNUMBER(INDEX(SPPR!$E:$Z,MATCH($A181,SPPR!$A:$A,0),2)),$C181*INDEX(SPPR!$E:$Z,MATCH($A181,SPPR!$A:$A,0),2),""),"")</f>
        <v/>
      </c>
      <c r="F181">
        <f>IFERROR(IF(ISNUMBER(INDEX(SPPR!$E:$Z,MATCH($A181,SPPR!$A:$A,0),3)),$C181*INDEX(SPPR!$E:$Z,MATCH($A181,SPPR!$A:$A,0),3),""),"")</f>
        <v/>
      </c>
      <c r="G181">
        <f>IFERROR(IF(ISNUMBER(INDEX(SPPR!$E:$Z,MATCH($A181,SPPR!$A:$A,0),4)),$C181*INDEX(SPPR!$E:$Z,MATCH($A181,SPPR!$A:$A,0),4),""),"")</f>
        <v/>
      </c>
      <c r="H181">
        <f>IFERROR(IF(ISNUMBER(INDEX(SPPR!$E:$Z,MATCH($A181,SPPR!$A:$A,0),5)),$C181*INDEX(SPPR!$E:$Z,MATCH($A181,SPPR!$A:$A,0),5),""),"")</f>
        <v/>
      </c>
      <c r="I181">
        <f>IFERROR(IF(ISNUMBER(INDEX(SPPR!$E:$Z,MATCH($A181,SPPR!$A:$A,0),6)),$C181*INDEX(SPPR!$E:$Z,MATCH($A181,SPPR!$A:$A,0),6),""),"")</f>
        <v/>
      </c>
      <c r="J181">
        <f>IFERROR(IF(ISNUMBER(INDEX(SPPR!$E:$Z,MATCH($A181,SPPR!$A:$A,0),7)),$C181*INDEX(SPPR!$E:$Z,MATCH($A181,SPPR!$A:$A,0),7),""),"")</f>
        <v/>
      </c>
      <c r="K181">
        <f>IFERROR(IF(ISNUMBER(INDEX(SPPR!$E:$Z,MATCH($A181,SPPR!$A:$A,0),8)),$C181*INDEX(SPPR!$E:$Z,MATCH($A181,SPPR!$A:$A,0),8),""),"")</f>
        <v/>
      </c>
      <c r="L181">
        <f>IFERROR(IF(ISNUMBER(INDEX(SPPR!$E:$Z,MATCH($A181,SPPR!$A:$A,0),9)),$C181*INDEX(SPPR!$E:$Z,MATCH($A181,SPPR!$A:$A,0),9),""),"")</f>
        <v/>
      </c>
      <c r="M181">
        <f>IFERROR(IF(ISNUMBER(INDEX(SPPR!$E:$Z,MATCH($A181,SPPR!$A:$A,0),10)),$C181*INDEX(SPPR!$E:$Z,MATCH($A181,SPPR!$A:$A,0),10),""),"")</f>
        <v/>
      </c>
      <c r="N181">
        <f>IFERROR(IF(ISNUMBER(INDEX(SPPR!$E:$Z,MATCH($A181,SPPR!$A:$A,0),11)),$C181*INDEX(SPPR!$E:$Z,MATCH($A181,SPPR!$A:$A,0),11),""),"")</f>
        <v/>
      </c>
      <c r="O181">
        <f>IFERROR(IF(ISNUMBER(INDEX(SPPR!$E:$Z,MATCH($A181,SPPR!$A:$A,0),12)),$C181*INDEX(SPPR!$E:$Z,MATCH($A181,SPPR!$A:$A,0),12),""),"")</f>
        <v/>
      </c>
      <c r="P181">
        <f>IFERROR(IF(ISNUMBER(INDEX(SPPR!$E:$Z,MATCH($A181,SPPR!$A:$A,0),13)),$C181*INDEX(SPPR!$E:$Z,MATCH($A181,SPPR!$A:$A,0),13),""),"")</f>
        <v/>
      </c>
      <c r="Q181">
        <f>IFERROR(IF(ISNUMBER(INDEX(SPPR!$E:$Z,MATCH($A181,SPPR!$A:$A,0),14)),$C181*INDEX(SPPR!$E:$Z,MATCH($A181,SPPR!$A:$A,0),14),""),"")</f>
        <v/>
      </c>
      <c r="R181">
        <f>IFERROR(IF(ISNUMBER(INDEX(SPPR!$E:$Z,MATCH($A181,SPPR!$A:$A,0),15)),$C181*INDEX(SPPR!$E:$Z,MATCH($A181,SPPR!$A:$A,0),15),""),"")</f>
        <v/>
      </c>
      <c r="S181">
        <f>IFERROR(IF(ISNUMBER(INDEX(SPPR!$E:$Z,MATCH($A181,SPPR!$A:$A,0),16)),$C181*INDEX(SPPR!$E:$Z,MATCH($A181,SPPR!$A:$A,0),16),""),"")</f>
        <v/>
      </c>
      <c r="T181">
        <f>IFERROR(IF(ISNUMBER(INDEX(SPPR!$E:$Z,MATCH($A181,SPPR!$A:$A,0),17)),$C181*INDEX(SPPR!$E:$Z,MATCH($A181,SPPR!$A:$A,0),17),""),"")</f>
        <v/>
      </c>
      <c r="U181">
        <f>IFERROR(IF(ISNUMBER(INDEX(SPPR!$E:$Z,MATCH($A181,SPPR!$A:$A,0),18)),$C181*INDEX(SPPR!$E:$Z,MATCH($A181,SPPR!$A:$A,0),18),""),"")</f>
        <v/>
      </c>
      <c r="V181">
        <f>IFERROR(IF(ISNUMBER(INDEX(SPPR!$E:$Z,MATCH($A181,SPPR!$A:$A,0),19)),$C181*INDEX(SPPR!$E:$Z,MATCH($A181,SPPR!$A:$A,0),19),""),"")</f>
        <v/>
      </c>
      <c r="W181">
        <f>IFERROR(IF(ISNUMBER(INDEX(SPPR!$E:$Z,MATCH($A181,SPPR!$A:$A,0),20)),$C181*INDEX(SPPR!$E:$Z,MATCH($A181,SPPR!$A:$A,0),20),""),"")</f>
        <v/>
      </c>
      <c r="X181">
        <f>IFERROR(IF(ISNUMBER(INDEX(SPPR!$E:$Z,MATCH($A181,SPPR!$A:$A,0),21)),$C181*INDEX(SPPR!$E:$Z,MATCH($A181,SPPR!$A:$A,0),21),""),"")</f>
        <v/>
      </c>
      <c r="Y181">
        <f>IFERROR(IF(ISNUMBER(INDEX(SPPR!$E:$Z,MATCH($A181,SPPR!$A:$A,0),22)),$C181*INDEX(SPPR!$E:$Z,MATCH($A181,SPPR!$A:$A,0),22),""),"")</f>
        <v/>
      </c>
    </row>
    <row r="182">
      <c r="A182" t="inlineStr">
        <is>
          <t>Haemulidae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IFERROR(IF(ISNUMBER(INDEX(SPPR!$E:$Z,MATCH($A182,SPPR!$A:$A,0),1)),$C182*INDEX(SPPR!$E:$Z,MATCH($A182,SPPR!$A:$A,0),1),""),"")</f>
        <v/>
      </c>
      <c r="E182">
        <f>IFERROR(IF(ISNUMBER(INDEX(SPPR!$E:$Z,MATCH($A182,SPPR!$A:$A,0),2)),$C182*INDEX(SPPR!$E:$Z,MATCH($A182,SPPR!$A:$A,0),2),""),"")</f>
        <v/>
      </c>
      <c r="F182">
        <f>IFERROR(IF(ISNUMBER(INDEX(SPPR!$E:$Z,MATCH($A182,SPPR!$A:$A,0),3)),$C182*INDEX(SPPR!$E:$Z,MATCH($A182,SPPR!$A:$A,0),3),""),"")</f>
        <v/>
      </c>
      <c r="G182">
        <f>IFERROR(IF(ISNUMBER(INDEX(SPPR!$E:$Z,MATCH($A182,SPPR!$A:$A,0),4)),$C182*INDEX(SPPR!$E:$Z,MATCH($A182,SPPR!$A:$A,0),4),""),"")</f>
        <v/>
      </c>
      <c r="H182">
        <f>IFERROR(IF(ISNUMBER(INDEX(SPPR!$E:$Z,MATCH($A182,SPPR!$A:$A,0),5)),$C182*INDEX(SPPR!$E:$Z,MATCH($A182,SPPR!$A:$A,0),5),""),"")</f>
        <v/>
      </c>
      <c r="I182">
        <f>IFERROR(IF(ISNUMBER(INDEX(SPPR!$E:$Z,MATCH($A182,SPPR!$A:$A,0),6)),$C182*INDEX(SPPR!$E:$Z,MATCH($A182,SPPR!$A:$A,0),6),""),"")</f>
        <v/>
      </c>
      <c r="J182">
        <f>IFERROR(IF(ISNUMBER(INDEX(SPPR!$E:$Z,MATCH($A182,SPPR!$A:$A,0),7)),$C182*INDEX(SPPR!$E:$Z,MATCH($A182,SPPR!$A:$A,0),7),""),"")</f>
        <v/>
      </c>
      <c r="K182">
        <f>IFERROR(IF(ISNUMBER(INDEX(SPPR!$E:$Z,MATCH($A182,SPPR!$A:$A,0),8)),$C182*INDEX(SPPR!$E:$Z,MATCH($A182,SPPR!$A:$A,0),8),""),"")</f>
        <v/>
      </c>
      <c r="L182">
        <f>IFERROR(IF(ISNUMBER(INDEX(SPPR!$E:$Z,MATCH($A182,SPPR!$A:$A,0),9)),$C182*INDEX(SPPR!$E:$Z,MATCH($A182,SPPR!$A:$A,0),9),""),"")</f>
        <v/>
      </c>
      <c r="M182">
        <f>IFERROR(IF(ISNUMBER(INDEX(SPPR!$E:$Z,MATCH($A182,SPPR!$A:$A,0),10)),$C182*INDEX(SPPR!$E:$Z,MATCH($A182,SPPR!$A:$A,0),10),""),"")</f>
        <v/>
      </c>
      <c r="N182">
        <f>IFERROR(IF(ISNUMBER(INDEX(SPPR!$E:$Z,MATCH($A182,SPPR!$A:$A,0),11)),$C182*INDEX(SPPR!$E:$Z,MATCH($A182,SPPR!$A:$A,0),11),""),"")</f>
        <v/>
      </c>
      <c r="O182">
        <f>IFERROR(IF(ISNUMBER(INDEX(SPPR!$E:$Z,MATCH($A182,SPPR!$A:$A,0),12)),$C182*INDEX(SPPR!$E:$Z,MATCH($A182,SPPR!$A:$A,0),12),""),"")</f>
        <v/>
      </c>
      <c r="P182">
        <f>IFERROR(IF(ISNUMBER(INDEX(SPPR!$E:$Z,MATCH($A182,SPPR!$A:$A,0),13)),$C182*INDEX(SPPR!$E:$Z,MATCH($A182,SPPR!$A:$A,0),13),""),"")</f>
        <v/>
      </c>
      <c r="Q182">
        <f>IFERROR(IF(ISNUMBER(INDEX(SPPR!$E:$Z,MATCH($A182,SPPR!$A:$A,0),14)),$C182*INDEX(SPPR!$E:$Z,MATCH($A182,SPPR!$A:$A,0),14),""),"")</f>
        <v/>
      </c>
      <c r="R182">
        <f>IFERROR(IF(ISNUMBER(INDEX(SPPR!$E:$Z,MATCH($A182,SPPR!$A:$A,0),15)),$C182*INDEX(SPPR!$E:$Z,MATCH($A182,SPPR!$A:$A,0),15),""),"")</f>
        <v/>
      </c>
      <c r="S182">
        <f>IFERROR(IF(ISNUMBER(INDEX(SPPR!$E:$Z,MATCH($A182,SPPR!$A:$A,0),16)),$C182*INDEX(SPPR!$E:$Z,MATCH($A182,SPPR!$A:$A,0),16),""),"")</f>
        <v/>
      </c>
      <c r="T182">
        <f>IFERROR(IF(ISNUMBER(INDEX(SPPR!$E:$Z,MATCH($A182,SPPR!$A:$A,0),17)),$C182*INDEX(SPPR!$E:$Z,MATCH($A182,SPPR!$A:$A,0),17),""),"")</f>
        <v/>
      </c>
      <c r="U182">
        <f>IFERROR(IF(ISNUMBER(INDEX(SPPR!$E:$Z,MATCH($A182,SPPR!$A:$A,0),18)),$C182*INDEX(SPPR!$E:$Z,MATCH($A182,SPPR!$A:$A,0),18),""),"")</f>
        <v/>
      </c>
      <c r="V182">
        <f>IFERROR(IF(ISNUMBER(INDEX(SPPR!$E:$Z,MATCH($A182,SPPR!$A:$A,0),19)),$C182*INDEX(SPPR!$E:$Z,MATCH($A182,SPPR!$A:$A,0),19),""),"")</f>
        <v/>
      </c>
      <c r="W182">
        <f>IFERROR(IF(ISNUMBER(INDEX(SPPR!$E:$Z,MATCH($A182,SPPR!$A:$A,0),20)),$C182*INDEX(SPPR!$E:$Z,MATCH($A182,SPPR!$A:$A,0),20),""),"")</f>
        <v/>
      </c>
      <c r="X182">
        <f>IFERROR(IF(ISNUMBER(INDEX(SPPR!$E:$Z,MATCH($A182,SPPR!$A:$A,0),21)),$C182*INDEX(SPPR!$E:$Z,MATCH($A182,SPPR!$A:$A,0),21),""),"")</f>
        <v/>
      </c>
      <c r="Y182">
        <f>IFERROR(IF(ISNUMBER(INDEX(SPPR!$E:$Z,MATCH($A182,SPPR!$A:$A,0),22)),$C182*INDEX(SPPR!$E:$Z,MATCH($A182,SPPR!$A:$A,0),22),""),"")</f>
        <v/>
      </c>
    </row>
    <row r="183">
      <c r="A183" t="inlineStr">
        <is>
          <t>Mytilidae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IFERROR(IF(ISNUMBER(INDEX(SPPR!$E:$Z,MATCH($A183,SPPR!$A:$A,0),1)),$C183*INDEX(SPPR!$E:$Z,MATCH($A183,SPPR!$A:$A,0),1),""),"")</f>
        <v/>
      </c>
      <c r="E183">
        <f>IFERROR(IF(ISNUMBER(INDEX(SPPR!$E:$Z,MATCH($A183,SPPR!$A:$A,0),2)),$C183*INDEX(SPPR!$E:$Z,MATCH($A183,SPPR!$A:$A,0),2),""),"")</f>
        <v/>
      </c>
      <c r="F183">
        <f>IFERROR(IF(ISNUMBER(INDEX(SPPR!$E:$Z,MATCH($A183,SPPR!$A:$A,0),3)),$C183*INDEX(SPPR!$E:$Z,MATCH($A183,SPPR!$A:$A,0),3),""),"")</f>
        <v/>
      </c>
      <c r="G183">
        <f>IFERROR(IF(ISNUMBER(INDEX(SPPR!$E:$Z,MATCH($A183,SPPR!$A:$A,0),4)),$C183*INDEX(SPPR!$E:$Z,MATCH($A183,SPPR!$A:$A,0),4),""),"")</f>
        <v/>
      </c>
      <c r="H183">
        <f>IFERROR(IF(ISNUMBER(INDEX(SPPR!$E:$Z,MATCH($A183,SPPR!$A:$A,0),5)),$C183*INDEX(SPPR!$E:$Z,MATCH($A183,SPPR!$A:$A,0),5),""),"")</f>
        <v/>
      </c>
      <c r="I183">
        <f>IFERROR(IF(ISNUMBER(INDEX(SPPR!$E:$Z,MATCH($A183,SPPR!$A:$A,0),6)),$C183*INDEX(SPPR!$E:$Z,MATCH($A183,SPPR!$A:$A,0),6),""),"")</f>
        <v/>
      </c>
      <c r="J183">
        <f>IFERROR(IF(ISNUMBER(INDEX(SPPR!$E:$Z,MATCH($A183,SPPR!$A:$A,0),7)),$C183*INDEX(SPPR!$E:$Z,MATCH($A183,SPPR!$A:$A,0),7),""),"")</f>
        <v/>
      </c>
      <c r="K183">
        <f>IFERROR(IF(ISNUMBER(INDEX(SPPR!$E:$Z,MATCH($A183,SPPR!$A:$A,0),8)),$C183*INDEX(SPPR!$E:$Z,MATCH($A183,SPPR!$A:$A,0),8),""),"")</f>
        <v/>
      </c>
      <c r="L183">
        <f>IFERROR(IF(ISNUMBER(INDEX(SPPR!$E:$Z,MATCH($A183,SPPR!$A:$A,0),9)),$C183*INDEX(SPPR!$E:$Z,MATCH($A183,SPPR!$A:$A,0),9),""),"")</f>
        <v/>
      </c>
      <c r="M183">
        <f>IFERROR(IF(ISNUMBER(INDEX(SPPR!$E:$Z,MATCH($A183,SPPR!$A:$A,0),10)),$C183*INDEX(SPPR!$E:$Z,MATCH($A183,SPPR!$A:$A,0),10),""),"")</f>
        <v/>
      </c>
      <c r="N183">
        <f>IFERROR(IF(ISNUMBER(INDEX(SPPR!$E:$Z,MATCH($A183,SPPR!$A:$A,0),11)),$C183*INDEX(SPPR!$E:$Z,MATCH($A183,SPPR!$A:$A,0),11),""),"")</f>
        <v/>
      </c>
      <c r="O183">
        <f>IFERROR(IF(ISNUMBER(INDEX(SPPR!$E:$Z,MATCH($A183,SPPR!$A:$A,0),12)),$C183*INDEX(SPPR!$E:$Z,MATCH($A183,SPPR!$A:$A,0),12),""),"")</f>
        <v/>
      </c>
      <c r="P183">
        <f>IFERROR(IF(ISNUMBER(INDEX(SPPR!$E:$Z,MATCH($A183,SPPR!$A:$A,0),13)),$C183*INDEX(SPPR!$E:$Z,MATCH($A183,SPPR!$A:$A,0),13),""),"")</f>
        <v/>
      </c>
      <c r="Q183">
        <f>IFERROR(IF(ISNUMBER(INDEX(SPPR!$E:$Z,MATCH($A183,SPPR!$A:$A,0),14)),$C183*INDEX(SPPR!$E:$Z,MATCH($A183,SPPR!$A:$A,0),14),""),"")</f>
        <v/>
      </c>
      <c r="R183">
        <f>IFERROR(IF(ISNUMBER(INDEX(SPPR!$E:$Z,MATCH($A183,SPPR!$A:$A,0),15)),$C183*INDEX(SPPR!$E:$Z,MATCH($A183,SPPR!$A:$A,0),15),""),"")</f>
        <v/>
      </c>
      <c r="S183">
        <f>IFERROR(IF(ISNUMBER(INDEX(SPPR!$E:$Z,MATCH($A183,SPPR!$A:$A,0),16)),$C183*INDEX(SPPR!$E:$Z,MATCH($A183,SPPR!$A:$A,0),16),""),"")</f>
        <v/>
      </c>
      <c r="T183">
        <f>IFERROR(IF(ISNUMBER(INDEX(SPPR!$E:$Z,MATCH($A183,SPPR!$A:$A,0),17)),$C183*INDEX(SPPR!$E:$Z,MATCH($A183,SPPR!$A:$A,0),17),""),"")</f>
        <v/>
      </c>
      <c r="U183">
        <f>IFERROR(IF(ISNUMBER(INDEX(SPPR!$E:$Z,MATCH($A183,SPPR!$A:$A,0),18)),$C183*INDEX(SPPR!$E:$Z,MATCH($A183,SPPR!$A:$A,0),18),""),"")</f>
        <v/>
      </c>
      <c r="V183">
        <f>IFERROR(IF(ISNUMBER(INDEX(SPPR!$E:$Z,MATCH($A183,SPPR!$A:$A,0),19)),$C183*INDEX(SPPR!$E:$Z,MATCH($A183,SPPR!$A:$A,0),19),""),"")</f>
        <v/>
      </c>
      <c r="W183">
        <f>IFERROR(IF(ISNUMBER(INDEX(SPPR!$E:$Z,MATCH($A183,SPPR!$A:$A,0),20)),$C183*INDEX(SPPR!$E:$Z,MATCH($A183,SPPR!$A:$A,0),20),""),"")</f>
        <v/>
      </c>
      <c r="X183">
        <f>IFERROR(IF(ISNUMBER(INDEX(SPPR!$E:$Z,MATCH($A183,SPPR!$A:$A,0),21)),$C183*INDEX(SPPR!$E:$Z,MATCH($A183,SPPR!$A:$A,0),21),""),"")</f>
        <v/>
      </c>
      <c r="Y183">
        <f>IFERROR(IF(ISNUMBER(INDEX(SPPR!$E:$Z,MATCH($A183,SPPR!$A:$A,0),22)),$C183*INDEX(SPPR!$E:$Z,MATCH($A183,SPPR!$A:$A,0),22),""),"")</f>
        <v/>
      </c>
    </row>
    <row r="184">
      <c r="A184" t="inlineStr">
        <is>
          <t>Upeneus moluccensis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IFERROR(IF(ISNUMBER(INDEX(SPPR!$E:$Z,MATCH($A184,SPPR!$A:$A,0),1)),$C184*INDEX(SPPR!$E:$Z,MATCH($A184,SPPR!$A:$A,0),1),""),"")</f>
        <v/>
      </c>
      <c r="E184">
        <f>IFERROR(IF(ISNUMBER(INDEX(SPPR!$E:$Z,MATCH($A184,SPPR!$A:$A,0),2)),$C184*INDEX(SPPR!$E:$Z,MATCH($A184,SPPR!$A:$A,0),2),""),"")</f>
        <v/>
      </c>
      <c r="F184">
        <f>IFERROR(IF(ISNUMBER(INDEX(SPPR!$E:$Z,MATCH($A184,SPPR!$A:$A,0),3)),$C184*INDEX(SPPR!$E:$Z,MATCH($A184,SPPR!$A:$A,0),3),""),"")</f>
        <v/>
      </c>
      <c r="G184">
        <f>IFERROR(IF(ISNUMBER(INDEX(SPPR!$E:$Z,MATCH($A184,SPPR!$A:$A,0),4)),$C184*INDEX(SPPR!$E:$Z,MATCH($A184,SPPR!$A:$A,0),4),""),"")</f>
        <v/>
      </c>
      <c r="H184">
        <f>IFERROR(IF(ISNUMBER(INDEX(SPPR!$E:$Z,MATCH($A184,SPPR!$A:$A,0),5)),$C184*INDEX(SPPR!$E:$Z,MATCH($A184,SPPR!$A:$A,0),5),""),"")</f>
        <v/>
      </c>
      <c r="I184">
        <f>IFERROR(IF(ISNUMBER(INDEX(SPPR!$E:$Z,MATCH($A184,SPPR!$A:$A,0),6)),$C184*INDEX(SPPR!$E:$Z,MATCH($A184,SPPR!$A:$A,0),6),""),"")</f>
        <v/>
      </c>
      <c r="J184">
        <f>IFERROR(IF(ISNUMBER(INDEX(SPPR!$E:$Z,MATCH($A184,SPPR!$A:$A,0),7)),$C184*INDEX(SPPR!$E:$Z,MATCH($A184,SPPR!$A:$A,0),7),""),"")</f>
        <v/>
      </c>
      <c r="K184">
        <f>IFERROR(IF(ISNUMBER(INDEX(SPPR!$E:$Z,MATCH($A184,SPPR!$A:$A,0),8)),$C184*INDEX(SPPR!$E:$Z,MATCH($A184,SPPR!$A:$A,0),8),""),"")</f>
        <v/>
      </c>
      <c r="L184">
        <f>IFERROR(IF(ISNUMBER(INDEX(SPPR!$E:$Z,MATCH($A184,SPPR!$A:$A,0),9)),$C184*INDEX(SPPR!$E:$Z,MATCH($A184,SPPR!$A:$A,0),9),""),"")</f>
        <v/>
      </c>
      <c r="M184">
        <f>IFERROR(IF(ISNUMBER(INDEX(SPPR!$E:$Z,MATCH($A184,SPPR!$A:$A,0),10)),$C184*INDEX(SPPR!$E:$Z,MATCH($A184,SPPR!$A:$A,0),10),""),"")</f>
        <v/>
      </c>
      <c r="N184">
        <f>IFERROR(IF(ISNUMBER(INDEX(SPPR!$E:$Z,MATCH($A184,SPPR!$A:$A,0),11)),$C184*INDEX(SPPR!$E:$Z,MATCH($A184,SPPR!$A:$A,0),11),""),"")</f>
        <v/>
      </c>
      <c r="O184">
        <f>IFERROR(IF(ISNUMBER(INDEX(SPPR!$E:$Z,MATCH($A184,SPPR!$A:$A,0),12)),$C184*INDEX(SPPR!$E:$Z,MATCH($A184,SPPR!$A:$A,0),12),""),"")</f>
        <v/>
      </c>
      <c r="P184">
        <f>IFERROR(IF(ISNUMBER(INDEX(SPPR!$E:$Z,MATCH($A184,SPPR!$A:$A,0),13)),$C184*INDEX(SPPR!$E:$Z,MATCH($A184,SPPR!$A:$A,0),13),""),"")</f>
        <v/>
      </c>
      <c r="Q184">
        <f>IFERROR(IF(ISNUMBER(INDEX(SPPR!$E:$Z,MATCH($A184,SPPR!$A:$A,0),14)),$C184*INDEX(SPPR!$E:$Z,MATCH($A184,SPPR!$A:$A,0),14),""),"")</f>
        <v/>
      </c>
      <c r="R184">
        <f>IFERROR(IF(ISNUMBER(INDEX(SPPR!$E:$Z,MATCH($A184,SPPR!$A:$A,0),15)),$C184*INDEX(SPPR!$E:$Z,MATCH($A184,SPPR!$A:$A,0),15),""),"")</f>
        <v/>
      </c>
      <c r="S184">
        <f>IFERROR(IF(ISNUMBER(INDEX(SPPR!$E:$Z,MATCH($A184,SPPR!$A:$A,0),16)),$C184*INDEX(SPPR!$E:$Z,MATCH($A184,SPPR!$A:$A,0),16),""),"")</f>
        <v/>
      </c>
      <c r="T184">
        <f>IFERROR(IF(ISNUMBER(INDEX(SPPR!$E:$Z,MATCH($A184,SPPR!$A:$A,0),17)),$C184*INDEX(SPPR!$E:$Z,MATCH($A184,SPPR!$A:$A,0),17),""),"")</f>
        <v/>
      </c>
      <c r="U184">
        <f>IFERROR(IF(ISNUMBER(INDEX(SPPR!$E:$Z,MATCH($A184,SPPR!$A:$A,0),18)),$C184*INDEX(SPPR!$E:$Z,MATCH($A184,SPPR!$A:$A,0),18),""),"")</f>
        <v/>
      </c>
      <c r="V184">
        <f>IFERROR(IF(ISNUMBER(INDEX(SPPR!$E:$Z,MATCH($A184,SPPR!$A:$A,0),19)),$C184*INDEX(SPPR!$E:$Z,MATCH($A184,SPPR!$A:$A,0),19),""),"")</f>
        <v/>
      </c>
      <c r="W184">
        <f>IFERROR(IF(ISNUMBER(INDEX(SPPR!$E:$Z,MATCH($A184,SPPR!$A:$A,0),20)),$C184*INDEX(SPPR!$E:$Z,MATCH($A184,SPPR!$A:$A,0),20),""),"")</f>
        <v/>
      </c>
      <c r="X184">
        <f>IFERROR(IF(ISNUMBER(INDEX(SPPR!$E:$Z,MATCH($A184,SPPR!$A:$A,0),21)),$C184*INDEX(SPPR!$E:$Z,MATCH($A184,SPPR!$A:$A,0),21),""),"")</f>
        <v/>
      </c>
      <c r="Y184">
        <f>IFERROR(IF(ISNUMBER(INDEX(SPPR!$E:$Z,MATCH($A184,SPPR!$A:$A,0),22)),$C184*INDEX(SPPR!$E:$Z,MATCH($A184,SPPR!$A:$A,0),22),""),"")</f>
        <v/>
      </c>
    </row>
    <row r="185">
      <c r="A185" t="inlineStr">
        <is>
          <t>Perna viridis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IFERROR(IF(ISNUMBER(INDEX(SPPR!$E:$Z,MATCH($A185,SPPR!$A:$A,0),1)),$C185*INDEX(SPPR!$E:$Z,MATCH($A185,SPPR!$A:$A,0),1),""),"")</f>
        <v/>
      </c>
      <c r="E185">
        <f>IFERROR(IF(ISNUMBER(INDEX(SPPR!$E:$Z,MATCH($A185,SPPR!$A:$A,0),2)),$C185*INDEX(SPPR!$E:$Z,MATCH($A185,SPPR!$A:$A,0),2),""),"")</f>
        <v/>
      </c>
      <c r="F185">
        <f>IFERROR(IF(ISNUMBER(INDEX(SPPR!$E:$Z,MATCH($A185,SPPR!$A:$A,0),3)),$C185*INDEX(SPPR!$E:$Z,MATCH($A185,SPPR!$A:$A,0),3),""),"")</f>
        <v/>
      </c>
      <c r="G185">
        <f>IFERROR(IF(ISNUMBER(INDEX(SPPR!$E:$Z,MATCH($A185,SPPR!$A:$A,0),4)),$C185*INDEX(SPPR!$E:$Z,MATCH($A185,SPPR!$A:$A,0),4),""),"")</f>
        <v/>
      </c>
      <c r="H185">
        <f>IFERROR(IF(ISNUMBER(INDEX(SPPR!$E:$Z,MATCH($A185,SPPR!$A:$A,0),5)),$C185*INDEX(SPPR!$E:$Z,MATCH($A185,SPPR!$A:$A,0),5),""),"")</f>
        <v/>
      </c>
      <c r="I185">
        <f>IFERROR(IF(ISNUMBER(INDEX(SPPR!$E:$Z,MATCH($A185,SPPR!$A:$A,0),6)),$C185*INDEX(SPPR!$E:$Z,MATCH($A185,SPPR!$A:$A,0),6),""),"")</f>
        <v/>
      </c>
      <c r="J185">
        <f>IFERROR(IF(ISNUMBER(INDEX(SPPR!$E:$Z,MATCH($A185,SPPR!$A:$A,0),7)),$C185*INDEX(SPPR!$E:$Z,MATCH($A185,SPPR!$A:$A,0),7),""),"")</f>
        <v/>
      </c>
      <c r="K185">
        <f>IFERROR(IF(ISNUMBER(INDEX(SPPR!$E:$Z,MATCH($A185,SPPR!$A:$A,0),8)),$C185*INDEX(SPPR!$E:$Z,MATCH($A185,SPPR!$A:$A,0),8),""),"")</f>
        <v/>
      </c>
      <c r="L185">
        <f>IFERROR(IF(ISNUMBER(INDEX(SPPR!$E:$Z,MATCH($A185,SPPR!$A:$A,0),9)),$C185*INDEX(SPPR!$E:$Z,MATCH($A185,SPPR!$A:$A,0),9),""),"")</f>
        <v/>
      </c>
      <c r="M185">
        <f>IFERROR(IF(ISNUMBER(INDEX(SPPR!$E:$Z,MATCH($A185,SPPR!$A:$A,0),10)),$C185*INDEX(SPPR!$E:$Z,MATCH($A185,SPPR!$A:$A,0),10),""),"")</f>
        <v/>
      </c>
      <c r="N185">
        <f>IFERROR(IF(ISNUMBER(INDEX(SPPR!$E:$Z,MATCH($A185,SPPR!$A:$A,0),11)),$C185*INDEX(SPPR!$E:$Z,MATCH($A185,SPPR!$A:$A,0),11),""),"")</f>
        <v/>
      </c>
      <c r="O185">
        <f>IFERROR(IF(ISNUMBER(INDEX(SPPR!$E:$Z,MATCH($A185,SPPR!$A:$A,0),12)),$C185*INDEX(SPPR!$E:$Z,MATCH($A185,SPPR!$A:$A,0),12),""),"")</f>
        <v/>
      </c>
      <c r="P185">
        <f>IFERROR(IF(ISNUMBER(INDEX(SPPR!$E:$Z,MATCH($A185,SPPR!$A:$A,0),13)),$C185*INDEX(SPPR!$E:$Z,MATCH($A185,SPPR!$A:$A,0),13),""),"")</f>
        <v/>
      </c>
      <c r="Q185">
        <f>IFERROR(IF(ISNUMBER(INDEX(SPPR!$E:$Z,MATCH($A185,SPPR!$A:$A,0),14)),$C185*INDEX(SPPR!$E:$Z,MATCH($A185,SPPR!$A:$A,0),14),""),"")</f>
        <v/>
      </c>
      <c r="R185">
        <f>IFERROR(IF(ISNUMBER(INDEX(SPPR!$E:$Z,MATCH($A185,SPPR!$A:$A,0),15)),$C185*INDEX(SPPR!$E:$Z,MATCH($A185,SPPR!$A:$A,0),15),""),"")</f>
        <v/>
      </c>
      <c r="S185">
        <f>IFERROR(IF(ISNUMBER(INDEX(SPPR!$E:$Z,MATCH($A185,SPPR!$A:$A,0),16)),$C185*INDEX(SPPR!$E:$Z,MATCH($A185,SPPR!$A:$A,0),16),""),"")</f>
        <v/>
      </c>
      <c r="T185">
        <f>IFERROR(IF(ISNUMBER(INDEX(SPPR!$E:$Z,MATCH($A185,SPPR!$A:$A,0),17)),$C185*INDEX(SPPR!$E:$Z,MATCH($A185,SPPR!$A:$A,0),17),""),"")</f>
        <v/>
      </c>
      <c r="U185">
        <f>IFERROR(IF(ISNUMBER(INDEX(SPPR!$E:$Z,MATCH($A185,SPPR!$A:$A,0),18)),$C185*INDEX(SPPR!$E:$Z,MATCH($A185,SPPR!$A:$A,0),18),""),"")</f>
        <v/>
      </c>
      <c r="V185">
        <f>IFERROR(IF(ISNUMBER(INDEX(SPPR!$E:$Z,MATCH($A185,SPPR!$A:$A,0),19)),$C185*INDEX(SPPR!$E:$Z,MATCH($A185,SPPR!$A:$A,0),19),""),"")</f>
        <v/>
      </c>
      <c r="W185">
        <f>IFERROR(IF(ISNUMBER(INDEX(SPPR!$E:$Z,MATCH($A185,SPPR!$A:$A,0),20)),$C185*INDEX(SPPR!$E:$Z,MATCH($A185,SPPR!$A:$A,0),20),""),"")</f>
        <v/>
      </c>
      <c r="X185">
        <f>IFERROR(IF(ISNUMBER(INDEX(SPPR!$E:$Z,MATCH($A185,SPPR!$A:$A,0),21)),$C185*INDEX(SPPR!$E:$Z,MATCH($A185,SPPR!$A:$A,0),21),""),"")</f>
        <v/>
      </c>
      <c r="Y185">
        <f>IFERROR(IF(ISNUMBER(INDEX(SPPR!$E:$Z,MATCH($A185,SPPR!$A:$A,0),22)),$C185*INDEX(SPPR!$E:$Z,MATCH($A185,SPPR!$A:$A,0),22),""),"")</f>
        <v/>
      </c>
    </row>
    <row r="186">
      <c r="A186" t="inlineStr">
        <is>
          <t>Terapon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IFERROR(IF(ISNUMBER(INDEX(SPPR!$E:$Z,MATCH($A186,SPPR!$A:$A,0),1)),$C186*INDEX(SPPR!$E:$Z,MATCH($A186,SPPR!$A:$A,0),1),""),"")</f>
        <v/>
      </c>
      <c r="E186">
        <f>IFERROR(IF(ISNUMBER(INDEX(SPPR!$E:$Z,MATCH($A186,SPPR!$A:$A,0),2)),$C186*INDEX(SPPR!$E:$Z,MATCH($A186,SPPR!$A:$A,0),2),""),"")</f>
        <v/>
      </c>
      <c r="F186">
        <f>IFERROR(IF(ISNUMBER(INDEX(SPPR!$E:$Z,MATCH($A186,SPPR!$A:$A,0),3)),$C186*INDEX(SPPR!$E:$Z,MATCH($A186,SPPR!$A:$A,0),3),""),"")</f>
        <v/>
      </c>
      <c r="G186">
        <f>IFERROR(IF(ISNUMBER(INDEX(SPPR!$E:$Z,MATCH($A186,SPPR!$A:$A,0),4)),$C186*INDEX(SPPR!$E:$Z,MATCH($A186,SPPR!$A:$A,0),4),""),"")</f>
        <v/>
      </c>
      <c r="H186">
        <f>IFERROR(IF(ISNUMBER(INDEX(SPPR!$E:$Z,MATCH($A186,SPPR!$A:$A,0),5)),$C186*INDEX(SPPR!$E:$Z,MATCH($A186,SPPR!$A:$A,0),5),""),"")</f>
        <v/>
      </c>
      <c r="I186">
        <f>IFERROR(IF(ISNUMBER(INDEX(SPPR!$E:$Z,MATCH($A186,SPPR!$A:$A,0),6)),$C186*INDEX(SPPR!$E:$Z,MATCH($A186,SPPR!$A:$A,0),6),""),"")</f>
        <v/>
      </c>
      <c r="J186">
        <f>IFERROR(IF(ISNUMBER(INDEX(SPPR!$E:$Z,MATCH($A186,SPPR!$A:$A,0),7)),$C186*INDEX(SPPR!$E:$Z,MATCH($A186,SPPR!$A:$A,0),7),""),"")</f>
        <v/>
      </c>
      <c r="K186">
        <f>IFERROR(IF(ISNUMBER(INDEX(SPPR!$E:$Z,MATCH($A186,SPPR!$A:$A,0),8)),$C186*INDEX(SPPR!$E:$Z,MATCH($A186,SPPR!$A:$A,0),8),""),"")</f>
        <v/>
      </c>
      <c r="L186">
        <f>IFERROR(IF(ISNUMBER(INDEX(SPPR!$E:$Z,MATCH($A186,SPPR!$A:$A,0),9)),$C186*INDEX(SPPR!$E:$Z,MATCH($A186,SPPR!$A:$A,0),9),""),"")</f>
        <v/>
      </c>
      <c r="M186">
        <f>IFERROR(IF(ISNUMBER(INDEX(SPPR!$E:$Z,MATCH($A186,SPPR!$A:$A,0),10)),$C186*INDEX(SPPR!$E:$Z,MATCH($A186,SPPR!$A:$A,0),10),""),"")</f>
        <v/>
      </c>
      <c r="N186">
        <f>IFERROR(IF(ISNUMBER(INDEX(SPPR!$E:$Z,MATCH($A186,SPPR!$A:$A,0),11)),$C186*INDEX(SPPR!$E:$Z,MATCH($A186,SPPR!$A:$A,0),11),""),"")</f>
        <v/>
      </c>
      <c r="O186">
        <f>IFERROR(IF(ISNUMBER(INDEX(SPPR!$E:$Z,MATCH($A186,SPPR!$A:$A,0),12)),$C186*INDEX(SPPR!$E:$Z,MATCH($A186,SPPR!$A:$A,0),12),""),"")</f>
        <v/>
      </c>
      <c r="P186">
        <f>IFERROR(IF(ISNUMBER(INDEX(SPPR!$E:$Z,MATCH($A186,SPPR!$A:$A,0),13)),$C186*INDEX(SPPR!$E:$Z,MATCH($A186,SPPR!$A:$A,0),13),""),"")</f>
        <v/>
      </c>
      <c r="Q186">
        <f>IFERROR(IF(ISNUMBER(INDEX(SPPR!$E:$Z,MATCH($A186,SPPR!$A:$A,0),14)),$C186*INDEX(SPPR!$E:$Z,MATCH($A186,SPPR!$A:$A,0),14),""),"")</f>
        <v/>
      </c>
      <c r="R186">
        <f>IFERROR(IF(ISNUMBER(INDEX(SPPR!$E:$Z,MATCH($A186,SPPR!$A:$A,0),15)),$C186*INDEX(SPPR!$E:$Z,MATCH($A186,SPPR!$A:$A,0),15),""),"")</f>
        <v/>
      </c>
      <c r="S186">
        <f>IFERROR(IF(ISNUMBER(INDEX(SPPR!$E:$Z,MATCH($A186,SPPR!$A:$A,0),16)),$C186*INDEX(SPPR!$E:$Z,MATCH($A186,SPPR!$A:$A,0),16),""),"")</f>
        <v/>
      </c>
      <c r="T186">
        <f>IFERROR(IF(ISNUMBER(INDEX(SPPR!$E:$Z,MATCH($A186,SPPR!$A:$A,0),17)),$C186*INDEX(SPPR!$E:$Z,MATCH($A186,SPPR!$A:$A,0),17),""),"")</f>
        <v/>
      </c>
      <c r="U186">
        <f>IFERROR(IF(ISNUMBER(INDEX(SPPR!$E:$Z,MATCH($A186,SPPR!$A:$A,0),18)),$C186*INDEX(SPPR!$E:$Z,MATCH($A186,SPPR!$A:$A,0),18),""),"")</f>
        <v/>
      </c>
      <c r="V186">
        <f>IFERROR(IF(ISNUMBER(INDEX(SPPR!$E:$Z,MATCH($A186,SPPR!$A:$A,0),19)),$C186*INDEX(SPPR!$E:$Z,MATCH($A186,SPPR!$A:$A,0),19),""),"")</f>
        <v/>
      </c>
      <c r="W186">
        <f>IFERROR(IF(ISNUMBER(INDEX(SPPR!$E:$Z,MATCH($A186,SPPR!$A:$A,0),20)),$C186*INDEX(SPPR!$E:$Z,MATCH($A186,SPPR!$A:$A,0),20),""),"")</f>
        <v/>
      </c>
      <c r="X186">
        <f>IFERROR(IF(ISNUMBER(INDEX(SPPR!$E:$Z,MATCH($A186,SPPR!$A:$A,0),21)),$C186*INDEX(SPPR!$E:$Z,MATCH($A186,SPPR!$A:$A,0),21),""),"")</f>
        <v/>
      </c>
      <c r="Y186">
        <f>IFERROR(IF(ISNUMBER(INDEX(SPPR!$E:$Z,MATCH($A186,SPPR!$A:$A,0),22)),$C186*INDEX(SPPR!$E:$Z,MATCH($A186,SPPR!$A:$A,0),22),""),"")</f>
        <v/>
      </c>
    </row>
    <row r="187">
      <c r="A187" t="inlineStr">
        <is>
          <t>Pampus chinensis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IFERROR(IF(ISNUMBER(INDEX(SPPR!$E:$Z,MATCH($A187,SPPR!$A:$A,0),1)),$C187*INDEX(SPPR!$E:$Z,MATCH($A187,SPPR!$A:$A,0),1),""),"")</f>
        <v/>
      </c>
      <c r="E187">
        <f>IFERROR(IF(ISNUMBER(INDEX(SPPR!$E:$Z,MATCH($A187,SPPR!$A:$A,0),2)),$C187*INDEX(SPPR!$E:$Z,MATCH($A187,SPPR!$A:$A,0),2),""),"")</f>
        <v/>
      </c>
      <c r="F187">
        <f>IFERROR(IF(ISNUMBER(INDEX(SPPR!$E:$Z,MATCH($A187,SPPR!$A:$A,0),3)),$C187*INDEX(SPPR!$E:$Z,MATCH($A187,SPPR!$A:$A,0),3),""),"")</f>
        <v/>
      </c>
      <c r="G187">
        <f>IFERROR(IF(ISNUMBER(INDEX(SPPR!$E:$Z,MATCH($A187,SPPR!$A:$A,0),4)),$C187*INDEX(SPPR!$E:$Z,MATCH($A187,SPPR!$A:$A,0),4),""),"")</f>
        <v/>
      </c>
      <c r="H187">
        <f>IFERROR(IF(ISNUMBER(INDEX(SPPR!$E:$Z,MATCH($A187,SPPR!$A:$A,0),5)),$C187*INDEX(SPPR!$E:$Z,MATCH($A187,SPPR!$A:$A,0),5),""),"")</f>
        <v/>
      </c>
      <c r="I187">
        <f>IFERROR(IF(ISNUMBER(INDEX(SPPR!$E:$Z,MATCH($A187,SPPR!$A:$A,0),6)),$C187*INDEX(SPPR!$E:$Z,MATCH($A187,SPPR!$A:$A,0),6),""),"")</f>
        <v/>
      </c>
      <c r="J187">
        <f>IFERROR(IF(ISNUMBER(INDEX(SPPR!$E:$Z,MATCH($A187,SPPR!$A:$A,0),7)),$C187*INDEX(SPPR!$E:$Z,MATCH($A187,SPPR!$A:$A,0),7),""),"")</f>
        <v/>
      </c>
      <c r="K187">
        <f>IFERROR(IF(ISNUMBER(INDEX(SPPR!$E:$Z,MATCH($A187,SPPR!$A:$A,0),8)),$C187*INDEX(SPPR!$E:$Z,MATCH($A187,SPPR!$A:$A,0),8),""),"")</f>
        <v/>
      </c>
      <c r="L187">
        <f>IFERROR(IF(ISNUMBER(INDEX(SPPR!$E:$Z,MATCH($A187,SPPR!$A:$A,0),9)),$C187*INDEX(SPPR!$E:$Z,MATCH($A187,SPPR!$A:$A,0),9),""),"")</f>
        <v/>
      </c>
      <c r="M187">
        <f>IFERROR(IF(ISNUMBER(INDEX(SPPR!$E:$Z,MATCH($A187,SPPR!$A:$A,0),10)),$C187*INDEX(SPPR!$E:$Z,MATCH($A187,SPPR!$A:$A,0),10),""),"")</f>
        <v/>
      </c>
      <c r="N187">
        <f>IFERROR(IF(ISNUMBER(INDEX(SPPR!$E:$Z,MATCH($A187,SPPR!$A:$A,0),11)),$C187*INDEX(SPPR!$E:$Z,MATCH($A187,SPPR!$A:$A,0),11),""),"")</f>
        <v/>
      </c>
      <c r="O187">
        <f>IFERROR(IF(ISNUMBER(INDEX(SPPR!$E:$Z,MATCH($A187,SPPR!$A:$A,0),12)),$C187*INDEX(SPPR!$E:$Z,MATCH($A187,SPPR!$A:$A,0),12),""),"")</f>
        <v/>
      </c>
      <c r="P187">
        <f>IFERROR(IF(ISNUMBER(INDEX(SPPR!$E:$Z,MATCH($A187,SPPR!$A:$A,0),13)),$C187*INDEX(SPPR!$E:$Z,MATCH($A187,SPPR!$A:$A,0),13),""),"")</f>
        <v/>
      </c>
      <c r="Q187">
        <f>IFERROR(IF(ISNUMBER(INDEX(SPPR!$E:$Z,MATCH($A187,SPPR!$A:$A,0),14)),$C187*INDEX(SPPR!$E:$Z,MATCH($A187,SPPR!$A:$A,0),14),""),"")</f>
        <v/>
      </c>
      <c r="R187">
        <f>IFERROR(IF(ISNUMBER(INDEX(SPPR!$E:$Z,MATCH($A187,SPPR!$A:$A,0),15)),$C187*INDEX(SPPR!$E:$Z,MATCH($A187,SPPR!$A:$A,0),15),""),"")</f>
        <v/>
      </c>
      <c r="S187">
        <f>IFERROR(IF(ISNUMBER(INDEX(SPPR!$E:$Z,MATCH($A187,SPPR!$A:$A,0),16)),$C187*INDEX(SPPR!$E:$Z,MATCH($A187,SPPR!$A:$A,0),16),""),"")</f>
        <v/>
      </c>
      <c r="T187">
        <f>IFERROR(IF(ISNUMBER(INDEX(SPPR!$E:$Z,MATCH($A187,SPPR!$A:$A,0),17)),$C187*INDEX(SPPR!$E:$Z,MATCH($A187,SPPR!$A:$A,0),17),""),"")</f>
        <v/>
      </c>
      <c r="U187">
        <f>IFERROR(IF(ISNUMBER(INDEX(SPPR!$E:$Z,MATCH($A187,SPPR!$A:$A,0),18)),$C187*INDEX(SPPR!$E:$Z,MATCH($A187,SPPR!$A:$A,0),18),""),"")</f>
        <v/>
      </c>
      <c r="V187">
        <f>IFERROR(IF(ISNUMBER(INDEX(SPPR!$E:$Z,MATCH($A187,SPPR!$A:$A,0),19)),$C187*INDEX(SPPR!$E:$Z,MATCH($A187,SPPR!$A:$A,0),19),""),"")</f>
        <v/>
      </c>
      <c r="W187">
        <f>IFERROR(IF(ISNUMBER(INDEX(SPPR!$E:$Z,MATCH($A187,SPPR!$A:$A,0),20)),$C187*INDEX(SPPR!$E:$Z,MATCH($A187,SPPR!$A:$A,0),20),""),"")</f>
        <v/>
      </c>
      <c r="X187">
        <f>IFERROR(IF(ISNUMBER(INDEX(SPPR!$E:$Z,MATCH($A187,SPPR!$A:$A,0),21)),$C187*INDEX(SPPR!$E:$Z,MATCH($A187,SPPR!$A:$A,0),21),""),"")</f>
        <v/>
      </c>
      <c r="Y187">
        <f>IFERROR(IF(ISNUMBER(INDEX(SPPR!$E:$Z,MATCH($A187,SPPR!$A:$A,0),22)),$C187*INDEX(SPPR!$E:$Z,MATCH($A187,SPPR!$A:$A,0),22),""),"")</f>
        <v/>
      </c>
    </row>
    <row r="188">
      <c r="A188" t="inlineStr">
        <is>
          <t>Rhizostomeae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IFERROR(IF(ISNUMBER(INDEX(SPPR!$E:$Z,MATCH($A188,SPPR!$A:$A,0),1)),$C188*INDEX(SPPR!$E:$Z,MATCH($A188,SPPR!$A:$A,0),1),""),"")</f>
        <v/>
      </c>
      <c r="E188">
        <f>IFERROR(IF(ISNUMBER(INDEX(SPPR!$E:$Z,MATCH($A188,SPPR!$A:$A,0),2)),$C188*INDEX(SPPR!$E:$Z,MATCH($A188,SPPR!$A:$A,0),2),""),"")</f>
        <v/>
      </c>
      <c r="F188">
        <f>IFERROR(IF(ISNUMBER(INDEX(SPPR!$E:$Z,MATCH($A188,SPPR!$A:$A,0),3)),$C188*INDEX(SPPR!$E:$Z,MATCH($A188,SPPR!$A:$A,0),3),""),"")</f>
        <v/>
      </c>
      <c r="G188">
        <f>IFERROR(IF(ISNUMBER(INDEX(SPPR!$E:$Z,MATCH($A188,SPPR!$A:$A,0),4)),$C188*INDEX(SPPR!$E:$Z,MATCH($A188,SPPR!$A:$A,0),4),""),"")</f>
        <v/>
      </c>
      <c r="H188">
        <f>IFERROR(IF(ISNUMBER(INDEX(SPPR!$E:$Z,MATCH($A188,SPPR!$A:$A,0),5)),$C188*INDEX(SPPR!$E:$Z,MATCH($A188,SPPR!$A:$A,0),5),""),"")</f>
        <v/>
      </c>
      <c r="I188">
        <f>IFERROR(IF(ISNUMBER(INDEX(SPPR!$E:$Z,MATCH($A188,SPPR!$A:$A,0),6)),$C188*INDEX(SPPR!$E:$Z,MATCH($A188,SPPR!$A:$A,0),6),""),"")</f>
        <v/>
      </c>
      <c r="J188">
        <f>IFERROR(IF(ISNUMBER(INDEX(SPPR!$E:$Z,MATCH($A188,SPPR!$A:$A,0),7)),$C188*INDEX(SPPR!$E:$Z,MATCH($A188,SPPR!$A:$A,0),7),""),"")</f>
        <v/>
      </c>
      <c r="K188">
        <f>IFERROR(IF(ISNUMBER(INDEX(SPPR!$E:$Z,MATCH($A188,SPPR!$A:$A,0),8)),$C188*INDEX(SPPR!$E:$Z,MATCH($A188,SPPR!$A:$A,0),8),""),"")</f>
        <v/>
      </c>
      <c r="L188">
        <f>IFERROR(IF(ISNUMBER(INDEX(SPPR!$E:$Z,MATCH($A188,SPPR!$A:$A,0),9)),$C188*INDEX(SPPR!$E:$Z,MATCH($A188,SPPR!$A:$A,0),9),""),"")</f>
        <v/>
      </c>
      <c r="M188">
        <f>IFERROR(IF(ISNUMBER(INDEX(SPPR!$E:$Z,MATCH($A188,SPPR!$A:$A,0),10)),$C188*INDEX(SPPR!$E:$Z,MATCH($A188,SPPR!$A:$A,0),10),""),"")</f>
        <v/>
      </c>
      <c r="N188">
        <f>IFERROR(IF(ISNUMBER(INDEX(SPPR!$E:$Z,MATCH($A188,SPPR!$A:$A,0),11)),$C188*INDEX(SPPR!$E:$Z,MATCH($A188,SPPR!$A:$A,0),11),""),"")</f>
        <v/>
      </c>
      <c r="O188">
        <f>IFERROR(IF(ISNUMBER(INDEX(SPPR!$E:$Z,MATCH($A188,SPPR!$A:$A,0),12)),$C188*INDEX(SPPR!$E:$Z,MATCH($A188,SPPR!$A:$A,0),12),""),"")</f>
        <v/>
      </c>
      <c r="P188">
        <f>IFERROR(IF(ISNUMBER(INDEX(SPPR!$E:$Z,MATCH($A188,SPPR!$A:$A,0),13)),$C188*INDEX(SPPR!$E:$Z,MATCH($A188,SPPR!$A:$A,0),13),""),"")</f>
        <v/>
      </c>
      <c r="Q188">
        <f>IFERROR(IF(ISNUMBER(INDEX(SPPR!$E:$Z,MATCH($A188,SPPR!$A:$A,0),14)),$C188*INDEX(SPPR!$E:$Z,MATCH($A188,SPPR!$A:$A,0),14),""),"")</f>
        <v/>
      </c>
      <c r="R188">
        <f>IFERROR(IF(ISNUMBER(INDEX(SPPR!$E:$Z,MATCH($A188,SPPR!$A:$A,0),15)),$C188*INDEX(SPPR!$E:$Z,MATCH($A188,SPPR!$A:$A,0),15),""),"")</f>
        <v/>
      </c>
      <c r="S188">
        <f>IFERROR(IF(ISNUMBER(INDEX(SPPR!$E:$Z,MATCH($A188,SPPR!$A:$A,0),16)),$C188*INDEX(SPPR!$E:$Z,MATCH($A188,SPPR!$A:$A,0),16),""),"")</f>
        <v/>
      </c>
      <c r="T188">
        <f>IFERROR(IF(ISNUMBER(INDEX(SPPR!$E:$Z,MATCH($A188,SPPR!$A:$A,0),17)),$C188*INDEX(SPPR!$E:$Z,MATCH($A188,SPPR!$A:$A,0),17),""),"")</f>
        <v/>
      </c>
      <c r="U188">
        <f>IFERROR(IF(ISNUMBER(INDEX(SPPR!$E:$Z,MATCH($A188,SPPR!$A:$A,0),18)),$C188*INDEX(SPPR!$E:$Z,MATCH($A188,SPPR!$A:$A,0),18),""),"")</f>
        <v/>
      </c>
      <c r="V188">
        <f>IFERROR(IF(ISNUMBER(INDEX(SPPR!$E:$Z,MATCH($A188,SPPR!$A:$A,0),19)),$C188*INDEX(SPPR!$E:$Z,MATCH($A188,SPPR!$A:$A,0),19),""),"")</f>
        <v/>
      </c>
      <c r="W188">
        <f>IFERROR(IF(ISNUMBER(INDEX(SPPR!$E:$Z,MATCH($A188,SPPR!$A:$A,0),20)),$C188*INDEX(SPPR!$E:$Z,MATCH($A188,SPPR!$A:$A,0),20),""),"")</f>
        <v/>
      </c>
      <c r="X188">
        <f>IFERROR(IF(ISNUMBER(INDEX(SPPR!$E:$Z,MATCH($A188,SPPR!$A:$A,0),21)),$C188*INDEX(SPPR!$E:$Z,MATCH($A188,SPPR!$A:$A,0),21),""),"")</f>
        <v/>
      </c>
      <c r="Y188">
        <f>IFERROR(IF(ISNUMBER(INDEX(SPPR!$E:$Z,MATCH($A188,SPPR!$A:$A,0),22)),$C188*INDEX(SPPR!$E:$Z,MATCH($A188,SPPR!$A:$A,0),22),""),"")</f>
        <v/>
      </c>
    </row>
    <row r="189">
      <c r="A189" t="inlineStr">
        <is>
          <t>Sillago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IFERROR(IF(ISNUMBER(INDEX(SPPR!$E:$Z,MATCH($A189,SPPR!$A:$A,0),1)),$C189*INDEX(SPPR!$E:$Z,MATCH($A189,SPPR!$A:$A,0),1),""),"")</f>
        <v/>
      </c>
      <c r="E189">
        <f>IFERROR(IF(ISNUMBER(INDEX(SPPR!$E:$Z,MATCH($A189,SPPR!$A:$A,0),2)),$C189*INDEX(SPPR!$E:$Z,MATCH($A189,SPPR!$A:$A,0),2),""),"")</f>
        <v/>
      </c>
      <c r="F189">
        <f>IFERROR(IF(ISNUMBER(INDEX(SPPR!$E:$Z,MATCH($A189,SPPR!$A:$A,0),3)),$C189*INDEX(SPPR!$E:$Z,MATCH($A189,SPPR!$A:$A,0),3),""),"")</f>
        <v/>
      </c>
      <c r="G189">
        <f>IFERROR(IF(ISNUMBER(INDEX(SPPR!$E:$Z,MATCH($A189,SPPR!$A:$A,0),4)),$C189*INDEX(SPPR!$E:$Z,MATCH($A189,SPPR!$A:$A,0),4),""),"")</f>
        <v/>
      </c>
      <c r="H189">
        <f>IFERROR(IF(ISNUMBER(INDEX(SPPR!$E:$Z,MATCH($A189,SPPR!$A:$A,0),5)),$C189*INDEX(SPPR!$E:$Z,MATCH($A189,SPPR!$A:$A,0),5),""),"")</f>
        <v/>
      </c>
      <c r="I189">
        <f>IFERROR(IF(ISNUMBER(INDEX(SPPR!$E:$Z,MATCH($A189,SPPR!$A:$A,0),6)),$C189*INDEX(SPPR!$E:$Z,MATCH($A189,SPPR!$A:$A,0),6),""),"")</f>
        <v/>
      </c>
      <c r="J189">
        <f>IFERROR(IF(ISNUMBER(INDEX(SPPR!$E:$Z,MATCH($A189,SPPR!$A:$A,0),7)),$C189*INDEX(SPPR!$E:$Z,MATCH($A189,SPPR!$A:$A,0),7),""),"")</f>
        <v/>
      </c>
      <c r="K189">
        <f>IFERROR(IF(ISNUMBER(INDEX(SPPR!$E:$Z,MATCH($A189,SPPR!$A:$A,0),8)),$C189*INDEX(SPPR!$E:$Z,MATCH($A189,SPPR!$A:$A,0),8),""),"")</f>
        <v/>
      </c>
      <c r="L189">
        <f>IFERROR(IF(ISNUMBER(INDEX(SPPR!$E:$Z,MATCH($A189,SPPR!$A:$A,0),9)),$C189*INDEX(SPPR!$E:$Z,MATCH($A189,SPPR!$A:$A,0),9),""),"")</f>
        <v/>
      </c>
      <c r="M189">
        <f>IFERROR(IF(ISNUMBER(INDEX(SPPR!$E:$Z,MATCH($A189,SPPR!$A:$A,0),10)),$C189*INDEX(SPPR!$E:$Z,MATCH($A189,SPPR!$A:$A,0),10),""),"")</f>
        <v/>
      </c>
      <c r="N189">
        <f>IFERROR(IF(ISNUMBER(INDEX(SPPR!$E:$Z,MATCH($A189,SPPR!$A:$A,0),11)),$C189*INDEX(SPPR!$E:$Z,MATCH($A189,SPPR!$A:$A,0),11),""),"")</f>
        <v/>
      </c>
      <c r="O189">
        <f>IFERROR(IF(ISNUMBER(INDEX(SPPR!$E:$Z,MATCH($A189,SPPR!$A:$A,0),12)),$C189*INDEX(SPPR!$E:$Z,MATCH($A189,SPPR!$A:$A,0),12),""),"")</f>
        <v/>
      </c>
      <c r="P189">
        <f>IFERROR(IF(ISNUMBER(INDEX(SPPR!$E:$Z,MATCH($A189,SPPR!$A:$A,0),13)),$C189*INDEX(SPPR!$E:$Z,MATCH($A189,SPPR!$A:$A,0),13),""),"")</f>
        <v/>
      </c>
      <c r="Q189">
        <f>IFERROR(IF(ISNUMBER(INDEX(SPPR!$E:$Z,MATCH($A189,SPPR!$A:$A,0),14)),$C189*INDEX(SPPR!$E:$Z,MATCH($A189,SPPR!$A:$A,0),14),""),"")</f>
        <v/>
      </c>
      <c r="R189">
        <f>IFERROR(IF(ISNUMBER(INDEX(SPPR!$E:$Z,MATCH($A189,SPPR!$A:$A,0),15)),$C189*INDEX(SPPR!$E:$Z,MATCH($A189,SPPR!$A:$A,0),15),""),"")</f>
        <v/>
      </c>
      <c r="S189">
        <f>IFERROR(IF(ISNUMBER(INDEX(SPPR!$E:$Z,MATCH($A189,SPPR!$A:$A,0),16)),$C189*INDEX(SPPR!$E:$Z,MATCH($A189,SPPR!$A:$A,0),16),""),"")</f>
        <v/>
      </c>
      <c r="T189">
        <f>IFERROR(IF(ISNUMBER(INDEX(SPPR!$E:$Z,MATCH($A189,SPPR!$A:$A,0),17)),$C189*INDEX(SPPR!$E:$Z,MATCH($A189,SPPR!$A:$A,0),17),""),"")</f>
        <v/>
      </c>
      <c r="U189">
        <f>IFERROR(IF(ISNUMBER(INDEX(SPPR!$E:$Z,MATCH($A189,SPPR!$A:$A,0),18)),$C189*INDEX(SPPR!$E:$Z,MATCH($A189,SPPR!$A:$A,0),18),""),"")</f>
        <v/>
      </c>
      <c r="V189">
        <f>IFERROR(IF(ISNUMBER(INDEX(SPPR!$E:$Z,MATCH($A189,SPPR!$A:$A,0),19)),$C189*INDEX(SPPR!$E:$Z,MATCH($A189,SPPR!$A:$A,0),19),""),"")</f>
        <v/>
      </c>
      <c r="W189">
        <f>IFERROR(IF(ISNUMBER(INDEX(SPPR!$E:$Z,MATCH($A189,SPPR!$A:$A,0),20)),$C189*INDEX(SPPR!$E:$Z,MATCH($A189,SPPR!$A:$A,0),20),""),"")</f>
        <v/>
      </c>
      <c r="X189">
        <f>IFERROR(IF(ISNUMBER(INDEX(SPPR!$E:$Z,MATCH($A189,SPPR!$A:$A,0),21)),$C189*INDEX(SPPR!$E:$Z,MATCH($A189,SPPR!$A:$A,0),21),""),"")</f>
        <v/>
      </c>
      <c r="Y189">
        <f>IFERROR(IF(ISNUMBER(INDEX(SPPR!$E:$Z,MATCH($A189,SPPR!$A:$A,0),22)),$C189*INDEX(SPPR!$E:$Z,MATCH($A189,SPPR!$A:$A,0),22),""),"")</f>
        <v/>
      </c>
    </row>
    <row r="190">
      <c r="A190" t="inlineStr">
        <is>
          <t>Scyllaridae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IFERROR(IF(ISNUMBER(INDEX(SPPR!$E:$Z,MATCH($A190,SPPR!$A:$A,0),1)),$C190*INDEX(SPPR!$E:$Z,MATCH($A190,SPPR!$A:$A,0),1),""),"")</f>
        <v/>
      </c>
      <c r="E190">
        <f>IFERROR(IF(ISNUMBER(INDEX(SPPR!$E:$Z,MATCH($A190,SPPR!$A:$A,0),2)),$C190*INDEX(SPPR!$E:$Z,MATCH($A190,SPPR!$A:$A,0),2),""),"")</f>
        <v/>
      </c>
      <c r="F190">
        <f>IFERROR(IF(ISNUMBER(INDEX(SPPR!$E:$Z,MATCH($A190,SPPR!$A:$A,0),3)),$C190*INDEX(SPPR!$E:$Z,MATCH($A190,SPPR!$A:$A,0),3),""),"")</f>
        <v/>
      </c>
      <c r="G190">
        <f>IFERROR(IF(ISNUMBER(INDEX(SPPR!$E:$Z,MATCH($A190,SPPR!$A:$A,0),4)),$C190*INDEX(SPPR!$E:$Z,MATCH($A190,SPPR!$A:$A,0),4),""),"")</f>
        <v/>
      </c>
      <c r="H190">
        <f>IFERROR(IF(ISNUMBER(INDEX(SPPR!$E:$Z,MATCH($A190,SPPR!$A:$A,0),5)),$C190*INDEX(SPPR!$E:$Z,MATCH($A190,SPPR!$A:$A,0),5),""),"")</f>
        <v/>
      </c>
      <c r="I190">
        <f>IFERROR(IF(ISNUMBER(INDEX(SPPR!$E:$Z,MATCH($A190,SPPR!$A:$A,0),6)),$C190*INDEX(SPPR!$E:$Z,MATCH($A190,SPPR!$A:$A,0),6),""),"")</f>
        <v/>
      </c>
      <c r="J190">
        <f>IFERROR(IF(ISNUMBER(INDEX(SPPR!$E:$Z,MATCH($A190,SPPR!$A:$A,0),7)),$C190*INDEX(SPPR!$E:$Z,MATCH($A190,SPPR!$A:$A,0),7),""),"")</f>
        <v/>
      </c>
      <c r="K190">
        <f>IFERROR(IF(ISNUMBER(INDEX(SPPR!$E:$Z,MATCH($A190,SPPR!$A:$A,0),8)),$C190*INDEX(SPPR!$E:$Z,MATCH($A190,SPPR!$A:$A,0),8),""),"")</f>
        <v/>
      </c>
      <c r="L190">
        <f>IFERROR(IF(ISNUMBER(INDEX(SPPR!$E:$Z,MATCH($A190,SPPR!$A:$A,0),9)),$C190*INDEX(SPPR!$E:$Z,MATCH($A190,SPPR!$A:$A,0),9),""),"")</f>
        <v/>
      </c>
      <c r="M190">
        <f>IFERROR(IF(ISNUMBER(INDEX(SPPR!$E:$Z,MATCH($A190,SPPR!$A:$A,0),10)),$C190*INDEX(SPPR!$E:$Z,MATCH($A190,SPPR!$A:$A,0),10),""),"")</f>
        <v/>
      </c>
      <c r="N190">
        <f>IFERROR(IF(ISNUMBER(INDEX(SPPR!$E:$Z,MATCH($A190,SPPR!$A:$A,0),11)),$C190*INDEX(SPPR!$E:$Z,MATCH($A190,SPPR!$A:$A,0),11),""),"")</f>
        <v/>
      </c>
      <c r="O190">
        <f>IFERROR(IF(ISNUMBER(INDEX(SPPR!$E:$Z,MATCH($A190,SPPR!$A:$A,0),12)),$C190*INDEX(SPPR!$E:$Z,MATCH($A190,SPPR!$A:$A,0),12),""),"")</f>
        <v/>
      </c>
      <c r="P190">
        <f>IFERROR(IF(ISNUMBER(INDEX(SPPR!$E:$Z,MATCH($A190,SPPR!$A:$A,0),13)),$C190*INDEX(SPPR!$E:$Z,MATCH($A190,SPPR!$A:$A,0),13),""),"")</f>
        <v/>
      </c>
      <c r="Q190">
        <f>IFERROR(IF(ISNUMBER(INDEX(SPPR!$E:$Z,MATCH($A190,SPPR!$A:$A,0),14)),$C190*INDEX(SPPR!$E:$Z,MATCH($A190,SPPR!$A:$A,0),14),""),"")</f>
        <v/>
      </c>
      <c r="R190">
        <f>IFERROR(IF(ISNUMBER(INDEX(SPPR!$E:$Z,MATCH($A190,SPPR!$A:$A,0),15)),$C190*INDEX(SPPR!$E:$Z,MATCH($A190,SPPR!$A:$A,0),15),""),"")</f>
        <v/>
      </c>
      <c r="S190">
        <f>IFERROR(IF(ISNUMBER(INDEX(SPPR!$E:$Z,MATCH($A190,SPPR!$A:$A,0),16)),$C190*INDEX(SPPR!$E:$Z,MATCH($A190,SPPR!$A:$A,0),16),""),"")</f>
        <v/>
      </c>
      <c r="T190">
        <f>IFERROR(IF(ISNUMBER(INDEX(SPPR!$E:$Z,MATCH($A190,SPPR!$A:$A,0),17)),$C190*INDEX(SPPR!$E:$Z,MATCH($A190,SPPR!$A:$A,0),17),""),"")</f>
        <v/>
      </c>
      <c r="U190">
        <f>IFERROR(IF(ISNUMBER(INDEX(SPPR!$E:$Z,MATCH($A190,SPPR!$A:$A,0),18)),$C190*INDEX(SPPR!$E:$Z,MATCH($A190,SPPR!$A:$A,0),18),""),"")</f>
        <v/>
      </c>
      <c r="V190">
        <f>IFERROR(IF(ISNUMBER(INDEX(SPPR!$E:$Z,MATCH($A190,SPPR!$A:$A,0),19)),$C190*INDEX(SPPR!$E:$Z,MATCH($A190,SPPR!$A:$A,0),19),""),"")</f>
        <v/>
      </c>
      <c r="W190">
        <f>IFERROR(IF(ISNUMBER(INDEX(SPPR!$E:$Z,MATCH($A190,SPPR!$A:$A,0),20)),$C190*INDEX(SPPR!$E:$Z,MATCH($A190,SPPR!$A:$A,0),20),""),"")</f>
        <v/>
      </c>
      <c r="X190">
        <f>IFERROR(IF(ISNUMBER(INDEX(SPPR!$E:$Z,MATCH($A190,SPPR!$A:$A,0),21)),$C190*INDEX(SPPR!$E:$Z,MATCH($A190,SPPR!$A:$A,0),21),""),"")</f>
        <v/>
      </c>
      <c r="Y190">
        <f>IFERROR(IF(ISNUMBER(INDEX(SPPR!$E:$Z,MATCH($A190,SPPR!$A:$A,0),22)),$C190*INDEX(SPPR!$E:$Z,MATCH($A190,SPPR!$A:$A,0),22),""),"")</f>
        <v/>
      </c>
    </row>
    <row r="191">
      <c r="A191" t="inlineStr">
        <is>
          <t>Anodontostoma chacunda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IFERROR(IF(ISNUMBER(INDEX(SPPR!$E:$Z,MATCH($A191,SPPR!$A:$A,0),1)),$C191*INDEX(SPPR!$E:$Z,MATCH($A191,SPPR!$A:$A,0),1),""),"")</f>
        <v/>
      </c>
      <c r="E191">
        <f>IFERROR(IF(ISNUMBER(INDEX(SPPR!$E:$Z,MATCH($A191,SPPR!$A:$A,0),2)),$C191*INDEX(SPPR!$E:$Z,MATCH($A191,SPPR!$A:$A,0),2),""),"")</f>
        <v/>
      </c>
      <c r="F191">
        <f>IFERROR(IF(ISNUMBER(INDEX(SPPR!$E:$Z,MATCH($A191,SPPR!$A:$A,0),3)),$C191*INDEX(SPPR!$E:$Z,MATCH($A191,SPPR!$A:$A,0),3),""),"")</f>
        <v/>
      </c>
      <c r="G191">
        <f>IFERROR(IF(ISNUMBER(INDEX(SPPR!$E:$Z,MATCH($A191,SPPR!$A:$A,0),4)),$C191*INDEX(SPPR!$E:$Z,MATCH($A191,SPPR!$A:$A,0),4),""),"")</f>
        <v/>
      </c>
      <c r="H191">
        <f>IFERROR(IF(ISNUMBER(INDEX(SPPR!$E:$Z,MATCH($A191,SPPR!$A:$A,0),5)),$C191*INDEX(SPPR!$E:$Z,MATCH($A191,SPPR!$A:$A,0),5),""),"")</f>
        <v/>
      </c>
      <c r="I191">
        <f>IFERROR(IF(ISNUMBER(INDEX(SPPR!$E:$Z,MATCH($A191,SPPR!$A:$A,0),6)),$C191*INDEX(SPPR!$E:$Z,MATCH($A191,SPPR!$A:$A,0),6),""),"")</f>
        <v/>
      </c>
      <c r="J191">
        <f>IFERROR(IF(ISNUMBER(INDEX(SPPR!$E:$Z,MATCH($A191,SPPR!$A:$A,0),7)),$C191*INDEX(SPPR!$E:$Z,MATCH($A191,SPPR!$A:$A,0),7),""),"")</f>
        <v/>
      </c>
      <c r="K191">
        <f>IFERROR(IF(ISNUMBER(INDEX(SPPR!$E:$Z,MATCH($A191,SPPR!$A:$A,0),8)),$C191*INDEX(SPPR!$E:$Z,MATCH($A191,SPPR!$A:$A,0),8),""),"")</f>
        <v/>
      </c>
      <c r="L191">
        <f>IFERROR(IF(ISNUMBER(INDEX(SPPR!$E:$Z,MATCH($A191,SPPR!$A:$A,0),9)),$C191*INDEX(SPPR!$E:$Z,MATCH($A191,SPPR!$A:$A,0),9),""),"")</f>
        <v/>
      </c>
      <c r="M191">
        <f>IFERROR(IF(ISNUMBER(INDEX(SPPR!$E:$Z,MATCH($A191,SPPR!$A:$A,0),10)),$C191*INDEX(SPPR!$E:$Z,MATCH($A191,SPPR!$A:$A,0),10),""),"")</f>
        <v/>
      </c>
      <c r="N191">
        <f>IFERROR(IF(ISNUMBER(INDEX(SPPR!$E:$Z,MATCH($A191,SPPR!$A:$A,0),11)),$C191*INDEX(SPPR!$E:$Z,MATCH($A191,SPPR!$A:$A,0),11),""),"")</f>
        <v/>
      </c>
      <c r="O191">
        <f>IFERROR(IF(ISNUMBER(INDEX(SPPR!$E:$Z,MATCH($A191,SPPR!$A:$A,0),12)),$C191*INDEX(SPPR!$E:$Z,MATCH($A191,SPPR!$A:$A,0),12),""),"")</f>
        <v/>
      </c>
      <c r="P191">
        <f>IFERROR(IF(ISNUMBER(INDEX(SPPR!$E:$Z,MATCH($A191,SPPR!$A:$A,0),13)),$C191*INDEX(SPPR!$E:$Z,MATCH($A191,SPPR!$A:$A,0),13),""),"")</f>
        <v/>
      </c>
      <c r="Q191">
        <f>IFERROR(IF(ISNUMBER(INDEX(SPPR!$E:$Z,MATCH($A191,SPPR!$A:$A,0),14)),$C191*INDEX(SPPR!$E:$Z,MATCH($A191,SPPR!$A:$A,0),14),""),"")</f>
        <v/>
      </c>
      <c r="R191">
        <f>IFERROR(IF(ISNUMBER(INDEX(SPPR!$E:$Z,MATCH($A191,SPPR!$A:$A,0),15)),$C191*INDEX(SPPR!$E:$Z,MATCH($A191,SPPR!$A:$A,0),15),""),"")</f>
        <v/>
      </c>
      <c r="S191">
        <f>IFERROR(IF(ISNUMBER(INDEX(SPPR!$E:$Z,MATCH($A191,SPPR!$A:$A,0),16)),$C191*INDEX(SPPR!$E:$Z,MATCH($A191,SPPR!$A:$A,0),16),""),"")</f>
        <v/>
      </c>
      <c r="T191">
        <f>IFERROR(IF(ISNUMBER(INDEX(SPPR!$E:$Z,MATCH($A191,SPPR!$A:$A,0),17)),$C191*INDEX(SPPR!$E:$Z,MATCH($A191,SPPR!$A:$A,0),17),""),"")</f>
        <v/>
      </c>
      <c r="U191">
        <f>IFERROR(IF(ISNUMBER(INDEX(SPPR!$E:$Z,MATCH($A191,SPPR!$A:$A,0),18)),$C191*INDEX(SPPR!$E:$Z,MATCH($A191,SPPR!$A:$A,0),18),""),"")</f>
        <v/>
      </c>
      <c r="V191">
        <f>IFERROR(IF(ISNUMBER(INDEX(SPPR!$E:$Z,MATCH($A191,SPPR!$A:$A,0),19)),$C191*INDEX(SPPR!$E:$Z,MATCH($A191,SPPR!$A:$A,0),19),""),"")</f>
        <v/>
      </c>
      <c r="W191">
        <f>IFERROR(IF(ISNUMBER(INDEX(SPPR!$E:$Z,MATCH($A191,SPPR!$A:$A,0),20)),$C191*INDEX(SPPR!$E:$Z,MATCH($A191,SPPR!$A:$A,0),20),""),"")</f>
        <v/>
      </c>
      <c r="X191">
        <f>IFERROR(IF(ISNUMBER(INDEX(SPPR!$E:$Z,MATCH($A191,SPPR!$A:$A,0),21)),$C191*INDEX(SPPR!$E:$Z,MATCH($A191,SPPR!$A:$A,0),21),""),"")</f>
        <v/>
      </c>
      <c r="Y191">
        <f>IFERROR(IF(ISNUMBER(INDEX(SPPR!$E:$Z,MATCH($A191,SPPR!$A:$A,0),22)),$C191*INDEX(SPPR!$E:$Z,MATCH($A191,SPPR!$A:$A,0),22),""),"")</f>
        <v/>
      </c>
    </row>
    <row r="192">
      <c r="A192" t="inlineStr">
        <is>
          <t>Echinoidea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IFERROR(IF(ISNUMBER(INDEX(SPPR!$E:$Z,MATCH($A192,SPPR!$A:$A,0),1)),$C192*INDEX(SPPR!$E:$Z,MATCH($A192,SPPR!$A:$A,0),1),""),"")</f>
        <v/>
      </c>
      <c r="E192">
        <f>IFERROR(IF(ISNUMBER(INDEX(SPPR!$E:$Z,MATCH($A192,SPPR!$A:$A,0),2)),$C192*INDEX(SPPR!$E:$Z,MATCH($A192,SPPR!$A:$A,0),2),""),"")</f>
        <v/>
      </c>
      <c r="F192">
        <f>IFERROR(IF(ISNUMBER(INDEX(SPPR!$E:$Z,MATCH($A192,SPPR!$A:$A,0),3)),$C192*INDEX(SPPR!$E:$Z,MATCH($A192,SPPR!$A:$A,0),3),""),"")</f>
        <v/>
      </c>
      <c r="G192">
        <f>IFERROR(IF(ISNUMBER(INDEX(SPPR!$E:$Z,MATCH($A192,SPPR!$A:$A,0),4)),$C192*INDEX(SPPR!$E:$Z,MATCH($A192,SPPR!$A:$A,0),4),""),"")</f>
        <v/>
      </c>
      <c r="H192">
        <f>IFERROR(IF(ISNUMBER(INDEX(SPPR!$E:$Z,MATCH($A192,SPPR!$A:$A,0),5)),$C192*INDEX(SPPR!$E:$Z,MATCH($A192,SPPR!$A:$A,0),5),""),"")</f>
        <v/>
      </c>
      <c r="I192">
        <f>IFERROR(IF(ISNUMBER(INDEX(SPPR!$E:$Z,MATCH($A192,SPPR!$A:$A,0),6)),$C192*INDEX(SPPR!$E:$Z,MATCH($A192,SPPR!$A:$A,0),6),""),"")</f>
        <v/>
      </c>
      <c r="J192">
        <f>IFERROR(IF(ISNUMBER(INDEX(SPPR!$E:$Z,MATCH($A192,SPPR!$A:$A,0),7)),$C192*INDEX(SPPR!$E:$Z,MATCH($A192,SPPR!$A:$A,0),7),""),"")</f>
        <v/>
      </c>
      <c r="K192">
        <f>IFERROR(IF(ISNUMBER(INDEX(SPPR!$E:$Z,MATCH($A192,SPPR!$A:$A,0),8)),$C192*INDEX(SPPR!$E:$Z,MATCH($A192,SPPR!$A:$A,0),8),""),"")</f>
        <v/>
      </c>
      <c r="L192">
        <f>IFERROR(IF(ISNUMBER(INDEX(SPPR!$E:$Z,MATCH($A192,SPPR!$A:$A,0),9)),$C192*INDEX(SPPR!$E:$Z,MATCH($A192,SPPR!$A:$A,0),9),""),"")</f>
        <v/>
      </c>
      <c r="M192">
        <f>IFERROR(IF(ISNUMBER(INDEX(SPPR!$E:$Z,MATCH($A192,SPPR!$A:$A,0),10)),$C192*INDEX(SPPR!$E:$Z,MATCH($A192,SPPR!$A:$A,0),10),""),"")</f>
        <v/>
      </c>
      <c r="N192">
        <f>IFERROR(IF(ISNUMBER(INDEX(SPPR!$E:$Z,MATCH($A192,SPPR!$A:$A,0),11)),$C192*INDEX(SPPR!$E:$Z,MATCH($A192,SPPR!$A:$A,0),11),""),"")</f>
        <v/>
      </c>
      <c r="O192">
        <f>IFERROR(IF(ISNUMBER(INDEX(SPPR!$E:$Z,MATCH($A192,SPPR!$A:$A,0),12)),$C192*INDEX(SPPR!$E:$Z,MATCH($A192,SPPR!$A:$A,0),12),""),"")</f>
        <v/>
      </c>
      <c r="P192">
        <f>IFERROR(IF(ISNUMBER(INDEX(SPPR!$E:$Z,MATCH($A192,SPPR!$A:$A,0),13)),$C192*INDEX(SPPR!$E:$Z,MATCH($A192,SPPR!$A:$A,0),13),""),"")</f>
        <v/>
      </c>
      <c r="Q192">
        <f>IFERROR(IF(ISNUMBER(INDEX(SPPR!$E:$Z,MATCH($A192,SPPR!$A:$A,0),14)),$C192*INDEX(SPPR!$E:$Z,MATCH($A192,SPPR!$A:$A,0),14),""),"")</f>
        <v/>
      </c>
      <c r="R192">
        <f>IFERROR(IF(ISNUMBER(INDEX(SPPR!$E:$Z,MATCH($A192,SPPR!$A:$A,0),15)),$C192*INDEX(SPPR!$E:$Z,MATCH($A192,SPPR!$A:$A,0),15),""),"")</f>
        <v/>
      </c>
      <c r="S192">
        <f>IFERROR(IF(ISNUMBER(INDEX(SPPR!$E:$Z,MATCH($A192,SPPR!$A:$A,0),16)),$C192*INDEX(SPPR!$E:$Z,MATCH($A192,SPPR!$A:$A,0),16),""),"")</f>
        <v/>
      </c>
      <c r="T192">
        <f>IFERROR(IF(ISNUMBER(INDEX(SPPR!$E:$Z,MATCH($A192,SPPR!$A:$A,0),17)),$C192*INDEX(SPPR!$E:$Z,MATCH($A192,SPPR!$A:$A,0),17),""),"")</f>
        <v/>
      </c>
      <c r="U192">
        <f>IFERROR(IF(ISNUMBER(INDEX(SPPR!$E:$Z,MATCH($A192,SPPR!$A:$A,0),18)),$C192*INDEX(SPPR!$E:$Z,MATCH($A192,SPPR!$A:$A,0),18),""),"")</f>
        <v/>
      </c>
      <c r="V192">
        <f>IFERROR(IF(ISNUMBER(INDEX(SPPR!$E:$Z,MATCH($A192,SPPR!$A:$A,0),19)),$C192*INDEX(SPPR!$E:$Z,MATCH($A192,SPPR!$A:$A,0),19),""),"")</f>
        <v/>
      </c>
      <c r="W192">
        <f>IFERROR(IF(ISNUMBER(INDEX(SPPR!$E:$Z,MATCH($A192,SPPR!$A:$A,0),20)),$C192*INDEX(SPPR!$E:$Z,MATCH($A192,SPPR!$A:$A,0),20),""),"")</f>
        <v/>
      </c>
      <c r="X192">
        <f>IFERROR(IF(ISNUMBER(INDEX(SPPR!$E:$Z,MATCH($A192,SPPR!$A:$A,0),21)),$C192*INDEX(SPPR!$E:$Z,MATCH($A192,SPPR!$A:$A,0),21),""),"")</f>
        <v/>
      </c>
      <c r="Y192">
        <f>IFERROR(IF(ISNUMBER(INDEX(SPPR!$E:$Z,MATCH($A192,SPPR!$A:$A,0),22)),$C192*INDEX(SPPR!$E:$Z,MATCH($A192,SPPR!$A:$A,0),22),""),"")</f>
        <v/>
      </c>
    </row>
    <row r="193">
      <c r="A193" t="inlineStr">
        <is>
          <t>Ariomma indica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IFERROR(IF(ISNUMBER(INDEX(SPPR!$E:$Z,MATCH($A193,SPPR!$A:$A,0),1)),$C193*INDEX(SPPR!$E:$Z,MATCH($A193,SPPR!$A:$A,0),1),""),"")</f>
        <v/>
      </c>
      <c r="E193">
        <f>IFERROR(IF(ISNUMBER(INDEX(SPPR!$E:$Z,MATCH($A193,SPPR!$A:$A,0),2)),$C193*INDEX(SPPR!$E:$Z,MATCH($A193,SPPR!$A:$A,0),2),""),"")</f>
        <v/>
      </c>
      <c r="F193">
        <f>IFERROR(IF(ISNUMBER(INDEX(SPPR!$E:$Z,MATCH($A193,SPPR!$A:$A,0),3)),$C193*INDEX(SPPR!$E:$Z,MATCH($A193,SPPR!$A:$A,0),3),""),"")</f>
        <v/>
      </c>
      <c r="G193">
        <f>IFERROR(IF(ISNUMBER(INDEX(SPPR!$E:$Z,MATCH($A193,SPPR!$A:$A,0),4)),$C193*INDEX(SPPR!$E:$Z,MATCH($A193,SPPR!$A:$A,0),4),""),"")</f>
        <v/>
      </c>
      <c r="H193">
        <f>IFERROR(IF(ISNUMBER(INDEX(SPPR!$E:$Z,MATCH($A193,SPPR!$A:$A,0),5)),$C193*INDEX(SPPR!$E:$Z,MATCH($A193,SPPR!$A:$A,0),5),""),"")</f>
        <v/>
      </c>
      <c r="I193">
        <f>IFERROR(IF(ISNUMBER(INDEX(SPPR!$E:$Z,MATCH($A193,SPPR!$A:$A,0),6)),$C193*INDEX(SPPR!$E:$Z,MATCH($A193,SPPR!$A:$A,0),6),""),"")</f>
        <v/>
      </c>
      <c r="J193">
        <f>IFERROR(IF(ISNUMBER(INDEX(SPPR!$E:$Z,MATCH($A193,SPPR!$A:$A,0),7)),$C193*INDEX(SPPR!$E:$Z,MATCH($A193,SPPR!$A:$A,0),7),""),"")</f>
        <v/>
      </c>
      <c r="K193">
        <f>IFERROR(IF(ISNUMBER(INDEX(SPPR!$E:$Z,MATCH($A193,SPPR!$A:$A,0),8)),$C193*INDEX(SPPR!$E:$Z,MATCH($A193,SPPR!$A:$A,0),8),""),"")</f>
        <v/>
      </c>
      <c r="L193">
        <f>IFERROR(IF(ISNUMBER(INDEX(SPPR!$E:$Z,MATCH($A193,SPPR!$A:$A,0),9)),$C193*INDEX(SPPR!$E:$Z,MATCH($A193,SPPR!$A:$A,0),9),""),"")</f>
        <v/>
      </c>
      <c r="M193">
        <f>IFERROR(IF(ISNUMBER(INDEX(SPPR!$E:$Z,MATCH($A193,SPPR!$A:$A,0),10)),$C193*INDEX(SPPR!$E:$Z,MATCH($A193,SPPR!$A:$A,0),10),""),"")</f>
        <v/>
      </c>
      <c r="N193">
        <f>IFERROR(IF(ISNUMBER(INDEX(SPPR!$E:$Z,MATCH($A193,SPPR!$A:$A,0),11)),$C193*INDEX(SPPR!$E:$Z,MATCH($A193,SPPR!$A:$A,0),11),""),"")</f>
        <v/>
      </c>
      <c r="O193">
        <f>IFERROR(IF(ISNUMBER(INDEX(SPPR!$E:$Z,MATCH($A193,SPPR!$A:$A,0),12)),$C193*INDEX(SPPR!$E:$Z,MATCH($A193,SPPR!$A:$A,0),12),""),"")</f>
        <v/>
      </c>
      <c r="P193">
        <f>IFERROR(IF(ISNUMBER(INDEX(SPPR!$E:$Z,MATCH($A193,SPPR!$A:$A,0),13)),$C193*INDEX(SPPR!$E:$Z,MATCH($A193,SPPR!$A:$A,0),13),""),"")</f>
        <v/>
      </c>
      <c r="Q193">
        <f>IFERROR(IF(ISNUMBER(INDEX(SPPR!$E:$Z,MATCH($A193,SPPR!$A:$A,0),14)),$C193*INDEX(SPPR!$E:$Z,MATCH($A193,SPPR!$A:$A,0),14),""),"")</f>
        <v/>
      </c>
      <c r="R193">
        <f>IFERROR(IF(ISNUMBER(INDEX(SPPR!$E:$Z,MATCH($A193,SPPR!$A:$A,0),15)),$C193*INDEX(SPPR!$E:$Z,MATCH($A193,SPPR!$A:$A,0),15),""),"")</f>
        <v/>
      </c>
      <c r="S193">
        <f>IFERROR(IF(ISNUMBER(INDEX(SPPR!$E:$Z,MATCH($A193,SPPR!$A:$A,0),16)),$C193*INDEX(SPPR!$E:$Z,MATCH($A193,SPPR!$A:$A,0),16),""),"")</f>
        <v/>
      </c>
      <c r="T193">
        <f>IFERROR(IF(ISNUMBER(INDEX(SPPR!$E:$Z,MATCH($A193,SPPR!$A:$A,0),17)),$C193*INDEX(SPPR!$E:$Z,MATCH($A193,SPPR!$A:$A,0),17),""),"")</f>
        <v/>
      </c>
      <c r="U193">
        <f>IFERROR(IF(ISNUMBER(INDEX(SPPR!$E:$Z,MATCH($A193,SPPR!$A:$A,0),18)),$C193*INDEX(SPPR!$E:$Z,MATCH($A193,SPPR!$A:$A,0),18),""),"")</f>
        <v/>
      </c>
      <c r="V193">
        <f>IFERROR(IF(ISNUMBER(INDEX(SPPR!$E:$Z,MATCH($A193,SPPR!$A:$A,0),19)),$C193*INDEX(SPPR!$E:$Z,MATCH($A193,SPPR!$A:$A,0),19),""),"")</f>
        <v/>
      </c>
      <c r="W193">
        <f>IFERROR(IF(ISNUMBER(INDEX(SPPR!$E:$Z,MATCH($A193,SPPR!$A:$A,0),20)),$C193*INDEX(SPPR!$E:$Z,MATCH($A193,SPPR!$A:$A,0),20),""),"")</f>
        <v/>
      </c>
      <c r="X193">
        <f>IFERROR(IF(ISNUMBER(INDEX(SPPR!$E:$Z,MATCH($A193,SPPR!$A:$A,0),21)),$C193*INDEX(SPPR!$E:$Z,MATCH($A193,SPPR!$A:$A,0),21),""),"")</f>
        <v/>
      </c>
      <c r="Y193">
        <f>IFERROR(IF(ISNUMBER(INDEX(SPPR!$E:$Z,MATCH($A193,SPPR!$A:$A,0),22)),$C193*INDEX(SPPR!$E:$Z,MATCH($A193,SPPR!$A:$A,0),22),""),"")</f>
        <v/>
      </c>
    </row>
    <row r="194">
      <c r="A194" t="inlineStr">
        <is>
          <t>Lutjanus quinquelineatus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IFERROR(IF(ISNUMBER(INDEX(SPPR!$E:$Z,MATCH($A194,SPPR!$A:$A,0),1)),$C194*INDEX(SPPR!$E:$Z,MATCH($A194,SPPR!$A:$A,0),1),""),"")</f>
        <v/>
      </c>
      <c r="E194">
        <f>IFERROR(IF(ISNUMBER(INDEX(SPPR!$E:$Z,MATCH($A194,SPPR!$A:$A,0),2)),$C194*INDEX(SPPR!$E:$Z,MATCH($A194,SPPR!$A:$A,0),2),""),"")</f>
        <v/>
      </c>
      <c r="F194">
        <f>IFERROR(IF(ISNUMBER(INDEX(SPPR!$E:$Z,MATCH($A194,SPPR!$A:$A,0),3)),$C194*INDEX(SPPR!$E:$Z,MATCH($A194,SPPR!$A:$A,0),3),""),"")</f>
        <v/>
      </c>
      <c r="G194">
        <f>IFERROR(IF(ISNUMBER(INDEX(SPPR!$E:$Z,MATCH($A194,SPPR!$A:$A,0),4)),$C194*INDEX(SPPR!$E:$Z,MATCH($A194,SPPR!$A:$A,0),4),""),"")</f>
        <v/>
      </c>
      <c r="H194">
        <f>IFERROR(IF(ISNUMBER(INDEX(SPPR!$E:$Z,MATCH($A194,SPPR!$A:$A,0),5)),$C194*INDEX(SPPR!$E:$Z,MATCH($A194,SPPR!$A:$A,0),5),""),"")</f>
        <v/>
      </c>
      <c r="I194">
        <f>IFERROR(IF(ISNUMBER(INDEX(SPPR!$E:$Z,MATCH($A194,SPPR!$A:$A,0),6)),$C194*INDEX(SPPR!$E:$Z,MATCH($A194,SPPR!$A:$A,0),6),""),"")</f>
        <v/>
      </c>
      <c r="J194">
        <f>IFERROR(IF(ISNUMBER(INDEX(SPPR!$E:$Z,MATCH($A194,SPPR!$A:$A,0),7)),$C194*INDEX(SPPR!$E:$Z,MATCH($A194,SPPR!$A:$A,0),7),""),"")</f>
        <v/>
      </c>
      <c r="K194">
        <f>IFERROR(IF(ISNUMBER(INDEX(SPPR!$E:$Z,MATCH($A194,SPPR!$A:$A,0),8)),$C194*INDEX(SPPR!$E:$Z,MATCH($A194,SPPR!$A:$A,0),8),""),"")</f>
        <v/>
      </c>
      <c r="L194">
        <f>IFERROR(IF(ISNUMBER(INDEX(SPPR!$E:$Z,MATCH($A194,SPPR!$A:$A,0),9)),$C194*INDEX(SPPR!$E:$Z,MATCH($A194,SPPR!$A:$A,0),9),""),"")</f>
        <v/>
      </c>
      <c r="M194">
        <f>IFERROR(IF(ISNUMBER(INDEX(SPPR!$E:$Z,MATCH($A194,SPPR!$A:$A,0),10)),$C194*INDEX(SPPR!$E:$Z,MATCH($A194,SPPR!$A:$A,0),10),""),"")</f>
        <v/>
      </c>
      <c r="N194">
        <f>IFERROR(IF(ISNUMBER(INDEX(SPPR!$E:$Z,MATCH($A194,SPPR!$A:$A,0),11)),$C194*INDEX(SPPR!$E:$Z,MATCH($A194,SPPR!$A:$A,0),11),""),"")</f>
        <v/>
      </c>
      <c r="O194">
        <f>IFERROR(IF(ISNUMBER(INDEX(SPPR!$E:$Z,MATCH($A194,SPPR!$A:$A,0),12)),$C194*INDEX(SPPR!$E:$Z,MATCH($A194,SPPR!$A:$A,0),12),""),"")</f>
        <v/>
      </c>
      <c r="P194">
        <f>IFERROR(IF(ISNUMBER(INDEX(SPPR!$E:$Z,MATCH($A194,SPPR!$A:$A,0),13)),$C194*INDEX(SPPR!$E:$Z,MATCH($A194,SPPR!$A:$A,0),13),""),"")</f>
        <v/>
      </c>
      <c r="Q194">
        <f>IFERROR(IF(ISNUMBER(INDEX(SPPR!$E:$Z,MATCH($A194,SPPR!$A:$A,0),14)),$C194*INDEX(SPPR!$E:$Z,MATCH($A194,SPPR!$A:$A,0),14),""),"")</f>
        <v/>
      </c>
      <c r="R194">
        <f>IFERROR(IF(ISNUMBER(INDEX(SPPR!$E:$Z,MATCH($A194,SPPR!$A:$A,0),15)),$C194*INDEX(SPPR!$E:$Z,MATCH($A194,SPPR!$A:$A,0),15),""),"")</f>
        <v/>
      </c>
      <c r="S194">
        <f>IFERROR(IF(ISNUMBER(INDEX(SPPR!$E:$Z,MATCH($A194,SPPR!$A:$A,0),16)),$C194*INDEX(SPPR!$E:$Z,MATCH($A194,SPPR!$A:$A,0),16),""),"")</f>
        <v/>
      </c>
      <c r="T194">
        <f>IFERROR(IF(ISNUMBER(INDEX(SPPR!$E:$Z,MATCH($A194,SPPR!$A:$A,0),17)),$C194*INDEX(SPPR!$E:$Z,MATCH($A194,SPPR!$A:$A,0),17),""),"")</f>
        <v/>
      </c>
      <c r="U194">
        <f>IFERROR(IF(ISNUMBER(INDEX(SPPR!$E:$Z,MATCH($A194,SPPR!$A:$A,0),18)),$C194*INDEX(SPPR!$E:$Z,MATCH($A194,SPPR!$A:$A,0),18),""),"")</f>
        <v/>
      </c>
      <c r="V194">
        <f>IFERROR(IF(ISNUMBER(INDEX(SPPR!$E:$Z,MATCH($A194,SPPR!$A:$A,0),19)),$C194*INDEX(SPPR!$E:$Z,MATCH($A194,SPPR!$A:$A,0),19),""),"")</f>
        <v/>
      </c>
      <c r="W194">
        <f>IFERROR(IF(ISNUMBER(INDEX(SPPR!$E:$Z,MATCH($A194,SPPR!$A:$A,0),20)),$C194*INDEX(SPPR!$E:$Z,MATCH($A194,SPPR!$A:$A,0),20),""),"")</f>
        <v/>
      </c>
      <c r="X194">
        <f>IFERROR(IF(ISNUMBER(INDEX(SPPR!$E:$Z,MATCH($A194,SPPR!$A:$A,0),21)),$C194*INDEX(SPPR!$E:$Z,MATCH($A194,SPPR!$A:$A,0),21),""),"")</f>
        <v/>
      </c>
      <c r="Y194">
        <f>IFERROR(IF(ISNUMBER(INDEX(SPPR!$E:$Z,MATCH($A194,SPPR!$A:$A,0),22)),$C194*INDEX(SPPR!$E:$Z,MATCH($A194,SPPR!$A:$A,0),22),""),"")</f>
        <v/>
      </c>
    </row>
    <row r="195">
      <c r="A195" t="inlineStr">
        <is>
          <t>Platycaranx talamparoides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IFERROR(IF(ISNUMBER(INDEX(SPPR!$E:$Z,MATCH($A195,SPPR!$A:$A,0),1)),$C195*INDEX(SPPR!$E:$Z,MATCH($A195,SPPR!$A:$A,0),1),""),"")</f>
        <v/>
      </c>
      <c r="E195">
        <f>IFERROR(IF(ISNUMBER(INDEX(SPPR!$E:$Z,MATCH($A195,SPPR!$A:$A,0),2)),$C195*INDEX(SPPR!$E:$Z,MATCH($A195,SPPR!$A:$A,0),2),""),"")</f>
        <v/>
      </c>
      <c r="F195">
        <f>IFERROR(IF(ISNUMBER(INDEX(SPPR!$E:$Z,MATCH($A195,SPPR!$A:$A,0),3)),$C195*INDEX(SPPR!$E:$Z,MATCH($A195,SPPR!$A:$A,0),3),""),"")</f>
        <v/>
      </c>
      <c r="G195">
        <f>IFERROR(IF(ISNUMBER(INDEX(SPPR!$E:$Z,MATCH($A195,SPPR!$A:$A,0),4)),$C195*INDEX(SPPR!$E:$Z,MATCH($A195,SPPR!$A:$A,0),4),""),"")</f>
        <v/>
      </c>
      <c r="H195">
        <f>IFERROR(IF(ISNUMBER(INDEX(SPPR!$E:$Z,MATCH($A195,SPPR!$A:$A,0),5)),$C195*INDEX(SPPR!$E:$Z,MATCH($A195,SPPR!$A:$A,0),5),""),"")</f>
        <v/>
      </c>
      <c r="I195">
        <f>IFERROR(IF(ISNUMBER(INDEX(SPPR!$E:$Z,MATCH($A195,SPPR!$A:$A,0),6)),$C195*INDEX(SPPR!$E:$Z,MATCH($A195,SPPR!$A:$A,0),6),""),"")</f>
        <v/>
      </c>
      <c r="J195">
        <f>IFERROR(IF(ISNUMBER(INDEX(SPPR!$E:$Z,MATCH($A195,SPPR!$A:$A,0),7)),$C195*INDEX(SPPR!$E:$Z,MATCH($A195,SPPR!$A:$A,0),7),""),"")</f>
        <v/>
      </c>
      <c r="K195">
        <f>IFERROR(IF(ISNUMBER(INDEX(SPPR!$E:$Z,MATCH($A195,SPPR!$A:$A,0),8)),$C195*INDEX(SPPR!$E:$Z,MATCH($A195,SPPR!$A:$A,0),8),""),"")</f>
        <v/>
      </c>
      <c r="L195">
        <f>IFERROR(IF(ISNUMBER(INDEX(SPPR!$E:$Z,MATCH($A195,SPPR!$A:$A,0),9)),$C195*INDEX(SPPR!$E:$Z,MATCH($A195,SPPR!$A:$A,0),9),""),"")</f>
        <v/>
      </c>
      <c r="M195">
        <f>IFERROR(IF(ISNUMBER(INDEX(SPPR!$E:$Z,MATCH($A195,SPPR!$A:$A,0),10)),$C195*INDEX(SPPR!$E:$Z,MATCH($A195,SPPR!$A:$A,0),10),""),"")</f>
        <v/>
      </c>
      <c r="N195">
        <f>IFERROR(IF(ISNUMBER(INDEX(SPPR!$E:$Z,MATCH($A195,SPPR!$A:$A,0),11)),$C195*INDEX(SPPR!$E:$Z,MATCH($A195,SPPR!$A:$A,0),11),""),"")</f>
        <v/>
      </c>
      <c r="O195">
        <f>IFERROR(IF(ISNUMBER(INDEX(SPPR!$E:$Z,MATCH($A195,SPPR!$A:$A,0),12)),$C195*INDEX(SPPR!$E:$Z,MATCH($A195,SPPR!$A:$A,0),12),""),"")</f>
        <v/>
      </c>
      <c r="P195">
        <f>IFERROR(IF(ISNUMBER(INDEX(SPPR!$E:$Z,MATCH($A195,SPPR!$A:$A,0),13)),$C195*INDEX(SPPR!$E:$Z,MATCH($A195,SPPR!$A:$A,0),13),""),"")</f>
        <v/>
      </c>
      <c r="Q195">
        <f>IFERROR(IF(ISNUMBER(INDEX(SPPR!$E:$Z,MATCH($A195,SPPR!$A:$A,0),14)),$C195*INDEX(SPPR!$E:$Z,MATCH($A195,SPPR!$A:$A,0),14),""),"")</f>
        <v/>
      </c>
      <c r="R195">
        <f>IFERROR(IF(ISNUMBER(INDEX(SPPR!$E:$Z,MATCH($A195,SPPR!$A:$A,0),15)),$C195*INDEX(SPPR!$E:$Z,MATCH($A195,SPPR!$A:$A,0),15),""),"")</f>
        <v/>
      </c>
      <c r="S195">
        <f>IFERROR(IF(ISNUMBER(INDEX(SPPR!$E:$Z,MATCH($A195,SPPR!$A:$A,0),16)),$C195*INDEX(SPPR!$E:$Z,MATCH($A195,SPPR!$A:$A,0),16),""),"")</f>
        <v/>
      </c>
      <c r="T195">
        <f>IFERROR(IF(ISNUMBER(INDEX(SPPR!$E:$Z,MATCH($A195,SPPR!$A:$A,0),17)),$C195*INDEX(SPPR!$E:$Z,MATCH($A195,SPPR!$A:$A,0),17),""),"")</f>
        <v/>
      </c>
      <c r="U195">
        <f>IFERROR(IF(ISNUMBER(INDEX(SPPR!$E:$Z,MATCH($A195,SPPR!$A:$A,0),18)),$C195*INDEX(SPPR!$E:$Z,MATCH($A195,SPPR!$A:$A,0),18),""),"")</f>
        <v/>
      </c>
      <c r="V195">
        <f>IFERROR(IF(ISNUMBER(INDEX(SPPR!$E:$Z,MATCH($A195,SPPR!$A:$A,0),19)),$C195*INDEX(SPPR!$E:$Z,MATCH($A195,SPPR!$A:$A,0),19),""),"")</f>
        <v/>
      </c>
      <c r="W195">
        <f>IFERROR(IF(ISNUMBER(INDEX(SPPR!$E:$Z,MATCH($A195,SPPR!$A:$A,0),20)),$C195*INDEX(SPPR!$E:$Z,MATCH($A195,SPPR!$A:$A,0),20),""),"")</f>
        <v/>
      </c>
      <c r="X195">
        <f>IFERROR(IF(ISNUMBER(INDEX(SPPR!$E:$Z,MATCH($A195,SPPR!$A:$A,0),21)),$C195*INDEX(SPPR!$E:$Z,MATCH($A195,SPPR!$A:$A,0),21),""),"")</f>
        <v/>
      </c>
      <c r="Y195">
        <f>IFERROR(IF(ISNUMBER(INDEX(SPPR!$E:$Z,MATCH($A195,SPPR!$A:$A,0),22)),$C195*INDEX(SPPR!$E:$Z,MATCH($A195,SPPR!$A:$A,0),22),""),"")</f>
        <v/>
      </c>
    </row>
    <row r="196">
      <c r="A196" t="inlineStr">
        <is>
          <t>Planiliza haematocheilus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IFERROR(IF(ISNUMBER(INDEX(SPPR!$E:$Z,MATCH($A196,SPPR!$A:$A,0),1)),$C196*INDEX(SPPR!$E:$Z,MATCH($A196,SPPR!$A:$A,0),1),""),"")</f>
        <v/>
      </c>
      <c r="E196">
        <f>IFERROR(IF(ISNUMBER(INDEX(SPPR!$E:$Z,MATCH($A196,SPPR!$A:$A,0),2)),$C196*INDEX(SPPR!$E:$Z,MATCH($A196,SPPR!$A:$A,0),2),""),"")</f>
        <v/>
      </c>
      <c r="F196">
        <f>IFERROR(IF(ISNUMBER(INDEX(SPPR!$E:$Z,MATCH($A196,SPPR!$A:$A,0),3)),$C196*INDEX(SPPR!$E:$Z,MATCH($A196,SPPR!$A:$A,0),3),""),"")</f>
        <v/>
      </c>
      <c r="G196">
        <f>IFERROR(IF(ISNUMBER(INDEX(SPPR!$E:$Z,MATCH($A196,SPPR!$A:$A,0),4)),$C196*INDEX(SPPR!$E:$Z,MATCH($A196,SPPR!$A:$A,0),4),""),"")</f>
        <v/>
      </c>
      <c r="H196">
        <f>IFERROR(IF(ISNUMBER(INDEX(SPPR!$E:$Z,MATCH($A196,SPPR!$A:$A,0),5)),$C196*INDEX(SPPR!$E:$Z,MATCH($A196,SPPR!$A:$A,0),5),""),"")</f>
        <v/>
      </c>
      <c r="I196">
        <f>IFERROR(IF(ISNUMBER(INDEX(SPPR!$E:$Z,MATCH($A196,SPPR!$A:$A,0),6)),$C196*INDEX(SPPR!$E:$Z,MATCH($A196,SPPR!$A:$A,0),6),""),"")</f>
        <v/>
      </c>
      <c r="J196">
        <f>IFERROR(IF(ISNUMBER(INDEX(SPPR!$E:$Z,MATCH($A196,SPPR!$A:$A,0),7)),$C196*INDEX(SPPR!$E:$Z,MATCH($A196,SPPR!$A:$A,0),7),""),"")</f>
        <v/>
      </c>
      <c r="K196">
        <f>IFERROR(IF(ISNUMBER(INDEX(SPPR!$E:$Z,MATCH($A196,SPPR!$A:$A,0),8)),$C196*INDEX(SPPR!$E:$Z,MATCH($A196,SPPR!$A:$A,0),8),""),"")</f>
        <v/>
      </c>
      <c r="L196">
        <f>IFERROR(IF(ISNUMBER(INDEX(SPPR!$E:$Z,MATCH($A196,SPPR!$A:$A,0),9)),$C196*INDEX(SPPR!$E:$Z,MATCH($A196,SPPR!$A:$A,0),9),""),"")</f>
        <v/>
      </c>
      <c r="M196">
        <f>IFERROR(IF(ISNUMBER(INDEX(SPPR!$E:$Z,MATCH($A196,SPPR!$A:$A,0),10)),$C196*INDEX(SPPR!$E:$Z,MATCH($A196,SPPR!$A:$A,0),10),""),"")</f>
        <v/>
      </c>
      <c r="N196">
        <f>IFERROR(IF(ISNUMBER(INDEX(SPPR!$E:$Z,MATCH($A196,SPPR!$A:$A,0),11)),$C196*INDEX(SPPR!$E:$Z,MATCH($A196,SPPR!$A:$A,0),11),""),"")</f>
        <v/>
      </c>
      <c r="O196">
        <f>IFERROR(IF(ISNUMBER(INDEX(SPPR!$E:$Z,MATCH($A196,SPPR!$A:$A,0),12)),$C196*INDEX(SPPR!$E:$Z,MATCH($A196,SPPR!$A:$A,0),12),""),"")</f>
        <v/>
      </c>
      <c r="P196">
        <f>IFERROR(IF(ISNUMBER(INDEX(SPPR!$E:$Z,MATCH($A196,SPPR!$A:$A,0),13)),$C196*INDEX(SPPR!$E:$Z,MATCH($A196,SPPR!$A:$A,0),13),""),"")</f>
        <v/>
      </c>
      <c r="Q196">
        <f>IFERROR(IF(ISNUMBER(INDEX(SPPR!$E:$Z,MATCH($A196,SPPR!$A:$A,0),14)),$C196*INDEX(SPPR!$E:$Z,MATCH($A196,SPPR!$A:$A,0),14),""),"")</f>
        <v/>
      </c>
      <c r="R196">
        <f>IFERROR(IF(ISNUMBER(INDEX(SPPR!$E:$Z,MATCH($A196,SPPR!$A:$A,0),15)),$C196*INDEX(SPPR!$E:$Z,MATCH($A196,SPPR!$A:$A,0),15),""),"")</f>
        <v/>
      </c>
      <c r="S196">
        <f>IFERROR(IF(ISNUMBER(INDEX(SPPR!$E:$Z,MATCH($A196,SPPR!$A:$A,0),16)),$C196*INDEX(SPPR!$E:$Z,MATCH($A196,SPPR!$A:$A,0),16),""),"")</f>
        <v/>
      </c>
      <c r="T196">
        <f>IFERROR(IF(ISNUMBER(INDEX(SPPR!$E:$Z,MATCH($A196,SPPR!$A:$A,0),17)),$C196*INDEX(SPPR!$E:$Z,MATCH($A196,SPPR!$A:$A,0),17),""),"")</f>
        <v/>
      </c>
      <c r="U196">
        <f>IFERROR(IF(ISNUMBER(INDEX(SPPR!$E:$Z,MATCH($A196,SPPR!$A:$A,0),18)),$C196*INDEX(SPPR!$E:$Z,MATCH($A196,SPPR!$A:$A,0),18),""),"")</f>
        <v/>
      </c>
      <c r="V196">
        <f>IFERROR(IF(ISNUMBER(INDEX(SPPR!$E:$Z,MATCH($A196,SPPR!$A:$A,0),19)),$C196*INDEX(SPPR!$E:$Z,MATCH($A196,SPPR!$A:$A,0),19),""),"")</f>
        <v/>
      </c>
      <c r="W196">
        <f>IFERROR(IF(ISNUMBER(INDEX(SPPR!$E:$Z,MATCH($A196,SPPR!$A:$A,0),20)),$C196*INDEX(SPPR!$E:$Z,MATCH($A196,SPPR!$A:$A,0),20),""),"")</f>
        <v/>
      </c>
      <c r="X196">
        <f>IFERROR(IF(ISNUMBER(INDEX(SPPR!$E:$Z,MATCH($A196,SPPR!$A:$A,0),21)),$C196*INDEX(SPPR!$E:$Z,MATCH($A196,SPPR!$A:$A,0),21),""),"")</f>
        <v/>
      </c>
      <c r="Y196">
        <f>IFERROR(IF(ISNUMBER(INDEX(SPPR!$E:$Z,MATCH($A196,SPPR!$A:$A,0),22)),$C196*INDEX(SPPR!$E:$Z,MATCH($A196,SPPR!$A:$A,0),22),""),"")</f>
        <v/>
      </c>
    </row>
    <row r="197">
      <c r="A197" t="inlineStr">
        <is>
          <t>Plotosus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IFERROR(IF(ISNUMBER(INDEX(SPPR!$E:$Z,MATCH($A197,SPPR!$A:$A,0),1)),$C197*INDEX(SPPR!$E:$Z,MATCH($A197,SPPR!$A:$A,0),1),""),"")</f>
        <v/>
      </c>
      <c r="E197">
        <f>IFERROR(IF(ISNUMBER(INDEX(SPPR!$E:$Z,MATCH($A197,SPPR!$A:$A,0),2)),$C197*INDEX(SPPR!$E:$Z,MATCH($A197,SPPR!$A:$A,0),2),""),"")</f>
        <v/>
      </c>
      <c r="F197">
        <f>IFERROR(IF(ISNUMBER(INDEX(SPPR!$E:$Z,MATCH($A197,SPPR!$A:$A,0),3)),$C197*INDEX(SPPR!$E:$Z,MATCH($A197,SPPR!$A:$A,0),3),""),"")</f>
        <v/>
      </c>
      <c r="G197">
        <f>IFERROR(IF(ISNUMBER(INDEX(SPPR!$E:$Z,MATCH($A197,SPPR!$A:$A,0),4)),$C197*INDEX(SPPR!$E:$Z,MATCH($A197,SPPR!$A:$A,0),4),""),"")</f>
        <v/>
      </c>
      <c r="H197">
        <f>IFERROR(IF(ISNUMBER(INDEX(SPPR!$E:$Z,MATCH($A197,SPPR!$A:$A,0),5)),$C197*INDEX(SPPR!$E:$Z,MATCH($A197,SPPR!$A:$A,0),5),""),"")</f>
        <v/>
      </c>
      <c r="I197">
        <f>IFERROR(IF(ISNUMBER(INDEX(SPPR!$E:$Z,MATCH($A197,SPPR!$A:$A,0),6)),$C197*INDEX(SPPR!$E:$Z,MATCH($A197,SPPR!$A:$A,0),6),""),"")</f>
        <v/>
      </c>
      <c r="J197">
        <f>IFERROR(IF(ISNUMBER(INDEX(SPPR!$E:$Z,MATCH($A197,SPPR!$A:$A,0),7)),$C197*INDEX(SPPR!$E:$Z,MATCH($A197,SPPR!$A:$A,0),7),""),"")</f>
        <v/>
      </c>
      <c r="K197">
        <f>IFERROR(IF(ISNUMBER(INDEX(SPPR!$E:$Z,MATCH($A197,SPPR!$A:$A,0),8)),$C197*INDEX(SPPR!$E:$Z,MATCH($A197,SPPR!$A:$A,0),8),""),"")</f>
        <v/>
      </c>
      <c r="L197">
        <f>IFERROR(IF(ISNUMBER(INDEX(SPPR!$E:$Z,MATCH($A197,SPPR!$A:$A,0),9)),$C197*INDEX(SPPR!$E:$Z,MATCH($A197,SPPR!$A:$A,0),9),""),"")</f>
        <v/>
      </c>
      <c r="M197">
        <f>IFERROR(IF(ISNUMBER(INDEX(SPPR!$E:$Z,MATCH($A197,SPPR!$A:$A,0),10)),$C197*INDEX(SPPR!$E:$Z,MATCH($A197,SPPR!$A:$A,0),10),""),"")</f>
        <v/>
      </c>
      <c r="N197">
        <f>IFERROR(IF(ISNUMBER(INDEX(SPPR!$E:$Z,MATCH($A197,SPPR!$A:$A,0),11)),$C197*INDEX(SPPR!$E:$Z,MATCH($A197,SPPR!$A:$A,0),11),""),"")</f>
        <v/>
      </c>
      <c r="O197">
        <f>IFERROR(IF(ISNUMBER(INDEX(SPPR!$E:$Z,MATCH($A197,SPPR!$A:$A,0),12)),$C197*INDEX(SPPR!$E:$Z,MATCH($A197,SPPR!$A:$A,0),12),""),"")</f>
        <v/>
      </c>
      <c r="P197">
        <f>IFERROR(IF(ISNUMBER(INDEX(SPPR!$E:$Z,MATCH($A197,SPPR!$A:$A,0),13)),$C197*INDEX(SPPR!$E:$Z,MATCH($A197,SPPR!$A:$A,0),13),""),"")</f>
        <v/>
      </c>
      <c r="Q197">
        <f>IFERROR(IF(ISNUMBER(INDEX(SPPR!$E:$Z,MATCH($A197,SPPR!$A:$A,0),14)),$C197*INDEX(SPPR!$E:$Z,MATCH($A197,SPPR!$A:$A,0),14),""),"")</f>
        <v/>
      </c>
      <c r="R197">
        <f>IFERROR(IF(ISNUMBER(INDEX(SPPR!$E:$Z,MATCH($A197,SPPR!$A:$A,0),15)),$C197*INDEX(SPPR!$E:$Z,MATCH($A197,SPPR!$A:$A,0),15),""),"")</f>
        <v/>
      </c>
      <c r="S197">
        <f>IFERROR(IF(ISNUMBER(INDEX(SPPR!$E:$Z,MATCH($A197,SPPR!$A:$A,0),16)),$C197*INDEX(SPPR!$E:$Z,MATCH($A197,SPPR!$A:$A,0),16),""),"")</f>
        <v/>
      </c>
      <c r="T197">
        <f>IFERROR(IF(ISNUMBER(INDEX(SPPR!$E:$Z,MATCH($A197,SPPR!$A:$A,0),17)),$C197*INDEX(SPPR!$E:$Z,MATCH($A197,SPPR!$A:$A,0),17),""),"")</f>
        <v/>
      </c>
      <c r="U197">
        <f>IFERROR(IF(ISNUMBER(INDEX(SPPR!$E:$Z,MATCH($A197,SPPR!$A:$A,0),18)),$C197*INDEX(SPPR!$E:$Z,MATCH($A197,SPPR!$A:$A,0),18),""),"")</f>
        <v/>
      </c>
      <c r="V197">
        <f>IFERROR(IF(ISNUMBER(INDEX(SPPR!$E:$Z,MATCH($A197,SPPR!$A:$A,0),19)),$C197*INDEX(SPPR!$E:$Z,MATCH($A197,SPPR!$A:$A,0),19),""),"")</f>
        <v/>
      </c>
      <c r="W197">
        <f>IFERROR(IF(ISNUMBER(INDEX(SPPR!$E:$Z,MATCH($A197,SPPR!$A:$A,0),20)),$C197*INDEX(SPPR!$E:$Z,MATCH($A197,SPPR!$A:$A,0),20),""),"")</f>
        <v/>
      </c>
      <c r="X197">
        <f>IFERROR(IF(ISNUMBER(INDEX(SPPR!$E:$Z,MATCH($A197,SPPR!$A:$A,0),21)),$C197*INDEX(SPPR!$E:$Z,MATCH($A197,SPPR!$A:$A,0),21),""),"")</f>
        <v/>
      </c>
      <c r="Y197">
        <f>IFERROR(IF(ISNUMBER(INDEX(SPPR!$E:$Z,MATCH($A197,SPPR!$A:$A,0),22)),$C197*INDEX(SPPR!$E:$Z,MATCH($A197,SPPR!$A:$A,0),22),""),"")</f>
        <v/>
      </c>
    </row>
    <row r="198">
      <c r="A198" t="inlineStr">
        <is>
          <t>Hemiramphus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IFERROR(IF(ISNUMBER(INDEX(SPPR!$E:$Z,MATCH($A198,SPPR!$A:$A,0),1)),$C198*INDEX(SPPR!$E:$Z,MATCH($A198,SPPR!$A:$A,0),1),""),"")</f>
        <v/>
      </c>
      <c r="E198">
        <f>IFERROR(IF(ISNUMBER(INDEX(SPPR!$E:$Z,MATCH($A198,SPPR!$A:$A,0),2)),$C198*INDEX(SPPR!$E:$Z,MATCH($A198,SPPR!$A:$A,0),2),""),"")</f>
        <v/>
      </c>
      <c r="F198">
        <f>IFERROR(IF(ISNUMBER(INDEX(SPPR!$E:$Z,MATCH($A198,SPPR!$A:$A,0),3)),$C198*INDEX(SPPR!$E:$Z,MATCH($A198,SPPR!$A:$A,0),3),""),"")</f>
        <v/>
      </c>
      <c r="G198">
        <f>IFERROR(IF(ISNUMBER(INDEX(SPPR!$E:$Z,MATCH($A198,SPPR!$A:$A,0),4)),$C198*INDEX(SPPR!$E:$Z,MATCH($A198,SPPR!$A:$A,0),4),""),"")</f>
        <v/>
      </c>
      <c r="H198">
        <f>IFERROR(IF(ISNUMBER(INDEX(SPPR!$E:$Z,MATCH($A198,SPPR!$A:$A,0),5)),$C198*INDEX(SPPR!$E:$Z,MATCH($A198,SPPR!$A:$A,0),5),""),"")</f>
        <v/>
      </c>
      <c r="I198">
        <f>IFERROR(IF(ISNUMBER(INDEX(SPPR!$E:$Z,MATCH($A198,SPPR!$A:$A,0),6)),$C198*INDEX(SPPR!$E:$Z,MATCH($A198,SPPR!$A:$A,0),6),""),"")</f>
        <v/>
      </c>
      <c r="J198">
        <f>IFERROR(IF(ISNUMBER(INDEX(SPPR!$E:$Z,MATCH($A198,SPPR!$A:$A,0),7)),$C198*INDEX(SPPR!$E:$Z,MATCH($A198,SPPR!$A:$A,0),7),""),"")</f>
        <v/>
      </c>
      <c r="K198">
        <f>IFERROR(IF(ISNUMBER(INDEX(SPPR!$E:$Z,MATCH($A198,SPPR!$A:$A,0),8)),$C198*INDEX(SPPR!$E:$Z,MATCH($A198,SPPR!$A:$A,0),8),""),"")</f>
        <v/>
      </c>
      <c r="L198">
        <f>IFERROR(IF(ISNUMBER(INDEX(SPPR!$E:$Z,MATCH($A198,SPPR!$A:$A,0),9)),$C198*INDEX(SPPR!$E:$Z,MATCH($A198,SPPR!$A:$A,0),9),""),"")</f>
        <v/>
      </c>
      <c r="M198">
        <f>IFERROR(IF(ISNUMBER(INDEX(SPPR!$E:$Z,MATCH($A198,SPPR!$A:$A,0),10)),$C198*INDEX(SPPR!$E:$Z,MATCH($A198,SPPR!$A:$A,0),10),""),"")</f>
        <v/>
      </c>
      <c r="N198">
        <f>IFERROR(IF(ISNUMBER(INDEX(SPPR!$E:$Z,MATCH($A198,SPPR!$A:$A,0),11)),$C198*INDEX(SPPR!$E:$Z,MATCH($A198,SPPR!$A:$A,0),11),""),"")</f>
        <v/>
      </c>
      <c r="O198">
        <f>IFERROR(IF(ISNUMBER(INDEX(SPPR!$E:$Z,MATCH($A198,SPPR!$A:$A,0),12)),$C198*INDEX(SPPR!$E:$Z,MATCH($A198,SPPR!$A:$A,0),12),""),"")</f>
        <v/>
      </c>
      <c r="P198">
        <f>IFERROR(IF(ISNUMBER(INDEX(SPPR!$E:$Z,MATCH($A198,SPPR!$A:$A,0),13)),$C198*INDEX(SPPR!$E:$Z,MATCH($A198,SPPR!$A:$A,0),13),""),"")</f>
        <v/>
      </c>
      <c r="Q198">
        <f>IFERROR(IF(ISNUMBER(INDEX(SPPR!$E:$Z,MATCH($A198,SPPR!$A:$A,0),14)),$C198*INDEX(SPPR!$E:$Z,MATCH($A198,SPPR!$A:$A,0),14),""),"")</f>
        <v/>
      </c>
      <c r="R198">
        <f>IFERROR(IF(ISNUMBER(INDEX(SPPR!$E:$Z,MATCH($A198,SPPR!$A:$A,0),15)),$C198*INDEX(SPPR!$E:$Z,MATCH($A198,SPPR!$A:$A,0),15),""),"")</f>
        <v/>
      </c>
      <c r="S198">
        <f>IFERROR(IF(ISNUMBER(INDEX(SPPR!$E:$Z,MATCH($A198,SPPR!$A:$A,0),16)),$C198*INDEX(SPPR!$E:$Z,MATCH($A198,SPPR!$A:$A,0),16),""),"")</f>
        <v/>
      </c>
      <c r="T198">
        <f>IFERROR(IF(ISNUMBER(INDEX(SPPR!$E:$Z,MATCH($A198,SPPR!$A:$A,0),17)),$C198*INDEX(SPPR!$E:$Z,MATCH($A198,SPPR!$A:$A,0),17),""),"")</f>
        <v/>
      </c>
      <c r="U198">
        <f>IFERROR(IF(ISNUMBER(INDEX(SPPR!$E:$Z,MATCH($A198,SPPR!$A:$A,0),18)),$C198*INDEX(SPPR!$E:$Z,MATCH($A198,SPPR!$A:$A,0),18),""),"")</f>
        <v/>
      </c>
      <c r="V198">
        <f>IFERROR(IF(ISNUMBER(INDEX(SPPR!$E:$Z,MATCH($A198,SPPR!$A:$A,0),19)),$C198*INDEX(SPPR!$E:$Z,MATCH($A198,SPPR!$A:$A,0),19),""),"")</f>
        <v/>
      </c>
      <c r="W198">
        <f>IFERROR(IF(ISNUMBER(INDEX(SPPR!$E:$Z,MATCH($A198,SPPR!$A:$A,0),20)),$C198*INDEX(SPPR!$E:$Z,MATCH($A198,SPPR!$A:$A,0),20),""),"")</f>
        <v/>
      </c>
      <c r="X198">
        <f>IFERROR(IF(ISNUMBER(INDEX(SPPR!$E:$Z,MATCH($A198,SPPR!$A:$A,0),21)),$C198*INDEX(SPPR!$E:$Z,MATCH($A198,SPPR!$A:$A,0),21),""),"")</f>
        <v/>
      </c>
      <c r="Y198">
        <f>IFERROR(IF(ISNUMBER(INDEX(SPPR!$E:$Z,MATCH($A198,SPPR!$A:$A,0),22)),$C198*INDEX(SPPR!$E:$Z,MATCH($A198,SPPR!$A:$A,0),22),""),"")</f>
        <v/>
      </c>
    </row>
    <row r="199">
      <c r="A199" t="inlineStr">
        <is>
          <t>Scomber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IFERROR(IF(ISNUMBER(INDEX(SPPR!$E:$Z,MATCH($A199,SPPR!$A:$A,0),1)),$C199*INDEX(SPPR!$E:$Z,MATCH($A199,SPPR!$A:$A,0),1),""),"")</f>
        <v/>
      </c>
      <c r="E199">
        <f>IFERROR(IF(ISNUMBER(INDEX(SPPR!$E:$Z,MATCH($A199,SPPR!$A:$A,0),2)),$C199*INDEX(SPPR!$E:$Z,MATCH($A199,SPPR!$A:$A,0),2),""),"")</f>
        <v/>
      </c>
      <c r="F199">
        <f>IFERROR(IF(ISNUMBER(INDEX(SPPR!$E:$Z,MATCH($A199,SPPR!$A:$A,0),3)),$C199*INDEX(SPPR!$E:$Z,MATCH($A199,SPPR!$A:$A,0),3),""),"")</f>
        <v/>
      </c>
      <c r="G199">
        <f>IFERROR(IF(ISNUMBER(INDEX(SPPR!$E:$Z,MATCH($A199,SPPR!$A:$A,0),4)),$C199*INDEX(SPPR!$E:$Z,MATCH($A199,SPPR!$A:$A,0),4),""),"")</f>
        <v/>
      </c>
      <c r="H199">
        <f>IFERROR(IF(ISNUMBER(INDEX(SPPR!$E:$Z,MATCH($A199,SPPR!$A:$A,0),5)),$C199*INDEX(SPPR!$E:$Z,MATCH($A199,SPPR!$A:$A,0),5),""),"")</f>
        <v/>
      </c>
      <c r="I199">
        <f>IFERROR(IF(ISNUMBER(INDEX(SPPR!$E:$Z,MATCH($A199,SPPR!$A:$A,0),6)),$C199*INDEX(SPPR!$E:$Z,MATCH($A199,SPPR!$A:$A,0),6),""),"")</f>
        <v/>
      </c>
      <c r="J199">
        <f>IFERROR(IF(ISNUMBER(INDEX(SPPR!$E:$Z,MATCH($A199,SPPR!$A:$A,0),7)),$C199*INDEX(SPPR!$E:$Z,MATCH($A199,SPPR!$A:$A,0),7),""),"")</f>
        <v/>
      </c>
      <c r="K199">
        <f>IFERROR(IF(ISNUMBER(INDEX(SPPR!$E:$Z,MATCH($A199,SPPR!$A:$A,0),8)),$C199*INDEX(SPPR!$E:$Z,MATCH($A199,SPPR!$A:$A,0),8),""),"")</f>
        <v/>
      </c>
      <c r="L199">
        <f>IFERROR(IF(ISNUMBER(INDEX(SPPR!$E:$Z,MATCH($A199,SPPR!$A:$A,0),9)),$C199*INDEX(SPPR!$E:$Z,MATCH($A199,SPPR!$A:$A,0),9),""),"")</f>
        <v/>
      </c>
      <c r="M199">
        <f>IFERROR(IF(ISNUMBER(INDEX(SPPR!$E:$Z,MATCH($A199,SPPR!$A:$A,0),10)),$C199*INDEX(SPPR!$E:$Z,MATCH($A199,SPPR!$A:$A,0),10),""),"")</f>
        <v/>
      </c>
      <c r="N199">
        <f>IFERROR(IF(ISNUMBER(INDEX(SPPR!$E:$Z,MATCH($A199,SPPR!$A:$A,0),11)),$C199*INDEX(SPPR!$E:$Z,MATCH($A199,SPPR!$A:$A,0),11),""),"")</f>
        <v/>
      </c>
      <c r="O199">
        <f>IFERROR(IF(ISNUMBER(INDEX(SPPR!$E:$Z,MATCH($A199,SPPR!$A:$A,0),12)),$C199*INDEX(SPPR!$E:$Z,MATCH($A199,SPPR!$A:$A,0),12),""),"")</f>
        <v/>
      </c>
      <c r="P199">
        <f>IFERROR(IF(ISNUMBER(INDEX(SPPR!$E:$Z,MATCH($A199,SPPR!$A:$A,0),13)),$C199*INDEX(SPPR!$E:$Z,MATCH($A199,SPPR!$A:$A,0),13),""),"")</f>
        <v/>
      </c>
      <c r="Q199">
        <f>IFERROR(IF(ISNUMBER(INDEX(SPPR!$E:$Z,MATCH($A199,SPPR!$A:$A,0),14)),$C199*INDEX(SPPR!$E:$Z,MATCH($A199,SPPR!$A:$A,0),14),""),"")</f>
        <v/>
      </c>
      <c r="R199">
        <f>IFERROR(IF(ISNUMBER(INDEX(SPPR!$E:$Z,MATCH($A199,SPPR!$A:$A,0),15)),$C199*INDEX(SPPR!$E:$Z,MATCH($A199,SPPR!$A:$A,0),15),""),"")</f>
        <v/>
      </c>
      <c r="S199">
        <f>IFERROR(IF(ISNUMBER(INDEX(SPPR!$E:$Z,MATCH($A199,SPPR!$A:$A,0),16)),$C199*INDEX(SPPR!$E:$Z,MATCH($A199,SPPR!$A:$A,0),16),""),"")</f>
        <v/>
      </c>
      <c r="T199">
        <f>IFERROR(IF(ISNUMBER(INDEX(SPPR!$E:$Z,MATCH($A199,SPPR!$A:$A,0),17)),$C199*INDEX(SPPR!$E:$Z,MATCH($A199,SPPR!$A:$A,0),17),""),"")</f>
        <v/>
      </c>
      <c r="U199">
        <f>IFERROR(IF(ISNUMBER(INDEX(SPPR!$E:$Z,MATCH($A199,SPPR!$A:$A,0),18)),$C199*INDEX(SPPR!$E:$Z,MATCH($A199,SPPR!$A:$A,0),18),""),"")</f>
        <v/>
      </c>
      <c r="V199">
        <f>IFERROR(IF(ISNUMBER(INDEX(SPPR!$E:$Z,MATCH($A199,SPPR!$A:$A,0),19)),$C199*INDEX(SPPR!$E:$Z,MATCH($A199,SPPR!$A:$A,0),19),""),"")</f>
        <v/>
      </c>
      <c r="W199">
        <f>IFERROR(IF(ISNUMBER(INDEX(SPPR!$E:$Z,MATCH($A199,SPPR!$A:$A,0),20)),$C199*INDEX(SPPR!$E:$Z,MATCH($A199,SPPR!$A:$A,0),20),""),"")</f>
        <v/>
      </c>
      <c r="X199">
        <f>IFERROR(IF(ISNUMBER(INDEX(SPPR!$E:$Z,MATCH($A199,SPPR!$A:$A,0),21)),$C199*INDEX(SPPR!$E:$Z,MATCH($A199,SPPR!$A:$A,0),21),""),"")</f>
        <v/>
      </c>
      <c r="Y199">
        <f>IFERROR(IF(ISNUMBER(INDEX(SPPR!$E:$Z,MATCH($A199,SPPR!$A:$A,0),22)),$C199*INDEX(SPPR!$E:$Z,MATCH($A199,SPPR!$A:$A,0),22),""),"")</f>
        <v/>
      </c>
    </row>
    <row r="200">
      <c r="A200" t="inlineStr">
        <is>
          <t>Cypselurus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IFERROR(IF(ISNUMBER(INDEX(SPPR!$E:$Z,MATCH($A200,SPPR!$A:$A,0),1)),$C200*INDEX(SPPR!$E:$Z,MATCH($A200,SPPR!$A:$A,0),1),""),"")</f>
        <v/>
      </c>
      <c r="E200">
        <f>IFERROR(IF(ISNUMBER(INDEX(SPPR!$E:$Z,MATCH($A200,SPPR!$A:$A,0),2)),$C200*INDEX(SPPR!$E:$Z,MATCH($A200,SPPR!$A:$A,0),2),""),"")</f>
        <v/>
      </c>
      <c r="F200">
        <f>IFERROR(IF(ISNUMBER(INDEX(SPPR!$E:$Z,MATCH($A200,SPPR!$A:$A,0),3)),$C200*INDEX(SPPR!$E:$Z,MATCH($A200,SPPR!$A:$A,0),3),""),"")</f>
        <v/>
      </c>
      <c r="G200">
        <f>IFERROR(IF(ISNUMBER(INDEX(SPPR!$E:$Z,MATCH($A200,SPPR!$A:$A,0),4)),$C200*INDEX(SPPR!$E:$Z,MATCH($A200,SPPR!$A:$A,0),4),""),"")</f>
        <v/>
      </c>
      <c r="H200">
        <f>IFERROR(IF(ISNUMBER(INDEX(SPPR!$E:$Z,MATCH($A200,SPPR!$A:$A,0),5)),$C200*INDEX(SPPR!$E:$Z,MATCH($A200,SPPR!$A:$A,0),5),""),"")</f>
        <v/>
      </c>
      <c r="I200">
        <f>IFERROR(IF(ISNUMBER(INDEX(SPPR!$E:$Z,MATCH($A200,SPPR!$A:$A,0),6)),$C200*INDEX(SPPR!$E:$Z,MATCH($A200,SPPR!$A:$A,0),6),""),"")</f>
        <v/>
      </c>
      <c r="J200">
        <f>IFERROR(IF(ISNUMBER(INDEX(SPPR!$E:$Z,MATCH($A200,SPPR!$A:$A,0),7)),$C200*INDEX(SPPR!$E:$Z,MATCH($A200,SPPR!$A:$A,0),7),""),"")</f>
        <v/>
      </c>
      <c r="K200">
        <f>IFERROR(IF(ISNUMBER(INDEX(SPPR!$E:$Z,MATCH($A200,SPPR!$A:$A,0),8)),$C200*INDEX(SPPR!$E:$Z,MATCH($A200,SPPR!$A:$A,0),8),""),"")</f>
        <v/>
      </c>
      <c r="L200">
        <f>IFERROR(IF(ISNUMBER(INDEX(SPPR!$E:$Z,MATCH($A200,SPPR!$A:$A,0),9)),$C200*INDEX(SPPR!$E:$Z,MATCH($A200,SPPR!$A:$A,0),9),""),"")</f>
        <v/>
      </c>
      <c r="M200">
        <f>IFERROR(IF(ISNUMBER(INDEX(SPPR!$E:$Z,MATCH($A200,SPPR!$A:$A,0),10)),$C200*INDEX(SPPR!$E:$Z,MATCH($A200,SPPR!$A:$A,0),10),""),"")</f>
        <v/>
      </c>
      <c r="N200">
        <f>IFERROR(IF(ISNUMBER(INDEX(SPPR!$E:$Z,MATCH($A200,SPPR!$A:$A,0),11)),$C200*INDEX(SPPR!$E:$Z,MATCH($A200,SPPR!$A:$A,0),11),""),"")</f>
        <v/>
      </c>
      <c r="O200">
        <f>IFERROR(IF(ISNUMBER(INDEX(SPPR!$E:$Z,MATCH($A200,SPPR!$A:$A,0),12)),$C200*INDEX(SPPR!$E:$Z,MATCH($A200,SPPR!$A:$A,0),12),""),"")</f>
        <v/>
      </c>
      <c r="P200">
        <f>IFERROR(IF(ISNUMBER(INDEX(SPPR!$E:$Z,MATCH($A200,SPPR!$A:$A,0),13)),$C200*INDEX(SPPR!$E:$Z,MATCH($A200,SPPR!$A:$A,0),13),""),"")</f>
        <v/>
      </c>
      <c r="Q200">
        <f>IFERROR(IF(ISNUMBER(INDEX(SPPR!$E:$Z,MATCH($A200,SPPR!$A:$A,0),14)),$C200*INDEX(SPPR!$E:$Z,MATCH($A200,SPPR!$A:$A,0),14),""),"")</f>
        <v/>
      </c>
      <c r="R200">
        <f>IFERROR(IF(ISNUMBER(INDEX(SPPR!$E:$Z,MATCH($A200,SPPR!$A:$A,0),15)),$C200*INDEX(SPPR!$E:$Z,MATCH($A200,SPPR!$A:$A,0),15),""),"")</f>
        <v/>
      </c>
      <c r="S200">
        <f>IFERROR(IF(ISNUMBER(INDEX(SPPR!$E:$Z,MATCH($A200,SPPR!$A:$A,0),16)),$C200*INDEX(SPPR!$E:$Z,MATCH($A200,SPPR!$A:$A,0),16),""),"")</f>
        <v/>
      </c>
      <c r="T200">
        <f>IFERROR(IF(ISNUMBER(INDEX(SPPR!$E:$Z,MATCH($A200,SPPR!$A:$A,0),17)),$C200*INDEX(SPPR!$E:$Z,MATCH($A200,SPPR!$A:$A,0),17),""),"")</f>
        <v/>
      </c>
      <c r="U200">
        <f>IFERROR(IF(ISNUMBER(INDEX(SPPR!$E:$Z,MATCH($A200,SPPR!$A:$A,0),18)),$C200*INDEX(SPPR!$E:$Z,MATCH($A200,SPPR!$A:$A,0),18),""),"")</f>
        <v/>
      </c>
      <c r="V200">
        <f>IFERROR(IF(ISNUMBER(INDEX(SPPR!$E:$Z,MATCH($A200,SPPR!$A:$A,0),19)),$C200*INDEX(SPPR!$E:$Z,MATCH($A200,SPPR!$A:$A,0),19),""),"")</f>
        <v/>
      </c>
      <c r="W200">
        <f>IFERROR(IF(ISNUMBER(INDEX(SPPR!$E:$Z,MATCH($A200,SPPR!$A:$A,0),20)),$C200*INDEX(SPPR!$E:$Z,MATCH($A200,SPPR!$A:$A,0),20),""),"")</f>
        <v/>
      </c>
      <c r="X200">
        <f>IFERROR(IF(ISNUMBER(INDEX(SPPR!$E:$Z,MATCH($A200,SPPR!$A:$A,0),21)),$C200*INDEX(SPPR!$E:$Z,MATCH($A200,SPPR!$A:$A,0),21),""),"")</f>
        <v/>
      </c>
      <c r="Y200">
        <f>IFERROR(IF(ISNUMBER(INDEX(SPPR!$E:$Z,MATCH($A200,SPPR!$A:$A,0),22)),$C200*INDEX(SPPR!$E:$Z,MATCH($A200,SPPR!$A:$A,0),22),""),"")</f>
        <v/>
      </c>
    </row>
    <row r="201">
      <c r="A201" t="inlineStr">
        <is>
          <t>Sergestidae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IFERROR(IF(ISNUMBER(INDEX(SPPR!$E:$Z,MATCH($A201,SPPR!$A:$A,0),1)),$C201*INDEX(SPPR!$E:$Z,MATCH($A201,SPPR!$A:$A,0),1),""),"")</f>
        <v/>
      </c>
      <c r="E201">
        <f>IFERROR(IF(ISNUMBER(INDEX(SPPR!$E:$Z,MATCH($A201,SPPR!$A:$A,0),2)),$C201*INDEX(SPPR!$E:$Z,MATCH($A201,SPPR!$A:$A,0),2),""),"")</f>
        <v/>
      </c>
      <c r="F201">
        <f>IFERROR(IF(ISNUMBER(INDEX(SPPR!$E:$Z,MATCH($A201,SPPR!$A:$A,0),3)),$C201*INDEX(SPPR!$E:$Z,MATCH($A201,SPPR!$A:$A,0),3),""),"")</f>
        <v/>
      </c>
      <c r="G201">
        <f>IFERROR(IF(ISNUMBER(INDEX(SPPR!$E:$Z,MATCH($A201,SPPR!$A:$A,0),4)),$C201*INDEX(SPPR!$E:$Z,MATCH($A201,SPPR!$A:$A,0),4),""),"")</f>
        <v/>
      </c>
      <c r="H201">
        <f>IFERROR(IF(ISNUMBER(INDEX(SPPR!$E:$Z,MATCH($A201,SPPR!$A:$A,0),5)),$C201*INDEX(SPPR!$E:$Z,MATCH($A201,SPPR!$A:$A,0),5),""),"")</f>
        <v/>
      </c>
      <c r="I201">
        <f>IFERROR(IF(ISNUMBER(INDEX(SPPR!$E:$Z,MATCH($A201,SPPR!$A:$A,0),6)),$C201*INDEX(SPPR!$E:$Z,MATCH($A201,SPPR!$A:$A,0),6),""),"")</f>
        <v/>
      </c>
      <c r="J201">
        <f>IFERROR(IF(ISNUMBER(INDEX(SPPR!$E:$Z,MATCH($A201,SPPR!$A:$A,0),7)),$C201*INDEX(SPPR!$E:$Z,MATCH($A201,SPPR!$A:$A,0),7),""),"")</f>
        <v/>
      </c>
      <c r="K201">
        <f>IFERROR(IF(ISNUMBER(INDEX(SPPR!$E:$Z,MATCH($A201,SPPR!$A:$A,0),8)),$C201*INDEX(SPPR!$E:$Z,MATCH($A201,SPPR!$A:$A,0),8),""),"")</f>
        <v/>
      </c>
      <c r="L201">
        <f>IFERROR(IF(ISNUMBER(INDEX(SPPR!$E:$Z,MATCH($A201,SPPR!$A:$A,0),9)),$C201*INDEX(SPPR!$E:$Z,MATCH($A201,SPPR!$A:$A,0),9),""),"")</f>
        <v/>
      </c>
      <c r="M201">
        <f>IFERROR(IF(ISNUMBER(INDEX(SPPR!$E:$Z,MATCH($A201,SPPR!$A:$A,0),10)),$C201*INDEX(SPPR!$E:$Z,MATCH($A201,SPPR!$A:$A,0),10),""),"")</f>
        <v/>
      </c>
      <c r="N201">
        <f>IFERROR(IF(ISNUMBER(INDEX(SPPR!$E:$Z,MATCH($A201,SPPR!$A:$A,0),11)),$C201*INDEX(SPPR!$E:$Z,MATCH($A201,SPPR!$A:$A,0),11),""),"")</f>
        <v/>
      </c>
      <c r="O201">
        <f>IFERROR(IF(ISNUMBER(INDEX(SPPR!$E:$Z,MATCH($A201,SPPR!$A:$A,0),12)),$C201*INDEX(SPPR!$E:$Z,MATCH($A201,SPPR!$A:$A,0),12),""),"")</f>
        <v/>
      </c>
      <c r="P201">
        <f>IFERROR(IF(ISNUMBER(INDEX(SPPR!$E:$Z,MATCH($A201,SPPR!$A:$A,0),13)),$C201*INDEX(SPPR!$E:$Z,MATCH($A201,SPPR!$A:$A,0),13),""),"")</f>
        <v/>
      </c>
      <c r="Q201">
        <f>IFERROR(IF(ISNUMBER(INDEX(SPPR!$E:$Z,MATCH($A201,SPPR!$A:$A,0),14)),$C201*INDEX(SPPR!$E:$Z,MATCH($A201,SPPR!$A:$A,0),14),""),"")</f>
        <v/>
      </c>
      <c r="R201">
        <f>IFERROR(IF(ISNUMBER(INDEX(SPPR!$E:$Z,MATCH($A201,SPPR!$A:$A,0),15)),$C201*INDEX(SPPR!$E:$Z,MATCH($A201,SPPR!$A:$A,0),15),""),"")</f>
        <v/>
      </c>
      <c r="S201">
        <f>IFERROR(IF(ISNUMBER(INDEX(SPPR!$E:$Z,MATCH($A201,SPPR!$A:$A,0),16)),$C201*INDEX(SPPR!$E:$Z,MATCH($A201,SPPR!$A:$A,0),16),""),"")</f>
        <v/>
      </c>
      <c r="T201">
        <f>IFERROR(IF(ISNUMBER(INDEX(SPPR!$E:$Z,MATCH($A201,SPPR!$A:$A,0),17)),$C201*INDEX(SPPR!$E:$Z,MATCH($A201,SPPR!$A:$A,0),17),""),"")</f>
        <v/>
      </c>
      <c r="U201">
        <f>IFERROR(IF(ISNUMBER(INDEX(SPPR!$E:$Z,MATCH($A201,SPPR!$A:$A,0),18)),$C201*INDEX(SPPR!$E:$Z,MATCH($A201,SPPR!$A:$A,0),18),""),"")</f>
        <v/>
      </c>
      <c r="V201">
        <f>IFERROR(IF(ISNUMBER(INDEX(SPPR!$E:$Z,MATCH($A201,SPPR!$A:$A,0),19)),$C201*INDEX(SPPR!$E:$Z,MATCH($A201,SPPR!$A:$A,0),19),""),"")</f>
        <v/>
      </c>
      <c r="W201">
        <f>IFERROR(IF(ISNUMBER(INDEX(SPPR!$E:$Z,MATCH($A201,SPPR!$A:$A,0),20)),$C201*INDEX(SPPR!$E:$Z,MATCH($A201,SPPR!$A:$A,0),20),""),"")</f>
        <v/>
      </c>
      <c r="X201">
        <f>IFERROR(IF(ISNUMBER(INDEX(SPPR!$E:$Z,MATCH($A201,SPPR!$A:$A,0),21)),$C201*INDEX(SPPR!$E:$Z,MATCH($A201,SPPR!$A:$A,0),21),""),"")</f>
        <v/>
      </c>
      <c r="Y201">
        <f>IFERROR(IF(ISNUMBER(INDEX(SPPR!$E:$Z,MATCH($A201,SPPR!$A:$A,0),22)),$C201*INDEX(SPPR!$E:$Z,MATCH($A201,SPPR!$A:$A,0),22),""),"")</f>
        <v/>
      </c>
    </row>
    <row r="202">
      <c r="A202" t="inlineStr">
        <is>
          <t>Prionace glauca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IFERROR(IF(ISNUMBER(INDEX(SPPR!$E:$Z,MATCH($A202,SPPR!$A:$A,0),1)),$C202*INDEX(SPPR!$E:$Z,MATCH($A202,SPPR!$A:$A,0),1),""),"")</f>
        <v/>
      </c>
      <c r="E202">
        <f>IFERROR(IF(ISNUMBER(INDEX(SPPR!$E:$Z,MATCH($A202,SPPR!$A:$A,0),2)),$C202*INDEX(SPPR!$E:$Z,MATCH($A202,SPPR!$A:$A,0),2),""),"")</f>
        <v/>
      </c>
      <c r="F202">
        <f>IFERROR(IF(ISNUMBER(INDEX(SPPR!$E:$Z,MATCH($A202,SPPR!$A:$A,0),3)),$C202*INDEX(SPPR!$E:$Z,MATCH($A202,SPPR!$A:$A,0),3),""),"")</f>
        <v/>
      </c>
      <c r="G202">
        <f>IFERROR(IF(ISNUMBER(INDEX(SPPR!$E:$Z,MATCH($A202,SPPR!$A:$A,0),4)),$C202*INDEX(SPPR!$E:$Z,MATCH($A202,SPPR!$A:$A,0),4),""),"")</f>
        <v/>
      </c>
      <c r="H202">
        <f>IFERROR(IF(ISNUMBER(INDEX(SPPR!$E:$Z,MATCH($A202,SPPR!$A:$A,0),5)),$C202*INDEX(SPPR!$E:$Z,MATCH($A202,SPPR!$A:$A,0),5),""),"")</f>
        <v/>
      </c>
      <c r="I202">
        <f>IFERROR(IF(ISNUMBER(INDEX(SPPR!$E:$Z,MATCH($A202,SPPR!$A:$A,0),6)),$C202*INDEX(SPPR!$E:$Z,MATCH($A202,SPPR!$A:$A,0),6),""),"")</f>
        <v/>
      </c>
      <c r="J202">
        <f>IFERROR(IF(ISNUMBER(INDEX(SPPR!$E:$Z,MATCH($A202,SPPR!$A:$A,0),7)),$C202*INDEX(SPPR!$E:$Z,MATCH($A202,SPPR!$A:$A,0),7),""),"")</f>
        <v/>
      </c>
      <c r="K202">
        <f>IFERROR(IF(ISNUMBER(INDEX(SPPR!$E:$Z,MATCH($A202,SPPR!$A:$A,0),8)),$C202*INDEX(SPPR!$E:$Z,MATCH($A202,SPPR!$A:$A,0),8),""),"")</f>
        <v/>
      </c>
      <c r="L202">
        <f>IFERROR(IF(ISNUMBER(INDEX(SPPR!$E:$Z,MATCH($A202,SPPR!$A:$A,0),9)),$C202*INDEX(SPPR!$E:$Z,MATCH($A202,SPPR!$A:$A,0),9),""),"")</f>
        <v/>
      </c>
      <c r="M202">
        <f>IFERROR(IF(ISNUMBER(INDEX(SPPR!$E:$Z,MATCH($A202,SPPR!$A:$A,0),10)),$C202*INDEX(SPPR!$E:$Z,MATCH($A202,SPPR!$A:$A,0),10),""),"")</f>
        <v/>
      </c>
      <c r="N202">
        <f>IFERROR(IF(ISNUMBER(INDEX(SPPR!$E:$Z,MATCH($A202,SPPR!$A:$A,0),11)),$C202*INDEX(SPPR!$E:$Z,MATCH($A202,SPPR!$A:$A,0),11),""),"")</f>
        <v/>
      </c>
      <c r="O202">
        <f>IFERROR(IF(ISNUMBER(INDEX(SPPR!$E:$Z,MATCH($A202,SPPR!$A:$A,0),12)),$C202*INDEX(SPPR!$E:$Z,MATCH($A202,SPPR!$A:$A,0),12),""),"")</f>
        <v/>
      </c>
      <c r="P202">
        <f>IFERROR(IF(ISNUMBER(INDEX(SPPR!$E:$Z,MATCH($A202,SPPR!$A:$A,0),13)),$C202*INDEX(SPPR!$E:$Z,MATCH($A202,SPPR!$A:$A,0),13),""),"")</f>
        <v/>
      </c>
      <c r="Q202">
        <f>IFERROR(IF(ISNUMBER(INDEX(SPPR!$E:$Z,MATCH($A202,SPPR!$A:$A,0),14)),$C202*INDEX(SPPR!$E:$Z,MATCH($A202,SPPR!$A:$A,0),14),""),"")</f>
        <v/>
      </c>
      <c r="R202">
        <f>IFERROR(IF(ISNUMBER(INDEX(SPPR!$E:$Z,MATCH($A202,SPPR!$A:$A,0),15)),$C202*INDEX(SPPR!$E:$Z,MATCH($A202,SPPR!$A:$A,0),15),""),"")</f>
        <v/>
      </c>
      <c r="S202">
        <f>IFERROR(IF(ISNUMBER(INDEX(SPPR!$E:$Z,MATCH($A202,SPPR!$A:$A,0),16)),$C202*INDEX(SPPR!$E:$Z,MATCH($A202,SPPR!$A:$A,0),16),""),"")</f>
        <v/>
      </c>
      <c r="T202">
        <f>IFERROR(IF(ISNUMBER(INDEX(SPPR!$E:$Z,MATCH($A202,SPPR!$A:$A,0),17)),$C202*INDEX(SPPR!$E:$Z,MATCH($A202,SPPR!$A:$A,0),17),""),"")</f>
        <v/>
      </c>
      <c r="U202">
        <f>IFERROR(IF(ISNUMBER(INDEX(SPPR!$E:$Z,MATCH($A202,SPPR!$A:$A,0),18)),$C202*INDEX(SPPR!$E:$Z,MATCH($A202,SPPR!$A:$A,0),18),""),"")</f>
        <v/>
      </c>
      <c r="V202">
        <f>IFERROR(IF(ISNUMBER(INDEX(SPPR!$E:$Z,MATCH($A202,SPPR!$A:$A,0),19)),$C202*INDEX(SPPR!$E:$Z,MATCH($A202,SPPR!$A:$A,0),19),""),"")</f>
        <v/>
      </c>
      <c r="W202">
        <f>IFERROR(IF(ISNUMBER(INDEX(SPPR!$E:$Z,MATCH($A202,SPPR!$A:$A,0),20)),$C202*INDEX(SPPR!$E:$Z,MATCH($A202,SPPR!$A:$A,0),20),""),"")</f>
        <v/>
      </c>
      <c r="X202">
        <f>IFERROR(IF(ISNUMBER(INDEX(SPPR!$E:$Z,MATCH($A202,SPPR!$A:$A,0),21)),$C202*INDEX(SPPR!$E:$Z,MATCH($A202,SPPR!$A:$A,0),21),""),"")</f>
        <v/>
      </c>
      <c r="Y202">
        <f>IFERROR(IF(ISNUMBER(INDEX(SPPR!$E:$Z,MATCH($A202,SPPR!$A:$A,0),22)),$C202*INDEX(SPPR!$E:$Z,MATCH($A202,SPPR!$A:$A,0),22),""),"")</f>
        <v/>
      </c>
    </row>
    <row r="203">
      <c r="A203" t="inlineStr">
        <is>
          <t>Xiphias gladius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IFERROR(IF(ISNUMBER(INDEX(SPPR!$E:$Z,MATCH($A203,SPPR!$A:$A,0),1)),$C203*INDEX(SPPR!$E:$Z,MATCH($A203,SPPR!$A:$A,0),1),""),"")</f>
        <v/>
      </c>
      <c r="E203">
        <f>IFERROR(IF(ISNUMBER(INDEX(SPPR!$E:$Z,MATCH($A203,SPPR!$A:$A,0),2)),$C203*INDEX(SPPR!$E:$Z,MATCH($A203,SPPR!$A:$A,0),2),""),"")</f>
        <v/>
      </c>
      <c r="F203">
        <f>IFERROR(IF(ISNUMBER(INDEX(SPPR!$E:$Z,MATCH($A203,SPPR!$A:$A,0),3)),$C203*INDEX(SPPR!$E:$Z,MATCH($A203,SPPR!$A:$A,0),3),""),"")</f>
        <v/>
      </c>
      <c r="G203">
        <f>IFERROR(IF(ISNUMBER(INDEX(SPPR!$E:$Z,MATCH($A203,SPPR!$A:$A,0),4)),$C203*INDEX(SPPR!$E:$Z,MATCH($A203,SPPR!$A:$A,0),4),""),"")</f>
        <v/>
      </c>
      <c r="H203">
        <f>IFERROR(IF(ISNUMBER(INDEX(SPPR!$E:$Z,MATCH($A203,SPPR!$A:$A,0),5)),$C203*INDEX(SPPR!$E:$Z,MATCH($A203,SPPR!$A:$A,0),5),""),"")</f>
        <v/>
      </c>
      <c r="I203">
        <f>IFERROR(IF(ISNUMBER(INDEX(SPPR!$E:$Z,MATCH($A203,SPPR!$A:$A,0),6)),$C203*INDEX(SPPR!$E:$Z,MATCH($A203,SPPR!$A:$A,0),6),""),"")</f>
        <v/>
      </c>
      <c r="J203">
        <f>IFERROR(IF(ISNUMBER(INDEX(SPPR!$E:$Z,MATCH($A203,SPPR!$A:$A,0),7)),$C203*INDEX(SPPR!$E:$Z,MATCH($A203,SPPR!$A:$A,0),7),""),"")</f>
        <v/>
      </c>
      <c r="K203">
        <f>IFERROR(IF(ISNUMBER(INDEX(SPPR!$E:$Z,MATCH($A203,SPPR!$A:$A,0),8)),$C203*INDEX(SPPR!$E:$Z,MATCH($A203,SPPR!$A:$A,0),8),""),"")</f>
        <v/>
      </c>
      <c r="L203">
        <f>IFERROR(IF(ISNUMBER(INDEX(SPPR!$E:$Z,MATCH($A203,SPPR!$A:$A,0),9)),$C203*INDEX(SPPR!$E:$Z,MATCH($A203,SPPR!$A:$A,0),9),""),"")</f>
        <v/>
      </c>
      <c r="M203">
        <f>IFERROR(IF(ISNUMBER(INDEX(SPPR!$E:$Z,MATCH($A203,SPPR!$A:$A,0),10)),$C203*INDEX(SPPR!$E:$Z,MATCH($A203,SPPR!$A:$A,0),10),""),"")</f>
        <v/>
      </c>
      <c r="N203">
        <f>IFERROR(IF(ISNUMBER(INDEX(SPPR!$E:$Z,MATCH($A203,SPPR!$A:$A,0),11)),$C203*INDEX(SPPR!$E:$Z,MATCH($A203,SPPR!$A:$A,0),11),""),"")</f>
        <v/>
      </c>
      <c r="O203">
        <f>IFERROR(IF(ISNUMBER(INDEX(SPPR!$E:$Z,MATCH($A203,SPPR!$A:$A,0),12)),$C203*INDEX(SPPR!$E:$Z,MATCH($A203,SPPR!$A:$A,0),12),""),"")</f>
        <v/>
      </c>
      <c r="P203">
        <f>IFERROR(IF(ISNUMBER(INDEX(SPPR!$E:$Z,MATCH($A203,SPPR!$A:$A,0),13)),$C203*INDEX(SPPR!$E:$Z,MATCH($A203,SPPR!$A:$A,0),13),""),"")</f>
        <v/>
      </c>
      <c r="Q203">
        <f>IFERROR(IF(ISNUMBER(INDEX(SPPR!$E:$Z,MATCH($A203,SPPR!$A:$A,0),14)),$C203*INDEX(SPPR!$E:$Z,MATCH($A203,SPPR!$A:$A,0),14),""),"")</f>
        <v/>
      </c>
      <c r="R203">
        <f>IFERROR(IF(ISNUMBER(INDEX(SPPR!$E:$Z,MATCH($A203,SPPR!$A:$A,0),15)),$C203*INDEX(SPPR!$E:$Z,MATCH($A203,SPPR!$A:$A,0),15),""),"")</f>
        <v/>
      </c>
      <c r="S203">
        <f>IFERROR(IF(ISNUMBER(INDEX(SPPR!$E:$Z,MATCH($A203,SPPR!$A:$A,0),16)),$C203*INDEX(SPPR!$E:$Z,MATCH($A203,SPPR!$A:$A,0),16),""),"")</f>
        <v/>
      </c>
      <c r="T203">
        <f>IFERROR(IF(ISNUMBER(INDEX(SPPR!$E:$Z,MATCH($A203,SPPR!$A:$A,0),17)),$C203*INDEX(SPPR!$E:$Z,MATCH($A203,SPPR!$A:$A,0),17),""),"")</f>
        <v/>
      </c>
      <c r="U203">
        <f>IFERROR(IF(ISNUMBER(INDEX(SPPR!$E:$Z,MATCH($A203,SPPR!$A:$A,0),18)),$C203*INDEX(SPPR!$E:$Z,MATCH($A203,SPPR!$A:$A,0),18),""),"")</f>
        <v/>
      </c>
      <c r="V203">
        <f>IFERROR(IF(ISNUMBER(INDEX(SPPR!$E:$Z,MATCH($A203,SPPR!$A:$A,0),19)),$C203*INDEX(SPPR!$E:$Z,MATCH($A203,SPPR!$A:$A,0),19),""),"")</f>
        <v/>
      </c>
      <c r="W203">
        <f>IFERROR(IF(ISNUMBER(INDEX(SPPR!$E:$Z,MATCH($A203,SPPR!$A:$A,0),20)),$C203*INDEX(SPPR!$E:$Z,MATCH($A203,SPPR!$A:$A,0),20),""),"")</f>
        <v/>
      </c>
      <c r="X203">
        <f>IFERROR(IF(ISNUMBER(INDEX(SPPR!$E:$Z,MATCH($A203,SPPR!$A:$A,0),21)),$C203*INDEX(SPPR!$E:$Z,MATCH($A203,SPPR!$A:$A,0),21),""),"")</f>
        <v/>
      </c>
      <c r="Y203">
        <f>IFERROR(IF(ISNUMBER(INDEX(SPPR!$E:$Z,MATCH($A203,SPPR!$A:$A,0),22)),$C203*INDEX(SPPR!$E:$Z,MATCH($A203,SPPR!$A:$A,0),22),""),"")</f>
        <v/>
      </c>
    </row>
    <row r="204">
      <c r="A204" t="inlineStr">
        <is>
          <t>Scylla serrata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IFERROR(IF(ISNUMBER(INDEX(SPPR!$E:$Z,MATCH($A204,SPPR!$A:$A,0),1)),$C204*INDEX(SPPR!$E:$Z,MATCH($A204,SPPR!$A:$A,0),1),""),"")</f>
        <v/>
      </c>
      <c r="E204">
        <f>IFERROR(IF(ISNUMBER(INDEX(SPPR!$E:$Z,MATCH($A204,SPPR!$A:$A,0),2)),$C204*INDEX(SPPR!$E:$Z,MATCH($A204,SPPR!$A:$A,0),2),""),"")</f>
        <v/>
      </c>
      <c r="F204">
        <f>IFERROR(IF(ISNUMBER(INDEX(SPPR!$E:$Z,MATCH($A204,SPPR!$A:$A,0),3)),$C204*INDEX(SPPR!$E:$Z,MATCH($A204,SPPR!$A:$A,0),3),""),"")</f>
        <v/>
      </c>
      <c r="G204">
        <f>IFERROR(IF(ISNUMBER(INDEX(SPPR!$E:$Z,MATCH($A204,SPPR!$A:$A,0),4)),$C204*INDEX(SPPR!$E:$Z,MATCH($A204,SPPR!$A:$A,0),4),""),"")</f>
        <v/>
      </c>
      <c r="H204">
        <f>IFERROR(IF(ISNUMBER(INDEX(SPPR!$E:$Z,MATCH($A204,SPPR!$A:$A,0),5)),$C204*INDEX(SPPR!$E:$Z,MATCH($A204,SPPR!$A:$A,0),5),""),"")</f>
        <v/>
      </c>
      <c r="I204">
        <f>IFERROR(IF(ISNUMBER(INDEX(SPPR!$E:$Z,MATCH($A204,SPPR!$A:$A,0),6)),$C204*INDEX(SPPR!$E:$Z,MATCH($A204,SPPR!$A:$A,0),6),""),"")</f>
        <v/>
      </c>
      <c r="J204">
        <f>IFERROR(IF(ISNUMBER(INDEX(SPPR!$E:$Z,MATCH($A204,SPPR!$A:$A,0),7)),$C204*INDEX(SPPR!$E:$Z,MATCH($A204,SPPR!$A:$A,0),7),""),"")</f>
        <v/>
      </c>
      <c r="K204">
        <f>IFERROR(IF(ISNUMBER(INDEX(SPPR!$E:$Z,MATCH($A204,SPPR!$A:$A,0),8)),$C204*INDEX(SPPR!$E:$Z,MATCH($A204,SPPR!$A:$A,0),8),""),"")</f>
        <v/>
      </c>
      <c r="L204">
        <f>IFERROR(IF(ISNUMBER(INDEX(SPPR!$E:$Z,MATCH($A204,SPPR!$A:$A,0),9)),$C204*INDEX(SPPR!$E:$Z,MATCH($A204,SPPR!$A:$A,0),9),""),"")</f>
        <v/>
      </c>
      <c r="M204">
        <f>IFERROR(IF(ISNUMBER(INDEX(SPPR!$E:$Z,MATCH($A204,SPPR!$A:$A,0),10)),$C204*INDEX(SPPR!$E:$Z,MATCH($A204,SPPR!$A:$A,0),10),""),"")</f>
        <v/>
      </c>
      <c r="N204">
        <f>IFERROR(IF(ISNUMBER(INDEX(SPPR!$E:$Z,MATCH($A204,SPPR!$A:$A,0),11)),$C204*INDEX(SPPR!$E:$Z,MATCH($A204,SPPR!$A:$A,0),11),""),"")</f>
        <v/>
      </c>
      <c r="O204">
        <f>IFERROR(IF(ISNUMBER(INDEX(SPPR!$E:$Z,MATCH($A204,SPPR!$A:$A,0),12)),$C204*INDEX(SPPR!$E:$Z,MATCH($A204,SPPR!$A:$A,0),12),""),"")</f>
        <v/>
      </c>
      <c r="P204">
        <f>IFERROR(IF(ISNUMBER(INDEX(SPPR!$E:$Z,MATCH($A204,SPPR!$A:$A,0),13)),$C204*INDEX(SPPR!$E:$Z,MATCH($A204,SPPR!$A:$A,0),13),""),"")</f>
        <v/>
      </c>
      <c r="Q204">
        <f>IFERROR(IF(ISNUMBER(INDEX(SPPR!$E:$Z,MATCH($A204,SPPR!$A:$A,0),14)),$C204*INDEX(SPPR!$E:$Z,MATCH($A204,SPPR!$A:$A,0),14),""),"")</f>
        <v/>
      </c>
      <c r="R204">
        <f>IFERROR(IF(ISNUMBER(INDEX(SPPR!$E:$Z,MATCH($A204,SPPR!$A:$A,0),15)),$C204*INDEX(SPPR!$E:$Z,MATCH($A204,SPPR!$A:$A,0),15),""),"")</f>
        <v/>
      </c>
      <c r="S204">
        <f>IFERROR(IF(ISNUMBER(INDEX(SPPR!$E:$Z,MATCH($A204,SPPR!$A:$A,0),16)),$C204*INDEX(SPPR!$E:$Z,MATCH($A204,SPPR!$A:$A,0),16),""),"")</f>
        <v/>
      </c>
      <c r="T204">
        <f>IFERROR(IF(ISNUMBER(INDEX(SPPR!$E:$Z,MATCH($A204,SPPR!$A:$A,0),17)),$C204*INDEX(SPPR!$E:$Z,MATCH($A204,SPPR!$A:$A,0),17),""),"")</f>
        <v/>
      </c>
      <c r="U204">
        <f>IFERROR(IF(ISNUMBER(INDEX(SPPR!$E:$Z,MATCH($A204,SPPR!$A:$A,0),18)),$C204*INDEX(SPPR!$E:$Z,MATCH($A204,SPPR!$A:$A,0),18),""),"")</f>
        <v/>
      </c>
      <c r="V204">
        <f>IFERROR(IF(ISNUMBER(INDEX(SPPR!$E:$Z,MATCH($A204,SPPR!$A:$A,0),19)),$C204*INDEX(SPPR!$E:$Z,MATCH($A204,SPPR!$A:$A,0),19),""),"")</f>
        <v/>
      </c>
      <c r="W204">
        <f>IFERROR(IF(ISNUMBER(INDEX(SPPR!$E:$Z,MATCH($A204,SPPR!$A:$A,0),20)),$C204*INDEX(SPPR!$E:$Z,MATCH($A204,SPPR!$A:$A,0),20),""),"")</f>
        <v/>
      </c>
      <c r="X204">
        <f>IFERROR(IF(ISNUMBER(INDEX(SPPR!$E:$Z,MATCH($A204,SPPR!$A:$A,0),21)),$C204*INDEX(SPPR!$E:$Z,MATCH($A204,SPPR!$A:$A,0),21),""),"")</f>
        <v/>
      </c>
      <c r="Y204">
        <f>IFERROR(IF(ISNUMBER(INDEX(SPPR!$E:$Z,MATCH($A204,SPPR!$A:$A,0),22)),$C204*INDEX(SPPR!$E:$Z,MATCH($A204,SPPR!$A:$A,0),22),""),"")</f>
        <v/>
      </c>
    </row>
    <row r="205">
      <c r="A205" t="inlineStr">
        <is>
          <t>Malacostraca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IFERROR(IF(ISNUMBER(INDEX(SPPR!$E:$Z,MATCH($A205,SPPR!$A:$A,0),1)),$C205*INDEX(SPPR!$E:$Z,MATCH($A205,SPPR!$A:$A,0),1),""),"")</f>
        <v/>
      </c>
      <c r="E205">
        <f>IFERROR(IF(ISNUMBER(INDEX(SPPR!$E:$Z,MATCH($A205,SPPR!$A:$A,0),2)),$C205*INDEX(SPPR!$E:$Z,MATCH($A205,SPPR!$A:$A,0),2),""),"")</f>
        <v/>
      </c>
      <c r="F205">
        <f>IFERROR(IF(ISNUMBER(INDEX(SPPR!$E:$Z,MATCH($A205,SPPR!$A:$A,0),3)),$C205*INDEX(SPPR!$E:$Z,MATCH($A205,SPPR!$A:$A,0),3),""),"")</f>
        <v/>
      </c>
      <c r="G205">
        <f>IFERROR(IF(ISNUMBER(INDEX(SPPR!$E:$Z,MATCH($A205,SPPR!$A:$A,0),4)),$C205*INDEX(SPPR!$E:$Z,MATCH($A205,SPPR!$A:$A,0),4),""),"")</f>
        <v/>
      </c>
      <c r="H205">
        <f>IFERROR(IF(ISNUMBER(INDEX(SPPR!$E:$Z,MATCH($A205,SPPR!$A:$A,0),5)),$C205*INDEX(SPPR!$E:$Z,MATCH($A205,SPPR!$A:$A,0),5),""),"")</f>
        <v/>
      </c>
      <c r="I205">
        <f>IFERROR(IF(ISNUMBER(INDEX(SPPR!$E:$Z,MATCH($A205,SPPR!$A:$A,0),6)),$C205*INDEX(SPPR!$E:$Z,MATCH($A205,SPPR!$A:$A,0),6),""),"")</f>
        <v/>
      </c>
      <c r="J205">
        <f>IFERROR(IF(ISNUMBER(INDEX(SPPR!$E:$Z,MATCH($A205,SPPR!$A:$A,0),7)),$C205*INDEX(SPPR!$E:$Z,MATCH($A205,SPPR!$A:$A,0),7),""),"")</f>
        <v/>
      </c>
      <c r="K205">
        <f>IFERROR(IF(ISNUMBER(INDEX(SPPR!$E:$Z,MATCH($A205,SPPR!$A:$A,0),8)),$C205*INDEX(SPPR!$E:$Z,MATCH($A205,SPPR!$A:$A,0),8),""),"")</f>
        <v/>
      </c>
      <c r="L205">
        <f>IFERROR(IF(ISNUMBER(INDEX(SPPR!$E:$Z,MATCH($A205,SPPR!$A:$A,0),9)),$C205*INDEX(SPPR!$E:$Z,MATCH($A205,SPPR!$A:$A,0),9),""),"")</f>
        <v/>
      </c>
      <c r="M205">
        <f>IFERROR(IF(ISNUMBER(INDEX(SPPR!$E:$Z,MATCH($A205,SPPR!$A:$A,0),10)),$C205*INDEX(SPPR!$E:$Z,MATCH($A205,SPPR!$A:$A,0),10),""),"")</f>
        <v/>
      </c>
      <c r="N205">
        <f>IFERROR(IF(ISNUMBER(INDEX(SPPR!$E:$Z,MATCH($A205,SPPR!$A:$A,0),11)),$C205*INDEX(SPPR!$E:$Z,MATCH($A205,SPPR!$A:$A,0),11),""),"")</f>
        <v/>
      </c>
      <c r="O205">
        <f>IFERROR(IF(ISNUMBER(INDEX(SPPR!$E:$Z,MATCH($A205,SPPR!$A:$A,0),12)),$C205*INDEX(SPPR!$E:$Z,MATCH($A205,SPPR!$A:$A,0),12),""),"")</f>
        <v/>
      </c>
      <c r="P205">
        <f>IFERROR(IF(ISNUMBER(INDEX(SPPR!$E:$Z,MATCH($A205,SPPR!$A:$A,0),13)),$C205*INDEX(SPPR!$E:$Z,MATCH($A205,SPPR!$A:$A,0),13),""),"")</f>
        <v/>
      </c>
      <c r="Q205">
        <f>IFERROR(IF(ISNUMBER(INDEX(SPPR!$E:$Z,MATCH($A205,SPPR!$A:$A,0),14)),$C205*INDEX(SPPR!$E:$Z,MATCH($A205,SPPR!$A:$A,0),14),""),"")</f>
        <v/>
      </c>
      <c r="R205">
        <f>IFERROR(IF(ISNUMBER(INDEX(SPPR!$E:$Z,MATCH($A205,SPPR!$A:$A,0),15)),$C205*INDEX(SPPR!$E:$Z,MATCH($A205,SPPR!$A:$A,0),15),""),"")</f>
        <v/>
      </c>
      <c r="S205">
        <f>IFERROR(IF(ISNUMBER(INDEX(SPPR!$E:$Z,MATCH($A205,SPPR!$A:$A,0),16)),$C205*INDEX(SPPR!$E:$Z,MATCH($A205,SPPR!$A:$A,0),16),""),"")</f>
        <v/>
      </c>
      <c r="T205">
        <f>IFERROR(IF(ISNUMBER(INDEX(SPPR!$E:$Z,MATCH($A205,SPPR!$A:$A,0),17)),$C205*INDEX(SPPR!$E:$Z,MATCH($A205,SPPR!$A:$A,0),17),""),"")</f>
        <v/>
      </c>
      <c r="U205">
        <f>IFERROR(IF(ISNUMBER(INDEX(SPPR!$E:$Z,MATCH($A205,SPPR!$A:$A,0),18)),$C205*INDEX(SPPR!$E:$Z,MATCH($A205,SPPR!$A:$A,0),18),""),"")</f>
        <v/>
      </c>
      <c r="V205">
        <f>IFERROR(IF(ISNUMBER(INDEX(SPPR!$E:$Z,MATCH($A205,SPPR!$A:$A,0),19)),$C205*INDEX(SPPR!$E:$Z,MATCH($A205,SPPR!$A:$A,0),19),""),"")</f>
        <v/>
      </c>
      <c r="W205">
        <f>IFERROR(IF(ISNUMBER(INDEX(SPPR!$E:$Z,MATCH($A205,SPPR!$A:$A,0),20)),$C205*INDEX(SPPR!$E:$Z,MATCH($A205,SPPR!$A:$A,0),20),""),"")</f>
        <v/>
      </c>
      <c r="X205">
        <f>IFERROR(IF(ISNUMBER(INDEX(SPPR!$E:$Z,MATCH($A205,SPPR!$A:$A,0),21)),$C205*INDEX(SPPR!$E:$Z,MATCH($A205,SPPR!$A:$A,0),21),""),"")</f>
        <v/>
      </c>
      <c r="Y205">
        <f>IFERROR(IF(ISNUMBER(INDEX(SPPR!$E:$Z,MATCH($A205,SPPR!$A:$A,0),22)),$C205*INDEX(SPPR!$E:$Z,MATCH($A205,SPPR!$A:$A,0),22),""),"")</f>
        <v/>
      </c>
    </row>
    <row r="206">
      <c r="A206" t="inlineStr">
        <is>
          <t>Scyris indica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IFERROR(IF(ISNUMBER(INDEX(SPPR!$E:$Z,MATCH($A206,SPPR!$A:$A,0),1)),$C206*INDEX(SPPR!$E:$Z,MATCH($A206,SPPR!$A:$A,0),1),""),"")</f>
        <v/>
      </c>
      <c r="E206">
        <f>IFERROR(IF(ISNUMBER(INDEX(SPPR!$E:$Z,MATCH($A206,SPPR!$A:$A,0),2)),$C206*INDEX(SPPR!$E:$Z,MATCH($A206,SPPR!$A:$A,0),2),""),"")</f>
        <v/>
      </c>
      <c r="F206">
        <f>IFERROR(IF(ISNUMBER(INDEX(SPPR!$E:$Z,MATCH($A206,SPPR!$A:$A,0),3)),$C206*INDEX(SPPR!$E:$Z,MATCH($A206,SPPR!$A:$A,0),3),""),"")</f>
        <v/>
      </c>
      <c r="G206">
        <f>IFERROR(IF(ISNUMBER(INDEX(SPPR!$E:$Z,MATCH($A206,SPPR!$A:$A,0),4)),$C206*INDEX(SPPR!$E:$Z,MATCH($A206,SPPR!$A:$A,0),4),""),"")</f>
        <v/>
      </c>
      <c r="H206">
        <f>IFERROR(IF(ISNUMBER(INDEX(SPPR!$E:$Z,MATCH($A206,SPPR!$A:$A,0),5)),$C206*INDEX(SPPR!$E:$Z,MATCH($A206,SPPR!$A:$A,0),5),""),"")</f>
        <v/>
      </c>
      <c r="I206">
        <f>IFERROR(IF(ISNUMBER(INDEX(SPPR!$E:$Z,MATCH($A206,SPPR!$A:$A,0),6)),$C206*INDEX(SPPR!$E:$Z,MATCH($A206,SPPR!$A:$A,0),6),""),"")</f>
        <v/>
      </c>
      <c r="J206">
        <f>IFERROR(IF(ISNUMBER(INDEX(SPPR!$E:$Z,MATCH($A206,SPPR!$A:$A,0),7)),$C206*INDEX(SPPR!$E:$Z,MATCH($A206,SPPR!$A:$A,0),7),""),"")</f>
        <v/>
      </c>
      <c r="K206">
        <f>IFERROR(IF(ISNUMBER(INDEX(SPPR!$E:$Z,MATCH($A206,SPPR!$A:$A,0),8)),$C206*INDEX(SPPR!$E:$Z,MATCH($A206,SPPR!$A:$A,0),8),""),"")</f>
        <v/>
      </c>
      <c r="L206">
        <f>IFERROR(IF(ISNUMBER(INDEX(SPPR!$E:$Z,MATCH($A206,SPPR!$A:$A,0),9)),$C206*INDEX(SPPR!$E:$Z,MATCH($A206,SPPR!$A:$A,0),9),""),"")</f>
        <v/>
      </c>
      <c r="M206">
        <f>IFERROR(IF(ISNUMBER(INDEX(SPPR!$E:$Z,MATCH($A206,SPPR!$A:$A,0),10)),$C206*INDEX(SPPR!$E:$Z,MATCH($A206,SPPR!$A:$A,0),10),""),"")</f>
        <v/>
      </c>
      <c r="N206">
        <f>IFERROR(IF(ISNUMBER(INDEX(SPPR!$E:$Z,MATCH($A206,SPPR!$A:$A,0),11)),$C206*INDEX(SPPR!$E:$Z,MATCH($A206,SPPR!$A:$A,0),11),""),"")</f>
        <v/>
      </c>
      <c r="O206">
        <f>IFERROR(IF(ISNUMBER(INDEX(SPPR!$E:$Z,MATCH($A206,SPPR!$A:$A,0),12)),$C206*INDEX(SPPR!$E:$Z,MATCH($A206,SPPR!$A:$A,0),12),""),"")</f>
        <v/>
      </c>
      <c r="P206">
        <f>IFERROR(IF(ISNUMBER(INDEX(SPPR!$E:$Z,MATCH($A206,SPPR!$A:$A,0),13)),$C206*INDEX(SPPR!$E:$Z,MATCH($A206,SPPR!$A:$A,0),13),""),"")</f>
        <v/>
      </c>
      <c r="Q206">
        <f>IFERROR(IF(ISNUMBER(INDEX(SPPR!$E:$Z,MATCH($A206,SPPR!$A:$A,0),14)),$C206*INDEX(SPPR!$E:$Z,MATCH($A206,SPPR!$A:$A,0),14),""),"")</f>
        <v/>
      </c>
      <c r="R206">
        <f>IFERROR(IF(ISNUMBER(INDEX(SPPR!$E:$Z,MATCH($A206,SPPR!$A:$A,0),15)),$C206*INDEX(SPPR!$E:$Z,MATCH($A206,SPPR!$A:$A,0),15),""),"")</f>
        <v/>
      </c>
      <c r="S206">
        <f>IFERROR(IF(ISNUMBER(INDEX(SPPR!$E:$Z,MATCH($A206,SPPR!$A:$A,0),16)),$C206*INDEX(SPPR!$E:$Z,MATCH($A206,SPPR!$A:$A,0),16),""),"")</f>
        <v/>
      </c>
      <c r="T206">
        <f>IFERROR(IF(ISNUMBER(INDEX(SPPR!$E:$Z,MATCH($A206,SPPR!$A:$A,0),17)),$C206*INDEX(SPPR!$E:$Z,MATCH($A206,SPPR!$A:$A,0),17),""),"")</f>
        <v/>
      </c>
      <c r="U206">
        <f>IFERROR(IF(ISNUMBER(INDEX(SPPR!$E:$Z,MATCH($A206,SPPR!$A:$A,0),18)),$C206*INDEX(SPPR!$E:$Z,MATCH($A206,SPPR!$A:$A,0),18),""),"")</f>
        <v/>
      </c>
      <c r="V206">
        <f>IFERROR(IF(ISNUMBER(INDEX(SPPR!$E:$Z,MATCH($A206,SPPR!$A:$A,0),19)),$C206*INDEX(SPPR!$E:$Z,MATCH($A206,SPPR!$A:$A,0),19),""),"")</f>
        <v/>
      </c>
      <c r="W206">
        <f>IFERROR(IF(ISNUMBER(INDEX(SPPR!$E:$Z,MATCH($A206,SPPR!$A:$A,0),20)),$C206*INDEX(SPPR!$E:$Z,MATCH($A206,SPPR!$A:$A,0),20),""),"")</f>
        <v/>
      </c>
      <c r="X206">
        <f>IFERROR(IF(ISNUMBER(INDEX(SPPR!$E:$Z,MATCH($A206,SPPR!$A:$A,0),21)),$C206*INDEX(SPPR!$E:$Z,MATCH($A206,SPPR!$A:$A,0),21),""),"")</f>
        <v/>
      </c>
      <c r="Y206">
        <f>IFERROR(IF(ISNUMBER(INDEX(SPPR!$E:$Z,MATCH($A206,SPPR!$A:$A,0),22)),$C206*INDEX(SPPR!$E:$Z,MATCH($A206,SPPR!$A:$A,0),22),""),"")</f>
        <v/>
      </c>
    </row>
    <row r="207">
      <c r="A207" t="inlineStr">
        <is>
          <t>Metapenaeus joyneri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IFERROR(IF(ISNUMBER(INDEX(SPPR!$E:$Z,MATCH($A207,SPPR!$A:$A,0),1)),$C207*INDEX(SPPR!$E:$Z,MATCH($A207,SPPR!$A:$A,0),1),""),"")</f>
        <v/>
      </c>
      <c r="E207">
        <f>IFERROR(IF(ISNUMBER(INDEX(SPPR!$E:$Z,MATCH($A207,SPPR!$A:$A,0),2)),$C207*INDEX(SPPR!$E:$Z,MATCH($A207,SPPR!$A:$A,0),2),""),"")</f>
        <v/>
      </c>
      <c r="F207">
        <f>IFERROR(IF(ISNUMBER(INDEX(SPPR!$E:$Z,MATCH($A207,SPPR!$A:$A,0),3)),$C207*INDEX(SPPR!$E:$Z,MATCH($A207,SPPR!$A:$A,0),3),""),"")</f>
        <v/>
      </c>
      <c r="G207">
        <f>IFERROR(IF(ISNUMBER(INDEX(SPPR!$E:$Z,MATCH($A207,SPPR!$A:$A,0),4)),$C207*INDEX(SPPR!$E:$Z,MATCH($A207,SPPR!$A:$A,0),4),""),"")</f>
        <v/>
      </c>
      <c r="H207">
        <f>IFERROR(IF(ISNUMBER(INDEX(SPPR!$E:$Z,MATCH($A207,SPPR!$A:$A,0),5)),$C207*INDEX(SPPR!$E:$Z,MATCH($A207,SPPR!$A:$A,0),5),""),"")</f>
        <v/>
      </c>
      <c r="I207">
        <f>IFERROR(IF(ISNUMBER(INDEX(SPPR!$E:$Z,MATCH($A207,SPPR!$A:$A,0),6)),$C207*INDEX(SPPR!$E:$Z,MATCH($A207,SPPR!$A:$A,0),6),""),"")</f>
        <v/>
      </c>
      <c r="J207">
        <f>IFERROR(IF(ISNUMBER(INDEX(SPPR!$E:$Z,MATCH($A207,SPPR!$A:$A,0),7)),$C207*INDEX(SPPR!$E:$Z,MATCH($A207,SPPR!$A:$A,0),7),""),"")</f>
        <v/>
      </c>
      <c r="K207">
        <f>IFERROR(IF(ISNUMBER(INDEX(SPPR!$E:$Z,MATCH($A207,SPPR!$A:$A,0),8)),$C207*INDEX(SPPR!$E:$Z,MATCH($A207,SPPR!$A:$A,0),8),""),"")</f>
        <v/>
      </c>
      <c r="L207">
        <f>IFERROR(IF(ISNUMBER(INDEX(SPPR!$E:$Z,MATCH($A207,SPPR!$A:$A,0),9)),$C207*INDEX(SPPR!$E:$Z,MATCH($A207,SPPR!$A:$A,0),9),""),"")</f>
        <v/>
      </c>
      <c r="M207">
        <f>IFERROR(IF(ISNUMBER(INDEX(SPPR!$E:$Z,MATCH($A207,SPPR!$A:$A,0),10)),$C207*INDEX(SPPR!$E:$Z,MATCH($A207,SPPR!$A:$A,0),10),""),"")</f>
        <v/>
      </c>
      <c r="N207">
        <f>IFERROR(IF(ISNUMBER(INDEX(SPPR!$E:$Z,MATCH($A207,SPPR!$A:$A,0),11)),$C207*INDEX(SPPR!$E:$Z,MATCH($A207,SPPR!$A:$A,0),11),""),"")</f>
        <v/>
      </c>
      <c r="O207">
        <f>IFERROR(IF(ISNUMBER(INDEX(SPPR!$E:$Z,MATCH($A207,SPPR!$A:$A,0),12)),$C207*INDEX(SPPR!$E:$Z,MATCH($A207,SPPR!$A:$A,0),12),""),"")</f>
        <v/>
      </c>
      <c r="P207">
        <f>IFERROR(IF(ISNUMBER(INDEX(SPPR!$E:$Z,MATCH($A207,SPPR!$A:$A,0),13)),$C207*INDEX(SPPR!$E:$Z,MATCH($A207,SPPR!$A:$A,0),13),""),"")</f>
        <v/>
      </c>
      <c r="Q207">
        <f>IFERROR(IF(ISNUMBER(INDEX(SPPR!$E:$Z,MATCH($A207,SPPR!$A:$A,0),14)),$C207*INDEX(SPPR!$E:$Z,MATCH($A207,SPPR!$A:$A,0),14),""),"")</f>
        <v/>
      </c>
      <c r="R207">
        <f>IFERROR(IF(ISNUMBER(INDEX(SPPR!$E:$Z,MATCH($A207,SPPR!$A:$A,0),15)),$C207*INDEX(SPPR!$E:$Z,MATCH($A207,SPPR!$A:$A,0),15),""),"")</f>
        <v/>
      </c>
      <c r="S207">
        <f>IFERROR(IF(ISNUMBER(INDEX(SPPR!$E:$Z,MATCH($A207,SPPR!$A:$A,0),16)),$C207*INDEX(SPPR!$E:$Z,MATCH($A207,SPPR!$A:$A,0),16),""),"")</f>
        <v/>
      </c>
      <c r="T207">
        <f>IFERROR(IF(ISNUMBER(INDEX(SPPR!$E:$Z,MATCH($A207,SPPR!$A:$A,0),17)),$C207*INDEX(SPPR!$E:$Z,MATCH($A207,SPPR!$A:$A,0),17),""),"")</f>
        <v/>
      </c>
      <c r="U207">
        <f>IFERROR(IF(ISNUMBER(INDEX(SPPR!$E:$Z,MATCH($A207,SPPR!$A:$A,0),18)),$C207*INDEX(SPPR!$E:$Z,MATCH($A207,SPPR!$A:$A,0),18),""),"")</f>
        <v/>
      </c>
      <c r="V207">
        <f>IFERROR(IF(ISNUMBER(INDEX(SPPR!$E:$Z,MATCH($A207,SPPR!$A:$A,0),19)),$C207*INDEX(SPPR!$E:$Z,MATCH($A207,SPPR!$A:$A,0),19),""),"")</f>
        <v/>
      </c>
      <c r="W207">
        <f>IFERROR(IF(ISNUMBER(INDEX(SPPR!$E:$Z,MATCH($A207,SPPR!$A:$A,0),20)),$C207*INDEX(SPPR!$E:$Z,MATCH($A207,SPPR!$A:$A,0),20),""),"")</f>
        <v/>
      </c>
      <c r="X207">
        <f>IFERROR(IF(ISNUMBER(INDEX(SPPR!$E:$Z,MATCH($A207,SPPR!$A:$A,0),21)),$C207*INDEX(SPPR!$E:$Z,MATCH($A207,SPPR!$A:$A,0),21),""),"")</f>
        <v/>
      </c>
      <c r="Y207">
        <f>IFERROR(IF(ISNUMBER(INDEX(SPPR!$E:$Z,MATCH($A207,SPPR!$A:$A,0),22)),$C207*INDEX(SPPR!$E:$Z,MATCH($A207,SPPR!$A:$A,0),22),""),"")</f>
        <v/>
      </c>
    </row>
    <row r="208">
      <c r="A208" t="inlineStr">
        <is>
          <t>Gadiformes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IFERROR(IF(ISNUMBER(INDEX(SPPR!$E:$Z,MATCH($A208,SPPR!$A:$A,0),1)),$C208*INDEX(SPPR!$E:$Z,MATCH($A208,SPPR!$A:$A,0),1),""),"")</f>
        <v/>
      </c>
      <c r="E208">
        <f>IFERROR(IF(ISNUMBER(INDEX(SPPR!$E:$Z,MATCH($A208,SPPR!$A:$A,0),2)),$C208*INDEX(SPPR!$E:$Z,MATCH($A208,SPPR!$A:$A,0),2),""),"")</f>
        <v/>
      </c>
      <c r="F208">
        <f>IFERROR(IF(ISNUMBER(INDEX(SPPR!$E:$Z,MATCH($A208,SPPR!$A:$A,0),3)),$C208*INDEX(SPPR!$E:$Z,MATCH($A208,SPPR!$A:$A,0),3),""),"")</f>
        <v/>
      </c>
      <c r="G208">
        <f>IFERROR(IF(ISNUMBER(INDEX(SPPR!$E:$Z,MATCH($A208,SPPR!$A:$A,0),4)),$C208*INDEX(SPPR!$E:$Z,MATCH($A208,SPPR!$A:$A,0),4),""),"")</f>
        <v/>
      </c>
      <c r="H208">
        <f>IFERROR(IF(ISNUMBER(INDEX(SPPR!$E:$Z,MATCH($A208,SPPR!$A:$A,0),5)),$C208*INDEX(SPPR!$E:$Z,MATCH($A208,SPPR!$A:$A,0),5),""),"")</f>
        <v/>
      </c>
      <c r="I208">
        <f>IFERROR(IF(ISNUMBER(INDEX(SPPR!$E:$Z,MATCH($A208,SPPR!$A:$A,0),6)),$C208*INDEX(SPPR!$E:$Z,MATCH($A208,SPPR!$A:$A,0),6),""),"")</f>
        <v/>
      </c>
      <c r="J208">
        <f>IFERROR(IF(ISNUMBER(INDEX(SPPR!$E:$Z,MATCH($A208,SPPR!$A:$A,0),7)),$C208*INDEX(SPPR!$E:$Z,MATCH($A208,SPPR!$A:$A,0),7),""),"")</f>
        <v/>
      </c>
      <c r="K208">
        <f>IFERROR(IF(ISNUMBER(INDEX(SPPR!$E:$Z,MATCH($A208,SPPR!$A:$A,0),8)),$C208*INDEX(SPPR!$E:$Z,MATCH($A208,SPPR!$A:$A,0),8),""),"")</f>
        <v/>
      </c>
      <c r="L208">
        <f>IFERROR(IF(ISNUMBER(INDEX(SPPR!$E:$Z,MATCH($A208,SPPR!$A:$A,0),9)),$C208*INDEX(SPPR!$E:$Z,MATCH($A208,SPPR!$A:$A,0),9),""),"")</f>
        <v/>
      </c>
      <c r="M208">
        <f>IFERROR(IF(ISNUMBER(INDEX(SPPR!$E:$Z,MATCH($A208,SPPR!$A:$A,0),10)),$C208*INDEX(SPPR!$E:$Z,MATCH($A208,SPPR!$A:$A,0),10),""),"")</f>
        <v/>
      </c>
      <c r="N208">
        <f>IFERROR(IF(ISNUMBER(INDEX(SPPR!$E:$Z,MATCH($A208,SPPR!$A:$A,0),11)),$C208*INDEX(SPPR!$E:$Z,MATCH($A208,SPPR!$A:$A,0),11),""),"")</f>
        <v/>
      </c>
      <c r="O208">
        <f>IFERROR(IF(ISNUMBER(INDEX(SPPR!$E:$Z,MATCH($A208,SPPR!$A:$A,0),12)),$C208*INDEX(SPPR!$E:$Z,MATCH($A208,SPPR!$A:$A,0),12),""),"")</f>
        <v/>
      </c>
      <c r="P208">
        <f>IFERROR(IF(ISNUMBER(INDEX(SPPR!$E:$Z,MATCH($A208,SPPR!$A:$A,0),13)),$C208*INDEX(SPPR!$E:$Z,MATCH($A208,SPPR!$A:$A,0),13),""),"")</f>
        <v/>
      </c>
      <c r="Q208">
        <f>IFERROR(IF(ISNUMBER(INDEX(SPPR!$E:$Z,MATCH($A208,SPPR!$A:$A,0),14)),$C208*INDEX(SPPR!$E:$Z,MATCH($A208,SPPR!$A:$A,0),14),""),"")</f>
        <v/>
      </c>
      <c r="R208">
        <f>IFERROR(IF(ISNUMBER(INDEX(SPPR!$E:$Z,MATCH($A208,SPPR!$A:$A,0),15)),$C208*INDEX(SPPR!$E:$Z,MATCH($A208,SPPR!$A:$A,0),15),""),"")</f>
        <v/>
      </c>
      <c r="S208">
        <f>IFERROR(IF(ISNUMBER(INDEX(SPPR!$E:$Z,MATCH($A208,SPPR!$A:$A,0),16)),$C208*INDEX(SPPR!$E:$Z,MATCH($A208,SPPR!$A:$A,0),16),""),"")</f>
        <v/>
      </c>
      <c r="T208">
        <f>IFERROR(IF(ISNUMBER(INDEX(SPPR!$E:$Z,MATCH($A208,SPPR!$A:$A,0),17)),$C208*INDEX(SPPR!$E:$Z,MATCH($A208,SPPR!$A:$A,0),17),""),"")</f>
        <v/>
      </c>
      <c r="U208">
        <f>IFERROR(IF(ISNUMBER(INDEX(SPPR!$E:$Z,MATCH($A208,SPPR!$A:$A,0),18)),$C208*INDEX(SPPR!$E:$Z,MATCH($A208,SPPR!$A:$A,0),18),""),"")</f>
        <v/>
      </c>
      <c r="V208">
        <f>IFERROR(IF(ISNUMBER(INDEX(SPPR!$E:$Z,MATCH($A208,SPPR!$A:$A,0),19)),$C208*INDEX(SPPR!$E:$Z,MATCH($A208,SPPR!$A:$A,0),19),""),"")</f>
        <v/>
      </c>
      <c r="W208">
        <f>IFERROR(IF(ISNUMBER(INDEX(SPPR!$E:$Z,MATCH($A208,SPPR!$A:$A,0),20)),$C208*INDEX(SPPR!$E:$Z,MATCH($A208,SPPR!$A:$A,0),20),""),"")</f>
        <v/>
      </c>
      <c r="X208">
        <f>IFERROR(IF(ISNUMBER(INDEX(SPPR!$E:$Z,MATCH($A208,SPPR!$A:$A,0),21)),$C208*INDEX(SPPR!$E:$Z,MATCH($A208,SPPR!$A:$A,0),21),""),"")</f>
        <v/>
      </c>
      <c r="Y208">
        <f>IFERROR(IF(ISNUMBER(INDEX(SPPR!$E:$Z,MATCH($A208,SPPR!$A:$A,0),22)),$C208*INDEX(SPPR!$E:$Z,MATCH($A208,SPPR!$A:$A,0),22),""),"")</f>
        <v/>
      </c>
    </row>
    <row r="209">
      <c r="A209" t="inlineStr">
        <is>
          <t>Cynoglossus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IFERROR(IF(ISNUMBER(INDEX(SPPR!$E:$Z,MATCH($A209,SPPR!$A:$A,0),1)),$C209*INDEX(SPPR!$E:$Z,MATCH($A209,SPPR!$A:$A,0),1),""),"")</f>
        <v/>
      </c>
      <c r="E209">
        <f>IFERROR(IF(ISNUMBER(INDEX(SPPR!$E:$Z,MATCH($A209,SPPR!$A:$A,0),2)),$C209*INDEX(SPPR!$E:$Z,MATCH($A209,SPPR!$A:$A,0),2),""),"")</f>
        <v/>
      </c>
      <c r="F209">
        <f>IFERROR(IF(ISNUMBER(INDEX(SPPR!$E:$Z,MATCH($A209,SPPR!$A:$A,0),3)),$C209*INDEX(SPPR!$E:$Z,MATCH($A209,SPPR!$A:$A,0),3),""),"")</f>
        <v/>
      </c>
      <c r="G209">
        <f>IFERROR(IF(ISNUMBER(INDEX(SPPR!$E:$Z,MATCH($A209,SPPR!$A:$A,0),4)),$C209*INDEX(SPPR!$E:$Z,MATCH($A209,SPPR!$A:$A,0),4),""),"")</f>
        <v/>
      </c>
      <c r="H209">
        <f>IFERROR(IF(ISNUMBER(INDEX(SPPR!$E:$Z,MATCH($A209,SPPR!$A:$A,0),5)),$C209*INDEX(SPPR!$E:$Z,MATCH($A209,SPPR!$A:$A,0),5),""),"")</f>
        <v/>
      </c>
      <c r="I209">
        <f>IFERROR(IF(ISNUMBER(INDEX(SPPR!$E:$Z,MATCH($A209,SPPR!$A:$A,0),6)),$C209*INDEX(SPPR!$E:$Z,MATCH($A209,SPPR!$A:$A,0),6),""),"")</f>
        <v/>
      </c>
      <c r="J209">
        <f>IFERROR(IF(ISNUMBER(INDEX(SPPR!$E:$Z,MATCH($A209,SPPR!$A:$A,0),7)),$C209*INDEX(SPPR!$E:$Z,MATCH($A209,SPPR!$A:$A,0),7),""),"")</f>
        <v/>
      </c>
      <c r="K209">
        <f>IFERROR(IF(ISNUMBER(INDEX(SPPR!$E:$Z,MATCH($A209,SPPR!$A:$A,0),8)),$C209*INDEX(SPPR!$E:$Z,MATCH($A209,SPPR!$A:$A,0),8),""),"")</f>
        <v/>
      </c>
      <c r="L209">
        <f>IFERROR(IF(ISNUMBER(INDEX(SPPR!$E:$Z,MATCH($A209,SPPR!$A:$A,0),9)),$C209*INDEX(SPPR!$E:$Z,MATCH($A209,SPPR!$A:$A,0),9),""),"")</f>
        <v/>
      </c>
      <c r="M209">
        <f>IFERROR(IF(ISNUMBER(INDEX(SPPR!$E:$Z,MATCH($A209,SPPR!$A:$A,0),10)),$C209*INDEX(SPPR!$E:$Z,MATCH($A209,SPPR!$A:$A,0),10),""),"")</f>
        <v/>
      </c>
      <c r="N209">
        <f>IFERROR(IF(ISNUMBER(INDEX(SPPR!$E:$Z,MATCH($A209,SPPR!$A:$A,0),11)),$C209*INDEX(SPPR!$E:$Z,MATCH($A209,SPPR!$A:$A,0),11),""),"")</f>
        <v/>
      </c>
      <c r="O209">
        <f>IFERROR(IF(ISNUMBER(INDEX(SPPR!$E:$Z,MATCH($A209,SPPR!$A:$A,0),12)),$C209*INDEX(SPPR!$E:$Z,MATCH($A209,SPPR!$A:$A,0),12),""),"")</f>
        <v/>
      </c>
      <c r="P209">
        <f>IFERROR(IF(ISNUMBER(INDEX(SPPR!$E:$Z,MATCH($A209,SPPR!$A:$A,0),13)),$C209*INDEX(SPPR!$E:$Z,MATCH($A209,SPPR!$A:$A,0),13),""),"")</f>
        <v/>
      </c>
      <c r="Q209">
        <f>IFERROR(IF(ISNUMBER(INDEX(SPPR!$E:$Z,MATCH($A209,SPPR!$A:$A,0),14)),$C209*INDEX(SPPR!$E:$Z,MATCH($A209,SPPR!$A:$A,0),14),""),"")</f>
        <v/>
      </c>
      <c r="R209">
        <f>IFERROR(IF(ISNUMBER(INDEX(SPPR!$E:$Z,MATCH($A209,SPPR!$A:$A,0),15)),$C209*INDEX(SPPR!$E:$Z,MATCH($A209,SPPR!$A:$A,0),15),""),"")</f>
        <v/>
      </c>
      <c r="S209">
        <f>IFERROR(IF(ISNUMBER(INDEX(SPPR!$E:$Z,MATCH($A209,SPPR!$A:$A,0),16)),$C209*INDEX(SPPR!$E:$Z,MATCH($A209,SPPR!$A:$A,0),16),""),"")</f>
        <v/>
      </c>
      <c r="T209">
        <f>IFERROR(IF(ISNUMBER(INDEX(SPPR!$E:$Z,MATCH($A209,SPPR!$A:$A,0),17)),$C209*INDEX(SPPR!$E:$Z,MATCH($A209,SPPR!$A:$A,0),17),""),"")</f>
        <v/>
      </c>
      <c r="U209">
        <f>IFERROR(IF(ISNUMBER(INDEX(SPPR!$E:$Z,MATCH($A209,SPPR!$A:$A,0),18)),$C209*INDEX(SPPR!$E:$Z,MATCH($A209,SPPR!$A:$A,0),18),""),"")</f>
        <v/>
      </c>
      <c r="V209">
        <f>IFERROR(IF(ISNUMBER(INDEX(SPPR!$E:$Z,MATCH($A209,SPPR!$A:$A,0),19)),$C209*INDEX(SPPR!$E:$Z,MATCH($A209,SPPR!$A:$A,0),19),""),"")</f>
        <v/>
      </c>
      <c r="W209">
        <f>IFERROR(IF(ISNUMBER(INDEX(SPPR!$E:$Z,MATCH($A209,SPPR!$A:$A,0),20)),$C209*INDEX(SPPR!$E:$Z,MATCH($A209,SPPR!$A:$A,0),20),""),"")</f>
        <v/>
      </c>
      <c r="X209">
        <f>IFERROR(IF(ISNUMBER(INDEX(SPPR!$E:$Z,MATCH($A209,SPPR!$A:$A,0),21)),$C209*INDEX(SPPR!$E:$Z,MATCH($A209,SPPR!$A:$A,0),21),""),"")</f>
        <v/>
      </c>
      <c r="Y209">
        <f>IFERROR(IF(ISNUMBER(INDEX(SPPR!$E:$Z,MATCH($A209,SPPR!$A:$A,0),22)),$C209*INDEX(SPPR!$E:$Z,MATCH($A209,SPPR!$A:$A,0),22),""),"")</f>
        <v/>
      </c>
    </row>
    <row r="210">
      <c r="A210" t="inlineStr">
        <is>
          <t>Gerreidae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IFERROR(IF(ISNUMBER(INDEX(SPPR!$E:$Z,MATCH($A210,SPPR!$A:$A,0),1)),$C210*INDEX(SPPR!$E:$Z,MATCH($A210,SPPR!$A:$A,0),1),""),"")</f>
        <v/>
      </c>
      <c r="E210">
        <f>IFERROR(IF(ISNUMBER(INDEX(SPPR!$E:$Z,MATCH($A210,SPPR!$A:$A,0),2)),$C210*INDEX(SPPR!$E:$Z,MATCH($A210,SPPR!$A:$A,0),2),""),"")</f>
        <v/>
      </c>
      <c r="F210">
        <f>IFERROR(IF(ISNUMBER(INDEX(SPPR!$E:$Z,MATCH($A210,SPPR!$A:$A,0),3)),$C210*INDEX(SPPR!$E:$Z,MATCH($A210,SPPR!$A:$A,0),3),""),"")</f>
        <v/>
      </c>
      <c r="G210">
        <f>IFERROR(IF(ISNUMBER(INDEX(SPPR!$E:$Z,MATCH($A210,SPPR!$A:$A,0),4)),$C210*INDEX(SPPR!$E:$Z,MATCH($A210,SPPR!$A:$A,0),4),""),"")</f>
        <v/>
      </c>
      <c r="H210">
        <f>IFERROR(IF(ISNUMBER(INDEX(SPPR!$E:$Z,MATCH($A210,SPPR!$A:$A,0),5)),$C210*INDEX(SPPR!$E:$Z,MATCH($A210,SPPR!$A:$A,0),5),""),"")</f>
        <v/>
      </c>
      <c r="I210">
        <f>IFERROR(IF(ISNUMBER(INDEX(SPPR!$E:$Z,MATCH($A210,SPPR!$A:$A,0),6)),$C210*INDEX(SPPR!$E:$Z,MATCH($A210,SPPR!$A:$A,0),6),""),"")</f>
        <v/>
      </c>
      <c r="J210">
        <f>IFERROR(IF(ISNUMBER(INDEX(SPPR!$E:$Z,MATCH($A210,SPPR!$A:$A,0),7)),$C210*INDEX(SPPR!$E:$Z,MATCH($A210,SPPR!$A:$A,0),7),""),"")</f>
        <v/>
      </c>
      <c r="K210">
        <f>IFERROR(IF(ISNUMBER(INDEX(SPPR!$E:$Z,MATCH($A210,SPPR!$A:$A,0),8)),$C210*INDEX(SPPR!$E:$Z,MATCH($A210,SPPR!$A:$A,0),8),""),"")</f>
        <v/>
      </c>
      <c r="L210">
        <f>IFERROR(IF(ISNUMBER(INDEX(SPPR!$E:$Z,MATCH($A210,SPPR!$A:$A,0),9)),$C210*INDEX(SPPR!$E:$Z,MATCH($A210,SPPR!$A:$A,0),9),""),"")</f>
        <v/>
      </c>
      <c r="M210">
        <f>IFERROR(IF(ISNUMBER(INDEX(SPPR!$E:$Z,MATCH($A210,SPPR!$A:$A,0),10)),$C210*INDEX(SPPR!$E:$Z,MATCH($A210,SPPR!$A:$A,0),10),""),"")</f>
        <v/>
      </c>
      <c r="N210">
        <f>IFERROR(IF(ISNUMBER(INDEX(SPPR!$E:$Z,MATCH($A210,SPPR!$A:$A,0),11)),$C210*INDEX(SPPR!$E:$Z,MATCH($A210,SPPR!$A:$A,0),11),""),"")</f>
        <v/>
      </c>
      <c r="O210">
        <f>IFERROR(IF(ISNUMBER(INDEX(SPPR!$E:$Z,MATCH($A210,SPPR!$A:$A,0),12)),$C210*INDEX(SPPR!$E:$Z,MATCH($A210,SPPR!$A:$A,0),12),""),"")</f>
        <v/>
      </c>
      <c r="P210">
        <f>IFERROR(IF(ISNUMBER(INDEX(SPPR!$E:$Z,MATCH($A210,SPPR!$A:$A,0),13)),$C210*INDEX(SPPR!$E:$Z,MATCH($A210,SPPR!$A:$A,0),13),""),"")</f>
        <v/>
      </c>
      <c r="Q210">
        <f>IFERROR(IF(ISNUMBER(INDEX(SPPR!$E:$Z,MATCH($A210,SPPR!$A:$A,0),14)),$C210*INDEX(SPPR!$E:$Z,MATCH($A210,SPPR!$A:$A,0),14),""),"")</f>
        <v/>
      </c>
      <c r="R210">
        <f>IFERROR(IF(ISNUMBER(INDEX(SPPR!$E:$Z,MATCH($A210,SPPR!$A:$A,0),15)),$C210*INDEX(SPPR!$E:$Z,MATCH($A210,SPPR!$A:$A,0),15),""),"")</f>
        <v/>
      </c>
      <c r="S210">
        <f>IFERROR(IF(ISNUMBER(INDEX(SPPR!$E:$Z,MATCH($A210,SPPR!$A:$A,0),16)),$C210*INDEX(SPPR!$E:$Z,MATCH($A210,SPPR!$A:$A,0),16),""),"")</f>
        <v/>
      </c>
      <c r="T210">
        <f>IFERROR(IF(ISNUMBER(INDEX(SPPR!$E:$Z,MATCH($A210,SPPR!$A:$A,0),17)),$C210*INDEX(SPPR!$E:$Z,MATCH($A210,SPPR!$A:$A,0),17),""),"")</f>
        <v/>
      </c>
      <c r="U210">
        <f>IFERROR(IF(ISNUMBER(INDEX(SPPR!$E:$Z,MATCH($A210,SPPR!$A:$A,0),18)),$C210*INDEX(SPPR!$E:$Z,MATCH($A210,SPPR!$A:$A,0),18),""),"")</f>
        <v/>
      </c>
      <c r="V210">
        <f>IFERROR(IF(ISNUMBER(INDEX(SPPR!$E:$Z,MATCH($A210,SPPR!$A:$A,0),19)),$C210*INDEX(SPPR!$E:$Z,MATCH($A210,SPPR!$A:$A,0),19),""),"")</f>
        <v/>
      </c>
      <c r="W210">
        <f>IFERROR(IF(ISNUMBER(INDEX(SPPR!$E:$Z,MATCH($A210,SPPR!$A:$A,0),20)),$C210*INDEX(SPPR!$E:$Z,MATCH($A210,SPPR!$A:$A,0),20),""),"")</f>
        <v/>
      </c>
      <c r="X210">
        <f>IFERROR(IF(ISNUMBER(INDEX(SPPR!$E:$Z,MATCH($A210,SPPR!$A:$A,0),21)),$C210*INDEX(SPPR!$E:$Z,MATCH($A210,SPPR!$A:$A,0),21),""),"")</f>
        <v/>
      </c>
      <c r="Y210">
        <f>IFERROR(IF(ISNUMBER(INDEX(SPPR!$E:$Z,MATCH($A210,SPPR!$A:$A,0),22)),$C210*INDEX(SPPR!$E:$Z,MATCH($A210,SPPR!$A:$A,0),22),""),"")</f>
        <v/>
      </c>
    </row>
    <row r="211">
      <c r="A211" t="inlineStr">
        <is>
          <t>Panulirus longipes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IFERROR(IF(ISNUMBER(INDEX(SPPR!$E:$Z,MATCH($A211,SPPR!$A:$A,0),1)),$C211*INDEX(SPPR!$E:$Z,MATCH($A211,SPPR!$A:$A,0),1),""),"")</f>
        <v/>
      </c>
      <c r="E211">
        <f>IFERROR(IF(ISNUMBER(INDEX(SPPR!$E:$Z,MATCH($A211,SPPR!$A:$A,0),2)),$C211*INDEX(SPPR!$E:$Z,MATCH($A211,SPPR!$A:$A,0),2),""),"")</f>
        <v/>
      </c>
      <c r="F211">
        <f>IFERROR(IF(ISNUMBER(INDEX(SPPR!$E:$Z,MATCH($A211,SPPR!$A:$A,0),3)),$C211*INDEX(SPPR!$E:$Z,MATCH($A211,SPPR!$A:$A,0),3),""),"")</f>
        <v/>
      </c>
      <c r="G211">
        <f>IFERROR(IF(ISNUMBER(INDEX(SPPR!$E:$Z,MATCH($A211,SPPR!$A:$A,0),4)),$C211*INDEX(SPPR!$E:$Z,MATCH($A211,SPPR!$A:$A,0),4),""),"")</f>
        <v/>
      </c>
      <c r="H211">
        <f>IFERROR(IF(ISNUMBER(INDEX(SPPR!$E:$Z,MATCH($A211,SPPR!$A:$A,0),5)),$C211*INDEX(SPPR!$E:$Z,MATCH($A211,SPPR!$A:$A,0),5),""),"")</f>
        <v/>
      </c>
      <c r="I211">
        <f>IFERROR(IF(ISNUMBER(INDEX(SPPR!$E:$Z,MATCH($A211,SPPR!$A:$A,0),6)),$C211*INDEX(SPPR!$E:$Z,MATCH($A211,SPPR!$A:$A,0),6),""),"")</f>
        <v/>
      </c>
      <c r="J211">
        <f>IFERROR(IF(ISNUMBER(INDEX(SPPR!$E:$Z,MATCH($A211,SPPR!$A:$A,0),7)),$C211*INDEX(SPPR!$E:$Z,MATCH($A211,SPPR!$A:$A,0),7),""),"")</f>
        <v/>
      </c>
      <c r="K211">
        <f>IFERROR(IF(ISNUMBER(INDEX(SPPR!$E:$Z,MATCH($A211,SPPR!$A:$A,0),8)),$C211*INDEX(SPPR!$E:$Z,MATCH($A211,SPPR!$A:$A,0),8),""),"")</f>
        <v/>
      </c>
      <c r="L211">
        <f>IFERROR(IF(ISNUMBER(INDEX(SPPR!$E:$Z,MATCH($A211,SPPR!$A:$A,0),9)),$C211*INDEX(SPPR!$E:$Z,MATCH($A211,SPPR!$A:$A,0),9),""),"")</f>
        <v/>
      </c>
      <c r="M211">
        <f>IFERROR(IF(ISNUMBER(INDEX(SPPR!$E:$Z,MATCH($A211,SPPR!$A:$A,0),10)),$C211*INDEX(SPPR!$E:$Z,MATCH($A211,SPPR!$A:$A,0),10),""),"")</f>
        <v/>
      </c>
      <c r="N211">
        <f>IFERROR(IF(ISNUMBER(INDEX(SPPR!$E:$Z,MATCH($A211,SPPR!$A:$A,0),11)),$C211*INDEX(SPPR!$E:$Z,MATCH($A211,SPPR!$A:$A,0),11),""),"")</f>
        <v/>
      </c>
      <c r="O211">
        <f>IFERROR(IF(ISNUMBER(INDEX(SPPR!$E:$Z,MATCH($A211,SPPR!$A:$A,0),12)),$C211*INDEX(SPPR!$E:$Z,MATCH($A211,SPPR!$A:$A,0),12),""),"")</f>
        <v/>
      </c>
      <c r="P211">
        <f>IFERROR(IF(ISNUMBER(INDEX(SPPR!$E:$Z,MATCH($A211,SPPR!$A:$A,0),13)),$C211*INDEX(SPPR!$E:$Z,MATCH($A211,SPPR!$A:$A,0),13),""),"")</f>
        <v/>
      </c>
      <c r="Q211">
        <f>IFERROR(IF(ISNUMBER(INDEX(SPPR!$E:$Z,MATCH($A211,SPPR!$A:$A,0),14)),$C211*INDEX(SPPR!$E:$Z,MATCH($A211,SPPR!$A:$A,0),14),""),"")</f>
        <v/>
      </c>
      <c r="R211">
        <f>IFERROR(IF(ISNUMBER(INDEX(SPPR!$E:$Z,MATCH($A211,SPPR!$A:$A,0),15)),$C211*INDEX(SPPR!$E:$Z,MATCH($A211,SPPR!$A:$A,0),15),""),"")</f>
        <v/>
      </c>
      <c r="S211">
        <f>IFERROR(IF(ISNUMBER(INDEX(SPPR!$E:$Z,MATCH($A211,SPPR!$A:$A,0),16)),$C211*INDEX(SPPR!$E:$Z,MATCH($A211,SPPR!$A:$A,0),16),""),"")</f>
        <v/>
      </c>
      <c r="T211">
        <f>IFERROR(IF(ISNUMBER(INDEX(SPPR!$E:$Z,MATCH($A211,SPPR!$A:$A,0),17)),$C211*INDEX(SPPR!$E:$Z,MATCH($A211,SPPR!$A:$A,0),17),""),"")</f>
        <v/>
      </c>
      <c r="U211">
        <f>IFERROR(IF(ISNUMBER(INDEX(SPPR!$E:$Z,MATCH($A211,SPPR!$A:$A,0),18)),$C211*INDEX(SPPR!$E:$Z,MATCH($A211,SPPR!$A:$A,0),18),""),"")</f>
        <v/>
      </c>
      <c r="V211">
        <f>IFERROR(IF(ISNUMBER(INDEX(SPPR!$E:$Z,MATCH($A211,SPPR!$A:$A,0),19)),$C211*INDEX(SPPR!$E:$Z,MATCH($A211,SPPR!$A:$A,0),19),""),"")</f>
        <v/>
      </c>
      <c r="W211">
        <f>IFERROR(IF(ISNUMBER(INDEX(SPPR!$E:$Z,MATCH($A211,SPPR!$A:$A,0),20)),$C211*INDEX(SPPR!$E:$Z,MATCH($A211,SPPR!$A:$A,0),20),""),"")</f>
        <v/>
      </c>
      <c r="X211">
        <f>IFERROR(IF(ISNUMBER(INDEX(SPPR!$E:$Z,MATCH($A211,SPPR!$A:$A,0),21)),$C211*INDEX(SPPR!$E:$Z,MATCH($A211,SPPR!$A:$A,0),21),""),"")</f>
        <v/>
      </c>
      <c r="Y211">
        <f>IFERROR(IF(ISNUMBER(INDEX(SPPR!$E:$Z,MATCH($A211,SPPR!$A:$A,0),22)),$C211*INDEX(SPPR!$E:$Z,MATCH($A211,SPPR!$A:$A,0),22),""),"")</f>
        <v/>
      </c>
    </row>
    <row r="212">
      <c r="A212" t="inlineStr">
        <is>
          <t>Epinephelus maculatus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IFERROR(IF(ISNUMBER(INDEX(SPPR!$E:$Z,MATCH($A212,SPPR!$A:$A,0),1)),$C212*INDEX(SPPR!$E:$Z,MATCH($A212,SPPR!$A:$A,0),1),""),"")</f>
        <v/>
      </c>
      <c r="E212">
        <f>IFERROR(IF(ISNUMBER(INDEX(SPPR!$E:$Z,MATCH($A212,SPPR!$A:$A,0),2)),$C212*INDEX(SPPR!$E:$Z,MATCH($A212,SPPR!$A:$A,0),2),""),"")</f>
        <v/>
      </c>
      <c r="F212">
        <f>IFERROR(IF(ISNUMBER(INDEX(SPPR!$E:$Z,MATCH($A212,SPPR!$A:$A,0),3)),$C212*INDEX(SPPR!$E:$Z,MATCH($A212,SPPR!$A:$A,0),3),""),"")</f>
        <v/>
      </c>
      <c r="G212">
        <f>IFERROR(IF(ISNUMBER(INDEX(SPPR!$E:$Z,MATCH($A212,SPPR!$A:$A,0),4)),$C212*INDEX(SPPR!$E:$Z,MATCH($A212,SPPR!$A:$A,0),4),""),"")</f>
        <v/>
      </c>
      <c r="H212">
        <f>IFERROR(IF(ISNUMBER(INDEX(SPPR!$E:$Z,MATCH($A212,SPPR!$A:$A,0),5)),$C212*INDEX(SPPR!$E:$Z,MATCH($A212,SPPR!$A:$A,0),5),""),"")</f>
        <v/>
      </c>
      <c r="I212">
        <f>IFERROR(IF(ISNUMBER(INDEX(SPPR!$E:$Z,MATCH($A212,SPPR!$A:$A,0),6)),$C212*INDEX(SPPR!$E:$Z,MATCH($A212,SPPR!$A:$A,0),6),""),"")</f>
        <v/>
      </c>
      <c r="J212">
        <f>IFERROR(IF(ISNUMBER(INDEX(SPPR!$E:$Z,MATCH($A212,SPPR!$A:$A,0),7)),$C212*INDEX(SPPR!$E:$Z,MATCH($A212,SPPR!$A:$A,0),7),""),"")</f>
        <v/>
      </c>
      <c r="K212">
        <f>IFERROR(IF(ISNUMBER(INDEX(SPPR!$E:$Z,MATCH($A212,SPPR!$A:$A,0),8)),$C212*INDEX(SPPR!$E:$Z,MATCH($A212,SPPR!$A:$A,0),8),""),"")</f>
        <v/>
      </c>
      <c r="L212">
        <f>IFERROR(IF(ISNUMBER(INDEX(SPPR!$E:$Z,MATCH($A212,SPPR!$A:$A,0),9)),$C212*INDEX(SPPR!$E:$Z,MATCH($A212,SPPR!$A:$A,0),9),""),"")</f>
        <v/>
      </c>
      <c r="M212">
        <f>IFERROR(IF(ISNUMBER(INDEX(SPPR!$E:$Z,MATCH($A212,SPPR!$A:$A,0),10)),$C212*INDEX(SPPR!$E:$Z,MATCH($A212,SPPR!$A:$A,0),10),""),"")</f>
        <v/>
      </c>
      <c r="N212">
        <f>IFERROR(IF(ISNUMBER(INDEX(SPPR!$E:$Z,MATCH($A212,SPPR!$A:$A,0),11)),$C212*INDEX(SPPR!$E:$Z,MATCH($A212,SPPR!$A:$A,0),11),""),"")</f>
        <v/>
      </c>
      <c r="O212">
        <f>IFERROR(IF(ISNUMBER(INDEX(SPPR!$E:$Z,MATCH($A212,SPPR!$A:$A,0),12)),$C212*INDEX(SPPR!$E:$Z,MATCH($A212,SPPR!$A:$A,0),12),""),"")</f>
        <v/>
      </c>
      <c r="P212">
        <f>IFERROR(IF(ISNUMBER(INDEX(SPPR!$E:$Z,MATCH($A212,SPPR!$A:$A,0),13)),$C212*INDEX(SPPR!$E:$Z,MATCH($A212,SPPR!$A:$A,0),13),""),"")</f>
        <v/>
      </c>
      <c r="Q212">
        <f>IFERROR(IF(ISNUMBER(INDEX(SPPR!$E:$Z,MATCH($A212,SPPR!$A:$A,0),14)),$C212*INDEX(SPPR!$E:$Z,MATCH($A212,SPPR!$A:$A,0),14),""),"")</f>
        <v/>
      </c>
      <c r="R212">
        <f>IFERROR(IF(ISNUMBER(INDEX(SPPR!$E:$Z,MATCH($A212,SPPR!$A:$A,0),15)),$C212*INDEX(SPPR!$E:$Z,MATCH($A212,SPPR!$A:$A,0),15),""),"")</f>
        <v/>
      </c>
      <c r="S212">
        <f>IFERROR(IF(ISNUMBER(INDEX(SPPR!$E:$Z,MATCH($A212,SPPR!$A:$A,0),16)),$C212*INDEX(SPPR!$E:$Z,MATCH($A212,SPPR!$A:$A,0),16),""),"")</f>
        <v/>
      </c>
      <c r="T212">
        <f>IFERROR(IF(ISNUMBER(INDEX(SPPR!$E:$Z,MATCH($A212,SPPR!$A:$A,0),17)),$C212*INDEX(SPPR!$E:$Z,MATCH($A212,SPPR!$A:$A,0),17),""),"")</f>
        <v/>
      </c>
      <c r="U212">
        <f>IFERROR(IF(ISNUMBER(INDEX(SPPR!$E:$Z,MATCH($A212,SPPR!$A:$A,0),18)),$C212*INDEX(SPPR!$E:$Z,MATCH($A212,SPPR!$A:$A,0),18),""),"")</f>
        <v/>
      </c>
      <c r="V212">
        <f>IFERROR(IF(ISNUMBER(INDEX(SPPR!$E:$Z,MATCH($A212,SPPR!$A:$A,0),19)),$C212*INDEX(SPPR!$E:$Z,MATCH($A212,SPPR!$A:$A,0),19),""),"")</f>
        <v/>
      </c>
      <c r="W212">
        <f>IFERROR(IF(ISNUMBER(INDEX(SPPR!$E:$Z,MATCH($A212,SPPR!$A:$A,0),20)),$C212*INDEX(SPPR!$E:$Z,MATCH($A212,SPPR!$A:$A,0),20),""),"")</f>
        <v/>
      </c>
      <c r="X212">
        <f>IFERROR(IF(ISNUMBER(INDEX(SPPR!$E:$Z,MATCH($A212,SPPR!$A:$A,0),21)),$C212*INDEX(SPPR!$E:$Z,MATCH($A212,SPPR!$A:$A,0),21),""),"")</f>
        <v/>
      </c>
      <c r="Y212">
        <f>IFERROR(IF(ISNUMBER(INDEX(SPPR!$E:$Z,MATCH($A212,SPPR!$A:$A,0),22)),$C212*INDEX(SPPR!$E:$Z,MATCH($A212,SPPR!$A:$A,0),22),""),"")</f>
        <v/>
      </c>
    </row>
    <row r="213">
      <c r="A213" t="inlineStr">
        <is>
          <t>Pagrus major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IFERROR(IF(ISNUMBER(INDEX(SPPR!$E:$Z,MATCH($A213,SPPR!$A:$A,0),1)),$C213*INDEX(SPPR!$E:$Z,MATCH($A213,SPPR!$A:$A,0),1),""),"")</f>
        <v/>
      </c>
      <c r="E213">
        <f>IFERROR(IF(ISNUMBER(INDEX(SPPR!$E:$Z,MATCH($A213,SPPR!$A:$A,0),2)),$C213*INDEX(SPPR!$E:$Z,MATCH($A213,SPPR!$A:$A,0),2),""),"")</f>
        <v/>
      </c>
      <c r="F213">
        <f>IFERROR(IF(ISNUMBER(INDEX(SPPR!$E:$Z,MATCH($A213,SPPR!$A:$A,0),3)),$C213*INDEX(SPPR!$E:$Z,MATCH($A213,SPPR!$A:$A,0),3),""),"")</f>
        <v/>
      </c>
      <c r="G213">
        <f>IFERROR(IF(ISNUMBER(INDEX(SPPR!$E:$Z,MATCH($A213,SPPR!$A:$A,0),4)),$C213*INDEX(SPPR!$E:$Z,MATCH($A213,SPPR!$A:$A,0),4),""),"")</f>
        <v/>
      </c>
      <c r="H213">
        <f>IFERROR(IF(ISNUMBER(INDEX(SPPR!$E:$Z,MATCH($A213,SPPR!$A:$A,0),5)),$C213*INDEX(SPPR!$E:$Z,MATCH($A213,SPPR!$A:$A,0),5),""),"")</f>
        <v/>
      </c>
      <c r="I213">
        <f>IFERROR(IF(ISNUMBER(INDEX(SPPR!$E:$Z,MATCH($A213,SPPR!$A:$A,0),6)),$C213*INDEX(SPPR!$E:$Z,MATCH($A213,SPPR!$A:$A,0),6),""),"")</f>
        <v/>
      </c>
      <c r="J213">
        <f>IFERROR(IF(ISNUMBER(INDEX(SPPR!$E:$Z,MATCH($A213,SPPR!$A:$A,0),7)),$C213*INDEX(SPPR!$E:$Z,MATCH($A213,SPPR!$A:$A,0),7),""),"")</f>
        <v/>
      </c>
      <c r="K213">
        <f>IFERROR(IF(ISNUMBER(INDEX(SPPR!$E:$Z,MATCH($A213,SPPR!$A:$A,0),8)),$C213*INDEX(SPPR!$E:$Z,MATCH($A213,SPPR!$A:$A,0),8),""),"")</f>
        <v/>
      </c>
      <c r="L213">
        <f>IFERROR(IF(ISNUMBER(INDEX(SPPR!$E:$Z,MATCH($A213,SPPR!$A:$A,0),9)),$C213*INDEX(SPPR!$E:$Z,MATCH($A213,SPPR!$A:$A,0),9),""),"")</f>
        <v/>
      </c>
      <c r="M213">
        <f>IFERROR(IF(ISNUMBER(INDEX(SPPR!$E:$Z,MATCH($A213,SPPR!$A:$A,0),10)),$C213*INDEX(SPPR!$E:$Z,MATCH($A213,SPPR!$A:$A,0),10),""),"")</f>
        <v/>
      </c>
      <c r="N213">
        <f>IFERROR(IF(ISNUMBER(INDEX(SPPR!$E:$Z,MATCH($A213,SPPR!$A:$A,0),11)),$C213*INDEX(SPPR!$E:$Z,MATCH($A213,SPPR!$A:$A,0),11),""),"")</f>
        <v/>
      </c>
      <c r="O213">
        <f>IFERROR(IF(ISNUMBER(INDEX(SPPR!$E:$Z,MATCH($A213,SPPR!$A:$A,0),12)),$C213*INDEX(SPPR!$E:$Z,MATCH($A213,SPPR!$A:$A,0),12),""),"")</f>
        <v/>
      </c>
      <c r="P213">
        <f>IFERROR(IF(ISNUMBER(INDEX(SPPR!$E:$Z,MATCH($A213,SPPR!$A:$A,0),13)),$C213*INDEX(SPPR!$E:$Z,MATCH($A213,SPPR!$A:$A,0),13),""),"")</f>
        <v/>
      </c>
      <c r="Q213">
        <f>IFERROR(IF(ISNUMBER(INDEX(SPPR!$E:$Z,MATCH($A213,SPPR!$A:$A,0),14)),$C213*INDEX(SPPR!$E:$Z,MATCH($A213,SPPR!$A:$A,0),14),""),"")</f>
        <v/>
      </c>
      <c r="R213">
        <f>IFERROR(IF(ISNUMBER(INDEX(SPPR!$E:$Z,MATCH($A213,SPPR!$A:$A,0),15)),$C213*INDEX(SPPR!$E:$Z,MATCH($A213,SPPR!$A:$A,0),15),""),"")</f>
        <v/>
      </c>
      <c r="S213">
        <f>IFERROR(IF(ISNUMBER(INDEX(SPPR!$E:$Z,MATCH($A213,SPPR!$A:$A,0),16)),$C213*INDEX(SPPR!$E:$Z,MATCH($A213,SPPR!$A:$A,0),16),""),"")</f>
        <v/>
      </c>
      <c r="T213">
        <f>IFERROR(IF(ISNUMBER(INDEX(SPPR!$E:$Z,MATCH($A213,SPPR!$A:$A,0),17)),$C213*INDEX(SPPR!$E:$Z,MATCH($A213,SPPR!$A:$A,0),17),""),"")</f>
        <v/>
      </c>
      <c r="U213">
        <f>IFERROR(IF(ISNUMBER(INDEX(SPPR!$E:$Z,MATCH($A213,SPPR!$A:$A,0),18)),$C213*INDEX(SPPR!$E:$Z,MATCH($A213,SPPR!$A:$A,0),18),""),"")</f>
        <v/>
      </c>
      <c r="V213">
        <f>IFERROR(IF(ISNUMBER(INDEX(SPPR!$E:$Z,MATCH($A213,SPPR!$A:$A,0),19)),$C213*INDEX(SPPR!$E:$Z,MATCH($A213,SPPR!$A:$A,0),19),""),"")</f>
        <v/>
      </c>
      <c r="W213">
        <f>IFERROR(IF(ISNUMBER(INDEX(SPPR!$E:$Z,MATCH($A213,SPPR!$A:$A,0),20)),$C213*INDEX(SPPR!$E:$Z,MATCH($A213,SPPR!$A:$A,0),20),""),"")</f>
        <v/>
      </c>
      <c r="X213">
        <f>IFERROR(IF(ISNUMBER(INDEX(SPPR!$E:$Z,MATCH($A213,SPPR!$A:$A,0),21)),$C213*INDEX(SPPR!$E:$Z,MATCH($A213,SPPR!$A:$A,0),21),""),"")</f>
        <v/>
      </c>
      <c r="Y213">
        <f>IFERROR(IF(ISNUMBER(INDEX(SPPR!$E:$Z,MATCH($A213,SPPR!$A:$A,0),22)),$C213*INDEX(SPPR!$E:$Z,MATCH($A213,SPPR!$A:$A,0),22),""),"")</f>
        <v/>
      </c>
    </row>
    <row r="214">
      <c r="A214" t="inlineStr">
        <is>
          <t>Caesio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IFERROR(IF(ISNUMBER(INDEX(SPPR!$E:$Z,MATCH($A214,SPPR!$A:$A,0),1)),$C214*INDEX(SPPR!$E:$Z,MATCH($A214,SPPR!$A:$A,0),1),""),"")</f>
        <v/>
      </c>
      <c r="E214">
        <f>IFERROR(IF(ISNUMBER(INDEX(SPPR!$E:$Z,MATCH($A214,SPPR!$A:$A,0),2)),$C214*INDEX(SPPR!$E:$Z,MATCH($A214,SPPR!$A:$A,0),2),""),"")</f>
        <v/>
      </c>
      <c r="F214">
        <f>IFERROR(IF(ISNUMBER(INDEX(SPPR!$E:$Z,MATCH($A214,SPPR!$A:$A,0),3)),$C214*INDEX(SPPR!$E:$Z,MATCH($A214,SPPR!$A:$A,0),3),""),"")</f>
        <v/>
      </c>
      <c r="G214">
        <f>IFERROR(IF(ISNUMBER(INDEX(SPPR!$E:$Z,MATCH($A214,SPPR!$A:$A,0),4)),$C214*INDEX(SPPR!$E:$Z,MATCH($A214,SPPR!$A:$A,0),4),""),"")</f>
        <v/>
      </c>
      <c r="H214">
        <f>IFERROR(IF(ISNUMBER(INDEX(SPPR!$E:$Z,MATCH($A214,SPPR!$A:$A,0),5)),$C214*INDEX(SPPR!$E:$Z,MATCH($A214,SPPR!$A:$A,0),5),""),"")</f>
        <v/>
      </c>
      <c r="I214">
        <f>IFERROR(IF(ISNUMBER(INDEX(SPPR!$E:$Z,MATCH($A214,SPPR!$A:$A,0),6)),$C214*INDEX(SPPR!$E:$Z,MATCH($A214,SPPR!$A:$A,0),6),""),"")</f>
        <v/>
      </c>
      <c r="J214">
        <f>IFERROR(IF(ISNUMBER(INDEX(SPPR!$E:$Z,MATCH($A214,SPPR!$A:$A,0),7)),$C214*INDEX(SPPR!$E:$Z,MATCH($A214,SPPR!$A:$A,0),7),""),"")</f>
        <v/>
      </c>
      <c r="K214">
        <f>IFERROR(IF(ISNUMBER(INDEX(SPPR!$E:$Z,MATCH($A214,SPPR!$A:$A,0),8)),$C214*INDEX(SPPR!$E:$Z,MATCH($A214,SPPR!$A:$A,0),8),""),"")</f>
        <v/>
      </c>
      <c r="L214">
        <f>IFERROR(IF(ISNUMBER(INDEX(SPPR!$E:$Z,MATCH($A214,SPPR!$A:$A,0),9)),$C214*INDEX(SPPR!$E:$Z,MATCH($A214,SPPR!$A:$A,0),9),""),"")</f>
        <v/>
      </c>
      <c r="M214">
        <f>IFERROR(IF(ISNUMBER(INDEX(SPPR!$E:$Z,MATCH($A214,SPPR!$A:$A,0),10)),$C214*INDEX(SPPR!$E:$Z,MATCH($A214,SPPR!$A:$A,0),10),""),"")</f>
        <v/>
      </c>
      <c r="N214">
        <f>IFERROR(IF(ISNUMBER(INDEX(SPPR!$E:$Z,MATCH($A214,SPPR!$A:$A,0),11)),$C214*INDEX(SPPR!$E:$Z,MATCH($A214,SPPR!$A:$A,0),11),""),"")</f>
        <v/>
      </c>
      <c r="O214">
        <f>IFERROR(IF(ISNUMBER(INDEX(SPPR!$E:$Z,MATCH($A214,SPPR!$A:$A,0),12)),$C214*INDEX(SPPR!$E:$Z,MATCH($A214,SPPR!$A:$A,0),12),""),"")</f>
        <v/>
      </c>
      <c r="P214">
        <f>IFERROR(IF(ISNUMBER(INDEX(SPPR!$E:$Z,MATCH($A214,SPPR!$A:$A,0),13)),$C214*INDEX(SPPR!$E:$Z,MATCH($A214,SPPR!$A:$A,0),13),""),"")</f>
        <v/>
      </c>
      <c r="Q214">
        <f>IFERROR(IF(ISNUMBER(INDEX(SPPR!$E:$Z,MATCH($A214,SPPR!$A:$A,0),14)),$C214*INDEX(SPPR!$E:$Z,MATCH($A214,SPPR!$A:$A,0),14),""),"")</f>
        <v/>
      </c>
      <c r="R214">
        <f>IFERROR(IF(ISNUMBER(INDEX(SPPR!$E:$Z,MATCH($A214,SPPR!$A:$A,0),15)),$C214*INDEX(SPPR!$E:$Z,MATCH($A214,SPPR!$A:$A,0),15),""),"")</f>
        <v/>
      </c>
      <c r="S214">
        <f>IFERROR(IF(ISNUMBER(INDEX(SPPR!$E:$Z,MATCH($A214,SPPR!$A:$A,0),16)),$C214*INDEX(SPPR!$E:$Z,MATCH($A214,SPPR!$A:$A,0),16),""),"")</f>
        <v/>
      </c>
      <c r="T214">
        <f>IFERROR(IF(ISNUMBER(INDEX(SPPR!$E:$Z,MATCH($A214,SPPR!$A:$A,0),17)),$C214*INDEX(SPPR!$E:$Z,MATCH($A214,SPPR!$A:$A,0),17),""),"")</f>
        <v/>
      </c>
      <c r="U214">
        <f>IFERROR(IF(ISNUMBER(INDEX(SPPR!$E:$Z,MATCH($A214,SPPR!$A:$A,0),18)),$C214*INDEX(SPPR!$E:$Z,MATCH($A214,SPPR!$A:$A,0),18),""),"")</f>
        <v/>
      </c>
      <c r="V214">
        <f>IFERROR(IF(ISNUMBER(INDEX(SPPR!$E:$Z,MATCH($A214,SPPR!$A:$A,0),19)),$C214*INDEX(SPPR!$E:$Z,MATCH($A214,SPPR!$A:$A,0),19),""),"")</f>
        <v/>
      </c>
      <c r="W214">
        <f>IFERROR(IF(ISNUMBER(INDEX(SPPR!$E:$Z,MATCH($A214,SPPR!$A:$A,0),20)),$C214*INDEX(SPPR!$E:$Z,MATCH($A214,SPPR!$A:$A,0),20),""),"")</f>
        <v/>
      </c>
      <c r="X214">
        <f>IFERROR(IF(ISNUMBER(INDEX(SPPR!$E:$Z,MATCH($A214,SPPR!$A:$A,0),21)),$C214*INDEX(SPPR!$E:$Z,MATCH($A214,SPPR!$A:$A,0),21),""),"")</f>
        <v/>
      </c>
      <c r="Y214">
        <f>IFERROR(IF(ISNUMBER(INDEX(SPPR!$E:$Z,MATCH($A214,SPPR!$A:$A,0),22)),$C214*INDEX(SPPR!$E:$Z,MATCH($A214,SPPR!$A:$A,0),22),""),"")</f>
        <v/>
      </c>
    </row>
    <row r="215">
      <c r="A215" t="inlineStr">
        <is>
          <t>Penaeus monodon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IFERROR(IF(ISNUMBER(INDEX(SPPR!$E:$Z,MATCH($A215,SPPR!$A:$A,0),1)),$C215*INDEX(SPPR!$E:$Z,MATCH($A215,SPPR!$A:$A,0),1),""),"")</f>
        <v/>
      </c>
      <c r="E215">
        <f>IFERROR(IF(ISNUMBER(INDEX(SPPR!$E:$Z,MATCH($A215,SPPR!$A:$A,0),2)),$C215*INDEX(SPPR!$E:$Z,MATCH($A215,SPPR!$A:$A,0),2),""),"")</f>
        <v/>
      </c>
      <c r="F215">
        <f>IFERROR(IF(ISNUMBER(INDEX(SPPR!$E:$Z,MATCH($A215,SPPR!$A:$A,0),3)),$C215*INDEX(SPPR!$E:$Z,MATCH($A215,SPPR!$A:$A,0),3),""),"")</f>
        <v/>
      </c>
      <c r="G215">
        <f>IFERROR(IF(ISNUMBER(INDEX(SPPR!$E:$Z,MATCH($A215,SPPR!$A:$A,0),4)),$C215*INDEX(SPPR!$E:$Z,MATCH($A215,SPPR!$A:$A,0),4),""),"")</f>
        <v/>
      </c>
      <c r="H215">
        <f>IFERROR(IF(ISNUMBER(INDEX(SPPR!$E:$Z,MATCH($A215,SPPR!$A:$A,0),5)),$C215*INDEX(SPPR!$E:$Z,MATCH($A215,SPPR!$A:$A,0),5),""),"")</f>
        <v/>
      </c>
      <c r="I215">
        <f>IFERROR(IF(ISNUMBER(INDEX(SPPR!$E:$Z,MATCH($A215,SPPR!$A:$A,0),6)),$C215*INDEX(SPPR!$E:$Z,MATCH($A215,SPPR!$A:$A,0),6),""),"")</f>
        <v/>
      </c>
      <c r="J215">
        <f>IFERROR(IF(ISNUMBER(INDEX(SPPR!$E:$Z,MATCH($A215,SPPR!$A:$A,0),7)),$C215*INDEX(SPPR!$E:$Z,MATCH($A215,SPPR!$A:$A,0),7),""),"")</f>
        <v/>
      </c>
      <c r="K215">
        <f>IFERROR(IF(ISNUMBER(INDEX(SPPR!$E:$Z,MATCH($A215,SPPR!$A:$A,0),8)),$C215*INDEX(SPPR!$E:$Z,MATCH($A215,SPPR!$A:$A,0),8),""),"")</f>
        <v/>
      </c>
      <c r="L215">
        <f>IFERROR(IF(ISNUMBER(INDEX(SPPR!$E:$Z,MATCH($A215,SPPR!$A:$A,0),9)),$C215*INDEX(SPPR!$E:$Z,MATCH($A215,SPPR!$A:$A,0),9),""),"")</f>
        <v/>
      </c>
      <c r="M215">
        <f>IFERROR(IF(ISNUMBER(INDEX(SPPR!$E:$Z,MATCH($A215,SPPR!$A:$A,0),10)),$C215*INDEX(SPPR!$E:$Z,MATCH($A215,SPPR!$A:$A,0),10),""),"")</f>
        <v/>
      </c>
      <c r="N215">
        <f>IFERROR(IF(ISNUMBER(INDEX(SPPR!$E:$Z,MATCH($A215,SPPR!$A:$A,0),11)),$C215*INDEX(SPPR!$E:$Z,MATCH($A215,SPPR!$A:$A,0),11),""),"")</f>
        <v/>
      </c>
      <c r="O215">
        <f>IFERROR(IF(ISNUMBER(INDEX(SPPR!$E:$Z,MATCH($A215,SPPR!$A:$A,0),12)),$C215*INDEX(SPPR!$E:$Z,MATCH($A215,SPPR!$A:$A,0),12),""),"")</f>
        <v/>
      </c>
      <c r="P215">
        <f>IFERROR(IF(ISNUMBER(INDEX(SPPR!$E:$Z,MATCH($A215,SPPR!$A:$A,0),13)),$C215*INDEX(SPPR!$E:$Z,MATCH($A215,SPPR!$A:$A,0),13),""),"")</f>
        <v/>
      </c>
      <c r="Q215">
        <f>IFERROR(IF(ISNUMBER(INDEX(SPPR!$E:$Z,MATCH($A215,SPPR!$A:$A,0),14)),$C215*INDEX(SPPR!$E:$Z,MATCH($A215,SPPR!$A:$A,0),14),""),"")</f>
        <v/>
      </c>
      <c r="R215">
        <f>IFERROR(IF(ISNUMBER(INDEX(SPPR!$E:$Z,MATCH($A215,SPPR!$A:$A,0),15)),$C215*INDEX(SPPR!$E:$Z,MATCH($A215,SPPR!$A:$A,0),15),""),"")</f>
        <v/>
      </c>
      <c r="S215">
        <f>IFERROR(IF(ISNUMBER(INDEX(SPPR!$E:$Z,MATCH($A215,SPPR!$A:$A,0),16)),$C215*INDEX(SPPR!$E:$Z,MATCH($A215,SPPR!$A:$A,0),16),""),"")</f>
        <v/>
      </c>
      <c r="T215">
        <f>IFERROR(IF(ISNUMBER(INDEX(SPPR!$E:$Z,MATCH($A215,SPPR!$A:$A,0),17)),$C215*INDEX(SPPR!$E:$Z,MATCH($A215,SPPR!$A:$A,0),17),""),"")</f>
        <v/>
      </c>
      <c r="U215">
        <f>IFERROR(IF(ISNUMBER(INDEX(SPPR!$E:$Z,MATCH($A215,SPPR!$A:$A,0),18)),$C215*INDEX(SPPR!$E:$Z,MATCH($A215,SPPR!$A:$A,0),18),""),"")</f>
        <v/>
      </c>
      <c r="V215">
        <f>IFERROR(IF(ISNUMBER(INDEX(SPPR!$E:$Z,MATCH($A215,SPPR!$A:$A,0),19)),$C215*INDEX(SPPR!$E:$Z,MATCH($A215,SPPR!$A:$A,0),19),""),"")</f>
        <v/>
      </c>
      <c r="W215">
        <f>IFERROR(IF(ISNUMBER(INDEX(SPPR!$E:$Z,MATCH($A215,SPPR!$A:$A,0),20)),$C215*INDEX(SPPR!$E:$Z,MATCH($A215,SPPR!$A:$A,0),20),""),"")</f>
        <v/>
      </c>
      <c r="X215">
        <f>IFERROR(IF(ISNUMBER(INDEX(SPPR!$E:$Z,MATCH($A215,SPPR!$A:$A,0),21)),$C215*INDEX(SPPR!$E:$Z,MATCH($A215,SPPR!$A:$A,0),21),""),"")</f>
        <v/>
      </c>
      <c r="Y215">
        <f>IFERROR(IF(ISNUMBER(INDEX(SPPR!$E:$Z,MATCH($A215,SPPR!$A:$A,0),22)),$C215*INDEX(SPPR!$E:$Z,MATCH($A215,SPPR!$A:$A,0),22),""),"")</f>
        <v/>
      </c>
    </row>
    <row r="216">
      <c r="A216" t="inlineStr">
        <is>
          <t>Carcharhinidae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IFERROR(IF(ISNUMBER(INDEX(SPPR!$E:$Z,MATCH($A216,SPPR!$A:$A,0),1)),$C216*INDEX(SPPR!$E:$Z,MATCH($A216,SPPR!$A:$A,0),1),""),"")</f>
        <v/>
      </c>
      <c r="E216">
        <f>IFERROR(IF(ISNUMBER(INDEX(SPPR!$E:$Z,MATCH($A216,SPPR!$A:$A,0),2)),$C216*INDEX(SPPR!$E:$Z,MATCH($A216,SPPR!$A:$A,0),2),""),"")</f>
        <v/>
      </c>
      <c r="F216">
        <f>IFERROR(IF(ISNUMBER(INDEX(SPPR!$E:$Z,MATCH($A216,SPPR!$A:$A,0),3)),$C216*INDEX(SPPR!$E:$Z,MATCH($A216,SPPR!$A:$A,0),3),""),"")</f>
        <v/>
      </c>
      <c r="G216">
        <f>IFERROR(IF(ISNUMBER(INDEX(SPPR!$E:$Z,MATCH($A216,SPPR!$A:$A,0),4)),$C216*INDEX(SPPR!$E:$Z,MATCH($A216,SPPR!$A:$A,0),4),""),"")</f>
        <v/>
      </c>
      <c r="H216">
        <f>IFERROR(IF(ISNUMBER(INDEX(SPPR!$E:$Z,MATCH($A216,SPPR!$A:$A,0),5)),$C216*INDEX(SPPR!$E:$Z,MATCH($A216,SPPR!$A:$A,0),5),""),"")</f>
        <v/>
      </c>
      <c r="I216">
        <f>IFERROR(IF(ISNUMBER(INDEX(SPPR!$E:$Z,MATCH($A216,SPPR!$A:$A,0),6)),$C216*INDEX(SPPR!$E:$Z,MATCH($A216,SPPR!$A:$A,0),6),""),"")</f>
        <v/>
      </c>
      <c r="J216">
        <f>IFERROR(IF(ISNUMBER(INDEX(SPPR!$E:$Z,MATCH($A216,SPPR!$A:$A,0),7)),$C216*INDEX(SPPR!$E:$Z,MATCH($A216,SPPR!$A:$A,0),7),""),"")</f>
        <v/>
      </c>
      <c r="K216">
        <f>IFERROR(IF(ISNUMBER(INDEX(SPPR!$E:$Z,MATCH($A216,SPPR!$A:$A,0),8)),$C216*INDEX(SPPR!$E:$Z,MATCH($A216,SPPR!$A:$A,0),8),""),"")</f>
        <v/>
      </c>
      <c r="L216">
        <f>IFERROR(IF(ISNUMBER(INDEX(SPPR!$E:$Z,MATCH($A216,SPPR!$A:$A,0),9)),$C216*INDEX(SPPR!$E:$Z,MATCH($A216,SPPR!$A:$A,0),9),""),"")</f>
        <v/>
      </c>
      <c r="M216">
        <f>IFERROR(IF(ISNUMBER(INDEX(SPPR!$E:$Z,MATCH($A216,SPPR!$A:$A,0),10)),$C216*INDEX(SPPR!$E:$Z,MATCH($A216,SPPR!$A:$A,0),10),""),"")</f>
        <v/>
      </c>
      <c r="N216">
        <f>IFERROR(IF(ISNUMBER(INDEX(SPPR!$E:$Z,MATCH($A216,SPPR!$A:$A,0),11)),$C216*INDEX(SPPR!$E:$Z,MATCH($A216,SPPR!$A:$A,0),11),""),"")</f>
        <v/>
      </c>
      <c r="O216">
        <f>IFERROR(IF(ISNUMBER(INDEX(SPPR!$E:$Z,MATCH($A216,SPPR!$A:$A,0),12)),$C216*INDEX(SPPR!$E:$Z,MATCH($A216,SPPR!$A:$A,0),12),""),"")</f>
        <v/>
      </c>
      <c r="P216">
        <f>IFERROR(IF(ISNUMBER(INDEX(SPPR!$E:$Z,MATCH($A216,SPPR!$A:$A,0),13)),$C216*INDEX(SPPR!$E:$Z,MATCH($A216,SPPR!$A:$A,0),13),""),"")</f>
        <v/>
      </c>
      <c r="Q216">
        <f>IFERROR(IF(ISNUMBER(INDEX(SPPR!$E:$Z,MATCH($A216,SPPR!$A:$A,0),14)),$C216*INDEX(SPPR!$E:$Z,MATCH($A216,SPPR!$A:$A,0),14),""),"")</f>
        <v/>
      </c>
      <c r="R216">
        <f>IFERROR(IF(ISNUMBER(INDEX(SPPR!$E:$Z,MATCH($A216,SPPR!$A:$A,0),15)),$C216*INDEX(SPPR!$E:$Z,MATCH($A216,SPPR!$A:$A,0),15),""),"")</f>
        <v/>
      </c>
      <c r="S216">
        <f>IFERROR(IF(ISNUMBER(INDEX(SPPR!$E:$Z,MATCH($A216,SPPR!$A:$A,0),16)),$C216*INDEX(SPPR!$E:$Z,MATCH($A216,SPPR!$A:$A,0),16),""),"")</f>
        <v/>
      </c>
      <c r="T216">
        <f>IFERROR(IF(ISNUMBER(INDEX(SPPR!$E:$Z,MATCH($A216,SPPR!$A:$A,0),17)),$C216*INDEX(SPPR!$E:$Z,MATCH($A216,SPPR!$A:$A,0),17),""),"")</f>
        <v/>
      </c>
      <c r="U216">
        <f>IFERROR(IF(ISNUMBER(INDEX(SPPR!$E:$Z,MATCH($A216,SPPR!$A:$A,0),18)),$C216*INDEX(SPPR!$E:$Z,MATCH($A216,SPPR!$A:$A,0),18),""),"")</f>
        <v/>
      </c>
      <c r="V216">
        <f>IFERROR(IF(ISNUMBER(INDEX(SPPR!$E:$Z,MATCH($A216,SPPR!$A:$A,0),19)),$C216*INDEX(SPPR!$E:$Z,MATCH($A216,SPPR!$A:$A,0),19),""),"")</f>
        <v/>
      </c>
      <c r="W216">
        <f>IFERROR(IF(ISNUMBER(INDEX(SPPR!$E:$Z,MATCH($A216,SPPR!$A:$A,0),20)),$C216*INDEX(SPPR!$E:$Z,MATCH($A216,SPPR!$A:$A,0),20),""),"")</f>
        <v/>
      </c>
      <c r="X216">
        <f>IFERROR(IF(ISNUMBER(INDEX(SPPR!$E:$Z,MATCH($A216,SPPR!$A:$A,0),21)),$C216*INDEX(SPPR!$E:$Z,MATCH($A216,SPPR!$A:$A,0),21),""),"")</f>
        <v/>
      </c>
      <c r="Y216">
        <f>IFERROR(IF(ISNUMBER(INDEX(SPPR!$E:$Z,MATCH($A216,SPPR!$A:$A,0),22)),$C216*INDEX(SPPR!$E:$Z,MATCH($A216,SPPR!$A:$A,0),22),""),"")</f>
        <v/>
      </c>
    </row>
    <row r="217">
      <c r="A217" t="inlineStr">
        <is>
          <t>Paralichthyidae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IFERROR(IF(ISNUMBER(INDEX(SPPR!$E:$Z,MATCH($A217,SPPR!$A:$A,0),1)),$C217*INDEX(SPPR!$E:$Z,MATCH($A217,SPPR!$A:$A,0),1),""),"")</f>
        <v/>
      </c>
      <c r="E217">
        <f>IFERROR(IF(ISNUMBER(INDEX(SPPR!$E:$Z,MATCH($A217,SPPR!$A:$A,0),2)),$C217*INDEX(SPPR!$E:$Z,MATCH($A217,SPPR!$A:$A,0),2),""),"")</f>
        <v/>
      </c>
      <c r="F217">
        <f>IFERROR(IF(ISNUMBER(INDEX(SPPR!$E:$Z,MATCH($A217,SPPR!$A:$A,0),3)),$C217*INDEX(SPPR!$E:$Z,MATCH($A217,SPPR!$A:$A,0),3),""),"")</f>
        <v/>
      </c>
      <c r="G217">
        <f>IFERROR(IF(ISNUMBER(INDEX(SPPR!$E:$Z,MATCH($A217,SPPR!$A:$A,0),4)),$C217*INDEX(SPPR!$E:$Z,MATCH($A217,SPPR!$A:$A,0),4),""),"")</f>
        <v/>
      </c>
      <c r="H217">
        <f>IFERROR(IF(ISNUMBER(INDEX(SPPR!$E:$Z,MATCH($A217,SPPR!$A:$A,0),5)),$C217*INDEX(SPPR!$E:$Z,MATCH($A217,SPPR!$A:$A,0),5),""),"")</f>
        <v/>
      </c>
      <c r="I217">
        <f>IFERROR(IF(ISNUMBER(INDEX(SPPR!$E:$Z,MATCH($A217,SPPR!$A:$A,0),6)),$C217*INDEX(SPPR!$E:$Z,MATCH($A217,SPPR!$A:$A,0),6),""),"")</f>
        <v/>
      </c>
      <c r="J217">
        <f>IFERROR(IF(ISNUMBER(INDEX(SPPR!$E:$Z,MATCH($A217,SPPR!$A:$A,0),7)),$C217*INDEX(SPPR!$E:$Z,MATCH($A217,SPPR!$A:$A,0),7),""),"")</f>
        <v/>
      </c>
      <c r="K217">
        <f>IFERROR(IF(ISNUMBER(INDEX(SPPR!$E:$Z,MATCH($A217,SPPR!$A:$A,0),8)),$C217*INDEX(SPPR!$E:$Z,MATCH($A217,SPPR!$A:$A,0),8),""),"")</f>
        <v/>
      </c>
      <c r="L217">
        <f>IFERROR(IF(ISNUMBER(INDEX(SPPR!$E:$Z,MATCH($A217,SPPR!$A:$A,0),9)),$C217*INDEX(SPPR!$E:$Z,MATCH($A217,SPPR!$A:$A,0),9),""),"")</f>
        <v/>
      </c>
      <c r="M217">
        <f>IFERROR(IF(ISNUMBER(INDEX(SPPR!$E:$Z,MATCH($A217,SPPR!$A:$A,0),10)),$C217*INDEX(SPPR!$E:$Z,MATCH($A217,SPPR!$A:$A,0),10),""),"")</f>
        <v/>
      </c>
      <c r="N217">
        <f>IFERROR(IF(ISNUMBER(INDEX(SPPR!$E:$Z,MATCH($A217,SPPR!$A:$A,0),11)),$C217*INDEX(SPPR!$E:$Z,MATCH($A217,SPPR!$A:$A,0),11),""),"")</f>
        <v/>
      </c>
      <c r="O217">
        <f>IFERROR(IF(ISNUMBER(INDEX(SPPR!$E:$Z,MATCH($A217,SPPR!$A:$A,0),12)),$C217*INDEX(SPPR!$E:$Z,MATCH($A217,SPPR!$A:$A,0),12),""),"")</f>
        <v/>
      </c>
      <c r="P217">
        <f>IFERROR(IF(ISNUMBER(INDEX(SPPR!$E:$Z,MATCH($A217,SPPR!$A:$A,0),13)),$C217*INDEX(SPPR!$E:$Z,MATCH($A217,SPPR!$A:$A,0),13),""),"")</f>
        <v/>
      </c>
      <c r="Q217">
        <f>IFERROR(IF(ISNUMBER(INDEX(SPPR!$E:$Z,MATCH($A217,SPPR!$A:$A,0),14)),$C217*INDEX(SPPR!$E:$Z,MATCH($A217,SPPR!$A:$A,0),14),""),"")</f>
        <v/>
      </c>
      <c r="R217">
        <f>IFERROR(IF(ISNUMBER(INDEX(SPPR!$E:$Z,MATCH($A217,SPPR!$A:$A,0),15)),$C217*INDEX(SPPR!$E:$Z,MATCH($A217,SPPR!$A:$A,0),15),""),"")</f>
        <v/>
      </c>
      <c r="S217">
        <f>IFERROR(IF(ISNUMBER(INDEX(SPPR!$E:$Z,MATCH($A217,SPPR!$A:$A,0),16)),$C217*INDEX(SPPR!$E:$Z,MATCH($A217,SPPR!$A:$A,0),16),""),"")</f>
        <v/>
      </c>
      <c r="T217">
        <f>IFERROR(IF(ISNUMBER(INDEX(SPPR!$E:$Z,MATCH($A217,SPPR!$A:$A,0),17)),$C217*INDEX(SPPR!$E:$Z,MATCH($A217,SPPR!$A:$A,0),17),""),"")</f>
        <v/>
      </c>
      <c r="U217">
        <f>IFERROR(IF(ISNUMBER(INDEX(SPPR!$E:$Z,MATCH($A217,SPPR!$A:$A,0),18)),$C217*INDEX(SPPR!$E:$Z,MATCH($A217,SPPR!$A:$A,0),18),""),"")</f>
        <v/>
      </c>
      <c r="V217">
        <f>IFERROR(IF(ISNUMBER(INDEX(SPPR!$E:$Z,MATCH($A217,SPPR!$A:$A,0),19)),$C217*INDEX(SPPR!$E:$Z,MATCH($A217,SPPR!$A:$A,0),19),""),"")</f>
        <v/>
      </c>
      <c r="W217">
        <f>IFERROR(IF(ISNUMBER(INDEX(SPPR!$E:$Z,MATCH($A217,SPPR!$A:$A,0),20)),$C217*INDEX(SPPR!$E:$Z,MATCH($A217,SPPR!$A:$A,0),20),""),"")</f>
        <v/>
      </c>
      <c r="X217">
        <f>IFERROR(IF(ISNUMBER(INDEX(SPPR!$E:$Z,MATCH($A217,SPPR!$A:$A,0),21)),$C217*INDEX(SPPR!$E:$Z,MATCH($A217,SPPR!$A:$A,0),21),""),"")</f>
        <v/>
      </c>
      <c r="Y217">
        <f>IFERROR(IF(ISNUMBER(INDEX(SPPR!$E:$Z,MATCH($A217,SPPR!$A:$A,0),22)),$C217*INDEX(SPPR!$E:$Z,MATCH($A217,SPPR!$A:$A,0),22),""),"")</f>
        <v/>
      </c>
    </row>
    <row r="218">
      <c r="A218" t="inlineStr">
        <is>
          <t>Sillaginidae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IFERROR(IF(ISNUMBER(INDEX(SPPR!$E:$Z,MATCH($A218,SPPR!$A:$A,0),1)),$C218*INDEX(SPPR!$E:$Z,MATCH($A218,SPPR!$A:$A,0),1),""),"")</f>
        <v/>
      </c>
      <c r="E218">
        <f>IFERROR(IF(ISNUMBER(INDEX(SPPR!$E:$Z,MATCH($A218,SPPR!$A:$A,0),2)),$C218*INDEX(SPPR!$E:$Z,MATCH($A218,SPPR!$A:$A,0),2),""),"")</f>
        <v/>
      </c>
      <c r="F218">
        <f>IFERROR(IF(ISNUMBER(INDEX(SPPR!$E:$Z,MATCH($A218,SPPR!$A:$A,0),3)),$C218*INDEX(SPPR!$E:$Z,MATCH($A218,SPPR!$A:$A,0),3),""),"")</f>
        <v/>
      </c>
      <c r="G218">
        <f>IFERROR(IF(ISNUMBER(INDEX(SPPR!$E:$Z,MATCH($A218,SPPR!$A:$A,0),4)),$C218*INDEX(SPPR!$E:$Z,MATCH($A218,SPPR!$A:$A,0),4),""),"")</f>
        <v/>
      </c>
      <c r="H218">
        <f>IFERROR(IF(ISNUMBER(INDEX(SPPR!$E:$Z,MATCH($A218,SPPR!$A:$A,0),5)),$C218*INDEX(SPPR!$E:$Z,MATCH($A218,SPPR!$A:$A,0),5),""),"")</f>
        <v/>
      </c>
      <c r="I218">
        <f>IFERROR(IF(ISNUMBER(INDEX(SPPR!$E:$Z,MATCH($A218,SPPR!$A:$A,0),6)),$C218*INDEX(SPPR!$E:$Z,MATCH($A218,SPPR!$A:$A,0),6),""),"")</f>
        <v/>
      </c>
      <c r="J218">
        <f>IFERROR(IF(ISNUMBER(INDEX(SPPR!$E:$Z,MATCH($A218,SPPR!$A:$A,0),7)),$C218*INDEX(SPPR!$E:$Z,MATCH($A218,SPPR!$A:$A,0),7),""),"")</f>
        <v/>
      </c>
      <c r="K218">
        <f>IFERROR(IF(ISNUMBER(INDEX(SPPR!$E:$Z,MATCH($A218,SPPR!$A:$A,0),8)),$C218*INDEX(SPPR!$E:$Z,MATCH($A218,SPPR!$A:$A,0),8),""),"")</f>
        <v/>
      </c>
      <c r="L218">
        <f>IFERROR(IF(ISNUMBER(INDEX(SPPR!$E:$Z,MATCH($A218,SPPR!$A:$A,0),9)),$C218*INDEX(SPPR!$E:$Z,MATCH($A218,SPPR!$A:$A,0),9),""),"")</f>
        <v/>
      </c>
      <c r="M218">
        <f>IFERROR(IF(ISNUMBER(INDEX(SPPR!$E:$Z,MATCH($A218,SPPR!$A:$A,0),10)),$C218*INDEX(SPPR!$E:$Z,MATCH($A218,SPPR!$A:$A,0),10),""),"")</f>
        <v/>
      </c>
      <c r="N218">
        <f>IFERROR(IF(ISNUMBER(INDEX(SPPR!$E:$Z,MATCH($A218,SPPR!$A:$A,0),11)),$C218*INDEX(SPPR!$E:$Z,MATCH($A218,SPPR!$A:$A,0),11),""),"")</f>
        <v/>
      </c>
      <c r="O218">
        <f>IFERROR(IF(ISNUMBER(INDEX(SPPR!$E:$Z,MATCH($A218,SPPR!$A:$A,0),12)),$C218*INDEX(SPPR!$E:$Z,MATCH($A218,SPPR!$A:$A,0),12),""),"")</f>
        <v/>
      </c>
      <c r="P218">
        <f>IFERROR(IF(ISNUMBER(INDEX(SPPR!$E:$Z,MATCH($A218,SPPR!$A:$A,0),13)),$C218*INDEX(SPPR!$E:$Z,MATCH($A218,SPPR!$A:$A,0),13),""),"")</f>
        <v/>
      </c>
      <c r="Q218">
        <f>IFERROR(IF(ISNUMBER(INDEX(SPPR!$E:$Z,MATCH($A218,SPPR!$A:$A,0),14)),$C218*INDEX(SPPR!$E:$Z,MATCH($A218,SPPR!$A:$A,0),14),""),"")</f>
        <v/>
      </c>
      <c r="R218">
        <f>IFERROR(IF(ISNUMBER(INDEX(SPPR!$E:$Z,MATCH($A218,SPPR!$A:$A,0),15)),$C218*INDEX(SPPR!$E:$Z,MATCH($A218,SPPR!$A:$A,0),15),""),"")</f>
        <v/>
      </c>
      <c r="S218">
        <f>IFERROR(IF(ISNUMBER(INDEX(SPPR!$E:$Z,MATCH($A218,SPPR!$A:$A,0),16)),$C218*INDEX(SPPR!$E:$Z,MATCH($A218,SPPR!$A:$A,0),16),""),"")</f>
        <v/>
      </c>
      <c r="T218">
        <f>IFERROR(IF(ISNUMBER(INDEX(SPPR!$E:$Z,MATCH($A218,SPPR!$A:$A,0),17)),$C218*INDEX(SPPR!$E:$Z,MATCH($A218,SPPR!$A:$A,0),17),""),"")</f>
        <v/>
      </c>
      <c r="U218">
        <f>IFERROR(IF(ISNUMBER(INDEX(SPPR!$E:$Z,MATCH($A218,SPPR!$A:$A,0),18)),$C218*INDEX(SPPR!$E:$Z,MATCH($A218,SPPR!$A:$A,0),18),""),"")</f>
        <v/>
      </c>
      <c r="V218">
        <f>IFERROR(IF(ISNUMBER(INDEX(SPPR!$E:$Z,MATCH($A218,SPPR!$A:$A,0),19)),$C218*INDEX(SPPR!$E:$Z,MATCH($A218,SPPR!$A:$A,0),19),""),"")</f>
        <v/>
      </c>
      <c r="W218">
        <f>IFERROR(IF(ISNUMBER(INDEX(SPPR!$E:$Z,MATCH($A218,SPPR!$A:$A,0),20)),$C218*INDEX(SPPR!$E:$Z,MATCH($A218,SPPR!$A:$A,0),20),""),"")</f>
        <v/>
      </c>
      <c r="X218">
        <f>IFERROR(IF(ISNUMBER(INDEX(SPPR!$E:$Z,MATCH($A218,SPPR!$A:$A,0),21)),$C218*INDEX(SPPR!$E:$Z,MATCH($A218,SPPR!$A:$A,0),21),""),"")</f>
        <v/>
      </c>
      <c r="Y218">
        <f>IFERROR(IF(ISNUMBER(INDEX(SPPR!$E:$Z,MATCH($A218,SPPR!$A:$A,0),22)),$C218*INDEX(SPPR!$E:$Z,MATCH($A218,SPPR!$A:$A,0),22),""),"")</f>
        <v/>
      </c>
    </row>
    <row r="219">
      <c r="A219" t="inlineStr">
        <is>
          <t>Thryssa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IFERROR(IF(ISNUMBER(INDEX(SPPR!$E:$Z,MATCH($A219,SPPR!$A:$A,0),1)),$C219*INDEX(SPPR!$E:$Z,MATCH($A219,SPPR!$A:$A,0),1),""),"")</f>
        <v/>
      </c>
      <c r="E219">
        <f>IFERROR(IF(ISNUMBER(INDEX(SPPR!$E:$Z,MATCH($A219,SPPR!$A:$A,0),2)),$C219*INDEX(SPPR!$E:$Z,MATCH($A219,SPPR!$A:$A,0),2),""),"")</f>
        <v/>
      </c>
      <c r="F219">
        <f>IFERROR(IF(ISNUMBER(INDEX(SPPR!$E:$Z,MATCH($A219,SPPR!$A:$A,0),3)),$C219*INDEX(SPPR!$E:$Z,MATCH($A219,SPPR!$A:$A,0),3),""),"")</f>
        <v/>
      </c>
      <c r="G219">
        <f>IFERROR(IF(ISNUMBER(INDEX(SPPR!$E:$Z,MATCH($A219,SPPR!$A:$A,0),4)),$C219*INDEX(SPPR!$E:$Z,MATCH($A219,SPPR!$A:$A,0),4),""),"")</f>
        <v/>
      </c>
      <c r="H219">
        <f>IFERROR(IF(ISNUMBER(INDEX(SPPR!$E:$Z,MATCH($A219,SPPR!$A:$A,0),5)),$C219*INDEX(SPPR!$E:$Z,MATCH($A219,SPPR!$A:$A,0),5),""),"")</f>
        <v/>
      </c>
      <c r="I219">
        <f>IFERROR(IF(ISNUMBER(INDEX(SPPR!$E:$Z,MATCH($A219,SPPR!$A:$A,0),6)),$C219*INDEX(SPPR!$E:$Z,MATCH($A219,SPPR!$A:$A,0),6),""),"")</f>
        <v/>
      </c>
      <c r="J219">
        <f>IFERROR(IF(ISNUMBER(INDEX(SPPR!$E:$Z,MATCH($A219,SPPR!$A:$A,0),7)),$C219*INDEX(SPPR!$E:$Z,MATCH($A219,SPPR!$A:$A,0),7),""),"")</f>
        <v/>
      </c>
      <c r="K219">
        <f>IFERROR(IF(ISNUMBER(INDEX(SPPR!$E:$Z,MATCH($A219,SPPR!$A:$A,0),8)),$C219*INDEX(SPPR!$E:$Z,MATCH($A219,SPPR!$A:$A,0),8),""),"")</f>
        <v/>
      </c>
      <c r="L219">
        <f>IFERROR(IF(ISNUMBER(INDEX(SPPR!$E:$Z,MATCH($A219,SPPR!$A:$A,0),9)),$C219*INDEX(SPPR!$E:$Z,MATCH($A219,SPPR!$A:$A,0),9),""),"")</f>
        <v/>
      </c>
      <c r="M219">
        <f>IFERROR(IF(ISNUMBER(INDEX(SPPR!$E:$Z,MATCH($A219,SPPR!$A:$A,0),10)),$C219*INDEX(SPPR!$E:$Z,MATCH($A219,SPPR!$A:$A,0),10),""),"")</f>
        <v/>
      </c>
      <c r="N219">
        <f>IFERROR(IF(ISNUMBER(INDEX(SPPR!$E:$Z,MATCH($A219,SPPR!$A:$A,0),11)),$C219*INDEX(SPPR!$E:$Z,MATCH($A219,SPPR!$A:$A,0),11),""),"")</f>
        <v/>
      </c>
      <c r="O219">
        <f>IFERROR(IF(ISNUMBER(INDEX(SPPR!$E:$Z,MATCH($A219,SPPR!$A:$A,0),12)),$C219*INDEX(SPPR!$E:$Z,MATCH($A219,SPPR!$A:$A,0),12),""),"")</f>
        <v/>
      </c>
      <c r="P219">
        <f>IFERROR(IF(ISNUMBER(INDEX(SPPR!$E:$Z,MATCH($A219,SPPR!$A:$A,0),13)),$C219*INDEX(SPPR!$E:$Z,MATCH($A219,SPPR!$A:$A,0),13),""),"")</f>
        <v/>
      </c>
      <c r="Q219">
        <f>IFERROR(IF(ISNUMBER(INDEX(SPPR!$E:$Z,MATCH($A219,SPPR!$A:$A,0),14)),$C219*INDEX(SPPR!$E:$Z,MATCH($A219,SPPR!$A:$A,0),14),""),"")</f>
        <v/>
      </c>
      <c r="R219">
        <f>IFERROR(IF(ISNUMBER(INDEX(SPPR!$E:$Z,MATCH($A219,SPPR!$A:$A,0),15)),$C219*INDEX(SPPR!$E:$Z,MATCH($A219,SPPR!$A:$A,0),15),""),"")</f>
        <v/>
      </c>
      <c r="S219">
        <f>IFERROR(IF(ISNUMBER(INDEX(SPPR!$E:$Z,MATCH($A219,SPPR!$A:$A,0),16)),$C219*INDEX(SPPR!$E:$Z,MATCH($A219,SPPR!$A:$A,0),16),""),"")</f>
        <v/>
      </c>
      <c r="T219">
        <f>IFERROR(IF(ISNUMBER(INDEX(SPPR!$E:$Z,MATCH($A219,SPPR!$A:$A,0),17)),$C219*INDEX(SPPR!$E:$Z,MATCH($A219,SPPR!$A:$A,0),17),""),"")</f>
        <v/>
      </c>
      <c r="U219">
        <f>IFERROR(IF(ISNUMBER(INDEX(SPPR!$E:$Z,MATCH($A219,SPPR!$A:$A,0),18)),$C219*INDEX(SPPR!$E:$Z,MATCH($A219,SPPR!$A:$A,0),18),""),"")</f>
        <v/>
      </c>
      <c r="V219">
        <f>IFERROR(IF(ISNUMBER(INDEX(SPPR!$E:$Z,MATCH($A219,SPPR!$A:$A,0),19)),$C219*INDEX(SPPR!$E:$Z,MATCH($A219,SPPR!$A:$A,0),19),""),"")</f>
        <v/>
      </c>
      <c r="W219">
        <f>IFERROR(IF(ISNUMBER(INDEX(SPPR!$E:$Z,MATCH($A219,SPPR!$A:$A,0),20)),$C219*INDEX(SPPR!$E:$Z,MATCH($A219,SPPR!$A:$A,0),20),""),"")</f>
        <v/>
      </c>
      <c r="X219">
        <f>IFERROR(IF(ISNUMBER(INDEX(SPPR!$E:$Z,MATCH($A219,SPPR!$A:$A,0),21)),$C219*INDEX(SPPR!$E:$Z,MATCH($A219,SPPR!$A:$A,0),21),""),"")</f>
        <v/>
      </c>
      <c r="Y219">
        <f>IFERROR(IF(ISNUMBER(INDEX(SPPR!$E:$Z,MATCH($A219,SPPR!$A:$A,0),22)),$C219*INDEX(SPPR!$E:$Z,MATCH($A219,SPPR!$A:$A,0),22),""),"")</f>
        <v/>
      </c>
    </row>
    <row r="220">
      <c r="A220" t="inlineStr">
        <is>
          <t>Rachycentridae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IFERROR(IF(ISNUMBER(INDEX(SPPR!$E:$Z,MATCH($A220,SPPR!$A:$A,0),1)),$C220*INDEX(SPPR!$E:$Z,MATCH($A220,SPPR!$A:$A,0),1),""),"")</f>
        <v/>
      </c>
      <c r="E220">
        <f>IFERROR(IF(ISNUMBER(INDEX(SPPR!$E:$Z,MATCH($A220,SPPR!$A:$A,0),2)),$C220*INDEX(SPPR!$E:$Z,MATCH($A220,SPPR!$A:$A,0),2),""),"")</f>
        <v/>
      </c>
      <c r="F220">
        <f>IFERROR(IF(ISNUMBER(INDEX(SPPR!$E:$Z,MATCH($A220,SPPR!$A:$A,0),3)),$C220*INDEX(SPPR!$E:$Z,MATCH($A220,SPPR!$A:$A,0),3),""),"")</f>
        <v/>
      </c>
      <c r="G220">
        <f>IFERROR(IF(ISNUMBER(INDEX(SPPR!$E:$Z,MATCH($A220,SPPR!$A:$A,0),4)),$C220*INDEX(SPPR!$E:$Z,MATCH($A220,SPPR!$A:$A,0),4),""),"")</f>
        <v/>
      </c>
      <c r="H220">
        <f>IFERROR(IF(ISNUMBER(INDEX(SPPR!$E:$Z,MATCH($A220,SPPR!$A:$A,0),5)),$C220*INDEX(SPPR!$E:$Z,MATCH($A220,SPPR!$A:$A,0),5),""),"")</f>
        <v/>
      </c>
      <c r="I220">
        <f>IFERROR(IF(ISNUMBER(INDEX(SPPR!$E:$Z,MATCH($A220,SPPR!$A:$A,0),6)),$C220*INDEX(SPPR!$E:$Z,MATCH($A220,SPPR!$A:$A,0),6),""),"")</f>
        <v/>
      </c>
      <c r="J220">
        <f>IFERROR(IF(ISNUMBER(INDEX(SPPR!$E:$Z,MATCH($A220,SPPR!$A:$A,0),7)),$C220*INDEX(SPPR!$E:$Z,MATCH($A220,SPPR!$A:$A,0),7),""),"")</f>
        <v/>
      </c>
      <c r="K220">
        <f>IFERROR(IF(ISNUMBER(INDEX(SPPR!$E:$Z,MATCH($A220,SPPR!$A:$A,0),8)),$C220*INDEX(SPPR!$E:$Z,MATCH($A220,SPPR!$A:$A,0),8),""),"")</f>
        <v/>
      </c>
      <c r="L220">
        <f>IFERROR(IF(ISNUMBER(INDEX(SPPR!$E:$Z,MATCH($A220,SPPR!$A:$A,0),9)),$C220*INDEX(SPPR!$E:$Z,MATCH($A220,SPPR!$A:$A,0),9),""),"")</f>
        <v/>
      </c>
      <c r="M220">
        <f>IFERROR(IF(ISNUMBER(INDEX(SPPR!$E:$Z,MATCH($A220,SPPR!$A:$A,0),10)),$C220*INDEX(SPPR!$E:$Z,MATCH($A220,SPPR!$A:$A,0),10),""),"")</f>
        <v/>
      </c>
      <c r="N220">
        <f>IFERROR(IF(ISNUMBER(INDEX(SPPR!$E:$Z,MATCH($A220,SPPR!$A:$A,0),11)),$C220*INDEX(SPPR!$E:$Z,MATCH($A220,SPPR!$A:$A,0),11),""),"")</f>
        <v/>
      </c>
      <c r="O220">
        <f>IFERROR(IF(ISNUMBER(INDEX(SPPR!$E:$Z,MATCH($A220,SPPR!$A:$A,0),12)),$C220*INDEX(SPPR!$E:$Z,MATCH($A220,SPPR!$A:$A,0),12),""),"")</f>
        <v/>
      </c>
      <c r="P220">
        <f>IFERROR(IF(ISNUMBER(INDEX(SPPR!$E:$Z,MATCH($A220,SPPR!$A:$A,0),13)),$C220*INDEX(SPPR!$E:$Z,MATCH($A220,SPPR!$A:$A,0),13),""),"")</f>
        <v/>
      </c>
      <c r="Q220">
        <f>IFERROR(IF(ISNUMBER(INDEX(SPPR!$E:$Z,MATCH($A220,SPPR!$A:$A,0),14)),$C220*INDEX(SPPR!$E:$Z,MATCH($A220,SPPR!$A:$A,0),14),""),"")</f>
        <v/>
      </c>
      <c r="R220">
        <f>IFERROR(IF(ISNUMBER(INDEX(SPPR!$E:$Z,MATCH($A220,SPPR!$A:$A,0),15)),$C220*INDEX(SPPR!$E:$Z,MATCH($A220,SPPR!$A:$A,0),15),""),"")</f>
        <v/>
      </c>
      <c r="S220">
        <f>IFERROR(IF(ISNUMBER(INDEX(SPPR!$E:$Z,MATCH($A220,SPPR!$A:$A,0),16)),$C220*INDEX(SPPR!$E:$Z,MATCH($A220,SPPR!$A:$A,0),16),""),"")</f>
        <v/>
      </c>
      <c r="T220">
        <f>IFERROR(IF(ISNUMBER(INDEX(SPPR!$E:$Z,MATCH($A220,SPPR!$A:$A,0),17)),$C220*INDEX(SPPR!$E:$Z,MATCH($A220,SPPR!$A:$A,0),17),""),"")</f>
        <v/>
      </c>
      <c r="U220">
        <f>IFERROR(IF(ISNUMBER(INDEX(SPPR!$E:$Z,MATCH($A220,SPPR!$A:$A,0),18)),$C220*INDEX(SPPR!$E:$Z,MATCH($A220,SPPR!$A:$A,0),18),""),"")</f>
        <v/>
      </c>
      <c r="V220">
        <f>IFERROR(IF(ISNUMBER(INDEX(SPPR!$E:$Z,MATCH($A220,SPPR!$A:$A,0),19)),$C220*INDEX(SPPR!$E:$Z,MATCH($A220,SPPR!$A:$A,0),19),""),"")</f>
        <v/>
      </c>
      <c r="W220">
        <f>IFERROR(IF(ISNUMBER(INDEX(SPPR!$E:$Z,MATCH($A220,SPPR!$A:$A,0),20)),$C220*INDEX(SPPR!$E:$Z,MATCH($A220,SPPR!$A:$A,0),20),""),"")</f>
        <v/>
      </c>
      <c r="X220">
        <f>IFERROR(IF(ISNUMBER(INDEX(SPPR!$E:$Z,MATCH($A220,SPPR!$A:$A,0),21)),$C220*INDEX(SPPR!$E:$Z,MATCH($A220,SPPR!$A:$A,0),21),""),"")</f>
        <v/>
      </c>
      <c r="Y220">
        <f>IFERROR(IF(ISNUMBER(INDEX(SPPR!$E:$Z,MATCH($A220,SPPR!$A:$A,0),22)),$C220*INDEX(SPPR!$E:$Z,MATCH($A220,SPPR!$A:$A,0),22),""),"")</f>
        <v/>
      </c>
    </row>
    <row r="221">
      <c r="A221" t="inlineStr">
        <is>
          <t>Tylosurus crocodilus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IFERROR(IF(ISNUMBER(INDEX(SPPR!$E:$Z,MATCH($A221,SPPR!$A:$A,0),1)),$C221*INDEX(SPPR!$E:$Z,MATCH($A221,SPPR!$A:$A,0),1),""),"")</f>
        <v/>
      </c>
      <c r="E221">
        <f>IFERROR(IF(ISNUMBER(INDEX(SPPR!$E:$Z,MATCH($A221,SPPR!$A:$A,0),2)),$C221*INDEX(SPPR!$E:$Z,MATCH($A221,SPPR!$A:$A,0),2),""),"")</f>
        <v/>
      </c>
      <c r="F221">
        <f>IFERROR(IF(ISNUMBER(INDEX(SPPR!$E:$Z,MATCH($A221,SPPR!$A:$A,0),3)),$C221*INDEX(SPPR!$E:$Z,MATCH($A221,SPPR!$A:$A,0),3),""),"")</f>
        <v/>
      </c>
      <c r="G221">
        <f>IFERROR(IF(ISNUMBER(INDEX(SPPR!$E:$Z,MATCH($A221,SPPR!$A:$A,0),4)),$C221*INDEX(SPPR!$E:$Z,MATCH($A221,SPPR!$A:$A,0),4),""),"")</f>
        <v/>
      </c>
      <c r="H221">
        <f>IFERROR(IF(ISNUMBER(INDEX(SPPR!$E:$Z,MATCH($A221,SPPR!$A:$A,0),5)),$C221*INDEX(SPPR!$E:$Z,MATCH($A221,SPPR!$A:$A,0),5),""),"")</f>
        <v/>
      </c>
      <c r="I221">
        <f>IFERROR(IF(ISNUMBER(INDEX(SPPR!$E:$Z,MATCH($A221,SPPR!$A:$A,0),6)),$C221*INDEX(SPPR!$E:$Z,MATCH($A221,SPPR!$A:$A,0),6),""),"")</f>
        <v/>
      </c>
      <c r="J221">
        <f>IFERROR(IF(ISNUMBER(INDEX(SPPR!$E:$Z,MATCH($A221,SPPR!$A:$A,0),7)),$C221*INDEX(SPPR!$E:$Z,MATCH($A221,SPPR!$A:$A,0),7),""),"")</f>
        <v/>
      </c>
      <c r="K221">
        <f>IFERROR(IF(ISNUMBER(INDEX(SPPR!$E:$Z,MATCH($A221,SPPR!$A:$A,0),8)),$C221*INDEX(SPPR!$E:$Z,MATCH($A221,SPPR!$A:$A,0),8),""),"")</f>
        <v/>
      </c>
      <c r="L221">
        <f>IFERROR(IF(ISNUMBER(INDEX(SPPR!$E:$Z,MATCH($A221,SPPR!$A:$A,0),9)),$C221*INDEX(SPPR!$E:$Z,MATCH($A221,SPPR!$A:$A,0),9),""),"")</f>
        <v/>
      </c>
      <c r="M221">
        <f>IFERROR(IF(ISNUMBER(INDEX(SPPR!$E:$Z,MATCH($A221,SPPR!$A:$A,0),10)),$C221*INDEX(SPPR!$E:$Z,MATCH($A221,SPPR!$A:$A,0),10),""),"")</f>
        <v/>
      </c>
      <c r="N221">
        <f>IFERROR(IF(ISNUMBER(INDEX(SPPR!$E:$Z,MATCH($A221,SPPR!$A:$A,0),11)),$C221*INDEX(SPPR!$E:$Z,MATCH($A221,SPPR!$A:$A,0),11),""),"")</f>
        <v/>
      </c>
      <c r="O221">
        <f>IFERROR(IF(ISNUMBER(INDEX(SPPR!$E:$Z,MATCH($A221,SPPR!$A:$A,0),12)),$C221*INDEX(SPPR!$E:$Z,MATCH($A221,SPPR!$A:$A,0),12),""),"")</f>
        <v/>
      </c>
      <c r="P221">
        <f>IFERROR(IF(ISNUMBER(INDEX(SPPR!$E:$Z,MATCH($A221,SPPR!$A:$A,0),13)),$C221*INDEX(SPPR!$E:$Z,MATCH($A221,SPPR!$A:$A,0),13),""),"")</f>
        <v/>
      </c>
      <c r="Q221">
        <f>IFERROR(IF(ISNUMBER(INDEX(SPPR!$E:$Z,MATCH($A221,SPPR!$A:$A,0),14)),$C221*INDEX(SPPR!$E:$Z,MATCH($A221,SPPR!$A:$A,0),14),""),"")</f>
        <v/>
      </c>
      <c r="R221">
        <f>IFERROR(IF(ISNUMBER(INDEX(SPPR!$E:$Z,MATCH($A221,SPPR!$A:$A,0),15)),$C221*INDEX(SPPR!$E:$Z,MATCH($A221,SPPR!$A:$A,0),15),""),"")</f>
        <v/>
      </c>
      <c r="S221">
        <f>IFERROR(IF(ISNUMBER(INDEX(SPPR!$E:$Z,MATCH($A221,SPPR!$A:$A,0),16)),$C221*INDEX(SPPR!$E:$Z,MATCH($A221,SPPR!$A:$A,0),16),""),"")</f>
        <v/>
      </c>
      <c r="T221">
        <f>IFERROR(IF(ISNUMBER(INDEX(SPPR!$E:$Z,MATCH($A221,SPPR!$A:$A,0),17)),$C221*INDEX(SPPR!$E:$Z,MATCH($A221,SPPR!$A:$A,0),17),""),"")</f>
        <v/>
      </c>
      <c r="U221">
        <f>IFERROR(IF(ISNUMBER(INDEX(SPPR!$E:$Z,MATCH($A221,SPPR!$A:$A,0),18)),$C221*INDEX(SPPR!$E:$Z,MATCH($A221,SPPR!$A:$A,0),18),""),"")</f>
        <v/>
      </c>
      <c r="V221">
        <f>IFERROR(IF(ISNUMBER(INDEX(SPPR!$E:$Z,MATCH($A221,SPPR!$A:$A,0),19)),$C221*INDEX(SPPR!$E:$Z,MATCH($A221,SPPR!$A:$A,0),19),""),"")</f>
        <v/>
      </c>
      <c r="W221">
        <f>IFERROR(IF(ISNUMBER(INDEX(SPPR!$E:$Z,MATCH($A221,SPPR!$A:$A,0),20)),$C221*INDEX(SPPR!$E:$Z,MATCH($A221,SPPR!$A:$A,0),20),""),"")</f>
        <v/>
      </c>
      <c r="X221">
        <f>IFERROR(IF(ISNUMBER(INDEX(SPPR!$E:$Z,MATCH($A221,SPPR!$A:$A,0),21)),$C221*INDEX(SPPR!$E:$Z,MATCH($A221,SPPR!$A:$A,0),21),""),"")</f>
        <v/>
      </c>
      <c r="Y221">
        <f>IFERROR(IF(ISNUMBER(INDEX(SPPR!$E:$Z,MATCH($A221,SPPR!$A:$A,0),22)),$C221*INDEX(SPPR!$E:$Z,MATCH($A221,SPPR!$A:$A,0),22),""),"")</f>
        <v/>
      </c>
    </row>
    <row r="222">
      <c r="A222" t="inlineStr">
        <is>
          <t>Acanthuridae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IFERROR(IF(ISNUMBER(INDEX(SPPR!$E:$Z,MATCH($A222,SPPR!$A:$A,0),1)),$C222*INDEX(SPPR!$E:$Z,MATCH($A222,SPPR!$A:$A,0),1),""),"")</f>
        <v/>
      </c>
      <c r="E222">
        <f>IFERROR(IF(ISNUMBER(INDEX(SPPR!$E:$Z,MATCH($A222,SPPR!$A:$A,0),2)),$C222*INDEX(SPPR!$E:$Z,MATCH($A222,SPPR!$A:$A,0),2),""),"")</f>
        <v/>
      </c>
      <c r="F222">
        <f>IFERROR(IF(ISNUMBER(INDEX(SPPR!$E:$Z,MATCH($A222,SPPR!$A:$A,0),3)),$C222*INDEX(SPPR!$E:$Z,MATCH($A222,SPPR!$A:$A,0),3),""),"")</f>
        <v/>
      </c>
      <c r="G222">
        <f>IFERROR(IF(ISNUMBER(INDEX(SPPR!$E:$Z,MATCH($A222,SPPR!$A:$A,0),4)),$C222*INDEX(SPPR!$E:$Z,MATCH($A222,SPPR!$A:$A,0),4),""),"")</f>
        <v/>
      </c>
      <c r="H222">
        <f>IFERROR(IF(ISNUMBER(INDEX(SPPR!$E:$Z,MATCH($A222,SPPR!$A:$A,0),5)),$C222*INDEX(SPPR!$E:$Z,MATCH($A222,SPPR!$A:$A,0),5),""),"")</f>
        <v/>
      </c>
      <c r="I222">
        <f>IFERROR(IF(ISNUMBER(INDEX(SPPR!$E:$Z,MATCH($A222,SPPR!$A:$A,0),6)),$C222*INDEX(SPPR!$E:$Z,MATCH($A222,SPPR!$A:$A,0),6),""),"")</f>
        <v/>
      </c>
      <c r="J222">
        <f>IFERROR(IF(ISNUMBER(INDEX(SPPR!$E:$Z,MATCH($A222,SPPR!$A:$A,0),7)),$C222*INDEX(SPPR!$E:$Z,MATCH($A222,SPPR!$A:$A,0),7),""),"")</f>
        <v/>
      </c>
      <c r="K222">
        <f>IFERROR(IF(ISNUMBER(INDEX(SPPR!$E:$Z,MATCH($A222,SPPR!$A:$A,0),8)),$C222*INDEX(SPPR!$E:$Z,MATCH($A222,SPPR!$A:$A,0),8),""),"")</f>
        <v/>
      </c>
      <c r="L222">
        <f>IFERROR(IF(ISNUMBER(INDEX(SPPR!$E:$Z,MATCH($A222,SPPR!$A:$A,0),9)),$C222*INDEX(SPPR!$E:$Z,MATCH($A222,SPPR!$A:$A,0),9),""),"")</f>
        <v/>
      </c>
      <c r="M222">
        <f>IFERROR(IF(ISNUMBER(INDEX(SPPR!$E:$Z,MATCH($A222,SPPR!$A:$A,0),10)),$C222*INDEX(SPPR!$E:$Z,MATCH($A222,SPPR!$A:$A,0),10),""),"")</f>
        <v/>
      </c>
      <c r="N222">
        <f>IFERROR(IF(ISNUMBER(INDEX(SPPR!$E:$Z,MATCH($A222,SPPR!$A:$A,0),11)),$C222*INDEX(SPPR!$E:$Z,MATCH($A222,SPPR!$A:$A,0),11),""),"")</f>
        <v/>
      </c>
      <c r="O222">
        <f>IFERROR(IF(ISNUMBER(INDEX(SPPR!$E:$Z,MATCH($A222,SPPR!$A:$A,0),12)),$C222*INDEX(SPPR!$E:$Z,MATCH($A222,SPPR!$A:$A,0),12),""),"")</f>
        <v/>
      </c>
      <c r="P222">
        <f>IFERROR(IF(ISNUMBER(INDEX(SPPR!$E:$Z,MATCH($A222,SPPR!$A:$A,0),13)),$C222*INDEX(SPPR!$E:$Z,MATCH($A222,SPPR!$A:$A,0),13),""),"")</f>
        <v/>
      </c>
      <c r="Q222">
        <f>IFERROR(IF(ISNUMBER(INDEX(SPPR!$E:$Z,MATCH($A222,SPPR!$A:$A,0),14)),$C222*INDEX(SPPR!$E:$Z,MATCH($A222,SPPR!$A:$A,0),14),""),"")</f>
        <v/>
      </c>
      <c r="R222">
        <f>IFERROR(IF(ISNUMBER(INDEX(SPPR!$E:$Z,MATCH($A222,SPPR!$A:$A,0),15)),$C222*INDEX(SPPR!$E:$Z,MATCH($A222,SPPR!$A:$A,0),15),""),"")</f>
        <v/>
      </c>
      <c r="S222">
        <f>IFERROR(IF(ISNUMBER(INDEX(SPPR!$E:$Z,MATCH($A222,SPPR!$A:$A,0),16)),$C222*INDEX(SPPR!$E:$Z,MATCH($A222,SPPR!$A:$A,0),16),""),"")</f>
        <v/>
      </c>
      <c r="T222">
        <f>IFERROR(IF(ISNUMBER(INDEX(SPPR!$E:$Z,MATCH($A222,SPPR!$A:$A,0),17)),$C222*INDEX(SPPR!$E:$Z,MATCH($A222,SPPR!$A:$A,0),17),""),"")</f>
        <v/>
      </c>
      <c r="U222">
        <f>IFERROR(IF(ISNUMBER(INDEX(SPPR!$E:$Z,MATCH($A222,SPPR!$A:$A,0),18)),$C222*INDEX(SPPR!$E:$Z,MATCH($A222,SPPR!$A:$A,0),18),""),"")</f>
        <v/>
      </c>
      <c r="V222">
        <f>IFERROR(IF(ISNUMBER(INDEX(SPPR!$E:$Z,MATCH($A222,SPPR!$A:$A,0),19)),$C222*INDEX(SPPR!$E:$Z,MATCH($A222,SPPR!$A:$A,0),19),""),"")</f>
        <v/>
      </c>
      <c r="W222">
        <f>IFERROR(IF(ISNUMBER(INDEX(SPPR!$E:$Z,MATCH($A222,SPPR!$A:$A,0),20)),$C222*INDEX(SPPR!$E:$Z,MATCH($A222,SPPR!$A:$A,0),20),""),"")</f>
        <v/>
      </c>
      <c r="X222">
        <f>IFERROR(IF(ISNUMBER(INDEX(SPPR!$E:$Z,MATCH($A222,SPPR!$A:$A,0),21)),$C222*INDEX(SPPR!$E:$Z,MATCH($A222,SPPR!$A:$A,0),21),""),"")</f>
        <v/>
      </c>
      <c r="Y222">
        <f>IFERROR(IF(ISNUMBER(INDEX(SPPR!$E:$Z,MATCH($A222,SPPR!$A:$A,0),22)),$C222*INDEX(SPPR!$E:$Z,MATCH($A222,SPPR!$A:$A,0),22),""),"")</f>
        <v/>
      </c>
    </row>
    <row r="223">
      <c r="A223" t="inlineStr">
        <is>
          <t>Trachurus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IFERROR(IF(ISNUMBER(INDEX(SPPR!$E:$Z,MATCH($A223,SPPR!$A:$A,0),1)),$C223*INDEX(SPPR!$E:$Z,MATCH($A223,SPPR!$A:$A,0),1),""),"")</f>
        <v/>
      </c>
      <c r="E223">
        <f>IFERROR(IF(ISNUMBER(INDEX(SPPR!$E:$Z,MATCH($A223,SPPR!$A:$A,0),2)),$C223*INDEX(SPPR!$E:$Z,MATCH($A223,SPPR!$A:$A,0),2),""),"")</f>
        <v/>
      </c>
      <c r="F223">
        <f>IFERROR(IF(ISNUMBER(INDEX(SPPR!$E:$Z,MATCH($A223,SPPR!$A:$A,0),3)),$C223*INDEX(SPPR!$E:$Z,MATCH($A223,SPPR!$A:$A,0),3),""),"")</f>
        <v/>
      </c>
      <c r="G223">
        <f>IFERROR(IF(ISNUMBER(INDEX(SPPR!$E:$Z,MATCH($A223,SPPR!$A:$A,0),4)),$C223*INDEX(SPPR!$E:$Z,MATCH($A223,SPPR!$A:$A,0),4),""),"")</f>
        <v/>
      </c>
      <c r="H223">
        <f>IFERROR(IF(ISNUMBER(INDEX(SPPR!$E:$Z,MATCH($A223,SPPR!$A:$A,0),5)),$C223*INDEX(SPPR!$E:$Z,MATCH($A223,SPPR!$A:$A,0),5),""),"")</f>
        <v/>
      </c>
      <c r="I223">
        <f>IFERROR(IF(ISNUMBER(INDEX(SPPR!$E:$Z,MATCH($A223,SPPR!$A:$A,0),6)),$C223*INDEX(SPPR!$E:$Z,MATCH($A223,SPPR!$A:$A,0),6),""),"")</f>
        <v/>
      </c>
      <c r="J223">
        <f>IFERROR(IF(ISNUMBER(INDEX(SPPR!$E:$Z,MATCH($A223,SPPR!$A:$A,0),7)),$C223*INDEX(SPPR!$E:$Z,MATCH($A223,SPPR!$A:$A,0),7),""),"")</f>
        <v/>
      </c>
      <c r="K223">
        <f>IFERROR(IF(ISNUMBER(INDEX(SPPR!$E:$Z,MATCH($A223,SPPR!$A:$A,0),8)),$C223*INDEX(SPPR!$E:$Z,MATCH($A223,SPPR!$A:$A,0),8),""),"")</f>
        <v/>
      </c>
      <c r="L223">
        <f>IFERROR(IF(ISNUMBER(INDEX(SPPR!$E:$Z,MATCH($A223,SPPR!$A:$A,0),9)),$C223*INDEX(SPPR!$E:$Z,MATCH($A223,SPPR!$A:$A,0),9),""),"")</f>
        <v/>
      </c>
      <c r="M223">
        <f>IFERROR(IF(ISNUMBER(INDEX(SPPR!$E:$Z,MATCH($A223,SPPR!$A:$A,0),10)),$C223*INDEX(SPPR!$E:$Z,MATCH($A223,SPPR!$A:$A,0),10),""),"")</f>
        <v/>
      </c>
      <c r="N223">
        <f>IFERROR(IF(ISNUMBER(INDEX(SPPR!$E:$Z,MATCH($A223,SPPR!$A:$A,0),11)),$C223*INDEX(SPPR!$E:$Z,MATCH($A223,SPPR!$A:$A,0),11),""),"")</f>
        <v/>
      </c>
      <c r="O223">
        <f>IFERROR(IF(ISNUMBER(INDEX(SPPR!$E:$Z,MATCH($A223,SPPR!$A:$A,0),12)),$C223*INDEX(SPPR!$E:$Z,MATCH($A223,SPPR!$A:$A,0),12),""),"")</f>
        <v/>
      </c>
      <c r="P223">
        <f>IFERROR(IF(ISNUMBER(INDEX(SPPR!$E:$Z,MATCH($A223,SPPR!$A:$A,0),13)),$C223*INDEX(SPPR!$E:$Z,MATCH($A223,SPPR!$A:$A,0),13),""),"")</f>
        <v/>
      </c>
      <c r="Q223">
        <f>IFERROR(IF(ISNUMBER(INDEX(SPPR!$E:$Z,MATCH($A223,SPPR!$A:$A,0),14)),$C223*INDEX(SPPR!$E:$Z,MATCH($A223,SPPR!$A:$A,0),14),""),"")</f>
        <v/>
      </c>
      <c r="R223">
        <f>IFERROR(IF(ISNUMBER(INDEX(SPPR!$E:$Z,MATCH($A223,SPPR!$A:$A,0),15)),$C223*INDEX(SPPR!$E:$Z,MATCH($A223,SPPR!$A:$A,0),15),""),"")</f>
        <v/>
      </c>
      <c r="S223">
        <f>IFERROR(IF(ISNUMBER(INDEX(SPPR!$E:$Z,MATCH($A223,SPPR!$A:$A,0),16)),$C223*INDEX(SPPR!$E:$Z,MATCH($A223,SPPR!$A:$A,0),16),""),"")</f>
        <v/>
      </c>
      <c r="T223">
        <f>IFERROR(IF(ISNUMBER(INDEX(SPPR!$E:$Z,MATCH($A223,SPPR!$A:$A,0),17)),$C223*INDEX(SPPR!$E:$Z,MATCH($A223,SPPR!$A:$A,0),17),""),"")</f>
        <v/>
      </c>
      <c r="U223">
        <f>IFERROR(IF(ISNUMBER(INDEX(SPPR!$E:$Z,MATCH($A223,SPPR!$A:$A,0),18)),$C223*INDEX(SPPR!$E:$Z,MATCH($A223,SPPR!$A:$A,0),18),""),"")</f>
        <v/>
      </c>
      <c r="V223">
        <f>IFERROR(IF(ISNUMBER(INDEX(SPPR!$E:$Z,MATCH($A223,SPPR!$A:$A,0),19)),$C223*INDEX(SPPR!$E:$Z,MATCH($A223,SPPR!$A:$A,0),19),""),"")</f>
        <v/>
      </c>
      <c r="W223">
        <f>IFERROR(IF(ISNUMBER(INDEX(SPPR!$E:$Z,MATCH($A223,SPPR!$A:$A,0),20)),$C223*INDEX(SPPR!$E:$Z,MATCH($A223,SPPR!$A:$A,0),20),""),"")</f>
        <v/>
      </c>
      <c r="X223">
        <f>IFERROR(IF(ISNUMBER(INDEX(SPPR!$E:$Z,MATCH($A223,SPPR!$A:$A,0),21)),$C223*INDEX(SPPR!$E:$Z,MATCH($A223,SPPR!$A:$A,0),21),""),"")</f>
        <v/>
      </c>
      <c r="Y223">
        <f>IFERROR(IF(ISNUMBER(INDEX(SPPR!$E:$Z,MATCH($A223,SPPR!$A:$A,0),22)),$C223*INDEX(SPPR!$E:$Z,MATCH($A223,SPPR!$A:$A,0),22),""),"")</f>
        <v/>
      </c>
    </row>
    <row r="224">
      <c r="A224" t="inlineStr">
        <is>
          <t>Lactarius lactarius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IFERROR(IF(ISNUMBER(INDEX(SPPR!$E:$Z,MATCH($A224,SPPR!$A:$A,0),1)),$C224*INDEX(SPPR!$E:$Z,MATCH($A224,SPPR!$A:$A,0),1),""),"")</f>
        <v/>
      </c>
      <c r="E224">
        <f>IFERROR(IF(ISNUMBER(INDEX(SPPR!$E:$Z,MATCH($A224,SPPR!$A:$A,0),2)),$C224*INDEX(SPPR!$E:$Z,MATCH($A224,SPPR!$A:$A,0),2),""),"")</f>
        <v/>
      </c>
      <c r="F224">
        <f>IFERROR(IF(ISNUMBER(INDEX(SPPR!$E:$Z,MATCH($A224,SPPR!$A:$A,0),3)),$C224*INDEX(SPPR!$E:$Z,MATCH($A224,SPPR!$A:$A,0),3),""),"")</f>
        <v/>
      </c>
      <c r="G224">
        <f>IFERROR(IF(ISNUMBER(INDEX(SPPR!$E:$Z,MATCH($A224,SPPR!$A:$A,0),4)),$C224*INDEX(SPPR!$E:$Z,MATCH($A224,SPPR!$A:$A,0),4),""),"")</f>
        <v/>
      </c>
      <c r="H224">
        <f>IFERROR(IF(ISNUMBER(INDEX(SPPR!$E:$Z,MATCH($A224,SPPR!$A:$A,0),5)),$C224*INDEX(SPPR!$E:$Z,MATCH($A224,SPPR!$A:$A,0),5),""),"")</f>
        <v/>
      </c>
      <c r="I224">
        <f>IFERROR(IF(ISNUMBER(INDEX(SPPR!$E:$Z,MATCH($A224,SPPR!$A:$A,0),6)),$C224*INDEX(SPPR!$E:$Z,MATCH($A224,SPPR!$A:$A,0),6),""),"")</f>
        <v/>
      </c>
      <c r="J224">
        <f>IFERROR(IF(ISNUMBER(INDEX(SPPR!$E:$Z,MATCH($A224,SPPR!$A:$A,0),7)),$C224*INDEX(SPPR!$E:$Z,MATCH($A224,SPPR!$A:$A,0),7),""),"")</f>
        <v/>
      </c>
      <c r="K224">
        <f>IFERROR(IF(ISNUMBER(INDEX(SPPR!$E:$Z,MATCH($A224,SPPR!$A:$A,0),8)),$C224*INDEX(SPPR!$E:$Z,MATCH($A224,SPPR!$A:$A,0),8),""),"")</f>
        <v/>
      </c>
      <c r="L224">
        <f>IFERROR(IF(ISNUMBER(INDEX(SPPR!$E:$Z,MATCH($A224,SPPR!$A:$A,0),9)),$C224*INDEX(SPPR!$E:$Z,MATCH($A224,SPPR!$A:$A,0),9),""),"")</f>
        <v/>
      </c>
      <c r="M224">
        <f>IFERROR(IF(ISNUMBER(INDEX(SPPR!$E:$Z,MATCH($A224,SPPR!$A:$A,0),10)),$C224*INDEX(SPPR!$E:$Z,MATCH($A224,SPPR!$A:$A,0),10),""),"")</f>
        <v/>
      </c>
      <c r="N224">
        <f>IFERROR(IF(ISNUMBER(INDEX(SPPR!$E:$Z,MATCH($A224,SPPR!$A:$A,0),11)),$C224*INDEX(SPPR!$E:$Z,MATCH($A224,SPPR!$A:$A,0),11),""),"")</f>
        <v/>
      </c>
      <c r="O224">
        <f>IFERROR(IF(ISNUMBER(INDEX(SPPR!$E:$Z,MATCH($A224,SPPR!$A:$A,0),12)),$C224*INDEX(SPPR!$E:$Z,MATCH($A224,SPPR!$A:$A,0),12),""),"")</f>
        <v/>
      </c>
      <c r="P224">
        <f>IFERROR(IF(ISNUMBER(INDEX(SPPR!$E:$Z,MATCH($A224,SPPR!$A:$A,0),13)),$C224*INDEX(SPPR!$E:$Z,MATCH($A224,SPPR!$A:$A,0),13),""),"")</f>
        <v/>
      </c>
      <c r="Q224">
        <f>IFERROR(IF(ISNUMBER(INDEX(SPPR!$E:$Z,MATCH($A224,SPPR!$A:$A,0),14)),$C224*INDEX(SPPR!$E:$Z,MATCH($A224,SPPR!$A:$A,0),14),""),"")</f>
        <v/>
      </c>
      <c r="R224">
        <f>IFERROR(IF(ISNUMBER(INDEX(SPPR!$E:$Z,MATCH($A224,SPPR!$A:$A,0),15)),$C224*INDEX(SPPR!$E:$Z,MATCH($A224,SPPR!$A:$A,0),15),""),"")</f>
        <v/>
      </c>
      <c r="S224">
        <f>IFERROR(IF(ISNUMBER(INDEX(SPPR!$E:$Z,MATCH($A224,SPPR!$A:$A,0),16)),$C224*INDEX(SPPR!$E:$Z,MATCH($A224,SPPR!$A:$A,0),16),""),"")</f>
        <v/>
      </c>
      <c r="T224">
        <f>IFERROR(IF(ISNUMBER(INDEX(SPPR!$E:$Z,MATCH($A224,SPPR!$A:$A,0),17)),$C224*INDEX(SPPR!$E:$Z,MATCH($A224,SPPR!$A:$A,0),17),""),"")</f>
        <v/>
      </c>
      <c r="U224">
        <f>IFERROR(IF(ISNUMBER(INDEX(SPPR!$E:$Z,MATCH($A224,SPPR!$A:$A,0),18)),$C224*INDEX(SPPR!$E:$Z,MATCH($A224,SPPR!$A:$A,0),18),""),"")</f>
        <v/>
      </c>
      <c r="V224">
        <f>IFERROR(IF(ISNUMBER(INDEX(SPPR!$E:$Z,MATCH($A224,SPPR!$A:$A,0),19)),$C224*INDEX(SPPR!$E:$Z,MATCH($A224,SPPR!$A:$A,0),19),""),"")</f>
        <v/>
      </c>
      <c r="W224">
        <f>IFERROR(IF(ISNUMBER(INDEX(SPPR!$E:$Z,MATCH($A224,SPPR!$A:$A,0),20)),$C224*INDEX(SPPR!$E:$Z,MATCH($A224,SPPR!$A:$A,0),20),""),"")</f>
        <v/>
      </c>
      <c r="X224">
        <f>IFERROR(IF(ISNUMBER(INDEX(SPPR!$E:$Z,MATCH($A224,SPPR!$A:$A,0),21)),$C224*INDEX(SPPR!$E:$Z,MATCH($A224,SPPR!$A:$A,0),21),""),"")</f>
        <v/>
      </c>
      <c r="Y224">
        <f>IFERROR(IF(ISNUMBER(INDEX(SPPR!$E:$Z,MATCH($A224,SPPR!$A:$A,0),22)),$C224*INDEX(SPPR!$E:$Z,MATCH($A224,SPPR!$A:$A,0),22),""),"")</f>
        <v/>
      </c>
    </row>
    <row r="225">
      <c r="A225" t="inlineStr">
        <is>
          <t>Lethrinus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IFERROR(IF(ISNUMBER(INDEX(SPPR!$E:$Z,MATCH($A225,SPPR!$A:$A,0),1)),$C225*INDEX(SPPR!$E:$Z,MATCH($A225,SPPR!$A:$A,0),1),""),"")</f>
        <v/>
      </c>
      <c r="E225">
        <f>IFERROR(IF(ISNUMBER(INDEX(SPPR!$E:$Z,MATCH($A225,SPPR!$A:$A,0),2)),$C225*INDEX(SPPR!$E:$Z,MATCH($A225,SPPR!$A:$A,0),2),""),"")</f>
        <v/>
      </c>
      <c r="F225">
        <f>IFERROR(IF(ISNUMBER(INDEX(SPPR!$E:$Z,MATCH($A225,SPPR!$A:$A,0),3)),$C225*INDEX(SPPR!$E:$Z,MATCH($A225,SPPR!$A:$A,0),3),""),"")</f>
        <v/>
      </c>
      <c r="G225">
        <f>IFERROR(IF(ISNUMBER(INDEX(SPPR!$E:$Z,MATCH($A225,SPPR!$A:$A,0),4)),$C225*INDEX(SPPR!$E:$Z,MATCH($A225,SPPR!$A:$A,0),4),""),"")</f>
        <v/>
      </c>
      <c r="H225">
        <f>IFERROR(IF(ISNUMBER(INDEX(SPPR!$E:$Z,MATCH($A225,SPPR!$A:$A,0),5)),$C225*INDEX(SPPR!$E:$Z,MATCH($A225,SPPR!$A:$A,0),5),""),"")</f>
        <v/>
      </c>
      <c r="I225">
        <f>IFERROR(IF(ISNUMBER(INDEX(SPPR!$E:$Z,MATCH($A225,SPPR!$A:$A,0),6)),$C225*INDEX(SPPR!$E:$Z,MATCH($A225,SPPR!$A:$A,0),6),""),"")</f>
        <v/>
      </c>
      <c r="J225">
        <f>IFERROR(IF(ISNUMBER(INDEX(SPPR!$E:$Z,MATCH($A225,SPPR!$A:$A,0),7)),$C225*INDEX(SPPR!$E:$Z,MATCH($A225,SPPR!$A:$A,0),7),""),"")</f>
        <v/>
      </c>
      <c r="K225">
        <f>IFERROR(IF(ISNUMBER(INDEX(SPPR!$E:$Z,MATCH($A225,SPPR!$A:$A,0),8)),$C225*INDEX(SPPR!$E:$Z,MATCH($A225,SPPR!$A:$A,0),8),""),"")</f>
        <v/>
      </c>
      <c r="L225">
        <f>IFERROR(IF(ISNUMBER(INDEX(SPPR!$E:$Z,MATCH($A225,SPPR!$A:$A,0),9)),$C225*INDEX(SPPR!$E:$Z,MATCH($A225,SPPR!$A:$A,0),9),""),"")</f>
        <v/>
      </c>
      <c r="M225">
        <f>IFERROR(IF(ISNUMBER(INDEX(SPPR!$E:$Z,MATCH($A225,SPPR!$A:$A,0),10)),$C225*INDEX(SPPR!$E:$Z,MATCH($A225,SPPR!$A:$A,0),10),""),"")</f>
        <v/>
      </c>
      <c r="N225">
        <f>IFERROR(IF(ISNUMBER(INDEX(SPPR!$E:$Z,MATCH($A225,SPPR!$A:$A,0),11)),$C225*INDEX(SPPR!$E:$Z,MATCH($A225,SPPR!$A:$A,0),11),""),"")</f>
        <v/>
      </c>
      <c r="O225">
        <f>IFERROR(IF(ISNUMBER(INDEX(SPPR!$E:$Z,MATCH($A225,SPPR!$A:$A,0),12)),$C225*INDEX(SPPR!$E:$Z,MATCH($A225,SPPR!$A:$A,0),12),""),"")</f>
        <v/>
      </c>
      <c r="P225">
        <f>IFERROR(IF(ISNUMBER(INDEX(SPPR!$E:$Z,MATCH($A225,SPPR!$A:$A,0),13)),$C225*INDEX(SPPR!$E:$Z,MATCH($A225,SPPR!$A:$A,0),13),""),"")</f>
        <v/>
      </c>
      <c r="Q225">
        <f>IFERROR(IF(ISNUMBER(INDEX(SPPR!$E:$Z,MATCH($A225,SPPR!$A:$A,0),14)),$C225*INDEX(SPPR!$E:$Z,MATCH($A225,SPPR!$A:$A,0),14),""),"")</f>
        <v/>
      </c>
      <c r="R225">
        <f>IFERROR(IF(ISNUMBER(INDEX(SPPR!$E:$Z,MATCH($A225,SPPR!$A:$A,0),15)),$C225*INDEX(SPPR!$E:$Z,MATCH($A225,SPPR!$A:$A,0),15),""),"")</f>
        <v/>
      </c>
      <c r="S225">
        <f>IFERROR(IF(ISNUMBER(INDEX(SPPR!$E:$Z,MATCH($A225,SPPR!$A:$A,0),16)),$C225*INDEX(SPPR!$E:$Z,MATCH($A225,SPPR!$A:$A,0),16),""),"")</f>
        <v/>
      </c>
      <c r="T225">
        <f>IFERROR(IF(ISNUMBER(INDEX(SPPR!$E:$Z,MATCH($A225,SPPR!$A:$A,0),17)),$C225*INDEX(SPPR!$E:$Z,MATCH($A225,SPPR!$A:$A,0),17),""),"")</f>
        <v/>
      </c>
      <c r="U225">
        <f>IFERROR(IF(ISNUMBER(INDEX(SPPR!$E:$Z,MATCH($A225,SPPR!$A:$A,0),18)),$C225*INDEX(SPPR!$E:$Z,MATCH($A225,SPPR!$A:$A,0),18),""),"")</f>
        <v/>
      </c>
      <c r="V225">
        <f>IFERROR(IF(ISNUMBER(INDEX(SPPR!$E:$Z,MATCH($A225,SPPR!$A:$A,0),19)),$C225*INDEX(SPPR!$E:$Z,MATCH($A225,SPPR!$A:$A,0),19),""),"")</f>
        <v/>
      </c>
      <c r="W225">
        <f>IFERROR(IF(ISNUMBER(INDEX(SPPR!$E:$Z,MATCH($A225,SPPR!$A:$A,0),20)),$C225*INDEX(SPPR!$E:$Z,MATCH($A225,SPPR!$A:$A,0),20),""),"")</f>
        <v/>
      </c>
      <c r="X225">
        <f>IFERROR(IF(ISNUMBER(INDEX(SPPR!$E:$Z,MATCH($A225,SPPR!$A:$A,0),21)),$C225*INDEX(SPPR!$E:$Z,MATCH($A225,SPPR!$A:$A,0),21),""),"")</f>
        <v/>
      </c>
      <c r="Y225">
        <f>IFERROR(IF(ISNUMBER(INDEX(SPPR!$E:$Z,MATCH($A225,SPPR!$A:$A,0),22)),$C225*INDEX(SPPR!$E:$Z,MATCH($A225,SPPR!$A:$A,0),22),""),"")</f>
        <v/>
      </c>
    </row>
    <row r="226">
      <c r="A226" t="inlineStr">
        <is>
          <t>Balistidae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IFERROR(IF(ISNUMBER(INDEX(SPPR!$E:$Z,MATCH($A226,SPPR!$A:$A,0),1)),$C226*INDEX(SPPR!$E:$Z,MATCH($A226,SPPR!$A:$A,0),1),""),"")</f>
        <v/>
      </c>
      <c r="E226">
        <f>IFERROR(IF(ISNUMBER(INDEX(SPPR!$E:$Z,MATCH($A226,SPPR!$A:$A,0),2)),$C226*INDEX(SPPR!$E:$Z,MATCH($A226,SPPR!$A:$A,0),2),""),"")</f>
        <v/>
      </c>
      <c r="F226">
        <f>IFERROR(IF(ISNUMBER(INDEX(SPPR!$E:$Z,MATCH($A226,SPPR!$A:$A,0),3)),$C226*INDEX(SPPR!$E:$Z,MATCH($A226,SPPR!$A:$A,0),3),""),"")</f>
        <v/>
      </c>
      <c r="G226">
        <f>IFERROR(IF(ISNUMBER(INDEX(SPPR!$E:$Z,MATCH($A226,SPPR!$A:$A,0),4)),$C226*INDEX(SPPR!$E:$Z,MATCH($A226,SPPR!$A:$A,0),4),""),"")</f>
        <v/>
      </c>
      <c r="H226">
        <f>IFERROR(IF(ISNUMBER(INDEX(SPPR!$E:$Z,MATCH($A226,SPPR!$A:$A,0),5)),$C226*INDEX(SPPR!$E:$Z,MATCH($A226,SPPR!$A:$A,0),5),""),"")</f>
        <v/>
      </c>
      <c r="I226">
        <f>IFERROR(IF(ISNUMBER(INDEX(SPPR!$E:$Z,MATCH($A226,SPPR!$A:$A,0),6)),$C226*INDEX(SPPR!$E:$Z,MATCH($A226,SPPR!$A:$A,0),6),""),"")</f>
        <v/>
      </c>
      <c r="J226">
        <f>IFERROR(IF(ISNUMBER(INDEX(SPPR!$E:$Z,MATCH($A226,SPPR!$A:$A,0),7)),$C226*INDEX(SPPR!$E:$Z,MATCH($A226,SPPR!$A:$A,0),7),""),"")</f>
        <v/>
      </c>
      <c r="K226">
        <f>IFERROR(IF(ISNUMBER(INDEX(SPPR!$E:$Z,MATCH($A226,SPPR!$A:$A,0),8)),$C226*INDEX(SPPR!$E:$Z,MATCH($A226,SPPR!$A:$A,0),8),""),"")</f>
        <v/>
      </c>
      <c r="L226">
        <f>IFERROR(IF(ISNUMBER(INDEX(SPPR!$E:$Z,MATCH($A226,SPPR!$A:$A,0),9)),$C226*INDEX(SPPR!$E:$Z,MATCH($A226,SPPR!$A:$A,0),9),""),"")</f>
        <v/>
      </c>
      <c r="M226">
        <f>IFERROR(IF(ISNUMBER(INDEX(SPPR!$E:$Z,MATCH($A226,SPPR!$A:$A,0),10)),$C226*INDEX(SPPR!$E:$Z,MATCH($A226,SPPR!$A:$A,0),10),""),"")</f>
        <v/>
      </c>
      <c r="N226">
        <f>IFERROR(IF(ISNUMBER(INDEX(SPPR!$E:$Z,MATCH($A226,SPPR!$A:$A,0),11)),$C226*INDEX(SPPR!$E:$Z,MATCH($A226,SPPR!$A:$A,0),11),""),"")</f>
        <v/>
      </c>
      <c r="O226">
        <f>IFERROR(IF(ISNUMBER(INDEX(SPPR!$E:$Z,MATCH($A226,SPPR!$A:$A,0),12)),$C226*INDEX(SPPR!$E:$Z,MATCH($A226,SPPR!$A:$A,0),12),""),"")</f>
        <v/>
      </c>
      <c r="P226">
        <f>IFERROR(IF(ISNUMBER(INDEX(SPPR!$E:$Z,MATCH($A226,SPPR!$A:$A,0),13)),$C226*INDEX(SPPR!$E:$Z,MATCH($A226,SPPR!$A:$A,0),13),""),"")</f>
        <v/>
      </c>
      <c r="Q226">
        <f>IFERROR(IF(ISNUMBER(INDEX(SPPR!$E:$Z,MATCH($A226,SPPR!$A:$A,0),14)),$C226*INDEX(SPPR!$E:$Z,MATCH($A226,SPPR!$A:$A,0),14),""),"")</f>
        <v/>
      </c>
      <c r="R226">
        <f>IFERROR(IF(ISNUMBER(INDEX(SPPR!$E:$Z,MATCH($A226,SPPR!$A:$A,0),15)),$C226*INDEX(SPPR!$E:$Z,MATCH($A226,SPPR!$A:$A,0),15),""),"")</f>
        <v/>
      </c>
      <c r="S226">
        <f>IFERROR(IF(ISNUMBER(INDEX(SPPR!$E:$Z,MATCH($A226,SPPR!$A:$A,0),16)),$C226*INDEX(SPPR!$E:$Z,MATCH($A226,SPPR!$A:$A,0),16),""),"")</f>
        <v/>
      </c>
      <c r="T226">
        <f>IFERROR(IF(ISNUMBER(INDEX(SPPR!$E:$Z,MATCH($A226,SPPR!$A:$A,0),17)),$C226*INDEX(SPPR!$E:$Z,MATCH($A226,SPPR!$A:$A,0),17),""),"")</f>
        <v/>
      </c>
      <c r="U226">
        <f>IFERROR(IF(ISNUMBER(INDEX(SPPR!$E:$Z,MATCH($A226,SPPR!$A:$A,0),18)),$C226*INDEX(SPPR!$E:$Z,MATCH($A226,SPPR!$A:$A,0),18),""),"")</f>
        <v/>
      </c>
      <c r="V226">
        <f>IFERROR(IF(ISNUMBER(INDEX(SPPR!$E:$Z,MATCH($A226,SPPR!$A:$A,0),19)),$C226*INDEX(SPPR!$E:$Z,MATCH($A226,SPPR!$A:$A,0),19),""),"")</f>
        <v/>
      </c>
      <c r="W226">
        <f>IFERROR(IF(ISNUMBER(INDEX(SPPR!$E:$Z,MATCH($A226,SPPR!$A:$A,0),20)),$C226*INDEX(SPPR!$E:$Z,MATCH($A226,SPPR!$A:$A,0),20),""),"")</f>
        <v/>
      </c>
      <c r="X226">
        <f>IFERROR(IF(ISNUMBER(INDEX(SPPR!$E:$Z,MATCH($A226,SPPR!$A:$A,0),21)),$C226*INDEX(SPPR!$E:$Z,MATCH($A226,SPPR!$A:$A,0),21),""),"")</f>
        <v/>
      </c>
      <c r="Y226">
        <f>IFERROR(IF(ISNUMBER(INDEX(SPPR!$E:$Z,MATCH($A226,SPPR!$A:$A,0),22)),$C226*INDEX(SPPR!$E:$Z,MATCH($A226,SPPR!$A:$A,0),22),""),"")</f>
        <v/>
      </c>
    </row>
    <row r="227">
      <c r="A227" t="inlineStr">
        <is>
          <t>Gymnocranius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IFERROR(IF(ISNUMBER(INDEX(SPPR!$E:$Z,MATCH($A227,SPPR!$A:$A,0),1)),$C227*INDEX(SPPR!$E:$Z,MATCH($A227,SPPR!$A:$A,0),1),""),"")</f>
        <v/>
      </c>
      <c r="E227">
        <f>IFERROR(IF(ISNUMBER(INDEX(SPPR!$E:$Z,MATCH($A227,SPPR!$A:$A,0),2)),$C227*INDEX(SPPR!$E:$Z,MATCH($A227,SPPR!$A:$A,0),2),""),"")</f>
        <v/>
      </c>
      <c r="F227">
        <f>IFERROR(IF(ISNUMBER(INDEX(SPPR!$E:$Z,MATCH($A227,SPPR!$A:$A,0),3)),$C227*INDEX(SPPR!$E:$Z,MATCH($A227,SPPR!$A:$A,0),3),""),"")</f>
        <v/>
      </c>
      <c r="G227">
        <f>IFERROR(IF(ISNUMBER(INDEX(SPPR!$E:$Z,MATCH($A227,SPPR!$A:$A,0),4)),$C227*INDEX(SPPR!$E:$Z,MATCH($A227,SPPR!$A:$A,0),4),""),"")</f>
        <v/>
      </c>
      <c r="H227">
        <f>IFERROR(IF(ISNUMBER(INDEX(SPPR!$E:$Z,MATCH($A227,SPPR!$A:$A,0),5)),$C227*INDEX(SPPR!$E:$Z,MATCH($A227,SPPR!$A:$A,0),5),""),"")</f>
        <v/>
      </c>
      <c r="I227">
        <f>IFERROR(IF(ISNUMBER(INDEX(SPPR!$E:$Z,MATCH($A227,SPPR!$A:$A,0),6)),$C227*INDEX(SPPR!$E:$Z,MATCH($A227,SPPR!$A:$A,0),6),""),"")</f>
        <v/>
      </c>
      <c r="J227">
        <f>IFERROR(IF(ISNUMBER(INDEX(SPPR!$E:$Z,MATCH($A227,SPPR!$A:$A,0),7)),$C227*INDEX(SPPR!$E:$Z,MATCH($A227,SPPR!$A:$A,0),7),""),"")</f>
        <v/>
      </c>
      <c r="K227">
        <f>IFERROR(IF(ISNUMBER(INDEX(SPPR!$E:$Z,MATCH($A227,SPPR!$A:$A,0),8)),$C227*INDEX(SPPR!$E:$Z,MATCH($A227,SPPR!$A:$A,0),8),""),"")</f>
        <v/>
      </c>
      <c r="L227">
        <f>IFERROR(IF(ISNUMBER(INDEX(SPPR!$E:$Z,MATCH($A227,SPPR!$A:$A,0),9)),$C227*INDEX(SPPR!$E:$Z,MATCH($A227,SPPR!$A:$A,0),9),""),"")</f>
        <v/>
      </c>
      <c r="M227">
        <f>IFERROR(IF(ISNUMBER(INDEX(SPPR!$E:$Z,MATCH($A227,SPPR!$A:$A,0),10)),$C227*INDEX(SPPR!$E:$Z,MATCH($A227,SPPR!$A:$A,0),10),""),"")</f>
        <v/>
      </c>
      <c r="N227">
        <f>IFERROR(IF(ISNUMBER(INDEX(SPPR!$E:$Z,MATCH($A227,SPPR!$A:$A,0),11)),$C227*INDEX(SPPR!$E:$Z,MATCH($A227,SPPR!$A:$A,0),11),""),"")</f>
        <v/>
      </c>
      <c r="O227">
        <f>IFERROR(IF(ISNUMBER(INDEX(SPPR!$E:$Z,MATCH($A227,SPPR!$A:$A,0),12)),$C227*INDEX(SPPR!$E:$Z,MATCH($A227,SPPR!$A:$A,0),12),""),"")</f>
        <v/>
      </c>
      <c r="P227">
        <f>IFERROR(IF(ISNUMBER(INDEX(SPPR!$E:$Z,MATCH($A227,SPPR!$A:$A,0),13)),$C227*INDEX(SPPR!$E:$Z,MATCH($A227,SPPR!$A:$A,0),13),""),"")</f>
        <v/>
      </c>
      <c r="Q227">
        <f>IFERROR(IF(ISNUMBER(INDEX(SPPR!$E:$Z,MATCH($A227,SPPR!$A:$A,0),14)),$C227*INDEX(SPPR!$E:$Z,MATCH($A227,SPPR!$A:$A,0),14),""),"")</f>
        <v/>
      </c>
      <c r="R227">
        <f>IFERROR(IF(ISNUMBER(INDEX(SPPR!$E:$Z,MATCH($A227,SPPR!$A:$A,0),15)),$C227*INDEX(SPPR!$E:$Z,MATCH($A227,SPPR!$A:$A,0),15),""),"")</f>
        <v/>
      </c>
      <c r="S227">
        <f>IFERROR(IF(ISNUMBER(INDEX(SPPR!$E:$Z,MATCH($A227,SPPR!$A:$A,0),16)),$C227*INDEX(SPPR!$E:$Z,MATCH($A227,SPPR!$A:$A,0),16),""),"")</f>
        <v/>
      </c>
      <c r="T227">
        <f>IFERROR(IF(ISNUMBER(INDEX(SPPR!$E:$Z,MATCH($A227,SPPR!$A:$A,0),17)),$C227*INDEX(SPPR!$E:$Z,MATCH($A227,SPPR!$A:$A,0),17),""),"")</f>
        <v/>
      </c>
      <c r="U227">
        <f>IFERROR(IF(ISNUMBER(INDEX(SPPR!$E:$Z,MATCH($A227,SPPR!$A:$A,0),18)),$C227*INDEX(SPPR!$E:$Z,MATCH($A227,SPPR!$A:$A,0),18),""),"")</f>
        <v/>
      </c>
      <c r="V227">
        <f>IFERROR(IF(ISNUMBER(INDEX(SPPR!$E:$Z,MATCH($A227,SPPR!$A:$A,0),19)),$C227*INDEX(SPPR!$E:$Z,MATCH($A227,SPPR!$A:$A,0),19),""),"")</f>
        <v/>
      </c>
      <c r="W227">
        <f>IFERROR(IF(ISNUMBER(INDEX(SPPR!$E:$Z,MATCH($A227,SPPR!$A:$A,0),20)),$C227*INDEX(SPPR!$E:$Z,MATCH($A227,SPPR!$A:$A,0),20),""),"")</f>
        <v/>
      </c>
      <c r="X227">
        <f>IFERROR(IF(ISNUMBER(INDEX(SPPR!$E:$Z,MATCH($A227,SPPR!$A:$A,0),21)),$C227*INDEX(SPPR!$E:$Z,MATCH($A227,SPPR!$A:$A,0),21),""),"")</f>
        <v/>
      </c>
      <c r="Y227">
        <f>IFERROR(IF(ISNUMBER(INDEX(SPPR!$E:$Z,MATCH($A227,SPPR!$A:$A,0),22)),$C227*INDEX(SPPR!$E:$Z,MATCH($A227,SPPR!$A:$A,0),22),""),"")</f>
        <v/>
      </c>
    </row>
    <row r="228">
      <c r="A228" t="inlineStr">
        <is>
          <t>Penaeus latisulcatus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IFERROR(IF(ISNUMBER(INDEX(SPPR!$E:$Z,MATCH($A228,SPPR!$A:$A,0),1)),$C228*INDEX(SPPR!$E:$Z,MATCH($A228,SPPR!$A:$A,0),1),""),"")</f>
        <v/>
      </c>
      <c r="E228">
        <f>IFERROR(IF(ISNUMBER(INDEX(SPPR!$E:$Z,MATCH($A228,SPPR!$A:$A,0),2)),$C228*INDEX(SPPR!$E:$Z,MATCH($A228,SPPR!$A:$A,0),2),""),"")</f>
        <v/>
      </c>
      <c r="F228">
        <f>IFERROR(IF(ISNUMBER(INDEX(SPPR!$E:$Z,MATCH($A228,SPPR!$A:$A,0),3)),$C228*INDEX(SPPR!$E:$Z,MATCH($A228,SPPR!$A:$A,0),3),""),"")</f>
        <v/>
      </c>
      <c r="G228">
        <f>IFERROR(IF(ISNUMBER(INDEX(SPPR!$E:$Z,MATCH($A228,SPPR!$A:$A,0),4)),$C228*INDEX(SPPR!$E:$Z,MATCH($A228,SPPR!$A:$A,0),4),""),"")</f>
        <v/>
      </c>
      <c r="H228">
        <f>IFERROR(IF(ISNUMBER(INDEX(SPPR!$E:$Z,MATCH($A228,SPPR!$A:$A,0),5)),$C228*INDEX(SPPR!$E:$Z,MATCH($A228,SPPR!$A:$A,0),5),""),"")</f>
        <v/>
      </c>
      <c r="I228">
        <f>IFERROR(IF(ISNUMBER(INDEX(SPPR!$E:$Z,MATCH($A228,SPPR!$A:$A,0),6)),$C228*INDEX(SPPR!$E:$Z,MATCH($A228,SPPR!$A:$A,0),6),""),"")</f>
        <v/>
      </c>
      <c r="J228">
        <f>IFERROR(IF(ISNUMBER(INDEX(SPPR!$E:$Z,MATCH($A228,SPPR!$A:$A,0),7)),$C228*INDEX(SPPR!$E:$Z,MATCH($A228,SPPR!$A:$A,0),7),""),"")</f>
        <v/>
      </c>
      <c r="K228">
        <f>IFERROR(IF(ISNUMBER(INDEX(SPPR!$E:$Z,MATCH($A228,SPPR!$A:$A,0),8)),$C228*INDEX(SPPR!$E:$Z,MATCH($A228,SPPR!$A:$A,0),8),""),"")</f>
        <v/>
      </c>
      <c r="L228">
        <f>IFERROR(IF(ISNUMBER(INDEX(SPPR!$E:$Z,MATCH($A228,SPPR!$A:$A,0),9)),$C228*INDEX(SPPR!$E:$Z,MATCH($A228,SPPR!$A:$A,0),9),""),"")</f>
        <v/>
      </c>
      <c r="M228">
        <f>IFERROR(IF(ISNUMBER(INDEX(SPPR!$E:$Z,MATCH($A228,SPPR!$A:$A,0),10)),$C228*INDEX(SPPR!$E:$Z,MATCH($A228,SPPR!$A:$A,0),10),""),"")</f>
        <v/>
      </c>
      <c r="N228">
        <f>IFERROR(IF(ISNUMBER(INDEX(SPPR!$E:$Z,MATCH($A228,SPPR!$A:$A,0),11)),$C228*INDEX(SPPR!$E:$Z,MATCH($A228,SPPR!$A:$A,0),11),""),"")</f>
        <v/>
      </c>
      <c r="O228">
        <f>IFERROR(IF(ISNUMBER(INDEX(SPPR!$E:$Z,MATCH($A228,SPPR!$A:$A,0),12)),$C228*INDEX(SPPR!$E:$Z,MATCH($A228,SPPR!$A:$A,0),12),""),"")</f>
        <v/>
      </c>
      <c r="P228">
        <f>IFERROR(IF(ISNUMBER(INDEX(SPPR!$E:$Z,MATCH($A228,SPPR!$A:$A,0),13)),$C228*INDEX(SPPR!$E:$Z,MATCH($A228,SPPR!$A:$A,0),13),""),"")</f>
        <v/>
      </c>
      <c r="Q228">
        <f>IFERROR(IF(ISNUMBER(INDEX(SPPR!$E:$Z,MATCH($A228,SPPR!$A:$A,0),14)),$C228*INDEX(SPPR!$E:$Z,MATCH($A228,SPPR!$A:$A,0),14),""),"")</f>
        <v/>
      </c>
      <c r="R228">
        <f>IFERROR(IF(ISNUMBER(INDEX(SPPR!$E:$Z,MATCH($A228,SPPR!$A:$A,0),15)),$C228*INDEX(SPPR!$E:$Z,MATCH($A228,SPPR!$A:$A,0),15),""),"")</f>
        <v/>
      </c>
      <c r="S228">
        <f>IFERROR(IF(ISNUMBER(INDEX(SPPR!$E:$Z,MATCH($A228,SPPR!$A:$A,0),16)),$C228*INDEX(SPPR!$E:$Z,MATCH($A228,SPPR!$A:$A,0),16),""),"")</f>
        <v/>
      </c>
      <c r="T228">
        <f>IFERROR(IF(ISNUMBER(INDEX(SPPR!$E:$Z,MATCH($A228,SPPR!$A:$A,0),17)),$C228*INDEX(SPPR!$E:$Z,MATCH($A228,SPPR!$A:$A,0),17),""),"")</f>
        <v/>
      </c>
      <c r="U228">
        <f>IFERROR(IF(ISNUMBER(INDEX(SPPR!$E:$Z,MATCH($A228,SPPR!$A:$A,0),18)),$C228*INDEX(SPPR!$E:$Z,MATCH($A228,SPPR!$A:$A,0),18),""),"")</f>
        <v/>
      </c>
      <c r="V228">
        <f>IFERROR(IF(ISNUMBER(INDEX(SPPR!$E:$Z,MATCH($A228,SPPR!$A:$A,0),19)),$C228*INDEX(SPPR!$E:$Z,MATCH($A228,SPPR!$A:$A,0),19),""),"")</f>
        <v/>
      </c>
      <c r="W228">
        <f>IFERROR(IF(ISNUMBER(INDEX(SPPR!$E:$Z,MATCH($A228,SPPR!$A:$A,0),20)),$C228*INDEX(SPPR!$E:$Z,MATCH($A228,SPPR!$A:$A,0),20),""),"")</f>
        <v/>
      </c>
      <c r="X228">
        <f>IFERROR(IF(ISNUMBER(INDEX(SPPR!$E:$Z,MATCH($A228,SPPR!$A:$A,0),21)),$C228*INDEX(SPPR!$E:$Z,MATCH($A228,SPPR!$A:$A,0),21),""),"")</f>
        <v/>
      </c>
      <c r="Y228">
        <f>IFERROR(IF(ISNUMBER(INDEX(SPPR!$E:$Z,MATCH($A228,SPPR!$A:$A,0),22)),$C228*INDEX(SPPR!$E:$Z,MATCH($A228,SPPR!$A:$A,0),22),""),"")</f>
        <v/>
      </c>
    </row>
    <row r="229">
      <c r="A229" t="inlineStr">
        <is>
          <t>Dussumieria elopsoides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IFERROR(IF(ISNUMBER(INDEX(SPPR!$E:$Z,MATCH($A229,SPPR!$A:$A,0),1)),$C229*INDEX(SPPR!$E:$Z,MATCH($A229,SPPR!$A:$A,0),1),""),"")</f>
        <v/>
      </c>
      <c r="E229">
        <f>IFERROR(IF(ISNUMBER(INDEX(SPPR!$E:$Z,MATCH($A229,SPPR!$A:$A,0),2)),$C229*INDEX(SPPR!$E:$Z,MATCH($A229,SPPR!$A:$A,0),2),""),"")</f>
        <v/>
      </c>
      <c r="F229">
        <f>IFERROR(IF(ISNUMBER(INDEX(SPPR!$E:$Z,MATCH($A229,SPPR!$A:$A,0),3)),$C229*INDEX(SPPR!$E:$Z,MATCH($A229,SPPR!$A:$A,0),3),""),"")</f>
        <v/>
      </c>
      <c r="G229">
        <f>IFERROR(IF(ISNUMBER(INDEX(SPPR!$E:$Z,MATCH($A229,SPPR!$A:$A,0),4)),$C229*INDEX(SPPR!$E:$Z,MATCH($A229,SPPR!$A:$A,0),4),""),"")</f>
        <v/>
      </c>
      <c r="H229">
        <f>IFERROR(IF(ISNUMBER(INDEX(SPPR!$E:$Z,MATCH($A229,SPPR!$A:$A,0),5)),$C229*INDEX(SPPR!$E:$Z,MATCH($A229,SPPR!$A:$A,0),5),""),"")</f>
        <v/>
      </c>
      <c r="I229">
        <f>IFERROR(IF(ISNUMBER(INDEX(SPPR!$E:$Z,MATCH($A229,SPPR!$A:$A,0),6)),$C229*INDEX(SPPR!$E:$Z,MATCH($A229,SPPR!$A:$A,0),6),""),"")</f>
        <v/>
      </c>
      <c r="J229">
        <f>IFERROR(IF(ISNUMBER(INDEX(SPPR!$E:$Z,MATCH($A229,SPPR!$A:$A,0),7)),$C229*INDEX(SPPR!$E:$Z,MATCH($A229,SPPR!$A:$A,0),7),""),"")</f>
        <v/>
      </c>
      <c r="K229">
        <f>IFERROR(IF(ISNUMBER(INDEX(SPPR!$E:$Z,MATCH($A229,SPPR!$A:$A,0),8)),$C229*INDEX(SPPR!$E:$Z,MATCH($A229,SPPR!$A:$A,0),8),""),"")</f>
        <v/>
      </c>
      <c r="L229">
        <f>IFERROR(IF(ISNUMBER(INDEX(SPPR!$E:$Z,MATCH($A229,SPPR!$A:$A,0),9)),$C229*INDEX(SPPR!$E:$Z,MATCH($A229,SPPR!$A:$A,0),9),""),"")</f>
        <v/>
      </c>
      <c r="M229">
        <f>IFERROR(IF(ISNUMBER(INDEX(SPPR!$E:$Z,MATCH($A229,SPPR!$A:$A,0),10)),$C229*INDEX(SPPR!$E:$Z,MATCH($A229,SPPR!$A:$A,0),10),""),"")</f>
        <v/>
      </c>
      <c r="N229">
        <f>IFERROR(IF(ISNUMBER(INDEX(SPPR!$E:$Z,MATCH($A229,SPPR!$A:$A,0),11)),$C229*INDEX(SPPR!$E:$Z,MATCH($A229,SPPR!$A:$A,0),11),""),"")</f>
        <v/>
      </c>
      <c r="O229">
        <f>IFERROR(IF(ISNUMBER(INDEX(SPPR!$E:$Z,MATCH($A229,SPPR!$A:$A,0),12)),$C229*INDEX(SPPR!$E:$Z,MATCH($A229,SPPR!$A:$A,0),12),""),"")</f>
        <v/>
      </c>
      <c r="P229">
        <f>IFERROR(IF(ISNUMBER(INDEX(SPPR!$E:$Z,MATCH($A229,SPPR!$A:$A,0),13)),$C229*INDEX(SPPR!$E:$Z,MATCH($A229,SPPR!$A:$A,0),13),""),"")</f>
        <v/>
      </c>
      <c r="Q229">
        <f>IFERROR(IF(ISNUMBER(INDEX(SPPR!$E:$Z,MATCH($A229,SPPR!$A:$A,0),14)),$C229*INDEX(SPPR!$E:$Z,MATCH($A229,SPPR!$A:$A,0),14),""),"")</f>
        <v/>
      </c>
      <c r="R229">
        <f>IFERROR(IF(ISNUMBER(INDEX(SPPR!$E:$Z,MATCH($A229,SPPR!$A:$A,0),15)),$C229*INDEX(SPPR!$E:$Z,MATCH($A229,SPPR!$A:$A,0),15),""),"")</f>
        <v/>
      </c>
      <c r="S229">
        <f>IFERROR(IF(ISNUMBER(INDEX(SPPR!$E:$Z,MATCH($A229,SPPR!$A:$A,0),16)),$C229*INDEX(SPPR!$E:$Z,MATCH($A229,SPPR!$A:$A,0),16),""),"")</f>
        <v/>
      </c>
      <c r="T229">
        <f>IFERROR(IF(ISNUMBER(INDEX(SPPR!$E:$Z,MATCH($A229,SPPR!$A:$A,0),17)),$C229*INDEX(SPPR!$E:$Z,MATCH($A229,SPPR!$A:$A,0),17),""),"")</f>
        <v/>
      </c>
      <c r="U229">
        <f>IFERROR(IF(ISNUMBER(INDEX(SPPR!$E:$Z,MATCH($A229,SPPR!$A:$A,0),18)),$C229*INDEX(SPPR!$E:$Z,MATCH($A229,SPPR!$A:$A,0),18),""),"")</f>
        <v/>
      </c>
      <c r="V229">
        <f>IFERROR(IF(ISNUMBER(INDEX(SPPR!$E:$Z,MATCH($A229,SPPR!$A:$A,0),19)),$C229*INDEX(SPPR!$E:$Z,MATCH($A229,SPPR!$A:$A,0),19),""),"")</f>
        <v/>
      </c>
      <c r="W229">
        <f>IFERROR(IF(ISNUMBER(INDEX(SPPR!$E:$Z,MATCH($A229,SPPR!$A:$A,0),20)),$C229*INDEX(SPPR!$E:$Z,MATCH($A229,SPPR!$A:$A,0),20),""),"")</f>
        <v/>
      </c>
      <c r="X229">
        <f>IFERROR(IF(ISNUMBER(INDEX(SPPR!$E:$Z,MATCH($A229,SPPR!$A:$A,0),21)),$C229*INDEX(SPPR!$E:$Z,MATCH($A229,SPPR!$A:$A,0),21),""),"")</f>
        <v/>
      </c>
      <c r="Y229">
        <f>IFERROR(IF(ISNUMBER(INDEX(SPPR!$E:$Z,MATCH($A229,SPPR!$A:$A,0),22)),$C229*INDEX(SPPR!$E:$Z,MATCH($A229,SPPR!$A:$A,0),22),""),"")</f>
        <v/>
      </c>
    </row>
    <row r="230">
      <c r="A230" t="inlineStr">
        <is>
          <t>Megalops cyprinoides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IFERROR(IF(ISNUMBER(INDEX(SPPR!$E:$Z,MATCH($A230,SPPR!$A:$A,0),1)),$C230*INDEX(SPPR!$E:$Z,MATCH($A230,SPPR!$A:$A,0),1),""),"")</f>
        <v/>
      </c>
      <c r="E230">
        <f>IFERROR(IF(ISNUMBER(INDEX(SPPR!$E:$Z,MATCH($A230,SPPR!$A:$A,0),2)),$C230*INDEX(SPPR!$E:$Z,MATCH($A230,SPPR!$A:$A,0),2),""),"")</f>
        <v/>
      </c>
      <c r="F230">
        <f>IFERROR(IF(ISNUMBER(INDEX(SPPR!$E:$Z,MATCH($A230,SPPR!$A:$A,0),3)),$C230*INDEX(SPPR!$E:$Z,MATCH($A230,SPPR!$A:$A,0),3),""),"")</f>
        <v/>
      </c>
      <c r="G230">
        <f>IFERROR(IF(ISNUMBER(INDEX(SPPR!$E:$Z,MATCH($A230,SPPR!$A:$A,0),4)),$C230*INDEX(SPPR!$E:$Z,MATCH($A230,SPPR!$A:$A,0),4),""),"")</f>
        <v/>
      </c>
      <c r="H230">
        <f>IFERROR(IF(ISNUMBER(INDEX(SPPR!$E:$Z,MATCH($A230,SPPR!$A:$A,0),5)),$C230*INDEX(SPPR!$E:$Z,MATCH($A230,SPPR!$A:$A,0),5),""),"")</f>
        <v/>
      </c>
      <c r="I230">
        <f>IFERROR(IF(ISNUMBER(INDEX(SPPR!$E:$Z,MATCH($A230,SPPR!$A:$A,0),6)),$C230*INDEX(SPPR!$E:$Z,MATCH($A230,SPPR!$A:$A,0),6),""),"")</f>
        <v/>
      </c>
      <c r="J230">
        <f>IFERROR(IF(ISNUMBER(INDEX(SPPR!$E:$Z,MATCH($A230,SPPR!$A:$A,0),7)),$C230*INDEX(SPPR!$E:$Z,MATCH($A230,SPPR!$A:$A,0),7),""),"")</f>
        <v/>
      </c>
      <c r="K230">
        <f>IFERROR(IF(ISNUMBER(INDEX(SPPR!$E:$Z,MATCH($A230,SPPR!$A:$A,0),8)),$C230*INDEX(SPPR!$E:$Z,MATCH($A230,SPPR!$A:$A,0),8),""),"")</f>
        <v/>
      </c>
      <c r="L230">
        <f>IFERROR(IF(ISNUMBER(INDEX(SPPR!$E:$Z,MATCH($A230,SPPR!$A:$A,0),9)),$C230*INDEX(SPPR!$E:$Z,MATCH($A230,SPPR!$A:$A,0),9),""),"")</f>
        <v/>
      </c>
      <c r="M230">
        <f>IFERROR(IF(ISNUMBER(INDEX(SPPR!$E:$Z,MATCH($A230,SPPR!$A:$A,0),10)),$C230*INDEX(SPPR!$E:$Z,MATCH($A230,SPPR!$A:$A,0),10),""),"")</f>
        <v/>
      </c>
      <c r="N230">
        <f>IFERROR(IF(ISNUMBER(INDEX(SPPR!$E:$Z,MATCH($A230,SPPR!$A:$A,0),11)),$C230*INDEX(SPPR!$E:$Z,MATCH($A230,SPPR!$A:$A,0),11),""),"")</f>
        <v/>
      </c>
      <c r="O230">
        <f>IFERROR(IF(ISNUMBER(INDEX(SPPR!$E:$Z,MATCH($A230,SPPR!$A:$A,0),12)),$C230*INDEX(SPPR!$E:$Z,MATCH($A230,SPPR!$A:$A,0),12),""),"")</f>
        <v/>
      </c>
      <c r="P230">
        <f>IFERROR(IF(ISNUMBER(INDEX(SPPR!$E:$Z,MATCH($A230,SPPR!$A:$A,0),13)),$C230*INDEX(SPPR!$E:$Z,MATCH($A230,SPPR!$A:$A,0),13),""),"")</f>
        <v/>
      </c>
      <c r="Q230">
        <f>IFERROR(IF(ISNUMBER(INDEX(SPPR!$E:$Z,MATCH($A230,SPPR!$A:$A,0),14)),$C230*INDEX(SPPR!$E:$Z,MATCH($A230,SPPR!$A:$A,0),14),""),"")</f>
        <v/>
      </c>
      <c r="R230">
        <f>IFERROR(IF(ISNUMBER(INDEX(SPPR!$E:$Z,MATCH($A230,SPPR!$A:$A,0),15)),$C230*INDEX(SPPR!$E:$Z,MATCH($A230,SPPR!$A:$A,0),15),""),"")</f>
        <v/>
      </c>
      <c r="S230">
        <f>IFERROR(IF(ISNUMBER(INDEX(SPPR!$E:$Z,MATCH($A230,SPPR!$A:$A,0),16)),$C230*INDEX(SPPR!$E:$Z,MATCH($A230,SPPR!$A:$A,0),16),""),"")</f>
        <v/>
      </c>
      <c r="T230">
        <f>IFERROR(IF(ISNUMBER(INDEX(SPPR!$E:$Z,MATCH($A230,SPPR!$A:$A,0),17)),$C230*INDEX(SPPR!$E:$Z,MATCH($A230,SPPR!$A:$A,0),17),""),"")</f>
        <v/>
      </c>
      <c r="U230">
        <f>IFERROR(IF(ISNUMBER(INDEX(SPPR!$E:$Z,MATCH($A230,SPPR!$A:$A,0),18)),$C230*INDEX(SPPR!$E:$Z,MATCH($A230,SPPR!$A:$A,0),18),""),"")</f>
        <v/>
      </c>
      <c r="V230">
        <f>IFERROR(IF(ISNUMBER(INDEX(SPPR!$E:$Z,MATCH($A230,SPPR!$A:$A,0),19)),$C230*INDEX(SPPR!$E:$Z,MATCH($A230,SPPR!$A:$A,0),19),""),"")</f>
        <v/>
      </c>
      <c r="W230">
        <f>IFERROR(IF(ISNUMBER(INDEX(SPPR!$E:$Z,MATCH($A230,SPPR!$A:$A,0),20)),$C230*INDEX(SPPR!$E:$Z,MATCH($A230,SPPR!$A:$A,0),20),""),"")</f>
        <v/>
      </c>
      <c r="X230">
        <f>IFERROR(IF(ISNUMBER(INDEX(SPPR!$E:$Z,MATCH($A230,SPPR!$A:$A,0),21)),$C230*INDEX(SPPR!$E:$Z,MATCH($A230,SPPR!$A:$A,0),21),""),"")</f>
        <v/>
      </c>
      <c r="Y230">
        <f>IFERROR(IF(ISNUMBER(INDEX(SPPR!$E:$Z,MATCH($A230,SPPR!$A:$A,0),22)),$C230*INDEX(SPPR!$E:$Z,MATCH($A230,SPPR!$A:$A,0),22),""),"")</f>
        <v/>
      </c>
    </row>
    <row r="231">
      <c r="A231" t="inlineStr">
        <is>
          <t>Plectorhinchus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IFERROR(IF(ISNUMBER(INDEX(SPPR!$E:$Z,MATCH($A231,SPPR!$A:$A,0),1)),$C231*INDEX(SPPR!$E:$Z,MATCH($A231,SPPR!$A:$A,0),1),""),"")</f>
        <v/>
      </c>
      <c r="E231">
        <f>IFERROR(IF(ISNUMBER(INDEX(SPPR!$E:$Z,MATCH($A231,SPPR!$A:$A,0),2)),$C231*INDEX(SPPR!$E:$Z,MATCH($A231,SPPR!$A:$A,0),2),""),"")</f>
        <v/>
      </c>
      <c r="F231">
        <f>IFERROR(IF(ISNUMBER(INDEX(SPPR!$E:$Z,MATCH($A231,SPPR!$A:$A,0),3)),$C231*INDEX(SPPR!$E:$Z,MATCH($A231,SPPR!$A:$A,0),3),""),"")</f>
        <v/>
      </c>
      <c r="G231">
        <f>IFERROR(IF(ISNUMBER(INDEX(SPPR!$E:$Z,MATCH($A231,SPPR!$A:$A,0),4)),$C231*INDEX(SPPR!$E:$Z,MATCH($A231,SPPR!$A:$A,0),4),""),"")</f>
        <v/>
      </c>
      <c r="H231">
        <f>IFERROR(IF(ISNUMBER(INDEX(SPPR!$E:$Z,MATCH($A231,SPPR!$A:$A,0),5)),$C231*INDEX(SPPR!$E:$Z,MATCH($A231,SPPR!$A:$A,0),5),""),"")</f>
        <v/>
      </c>
      <c r="I231">
        <f>IFERROR(IF(ISNUMBER(INDEX(SPPR!$E:$Z,MATCH($A231,SPPR!$A:$A,0),6)),$C231*INDEX(SPPR!$E:$Z,MATCH($A231,SPPR!$A:$A,0),6),""),"")</f>
        <v/>
      </c>
      <c r="J231">
        <f>IFERROR(IF(ISNUMBER(INDEX(SPPR!$E:$Z,MATCH($A231,SPPR!$A:$A,0),7)),$C231*INDEX(SPPR!$E:$Z,MATCH($A231,SPPR!$A:$A,0),7),""),"")</f>
        <v/>
      </c>
      <c r="K231">
        <f>IFERROR(IF(ISNUMBER(INDEX(SPPR!$E:$Z,MATCH($A231,SPPR!$A:$A,0),8)),$C231*INDEX(SPPR!$E:$Z,MATCH($A231,SPPR!$A:$A,0),8),""),"")</f>
        <v/>
      </c>
      <c r="L231">
        <f>IFERROR(IF(ISNUMBER(INDEX(SPPR!$E:$Z,MATCH($A231,SPPR!$A:$A,0),9)),$C231*INDEX(SPPR!$E:$Z,MATCH($A231,SPPR!$A:$A,0),9),""),"")</f>
        <v/>
      </c>
      <c r="M231">
        <f>IFERROR(IF(ISNUMBER(INDEX(SPPR!$E:$Z,MATCH($A231,SPPR!$A:$A,0),10)),$C231*INDEX(SPPR!$E:$Z,MATCH($A231,SPPR!$A:$A,0),10),""),"")</f>
        <v/>
      </c>
      <c r="N231">
        <f>IFERROR(IF(ISNUMBER(INDEX(SPPR!$E:$Z,MATCH($A231,SPPR!$A:$A,0),11)),$C231*INDEX(SPPR!$E:$Z,MATCH($A231,SPPR!$A:$A,0),11),""),"")</f>
        <v/>
      </c>
      <c r="O231">
        <f>IFERROR(IF(ISNUMBER(INDEX(SPPR!$E:$Z,MATCH($A231,SPPR!$A:$A,0),12)),$C231*INDEX(SPPR!$E:$Z,MATCH($A231,SPPR!$A:$A,0),12),""),"")</f>
        <v/>
      </c>
      <c r="P231">
        <f>IFERROR(IF(ISNUMBER(INDEX(SPPR!$E:$Z,MATCH($A231,SPPR!$A:$A,0),13)),$C231*INDEX(SPPR!$E:$Z,MATCH($A231,SPPR!$A:$A,0),13),""),"")</f>
        <v/>
      </c>
      <c r="Q231">
        <f>IFERROR(IF(ISNUMBER(INDEX(SPPR!$E:$Z,MATCH($A231,SPPR!$A:$A,0),14)),$C231*INDEX(SPPR!$E:$Z,MATCH($A231,SPPR!$A:$A,0),14),""),"")</f>
        <v/>
      </c>
      <c r="R231">
        <f>IFERROR(IF(ISNUMBER(INDEX(SPPR!$E:$Z,MATCH($A231,SPPR!$A:$A,0),15)),$C231*INDEX(SPPR!$E:$Z,MATCH($A231,SPPR!$A:$A,0),15),""),"")</f>
        <v/>
      </c>
      <c r="S231">
        <f>IFERROR(IF(ISNUMBER(INDEX(SPPR!$E:$Z,MATCH($A231,SPPR!$A:$A,0),16)),$C231*INDEX(SPPR!$E:$Z,MATCH($A231,SPPR!$A:$A,0),16),""),"")</f>
        <v/>
      </c>
      <c r="T231">
        <f>IFERROR(IF(ISNUMBER(INDEX(SPPR!$E:$Z,MATCH($A231,SPPR!$A:$A,0),17)),$C231*INDEX(SPPR!$E:$Z,MATCH($A231,SPPR!$A:$A,0),17),""),"")</f>
        <v/>
      </c>
      <c r="U231">
        <f>IFERROR(IF(ISNUMBER(INDEX(SPPR!$E:$Z,MATCH($A231,SPPR!$A:$A,0),18)),$C231*INDEX(SPPR!$E:$Z,MATCH($A231,SPPR!$A:$A,0),18),""),"")</f>
        <v/>
      </c>
      <c r="V231">
        <f>IFERROR(IF(ISNUMBER(INDEX(SPPR!$E:$Z,MATCH($A231,SPPR!$A:$A,0),19)),$C231*INDEX(SPPR!$E:$Z,MATCH($A231,SPPR!$A:$A,0),19),""),"")</f>
        <v/>
      </c>
      <c r="W231">
        <f>IFERROR(IF(ISNUMBER(INDEX(SPPR!$E:$Z,MATCH($A231,SPPR!$A:$A,0),20)),$C231*INDEX(SPPR!$E:$Z,MATCH($A231,SPPR!$A:$A,0),20),""),"")</f>
        <v/>
      </c>
      <c r="X231">
        <f>IFERROR(IF(ISNUMBER(INDEX(SPPR!$E:$Z,MATCH($A231,SPPR!$A:$A,0),21)),$C231*INDEX(SPPR!$E:$Z,MATCH($A231,SPPR!$A:$A,0),21),""),"")</f>
        <v/>
      </c>
      <c r="Y231">
        <f>IFERROR(IF(ISNUMBER(INDEX(SPPR!$E:$Z,MATCH($A231,SPPR!$A:$A,0),22)),$C231*INDEX(SPPR!$E:$Z,MATCH($A231,SPPR!$A:$A,0),22),""),"")</f>
        <v/>
      </c>
    </row>
    <row r="232">
      <c r="A232" t="inlineStr">
        <is>
          <t>Apostichopus japonicus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IFERROR(IF(ISNUMBER(INDEX(SPPR!$E:$Z,MATCH($A232,SPPR!$A:$A,0),1)),$C232*INDEX(SPPR!$E:$Z,MATCH($A232,SPPR!$A:$A,0),1),""),"")</f>
        <v/>
      </c>
      <c r="E232">
        <f>IFERROR(IF(ISNUMBER(INDEX(SPPR!$E:$Z,MATCH($A232,SPPR!$A:$A,0),2)),$C232*INDEX(SPPR!$E:$Z,MATCH($A232,SPPR!$A:$A,0),2),""),"")</f>
        <v/>
      </c>
      <c r="F232">
        <f>IFERROR(IF(ISNUMBER(INDEX(SPPR!$E:$Z,MATCH($A232,SPPR!$A:$A,0),3)),$C232*INDEX(SPPR!$E:$Z,MATCH($A232,SPPR!$A:$A,0),3),""),"")</f>
        <v/>
      </c>
      <c r="G232">
        <f>IFERROR(IF(ISNUMBER(INDEX(SPPR!$E:$Z,MATCH($A232,SPPR!$A:$A,0),4)),$C232*INDEX(SPPR!$E:$Z,MATCH($A232,SPPR!$A:$A,0),4),""),"")</f>
        <v/>
      </c>
      <c r="H232">
        <f>IFERROR(IF(ISNUMBER(INDEX(SPPR!$E:$Z,MATCH($A232,SPPR!$A:$A,0),5)),$C232*INDEX(SPPR!$E:$Z,MATCH($A232,SPPR!$A:$A,0),5),""),"")</f>
        <v/>
      </c>
      <c r="I232">
        <f>IFERROR(IF(ISNUMBER(INDEX(SPPR!$E:$Z,MATCH($A232,SPPR!$A:$A,0),6)),$C232*INDEX(SPPR!$E:$Z,MATCH($A232,SPPR!$A:$A,0),6),""),"")</f>
        <v/>
      </c>
      <c r="J232">
        <f>IFERROR(IF(ISNUMBER(INDEX(SPPR!$E:$Z,MATCH($A232,SPPR!$A:$A,0),7)),$C232*INDEX(SPPR!$E:$Z,MATCH($A232,SPPR!$A:$A,0),7),""),"")</f>
        <v/>
      </c>
      <c r="K232">
        <f>IFERROR(IF(ISNUMBER(INDEX(SPPR!$E:$Z,MATCH($A232,SPPR!$A:$A,0),8)),$C232*INDEX(SPPR!$E:$Z,MATCH($A232,SPPR!$A:$A,0),8),""),"")</f>
        <v/>
      </c>
      <c r="L232">
        <f>IFERROR(IF(ISNUMBER(INDEX(SPPR!$E:$Z,MATCH($A232,SPPR!$A:$A,0),9)),$C232*INDEX(SPPR!$E:$Z,MATCH($A232,SPPR!$A:$A,0),9),""),"")</f>
        <v/>
      </c>
      <c r="M232">
        <f>IFERROR(IF(ISNUMBER(INDEX(SPPR!$E:$Z,MATCH($A232,SPPR!$A:$A,0),10)),$C232*INDEX(SPPR!$E:$Z,MATCH($A232,SPPR!$A:$A,0),10),""),"")</f>
        <v/>
      </c>
      <c r="N232">
        <f>IFERROR(IF(ISNUMBER(INDEX(SPPR!$E:$Z,MATCH($A232,SPPR!$A:$A,0),11)),$C232*INDEX(SPPR!$E:$Z,MATCH($A232,SPPR!$A:$A,0),11),""),"")</f>
        <v/>
      </c>
      <c r="O232">
        <f>IFERROR(IF(ISNUMBER(INDEX(SPPR!$E:$Z,MATCH($A232,SPPR!$A:$A,0),12)),$C232*INDEX(SPPR!$E:$Z,MATCH($A232,SPPR!$A:$A,0),12),""),"")</f>
        <v/>
      </c>
      <c r="P232">
        <f>IFERROR(IF(ISNUMBER(INDEX(SPPR!$E:$Z,MATCH($A232,SPPR!$A:$A,0),13)),$C232*INDEX(SPPR!$E:$Z,MATCH($A232,SPPR!$A:$A,0),13),""),"")</f>
        <v/>
      </c>
      <c r="Q232">
        <f>IFERROR(IF(ISNUMBER(INDEX(SPPR!$E:$Z,MATCH($A232,SPPR!$A:$A,0),14)),$C232*INDEX(SPPR!$E:$Z,MATCH($A232,SPPR!$A:$A,0),14),""),"")</f>
        <v/>
      </c>
      <c r="R232">
        <f>IFERROR(IF(ISNUMBER(INDEX(SPPR!$E:$Z,MATCH($A232,SPPR!$A:$A,0),15)),$C232*INDEX(SPPR!$E:$Z,MATCH($A232,SPPR!$A:$A,0),15),""),"")</f>
        <v/>
      </c>
      <c r="S232">
        <f>IFERROR(IF(ISNUMBER(INDEX(SPPR!$E:$Z,MATCH($A232,SPPR!$A:$A,0),16)),$C232*INDEX(SPPR!$E:$Z,MATCH($A232,SPPR!$A:$A,0),16),""),"")</f>
        <v/>
      </c>
      <c r="T232">
        <f>IFERROR(IF(ISNUMBER(INDEX(SPPR!$E:$Z,MATCH($A232,SPPR!$A:$A,0),17)),$C232*INDEX(SPPR!$E:$Z,MATCH($A232,SPPR!$A:$A,0),17),""),"")</f>
        <v/>
      </c>
      <c r="U232">
        <f>IFERROR(IF(ISNUMBER(INDEX(SPPR!$E:$Z,MATCH($A232,SPPR!$A:$A,0),18)),$C232*INDEX(SPPR!$E:$Z,MATCH($A232,SPPR!$A:$A,0),18),""),"")</f>
        <v/>
      </c>
      <c r="V232">
        <f>IFERROR(IF(ISNUMBER(INDEX(SPPR!$E:$Z,MATCH($A232,SPPR!$A:$A,0),19)),$C232*INDEX(SPPR!$E:$Z,MATCH($A232,SPPR!$A:$A,0),19),""),"")</f>
        <v/>
      </c>
      <c r="W232">
        <f>IFERROR(IF(ISNUMBER(INDEX(SPPR!$E:$Z,MATCH($A232,SPPR!$A:$A,0),20)),$C232*INDEX(SPPR!$E:$Z,MATCH($A232,SPPR!$A:$A,0),20),""),"")</f>
        <v/>
      </c>
      <c r="X232">
        <f>IFERROR(IF(ISNUMBER(INDEX(SPPR!$E:$Z,MATCH($A232,SPPR!$A:$A,0),21)),$C232*INDEX(SPPR!$E:$Z,MATCH($A232,SPPR!$A:$A,0),21),""),"")</f>
        <v/>
      </c>
      <c r="Y232">
        <f>IFERROR(IF(ISNUMBER(INDEX(SPPR!$E:$Z,MATCH($A232,SPPR!$A:$A,0),22)),$C232*INDEX(SPPR!$E:$Z,MATCH($A232,SPPR!$A:$A,0),22),""),"")</f>
        <v/>
      </c>
    </row>
    <row r="233">
      <c r="A233" t="inlineStr">
        <is>
          <t>Portunidae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IFERROR(IF(ISNUMBER(INDEX(SPPR!$E:$Z,MATCH($A233,SPPR!$A:$A,0),1)),$C233*INDEX(SPPR!$E:$Z,MATCH($A233,SPPR!$A:$A,0),1),""),"")</f>
        <v/>
      </c>
      <c r="E233">
        <f>IFERROR(IF(ISNUMBER(INDEX(SPPR!$E:$Z,MATCH($A233,SPPR!$A:$A,0),2)),$C233*INDEX(SPPR!$E:$Z,MATCH($A233,SPPR!$A:$A,0),2),""),"")</f>
        <v/>
      </c>
      <c r="F233">
        <f>IFERROR(IF(ISNUMBER(INDEX(SPPR!$E:$Z,MATCH($A233,SPPR!$A:$A,0),3)),$C233*INDEX(SPPR!$E:$Z,MATCH($A233,SPPR!$A:$A,0),3),""),"")</f>
        <v/>
      </c>
      <c r="G233">
        <f>IFERROR(IF(ISNUMBER(INDEX(SPPR!$E:$Z,MATCH($A233,SPPR!$A:$A,0),4)),$C233*INDEX(SPPR!$E:$Z,MATCH($A233,SPPR!$A:$A,0),4),""),"")</f>
        <v/>
      </c>
      <c r="H233">
        <f>IFERROR(IF(ISNUMBER(INDEX(SPPR!$E:$Z,MATCH($A233,SPPR!$A:$A,0),5)),$C233*INDEX(SPPR!$E:$Z,MATCH($A233,SPPR!$A:$A,0),5),""),"")</f>
        <v/>
      </c>
      <c r="I233">
        <f>IFERROR(IF(ISNUMBER(INDEX(SPPR!$E:$Z,MATCH($A233,SPPR!$A:$A,0),6)),$C233*INDEX(SPPR!$E:$Z,MATCH($A233,SPPR!$A:$A,0),6),""),"")</f>
        <v/>
      </c>
      <c r="J233">
        <f>IFERROR(IF(ISNUMBER(INDEX(SPPR!$E:$Z,MATCH($A233,SPPR!$A:$A,0),7)),$C233*INDEX(SPPR!$E:$Z,MATCH($A233,SPPR!$A:$A,0),7),""),"")</f>
        <v/>
      </c>
      <c r="K233">
        <f>IFERROR(IF(ISNUMBER(INDEX(SPPR!$E:$Z,MATCH($A233,SPPR!$A:$A,0),8)),$C233*INDEX(SPPR!$E:$Z,MATCH($A233,SPPR!$A:$A,0),8),""),"")</f>
        <v/>
      </c>
      <c r="L233">
        <f>IFERROR(IF(ISNUMBER(INDEX(SPPR!$E:$Z,MATCH($A233,SPPR!$A:$A,0),9)),$C233*INDEX(SPPR!$E:$Z,MATCH($A233,SPPR!$A:$A,0),9),""),"")</f>
        <v/>
      </c>
      <c r="M233">
        <f>IFERROR(IF(ISNUMBER(INDEX(SPPR!$E:$Z,MATCH($A233,SPPR!$A:$A,0),10)),$C233*INDEX(SPPR!$E:$Z,MATCH($A233,SPPR!$A:$A,0),10),""),"")</f>
        <v/>
      </c>
      <c r="N233">
        <f>IFERROR(IF(ISNUMBER(INDEX(SPPR!$E:$Z,MATCH($A233,SPPR!$A:$A,0),11)),$C233*INDEX(SPPR!$E:$Z,MATCH($A233,SPPR!$A:$A,0),11),""),"")</f>
        <v/>
      </c>
      <c r="O233">
        <f>IFERROR(IF(ISNUMBER(INDEX(SPPR!$E:$Z,MATCH($A233,SPPR!$A:$A,0),12)),$C233*INDEX(SPPR!$E:$Z,MATCH($A233,SPPR!$A:$A,0),12),""),"")</f>
        <v/>
      </c>
      <c r="P233">
        <f>IFERROR(IF(ISNUMBER(INDEX(SPPR!$E:$Z,MATCH($A233,SPPR!$A:$A,0),13)),$C233*INDEX(SPPR!$E:$Z,MATCH($A233,SPPR!$A:$A,0),13),""),"")</f>
        <v/>
      </c>
      <c r="Q233">
        <f>IFERROR(IF(ISNUMBER(INDEX(SPPR!$E:$Z,MATCH($A233,SPPR!$A:$A,0),14)),$C233*INDEX(SPPR!$E:$Z,MATCH($A233,SPPR!$A:$A,0),14),""),"")</f>
        <v/>
      </c>
      <c r="R233">
        <f>IFERROR(IF(ISNUMBER(INDEX(SPPR!$E:$Z,MATCH($A233,SPPR!$A:$A,0),15)),$C233*INDEX(SPPR!$E:$Z,MATCH($A233,SPPR!$A:$A,0),15),""),"")</f>
        <v/>
      </c>
      <c r="S233">
        <f>IFERROR(IF(ISNUMBER(INDEX(SPPR!$E:$Z,MATCH($A233,SPPR!$A:$A,0),16)),$C233*INDEX(SPPR!$E:$Z,MATCH($A233,SPPR!$A:$A,0),16),""),"")</f>
        <v/>
      </c>
      <c r="T233">
        <f>IFERROR(IF(ISNUMBER(INDEX(SPPR!$E:$Z,MATCH($A233,SPPR!$A:$A,0),17)),$C233*INDEX(SPPR!$E:$Z,MATCH($A233,SPPR!$A:$A,0),17),""),"")</f>
        <v/>
      </c>
      <c r="U233">
        <f>IFERROR(IF(ISNUMBER(INDEX(SPPR!$E:$Z,MATCH($A233,SPPR!$A:$A,0),18)),$C233*INDEX(SPPR!$E:$Z,MATCH($A233,SPPR!$A:$A,0),18),""),"")</f>
        <v/>
      </c>
      <c r="V233">
        <f>IFERROR(IF(ISNUMBER(INDEX(SPPR!$E:$Z,MATCH($A233,SPPR!$A:$A,0),19)),$C233*INDEX(SPPR!$E:$Z,MATCH($A233,SPPR!$A:$A,0),19),""),"")</f>
        <v/>
      </c>
      <c r="W233">
        <f>IFERROR(IF(ISNUMBER(INDEX(SPPR!$E:$Z,MATCH($A233,SPPR!$A:$A,0),20)),$C233*INDEX(SPPR!$E:$Z,MATCH($A233,SPPR!$A:$A,0),20),""),"")</f>
        <v/>
      </c>
      <c r="X233">
        <f>IFERROR(IF(ISNUMBER(INDEX(SPPR!$E:$Z,MATCH($A233,SPPR!$A:$A,0),21)),$C233*INDEX(SPPR!$E:$Z,MATCH($A233,SPPR!$A:$A,0),21),""),"")</f>
        <v/>
      </c>
      <c r="Y233">
        <f>IFERROR(IF(ISNUMBER(INDEX(SPPR!$E:$Z,MATCH($A233,SPPR!$A:$A,0),22)),$C233*INDEX(SPPR!$E:$Z,MATCH($A233,SPPR!$A:$A,0),22),""),"")</f>
        <v/>
      </c>
    </row>
    <row r="234">
      <c r="A234" t="inlineStr">
        <is>
          <t>Haliotidae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IFERROR(IF(ISNUMBER(INDEX(SPPR!$E:$Z,MATCH($A234,SPPR!$A:$A,0),1)),$C234*INDEX(SPPR!$E:$Z,MATCH($A234,SPPR!$A:$A,0),1),""),"")</f>
        <v/>
      </c>
      <c r="E234">
        <f>IFERROR(IF(ISNUMBER(INDEX(SPPR!$E:$Z,MATCH($A234,SPPR!$A:$A,0),2)),$C234*INDEX(SPPR!$E:$Z,MATCH($A234,SPPR!$A:$A,0),2),""),"")</f>
        <v/>
      </c>
      <c r="F234">
        <f>IFERROR(IF(ISNUMBER(INDEX(SPPR!$E:$Z,MATCH($A234,SPPR!$A:$A,0),3)),$C234*INDEX(SPPR!$E:$Z,MATCH($A234,SPPR!$A:$A,0),3),""),"")</f>
        <v/>
      </c>
      <c r="G234">
        <f>IFERROR(IF(ISNUMBER(INDEX(SPPR!$E:$Z,MATCH($A234,SPPR!$A:$A,0),4)),$C234*INDEX(SPPR!$E:$Z,MATCH($A234,SPPR!$A:$A,0),4),""),"")</f>
        <v/>
      </c>
      <c r="H234">
        <f>IFERROR(IF(ISNUMBER(INDEX(SPPR!$E:$Z,MATCH($A234,SPPR!$A:$A,0),5)),$C234*INDEX(SPPR!$E:$Z,MATCH($A234,SPPR!$A:$A,0),5),""),"")</f>
        <v/>
      </c>
      <c r="I234">
        <f>IFERROR(IF(ISNUMBER(INDEX(SPPR!$E:$Z,MATCH($A234,SPPR!$A:$A,0),6)),$C234*INDEX(SPPR!$E:$Z,MATCH($A234,SPPR!$A:$A,0),6),""),"")</f>
        <v/>
      </c>
      <c r="J234">
        <f>IFERROR(IF(ISNUMBER(INDEX(SPPR!$E:$Z,MATCH($A234,SPPR!$A:$A,0),7)),$C234*INDEX(SPPR!$E:$Z,MATCH($A234,SPPR!$A:$A,0),7),""),"")</f>
        <v/>
      </c>
      <c r="K234">
        <f>IFERROR(IF(ISNUMBER(INDEX(SPPR!$E:$Z,MATCH($A234,SPPR!$A:$A,0),8)),$C234*INDEX(SPPR!$E:$Z,MATCH($A234,SPPR!$A:$A,0),8),""),"")</f>
        <v/>
      </c>
      <c r="L234">
        <f>IFERROR(IF(ISNUMBER(INDEX(SPPR!$E:$Z,MATCH($A234,SPPR!$A:$A,0),9)),$C234*INDEX(SPPR!$E:$Z,MATCH($A234,SPPR!$A:$A,0),9),""),"")</f>
        <v/>
      </c>
      <c r="M234">
        <f>IFERROR(IF(ISNUMBER(INDEX(SPPR!$E:$Z,MATCH($A234,SPPR!$A:$A,0),10)),$C234*INDEX(SPPR!$E:$Z,MATCH($A234,SPPR!$A:$A,0),10),""),"")</f>
        <v/>
      </c>
      <c r="N234">
        <f>IFERROR(IF(ISNUMBER(INDEX(SPPR!$E:$Z,MATCH($A234,SPPR!$A:$A,0),11)),$C234*INDEX(SPPR!$E:$Z,MATCH($A234,SPPR!$A:$A,0),11),""),"")</f>
        <v/>
      </c>
      <c r="O234">
        <f>IFERROR(IF(ISNUMBER(INDEX(SPPR!$E:$Z,MATCH($A234,SPPR!$A:$A,0),12)),$C234*INDEX(SPPR!$E:$Z,MATCH($A234,SPPR!$A:$A,0),12),""),"")</f>
        <v/>
      </c>
      <c r="P234">
        <f>IFERROR(IF(ISNUMBER(INDEX(SPPR!$E:$Z,MATCH($A234,SPPR!$A:$A,0),13)),$C234*INDEX(SPPR!$E:$Z,MATCH($A234,SPPR!$A:$A,0),13),""),"")</f>
        <v/>
      </c>
      <c r="Q234">
        <f>IFERROR(IF(ISNUMBER(INDEX(SPPR!$E:$Z,MATCH($A234,SPPR!$A:$A,0),14)),$C234*INDEX(SPPR!$E:$Z,MATCH($A234,SPPR!$A:$A,0),14),""),"")</f>
        <v/>
      </c>
      <c r="R234">
        <f>IFERROR(IF(ISNUMBER(INDEX(SPPR!$E:$Z,MATCH($A234,SPPR!$A:$A,0),15)),$C234*INDEX(SPPR!$E:$Z,MATCH($A234,SPPR!$A:$A,0),15),""),"")</f>
        <v/>
      </c>
      <c r="S234">
        <f>IFERROR(IF(ISNUMBER(INDEX(SPPR!$E:$Z,MATCH($A234,SPPR!$A:$A,0),16)),$C234*INDEX(SPPR!$E:$Z,MATCH($A234,SPPR!$A:$A,0),16),""),"")</f>
        <v/>
      </c>
      <c r="T234">
        <f>IFERROR(IF(ISNUMBER(INDEX(SPPR!$E:$Z,MATCH($A234,SPPR!$A:$A,0),17)),$C234*INDEX(SPPR!$E:$Z,MATCH($A234,SPPR!$A:$A,0),17),""),"")</f>
        <v/>
      </c>
      <c r="U234">
        <f>IFERROR(IF(ISNUMBER(INDEX(SPPR!$E:$Z,MATCH($A234,SPPR!$A:$A,0),18)),$C234*INDEX(SPPR!$E:$Z,MATCH($A234,SPPR!$A:$A,0),18),""),"")</f>
        <v/>
      </c>
      <c r="V234">
        <f>IFERROR(IF(ISNUMBER(INDEX(SPPR!$E:$Z,MATCH($A234,SPPR!$A:$A,0),19)),$C234*INDEX(SPPR!$E:$Z,MATCH($A234,SPPR!$A:$A,0),19),""),"")</f>
        <v/>
      </c>
      <c r="W234">
        <f>IFERROR(IF(ISNUMBER(INDEX(SPPR!$E:$Z,MATCH($A234,SPPR!$A:$A,0),20)),$C234*INDEX(SPPR!$E:$Z,MATCH($A234,SPPR!$A:$A,0),20),""),"")</f>
        <v/>
      </c>
      <c r="X234">
        <f>IFERROR(IF(ISNUMBER(INDEX(SPPR!$E:$Z,MATCH($A234,SPPR!$A:$A,0),21)),$C234*INDEX(SPPR!$E:$Z,MATCH($A234,SPPR!$A:$A,0),21),""),"")</f>
        <v/>
      </c>
      <c r="Y234">
        <f>IFERROR(IF(ISNUMBER(INDEX(SPPR!$E:$Z,MATCH($A234,SPPR!$A:$A,0),22)),$C234*INDEX(SPPR!$E:$Z,MATCH($A234,SPPR!$A:$A,0),22),""),"")</f>
        <v/>
      </c>
    </row>
    <row r="235">
      <c r="A235" t="inlineStr">
        <is>
          <t>Batoidea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IFERROR(IF(ISNUMBER(INDEX(SPPR!$E:$Z,MATCH($A235,SPPR!$A:$A,0),1)),$C235*INDEX(SPPR!$E:$Z,MATCH($A235,SPPR!$A:$A,0),1),""),"")</f>
        <v/>
      </c>
      <c r="E235">
        <f>IFERROR(IF(ISNUMBER(INDEX(SPPR!$E:$Z,MATCH($A235,SPPR!$A:$A,0),2)),$C235*INDEX(SPPR!$E:$Z,MATCH($A235,SPPR!$A:$A,0),2),""),"")</f>
        <v/>
      </c>
      <c r="F235">
        <f>IFERROR(IF(ISNUMBER(INDEX(SPPR!$E:$Z,MATCH($A235,SPPR!$A:$A,0),3)),$C235*INDEX(SPPR!$E:$Z,MATCH($A235,SPPR!$A:$A,0),3),""),"")</f>
        <v/>
      </c>
      <c r="G235">
        <f>IFERROR(IF(ISNUMBER(INDEX(SPPR!$E:$Z,MATCH($A235,SPPR!$A:$A,0),4)),$C235*INDEX(SPPR!$E:$Z,MATCH($A235,SPPR!$A:$A,0),4),""),"")</f>
        <v/>
      </c>
      <c r="H235">
        <f>IFERROR(IF(ISNUMBER(INDEX(SPPR!$E:$Z,MATCH($A235,SPPR!$A:$A,0),5)),$C235*INDEX(SPPR!$E:$Z,MATCH($A235,SPPR!$A:$A,0),5),""),"")</f>
        <v/>
      </c>
      <c r="I235">
        <f>IFERROR(IF(ISNUMBER(INDEX(SPPR!$E:$Z,MATCH($A235,SPPR!$A:$A,0),6)),$C235*INDEX(SPPR!$E:$Z,MATCH($A235,SPPR!$A:$A,0),6),""),"")</f>
        <v/>
      </c>
      <c r="J235">
        <f>IFERROR(IF(ISNUMBER(INDEX(SPPR!$E:$Z,MATCH($A235,SPPR!$A:$A,0),7)),$C235*INDEX(SPPR!$E:$Z,MATCH($A235,SPPR!$A:$A,0),7),""),"")</f>
        <v/>
      </c>
      <c r="K235">
        <f>IFERROR(IF(ISNUMBER(INDEX(SPPR!$E:$Z,MATCH($A235,SPPR!$A:$A,0),8)),$C235*INDEX(SPPR!$E:$Z,MATCH($A235,SPPR!$A:$A,0),8),""),"")</f>
        <v/>
      </c>
      <c r="L235">
        <f>IFERROR(IF(ISNUMBER(INDEX(SPPR!$E:$Z,MATCH($A235,SPPR!$A:$A,0),9)),$C235*INDEX(SPPR!$E:$Z,MATCH($A235,SPPR!$A:$A,0),9),""),"")</f>
        <v/>
      </c>
      <c r="M235">
        <f>IFERROR(IF(ISNUMBER(INDEX(SPPR!$E:$Z,MATCH($A235,SPPR!$A:$A,0),10)),$C235*INDEX(SPPR!$E:$Z,MATCH($A235,SPPR!$A:$A,0),10),""),"")</f>
        <v/>
      </c>
      <c r="N235">
        <f>IFERROR(IF(ISNUMBER(INDEX(SPPR!$E:$Z,MATCH($A235,SPPR!$A:$A,0),11)),$C235*INDEX(SPPR!$E:$Z,MATCH($A235,SPPR!$A:$A,0),11),""),"")</f>
        <v/>
      </c>
      <c r="O235">
        <f>IFERROR(IF(ISNUMBER(INDEX(SPPR!$E:$Z,MATCH($A235,SPPR!$A:$A,0),12)),$C235*INDEX(SPPR!$E:$Z,MATCH($A235,SPPR!$A:$A,0),12),""),"")</f>
        <v/>
      </c>
      <c r="P235">
        <f>IFERROR(IF(ISNUMBER(INDEX(SPPR!$E:$Z,MATCH($A235,SPPR!$A:$A,0),13)),$C235*INDEX(SPPR!$E:$Z,MATCH($A235,SPPR!$A:$A,0),13),""),"")</f>
        <v/>
      </c>
      <c r="Q235">
        <f>IFERROR(IF(ISNUMBER(INDEX(SPPR!$E:$Z,MATCH($A235,SPPR!$A:$A,0),14)),$C235*INDEX(SPPR!$E:$Z,MATCH($A235,SPPR!$A:$A,0),14),""),"")</f>
        <v/>
      </c>
      <c r="R235">
        <f>IFERROR(IF(ISNUMBER(INDEX(SPPR!$E:$Z,MATCH($A235,SPPR!$A:$A,0),15)),$C235*INDEX(SPPR!$E:$Z,MATCH($A235,SPPR!$A:$A,0),15),""),"")</f>
        <v/>
      </c>
      <c r="S235">
        <f>IFERROR(IF(ISNUMBER(INDEX(SPPR!$E:$Z,MATCH($A235,SPPR!$A:$A,0),16)),$C235*INDEX(SPPR!$E:$Z,MATCH($A235,SPPR!$A:$A,0),16),""),"")</f>
        <v/>
      </c>
      <c r="T235">
        <f>IFERROR(IF(ISNUMBER(INDEX(SPPR!$E:$Z,MATCH($A235,SPPR!$A:$A,0),17)),$C235*INDEX(SPPR!$E:$Z,MATCH($A235,SPPR!$A:$A,0),17),""),"")</f>
        <v/>
      </c>
      <c r="U235">
        <f>IFERROR(IF(ISNUMBER(INDEX(SPPR!$E:$Z,MATCH($A235,SPPR!$A:$A,0),18)),$C235*INDEX(SPPR!$E:$Z,MATCH($A235,SPPR!$A:$A,0),18),""),"")</f>
        <v/>
      </c>
      <c r="V235">
        <f>IFERROR(IF(ISNUMBER(INDEX(SPPR!$E:$Z,MATCH($A235,SPPR!$A:$A,0),19)),$C235*INDEX(SPPR!$E:$Z,MATCH($A235,SPPR!$A:$A,0),19),""),"")</f>
        <v/>
      </c>
      <c r="W235">
        <f>IFERROR(IF(ISNUMBER(INDEX(SPPR!$E:$Z,MATCH($A235,SPPR!$A:$A,0),20)),$C235*INDEX(SPPR!$E:$Z,MATCH($A235,SPPR!$A:$A,0),20),""),"")</f>
        <v/>
      </c>
      <c r="X235">
        <f>IFERROR(IF(ISNUMBER(INDEX(SPPR!$E:$Z,MATCH($A235,SPPR!$A:$A,0),21)),$C235*INDEX(SPPR!$E:$Z,MATCH($A235,SPPR!$A:$A,0),21),""),"")</f>
        <v/>
      </c>
      <c r="Y235">
        <f>IFERROR(IF(ISNUMBER(INDEX(SPPR!$E:$Z,MATCH($A235,SPPR!$A:$A,0),22)),$C235*INDEX(SPPR!$E:$Z,MATCH($A235,SPPR!$A:$A,0),22),""),"")</f>
        <v/>
      </c>
    </row>
    <row r="236">
      <c r="A236" t="inlineStr">
        <is>
          <t>Istiophorus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IFERROR(IF(ISNUMBER(INDEX(SPPR!$E:$Z,MATCH($A236,SPPR!$A:$A,0),1)),$C236*INDEX(SPPR!$E:$Z,MATCH($A236,SPPR!$A:$A,0),1),""),"")</f>
        <v/>
      </c>
      <c r="E236">
        <f>IFERROR(IF(ISNUMBER(INDEX(SPPR!$E:$Z,MATCH($A236,SPPR!$A:$A,0),2)),$C236*INDEX(SPPR!$E:$Z,MATCH($A236,SPPR!$A:$A,0),2),""),"")</f>
        <v/>
      </c>
      <c r="F236">
        <f>IFERROR(IF(ISNUMBER(INDEX(SPPR!$E:$Z,MATCH($A236,SPPR!$A:$A,0),3)),$C236*INDEX(SPPR!$E:$Z,MATCH($A236,SPPR!$A:$A,0),3),""),"")</f>
        <v/>
      </c>
      <c r="G236">
        <f>IFERROR(IF(ISNUMBER(INDEX(SPPR!$E:$Z,MATCH($A236,SPPR!$A:$A,0),4)),$C236*INDEX(SPPR!$E:$Z,MATCH($A236,SPPR!$A:$A,0),4),""),"")</f>
        <v/>
      </c>
      <c r="H236">
        <f>IFERROR(IF(ISNUMBER(INDEX(SPPR!$E:$Z,MATCH($A236,SPPR!$A:$A,0),5)),$C236*INDEX(SPPR!$E:$Z,MATCH($A236,SPPR!$A:$A,0),5),""),"")</f>
        <v/>
      </c>
      <c r="I236">
        <f>IFERROR(IF(ISNUMBER(INDEX(SPPR!$E:$Z,MATCH($A236,SPPR!$A:$A,0),6)),$C236*INDEX(SPPR!$E:$Z,MATCH($A236,SPPR!$A:$A,0),6),""),"")</f>
        <v/>
      </c>
      <c r="J236">
        <f>IFERROR(IF(ISNUMBER(INDEX(SPPR!$E:$Z,MATCH($A236,SPPR!$A:$A,0),7)),$C236*INDEX(SPPR!$E:$Z,MATCH($A236,SPPR!$A:$A,0),7),""),"")</f>
        <v/>
      </c>
      <c r="K236">
        <f>IFERROR(IF(ISNUMBER(INDEX(SPPR!$E:$Z,MATCH($A236,SPPR!$A:$A,0),8)),$C236*INDEX(SPPR!$E:$Z,MATCH($A236,SPPR!$A:$A,0),8),""),"")</f>
        <v/>
      </c>
      <c r="L236">
        <f>IFERROR(IF(ISNUMBER(INDEX(SPPR!$E:$Z,MATCH($A236,SPPR!$A:$A,0),9)),$C236*INDEX(SPPR!$E:$Z,MATCH($A236,SPPR!$A:$A,0),9),""),"")</f>
        <v/>
      </c>
      <c r="M236">
        <f>IFERROR(IF(ISNUMBER(INDEX(SPPR!$E:$Z,MATCH($A236,SPPR!$A:$A,0),10)),$C236*INDEX(SPPR!$E:$Z,MATCH($A236,SPPR!$A:$A,0),10),""),"")</f>
        <v/>
      </c>
      <c r="N236">
        <f>IFERROR(IF(ISNUMBER(INDEX(SPPR!$E:$Z,MATCH($A236,SPPR!$A:$A,0),11)),$C236*INDEX(SPPR!$E:$Z,MATCH($A236,SPPR!$A:$A,0),11),""),"")</f>
        <v/>
      </c>
      <c r="O236">
        <f>IFERROR(IF(ISNUMBER(INDEX(SPPR!$E:$Z,MATCH($A236,SPPR!$A:$A,0),12)),$C236*INDEX(SPPR!$E:$Z,MATCH($A236,SPPR!$A:$A,0),12),""),"")</f>
        <v/>
      </c>
      <c r="P236">
        <f>IFERROR(IF(ISNUMBER(INDEX(SPPR!$E:$Z,MATCH($A236,SPPR!$A:$A,0),13)),$C236*INDEX(SPPR!$E:$Z,MATCH($A236,SPPR!$A:$A,0),13),""),"")</f>
        <v/>
      </c>
      <c r="Q236">
        <f>IFERROR(IF(ISNUMBER(INDEX(SPPR!$E:$Z,MATCH($A236,SPPR!$A:$A,0),14)),$C236*INDEX(SPPR!$E:$Z,MATCH($A236,SPPR!$A:$A,0),14),""),"")</f>
        <v/>
      </c>
      <c r="R236">
        <f>IFERROR(IF(ISNUMBER(INDEX(SPPR!$E:$Z,MATCH($A236,SPPR!$A:$A,0),15)),$C236*INDEX(SPPR!$E:$Z,MATCH($A236,SPPR!$A:$A,0),15),""),"")</f>
        <v/>
      </c>
      <c r="S236">
        <f>IFERROR(IF(ISNUMBER(INDEX(SPPR!$E:$Z,MATCH($A236,SPPR!$A:$A,0),16)),$C236*INDEX(SPPR!$E:$Z,MATCH($A236,SPPR!$A:$A,0),16),""),"")</f>
        <v/>
      </c>
      <c r="T236">
        <f>IFERROR(IF(ISNUMBER(INDEX(SPPR!$E:$Z,MATCH($A236,SPPR!$A:$A,0),17)),$C236*INDEX(SPPR!$E:$Z,MATCH($A236,SPPR!$A:$A,0),17),""),"")</f>
        <v/>
      </c>
      <c r="U236">
        <f>IFERROR(IF(ISNUMBER(INDEX(SPPR!$E:$Z,MATCH($A236,SPPR!$A:$A,0),18)),$C236*INDEX(SPPR!$E:$Z,MATCH($A236,SPPR!$A:$A,0),18),""),"")</f>
        <v/>
      </c>
      <c r="V236">
        <f>IFERROR(IF(ISNUMBER(INDEX(SPPR!$E:$Z,MATCH($A236,SPPR!$A:$A,0),19)),$C236*INDEX(SPPR!$E:$Z,MATCH($A236,SPPR!$A:$A,0),19),""),"")</f>
        <v/>
      </c>
      <c r="W236">
        <f>IFERROR(IF(ISNUMBER(INDEX(SPPR!$E:$Z,MATCH($A236,SPPR!$A:$A,0),20)),$C236*INDEX(SPPR!$E:$Z,MATCH($A236,SPPR!$A:$A,0),20),""),"")</f>
        <v/>
      </c>
      <c r="X236">
        <f>IFERROR(IF(ISNUMBER(INDEX(SPPR!$E:$Z,MATCH($A236,SPPR!$A:$A,0),21)),$C236*INDEX(SPPR!$E:$Z,MATCH($A236,SPPR!$A:$A,0),21),""),"")</f>
        <v/>
      </c>
      <c r="Y236">
        <f>IFERROR(IF(ISNUMBER(INDEX(SPPR!$E:$Z,MATCH($A236,SPPR!$A:$A,0),22)),$C236*INDEX(SPPR!$E:$Z,MATCH($A236,SPPR!$A:$A,0),22),""),"")</f>
        <v/>
      </c>
    </row>
    <row r="237">
      <c r="A237" t="inlineStr">
        <is>
          <t>Platycaranx malabaricus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IFERROR(IF(ISNUMBER(INDEX(SPPR!$E:$Z,MATCH($A237,SPPR!$A:$A,0),1)),$C237*INDEX(SPPR!$E:$Z,MATCH($A237,SPPR!$A:$A,0),1),""),"")</f>
        <v/>
      </c>
      <c r="E237">
        <f>IFERROR(IF(ISNUMBER(INDEX(SPPR!$E:$Z,MATCH($A237,SPPR!$A:$A,0),2)),$C237*INDEX(SPPR!$E:$Z,MATCH($A237,SPPR!$A:$A,0),2),""),"")</f>
        <v/>
      </c>
      <c r="F237">
        <f>IFERROR(IF(ISNUMBER(INDEX(SPPR!$E:$Z,MATCH($A237,SPPR!$A:$A,0),3)),$C237*INDEX(SPPR!$E:$Z,MATCH($A237,SPPR!$A:$A,0),3),""),"")</f>
        <v/>
      </c>
      <c r="G237">
        <f>IFERROR(IF(ISNUMBER(INDEX(SPPR!$E:$Z,MATCH($A237,SPPR!$A:$A,0),4)),$C237*INDEX(SPPR!$E:$Z,MATCH($A237,SPPR!$A:$A,0),4),""),"")</f>
        <v/>
      </c>
      <c r="H237">
        <f>IFERROR(IF(ISNUMBER(INDEX(SPPR!$E:$Z,MATCH($A237,SPPR!$A:$A,0),5)),$C237*INDEX(SPPR!$E:$Z,MATCH($A237,SPPR!$A:$A,0),5),""),"")</f>
        <v/>
      </c>
      <c r="I237">
        <f>IFERROR(IF(ISNUMBER(INDEX(SPPR!$E:$Z,MATCH($A237,SPPR!$A:$A,0),6)),$C237*INDEX(SPPR!$E:$Z,MATCH($A237,SPPR!$A:$A,0),6),""),"")</f>
        <v/>
      </c>
      <c r="J237">
        <f>IFERROR(IF(ISNUMBER(INDEX(SPPR!$E:$Z,MATCH($A237,SPPR!$A:$A,0),7)),$C237*INDEX(SPPR!$E:$Z,MATCH($A237,SPPR!$A:$A,0),7),""),"")</f>
        <v/>
      </c>
      <c r="K237">
        <f>IFERROR(IF(ISNUMBER(INDEX(SPPR!$E:$Z,MATCH($A237,SPPR!$A:$A,0),8)),$C237*INDEX(SPPR!$E:$Z,MATCH($A237,SPPR!$A:$A,0),8),""),"")</f>
        <v/>
      </c>
      <c r="L237">
        <f>IFERROR(IF(ISNUMBER(INDEX(SPPR!$E:$Z,MATCH($A237,SPPR!$A:$A,0),9)),$C237*INDEX(SPPR!$E:$Z,MATCH($A237,SPPR!$A:$A,0),9),""),"")</f>
        <v/>
      </c>
      <c r="M237">
        <f>IFERROR(IF(ISNUMBER(INDEX(SPPR!$E:$Z,MATCH($A237,SPPR!$A:$A,0),10)),$C237*INDEX(SPPR!$E:$Z,MATCH($A237,SPPR!$A:$A,0),10),""),"")</f>
        <v/>
      </c>
      <c r="N237">
        <f>IFERROR(IF(ISNUMBER(INDEX(SPPR!$E:$Z,MATCH($A237,SPPR!$A:$A,0),11)),$C237*INDEX(SPPR!$E:$Z,MATCH($A237,SPPR!$A:$A,0),11),""),"")</f>
        <v/>
      </c>
      <c r="O237">
        <f>IFERROR(IF(ISNUMBER(INDEX(SPPR!$E:$Z,MATCH($A237,SPPR!$A:$A,0),12)),$C237*INDEX(SPPR!$E:$Z,MATCH($A237,SPPR!$A:$A,0),12),""),"")</f>
        <v/>
      </c>
      <c r="P237">
        <f>IFERROR(IF(ISNUMBER(INDEX(SPPR!$E:$Z,MATCH($A237,SPPR!$A:$A,0),13)),$C237*INDEX(SPPR!$E:$Z,MATCH($A237,SPPR!$A:$A,0),13),""),"")</f>
        <v/>
      </c>
      <c r="Q237">
        <f>IFERROR(IF(ISNUMBER(INDEX(SPPR!$E:$Z,MATCH($A237,SPPR!$A:$A,0),14)),$C237*INDEX(SPPR!$E:$Z,MATCH($A237,SPPR!$A:$A,0),14),""),"")</f>
        <v/>
      </c>
      <c r="R237">
        <f>IFERROR(IF(ISNUMBER(INDEX(SPPR!$E:$Z,MATCH($A237,SPPR!$A:$A,0),15)),$C237*INDEX(SPPR!$E:$Z,MATCH($A237,SPPR!$A:$A,0),15),""),"")</f>
        <v/>
      </c>
      <c r="S237">
        <f>IFERROR(IF(ISNUMBER(INDEX(SPPR!$E:$Z,MATCH($A237,SPPR!$A:$A,0),16)),$C237*INDEX(SPPR!$E:$Z,MATCH($A237,SPPR!$A:$A,0),16),""),"")</f>
        <v/>
      </c>
      <c r="T237">
        <f>IFERROR(IF(ISNUMBER(INDEX(SPPR!$E:$Z,MATCH($A237,SPPR!$A:$A,0),17)),$C237*INDEX(SPPR!$E:$Z,MATCH($A237,SPPR!$A:$A,0),17),""),"")</f>
        <v/>
      </c>
      <c r="U237">
        <f>IFERROR(IF(ISNUMBER(INDEX(SPPR!$E:$Z,MATCH($A237,SPPR!$A:$A,0),18)),$C237*INDEX(SPPR!$E:$Z,MATCH($A237,SPPR!$A:$A,0),18),""),"")</f>
        <v/>
      </c>
      <c r="V237">
        <f>IFERROR(IF(ISNUMBER(INDEX(SPPR!$E:$Z,MATCH($A237,SPPR!$A:$A,0),19)),$C237*INDEX(SPPR!$E:$Z,MATCH($A237,SPPR!$A:$A,0),19),""),"")</f>
        <v/>
      </c>
      <c r="W237">
        <f>IFERROR(IF(ISNUMBER(INDEX(SPPR!$E:$Z,MATCH($A237,SPPR!$A:$A,0),20)),$C237*INDEX(SPPR!$E:$Z,MATCH($A237,SPPR!$A:$A,0),20),""),"")</f>
        <v/>
      </c>
      <c r="X237">
        <f>IFERROR(IF(ISNUMBER(INDEX(SPPR!$E:$Z,MATCH($A237,SPPR!$A:$A,0),21)),$C237*INDEX(SPPR!$E:$Z,MATCH($A237,SPPR!$A:$A,0),21),""),"")</f>
        <v/>
      </c>
      <c r="Y237">
        <f>IFERROR(IF(ISNUMBER(INDEX(SPPR!$E:$Z,MATCH($A237,SPPR!$A:$A,0),22)),$C237*INDEX(SPPR!$E:$Z,MATCH($A237,SPPR!$A:$A,0),22),""),"")</f>
        <v/>
      </c>
    </row>
    <row r="238">
      <c r="A238" t="inlineStr">
        <is>
          <t>Nemipterus japonicus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IFERROR(IF(ISNUMBER(INDEX(SPPR!$E:$Z,MATCH($A238,SPPR!$A:$A,0),1)),$C238*INDEX(SPPR!$E:$Z,MATCH($A238,SPPR!$A:$A,0),1),""),"")</f>
        <v/>
      </c>
      <c r="E238">
        <f>IFERROR(IF(ISNUMBER(INDEX(SPPR!$E:$Z,MATCH($A238,SPPR!$A:$A,0),2)),$C238*INDEX(SPPR!$E:$Z,MATCH($A238,SPPR!$A:$A,0),2),""),"")</f>
        <v/>
      </c>
      <c r="F238">
        <f>IFERROR(IF(ISNUMBER(INDEX(SPPR!$E:$Z,MATCH($A238,SPPR!$A:$A,0),3)),$C238*INDEX(SPPR!$E:$Z,MATCH($A238,SPPR!$A:$A,0),3),""),"")</f>
        <v/>
      </c>
      <c r="G238">
        <f>IFERROR(IF(ISNUMBER(INDEX(SPPR!$E:$Z,MATCH($A238,SPPR!$A:$A,0),4)),$C238*INDEX(SPPR!$E:$Z,MATCH($A238,SPPR!$A:$A,0),4),""),"")</f>
        <v/>
      </c>
      <c r="H238">
        <f>IFERROR(IF(ISNUMBER(INDEX(SPPR!$E:$Z,MATCH($A238,SPPR!$A:$A,0),5)),$C238*INDEX(SPPR!$E:$Z,MATCH($A238,SPPR!$A:$A,0),5),""),"")</f>
        <v/>
      </c>
      <c r="I238">
        <f>IFERROR(IF(ISNUMBER(INDEX(SPPR!$E:$Z,MATCH($A238,SPPR!$A:$A,0),6)),$C238*INDEX(SPPR!$E:$Z,MATCH($A238,SPPR!$A:$A,0),6),""),"")</f>
        <v/>
      </c>
      <c r="J238">
        <f>IFERROR(IF(ISNUMBER(INDEX(SPPR!$E:$Z,MATCH($A238,SPPR!$A:$A,0),7)),$C238*INDEX(SPPR!$E:$Z,MATCH($A238,SPPR!$A:$A,0),7),""),"")</f>
        <v/>
      </c>
      <c r="K238">
        <f>IFERROR(IF(ISNUMBER(INDEX(SPPR!$E:$Z,MATCH($A238,SPPR!$A:$A,0),8)),$C238*INDEX(SPPR!$E:$Z,MATCH($A238,SPPR!$A:$A,0),8),""),"")</f>
        <v/>
      </c>
      <c r="L238">
        <f>IFERROR(IF(ISNUMBER(INDEX(SPPR!$E:$Z,MATCH($A238,SPPR!$A:$A,0),9)),$C238*INDEX(SPPR!$E:$Z,MATCH($A238,SPPR!$A:$A,0),9),""),"")</f>
        <v/>
      </c>
      <c r="M238">
        <f>IFERROR(IF(ISNUMBER(INDEX(SPPR!$E:$Z,MATCH($A238,SPPR!$A:$A,0),10)),$C238*INDEX(SPPR!$E:$Z,MATCH($A238,SPPR!$A:$A,0),10),""),"")</f>
        <v/>
      </c>
      <c r="N238">
        <f>IFERROR(IF(ISNUMBER(INDEX(SPPR!$E:$Z,MATCH($A238,SPPR!$A:$A,0),11)),$C238*INDEX(SPPR!$E:$Z,MATCH($A238,SPPR!$A:$A,0),11),""),"")</f>
        <v/>
      </c>
      <c r="O238">
        <f>IFERROR(IF(ISNUMBER(INDEX(SPPR!$E:$Z,MATCH($A238,SPPR!$A:$A,0),12)),$C238*INDEX(SPPR!$E:$Z,MATCH($A238,SPPR!$A:$A,0),12),""),"")</f>
        <v/>
      </c>
      <c r="P238">
        <f>IFERROR(IF(ISNUMBER(INDEX(SPPR!$E:$Z,MATCH($A238,SPPR!$A:$A,0),13)),$C238*INDEX(SPPR!$E:$Z,MATCH($A238,SPPR!$A:$A,0),13),""),"")</f>
        <v/>
      </c>
      <c r="Q238">
        <f>IFERROR(IF(ISNUMBER(INDEX(SPPR!$E:$Z,MATCH($A238,SPPR!$A:$A,0),14)),$C238*INDEX(SPPR!$E:$Z,MATCH($A238,SPPR!$A:$A,0),14),""),"")</f>
        <v/>
      </c>
      <c r="R238">
        <f>IFERROR(IF(ISNUMBER(INDEX(SPPR!$E:$Z,MATCH($A238,SPPR!$A:$A,0),15)),$C238*INDEX(SPPR!$E:$Z,MATCH($A238,SPPR!$A:$A,0),15),""),"")</f>
        <v/>
      </c>
      <c r="S238">
        <f>IFERROR(IF(ISNUMBER(INDEX(SPPR!$E:$Z,MATCH($A238,SPPR!$A:$A,0),16)),$C238*INDEX(SPPR!$E:$Z,MATCH($A238,SPPR!$A:$A,0),16),""),"")</f>
        <v/>
      </c>
      <c r="T238">
        <f>IFERROR(IF(ISNUMBER(INDEX(SPPR!$E:$Z,MATCH($A238,SPPR!$A:$A,0),17)),$C238*INDEX(SPPR!$E:$Z,MATCH($A238,SPPR!$A:$A,0),17),""),"")</f>
        <v/>
      </c>
      <c r="U238">
        <f>IFERROR(IF(ISNUMBER(INDEX(SPPR!$E:$Z,MATCH($A238,SPPR!$A:$A,0),18)),$C238*INDEX(SPPR!$E:$Z,MATCH($A238,SPPR!$A:$A,0),18),""),"")</f>
        <v/>
      </c>
      <c r="V238">
        <f>IFERROR(IF(ISNUMBER(INDEX(SPPR!$E:$Z,MATCH($A238,SPPR!$A:$A,0),19)),$C238*INDEX(SPPR!$E:$Z,MATCH($A238,SPPR!$A:$A,0),19),""),"")</f>
        <v/>
      </c>
      <c r="W238">
        <f>IFERROR(IF(ISNUMBER(INDEX(SPPR!$E:$Z,MATCH($A238,SPPR!$A:$A,0),20)),$C238*INDEX(SPPR!$E:$Z,MATCH($A238,SPPR!$A:$A,0),20),""),"")</f>
        <v/>
      </c>
      <c r="X238">
        <f>IFERROR(IF(ISNUMBER(INDEX(SPPR!$E:$Z,MATCH($A238,SPPR!$A:$A,0),21)),$C238*INDEX(SPPR!$E:$Z,MATCH($A238,SPPR!$A:$A,0),21),""),"")</f>
        <v/>
      </c>
      <c r="Y238">
        <f>IFERROR(IF(ISNUMBER(INDEX(SPPR!$E:$Z,MATCH($A238,SPPR!$A:$A,0),22)),$C238*INDEX(SPPR!$E:$Z,MATCH($A238,SPPR!$A:$A,0),22),""),"")</f>
        <v/>
      </c>
    </row>
    <row r="239">
      <c r="A239" t="inlineStr">
        <is>
          <t>Bothidae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IFERROR(IF(ISNUMBER(INDEX(SPPR!$E:$Z,MATCH($A239,SPPR!$A:$A,0),1)),$C239*INDEX(SPPR!$E:$Z,MATCH($A239,SPPR!$A:$A,0),1),""),"")</f>
        <v/>
      </c>
      <c r="E239">
        <f>IFERROR(IF(ISNUMBER(INDEX(SPPR!$E:$Z,MATCH($A239,SPPR!$A:$A,0),2)),$C239*INDEX(SPPR!$E:$Z,MATCH($A239,SPPR!$A:$A,0),2),""),"")</f>
        <v/>
      </c>
      <c r="F239">
        <f>IFERROR(IF(ISNUMBER(INDEX(SPPR!$E:$Z,MATCH($A239,SPPR!$A:$A,0),3)),$C239*INDEX(SPPR!$E:$Z,MATCH($A239,SPPR!$A:$A,0),3),""),"")</f>
        <v/>
      </c>
      <c r="G239">
        <f>IFERROR(IF(ISNUMBER(INDEX(SPPR!$E:$Z,MATCH($A239,SPPR!$A:$A,0),4)),$C239*INDEX(SPPR!$E:$Z,MATCH($A239,SPPR!$A:$A,0),4),""),"")</f>
        <v/>
      </c>
      <c r="H239">
        <f>IFERROR(IF(ISNUMBER(INDEX(SPPR!$E:$Z,MATCH($A239,SPPR!$A:$A,0),5)),$C239*INDEX(SPPR!$E:$Z,MATCH($A239,SPPR!$A:$A,0),5),""),"")</f>
        <v/>
      </c>
      <c r="I239">
        <f>IFERROR(IF(ISNUMBER(INDEX(SPPR!$E:$Z,MATCH($A239,SPPR!$A:$A,0),6)),$C239*INDEX(SPPR!$E:$Z,MATCH($A239,SPPR!$A:$A,0),6),""),"")</f>
        <v/>
      </c>
      <c r="J239">
        <f>IFERROR(IF(ISNUMBER(INDEX(SPPR!$E:$Z,MATCH($A239,SPPR!$A:$A,0),7)),$C239*INDEX(SPPR!$E:$Z,MATCH($A239,SPPR!$A:$A,0),7),""),"")</f>
        <v/>
      </c>
      <c r="K239">
        <f>IFERROR(IF(ISNUMBER(INDEX(SPPR!$E:$Z,MATCH($A239,SPPR!$A:$A,0),8)),$C239*INDEX(SPPR!$E:$Z,MATCH($A239,SPPR!$A:$A,0),8),""),"")</f>
        <v/>
      </c>
      <c r="L239">
        <f>IFERROR(IF(ISNUMBER(INDEX(SPPR!$E:$Z,MATCH($A239,SPPR!$A:$A,0),9)),$C239*INDEX(SPPR!$E:$Z,MATCH($A239,SPPR!$A:$A,0),9),""),"")</f>
        <v/>
      </c>
      <c r="M239">
        <f>IFERROR(IF(ISNUMBER(INDEX(SPPR!$E:$Z,MATCH($A239,SPPR!$A:$A,0),10)),$C239*INDEX(SPPR!$E:$Z,MATCH($A239,SPPR!$A:$A,0),10),""),"")</f>
        <v/>
      </c>
      <c r="N239">
        <f>IFERROR(IF(ISNUMBER(INDEX(SPPR!$E:$Z,MATCH($A239,SPPR!$A:$A,0),11)),$C239*INDEX(SPPR!$E:$Z,MATCH($A239,SPPR!$A:$A,0),11),""),"")</f>
        <v/>
      </c>
      <c r="O239">
        <f>IFERROR(IF(ISNUMBER(INDEX(SPPR!$E:$Z,MATCH($A239,SPPR!$A:$A,0),12)),$C239*INDEX(SPPR!$E:$Z,MATCH($A239,SPPR!$A:$A,0),12),""),"")</f>
        <v/>
      </c>
      <c r="P239">
        <f>IFERROR(IF(ISNUMBER(INDEX(SPPR!$E:$Z,MATCH($A239,SPPR!$A:$A,0),13)),$C239*INDEX(SPPR!$E:$Z,MATCH($A239,SPPR!$A:$A,0),13),""),"")</f>
        <v/>
      </c>
      <c r="Q239">
        <f>IFERROR(IF(ISNUMBER(INDEX(SPPR!$E:$Z,MATCH($A239,SPPR!$A:$A,0),14)),$C239*INDEX(SPPR!$E:$Z,MATCH($A239,SPPR!$A:$A,0),14),""),"")</f>
        <v/>
      </c>
      <c r="R239">
        <f>IFERROR(IF(ISNUMBER(INDEX(SPPR!$E:$Z,MATCH($A239,SPPR!$A:$A,0),15)),$C239*INDEX(SPPR!$E:$Z,MATCH($A239,SPPR!$A:$A,0),15),""),"")</f>
        <v/>
      </c>
      <c r="S239">
        <f>IFERROR(IF(ISNUMBER(INDEX(SPPR!$E:$Z,MATCH($A239,SPPR!$A:$A,0),16)),$C239*INDEX(SPPR!$E:$Z,MATCH($A239,SPPR!$A:$A,0),16),""),"")</f>
        <v/>
      </c>
      <c r="T239">
        <f>IFERROR(IF(ISNUMBER(INDEX(SPPR!$E:$Z,MATCH($A239,SPPR!$A:$A,0),17)),$C239*INDEX(SPPR!$E:$Z,MATCH($A239,SPPR!$A:$A,0),17),""),"")</f>
        <v/>
      </c>
      <c r="U239">
        <f>IFERROR(IF(ISNUMBER(INDEX(SPPR!$E:$Z,MATCH($A239,SPPR!$A:$A,0),18)),$C239*INDEX(SPPR!$E:$Z,MATCH($A239,SPPR!$A:$A,0),18),""),"")</f>
        <v/>
      </c>
      <c r="V239">
        <f>IFERROR(IF(ISNUMBER(INDEX(SPPR!$E:$Z,MATCH($A239,SPPR!$A:$A,0),19)),$C239*INDEX(SPPR!$E:$Z,MATCH($A239,SPPR!$A:$A,0),19),""),"")</f>
        <v/>
      </c>
      <c r="W239">
        <f>IFERROR(IF(ISNUMBER(INDEX(SPPR!$E:$Z,MATCH($A239,SPPR!$A:$A,0),20)),$C239*INDEX(SPPR!$E:$Z,MATCH($A239,SPPR!$A:$A,0),20),""),"")</f>
        <v/>
      </c>
      <c r="X239">
        <f>IFERROR(IF(ISNUMBER(INDEX(SPPR!$E:$Z,MATCH($A239,SPPR!$A:$A,0),21)),$C239*INDEX(SPPR!$E:$Z,MATCH($A239,SPPR!$A:$A,0),21),""),"")</f>
        <v/>
      </c>
      <c r="Y239">
        <f>IFERROR(IF(ISNUMBER(INDEX(SPPR!$E:$Z,MATCH($A239,SPPR!$A:$A,0),22)),$C239*INDEX(SPPR!$E:$Z,MATCH($A239,SPPR!$A:$A,0),22),""),"")</f>
        <v/>
      </c>
    </row>
    <row r="240">
      <c r="A240" t="inlineStr">
        <is>
          <t>Drepane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IFERROR(IF(ISNUMBER(INDEX(SPPR!$E:$Z,MATCH($A240,SPPR!$A:$A,0),1)),$C240*INDEX(SPPR!$E:$Z,MATCH($A240,SPPR!$A:$A,0),1),""),"")</f>
        <v/>
      </c>
      <c r="E240">
        <f>IFERROR(IF(ISNUMBER(INDEX(SPPR!$E:$Z,MATCH($A240,SPPR!$A:$A,0),2)),$C240*INDEX(SPPR!$E:$Z,MATCH($A240,SPPR!$A:$A,0),2),""),"")</f>
        <v/>
      </c>
      <c r="F240">
        <f>IFERROR(IF(ISNUMBER(INDEX(SPPR!$E:$Z,MATCH($A240,SPPR!$A:$A,0),3)),$C240*INDEX(SPPR!$E:$Z,MATCH($A240,SPPR!$A:$A,0),3),""),"")</f>
        <v/>
      </c>
      <c r="G240">
        <f>IFERROR(IF(ISNUMBER(INDEX(SPPR!$E:$Z,MATCH($A240,SPPR!$A:$A,0),4)),$C240*INDEX(SPPR!$E:$Z,MATCH($A240,SPPR!$A:$A,0),4),""),"")</f>
        <v/>
      </c>
      <c r="H240">
        <f>IFERROR(IF(ISNUMBER(INDEX(SPPR!$E:$Z,MATCH($A240,SPPR!$A:$A,0),5)),$C240*INDEX(SPPR!$E:$Z,MATCH($A240,SPPR!$A:$A,0),5),""),"")</f>
        <v/>
      </c>
      <c r="I240">
        <f>IFERROR(IF(ISNUMBER(INDEX(SPPR!$E:$Z,MATCH($A240,SPPR!$A:$A,0),6)),$C240*INDEX(SPPR!$E:$Z,MATCH($A240,SPPR!$A:$A,0),6),""),"")</f>
        <v/>
      </c>
      <c r="J240">
        <f>IFERROR(IF(ISNUMBER(INDEX(SPPR!$E:$Z,MATCH($A240,SPPR!$A:$A,0),7)),$C240*INDEX(SPPR!$E:$Z,MATCH($A240,SPPR!$A:$A,0),7),""),"")</f>
        <v/>
      </c>
      <c r="K240">
        <f>IFERROR(IF(ISNUMBER(INDEX(SPPR!$E:$Z,MATCH($A240,SPPR!$A:$A,0),8)),$C240*INDEX(SPPR!$E:$Z,MATCH($A240,SPPR!$A:$A,0),8),""),"")</f>
        <v/>
      </c>
      <c r="L240">
        <f>IFERROR(IF(ISNUMBER(INDEX(SPPR!$E:$Z,MATCH($A240,SPPR!$A:$A,0),9)),$C240*INDEX(SPPR!$E:$Z,MATCH($A240,SPPR!$A:$A,0),9),""),"")</f>
        <v/>
      </c>
      <c r="M240">
        <f>IFERROR(IF(ISNUMBER(INDEX(SPPR!$E:$Z,MATCH($A240,SPPR!$A:$A,0),10)),$C240*INDEX(SPPR!$E:$Z,MATCH($A240,SPPR!$A:$A,0),10),""),"")</f>
        <v/>
      </c>
      <c r="N240">
        <f>IFERROR(IF(ISNUMBER(INDEX(SPPR!$E:$Z,MATCH($A240,SPPR!$A:$A,0),11)),$C240*INDEX(SPPR!$E:$Z,MATCH($A240,SPPR!$A:$A,0),11),""),"")</f>
        <v/>
      </c>
      <c r="O240">
        <f>IFERROR(IF(ISNUMBER(INDEX(SPPR!$E:$Z,MATCH($A240,SPPR!$A:$A,0),12)),$C240*INDEX(SPPR!$E:$Z,MATCH($A240,SPPR!$A:$A,0),12),""),"")</f>
        <v/>
      </c>
      <c r="P240">
        <f>IFERROR(IF(ISNUMBER(INDEX(SPPR!$E:$Z,MATCH($A240,SPPR!$A:$A,0),13)),$C240*INDEX(SPPR!$E:$Z,MATCH($A240,SPPR!$A:$A,0),13),""),"")</f>
        <v/>
      </c>
      <c r="Q240">
        <f>IFERROR(IF(ISNUMBER(INDEX(SPPR!$E:$Z,MATCH($A240,SPPR!$A:$A,0),14)),$C240*INDEX(SPPR!$E:$Z,MATCH($A240,SPPR!$A:$A,0),14),""),"")</f>
        <v/>
      </c>
      <c r="R240">
        <f>IFERROR(IF(ISNUMBER(INDEX(SPPR!$E:$Z,MATCH($A240,SPPR!$A:$A,0),15)),$C240*INDEX(SPPR!$E:$Z,MATCH($A240,SPPR!$A:$A,0),15),""),"")</f>
        <v/>
      </c>
      <c r="S240">
        <f>IFERROR(IF(ISNUMBER(INDEX(SPPR!$E:$Z,MATCH($A240,SPPR!$A:$A,0),16)),$C240*INDEX(SPPR!$E:$Z,MATCH($A240,SPPR!$A:$A,0),16),""),"")</f>
        <v/>
      </c>
      <c r="T240">
        <f>IFERROR(IF(ISNUMBER(INDEX(SPPR!$E:$Z,MATCH($A240,SPPR!$A:$A,0),17)),$C240*INDEX(SPPR!$E:$Z,MATCH($A240,SPPR!$A:$A,0),17),""),"")</f>
        <v/>
      </c>
      <c r="U240">
        <f>IFERROR(IF(ISNUMBER(INDEX(SPPR!$E:$Z,MATCH($A240,SPPR!$A:$A,0),18)),$C240*INDEX(SPPR!$E:$Z,MATCH($A240,SPPR!$A:$A,0),18),""),"")</f>
        <v/>
      </c>
      <c r="V240">
        <f>IFERROR(IF(ISNUMBER(INDEX(SPPR!$E:$Z,MATCH($A240,SPPR!$A:$A,0),19)),$C240*INDEX(SPPR!$E:$Z,MATCH($A240,SPPR!$A:$A,0),19),""),"")</f>
        <v/>
      </c>
      <c r="W240">
        <f>IFERROR(IF(ISNUMBER(INDEX(SPPR!$E:$Z,MATCH($A240,SPPR!$A:$A,0),20)),$C240*INDEX(SPPR!$E:$Z,MATCH($A240,SPPR!$A:$A,0),20),""),"")</f>
        <v/>
      </c>
      <c r="X240">
        <f>IFERROR(IF(ISNUMBER(INDEX(SPPR!$E:$Z,MATCH($A240,SPPR!$A:$A,0),21)),$C240*INDEX(SPPR!$E:$Z,MATCH($A240,SPPR!$A:$A,0),21),""),"")</f>
        <v/>
      </c>
      <c r="Y240">
        <f>IFERROR(IF(ISNUMBER(INDEX(SPPR!$E:$Z,MATCH($A240,SPPR!$A:$A,0),22)),$C240*INDEX(SPPR!$E:$Z,MATCH($A240,SPPR!$A:$A,0),22),""),"")</f>
        <v/>
      </c>
    </row>
    <row r="241">
      <c r="A241" t="inlineStr">
        <is>
          <t>Lateolabrax japonicus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IFERROR(IF(ISNUMBER(INDEX(SPPR!$E:$Z,MATCH($A241,SPPR!$A:$A,0),1)),$C241*INDEX(SPPR!$E:$Z,MATCH($A241,SPPR!$A:$A,0),1),""),"")</f>
        <v/>
      </c>
      <c r="E241">
        <f>IFERROR(IF(ISNUMBER(INDEX(SPPR!$E:$Z,MATCH($A241,SPPR!$A:$A,0),2)),$C241*INDEX(SPPR!$E:$Z,MATCH($A241,SPPR!$A:$A,0),2),""),"")</f>
        <v/>
      </c>
      <c r="F241">
        <f>IFERROR(IF(ISNUMBER(INDEX(SPPR!$E:$Z,MATCH($A241,SPPR!$A:$A,0),3)),$C241*INDEX(SPPR!$E:$Z,MATCH($A241,SPPR!$A:$A,0),3),""),"")</f>
        <v/>
      </c>
      <c r="G241">
        <f>IFERROR(IF(ISNUMBER(INDEX(SPPR!$E:$Z,MATCH($A241,SPPR!$A:$A,0),4)),$C241*INDEX(SPPR!$E:$Z,MATCH($A241,SPPR!$A:$A,0),4),""),"")</f>
        <v/>
      </c>
      <c r="H241">
        <f>IFERROR(IF(ISNUMBER(INDEX(SPPR!$E:$Z,MATCH($A241,SPPR!$A:$A,0),5)),$C241*INDEX(SPPR!$E:$Z,MATCH($A241,SPPR!$A:$A,0),5),""),"")</f>
        <v/>
      </c>
      <c r="I241">
        <f>IFERROR(IF(ISNUMBER(INDEX(SPPR!$E:$Z,MATCH($A241,SPPR!$A:$A,0),6)),$C241*INDEX(SPPR!$E:$Z,MATCH($A241,SPPR!$A:$A,0),6),""),"")</f>
        <v/>
      </c>
      <c r="J241">
        <f>IFERROR(IF(ISNUMBER(INDEX(SPPR!$E:$Z,MATCH($A241,SPPR!$A:$A,0),7)),$C241*INDEX(SPPR!$E:$Z,MATCH($A241,SPPR!$A:$A,0),7),""),"")</f>
        <v/>
      </c>
      <c r="K241">
        <f>IFERROR(IF(ISNUMBER(INDEX(SPPR!$E:$Z,MATCH($A241,SPPR!$A:$A,0),8)),$C241*INDEX(SPPR!$E:$Z,MATCH($A241,SPPR!$A:$A,0),8),""),"")</f>
        <v/>
      </c>
      <c r="L241">
        <f>IFERROR(IF(ISNUMBER(INDEX(SPPR!$E:$Z,MATCH($A241,SPPR!$A:$A,0),9)),$C241*INDEX(SPPR!$E:$Z,MATCH($A241,SPPR!$A:$A,0),9),""),"")</f>
        <v/>
      </c>
      <c r="M241">
        <f>IFERROR(IF(ISNUMBER(INDEX(SPPR!$E:$Z,MATCH($A241,SPPR!$A:$A,0),10)),$C241*INDEX(SPPR!$E:$Z,MATCH($A241,SPPR!$A:$A,0),10),""),"")</f>
        <v/>
      </c>
      <c r="N241">
        <f>IFERROR(IF(ISNUMBER(INDEX(SPPR!$E:$Z,MATCH($A241,SPPR!$A:$A,0),11)),$C241*INDEX(SPPR!$E:$Z,MATCH($A241,SPPR!$A:$A,0),11),""),"")</f>
        <v/>
      </c>
      <c r="O241">
        <f>IFERROR(IF(ISNUMBER(INDEX(SPPR!$E:$Z,MATCH($A241,SPPR!$A:$A,0),12)),$C241*INDEX(SPPR!$E:$Z,MATCH($A241,SPPR!$A:$A,0),12),""),"")</f>
        <v/>
      </c>
      <c r="P241">
        <f>IFERROR(IF(ISNUMBER(INDEX(SPPR!$E:$Z,MATCH($A241,SPPR!$A:$A,0),13)),$C241*INDEX(SPPR!$E:$Z,MATCH($A241,SPPR!$A:$A,0),13),""),"")</f>
        <v/>
      </c>
      <c r="Q241">
        <f>IFERROR(IF(ISNUMBER(INDEX(SPPR!$E:$Z,MATCH($A241,SPPR!$A:$A,0),14)),$C241*INDEX(SPPR!$E:$Z,MATCH($A241,SPPR!$A:$A,0),14),""),"")</f>
        <v/>
      </c>
      <c r="R241">
        <f>IFERROR(IF(ISNUMBER(INDEX(SPPR!$E:$Z,MATCH($A241,SPPR!$A:$A,0),15)),$C241*INDEX(SPPR!$E:$Z,MATCH($A241,SPPR!$A:$A,0),15),""),"")</f>
        <v/>
      </c>
      <c r="S241">
        <f>IFERROR(IF(ISNUMBER(INDEX(SPPR!$E:$Z,MATCH($A241,SPPR!$A:$A,0),16)),$C241*INDEX(SPPR!$E:$Z,MATCH($A241,SPPR!$A:$A,0),16),""),"")</f>
        <v/>
      </c>
      <c r="T241">
        <f>IFERROR(IF(ISNUMBER(INDEX(SPPR!$E:$Z,MATCH($A241,SPPR!$A:$A,0),17)),$C241*INDEX(SPPR!$E:$Z,MATCH($A241,SPPR!$A:$A,0),17),""),"")</f>
        <v/>
      </c>
      <c r="U241">
        <f>IFERROR(IF(ISNUMBER(INDEX(SPPR!$E:$Z,MATCH($A241,SPPR!$A:$A,0),18)),$C241*INDEX(SPPR!$E:$Z,MATCH($A241,SPPR!$A:$A,0),18),""),"")</f>
        <v/>
      </c>
      <c r="V241">
        <f>IFERROR(IF(ISNUMBER(INDEX(SPPR!$E:$Z,MATCH($A241,SPPR!$A:$A,0),19)),$C241*INDEX(SPPR!$E:$Z,MATCH($A241,SPPR!$A:$A,0),19),""),"")</f>
        <v/>
      </c>
      <c r="W241">
        <f>IFERROR(IF(ISNUMBER(INDEX(SPPR!$E:$Z,MATCH($A241,SPPR!$A:$A,0),20)),$C241*INDEX(SPPR!$E:$Z,MATCH($A241,SPPR!$A:$A,0),20),""),"")</f>
        <v/>
      </c>
      <c r="X241">
        <f>IFERROR(IF(ISNUMBER(INDEX(SPPR!$E:$Z,MATCH($A241,SPPR!$A:$A,0),21)),$C241*INDEX(SPPR!$E:$Z,MATCH($A241,SPPR!$A:$A,0),21),""),"")</f>
        <v/>
      </c>
      <c r="Y241">
        <f>IFERROR(IF(ISNUMBER(INDEX(SPPR!$E:$Z,MATCH($A241,SPPR!$A:$A,0),22)),$C241*INDEX(SPPR!$E:$Z,MATCH($A241,SPPR!$A:$A,0),22),""),"")</f>
        <v/>
      </c>
    </row>
    <row r="242">
      <c r="A242" t="inlineStr">
        <is>
          <t>Auxis rochei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IFERROR(IF(ISNUMBER(INDEX(SPPR!$E:$Z,MATCH($A242,SPPR!$A:$A,0),1)),$C242*INDEX(SPPR!$E:$Z,MATCH($A242,SPPR!$A:$A,0),1),""),"")</f>
        <v/>
      </c>
      <c r="E242">
        <f>IFERROR(IF(ISNUMBER(INDEX(SPPR!$E:$Z,MATCH($A242,SPPR!$A:$A,0),2)),$C242*INDEX(SPPR!$E:$Z,MATCH($A242,SPPR!$A:$A,0),2),""),"")</f>
        <v/>
      </c>
      <c r="F242">
        <f>IFERROR(IF(ISNUMBER(INDEX(SPPR!$E:$Z,MATCH($A242,SPPR!$A:$A,0),3)),$C242*INDEX(SPPR!$E:$Z,MATCH($A242,SPPR!$A:$A,0),3),""),"")</f>
        <v/>
      </c>
      <c r="G242">
        <f>IFERROR(IF(ISNUMBER(INDEX(SPPR!$E:$Z,MATCH($A242,SPPR!$A:$A,0),4)),$C242*INDEX(SPPR!$E:$Z,MATCH($A242,SPPR!$A:$A,0),4),""),"")</f>
        <v/>
      </c>
      <c r="H242">
        <f>IFERROR(IF(ISNUMBER(INDEX(SPPR!$E:$Z,MATCH($A242,SPPR!$A:$A,0),5)),$C242*INDEX(SPPR!$E:$Z,MATCH($A242,SPPR!$A:$A,0),5),""),"")</f>
        <v/>
      </c>
      <c r="I242">
        <f>IFERROR(IF(ISNUMBER(INDEX(SPPR!$E:$Z,MATCH($A242,SPPR!$A:$A,0),6)),$C242*INDEX(SPPR!$E:$Z,MATCH($A242,SPPR!$A:$A,0),6),""),"")</f>
        <v/>
      </c>
      <c r="J242">
        <f>IFERROR(IF(ISNUMBER(INDEX(SPPR!$E:$Z,MATCH($A242,SPPR!$A:$A,0),7)),$C242*INDEX(SPPR!$E:$Z,MATCH($A242,SPPR!$A:$A,0),7),""),"")</f>
        <v/>
      </c>
      <c r="K242">
        <f>IFERROR(IF(ISNUMBER(INDEX(SPPR!$E:$Z,MATCH($A242,SPPR!$A:$A,0),8)),$C242*INDEX(SPPR!$E:$Z,MATCH($A242,SPPR!$A:$A,0),8),""),"")</f>
        <v/>
      </c>
      <c r="L242">
        <f>IFERROR(IF(ISNUMBER(INDEX(SPPR!$E:$Z,MATCH($A242,SPPR!$A:$A,0),9)),$C242*INDEX(SPPR!$E:$Z,MATCH($A242,SPPR!$A:$A,0),9),""),"")</f>
        <v/>
      </c>
      <c r="M242">
        <f>IFERROR(IF(ISNUMBER(INDEX(SPPR!$E:$Z,MATCH($A242,SPPR!$A:$A,0),10)),$C242*INDEX(SPPR!$E:$Z,MATCH($A242,SPPR!$A:$A,0),10),""),"")</f>
        <v/>
      </c>
      <c r="N242">
        <f>IFERROR(IF(ISNUMBER(INDEX(SPPR!$E:$Z,MATCH($A242,SPPR!$A:$A,0),11)),$C242*INDEX(SPPR!$E:$Z,MATCH($A242,SPPR!$A:$A,0),11),""),"")</f>
        <v/>
      </c>
      <c r="O242">
        <f>IFERROR(IF(ISNUMBER(INDEX(SPPR!$E:$Z,MATCH($A242,SPPR!$A:$A,0),12)),$C242*INDEX(SPPR!$E:$Z,MATCH($A242,SPPR!$A:$A,0),12),""),"")</f>
        <v/>
      </c>
      <c r="P242">
        <f>IFERROR(IF(ISNUMBER(INDEX(SPPR!$E:$Z,MATCH($A242,SPPR!$A:$A,0),13)),$C242*INDEX(SPPR!$E:$Z,MATCH($A242,SPPR!$A:$A,0),13),""),"")</f>
        <v/>
      </c>
      <c r="Q242">
        <f>IFERROR(IF(ISNUMBER(INDEX(SPPR!$E:$Z,MATCH($A242,SPPR!$A:$A,0),14)),$C242*INDEX(SPPR!$E:$Z,MATCH($A242,SPPR!$A:$A,0),14),""),"")</f>
        <v/>
      </c>
      <c r="R242">
        <f>IFERROR(IF(ISNUMBER(INDEX(SPPR!$E:$Z,MATCH($A242,SPPR!$A:$A,0),15)),$C242*INDEX(SPPR!$E:$Z,MATCH($A242,SPPR!$A:$A,0),15),""),"")</f>
        <v/>
      </c>
      <c r="S242">
        <f>IFERROR(IF(ISNUMBER(INDEX(SPPR!$E:$Z,MATCH($A242,SPPR!$A:$A,0),16)),$C242*INDEX(SPPR!$E:$Z,MATCH($A242,SPPR!$A:$A,0),16),""),"")</f>
        <v/>
      </c>
      <c r="T242">
        <f>IFERROR(IF(ISNUMBER(INDEX(SPPR!$E:$Z,MATCH($A242,SPPR!$A:$A,0),17)),$C242*INDEX(SPPR!$E:$Z,MATCH($A242,SPPR!$A:$A,0),17),""),"")</f>
        <v/>
      </c>
      <c r="U242">
        <f>IFERROR(IF(ISNUMBER(INDEX(SPPR!$E:$Z,MATCH($A242,SPPR!$A:$A,0),18)),$C242*INDEX(SPPR!$E:$Z,MATCH($A242,SPPR!$A:$A,0),18),""),"")</f>
        <v/>
      </c>
      <c r="V242">
        <f>IFERROR(IF(ISNUMBER(INDEX(SPPR!$E:$Z,MATCH($A242,SPPR!$A:$A,0),19)),$C242*INDEX(SPPR!$E:$Z,MATCH($A242,SPPR!$A:$A,0),19),""),"")</f>
        <v/>
      </c>
      <c r="W242">
        <f>IFERROR(IF(ISNUMBER(INDEX(SPPR!$E:$Z,MATCH($A242,SPPR!$A:$A,0),20)),$C242*INDEX(SPPR!$E:$Z,MATCH($A242,SPPR!$A:$A,0),20),""),"")</f>
        <v/>
      </c>
      <c r="X242">
        <f>IFERROR(IF(ISNUMBER(INDEX(SPPR!$E:$Z,MATCH($A242,SPPR!$A:$A,0),21)),$C242*INDEX(SPPR!$E:$Z,MATCH($A242,SPPR!$A:$A,0),21),""),"")</f>
        <v/>
      </c>
      <c r="Y242">
        <f>IFERROR(IF(ISNUMBER(INDEX(SPPR!$E:$Z,MATCH($A242,SPPR!$A:$A,0),22)),$C242*INDEX(SPPR!$E:$Z,MATCH($A242,SPPR!$A:$A,0),22),""),"")</f>
        <v/>
      </c>
    </row>
    <row r="243">
      <c r="A243" t="inlineStr">
        <is>
          <t>Nibea mitsukurii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IFERROR(IF(ISNUMBER(INDEX(SPPR!$E:$Z,MATCH($A243,SPPR!$A:$A,0),1)),$C243*INDEX(SPPR!$E:$Z,MATCH($A243,SPPR!$A:$A,0),1),""),"")</f>
        <v/>
      </c>
      <c r="E243">
        <f>IFERROR(IF(ISNUMBER(INDEX(SPPR!$E:$Z,MATCH($A243,SPPR!$A:$A,0),2)),$C243*INDEX(SPPR!$E:$Z,MATCH($A243,SPPR!$A:$A,0),2),""),"")</f>
        <v/>
      </c>
      <c r="F243">
        <f>IFERROR(IF(ISNUMBER(INDEX(SPPR!$E:$Z,MATCH($A243,SPPR!$A:$A,0),3)),$C243*INDEX(SPPR!$E:$Z,MATCH($A243,SPPR!$A:$A,0),3),""),"")</f>
        <v/>
      </c>
      <c r="G243">
        <f>IFERROR(IF(ISNUMBER(INDEX(SPPR!$E:$Z,MATCH($A243,SPPR!$A:$A,0),4)),$C243*INDEX(SPPR!$E:$Z,MATCH($A243,SPPR!$A:$A,0),4),""),"")</f>
        <v/>
      </c>
      <c r="H243">
        <f>IFERROR(IF(ISNUMBER(INDEX(SPPR!$E:$Z,MATCH($A243,SPPR!$A:$A,0),5)),$C243*INDEX(SPPR!$E:$Z,MATCH($A243,SPPR!$A:$A,0),5),""),"")</f>
        <v/>
      </c>
      <c r="I243">
        <f>IFERROR(IF(ISNUMBER(INDEX(SPPR!$E:$Z,MATCH($A243,SPPR!$A:$A,0),6)),$C243*INDEX(SPPR!$E:$Z,MATCH($A243,SPPR!$A:$A,0),6),""),"")</f>
        <v/>
      </c>
      <c r="J243">
        <f>IFERROR(IF(ISNUMBER(INDEX(SPPR!$E:$Z,MATCH($A243,SPPR!$A:$A,0),7)),$C243*INDEX(SPPR!$E:$Z,MATCH($A243,SPPR!$A:$A,0),7),""),"")</f>
        <v/>
      </c>
      <c r="K243">
        <f>IFERROR(IF(ISNUMBER(INDEX(SPPR!$E:$Z,MATCH($A243,SPPR!$A:$A,0),8)),$C243*INDEX(SPPR!$E:$Z,MATCH($A243,SPPR!$A:$A,0),8),""),"")</f>
        <v/>
      </c>
      <c r="L243">
        <f>IFERROR(IF(ISNUMBER(INDEX(SPPR!$E:$Z,MATCH($A243,SPPR!$A:$A,0),9)),$C243*INDEX(SPPR!$E:$Z,MATCH($A243,SPPR!$A:$A,0),9),""),"")</f>
        <v/>
      </c>
      <c r="M243">
        <f>IFERROR(IF(ISNUMBER(INDEX(SPPR!$E:$Z,MATCH($A243,SPPR!$A:$A,0),10)),$C243*INDEX(SPPR!$E:$Z,MATCH($A243,SPPR!$A:$A,0),10),""),"")</f>
        <v/>
      </c>
      <c r="N243">
        <f>IFERROR(IF(ISNUMBER(INDEX(SPPR!$E:$Z,MATCH($A243,SPPR!$A:$A,0),11)),$C243*INDEX(SPPR!$E:$Z,MATCH($A243,SPPR!$A:$A,0),11),""),"")</f>
        <v/>
      </c>
      <c r="O243">
        <f>IFERROR(IF(ISNUMBER(INDEX(SPPR!$E:$Z,MATCH($A243,SPPR!$A:$A,0),12)),$C243*INDEX(SPPR!$E:$Z,MATCH($A243,SPPR!$A:$A,0),12),""),"")</f>
        <v/>
      </c>
      <c r="P243">
        <f>IFERROR(IF(ISNUMBER(INDEX(SPPR!$E:$Z,MATCH($A243,SPPR!$A:$A,0),13)),$C243*INDEX(SPPR!$E:$Z,MATCH($A243,SPPR!$A:$A,0),13),""),"")</f>
        <v/>
      </c>
      <c r="Q243">
        <f>IFERROR(IF(ISNUMBER(INDEX(SPPR!$E:$Z,MATCH($A243,SPPR!$A:$A,0),14)),$C243*INDEX(SPPR!$E:$Z,MATCH($A243,SPPR!$A:$A,0),14),""),"")</f>
        <v/>
      </c>
      <c r="R243">
        <f>IFERROR(IF(ISNUMBER(INDEX(SPPR!$E:$Z,MATCH($A243,SPPR!$A:$A,0),15)),$C243*INDEX(SPPR!$E:$Z,MATCH($A243,SPPR!$A:$A,0),15),""),"")</f>
        <v/>
      </c>
      <c r="S243">
        <f>IFERROR(IF(ISNUMBER(INDEX(SPPR!$E:$Z,MATCH($A243,SPPR!$A:$A,0),16)),$C243*INDEX(SPPR!$E:$Z,MATCH($A243,SPPR!$A:$A,0),16),""),"")</f>
        <v/>
      </c>
      <c r="T243">
        <f>IFERROR(IF(ISNUMBER(INDEX(SPPR!$E:$Z,MATCH($A243,SPPR!$A:$A,0),17)),$C243*INDEX(SPPR!$E:$Z,MATCH($A243,SPPR!$A:$A,0),17),""),"")</f>
        <v/>
      </c>
      <c r="U243">
        <f>IFERROR(IF(ISNUMBER(INDEX(SPPR!$E:$Z,MATCH($A243,SPPR!$A:$A,0),18)),$C243*INDEX(SPPR!$E:$Z,MATCH($A243,SPPR!$A:$A,0),18),""),"")</f>
        <v/>
      </c>
      <c r="V243">
        <f>IFERROR(IF(ISNUMBER(INDEX(SPPR!$E:$Z,MATCH($A243,SPPR!$A:$A,0),19)),$C243*INDEX(SPPR!$E:$Z,MATCH($A243,SPPR!$A:$A,0),19),""),"")</f>
        <v/>
      </c>
      <c r="W243">
        <f>IFERROR(IF(ISNUMBER(INDEX(SPPR!$E:$Z,MATCH($A243,SPPR!$A:$A,0),20)),$C243*INDEX(SPPR!$E:$Z,MATCH($A243,SPPR!$A:$A,0),20),""),"")</f>
        <v/>
      </c>
      <c r="X243">
        <f>IFERROR(IF(ISNUMBER(INDEX(SPPR!$E:$Z,MATCH($A243,SPPR!$A:$A,0),21)),$C243*INDEX(SPPR!$E:$Z,MATCH($A243,SPPR!$A:$A,0),21),""),"")</f>
        <v/>
      </c>
      <c r="Y243">
        <f>IFERROR(IF(ISNUMBER(INDEX(SPPR!$E:$Z,MATCH($A243,SPPR!$A:$A,0),22)),$C243*INDEX(SPPR!$E:$Z,MATCH($A243,SPPR!$A:$A,0),22),""),"")</f>
        <v/>
      </c>
    </row>
    <row r="244">
      <c r="A244" t="inlineStr">
        <is>
          <t>Meretrix lusoria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IFERROR(IF(ISNUMBER(INDEX(SPPR!$E:$Z,MATCH($A244,SPPR!$A:$A,0),1)),$C244*INDEX(SPPR!$E:$Z,MATCH($A244,SPPR!$A:$A,0),1),""),"")</f>
        <v/>
      </c>
      <c r="E244">
        <f>IFERROR(IF(ISNUMBER(INDEX(SPPR!$E:$Z,MATCH($A244,SPPR!$A:$A,0),2)),$C244*INDEX(SPPR!$E:$Z,MATCH($A244,SPPR!$A:$A,0),2),""),"")</f>
        <v/>
      </c>
      <c r="F244">
        <f>IFERROR(IF(ISNUMBER(INDEX(SPPR!$E:$Z,MATCH($A244,SPPR!$A:$A,0),3)),$C244*INDEX(SPPR!$E:$Z,MATCH($A244,SPPR!$A:$A,0),3),""),"")</f>
        <v/>
      </c>
      <c r="G244">
        <f>IFERROR(IF(ISNUMBER(INDEX(SPPR!$E:$Z,MATCH($A244,SPPR!$A:$A,0),4)),$C244*INDEX(SPPR!$E:$Z,MATCH($A244,SPPR!$A:$A,0),4),""),"")</f>
        <v/>
      </c>
      <c r="H244">
        <f>IFERROR(IF(ISNUMBER(INDEX(SPPR!$E:$Z,MATCH($A244,SPPR!$A:$A,0),5)),$C244*INDEX(SPPR!$E:$Z,MATCH($A244,SPPR!$A:$A,0),5),""),"")</f>
        <v/>
      </c>
      <c r="I244">
        <f>IFERROR(IF(ISNUMBER(INDEX(SPPR!$E:$Z,MATCH($A244,SPPR!$A:$A,0),6)),$C244*INDEX(SPPR!$E:$Z,MATCH($A244,SPPR!$A:$A,0),6),""),"")</f>
        <v/>
      </c>
      <c r="J244">
        <f>IFERROR(IF(ISNUMBER(INDEX(SPPR!$E:$Z,MATCH($A244,SPPR!$A:$A,0),7)),$C244*INDEX(SPPR!$E:$Z,MATCH($A244,SPPR!$A:$A,0),7),""),"")</f>
        <v/>
      </c>
      <c r="K244">
        <f>IFERROR(IF(ISNUMBER(INDEX(SPPR!$E:$Z,MATCH($A244,SPPR!$A:$A,0),8)),$C244*INDEX(SPPR!$E:$Z,MATCH($A244,SPPR!$A:$A,0),8),""),"")</f>
        <v/>
      </c>
      <c r="L244">
        <f>IFERROR(IF(ISNUMBER(INDEX(SPPR!$E:$Z,MATCH($A244,SPPR!$A:$A,0),9)),$C244*INDEX(SPPR!$E:$Z,MATCH($A244,SPPR!$A:$A,0),9),""),"")</f>
        <v/>
      </c>
      <c r="M244">
        <f>IFERROR(IF(ISNUMBER(INDEX(SPPR!$E:$Z,MATCH($A244,SPPR!$A:$A,0),10)),$C244*INDEX(SPPR!$E:$Z,MATCH($A244,SPPR!$A:$A,0),10),""),"")</f>
        <v/>
      </c>
      <c r="N244">
        <f>IFERROR(IF(ISNUMBER(INDEX(SPPR!$E:$Z,MATCH($A244,SPPR!$A:$A,0),11)),$C244*INDEX(SPPR!$E:$Z,MATCH($A244,SPPR!$A:$A,0),11),""),"")</f>
        <v/>
      </c>
      <c r="O244">
        <f>IFERROR(IF(ISNUMBER(INDEX(SPPR!$E:$Z,MATCH($A244,SPPR!$A:$A,0),12)),$C244*INDEX(SPPR!$E:$Z,MATCH($A244,SPPR!$A:$A,0),12),""),"")</f>
        <v/>
      </c>
      <c r="P244">
        <f>IFERROR(IF(ISNUMBER(INDEX(SPPR!$E:$Z,MATCH($A244,SPPR!$A:$A,0),13)),$C244*INDEX(SPPR!$E:$Z,MATCH($A244,SPPR!$A:$A,0),13),""),"")</f>
        <v/>
      </c>
      <c r="Q244">
        <f>IFERROR(IF(ISNUMBER(INDEX(SPPR!$E:$Z,MATCH($A244,SPPR!$A:$A,0),14)),$C244*INDEX(SPPR!$E:$Z,MATCH($A244,SPPR!$A:$A,0),14),""),"")</f>
        <v/>
      </c>
      <c r="R244">
        <f>IFERROR(IF(ISNUMBER(INDEX(SPPR!$E:$Z,MATCH($A244,SPPR!$A:$A,0),15)),$C244*INDEX(SPPR!$E:$Z,MATCH($A244,SPPR!$A:$A,0),15),""),"")</f>
        <v/>
      </c>
      <c r="S244">
        <f>IFERROR(IF(ISNUMBER(INDEX(SPPR!$E:$Z,MATCH($A244,SPPR!$A:$A,0),16)),$C244*INDEX(SPPR!$E:$Z,MATCH($A244,SPPR!$A:$A,0),16),""),"")</f>
        <v/>
      </c>
      <c r="T244">
        <f>IFERROR(IF(ISNUMBER(INDEX(SPPR!$E:$Z,MATCH($A244,SPPR!$A:$A,0),17)),$C244*INDEX(SPPR!$E:$Z,MATCH($A244,SPPR!$A:$A,0),17),""),"")</f>
        <v/>
      </c>
      <c r="U244">
        <f>IFERROR(IF(ISNUMBER(INDEX(SPPR!$E:$Z,MATCH($A244,SPPR!$A:$A,0),18)),$C244*INDEX(SPPR!$E:$Z,MATCH($A244,SPPR!$A:$A,0),18),""),"")</f>
        <v/>
      </c>
      <c r="V244">
        <f>IFERROR(IF(ISNUMBER(INDEX(SPPR!$E:$Z,MATCH($A244,SPPR!$A:$A,0),19)),$C244*INDEX(SPPR!$E:$Z,MATCH($A244,SPPR!$A:$A,0),19),""),"")</f>
        <v/>
      </c>
      <c r="W244">
        <f>IFERROR(IF(ISNUMBER(INDEX(SPPR!$E:$Z,MATCH($A244,SPPR!$A:$A,0),20)),$C244*INDEX(SPPR!$E:$Z,MATCH($A244,SPPR!$A:$A,0),20),""),"")</f>
        <v/>
      </c>
      <c r="X244">
        <f>IFERROR(IF(ISNUMBER(INDEX(SPPR!$E:$Z,MATCH($A244,SPPR!$A:$A,0),21)),$C244*INDEX(SPPR!$E:$Z,MATCH($A244,SPPR!$A:$A,0),21),""),"")</f>
        <v/>
      </c>
      <c r="Y244">
        <f>IFERROR(IF(ISNUMBER(INDEX(SPPR!$E:$Z,MATCH($A244,SPPR!$A:$A,0),22)),$C244*INDEX(SPPR!$E:$Z,MATCH($A244,SPPR!$A:$A,0),22),""),"")</f>
        <v/>
      </c>
    </row>
    <row r="245">
      <c r="A245" t="inlineStr">
        <is>
          <t>Hemiramphidae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IFERROR(IF(ISNUMBER(INDEX(SPPR!$E:$Z,MATCH($A245,SPPR!$A:$A,0),1)),$C245*INDEX(SPPR!$E:$Z,MATCH($A245,SPPR!$A:$A,0),1),""),"")</f>
        <v/>
      </c>
      <c r="E245">
        <f>IFERROR(IF(ISNUMBER(INDEX(SPPR!$E:$Z,MATCH($A245,SPPR!$A:$A,0),2)),$C245*INDEX(SPPR!$E:$Z,MATCH($A245,SPPR!$A:$A,0),2),""),"")</f>
        <v/>
      </c>
      <c r="F245">
        <f>IFERROR(IF(ISNUMBER(INDEX(SPPR!$E:$Z,MATCH($A245,SPPR!$A:$A,0),3)),$C245*INDEX(SPPR!$E:$Z,MATCH($A245,SPPR!$A:$A,0),3),""),"")</f>
        <v/>
      </c>
      <c r="G245">
        <f>IFERROR(IF(ISNUMBER(INDEX(SPPR!$E:$Z,MATCH($A245,SPPR!$A:$A,0),4)),$C245*INDEX(SPPR!$E:$Z,MATCH($A245,SPPR!$A:$A,0),4),""),"")</f>
        <v/>
      </c>
      <c r="H245">
        <f>IFERROR(IF(ISNUMBER(INDEX(SPPR!$E:$Z,MATCH($A245,SPPR!$A:$A,0),5)),$C245*INDEX(SPPR!$E:$Z,MATCH($A245,SPPR!$A:$A,0),5),""),"")</f>
        <v/>
      </c>
      <c r="I245">
        <f>IFERROR(IF(ISNUMBER(INDEX(SPPR!$E:$Z,MATCH($A245,SPPR!$A:$A,0),6)),$C245*INDEX(SPPR!$E:$Z,MATCH($A245,SPPR!$A:$A,0),6),""),"")</f>
        <v/>
      </c>
      <c r="J245">
        <f>IFERROR(IF(ISNUMBER(INDEX(SPPR!$E:$Z,MATCH($A245,SPPR!$A:$A,0),7)),$C245*INDEX(SPPR!$E:$Z,MATCH($A245,SPPR!$A:$A,0),7),""),"")</f>
        <v/>
      </c>
      <c r="K245">
        <f>IFERROR(IF(ISNUMBER(INDEX(SPPR!$E:$Z,MATCH($A245,SPPR!$A:$A,0),8)),$C245*INDEX(SPPR!$E:$Z,MATCH($A245,SPPR!$A:$A,0),8),""),"")</f>
        <v/>
      </c>
      <c r="L245">
        <f>IFERROR(IF(ISNUMBER(INDEX(SPPR!$E:$Z,MATCH($A245,SPPR!$A:$A,0),9)),$C245*INDEX(SPPR!$E:$Z,MATCH($A245,SPPR!$A:$A,0),9),""),"")</f>
        <v/>
      </c>
      <c r="M245">
        <f>IFERROR(IF(ISNUMBER(INDEX(SPPR!$E:$Z,MATCH($A245,SPPR!$A:$A,0),10)),$C245*INDEX(SPPR!$E:$Z,MATCH($A245,SPPR!$A:$A,0),10),""),"")</f>
        <v/>
      </c>
      <c r="N245">
        <f>IFERROR(IF(ISNUMBER(INDEX(SPPR!$E:$Z,MATCH($A245,SPPR!$A:$A,0),11)),$C245*INDEX(SPPR!$E:$Z,MATCH($A245,SPPR!$A:$A,0),11),""),"")</f>
        <v/>
      </c>
      <c r="O245">
        <f>IFERROR(IF(ISNUMBER(INDEX(SPPR!$E:$Z,MATCH($A245,SPPR!$A:$A,0),12)),$C245*INDEX(SPPR!$E:$Z,MATCH($A245,SPPR!$A:$A,0),12),""),"")</f>
        <v/>
      </c>
      <c r="P245">
        <f>IFERROR(IF(ISNUMBER(INDEX(SPPR!$E:$Z,MATCH($A245,SPPR!$A:$A,0),13)),$C245*INDEX(SPPR!$E:$Z,MATCH($A245,SPPR!$A:$A,0),13),""),"")</f>
        <v/>
      </c>
      <c r="Q245">
        <f>IFERROR(IF(ISNUMBER(INDEX(SPPR!$E:$Z,MATCH($A245,SPPR!$A:$A,0),14)),$C245*INDEX(SPPR!$E:$Z,MATCH($A245,SPPR!$A:$A,0),14),""),"")</f>
        <v/>
      </c>
      <c r="R245">
        <f>IFERROR(IF(ISNUMBER(INDEX(SPPR!$E:$Z,MATCH($A245,SPPR!$A:$A,0),15)),$C245*INDEX(SPPR!$E:$Z,MATCH($A245,SPPR!$A:$A,0),15),""),"")</f>
        <v/>
      </c>
      <c r="S245">
        <f>IFERROR(IF(ISNUMBER(INDEX(SPPR!$E:$Z,MATCH($A245,SPPR!$A:$A,0),16)),$C245*INDEX(SPPR!$E:$Z,MATCH($A245,SPPR!$A:$A,0),16),""),"")</f>
        <v/>
      </c>
      <c r="T245">
        <f>IFERROR(IF(ISNUMBER(INDEX(SPPR!$E:$Z,MATCH($A245,SPPR!$A:$A,0),17)),$C245*INDEX(SPPR!$E:$Z,MATCH($A245,SPPR!$A:$A,0),17),""),"")</f>
        <v/>
      </c>
      <c r="U245">
        <f>IFERROR(IF(ISNUMBER(INDEX(SPPR!$E:$Z,MATCH($A245,SPPR!$A:$A,0),18)),$C245*INDEX(SPPR!$E:$Z,MATCH($A245,SPPR!$A:$A,0),18),""),"")</f>
        <v/>
      </c>
      <c r="V245">
        <f>IFERROR(IF(ISNUMBER(INDEX(SPPR!$E:$Z,MATCH($A245,SPPR!$A:$A,0),19)),$C245*INDEX(SPPR!$E:$Z,MATCH($A245,SPPR!$A:$A,0),19),""),"")</f>
        <v/>
      </c>
      <c r="W245">
        <f>IFERROR(IF(ISNUMBER(INDEX(SPPR!$E:$Z,MATCH($A245,SPPR!$A:$A,0),20)),$C245*INDEX(SPPR!$E:$Z,MATCH($A245,SPPR!$A:$A,0),20),""),"")</f>
        <v/>
      </c>
      <c r="X245">
        <f>IFERROR(IF(ISNUMBER(INDEX(SPPR!$E:$Z,MATCH($A245,SPPR!$A:$A,0),21)),$C245*INDEX(SPPR!$E:$Z,MATCH($A245,SPPR!$A:$A,0),21),""),"")</f>
        <v/>
      </c>
      <c r="Y245">
        <f>IFERROR(IF(ISNUMBER(INDEX(SPPR!$E:$Z,MATCH($A245,SPPR!$A:$A,0),22)),$C245*INDEX(SPPR!$E:$Z,MATCH($A245,SPPR!$A:$A,0),22),""),"")</f>
        <v/>
      </c>
    </row>
    <row r="246">
      <c r="A246" t="inlineStr">
        <is>
          <t>Istiophorus platypterus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IFERROR(IF(ISNUMBER(INDEX(SPPR!$E:$Z,MATCH($A246,SPPR!$A:$A,0),1)),$C246*INDEX(SPPR!$E:$Z,MATCH($A246,SPPR!$A:$A,0),1),""),"")</f>
        <v/>
      </c>
      <c r="E246">
        <f>IFERROR(IF(ISNUMBER(INDEX(SPPR!$E:$Z,MATCH($A246,SPPR!$A:$A,0),2)),$C246*INDEX(SPPR!$E:$Z,MATCH($A246,SPPR!$A:$A,0),2),""),"")</f>
        <v/>
      </c>
      <c r="F246">
        <f>IFERROR(IF(ISNUMBER(INDEX(SPPR!$E:$Z,MATCH($A246,SPPR!$A:$A,0),3)),$C246*INDEX(SPPR!$E:$Z,MATCH($A246,SPPR!$A:$A,0),3),""),"")</f>
        <v/>
      </c>
      <c r="G246">
        <f>IFERROR(IF(ISNUMBER(INDEX(SPPR!$E:$Z,MATCH($A246,SPPR!$A:$A,0),4)),$C246*INDEX(SPPR!$E:$Z,MATCH($A246,SPPR!$A:$A,0),4),""),"")</f>
        <v/>
      </c>
      <c r="H246">
        <f>IFERROR(IF(ISNUMBER(INDEX(SPPR!$E:$Z,MATCH($A246,SPPR!$A:$A,0),5)),$C246*INDEX(SPPR!$E:$Z,MATCH($A246,SPPR!$A:$A,0),5),""),"")</f>
        <v/>
      </c>
      <c r="I246">
        <f>IFERROR(IF(ISNUMBER(INDEX(SPPR!$E:$Z,MATCH($A246,SPPR!$A:$A,0),6)),$C246*INDEX(SPPR!$E:$Z,MATCH($A246,SPPR!$A:$A,0),6),""),"")</f>
        <v/>
      </c>
      <c r="J246">
        <f>IFERROR(IF(ISNUMBER(INDEX(SPPR!$E:$Z,MATCH($A246,SPPR!$A:$A,0),7)),$C246*INDEX(SPPR!$E:$Z,MATCH($A246,SPPR!$A:$A,0),7),""),"")</f>
        <v/>
      </c>
      <c r="K246">
        <f>IFERROR(IF(ISNUMBER(INDEX(SPPR!$E:$Z,MATCH($A246,SPPR!$A:$A,0),8)),$C246*INDEX(SPPR!$E:$Z,MATCH($A246,SPPR!$A:$A,0),8),""),"")</f>
        <v/>
      </c>
      <c r="L246">
        <f>IFERROR(IF(ISNUMBER(INDEX(SPPR!$E:$Z,MATCH($A246,SPPR!$A:$A,0),9)),$C246*INDEX(SPPR!$E:$Z,MATCH($A246,SPPR!$A:$A,0),9),""),"")</f>
        <v/>
      </c>
      <c r="M246">
        <f>IFERROR(IF(ISNUMBER(INDEX(SPPR!$E:$Z,MATCH($A246,SPPR!$A:$A,0),10)),$C246*INDEX(SPPR!$E:$Z,MATCH($A246,SPPR!$A:$A,0),10),""),"")</f>
        <v/>
      </c>
      <c r="N246">
        <f>IFERROR(IF(ISNUMBER(INDEX(SPPR!$E:$Z,MATCH($A246,SPPR!$A:$A,0),11)),$C246*INDEX(SPPR!$E:$Z,MATCH($A246,SPPR!$A:$A,0),11),""),"")</f>
        <v/>
      </c>
      <c r="O246">
        <f>IFERROR(IF(ISNUMBER(INDEX(SPPR!$E:$Z,MATCH($A246,SPPR!$A:$A,0),12)),$C246*INDEX(SPPR!$E:$Z,MATCH($A246,SPPR!$A:$A,0),12),""),"")</f>
        <v/>
      </c>
      <c r="P246">
        <f>IFERROR(IF(ISNUMBER(INDEX(SPPR!$E:$Z,MATCH($A246,SPPR!$A:$A,0),13)),$C246*INDEX(SPPR!$E:$Z,MATCH($A246,SPPR!$A:$A,0),13),""),"")</f>
        <v/>
      </c>
      <c r="Q246">
        <f>IFERROR(IF(ISNUMBER(INDEX(SPPR!$E:$Z,MATCH($A246,SPPR!$A:$A,0),14)),$C246*INDEX(SPPR!$E:$Z,MATCH($A246,SPPR!$A:$A,0),14),""),"")</f>
        <v/>
      </c>
      <c r="R246">
        <f>IFERROR(IF(ISNUMBER(INDEX(SPPR!$E:$Z,MATCH($A246,SPPR!$A:$A,0),15)),$C246*INDEX(SPPR!$E:$Z,MATCH($A246,SPPR!$A:$A,0),15),""),"")</f>
        <v/>
      </c>
      <c r="S246">
        <f>IFERROR(IF(ISNUMBER(INDEX(SPPR!$E:$Z,MATCH($A246,SPPR!$A:$A,0),16)),$C246*INDEX(SPPR!$E:$Z,MATCH($A246,SPPR!$A:$A,0),16),""),"")</f>
        <v/>
      </c>
      <c r="T246">
        <f>IFERROR(IF(ISNUMBER(INDEX(SPPR!$E:$Z,MATCH($A246,SPPR!$A:$A,0),17)),$C246*INDEX(SPPR!$E:$Z,MATCH($A246,SPPR!$A:$A,0),17),""),"")</f>
        <v/>
      </c>
      <c r="U246">
        <f>IFERROR(IF(ISNUMBER(INDEX(SPPR!$E:$Z,MATCH($A246,SPPR!$A:$A,0),18)),$C246*INDEX(SPPR!$E:$Z,MATCH($A246,SPPR!$A:$A,0),18),""),"")</f>
        <v/>
      </c>
      <c r="V246">
        <f>IFERROR(IF(ISNUMBER(INDEX(SPPR!$E:$Z,MATCH($A246,SPPR!$A:$A,0),19)),$C246*INDEX(SPPR!$E:$Z,MATCH($A246,SPPR!$A:$A,0),19),""),"")</f>
        <v/>
      </c>
      <c r="W246">
        <f>IFERROR(IF(ISNUMBER(INDEX(SPPR!$E:$Z,MATCH($A246,SPPR!$A:$A,0),20)),$C246*INDEX(SPPR!$E:$Z,MATCH($A246,SPPR!$A:$A,0),20),""),"")</f>
        <v/>
      </c>
      <c r="X246">
        <f>IFERROR(IF(ISNUMBER(INDEX(SPPR!$E:$Z,MATCH($A246,SPPR!$A:$A,0),21)),$C246*INDEX(SPPR!$E:$Z,MATCH($A246,SPPR!$A:$A,0),21),""),"")</f>
        <v/>
      </c>
      <c r="Y246">
        <f>IFERROR(IF(ISNUMBER(INDEX(SPPR!$E:$Z,MATCH($A246,SPPR!$A:$A,0),22)),$C246*INDEX(SPPR!$E:$Z,MATCH($A246,SPPR!$A:$A,0),22),""),"")</f>
        <v/>
      </c>
    </row>
    <row r="247">
      <c r="A247" t="inlineStr">
        <is>
          <t>Modiolus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IFERROR(IF(ISNUMBER(INDEX(SPPR!$E:$Z,MATCH($A247,SPPR!$A:$A,0),1)),$C247*INDEX(SPPR!$E:$Z,MATCH($A247,SPPR!$A:$A,0),1),""),"")</f>
        <v/>
      </c>
      <c r="E247">
        <f>IFERROR(IF(ISNUMBER(INDEX(SPPR!$E:$Z,MATCH($A247,SPPR!$A:$A,0),2)),$C247*INDEX(SPPR!$E:$Z,MATCH($A247,SPPR!$A:$A,0),2),""),"")</f>
        <v/>
      </c>
      <c r="F247">
        <f>IFERROR(IF(ISNUMBER(INDEX(SPPR!$E:$Z,MATCH($A247,SPPR!$A:$A,0),3)),$C247*INDEX(SPPR!$E:$Z,MATCH($A247,SPPR!$A:$A,0),3),""),"")</f>
        <v/>
      </c>
      <c r="G247">
        <f>IFERROR(IF(ISNUMBER(INDEX(SPPR!$E:$Z,MATCH($A247,SPPR!$A:$A,0),4)),$C247*INDEX(SPPR!$E:$Z,MATCH($A247,SPPR!$A:$A,0),4),""),"")</f>
        <v/>
      </c>
      <c r="H247">
        <f>IFERROR(IF(ISNUMBER(INDEX(SPPR!$E:$Z,MATCH($A247,SPPR!$A:$A,0),5)),$C247*INDEX(SPPR!$E:$Z,MATCH($A247,SPPR!$A:$A,0),5),""),"")</f>
        <v/>
      </c>
      <c r="I247">
        <f>IFERROR(IF(ISNUMBER(INDEX(SPPR!$E:$Z,MATCH($A247,SPPR!$A:$A,0),6)),$C247*INDEX(SPPR!$E:$Z,MATCH($A247,SPPR!$A:$A,0),6),""),"")</f>
        <v/>
      </c>
      <c r="J247">
        <f>IFERROR(IF(ISNUMBER(INDEX(SPPR!$E:$Z,MATCH($A247,SPPR!$A:$A,0),7)),$C247*INDEX(SPPR!$E:$Z,MATCH($A247,SPPR!$A:$A,0),7),""),"")</f>
        <v/>
      </c>
      <c r="K247">
        <f>IFERROR(IF(ISNUMBER(INDEX(SPPR!$E:$Z,MATCH($A247,SPPR!$A:$A,0),8)),$C247*INDEX(SPPR!$E:$Z,MATCH($A247,SPPR!$A:$A,0),8),""),"")</f>
        <v/>
      </c>
      <c r="L247">
        <f>IFERROR(IF(ISNUMBER(INDEX(SPPR!$E:$Z,MATCH($A247,SPPR!$A:$A,0),9)),$C247*INDEX(SPPR!$E:$Z,MATCH($A247,SPPR!$A:$A,0),9),""),"")</f>
        <v/>
      </c>
      <c r="M247">
        <f>IFERROR(IF(ISNUMBER(INDEX(SPPR!$E:$Z,MATCH($A247,SPPR!$A:$A,0),10)),$C247*INDEX(SPPR!$E:$Z,MATCH($A247,SPPR!$A:$A,0),10),""),"")</f>
        <v/>
      </c>
      <c r="N247">
        <f>IFERROR(IF(ISNUMBER(INDEX(SPPR!$E:$Z,MATCH($A247,SPPR!$A:$A,0),11)),$C247*INDEX(SPPR!$E:$Z,MATCH($A247,SPPR!$A:$A,0),11),""),"")</f>
        <v/>
      </c>
      <c r="O247">
        <f>IFERROR(IF(ISNUMBER(INDEX(SPPR!$E:$Z,MATCH($A247,SPPR!$A:$A,0),12)),$C247*INDEX(SPPR!$E:$Z,MATCH($A247,SPPR!$A:$A,0),12),""),"")</f>
        <v/>
      </c>
      <c r="P247">
        <f>IFERROR(IF(ISNUMBER(INDEX(SPPR!$E:$Z,MATCH($A247,SPPR!$A:$A,0),13)),$C247*INDEX(SPPR!$E:$Z,MATCH($A247,SPPR!$A:$A,0),13),""),"")</f>
        <v/>
      </c>
      <c r="Q247">
        <f>IFERROR(IF(ISNUMBER(INDEX(SPPR!$E:$Z,MATCH($A247,SPPR!$A:$A,0),14)),$C247*INDEX(SPPR!$E:$Z,MATCH($A247,SPPR!$A:$A,0),14),""),"")</f>
        <v/>
      </c>
      <c r="R247">
        <f>IFERROR(IF(ISNUMBER(INDEX(SPPR!$E:$Z,MATCH($A247,SPPR!$A:$A,0),15)),$C247*INDEX(SPPR!$E:$Z,MATCH($A247,SPPR!$A:$A,0),15),""),"")</f>
        <v/>
      </c>
      <c r="S247">
        <f>IFERROR(IF(ISNUMBER(INDEX(SPPR!$E:$Z,MATCH($A247,SPPR!$A:$A,0),16)),$C247*INDEX(SPPR!$E:$Z,MATCH($A247,SPPR!$A:$A,0),16),""),"")</f>
        <v/>
      </c>
      <c r="T247">
        <f>IFERROR(IF(ISNUMBER(INDEX(SPPR!$E:$Z,MATCH($A247,SPPR!$A:$A,0),17)),$C247*INDEX(SPPR!$E:$Z,MATCH($A247,SPPR!$A:$A,0),17),""),"")</f>
        <v/>
      </c>
      <c r="U247">
        <f>IFERROR(IF(ISNUMBER(INDEX(SPPR!$E:$Z,MATCH($A247,SPPR!$A:$A,0),18)),$C247*INDEX(SPPR!$E:$Z,MATCH($A247,SPPR!$A:$A,0),18),""),"")</f>
        <v/>
      </c>
      <c r="V247">
        <f>IFERROR(IF(ISNUMBER(INDEX(SPPR!$E:$Z,MATCH($A247,SPPR!$A:$A,0),19)),$C247*INDEX(SPPR!$E:$Z,MATCH($A247,SPPR!$A:$A,0),19),""),"")</f>
        <v/>
      </c>
      <c r="W247">
        <f>IFERROR(IF(ISNUMBER(INDEX(SPPR!$E:$Z,MATCH($A247,SPPR!$A:$A,0),20)),$C247*INDEX(SPPR!$E:$Z,MATCH($A247,SPPR!$A:$A,0),20),""),"")</f>
        <v/>
      </c>
      <c r="X247">
        <f>IFERROR(IF(ISNUMBER(INDEX(SPPR!$E:$Z,MATCH($A247,SPPR!$A:$A,0),21)),$C247*INDEX(SPPR!$E:$Z,MATCH($A247,SPPR!$A:$A,0),21),""),"")</f>
        <v/>
      </c>
      <c r="Y247">
        <f>IFERROR(IF(ISNUMBER(INDEX(SPPR!$E:$Z,MATCH($A247,SPPR!$A:$A,0),22)),$C247*INDEX(SPPR!$E:$Z,MATCH($A247,SPPR!$A:$A,0),22),""),"")</f>
        <v/>
      </c>
    </row>
    <row r="248">
      <c r="A248" t="inlineStr">
        <is>
          <t>Istiompax indica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IFERROR(IF(ISNUMBER(INDEX(SPPR!$E:$Z,MATCH($A248,SPPR!$A:$A,0),1)),$C248*INDEX(SPPR!$E:$Z,MATCH($A248,SPPR!$A:$A,0),1),""),"")</f>
        <v/>
      </c>
      <c r="E248">
        <f>IFERROR(IF(ISNUMBER(INDEX(SPPR!$E:$Z,MATCH($A248,SPPR!$A:$A,0),2)),$C248*INDEX(SPPR!$E:$Z,MATCH($A248,SPPR!$A:$A,0),2),""),"")</f>
        <v/>
      </c>
      <c r="F248">
        <f>IFERROR(IF(ISNUMBER(INDEX(SPPR!$E:$Z,MATCH($A248,SPPR!$A:$A,0),3)),$C248*INDEX(SPPR!$E:$Z,MATCH($A248,SPPR!$A:$A,0),3),""),"")</f>
        <v/>
      </c>
      <c r="G248">
        <f>IFERROR(IF(ISNUMBER(INDEX(SPPR!$E:$Z,MATCH($A248,SPPR!$A:$A,0),4)),$C248*INDEX(SPPR!$E:$Z,MATCH($A248,SPPR!$A:$A,0),4),""),"")</f>
        <v/>
      </c>
      <c r="H248">
        <f>IFERROR(IF(ISNUMBER(INDEX(SPPR!$E:$Z,MATCH($A248,SPPR!$A:$A,0),5)),$C248*INDEX(SPPR!$E:$Z,MATCH($A248,SPPR!$A:$A,0),5),""),"")</f>
        <v/>
      </c>
      <c r="I248">
        <f>IFERROR(IF(ISNUMBER(INDEX(SPPR!$E:$Z,MATCH($A248,SPPR!$A:$A,0),6)),$C248*INDEX(SPPR!$E:$Z,MATCH($A248,SPPR!$A:$A,0),6),""),"")</f>
        <v/>
      </c>
      <c r="J248">
        <f>IFERROR(IF(ISNUMBER(INDEX(SPPR!$E:$Z,MATCH($A248,SPPR!$A:$A,0),7)),$C248*INDEX(SPPR!$E:$Z,MATCH($A248,SPPR!$A:$A,0),7),""),"")</f>
        <v/>
      </c>
      <c r="K248">
        <f>IFERROR(IF(ISNUMBER(INDEX(SPPR!$E:$Z,MATCH($A248,SPPR!$A:$A,0),8)),$C248*INDEX(SPPR!$E:$Z,MATCH($A248,SPPR!$A:$A,0),8),""),"")</f>
        <v/>
      </c>
      <c r="L248">
        <f>IFERROR(IF(ISNUMBER(INDEX(SPPR!$E:$Z,MATCH($A248,SPPR!$A:$A,0),9)),$C248*INDEX(SPPR!$E:$Z,MATCH($A248,SPPR!$A:$A,0),9),""),"")</f>
        <v/>
      </c>
      <c r="M248">
        <f>IFERROR(IF(ISNUMBER(INDEX(SPPR!$E:$Z,MATCH($A248,SPPR!$A:$A,0),10)),$C248*INDEX(SPPR!$E:$Z,MATCH($A248,SPPR!$A:$A,0),10),""),"")</f>
        <v/>
      </c>
      <c r="N248">
        <f>IFERROR(IF(ISNUMBER(INDEX(SPPR!$E:$Z,MATCH($A248,SPPR!$A:$A,0),11)),$C248*INDEX(SPPR!$E:$Z,MATCH($A248,SPPR!$A:$A,0),11),""),"")</f>
        <v/>
      </c>
      <c r="O248">
        <f>IFERROR(IF(ISNUMBER(INDEX(SPPR!$E:$Z,MATCH($A248,SPPR!$A:$A,0),12)),$C248*INDEX(SPPR!$E:$Z,MATCH($A248,SPPR!$A:$A,0),12),""),"")</f>
        <v/>
      </c>
      <c r="P248">
        <f>IFERROR(IF(ISNUMBER(INDEX(SPPR!$E:$Z,MATCH($A248,SPPR!$A:$A,0),13)),$C248*INDEX(SPPR!$E:$Z,MATCH($A248,SPPR!$A:$A,0),13),""),"")</f>
        <v/>
      </c>
      <c r="Q248">
        <f>IFERROR(IF(ISNUMBER(INDEX(SPPR!$E:$Z,MATCH($A248,SPPR!$A:$A,0),14)),$C248*INDEX(SPPR!$E:$Z,MATCH($A248,SPPR!$A:$A,0),14),""),"")</f>
        <v/>
      </c>
      <c r="R248">
        <f>IFERROR(IF(ISNUMBER(INDEX(SPPR!$E:$Z,MATCH($A248,SPPR!$A:$A,0),15)),$C248*INDEX(SPPR!$E:$Z,MATCH($A248,SPPR!$A:$A,0),15),""),"")</f>
        <v/>
      </c>
      <c r="S248">
        <f>IFERROR(IF(ISNUMBER(INDEX(SPPR!$E:$Z,MATCH($A248,SPPR!$A:$A,0),16)),$C248*INDEX(SPPR!$E:$Z,MATCH($A248,SPPR!$A:$A,0),16),""),"")</f>
        <v/>
      </c>
      <c r="T248">
        <f>IFERROR(IF(ISNUMBER(INDEX(SPPR!$E:$Z,MATCH($A248,SPPR!$A:$A,0),17)),$C248*INDEX(SPPR!$E:$Z,MATCH($A248,SPPR!$A:$A,0),17),""),"")</f>
        <v/>
      </c>
      <c r="U248">
        <f>IFERROR(IF(ISNUMBER(INDEX(SPPR!$E:$Z,MATCH($A248,SPPR!$A:$A,0),18)),$C248*INDEX(SPPR!$E:$Z,MATCH($A248,SPPR!$A:$A,0),18),""),"")</f>
        <v/>
      </c>
      <c r="V248">
        <f>IFERROR(IF(ISNUMBER(INDEX(SPPR!$E:$Z,MATCH($A248,SPPR!$A:$A,0),19)),$C248*INDEX(SPPR!$E:$Z,MATCH($A248,SPPR!$A:$A,0),19),""),"")</f>
        <v/>
      </c>
      <c r="W248">
        <f>IFERROR(IF(ISNUMBER(INDEX(SPPR!$E:$Z,MATCH($A248,SPPR!$A:$A,0),20)),$C248*INDEX(SPPR!$E:$Z,MATCH($A248,SPPR!$A:$A,0),20),""),"")</f>
        <v/>
      </c>
      <c r="X248">
        <f>IFERROR(IF(ISNUMBER(INDEX(SPPR!$E:$Z,MATCH($A248,SPPR!$A:$A,0),21)),$C248*INDEX(SPPR!$E:$Z,MATCH($A248,SPPR!$A:$A,0),21),""),"")</f>
        <v/>
      </c>
      <c r="Y248">
        <f>IFERROR(IF(ISNUMBER(INDEX(SPPR!$E:$Z,MATCH($A248,SPPR!$A:$A,0),22)),$C248*INDEX(SPPR!$E:$Z,MATCH($A248,SPPR!$A:$A,0),22),""),"")</f>
        <v/>
      </c>
    </row>
    <row r="249">
      <c r="A249" t="inlineStr">
        <is>
          <t>Marine pelagic fishes not identified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IFERROR(IF(ISNUMBER(INDEX(SPPR!$E:$Z,MATCH($A249,SPPR!$A:$A,0),1)),$C249*INDEX(SPPR!$E:$Z,MATCH($A249,SPPR!$A:$A,0),1),""),"")</f>
        <v/>
      </c>
      <c r="E249">
        <f>IFERROR(IF(ISNUMBER(INDEX(SPPR!$E:$Z,MATCH($A249,SPPR!$A:$A,0),2)),$C249*INDEX(SPPR!$E:$Z,MATCH($A249,SPPR!$A:$A,0),2),""),"")</f>
        <v/>
      </c>
      <c r="F249">
        <f>IFERROR(IF(ISNUMBER(INDEX(SPPR!$E:$Z,MATCH($A249,SPPR!$A:$A,0),3)),$C249*INDEX(SPPR!$E:$Z,MATCH($A249,SPPR!$A:$A,0),3),""),"")</f>
        <v/>
      </c>
      <c r="G249">
        <f>IFERROR(IF(ISNUMBER(INDEX(SPPR!$E:$Z,MATCH($A249,SPPR!$A:$A,0),4)),$C249*INDEX(SPPR!$E:$Z,MATCH($A249,SPPR!$A:$A,0),4),""),"")</f>
        <v/>
      </c>
      <c r="H249">
        <f>IFERROR(IF(ISNUMBER(INDEX(SPPR!$E:$Z,MATCH($A249,SPPR!$A:$A,0),5)),$C249*INDEX(SPPR!$E:$Z,MATCH($A249,SPPR!$A:$A,0),5),""),"")</f>
        <v/>
      </c>
      <c r="I249">
        <f>IFERROR(IF(ISNUMBER(INDEX(SPPR!$E:$Z,MATCH($A249,SPPR!$A:$A,0),6)),$C249*INDEX(SPPR!$E:$Z,MATCH($A249,SPPR!$A:$A,0),6),""),"")</f>
        <v/>
      </c>
      <c r="J249">
        <f>IFERROR(IF(ISNUMBER(INDEX(SPPR!$E:$Z,MATCH($A249,SPPR!$A:$A,0),7)),$C249*INDEX(SPPR!$E:$Z,MATCH($A249,SPPR!$A:$A,0),7),""),"")</f>
        <v/>
      </c>
      <c r="K249">
        <f>IFERROR(IF(ISNUMBER(INDEX(SPPR!$E:$Z,MATCH($A249,SPPR!$A:$A,0),8)),$C249*INDEX(SPPR!$E:$Z,MATCH($A249,SPPR!$A:$A,0),8),""),"")</f>
        <v/>
      </c>
      <c r="L249">
        <f>IFERROR(IF(ISNUMBER(INDEX(SPPR!$E:$Z,MATCH($A249,SPPR!$A:$A,0),9)),$C249*INDEX(SPPR!$E:$Z,MATCH($A249,SPPR!$A:$A,0),9),""),"")</f>
        <v/>
      </c>
      <c r="M249">
        <f>IFERROR(IF(ISNUMBER(INDEX(SPPR!$E:$Z,MATCH($A249,SPPR!$A:$A,0),10)),$C249*INDEX(SPPR!$E:$Z,MATCH($A249,SPPR!$A:$A,0),10),""),"")</f>
        <v/>
      </c>
      <c r="N249">
        <f>IFERROR(IF(ISNUMBER(INDEX(SPPR!$E:$Z,MATCH($A249,SPPR!$A:$A,0),11)),$C249*INDEX(SPPR!$E:$Z,MATCH($A249,SPPR!$A:$A,0),11),""),"")</f>
        <v/>
      </c>
      <c r="O249">
        <f>IFERROR(IF(ISNUMBER(INDEX(SPPR!$E:$Z,MATCH($A249,SPPR!$A:$A,0),12)),$C249*INDEX(SPPR!$E:$Z,MATCH($A249,SPPR!$A:$A,0),12),""),"")</f>
        <v/>
      </c>
      <c r="P249">
        <f>IFERROR(IF(ISNUMBER(INDEX(SPPR!$E:$Z,MATCH($A249,SPPR!$A:$A,0),13)),$C249*INDEX(SPPR!$E:$Z,MATCH($A249,SPPR!$A:$A,0),13),""),"")</f>
        <v/>
      </c>
      <c r="Q249">
        <f>IFERROR(IF(ISNUMBER(INDEX(SPPR!$E:$Z,MATCH($A249,SPPR!$A:$A,0),14)),$C249*INDEX(SPPR!$E:$Z,MATCH($A249,SPPR!$A:$A,0),14),""),"")</f>
        <v/>
      </c>
      <c r="R249">
        <f>IFERROR(IF(ISNUMBER(INDEX(SPPR!$E:$Z,MATCH($A249,SPPR!$A:$A,0),15)),$C249*INDEX(SPPR!$E:$Z,MATCH($A249,SPPR!$A:$A,0),15),""),"")</f>
        <v/>
      </c>
      <c r="S249">
        <f>IFERROR(IF(ISNUMBER(INDEX(SPPR!$E:$Z,MATCH($A249,SPPR!$A:$A,0),16)),$C249*INDEX(SPPR!$E:$Z,MATCH($A249,SPPR!$A:$A,0),16),""),"")</f>
        <v/>
      </c>
      <c r="T249">
        <f>IFERROR(IF(ISNUMBER(INDEX(SPPR!$E:$Z,MATCH($A249,SPPR!$A:$A,0),17)),$C249*INDEX(SPPR!$E:$Z,MATCH($A249,SPPR!$A:$A,0),17),""),"")</f>
        <v/>
      </c>
      <c r="U249">
        <f>IFERROR(IF(ISNUMBER(INDEX(SPPR!$E:$Z,MATCH($A249,SPPR!$A:$A,0),18)),$C249*INDEX(SPPR!$E:$Z,MATCH($A249,SPPR!$A:$A,0),18),""),"")</f>
        <v/>
      </c>
      <c r="V249">
        <f>IFERROR(IF(ISNUMBER(INDEX(SPPR!$E:$Z,MATCH($A249,SPPR!$A:$A,0),19)),$C249*INDEX(SPPR!$E:$Z,MATCH($A249,SPPR!$A:$A,0),19),""),"")</f>
        <v/>
      </c>
      <c r="W249">
        <f>IFERROR(IF(ISNUMBER(INDEX(SPPR!$E:$Z,MATCH($A249,SPPR!$A:$A,0),20)),$C249*INDEX(SPPR!$E:$Z,MATCH($A249,SPPR!$A:$A,0),20),""),"")</f>
        <v/>
      </c>
      <c r="X249">
        <f>IFERROR(IF(ISNUMBER(INDEX(SPPR!$E:$Z,MATCH($A249,SPPR!$A:$A,0),21)),$C249*INDEX(SPPR!$E:$Z,MATCH($A249,SPPR!$A:$A,0),21),""),"")</f>
        <v/>
      </c>
      <c r="Y249">
        <f>IFERROR(IF(ISNUMBER(INDEX(SPPR!$E:$Z,MATCH($A249,SPPR!$A:$A,0),22)),$C249*INDEX(SPPR!$E:$Z,MATCH($A249,SPPR!$A:$A,0),22),""),"")</f>
        <v/>
      </c>
    </row>
    <row r="250">
      <c r="A250" t="inlineStr">
        <is>
          <t>Sardinella zunasi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IFERROR(IF(ISNUMBER(INDEX(SPPR!$E:$Z,MATCH($A250,SPPR!$A:$A,0),1)),$C250*INDEX(SPPR!$E:$Z,MATCH($A250,SPPR!$A:$A,0),1),""),"")</f>
        <v/>
      </c>
      <c r="E250">
        <f>IFERROR(IF(ISNUMBER(INDEX(SPPR!$E:$Z,MATCH($A250,SPPR!$A:$A,0),2)),$C250*INDEX(SPPR!$E:$Z,MATCH($A250,SPPR!$A:$A,0),2),""),"")</f>
        <v/>
      </c>
      <c r="F250">
        <f>IFERROR(IF(ISNUMBER(INDEX(SPPR!$E:$Z,MATCH($A250,SPPR!$A:$A,0),3)),$C250*INDEX(SPPR!$E:$Z,MATCH($A250,SPPR!$A:$A,0),3),""),"")</f>
        <v/>
      </c>
      <c r="G250">
        <f>IFERROR(IF(ISNUMBER(INDEX(SPPR!$E:$Z,MATCH($A250,SPPR!$A:$A,0),4)),$C250*INDEX(SPPR!$E:$Z,MATCH($A250,SPPR!$A:$A,0),4),""),"")</f>
        <v/>
      </c>
      <c r="H250">
        <f>IFERROR(IF(ISNUMBER(INDEX(SPPR!$E:$Z,MATCH($A250,SPPR!$A:$A,0),5)),$C250*INDEX(SPPR!$E:$Z,MATCH($A250,SPPR!$A:$A,0),5),""),"")</f>
        <v/>
      </c>
      <c r="I250">
        <f>IFERROR(IF(ISNUMBER(INDEX(SPPR!$E:$Z,MATCH($A250,SPPR!$A:$A,0),6)),$C250*INDEX(SPPR!$E:$Z,MATCH($A250,SPPR!$A:$A,0),6),""),"")</f>
        <v/>
      </c>
      <c r="J250">
        <f>IFERROR(IF(ISNUMBER(INDEX(SPPR!$E:$Z,MATCH($A250,SPPR!$A:$A,0),7)),$C250*INDEX(SPPR!$E:$Z,MATCH($A250,SPPR!$A:$A,0),7),""),"")</f>
        <v/>
      </c>
      <c r="K250">
        <f>IFERROR(IF(ISNUMBER(INDEX(SPPR!$E:$Z,MATCH($A250,SPPR!$A:$A,0),8)),$C250*INDEX(SPPR!$E:$Z,MATCH($A250,SPPR!$A:$A,0),8),""),"")</f>
        <v/>
      </c>
      <c r="L250">
        <f>IFERROR(IF(ISNUMBER(INDEX(SPPR!$E:$Z,MATCH($A250,SPPR!$A:$A,0),9)),$C250*INDEX(SPPR!$E:$Z,MATCH($A250,SPPR!$A:$A,0),9),""),"")</f>
        <v/>
      </c>
      <c r="M250">
        <f>IFERROR(IF(ISNUMBER(INDEX(SPPR!$E:$Z,MATCH($A250,SPPR!$A:$A,0),10)),$C250*INDEX(SPPR!$E:$Z,MATCH($A250,SPPR!$A:$A,0),10),""),"")</f>
        <v/>
      </c>
      <c r="N250">
        <f>IFERROR(IF(ISNUMBER(INDEX(SPPR!$E:$Z,MATCH($A250,SPPR!$A:$A,0),11)),$C250*INDEX(SPPR!$E:$Z,MATCH($A250,SPPR!$A:$A,0),11),""),"")</f>
        <v/>
      </c>
      <c r="O250">
        <f>IFERROR(IF(ISNUMBER(INDEX(SPPR!$E:$Z,MATCH($A250,SPPR!$A:$A,0),12)),$C250*INDEX(SPPR!$E:$Z,MATCH($A250,SPPR!$A:$A,0),12),""),"")</f>
        <v/>
      </c>
      <c r="P250">
        <f>IFERROR(IF(ISNUMBER(INDEX(SPPR!$E:$Z,MATCH($A250,SPPR!$A:$A,0),13)),$C250*INDEX(SPPR!$E:$Z,MATCH($A250,SPPR!$A:$A,0),13),""),"")</f>
        <v/>
      </c>
      <c r="Q250">
        <f>IFERROR(IF(ISNUMBER(INDEX(SPPR!$E:$Z,MATCH($A250,SPPR!$A:$A,0),14)),$C250*INDEX(SPPR!$E:$Z,MATCH($A250,SPPR!$A:$A,0),14),""),"")</f>
        <v/>
      </c>
      <c r="R250">
        <f>IFERROR(IF(ISNUMBER(INDEX(SPPR!$E:$Z,MATCH($A250,SPPR!$A:$A,0),15)),$C250*INDEX(SPPR!$E:$Z,MATCH($A250,SPPR!$A:$A,0),15),""),"")</f>
        <v/>
      </c>
      <c r="S250">
        <f>IFERROR(IF(ISNUMBER(INDEX(SPPR!$E:$Z,MATCH($A250,SPPR!$A:$A,0),16)),$C250*INDEX(SPPR!$E:$Z,MATCH($A250,SPPR!$A:$A,0),16),""),"")</f>
        <v/>
      </c>
      <c r="T250">
        <f>IFERROR(IF(ISNUMBER(INDEX(SPPR!$E:$Z,MATCH($A250,SPPR!$A:$A,0),17)),$C250*INDEX(SPPR!$E:$Z,MATCH($A250,SPPR!$A:$A,0),17),""),"")</f>
        <v/>
      </c>
      <c r="U250">
        <f>IFERROR(IF(ISNUMBER(INDEX(SPPR!$E:$Z,MATCH($A250,SPPR!$A:$A,0),18)),$C250*INDEX(SPPR!$E:$Z,MATCH($A250,SPPR!$A:$A,0),18),""),"")</f>
        <v/>
      </c>
      <c r="V250">
        <f>IFERROR(IF(ISNUMBER(INDEX(SPPR!$E:$Z,MATCH($A250,SPPR!$A:$A,0),19)),$C250*INDEX(SPPR!$E:$Z,MATCH($A250,SPPR!$A:$A,0),19),""),"")</f>
        <v/>
      </c>
      <c r="W250">
        <f>IFERROR(IF(ISNUMBER(INDEX(SPPR!$E:$Z,MATCH($A250,SPPR!$A:$A,0),20)),$C250*INDEX(SPPR!$E:$Z,MATCH($A250,SPPR!$A:$A,0),20),""),"")</f>
        <v/>
      </c>
      <c r="X250">
        <f>IFERROR(IF(ISNUMBER(INDEX(SPPR!$E:$Z,MATCH($A250,SPPR!$A:$A,0),21)),$C250*INDEX(SPPR!$E:$Z,MATCH($A250,SPPR!$A:$A,0),21),""),"")</f>
        <v/>
      </c>
      <c r="Y250">
        <f>IFERROR(IF(ISNUMBER(INDEX(SPPR!$E:$Z,MATCH($A250,SPPR!$A:$A,0),22)),$C250*INDEX(SPPR!$E:$Z,MATCH($A250,SPPR!$A:$A,0),22),""),"")</f>
        <v/>
      </c>
    </row>
    <row r="251">
      <c r="A251" t="inlineStr">
        <is>
          <t>Muraenidae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IFERROR(IF(ISNUMBER(INDEX(SPPR!$E:$Z,MATCH($A251,SPPR!$A:$A,0),1)),$C251*INDEX(SPPR!$E:$Z,MATCH($A251,SPPR!$A:$A,0),1),""),"")</f>
        <v/>
      </c>
      <c r="E251">
        <f>IFERROR(IF(ISNUMBER(INDEX(SPPR!$E:$Z,MATCH($A251,SPPR!$A:$A,0),2)),$C251*INDEX(SPPR!$E:$Z,MATCH($A251,SPPR!$A:$A,0),2),""),"")</f>
        <v/>
      </c>
      <c r="F251">
        <f>IFERROR(IF(ISNUMBER(INDEX(SPPR!$E:$Z,MATCH($A251,SPPR!$A:$A,0),3)),$C251*INDEX(SPPR!$E:$Z,MATCH($A251,SPPR!$A:$A,0),3),""),"")</f>
        <v/>
      </c>
      <c r="G251">
        <f>IFERROR(IF(ISNUMBER(INDEX(SPPR!$E:$Z,MATCH($A251,SPPR!$A:$A,0),4)),$C251*INDEX(SPPR!$E:$Z,MATCH($A251,SPPR!$A:$A,0),4),""),"")</f>
        <v/>
      </c>
      <c r="H251">
        <f>IFERROR(IF(ISNUMBER(INDEX(SPPR!$E:$Z,MATCH($A251,SPPR!$A:$A,0),5)),$C251*INDEX(SPPR!$E:$Z,MATCH($A251,SPPR!$A:$A,0),5),""),"")</f>
        <v/>
      </c>
      <c r="I251">
        <f>IFERROR(IF(ISNUMBER(INDEX(SPPR!$E:$Z,MATCH($A251,SPPR!$A:$A,0),6)),$C251*INDEX(SPPR!$E:$Z,MATCH($A251,SPPR!$A:$A,0),6),""),"")</f>
        <v/>
      </c>
      <c r="J251">
        <f>IFERROR(IF(ISNUMBER(INDEX(SPPR!$E:$Z,MATCH($A251,SPPR!$A:$A,0),7)),$C251*INDEX(SPPR!$E:$Z,MATCH($A251,SPPR!$A:$A,0),7),""),"")</f>
        <v/>
      </c>
      <c r="K251">
        <f>IFERROR(IF(ISNUMBER(INDEX(SPPR!$E:$Z,MATCH($A251,SPPR!$A:$A,0),8)),$C251*INDEX(SPPR!$E:$Z,MATCH($A251,SPPR!$A:$A,0),8),""),"")</f>
        <v/>
      </c>
      <c r="L251">
        <f>IFERROR(IF(ISNUMBER(INDEX(SPPR!$E:$Z,MATCH($A251,SPPR!$A:$A,0),9)),$C251*INDEX(SPPR!$E:$Z,MATCH($A251,SPPR!$A:$A,0),9),""),"")</f>
        <v/>
      </c>
      <c r="M251">
        <f>IFERROR(IF(ISNUMBER(INDEX(SPPR!$E:$Z,MATCH($A251,SPPR!$A:$A,0),10)),$C251*INDEX(SPPR!$E:$Z,MATCH($A251,SPPR!$A:$A,0),10),""),"")</f>
        <v/>
      </c>
      <c r="N251">
        <f>IFERROR(IF(ISNUMBER(INDEX(SPPR!$E:$Z,MATCH($A251,SPPR!$A:$A,0),11)),$C251*INDEX(SPPR!$E:$Z,MATCH($A251,SPPR!$A:$A,0),11),""),"")</f>
        <v/>
      </c>
      <c r="O251">
        <f>IFERROR(IF(ISNUMBER(INDEX(SPPR!$E:$Z,MATCH($A251,SPPR!$A:$A,0),12)),$C251*INDEX(SPPR!$E:$Z,MATCH($A251,SPPR!$A:$A,0),12),""),"")</f>
        <v/>
      </c>
      <c r="P251">
        <f>IFERROR(IF(ISNUMBER(INDEX(SPPR!$E:$Z,MATCH($A251,SPPR!$A:$A,0),13)),$C251*INDEX(SPPR!$E:$Z,MATCH($A251,SPPR!$A:$A,0),13),""),"")</f>
        <v/>
      </c>
      <c r="Q251">
        <f>IFERROR(IF(ISNUMBER(INDEX(SPPR!$E:$Z,MATCH($A251,SPPR!$A:$A,0),14)),$C251*INDEX(SPPR!$E:$Z,MATCH($A251,SPPR!$A:$A,0),14),""),"")</f>
        <v/>
      </c>
      <c r="R251">
        <f>IFERROR(IF(ISNUMBER(INDEX(SPPR!$E:$Z,MATCH($A251,SPPR!$A:$A,0),15)),$C251*INDEX(SPPR!$E:$Z,MATCH($A251,SPPR!$A:$A,0),15),""),"")</f>
        <v/>
      </c>
      <c r="S251">
        <f>IFERROR(IF(ISNUMBER(INDEX(SPPR!$E:$Z,MATCH($A251,SPPR!$A:$A,0),16)),$C251*INDEX(SPPR!$E:$Z,MATCH($A251,SPPR!$A:$A,0),16),""),"")</f>
        <v/>
      </c>
      <c r="T251">
        <f>IFERROR(IF(ISNUMBER(INDEX(SPPR!$E:$Z,MATCH($A251,SPPR!$A:$A,0),17)),$C251*INDEX(SPPR!$E:$Z,MATCH($A251,SPPR!$A:$A,0),17),""),"")</f>
        <v/>
      </c>
      <c r="U251">
        <f>IFERROR(IF(ISNUMBER(INDEX(SPPR!$E:$Z,MATCH($A251,SPPR!$A:$A,0),18)),$C251*INDEX(SPPR!$E:$Z,MATCH($A251,SPPR!$A:$A,0),18),""),"")</f>
        <v/>
      </c>
      <c r="V251">
        <f>IFERROR(IF(ISNUMBER(INDEX(SPPR!$E:$Z,MATCH($A251,SPPR!$A:$A,0),19)),$C251*INDEX(SPPR!$E:$Z,MATCH($A251,SPPR!$A:$A,0),19),""),"")</f>
        <v/>
      </c>
      <c r="W251">
        <f>IFERROR(IF(ISNUMBER(INDEX(SPPR!$E:$Z,MATCH($A251,SPPR!$A:$A,0),20)),$C251*INDEX(SPPR!$E:$Z,MATCH($A251,SPPR!$A:$A,0),20),""),"")</f>
        <v/>
      </c>
      <c r="X251">
        <f>IFERROR(IF(ISNUMBER(INDEX(SPPR!$E:$Z,MATCH($A251,SPPR!$A:$A,0),21)),$C251*INDEX(SPPR!$E:$Z,MATCH($A251,SPPR!$A:$A,0),21),""),"")</f>
        <v/>
      </c>
      <c r="Y251">
        <f>IFERROR(IF(ISNUMBER(INDEX(SPPR!$E:$Z,MATCH($A251,SPPR!$A:$A,0),22)),$C251*INDEX(SPPR!$E:$Z,MATCH($A251,SPPR!$A:$A,0),22),""),"")</f>
        <v/>
      </c>
    </row>
    <row r="252">
      <c r="A252" t="inlineStr">
        <is>
          <t>Rachycentron canadum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IFERROR(IF(ISNUMBER(INDEX(SPPR!$E:$Z,MATCH($A252,SPPR!$A:$A,0),1)),$C252*INDEX(SPPR!$E:$Z,MATCH($A252,SPPR!$A:$A,0),1),""),"")</f>
        <v/>
      </c>
      <c r="E252">
        <f>IFERROR(IF(ISNUMBER(INDEX(SPPR!$E:$Z,MATCH($A252,SPPR!$A:$A,0),2)),$C252*INDEX(SPPR!$E:$Z,MATCH($A252,SPPR!$A:$A,0),2),""),"")</f>
        <v/>
      </c>
      <c r="F252">
        <f>IFERROR(IF(ISNUMBER(INDEX(SPPR!$E:$Z,MATCH($A252,SPPR!$A:$A,0),3)),$C252*INDEX(SPPR!$E:$Z,MATCH($A252,SPPR!$A:$A,0),3),""),"")</f>
        <v/>
      </c>
      <c r="G252">
        <f>IFERROR(IF(ISNUMBER(INDEX(SPPR!$E:$Z,MATCH($A252,SPPR!$A:$A,0),4)),$C252*INDEX(SPPR!$E:$Z,MATCH($A252,SPPR!$A:$A,0),4),""),"")</f>
        <v/>
      </c>
      <c r="H252">
        <f>IFERROR(IF(ISNUMBER(INDEX(SPPR!$E:$Z,MATCH($A252,SPPR!$A:$A,0),5)),$C252*INDEX(SPPR!$E:$Z,MATCH($A252,SPPR!$A:$A,0),5),""),"")</f>
        <v/>
      </c>
      <c r="I252">
        <f>IFERROR(IF(ISNUMBER(INDEX(SPPR!$E:$Z,MATCH($A252,SPPR!$A:$A,0),6)),$C252*INDEX(SPPR!$E:$Z,MATCH($A252,SPPR!$A:$A,0),6),""),"")</f>
        <v/>
      </c>
      <c r="J252">
        <f>IFERROR(IF(ISNUMBER(INDEX(SPPR!$E:$Z,MATCH($A252,SPPR!$A:$A,0),7)),$C252*INDEX(SPPR!$E:$Z,MATCH($A252,SPPR!$A:$A,0),7),""),"")</f>
        <v/>
      </c>
      <c r="K252">
        <f>IFERROR(IF(ISNUMBER(INDEX(SPPR!$E:$Z,MATCH($A252,SPPR!$A:$A,0),8)),$C252*INDEX(SPPR!$E:$Z,MATCH($A252,SPPR!$A:$A,0),8),""),"")</f>
        <v/>
      </c>
      <c r="L252">
        <f>IFERROR(IF(ISNUMBER(INDEX(SPPR!$E:$Z,MATCH($A252,SPPR!$A:$A,0),9)),$C252*INDEX(SPPR!$E:$Z,MATCH($A252,SPPR!$A:$A,0),9),""),"")</f>
        <v/>
      </c>
      <c r="M252">
        <f>IFERROR(IF(ISNUMBER(INDEX(SPPR!$E:$Z,MATCH($A252,SPPR!$A:$A,0),10)),$C252*INDEX(SPPR!$E:$Z,MATCH($A252,SPPR!$A:$A,0),10),""),"")</f>
        <v/>
      </c>
      <c r="N252">
        <f>IFERROR(IF(ISNUMBER(INDEX(SPPR!$E:$Z,MATCH($A252,SPPR!$A:$A,0),11)),$C252*INDEX(SPPR!$E:$Z,MATCH($A252,SPPR!$A:$A,0),11),""),"")</f>
        <v/>
      </c>
      <c r="O252">
        <f>IFERROR(IF(ISNUMBER(INDEX(SPPR!$E:$Z,MATCH($A252,SPPR!$A:$A,0),12)),$C252*INDEX(SPPR!$E:$Z,MATCH($A252,SPPR!$A:$A,0),12),""),"")</f>
        <v/>
      </c>
      <c r="P252">
        <f>IFERROR(IF(ISNUMBER(INDEX(SPPR!$E:$Z,MATCH($A252,SPPR!$A:$A,0),13)),$C252*INDEX(SPPR!$E:$Z,MATCH($A252,SPPR!$A:$A,0),13),""),"")</f>
        <v/>
      </c>
      <c r="Q252">
        <f>IFERROR(IF(ISNUMBER(INDEX(SPPR!$E:$Z,MATCH($A252,SPPR!$A:$A,0),14)),$C252*INDEX(SPPR!$E:$Z,MATCH($A252,SPPR!$A:$A,0),14),""),"")</f>
        <v/>
      </c>
      <c r="R252">
        <f>IFERROR(IF(ISNUMBER(INDEX(SPPR!$E:$Z,MATCH($A252,SPPR!$A:$A,0),15)),$C252*INDEX(SPPR!$E:$Z,MATCH($A252,SPPR!$A:$A,0),15),""),"")</f>
        <v/>
      </c>
      <c r="S252">
        <f>IFERROR(IF(ISNUMBER(INDEX(SPPR!$E:$Z,MATCH($A252,SPPR!$A:$A,0),16)),$C252*INDEX(SPPR!$E:$Z,MATCH($A252,SPPR!$A:$A,0),16),""),"")</f>
        <v/>
      </c>
      <c r="T252">
        <f>IFERROR(IF(ISNUMBER(INDEX(SPPR!$E:$Z,MATCH($A252,SPPR!$A:$A,0),17)),$C252*INDEX(SPPR!$E:$Z,MATCH($A252,SPPR!$A:$A,0),17),""),"")</f>
        <v/>
      </c>
      <c r="U252">
        <f>IFERROR(IF(ISNUMBER(INDEX(SPPR!$E:$Z,MATCH($A252,SPPR!$A:$A,0),18)),$C252*INDEX(SPPR!$E:$Z,MATCH($A252,SPPR!$A:$A,0),18),""),"")</f>
        <v/>
      </c>
      <c r="V252">
        <f>IFERROR(IF(ISNUMBER(INDEX(SPPR!$E:$Z,MATCH($A252,SPPR!$A:$A,0),19)),$C252*INDEX(SPPR!$E:$Z,MATCH($A252,SPPR!$A:$A,0),19),""),"")</f>
        <v/>
      </c>
      <c r="W252">
        <f>IFERROR(IF(ISNUMBER(INDEX(SPPR!$E:$Z,MATCH($A252,SPPR!$A:$A,0),20)),$C252*INDEX(SPPR!$E:$Z,MATCH($A252,SPPR!$A:$A,0),20),""),"")</f>
        <v/>
      </c>
      <c r="X252">
        <f>IFERROR(IF(ISNUMBER(INDEX(SPPR!$E:$Z,MATCH($A252,SPPR!$A:$A,0),21)),$C252*INDEX(SPPR!$E:$Z,MATCH($A252,SPPR!$A:$A,0),21),""),"")</f>
        <v/>
      </c>
      <c r="Y252">
        <f>IFERROR(IF(ISNUMBER(INDEX(SPPR!$E:$Z,MATCH($A252,SPPR!$A:$A,0),22)),$C252*INDEX(SPPR!$E:$Z,MATCH($A252,SPPR!$A:$A,0),22),""),"")</f>
        <v/>
      </c>
    </row>
    <row r="253">
      <c r="A253" t="inlineStr">
        <is>
          <t>Mierspenaeopsis hardwickii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IFERROR(IF(ISNUMBER(INDEX(SPPR!$E:$Z,MATCH($A253,SPPR!$A:$A,0),1)),$C253*INDEX(SPPR!$E:$Z,MATCH($A253,SPPR!$A:$A,0),1),""),"")</f>
        <v/>
      </c>
      <c r="E253">
        <f>IFERROR(IF(ISNUMBER(INDEX(SPPR!$E:$Z,MATCH($A253,SPPR!$A:$A,0),2)),$C253*INDEX(SPPR!$E:$Z,MATCH($A253,SPPR!$A:$A,0),2),""),"")</f>
        <v/>
      </c>
      <c r="F253">
        <f>IFERROR(IF(ISNUMBER(INDEX(SPPR!$E:$Z,MATCH($A253,SPPR!$A:$A,0),3)),$C253*INDEX(SPPR!$E:$Z,MATCH($A253,SPPR!$A:$A,0),3),""),"")</f>
        <v/>
      </c>
      <c r="G253">
        <f>IFERROR(IF(ISNUMBER(INDEX(SPPR!$E:$Z,MATCH($A253,SPPR!$A:$A,0),4)),$C253*INDEX(SPPR!$E:$Z,MATCH($A253,SPPR!$A:$A,0),4),""),"")</f>
        <v/>
      </c>
      <c r="H253">
        <f>IFERROR(IF(ISNUMBER(INDEX(SPPR!$E:$Z,MATCH($A253,SPPR!$A:$A,0),5)),$C253*INDEX(SPPR!$E:$Z,MATCH($A253,SPPR!$A:$A,0),5),""),"")</f>
        <v/>
      </c>
      <c r="I253">
        <f>IFERROR(IF(ISNUMBER(INDEX(SPPR!$E:$Z,MATCH($A253,SPPR!$A:$A,0),6)),$C253*INDEX(SPPR!$E:$Z,MATCH($A253,SPPR!$A:$A,0),6),""),"")</f>
        <v/>
      </c>
      <c r="J253">
        <f>IFERROR(IF(ISNUMBER(INDEX(SPPR!$E:$Z,MATCH($A253,SPPR!$A:$A,0),7)),$C253*INDEX(SPPR!$E:$Z,MATCH($A253,SPPR!$A:$A,0),7),""),"")</f>
        <v/>
      </c>
      <c r="K253">
        <f>IFERROR(IF(ISNUMBER(INDEX(SPPR!$E:$Z,MATCH($A253,SPPR!$A:$A,0),8)),$C253*INDEX(SPPR!$E:$Z,MATCH($A253,SPPR!$A:$A,0),8),""),"")</f>
        <v/>
      </c>
      <c r="L253">
        <f>IFERROR(IF(ISNUMBER(INDEX(SPPR!$E:$Z,MATCH($A253,SPPR!$A:$A,0),9)),$C253*INDEX(SPPR!$E:$Z,MATCH($A253,SPPR!$A:$A,0),9),""),"")</f>
        <v/>
      </c>
      <c r="M253">
        <f>IFERROR(IF(ISNUMBER(INDEX(SPPR!$E:$Z,MATCH($A253,SPPR!$A:$A,0),10)),$C253*INDEX(SPPR!$E:$Z,MATCH($A253,SPPR!$A:$A,0),10),""),"")</f>
        <v/>
      </c>
      <c r="N253">
        <f>IFERROR(IF(ISNUMBER(INDEX(SPPR!$E:$Z,MATCH($A253,SPPR!$A:$A,0),11)),$C253*INDEX(SPPR!$E:$Z,MATCH($A253,SPPR!$A:$A,0),11),""),"")</f>
        <v/>
      </c>
      <c r="O253">
        <f>IFERROR(IF(ISNUMBER(INDEX(SPPR!$E:$Z,MATCH($A253,SPPR!$A:$A,0),12)),$C253*INDEX(SPPR!$E:$Z,MATCH($A253,SPPR!$A:$A,0),12),""),"")</f>
        <v/>
      </c>
      <c r="P253">
        <f>IFERROR(IF(ISNUMBER(INDEX(SPPR!$E:$Z,MATCH($A253,SPPR!$A:$A,0),13)),$C253*INDEX(SPPR!$E:$Z,MATCH($A253,SPPR!$A:$A,0),13),""),"")</f>
        <v/>
      </c>
      <c r="Q253">
        <f>IFERROR(IF(ISNUMBER(INDEX(SPPR!$E:$Z,MATCH($A253,SPPR!$A:$A,0),14)),$C253*INDEX(SPPR!$E:$Z,MATCH($A253,SPPR!$A:$A,0),14),""),"")</f>
        <v/>
      </c>
      <c r="R253">
        <f>IFERROR(IF(ISNUMBER(INDEX(SPPR!$E:$Z,MATCH($A253,SPPR!$A:$A,0),15)),$C253*INDEX(SPPR!$E:$Z,MATCH($A253,SPPR!$A:$A,0),15),""),"")</f>
        <v/>
      </c>
      <c r="S253">
        <f>IFERROR(IF(ISNUMBER(INDEX(SPPR!$E:$Z,MATCH($A253,SPPR!$A:$A,0),16)),$C253*INDEX(SPPR!$E:$Z,MATCH($A253,SPPR!$A:$A,0),16),""),"")</f>
        <v/>
      </c>
      <c r="T253">
        <f>IFERROR(IF(ISNUMBER(INDEX(SPPR!$E:$Z,MATCH($A253,SPPR!$A:$A,0),17)),$C253*INDEX(SPPR!$E:$Z,MATCH($A253,SPPR!$A:$A,0),17),""),"")</f>
        <v/>
      </c>
      <c r="U253">
        <f>IFERROR(IF(ISNUMBER(INDEX(SPPR!$E:$Z,MATCH($A253,SPPR!$A:$A,0),18)),$C253*INDEX(SPPR!$E:$Z,MATCH($A253,SPPR!$A:$A,0),18),""),"")</f>
        <v/>
      </c>
      <c r="V253">
        <f>IFERROR(IF(ISNUMBER(INDEX(SPPR!$E:$Z,MATCH($A253,SPPR!$A:$A,0),19)),$C253*INDEX(SPPR!$E:$Z,MATCH($A253,SPPR!$A:$A,0),19),""),"")</f>
        <v/>
      </c>
      <c r="W253">
        <f>IFERROR(IF(ISNUMBER(INDEX(SPPR!$E:$Z,MATCH($A253,SPPR!$A:$A,0),20)),$C253*INDEX(SPPR!$E:$Z,MATCH($A253,SPPR!$A:$A,0),20),""),"")</f>
        <v/>
      </c>
      <c r="X253">
        <f>IFERROR(IF(ISNUMBER(INDEX(SPPR!$E:$Z,MATCH($A253,SPPR!$A:$A,0),21)),$C253*INDEX(SPPR!$E:$Z,MATCH($A253,SPPR!$A:$A,0),21),""),"")</f>
        <v/>
      </c>
      <c r="Y253">
        <f>IFERROR(IF(ISNUMBER(INDEX(SPPR!$E:$Z,MATCH($A253,SPPR!$A:$A,0),22)),$C253*INDEX(SPPR!$E:$Z,MATCH($A253,SPPR!$A:$A,0),22),""),"")</f>
        <v/>
      </c>
    </row>
    <row r="254">
      <c r="A254" t="inlineStr">
        <is>
          <t>Ibacus ciliatus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IFERROR(IF(ISNUMBER(INDEX(SPPR!$E:$Z,MATCH($A254,SPPR!$A:$A,0),1)),$C254*INDEX(SPPR!$E:$Z,MATCH($A254,SPPR!$A:$A,0),1),""),"")</f>
        <v/>
      </c>
      <c r="E254">
        <f>IFERROR(IF(ISNUMBER(INDEX(SPPR!$E:$Z,MATCH($A254,SPPR!$A:$A,0),2)),$C254*INDEX(SPPR!$E:$Z,MATCH($A254,SPPR!$A:$A,0),2),""),"")</f>
        <v/>
      </c>
      <c r="F254">
        <f>IFERROR(IF(ISNUMBER(INDEX(SPPR!$E:$Z,MATCH($A254,SPPR!$A:$A,0),3)),$C254*INDEX(SPPR!$E:$Z,MATCH($A254,SPPR!$A:$A,0),3),""),"")</f>
        <v/>
      </c>
      <c r="G254">
        <f>IFERROR(IF(ISNUMBER(INDEX(SPPR!$E:$Z,MATCH($A254,SPPR!$A:$A,0),4)),$C254*INDEX(SPPR!$E:$Z,MATCH($A254,SPPR!$A:$A,0),4),""),"")</f>
        <v/>
      </c>
      <c r="H254">
        <f>IFERROR(IF(ISNUMBER(INDEX(SPPR!$E:$Z,MATCH($A254,SPPR!$A:$A,0),5)),$C254*INDEX(SPPR!$E:$Z,MATCH($A254,SPPR!$A:$A,0),5),""),"")</f>
        <v/>
      </c>
      <c r="I254">
        <f>IFERROR(IF(ISNUMBER(INDEX(SPPR!$E:$Z,MATCH($A254,SPPR!$A:$A,0),6)),$C254*INDEX(SPPR!$E:$Z,MATCH($A254,SPPR!$A:$A,0),6),""),"")</f>
        <v/>
      </c>
      <c r="J254">
        <f>IFERROR(IF(ISNUMBER(INDEX(SPPR!$E:$Z,MATCH($A254,SPPR!$A:$A,0),7)),$C254*INDEX(SPPR!$E:$Z,MATCH($A254,SPPR!$A:$A,0),7),""),"")</f>
        <v/>
      </c>
      <c r="K254">
        <f>IFERROR(IF(ISNUMBER(INDEX(SPPR!$E:$Z,MATCH($A254,SPPR!$A:$A,0),8)),$C254*INDEX(SPPR!$E:$Z,MATCH($A254,SPPR!$A:$A,0),8),""),"")</f>
        <v/>
      </c>
      <c r="L254">
        <f>IFERROR(IF(ISNUMBER(INDEX(SPPR!$E:$Z,MATCH($A254,SPPR!$A:$A,0),9)),$C254*INDEX(SPPR!$E:$Z,MATCH($A254,SPPR!$A:$A,0),9),""),"")</f>
        <v/>
      </c>
      <c r="M254">
        <f>IFERROR(IF(ISNUMBER(INDEX(SPPR!$E:$Z,MATCH($A254,SPPR!$A:$A,0),10)),$C254*INDEX(SPPR!$E:$Z,MATCH($A254,SPPR!$A:$A,0),10),""),"")</f>
        <v/>
      </c>
      <c r="N254">
        <f>IFERROR(IF(ISNUMBER(INDEX(SPPR!$E:$Z,MATCH($A254,SPPR!$A:$A,0),11)),$C254*INDEX(SPPR!$E:$Z,MATCH($A254,SPPR!$A:$A,0),11),""),"")</f>
        <v/>
      </c>
      <c r="O254">
        <f>IFERROR(IF(ISNUMBER(INDEX(SPPR!$E:$Z,MATCH($A254,SPPR!$A:$A,0),12)),$C254*INDEX(SPPR!$E:$Z,MATCH($A254,SPPR!$A:$A,0),12),""),"")</f>
        <v/>
      </c>
      <c r="P254">
        <f>IFERROR(IF(ISNUMBER(INDEX(SPPR!$E:$Z,MATCH($A254,SPPR!$A:$A,0),13)),$C254*INDEX(SPPR!$E:$Z,MATCH($A254,SPPR!$A:$A,0),13),""),"")</f>
        <v/>
      </c>
      <c r="Q254">
        <f>IFERROR(IF(ISNUMBER(INDEX(SPPR!$E:$Z,MATCH($A254,SPPR!$A:$A,0),14)),$C254*INDEX(SPPR!$E:$Z,MATCH($A254,SPPR!$A:$A,0),14),""),"")</f>
        <v/>
      </c>
      <c r="R254">
        <f>IFERROR(IF(ISNUMBER(INDEX(SPPR!$E:$Z,MATCH($A254,SPPR!$A:$A,0),15)),$C254*INDEX(SPPR!$E:$Z,MATCH($A254,SPPR!$A:$A,0),15),""),"")</f>
        <v/>
      </c>
      <c r="S254">
        <f>IFERROR(IF(ISNUMBER(INDEX(SPPR!$E:$Z,MATCH($A254,SPPR!$A:$A,0),16)),$C254*INDEX(SPPR!$E:$Z,MATCH($A254,SPPR!$A:$A,0),16),""),"")</f>
        <v/>
      </c>
      <c r="T254">
        <f>IFERROR(IF(ISNUMBER(INDEX(SPPR!$E:$Z,MATCH($A254,SPPR!$A:$A,0),17)),$C254*INDEX(SPPR!$E:$Z,MATCH($A254,SPPR!$A:$A,0),17),""),"")</f>
        <v/>
      </c>
      <c r="U254">
        <f>IFERROR(IF(ISNUMBER(INDEX(SPPR!$E:$Z,MATCH($A254,SPPR!$A:$A,0),18)),$C254*INDEX(SPPR!$E:$Z,MATCH($A254,SPPR!$A:$A,0),18),""),"")</f>
        <v/>
      </c>
      <c r="V254">
        <f>IFERROR(IF(ISNUMBER(INDEX(SPPR!$E:$Z,MATCH($A254,SPPR!$A:$A,0),19)),$C254*INDEX(SPPR!$E:$Z,MATCH($A254,SPPR!$A:$A,0),19),""),"")</f>
        <v/>
      </c>
      <c r="W254">
        <f>IFERROR(IF(ISNUMBER(INDEX(SPPR!$E:$Z,MATCH($A254,SPPR!$A:$A,0),20)),$C254*INDEX(SPPR!$E:$Z,MATCH($A254,SPPR!$A:$A,0),20),""),"")</f>
        <v/>
      </c>
      <c r="X254">
        <f>IFERROR(IF(ISNUMBER(INDEX(SPPR!$E:$Z,MATCH($A254,SPPR!$A:$A,0),21)),$C254*INDEX(SPPR!$E:$Z,MATCH($A254,SPPR!$A:$A,0),21),""),"")</f>
        <v/>
      </c>
      <c r="Y254">
        <f>IFERROR(IF(ISNUMBER(INDEX(SPPR!$E:$Z,MATCH($A254,SPPR!$A:$A,0),22)),$C254*INDEX(SPPR!$E:$Z,MATCH($A254,SPPR!$A:$A,0),22),""),"")</f>
        <v/>
      </c>
    </row>
    <row r="255">
      <c r="A255" t="inlineStr">
        <is>
          <t>Istiophoridae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IFERROR(IF(ISNUMBER(INDEX(SPPR!$E:$Z,MATCH($A255,SPPR!$A:$A,0),1)),$C255*INDEX(SPPR!$E:$Z,MATCH($A255,SPPR!$A:$A,0),1),""),"")</f>
        <v/>
      </c>
      <c r="E255">
        <f>IFERROR(IF(ISNUMBER(INDEX(SPPR!$E:$Z,MATCH($A255,SPPR!$A:$A,0),2)),$C255*INDEX(SPPR!$E:$Z,MATCH($A255,SPPR!$A:$A,0),2),""),"")</f>
        <v/>
      </c>
      <c r="F255">
        <f>IFERROR(IF(ISNUMBER(INDEX(SPPR!$E:$Z,MATCH($A255,SPPR!$A:$A,0),3)),$C255*INDEX(SPPR!$E:$Z,MATCH($A255,SPPR!$A:$A,0),3),""),"")</f>
        <v/>
      </c>
      <c r="G255">
        <f>IFERROR(IF(ISNUMBER(INDEX(SPPR!$E:$Z,MATCH($A255,SPPR!$A:$A,0),4)),$C255*INDEX(SPPR!$E:$Z,MATCH($A255,SPPR!$A:$A,0),4),""),"")</f>
        <v/>
      </c>
      <c r="H255">
        <f>IFERROR(IF(ISNUMBER(INDEX(SPPR!$E:$Z,MATCH($A255,SPPR!$A:$A,0),5)),$C255*INDEX(SPPR!$E:$Z,MATCH($A255,SPPR!$A:$A,0),5),""),"")</f>
        <v/>
      </c>
      <c r="I255">
        <f>IFERROR(IF(ISNUMBER(INDEX(SPPR!$E:$Z,MATCH($A255,SPPR!$A:$A,0),6)),$C255*INDEX(SPPR!$E:$Z,MATCH($A255,SPPR!$A:$A,0),6),""),"")</f>
        <v/>
      </c>
      <c r="J255">
        <f>IFERROR(IF(ISNUMBER(INDEX(SPPR!$E:$Z,MATCH($A255,SPPR!$A:$A,0),7)),$C255*INDEX(SPPR!$E:$Z,MATCH($A255,SPPR!$A:$A,0),7),""),"")</f>
        <v/>
      </c>
      <c r="K255">
        <f>IFERROR(IF(ISNUMBER(INDEX(SPPR!$E:$Z,MATCH($A255,SPPR!$A:$A,0),8)),$C255*INDEX(SPPR!$E:$Z,MATCH($A255,SPPR!$A:$A,0),8),""),"")</f>
        <v/>
      </c>
      <c r="L255">
        <f>IFERROR(IF(ISNUMBER(INDEX(SPPR!$E:$Z,MATCH($A255,SPPR!$A:$A,0),9)),$C255*INDEX(SPPR!$E:$Z,MATCH($A255,SPPR!$A:$A,0),9),""),"")</f>
        <v/>
      </c>
      <c r="M255">
        <f>IFERROR(IF(ISNUMBER(INDEX(SPPR!$E:$Z,MATCH($A255,SPPR!$A:$A,0),10)),$C255*INDEX(SPPR!$E:$Z,MATCH($A255,SPPR!$A:$A,0),10),""),"")</f>
        <v/>
      </c>
      <c r="N255">
        <f>IFERROR(IF(ISNUMBER(INDEX(SPPR!$E:$Z,MATCH($A255,SPPR!$A:$A,0),11)),$C255*INDEX(SPPR!$E:$Z,MATCH($A255,SPPR!$A:$A,0),11),""),"")</f>
        <v/>
      </c>
      <c r="O255">
        <f>IFERROR(IF(ISNUMBER(INDEX(SPPR!$E:$Z,MATCH($A255,SPPR!$A:$A,0),12)),$C255*INDEX(SPPR!$E:$Z,MATCH($A255,SPPR!$A:$A,0),12),""),"")</f>
        <v/>
      </c>
      <c r="P255">
        <f>IFERROR(IF(ISNUMBER(INDEX(SPPR!$E:$Z,MATCH($A255,SPPR!$A:$A,0),13)),$C255*INDEX(SPPR!$E:$Z,MATCH($A255,SPPR!$A:$A,0),13),""),"")</f>
        <v/>
      </c>
      <c r="Q255">
        <f>IFERROR(IF(ISNUMBER(INDEX(SPPR!$E:$Z,MATCH($A255,SPPR!$A:$A,0),14)),$C255*INDEX(SPPR!$E:$Z,MATCH($A255,SPPR!$A:$A,0),14),""),"")</f>
        <v/>
      </c>
      <c r="R255">
        <f>IFERROR(IF(ISNUMBER(INDEX(SPPR!$E:$Z,MATCH($A255,SPPR!$A:$A,0),15)),$C255*INDEX(SPPR!$E:$Z,MATCH($A255,SPPR!$A:$A,0),15),""),"")</f>
        <v/>
      </c>
      <c r="S255">
        <f>IFERROR(IF(ISNUMBER(INDEX(SPPR!$E:$Z,MATCH($A255,SPPR!$A:$A,0),16)),$C255*INDEX(SPPR!$E:$Z,MATCH($A255,SPPR!$A:$A,0),16),""),"")</f>
        <v/>
      </c>
      <c r="T255">
        <f>IFERROR(IF(ISNUMBER(INDEX(SPPR!$E:$Z,MATCH($A255,SPPR!$A:$A,0),17)),$C255*INDEX(SPPR!$E:$Z,MATCH($A255,SPPR!$A:$A,0),17),""),"")</f>
        <v/>
      </c>
      <c r="U255">
        <f>IFERROR(IF(ISNUMBER(INDEX(SPPR!$E:$Z,MATCH($A255,SPPR!$A:$A,0),18)),$C255*INDEX(SPPR!$E:$Z,MATCH($A255,SPPR!$A:$A,0),18),""),"")</f>
        <v/>
      </c>
      <c r="V255">
        <f>IFERROR(IF(ISNUMBER(INDEX(SPPR!$E:$Z,MATCH($A255,SPPR!$A:$A,0),19)),$C255*INDEX(SPPR!$E:$Z,MATCH($A255,SPPR!$A:$A,0),19),""),"")</f>
        <v/>
      </c>
      <c r="W255">
        <f>IFERROR(IF(ISNUMBER(INDEX(SPPR!$E:$Z,MATCH($A255,SPPR!$A:$A,0),20)),$C255*INDEX(SPPR!$E:$Z,MATCH($A255,SPPR!$A:$A,0),20),""),"")</f>
        <v/>
      </c>
      <c r="X255">
        <f>IFERROR(IF(ISNUMBER(INDEX(SPPR!$E:$Z,MATCH($A255,SPPR!$A:$A,0),21)),$C255*INDEX(SPPR!$E:$Z,MATCH($A255,SPPR!$A:$A,0),21),""),"")</f>
        <v/>
      </c>
      <c r="Y255">
        <f>IFERROR(IF(ISNUMBER(INDEX(SPPR!$E:$Z,MATCH($A255,SPPR!$A:$A,0),22)),$C255*INDEX(SPPR!$E:$Z,MATCH($A255,SPPR!$A:$A,0),22),""),"")</f>
        <v/>
      </c>
    </row>
    <row r="256">
      <c r="A256" t="inlineStr">
        <is>
          <t>Panulirus polyphagus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IFERROR(IF(ISNUMBER(INDEX(SPPR!$E:$Z,MATCH($A256,SPPR!$A:$A,0),1)),$C256*INDEX(SPPR!$E:$Z,MATCH($A256,SPPR!$A:$A,0),1),""),"")</f>
        <v/>
      </c>
      <c r="E256">
        <f>IFERROR(IF(ISNUMBER(INDEX(SPPR!$E:$Z,MATCH($A256,SPPR!$A:$A,0),2)),$C256*INDEX(SPPR!$E:$Z,MATCH($A256,SPPR!$A:$A,0),2),""),"")</f>
        <v/>
      </c>
      <c r="F256">
        <f>IFERROR(IF(ISNUMBER(INDEX(SPPR!$E:$Z,MATCH($A256,SPPR!$A:$A,0),3)),$C256*INDEX(SPPR!$E:$Z,MATCH($A256,SPPR!$A:$A,0),3),""),"")</f>
        <v/>
      </c>
      <c r="G256">
        <f>IFERROR(IF(ISNUMBER(INDEX(SPPR!$E:$Z,MATCH($A256,SPPR!$A:$A,0),4)),$C256*INDEX(SPPR!$E:$Z,MATCH($A256,SPPR!$A:$A,0),4),""),"")</f>
        <v/>
      </c>
      <c r="H256">
        <f>IFERROR(IF(ISNUMBER(INDEX(SPPR!$E:$Z,MATCH($A256,SPPR!$A:$A,0),5)),$C256*INDEX(SPPR!$E:$Z,MATCH($A256,SPPR!$A:$A,0),5),""),"")</f>
        <v/>
      </c>
      <c r="I256">
        <f>IFERROR(IF(ISNUMBER(INDEX(SPPR!$E:$Z,MATCH($A256,SPPR!$A:$A,0),6)),$C256*INDEX(SPPR!$E:$Z,MATCH($A256,SPPR!$A:$A,0),6),""),"")</f>
        <v/>
      </c>
      <c r="J256">
        <f>IFERROR(IF(ISNUMBER(INDEX(SPPR!$E:$Z,MATCH($A256,SPPR!$A:$A,0),7)),$C256*INDEX(SPPR!$E:$Z,MATCH($A256,SPPR!$A:$A,0),7),""),"")</f>
        <v/>
      </c>
      <c r="K256">
        <f>IFERROR(IF(ISNUMBER(INDEX(SPPR!$E:$Z,MATCH($A256,SPPR!$A:$A,0),8)),$C256*INDEX(SPPR!$E:$Z,MATCH($A256,SPPR!$A:$A,0),8),""),"")</f>
        <v/>
      </c>
      <c r="L256">
        <f>IFERROR(IF(ISNUMBER(INDEX(SPPR!$E:$Z,MATCH($A256,SPPR!$A:$A,0),9)),$C256*INDEX(SPPR!$E:$Z,MATCH($A256,SPPR!$A:$A,0),9),""),"")</f>
        <v/>
      </c>
      <c r="M256">
        <f>IFERROR(IF(ISNUMBER(INDEX(SPPR!$E:$Z,MATCH($A256,SPPR!$A:$A,0),10)),$C256*INDEX(SPPR!$E:$Z,MATCH($A256,SPPR!$A:$A,0),10),""),"")</f>
        <v/>
      </c>
      <c r="N256">
        <f>IFERROR(IF(ISNUMBER(INDEX(SPPR!$E:$Z,MATCH($A256,SPPR!$A:$A,0),11)),$C256*INDEX(SPPR!$E:$Z,MATCH($A256,SPPR!$A:$A,0),11),""),"")</f>
        <v/>
      </c>
      <c r="O256">
        <f>IFERROR(IF(ISNUMBER(INDEX(SPPR!$E:$Z,MATCH($A256,SPPR!$A:$A,0),12)),$C256*INDEX(SPPR!$E:$Z,MATCH($A256,SPPR!$A:$A,0),12),""),"")</f>
        <v/>
      </c>
      <c r="P256">
        <f>IFERROR(IF(ISNUMBER(INDEX(SPPR!$E:$Z,MATCH($A256,SPPR!$A:$A,0),13)),$C256*INDEX(SPPR!$E:$Z,MATCH($A256,SPPR!$A:$A,0),13),""),"")</f>
        <v/>
      </c>
      <c r="Q256">
        <f>IFERROR(IF(ISNUMBER(INDEX(SPPR!$E:$Z,MATCH($A256,SPPR!$A:$A,0),14)),$C256*INDEX(SPPR!$E:$Z,MATCH($A256,SPPR!$A:$A,0),14),""),"")</f>
        <v/>
      </c>
      <c r="R256">
        <f>IFERROR(IF(ISNUMBER(INDEX(SPPR!$E:$Z,MATCH($A256,SPPR!$A:$A,0),15)),$C256*INDEX(SPPR!$E:$Z,MATCH($A256,SPPR!$A:$A,0),15),""),"")</f>
        <v/>
      </c>
      <c r="S256">
        <f>IFERROR(IF(ISNUMBER(INDEX(SPPR!$E:$Z,MATCH($A256,SPPR!$A:$A,0),16)),$C256*INDEX(SPPR!$E:$Z,MATCH($A256,SPPR!$A:$A,0),16),""),"")</f>
        <v/>
      </c>
      <c r="T256">
        <f>IFERROR(IF(ISNUMBER(INDEX(SPPR!$E:$Z,MATCH($A256,SPPR!$A:$A,0),17)),$C256*INDEX(SPPR!$E:$Z,MATCH($A256,SPPR!$A:$A,0),17),""),"")</f>
        <v/>
      </c>
      <c r="U256">
        <f>IFERROR(IF(ISNUMBER(INDEX(SPPR!$E:$Z,MATCH($A256,SPPR!$A:$A,0),18)),$C256*INDEX(SPPR!$E:$Z,MATCH($A256,SPPR!$A:$A,0),18),""),"")</f>
        <v/>
      </c>
      <c r="V256">
        <f>IFERROR(IF(ISNUMBER(INDEX(SPPR!$E:$Z,MATCH($A256,SPPR!$A:$A,0),19)),$C256*INDEX(SPPR!$E:$Z,MATCH($A256,SPPR!$A:$A,0),19),""),"")</f>
        <v/>
      </c>
      <c r="W256">
        <f>IFERROR(IF(ISNUMBER(INDEX(SPPR!$E:$Z,MATCH($A256,SPPR!$A:$A,0),20)),$C256*INDEX(SPPR!$E:$Z,MATCH($A256,SPPR!$A:$A,0),20),""),"")</f>
        <v/>
      </c>
      <c r="X256">
        <f>IFERROR(IF(ISNUMBER(INDEX(SPPR!$E:$Z,MATCH($A256,SPPR!$A:$A,0),21)),$C256*INDEX(SPPR!$E:$Z,MATCH($A256,SPPR!$A:$A,0),21),""),"")</f>
        <v/>
      </c>
      <c r="Y256">
        <f>IFERROR(IF(ISNUMBER(INDEX(SPPR!$E:$Z,MATCH($A256,SPPR!$A:$A,0),22)),$C256*INDEX(SPPR!$E:$Z,MATCH($A256,SPPR!$A:$A,0),22),""),"")</f>
        <v/>
      </c>
    </row>
    <row r="257">
      <c r="A257" t="inlineStr">
        <is>
          <t>Mierspenaeopsis sculptilis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IFERROR(IF(ISNUMBER(INDEX(SPPR!$E:$Z,MATCH($A257,SPPR!$A:$A,0),1)),$C257*INDEX(SPPR!$E:$Z,MATCH($A257,SPPR!$A:$A,0),1),""),"")</f>
        <v/>
      </c>
      <c r="E257">
        <f>IFERROR(IF(ISNUMBER(INDEX(SPPR!$E:$Z,MATCH($A257,SPPR!$A:$A,0),2)),$C257*INDEX(SPPR!$E:$Z,MATCH($A257,SPPR!$A:$A,0),2),""),"")</f>
        <v/>
      </c>
      <c r="F257">
        <f>IFERROR(IF(ISNUMBER(INDEX(SPPR!$E:$Z,MATCH($A257,SPPR!$A:$A,0),3)),$C257*INDEX(SPPR!$E:$Z,MATCH($A257,SPPR!$A:$A,0),3),""),"")</f>
        <v/>
      </c>
      <c r="G257">
        <f>IFERROR(IF(ISNUMBER(INDEX(SPPR!$E:$Z,MATCH($A257,SPPR!$A:$A,0),4)),$C257*INDEX(SPPR!$E:$Z,MATCH($A257,SPPR!$A:$A,0),4),""),"")</f>
        <v/>
      </c>
      <c r="H257">
        <f>IFERROR(IF(ISNUMBER(INDEX(SPPR!$E:$Z,MATCH($A257,SPPR!$A:$A,0),5)),$C257*INDEX(SPPR!$E:$Z,MATCH($A257,SPPR!$A:$A,0),5),""),"")</f>
        <v/>
      </c>
      <c r="I257">
        <f>IFERROR(IF(ISNUMBER(INDEX(SPPR!$E:$Z,MATCH($A257,SPPR!$A:$A,0),6)),$C257*INDEX(SPPR!$E:$Z,MATCH($A257,SPPR!$A:$A,0),6),""),"")</f>
        <v/>
      </c>
      <c r="J257">
        <f>IFERROR(IF(ISNUMBER(INDEX(SPPR!$E:$Z,MATCH($A257,SPPR!$A:$A,0),7)),$C257*INDEX(SPPR!$E:$Z,MATCH($A257,SPPR!$A:$A,0),7),""),"")</f>
        <v/>
      </c>
      <c r="K257">
        <f>IFERROR(IF(ISNUMBER(INDEX(SPPR!$E:$Z,MATCH($A257,SPPR!$A:$A,0),8)),$C257*INDEX(SPPR!$E:$Z,MATCH($A257,SPPR!$A:$A,0),8),""),"")</f>
        <v/>
      </c>
      <c r="L257">
        <f>IFERROR(IF(ISNUMBER(INDEX(SPPR!$E:$Z,MATCH($A257,SPPR!$A:$A,0),9)),$C257*INDEX(SPPR!$E:$Z,MATCH($A257,SPPR!$A:$A,0),9),""),"")</f>
        <v/>
      </c>
      <c r="M257">
        <f>IFERROR(IF(ISNUMBER(INDEX(SPPR!$E:$Z,MATCH($A257,SPPR!$A:$A,0),10)),$C257*INDEX(SPPR!$E:$Z,MATCH($A257,SPPR!$A:$A,0),10),""),"")</f>
        <v/>
      </c>
      <c r="N257">
        <f>IFERROR(IF(ISNUMBER(INDEX(SPPR!$E:$Z,MATCH($A257,SPPR!$A:$A,0),11)),$C257*INDEX(SPPR!$E:$Z,MATCH($A257,SPPR!$A:$A,0),11),""),"")</f>
        <v/>
      </c>
      <c r="O257">
        <f>IFERROR(IF(ISNUMBER(INDEX(SPPR!$E:$Z,MATCH($A257,SPPR!$A:$A,0),12)),$C257*INDEX(SPPR!$E:$Z,MATCH($A257,SPPR!$A:$A,0),12),""),"")</f>
        <v/>
      </c>
      <c r="P257">
        <f>IFERROR(IF(ISNUMBER(INDEX(SPPR!$E:$Z,MATCH($A257,SPPR!$A:$A,0),13)),$C257*INDEX(SPPR!$E:$Z,MATCH($A257,SPPR!$A:$A,0),13),""),"")</f>
        <v/>
      </c>
      <c r="Q257">
        <f>IFERROR(IF(ISNUMBER(INDEX(SPPR!$E:$Z,MATCH($A257,SPPR!$A:$A,0),14)),$C257*INDEX(SPPR!$E:$Z,MATCH($A257,SPPR!$A:$A,0),14),""),"")</f>
        <v/>
      </c>
      <c r="R257">
        <f>IFERROR(IF(ISNUMBER(INDEX(SPPR!$E:$Z,MATCH($A257,SPPR!$A:$A,0),15)),$C257*INDEX(SPPR!$E:$Z,MATCH($A257,SPPR!$A:$A,0),15),""),"")</f>
        <v/>
      </c>
      <c r="S257">
        <f>IFERROR(IF(ISNUMBER(INDEX(SPPR!$E:$Z,MATCH($A257,SPPR!$A:$A,0),16)),$C257*INDEX(SPPR!$E:$Z,MATCH($A257,SPPR!$A:$A,0),16),""),"")</f>
        <v/>
      </c>
      <c r="T257">
        <f>IFERROR(IF(ISNUMBER(INDEX(SPPR!$E:$Z,MATCH($A257,SPPR!$A:$A,0),17)),$C257*INDEX(SPPR!$E:$Z,MATCH($A257,SPPR!$A:$A,0),17),""),"")</f>
        <v/>
      </c>
      <c r="U257">
        <f>IFERROR(IF(ISNUMBER(INDEX(SPPR!$E:$Z,MATCH($A257,SPPR!$A:$A,0),18)),$C257*INDEX(SPPR!$E:$Z,MATCH($A257,SPPR!$A:$A,0),18),""),"")</f>
        <v/>
      </c>
      <c r="V257">
        <f>IFERROR(IF(ISNUMBER(INDEX(SPPR!$E:$Z,MATCH($A257,SPPR!$A:$A,0),19)),$C257*INDEX(SPPR!$E:$Z,MATCH($A257,SPPR!$A:$A,0),19),""),"")</f>
        <v/>
      </c>
      <c r="W257">
        <f>IFERROR(IF(ISNUMBER(INDEX(SPPR!$E:$Z,MATCH($A257,SPPR!$A:$A,0),20)),$C257*INDEX(SPPR!$E:$Z,MATCH($A257,SPPR!$A:$A,0),20),""),"")</f>
        <v/>
      </c>
      <c r="X257">
        <f>IFERROR(IF(ISNUMBER(INDEX(SPPR!$E:$Z,MATCH($A257,SPPR!$A:$A,0),21)),$C257*INDEX(SPPR!$E:$Z,MATCH($A257,SPPR!$A:$A,0),21),""),"")</f>
        <v/>
      </c>
      <c r="Y257">
        <f>IFERROR(IF(ISNUMBER(INDEX(SPPR!$E:$Z,MATCH($A257,SPPR!$A:$A,0),22)),$C257*INDEX(SPPR!$E:$Z,MATCH($A257,SPPR!$A:$A,0),22),""),"")</f>
        <v/>
      </c>
    </row>
    <row r="258">
      <c r="A258" t="inlineStr">
        <is>
          <t>Acanthurus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IFERROR(IF(ISNUMBER(INDEX(SPPR!$E:$Z,MATCH($A258,SPPR!$A:$A,0),1)),$C258*INDEX(SPPR!$E:$Z,MATCH($A258,SPPR!$A:$A,0),1),""),"")</f>
        <v/>
      </c>
      <c r="E258">
        <f>IFERROR(IF(ISNUMBER(INDEX(SPPR!$E:$Z,MATCH($A258,SPPR!$A:$A,0),2)),$C258*INDEX(SPPR!$E:$Z,MATCH($A258,SPPR!$A:$A,0),2),""),"")</f>
        <v/>
      </c>
      <c r="F258">
        <f>IFERROR(IF(ISNUMBER(INDEX(SPPR!$E:$Z,MATCH($A258,SPPR!$A:$A,0),3)),$C258*INDEX(SPPR!$E:$Z,MATCH($A258,SPPR!$A:$A,0),3),""),"")</f>
        <v/>
      </c>
      <c r="G258">
        <f>IFERROR(IF(ISNUMBER(INDEX(SPPR!$E:$Z,MATCH($A258,SPPR!$A:$A,0),4)),$C258*INDEX(SPPR!$E:$Z,MATCH($A258,SPPR!$A:$A,0),4),""),"")</f>
        <v/>
      </c>
      <c r="H258">
        <f>IFERROR(IF(ISNUMBER(INDEX(SPPR!$E:$Z,MATCH($A258,SPPR!$A:$A,0),5)),$C258*INDEX(SPPR!$E:$Z,MATCH($A258,SPPR!$A:$A,0),5),""),"")</f>
        <v/>
      </c>
      <c r="I258">
        <f>IFERROR(IF(ISNUMBER(INDEX(SPPR!$E:$Z,MATCH($A258,SPPR!$A:$A,0),6)),$C258*INDEX(SPPR!$E:$Z,MATCH($A258,SPPR!$A:$A,0),6),""),"")</f>
        <v/>
      </c>
      <c r="J258">
        <f>IFERROR(IF(ISNUMBER(INDEX(SPPR!$E:$Z,MATCH($A258,SPPR!$A:$A,0),7)),$C258*INDEX(SPPR!$E:$Z,MATCH($A258,SPPR!$A:$A,0),7),""),"")</f>
        <v/>
      </c>
      <c r="K258">
        <f>IFERROR(IF(ISNUMBER(INDEX(SPPR!$E:$Z,MATCH($A258,SPPR!$A:$A,0),8)),$C258*INDEX(SPPR!$E:$Z,MATCH($A258,SPPR!$A:$A,0),8),""),"")</f>
        <v/>
      </c>
      <c r="L258">
        <f>IFERROR(IF(ISNUMBER(INDEX(SPPR!$E:$Z,MATCH($A258,SPPR!$A:$A,0),9)),$C258*INDEX(SPPR!$E:$Z,MATCH($A258,SPPR!$A:$A,0),9),""),"")</f>
        <v/>
      </c>
      <c r="M258">
        <f>IFERROR(IF(ISNUMBER(INDEX(SPPR!$E:$Z,MATCH($A258,SPPR!$A:$A,0),10)),$C258*INDEX(SPPR!$E:$Z,MATCH($A258,SPPR!$A:$A,0),10),""),"")</f>
        <v/>
      </c>
      <c r="N258">
        <f>IFERROR(IF(ISNUMBER(INDEX(SPPR!$E:$Z,MATCH($A258,SPPR!$A:$A,0),11)),$C258*INDEX(SPPR!$E:$Z,MATCH($A258,SPPR!$A:$A,0),11),""),"")</f>
        <v/>
      </c>
      <c r="O258">
        <f>IFERROR(IF(ISNUMBER(INDEX(SPPR!$E:$Z,MATCH($A258,SPPR!$A:$A,0),12)),$C258*INDEX(SPPR!$E:$Z,MATCH($A258,SPPR!$A:$A,0),12),""),"")</f>
        <v/>
      </c>
      <c r="P258">
        <f>IFERROR(IF(ISNUMBER(INDEX(SPPR!$E:$Z,MATCH($A258,SPPR!$A:$A,0),13)),$C258*INDEX(SPPR!$E:$Z,MATCH($A258,SPPR!$A:$A,0),13),""),"")</f>
        <v/>
      </c>
      <c r="Q258">
        <f>IFERROR(IF(ISNUMBER(INDEX(SPPR!$E:$Z,MATCH($A258,SPPR!$A:$A,0),14)),$C258*INDEX(SPPR!$E:$Z,MATCH($A258,SPPR!$A:$A,0),14),""),"")</f>
        <v/>
      </c>
      <c r="R258">
        <f>IFERROR(IF(ISNUMBER(INDEX(SPPR!$E:$Z,MATCH($A258,SPPR!$A:$A,0),15)),$C258*INDEX(SPPR!$E:$Z,MATCH($A258,SPPR!$A:$A,0),15),""),"")</f>
        <v/>
      </c>
      <c r="S258">
        <f>IFERROR(IF(ISNUMBER(INDEX(SPPR!$E:$Z,MATCH($A258,SPPR!$A:$A,0),16)),$C258*INDEX(SPPR!$E:$Z,MATCH($A258,SPPR!$A:$A,0),16),""),"")</f>
        <v/>
      </c>
      <c r="T258">
        <f>IFERROR(IF(ISNUMBER(INDEX(SPPR!$E:$Z,MATCH($A258,SPPR!$A:$A,0),17)),$C258*INDEX(SPPR!$E:$Z,MATCH($A258,SPPR!$A:$A,0),17),""),"")</f>
        <v/>
      </c>
      <c r="U258">
        <f>IFERROR(IF(ISNUMBER(INDEX(SPPR!$E:$Z,MATCH($A258,SPPR!$A:$A,0),18)),$C258*INDEX(SPPR!$E:$Z,MATCH($A258,SPPR!$A:$A,0),18),""),"")</f>
        <v/>
      </c>
      <c r="V258">
        <f>IFERROR(IF(ISNUMBER(INDEX(SPPR!$E:$Z,MATCH($A258,SPPR!$A:$A,0),19)),$C258*INDEX(SPPR!$E:$Z,MATCH($A258,SPPR!$A:$A,0),19),""),"")</f>
        <v/>
      </c>
      <c r="W258">
        <f>IFERROR(IF(ISNUMBER(INDEX(SPPR!$E:$Z,MATCH($A258,SPPR!$A:$A,0),20)),$C258*INDEX(SPPR!$E:$Z,MATCH($A258,SPPR!$A:$A,0),20),""),"")</f>
        <v/>
      </c>
      <c r="X258">
        <f>IFERROR(IF(ISNUMBER(INDEX(SPPR!$E:$Z,MATCH($A258,SPPR!$A:$A,0),21)),$C258*INDEX(SPPR!$E:$Z,MATCH($A258,SPPR!$A:$A,0),21),""),"")</f>
        <v/>
      </c>
      <c r="Y258">
        <f>IFERROR(IF(ISNUMBER(INDEX(SPPR!$E:$Z,MATCH($A258,SPPR!$A:$A,0),22)),$C258*INDEX(SPPR!$E:$Z,MATCH($A258,SPPR!$A:$A,0),22),""),"")</f>
        <v/>
      </c>
    </row>
    <row r="259">
      <c r="A259" t="inlineStr">
        <is>
          <t>Palinuridae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IFERROR(IF(ISNUMBER(INDEX(SPPR!$E:$Z,MATCH($A259,SPPR!$A:$A,0),1)),$C259*INDEX(SPPR!$E:$Z,MATCH($A259,SPPR!$A:$A,0),1),""),"")</f>
        <v/>
      </c>
      <c r="E259">
        <f>IFERROR(IF(ISNUMBER(INDEX(SPPR!$E:$Z,MATCH($A259,SPPR!$A:$A,0),2)),$C259*INDEX(SPPR!$E:$Z,MATCH($A259,SPPR!$A:$A,0),2),""),"")</f>
        <v/>
      </c>
      <c r="F259">
        <f>IFERROR(IF(ISNUMBER(INDEX(SPPR!$E:$Z,MATCH($A259,SPPR!$A:$A,0),3)),$C259*INDEX(SPPR!$E:$Z,MATCH($A259,SPPR!$A:$A,0),3),""),"")</f>
        <v/>
      </c>
      <c r="G259">
        <f>IFERROR(IF(ISNUMBER(INDEX(SPPR!$E:$Z,MATCH($A259,SPPR!$A:$A,0),4)),$C259*INDEX(SPPR!$E:$Z,MATCH($A259,SPPR!$A:$A,0),4),""),"")</f>
        <v/>
      </c>
      <c r="H259">
        <f>IFERROR(IF(ISNUMBER(INDEX(SPPR!$E:$Z,MATCH($A259,SPPR!$A:$A,0),5)),$C259*INDEX(SPPR!$E:$Z,MATCH($A259,SPPR!$A:$A,0),5),""),"")</f>
        <v/>
      </c>
      <c r="I259">
        <f>IFERROR(IF(ISNUMBER(INDEX(SPPR!$E:$Z,MATCH($A259,SPPR!$A:$A,0),6)),$C259*INDEX(SPPR!$E:$Z,MATCH($A259,SPPR!$A:$A,0),6),""),"")</f>
        <v/>
      </c>
      <c r="J259">
        <f>IFERROR(IF(ISNUMBER(INDEX(SPPR!$E:$Z,MATCH($A259,SPPR!$A:$A,0),7)),$C259*INDEX(SPPR!$E:$Z,MATCH($A259,SPPR!$A:$A,0),7),""),"")</f>
        <v/>
      </c>
      <c r="K259">
        <f>IFERROR(IF(ISNUMBER(INDEX(SPPR!$E:$Z,MATCH($A259,SPPR!$A:$A,0),8)),$C259*INDEX(SPPR!$E:$Z,MATCH($A259,SPPR!$A:$A,0),8),""),"")</f>
        <v/>
      </c>
      <c r="L259">
        <f>IFERROR(IF(ISNUMBER(INDEX(SPPR!$E:$Z,MATCH($A259,SPPR!$A:$A,0),9)),$C259*INDEX(SPPR!$E:$Z,MATCH($A259,SPPR!$A:$A,0),9),""),"")</f>
        <v/>
      </c>
      <c r="M259">
        <f>IFERROR(IF(ISNUMBER(INDEX(SPPR!$E:$Z,MATCH($A259,SPPR!$A:$A,0),10)),$C259*INDEX(SPPR!$E:$Z,MATCH($A259,SPPR!$A:$A,0),10),""),"")</f>
        <v/>
      </c>
      <c r="N259">
        <f>IFERROR(IF(ISNUMBER(INDEX(SPPR!$E:$Z,MATCH($A259,SPPR!$A:$A,0),11)),$C259*INDEX(SPPR!$E:$Z,MATCH($A259,SPPR!$A:$A,0),11),""),"")</f>
        <v/>
      </c>
      <c r="O259">
        <f>IFERROR(IF(ISNUMBER(INDEX(SPPR!$E:$Z,MATCH($A259,SPPR!$A:$A,0),12)),$C259*INDEX(SPPR!$E:$Z,MATCH($A259,SPPR!$A:$A,0),12),""),"")</f>
        <v/>
      </c>
      <c r="P259">
        <f>IFERROR(IF(ISNUMBER(INDEX(SPPR!$E:$Z,MATCH($A259,SPPR!$A:$A,0),13)),$C259*INDEX(SPPR!$E:$Z,MATCH($A259,SPPR!$A:$A,0),13),""),"")</f>
        <v/>
      </c>
      <c r="Q259">
        <f>IFERROR(IF(ISNUMBER(INDEX(SPPR!$E:$Z,MATCH($A259,SPPR!$A:$A,0),14)),$C259*INDEX(SPPR!$E:$Z,MATCH($A259,SPPR!$A:$A,0),14),""),"")</f>
        <v/>
      </c>
      <c r="R259">
        <f>IFERROR(IF(ISNUMBER(INDEX(SPPR!$E:$Z,MATCH($A259,SPPR!$A:$A,0),15)),$C259*INDEX(SPPR!$E:$Z,MATCH($A259,SPPR!$A:$A,0),15),""),"")</f>
        <v/>
      </c>
      <c r="S259">
        <f>IFERROR(IF(ISNUMBER(INDEX(SPPR!$E:$Z,MATCH($A259,SPPR!$A:$A,0),16)),$C259*INDEX(SPPR!$E:$Z,MATCH($A259,SPPR!$A:$A,0),16),""),"")</f>
        <v/>
      </c>
      <c r="T259">
        <f>IFERROR(IF(ISNUMBER(INDEX(SPPR!$E:$Z,MATCH($A259,SPPR!$A:$A,0),17)),$C259*INDEX(SPPR!$E:$Z,MATCH($A259,SPPR!$A:$A,0),17),""),"")</f>
        <v/>
      </c>
      <c r="U259">
        <f>IFERROR(IF(ISNUMBER(INDEX(SPPR!$E:$Z,MATCH($A259,SPPR!$A:$A,0),18)),$C259*INDEX(SPPR!$E:$Z,MATCH($A259,SPPR!$A:$A,0),18),""),"")</f>
        <v/>
      </c>
      <c r="V259">
        <f>IFERROR(IF(ISNUMBER(INDEX(SPPR!$E:$Z,MATCH($A259,SPPR!$A:$A,0),19)),$C259*INDEX(SPPR!$E:$Z,MATCH($A259,SPPR!$A:$A,0),19),""),"")</f>
        <v/>
      </c>
      <c r="W259">
        <f>IFERROR(IF(ISNUMBER(INDEX(SPPR!$E:$Z,MATCH($A259,SPPR!$A:$A,0),20)),$C259*INDEX(SPPR!$E:$Z,MATCH($A259,SPPR!$A:$A,0),20),""),"")</f>
        <v/>
      </c>
      <c r="X259">
        <f>IFERROR(IF(ISNUMBER(INDEX(SPPR!$E:$Z,MATCH($A259,SPPR!$A:$A,0),21)),$C259*INDEX(SPPR!$E:$Z,MATCH($A259,SPPR!$A:$A,0),21),""),"")</f>
        <v/>
      </c>
      <c r="Y259">
        <f>IFERROR(IF(ISNUMBER(INDEX(SPPR!$E:$Z,MATCH($A259,SPPR!$A:$A,0),22)),$C259*INDEX(SPPR!$E:$Z,MATCH($A259,SPPR!$A:$A,0),22),""),"")</f>
        <v/>
      </c>
    </row>
    <row r="260">
      <c r="A260" t="inlineStr">
        <is>
          <t>Terapontidae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IFERROR(IF(ISNUMBER(INDEX(SPPR!$E:$Z,MATCH($A260,SPPR!$A:$A,0),1)),$C260*INDEX(SPPR!$E:$Z,MATCH($A260,SPPR!$A:$A,0),1),""),"")</f>
        <v/>
      </c>
      <c r="E260">
        <f>IFERROR(IF(ISNUMBER(INDEX(SPPR!$E:$Z,MATCH($A260,SPPR!$A:$A,0),2)),$C260*INDEX(SPPR!$E:$Z,MATCH($A260,SPPR!$A:$A,0),2),""),"")</f>
        <v/>
      </c>
      <c r="F260">
        <f>IFERROR(IF(ISNUMBER(INDEX(SPPR!$E:$Z,MATCH($A260,SPPR!$A:$A,0),3)),$C260*INDEX(SPPR!$E:$Z,MATCH($A260,SPPR!$A:$A,0),3),""),"")</f>
        <v/>
      </c>
      <c r="G260">
        <f>IFERROR(IF(ISNUMBER(INDEX(SPPR!$E:$Z,MATCH($A260,SPPR!$A:$A,0),4)),$C260*INDEX(SPPR!$E:$Z,MATCH($A260,SPPR!$A:$A,0),4),""),"")</f>
        <v/>
      </c>
      <c r="H260">
        <f>IFERROR(IF(ISNUMBER(INDEX(SPPR!$E:$Z,MATCH($A260,SPPR!$A:$A,0),5)),$C260*INDEX(SPPR!$E:$Z,MATCH($A260,SPPR!$A:$A,0),5),""),"")</f>
        <v/>
      </c>
      <c r="I260">
        <f>IFERROR(IF(ISNUMBER(INDEX(SPPR!$E:$Z,MATCH($A260,SPPR!$A:$A,0),6)),$C260*INDEX(SPPR!$E:$Z,MATCH($A260,SPPR!$A:$A,0),6),""),"")</f>
        <v/>
      </c>
      <c r="J260">
        <f>IFERROR(IF(ISNUMBER(INDEX(SPPR!$E:$Z,MATCH($A260,SPPR!$A:$A,0),7)),$C260*INDEX(SPPR!$E:$Z,MATCH($A260,SPPR!$A:$A,0),7),""),"")</f>
        <v/>
      </c>
      <c r="K260">
        <f>IFERROR(IF(ISNUMBER(INDEX(SPPR!$E:$Z,MATCH($A260,SPPR!$A:$A,0),8)),$C260*INDEX(SPPR!$E:$Z,MATCH($A260,SPPR!$A:$A,0),8),""),"")</f>
        <v/>
      </c>
      <c r="L260">
        <f>IFERROR(IF(ISNUMBER(INDEX(SPPR!$E:$Z,MATCH($A260,SPPR!$A:$A,0),9)),$C260*INDEX(SPPR!$E:$Z,MATCH($A260,SPPR!$A:$A,0),9),""),"")</f>
        <v/>
      </c>
      <c r="M260">
        <f>IFERROR(IF(ISNUMBER(INDEX(SPPR!$E:$Z,MATCH($A260,SPPR!$A:$A,0),10)),$C260*INDEX(SPPR!$E:$Z,MATCH($A260,SPPR!$A:$A,0),10),""),"")</f>
        <v/>
      </c>
      <c r="N260">
        <f>IFERROR(IF(ISNUMBER(INDEX(SPPR!$E:$Z,MATCH($A260,SPPR!$A:$A,0),11)),$C260*INDEX(SPPR!$E:$Z,MATCH($A260,SPPR!$A:$A,0),11),""),"")</f>
        <v/>
      </c>
      <c r="O260">
        <f>IFERROR(IF(ISNUMBER(INDEX(SPPR!$E:$Z,MATCH($A260,SPPR!$A:$A,0),12)),$C260*INDEX(SPPR!$E:$Z,MATCH($A260,SPPR!$A:$A,0),12),""),"")</f>
        <v/>
      </c>
      <c r="P260">
        <f>IFERROR(IF(ISNUMBER(INDEX(SPPR!$E:$Z,MATCH($A260,SPPR!$A:$A,0),13)),$C260*INDEX(SPPR!$E:$Z,MATCH($A260,SPPR!$A:$A,0),13),""),"")</f>
        <v/>
      </c>
      <c r="Q260">
        <f>IFERROR(IF(ISNUMBER(INDEX(SPPR!$E:$Z,MATCH($A260,SPPR!$A:$A,0),14)),$C260*INDEX(SPPR!$E:$Z,MATCH($A260,SPPR!$A:$A,0),14),""),"")</f>
        <v/>
      </c>
      <c r="R260">
        <f>IFERROR(IF(ISNUMBER(INDEX(SPPR!$E:$Z,MATCH($A260,SPPR!$A:$A,0),15)),$C260*INDEX(SPPR!$E:$Z,MATCH($A260,SPPR!$A:$A,0),15),""),"")</f>
        <v/>
      </c>
      <c r="S260">
        <f>IFERROR(IF(ISNUMBER(INDEX(SPPR!$E:$Z,MATCH($A260,SPPR!$A:$A,0),16)),$C260*INDEX(SPPR!$E:$Z,MATCH($A260,SPPR!$A:$A,0),16),""),"")</f>
        <v/>
      </c>
      <c r="T260">
        <f>IFERROR(IF(ISNUMBER(INDEX(SPPR!$E:$Z,MATCH($A260,SPPR!$A:$A,0),17)),$C260*INDEX(SPPR!$E:$Z,MATCH($A260,SPPR!$A:$A,0),17),""),"")</f>
        <v/>
      </c>
      <c r="U260">
        <f>IFERROR(IF(ISNUMBER(INDEX(SPPR!$E:$Z,MATCH($A260,SPPR!$A:$A,0),18)),$C260*INDEX(SPPR!$E:$Z,MATCH($A260,SPPR!$A:$A,0),18),""),"")</f>
        <v/>
      </c>
      <c r="V260">
        <f>IFERROR(IF(ISNUMBER(INDEX(SPPR!$E:$Z,MATCH($A260,SPPR!$A:$A,0),19)),$C260*INDEX(SPPR!$E:$Z,MATCH($A260,SPPR!$A:$A,0),19),""),"")</f>
        <v/>
      </c>
      <c r="W260">
        <f>IFERROR(IF(ISNUMBER(INDEX(SPPR!$E:$Z,MATCH($A260,SPPR!$A:$A,0),20)),$C260*INDEX(SPPR!$E:$Z,MATCH($A260,SPPR!$A:$A,0),20),""),"")</f>
        <v/>
      </c>
      <c r="X260">
        <f>IFERROR(IF(ISNUMBER(INDEX(SPPR!$E:$Z,MATCH($A260,SPPR!$A:$A,0),21)),$C260*INDEX(SPPR!$E:$Z,MATCH($A260,SPPR!$A:$A,0),21),""),"")</f>
        <v/>
      </c>
      <c r="Y260">
        <f>IFERROR(IF(ISNUMBER(INDEX(SPPR!$E:$Z,MATCH($A260,SPPR!$A:$A,0),22)),$C260*INDEX(SPPR!$E:$Z,MATCH($A260,SPPR!$A:$A,0),22),""),"")</f>
        <v/>
      </c>
    </row>
    <row r="261">
      <c r="A261" t="inlineStr">
        <is>
          <t>Octopus vulgaris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IFERROR(IF(ISNUMBER(INDEX(SPPR!$E:$Z,MATCH($A261,SPPR!$A:$A,0),1)),$C261*INDEX(SPPR!$E:$Z,MATCH($A261,SPPR!$A:$A,0),1),""),"")</f>
        <v/>
      </c>
      <c r="E261">
        <f>IFERROR(IF(ISNUMBER(INDEX(SPPR!$E:$Z,MATCH($A261,SPPR!$A:$A,0),2)),$C261*INDEX(SPPR!$E:$Z,MATCH($A261,SPPR!$A:$A,0),2),""),"")</f>
        <v/>
      </c>
      <c r="F261">
        <f>IFERROR(IF(ISNUMBER(INDEX(SPPR!$E:$Z,MATCH($A261,SPPR!$A:$A,0),3)),$C261*INDEX(SPPR!$E:$Z,MATCH($A261,SPPR!$A:$A,0),3),""),"")</f>
        <v/>
      </c>
      <c r="G261">
        <f>IFERROR(IF(ISNUMBER(INDEX(SPPR!$E:$Z,MATCH($A261,SPPR!$A:$A,0),4)),$C261*INDEX(SPPR!$E:$Z,MATCH($A261,SPPR!$A:$A,0),4),""),"")</f>
        <v/>
      </c>
      <c r="H261">
        <f>IFERROR(IF(ISNUMBER(INDEX(SPPR!$E:$Z,MATCH($A261,SPPR!$A:$A,0),5)),$C261*INDEX(SPPR!$E:$Z,MATCH($A261,SPPR!$A:$A,0),5),""),"")</f>
        <v/>
      </c>
      <c r="I261">
        <f>IFERROR(IF(ISNUMBER(INDEX(SPPR!$E:$Z,MATCH($A261,SPPR!$A:$A,0),6)),$C261*INDEX(SPPR!$E:$Z,MATCH($A261,SPPR!$A:$A,0),6),""),"")</f>
        <v/>
      </c>
      <c r="J261">
        <f>IFERROR(IF(ISNUMBER(INDEX(SPPR!$E:$Z,MATCH($A261,SPPR!$A:$A,0),7)),$C261*INDEX(SPPR!$E:$Z,MATCH($A261,SPPR!$A:$A,0),7),""),"")</f>
        <v/>
      </c>
      <c r="K261">
        <f>IFERROR(IF(ISNUMBER(INDEX(SPPR!$E:$Z,MATCH($A261,SPPR!$A:$A,0),8)),$C261*INDEX(SPPR!$E:$Z,MATCH($A261,SPPR!$A:$A,0),8),""),"")</f>
        <v/>
      </c>
      <c r="L261">
        <f>IFERROR(IF(ISNUMBER(INDEX(SPPR!$E:$Z,MATCH($A261,SPPR!$A:$A,0),9)),$C261*INDEX(SPPR!$E:$Z,MATCH($A261,SPPR!$A:$A,0),9),""),"")</f>
        <v/>
      </c>
      <c r="M261">
        <f>IFERROR(IF(ISNUMBER(INDEX(SPPR!$E:$Z,MATCH($A261,SPPR!$A:$A,0),10)),$C261*INDEX(SPPR!$E:$Z,MATCH($A261,SPPR!$A:$A,0),10),""),"")</f>
        <v/>
      </c>
      <c r="N261">
        <f>IFERROR(IF(ISNUMBER(INDEX(SPPR!$E:$Z,MATCH($A261,SPPR!$A:$A,0),11)),$C261*INDEX(SPPR!$E:$Z,MATCH($A261,SPPR!$A:$A,0),11),""),"")</f>
        <v/>
      </c>
      <c r="O261">
        <f>IFERROR(IF(ISNUMBER(INDEX(SPPR!$E:$Z,MATCH($A261,SPPR!$A:$A,0),12)),$C261*INDEX(SPPR!$E:$Z,MATCH($A261,SPPR!$A:$A,0),12),""),"")</f>
        <v/>
      </c>
      <c r="P261">
        <f>IFERROR(IF(ISNUMBER(INDEX(SPPR!$E:$Z,MATCH($A261,SPPR!$A:$A,0),13)),$C261*INDEX(SPPR!$E:$Z,MATCH($A261,SPPR!$A:$A,0),13),""),"")</f>
        <v/>
      </c>
      <c r="Q261">
        <f>IFERROR(IF(ISNUMBER(INDEX(SPPR!$E:$Z,MATCH($A261,SPPR!$A:$A,0),14)),$C261*INDEX(SPPR!$E:$Z,MATCH($A261,SPPR!$A:$A,0),14),""),"")</f>
        <v/>
      </c>
      <c r="R261">
        <f>IFERROR(IF(ISNUMBER(INDEX(SPPR!$E:$Z,MATCH($A261,SPPR!$A:$A,0),15)),$C261*INDEX(SPPR!$E:$Z,MATCH($A261,SPPR!$A:$A,0),15),""),"")</f>
        <v/>
      </c>
      <c r="S261">
        <f>IFERROR(IF(ISNUMBER(INDEX(SPPR!$E:$Z,MATCH($A261,SPPR!$A:$A,0),16)),$C261*INDEX(SPPR!$E:$Z,MATCH($A261,SPPR!$A:$A,0),16),""),"")</f>
        <v/>
      </c>
      <c r="T261">
        <f>IFERROR(IF(ISNUMBER(INDEX(SPPR!$E:$Z,MATCH($A261,SPPR!$A:$A,0),17)),$C261*INDEX(SPPR!$E:$Z,MATCH($A261,SPPR!$A:$A,0),17),""),"")</f>
        <v/>
      </c>
      <c r="U261">
        <f>IFERROR(IF(ISNUMBER(INDEX(SPPR!$E:$Z,MATCH($A261,SPPR!$A:$A,0),18)),$C261*INDEX(SPPR!$E:$Z,MATCH($A261,SPPR!$A:$A,0),18),""),"")</f>
        <v/>
      </c>
      <c r="V261">
        <f>IFERROR(IF(ISNUMBER(INDEX(SPPR!$E:$Z,MATCH($A261,SPPR!$A:$A,0),19)),$C261*INDEX(SPPR!$E:$Z,MATCH($A261,SPPR!$A:$A,0),19),""),"")</f>
        <v/>
      </c>
      <c r="W261">
        <f>IFERROR(IF(ISNUMBER(INDEX(SPPR!$E:$Z,MATCH($A261,SPPR!$A:$A,0),20)),$C261*INDEX(SPPR!$E:$Z,MATCH($A261,SPPR!$A:$A,0),20),""),"")</f>
        <v/>
      </c>
      <c r="X261">
        <f>IFERROR(IF(ISNUMBER(INDEX(SPPR!$E:$Z,MATCH($A261,SPPR!$A:$A,0),21)),$C261*INDEX(SPPR!$E:$Z,MATCH($A261,SPPR!$A:$A,0),21),""),"")</f>
        <v/>
      </c>
      <c r="Y261">
        <f>IFERROR(IF(ISNUMBER(INDEX(SPPR!$E:$Z,MATCH($A261,SPPR!$A:$A,0),22)),$C261*INDEX(SPPR!$E:$Z,MATCH($A261,SPPR!$A:$A,0),22),""),"")</f>
        <v/>
      </c>
    </row>
    <row r="262">
      <c r="A262" t="inlineStr">
        <is>
          <t>Solenocera crassicornis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IFERROR(IF(ISNUMBER(INDEX(SPPR!$E:$Z,MATCH($A262,SPPR!$A:$A,0),1)),$C262*INDEX(SPPR!$E:$Z,MATCH($A262,SPPR!$A:$A,0),1),""),"")</f>
        <v/>
      </c>
      <c r="E262">
        <f>IFERROR(IF(ISNUMBER(INDEX(SPPR!$E:$Z,MATCH($A262,SPPR!$A:$A,0),2)),$C262*INDEX(SPPR!$E:$Z,MATCH($A262,SPPR!$A:$A,0),2),""),"")</f>
        <v/>
      </c>
      <c r="F262">
        <f>IFERROR(IF(ISNUMBER(INDEX(SPPR!$E:$Z,MATCH($A262,SPPR!$A:$A,0),3)),$C262*INDEX(SPPR!$E:$Z,MATCH($A262,SPPR!$A:$A,0),3),""),"")</f>
        <v/>
      </c>
      <c r="G262">
        <f>IFERROR(IF(ISNUMBER(INDEX(SPPR!$E:$Z,MATCH($A262,SPPR!$A:$A,0),4)),$C262*INDEX(SPPR!$E:$Z,MATCH($A262,SPPR!$A:$A,0),4),""),"")</f>
        <v/>
      </c>
      <c r="H262">
        <f>IFERROR(IF(ISNUMBER(INDEX(SPPR!$E:$Z,MATCH($A262,SPPR!$A:$A,0),5)),$C262*INDEX(SPPR!$E:$Z,MATCH($A262,SPPR!$A:$A,0),5),""),"")</f>
        <v/>
      </c>
      <c r="I262">
        <f>IFERROR(IF(ISNUMBER(INDEX(SPPR!$E:$Z,MATCH($A262,SPPR!$A:$A,0),6)),$C262*INDEX(SPPR!$E:$Z,MATCH($A262,SPPR!$A:$A,0),6),""),"")</f>
        <v/>
      </c>
      <c r="J262">
        <f>IFERROR(IF(ISNUMBER(INDEX(SPPR!$E:$Z,MATCH($A262,SPPR!$A:$A,0),7)),$C262*INDEX(SPPR!$E:$Z,MATCH($A262,SPPR!$A:$A,0),7),""),"")</f>
        <v/>
      </c>
      <c r="K262">
        <f>IFERROR(IF(ISNUMBER(INDEX(SPPR!$E:$Z,MATCH($A262,SPPR!$A:$A,0),8)),$C262*INDEX(SPPR!$E:$Z,MATCH($A262,SPPR!$A:$A,0),8),""),"")</f>
        <v/>
      </c>
      <c r="L262">
        <f>IFERROR(IF(ISNUMBER(INDEX(SPPR!$E:$Z,MATCH($A262,SPPR!$A:$A,0),9)),$C262*INDEX(SPPR!$E:$Z,MATCH($A262,SPPR!$A:$A,0),9),""),"")</f>
        <v/>
      </c>
      <c r="M262">
        <f>IFERROR(IF(ISNUMBER(INDEX(SPPR!$E:$Z,MATCH($A262,SPPR!$A:$A,0),10)),$C262*INDEX(SPPR!$E:$Z,MATCH($A262,SPPR!$A:$A,0),10),""),"")</f>
        <v/>
      </c>
      <c r="N262">
        <f>IFERROR(IF(ISNUMBER(INDEX(SPPR!$E:$Z,MATCH($A262,SPPR!$A:$A,0),11)),$C262*INDEX(SPPR!$E:$Z,MATCH($A262,SPPR!$A:$A,0),11),""),"")</f>
        <v/>
      </c>
      <c r="O262">
        <f>IFERROR(IF(ISNUMBER(INDEX(SPPR!$E:$Z,MATCH($A262,SPPR!$A:$A,0),12)),$C262*INDEX(SPPR!$E:$Z,MATCH($A262,SPPR!$A:$A,0),12),""),"")</f>
        <v/>
      </c>
      <c r="P262">
        <f>IFERROR(IF(ISNUMBER(INDEX(SPPR!$E:$Z,MATCH($A262,SPPR!$A:$A,0),13)),$C262*INDEX(SPPR!$E:$Z,MATCH($A262,SPPR!$A:$A,0),13),""),"")</f>
        <v/>
      </c>
      <c r="Q262">
        <f>IFERROR(IF(ISNUMBER(INDEX(SPPR!$E:$Z,MATCH($A262,SPPR!$A:$A,0),14)),$C262*INDEX(SPPR!$E:$Z,MATCH($A262,SPPR!$A:$A,0),14),""),"")</f>
        <v/>
      </c>
      <c r="R262">
        <f>IFERROR(IF(ISNUMBER(INDEX(SPPR!$E:$Z,MATCH($A262,SPPR!$A:$A,0),15)),$C262*INDEX(SPPR!$E:$Z,MATCH($A262,SPPR!$A:$A,0),15),""),"")</f>
        <v/>
      </c>
      <c r="S262">
        <f>IFERROR(IF(ISNUMBER(INDEX(SPPR!$E:$Z,MATCH($A262,SPPR!$A:$A,0),16)),$C262*INDEX(SPPR!$E:$Z,MATCH($A262,SPPR!$A:$A,0),16),""),"")</f>
        <v/>
      </c>
      <c r="T262">
        <f>IFERROR(IF(ISNUMBER(INDEX(SPPR!$E:$Z,MATCH($A262,SPPR!$A:$A,0),17)),$C262*INDEX(SPPR!$E:$Z,MATCH($A262,SPPR!$A:$A,0),17),""),"")</f>
        <v/>
      </c>
      <c r="U262">
        <f>IFERROR(IF(ISNUMBER(INDEX(SPPR!$E:$Z,MATCH($A262,SPPR!$A:$A,0),18)),$C262*INDEX(SPPR!$E:$Z,MATCH($A262,SPPR!$A:$A,0),18),""),"")</f>
        <v/>
      </c>
      <c r="V262">
        <f>IFERROR(IF(ISNUMBER(INDEX(SPPR!$E:$Z,MATCH($A262,SPPR!$A:$A,0),19)),$C262*INDEX(SPPR!$E:$Z,MATCH($A262,SPPR!$A:$A,0),19),""),"")</f>
        <v/>
      </c>
      <c r="W262">
        <f>IFERROR(IF(ISNUMBER(INDEX(SPPR!$E:$Z,MATCH($A262,SPPR!$A:$A,0),20)),$C262*INDEX(SPPR!$E:$Z,MATCH($A262,SPPR!$A:$A,0),20),""),"")</f>
        <v/>
      </c>
      <c r="X262">
        <f>IFERROR(IF(ISNUMBER(INDEX(SPPR!$E:$Z,MATCH($A262,SPPR!$A:$A,0),21)),$C262*INDEX(SPPR!$E:$Z,MATCH($A262,SPPR!$A:$A,0),21),""),"")</f>
        <v/>
      </c>
      <c r="Y262">
        <f>IFERROR(IF(ISNUMBER(INDEX(SPPR!$E:$Z,MATCH($A262,SPPR!$A:$A,0),22)),$C262*INDEX(SPPR!$E:$Z,MATCH($A262,SPPR!$A:$A,0),22),""),"")</f>
        <v/>
      </c>
    </row>
    <row r="263">
      <c r="A263" t="inlineStr">
        <is>
          <t>Thunnus alalunga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IFERROR(IF(ISNUMBER(INDEX(SPPR!$E:$Z,MATCH($A263,SPPR!$A:$A,0),1)),$C263*INDEX(SPPR!$E:$Z,MATCH($A263,SPPR!$A:$A,0),1),""),"")</f>
        <v/>
      </c>
      <c r="E263">
        <f>IFERROR(IF(ISNUMBER(INDEX(SPPR!$E:$Z,MATCH($A263,SPPR!$A:$A,0),2)),$C263*INDEX(SPPR!$E:$Z,MATCH($A263,SPPR!$A:$A,0),2),""),"")</f>
        <v/>
      </c>
      <c r="F263">
        <f>IFERROR(IF(ISNUMBER(INDEX(SPPR!$E:$Z,MATCH($A263,SPPR!$A:$A,0),3)),$C263*INDEX(SPPR!$E:$Z,MATCH($A263,SPPR!$A:$A,0),3),""),"")</f>
        <v/>
      </c>
      <c r="G263">
        <f>IFERROR(IF(ISNUMBER(INDEX(SPPR!$E:$Z,MATCH($A263,SPPR!$A:$A,0),4)),$C263*INDEX(SPPR!$E:$Z,MATCH($A263,SPPR!$A:$A,0),4),""),"")</f>
        <v/>
      </c>
      <c r="H263">
        <f>IFERROR(IF(ISNUMBER(INDEX(SPPR!$E:$Z,MATCH($A263,SPPR!$A:$A,0),5)),$C263*INDEX(SPPR!$E:$Z,MATCH($A263,SPPR!$A:$A,0),5),""),"")</f>
        <v/>
      </c>
      <c r="I263">
        <f>IFERROR(IF(ISNUMBER(INDEX(SPPR!$E:$Z,MATCH($A263,SPPR!$A:$A,0),6)),$C263*INDEX(SPPR!$E:$Z,MATCH($A263,SPPR!$A:$A,0),6),""),"")</f>
        <v/>
      </c>
      <c r="J263">
        <f>IFERROR(IF(ISNUMBER(INDEX(SPPR!$E:$Z,MATCH($A263,SPPR!$A:$A,0),7)),$C263*INDEX(SPPR!$E:$Z,MATCH($A263,SPPR!$A:$A,0),7),""),"")</f>
        <v/>
      </c>
      <c r="K263">
        <f>IFERROR(IF(ISNUMBER(INDEX(SPPR!$E:$Z,MATCH($A263,SPPR!$A:$A,0),8)),$C263*INDEX(SPPR!$E:$Z,MATCH($A263,SPPR!$A:$A,0),8),""),"")</f>
        <v/>
      </c>
      <c r="L263">
        <f>IFERROR(IF(ISNUMBER(INDEX(SPPR!$E:$Z,MATCH($A263,SPPR!$A:$A,0),9)),$C263*INDEX(SPPR!$E:$Z,MATCH($A263,SPPR!$A:$A,0),9),""),"")</f>
        <v/>
      </c>
      <c r="M263">
        <f>IFERROR(IF(ISNUMBER(INDEX(SPPR!$E:$Z,MATCH($A263,SPPR!$A:$A,0),10)),$C263*INDEX(SPPR!$E:$Z,MATCH($A263,SPPR!$A:$A,0),10),""),"")</f>
        <v/>
      </c>
      <c r="N263">
        <f>IFERROR(IF(ISNUMBER(INDEX(SPPR!$E:$Z,MATCH($A263,SPPR!$A:$A,0),11)),$C263*INDEX(SPPR!$E:$Z,MATCH($A263,SPPR!$A:$A,0),11),""),"")</f>
        <v/>
      </c>
      <c r="O263">
        <f>IFERROR(IF(ISNUMBER(INDEX(SPPR!$E:$Z,MATCH($A263,SPPR!$A:$A,0),12)),$C263*INDEX(SPPR!$E:$Z,MATCH($A263,SPPR!$A:$A,0),12),""),"")</f>
        <v/>
      </c>
      <c r="P263">
        <f>IFERROR(IF(ISNUMBER(INDEX(SPPR!$E:$Z,MATCH($A263,SPPR!$A:$A,0),13)),$C263*INDEX(SPPR!$E:$Z,MATCH($A263,SPPR!$A:$A,0),13),""),"")</f>
        <v/>
      </c>
      <c r="Q263">
        <f>IFERROR(IF(ISNUMBER(INDEX(SPPR!$E:$Z,MATCH($A263,SPPR!$A:$A,0),14)),$C263*INDEX(SPPR!$E:$Z,MATCH($A263,SPPR!$A:$A,0),14),""),"")</f>
        <v/>
      </c>
      <c r="R263">
        <f>IFERROR(IF(ISNUMBER(INDEX(SPPR!$E:$Z,MATCH($A263,SPPR!$A:$A,0),15)),$C263*INDEX(SPPR!$E:$Z,MATCH($A263,SPPR!$A:$A,0),15),""),"")</f>
        <v/>
      </c>
      <c r="S263">
        <f>IFERROR(IF(ISNUMBER(INDEX(SPPR!$E:$Z,MATCH($A263,SPPR!$A:$A,0),16)),$C263*INDEX(SPPR!$E:$Z,MATCH($A263,SPPR!$A:$A,0),16),""),"")</f>
        <v/>
      </c>
      <c r="T263">
        <f>IFERROR(IF(ISNUMBER(INDEX(SPPR!$E:$Z,MATCH($A263,SPPR!$A:$A,0),17)),$C263*INDEX(SPPR!$E:$Z,MATCH($A263,SPPR!$A:$A,0),17),""),"")</f>
        <v/>
      </c>
      <c r="U263">
        <f>IFERROR(IF(ISNUMBER(INDEX(SPPR!$E:$Z,MATCH($A263,SPPR!$A:$A,0),18)),$C263*INDEX(SPPR!$E:$Z,MATCH($A263,SPPR!$A:$A,0),18),""),"")</f>
        <v/>
      </c>
      <c r="V263">
        <f>IFERROR(IF(ISNUMBER(INDEX(SPPR!$E:$Z,MATCH($A263,SPPR!$A:$A,0),19)),$C263*INDEX(SPPR!$E:$Z,MATCH($A263,SPPR!$A:$A,0),19),""),"")</f>
        <v/>
      </c>
      <c r="W263">
        <f>IFERROR(IF(ISNUMBER(INDEX(SPPR!$E:$Z,MATCH($A263,SPPR!$A:$A,0),20)),$C263*INDEX(SPPR!$E:$Z,MATCH($A263,SPPR!$A:$A,0),20),""),"")</f>
        <v/>
      </c>
      <c r="X263">
        <f>IFERROR(IF(ISNUMBER(INDEX(SPPR!$E:$Z,MATCH($A263,SPPR!$A:$A,0),21)),$C263*INDEX(SPPR!$E:$Z,MATCH($A263,SPPR!$A:$A,0),21),""),"")</f>
        <v/>
      </c>
      <c r="Y263">
        <f>IFERROR(IF(ISNUMBER(INDEX(SPPR!$E:$Z,MATCH($A263,SPPR!$A:$A,0),22)),$C263*INDEX(SPPR!$E:$Z,MATCH($A263,SPPR!$A:$A,0),22),""),"")</f>
        <v/>
      </c>
    </row>
    <row r="264">
      <c r="A264" t="inlineStr">
        <is>
          <t>Scorpaenidae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IFERROR(IF(ISNUMBER(INDEX(SPPR!$E:$Z,MATCH($A264,SPPR!$A:$A,0),1)),$C264*INDEX(SPPR!$E:$Z,MATCH($A264,SPPR!$A:$A,0),1),""),"")</f>
        <v/>
      </c>
      <c r="E264">
        <f>IFERROR(IF(ISNUMBER(INDEX(SPPR!$E:$Z,MATCH($A264,SPPR!$A:$A,0),2)),$C264*INDEX(SPPR!$E:$Z,MATCH($A264,SPPR!$A:$A,0),2),""),"")</f>
        <v/>
      </c>
      <c r="F264">
        <f>IFERROR(IF(ISNUMBER(INDEX(SPPR!$E:$Z,MATCH($A264,SPPR!$A:$A,0),3)),$C264*INDEX(SPPR!$E:$Z,MATCH($A264,SPPR!$A:$A,0),3),""),"")</f>
        <v/>
      </c>
      <c r="G264">
        <f>IFERROR(IF(ISNUMBER(INDEX(SPPR!$E:$Z,MATCH($A264,SPPR!$A:$A,0),4)),$C264*INDEX(SPPR!$E:$Z,MATCH($A264,SPPR!$A:$A,0),4),""),"")</f>
        <v/>
      </c>
      <c r="H264">
        <f>IFERROR(IF(ISNUMBER(INDEX(SPPR!$E:$Z,MATCH($A264,SPPR!$A:$A,0),5)),$C264*INDEX(SPPR!$E:$Z,MATCH($A264,SPPR!$A:$A,0),5),""),"")</f>
        <v/>
      </c>
      <c r="I264">
        <f>IFERROR(IF(ISNUMBER(INDEX(SPPR!$E:$Z,MATCH($A264,SPPR!$A:$A,0),6)),$C264*INDEX(SPPR!$E:$Z,MATCH($A264,SPPR!$A:$A,0),6),""),"")</f>
        <v/>
      </c>
      <c r="J264">
        <f>IFERROR(IF(ISNUMBER(INDEX(SPPR!$E:$Z,MATCH($A264,SPPR!$A:$A,0),7)),$C264*INDEX(SPPR!$E:$Z,MATCH($A264,SPPR!$A:$A,0),7),""),"")</f>
        <v/>
      </c>
      <c r="K264">
        <f>IFERROR(IF(ISNUMBER(INDEX(SPPR!$E:$Z,MATCH($A264,SPPR!$A:$A,0),8)),$C264*INDEX(SPPR!$E:$Z,MATCH($A264,SPPR!$A:$A,0),8),""),"")</f>
        <v/>
      </c>
      <c r="L264">
        <f>IFERROR(IF(ISNUMBER(INDEX(SPPR!$E:$Z,MATCH($A264,SPPR!$A:$A,0),9)),$C264*INDEX(SPPR!$E:$Z,MATCH($A264,SPPR!$A:$A,0),9),""),"")</f>
        <v/>
      </c>
      <c r="M264">
        <f>IFERROR(IF(ISNUMBER(INDEX(SPPR!$E:$Z,MATCH($A264,SPPR!$A:$A,0),10)),$C264*INDEX(SPPR!$E:$Z,MATCH($A264,SPPR!$A:$A,0),10),""),"")</f>
        <v/>
      </c>
      <c r="N264">
        <f>IFERROR(IF(ISNUMBER(INDEX(SPPR!$E:$Z,MATCH($A264,SPPR!$A:$A,0),11)),$C264*INDEX(SPPR!$E:$Z,MATCH($A264,SPPR!$A:$A,0),11),""),"")</f>
        <v/>
      </c>
      <c r="O264">
        <f>IFERROR(IF(ISNUMBER(INDEX(SPPR!$E:$Z,MATCH($A264,SPPR!$A:$A,0),12)),$C264*INDEX(SPPR!$E:$Z,MATCH($A264,SPPR!$A:$A,0),12),""),"")</f>
        <v/>
      </c>
      <c r="P264">
        <f>IFERROR(IF(ISNUMBER(INDEX(SPPR!$E:$Z,MATCH($A264,SPPR!$A:$A,0),13)),$C264*INDEX(SPPR!$E:$Z,MATCH($A264,SPPR!$A:$A,0),13),""),"")</f>
        <v/>
      </c>
      <c r="Q264">
        <f>IFERROR(IF(ISNUMBER(INDEX(SPPR!$E:$Z,MATCH($A264,SPPR!$A:$A,0),14)),$C264*INDEX(SPPR!$E:$Z,MATCH($A264,SPPR!$A:$A,0),14),""),"")</f>
        <v/>
      </c>
      <c r="R264">
        <f>IFERROR(IF(ISNUMBER(INDEX(SPPR!$E:$Z,MATCH($A264,SPPR!$A:$A,0),15)),$C264*INDEX(SPPR!$E:$Z,MATCH($A264,SPPR!$A:$A,0),15),""),"")</f>
        <v/>
      </c>
      <c r="S264">
        <f>IFERROR(IF(ISNUMBER(INDEX(SPPR!$E:$Z,MATCH($A264,SPPR!$A:$A,0),16)),$C264*INDEX(SPPR!$E:$Z,MATCH($A264,SPPR!$A:$A,0),16),""),"")</f>
        <v/>
      </c>
      <c r="T264">
        <f>IFERROR(IF(ISNUMBER(INDEX(SPPR!$E:$Z,MATCH($A264,SPPR!$A:$A,0),17)),$C264*INDEX(SPPR!$E:$Z,MATCH($A264,SPPR!$A:$A,0),17),""),"")</f>
        <v/>
      </c>
      <c r="U264">
        <f>IFERROR(IF(ISNUMBER(INDEX(SPPR!$E:$Z,MATCH($A264,SPPR!$A:$A,0),18)),$C264*INDEX(SPPR!$E:$Z,MATCH($A264,SPPR!$A:$A,0),18),""),"")</f>
        <v/>
      </c>
      <c r="V264">
        <f>IFERROR(IF(ISNUMBER(INDEX(SPPR!$E:$Z,MATCH($A264,SPPR!$A:$A,0),19)),$C264*INDEX(SPPR!$E:$Z,MATCH($A264,SPPR!$A:$A,0),19),""),"")</f>
        <v/>
      </c>
      <c r="W264">
        <f>IFERROR(IF(ISNUMBER(INDEX(SPPR!$E:$Z,MATCH($A264,SPPR!$A:$A,0),20)),$C264*INDEX(SPPR!$E:$Z,MATCH($A264,SPPR!$A:$A,0),20),""),"")</f>
        <v/>
      </c>
      <c r="X264">
        <f>IFERROR(IF(ISNUMBER(INDEX(SPPR!$E:$Z,MATCH($A264,SPPR!$A:$A,0),21)),$C264*INDEX(SPPR!$E:$Z,MATCH($A264,SPPR!$A:$A,0),21),""),"")</f>
        <v/>
      </c>
      <c r="Y264">
        <f>IFERROR(IF(ISNUMBER(INDEX(SPPR!$E:$Z,MATCH($A264,SPPR!$A:$A,0),22)),$C264*INDEX(SPPR!$E:$Z,MATCH($A264,SPPR!$A:$A,0),22),""),"")</f>
        <v/>
      </c>
    </row>
    <row r="265">
      <c r="A265" t="inlineStr">
        <is>
          <t>Carcharhinus falciformis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IFERROR(IF(ISNUMBER(INDEX(SPPR!$E:$Z,MATCH($A265,SPPR!$A:$A,0),1)),$C265*INDEX(SPPR!$E:$Z,MATCH($A265,SPPR!$A:$A,0),1),""),"")</f>
        <v/>
      </c>
      <c r="E265">
        <f>IFERROR(IF(ISNUMBER(INDEX(SPPR!$E:$Z,MATCH($A265,SPPR!$A:$A,0),2)),$C265*INDEX(SPPR!$E:$Z,MATCH($A265,SPPR!$A:$A,0),2),""),"")</f>
        <v/>
      </c>
      <c r="F265">
        <f>IFERROR(IF(ISNUMBER(INDEX(SPPR!$E:$Z,MATCH($A265,SPPR!$A:$A,0),3)),$C265*INDEX(SPPR!$E:$Z,MATCH($A265,SPPR!$A:$A,0),3),""),"")</f>
        <v/>
      </c>
      <c r="G265">
        <f>IFERROR(IF(ISNUMBER(INDEX(SPPR!$E:$Z,MATCH($A265,SPPR!$A:$A,0),4)),$C265*INDEX(SPPR!$E:$Z,MATCH($A265,SPPR!$A:$A,0),4),""),"")</f>
        <v/>
      </c>
      <c r="H265">
        <f>IFERROR(IF(ISNUMBER(INDEX(SPPR!$E:$Z,MATCH($A265,SPPR!$A:$A,0),5)),$C265*INDEX(SPPR!$E:$Z,MATCH($A265,SPPR!$A:$A,0),5),""),"")</f>
        <v/>
      </c>
      <c r="I265">
        <f>IFERROR(IF(ISNUMBER(INDEX(SPPR!$E:$Z,MATCH($A265,SPPR!$A:$A,0),6)),$C265*INDEX(SPPR!$E:$Z,MATCH($A265,SPPR!$A:$A,0),6),""),"")</f>
        <v/>
      </c>
      <c r="J265">
        <f>IFERROR(IF(ISNUMBER(INDEX(SPPR!$E:$Z,MATCH($A265,SPPR!$A:$A,0),7)),$C265*INDEX(SPPR!$E:$Z,MATCH($A265,SPPR!$A:$A,0),7),""),"")</f>
        <v/>
      </c>
      <c r="K265">
        <f>IFERROR(IF(ISNUMBER(INDEX(SPPR!$E:$Z,MATCH($A265,SPPR!$A:$A,0),8)),$C265*INDEX(SPPR!$E:$Z,MATCH($A265,SPPR!$A:$A,0),8),""),"")</f>
        <v/>
      </c>
      <c r="L265">
        <f>IFERROR(IF(ISNUMBER(INDEX(SPPR!$E:$Z,MATCH($A265,SPPR!$A:$A,0),9)),$C265*INDEX(SPPR!$E:$Z,MATCH($A265,SPPR!$A:$A,0),9),""),"")</f>
        <v/>
      </c>
      <c r="M265">
        <f>IFERROR(IF(ISNUMBER(INDEX(SPPR!$E:$Z,MATCH($A265,SPPR!$A:$A,0),10)),$C265*INDEX(SPPR!$E:$Z,MATCH($A265,SPPR!$A:$A,0),10),""),"")</f>
        <v/>
      </c>
      <c r="N265">
        <f>IFERROR(IF(ISNUMBER(INDEX(SPPR!$E:$Z,MATCH($A265,SPPR!$A:$A,0),11)),$C265*INDEX(SPPR!$E:$Z,MATCH($A265,SPPR!$A:$A,0),11),""),"")</f>
        <v/>
      </c>
      <c r="O265">
        <f>IFERROR(IF(ISNUMBER(INDEX(SPPR!$E:$Z,MATCH($A265,SPPR!$A:$A,0),12)),$C265*INDEX(SPPR!$E:$Z,MATCH($A265,SPPR!$A:$A,0),12),""),"")</f>
        <v/>
      </c>
      <c r="P265">
        <f>IFERROR(IF(ISNUMBER(INDEX(SPPR!$E:$Z,MATCH($A265,SPPR!$A:$A,0),13)),$C265*INDEX(SPPR!$E:$Z,MATCH($A265,SPPR!$A:$A,0),13),""),"")</f>
        <v/>
      </c>
      <c r="Q265">
        <f>IFERROR(IF(ISNUMBER(INDEX(SPPR!$E:$Z,MATCH($A265,SPPR!$A:$A,0),14)),$C265*INDEX(SPPR!$E:$Z,MATCH($A265,SPPR!$A:$A,0),14),""),"")</f>
        <v/>
      </c>
      <c r="R265">
        <f>IFERROR(IF(ISNUMBER(INDEX(SPPR!$E:$Z,MATCH($A265,SPPR!$A:$A,0),15)),$C265*INDEX(SPPR!$E:$Z,MATCH($A265,SPPR!$A:$A,0),15),""),"")</f>
        <v/>
      </c>
      <c r="S265">
        <f>IFERROR(IF(ISNUMBER(INDEX(SPPR!$E:$Z,MATCH($A265,SPPR!$A:$A,0),16)),$C265*INDEX(SPPR!$E:$Z,MATCH($A265,SPPR!$A:$A,0),16),""),"")</f>
        <v/>
      </c>
      <c r="T265">
        <f>IFERROR(IF(ISNUMBER(INDEX(SPPR!$E:$Z,MATCH($A265,SPPR!$A:$A,0),17)),$C265*INDEX(SPPR!$E:$Z,MATCH($A265,SPPR!$A:$A,0),17),""),"")</f>
        <v/>
      </c>
      <c r="U265">
        <f>IFERROR(IF(ISNUMBER(INDEX(SPPR!$E:$Z,MATCH($A265,SPPR!$A:$A,0),18)),$C265*INDEX(SPPR!$E:$Z,MATCH($A265,SPPR!$A:$A,0),18),""),"")</f>
        <v/>
      </c>
      <c r="V265">
        <f>IFERROR(IF(ISNUMBER(INDEX(SPPR!$E:$Z,MATCH($A265,SPPR!$A:$A,0),19)),$C265*INDEX(SPPR!$E:$Z,MATCH($A265,SPPR!$A:$A,0),19),""),"")</f>
        <v/>
      </c>
      <c r="W265">
        <f>IFERROR(IF(ISNUMBER(INDEX(SPPR!$E:$Z,MATCH($A265,SPPR!$A:$A,0),20)),$C265*INDEX(SPPR!$E:$Z,MATCH($A265,SPPR!$A:$A,0),20),""),"")</f>
        <v/>
      </c>
      <c r="X265">
        <f>IFERROR(IF(ISNUMBER(INDEX(SPPR!$E:$Z,MATCH($A265,SPPR!$A:$A,0),21)),$C265*INDEX(SPPR!$E:$Z,MATCH($A265,SPPR!$A:$A,0),21),""),"")</f>
        <v/>
      </c>
      <c r="Y265">
        <f>IFERROR(IF(ISNUMBER(INDEX(SPPR!$E:$Z,MATCH($A265,SPPR!$A:$A,0),22)),$C265*INDEX(SPPR!$E:$Z,MATCH($A265,SPPR!$A:$A,0),22),""),"")</f>
        <v/>
      </c>
    </row>
    <row r="266">
      <c r="A266" t="inlineStr">
        <is>
          <t>Metapenaeus affinis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IFERROR(IF(ISNUMBER(INDEX(SPPR!$E:$Z,MATCH($A266,SPPR!$A:$A,0),1)),$C266*INDEX(SPPR!$E:$Z,MATCH($A266,SPPR!$A:$A,0),1),""),"")</f>
        <v/>
      </c>
      <c r="E266">
        <f>IFERROR(IF(ISNUMBER(INDEX(SPPR!$E:$Z,MATCH($A266,SPPR!$A:$A,0),2)),$C266*INDEX(SPPR!$E:$Z,MATCH($A266,SPPR!$A:$A,0),2),""),"")</f>
        <v/>
      </c>
      <c r="F266">
        <f>IFERROR(IF(ISNUMBER(INDEX(SPPR!$E:$Z,MATCH($A266,SPPR!$A:$A,0),3)),$C266*INDEX(SPPR!$E:$Z,MATCH($A266,SPPR!$A:$A,0),3),""),"")</f>
        <v/>
      </c>
      <c r="G266">
        <f>IFERROR(IF(ISNUMBER(INDEX(SPPR!$E:$Z,MATCH($A266,SPPR!$A:$A,0),4)),$C266*INDEX(SPPR!$E:$Z,MATCH($A266,SPPR!$A:$A,0),4),""),"")</f>
        <v/>
      </c>
      <c r="H266">
        <f>IFERROR(IF(ISNUMBER(INDEX(SPPR!$E:$Z,MATCH($A266,SPPR!$A:$A,0),5)),$C266*INDEX(SPPR!$E:$Z,MATCH($A266,SPPR!$A:$A,0),5),""),"")</f>
        <v/>
      </c>
      <c r="I266">
        <f>IFERROR(IF(ISNUMBER(INDEX(SPPR!$E:$Z,MATCH($A266,SPPR!$A:$A,0),6)),$C266*INDEX(SPPR!$E:$Z,MATCH($A266,SPPR!$A:$A,0),6),""),"")</f>
        <v/>
      </c>
      <c r="J266">
        <f>IFERROR(IF(ISNUMBER(INDEX(SPPR!$E:$Z,MATCH($A266,SPPR!$A:$A,0),7)),$C266*INDEX(SPPR!$E:$Z,MATCH($A266,SPPR!$A:$A,0),7),""),"")</f>
        <v/>
      </c>
      <c r="K266">
        <f>IFERROR(IF(ISNUMBER(INDEX(SPPR!$E:$Z,MATCH($A266,SPPR!$A:$A,0),8)),$C266*INDEX(SPPR!$E:$Z,MATCH($A266,SPPR!$A:$A,0),8),""),"")</f>
        <v/>
      </c>
      <c r="L266">
        <f>IFERROR(IF(ISNUMBER(INDEX(SPPR!$E:$Z,MATCH($A266,SPPR!$A:$A,0),9)),$C266*INDEX(SPPR!$E:$Z,MATCH($A266,SPPR!$A:$A,0),9),""),"")</f>
        <v/>
      </c>
      <c r="M266">
        <f>IFERROR(IF(ISNUMBER(INDEX(SPPR!$E:$Z,MATCH($A266,SPPR!$A:$A,0),10)),$C266*INDEX(SPPR!$E:$Z,MATCH($A266,SPPR!$A:$A,0),10),""),"")</f>
        <v/>
      </c>
      <c r="N266">
        <f>IFERROR(IF(ISNUMBER(INDEX(SPPR!$E:$Z,MATCH($A266,SPPR!$A:$A,0),11)),$C266*INDEX(SPPR!$E:$Z,MATCH($A266,SPPR!$A:$A,0),11),""),"")</f>
        <v/>
      </c>
      <c r="O266">
        <f>IFERROR(IF(ISNUMBER(INDEX(SPPR!$E:$Z,MATCH($A266,SPPR!$A:$A,0),12)),$C266*INDEX(SPPR!$E:$Z,MATCH($A266,SPPR!$A:$A,0),12),""),"")</f>
        <v/>
      </c>
      <c r="P266">
        <f>IFERROR(IF(ISNUMBER(INDEX(SPPR!$E:$Z,MATCH($A266,SPPR!$A:$A,0),13)),$C266*INDEX(SPPR!$E:$Z,MATCH($A266,SPPR!$A:$A,0),13),""),"")</f>
        <v/>
      </c>
      <c r="Q266">
        <f>IFERROR(IF(ISNUMBER(INDEX(SPPR!$E:$Z,MATCH($A266,SPPR!$A:$A,0),14)),$C266*INDEX(SPPR!$E:$Z,MATCH($A266,SPPR!$A:$A,0),14),""),"")</f>
        <v/>
      </c>
      <c r="R266">
        <f>IFERROR(IF(ISNUMBER(INDEX(SPPR!$E:$Z,MATCH($A266,SPPR!$A:$A,0),15)),$C266*INDEX(SPPR!$E:$Z,MATCH($A266,SPPR!$A:$A,0),15),""),"")</f>
        <v/>
      </c>
      <c r="S266">
        <f>IFERROR(IF(ISNUMBER(INDEX(SPPR!$E:$Z,MATCH($A266,SPPR!$A:$A,0),16)),$C266*INDEX(SPPR!$E:$Z,MATCH($A266,SPPR!$A:$A,0),16),""),"")</f>
        <v/>
      </c>
      <c r="T266">
        <f>IFERROR(IF(ISNUMBER(INDEX(SPPR!$E:$Z,MATCH($A266,SPPR!$A:$A,0),17)),$C266*INDEX(SPPR!$E:$Z,MATCH($A266,SPPR!$A:$A,0),17),""),"")</f>
        <v/>
      </c>
      <c r="U266">
        <f>IFERROR(IF(ISNUMBER(INDEX(SPPR!$E:$Z,MATCH($A266,SPPR!$A:$A,0),18)),$C266*INDEX(SPPR!$E:$Z,MATCH($A266,SPPR!$A:$A,0),18),""),"")</f>
        <v/>
      </c>
      <c r="V266">
        <f>IFERROR(IF(ISNUMBER(INDEX(SPPR!$E:$Z,MATCH($A266,SPPR!$A:$A,0),19)),$C266*INDEX(SPPR!$E:$Z,MATCH($A266,SPPR!$A:$A,0),19),""),"")</f>
        <v/>
      </c>
      <c r="W266">
        <f>IFERROR(IF(ISNUMBER(INDEX(SPPR!$E:$Z,MATCH($A266,SPPR!$A:$A,0),20)),$C266*INDEX(SPPR!$E:$Z,MATCH($A266,SPPR!$A:$A,0),20),""),"")</f>
        <v/>
      </c>
      <c r="X266">
        <f>IFERROR(IF(ISNUMBER(INDEX(SPPR!$E:$Z,MATCH($A266,SPPR!$A:$A,0),21)),$C266*INDEX(SPPR!$E:$Z,MATCH($A266,SPPR!$A:$A,0),21),""),"")</f>
        <v/>
      </c>
      <c r="Y266">
        <f>IFERROR(IF(ISNUMBER(INDEX(SPPR!$E:$Z,MATCH($A266,SPPR!$A:$A,0),22)),$C266*INDEX(SPPR!$E:$Z,MATCH($A266,SPPR!$A:$A,0),22),""),"")</f>
        <v/>
      </c>
    </row>
    <row r="267">
      <c r="A267" t="inlineStr">
        <is>
          <t>Marine groundfishes not identified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IFERROR(IF(ISNUMBER(INDEX(SPPR!$E:$Z,MATCH($A267,SPPR!$A:$A,0),1)),$C267*INDEX(SPPR!$E:$Z,MATCH($A267,SPPR!$A:$A,0),1),""),"")</f>
        <v/>
      </c>
      <c r="E267">
        <f>IFERROR(IF(ISNUMBER(INDEX(SPPR!$E:$Z,MATCH($A267,SPPR!$A:$A,0),2)),$C267*INDEX(SPPR!$E:$Z,MATCH($A267,SPPR!$A:$A,0),2),""),"")</f>
        <v/>
      </c>
      <c r="F267">
        <f>IFERROR(IF(ISNUMBER(INDEX(SPPR!$E:$Z,MATCH($A267,SPPR!$A:$A,0),3)),$C267*INDEX(SPPR!$E:$Z,MATCH($A267,SPPR!$A:$A,0),3),""),"")</f>
        <v/>
      </c>
      <c r="G267">
        <f>IFERROR(IF(ISNUMBER(INDEX(SPPR!$E:$Z,MATCH($A267,SPPR!$A:$A,0),4)),$C267*INDEX(SPPR!$E:$Z,MATCH($A267,SPPR!$A:$A,0),4),""),"")</f>
        <v/>
      </c>
      <c r="H267">
        <f>IFERROR(IF(ISNUMBER(INDEX(SPPR!$E:$Z,MATCH($A267,SPPR!$A:$A,0),5)),$C267*INDEX(SPPR!$E:$Z,MATCH($A267,SPPR!$A:$A,0),5),""),"")</f>
        <v/>
      </c>
      <c r="I267">
        <f>IFERROR(IF(ISNUMBER(INDEX(SPPR!$E:$Z,MATCH($A267,SPPR!$A:$A,0),6)),$C267*INDEX(SPPR!$E:$Z,MATCH($A267,SPPR!$A:$A,0),6),""),"")</f>
        <v/>
      </c>
      <c r="J267">
        <f>IFERROR(IF(ISNUMBER(INDEX(SPPR!$E:$Z,MATCH($A267,SPPR!$A:$A,0),7)),$C267*INDEX(SPPR!$E:$Z,MATCH($A267,SPPR!$A:$A,0),7),""),"")</f>
        <v/>
      </c>
      <c r="K267">
        <f>IFERROR(IF(ISNUMBER(INDEX(SPPR!$E:$Z,MATCH($A267,SPPR!$A:$A,0),8)),$C267*INDEX(SPPR!$E:$Z,MATCH($A267,SPPR!$A:$A,0),8),""),"")</f>
        <v/>
      </c>
      <c r="L267">
        <f>IFERROR(IF(ISNUMBER(INDEX(SPPR!$E:$Z,MATCH($A267,SPPR!$A:$A,0),9)),$C267*INDEX(SPPR!$E:$Z,MATCH($A267,SPPR!$A:$A,0),9),""),"")</f>
        <v/>
      </c>
      <c r="M267">
        <f>IFERROR(IF(ISNUMBER(INDEX(SPPR!$E:$Z,MATCH($A267,SPPR!$A:$A,0),10)),$C267*INDEX(SPPR!$E:$Z,MATCH($A267,SPPR!$A:$A,0),10),""),"")</f>
        <v/>
      </c>
      <c r="N267">
        <f>IFERROR(IF(ISNUMBER(INDEX(SPPR!$E:$Z,MATCH($A267,SPPR!$A:$A,0),11)),$C267*INDEX(SPPR!$E:$Z,MATCH($A267,SPPR!$A:$A,0),11),""),"")</f>
        <v/>
      </c>
      <c r="O267">
        <f>IFERROR(IF(ISNUMBER(INDEX(SPPR!$E:$Z,MATCH($A267,SPPR!$A:$A,0),12)),$C267*INDEX(SPPR!$E:$Z,MATCH($A267,SPPR!$A:$A,0),12),""),"")</f>
        <v/>
      </c>
      <c r="P267">
        <f>IFERROR(IF(ISNUMBER(INDEX(SPPR!$E:$Z,MATCH($A267,SPPR!$A:$A,0),13)),$C267*INDEX(SPPR!$E:$Z,MATCH($A267,SPPR!$A:$A,0),13),""),"")</f>
        <v/>
      </c>
      <c r="Q267">
        <f>IFERROR(IF(ISNUMBER(INDEX(SPPR!$E:$Z,MATCH($A267,SPPR!$A:$A,0),14)),$C267*INDEX(SPPR!$E:$Z,MATCH($A267,SPPR!$A:$A,0),14),""),"")</f>
        <v/>
      </c>
      <c r="R267">
        <f>IFERROR(IF(ISNUMBER(INDEX(SPPR!$E:$Z,MATCH($A267,SPPR!$A:$A,0),15)),$C267*INDEX(SPPR!$E:$Z,MATCH($A267,SPPR!$A:$A,0),15),""),"")</f>
        <v/>
      </c>
      <c r="S267">
        <f>IFERROR(IF(ISNUMBER(INDEX(SPPR!$E:$Z,MATCH($A267,SPPR!$A:$A,0),16)),$C267*INDEX(SPPR!$E:$Z,MATCH($A267,SPPR!$A:$A,0),16),""),"")</f>
        <v/>
      </c>
      <c r="T267">
        <f>IFERROR(IF(ISNUMBER(INDEX(SPPR!$E:$Z,MATCH($A267,SPPR!$A:$A,0),17)),$C267*INDEX(SPPR!$E:$Z,MATCH($A267,SPPR!$A:$A,0),17),""),"")</f>
        <v/>
      </c>
      <c r="U267">
        <f>IFERROR(IF(ISNUMBER(INDEX(SPPR!$E:$Z,MATCH($A267,SPPR!$A:$A,0),18)),$C267*INDEX(SPPR!$E:$Z,MATCH($A267,SPPR!$A:$A,0),18),""),"")</f>
        <v/>
      </c>
      <c r="V267">
        <f>IFERROR(IF(ISNUMBER(INDEX(SPPR!$E:$Z,MATCH($A267,SPPR!$A:$A,0),19)),$C267*INDEX(SPPR!$E:$Z,MATCH($A267,SPPR!$A:$A,0),19),""),"")</f>
        <v/>
      </c>
      <c r="W267">
        <f>IFERROR(IF(ISNUMBER(INDEX(SPPR!$E:$Z,MATCH($A267,SPPR!$A:$A,0),20)),$C267*INDEX(SPPR!$E:$Z,MATCH($A267,SPPR!$A:$A,0),20),""),"")</f>
        <v/>
      </c>
      <c r="X267">
        <f>IFERROR(IF(ISNUMBER(INDEX(SPPR!$E:$Z,MATCH($A267,SPPR!$A:$A,0),21)),$C267*INDEX(SPPR!$E:$Z,MATCH($A267,SPPR!$A:$A,0),21),""),"")</f>
        <v/>
      </c>
      <c r="Y267">
        <f>IFERROR(IF(ISNUMBER(INDEX(SPPR!$E:$Z,MATCH($A267,SPPR!$A:$A,0),22)),$C267*INDEX(SPPR!$E:$Z,MATCH($A267,SPPR!$A:$A,0),22),""),"")</f>
        <v/>
      </c>
    </row>
    <row r="268">
      <c r="A268" t="inlineStr">
        <is>
          <t>Sardinella albella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IFERROR(IF(ISNUMBER(INDEX(SPPR!$E:$Z,MATCH($A268,SPPR!$A:$A,0),1)),$C268*INDEX(SPPR!$E:$Z,MATCH($A268,SPPR!$A:$A,0),1),""),"")</f>
        <v/>
      </c>
      <c r="E268">
        <f>IFERROR(IF(ISNUMBER(INDEX(SPPR!$E:$Z,MATCH($A268,SPPR!$A:$A,0),2)),$C268*INDEX(SPPR!$E:$Z,MATCH($A268,SPPR!$A:$A,0),2),""),"")</f>
        <v/>
      </c>
      <c r="F268">
        <f>IFERROR(IF(ISNUMBER(INDEX(SPPR!$E:$Z,MATCH($A268,SPPR!$A:$A,0),3)),$C268*INDEX(SPPR!$E:$Z,MATCH($A268,SPPR!$A:$A,0),3),""),"")</f>
        <v/>
      </c>
      <c r="G268">
        <f>IFERROR(IF(ISNUMBER(INDEX(SPPR!$E:$Z,MATCH($A268,SPPR!$A:$A,0),4)),$C268*INDEX(SPPR!$E:$Z,MATCH($A268,SPPR!$A:$A,0),4),""),"")</f>
        <v/>
      </c>
      <c r="H268">
        <f>IFERROR(IF(ISNUMBER(INDEX(SPPR!$E:$Z,MATCH($A268,SPPR!$A:$A,0),5)),$C268*INDEX(SPPR!$E:$Z,MATCH($A268,SPPR!$A:$A,0),5),""),"")</f>
        <v/>
      </c>
      <c r="I268">
        <f>IFERROR(IF(ISNUMBER(INDEX(SPPR!$E:$Z,MATCH($A268,SPPR!$A:$A,0),6)),$C268*INDEX(SPPR!$E:$Z,MATCH($A268,SPPR!$A:$A,0),6),""),"")</f>
        <v/>
      </c>
      <c r="J268">
        <f>IFERROR(IF(ISNUMBER(INDEX(SPPR!$E:$Z,MATCH($A268,SPPR!$A:$A,0),7)),$C268*INDEX(SPPR!$E:$Z,MATCH($A268,SPPR!$A:$A,0),7),""),"")</f>
        <v/>
      </c>
      <c r="K268">
        <f>IFERROR(IF(ISNUMBER(INDEX(SPPR!$E:$Z,MATCH($A268,SPPR!$A:$A,0),8)),$C268*INDEX(SPPR!$E:$Z,MATCH($A268,SPPR!$A:$A,0),8),""),"")</f>
        <v/>
      </c>
      <c r="L268">
        <f>IFERROR(IF(ISNUMBER(INDEX(SPPR!$E:$Z,MATCH($A268,SPPR!$A:$A,0),9)),$C268*INDEX(SPPR!$E:$Z,MATCH($A268,SPPR!$A:$A,0),9),""),"")</f>
        <v/>
      </c>
      <c r="M268">
        <f>IFERROR(IF(ISNUMBER(INDEX(SPPR!$E:$Z,MATCH($A268,SPPR!$A:$A,0),10)),$C268*INDEX(SPPR!$E:$Z,MATCH($A268,SPPR!$A:$A,0),10),""),"")</f>
        <v/>
      </c>
      <c r="N268">
        <f>IFERROR(IF(ISNUMBER(INDEX(SPPR!$E:$Z,MATCH($A268,SPPR!$A:$A,0),11)),$C268*INDEX(SPPR!$E:$Z,MATCH($A268,SPPR!$A:$A,0),11),""),"")</f>
        <v/>
      </c>
      <c r="O268">
        <f>IFERROR(IF(ISNUMBER(INDEX(SPPR!$E:$Z,MATCH($A268,SPPR!$A:$A,0),12)),$C268*INDEX(SPPR!$E:$Z,MATCH($A268,SPPR!$A:$A,0),12),""),"")</f>
        <v/>
      </c>
      <c r="P268">
        <f>IFERROR(IF(ISNUMBER(INDEX(SPPR!$E:$Z,MATCH($A268,SPPR!$A:$A,0),13)),$C268*INDEX(SPPR!$E:$Z,MATCH($A268,SPPR!$A:$A,0),13),""),"")</f>
        <v/>
      </c>
      <c r="Q268">
        <f>IFERROR(IF(ISNUMBER(INDEX(SPPR!$E:$Z,MATCH($A268,SPPR!$A:$A,0),14)),$C268*INDEX(SPPR!$E:$Z,MATCH($A268,SPPR!$A:$A,0),14),""),"")</f>
        <v/>
      </c>
      <c r="R268">
        <f>IFERROR(IF(ISNUMBER(INDEX(SPPR!$E:$Z,MATCH($A268,SPPR!$A:$A,0),15)),$C268*INDEX(SPPR!$E:$Z,MATCH($A268,SPPR!$A:$A,0),15),""),"")</f>
        <v/>
      </c>
      <c r="S268">
        <f>IFERROR(IF(ISNUMBER(INDEX(SPPR!$E:$Z,MATCH($A268,SPPR!$A:$A,0),16)),$C268*INDEX(SPPR!$E:$Z,MATCH($A268,SPPR!$A:$A,0),16),""),"")</f>
        <v/>
      </c>
      <c r="T268">
        <f>IFERROR(IF(ISNUMBER(INDEX(SPPR!$E:$Z,MATCH($A268,SPPR!$A:$A,0),17)),$C268*INDEX(SPPR!$E:$Z,MATCH($A268,SPPR!$A:$A,0),17),""),"")</f>
        <v/>
      </c>
      <c r="U268">
        <f>IFERROR(IF(ISNUMBER(INDEX(SPPR!$E:$Z,MATCH($A268,SPPR!$A:$A,0),18)),$C268*INDEX(SPPR!$E:$Z,MATCH($A268,SPPR!$A:$A,0),18),""),"")</f>
        <v/>
      </c>
      <c r="V268">
        <f>IFERROR(IF(ISNUMBER(INDEX(SPPR!$E:$Z,MATCH($A268,SPPR!$A:$A,0),19)),$C268*INDEX(SPPR!$E:$Z,MATCH($A268,SPPR!$A:$A,0),19),""),"")</f>
        <v/>
      </c>
      <c r="W268">
        <f>IFERROR(IF(ISNUMBER(INDEX(SPPR!$E:$Z,MATCH($A268,SPPR!$A:$A,0),20)),$C268*INDEX(SPPR!$E:$Z,MATCH($A268,SPPR!$A:$A,0),20),""),"")</f>
        <v/>
      </c>
      <c r="X268">
        <f>IFERROR(IF(ISNUMBER(INDEX(SPPR!$E:$Z,MATCH($A268,SPPR!$A:$A,0),21)),$C268*INDEX(SPPR!$E:$Z,MATCH($A268,SPPR!$A:$A,0),21),""),"")</f>
        <v/>
      </c>
      <c r="Y268">
        <f>IFERROR(IF(ISNUMBER(INDEX(SPPR!$E:$Z,MATCH($A268,SPPR!$A:$A,0),22)),$C268*INDEX(SPPR!$E:$Z,MATCH($A268,SPPR!$A:$A,0),22),""),"")</f>
        <v/>
      </c>
    </row>
    <row r="269">
      <c r="A269" t="inlineStr">
        <is>
          <t>Placuna placenta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IFERROR(IF(ISNUMBER(INDEX(SPPR!$E:$Z,MATCH($A269,SPPR!$A:$A,0),1)),$C269*INDEX(SPPR!$E:$Z,MATCH($A269,SPPR!$A:$A,0),1),""),"")</f>
        <v/>
      </c>
      <c r="E269">
        <f>IFERROR(IF(ISNUMBER(INDEX(SPPR!$E:$Z,MATCH($A269,SPPR!$A:$A,0),2)),$C269*INDEX(SPPR!$E:$Z,MATCH($A269,SPPR!$A:$A,0),2),""),"")</f>
        <v/>
      </c>
      <c r="F269">
        <f>IFERROR(IF(ISNUMBER(INDEX(SPPR!$E:$Z,MATCH($A269,SPPR!$A:$A,0),3)),$C269*INDEX(SPPR!$E:$Z,MATCH($A269,SPPR!$A:$A,0),3),""),"")</f>
        <v/>
      </c>
      <c r="G269">
        <f>IFERROR(IF(ISNUMBER(INDEX(SPPR!$E:$Z,MATCH($A269,SPPR!$A:$A,0),4)),$C269*INDEX(SPPR!$E:$Z,MATCH($A269,SPPR!$A:$A,0),4),""),"")</f>
        <v/>
      </c>
      <c r="H269">
        <f>IFERROR(IF(ISNUMBER(INDEX(SPPR!$E:$Z,MATCH($A269,SPPR!$A:$A,0),5)),$C269*INDEX(SPPR!$E:$Z,MATCH($A269,SPPR!$A:$A,0),5),""),"")</f>
        <v/>
      </c>
      <c r="I269">
        <f>IFERROR(IF(ISNUMBER(INDEX(SPPR!$E:$Z,MATCH($A269,SPPR!$A:$A,0),6)),$C269*INDEX(SPPR!$E:$Z,MATCH($A269,SPPR!$A:$A,0),6),""),"")</f>
        <v/>
      </c>
      <c r="J269">
        <f>IFERROR(IF(ISNUMBER(INDEX(SPPR!$E:$Z,MATCH($A269,SPPR!$A:$A,0),7)),$C269*INDEX(SPPR!$E:$Z,MATCH($A269,SPPR!$A:$A,0),7),""),"")</f>
        <v/>
      </c>
      <c r="K269">
        <f>IFERROR(IF(ISNUMBER(INDEX(SPPR!$E:$Z,MATCH($A269,SPPR!$A:$A,0),8)),$C269*INDEX(SPPR!$E:$Z,MATCH($A269,SPPR!$A:$A,0),8),""),"")</f>
        <v/>
      </c>
      <c r="L269">
        <f>IFERROR(IF(ISNUMBER(INDEX(SPPR!$E:$Z,MATCH($A269,SPPR!$A:$A,0),9)),$C269*INDEX(SPPR!$E:$Z,MATCH($A269,SPPR!$A:$A,0),9),""),"")</f>
        <v/>
      </c>
      <c r="M269">
        <f>IFERROR(IF(ISNUMBER(INDEX(SPPR!$E:$Z,MATCH($A269,SPPR!$A:$A,0),10)),$C269*INDEX(SPPR!$E:$Z,MATCH($A269,SPPR!$A:$A,0),10),""),"")</f>
        <v/>
      </c>
      <c r="N269">
        <f>IFERROR(IF(ISNUMBER(INDEX(SPPR!$E:$Z,MATCH($A269,SPPR!$A:$A,0),11)),$C269*INDEX(SPPR!$E:$Z,MATCH($A269,SPPR!$A:$A,0),11),""),"")</f>
        <v/>
      </c>
      <c r="O269">
        <f>IFERROR(IF(ISNUMBER(INDEX(SPPR!$E:$Z,MATCH($A269,SPPR!$A:$A,0),12)),$C269*INDEX(SPPR!$E:$Z,MATCH($A269,SPPR!$A:$A,0),12),""),"")</f>
        <v/>
      </c>
      <c r="P269">
        <f>IFERROR(IF(ISNUMBER(INDEX(SPPR!$E:$Z,MATCH($A269,SPPR!$A:$A,0),13)),$C269*INDEX(SPPR!$E:$Z,MATCH($A269,SPPR!$A:$A,0),13),""),"")</f>
        <v/>
      </c>
      <c r="Q269">
        <f>IFERROR(IF(ISNUMBER(INDEX(SPPR!$E:$Z,MATCH($A269,SPPR!$A:$A,0),14)),$C269*INDEX(SPPR!$E:$Z,MATCH($A269,SPPR!$A:$A,0),14),""),"")</f>
        <v/>
      </c>
      <c r="R269">
        <f>IFERROR(IF(ISNUMBER(INDEX(SPPR!$E:$Z,MATCH($A269,SPPR!$A:$A,0),15)),$C269*INDEX(SPPR!$E:$Z,MATCH($A269,SPPR!$A:$A,0),15),""),"")</f>
        <v/>
      </c>
      <c r="S269">
        <f>IFERROR(IF(ISNUMBER(INDEX(SPPR!$E:$Z,MATCH($A269,SPPR!$A:$A,0),16)),$C269*INDEX(SPPR!$E:$Z,MATCH($A269,SPPR!$A:$A,0),16),""),"")</f>
        <v/>
      </c>
      <c r="T269">
        <f>IFERROR(IF(ISNUMBER(INDEX(SPPR!$E:$Z,MATCH($A269,SPPR!$A:$A,0),17)),$C269*INDEX(SPPR!$E:$Z,MATCH($A269,SPPR!$A:$A,0),17),""),"")</f>
        <v/>
      </c>
      <c r="U269">
        <f>IFERROR(IF(ISNUMBER(INDEX(SPPR!$E:$Z,MATCH($A269,SPPR!$A:$A,0),18)),$C269*INDEX(SPPR!$E:$Z,MATCH($A269,SPPR!$A:$A,0),18),""),"")</f>
        <v/>
      </c>
      <c r="V269">
        <f>IFERROR(IF(ISNUMBER(INDEX(SPPR!$E:$Z,MATCH($A269,SPPR!$A:$A,0),19)),$C269*INDEX(SPPR!$E:$Z,MATCH($A269,SPPR!$A:$A,0),19),""),"")</f>
        <v/>
      </c>
      <c r="W269">
        <f>IFERROR(IF(ISNUMBER(INDEX(SPPR!$E:$Z,MATCH($A269,SPPR!$A:$A,0),20)),$C269*INDEX(SPPR!$E:$Z,MATCH($A269,SPPR!$A:$A,0),20),""),"")</f>
        <v/>
      </c>
      <c r="X269">
        <f>IFERROR(IF(ISNUMBER(INDEX(SPPR!$E:$Z,MATCH($A269,SPPR!$A:$A,0),21)),$C269*INDEX(SPPR!$E:$Z,MATCH($A269,SPPR!$A:$A,0),21),""),"")</f>
        <v/>
      </c>
      <c r="Y269">
        <f>IFERROR(IF(ISNUMBER(INDEX(SPPR!$E:$Z,MATCH($A269,SPPR!$A:$A,0),22)),$C269*INDEX(SPPR!$E:$Z,MATCH($A269,SPPR!$A:$A,0),22),""),"")</f>
        <v/>
      </c>
    </row>
    <row r="270">
      <c r="A270" t="inlineStr">
        <is>
          <t>Scaridae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IFERROR(IF(ISNUMBER(INDEX(SPPR!$E:$Z,MATCH($A270,SPPR!$A:$A,0),1)),$C270*INDEX(SPPR!$E:$Z,MATCH($A270,SPPR!$A:$A,0),1),""),"")</f>
        <v/>
      </c>
      <c r="E270">
        <f>IFERROR(IF(ISNUMBER(INDEX(SPPR!$E:$Z,MATCH($A270,SPPR!$A:$A,0),2)),$C270*INDEX(SPPR!$E:$Z,MATCH($A270,SPPR!$A:$A,0),2),""),"")</f>
        <v/>
      </c>
      <c r="F270">
        <f>IFERROR(IF(ISNUMBER(INDEX(SPPR!$E:$Z,MATCH($A270,SPPR!$A:$A,0),3)),$C270*INDEX(SPPR!$E:$Z,MATCH($A270,SPPR!$A:$A,0),3),""),"")</f>
        <v/>
      </c>
      <c r="G270">
        <f>IFERROR(IF(ISNUMBER(INDEX(SPPR!$E:$Z,MATCH($A270,SPPR!$A:$A,0),4)),$C270*INDEX(SPPR!$E:$Z,MATCH($A270,SPPR!$A:$A,0),4),""),"")</f>
        <v/>
      </c>
      <c r="H270">
        <f>IFERROR(IF(ISNUMBER(INDEX(SPPR!$E:$Z,MATCH($A270,SPPR!$A:$A,0),5)),$C270*INDEX(SPPR!$E:$Z,MATCH($A270,SPPR!$A:$A,0),5),""),"")</f>
        <v/>
      </c>
      <c r="I270">
        <f>IFERROR(IF(ISNUMBER(INDEX(SPPR!$E:$Z,MATCH($A270,SPPR!$A:$A,0),6)),$C270*INDEX(SPPR!$E:$Z,MATCH($A270,SPPR!$A:$A,0),6),""),"")</f>
        <v/>
      </c>
      <c r="J270">
        <f>IFERROR(IF(ISNUMBER(INDEX(SPPR!$E:$Z,MATCH($A270,SPPR!$A:$A,0),7)),$C270*INDEX(SPPR!$E:$Z,MATCH($A270,SPPR!$A:$A,0),7),""),"")</f>
        <v/>
      </c>
      <c r="K270">
        <f>IFERROR(IF(ISNUMBER(INDEX(SPPR!$E:$Z,MATCH($A270,SPPR!$A:$A,0),8)),$C270*INDEX(SPPR!$E:$Z,MATCH($A270,SPPR!$A:$A,0),8),""),"")</f>
        <v/>
      </c>
      <c r="L270">
        <f>IFERROR(IF(ISNUMBER(INDEX(SPPR!$E:$Z,MATCH($A270,SPPR!$A:$A,0),9)),$C270*INDEX(SPPR!$E:$Z,MATCH($A270,SPPR!$A:$A,0),9),""),"")</f>
        <v/>
      </c>
      <c r="M270">
        <f>IFERROR(IF(ISNUMBER(INDEX(SPPR!$E:$Z,MATCH($A270,SPPR!$A:$A,0),10)),$C270*INDEX(SPPR!$E:$Z,MATCH($A270,SPPR!$A:$A,0),10),""),"")</f>
        <v/>
      </c>
      <c r="N270">
        <f>IFERROR(IF(ISNUMBER(INDEX(SPPR!$E:$Z,MATCH($A270,SPPR!$A:$A,0),11)),$C270*INDEX(SPPR!$E:$Z,MATCH($A270,SPPR!$A:$A,0),11),""),"")</f>
        <v/>
      </c>
      <c r="O270">
        <f>IFERROR(IF(ISNUMBER(INDEX(SPPR!$E:$Z,MATCH($A270,SPPR!$A:$A,0),12)),$C270*INDEX(SPPR!$E:$Z,MATCH($A270,SPPR!$A:$A,0),12),""),"")</f>
        <v/>
      </c>
      <c r="P270">
        <f>IFERROR(IF(ISNUMBER(INDEX(SPPR!$E:$Z,MATCH($A270,SPPR!$A:$A,0),13)),$C270*INDEX(SPPR!$E:$Z,MATCH($A270,SPPR!$A:$A,0),13),""),"")</f>
        <v/>
      </c>
      <c r="Q270">
        <f>IFERROR(IF(ISNUMBER(INDEX(SPPR!$E:$Z,MATCH($A270,SPPR!$A:$A,0),14)),$C270*INDEX(SPPR!$E:$Z,MATCH($A270,SPPR!$A:$A,0),14),""),"")</f>
        <v/>
      </c>
      <c r="R270">
        <f>IFERROR(IF(ISNUMBER(INDEX(SPPR!$E:$Z,MATCH($A270,SPPR!$A:$A,0),15)),$C270*INDEX(SPPR!$E:$Z,MATCH($A270,SPPR!$A:$A,0),15),""),"")</f>
        <v/>
      </c>
      <c r="S270">
        <f>IFERROR(IF(ISNUMBER(INDEX(SPPR!$E:$Z,MATCH($A270,SPPR!$A:$A,0),16)),$C270*INDEX(SPPR!$E:$Z,MATCH($A270,SPPR!$A:$A,0),16),""),"")</f>
        <v/>
      </c>
      <c r="T270">
        <f>IFERROR(IF(ISNUMBER(INDEX(SPPR!$E:$Z,MATCH($A270,SPPR!$A:$A,0),17)),$C270*INDEX(SPPR!$E:$Z,MATCH($A270,SPPR!$A:$A,0),17),""),"")</f>
        <v/>
      </c>
      <c r="U270">
        <f>IFERROR(IF(ISNUMBER(INDEX(SPPR!$E:$Z,MATCH($A270,SPPR!$A:$A,0),18)),$C270*INDEX(SPPR!$E:$Z,MATCH($A270,SPPR!$A:$A,0),18),""),"")</f>
        <v/>
      </c>
      <c r="V270">
        <f>IFERROR(IF(ISNUMBER(INDEX(SPPR!$E:$Z,MATCH($A270,SPPR!$A:$A,0),19)),$C270*INDEX(SPPR!$E:$Z,MATCH($A270,SPPR!$A:$A,0),19),""),"")</f>
        <v/>
      </c>
      <c r="W270">
        <f>IFERROR(IF(ISNUMBER(INDEX(SPPR!$E:$Z,MATCH($A270,SPPR!$A:$A,0),20)),$C270*INDEX(SPPR!$E:$Z,MATCH($A270,SPPR!$A:$A,0),20),""),"")</f>
        <v/>
      </c>
      <c r="X270">
        <f>IFERROR(IF(ISNUMBER(INDEX(SPPR!$E:$Z,MATCH($A270,SPPR!$A:$A,0),21)),$C270*INDEX(SPPR!$E:$Z,MATCH($A270,SPPR!$A:$A,0),21),""),"")</f>
        <v/>
      </c>
      <c r="Y270">
        <f>IFERROR(IF(ISNUMBER(INDEX(SPPR!$E:$Z,MATCH($A270,SPPR!$A:$A,0),22)),$C270*INDEX(SPPR!$E:$Z,MATCH($A270,SPPR!$A:$A,0),22),""),"")</f>
        <v/>
      </c>
    </row>
    <row r="271">
      <c r="A271" t="inlineStr">
        <is>
          <t>Seriolina nigrofasciata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IFERROR(IF(ISNUMBER(INDEX(SPPR!$E:$Z,MATCH($A271,SPPR!$A:$A,0),1)),$C271*INDEX(SPPR!$E:$Z,MATCH($A271,SPPR!$A:$A,0),1),""),"")</f>
        <v/>
      </c>
      <c r="E271">
        <f>IFERROR(IF(ISNUMBER(INDEX(SPPR!$E:$Z,MATCH($A271,SPPR!$A:$A,0),2)),$C271*INDEX(SPPR!$E:$Z,MATCH($A271,SPPR!$A:$A,0),2),""),"")</f>
        <v/>
      </c>
      <c r="F271">
        <f>IFERROR(IF(ISNUMBER(INDEX(SPPR!$E:$Z,MATCH($A271,SPPR!$A:$A,0),3)),$C271*INDEX(SPPR!$E:$Z,MATCH($A271,SPPR!$A:$A,0),3),""),"")</f>
        <v/>
      </c>
      <c r="G271">
        <f>IFERROR(IF(ISNUMBER(INDEX(SPPR!$E:$Z,MATCH($A271,SPPR!$A:$A,0),4)),$C271*INDEX(SPPR!$E:$Z,MATCH($A271,SPPR!$A:$A,0),4),""),"")</f>
        <v/>
      </c>
      <c r="H271">
        <f>IFERROR(IF(ISNUMBER(INDEX(SPPR!$E:$Z,MATCH($A271,SPPR!$A:$A,0),5)),$C271*INDEX(SPPR!$E:$Z,MATCH($A271,SPPR!$A:$A,0),5),""),"")</f>
        <v/>
      </c>
      <c r="I271">
        <f>IFERROR(IF(ISNUMBER(INDEX(SPPR!$E:$Z,MATCH($A271,SPPR!$A:$A,0),6)),$C271*INDEX(SPPR!$E:$Z,MATCH($A271,SPPR!$A:$A,0),6),""),"")</f>
        <v/>
      </c>
      <c r="J271">
        <f>IFERROR(IF(ISNUMBER(INDEX(SPPR!$E:$Z,MATCH($A271,SPPR!$A:$A,0),7)),$C271*INDEX(SPPR!$E:$Z,MATCH($A271,SPPR!$A:$A,0),7),""),"")</f>
        <v/>
      </c>
      <c r="K271">
        <f>IFERROR(IF(ISNUMBER(INDEX(SPPR!$E:$Z,MATCH($A271,SPPR!$A:$A,0),8)),$C271*INDEX(SPPR!$E:$Z,MATCH($A271,SPPR!$A:$A,0),8),""),"")</f>
        <v/>
      </c>
      <c r="L271">
        <f>IFERROR(IF(ISNUMBER(INDEX(SPPR!$E:$Z,MATCH($A271,SPPR!$A:$A,0),9)),$C271*INDEX(SPPR!$E:$Z,MATCH($A271,SPPR!$A:$A,0),9),""),"")</f>
        <v/>
      </c>
      <c r="M271">
        <f>IFERROR(IF(ISNUMBER(INDEX(SPPR!$E:$Z,MATCH($A271,SPPR!$A:$A,0),10)),$C271*INDEX(SPPR!$E:$Z,MATCH($A271,SPPR!$A:$A,0),10),""),"")</f>
        <v/>
      </c>
      <c r="N271">
        <f>IFERROR(IF(ISNUMBER(INDEX(SPPR!$E:$Z,MATCH($A271,SPPR!$A:$A,0),11)),$C271*INDEX(SPPR!$E:$Z,MATCH($A271,SPPR!$A:$A,0),11),""),"")</f>
        <v/>
      </c>
      <c r="O271">
        <f>IFERROR(IF(ISNUMBER(INDEX(SPPR!$E:$Z,MATCH($A271,SPPR!$A:$A,0),12)),$C271*INDEX(SPPR!$E:$Z,MATCH($A271,SPPR!$A:$A,0),12),""),"")</f>
        <v/>
      </c>
      <c r="P271">
        <f>IFERROR(IF(ISNUMBER(INDEX(SPPR!$E:$Z,MATCH($A271,SPPR!$A:$A,0),13)),$C271*INDEX(SPPR!$E:$Z,MATCH($A271,SPPR!$A:$A,0),13),""),"")</f>
        <v/>
      </c>
      <c r="Q271">
        <f>IFERROR(IF(ISNUMBER(INDEX(SPPR!$E:$Z,MATCH($A271,SPPR!$A:$A,0),14)),$C271*INDEX(SPPR!$E:$Z,MATCH($A271,SPPR!$A:$A,0),14),""),"")</f>
        <v/>
      </c>
      <c r="R271">
        <f>IFERROR(IF(ISNUMBER(INDEX(SPPR!$E:$Z,MATCH($A271,SPPR!$A:$A,0),15)),$C271*INDEX(SPPR!$E:$Z,MATCH($A271,SPPR!$A:$A,0),15),""),"")</f>
        <v/>
      </c>
      <c r="S271">
        <f>IFERROR(IF(ISNUMBER(INDEX(SPPR!$E:$Z,MATCH($A271,SPPR!$A:$A,0),16)),$C271*INDEX(SPPR!$E:$Z,MATCH($A271,SPPR!$A:$A,0),16),""),"")</f>
        <v/>
      </c>
      <c r="T271">
        <f>IFERROR(IF(ISNUMBER(INDEX(SPPR!$E:$Z,MATCH($A271,SPPR!$A:$A,0),17)),$C271*INDEX(SPPR!$E:$Z,MATCH($A271,SPPR!$A:$A,0),17),""),"")</f>
        <v/>
      </c>
      <c r="U271">
        <f>IFERROR(IF(ISNUMBER(INDEX(SPPR!$E:$Z,MATCH($A271,SPPR!$A:$A,0),18)),$C271*INDEX(SPPR!$E:$Z,MATCH($A271,SPPR!$A:$A,0),18),""),"")</f>
        <v/>
      </c>
      <c r="V271">
        <f>IFERROR(IF(ISNUMBER(INDEX(SPPR!$E:$Z,MATCH($A271,SPPR!$A:$A,0),19)),$C271*INDEX(SPPR!$E:$Z,MATCH($A271,SPPR!$A:$A,0),19),""),"")</f>
        <v/>
      </c>
      <c r="W271">
        <f>IFERROR(IF(ISNUMBER(INDEX(SPPR!$E:$Z,MATCH($A271,SPPR!$A:$A,0),20)),$C271*INDEX(SPPR!$E:$Z,MATCH($A271,SPPR!$A:$A,0),20),""),"")</f>
        <v/>
      </c>
      <c r="X271">
        <f>IFERROR(IF(ISNUMBER(INDEX(SPPR!$E:$Z,MATCH($A271,SPPR!$A:$A,0),21)),$C271*INDEX(SPPR!$E:$Z,MATCH($A271,SPPR!$A:$A,0),21),""),"")</f>
        <v/>
      </c>
      <c r="Y271">
        <f>IFERROR(IF(ISNUMBER(INDEX(SPPR!$E:$Z,MATCH($A271,SPPR!$A:$A,0),22)),$C271*INDEX(SPPR!$E:$Z,MATCH($A271,SPPR!$A:$A,0),22),""),"")</f>
        <v/>
      </c>
    </row>
    <row r="272">
      <c r="A272" t="inlineStr">
        <is>
          <t>Saurida undosquamis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IFERROR(IF(ISNUMBER(INDEX(SPPR!$E:$Z,MATCH($A272,SPPR!$A:$A,0),1)),$C272*INDEX(SPPR!$E:$Z,MATCH($A272,SPPR!$A:$A,0),1),""),"")</f>
        <v/>
      </c>
      <c r="E272">
        <f>IFERROR(IF(ISNUMBER(INDEX(SPPR!$E:$Z,MATCH($A272,SPPR!$A:$A,0),2)),$C272*INDEX(SPPR!$E:$Z,MATCH($A272,SPPR!$A:$A,0),2),""),"")</f>
        <v/>
      </c>
      <c r="F272">
        <f>IFERROR(IF(ISNUMBER(INDEX(SPPR!$E:$Z,MATCH($A272,SPPR!$A:$A,0),3)),$C272*INDEX(SPPR!$E:$Z,MATCH($A272,SPPR!$A:$A,0),3),""),"")</f>
        <v/>
      </c>
      <c r="G272">
        <f>IFERROR(IF(ISNUMBER(INDEX(SPPR!$E:$Z,MATCH($A272,SPPR!$A:$A,0),4)),$C272*INDEX(SPPR!$E:$Z,MATCH($A272,SPPR!$A:$A,0),4),""),"")</f>
        <v/>
      </c>
      <c r="H272">
        <f>IFERROR(IF(ISNUMBER(INDEX(SPPR!$E:$Z,MATCH($A272,SPPR!$A:$A,0),5)),$C272*INDEX(SPPR!$E:$Z,MATCH($A272,SPPR!$A:$A,0),5),""),"")</f>
        <v/>
      </c>
      <c r="I272">
        <f>IFERROR(IF(ISNUMBER(INDEX(SPPR!$E:$Z,MATCH($A272,SPPR!$A:$A,0),6)),$C272*INDEX(SPPR!$E:$Z,MATCH($A272,SPPR!$A:$A,0),6),""),"")</f>
        <v/>
      </c>
      <c r="J272">
        <f>IFERROR(IF(ISNUMBER(INDEX(SPPR!$E:$Z,MATCH($A272,SPPR!$A:$A,0),7)),$C272*INDEX(SPPR!$E:$Z,MATCH($A272,SPPR!$A:$A,0),7),""),"")</f>
        <v/>
      </c>
      <c r="K272">
        <f>IFERROR(IF(ISNUMBER(INDEX(SPPR!$E:$Z,MATCH($A272,SPPR!$A:$A,0),8)),$C272*INDEX(SPPR!$E:$Z,MATCH($A272,SPPR!$A:$A,0),8),""),"")</f>
        <v/>
      </c>
      <c r="L272">
        <f>IFERROR(IF(ISNUMBER(INDEX(SPPR!$E:$Z,MATCH($A272,SPPR!$A:$A,0),9)),$C272*INDEX(SPPR!$E:$Z,MATCH($A272,SPPR!$A:$A,0),9),""),"")</f>
        <v/>
      </c>
      <c r="M272">
        <f>IFERROR(IF(ISNUMBER(INDEX(SPPR!$E:$Z,MATCH($A272,SPPR!$A:$A,0),10)),$C272*INDEX(SPPR!$E:$Z,MATCH($A272,SPPR!$A:$A,0),10),""),"")</f>
        <v/>
      </c>
      <c r="N272">
        <f>IFERROR(IF(ISNUMBER(INDEX(SPPR!$E:$Z,MATCH($A272,SPPR!$A:$A,0),11)),$C272*INDEX(SPPR!$E:$Z,MATCH($A272,SPPR!$A:$A,0),11),""),"")</f>
        <v/>
      </c>
      <c r="O272">
        <f>IFERROR(IF(ISNUMBER(INDEX(SPPR!$E:$Z,MATCH($A272,SPPR!$A:$A,0),12)),$C272*INDEX(SPPR!$E:$Z,MATCH($A272,SPPR!$A:$A,0),12),""),"")</f>
        <v/>
      </c>
      <c r="P272">
        <f>IFERROR(IF(ISNUMBER(INDEX(SPPR!$E:$Z,MATCH($A272,SPPR!$A:$A,0),13)),$C272*INDEX(SPPR!$E:$Z,MATCH($A272,SPPR!$A:$A,0),13),""),"")</f>
        <v/>
      </c>
      <c r="Q272">
        <f>IFERROR(IF(ISNUMBER(INDEX(SPPR!$E:$Z,MATCH($A272,SPPR!$A:$A,0),14)),$C272*INDEX(SPPR!$E:$Z,MATCH($A272,SPPR!$A:$A,0),14),""),"")</f>
        <v/>
      </c>
      <c r="R272">
        <f>IFERROR(IF(ISNUMBER(INDEX(SPPR!$E:$Z,MATCH($A272,SPPR!$A:$A,0),15)),$C272*INDEX(SPPR!$E:$Z,MATCH($A272,SPPR!$A:$A,0),15),""),"")</f>
        <v/>
      </c>
      <c r="S272">
        <f>IFERROR(IF(ISNUMBER(INDEX(SPPR!$E:$Z,MATCH($A272,SPPR!$A:$A,0),16)),$C272*INDEX(SPPR!$E:$Z,MATCH($A272,SPPR!$A:$A,0),16),""),"")</f>
        <v/>
      </c>
      <c r="T272">
        <f>IFERROR(IF(ISNUMBER(INDEX(SPPR!$E:$Z,MATCH($A272,SPPR!$A:$A,0),17)),$C272*INDEX(SPPR!$E:$Z,MATCH($A272,SPPR!$A:$A,0),17),""),"")</f>
        <v/>
      </c>
      <c r="U272">
        <f>IFERROR(IF(ISNUMBER(INDEX(SPPR!$E:$Z,MATCH($A272,SPPR!$A:$A,0),18)),$C272*INDEX(SPPR!$E:$Z,MATCH($A272,SPPR!$A:$A,0),18),""),"")</f>
        <v/>
      </c>
      <c r="V272">
        <f>IFERROR(IF(ISNUMBER(INDEX(SPPR!$E:$Z,MATCH($A272,SPPR!$A:$A,0),19)),$C272*INDEX(SPPR!$E:$Z,MATCH($A272,SPPR!$A:$A,0),19),""),"")</f>
        <v/>
      </c>
      <c r="W272">
        <f>IFERROR(IF(ISNUMBER(INDEX(SPPR!$E:$Z,MATCH($A272,SPPR!$A:$A,0),20)),$C272*INDEX(SPPR!$E:$Z,MATCH($A272,SPPR!$A:$A,0),20),""),"")</f>
        <v/>
      </c>
      <c r="X272">
        <f>IFERROR(IF(ISNUMBER(INDEX(SPPR!$E:$Z,MATCH($A272,SPPR!$A:$A,0),21)),$C272*INDEX(SPPR!$E:$Z,MATCH($A272,SPPR!$A:$A,0),21),""),"")</f>
        <v/>
      </c>
      <c r="Y272">
        <f>IFERROR(IF(ISNUMBER(INDEX(SPPR!$E:$Z,MATCH($A272,SPPR!$A:$A,0),22)),$C272*INDEX(SPPR!$E:$Z,MATCH($A272,SPPR!$A:$A,0),22),""),"")</f>
        <v/>
      </c>
    </row>
    <row r="273">
      <c r="A273" t="inlineStr">
        <is>
          <t>Atule mate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IFERROR(IF(ISNUMBER(INDEX(SPPR!$E:$Z,MATCH($A273,SPPR!$A:$A,0),1)),$C273*INDEX(SPPR!$E:$Z,MATCH($A273,SPPR!$A:$A,0),1),""),"")</f>
        <v/>
      </c>
      <c r="E273">
        <f>IFERROR(IF(ISNUMBER(INDEX(SPPR!$E:$Z,MATCH($A273,SPPR!$A:$A,0),2)),$C273*INDEX(SPPR!$E:$Z,MATCH($A273,SPPR!$A:$A,0),2),""),"")</f>
        <v/>
      </c>
      <c r="F273">
        <f>IFERROR(IF(ISNUMBER(INDEX(SPPR!$E:$Z,MATCH($A273,SPPR!$A:$A,0),3)),$C273*INDEX(SPPR!$E:$Z,MATCH($A273,SPPR!$A:$A,0),3),""),"")</f>
        <v/>
      </c>
      <c r="G273">
        <f>IFERROR(IF(ISNUMBER(INDEX(SPPR!$E:$Z,MATCH($A273,SPPR!$A:$A,0),4)),$C273*INDEX(SPPR!$E:$Z,MATCH($A273,SPPR!$A:$A,0),4),""),"")</f>
        <v/>
      </c>
      <c r="H273">
        <f>IFERROR(IF(ISNUMBER(INDEX(SPPR!$E:$Z,MATCH($A273,SPPR!$A:$A,0),5)),$C273*INDEX(SPPR!$E:$Z,MATCH($A273,SPPR!$A:$A,0),5),""),"")</f>
        <v/>
      </c>
      <c r="I273">
        <f>IFERROR(IF(ISNUMBER(INDEX(SPPR!$E:$Z,MATCH($A273,SPPR!$A:$A,0),6)),$C273*INDEX(SPPR!$E:$Z,MATCH($A273,SPPR!$A:$A,0),6),""),"")</f>
        <v/>
      </c>
      <c r="J273">
        <f>IFERROR(IF(ISNUMBER(INDEX(SPPR!$E:$Z,MATCH($A273,SPPR!$A:$A,0),7)),$C273*INDEX(SPPR!$E:$Z,MATCH($A273,SPPR!$A:$A,0),7),""),"")</f>
        <v/>
      </c>
      <c r="K273">
        <f>IFERROR(IF(ISNUMBER(INDEX(SPPR!$E:$Z,MATCH($A273,SPPR!$A:$A,0),8)),$C273*INDEX(SPPR!$E:$Z,MATCH($A273,SPPR!$A:$A,0),8),""),"")</f>
        <v/>
      </c>
      <c r="L273">
        <f>IFERROR(IF(ISNUMBER(INDEX(SPPR!$E:$Z,MATCH($A273,SPPR!$A:$A,0),9)),$C273*INDEX(SPPR!$E:$Z,MATCH($A273,SPPR!$A:$A,0),9),""),"")</f>
        <v/>
      </c>
      <c r="M273">
        <f>IFERROR(IF(ISNUMBER(INDEX(SPPR!$E:$Z,MATCH($A273,SPPR!$A:$A,0),10)),$C273*INDEX(SPPR!$E:$Z,MATCH($A273,SPPR!$A:$A,0),10),""),"")</f>
        <v/>
      </c>
      <c r="N273">
        <f>IFERROR(IF(ISNUMBER(INDEX(SPPR!$E:$Z,MATCH($A273,SPPR!$A:$A,0),11)),$C273*INDEX(SPPR!$E:$Z,MATCH($A273,SPPR!$A:$A,0),11),""),"")</f>
        <v/>
      </c>
      <c r="O273">
        <f>IFERROR(IF(ISNUMBER(INDEX(SPPR!$E:$Z,MATCH($A273,SPPR!$A:$A,0),12)),$C273*INDEX(SPPR!$E:$Z,MATCH($A273,SPPR!$A:$A,0),12),""),"")</f>
        <v/>
      </c>
      <c r="P273">
        <f>IFERROR(IF(ISNUMBER(INDEX(SPPR!$E:$Z,MATCH($A273,SPPR!$A:$A,0),13)),$C273*INDEX(SPPR!$E:$Z,MATCH($A273,SPPR!$A:$A,0),13),""),"")</f>
        <v/>
      </c>
      <c r="Q273">
        <f>IFERROR(IF(ISNUMBER(INDEX(SPPR!$E:$Z,MATCH($A273,SPPR!$A:$A,0),14)),$C273*INDEX(SPPR!$E:$Z,MATCH($A273,SPPR!$A:$A,0),14),""),"")</f>
        <v/>
      </c>
      <c r="R273">
        <f>IFERROR(IF(ISNUMBER(INDEX(SPPR!$E:$Z,MATCH($A273,SPPR!$A:$A,0),15)),$C273*INDEX(SPPR!$E:$Z,MATCH($A273,SPPR!$A:$A,0),15),""),"")</f>
        <v/>
      </c>
      <c r="S273">
        <f>IFERROR(IF(ISNUMBER(INDEX(SPPR!$E:$Z,MATCH($A273,SPPR!$A:$A,0),16)),$C273*INDEX(SPPR!$E:$Z,MATCH($A273,SPPR!$A:$A,0),16),""),"")</f>
        <v/>
      </c>
      <c r="T273">
        <f>IFERROR(IF(ISNUMBER(INDEX(SPPR!$E:$Z,MATCH($A273,SPPR!$A:$A,0),17)),$C273*INDEX(SPPR!$E:$Z,MATCH($A273,SPPR!$A:$A,0),17),""),"")</f>
        <v/>
      </c>
      <c r="U273">
        <f>IFERROR(IF(ISNUMBER(INDEX(SPPR!$E:$Z,MATCH($A273,SPPR!$A:$A,0),18)),$C273*INDEX(SPPR!$E:$Z,MATCH($A273,SPPR!$A:$A,0),18),""),"")</f>
        <v/>
      </c>
      <c r="V273">
        <f>IFERROR(IF(ISNUMBER(INDEX(SPPR!$E:$Z,MATCH($A273,SPPR!$A:$A,0),19)),$C273*INDEX(SPPR!$E:$Z,MATCH($A273,SPPR!$A:$A,0),19),""),"")</f>
        <v/>
      </c>
      <c r="W273">
        <f>IFERROR(IF(ISNUMBER(INDEX(SPPR!$E:$Z,MATCH($A273,SPPR!$A:$A,0),20)),$C273*INDEX(SPPR!$E:$Z,MATCH($A273,SPPR!$A:$A,0),20),""),"")</f>
        <v/>
      </c>
      <c r="X273">
        <f>IFERROR(IF(ISNUMBER(INDEX(SPPR!$E:$Z,MATCH($A273,SPPR!$A:$A,0),21)),$C273*INDEX(SPPR!$E:$Z,MATCH($A273,SPPR!$A:$A,0),21),""),"")</f>
        <v/>
      </c>
      <c r="Y273">
        <f>IFERROR(IF(ISNUMBER(INDEX(SPPR!$E:$Z,MATCH($A273,SPPR!$A:$A,0),22)),$C273*INDEX(SPPR!$E:$Z,MATCH($A273,SPPR!$A:$A,0),22),""),"")</f>
        <v/>
      </c>
    </row>
    <row r="274">
      <c r="A274" t="inlineStr">
        <is>
          <t>Scarus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IFERROR(IF(ISNUMBER(INDEX(SPPR!$E:$Z,MATCH($A274,SPPR!$A:$A,0),1)),$C274*INDEX(SPPR!$E:$Z,MATCH($A274,SPPR!$A:$A,0),1),""),"")</f>
        <v/>
      </c>
      <c r="E274">
        <f>IFERROR(IF(ISNUMBER(INDEX(SPPR!$E:$Z,MATCH($A274,SPPR!$A:$A,0),2)),$C274*INDEX(SPPR!$E:$Z,MATCH($A274,SPPR!$A:$A,0),2),""),"")</f>
        <v/>
      </c>
      <c r="F274">
        <f>IFERROR(IF(ISNUMBER(INDEX(SPPR!$E:$Z,MATCH($A274,SPPR!$A:$A,0),3)),$C274*INDEX(SPPR!$E:$Z,MATCH($A274,SPPR!$A:$A,0),3),""),"")</f>
        <v/>
      </c>
      <c r="G274">
        <f>IFERROR(IF(ISNUMBER(INDEX(SPPR!$E:$Z,MATCH($A274,SPPR!$A:$A,0),4)),$C274*INDEX(SPPR!$E:$Z,MATCH($A274,SPPR!$A:$A,0),4),""),"")</f>
        <v/>
      </c>
      <c r="H274">
        <f>IFERROR(IF(ISNUMBER(INDEX(SPPR!$E:$Z,MATCH($A274,SPPR!$A:$A,0),5)),$C274*INDEX(SPPR!$E:$Z,MATCH($A274,SPPR!$A:$A,0),5),""),"")</f>
        <v/>
      </c>
      <c r="I274">
        <f>IFERROR(IF(ISNUMBER(INDEX(SPPR!$E:$Z,MATCH($A274,SPPR!$A:$A,0),6)),$C274*INDEX(SPPR!$E:$Z,MATCH($A274,SPPR!$A:$A,0),6),""),"")</f>
        <v/>
      </c>
      <c r="J274">
        <f>IFERROR(IF(ISNUMBER(INDEX(SPPR!$E:$Z,MATCH($A274,SPPR!$A:$A,0),7)),$C274*INDEX(SPPR!$E:$Z,MATCH($A274,SPPR!$A:$A,0),7),""),"")</f>
        <v/>
      </c>
      <c r="K274">
        <f>IFERROR(IF(ISNUMBER(INDEX(SPPR!$E:$Z,MATCH($A274,SPPR!$A:$A,0),8)),$C274*INDEX(SPPR!$E:$Z,MATCH($A274,SPPR!$A:$A,0),8),""),"")</f>
        <v/>
      </c>
      <c r="L274">
        <f>IFERROR(IF(ISNUMBER(INDEX(SPPR!$E:$Z,MATCH($A274,SPPR!$A:$A,0),9)),$C274*INDEX(SPPR!$E:$Z,MATCH($A274,SPPR!$A:$A,0),9),""),"")</f>
        <v/>
      </c>
      <c r="M274">
        <f>IFERROR(IF(ISNUMBER(INDEX(SPPR!$E:$Z,MATCH($A274,SPPR!$A:$A,0),10)),$C274*INDEX(SPPR!$E:$Z,MATCH($A274,SPPR!$A:$A,0),10),""),"")</f>
        <v/>
      </c>
      <c r="N274">
        <f>IFERROR(IF(ISNUMBER(INDEX(SPPR!$E:$Z,MATCH($A274,SPPR!$A:$A,0),11)),$C274*INDEX(SPPR!$E:$Z,MATCH($A274,SPPR!$A:$A,0),11),""),"")</f>
        <v/>
      </c>
      <c r="O274">
        <f>IFERROR(IF(ISNUMBER(INDEX(SPPR!$E:$Z,MATCH($A274,SPPR!$A:$A,0),12)),$C274*INDEX(SPPR!$E:$Z,MATCH($A274,SPPR!$A:$A,0),12),""),"")</f>
        <v/>
      </c>
      <c r="P274">
        <f>IFERROR(IF(ISNUMBER(INDEX(SPPR!$E:$Z,MATCH($A274,SPPR!$A:$A,0),13)),$C274*INDEX(SPPR!$E:$Z,MATCH($A274,SPPR!$A:$A,0),13),""),"")</f>
        <v/>
      </c>
      <c r="Q274">
        <f>IFERROR(IF(ISNUMBER(INDEX(SPPR!$E:$Z,MATCH($A274,SPPR!$A:$A,0),14)),$C274*INDEX(SPPR!$E:$Z,MATCH($A274,SPPR!$A:$A,0),14),""),"")</f>
        <v/>
      </c>
      <c r="R274">
        <f>IFERROR(IF(ISNUMBER(INDEX(SPPR!$E:$Z,MATCH($A274,SPPR!$A:$A,0),15)),$C274*INDEX(SPPR!$E:$Z,MATCH($A274,SPPR!$A:$A,0),15),""),"")</f>
        <v/>
      </c>
      <c r="S274">
        <f>IFERROR(IF(ISNUMBER(INDEX(SPPR!$E:$Z,MATCH($A274,SPPR!$A:$A,0),16)),$C274*INDEX(SPPR!$E:$Z,MATCH($A274,SPPR!$A:$A,0),16),""),"")</f>
        <v/>
      </c>
      <c r="T274">
        <f>IFERROR(IF(ISNUMBER(INDEX(SPPR!$E:$Z,MATCH($A274,SPPR!$A:$A,0),17)),$C274*INDEX(SPPR!$E:$Z,MATCH($A274,SPPR!$A:$A,0),17),""),"")</f>
        <v/>
      </c>
      <c r="U274">
        <f>IFERROR(IF(ISNUMBER(INDEX(SPPR!$E:$Z,MATCH($A274,SPPR!$A:$A,0),18)),$C274*INDEX(SPPR!$E:$Z,MATCH($A274,SPPR!$A:$A,0),18),""),"")</f>
        <v/>
      </c>
      <c r="V274">
        <f>IFERROR(IF(ISNUMBER(INDEX(SPPR!$E:$Z,MATCH($A274,SPPR!$A:$A,0),19)),$C274*INDEX(SPPR!$E:$Z,MATCH($A274,SPPR!$A:$A,0),19),""),"")</f>
        <v/>
      </c>
      <c r="W274">
        <f>IFERROR(IF(ISNUMBER(INDEX(SPPR!$E:$Z,MATCH($A274,SPPR!$A:$A,0),20)),$C274*INDEX(SPPR!$E:$Z,MATCH($A274,SPPR!$A:$A,0),20),""),"")</f>
        <v/>
      </c>
      <c r="X274">
        <f>IFERROR(IF(ISNUMBER(INDEX(SPPR!$E:$Z,MATCH($A274,SPPR!$A:$A,0),21)),$C274*INDEX(SPPR!$E:$Z,MATCH($A274,SPPR!$A:$A,0),21),""),"")</f>
        <v/>
      </c>
      <c r="Y274">
        <f>IFERROR(IF(ISNUMBER(INDEX(SPPR!$E:$Z,MATCH($A274,SPPR!$A:$A,0),22)),$C274*INDEX(SPPR!$E:$Z,MATCH($A274,SPPR!$A:$A,0),22),""),"")</f>
        <v/>
      </c>
    </row>
    <row r="275">
      <c r="A275" t="inlineStr">
        <is>
          <t>Thunnus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IFERROR(IF(ISNUMBER(INDEX(SPPR!$E:$Z,MATCH($A275,SPPR!$A:$A,0),1)),$C275*INDEX(SPPR!$E:$Z,MATCH($A275,SPPR!$A:$A,0),1),""),"")</f>
        <v/>
      </c>
      <c r="E275">
        <f>IFERROR(IF(ISNUMBER(INDEX(SPPR!$E:$Z,MATCH($A275,SPPR!$A:$A,0),2)),$C275*INDEX(SPPR!$E:$Z,MATCH($A275,SPPR!$A:$A,0),2),""),"")</f>
        <v/>
      </c>
      <c r="F275">
        <f>IFERROR(IF(ISNUMBER(INDEX(SPPR!$E:$Z,MATCH($A275,SPPR!$A:$A,0),3)),$C275*INDEX(SPPR!$E:$Z,MATCH($A275,SPPR!$A:$A,0),3),""),"")</f>
        <v/>
      </c>
      <c r="G275">
        <f>IFERROR(IF(ISNUMBER(INDEX(SPPR!$E:$Z,MATCH($A275,SPPR!$A:$A,0),4)),$C275*INDEX(SPPR!$E:$Z,MATCH($A275,SPPR!$A:$A,0),4),""),"")</f>
        <v/>
      </c>
      <c r="H275">
        <f>IFERROR(IF(ISNUMBER(INDEX(SPPR!$E:$Z,MATCH($A275,SPPR!$A:$A,0),5)),$C275*INDEX(SPPR!$E:$Z,MATCH($A275,SPPR!$A:$A,0),5),""),"")</f>
        <v/>
      </c>
      <c r="I275">
        <f>IFERROR(IF(ISNUMBER(INDEX(SPPR!$E:$Z,MATCH($A275,SPPR!$A:$A,0),6)),$C275*INDEX(SPPR!$E:$Z,MATCH($A275,SPPR!$A:$A,0),6),""),"")</f>
        <v/>
      </c>
      <c r="J275">
        <f>IFERROR(IF(ISNUMBER(INDEX(SPPR!$E:$Z,MATCH($A275,SPPR!$A:$A,0),7)),$C275*INDEX(SPPR!$E:$Z,MATCH($A275,SPPR!$A:$A,0),7),""),"")</f>
        <v/>
      </c>
      <c r="K275">
        <f>IFERROR(IF(ISNUMBER(INDEX(SPPR!$E:$Z,MATCH($A275,SPPR!$A:$A,0),8)),$C275*INDEX(SPPR!$E:$Z,MATCH($A275,SPPR!$A:$A,0),8),""),"")</f>
        <v/>
      </c>
      <c r="L275">
        <f>IFERROR(IF(ISNUMBER(INDEX(SPPR!$E:$Z,MATCH($A275,SPPR!$A:$A,0),9)),$C275*INDEX(SPPR!$E:$Z,MATCH($A275,SPPR!$A:$A,0),9),""),"")</f>
        <v/>
      </c>
      <c r="M275">
        <f>IFERROR(IF(ISNUMBER(INDEX(SPPR!$E:$Z,MATCH($A275,SPPR!$A:$A,0),10)),$C275*INDEX(SPPR!$E:$Z,MATCH($A275,SPPR!$A:$A,0),10),""),"")</f>
        <v/>
      </c>
      <c r="N275">
        <f>IFERROR(IF(ISNUMBER(INDEX(SPPR!$E:$Z,MATCH($A275,SPPR!$A:$A,0),11)),$C275*INDEX(SPPR!$E:$Z,MATCH($A275,SPPR!$A:$A,0),11),""),"")</f>
        <v/>
      </c>
      <c r="O275">
        <f>IFERROR(IF(ISNUMBER(INDEX(SPPR!$E:$Z,MATCH($A275,SPPR!$A:$A,0),12)),$C275*INDEX(SPPR!$E:$Z,MATCH($A275,SPPR!$A:$A,0),12),""),"")</f>
        <v/>
      </c>
      <c r="P275">
        <f>IFERROR(IF(ISNUMBER(INDEX(SPPR!$E:$Z,MATCH($A275,SPPR!$A:$A,0),13)),$C275*INDEX(SPPR!$E:$Z,MATCH($A275,SPPR!$A:$A,0),13),""),"")</f>
        <v/>
      </c>
      <c r="Q275">
        <f>IFERROR(IF(ISNUMBER(INDEX(SPPR!$E:$Z,MATCH($A275,SPPR!$A:$A,0),14)),$C275*INDEX(SPPR!$E:$Z,MATCH($A275,SPPR!$A:$A,0),14),""),"")</f>
        <v/>
      </c>
      <c r="R275">
        <f>IFERROR(IF(ISNUMBER(INDEX(SPPR!$E:$Z,MATCH($A275,SPPR!$A:$A,0),15)),$C275*INDEX(SPPR!$E:$Z,MATCH($A275,SPPR!$A:$A,0),15),""),"")</f>
        <v/>
      </c>
      <c r="S275">
        <f>IFERROR(IF(ISNUMBER(INDEX(SPPR!$E:$Z,MATCH($A275,SPPR!$A:$A,0),16)),$C275*INDEX(SPPR!$E:$Z,MATCH($A275,SPPR!$A:$A,0),16),""),"")</f>
        <v/>
      </c>
      <c r="T275">
        <f>IFERROR(IF(ISNUMBER(INDEX(SPPR!$E:$Z,MATCH($A275,SPPR!$A:$A,0),17)),$C275*INDEX(SPPR!$E:$Z,MATCH($A275,SPPR!$A:$A,0),17),""),"")</f>
        <v/>
      </c>
      <c r="U275">
        <f>IFERROR(IF(ISNUMBER(INDEX(SPPR!$E:$Z,MATCH($A275,SPPR!$A:$A,0),18)),$C275*INDEX(SPPR!$E:$Z,MATCH($A275,SPPR!$A:$A,0),18),""),"")</f>
        <v/>
      </c>
      <c r="V275">
        <f>IFERROR(IF(ISNUMBER(INDEX(SPPR!$E:$Z,MATCH($A275,SPPR!$A:$A,0),19)),$C275*INDEX(SPPR!$E:$Z,MATCH($A275,SPPR!$A:$A,0),19),""),"")</f>
        <v/>
      </c>
      <c r="W275">
        <f>IFERROR(IF(ISNUMBER(INDEX(SPPR!$E:$Z,MATCH($A275,SPPR!$A:$A,0),20)),$C275*INDEX(SPPR!$E:$Z,MATCH($A275,SPPR!$A:$A,0),20),""),"")</f>
        <v/>
      </c>
      <c r="X275">
        <f>IFERROR(IF(ISNUMBER(INDEX(SPPR!$E:$Z,MATCH($A275,SPPR!$A:$A,0),21)),$C275*INDEX(SPPR!$E:$Z,MATCH($A275,SPPR!$A:$A,0),21),""),"")</f>
        <v/>
      </c>
      <c r="Y275">
        <f>IFERROR(IF(ISNUMBER(INDEX(SPPR!$E:$Z,MATCH($A275,SPPR!$A:$A,0),22)),$C275*INDEX(SPPR!$E:$Z,MATCH($A275,SPPR!$A:$A,0),22),""),"")</f>
        <v/>
      </c>
    </row>
    <row r="276">
      <c r="A276" t="inlineStr">
        <is>
          <t>Ruditapes philippinarum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IFERROR(IF(ISNUMBER(INDEX(SPPR!$E:$Z,MATCH($A276,SPPR!$A:$A,0),1)),$C276*INDEX(SPPR!$E:$Z,MATCH($A276,SPPR!$A:$A,0),1),""),"")</f>
        <v/>
      </c>
      <c r="E276">
        <f>IFERROR(IF(ISNUMBER(INDEX(SPPR!$E:$Z,MATCH($A276,SPPR!$A:$A,0),2)),$C276*INDEX(SPPR!$E:$Z,MATCH($A276,SPPR!$A:$A,0),2),""),"")</f>
        <v/>
      </c>
      <c r="F276">
        <f>IFERROR(IF(ISNUMBER(INDEX(SPPR!$E:$Z,MATCH($A276,SPPR!$A:$A,0),3)),$C276*INDEX(SPPR!$E:$Z,MATCH($A276,SPPR!$A:$A,0),3),""),"")</f>
        <v/>
      </c>
      <c r="G276">
        <f>IFERROR(IF(ISNUMBER(INDEX(SPPR!$E:$Z,MATCH($A276,SPPR!$A:$A,0),4)),$C276*INDEX(SPPR!$E:$Z,MATCH($A276,SPPR!$A:$A,0),4),""),"")</f>
        <v/>
      </c>
      <c r="H276">
        <f>IFERROR(IF(ISNUMBER(INDEX(SPPR!$E:$Z,MATCH($A276,SPPR!$A:$A,0),5)),$C276*INDEX(SPPR!$E:$Z,MATCH($A276,SPPR!$A:$A,0),5),""),"")</f>
        <v/>
      </c>
      <c r="I276">
        <f>IFERROR(IF(ISNUMBER(INDEX(SPPR!$E:$Z,MATCH($A276,SPPR!$A:$A,0),6)),$C276*INDEX(SPPR!$E:$Z,MATCH($A276,SPPR!$A:$A,0),6),""),"")</f>
        <v/>
      </c>
      <c r="J276">
        <f>IFERROR(IF(ISNUMBER(INDEX(SPPR!$E:$Z,MATCH($A276,SPPR!$A:$A,0),7)),$C276*INDEX(SPPR!$E:$Z,MATCH($A276,SPPR!$A:$A,0),7),""),"")</f>
        <v/>
      </c>
      <c r="K276">
        <f>IFERROR(IF(ISNUMBER(INDEX(SPPR!$E:$Z,MATCH($A276,SPPR!$A:$A,0),8)),$C276*INDEX(SPPR!$E:$Z,MATCH($A276,SPPR!$A:$A,0),8),""),"")</f>
        <v/>
      </c>
      <c r="L276">
        <f>IFERROR(IF(ISNUMBER(INDEX(SPPR!$E:$Z,MATCH($A276,SPPR!$A:$A,0),9)),$C276*INDEX(SPPR!$E:$Z,MATCH($A276,SPPR!$A:$A,0),9),""),"")</f>
        <v/>
      </c>
      <c r="M276">
        <f>IFERROR(IF(ISNUMBER(INDEX(SPPR!$E:$Z,MATCH($A276,SPPR!$A:$A,0),10)),$C276*INDEX(SPPR!$E:$Z,MATCH($A276,SPPR!$A:$A,0),10),""),"")</f>
        <v/>
      </c>
      <c r="N276">
        <f>IFERROR(IF(ISNUMBER(INDEX(SPPR!$E:$Z,MATCH($A276,SPPR!$A:$A,0),11)),$C276*INDEX(SPPR!$E:$Z,MATCH($A276,SPPR!$A:$A,0),11),""),"")</f>
        <v/>
      </c>
      <c r="O276">
        <f>IFERROR(IF(ISNUMBER(INDEX(SPPR!$E:$Z,MATCH($A276,SPPR!$A:$A,0),12)),$C276*INDEX(SPPR!$E:$Z,MATCH($A276,SPPR!$A:$A,0),12),""),"")</f>
        <v/>
      </c>
      <c r="P276">
        <f>IFERROR(IF(ISNUMBER(INDEX(SPPR!$E:$Z,MATCH($A276,SPPR!$A:$A,0),13)),$C276*INDEX(SPPR!$E:$Z,MATCH($A276,SPPR!$A:$A,0),13),""),"")</f>
        <v/>
      </c>
      <c r="Q276">
        <f>IFERROR(IF(ISNUMBER(INDEX(SPPR!$E:$Z,MATCH($A276,SPPR!$A:$A,0),14)),$C276*INDEX(SPPR!$E:$Z,MATCH($A276,SPPR!$A:$A,0),14),""),"")</f>
        <v/>
      </c>
      <c r="R276">
        <f>IFERROR(IF(ISNUMBER(INDEX(SPPR!$E:$Z,MATCH($A276,SPPR!$A:$A,0),15)),$C276*INDEX(SPPR!$E:$Z,MATCH($A276,SPPR!$A:$A,0),15),""),"")</f>
        <v/>
      </c>
      <c r="S276">
        <f>IFERROR(IF(ISNUMBER(INDEX(SPPR!$E:$Z,MATCH($A276,SPPR!$A:$A,0),16)),$C276*INDEX(SPPR!$E:$Z,MATCH($A276,SPPR!$A:$A,0),16),""),"")</f>
        <v/>
      </c>
      <c r="T276">
        <f>IFERROR(IF(ISNUMBER(INDEX(SPPR!$E:$Z,MATCH($A276,SPPR!$A:$A,0),17)),$C276*INDEX(SPPR!$E:$Z,MATCH($A276,SPPR!$A:$A,0),17),""),"")</f>
        <v/>
      </c>
      <c r="U276">
        <f>IFERROR(IF(ISNUMBER(INDEX(SPPR!$E:$Z,MATCH($A276,SPPR!$A:$A,0),18)),$C276*INDEX(SPPR!$E:$Z,MATCH($A276,SPPR!$A:$A,0),18),""),"")</f>
        <v/>
      </c>
      <c r="V276">
        <f>IFERROR(IF(ISNUMBER(INDEX(SPPR!$E:$Z,MATCH($A276,SPPR!$A:$A,0),19)),$C276*INDEX(SPPR!$E:$Z,MATCH($A276,SPPR!$A:$A,0),19),""),"")</f>
        <v/>
      </c>
      <c r="W276">
        <f>IFERROR(IF(ISNUMBER(INDEX(SPPR!$E:$Z,MATCH($A276,SPPR!$A:$A,0),20)),$C276*INDEX(SPPR!$E:$Z,MATCH($A276,SPPR!$A:$A,0),20),""),"")</f>
        <v/>
      </c>
      <c r="X276">
        <f>IFERROR(IF(ISNUMBER(INDEX(SPPR!$E:$Z,MATCH($A276,SPPR!$A:$A,0),21)),$C276*INDEX(SPPR!$E:$Z,MATCH($A276,SPPR!$A:$A,0),21),""),"")</f>
        <v/>
      </c>
      <c r="Y276">
        <f>IFERROR(IF(ISNUMBER(INDEX(SPPR!$E:$Z,MATCH($A276,SPPR!$A:$A,0),22)),$C276*INDEX(SPPR!$E:$Z,MATCH($A276,SPPR!$A:$A,0),22),""),"")</f>
        <v/>
      </c>
    </row>
    <row r="277">
      <c r="A277" t="inlineStr">
        <is>
          <t>Metapenaeus tenuipes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IFERROR(IF(ISNUMBER(INDEX(SPPR!$E:$Z,MATCH($A277,SPPR!$A:$A,0),1)),$C277*INDEX(SPPR!$E:$Z,MATCH($A277,SPPR!$A:$A,0),1),""),"")</f>
        <v/>
      </c>
      <c r="E277">
        <f>IFERROR(IF(ISNUMBER(INDEX(SPPR!$E:$Z,MATCH($A277,SPPR!$A:$A,0),2)),$C277*INDEX(SPPR!$E:$Z,MATCH($A277,SPPR!$A:$A,0),2),""),"")</f>
        <v/>
      </c>
      <c r="F277">
        <f>IFERROR(IF(ISNUMBER(INDEX(SPPR!$E:$Z,MATCH($A277,SPPR!$A:$A,0),3)),$C277*INDEX(SPPR!$E:$Z,MATCH($A277,SPPR!$A:$A,0),3),""),"")</f>
        <v/>
      </c>
      <c r="G277">
        <f>IFERROR(IF(ISNUMBER(INDEX(SPPR!$E:$Z,MATCH($A277,SPPR!$A:$A,0),4)),$C277*INDEX(SPPR!$E:$Z,MATCH($A277,SPPR!$A:$A,0),4),""),"")</f>
        <v/>
      </c>
      <c r="H277">
        <f>IFERROR(IF(ISNUMBER(INDEX(SPPR!$E:$Z,MATCH($A277,SPPR!$A:$A,0),5)),$C277*INDEX(SPPR!$E:$Z,MATCH($A277,SPPR!$A:$A,0),5),""),"")</f>
        <v/>
      </c>
      <c r="I277">
        <f>IFERROR(IF(ISNUMBER(INDEX(SPPR!$E:$Z,MATCH($A277,SPPR!$A:$A,0),6)),$C277*INDEX(SPPR!$E:$Z,MATCH($A277,SPPR!$A:$A,0),6),""),"")</f>
        <v/>
      </c>
      <c r="J277">
        <f>IFERROR(IF(ISNUMBER(INDEX(SPPR!$E:$Z,MATCH($A277,SPPR!$A:$A,0),7)),$C277*INDEX(SPPR!$E:$Z,MATCH($A277,SPPR!$A:$A,0),7),""),"")</f>
        <v/>
      </c>
      <c r="K277">
        <f>IFERROR(IF(ISNUMBER(INDEX(SPPR!$E:$Z,MATCH($A277,SPPR!$A:$A,0),8)),$C277*INDEX(SPPR!$E:$Z,MATCH($A277,SPPR!$A:$A,0),8),""),"")</f>
        <v/>
      </c>
      <c r="L277">
        <f>IFERROR(IF(ISNUMBER(INDEX(SPPR!$E:$Z,MATCH($A277,SPPR!$A:$A,0),9)),$C277*INDEX(SPPR!$E:$Z,MATCH($A277,SPPR!$A:$A,0),9),""),"")</f>
        <v/>
      </c>
      <c r="M277">
        <f>IFERROR(IF(ISNUMBER(INDEX(SPPR!$E:$Z,MATCH($A277,SPPR!$A:$A,0),10)),$C277*INDEX(SPPR!$E:$Z,MATCH($A277,SPPR!$A:$A,0),10),""),"")</f>
        <v/>
      </c>
      <c r="N277">
        <f>IFERROR(IF(ISNUMBER(INDEX(SPPR!$E:$Z,MATCH($A277,SPPR!$A:$A,0),11)),$C277*INDEX(SPPR!$E:$Z,MATCH($A277,SPPR!$A:$A,0),11),""),"")</f>
        <v/>
      </c>
      <c r="O277">
        <f>IFERROR(IF(ISNUMBER(INDEX(SPPR!$E:$Z,MATCH($A277,SPPR!$A:$A,0),12)),$C277*INDEX(SPPR!$E:$Z,MATCH($A277,SPPR!$A:$A,0),12),""),"")</f>
        <v/>
      </c>
      <c r="P277">
        <f>IFERROR(IF(ISNUMBER(INDEX(SPPR!$E:$Z,MATCH($A277,SPPR!$A:$A,0),13)),$C277*INDEX(SPPR!$E:$Z,MATCH($A277,SPPR!$A:$A,0),13),""),"")</f>
        <v/>
      </c>
      <c r="Q277">
        <f>IFERROR(IF(ISNUMBER(INDEX(SPPR!$E:$Z,MATCH($A277,SPPR!$A:$A,0),14)),$C277*INDEX(SPPR!$E:$Z,MATCH($A277,SPPR!$A:$A,0),14),""),"")</f>
        <v/>
      </c>
      <c r="R277">
        <f>IFERROR(IF(ISNUMBER(INDEX(SPPR!$E:$Z,MATCH($A277,SPPR!$A:$A,0),15)),$C277*INDEX(SPPR!$E:$Z,MATCH($A277,SPPR!$A:$A,0),15),""),"")</f>
        <v/>
      </c>
      <c r="S277">
        <f>IFERROR(IF(ISNUMBER(INDEX(SPPR!$E:$Z,MATCH($A277,SPPR!$A:$A,0),16)),$C277*INDEX(SPPR!$E:$Z,MATCH($A277,SPPR!$A:$A,0),16),""),"")</f>
        <v/>
      </c>
      <c r="T277">
        <f>IFERROR(IF(ISNUMBER(INDEX(SPPR!$E:$Z,MATCH($A277,SPPR!$A:$A,0),17)),$C277*INDEX(SPPR!$E:$Z,MATCH($A277,SPPR!$A:$A,0),17),""),"")</f>
        <v/>
      </c>
      <c r="U277">
        <f>IFERROR(IF(ISNUMBER(INDEX(SPPR!$E:$Z,MATCH($A277,SPPR!$A:$A,0),18)),$C277*INDEX(SPPR!$E:$Z,MATCH($A277,SPPR!$A:$A,0),18),""),"")</f>
        <v/>
      </c>
      <c r="V277">
        <f>IFERROR(IF(ISNUMBER(INDEX(SPPR!$E:$Z,MATCH($A277,SPPR!$A:$A,0),19)),$C277*INDEX(SPPR!$E:$Z,MATCH($A277,SPPR!$A:$A,0),19),""),"")</f>
        <v/>
      </c>
      <c r="W277">
        <f>IFERROR(IF(ISNUMBER(INDEX(SPPR!$E:$Z,MATCH($A277,SPPR!$A:$A,0),20)),$C277*INDEX(SPPR!$E:$Z,MATCH($A277,SPPR!$A:$A,0),20),""),"")</f>
        <v/>
      </c>
      <c r="X277">
        <f>IFERROR(IF(ISNUMBER(INDEX(SPPR!$E:$Z,MATCH($A277,SPPR!$A:$A,0),21)),$C277*INDEX(SPPR!$E:$Z,MATCH($A277,SPPR!$A:$A,0),21),""),"")</f>
        <v/>
      </c>
      <c r="Y277">
        <f>IFERROR(IF(ISNUMBER(INDEX(SPPR!$E:$Z,MATCH($A277,SPPR!$A:$A,0),22)),$C277*INDEX(SPPR!$E:$Z,MATCH($A277,SPPR!$A:$A,0),22),""),"")</f>
        <v/>
      </c>
    </row>
    <row r="278">
      <c r="A278" t="inlineStr">
        <is>
          <t>Acanthocybium solandri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IFERROR(IF(ISNUMBER(INDEX(SPPR!$E:$Z,MATCH($A278,SPPR!$A:$A,0),1)),$C278*INDEX(SPPR!$E:$Z,MATCH($A278,SPPR!$A:$A,0),1),""),"")</f>
        <v/>
      </c>
      <c r="E278">
        <f>IFERROR(IF(ISNUMBER(INDEX(SPPR!$E:$Z,MATCH($A278,SPPR!$A:$A,0),2)),$C278*INDEX(SPPR!$E:$Z,MATCH($A278,SPPR!$A:$A,0),2),""),"")</f>
        <v/>
      </c>
      <c r="F278">
        <f>IFERROR(IF(ISNUMBER(INDEX(SPPR!$E:$Z,MATCH($A278,SPPR!$A:$A,0),3)),$C278*INDEX(SPPR!$E:$Z,MATCH($A278,SPPR!$A:$A,0),3),""),"")</f>
        <v/>
      </c>
      <c r="G278">
        <f>IFERROR(IF(ISNUMBER(INDEX(SPPR!$E:$Z,MATCH($A278,SPPR!$A:$A,0),4)),$C278*INDEX(SPPR!$E:$Z,MATCH($A278,SPPR!$A:$A,0),4),""),"")</f>
        <v/>
      </c>
      <c r="H278">
        <f>IFERROR(IF(ISNUMBER(INDEX(SPPR!$E:$Z,MATCH($A278,SPPR!$A:$A,0),5)),$C278*INDEX(SPPR!$E:$Z,MATCH($A278,SPPR!$A:$A,0),5),""),"")</f>
        <v/>
      </c>
      <c r="I278">
        <f>IFERROR(IF(ISNUMBER(INDEX(SPPR!$E:$Z,MATCH($A278,SPPR!$A:$A,0),6)),$C278*INDEX(SPPR!$E:$Z,MATCH($A278,SPPR!$A:$A,0),6),""),"")</f>
        <v/>
      </c>
      <c r="J278">
        <f>IFERROR(IF(ISNUMBER(INDEX(SPPR!$E:$Z,MATCH($A278,SPPR!$A:$A,0),7)),$C278*INDEX(SPPR!$E:$Z,MATCH($A278,SPPR!$A:$A,0),7),""),"")</f>
        <v/>
      </c>
      <c r="K278">
        <f>IFERROR(IF(ISNUMBER(INDEX(SPPR!$E:$Z,MATCH($A278,SPPR!$A:$A,0),8)),$C278*INDEX(SPPR!$E:$Z,MATCH($A278,SPPR!$A:$A,0),8),""),"")</f>
        <v/>
      </c>
      <c r="L278">
        <f>IFERROR(IF(ISNUMBER(INDEX(SPPR!$E:$Z,MATCH($A278,SPPR!$A:$A,0),9)),$C278*INDEX(SPPR!$E:$Z,MATCH($A278,SPPR!$A:$A,0),9),""),"")</f>
        <v/>
      </c>
      <c r="M278">
        <f>IFERROR(IF(ISNUMBER(INDEX(SPPR!$E:$Z,MATCH($A278,SPPR!$A:$A,0),10)),$C278*INDEX(SPPR!$E:$Z,MATCH($A278,SPPR!$A:$A,0),10),""),"")</f>
        <v/>
      </c>
      <c r="N278">
        <f>IFERROR(IF(ISNUMBER(INDEX(SPPR!$E:$Z,MATCH($A278,SPPR!$A:$A,0),11)),$C278*INDEX(SPPR!$E:$Z,MATCH($A278,SPPR!$A:$A,0),11),""),"")</f>
        <v/>
      </c>
      <c r="O278">
        <f>IFERROR(IF(ISNUMBER(INDEX(SPPR!$E:$Z,MATCH($A278,SPPR!$A:$A,0),12)),$C278*INDEX(SPPR!$E:$Z,MATCH($A278,SPPR!$A:$A,0),12),""),"")</f>
        <v/>
      </c>
      <c r="P278">
        <f>IFERROR(IF(ISNUMBER(INDEX(SPPR!$E:$Z,MATCH($A278,SPPR!$A:$A,0),13)),$C278*INDEX(SPPR!$E:$Z,MATCH($A278,SPPR!$A:$A,0),13),""),"")</f>
        <v/>
      </c>
      <c r="Q278">
        <f>IFERROR(IF(ISNUMBER(INDEX(SPPR!$E:$Z,MATCH($A278,SPPR!$A:$A,0),14)),$C278*INDEX(SPPR!$E:$Z,MATCH($A278,SPPR!$A:$A,0),14),""),"")</f>
        <v/>
      </c>
      <c r="R278">
        <f>IFERROR(IF(ISNUMBER(INDEX(SPPR!$E:$Z,MATCH($A278,SPPR!$A:$A,0),15)),$C278*INDEX(SPPR!$E:$Z,MATCH($A278,SPPR!$A:$A,0),15),""),"")</f>
        <v/>
      </c>
      <c r="S278">
        <f>IFERROR(IF(ISNUMBER(INDEX(SPPR!$E:$Z,MATCH($A278,SPPR!$A:$A,0),16)),$C278*INDEX(SPPR!$E:$Z,MATCH($A278,SPPR!$A:$A,0),16),""),"")</f>
        <v/>
      </c>
      <c r="T278">
        <f>IFERROR(IF(ISNUMBER(INDEX(SPPR!$E:$Z,MATCH($A278,SPPR!$A:$A,0),17)),$C278*INDEX(SPPR!$E:$Z,MATCH($A278,SPPR!$A:$A,0),17),""),"")</f>
        <v/>
      </c>
      <c r="U278">
        <f>IFERROR(IF(ISNUMBER(INDEX(SPPR!$E:$Z,MATCH($A278,SPPR!$A:$A,0),18)),$C278*INDEX(SPPR!$E:$Z,MATCH($A278,SPPR!$A:$A,0),18),""),"")</f>
        <v/>
      </c>
      <c r="V278">
        <f>IFERROR(IF(ISNUMBER(INDEX(SPPR!$E:$Z,MATCH($A278,SPPR!$A:$A,0),19)),$C278*INDEX(SPPR!$E:$Z,MATCH($A278,SPPR!$A:$A,0),19),""),"")</f>
        <v/>
      </c>
      <c r="W278">
        <f>IFERROR(IF(ISNUMBER(INDEX(SPPR!$E:$Z,MATCH($A278,SPPR!$A:$A,0),20)),$C278*INDEX(SPPR!$E:$Z,MATCH($A278,SPPR!$A:$A,0),20),""),"")</f>
        <v/>
      </c>
      <c r="X278">
        <f>IFERROR(IF(ISNUMBER(INDEX(SPPR!$E:$Z,MATCH($A278,SPPR!$A:$A,0),21)),$C278*INDEX(SPPR!$E:$Z,MATCH($A278,SPPR!$A:$A,0),21),""),"")</f>
        <v/>
      </c>
      <c r="Y278">
        <f>IFERROR(IF(ISNUMBER(INDEX(SPPR!$E:$Z,MATCH($A278,SPPR!$A:$A,0),22)),$C278*INDEX(SPPR!$E:$Z,MATCH($A278,SPPR!$A:$A,0),22),""),"")</f>
        <v/>
      </c>
    </row>
    <row r="279">
      <c r="A279" t="inlineStr">
        <is>
          <t>Acanthopagrus schlegelii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IFERROR(IF(ISNUMBER(INDEX(SPPR!$E:$Z,MATCH($A279,SPPR!$A:$A,0),1)),$C279*INDEX(SPPR!$E:$Z,MATCH($A279,SPPR!$A:$A,0),1),""),"")</f>
        <v/>
      </c>
      <c r="E279">
        <f>IFERROR(IF(ISNUMBER(INDEX(SPPR!$E:$Z,MATCH($A279,SPPR!$A:$A,0),2)),$C279*INDEX(SPPR!$E:$Z,MATCH($A279,SPPR!$A:$A,0),2),""),"")</f>
        <v/>
      </c>
      <c r="F279">
        <f>IFERROR(IF(ISNUMBER(INDEX(SPPR!$E:$Z,MATCH($A279,SPPR!$A:$A,0),3)),$C279*INDEX(SPPR!$E:$Z,MATCH($A279,SPPR!$A:$A,0),3),""),"")</f>
        <v/>
      </c>
      <c r="G279">
        <f>IFERROR(IF(ISNUMBER(INDEX(SPPR!$E:$Z,MATCH($A279,SPPR!$A:$A,0),4)),$C279*INDEX(SPPR!$E:$Z,MATCH($A279,SPPR!$A:$A,0),4),""),"")</f>
        <v/>
      </c>
      <c r="H279">
        <f>IFERROR(IF(ISNUMBER(INDEX(SPPR!$E:$Z,MATCH($A279,SPPR!$A:$A,0),5)),$C279*INDEX(SPPR!$E:$Z,MATCH($A279,SPPR!$A:$A,0),5),""),"")</f>
        <v/>
      </c>
      <c r="I279">
        <f>IFERROR(IF(ISNUMBER(INDEX(SPPR!$E:$Z,MATCH($A279,SPPR!$A:$A,0),6)),$C279*INDEX(SPPR!$E:$Z,MATCH($A279,SPPR!$A:$A,0),6),""),"")</f>
        <v/>
      </c>
      <c r="J279">
        <f>IFERROR(IF(ISNUMBER(INDEX(SPPR!$E:$Z,MATCH($A279,SPPR!$A:$A,0),7)),$C279*INDEX(SPPR!$E:$Z,MATCH($A279,SPPR!$A:$A,0),7),""),"")</f>
        <v/>
      </c>
      <c r="K279">
        <f>IFERROR(IF(ISNUMBER(INDEX(SPPR!$E:$Z,MATCH($A279,SPPR!$A:$A,0),8)),$C279*INDEX(SPPR!$E:$Z,MATCH($A279,SPPR!$A:$A,0),8),""),"")</f>
        <v/>
      </c>
      <c r="L279">
        <f>IFERROR(IF(ISNUMBER(INDEX(SPPR!$E:$Z,MATCH($A279,SPPR!$A:$A,0),9)),$C279*INDEX(SPPR!$E:$Z,MATCH($A279,SPPR!$A:$A,0),9),""),"")</f>
        <v/>
      </c>
      <c r="M279">
        <f>IFERROR(IF(ISNUMBER(INDEX(SPPR!$E:$Z,MATCH($A279,SPPR!$A:$A,0),10)),$C279*INDEX(SPPR!$E:$Z,MATCH($A279,SPPR!$A:$A,0),10),""),"")</f>
        <v/>
      </c>
      <c r="N279">
        <f>IFERROR(IF(ISNUMBER(INDEX(SPPR!$E:$Z,MATCH($A279,SPPR!$A:$A,0),11)),$C279*INDEX(SPPR!$E:$Z,MATCH($A279,SPPR!$A:$A,0),11),""),"")</f>
        <v/>
      </c>
      <c r="O279">
        <f>IFERROR(IF(ISNUMBER(INDEX(SPPR!$E:$Z,MATCH($A279,SPPR!$A:$A,0),12)),$C279*INDEX(SPPR!$E:$Z,MATCH($A279,SPPR!$A:$A,0),12),""),"")</f>
        <v/>
      </c>
      <c r="P279">
        <f>IFERROR(IF(ISNUMBER(INDEX(SPPR!$E:$Z,MATCH($A279,SPPR!$A:$A,0),13)),$C279*INDEX(SPPR!$E:$Z,MATCH($A279,SPPR!$A:$A,0),13),""),"")</f>
        <v/>
      </c>
      <c r="Q279">
        <f>IFERROR(IF(ISNUMBER(INDEX(SPPR!$E:$Z,MATCH($A279,SPPR!$A:$A,0),14)),$C279*INDEX(SPPR!$E:$Z,MATCH($A279,SPPR!$A:$A,0),14),""),"")</f>
        <v/>
      </c>
      <c r="R279">
        <f>IFERROR(IF(ISNUMBER(INDEX(SPPR!$E:$Z,MATCH($A279,SPPR!$A:$A,0),15)),$C279*INDEX(SPPR!$E:$Z,MATCH($A279,SPPR!$A:$A,0),15),""),"")</f>
        <v/>
      </c>
      <c r="S279">
        <f>IFERROR(IF(ISNUMBER(INDEX(SPPR!$E:$Z,MATCH($A279,SPPR!$A:$A,0),16)),$C279*INDEX(SPPR!$E:$Z,MATCH($A279,SPPR!$A:$A,0),16),""),"")</f>
        <v/>
      </c>
      <c r="T279">
        <f>IFERROR(IF(ISNUMBER(INDEX(SPPR!$E:$Z,MATCH($A279,SPPR!$A:$A,0),17)),$C279*INDEX(SPPR!$E:$Z,MATCH($A279,SPPR!$A:$A,0),17),""),"")</f>
        <v/>
      </c>
      <c r="U279">
        <f>IFERROR(IF(ISNUMBER(INDEX(SPPR!$E:$Z,MATCH($A279,SPPR!$A:$A,0),18)),$C279*INDEX(SPPR!$E:$Z,MATCH($A279,SPPR!$A:$A,0),18),""),"")</f>
        <v/>
      </c>
      <c r="V279">
        <f>IFERROR(IF(ISNUMBER(INDEX(SPPR!$E:$Z,MATCH($A279,SPPR!$A:$A,0),19)),$C279*INDEX(SPPR!$E:$Z,MATCH($A279,SPPR!$A:$A,0),19),""),"")</f>
        <v/>
      </c>
      <c r="W279">
        <f>IFERROR(IF(ISNUMBER(INDEX(SPPR!$E:$Z,MATCH($A279,SPPR!$A:$A,0),20)),$C279*INDEX(SPPR!$E:$Z,MATCH($A279,SPPR!$A:$A,0),20),""),"")</f>
        <v/>
      </c>
      <c r="X279">
        <f>IFERROR(IF(ISNUMBER(INDEX(SPPR!$E:$Z,MATCH($A279,SPPR!$A:$A,0),21)),$C279*INDEX(SPPR!$E:$Z,MATCH($A279,SPPR!$A:$A,0),21),""),"")</f>
        <v/>
      </c>
      <c r="Y279">
        <f>IFERROR(IF(ISNUMBER(INDEX(SPPR!$E:$Z,MATCH($A279,SPPR!$A:$A,0),22)),$C279*INDEX(SPPR!$E:$Z,MATCH($A279,SPPR!$A:$A,0),22),""),"")</f>
        <v/>
      </c>
    </row>
    <row r="280">
      <c r="A280" t="inlineStr">
        <is>
          <t>Lobotes surinamensis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IFERROR(IF(ISNUMBER(INDEX(SPPR!$E:$Z,MATCH($A280,SPPR!$A:$A,0),1)),$C280*INDEX(SPPR!$E:$Z,MATCH($A280,SPPR!$A:$A,0),1),""),"")</f>
        <v/>
      </c>
      <c r="E280">
        <f>IFERROR(IF(ISNUMBER(INDEX(SPPR!$E:$Z,MATCH($A280,SPPR!$A:$A,0),2)),$C280*INDEX(SPPR!$E:$Z,MATCH($A280,SPPR!$A:$A,0),2),""),"")</f>
        <v/>
      </c>
      <c r="F280">
        <f>IFERROR(IF(ISNUMBER(INDEX(SPPR!$E:$Z,MATCH($A280,SPPR!$A:$A,0),3)),$C280*INDEX(SPPR!$E:$Z,MATCH($A280,SPPR!$A:$A,0),3),""),"")</f>
        <v/>
      </c>
      <c r="G280">
        <f>IFERROR(IF(ISNUMBER(INDEX(SPPR!$E:$Z,MATCH($A280,SPPR!$A:$A,0),4)),$C280*INDEX(SPPR!$E:$Z,MATCH($A280,SPPR!$A:$A,0),4),""),"")</f>
        <v/>
      </c>
      <c r="H280">
        <f>IFERROR(IF(ISNUMBER(INDEX(SPPR!$E:$Z,MATCH($A280,SPPR!$A:$A,0),5)),$C280*INDEX(SPPR!$E:$Z,MATCH($A280,SPPR!$A:$A,0),5),""),"")</f>
        <v/>
      </c>
      <c r="I280">
        <f>IFERROR(IF(ISNUMBER(INDEX(SPPR!$E:$Z,MATCH($A280,SPPR!$A:$A,0),6)),$C280*INDEX(SPPR!$E:$Z,MATCH($A280,SPPR!$A:$A,0),6),""),"")</f>
        <v/>
      </c>
      <c r="J280">
        <f>IFERROR(IF(ISNUMBER(INDEX(SPPR!$E:$Z,MATCH($A280,SPPR!$A:$A,0),7)),$C280*INDEX(SPPR!$E:$Z,MATCH($A280,SPPR!$A:$A,0),7),""),"")</f>
        <v/>
      </c>
      <c r="K280">
        <f>IFERROR(IF(ISNUMBER(INDEX(SPPR!$E:$Z,MATCH($A280,SPPR!$A:$A,0),8)),$C280*INDEX(SPPR!$E:$Z,MATCH($A280,SPPR!$A:$A,0),8),""),"")</f>
        <v/>
      </c>
      <c r="L280">
        <f>IFERROR(IF(ISNUMBER(INDEX(SPPR!$E:$Z,MATCH($A280,SPPR!$A:$A,0),9)),$C280*INDEX(SPPR!$E:$Z,MATCH($A280,SPPR!$A:$A,0),9),""),"")</f>
        <v/>
      </c>
      <c r="M280">
        <f>IFERROR(IF(ISNUMBER(INDEX(SPPR!$E:$Z,MATCH($A280,SPPR!$A:$A,0),10)),$C280*INDEX(SPPR!$E:$Z,MATCH($A280,SPPR!$A:$A,0),10),""),"")</f>
        <v/>
      </c>
      <c r="N280">
        <f>IFERROR(IF(ISNUMBER(INDEX(SPPR!$E:$Z,MATCH($A280,SPPR!$A:$A,0),11)),$C280*INDEX(SPPR!$E:$Z,MATCH($A280,SPPR!$A:$A,0),11),""),"")</f>
        <v/>
      </c>
      <c r="O280">
        <f>IFERROR(IF(ISNUMBER(INDEX(SPPR!$E:$Z,MATCH($A280,SPPR!$A:$A,0),12)),$C280*INDEX(SPPR!$E:$Z,MATCH($A280,SPPR!$A:$A,0),12),""),"")</f>
        <v/>
      </c>
      <c r="P280">
        <f>IFERROR(IF(ISNUMBER(INDEX(SPPR!$E:$Z,MATCH($A280,SPPR!$A:$A,0),13)),$C280*INDEX(SPPR!$E:$Z,MATCH($A280,SPPR!$A:$A,0),13),""),"")</f>
        <v/>
      </c>
      <c r="Q280">
        <f>IFERROR(IF(ISNUMBER(INDEX(SPPR!$E:$Z,MATCH($A280,SPPR!$A:$A,0),14)),$C280*INDEX(SPPR!$E:$Z,MATCH($A280,SPPR!$A:$A,0),14),""),"")</f>
        <v/>
      </c>
      <c r="R280">
        <f>IFERROR(IF(ISNUMBER(INDEX(SPPR!$E:$Z,MATCH($A280,SPPR!$A:$A,0),15)),$C280*INDEX(SPPR!$E:$Z,MATCH($A280,SPPR!$A:$A,0),15),""),"")</f>
        <v/>
      </c>
      <c r="S280">
        <f>IFERROR(IF(ISNUMBER(INDEX(SPPR!$E:$Z,MATCH($A280,SPPR!$A:$A,0),16)),$C280*INDEX(SPPR!$E:$Z,MATCH($A280,SPPR!$A:$A,0),16),""),"")</f>
        <v/>
      </c>
      <c r="T280">
        <f>IFERROR(IF(ISNUMBER(INDEX(SPPR!$E:$Z,MATCH($A280,SPPR!$A:$A,0),17)),$C280*INDEX(SPPR!$E:$Z,MATCH($A280,SPPR!$A:$A,0),17),""),"")</f>
        <v/>
      </c>
      <c r="U280">
        <f>IFERROR(IF(ISNUMBER(INDEX(SPPR!$E:$Z,MATCH($A280,SPPR!$A:$A,0),18)),$C280*INDEX(SPPR!$E:$Z,MATCH($A280,SPPR!$A:$A,0),18),""),"")</f>
        <v/>
      </c>
      <c r="V280">
        <f>IFERROR(IF(ISNUMBER(INDEX(SPPR!$E:$Z,MATCH($A280,SPPR!$A:$A,0),19)),$C280*INDEX(SPPR!$E:$Z,MATCH($A280,SPPR!$A:$A,0),19),""),"")</f>
        <v/>
      </c>
      <c r="W280">
        <f>IFERROR(IF(ISNUMBER(INDEX(SPPR!$E:$Z,MATCH($A280,SPPR!$A:$A,0),20)),$C280*INDEX(SPPR!$E:$Z,MATCH($A280,SPPR!$A:$A,0),20),""),"")</f>
        <v/>
      </c>
      <c r="X280">
        <f>IFERROR(IF(ISNUMBER(INDEX(SPPR!$E:$Z,MATCH($A280,SPPR!$A:$A,0),21)),$C280*INDEX(SPPR!$E:$Z,MATCH($A280,SPPR!$A:$A,0),21),""),"")</f>
        <v/>
      </c>
      <c r="Y280">
        <f>IFERROR(IF(ISNUMBER(INDEX(SPPR!$E:$Z,MATCH($A280,SPPR!$A:$A,0),22)),$C280*INDEX(SPPR!$E:$Z,MATCH($A280,SPPR!$A:$A,0),22),""),"")</f>
        <v/>
      </c>
    </row>
    <row r="281">
      <c r="A281" t="inlineStr">
        <is>
          <t>Sepioteuthis lessoniana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IFERROR(IF(ISNUMBER(INDEX(SPPR!$E:$Z,MATCH($A281,SPPR!$A:$A,0),1)),$C281*INDEX(SPPR!$E:$Z,MATCH($A281,SPPR!$A:$A,0),1),""),"")</f>
        <v/>
      </c>
      <c r="E281">
        <f>IFERROR(IF(ISNUMBER(INDEX(SPPR!$E:$Z,MATCH($A281,SPPR!$A:$A,0),2)),$C281*INDEX(SPPR!$E:$Z,MATCH($A281,SPPR!$A:$A,0),2),""),"")</f>
        <v/>
      </c>
      <c r="F281">
        <f>IFERROR(IF(ISNUMBER(INDEX(SPPR!$E:$Z,MATCH($A281,SPPR!$A:$A,0),3)),$C281*INDEX(SPPR!$E:$Z,MATCH($A281,SPPR!$A:$A,0),3),""),"")</f>
        <v/>
      </c>
      <c r="G281">
        <f>IFERROR(IF(ISNUMBER(INDEX(SPPR!$E:$Z,MATCH($A281,SPPR!$A:$A,0),4)),$C281*INDEX(SPPR!$E:$Z,MATCH($A281,SPPR!$A:$A,0),4),""),"")</f>
        <v/>
      </c>
      <c r="H281">
        <f>IFERROR(IF(ISNUMBER(INDEX(SPPR!$E:$Z,MATCH($A281,SPPR!$A:$A,0),5)),$C281*INDEX(SPPR!$E:$Z,MATCH($A281,SPPR!$A:$A,0),5),""),"")</f>
        <v/>
      </c>
      <c r="I281">
        <f>IFERROR(IF(ISNUMBER(INDEX(SPPR!$E:$Z,MATCH($A281,SPPR!$A:$A,0),6)),$C281*INDEX(SPPR!$E:$Z,MATCH($A281,SPPR!$A:$A,0),6),""),"")</f>
        <v/>
      </c>
      <c r="J281">
        <f>IFERROR(IF(ISNUMBER(INDEX(SPPR!$E:$Z,MATCH($A281,SPPR!$A:$A,0),7)),$C281*INDEX(SPPR!$E:$Z,MATCH($A281,SPPR!$A:$A,0),7),""),"")</f>
        <v/>
      </c>
      <c r="K281">
        <f>IFERROR(IF(ISNUMBER(INDEX(SPPR!$E:$Z,MATCH($A281,SPPR!$A:$A,0),8)),$C281*INDEX(SPPR!$E:$Z,MATCH($A281,SPPR!$A:$A,0),8),""),"")</f>
        <v/>
      </c>
      <c r="L281">
        <f>IFERROR(IF(ISNUMBER(INDEX(SPPR!$E:$Z,MATCH($A281,SPPR!$A:$A,0),9)),$C281*INDEX(SPPR!$E:$Z,MATCH($A281,SPPR!$A:$A,0),9),""),"")</f>
        <v/>
      </c>
      <c r="M281">
        <f>IFERROR(IF(ISNUMBER(INDEX(SPPR!$E:$Z,MATCH($A281,SPPR!$A:$A,0),10)),$C281*INDEX(SPPR!$E:$Z,MATCH($A281,SPPR!$A:$A,0),10),""),"")</f>
        <v/>
      </c>
      <c r="N281">
        <f>IFERROR(IF(ISNUMBER(INDEX(SPPR!$E:$Z,MATCH($A281,SPPR!$A:$A,0),11)),$C281*INDEX(SPPR!$E:$Z,MATCH($A281,SPPR!$A:$A,0),11),""),"")</f>
        <v/>
      </c>
      <c r="O281">
        <f>IFERROR(IF(ISNUMBER(INDEX(SPPR!$E:$Z,MATCH($A281,SPPR!$A:$A,0),12)),$C281*INDEX(SPPR!$E:$Z,MATCH($A281,SPPR!$A:$A,0),12),""),"")</f>
        <v/>
      </c>
      <c r="P281">
        <f>IFERROR(IF(ISNUMBER(INDEX(SPPR!$E:$Z,MATCH($A281,SPPR!$A:$A,0),13)),$C281*INDEX(SPPR!$E:$Z,MATCH($A281,SPPR!$A:$A,0),13),""),"")</f>
        <v/>
      </c>
      <c r="Q281">
        <f>IFERROR(IF(ISNUMBER(INDEX(SPPR!$E:$Z,MATCH($A281,SPPR!$A:$A,0),14)),$C281*INDEX(SPPR!$E:$Z,MATCH($A281,SPPR!$A:$A,0),14),""),"")</f>
        <v/>
      </c>
      <c r="R281">
        <f>IFERROR(IF(ISNUMBER(INDEX(SPPR!$E:$Z,MATCH($A281,SPPR!$A:$A,0),15)),$C281*INDEX(SPPR!$E:$Z,MATCH($A281,SPPR!$A:$A,0),15),""),"")</f>
        <v/>
      </c>
      <c r="S281">
        <f>IFERROR(IF(ISNUMBER(INDEX(SPPR!$E:$Z,MATCH($A281,SPPR!$A:$A,0),16)),$C281*INDEX(SPPR!$E:$Z,MATCH($A281,SPPR!$A:$A,0),16),""),"")</f>
        <v/>
      </c>
      <c r="T281">
        <f>IFERROR(IF(ISNUMBER(INDEX(SPPR!$E:$Z,MATCH($A281,SPPR!$A:$A,0),17)),$C281*INDEX(SPPR!$E:$Z,MATCH($A281,SPPR!$A:$A,0),17),""),"")</f>
        <v/>
      </c>
      <c r="U281">
        <f>IFERROR(IF(ISNUMBER(INDEX(SPPR!$E:$Z,MATCH($A281,SPPR!$A:$A,0),18)),$C281*INDEX(SPPR!$E:$Z,MATCH($A281,SPPR!$A:$A,0),18),""),"")</f>
        <v/>
      </c>
      <c r="V281">
        <f>IFERROR(IF(ISNUMBER(INDEX(SPPR!$E:$Z,MATCH($A281,SPPR!$A:$A,0),19)),$C281*INDEX(SPPR!$E:$Z,MATCH($A281,SPPR!$A:$A,0),19),""),"")</f>
        <v/>
      </c>
      <c r="W281">
        <f>IFERROR(IF(ISNUMBER(INDEX(SPPR!$E:$Z,MATCH($A281,SPPR!$A:$A,0),20)),$C281*INDEX(SPPR!$E:$Z,MATCH($A281,SPPR!$A:$A,0),20),""),"")</f>
        <v/>
      </c>
      <c r="X281">
        <f>IFERROR(IF(ISNUMBER(INDEX(SPPR!$E:$Z,MATCH($A281,SPPR!$A:$A,0),21)),$C281*INDEX(SPPR!$E:$Z,MATCH($A281,SPPR!$A:$A,0),21),""),"")</f>
        <v/>
      </c>
      <c r="Y281">
        <f>IFERROR(IF(ISNUMBER(INDEX(SPPR!$E:$Z,MATCH($A281,SPPR!$A:$A,0),22)),$C281*INDEX(SPPR!$E:$Z,MATCH($A281,SPPR!$A:$A,0),22),""),"")</f>
        <v/>
      </c>
    </row>
    <row r="282">
      <c r="A282" t="inlineStr">
        <is>
          <t>Eleutheronema tetradactylum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IFERROR(IF(ISNUMBER(INDEX(SPPR!$E:$Z,MATCH($A282,SPPR!$A:$A,0),1)),$C282*INDEX(SPPR!$E:$Z,MATCH($A282,SPPR!$A:$A,0),1),""),"")</f>
        <v/>
      </c>
      <c r="E282">
        <f>IFERROR(IF(ISNUMBER(INDEX(SPPR!$E:$Z,MATCH($A282,SPPR!$A:$A,0),2)),$C282*INDEX(SPPR!$E:$Z,MATCH($A282,SPPR!$A:$A,0),2),""),"")</f>
        <v/>
      </c>
      <c r="F282">
        <f>IFERROR(IF(ISNUMBER(INDEX(SPPR!$E:$Z,MATCH($A282,SPPR!$A:$A,0),3)),$C282*INDEX(SPPR!$E:$Z,MATCH($A282,SPPR!$A:$A,0),3),""),"")</f>
        <v/>
      </c>
      <c r="G282">
        <f>IFERROR(IF(ISNUMBER(INDEX(SPPR!$E:$Z,MATCH($A282,SPPR!$A:$A,0),4)),$C282*INDEX(SPPR!$E:$Z,MATCH($A282,SPPR!$A:$A,0),4),""),"")</f>
        <v/>
      </c>
      <c r="H282">
        <f>IFERROR(IF(ISNUMBER(INDEX(SPPR!$E:$Z,MATCH($A282,SPPR!$A:$A,0),5)),$C282*INDEX(SPPR!$E:$Z,MATCH($A282,SPPR!$A:$A,0),5),""),"")</f>
        <v/>
      </c>
      <c r="I282">
        <f>IFERROR(IF(ISNUMBER(INDEX(SPPR!$E:$Z,MATCH($A282,SPPR!$A:$A,0),6)),$C282*INDEX(SPPR!$E:$Z,MATCH($A282,SPPR!$A:$A,0),6),""),"")</f>
        <v/>
      </c>
      <c r="J282">
        <f>IFERROR(IF(ISNUMBER(INDEX(SPPR!$E:$Z,MATCH($A282,SPPR!$A:$A,0),7)),$C282*INDEX(SPPR!$E:$Z,MATCH($A282,SPPR!$A:$A,0),7),""),"")</f>
        <v/>
      </c>
      <c r="K282">
        <f>IFERROR(IF(ISNUMBER(INDEX(SPPR!$E:$Z,MATCH($A282,SPPR!$A:$A,0),8)),$C282*INDEX(SPPR!$E:$Z,MATCH($A282,SPPR!$A:$A,0),8),""),"")</f>
        <v/>
      </c>
      <c r="L282">
        <f>IFERROR(IF(ISNUMBER(INDEX(SPPR!$E:$Z,MATCH($A282,SPPR!$A:$A,0),9)),$C282*INDEX(SPPR!$E:$Z,MATCH($A282,SPPR!$A:$A,0),9),""),"")</f>
        <v/>
      </c>
      <c r="M282">
        <f>IFERROR(IF(ISNUMBER(INDEX(SPPR!$E:$Z,MATCH($A282,SPPR!$A:$A,0),10)),$C282*INDEX(SPPR!$E:$Z,MATCH($A282,SPPR!$A:$A,0),10),""),"")</f>
        <v/>
      </c>
      <c r="N282">
        <f>IFERROR(IF(ISNUMBER(INDEX(SPPR!$E:$Z,MATCH($A282,SPPR!$A:$A,0),11)),$C282*INDEX(SPPR!$E:$Z,MATCH($A282,SPPR!$A:$A,0),11),""),"")</f>
        <v/>
      </c>
      <c r="O282">
        <f>IFERROR(IF(ISNUMBER(INDEX(SPPR!$E:$Z,MATCH($A282,SPPR!$A:$A,0),12)),$C282*INDEX(SPPR!$E:$Z,MATCH($A282,SPPR!$A:$A,0),12),""),"")</f>
        <v/>
      </c>
      <c r="P282">
        <f>IFERROR(IF(ISNUMBER(INDEX(SPPR!$E:$Z,MATCH($A282,SPPR!$A:$A,0),13)),$C282*INDEX(SPPR!$E:$Z,MATCH($A282,SPPR!$A:$A,0),13),""),"")</f>
        <v/>
      </c>
      <c r="Q282">
        <f>IFERROR(IF(ISNUMBER(INDEX(SPPR!$E:$Z,MATCH($A282,SPPR!$A:$A,0),14)),$C282*INDEX(SPPR!$E:$Z,MATCH($A282,SPPR!$A:$A,0),14),""),"")</f>
        <v/>
      </c>
      <c r="R282">
        <f>IFERROR(IF(ISNUMBER(INDEX(SPPR!$E:$Z,MATCH($A282,SPPR!$A:$A,0),15)),$C282*INDEX(SPPR!$E:$Z,MATCH($A282,SPPR!$A:$A,0),15),""),"")</f>
        <v/>
      </c>
      <c r="S282">
        <f>IFERROR(IF(ISNUMBER(INDEX(SPPR!$E:$Z,MATCH($A282,SPPR!$A:$A,0),16)),$C282*INDEX(SPPR!$E:$Z,MATCH($A282,SPPR!$A:$A,0),16),""),"")</f>
        <v/>
      </c>
      <c r="T282">
        <f>IFERROR(IF(ISNUMBER(INDEX(SPPR!$E:$Z,MATCH($A282,SPPR!$A:$A,0),17)),$C282*INDEX(SPPR!$E:$Z,MATCH($A282,SPPR!$A:$A,0),17),""),"")</f>
        <v/>
      </c>
      <c r="U282">
        <f>IFERROR(IF(ISNUMBER(INDEX(SPPR!$E:$Z,MATCH($A282,SPPR!$A:$A,0),18)),$C282*INDEX(SPPR!$E:$Z,MATCH($A282,SPPR!$A:$A,0),18),""),"")</f>
        <v/>
      </c>
      <c r="V282">
        <f>IFERROR(IF(ISNUMBER(INDEX(SPPR!$E:$Z,MATCH($A282,SPPR!$A:$A,0),19)),$C282*INDEX(SPPR!$E:$Z,MATCH($A282,SPPR!$A:$A,0),19),""),"")</f>
        <v/>
      </c>
      <c r="W282">
        <f>IFERROR(IF(ISNUMBER(INDEX(SPPR!$E:$Z,MATCH($A282,SPPR!$A:$A,0),20)),$C282*INDEX(SPPR!$E:$Z,MATCH($A282,SPPR!$A:$A,0),20),""),"")</f>
        <v/>
      </c>
      <c r="X282">
        <f>IFERROR(IF(ISNUMBER(INDEX(SPPR!$E:$Z,MATCH($A282,SPPR!$A:$A,0),21)),$C282*INDEX(SPPR!$E:$Z,MATCH($A282,SPPR!$A:$A,0),21),""),"")</f>
        <v/>
      </c>
      <c r="Y282">
        <f>IFERROR(IF(ISNUMBER(INDEX(SPPR!$E:$Z,MATCH($A282,SPPR!$A:$A,0),22)),$C282*INDEX(SPPR!$E:$Z,MATCH($A282,SPPR!$A:$A,0),22),""),"")</f>
        <v/>
      </c>
    </row>
    <row r="283">
      <c r="A283" t="inlineStr">
        <is>
          <t>Scatophagus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IFERROR(IF(ISNUMBER(INDEX(SPPR!$E:$Z,MATCH($A283,SPPR!$A:$A,0),1)),$C283*INDEX(SPPR!$E:$Z,MATCH($A283,SPPR!$A:$A,0),1),""),"")</f>
        <v/>
      </c>
      <c r="E283">
        <f>IFERROR(IF(ISNUMBER(INDEX(SPPR!$E:$Z,MATCH($A283,SPPR!$A:$A,0),2)),$C283*INDEX(SPPR!$E:$Z,MATCH($A283,SPPR!$A:$A,0),2),""),"")</f>
        <v/>
      </c>
      <c r="F283">
        <f>IFERROR(IF(ISNUMBER(INDEX(SPPR!$E:$Z,MATCH($A283,SPPR!$A:$A,0),3)),$C283*INDEX(SPPR!$E:$Z,MATCH($A283,SPPR!$A:$A,0),3),""),"")</f>
        <v/>
      </c>
      <c r="G283">
        <f>IFERROR(IF(ISNUMBER(INDEX(SPPR!$E:$Z,MATCH($A283,SPPR!$A:$A,0),4)),$C283*INDEX(SPPR!$E:$Z,MATCH($A283,SPPR!$A:$A,0),4),""),"")</f>
        <v/>
      </c>
      <c r="H283">
        <f>IFERROR(IF(ISNUMBER(INDEX(SPPR!$E:$Z,MATCH($A283,SPPR!$A:$A,0),5)),$C283*INDEX(SPPR!$E:$Z,MATCH($A283,SPPR!$A:$A,0),5),""),"")</f>
        <v/>
      </c>
      <c r="I283">
        <f>IFERROR(IF(ISNUMBER(INDEX(SPPR!$E:$Z,MATCH($A283,SPPR!$A:$A,0),6)),$C283*INDEX(SPPR!$E:$Z,MATCH($A283,SPPR!$A:$A,0),6),""),"")</f>
        <v/>
      </c>
      <c r="J283">
        <f>IFERROR(IF(ISNUMBER(INDEX(SPPR!$E:$Z,MATCH($A283,SPPR!$A:$A,0),7)),$C283*INDEX(SPPR!$E:$Z,MATCH($A283,SPPR!$A:$A,0),7),""),"")</f>
        <v/>
      </c>
      <c r="K283">
        <f>IFERROR(IF(ISNUMBER(INDEX(SPPR!$E:$Z,MATCH($A283,SPPR!$A:$A,0),8)),$C283*INDEX(SPPR!$E:$Z,MATCH($A283,SPPR!$A:$A,0),8),""),"")</f>
        <v/>
      </c>
      <c r="L283">
        <f>IFERROR(IF(ISNUMBER(INDEX(SPPR!$E:$Z,MATCH($A283,SPPR!$A:$A,0),9)),$C283*INDEX(SPPR!$E:$Z,MATCH($A283,SPPR!$A:$A,0),9),""),"")</f>
        <v/>
      </c>
      <c r="M283">
        <f>IFERROR(IF(ISNUMBER(INDEX(SPPR!$E:$Z,MATCH($A283,SPPR!$A:$A,0),10)),$C283*INDEX(SPPR!$E:$Z,MATCH($A283,SPPR!$A:$A,0),10),""),"")</f>
        <v/>
      </c>
      <c r="N283">
        <f>IFERROR(IF(ISNUMBER(INDEX(SPPR!$E:$Z,MATCH($A283,SPPR!$A:$A,0),11)),$C283*INDEX(SPPR!$E:$Z,MATCH($A283,SPPR!$A:$A,0),11),""),"")</f>
        <v/>
      </c>
      <c r="O283">
        <f>IFERROR(IF(ISNUMBER(INDEX(SPPR!$E:$Z,MATCH($A283,SPPR!$A:$A,0),12)),$C283*INDEX(SPPR!$E:$Z,MATCH($A283,SPPR!$A:$A,0),12),""),"")</f>
        <v/>
      </c>
      <c r="P283">
        <f>IFERROR(IF(ISNUMBER(INDEX(SPPR!$E:$Z,MATCH($A283,SPPR!$A:$A,0),13)),$C283*INDEX(SPPR!$E:$Z,MATCH($A283,SPPR!$A:$A,0),13),""),"")</f>
        <v/>
      </c>
      <c r="Q283">
        <f>IFERROR(IF(ISNUMBER(INDEX(SPPR!$E:$Z,MATCH($A283,SPPR!$A:$A,0),14)),$C283*INDEX(SPPR!$E:$Z,MATCH($A283,SPPR!$A:$A,0),14),""),"")</f>
        <v/>
      </c>
      <c r="R283">
        <f>IFERROR(IF(ISNUMBER(INDEX(SPPR!$E:$Z,MATCH($A283,SPPR!$A:$A,0),15)),$C283*INDEX(SPPR!$E:$Z,MATCH($A283,SPPR!$A:$A,0),15),""),"")</f>
        <v/>
      </c>
      <c r="S283">
        <f>IFERROR(IF(ISNUMBER(INDEX(SPPR!$E:$Z,MATCH($A283,SPPR!$A:$A,0),16)),$C283*INDEX(SPPR!$E:$Z,MATCH($A283,SPPR!$A:$A,0),16),""),"")</f>
        <v/>
      </c>
      <c r="T283">
        <f>IFERROR(IF(ISNUMBER(INDEX(SPPR!$E:$Z,MATCH($A283,SPPR!$A:$A,0),17)),$C283*INDEX(SPPR!$E:$Z,MATCH($A283,SPPR!$A:$A,0),17),""),"")</f>
        <v/>
      </c>
      <c r="U283">
        <f>IFERROR(IF(ISNUMBER(INDEX(SPPR!$E:$Z,MATCH($A283,SPPR!$A:$A,0),18)),$C283*INDEX(SPPR!$E:$Z,MATCH($A283,SPPR!$A:$A,0),18),""),"")</f>
        <v/>
      </c>
      <c r="V283">
        <f>IFERROR(IF(ISNUMBER(INDEX(SPPR!$E:$Z,MATCH($A283,SPPR!$A:$A,0),19)),$C283*INDEX(SPPR!$E:$Z,MATCH($A283,SPPR!$A:$A,0),19),""),"")</f>
        <v/>
      </c>
      <c r="W283">
        <f>IFERROR(IF(ISNUMBER(INDEX(SPPR!$E:$Z,MATCH($A283,SPPR!$A:$A,0),20)),$C283*INDEX(SPPR!$E:$Z,MATCH($A283,SPPR!$A:$A,0),20),""),"")</f>
        <v/>
      </c>
      <c r="X283">
        <f>IFERROR(IF(ISNUMBER(INDEX(SPPR!$E:$Z,MATCH($A283,SPPR!$A:$A,0),21)),$C283*INDEX(SPPR!$E:$Z,MATCH($A283,SPPR!$A:$A,0),21),""),"")</f>
        <v/>
      </c>
      <c r="Y283">
        <f>IFERROR(IF(ISNUMBER(INDEX(SPPR!$E:$Z,MATCH($A283,SPPR!$A:$A,0),22)),$C283*INDEX(SPPR!$E:$Z,MATCH($A283,SPPR!$A:$A,0),22),""),"")</f>
        <v/>
      </c>
    </row>
    <row r="284">
      <c r="A284" t="inlineStr">
        <is>
          <t>Thunnus orientalis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IFERROR(IF(ISNUMBER(INDEX(SPPR!$E:$Z,MATCH($A284,SPPR!$A:$A,0),1)),$C284*INDEX(SPPR!$E:$Z,MATCH($A284,SPPR!$A:$A,0),1),""),"")</f>
        <v/>
      </c>
      <c r="E284">
        <f>IFERROR(IF(ISNUMBER(INDEX(SPPR!$E:$Z,MATCH($A284,SPPR!$A:$A,0),2)),$C284*INDEX(SPPR!$E:$Z,MATCH($A284,SPPR!$A:$A,0),2),""),"")</f>
        <v/>
      </c>
      <c r="F284">
        <f>IFERROR(IF(ISNUMBER(INDEX(SPPR!$E:$Z,MATCH($A284,SPPR!$A:$A,0),3)),$C284*INDEX(SPPR!$E:$Z,MATCH($A284,SPPR!$A:$A,0),3),""),"")</f>
        <v/>
      </c>
      <c r="G284">
        <f>IFERROR(IF(ISNUMBER(INDEX(SPPR!$E:$Z,MATCH($A284,SPPR!$A:$A,0),4)),$C284*INDEX(SPPR!$E:$Z,MATCH($A284,SPPR!$A:$A,0),4),""),"")</f>
        <v/>
      </c>
      <c r="H284">
        <f>IFERROR(IF(ISNUMBER(INDEX(SPPR!$E:$Z,MATCH($A284,SPPR!$A:$A,0),5)),$C284*INDEX(SPPR!$E:$Z,MATCH($A284,SPPR!$A:$A,0),5),""),"")</f>
        <v/>
      </c>
      <c r="I284">
        <f>IFERROR(IF(ISNUMBER(INDEX(SPPR!$E:$Z,MATCH($A284,SPPR!$A:$A,0),6)),$C284*INDEX(SPPR!$E:$Z,MATCH($A284,SPPR!$A:$A,0),6),""),"")</f>
        <v/>
      </c>
      <c r="J284">
        <f>IFERROR(IF(ISNUMBER(INDEX(SPPR!$E:$Z,MATCH($A284,SPPR!$A:$A,0),7)),$C284*INDEX(SPPR!$E:$Z,MATCH($A284,SPPR!$A:$A,0),7),""),"")</f>
        <v/>
      </c>
      <c r="K284">
        <f>IFERROR(IF(ISNUMBER(INDEX(SPPR!$E:$Z,MATCH($A284,SPPR!$A:$A,0),8)),$C284*INDEX(SPPR!$E:$Z,MATCH($A284,SPPR!$A:$A,0),8),""),"")</f>
        <v/>
      </c>
      <c r="L284">
        <f>IFERROR(IF(ISNUMBER(INDEX(SPPR!$E:$Z,MATCH($A284,SPPR!$A:$A,0),9)),$C284*INDEX(SPPR!$E:$Z,MATCH($A284,SPPR!$A:$A,0),9),""),"")</f>
        <v/>
      </c>
      <c r="M284">
        <f>IFERROR(IF(ISNUMBER(INDEX(SPPR!$E:$Z,MATCH($A284,SPPR!$A:$A,0),10)),$C284*INDEX(SPPR!$E:$Z,MATCH($A284,SPPR!$A:$A,0),10),""),"")</f>
        <v/>
      </c>
      <c r="N284">
        <f>IFERROR(IF(ISNUMBER(INDEX(SPPR!$E:$Z,MATCH($A284,SPPR!$A:$A,0),11)),$C284*INDEX(SPPR!$E:$Z,MATCH($A284,SPPR!$A:$A,0),11),""),"")</f>
        <v/>
      </c>
      <c r="O284">
        <f>IFERROR(IF(ISNUMBER(INDEX(SPPR!$E:$Z,MATCH($A284,SPPR!$A:$A,0),12)),$C284*INDEX(SPPR!$E:$Z,MATCH($A284,SPPR!$A:$A,0),12),""),"")</f>
        <v/>
      </c>
      <c r="P284">
        <f>IFERROR(IF(ISNUMBER(INDEX(SPPR!$E:$Z,MATCH($A284,SPPR!$A:$A,0),13)),$C284*INDEX(SPPR!$E:$Z,MATCH($A284,SPPR!$A:$A,0),13),""),"")</f>
        <v/>
      </c>
      <c r="Q284">
        <f>IFERROR(IF(ISNUMBER(INDEX(SPPR!$E:$Z,MATCH($A284,SPPR!$A:$A,0),14)),$C284*INDEX(SPPR!$E:$Z,MATCH($A284,SPPR!$A:$A,0),14),""),"")</f>
        <v/>
      </c>
      <c r="R284">
        <f>IFERROR(IF(ISNUMBER(INDEX(SPPR!$E:$Z,MATCH($A284,SPPR!$A:$A,0),15)),$C284*INDEX(SPPR!$E:$Z,MATCH($A284,SPPR!$A:$A,0),15),""),"")</f>
        <v/>
      </c>
      <c r="S284">
        <f>IFERROR(IF(ISNUMBER(INDEX(SPPR!$E:$Z,MATCH($A284,SPPR!$A:$A,0),16)),$C284*INDEX(SPPR!$E:$Z,MATCH($A284,SPPR!$A:$A,0),16),""),"")</f>
        <v/>
      </c>
      <c r="T284">
        <f>IFERROR(IF(ISNUMBER(INDEX(SPPR!$E:$Z,MATCH($A284,SPPR!$A:$A,0),17)),$C284*INDEX(SPPR!$E:$Z,MATCH($A284,SPPR!$A:$A,0),17),""),"")</f>
        <v/>
      </c>
      <c r="U284">
        <f>IFERROR(IF(ISNUMBER(INDEX(SPPR!$E:$Z,MATCH($A284,SPPR!$A:$A,0),18)),$C284*INDEX(SPPR!$E:$Z,MATCH($A284,SPPR!$A:$A,0),18),""),"")</f>
        <v/>
      </c>
      <c r="V284">
        <f>IFERROR(IF(ISNUMBER(INDEX(SPPR!$E:$Z,MATCH($A284,SPPR!$A:$A,0),19)),$C284*INDEX(SPPR!$E:$Z,MATCH($A284,SPPR!$A:$A,0),19),""),"")</f>
        <v/>
      </c>
      <c r="W284">
        <f>IFERROR(IF(ISNUMBER(INDEX(SPPR!$E:$Z,MATCH($A284,SPPR!$A:$A,0),20)),$C284*INDEX(SPPR!$E:$Z,MATCH($A284,SPPR!$A:$A,0),20),""),"")</f>
        <v/>
      </c>
      <c r="X284">
        <f>IFERROR(IF(ISNUMBER(INDEX(SPPR!$E:$Z,MATCH($A284,SPPR!$A:$A,0),21)),$C284*INDEX(SPPR!$E:$Z,MATCH($A284,SPPR!$A:$A,0),21),""),"")</f>
        <v/>
      </c>
      <c r="Y284">
        <f>IFERROR(IF(ISNUMBER(INDEX(SPPR!$E:$Z,MATCH($A284,SPPR!$A:$A,0),22)),$C284*INDEX(SPPR!$E:$Z,MATCH($A284,SPPR!$A:$A,0),22),""),"")</f>
        <v/>
      </c>
    </row>
    <row r="285">
      <c r="A285" t="inlineStr">
        <is>
          <t>Siganus canaliculatus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IFERROR(IF(ISNUMBER(INDEX(SPPR!$E:$Z,MATCH($A285,SPPR!$A:$A,0),1)),$C285*INDEX(SPPR!$E:$Z,MATCH($A285,SPPR!$A:$A,0),1),""),"")</f>
        <v/>
      </c>
      <c r="E285">
        <f>IFERROR(IF(ISNUMBER(INDEX(SPPR!$E:$Z,MATCH($A285,SPPR!$A:$A,0),2)),$C285*INDEX(SPPR!$E:$Z,MATCH($A285,SPPR!$A:$A,0),2),""),"")</f>
        <v/>
      </c>
      <c r="F285">
        <f>IFERROR(IF(ISNUMBER(INDEX(SPPR!$E:$Z,MATCH($A285,SPPR!$A:$A,0),3)),$C285*INDEX(SPPR!$E:$Z,MATCH($A285,SPPR!$A:$A,0),3),""),"")</f>
        <v/>
      </c>
      <c r="G285">
        <f>IFERROR(IF(ISNUMBER(INDEX(SPPR!$E:$Z,MATCH($A285,SPPR!$A:$A,0),4)),$C285*INDEX(SPPR!$E:$Z,MATCH($A285,SPPR!$A:$A,0),4),""),"")</f>
        <v/>
      </c>
      <c r="H285">
        <f>IFERROR(IF(ISNUMBER(INDEX(SPPR!$E:$Z,MATCH($A285,SPPR!$A:$A,0),5)),$C285*INDEX(SPPR!$E:$Z,MATCH($A285,SPPR!$A:$A,0),5),""),"")</f>
        <v/>
      </c>
      <c r="I285">
        <f>IFERROR(IF(ISNUMBER(INDEX(SPPR!$E:$Z,MATCH($A285,SPPR!$A:$A,0),6)),$C285*INDEX(SPPR!$E:$Z,MATCH($A285,SPPR!$A:$A,0),6),""),"")</f>
        <v/>
      </c>
      <c r="J285">
        <f>IFERROR(IF(ISNUMBER(INDEX(SPPR!$E:$Z,MATCH($A285,SPPR!$A:$A,0),7)),$C285*INDEX(SPPR!$E:$Z,MATCH($A285,SPPR!$A:$A,0),7),""),"")</f>
        <v/>
      </c>
      <c r="K285">
        <f>IFERROR(IF(ISNUMBER(INDEX(SPPR!$E:$Z,MATCH($A285,SPPR!$A:$A,0),8)),$C285*INDEX(SPPR!$E:$Z,MATCH($A285,SPPR!$A:$A,0),8),""),"")</f>
        <v/>
      </c>
      <c r="L285">
        <f>IFERROR(IF(ISNUMBER(INDEX(SPPR!$E:$Z,MATCH($A285,SPPR!$A:$A,0),9)),$C285*INDEX(SPPR!$E:$Z,MATCH($A285,SPPR!$A:$A,0),9),""),"")</f>
        <v/>
      </c>
      <c r="M285">
        <f>IFERROR(IF(ISNUMBER(INDEX(SPPR!$E:$Z,MATCH($A285,SPPR!$A:$A,0),10)),$C285*INDEX(SPPR!$E:$Z,MATCH($A285,SPPR!$A:$A,0),10),""),"")</f>
        <v/>
      </c>
      <c r="N285">
        <f>IFERROR(IF(ISNUMBER(INDEX(SPPR!$E:$Z,MATCH($A285,SPPR!$A:$A,0),11)),$C285*INDEX(SPPR!$E:$Z,MATCH($A285,SPPR!$A:$A,0),11),""),"")</f>
        <v/>
      </c>
      <c r="O285">
        <f>IFERROR(IF(ISNUMBER(INDEX(SPPR!$E:$Z,MATCH($A285,SPPR!$A:$A,0),12)),$C285*INDEX(SPPR!$E:$Z,MATCH($A285,SPPR!$A:$A,0),12),""),"")</f>
        <v/>
      </c>
      <c r="P285">
        <f>IFERROR(IF(ISNUMBER(INDEX(SPPR!$E:$Z,MATCH($A285,SPPR!$A:$A,0),13)),$C285*INDEX(SPPR!$E:$Z,MATCH($A285,SPPR!$A:$A,0),13),""),"")</f>
        <v/>
      </c>
      <c r="Q285">
        <f>IFERROR(IF(ISNUMBER(INDEX(SPPR!$E:$Z,MATCH($A285,SPPR!$A:$A,0),14)),$C285*INDEX(SPPR!$E:$Z,MATCH($A285,SPPR!$A:$A,0),14),""),"")</f>
        <v/>
      </c>
      <c r="R285">
        <f>IFERROR(IF(ISNUMBER(INDEX(SPPR!$E:$Z,MATCH($A285,SPPR!$A:$A,0),15)),$C285*INDEX(SPPR!$E:$Z,MATCH($A285,SPPR!$A:$A,0),15),""),"")</f>
        <v/>
      </c>
      <c r="S285">
        <f>IFERROR(IF(ISNUMBER(INDEX(SPPR!$E:$Z,MATCH($A285,SPPR!$A:$A,0),16)),$C285*INDEX(SPPR!$E:$Z,MATCH($A285,SPPR!$A:$A,0),16),""),"")</f>
        <v/>
      </c>
      <c r="T285">
        <f>IFERROR(IF(ISNUMBER(INDEX(SPPR!$E:$Z,MATCH($A285,SPPR!$A:$A,0),17)),$C285*INDEX(SPPR!$E:$Z,MATCH($A285,SPPR!$A:$A,0),17),""),"")</f>
        <v/>
      </c>
      <c r="U285">
        <f>IFERROR(IF(ISNUMBER(INDEX(SPPR!$E:$Z,MATCH($A285,SPPR!$A:$A,0),18)),$C285*INDEX(SPPR!$E:$Z,MATCH($A285,SPPR!$A:$A,0),18),""),"")</f>
        <v/>
      </c>
      <c r="V285">
        <f>IFERROR(IF(ISNUMBER(INDEX(SPPR!$E:$Z,MATCH($A285,SPPR!$A:$A,0),19)),$C285*INDEX(SPPR!$E:$Z,MATCH($A285,SPPR!$A:$A,0),19),""),"")</f>
        <v/>
      </c>
      <c r="W285">
        <f>IFERROR(IF(ISNUMBER(INDEX(SPPR!$E:$Z,MATCH($A285,SPPR!$A:$A,0),20)),$C285*INDEX(SPPR!$E:$Z,MATCH($A285,SPPR!$A:$A,0),20),""),"")</f>
        <v/>
      </c>
      <c r="X285">
        <f>IFERROR(IF(ISNUMBER(INDEX(SPPR!$E:$Z,MATCH($A285,SPPR!$A:$A,0),21)),$C285*INDEX(SPPR!$E:$Z,MATCH($A285,SPPR!$A:$A,0),21),""),"")</f>
        <v/>
      </c>
      <c r="Y285">
        <f>IFERROR(IF(ISNUMBER(INDEX(SPPR!$E:$Z,MATCH($A285,SPPR!$A:$A,0),22)),$C285*INDEX(SPPR!$E:$Z,MATCH($A285,SPPR!$A:$A,0),22),""),"")</f>
        <v/>
      </c>
    </row>
    <row r="286">
      <c r="A286" t="inlineStr">
        <is>
          <t>Polydactylus sexfilis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IFERROR(IF(ISNUMBER(INDEX(SPPR!$E:$Z,MATCH($A286,SPPR!$A:$A,0),1)),$C286*INDEX(SPPR!$E:$Z,MATCH($A286,SPPR!$A:$A,0),1),""),"")</f>
        <v/>
      </c>
      <c r="E286">
        <f>IFERROR(IF(ISNUMBER(INDEX(SPPR!$E:$Z,MATCH($A286,SPPR!$A:$A,0),2)),$C286*INDEX(SPPR!$E:$Z,MATCH($A286,SPPR!$A:$A,0),2),""),"")</f>
        <v/>
      </c>
      <c r="F286">
        <f>IFERROR(IF(ISNUMBER(INDEX(SPPR!$E:$Z,MATCH($A286,SPPR!$A:$A,0),3)),$C286*INDEX(SPPR!$E:$Z,MATCH($A286,SPPR!$A:$A,0),3),""),"")</f>
        <v/>
      </c>
      <c r="G286">
        <f>IFERROR(IF(ISNUMBER(INDEX(SPPR!$E:$Z,MATCH($A286,SPPR!$A:$A,0),4)),$C286*INDEX(SPPR!$E:$Z,MATCH($A286,SPPR!$A:$A,0),4),""),"")</f>
        <v/>
      </c>
      <c r="H286">
        <f>IFERROR(IF(ISNUMBER(INDEX(SPPR!$E:$Z,MATCH($A286,SPPR!$A:$A,0),5)),$C286*INDEX(SPPR!$E:$Z,MATCH($A286,SPPR!$A:$A,0),5),""),"")</f>
        <v/>
      </c>
      <c r="I286">
        <f>IFERROR(IF(ISNUMBER(INDEX(SPPR!$E:$Z,MATCH($A286,SPPR!$A:$A,0),6)),$C286*INDEX(SPPR!$E:$Z,MATCH($A286,SPPR!$A:$A,0),6),""),"")</f>
        <v/>
      </c>
      <c r="J286">
        <f>IFERROR(IF(ISNUMBER(INDEX(SPPR!$E:$Z,MATCH($A286,SPPR!$A:$A,0),7)),$C286*INDEX(SPPR!$E:$Z,MATCH($A286,SPPR!$A:$A,0),7),""),"")</f>
        <v/>
      </c>
      <c r="K286">
        <f>IFERROR(IF(ISNUMBER(INDEX(SPPR!$E:$Z,MATCH($A286,SPPR!$A:$A,0),8)),$C286*INDEX(SPPR!$E:$Z,MATCH($A286,SPPR!$A:$A,0),8),""),"")</f>
        <v/>
      </c>
      <c r="L286">
        <f>IFERROR(IF(ISNUMBER(INDEX(SPPR!$E:$Z,MATCH($A286,SPPR!$A:$A,0),9)),$C286*INDEX(SPPR!$E:$Z,MATCH($A286,SPPR!$A:$A,0),9),""),"")</f>
        <v/>
      </c>
      <c r="M286">
        <f>IFERROR(IF(ISNUMBER(INDEX(SPPR!$E:$Z,MATCH($A286,SPPR!$A:$A,0),10)),$C286*INDEX(SPPR!$E:$Z,MATCH($A286,SPPR!$A:$A,0),10),""),"")</f>
        <v/>
      </c>
      <c r="N286">
        <f>IFERROR(IF(ISNUMBER(INDEX(SPPR!$E:$Z,MATCH($A286,SPPR!$A:$A,0),11)),$C286*INDEX(SPPR!$E:$Z,MATCH($A286,SPPR!$A:$A,0),11),""),"")</f>
        <v/>
      </c>
      <c r="O286">
        <f>IFERROR(IF(ISNUMBER(INDEX(SPPR!$E:$Z,MATCH($A286,SPPR!$A:$A,0),12)),$C286*INDEX(SPPR!$E:$Z,MATCH($A286,SPPR!$A:$A,0),12),""),"")</f>
        <v/>
      </c>
      <c r="P286">
        <f>IFERROR(IF(ISNUMBER(INDEX(SPPR!$E:$Z,MATCH($A286,SPPR!$A:$A,0),13)),$C286*INDEX(SPPR!$E:$Z,MATCH($A286,SPPR!$A:$A,0),13),""),"")</f>
        <v/>
      </c>
      <c r="Q286">
        <f>IFERROR(IF(ISNUMBER(INDEX(SPPR!$E:$Z,MATCH($A286,SPPR!$A:$A,0),14)),$C286*INDEX(SPPR!$E:$Z,MATCH($A286,SPPR!$A:$A,0),14),""),"")</f>
        <v/>
      </c>
      <c r="R286">
        <f>IFERROR(IF(ISNUMBER(INDEX(SPPR!$E:$Z,MATCH($A286,SPPR!$A:$A,0),15)),$C286*INDEX(SPPR!$E:$Z,MATCH($A286,SPPR!$A:$A,0),15),""),"")</f>
        <v/>
      </c>
      <c r="S286">
        <f>IFERROR(IF(ISNUMBER(INDEX(SPPR!$E:$Z,MATCH($A286,SPPR!$A:$A,0),16)),$C286*INDEX(SPPR!$E:$Z,MATCH($A286,SPPR!$A:$A,0),16),""),"")</f>
        <v/>
      </c>
      <c r="T286">
        <f>IFERROR(IF(ISNUMBER(INDEX(SPPR!$E:$Z,MATCH($A286,SPPR!$A:$A,0),17)),$C286*INDEX(SPPR!$E:$Z,MATCH($A286,SPPR!$A:$A,0),17),""),"")</f>
        <v/>
      </c>
      <c r="U286">
        <f>IFERROR(IF(ISNUMBER(INDEX(SPPR!$E:$Z,MATCH($A286,SPPR!$A:$A,0),18)),$C286*INDEX(SPPR!$E:$Z,MATCH($A286,SPPR!$A:$A,0),18),""),"")</f>
        <v/>
      </c>
      <c r="V286">
        <f>IFERROR(IF(ISNUMBER(INDEX(SPPR!$E:$Z,MATCH($A286,SPPR!$A:$A,0),19)),$C286*INDEX(SPPR!$E:$Z,MATCH($A286,SPPR!$A:$A,0),19),""),"")</f>
        <v/>
      </c>
      <c r="W286">
        <f>IFERROR(IF(ISNUMBER(INDEX(SPPR!$E:$Z,MATCH($A286,SPPR!$A:$A,0),20)),$C286*INDEX(SPPR!$E:$Z,MATCH($A286,SPPR!$A:$A,0),20),""),"")</f>
        <v/>
      </c>
      <c r="X286">
        <f>IFERROR(IF(ISNUMBER(INDEX(SPPR!$E:$Z,MATCH($A286,SPPR!$A:$A,0),21)),$C286*INDEX(SPPR!$E:$Z,MATCH($A286,SPPR!$A:$A,0),21),""),"")</f>
        <v/>
      </c>
      <c r="Y286">
        <f>IFERROR(IF(ISNUMBER(INDEX(SPPR!$E:$Z,MATCH($A286,SPPR!$A:$A,0),22)),$C286*INDEX(SPPR!$E:$Z,MATCH($A286,SPPR!$A:$A,0),22),""),"")</f>
        <v/>
      </c>
    </row>
    <row r="287">
      <c r="A287" t="inlineStr">
        <is>
          <t>Hilsa kelee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IFERROR(IF(ISNUMBER(INDEX(SPPR!$E:$Z,MATCH($A287,SPPR!$A:$A,0),1)),$C287*INDEX(SPPR!$E:$Z,MATCH($A287,SPPR!$A:$A,0),1),""),"")</f>
        <v/>
      </c>
      <c r="E287">
        <f>IFERROR(IF(ISNUMBER(INDEX(SPPR!$E:$Z,MATCH($A287,SPPR!$A:$A,0),2)),$C287*INDEX(SPPR!$E:$Z,MATCH($A287,SPPR!$A:$A,0),2),""),"")</f>
        <v/>
      </c>
      <c r="F287">
        <f>IFERROR(IF(ISNUMBER(INDEX(SPPR!$E:$Z,MATCH($A287,SPPR!$A:$A,0),3)),$C287*INDEX(SPPR!$E:$Z,MATCH($A287,SPPR!$A:$A,0),3),""),"")</f>
        <v/>
      </c>
      <c r="G287">
        <f>IFERROR(IF(ISNUMBER(INDEX(SPPR!$E:$Z,MATCH($A287,SPPR!$A:$A,0),4)),$C287*INDEX(SPPR!$E:$Z,MATCH($A287,SPPR!$A:$A,0),4),""),"")</f>
        <v/>
      </c>
      <c r="H287">
        <f>IFERROR(IF(ISNUMBER(INDEX(SPPR!$E:$Z,MATCH($A287,SPPR!$A:$A,0),5)),$C287*INDEX(SPPR!$E:$Z,MATCH($A287,SPPR!$A:$A,0),5),""),"")</f>
        <v/>
      </c>
      <c r="I287">
        <f>IFERROR(IF(ISNUMBER(INDEX(SPPR!$E:$Z,MATCH($A287,SPPR!$A:$A,0),6)),$C287*INDEX(SPPR!$E:$Z,MATCH($A287,SPPR!$A:$A,0),6),""),"")</f>
        <v/>
      </c>
      <c r="J287">
        <f>IFERROR(IF(ISNUMBER(INDEX(SPPR!$E:$Z,MATCH($A287,SPPR!$A:$A,0),7)),$C287*INDEX(SPPR!$E:$Z,MATCH($A287,SPPR!$A:$A,0),7),""),"")</f>
        <v/>
      </c>
      <c r="K287">
        <f>IFERROR(IF(ISNUMBER(INDEX(SPPR!$E:$Z,MATCH($A287,SPPR!$A:$A,0),8)),$C287*INDEX(SPPR!$E:$Z,MATCH($A287,SPPR!$A:$A,0),8),""),"")</f>
        <v/>
      </c>
      <c r="L287">
        <f>IFERROR(IF(ISNUMBER(INDEX(SPPR!$E:$Z,MATCH($A287,SPPR!$A:$A,0),9)),$C287*INDEX(SPPR!$E:$Z,MATCH($A287,SPPR!$A:$A,0),9),""),"")</f>
        <v/>
      </c>
      <c r="M287">
        <f>IFERROR(IF(ISNUMBER(INDEX(SPPR!$E:$Z,MATCH($A287,SPPR!$A:$A,0),10)),$C287*INDEX(SPPR!$E:$Z,MATCH($A287,SPPR!$A:$A,0),10),""),"")</f>
        <v/>
      </c>
      <c r="N287">
        <f>IFERROR(IF(ISNUMBER(INDEX(SPPR!$E:$Z,MATCH($A287,SPPR!$A:$A,0),11)),$C287*INDEX(SPPR!$E:$Z,MATCH($A287,SPPR!$A:$A,0),11),""),"")</f>
        <v/>
      </c>
      <c r="O287">
        <f>IFERROR(IF(ISNUMBER(INDEX(SPPR!$E:$Z,MATCH($A287,SPPR!$A:$A,0),12)),$C287*INDEX(SPPR!$E:$Z,MATCH($A287,SPPR!$A:$A,0),12),""),"")</f>
        <v/>
      </c>
      <c r="P287">
        <f>IFERROR(IF(ISNUMBER(INDEX(SPPR!$E:$Z,MATCH($A287,SPPR!$A:$A,0),13)),$C287*INDEX(SPPR!$E:$Z,MATCH($A287,SPPR!$A:$A,0),13),""),"")</f>
        <v/>
      </c>
      <c r="Q287">
        <f>IFERROR(IF(ISNUMBER(INDEX(SPPR!$E:$Z,MATCH($A287,SPPR!$A:$A,0),14)),$C287*INDEX(SPPR!$E:$Z,MATCH($A287,SPPR!$A:$A,0),14),""),"")</f>
        <v/>
      </c>
      <c r="R287">
        <f>IFERROR(IF(ISNUMBER(INDEX(SPPR!$E:$Z,MATCH($A287,SPPR!$A:$A,0),15)),$C287*INDEX(SPPR!$E:$Z,MATCH($A287,SPPR!$A:$A,0),15),""),"")</f>
        <v/>
      </c>
      <c r="S287">
        <f>IFERROR(IF(ISNUMBER(INDEX(SPPR!$E:$Z,MATCH($A287,SPPR!$A:$A,0),16)),$C287*INDEX(SPPR!$E:$Z,MATCH($A287,SPPR!$A:$A,0),16),""),"")</f>
        <v/>
      </c>
      <c r="T287">
        <f>IFERROR(IF(ISNUMBER(INDEX(SPPR!$E:$Z,MATCH($A287,SPPR!$A:$A,0),17)),$C287*INDEX(SPPR!$E:$Z,MATCH($A287,SPPR!$A:$A,0),17),""),"")</f>
        <v/>
      </c>
      <c r="U287">
        <f>IFERROR(IF(ISNUMBER(INDEX(SPPR!$E:$Z,MATCH($A287,SPPR!$A:$A,0),18)),$C287*INDEX(SPPR!$E:$Z,MATCH($A287,SPPR!$A:$A,0),18),""),"")</f>
        <v/>
      </c>
      <c r="V287">
        <f>IFERROR(IF(ISNUMBER(INDEX(SPPR!$E:$Z,MATCH($A287,SPPR!$A:$A,0),19)),$C287*INDEX(SPPR!$E:$Z,MATCH($A287,SPPR!$A:$A,0),19),""),"")</f>
        <v/>
      </c>
      <c r="W287">
        <f>IFERROR(IF(ISNUMBER(INDEX(SPPR!$E:$Z,MATCH($A287,SPPR!$A:$A,0),20)),$C287*INDEX(SPPR!$E:$Z,MATCH($A287,SPPR!$A:$A,0),20),""),"")</f>
        <v/>
      </c>
      <c r="X287">
        <f>IFERROR(IF(ISNUMBER(INDEX(SPPR!$E:$Z,MATCH($A287,SPPR!$A:$A,0),21)),$C287*INDEX(SPPR!$E:$Z,MATCH($A287,SPPR!$A:$A,0),21),""),"")</f>
        <v/>
      </c>
      <c r="Y287">
        <f>IFERROR(IF(ISNUMBER(INDEX(SPPR!$E:$Z,MATCH($A287,SPPR!$A:$A,0),22)),$C287*INDEX(SPPR!$E:$Z,MATCH($A287,SPPR!$A:$A,0),22),""),"")</f>
        <v/>
      </c>
    </row>
    <row r="288">
      <c r="A288" t="inlineStr">
        <is>
          <t>Thenus orientalis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IFERROR(IF(ISNUMBER(INDEX(SPPR!$E:$Z,MATCH($A288,SPPR!$A:$A,0),1)),$C288*INDEX(SPPR!$E:$Z,MATCH($A288,SPPR!$A:$A,0),1),""),"")</f>
        <v/>
      </c>
      <c r="E288">
        <f>IFERROR(IF(ISNUMBER(INDEX(SPPR!$E:$Z,MATCH($A288,SPPR!$A:$A,0),2)),$C288*INDEX(SPPR!$E:$Z,MATCH($A288,SPPR!$A:$A,0),2),""),"")</f>
        <v/>
      </c>
      <c r="F288">
        <f>IFERROR(IF(ISNUMBER(INDEX(SPPR!$E:$Z,MATCH($A288,SPPR!$A:$A,0),3)),$C288*INDEX(SPPR!$E:$Z,MATCH($A288,SPPR!$A:$A,0),3),""),"")</f>
        <v/>
      </c>
      <c r="G288">
        <f>IFERROR(IF(ISNUMBER(INDEX(SPPR!$E:$Z,MATCH($A288,SPPR!$A:$A,0),4)),$C288*INDEX(SPPR!$E:$Z,MATCH($A288,SPPR!$A:$A,0),4),""),"")</f>
        <v/>
      </c>
      <c r="H288">
        <f>IFERROR(IF(ISNUMBER(INDEX(SPPR!$E:$Z,MATCH($A288,SPPR!$A:$A,0),5)),$C288*INDEX(SPPR!$E:$Z,MATCH($A288,SPPR!$A:$A,0),5),""),"")</f>
        <v/>
      </c>
      <c r="I288">
        <f>IFERROR(IF(ISNUMBER(INDEX(SPPR!$E:$Z,MATCH($A288,SPPR!$A:$A,0),6)),$C288*INDEX(SPPR!$E:$Z,MATCH($A288,SPPR!$A:$A,0),6),""),"")</f>
        <v/>
      </c>
      <c r="J288">
        <f>IFERROR(IF(ISNUMBER(INDEX(SPPR!$E:$Z,MATCH($A288,SPPR!$A:$A,0),7)),$C288*INDEX(SPPR!$E:$Z,MATCH($A288,SPPR!$A:$A,0),7),""),"")</f>
        <v/>
      </c>
      <c r="K288">
        <f>IFERROR(IF(ISNUMBER(INDEX(SPPR!$E:$Z,MATCH($A288,SPPR!$A:$A,0),8)),$C288*INDEX(SPPR!$E:$Z,MATCH($A288,SPPR!$A:$A,0),8),""),"")</f>
        <v/>
      </c>
      <c r="L288">
        <f>IFERROR(IF(ISNUMBER(INDEX(SPPR!$E:$Z,MATCH($A288,SPPR!$A:$A,0),9)),$C288*INDEX(SPPR!$E:$Z,MATCH($A288,SPPR!$A:$A,0),9),""),"")</f>
        <v/>
      </c>
      <c r="M288">
        <f>IFERROR(IF(ISNUMBER(INDEX(SPPR!$E:$Z,MATCH($A288,SPPR!$A:$A,0),10)),$C288*INDEX(SPPR!$E:$Z,MATCH($A288,SPPR!$A:$A,0),10),""),"")</f>
        <v/>
      </c>
      <c r="N288">
        <f>IFERROR(IF(ISNUMBER(INDEX(SPPR!$E:$Z,MATCH($A288,SPPR!$A:$A,0),11)),$C288*INDEX(SPPR!$E:$Z,MATCH($A288,SPPR!$A:$A,0),11),""),"")</f>
        <v/>
      </c>
      <c r="O288">
        <f>IFERROR(IF(ISNUMBER(INDEX(SPPR!$E:$Z,MATCH($A288,SPPR!$A:$A,0),12)),$C288*INDEX(SPPR!$E:$Z,MATCH($A288,SPPR!$A:$A,0),12),""),"")</f>
        <v/>
      </c>
      <c r="P288">
        <f>IFERROR(IF(ISNUMBER(INDEX(SPPR!$E:$Z,MATCH($A288,SPPR!$A:$A,0),13)),$C288*INDEX(SPPR!$E:$Z,MATCH($A288,SPPR!$A:$A,0),13),""),"")</f>
        <v/>
      </c>
      <c r="Q288">
        <f>IFERROR(IF(ISNUMBER(INDEX(SPPR!$E:$Z,MATCH($A288,SPPR!$A:$A,0),14)),$C288*INDEX(SPPR!$E:$Z,MATCH($A288,SPPR!$A:$A,0),14),""),"")</f>
        <v/>
      </c>
      <c r="R288">
        <f>IFERROR(IF(ISNUMBER(INDEX(SPPR!$E:$Z,MATCH($A288,SPPR!$A:$A,0),15)),$C288*INDEX(SPPR!$E:$Z,MATCH($A288,SPPR!$A:$A,0),15),""),"")</f>
        <v/>
      </c>
      <c r="S288">
        <f>IFERROR(IF(ISNUMBER(INDEX(SPPR!$E:$Z,MATCH($A288,SPPR!$A:$A,0),16)),$C288*INDEX(SPPR!$E:$Z,MATCH($A288,SPPR!$A:$A,0),16),""),"")</f>
        <v/>
      </c>
      <c r="T288">
        <f>IFERROR(IF(ISNUMBER(INDEX(SPPR!$E:$Z,MATCH($A288,SPPR!$A:$A,0),17)),$C288*INDEX(SPPR!$E:$Z,MATCH($A288,SPPR!$A:$A,0),17),""),"")</f>
        <v/>
      </c>
      <c r="U288">
        <f>IFERROR(IF(ISNUMBER(INDEX(SPPR!$E:$Z,MATCH($A288,SPPR!$A:$A,0),18)),$C288*INDEX(SPPR!$E:$Z,MATCH($A288,SPPR!$A:$A,0),18),""),"")</f>
        <v/>
      </c>
      <c r="V288">
        <f>IFERROR(IF(ISNUMBER(INDEX(SPPR!$E:$Z,MATCH($A288,SPPR!$A:$A,0),19)),$C288*INDEX(SPPR!$E:$Z,MATCH($A288,SPPR!$A:$A,0),19),""),"")</f>
        <v/>
      </c>
      <c r="W288">
        <f>IFERROR(IF(ISNUMBER(INDEX(SPPR!$E:$Z,MATCH($A288,SPPR!$A:$A,0),20)),$C288*INDEX(SPPR!$E:$Z,MATCH($A288,SPPR!$A:$A,0),20),""),"")</f>
        <v/>
      </c>
      <c r="X288">
        <f>IFERROR(IF(ISNUMBER(INDEX(SPPR!$E:$Z,MATCH($A288,SPPR!$A:$A,0),21)),$C288*INDEX(SPPR!$E:$Z,MATCH($A288,SPPR!$A:$A,0),21),""),"")</f>
        <v/>
      </c>
      <c r="Y288">
        <f>IFERROR(IF(ISNUMBER(INDEX(SPPR!$E:$Z,MATCH($A288,SPPR!$A:$A,0),22)),$C288*INDEX(SPPR!$E:$Z,MATCH($A288,SPPR!$A:$A,0),22),""),"")</f>
        <v/>
      </c>
    </row>
    <row r="289">
      <c r="A289" t="inlineStr">
        <is>
          <t>Acetes sibogae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IFERROR(IF(ISNUMBER(INDEX(SPPR!$E:$Z,MATCH($A289,SPPR!$A:$A,0),1)),$C289*INDEX(SPPR!$E:$Z,MATCH($A289,SPPR!$A:$A,0),1),""),"")</f>
        <v/>
      </c>
      <c r="E289">
        <f>IFERROR(IF(ISNUMBER(INDEX(SPPR!$E:$Z,MATCH($A289,SPPR!$A:$A,0),2)),$C289*INDEX(SPPR!$E:$Z,MATCH($A289,SPPR!$A:$A,0),2),""),"")</f>
        <v/>
      </c>
      <c r="F289">
        <f>IFERROR(IF(ISNUMBER(INDEX(SPPR!$E:$Z,MATCH($A289,SPPR!$A:$A,0),3)),$C289*INDEX(SPPR!$E:$Z,MATCH($A289,SPPR!$A:$A,0),3),""),"")</f>
        <v/>
      </c>
      <c r="G289">
        <f>IFERROR(IF(ISNUMBER(INDEX(SPPR!$E:$Z,MATCH($A289,SPPR!$A:$A,0),4)),$C289*INDEX(SPPR!$E:$Z,MATCH($A289,SPPR!$A:$A,0),4),""),"")</f>
        <v/>
      </c>
      <c r="H289">
        <f>IFERROR(IF(ISNUMBER(INDEX(SPPR!$E:$Z,MATCH($A289,SPPR!$A:$A,0),5)),$C289*INDEX(SPPR!$E:$Z,MATCH($A289,SPPR!$A:$A,0),5),""),"")</f>
        <v/>
      </c>
      <c r="I289">
        <f>IFERROR(IF(ISNUMBER(INDEX(SPPR!$E:$Z,MATCH($A289,SPPR!$A:$A,0),6)),$C289*INDEX(SPPR!$E:$Z,MATCH($A289,SPPR!$A:$A,0),6),""),"")</f>
        <v/>
      </c>
      <c r="J289">
        <f>IFERROR(IF(ISNUMBER(INDEX(SPPR!$E:$Z,MATCH($A289,SPPR!$A:$A,0),7)),$C289*INDEX(SPPR!$E:$Z,MATCH($A289,SPPR!$A:$A,0),7),""),"")</f>
        <v/>
      </c>
      <c r="K289">
        <f>IFERROR(IF(ISNUMBER(INDEX(SPPR!$E:$Z,MATCH($A289,SPPR!$A:$A,0),8)),$C289*INDEX(SPPR!$E:$Z,MATCH($A289,SPPR!$A:$A,0),8),""),"")</f>
        <v/>
      </c>
      <c r="L289">
        <f>IFERROR(IF(ISNUMBER(INDEX(SPPR!$E:$Z,MATCH($A289,SPPR!$A:$A,0),9)),$C289*INDEX(SPPR!$E:$Z,MATCH($A289,SPPR!$A:$A,0),9),""),"")</f>
        <v/>
      </c>
      <c r="M289">
        <f>IFERROR(IF(ISNUMBER(INDEX(SPPR!$E:$Z,MATCH($A289,SPPR!$A:$A,0),10)),$C289*INDEX(SPPR!$E:$Z,MATCH($A289,SPPR!$A:$A,0),10),""),"")</f>
        <v/>
      </c>
      <c r="N289">
        <f>IFERROR(IF(ISNUMBER(INDEX(SPPR!$E:$Z,MATCH($A289,SPPR!$A:$A,0),11)),$C289*INDEX(SPPR!$E:$Z,MATCH($A289,SPPR!$A:$A,0),11),""),"")</f>
        <v/>
      </c>
      <c r="O289">
        <f>IFERROR(IF(ISNUMBER(INDEX(SPPR!$E:$Z,MATCH($A289,SPPR!$A:$A,0),12)),$C289*INDEX(SPPR!$E:$Z,MATCH($A289,SPPR!$A:$A,0),12),""),"")</f>
        <v/>
      </c>
      <c r="P289">
        <f>IFERROR(IF(ISNUMBER(INDEX(SPPR!$E:$Z,MATCH($A289,SPPR!$A:$A,0),13)),$C289*INDEX(SPPR!$E:$Z,MATCH($A289,SPPR!$A:$A,0),13),""),"")</f>
        <v/>
      </c>
      <c r="Q289">
        <f>IFERROR(IF(ISNUMBER(INDEX(SPPR!$E:$Z,MATCH($A289,SPPR!$A:$A,0),14)),$C289*INDEX(SPPR!$E:$Z,MATCH($A289,SPPR!$A:$A,0),14),""),"")</f>
        <v/>
      </c>
      <c r="R289">
        <f>IFERROR(IF(ISNUMBER(INDEX(SPPR!$E:$Z,MATCH($A289,SPPR!$A:$A,0),15)),$C289*INDEX(SPPR!$E:$Z,MATCH($A289,SPPR!$A:$A,0),15),""),"")</f>
        <v/>
      </c>
      <c r="S289">
        <f>IFERROR(IF(ISNUMBER(INDEX(SPPR!$E:$Z,MATCH($A289,SPPR!$A:$A,0),16)),$C289*INDEX(SPPR!$E:$Z,MATCH($A289,SPPR!$A:$A,0),16),""),"")</f>
        <v/>
      </c>
      <c r="T289">
        <f>IFERROR(IF(ISNUMBER(INDEX(SPPR!$E:$Z,MATCH($A289,SPPR!$A:$A,0),17)),$C289*INDEX(SPPR!$E:$Z,MATCH($A289,SPPR!$A:$A,0),17),""),"")</f>
        <v/>
      </c>
      <c r="U289">
        <f>IFERROR(IF(ISNUMBER(INDEX(SPPR!$E:$Z,MATCH($A289,SPPR!$A:$A,0),18)),$C289*INDEX(SPPR!$E:$Z,MATCH($A289,SPPR!$A:$A,0),18),""),"")</f>
        <v/>
      </c>
      <c r="V289">
        <f>IFERROR(IF(ISNUMBER(INDEX(SPPR!$E:$Z,MATCH($A289,SPPR!$A:$A,0),19)),$C289*INDEX(SPPR!$E:$Z,MATCH($A289,SPPR!$A:$A,0),19),""),"")</f>
        <v/>
      </c>
      <c r="W289">
        <f>IFERROR(IF(ISNUMBER(INDEX(SPPR!$E:$Z,MATCH($A289,SPPR!$A:$A,0),20)),$C289*INDEX(SPPR!$E:$Z,MATCH($A289,SPPR!$A:$A,0),20),""),"")</f>
        <v/>
      </c>
      <c r="X289">
        <f>IFERROR(IF(ISNUMBER(INDEX(SPPR!$E:$Z,MATCH($A289,SPPR!$A:$A,0),21)),$C289*INDEX(SPPR!$E:$Z,MATCH($A289,SPPR!$A:$A,0),21),""),"")</f>
        <v/>
      </c>
      <c r="Y289">
        <f>IFERROR(IF(ISNUMBER(INDEX(SPPR!$E:$Z,MATCH($A289,SPPR!$A:$A,0),22)),$C289*INDEX(SPPR!$E:$Z,MATCH($A289,SPPR!$A:$A,0),22),""),"")</f>
        <v/>
      </c>
    </row>
    <row r="290">
      <c r="A290" t="inlineStr">
        <is>
          <t>Kajikia audax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IFERROR(IF(ISNUMBER(INDEX(SPPR!$E:$Z,MATCH($A290,SPPR!$A:$A,0),1)),$C290*INDEX(SPPR!$E:$Z,MATCH($A290,SPPR!$A:$A,0),1),""),"")</f>
        <v/>
      </c>
      <c r="E290">
        <f>IFERROR(IF(ISNUMBER(INDEX(SPPR!$E:$Z,MATCH($A290,SPPR!$A:$A,0),2)),$C290*INDEX(SPPR!$E:$Z,MATCH($A290,SPPR!$A:$A,0),2),""),"")</f>
        <v/>
      </c>
      <c r="F290">
        <f>IFERROR(IF(ISNUMBER(INDEX(SPPR!$E:$Z,MATCH($A290,SPPR!$A:$A,0),3)),$C290*INDEX(SPPR!$E:$Z,MATCH($A290,SPPR!$A:$A,0),3),""),"")</f>
        <v/>
      </c>
      <c r="G290">
        <f>IFERROR(IF(ISNUMBER(INDEX(SPPR!$E:$Z,MATCH($A290,SPPR!$A:$A,0),4)),$C290*INDEX(SPPR!$E:$Z,MATCH($A290,SPPR!$A:$A,0),4),""),"")</f>
        <v/>
      </c>
      <c r="H290">
        <f>IFERROR(IF(ISNUMBER(INDEX(SPPR!$E:$Z,MATCH($A290,SPPR!$A:$A,0),5)),$C290*INDEX(SPPR!$E:$Z,MATCH($A290,SPPR!$A:$A,0),5),""),"")</f>
        <v/>
      </c>
      <c r="I290">
        <f>IFERROR(IF(ISNUMBER(INDEX(SPPR!$E:$Z,MATCH($A290,SPPR!$A:$A,0),6)),$C290*INDEX(SPPR!$E:$Z,MATCH($A290,SPPR!$A:$A,0),6),""),"")</f>
        <v/>
      </c>
      <c r="J290">
        <f>IFERROR(IF(ISNUMBER(INDEX(SPPR!$E:$Z,MATCH($A290,SPPR!$A:$A,0),7)),$C290*INDEX(SPPR!$E:$Z,MATCH($A290,SPPR!$A:$A,0),7),""),"")</f>
        <v/>
      </c>
      <c r="K290">
        <f>IFERROR(IF(ISNUMBER(INDEX(SPPR!$E:$Z,MATCH($A290,SPPR!$A:$A,0),8)),$C290*INDEX(SPPR!$E:$Z,MATCH($A290,SPPR!$A:$A,0),8),""),"")</f>
        <v/>
      </c>
      <c r="L290">
        <f>IFERROR(IF(ISNUMBER(INDEX(SPPR!$E:$Z,MATCH($A290,SPPR!$A:$A,0),9)),$C290*INDEX(SPPR!$E:$Z,MATCH($A290,SPPR!$A:$A,0),9),""),"")</f>
        <v/>
      </c>
      <c r="M290">
        <f>IFERROR(IF(ISNUMBER(INDEX(SPPR!$E:$Z,MATCH($A290,SPPR!$A:$A,0),10)),$C290*INDEX(SPPR!$E:$Z,MATCH($A290,SPPR!$A:$A,0),10),""),"")</f>
        <v/>
      </c>
      <c r="N290">
        <f>IFERROR(IF(ISNUMBER(INDEX(SPPR!$E:$Z,MATCH($A290,SPPR!$A:$A,0),11)),$C290*INDEX(SPPR!$E:$Z,MATCH($A290,SPPR!$A:$A,0),11),""),"")</f>
        <v/>
      </c>
      <c r="O290">
        <f>IFERROR(IF(ISNUMBER(INDEX(SPPR!$E:$Z,MATCH($A290,SPPR!$A:$A,0),12)),$C290*INDEX(SPPR!$E:$Z,MATCH($A290,SPPR!$A:$A,0),12),""),"")</f>
        <v/>
      </c>
      <c r="P290">
        <f>IFERROR(IF(ISNUMBER(INDEX(SPPR!$E:$Z,MATCH($A290,SPPR!$A:$A,0),13)),$C290*INDEX(SPPR!$E:$Z,MATCH($A290,SPPR!$A:$A,0),13),""),"")</f>
        <v/>
      </c>
      <c r="Q290">
        <f>IFERROR(IF(ISNUMBER(INDEX(SPPR!$E:$Z,MATCH($A290,SPPR!$A:$A,0),14)),$C290*INDEX(SPPR!$E:$Z,MATCH($A290,SPPR!$A:$A,0),14),""),"")</f>
        <v/>
      </c>
      <c r="R290">
        <f>IFERROR(IF(ISNUMBER(INDEX(SPPR!$E:$Z,MATCH($A290,SPPR!$A:$A,0),15)),$C290*INDEX(SPPR!$E:$Z,MATCH($A290,SPPR!$A:$A,0),15),""),"")</f>
        <v/>
      </c>
      <c r="S290">
        <f>IFERROR(IF(ISNUMBER(INDEX(SPPR!$E:$Z,MATCH($A290,SPPR!$A:$A,0),16)),$C290*INDEX(SPPR!$E:$Z,MATCH($A290,SPPR!$A:$A,0),16),""),"")</f>
        <v/>
      </c>
      <c r="T290">
        <f>IFERROR(IF(ISNUMBER(INDEX(SPPR!$E:$Z,MATCH($A290,SPPR!$A:$A,0),17)),$C290*INDEX(SPPR!$E:$Z,MATCH($A290,SPPR!$A:$A,0),17),""),"")</f>
        <v/>
      </c>
      <c r="U290">
        <f>IFERROR(IF(ISNUMBER(INDEX(SPPR!$E:$Z,MATCH($A290,SPPR!$A:$A,0),18)),$C290*INDEX(SPPR!$E:$Z,MATCH($A290,SPPR!$A:$A,0),18),""),"")</f>
        <v/>
      </c>
      <c r="V290">
        <f>IFERROR(IF(ISNUMBER(INDEX(SPPR!$E:$Z,MATCH($A290,SPPR!$A:$A,0),19)),$C290*INDEX(SPPR!$E:$Z,MATCH($A290,SPPR!$A:$A,0),19),""),"")</f>
        <v/>
      </c>
      <c r="W290">
        <f>IFERROR(IF(ISNUMBER(INDEX(SPPR!$E:$Z,MATCH($A290,SPPR!$A:$A,0),20)),$C290*INDEX(SPPR!$E:$Z,MATCH($A290,SPPR!$A:$A,0),20),""),"")</f>
        <v/>
      </c>
      <c r="X290">
        <f>IFERROR(IF(ISNUMBER(INDEX(SPPR!$E:$Z,MATCH($A290,SPPR!$A:$A,0),21)),$C290*INDEX(SPPR!$E:$Z,MATCH($A290,SPPR!$A:$A,0),21),""),"")</f>
        <v/>
      </c>
      <c r="Y290">
        <f>IFERROR(IF(ISNUMBER(INDEX(SPPR!$E:$Z,MATCH($A290,SPPR!$A:$A,0),22)),$C290*INDEX(SPPR!$E:$Z,MATCH($A290,SPPR!$A:$A,0),22),""),"")</f>
        <v/>
      </c>
    </row>
    <row r="291">
      <c r="A291" t="inlineStr">
        <is>
          <t>Penaeus semisulcatus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IFERROR(IF(ISNUMBER(INDEX(SPPR!$E:$Z,MATCH($A291,SPPR!$A:$A,0),1)),$C291*INDEX(SPPR!$E:$Z,MATCH($A291,SPPR!$A:$A,0),1),""),"")</f>
        <v/>
      </c>
      <c r="E291">
        <f>IFERROR(IF(ISNUMBER(INDEX(SPPR!$E:$Z,MATCH($A291,SPPR!$A:$A,0),2)),$C291*INDEX(SPPR!$E:$Z,MATCH($A291,SPPR!$A:$A,0),2),""),"")</f>
        <v/>
      </c>
      <c r="F291">
        <f>IFERROR(IF(ISNUMBER(INDEX(SPPR!$E:$Z,MATCH($A291,SPPR!$A:$A,0),3)),$C291*INDEX(SPPR!$E:$Z,MATCH($A291,SPPR!$A:$A,0),3),""),"")</f>
        <v/>
      </c>
      <c r="G291">
        <f>IFERROR(IF(ISNUMBER(INDEX(SPPR!$E:$Z,MATCH($A291,SPPR!$A:$A,0),4)),$C291*INDEX(SPPR!$E:$Z,MATCH($A291,SPPR!$A:$A,0),4),""),"")</f>
        <v/>
      </c>
      <c r="H291">
        <f>IFERROR(IF(ISNUMBER(INDEX(SPPR!$E:$Z,MATCH($A291,SPPR!$A:$A,0),5)),$C291*INDEX(SPPR!$E:$Z,MATCH($A291,SPPR!$A:$A,0),5),""),"")</f>
        <v/>
      </c>
      <c r="I291">
        <f>IFERROR(IF(ISNUMBER(INDEX(SPPR!$E:$Z,MATCH($A291,SPPR!$A:$A,0),6)),$C291*INDEX(SPPR!$E:$Z,MATCH($A291,SPPR!$A:$A,0),6),""),"")</f>
        <v/>
      </c>
      <c r="J291">
        <f>IFERROR(IF(ISNUMBER(INDEX(SPPR!$E:$Z,MATCH($A291,SPPR!$A:$A,0),7)),$C291*INDEX(SPPR!$E:$Z,MATCH($A291,SPPR!$A:$A,0),7),""),"")</f>
        <v/>
      </c>
      <c r="K291">
        <f>IFERROR(IF(ISNUMBER(INDEX(SPPR!$E:$Z,MATCH($A291,SPPR!$A:$A,0),8)),$C291*INDEX(SPPR!$E:$Z,MATCH($A291,SPPR!$A:$A,0),8),""),"")</f>
        <v/>
      </c>
      <c r="L291">
        <f>IFERROR(IF(ISNUMBER(INDEX(SPPR!$E:$Z,MATCH($A291,SPPR!$A:$A,0),9)),$C291*INDEX(SPPR!$E:$Z,MATCH($A291,SPPR!$A:$A,0),9),""),"")</f>
        <v/>
      </c>
      <c r="M291">
        <f>IFERROR(IF(ISNUMBER(INDEX(SPPR!$E:$Z,MATCH($A291,SPPR!$A:$A,0),10)),$C291*INDEX(SPPR!$E:$Z,MATCH($A291,SPPR!$A:$A,0),10),""),"")</f>
        <v/>
      </c>
      <c r="N291">
        <f>IFERROR(IF(ISNUMBER(INDEX(SPPR!$E:$Z,MATCH($A291,SPPR!$A:$A,0),11)),$C291*INDEX(SPPR!$E:$Z,MATCH($A291,SPPR!$A:$A,0),11),""),"")</f>
        <v/>
      </c>
      <c r="O291">
        <f>IFERROR(IF(ISNUMBER(INDEX(SPPR!$E:$Z,MATCH($A291,SPPR!$A:$A,0),12)),$C291*INDEX(SPPR!$E:$Z,MATCH($A291,SPPR!$A:$A,0),12),""),"")</f>
        <v/>
      </c>
      <c r="P291">
        <f>IFERROR(IF(ISNUMBER(INDEX(SPPR!$E:$Z,MATCH($A291,SPPR!$A:$A,0),13)),$C291*INDEX(SPPR!$E:$Z,MATCH($A291,SPPR!$A:$A,0),13),""),"")</f>
        <v/>
      </c>
      <c r="Q291">
        <f>IFERROR(IF(ISNUMBER(INDEX(SPPR!$E:$Z,MATCH($A291,SPPR!$A:$A,0),14)),$C291*INDEX(SPPR!$E:$Z,MATCH($A291,SPPR!$A:$A,0),14),""),"")</f>
        <v/>
      </c>
      <c r="R291">
        <f>IFERROR(IF(ISNUMBER(INDEX(SPPR!$E:$Z,MATCH($A291,SPPR!$A:$A,0),15)),$C291*INDEX(SPPR!$E:$Z,MATCH($A291,SPPR!$A:$A,0),15),""),"")</f>
        <v/>
      </c>
      <c r="S291">
        <f>IFERROR(IF(ISNUMBER(INDEX(SPPR!$E:$Z,MATCH($A291,SPPR!$A:$A,0),16)),$C291*INDEX(SPPR!$E:$Z,MATCH($A291,SPPR!$A:$A,0),16),""),"")</f>
        <v/>
      </c>
      <c r="T291">
        <f>IFERROR(IF(ISNUMBER(INDEX(SPPR!$E:$Z,MATCH($A291,SPPR!$A:$A,0),17)),$C291*INDEX(SPPR!$E:$Z,MATCH($A291,SPPR!$A:$A,0),17),""),"")</f>
        <v/>
      </c>
      <c r="U291">
        <f>IFERROR(IF(ISNUMBER(INDEX(SPPR!$E:$Z,MATCH($A291,SPPR!$A:$A,0),18)),$C291*INDEX(SPPR!$E:$Z,MATCH($A291,SPPR!$A:$A,0),18),""),"")</f>
        <v/>
      </c>
      <c r="V291">
        <f>IFERROR(IF(ISNUMBER(INDEX(SPPR!$E:$Z,MATCH($A291,SPPR!$A:$A,0),19)),$C291*INDEX(SPPR!$E:$Z,MATCH($A291,SPPR!$A:$A,0),19),""),"")</f>
        <v/>
      </c>
      <c r="W291">
        <f>IFERROR(IF(ISNUMBER(INDEX(SPPR!$E:$Z,MATCH($A291,SPPR!$A:$A,0),20)),$C291*INDEX(SPPR!$E:$Z,MATCH($A291,SPPR!$A:$A,0),20),""),"")</f>
        <v/>
      </c>
      <c r="X291">
        <f>IFERROR(IF(ISNUMBER(INDEX(SPPR!$E:$Z,MATCH($A291,SPPR!$A:$A,0),21)),$C291*INDEX(SPPR!$E:$Z,MATCH($A291,SPPR!$A:$A,0),21),""),"")</f>
        <v/>
      </c>
      <c r="Y291">
        <f>IFERROR(IF(ISNUMBER(INDEX(SPPR!$E:$Z,MATCH($A291,SPPR!$A:$A,0),22)),$C291*INDEX(SPPR!$E:$Z,MATCH($A291,SPPR!$A:$A,0),22),""),"")</f>
        <v/>
      </c>
    </row>
    <row r="292">
      <c r="A292" t="inlineStr">
        <is>
          <t>Siganidae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IFERROR(IF(ISNUMBER(INDEX(SPPR!$E:$Z,MATCH($A292,SPPR!$A:$A,0),1)),$C292*INDEX(SPPR!$E:$Z,MATCH($A292,SPPR!$A:$A,0),1),""),"")</f>
        <v/>
      </c>
      <c r="E292">
        <f>IFERROR(IF(ISNUMBER(INDEX(SPPR!$E:$Z,MATCH($A292,SPPR!$A:$A,0),2)),$C292*INDEX(SPPR!$E:$Z,MATCH($A292,SPPR!$A:$A,0),2),""),"")</f>
        <v/>
      </c>
      <c r="F292">
        <f>IFERROR(IF(ISNUMBER(INDEX(SPPR!$E:$Z,MATCH($A292,SPPR!$A:$A,0),3)),$C292*INDEX(SPPR!$E:$Z,MATCH($A292,SPPR!$A:$A,0),3),""),"")</f>
        <v/>
      </c>
      <c r="G292">
        <f>IFERROR(IF(ISNUMBER(INDEX(SPPR!$E:$Z,MATCH($A292,SPPR!$A:$A,0),4)),$C292*INDEX(SPPR!$E:$Z,MATCH($A292,SPPR!$A:$A,0),4),""),"")</f>
        <v/>
      </c>
      <c r="H292">
        <f>IFERROR(IF(ISNUMBER(INDEX(SPPR!$E:$Z,MATCH($A292,SPPR!$A:$A,0),5)),$C292*INDEX(SPPR!$E:$Z,MATCH($A292,SPPR!$A:$A,0),5),""),"")</f>
        <v/>
      </c>
      <c r="I292">
        <f>IFERROR(IF(ISNUMBER(INDEX(SPPR!$E:$Z,MATCH($A292,SPPR!$A:$A,0),6)),$C292*INDEX(SPPR!$E:$Z,MATCH($A292,SPPR!$A:$A,0),6),""),"")</f>
        <v/>
      </c>
      <c r="J292">
        <f>IFERROR(IF(ISNUMBER(INDEX(SPPR!$E:$Z,MATCH($A292,SPPR!$A:$A,0),7)),$C292*INDEX(SPPR!$E:$Z,MATCH($A292,SPPR!$A:$A,0),7),""),"")</f>
        <v/>
      </c>
      <c r="K292">
        <f>IFERROR(IF(ISNUMBER(INDEX(SPPR!$E:$Z,MATCH($A292,SPPR!$A:$A,0),8)),$C292*INDEX(SPPR!$E:$Z,MATCH($A292,SPPR!$A:$A,0),8),""),"")</f>
        <v/>
      </c>
      <c r="L292">
        <f>IFERROR(IF(ISNUMBER(INDEX(SPPR!$E:$Z,MATCH($A292,SPPR!$A:$A,0),9)),$C292*INDEX(SPPR!$E:$Z,MATCH($A292,SPPR!$A:$A,0),9),""),"")</f>
        <v/>
      </c>
      <c r="M292">
        <f>IFERROR(IF(ISNUMBER(INDEX(SPPR!$E:$Z,MATCH($A292,SPPR!$A:$A,0),10)),$C292*INDEX(SPPR!$E:$Z,MATCH($A292,SPPR!$A:$A,0),10),""),"")</f>
        <v/>
      </c>
      <c r="N292">
        <f>IFERROR(IF(ISNUMBER(INDEX(SPPR!$E:$Z,MATCH($A292,SPPR!$A:$A,0),11)),$C292*INDEX(SPPR!$E:$Z,MATCH($A292,SPPR!$A:$A,0),11),""),"")</f>
        <v/>
      </c>
      <c r="O292">
        <f>IFERROR(IF(ISNUMBER(INDEX(SPPR!$E:$Z,MATCH($A292,SPPR!$A:$A,0),12)),$C292*INDEX(SPPR!$E:$Z,MATCH($A292,SPPR!$A:$A,0),12),""),"")</f>
        <v/>
      </c>
      <c r="P292">
        <f>IFERROR(IF(ISNUMBER(INDEX(SPPR!$E:$Z,MATCH($A292,SPPR!$A:$A,0),13)),$C292*INDEX(SPPR!$E:$Z,MATCH($A292,SPPR!$A:$A,0),13),""),"")</f>
        <v/>
      </c>
      <c r="Q292">
        <f>IFERROR(IF(ISNUMBER(INDEX(SPPR!$E:$Z,MATCH($A292,SPPR!$A:$A,0),14)),$C292*INDEX(SPPR!$E:$Z,MATCH($A292,SPPR!$A:$A,0),14),""),"")</f>
        <v/>
      </c>
      <c r="R292">
        <f>IFERROR(IF(ISNUMBER(INDEX(SPPR!$E:$Z,MATCH($A292,SPPR!$A:$A,0),15)),$C292*INDEX(SPPR!$E:$Z,MATCH($A292,SPPR!$A:$A,0),15),""),"")</f>
        <v/>
      </c>
      <c r="S292">
        <f>IFERROR(IF(ISNUMBER(INDEX(SPPR!$E:$Z,MATCH($A292,SPPR!$A:$A,0),16)),$C292*INDEX(SPPR!$E:$Z,MATCH($A292,SPPR!$A:$A,0),16),""),"")</f>
        <v/>
      </c>
      <c r="T292">
        <f>IFERROR(IF(ISNUMBER(INDEX(SPPR!$E:$Z,MATCH($A292,SPPR!$A:$A,0),17)),$C292*INDEX(SPPR!$E:$Z,MATCH($A292,SPPR!$A:$A,0),17),""),"")</f>
        <v/>
      </c>
      <c r="U292">
        <f>IFERROR(IF(ISNUMBER(INDEX(SPPR!$E:$Z,MATCH($A292,SPPR!$A:$A,0),18)),$C292*INDEX(SPPR!$E:$Z,MATCH($A292,SPPR!$A:$A,0),18),""),"")</f>
        <v/>
      </c>
      <c r="V292">
        <f>IFERROR(IF(ISNUMBER(INDEX(SPPR!$E:$Z,MATCH($A292,SPPR!$A:$A,0),19)),$C292*INDEX(SPPR!$E:$Z,MATCH($A292,SPPR!$A:$A,0),19),""),"")</f>
        <v/>
      </c>
      <c r="W292">
        <f>IFERROR(IF(ISNUMBER(INDEX(SPPR!$E:$Z,MATCH($A292,SPPR!$A:$A,0),20)),$C292*INDEX(SPPR!$E:$Z,MATCH($A292,SPPR!$A:$A,0),20),""),"")</f>
        <v/>
      </c>
      <c r="X292">
        <f>IFERROR(IF(ISNUMBER(INDEX(SPPR!$E:$Z,MATCH($A292,SPPR!$A:$A,0),21)),$C292*INDEX(SPPR!$E:$Z,MATCH($A292,SPPR!$A:$A,0),21),""),"")</f>
        <v/>
      </c>
      <c r="Y292">
        <f>IFERROR(IF(ISNUMBER(INDEX(SPPR!$E:$Z,MATCH($A292,SPPR!$A:$A,0),22)),$C292*INDEX(SPPR!$E:$Z,MATCH($A292,SPPR!$A:$A,0),22),""),"")</f>
        <v/>
      </c>
    </row>
    <row r="293">
      <c r="A293" t="inlineStr">
        <is>
          <t>Gerres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IFERROR(IF(ISNUMBER(INDEX(SPPR!$E:$Z,MATCH($A293,SPPR!$A:$A,0),1)),$C293*INDEX(SPPR!$E:$Z,MATCH($A293,SPPR!$A:$A,0),1),""),"")</f>
        <v/>
      </c>
      <c r="E293">
        <f>IFERROR(IF(ISNUMBER(INDEX(SPPR!$E:$Z,MATCH($A293,SPPR!$A:$A,0),2)),$C293*INDEX(SPPR!$E:$Z,MATCH($A293,SPPR!$A:$A,0),2),""),"")</f>
        <v/>
      </c>
      <c r="F293">
        <f>IFERROR(IF(ISNUMBER(INDEX(SPPR!$E:$Z,MATCH($A293,SPPR!$A:$A,0),3)),$C293*INDEX(SPPR!$E:$Z,MATCH($A293,SPPR!$A:$A,0),3),""),"")</f>
        <v/>
      </c>
      <c r="G293">
        <f>IFERROR(IF(ISNUMBER(INDEX(SPPR!$E:$Z,MATCH($A293,SPPR!$A:$A,0),4)),$C293*INDEX(SPPR!$E:$Z,MATCH($A293,SPPR!$A:$A,0),4),""),"")</f>
        <v/>
      </c>
      <c r="H293">
        <f>IFERROR(IF(ISNUMBER(INDEX(SPPR!$E:$Z,MATCH($A293,SPPR!$A:$A,0),5)),$C293*INDEX(SPPR!$E:$Z,MATCH($A293,SPPR!$A:$A,0),5),""),"")</f>
        <v/>
      </c>
      <c r="I293">
        <f>IFERROR(IF(ISNUMBER(INDEX(SPPR!$E:$Z,MATCH($A293,SPPR!$A:$A,0),6)),$C293*INDEX(SPPR!$E:$Z,MATCH($A293,SPPR!$A:$A,0),6),""),"")</f>
        <v/>
      </c>
      <c r="J293">
        <f>IFERROR(IF(ISNUMBER(INDEX(SPPR!$E:$Z,MATCH($A293,SPPR!$A:$A,0),7)),$C293*INDEX(SPPR!$E:$Z,MATCH($A293,SPPR!$A:$A,0),7),""),"")</f>
        <v/>
      </c>
      <c r="K293">
        <f>IFERROR(IF(ISNUMBER(INDEX(SPPR!$E:$Z,MATCH($A293,SPPR!$A:$A,0),8)),$C293*INDEX(SPPR!$E:$Z,MATCH($A293,SPPR!$A:$A,0),8),""),"")</f>
        <v/>
      </c>
      <c r="L293">
        <f>IFERROR(IF(ISNUMBER(INDEX(SPPR!$E:$Z,MATCH($A293,SPPR!$A:$A,0),9)),$C293*INDEX(SPPR!$E:$Z,MATCH($A293,SPPR!$A:$A,0),9),""),"")</f>
        <v/>
      </c>
      <c r="M293">
        <f>IFERROR(IF(ISNUMBER(INDEX(SPPR!$E:$Z,MATCH($A293,SPPR!$A:$A,0),10)),$C293*INDEX(SPPR!$E:$Z,MATCH($A293,SPPR!$A:$A,0),10),""),"")</f>
        <v/>
      </c>
      <c r="N293">
        <f>IFERROR(IF(ISNUMBER(INDEX(SPPR!$E:$Z,MATCH($A293,SPPR!$A:$A,0),11)),$C293*INDEX(SPPR!$E:$Z,MATCH($A293,SPPR!$A:$A,0),11),""),"")</f>
        <v/>
      </c>
      <c r="O293">
        <f>IFERROR(IF(ISNUMBER(INDEX(SPPR!$E:$Z,MATCH($A293,SPPR!$A:$A,0),12)),$C293*INDEX(SPPR!$E:$Z,MATCH($A293,SPPR!$A:$A,0),12),""),"")</f>
        <v/>
      </c>
      <c r="P293">
        <f>IFERROR(IF(ISNUMBER(INDEX(SPPR!$E:$Z,MATCH($A293,SPPR!$A:$A,0),13)),$C293*INDEX(SPPR!$E:$Z,MATCH($A293,SPPR!$A:$A,0),13),""),"")</f>
        <v/>
      </c>
      <c r="Q293">
        <f>IFERROR(IF(ISNUMBER(INDEX(SPPR!$E:$Z,MATCH($A293,SPPR!$A:$A,0),14)),$C293*INDEX(SPPR!$E:$Z,MATCH($A293,SPPR!$A:$A,0),14),""),"")</f>
        <v/>
      </c>
      <c r="R293">
        <f>IFERROR(IF(ISNUMBER(INDEX(SPPR!$E:$Z,MATCH($A293,SPPR!$A:$A,0),15)),$C293*INDEX(SPPR!$E:$Z,MATCH($A293,SPPR!$A:$A,0),15),""),"")</f>
        <v/>
      </c>
      <c r="S293">
        <f>IFERROR(IF(ISNUMBER(INDEX(SPPR!$E:$Z,MATCH($A293,SPPR!$A:$A,0),16)),$C293*INDEX(SPPR!$E:$Z,MATCH($A293,SPPR!$A:$A,0),16),""),"")</f>
        <v/>
      </c>
      <c r="T293">
        <f>IFERROR(IF(ISNUMBER(INDEX(SPPR!$E:$Z,MATCH($A293,SPPR!$A:$A,0),17)),$C293*INDEX(SPPR!$E:$Z,MATCH($A293,SPPR!$A:$A,0),17),""),"")</f>
        <v/>
      </c>
      <c r="U293">
        <f>IFERROR(IF(ISNUMBER(INDEX(SPPR!$E:$Z,MATCH($A293,SPPR!$A:$A,0),18)),$C293*INDEX(SPPR!$E:$Z,MATCH($A293,SPPR!$A:$A,0),18),""),"")</f>
        <v/>
      </c>
      <c r="V293">
        <f>IFERROR(IF(ISNUMBER(INDEX(SPPR!$E:$Z,MATCH($A293,SPPR!$A:$A,0),19)),$C293*INDEX(SPPR!$E:$Z,MATCH($A293,SPPR!$A:$A,0),19),""),"")</f>
        <v/>
      </c>
      <c r="W293">
        <f>IFERROR(IF(ISNUMBER(INDEX(SPPR!$E:$Z,MATCH($A293,SPPR!$A:$A,0),20)),$C293*INDEX(SPPR!$E:$Z,MATCH($A293,SPPR!$A:$A,0),20),""),"")</f>
        <v/>
      </c>
      <c r="X293">
        <f>IFERROR(IF(ISNUMBER(INDEX(SPPR!$E:$Z,MATCH($A293,SPPR!$A:$A,0),21)),$C293*INDEX(SPPR!$E:$Z,MATCH($A293,SPPR!$A:$A,0),21),""),"")</f>
        <v/>
      </c>
      <c r="Y293">
        <f>IFERROR(IF(ISNUMBER(INDEX(SPPR!$E:$Z,MATCH($A293,SPPR!$A:$A,0),22)),$C293*INDEX(SPPR!$E:$Z,MATCH($A293,SPPR!$A:$A,0),22),""),"")</f>
        <v/>
      </c>
    </row>
    <row r="294">
      <c r="A294" t="inlineStr">
        <is>
          <t>Gnathanodon speciosus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IFERROR(IF(ISNUMBER(INDEX(SPPR!$E:$Z,MATCH($A294,SPPR!$A:$A,0),1)),$C294*INDEX(SPPR!$E:$Z,MATCH($A294,SPPR!$A:$A,0),1),""),"")</f>
        <v/>
      </c>
      <c r="E294">
        <f>IFERROR(IF(ISNUMBER(INDEX(SPPR!$E:$Z,MATCH($A294,SPPR!$A:$A,0),2)),$C294*INDEX(SPPR!$E:$Z,MATCH($A294,SPPR!$A:$A,0),2),""),"")</f>
        <v/>
      </c>
      <c r="F294">
        <f>IFERROR(IF(ISNUMBER(INDEX(SPPR!$E:$Z,MATCH($A294,SPPR!$A:$A,0),3)),$C294*INDEX(SPPR!$E:$Z,MATCH($A294,SPPR!$A:$A,0),3),""),"")</f>
        <v/>
      </c>
      <c r="G294">
        <f>IFERROR(IF(ISNUMBER(INDEX(SPPR!$E:$Z,MATCH($A294,SPPR!$A:$A,0),4)),$C294*INDEX(SPPR!$E:$Z,MATCH($A294,SPPR!$A:$A,0),4),""),"")</f>
        <v/>
      </c>
      <c r="H294">
        <f>IFERROR(IF(ISNUMBER(INDEX(SPPR!$E:$Z,MATCH($A294,SPPR!$A:$A,0),5)),$C294*INDEX(SPPR!$E:$Z,MATCH($A294,SPPR!$A:$A,0),5),""),"")</f>
        <v/>
      </c>
      <c r="I294">
        <f>IFERROR(IF(ISNUMBER(INDEX(SPPR!$E:$Z,MATCH($A294,SPPR!$A:$A,0),6)),$C294*INDEX(SPPR!$E:$Z,MATCH($A294,SPPR!$A:$A,0),6),""),"")</f>
        <v/>
      </c>
      <c r="J294">
        <f>IFERROR(IF(ISNUMBER(INDEX(SPPR!$E:$Z,MATCH($A294,SPPR!$A:$A,0),7)),$C294*INDEX(SPPR!$E:$Z,MATCH($A294,SPPR!$A:$A,0),7),""),"")</f>
        <v/>
      </c>
      <c r="K294">
        <f>IFERROR(IF(ISNUMBER(INDEX(SPPR!$E:$Z,MATCH($A294,SPPR!$A:$A,0),8)),$C294*INDEX(SPPR!$E:$Z,MATCH($A294,SPPR!$A:$A,0),8),""),"")</f>
        <v/>
      </c>
      <c r="L294">
        <f>IFERROR(IF(ISNUMBER(INDEX(SPPR!$E:$Z,MATCH($A294,SPPR!$A:$A,0),9)),$C294*INDEX(SPPR!$E:$Z,MATCH($A294,SPPR!$A:$A,0),9),""),"")</f>
        <v/>
      </c>
      <c r="M294">
        <f>IFERROR(IF(ISNUMBER(INDEX(SPPR!$E:$Z,MATCH($A294,SPPR!$A:$A,0),10)),$C294*INDEX(SPPR!$E:$Z,MATCH($A294,SPPR!$A:$A,0),10),""),"")</f>
        <v/>
      </c>
      <c r="N294">
        <f>IFERROR(IF(ISNUMBER(INDEX(SPPR!$E:$Z,MATCH($A294,SPPR!$A:$A,0),11)),$C294*INDEX(SPPR!$E:$Z,MATCH($A294,SPPR!$A:$A,0),11),""),"")</f>
        <v/>
      </c>
      <c r="O294">
        <f>IFERROR(IF(ISNUMBER(INDEX(SPPR!$E:$Z,MATCH($A294,SPPR!$A:$A,0),12)),$C294*INDEX(SPPR!$E:$Z,MATCH($A294,SPPR!$A:$A,0),12),""),"")</f>
        <v/>
      </c>
      <c r="P294">
        <f>IFERROR(IF(ISNUMBER(INDEX(SPPR!$E:$Z,MATCH($A294,SPPR!$A:$A,0),13)),$C294*INDEX(SPPR!$E:$Z,MATCH($A294,SPPR!$A:$A,0),13),""),"")</f>
        <v/>
      </c>
      <c r="Q294">
        <f>IFERROR(IF(ISNUMBER(INDEX(SPPR!$E:$Z,MATCH($A294,SPPR!$A:$A,0),14)),$C294*INDEX(SPPR!$E:$Z,MATCH($A294,SPPR!$A:$A,0),14),""),"")</f>
        <v/>
      </c>
      <c r="R294">
        <f>IFERROR(IF(ISNUMBER(INDEX(SPPR!$E:$Z,MATCH($A294,SPPR!$A:$A,0),15)),$C294*INDEX(SPPR!$E:$Z,MATCH($A294,SPPR!$A:$A,0),15),""),"")</f>
        <v/>
      </c>
      <c r="S294">
        <f>IFERROR(IF(ISNUMBER(INDEX(SPPR!$E:$Z,MATCH($A294,SPPR!$A:$A,0),16)),$C294*INDEX(SPPR!$E:$Z,MATCH($A294,SPPR!$A:$A,0),16),""),"")</f>
        <v/>
      </c>
      <c r="T294">
        <f>IFERROR(IF(ISNUMBER(INDEX(SPPR!$E:$Z,MATCH($A294,SPPR!$A:$A,0),17)),$C294*INDEX(SPPR!$E:$Z,MATCH($A294,SPPR!$A:$A,0),17),""),"")</f>
        <v/>
      </c>
      <c r="U294">
        <f>IFERROR(IF(ISNUMBER(INDEX(SPPR!$E:$Z,MATCH($A294,SPPR!$A:$A,0),18)),$C294*INDEX(SPPR!$E:$Z,MATCH($A294,SPPR!$A:$A,0),18),""),"")</f>
        <v/>
      </c>
      <c r="V294">
        <f>IFERROR(IF(ISNUMBER(INDEX(SPPR!$E:$Z,MATCH($A294,SPPR!$A:$A,0),19)),$C294*INDEX(SPPR!$E:$Z,MATCH($A294,SPPR!$A:$A,0),19),""),"")</f>
        <v/>
      </c>
      <c r="W294">
        <f>IFERROR(IF(ISNUMBER(INDEX(SPPR!$E:$Z,MATCH($A294,SPPR!$A:$A,0),20)),$C294*INDEX(SPPR!$E:$Z,MATCH($A294,SPPR!$A:$A,0),20),""),"")</f>
        <v/>
      </c>
      <c r="X294">
        <f>IFERROR(IF(ISNUMBER(INDEX(SPPR!$E:$Z,MATCH($A294,SPPR!$A:$A,0),21)),$C294*INDEX(SPPR!$E:$Z,MATCH($A294,SPPR!$A:$A,0),21),""),"")</f>
        <v/>
      </c>
      <c r="Y294">
        <f>IFERROR(IF(ISNUMBER(INDEX(SPPR!$E:$Z,MATCH($A294,SPPR!$A:$A,0),22)),$C294*INDEX(SPPR!$E:$Z,MATCH($A294,SPPR!$A:$A,0),22),""),"")</f>
        <v/>
      </c>
    </row>
    <row r="295">
      <c r="A295" t="inlineStr">
        <is>
          <t>Epinephelus malabaricus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IFERROR(IF(ISNUMBER(INDEX(SPPR!$E:$Z,MATCH($A295,SPPR!$A:$A,0),1)),$C295*INDEX(SPPR!$E:$Z,MATCH($A295,SPPR!$A:$A,0),1),""),"")</f>
        <v/>
      </c>
      <c r="E295">
        <f>IFERROR(IF(ISNUMBER(INDEX(SPPR!$E:$Z,MATCH($A295,SPPR!$A:$A,0),2)),$C295*INDEX(SPPR!$E:$Z,MATCH($A295,SPPR!$A:$A,0),2),""),"")</f>
        <v/>
      </c>
      <c r="F295">
        <f>IFERROR(IF(ISNUMBER(INDEX(SPPR!$E:$Z,MATCH($A295,SPPR!$A:$A,0),3)),$C295*INDEX(SPPR!$E:$Z,MATCH($A295,SPPR!$A:$A,0),3),""),"")</f>
        <v/>
      </c>
      <c r="G295">
        <f>IFERROR(IF(ISNUMBER(INDEX(SPPR!$E:$Z,MATCH($A295,SPPR!$A:$A,0),4)),$C295*INDEX(SPPR!$E:$Z,MATCH($A295,SPPR!$A:$A,0),4),""),"")</f>
        <v/>
      </c>
      <c r="H295">
        <f>IFERROR(IF(ISNUMBER(INDEX(SPPR!$E:$Z,MATCH($A295,SPPR!$A:$A,0),5)),$C295*INDEX(SPPR!$E:$Z,MATCH($A295,SPPR!$A:$A,0),5),""),"")</f>
        <v/>
      </c>
      <c r="I295">
        <f>IFERROR(IF(ISNUMBER(INDEX(SPPR!$E:$Z,MATCH($A295,SPPR!$A:$A,0),6)),$C295*INDEX(SPPR!$E:$Z,MATCH($A295,SPPR!$A:$A,0),6),""),"")</f>
        <v/>
      </c>
      <c r="J295">
        <f>IFERROR(IF(ISNUMBER(INDEX(SPPR!$E:$Z,MATCH($A295,SPPR!$A:$A,0),7)),$C295*INDEX(SPPR!$E:$Z,MATCH($A295,SPPR!$A:$A,0),7),""),"")</f>
        <v/>
      </c>
      <c r="K295">
        <f>IFERROR(IF(ISNUMBER(INDEX(SPPR!$E:$Z,MATCH($A295,SPPR!$A:$A,0),8)),$C295*INDEX(SPPR!$E:$Z,MATCH($A295,SPPR!$A:$A,0),8),""),"")</f>
        <v/>
      </c>
      <c r="L295">
        <f>IFERROR(IF(ISNUMBER(INDEX(SPPR!$E:$Z,MATCH($A295,SPPR!$A:$A,0),9)),$C295*INDEX(SPPR!$E:$Z,MATCH($A295,SPPR!$A:$A,0),9),""),"")</f>
        <v/>
      </c>
      <c r="M295">
        <f>IFERROR(IF(ISNUMBER(INDEX(SPPR!$E:$Z,MATCH($A295,SPPR!$A:$A,0),10)),$C295*INDEX(SPPR!$E:$Z,MATCH($A295,SPPR!$A:$A,0),10),""),"")</f>
        <v/>
      </c>
      <c r="N295">
        <f>IFERROR(IF(ISNUMBER(INDEX(SPPR!$E:$Z,MATCH($A295,SPPR!$A:$A,0),11)),$C295*INDEX(SPPR!$E:$Z,MATCH($A295,SPPR!$A:$A,0),11),""),"")</f>
        <v/>
      </c>
      <c r="O295">
        <f>IFERROR(IF(ISNUMBER(INDEX(SPPR!$E:$Z,MATCH($A295,SPPR!$A:$A,0),12)),$C295*INDEX(SPPR!$E:$Z,MATCH($A295,SPPR!$A:$A,0),12),""),"")</f>
        <v/>
      </c>
      <c r="P295">
        <f>IFERROR(IF(ISNUMBER(INDEX(SPPR!$E:$Z,MATCH($A295,SPPR!$A:$A,0),13)),$C295*INDEX(SPPR!$E:$Z,MATCH($A295,SPPR!$A:$A,0),13),""),"")</f>
        <v/>
      </c>
      <c r="Q295">
        <f>IFERROR(IF(ISNUMBER(INDEX(SPPR!$E:$Z,MATCH($A295,SPPR!$A:$A,0),14)),$C295*INDEX(SPPR!$E:$Z,MATCH($A295,SPPR!$A:$A,0),14),""),"")</f>
        <v/>
      </c>
      <c r="R295">
        <f>IFERROR(IF(ISNUMBER(INDEX(SPPR!$E:$Z,MATCH($A295,SPPR!$A:$A,0),15)),$C295*INDEX(SPPR!$E:$Z,MATCH($A295,SPPR!$A:$A,0),15),""),"")</f>
        <v/>
      </c>
      <c r="S295">
        <f>IFERROR(IF(ISNUMBER(INDEX(SPPR!$E:$Z,MATCH($A295,SPPR!$A:$A,0),16)),$C295*INDEX(SPPR!$E:$Z,MATCH($A295,SPPR!$A:$A,0),16),""),"")</f>
        <v/>
      </c>
      <c r="T295">
        <f>IFERROR(IF(ISNUMBER(INDEX(SPPR!$E:$Z,MATCH($A295,SPPR!$A:$A,0),17)),$C295*INDEX(SPPR!$E:$Z,MATCH($A295,SPPR!$A:$A,0),17),""),"")</f>
        <v/>
      </c>
      <c r="U295">
        <f>IFERROR(IF(ISNUMBER(INDEX(SPPR!$E:$Z,MATCH($A295,SPPR!$A:$A,0),18)),$C295*INDEX(SPPR!$E:$Z,MATCH($A295,SPPR!$A:$A,0),18),""),"")</f>
        <v/>
      </c>
      <c r="V295">
        <f>IFERROR(IF(ISNUMBER(INDEX(SPPR!$E:$Z,MATCH($A295,SPPR!$A:$A,0),19)),$C295*INDEX(SPPR!$E:$Z,MATCH($A295,SPPR!$A:$A,0),19),""),"")</f>
        <v/>
      </c>
      <c r="W295">
        <f>IFERROR(IF(ISNUMBER(INDEX(SPPR!$E:$Z,MATCH($A295,SPPR!$A:$A,0),20)),$C295*INDEX(SPPR!$E:$Z,MATCH($A295,SPPR!$A:$A,0),20),""),"")</f>
        <v/>
      </c>
      <c r="X295">
        <f>IFERROR(IF(ISNUMBER(INDEX(SPPR!$E:$Z,MATCH($A295,SPPR!$A:$A,0),21)),$C295*INDEX(SPPR!$E:$Z,MATCH($A295,SPPR!$A:$A,0),21),""),"")</f>
        <v/>
      </c>
      <c r="Y295">
        <f>IFERROR(IF(ISNUMBER(INDEX(SPPR!$E:$Z,MATCH($A295,SPPR!$A:$A,0),22)),$C295*INDEX(SPPR!$E:$Z,MATCH($A295,SPPR!$A:$A,0),22),""),"")</f>
        <v/>
      </c>
    </row>
    <row r="296">
      <c r="A296" t="inlineStr">
        <is>
          <t>Hyporhamphus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IFERROR(IF(ISNUMBER(INDEX(SPPR!$E:$Z,MATCH($A296,SPPR!$A:$A,0),1)),$C296*INDEX(SPPR!$E:$Z,MATCH($A296,SPPR!$A:$A,0),1),""),"")</f>
        <v/>
      </c>
      <c r="E296">
        <f>IFERROR(IF(ISNUMBER(INDEX(SPPR!$E:$Z,MATCH($A296,SPPR!$A:$A,0),2)),$C296*INDEX(SPPR!$E:$Z,MATCH($A296,SPPR!$A:$A,0),2),""),"")</f>
        <v/>
      </c>
      <c r="F296">
        <f>IFERROR(IF(ISNUMBER(INDEX(SPPR!$E:$Z,MATCH($A296,SPPR!$A:$A,0),3)),$C296*INDEX(SPPR!$E:$Z,MATCH($A296,SPPR!$A:$A,0),3),""),"")</f>
        <v/>
      </c>
      <c r="G296">
        <f>IFERROR(IF(ISNUMBER(INDEX(SPPR!$E:$Z,MATCH($A296,SPPR!$A:$A,0),4)),$C296*INDEX(SPPR!$E:$Z,MATCH($A296,SPPR!$A:$A,0),4),""),"")</f>
        <v/>
      </c>
      <c r="H296">
        <f>IFERROR(IF(ISNUMBER(INDEX(SPPR!$E:$Z,MATCH($A296,SPPR!$A:$A,0),5)),$C296*INDEX(SPPR!$E:$Z,MATCH($A296,SPPR!$A:$A,0),5),""),"")</f>
        <v/>
      </c>
      <c r="I296">
        <f>IFERROR(IF(ISNUMBER(INDEX(SPPR!$E:$Z,MATCH($A296,SPPR!$A:$A,0),6)),$C296*INDEX(SPPR!$E:$Z,MATCH($A296,SPPR!$A:$A,0),6),""),"")</f>
        <v/>
      </c>
      <c r="J296">
        <f>IFERROR(IF(ISNUMBER(INDEX(SPPR!$E:$Z,MATCH($A296,SPPR!$A:$A,0),7)),$C296*INDEX(SPPR!$E:$Z,MATCH($A296,SPPR!$A:$A,0),7),""),"")</f>
        <v/>
      </c>
      <c r="K296">
        <f>IFERROR(IF(ISNUMBER(INDEX(SPPR!$E:$Z,MATCH($A296,SPPR!$A:$A,0),8)),$C296*INDEX(SPPR!$E:$Z,MATCH($A296,SPPR!$A:$A,0),8),""),"")</f>
        <v/>
      </c>
      <c r="L296">
        <f>IFERROR(IF(ISNUMBER(INDEX(SPPR!$E:$Z,MATCH($A296,SPPR!$A:$A,0),9)),$C296*INDEX(SPPR!$E:$Z,MATCH($A296,SPPR!$A:$A,0),9),""),"")</f>
        <v/>
      </c>
      <c r="M296">
        <f>IFERROR(IF(ISNUMBER(INDEX(SPPR!$E:$Z,MATCH($A296,SPPR!$A:$A,0),10)),$C296*INDEX(SPPR!$E:$Z,MATCH($A296,SPPR!$A:$A,0),10),""),"")</f>
        <v/>
      </c>
      <c r="N296">
        <f>IFERROR(IF(ISNUMBER(INDEX(SPPR!$E:$Z,MATCH($A296,SPPR!$A:$A,0),11)),$C296*INDEX(SPPR!$E:$Z,MATCH($A296,SPPR!$A:$A,0),11),""),"")</f>
        <v/>
      </c>
      <c r="O296">
        <f>IFERROR(IF(ISNUMBER(INDEX(SPPR!$E:$Z,MATCH($A296,SPPR!$A:$A,0),12)),$C296*INDEX(SPPR!$E:$Z,MATCH($A296,SPPR!$A:$A,0),12),""),"")</f>
        <v/>
      </c>
      <c r="P296">
        <f>IFERROR(IF(ISNUMBER(INDEX(SPPR!$E:$Z,MATCH($A296,SPPR!$A:$A,0),13)),$C296*INDEX(SPPR!$E:$Z,MATCH($A296,SPPR!$A:$A,0),13),""),"")</f>
        <v/>
      </c>
      <c r="Q296">
        <f>IFERROR(IF(ISNUMBER(INDEX(SPPR!$E:$Z,MATCH($A296,SPPR!$A:$A,0),14)),$C296*INDEX(SPPR!$E:$Z,MATCH($A296,SPPR!$A:$A,0),14),""),"")</f>
        <v/>
      </c>
      <c r="R296">
        <f>IFERROR(IF(ISNUMBER(INDEX(SPPR!$E:$Z,MATCH($A296,SPPR!$A:$A,0),15)),$C296*INDEX(SPPR!$E:$Z,MATCH($A296,SPPR!$A:$A,0),15),""),"")</f>
        <v/>
      </c>
      <c r="S296">
        <f>IFERROR(IF(ISNUMBER(INDEX(SPPR!$E:$Z,MATCH($A296,SPPR!$A:$A,0),16)),$C296*INDEX(SPPR!$E:$Z,MATCH($A296,SPPR!$A:$A,0),16),""),"")</f>
        <v/>
      </c>
      <c r="T296">
        <f>IFERROR(IF(ISNUMBER(INDEX(SPPR!$E:$Z,MATCH($A296,SPPR!$A:$A,0),17)),$C296*INDEX(SPPR!$E:$Z,MATCH($A296,SPPR!$A:$A,0),17),""),"")</f>
        <v/>
      </c>
      <c r="U296">
        <f>IFERROR(IF(ISNUMBER(INDEX(SPPR!$E:$Z,MATCH($A296,SPPR!$A:$A,0),18)),$C296*INDEX(SPPR!$E:$Z,MATCH($A296,SPPR!$A:$A,0),18),""),"")</f>
        <v/>
      </c>
      <c r="V296">
        <f>IFERROR(IF(ISNUMBER(INDEX(SPPR!$E:$Z,MATCH($A296,SPPR!$A:$A,0),19)),$C296*INDEX(SPPR!$E:$Z,MATCH($A296,SPPR!$A:$A,0),19),""),"")</f>
        <v/>
      </c>
      <c r="W296">
        <f>IFERROR(IF(ISNUMBER(INDEX(SPPR!$E:$Z,MATCH($A296,SPPR!$A:$A,0),20)),$C296*INDEX(SPPR!$E:$Z,MATCH($A296,SPPR!$A:$A,0),20),""),"")</f>
        <v/>
      </c>
      <c r="X296">
        <f>IFERROR(IF(ISNUMBER(INDEX(SPPR!$E:$Z,MATCH($A296,SPPR!$A:$A,0),21)),$C296*INDEX(SPPR!$E:$Z,MATCH($A296,SPPR!$A:$A,0),21),""),"")</f>
        <v/>
      </c>
      <c r="Y296">
        <f>IFERROR(IF(ISNUMBER(INDEX(SPPR!$E:$Z,MATCH($A296,SPPR!$A:$A,0),22)),$C296*INDEX(SPPR!$E:$Z,MATCH($A296,SPPR!$A:$A,0),22),""),"")</f>
        <v/>
      </c>
    </row>
    <row r="297">
      <c r="A297" t="inlineStr">
        <is>
          <t>Makaira mazara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IFERROR(IF(ISNUMBER(INDEX(SPPR!$E:$Z,MATCH($A297,SPPR!$A:$A,0),1)),$C297*INDEX(SPPR!$E:$Z,MATCH($A297,SPPR!$A:$A,0),1),""),"")</f>
        <v/>
      </c>
      <c r="E297">
        <f>IFERROR(IF(ISNUMBER(INDEX(SPPR!$E:$Z,MATCH($A297,SPPR!$A:$A,0),2)),$C297*INDEX(SPPR!$E:$Z,MATCH($A297,SPPR!$A:$A,0),2),""),"")</f>
        <v/>
      </c>
      <c r="F297">
        <f>IFERROR(IF(ISNUMBER(INDEX(SPPR!$E:$Z,MATCH($A297,SPPR!$A:$A,0),3)),$C297*INDEX(SPPR!$E:$Z,MATCH($A297,SPPR!$A:$A,0),3),""),"")</f>
        <v/>
      </c>
      <c r="G297">
        <f>IFERROR(IF(ISNUMBER(INDEX(SPPR!$E:$Z,MATCH($A297,SPPR!$A:$A,0),4)),$C297*INDEX(SPPR!$E:$Z,MATCH($A297,SPPR!$A:$A,0),4),""),"")</f>
        <v/>
      </c>
      <c r="H297">
        <f>IFERROR(IF(ISNUMBER(INDEX(SPPR!$E:$Z,MATCH($A297,SPPR!$A:$A,0),5)),$C297*INDEX(SPPR!$E:$Z,MATCH($A297,SPPR!$A:$A,0),5),""),"")</f>
        <v/>
      </c>
      <c r="I297">
        <f>IFERROR(IF(ISNUMBER(INDEX(SPPR!$E:$Z,MATCH($A297,SPPR!$A:$A,0),6)),$C297*INDEX(SPPR!$E:$Z,MATCH($A297,SPPR!$A:$A,0),6),""),"")</f>
        <v/>
      </c>
      <c r="J297">
        <f>IFERROR(IF(ISNUMBER(INDEX(SPPR!$E:$Z,MATCH($A297,SPPR!$A:$A,0),7)),$C297*INDEX(SPPR!$E:$Z,MATCH($A297,SPPR!$A:$A,0),7),""),"")</f>
        <v/>
      </c>
      <c r="K297">
        <f>IFERROR(IF(ISNUMBER(INDEX(SPPR!$E:$Z,MATCH($A297,SPPR!$A:$A,0),8)),$C297*INDEX(SPPR!$E:$Z,MATCH($A297,SPPR!$A:$A,0),8),""),"")</f>
        <v/>
      </c>
      <c r="L297">
        <f>IFERROR(IF(ISNUMBER(INDEX(SPPR!$E:$Z,MATCH($A297,SPPR!$A:$A,0),9)),$C297*INDEX(SPPR!$E:$Z,MATCH($A297,SPPR!$A:$A,0),9),""),"")</f>
        <v/>
      </c>
      <c r="M297">
        <f>IFERROR(IF(ISNUMBER(INDEX(SPPR!$E:$Z,MATCH($A297,SPPR!$A:$A,0),10)),$C297*INDEX(SPPR!$E:$Z,MATCH($A297,SPPR!$A:$A,0),10),""),"")</f>
        <v/>
      </c>
      <c r="N297">
        <f>IFERROR(IF(ISNUMBER(INDEX(SPPR!$E:$Z,MATCH($A297,SPPR!$A:$A,0),11)),$C297*INDEX(SPPR!$E:$Z,MATCH($A297,SPPR!$A:$A,0),11),""),"")</f>
        <v/>
      </c>
      <c r="O297">
        <f>IFERROR(IF(ISNUMBER(INDEX(SPPR!$E:$Z,MATCH($A297,SPPR!$A:$A,0),12)),$C297*INDEX(SPPR!$E:$Z,MATCH($A297,SPPR!$A:$A,0),12),""),"")</f>
        <v/>
      </c>
      <c r="P297">
        <f>IFERROR(IF(ISNUMBER(INDEX(SPPR!$E:$Z,MATCH($A297,SPPR!$A:$A,0),13)),$C297*INDEX(SPPR!$E:$Z,MATCH($A297,SPPR!$A:$A,0),13),""),"")</f>
        <v/>
      </c>
      <c r="Q297">
        <f>IFERROR(IF(ISNUMBER(INDEX(SPPR!$E:$Z,MATCH($A297,SPPR!$A:$A,0),14)),$C297*INDEX(SPPR!$E:$Z,MATCH($A297,SPPR!$A:$A,0),14),""),"")</f>
        <v/>
      </c>
      <c r="R297">
        <f>IFERROR(IF(ISNUMBER(INDEX(SPPR!$E:$Z,MATCH($A297,SPPR!$A:$A,0),15)),$C297*INDEX(SPPR!$E:$Z,MATCH($A297,SPPR!$A:$A,0),15),""),"")</f>
        <v/>
      </c>
      <c r="S297">
        <f>IFERROR(IF(ISNUMBER(INDEX(SPPR!$E:$Z,MATCH($A297,SPPR!$A:$A,0),16)),$C297*INDEX(SPPR!$E:$Z,MATCH($A297,SPPR!$A:$A,0),16),""),"")</f>
        <v/>
      </c>
      <c r="T297">
        <f>IFERROR(IF(ISNUMBER(INDEX(SPPR!$E:$Z,MATCH($A297,SPPR!$A:$A,0),17)),$C297*INDEX(SPPR!$E:$Z,MATCH($A297,SPPR!$A:$A,0),17),""),"")</f>
        <v/>
      </c>
      <c r="U297">
        <f>IFERROR(IF(ISNUMBER(INDEX(SPPR!$E:$Z,MATCH($A297,SPPR!$A:$A,0),18)),$C297*INDEX(SPPR!$E:$Z,MATCH($A297,SPPR!$A:$A,0),18),""),"")</f>
        <v/>
      </c>
      <c r="V297">
        <f>IFERROR(IF(ISNUMBER(INDEX(SPPR!$E:$Z,MATCH($A297,SPPR!$A:$A,0),19)),$C297*INDEX(SPPR!$E:$Z,MATCH($A297,SPPR!$A:$A,0),19),""),"")</f>
        <v/>
      </c>
      <c r="W297">
        <f>IFERROR(IF(ISNUMBER(INDEX(SPPR!$E:$Z,MATCH($A297,SPPR!$A:$A,0),20)),$C297*INDEX(SPPR!$E:$Z,MATCH($A297,SPPR!$A:$A,0),20),""),"")</f>
        <v/>
      </c>
      <c r="X297">
        <f>IFERROR(IF(ISNUMBER(INDEX(SPPR!$E:$Z,MATCH($A297,SPPR!$A:$A,0),21)),$C297*INDEX(SPPR!$E:$Z,MATCH($A297,SPPR!$A:$A,0),21),""),"")</f>
        <v/>
      </c>
      <c r="Y297">
        <f>IFERROR(IF(ISNUMBER(INDEX(SPPR!$E:$Z,MATCH($A297,SPPR!$A:$A,0),22)),$C297*INDEX(SPPR!$E:$Z,MATCH($A297,SPPR!$A:$A,0),22),""),"")</f>
        <v/>
      </c>
    </row>
    <row r="298">
      <c r="A298" t="inlineStr">
        <is>
          <t>Hyporhamphus sajori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IFERROR(IF(ISNUMBER(INDEX(SPPR!$E:$Z,MATCH($A298,SPPR!$A:$A,0),1)),$C298*INDEX(SPPR!$E:$Z,MATCH($A298,SPPR!$A:$A,0),1),""),"")</f>
        <v/>
      </c>
      <c r="E298">
        <f>IFERROR(IF(ISNUMBER(INDEX(SPPR!$E:$Z,MATCH($A298,SPPR!$A:$A,0),2)),$C298*INDEX(SPPR!$E:$Z,MATCH($A298,SPPR!$A:$A,0),2),""),"")</f>
        <v/>
      </c>
      <c r="F298">
        <f>IFERROR(IF(ISNUMBER(INDEX(SPPR!$E:$Z,MATCH($A298,SPPR!$A:$A,0),3)),$C298*INDEX(SPPR!$E:$Z,MATCH($A298,SPPR!$A:$A,0),3),""),"")</f>
        <v/>
      </c>
      <c r="G298">
        <f>IFERROR(IF(ISNUMBER(INDEX(SPPR!$E:$Z,MATCH($A298,SPPR!$A:$A,0),4)),$C298*INDEX(SPPR!$E:$Z,MATCH($A298,SPPR!$A:$A,0),4),""),"")</f>
        <v/>
      </c>
      <c r="H298">
        <f>IFERROR(IF(ISNUMBER(INDEX(SPPR!$E:$Z,MATCH($A298,SPPR!$A:$A,0),5)),$C298*INDEX(SPPR!$E:$Z,MATCH($A298,SPPR!$A:$A,0),5),""),"")</f>
        <v/>
      </c>
      <c r="I298">
        <f>IFERROR(IF(ISNUMBER(INDEX(SPPR!$E:$Z,MATCH($A298,SPPR!$A:$A,0),6)),$C298*INDEX(SPPR!$E:$Z,MATCH($A298,SPPR!$A:$A,0),6),""),"")</f>
        <v/>
      </c>
      <c r="J298">
        <f>IFERROR(IF(ISNUMBER(INDEX(SPPR!$E:$Z,MATCH($A298,SPPR!$A:$A,0),7)),$C298*INDEX(SPPR!$E:$Z,MATCH($A298,SPPR!$A:$A,0),7),""),"")</f>
        <v/>
      </c>
      <c r="K298">
        <f>IFERROR(IF(ISNUMBER(INDEX(SPPR!$E:$Z,MATCH($A298,SPPR!$A:$A,0),8)),$C298*INDEX(SPPR!$E:$Z,MATCH($A298,SPPR!$A:$A,0),8),""),"")</f>
        <v/>
      </c>
      <c r="L298">
        <f>IFERROR(IF(ISNUMBER(INDEX(SPPR!$E:$Z,MATCH($A298,SPPR!$A:$A,0),9)),$C298*INDEX(SPPR!$E:$Z,MATCH($A298,SPPR!$A:$A,0),9),""),"")</f>
        <v/>
      </c>
      <c r="M298">
        <f>IFERROR(IF(ISNUMBER(INDEX(SPPR!$E:$Z,MATCH($A298,SPPR!$A:$A,0),10)),$C298*INDEX(SPPR!$E:$Z,MATCH($A298,SPPR!$A:$A,0),10),""),"")</f>
        <v/>
      </c>
      <c r="N298">
        <f>IFERROR(IF(ISNUMBER(INDEX(SPPR!$E:$Z,MATCH($A298,SPPR!$A:$A,0),11)),$C298*INDEX(SPPR!$E:$Z,MATCH($A298,SPPR!$A:$A,0),11),""),"")</f>
        <v/>
      </c>
      <c r="O298">
        <f>IFERROR(IF(ISNUMBER(INDEX(SPPR!$E:$Z,MATCH($A298,SPPR!$A:$A,0),12)),$C298*INDEX(SPPR!$E:$Z,MATCH($A298,SPPR!$A:$A,0),12),""),"")</f>
        <v/>
      </c>
      <c r="P298">
        <f>IFERROR(IF(ISNUMBER(INDEX(SPPR!$E:$Z,MATCH($A298,SPPR!$A:$A,0),13)),$C298*INDEX(SPPR!$E:$Z,MATCH($A298,SPPR!$A:$A,0),13),""),"")</f>
        <v/>
      </c>
      <c r="Q298">
        <f>IFERROR(IF(ISNUMBER(INDEX(SPPR!$E:$Z,MATCH($A298,SPPR!$A:$A,0),14)),$C298*INDEX(SPPR!$E:$Z,MATCH($A298,SPPR!$A:$A,0),14),""),"")</f>
        <v/>
      </c>
      <c r="R298">
        <f>IFERROR(IF(ISNUMBER(INDEX(SPPR!$E:$Z,MATCH($A298,SPPR!$A:$A,0),15)),$C298*INDEX(SPPR!$E:$Z,MATCH($A298,SPPR!$A:$A,0),15),""),"")</f>
        <v/>
      </c>
      <c r="S298">
        <f>IFERROR(IF(ISNUMBER(INDEX(SPPR!$E:$Z,MATCH($A298,SPPR!$A:$A,0),16)),$C298*INDEX(SPPR!$E:$Z,MATCH($A298,SPPR!$A:$A,0),16),""),"")</f>
        <v/>
      </c>
      <c r="T298">
        <f>IFERROR(IF(ISNUMBER(INDEX(SPPR!$E:$Z,MATCH($A298,SPPR!$A:$A,0),17)),$C298*INDEX(SPPR!$E:$Z,MATCH($A298,SPPR!$A:$A,0),17),""),"")</f>
        <v/>
      </c>
      <c r="U298">
        <f>IFERROR(IF(ISNUMBER(INDEX(SPPR!$E:$Z,MATCH($A298,SPPR!$A:$A,0),18)),$C298*INDEX(SPPR!$E:$Z,MATCH($A298,SPPR!$A:$A,0),18),""),"")</f>
        <v/>
      </c>
      <c r="V298">
        <f>IFERROR(IF(ISNUMBER(INDEX(SPPR!$E:$Z,MATCH($A298,SPPR!$A:$A,0),19)),$C298*INDEX(SPPR!$E:$Z,MATCH($A298,SPPR!$A:$A,0),19),""),"")</f>
        <v/>
      </c>
      <c r="W298">
        <f>IFERROR(IF(ISNUMBER(INDEX(SPPR!$E:$Z,MATCH($A298,SPPR!$A:$A,0),20)),$C298*INDEX(SPPR!$E:$Z,MATCH($A298,SPPR!$A:$A,0),20),""),"")</f>
        <v/>
      </c>
      <c r="X298">
        <f>IFERROR(IF(ISNUMBER(INDEX(SPPR!$E:$Z,MATCH($A298,SPPR!$A:$A,0),21)),$C298*INDEX(SPPR!$E:$Z,MATCH($A298,SPPR!$A:$A,0),21),""),"")</f>
        <v/>
      </c>
      <c r="Y298">
        <f>IFERROR(IF(ISNUMBER(INDEX(SPPR!$E:$Z,MATCH($A298,SPPR!$A:$A,0),22)),$C298*INDEX(SPPR!$E:$Z,MATCH($A298,SPPR!$A:$A,0),22),""),"")</f>
        <v/>
      </c>
    </row>
    <row r="299">
      <c r="A299" t="inlineStr">
        <is>
          <t>Carcharhinus longimanus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IFERROR(IF(ISNUMBER(INDEX(SPPR!$E:$Z,MATCH($A299,SPPR!$A:$A,0),1)),$C299*INDEX(SPPR!$E:$Z,MATCH($A299,SPPR!$A:$A,0),1),""),"")</f>
        <v/>
      </c>
      <c r="E299">
        <f>IFERROR(IF(ISNUMBER(INDEX(SPPR!$E:$Z,MATCH($A299,SPPR!$A:$A,0),2)),$C299*INDEX(SPPR!$E:$Z,MATCH($A299,SPPR!$A:$A,0),2),""),"")</f>
        <v/>
      </c>
      <c r="F299">
        <f>IFERROR(IF(ISNUMBER(INDEX(SPPR!$E:$Z,MATCH($A299,SPPR!$A:$A,0),3)),$C299*INDEX(SPPR!$E:$Z,MATCH($A299,SPPR!$A:$A,0),3),""),"")</f>
        <v/>
      </c>
      <c r="G299">
        <f>IFERROR(IF(ISNUMBER(INDEX(SPPR!$E:$Z,MATCH($A299,SPPR!$A:$A,0),4)),$C299*INDEX(SPPR!$E:$Z,MATCH($A299,SPPR!$A:$A,0),4),""),"")</f>
        <v/>
      </c>
      <c r="H299">
        <f>IFERROR(IF(ISNUMBER(INDEX(SPPR!$E:$Z,MATCH($A299,SPPR!$A:$A,0),5)),$C299*INDEX(SPPR!$E:$Z,MATCH($A299,SPPR!$A:$A,0),5),""),"")</f>
        <v/>
      </c>
      <c r="I299">
        <f>IFERROR(IF(ISNUMBER(INDEX(SPPR!$E:$Z,MATCH($A299,SPPR!$A:$A,0),6)),$C299*INDEX(SPPR!$E:$Z,MATCH($A299,SPPR!$A:$A,0),6),""),"")</f>
        <v/>
      </c>
      <c r="J299">
        <f>IFERROR(IF(ISNUMBER(INDEX(SPPR!$E:$Z,MATCH($A299,SPPR!$A:$A,0),7)),$C299*INDEX(SPPR!$E:$Z,MATCH($A299,SPPR!$A:$A,0),7),""),"")</f>
        <v/>
      </c>
      <c r="K299">
        <f>IFERROR(IF(ISNUMBER(INDEX(SPPR!$E:$Z,MATCH($A299,SPPR!$A:$A,0),8)),$C299*INDEX(SPPR!$E:$Z,MATCH($A299,SPPR!$A:$A,0),8),""),"")</f>
        <v/>
      </c>
      <c r="L299">
        <f>IFERROR(IF(ISNUMBER(INDEX(SPPR!$E:$Z,MATCH($A299,SPPR!$A:$A,0),9)),$C299*INDEX(SPPR!$E:$Z,MATCH($A299,SPPR!$A:$A,0),9),""),"")</f>
        <v/>
      </c>
      <c r="M299">
        <f>IFERROR(IF(ISNUMBER(INDEX(SPPR!$E:$Z,MATCH($A299,SPPR!$A:$A,0),10)),$C299*INDEX(SPPR!$E:$Z,MATCH($A299,SPPR!$A:$A,0),10),""),"")</f>
        <v/>
      </c>
      <c r="N299">
        <f>IFERROR(IF(ISNUMBER(INDEX(SPPR!$E:$Z,MATCH($A299,SPPR!$A:$A,0),11)),$C299*INDEX(SPPR!$E:$Z,MATCH($A299,SPPR!$A:$A,0),11),""),"")</f>
        <v/>
      </c>
      <c r="O299">
        <f>IFERROR(IF(ISNUMBER(INDEX(SPPR!$E:$Z,MATCH($A299,SPPR!$A:$A,0),12)),$C299*INDEX(SPPR!$E:$Z,MATCH($A299,SPPR!$A:$A,0),12),""),"")</f>
        <v/>
      </c>
      <c r="P299">
        <f>IFERROR(IF(ISNUMBER(INDEX(SPPR!$E:$Z,MATCH($A299,SPPR!$A:$A,0),13)),$C299*INDEX(SPPR!$E:$Z,MATCH($A299,SPPR!$A:$A,0),13),""),"")</f>
        <v/>
      </c>
      <c r="Q299">
        <f>IFERROR(IF(ISNUMBER(INDEX(SPPR!$E:$Z,MATCH($A299,SPPR!$A:$A,0),14)),$C299*INDEX(SPPR!$E:$Z,MATCH($A299,SPPR!$A:$A,0),14),""),"")</f>
        <v/>
      </c>
      <c r="R299">
        <f>IFERROR(IF(ISNUMBER(INDEX(SPPR!$E:$Z,MATCH($A299,SPPR!$A:$A,0),15)),$C299*INDEX(SPPR!$E:$Z,MATCH($A299,SPPR!$A:$A,0),15),""),"")</f>
        <v/>
      </c>
      <c r="S299">
        <f>IFERROR(IF(ISNUMBER(INDEX(SPPR!$E:$Z,MATCH($A299,SPPR!$A:$A,0),16)),$C299*INDEX(SPPR!$E:$Z,MATCH($A299,SPPR!$A:$A,0),16),""),"")</f>
        <v/>
      </c>
      <c r="T299">
        <f>IFERROR(IF(ISNUMBER(INDEX(SPPR!$E:$Z,MATCH($A299,SPPR!$A:$A,0),17)),$C299*INDEX(SPPR!$E:$Z,MATCH($A299,SPPR!$A:$A,0),17),""),"")</f>
        <v/>
      </c>
      <c r="U299">
        <f>IFERROR(IF(ISNUMBER(INDEX(SPPR!$E:$Z,MATCH($A299,SPPR!$A:$A,0),18)),$C299*INDEX(SPPR!$E:$Z,MATCH($A299,SPPR!$A:$A,0),18),""),"")</f>
        <v/>
      </c>
      <c r="V299">
        <f>IFERROR(IF(ISNUMBER(INDEX(SPPR!$E:$Z,MATCH($A299,SPPR!$A:$A,0),19)),$C299*INDEX(SPPR!$E:$Z,MATCH($A299,SPPR!$A:$A,0),19),""),"")</f>
        <v/>
      </c>
      <c r="W299">
        <f>IFERROR(IF(ISNUMBER(INDEX(SPPR!$E:$Z,MATCH($A299,SPPR!$A:$A,0),20)),$C299*INDEX(SPPR!$E:$Z,MATCH($A299,SPPR!$A:$A,0),20),""),"")</f>
        <v/>
      </c>
      <c r="X299">
        <f>IFERROR(IF(ISNUMBER(INDEX(SPPR!$E:$Z,MATCH($A299,SPPR!$A:$A,0),21)),$C299*INDEX(SPPR!$E:$Z,MATCH($A299,SPPR!$A:$A,0),21),""),"")</f>
        <v/>
      </c>
      <c r="Y299">
        <f>IFERROR(IF(ISNUMBER(INDEX(SPPR!$E:$Z,MATCH($A299,SPPR!$A:$A,0),22)),$C299*INDEX(SPPR!$E:$Z,MATCH($A299,SPPR!$A:$A,0),22),""),"")</f>
        <v/>
      </c>
    </row>
    <row r="300">
      <c r="A300" t="inlineStr">
        <is>
          <t>Ambassidae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IFERROR(IF(ISNUMBER(INDEX(SPPR!$E:$Z,MATCH($A300,SPPR!$A:$A,0),1)),$C300*INDEX(SPPR!$E:$Z,MATCH($A300,SPPR!$A:$A,0),1),""),"")</f>
        <v/>
      </c>
      <c r="E300">
        <f>IFERROR(IF(ISNUMBER(INDEX(SPPR!$E:$Z,MATCH($A300,SPPR!$A:$A,0),2)),$C300*INDEX(SPPR!$E:$Z,MATCH($A300,SPPR!$A:$A,0),2),""),"")</f>
        <v/>
      </c>
      <c r="F300">
        <f>IFERROR(IF(ISNUMBER(INDEX(SPPR!$E:$Z,MATCH($A300,SPPR!$A:$A,0),3)),$C300*INDEX(SPPR!$E:$Z,MATCH($A300,SPPR!$A:$A,0),3),""),"")</f>
        <v/>
      </c>
      <c r="G300">
        <f>IFERROR(IF(ISNUMBER(INDEX(SPPR!$E:$Z,MATCH($A300,SPPR!$A:$A,0),4)),$C300*INDEX(SPPR!$E:$Z,MATCH($A300,SPPR!$A:$A,0),4),""),"")</f>
        <v/>
      </c>
      <c r="H300">
        <f>IFERROR(IF(ISNUMBER(INDEX(SPPR!$E:$Z,MATCH($A300,SPPR!$A:$A,0),5)),$C300*INDEX(SPPR!$E:$Z,MATCH($A300,SPPR!$A:$A,0),5),""),"")</f>
        <v/>
      </c>
      <c r="I300">
        <f>IFERROR(IF(ISNUMBER(INDEX(SPPR!$E:$Z,MATCH($A300,SPPR!$A:$A,0),6)),$C300*INDEX(SPPR!$E:$Z,MATCH($A300,SPPR!$A:$A,0),6),""),"")</f>
        <v/>
      </c>
      <c r="J300">
        <f>IFERROR(IF(ISNUMBER(INDEX(SPPR!$E:$Z,MATCH($A300,SPPR!$A:$A,0),7)),$C300*INDEX(SPPR!$E:$Z,MATCH($A300,SPPR!$A:$A,0),7),""),"")</f>
        <v/>
      </c>
      <c r="K300">
        <f>IFERROR(IF(ISNUMBER(INDEX(SPPR!$E:$Z,MATCH($A300,SPPR!$A:$A,0),8)),$C300*INDEX(SPPR!$E:$Z,MATCH($A300,SPPR!$A:$A,0),8),""),"")</f>
        <v/>
      </c>
      <c r="L300">
        <f>IFERROR(IF(ISNUMBER(INDEX(SPPR!$E:$Z,MATCH($A300,SPPR!$A:$A,0),9)),$C300*INDEX(SPPR!$E:$Z,MATCH($A300,SPPR!$A:$A,0),9),""),"")</f>
        <v/>
      </c>
      <c r="M300">
        <f>IFERROR(IF(ISNUMBER(INDEX(SPPR!$E:$Z,MATCH($A300,SPPR!$A:$A,0),10)),$C300*INDEX(SPPR!$E:$Z,MATCH($A300,SPPR!$A:$A,0),10),""),"")</f>
        <v/>
      </c>
      <c r="N300">
        <f>IFERROR(IF(ISNUMBER(INDEX(SPPR!$E:$Z,MATCH($A300,SPPR!$A:$A,0),11)),$C300*INDEX(SPPR!$E:$Z,MATCH($A300,SPPR!$A:$A,0),11),""),"")</f>
        <v/>
      </c>
      <c r="O300">
        <f>IFERROR(IF(ISNUMBER(INDEX(SPPR!$E:$Z,MATCH($A300,SPPR!$A:$A,0),12)),$C300*INDEX(SPPR!$E:$Z,MATCH($A300,SPPR!$A:$A,0),12),""),"")</f>
        <v/>
      </c>
      <c r="P300">
        <f>IFERROR(IF(ISNUMBER(INDEX(SPPR!$E:$Z,MATCH($A300,SPPR!$A:$A,0),13)),$C300*INDEX(SPPR!$E:$Z,MATCH($A300,SPPR!$A:$A,0),13),""),"")</f>
        <v/>
      </c>
      <c r="Q300">
        <f>IFERROR(IF(ISNUMBER(INDEX(SPPR!$E:$Z,MATCH($A300,SPPR!$A:$A,0),14)),$C300*INDEX(SPPR!$E:$Z,MATCH($A300,SPPR!$A:$A,0),14),""),"")</f>
        <v/>
      </c>
      <c r="R300">
        <f>IFERROR(IF(ISNUMBER(INDEX(SPPR!$E:$Z,MATCH($A300,SPPR!$A:$A,0),15)),$C300*INDEX(SPPR!$E:$Z,MATCH($A300,SPPR!$A:$A,0),15),""),"")</f>
        <v/>
      </c>
      <c r="S300">
        <f>IFERROR(IF(ISNUMBER(INDEX(SPPR!$E:$Z,MATCH($A300,SPPR!$A:$A,0),16)),$C300*INDEX(SPPR!$E:$Z,MATCH($A300,SPPR!$A:$A,0),16),""),"")</f>
        <v/>
      </c>
      <c r="T300">
        <f>IFERROR(IF(ISNUMBER(INDEX(SPPR!$E:$Z,MATCH($A300,SPPR!$A:$A,0),17)),$C300*INDEX(SPPR!$E:$Z,MATCH($A300,SPPR!$A:$A,0),17),""),"")</f>
        <v/>
      </c>
      <c r="U300">
        <f>IFERROR(IF(ISNUMBER(INDEX(SPPR!$E:$Z,MATCH($A300,SPPR!$A:$A,0),18)),$C300*INDEX(SPPR!$E:$Z,MATCH($A300,SPPR!$A:$A,0),18),""),"")</f>
        <v/>
      </c>
      <c r="V300">
        <f>IFERROR(IF(ISNUMBER(INDEX(SPPR!$E:$Z,MATCH($A300,SPPR!$A:$A,0),19)),$C300*INDEX(SPPR!$E:$Z,MATCH($A300,SPPR!$A:$A,0),19),""),"")</f>
        <v/>
      </c>
      <c r="W300">
        <f>IFERROR(IF(ISNUMBER(INDEX(SPPR!$E:$Z,MATCH($A300,SPPR!$A:$A,0),20)),$C300*INDEX(SPPR!$E:$Z,MATCH($A300,SPPR!$A:$A,0),20),""),"")</f>
        <v/>
      </c>
      <c r="X300">
        <f>IFERROR(IF(ISNUMBER(INDEX(SPPR!$E:$Z,MATCH($A300,SPPR!$A:$A,0),21)),$C300*INDEX(SPPR!$E:$Z,MATCH($A300,SPPR!$A:$A,0),21),""),"")</f>
        <v/>
      </c>
      <c r="Y300">
        <f>IFERROR(IF(ISNUMBER(INDEX(SPPR!$E:$Z,MATCH($A300,SPPR!$A:$A,0),22)),$C300*INDEX(SPPR!$E:$Z,MATCH($A300,SPPR!$A:$A,0),22),""),"")</f>
        <v/>
      </c>
    </row>
    <row r="301">
      <c r="A301" t="inlineStr">
        <is>
          <t>Gazza minuta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IFERROR(IF(ISNUMBER(INDEX(SPPR!$E:$Z,MATCH($A301,SPPR!$A:$A,0),1)),$C301*INDEX(SPPR!$E:$Z,MATCH($A301,SPPR!$A:$A,0),1),""),"")</f>
        <v/>
      </c>
      <c r="E301">
        <f>IFERROR(IF(ISNUMBER(INDEX(SPPR!$E:$Z,MATCH($A301,SPPR!$A:$A,0),2)),$C301*INDEX(SPPR!$E:$Z,MATCH($A301,SPPR!$A:$A,0),2),""),"")</f>
        <v/>
      </c>
      <c r="F301">
        <f>IFERROR(IF(ISNUMBER(INDEX(SPPR!$E:$Z,MATCH($A301,SPPR!$A:$A,0),3)),$C301*INDEX(SPPR!$E:$Z,MATCH($A301,SPPR!$A:$A,0),3),""),"")</f>
        <v/>
      </c>
      <c r="G301">
        <f>IFERROR(IF(ISNUMBER(INDEX(SPPR!$E:$Z,MATCH($A301,SPPR!$A:$A,0),4)),$C301*INDEX(SPPR!$E:$Z,MATCH($A301,SPPR!$A:$A,0),4),""),"")</f>
        <v/>
      </c>
      <c r="H301">
        <f>IFERROR(IF(ISNUMBER(INDEX(SPPR!$E:$Z,MATCH($A301,SPPR!$A:$A,0),5)),$C301*INDEX(SPPR!$E:$Z,MATCH($A301,SPPR!$A:$A,0),5),""),"")</f>
        <v/>
      </c>
      <c r="I301">
        <f>IFERROR(IF(ISNUMBER(INDEX(SPPR!$E:$Z,MATCH($A301,SPPR!$A:$A,0),6)),$C301*INDEX(SPPR!$E:$Z,MATCH($A301,SPPR!$A:$A,0),6),""),"")</f>
        <v/>
      </c>
      <c r="J301">
        <f>IFERROR(IF(ISNUMBER(INDEX(SPPR!$E:$Z,MATCH($A301,SPPR!$A:$A,0),7)),$C301*INDEX(SPPR!$E:$Z,MATCH($A301,SPPR!$A:$A,0),7),""),"")</f>
        <v/>
      </c>
      <c r="K301">
        <f>IFERROR(IF(ISNUMBER(INDEX(SPPR!$E:$Z,MATCH($A301,SPPR!$A:$A,0),8)),$C301*INDEX(SPPR!$E:$Z,MATCH($A301,SPPR!$A:$A,0),8),""),"")</f>
        <v/>
      </c>
      <c r="L301">
        <f>IFERROR(IF(ISNUMBER(INDEX(SPPR!$E:$Z,MATCH($A301,SPPR!$A:$A,0),9)),$C301*INDEX(SPPR!$E:$Z,MATCH($A301,SPPR!$A:$A,0),9),""),"")</f>
        <v/>
      </c>
      <c r="M301">
        <f>IFERROR(IF(ISNUMBER(INDEX(SPPR!$E:$Z,MATCH($A301,SPPR!$A:$A,0),10)),$C301*INDEX(SPPR!$E:$Z,MATCH($A301,SPPR!$A:$A,0),10),""),"")</f>
        <v/>
      </c>
      <c r="N301">
        <f>IFERROR(IF(ISNUMBER(INDEX(SPPR!$E:$Z,MATCH($A301,SPPR!$A:$A,0),11)),$C301*INDEX(SPPR!$E:$Z,MATCH($A301,SPPR!$A:$A,0),11),""),"")</f>
        <v/>
      </c>
      <c r="O301">
        <f>IFERROR(IF(ISNUMBER(INDEX(SPPR!$E:$Z,MATCH($A301,SPPR!$A:$A,0),12)),$C301*INDEX(SPPR!$E:$Z,MATCH($A301,SPPR!$A:$A,0),12),""),"")</f>
        <v/>
      </c>
      <c r="P301">
        <f>IFERROR(IF(ISNUMBER(INDEX(SPPR!$E:$Z,MATCH($A301,SPPR!$A:$A,0),13)),$C301*INDEX(SPPR!$E:$Z,MATCH($A301,SPPR!$A:$A,0),13),""),"")</f>
        <v/>
      </c>
      <c r="Q301">
        <f>IFERROR(IF(ISNUMBER(INDEX(SPPR!$E:$Z,MATCH($A301,SPPR!$A:$A,0),14)),$C301*INDEX(SPPR!$E:$Z,MATCH($A301,SPPR!$A:$A,0),14),""),"")</f>
        <v/>
      </c>
      <c r="R301">
        <f>IFERROR(IF(ISNUMBER(INDEX(SPPR!$E:$Z,MATCH($A301,SPPR!$A:$A,0),15)),$C301*INDEX(SPPR!$E:$Z,MATCH($A301,SPPR!$A:$A,0),15),""),"")</f>
        <v/>
      </c>
      <c r="S301">
        <f>IFERROR(IF(ISNUMBER(INDEX(SPPR!$E:$Z,MATCH($A301,SPPR!$A:$A,0),16)),$C301*INDEX(SPPR!$E:$Z,MATCH($A301,SPPR!$A:$A,0),16),""),"")</f>
        <v/>
      </c>
      <c r="T301">
        <f>IFERROR(IF(ISNUMBER(INDEX(SPPR!$E:$Z,MATCH($A301,SPPR!$A:$A,0),17)),$C301*INDEX(SPPR!$E:$Z,MATCH($A301,SPPR!$A:$A,0),17),""),"")</f>
        <v/>
      </c>
      <c r="U301">
        <f>IFERROR(IF(ISNUMBER(INDEX(SPPR!$E:$Z,MATCH($A301,SPPR!$A:$A,0),18)),$C301*INDEX(SPPR!$E:$Z,MATCH($A301,SPPR!$A:$A,0),18),""),"")</f>
        <v/>
      </c>
      <c r="V301">
        <f>IFERROR(IF(ISNUMBER(INDEX(SPPR!$E:$Z,MATCH($A301,SPPR!$A:$A,0),19)),$C301*INDEX(SPPR!$E:$Z,MATCH($A301,SPPR!$A:$A,0),19),""),"")</f>
        <v/>
      </c>
      <c r="W301">
        <f>IFERROR(IF(ISNUMBER(INDEX(SPPR!$E:$Z,MATCH($A301,SPPR!$A:$A,0),20)),$C301*INDEX(SPPR!$E:$Z,MATCH($A301,SPPR!$A:$A,0),20),""),"")</f>
        <v/>
      </c>
      <c r="X301">
        <f>IFERROR(IF(ISNUMBER(INDEX(SPPR!$E:$Z,MATCH($A301,SPPR!$A:$A,0),21)),$C301*INDEX(SPPR!$E:$Z,MATCH($A301,SPPR!$A:$A,0),21),""),"")</f>
        <v/>
      </c>
      <c r="Y301">
        <f>IFERROR(IF(ISNUMBER(INDEX(SPPR!$E:$Z,MATCH($A301,SPPR!$A:$A,0),22)),$C301*INDEX(SPPR!$E:$Z,MATCH($A301,SPPR!$A:$A,0),22),""),"")</f>
        <v/>
      </c>
    </row>
    <row r="302">
      <c r="A302" t="inlineStr">
        <is>
          <t>Aluterus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IFERROR(IF(ISNUMBER(INDEX(SPPR!$E:$Z,MATCH($A302,SPPR!$A:$A,0),1)),$C302*INDEX(SPPR!$E:$Z,MATCH($A302,SPPR!$A:$A,0),1),""),"")</f>
        <v/>
      </c>
      <c r="E302">
        <f>IFERROR(IF(ISNUMBER(INDEX(SPPR!$E:$Z,MATCH($A302,SPPR!$A:$A,0),2)),$C302*INDEX(SPPR!$E:$Z,MATCH($A302,SPPR!$A:$A,0),2),""),"")</f>
        <v/>
      </c>
      <c r="F302">
        <f>IFERROR(IF(ISNUMBER(INDEX(SPPR!$E:$Z,MATCH($A302,SPPR!$A:$A,0),3)),$C302*INDEX(SPPR!$E:$Z,MATCH($A302,SPPR!$A:$A,0),3),""),"")</f>
        <v/>
      </c>
      <c r="G302">
        <f>IFERROR(IF(ISNUMBER(INDEX(SPPR!$E:$Z,MATCH($A302,SPPR!$A:$A,0),4)),$C302*INDEX(SPPR!$E:$Z,MATCH($A302,SPPR!$A:$A,0),4),""),"")</f>
        <v/>
      </c>
      <c r="H302">
        <f>IFERROR(IF(ISNUMBER(INDEX(SPPR!$E:$Z,MATCH($A302,SPPR!$A:$A,0),5)),$C302*INDEX(SPPR!$E:$Z,MATCH($A302,SPPR!$A:$A,0),5),""),"")</f>
        <v/>
      </c>
      <c r="I302">
        <f>IFERROR(IF(ISNUMBER(INDEX(SPPR!$E:$Z,MATCH($A302,SPPR!$A:$A,0),6)),$C302*INDEX(SPPR!$E:$Z,MATCH($A302,SPPR!$A:$A,0),6),""),"")</f>
        <v/>
      </c>
      <c r="J302">
        <f>IFERROR(IF(ISNUMBER(INDEX(SPPR!$E:$Z,MATCH($A302,SPPR!$A:$A,0),7)),$C302*INDEX(SPPR!$E:$Z,MATCH($A302,SPPR!$A:$A,0),7),""),"")</f>
        <v/>
      </c>
      <c r="K302">
        <f>IFERROR(IF(ISNUMBER(INDEX(SPPR!$E:$Z,MATCH($A302,SPPR!$A:$A,0),8)),$C302*INDEX(SPPR!$E:$Z,MATCH($A302,SPPR!$A:$A,0),8),""),"")</f>
        <v/>
      </c>
      <c r="L302">
        <f>IFERROR(IF(ISNUMBER(INDEX(SPPR!$E:$Z,MATCH($A302,SPPR!$A:$A,0),9)),$C302*INDEX(SPPR!$E:$Z,MATCH($A302,SPPR!$A:$A,0),9),""),"")</f>
        <v/>
      </c>
      <c r="M302">
        <f>IFERROR(IF(ISNUMBER(INDEX(SPPR!$E:$Z,MATCH($A302,SPPR!$A:$A,0),10)),$C302*INDEX(SPPR!$E:$Z,MATCH($A302,SPPR!$A:$A,0),10),""),"")</f>
        <v/>
      </c>
      <c r="N302">
        <f>IFERROR(IF(ISNUMBER(INDEX(SPPR!$E:$Z,MATCH($A302,SPPR!$A:$A,0),11)),$C302*INDEX(SPPR!$E:$Z,MATCH($A302,SPPR!$A:$A,0),11),""),"")</f>
        <v/>
      </c>
      <c r="O302">
        <f>IFERROR(IF(ISNUMBER(INDEX(SPPR!$E:$Z,MATCH($A302,SPPR!$A:$A,0),12)),$C302*INDEX(SPPR!$E:$Z,MATCH($A302,SPPR!$A:$A,0),12),""),"")</f>
        <v/>
      </c>
      <c r="P302">
        <f>IFERROR(IF(ISNUMBER(INDEX(SPPR!$E:$Z,MATCH($A302,SPPR!$A:$A,0),13)),$C302*INDEX(SPPR!$E:$Z,MATCH($A302,SPPR!$A:$A,0),13),""),"")</f>
        <v/>
      </c>
      <c r="Q302">
        <f>IFERROR(IF(ISNUMBER(INDEX(SPPR!$E:$Z,MATCH($A302,SPPR!$A:$A,0),14)),$C302*INDEX(SPPR!$E:$Z,MATCH($A302,SPPR!$A:$A,0),14),""),"")</f>
        <v/>
      </c>
      <c r="R302">
        <f>IFERROR(IF(ISNUMBER(INDEX(SPPR!$E:$Z,MATCH($A302,SPPR!$A:$A,0),15)),$C302*INDEX(SPPR!$E:$Z,MATCH($A302,SPPR!$A:$A,0),15),""),"")</f>
        <v/>
      </c>
      <c r="S302">
        <f>IFERROR(IF(ISNUMBER(INDEX(SPPR!$E:$Z,MATCH($A302,SPPR!$A:$A,0),16)),$C302*INDEX(SPPR!$E:$Z,MATCH($A302,SPPR!$A:$A,0),16),""),"")</f>
        <v/>
      </c>
      <c r="T302">
        <f>IFERROR(IF(ISNUMBER(INDEX(SPPR!$E:$Z,MATCH($A302,SPPR!$A:$A,0),17)),$C302*INDEX(SPPR!$E:$Z,MATCH($A302,SPPR!$A:$A,0),17),""),"")</f>
        <v/>
      </c>
      <c r="U302">
        <f>IFERROR(IF(ISNUMBER(INDEX(SPPR!$E:$Z,MATCH($A302,SPPR!$A:$A,0),18)),$C302*INDEX(SPPR!$E:$Z,MATCH($A302,SPPR!$A:$A,0),18),""),"")</f>
        <v/>
      </c>
      <c r="V302">
        <f>IFERROR(IF(ISNUMBER(INDEX(SPPR!$E:$Z,MATCH($A302,SPPR!$A:$A,0),19)),$C302*INDEX(SPPR!$E:$Z,MATCH($A302,SPPR!$A:$A,0),19),""),"")</f>
        <v/>
      </c>
      <c r="W302">
        <f>IFERROR(IF(ISNUMBER(INDEX(SPPR!$E:$Z,MATCH($A302,SPPR!$A:$A,0),20)),$C302*INDEX(SPPR!$E:$Z,MATCH($A302,SPPR!$A:$A,0),20),""),"")</f>
        <v/>
      </c>
      <c r="X302">
        <f>IFERROR(IF(ISNUMBER(INDEX(SPPR!$E:$Z,MATCH($A302,SPPR!$A:$A,0),21)),$C302*INDEX(SPPR!$E:$Z,MATCH($A302,SPPR!$A:$A,0),21),""),"")</f>
        <v/>
      </c>
      <c r="Y302">
        <f>IFERROR(IF(ISNUMBER(INDEX(SPPR!$E:$Z,MATCH($A302,SPPR!$A:$A,0),22)),$C302*INDEX(SPPR!$E:$Z,MATCH($A302,SPPR!$A:$A,0),22),""),"")</f>
        <v/>
      </c>
    </row>
    <row r="303">
      <c r="A303" t="inlineStr">
        <is>
          <t>Hemitriakis japanica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IFERROR(IF(ISNUMBER(INDEX(SPPR!$E:$Z,MATCH($A303,SPPR!$A:$A,0),1)),$C303*INDEX(SPPR!$E:$Z,MATCH($A303,SPPR!$A:$A,0),1),""),"")</f>
        <v/>
      </c>
      <c r="E303">
        <f>IFERROR(IF(ISNUMBER(INDEX(SPPR!$E:$Z,MATCH($A303,SPPR!$A:$A,0),2)),$C303*INDEX(SPPR!$E:$Z,MATCH($A303,SPPR!$A:$A,0),2),""),"")</f>
        <v/>
      </c>
      <c r="F303">
        <f>IFERROR(IF(ISNUMBER(INDEX(SPPR!$E:$Z,MATCH($A303,SPPR!$A:$A,0),3)),$C303*INDEX(SPPR!$E:$Z,MATCH($A303,SPPR!$A:$A,0),3),""),"")</f>
        <v/>
      </c>
      <c r="G303">
        <f>IFERROR(IF(ISNUMBER(INDEX(SPPR!$E:$Z,MATCH($A303,SPPR!$A:$A,0),4)),$C303*INDEX(SPPR!$E:$Z,MATCH($A303,SPPR!$A:$A,0),4),""),"")</f>
        <v/>
      </c>
      <c r="H303">
        <f>IFERROR(IF(ISNUMBER(INDEX(SPPR!$E:$Z,MATCH($A303,SPPR!$A:$A,0),5)),$C303*INDEX(SPPR!$E:$Z,MATCH($A303,SPPR!$A:$A,0),5),""),"")</f>
        <v/>
      </c>
      <c r="I303">
        <f>IFERROR(IF(ISNUMBER(INDEX(SPPR!$E:$Z,MATCH($A303,SPPR!$A:$A,0),6)),$C303*INDEX(SPPR!$E:$Z,MATCH($A303,SPPR!$A:$A,0),6),""),"")</f>
        <v/>
      </c>
      <c r="J303">
        <f>IFERROR(IF(ISNUMBER(INDEX(SPPR!$E:$Z,MATCH($A303,SPPR!$A:$A,0),7)),$C303*INDEX(SPPR!$E:$Z,MATCH($A303,SPPR!$A:$A,0),7),""),"")</f>
        <v/>
      </c>
      <c r="K303">
        <f>IFERROR(IF(ISNUMBER(INDEX(SPPR!$E:$Z,MATCH($A303,SPPR!$A:$A,0),8)),$C303*INDEX(SPPR!$E:$Z,MATCH($A303,SPPR!$A:$A,0),8),""),"")</f>
        <v/>
      </c>
      <c r="L303">
        <f>IFERROR(IF(ISNUMBER(INDEX(SPPR!$E:$Z,MATCH($A303,SPPR!$A:$A,0),9)),$C303*INDEX(SPPR!$E:$Z,MATCH($A303,SPPR!$A:$A,0),9),""),"")</f>
        <v/>
      </c>
      <c r="M303">
        <f>IFERROR(IF(ISNUMBER(INDEX(SPPR!$E:$Z,MATCH($A303,SPPR!$A:$A,0),10)),$C303*INDEX(SPPR!$E:$Z,MATCH($A303,SPPR!$A:$A,0),10),""),"")</f>
        <v/>
      </c>
      <c r="N303">
        <f>IFERROR(IF(ISNUMBER(INDEX(SPPR!$E:$Z,MATCH($A303,SPPR!$A:$A,0),11)),$C303*INDEX(SPPR!$E:$Z,MATCH($A303,SPPR!$A:$A,0),11),""),"")</f>
        <v/>
      </c>
      <c r="O303">
        <f>IFERROR(IF(ISNUMBER(INDEX(SPPR!$E:$Z,MATCH($A303,SPPR!$A:$A,0),12)),$C303*INDEX(SPPR!$E:$Z,MATCH($A303,SPPR!$A:$A,0),12),""),"")</f>
        <v/>
      </c>
      <c r="P303">
        <f>IFERROR(IF(ISNUMBER(INDEX(SPPR!$E:$Z,MATCH($A303,SPPR!$A:$A,0),13)),$C303*INDEX(SPPR!$E:$Z,MATCH($A303,SPPR!$A:$A,0),13),""),"")</f>
        <v/>
      </c>
      <c r="Q303">
        <f>IFERROR(IF(ISNUMBER(INDEX(SPPR!$E:$Z,MATCH($A303,SPPR!$A:$A,0),14)),$C303*INDEX(SPPR!$E:$Z,MATCH($A303,SPPR!$A:$A,0),14),""),"")</f>
        <v/>
      </c>
      <c r="R303">
        <f>IFERROR(IF(ISNUMBER(INDEX(SPPR!$E:$Z,MATCH($A303,SPPR!$A:$A,0),15)),$C303*INDEX(SPPR!$E:$Z,MATCH($A303,SPPR!$A:$A,0),15),""),"")</f>
        <v/>
      </c>
      <c r="S303">
        <f>IFERROR(IF(ISNUMBER(INDEX(SPPR!$E:$Z,MATCH($A303,SPPR!$A:$A,0),16)),$C303*INDEX(SPPR!$E:$Z,MATCH($A303,SPPR!$A:$A,0),16),""),"")</f>
        <v/>
      </c>
      <c r="T303">
        <f>IFERROR(IF(ISNUMBER(INDEX(SPPR!$E:$Z,MATCH($A303,SPPR!$A:$A,0),17)),$C303*INDEX(SPPR!$E:$Z,MATCH($A303,SPPR!$A:$A,0),17),""),"")</f>
        <v/>
      </c>
      <c r="U303">
        <f>IFERROR(IF(ISNUMBER(INDEX(SPPR!$E:$Z,MATCH($A303,SPPR!$A:$A,0),18)),$C303*INDEX(SPPR!$E:$Z,MATCH($A303,SPPR!$A:$A,0),18),""),"")</f>
        <v/>
      </c>
      <c r="V303">
        <f>IFERROR(IF(ISNUMBER(INDEX(SPPR!$E:$Z,MATCH($A303,SPPR!$A:$A,0),19)),$C303*INDEX(SPPR!$E:$Z,MATCH($A303,SPPR!$A:$A,0),19),""),"")</f>
        <v/>
      </c>
      <c r="W303">
        <f>IFERROR(IF(ISNUMBER(INDEX(SPPR!$E:$Z,MATCH($A303,SPPR!$A:$A,0),20)),$C303*INDEX(SPPR!$E:$Z,MATCH($A303,SPPR!$A:$A,0),20),""),"")</f>
        <v/>
      </c>
      <c r="X303">
        <f>IFERROR(IF(ISNUMBER(INDEX(SPPR!$E:$Z,MATCH($A303,SPPR!$A:$A,0),21)),$C303*INDEX(SPPR!$E:$Z,MATCH($A303,SPPR!$A:$A,0),21),""),"")</f>
        <v/>
      </c>
      <c r="Y303">
        <f>IFERROR(IF(ISNUMBER(INDEX(SPPR!$E:$Z,MATCH($A303,SPPR!$A:$A,0),22)),$C303*INDEX(SPPR!$E:$Z,MATCH($A303,SPPR!$A:$A,0),22),""),"")</f>
        <v/>
      </c>
    </row>
    <row r="304">
      <c r="A304" t="inlineStr">
        <is>
          <t>Echinodermata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IFERROR(IF(ISNUMBER(INDEX(SPPR!$E:$Z,MATCH($A304,SPPR!$A:$A,0),1)),$C304*INDEX(SPPR!$E:$Z,MATCH($A304,SPPR!$A:$A,0),1),""),"")</f>
        <v/>
      </c>
      <c r="E304">
        <f>IFERROR(IF(ISNUMBER(INDEX(SPPR!$E:$Z,MATCH($A304,SPPR!$A:$A,0),2)),$C304*INDEX(SPPR!$E:$Z,MATCH($A304,SPPR!$A:$A,0),2),""),"")</f>
        <v/>
      </c>
      <c r="F304">
        <f>IFERROR(IF(ISNUMBER(INDEX(SPPR!$E:$Z,MATCH($A304,SPPR!$A:$A,0),3)),$C304*INDEX(SPPR!$E:$Z,MATCH($A304,SPPR!$A:$A,0),3),""),"")</f>
        <v/>
      </c>
      <c r="G304">
        <f>IFERROR(IF(ISNUMBER(INDEX(SPPR!$E:$Z,MATCH($A304,SPPR!$A:$A,0),4)),$C304*INDEX(SPPR!$E:$Z,MATCH($A304,SPPR!$A:$A,0),4),""),"")</f>
        <v/>
      </c>
      <c r="H304">
        <f>IFERROR(IF(ISNUMBER(INDEX(SPPR!$E:$Z,MATCH($A304,SPPR!$A:$A,0),5)),$C304*INDEX(SPPR!$E:$Z,MATCH($A304,SPPR!$A:$A,0),5),""),"")</f>
        <v/>
      </c>
      <c r="I304">
        <f>IFERROR(IF(ISNUMBER(INDEX(SPPR!$E:$Z,MATCH($A304,SPPR!$A:$A,0),6)),$C304*INDEX(SPPR!$E:$Z,MATCH($A304,SPPR!$A:$A,0),6),""),"")</f>
        <v/>
      </c>
      <c r="J304">
        <f>IFERROR(IF(ISNUMBER(INDEX(SPPR!$E:$Z,MATCH($A304,SPPR!$A:$A,0),7)),$C304*INDEX(SPPR!$E:$Z,MATCH($A304,SPPR!$A:$A,0),7),""),"")</f>
        <v/>
      </c>
      <c r="K304">
        <f>IFERROR(IF(ISNUMBER(INDEX(SPPR!$E:$Z,MATCH($A304,SPPR!$A:$A,0),8)),$C304*INDEX(SPPR!$E:$Z,MATCH($A304,SPPR!$A:$A,0),8),""),"")</f>
        <v/>
      </c>
      <c r="L304">
        <f>IFERROR(IF(ISNUMBER(INDEX(SPPR!$E:$Z,MATCH($A304,SPPR!$A:$A,0),9)),$C304*INDEX(SPPR!$E:$Z,MATCH($A304,SPPR!$A:$A,0),9),""),"")</f>
        <v/>
      </c>
      <c r="M304">
        <f>IFERROR(IF(ISNUMBER(INDEX(SPPR!$E:$Z,MATCH($A304,SPPR!$A:$A,0),10)),$C304*INDEX(SPPR!$E:$Z,MATCH($A304,SPPR!$A:$A,0),10),""),"")</f>
        <v/>
      </c>
      <c r="N304">
        <f>IFERROR(IF(ISNUMBER(INDEX(SPPR!$E:$Z,MATCH($A304,SPPR!$A:$A,0),11)),$C304*INDEX(SPPR!$E:$Z,MATCH($A304,SPPR!$A:$A,0),11),""),"")</f>
        <v/>
      </c>
      <c r="O304">
        <f>IFERROR(IF(ISNUMBER(INDEX(SPPR!$E:$Z,MATCH($A304,SPPR!$A:$A,0),12)),$C304*INDEX(SPPR!$E:$Z,MATCH($A304,SPPR!$A:$A,0),12),""),"")</f>
        <v/>
      </c>
      <c r="P304">
        <f>IFERROR(IF(ISNUMBER(INDEX(SPPR!$E:$Z,MATCH($A304,SPPR!$A:$A,0),13)),$C304*INDEX(SPPR!$E:$Z,MATCH($A304,SPPR!$A:$A,0),13),""),"")</f>
        <v/>
      </c>
      <c r="Q304">
        <f>IFERROR(IF(ISNUMBER(INDEX(SPPR!$E:$Z,MATCH($A304,SPPR!$A:$A,0),14)),$C304*INDEX(SPPR!$E:$Z,MATCH($A304,SPPR!$A:$A,0),14),""),"")</f>
        <v/>
      </c>
      <c r="R304">
        <f>IFERROR(IF(ISNUMBER(INDEX(SPPR!$E:$Z,MATCH($A304,SPPR!$A:$A,0),15)),$C304*INDEX(SPPR!$E:$Z,MATCH($A304,SPPR!$A:$A,0),15),""),"")</f>
        <v/>
      </c>
      <c r="S304">
        <f>IFERROR(IF(ISNUMBER(INDEX(SPPR!$E:$Z,MATCH($A304,SPPR!$A:$A,0),16)),$C304*INDEX(SPPR!$E:$Z,MATCH($A304,SPPR!$A:$A,0),16),""),"")</f>
        <v/>
      </c>
      <c r="T304">
        <f>IFERROR(IF(ISNUMBER(INDEX(SPPR!$E:$Z,MATCH($A304,SPPR!$A:$A,0),17)),$C304*INDEX(SPPR!$E:$Z,MATCH($A304,SPPR!$A:$A,0),17),""),"")</f>
        <v/>
      </c>
      <c r="U304">
        <f>IFERROR(IF(ISNUMBER(INDEX(SPPR!$E:$Z,MATCH($A304,SPPR!$A:$A,0),18)),$C304*INDEX(SPPR!$E:$Z,MATCH($A304,SPPR!$A:$A,0),18),""),"")</f>
        <v/>
      </c>
      <c r="V304">
        <f>IFERROR(IF(ISNUMBER(INDEX(SPPR!$E:$Z,MATCH($A304,SPPR!$A:$A,0),19)),$C304*INDEX(SPPR!$E:$Z,MATCH($A304,SPPR!$A:$A,0),19),""),"")</f>
        <v/>
      </c>
      <c r="W304">
        <f>IFERROR(IF(ISNUMBER(INDEX(SPPR!$E:$Z,MATCH($A304,SPPR!$A:$A,0),20)),$C304*INDEX(SPPR!$E:$Z,MATCH($A304,SPPR!$A:$A,0),20),""),"")</f>
        <v/>
      </c>
      <c r="X304">
        <f>IFERROR(IF(ISNUMBER(INDEX(SPPR!$E:$Z,MATCH($A304,SPPR!$A:$A,0),21)),$C304*INDEX(SPPR!$E:$Z,MATCH($A304,SPPR!$A:$A,0),21),""),"")</f>
        <v/>
      </c>
      <c r="Y304">
        <f>IFERROR(IF(ISNUMBER(INDEX(SPPR!$E:$Z,MATCH($A304,SPPR!$A:$A,0),22)),$C304*INDEX(SPPR!$E:$Z,MATCH($A304,SPPR!$A:$A,0),22),""),"")</f>
        <v/>
      </c>
    </row>
    <row r="305">
      <c r="A305" t="inlineStr">
        <is>
          <t>Dasyatidae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IFERROR(IF(ISNUMBER(INDEX(SPPR!$E:$Z,MATCH($A305,SPPR!$A:$A,0),1)),$C305*INDEX(SPPR!$E:$Z,MATCH($A305,SPPR!$A:$A,0),1),""),"")</f>
        <v/>
      </c>
      <c r="E305">
        <f>IFERROR(IF(ISNUMBER(INDEX(SPPR!$E:$Z,MATCH($A305,SPPR!$A:$A,0),2)),$C305*INDEX(SPPR!$E:$Z,MATCH($A305,SPPR!$A:$A,0),2),""),"")</f>
        <v/>
      </c>
      <c r="F305">
        <f>IFERROR(IF(ISNUMBER(INDEX(SPPR!$E:$Z,MATCH($A305,SPPR!$A:$A,0),3)),$C305*INDEX(SPPR!$E:$Z,MATCH($A305,SPPR!$A:$A,0),3),""),"")</f>
        <v/>
      </c>
      <c r="G305">
        <f>IFERROR(IF(ISNUMBER(INDEX(SPPR!$E:$Z,MATCH($A305,SPPR!$A:$A,0),4)),$C305*INDEX(SPPR!$E:$Z,MATCH($A305,SPPR!$A:$A,0),4),""),"")</f>
        <v/>
      </c>
      <c r="H305">
        <f>IFERROR(IF(ISNUMBER(INDEX(SPPR!$E:$Z,MATCH($A305,SPPR!$A:$A,0),5)),$C305*INDEX(SPPR!$E:$Z,MATCH($A305,SPPR!$A:$A,0),5),""),"")</f>
        <v/>
      </c>
      <c r="I305">
        <f>IFERROR(IF(ISNUMBER(INDEX(SPPR!$E:$Z,MATCH($A305,SPPR!$A:$A,0),6)),$C305*INDEX(SPPR!$E:$Z,MATCH($A305,SPPR!$A:$A,0),6),""),"")</f>
        <v/>
      </c>
      <c r="J305">
        <f>IFERROR(IF(ISNUMBER(INDEX(SPPR!$E:$Z,MATCH($A305,SPPR!$A:$A,0),7)),$C305*INDEX(SPPR!$E:$Z,MATCH($A305,SPPR!$A:$A,0),7),""),"")</f>
        <v/>
      </c>
      <c r="K305">
        <f>IFERROR(IF(ISNUMBER(INDEX(SPPR!$E:$Z,MATCH($A305,SPPR!$A:$A,0),8)),$C305*INDEX(SPPR!$E:$Z,MATCH($A305,SPPR!$A:$A,0),8),""),"")</f>
        <v/>
      </c>
      <c r="L305">
        <f>IFERROR(IF(ISNUMBER(INDEX(SPPR!$E:$Z,MATCH($A305,SPPR!$A:$A,0),9)),$C305*INDEX(SPPR!$E:$Z,MATCH($A305,SPPR!$A:$A,0),9),""),"")</f>
        <v/>
      </c>
      <c r="M305">
        <f>IFERROR(IF(ISNUMBER(INDEX(SPPR!$E:$Z,MATCH($A305,SPPR!$A:$A,0),10)),$C305*INDEX(SPPR!$E:$Z,MATCH($A305,SPPR!$A:$A,0),10),""),"")</f>
        <v/>
      </c>
      <c r="N305">
        <f>IFERROR(IF(ISNUMBER(INDEX(SPPR!$E:$Z,MATCH($A305,SPPR!$A:$A,0),11)),$C305*INDEX(SPPR!$E:$Z,MATCH($A305,SPPR!$A:$A,0),11),""),"")</f>
        <v/>
      </c>
      <c r="O305">
        <f>IFERROR(IF(ISNUMBER(INDEX(SPPR!$E:$Z,MATCH($A305,SPPR!$A:$A,0),12)),$C305*INDEX(SPPR!$E:$Z,MATCH($A305,SPPR!$A:$A,0),12),""),"")</f>
        <v/>
      </c>
      <c r="P305">
        <f>IFERROR(IF(ISNUMBER(INDEX(SPPR!$E:$Z,MATCH($A305,SPPR!$A:$A,0),13)),$C305*INDEX(SPPR!$E:$Z,MATCH($A305,SPPR!$A:$A,0),13),""),"")</f>
        <v/>
      </c>
      <c r="Q305">
        <f>IFERROR(IF(ISNUMBER(INDEX(SPPR!$E:$Z,MATCH($A305,SPPR!$A:$A,0),14)),$C305*INDEX(SPPR!$E:$Z,MATCH($A305,SPPR!$A:$A,0),14),""),"")</f>
        <v/>
      </c>
      <c r="R305">
        <f>IFERROR(IF(ISNUMBER(INDEX(SPPR!$E:$Z,MATCH($A305,SPPR!$A:$A,0),15)),$C305*INDEX(SPPR!$E:$Z,MATCH($A305,SPPR!$A:$A,0),15),""),"")</f>
        <v/>
      </c>
      <c r="S305">
        <f>IFERROR(IF(ISNUMBER(INDEX(SPPR!$E:$Z,MATCH($A305,SPPR!$A:$A,0),16)),$C305*INDEX(SPPR!$E:$Z,MATCH($A305,SPPR!$A:$A,0),16),""),"")</f>
        <v/>
      </c>
      <c r="T305">
        <f>IFERROR(IF(ISNUMBER(INDEX(SPPR!$E:$Z,MATCH($A305,SPPR!$A:$A,0),17)),$C305*INDEX(SPPR!$E:$Z,MATCH($A305,SPPR!$A:$A,0),17),""),"")</f>
        <v/>
      </c>
      <c r="U305">
        <f>IFERROR(IF(ISNUMBER(INDEX(SPPR!$E:$Z,MATCH($A305,SPPR!$A:$A,0),18)),$C305*INDEX(SPPR!$E:$Z,MATCH($A305,SPPR!$A:$A,0),18),""),"")</f>
        <v/>
      </c>
      <c r="V305">
        <f>IFERROR(IF(ISNUMBER(INDEX(SPPR!$E:$Z,MATCH($A305,SPPR!$A:$A,0),19)),$C305*INDEX(SPPR!$E:$Z,MATCH($A305,SPPR!$A:$A,0),19),""),"")</f>
        <v/>
      </c>
      <c r="W305">
        <f>IFERROR(IF(ISNUMBER(INDEX(SPPR!$E:$Z,MATCH($A305,SPPR!$A:$A,0),20)),$C305*INDEX(SPPR!$E:$Z,MATCH($A305,SPPR!$A:$A,0),20),""),"")</f>
        <v/>
      </c>
      <c r="X305">
        <f>IFERROR(IF(ISNUMBER(INDEX(SPPR!$E:$Z,MATCH($A305,SPPR!$A:$A,0),21)),$C305*INDEX(SPPR!$E:$Z,MATCH($A305,SPPR!$A:$A,0),21),""),"")</f>
        <v/>
      </c>
      <c r="Y305">
        <f>IFERROR(IF(ISNUMBER(INDEX(SPPR!$E:$Z,MATCH($A305,SPPR!$A:$A,0),22)),$C305*INDEX(SPPR!$E:$Z,MATCH($A305,SPPR!$A:$A,0),22),""),"")</f>
        <v/>
      </c>
    </row>
    <row r="306">
      <c r="A306" t="inlineStr">
        <is>
          <t>Chanos chanos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IFERROR(IF(ISNUMBER(INDEX(SPPR!$E:$Z,MATCH($A306,SPPR!$A:$A,0),1)),$C306*INDEX(SPPR!$E:$Z,MATCH($A306,SPPR!$A:$A,0),1),""),"")</f>
        <v/>
      </c>
      <c r="E306">
        <f>IFERROR(IF(ISNUMBER(INDEX(SPPR!$E:$Z,MATCH($A306,SPPR!$A:$A,0),2)),$C306*INDEX(SPPR!$E:$Z,MATCH($A306,SPPR!$A:$A,0),2),""),"")</f>
        <v/>
      </c>
      <c r="F306">
        <f>IFERROR(IF(ISNUMBER(INDEX(SPPR!$E:$Z,MATCH($A306,SPPR!$A:$A,0),3)),$C306*INDEX(SPPR!$E:$Z,MATCH($A306,SPPR!$A:$A,0),3),""),"")</f>
        <v/>
      </c>
      <c r="G306">
        <f>IFERROR(IF(ISNUMBER(INDEX(SPPR!$E:$Z,MATCH($A306,SPPR!$A:$A,0),4)),$C306*INDEX(SPPR!$E:$Z,MATCH($A306,SPPR!$A:$A,0),4),""),"")</f>
        <v/>
      </c>
      <c r="H306">
        <f>IFERROR(IF(ISNUMBER(INDEX(SPPR!$E:$Z,MATCH($A306,SPPR!$A:$A,0),5)),$C306*INDEX(SPPR!$E:$Z,MATCH($A306,SPPR!$A:$A,0),5),""),"")</f>
        <v/>
      </c>
      <c r="I306">
        <f>IFERROR(IF(ISNUMBER(INDEX(SPPR!$E:$Z,MATCH($A306,SPPR!$A:$A,0),6)),$C306*INDEX(SPPR!$E:$Z,MATCH($A306,SPPR!$A:$A,0),6),""),"")</f>
        <v/>
      </c>
      <c r="J306">
        <f>IFERROR(IF(ISNUMBER(INDEX(SPPR!$E:$Z,MATCH($A306,SPPR!$A:$A,0),7)),$C306*INDEX(SPPR!$E:$Z,MATCH($A306,SPPR!$A:$A,0),7),""),"")</f>
        <v/>
      </c>
      <c r="K306">
        <f>IFERROR(IF(ISNUMBER(INDEX(SPPR!$E:$Z,MATCH($A306,SPPR!$A:$A,0),8)),$C306*INDEX(SPPR!$E:$Z,MATCH($A306,SPPR!$A:$A,0),8),""),"")</f>
        <v/>
      </c>
      <c r="L306">
        <f>IFERROR(IF(ISNUMBER(INDEX(SPPR!$E:$Z,MATCH($A306,SPPR!$A:$A,0),9)),$C306*INDEX(SPPR!$E:$Z,MATCH($A306,SPPR!$A:$A,0),9),""),"")</f>
        <v/>
      </c>
      <c r="M306">
        <f>IFERROR(IF(ISNUMBER(INDEX(SPPR!$E:$Z,MATCH($A306,SPPR!$A:$A,0),10)),$C306*INDEX(SPPR!$E:$Z,MATCH($A306,SPPR!$A:$A,0),10),""),"")</f>
        <v/>
      </c>
      <c r="N306">
        <f>IFERROR(IF(ISNUMBER(INDEX(SPPR!$E:$Z,MATCH($A306,SPPR!$A:$A,0),11)),$C306*INDEX(SPPR!$E:$Z,MATCH($A306,SPPR!$A:$A,0),11),""),"")</f>
        <v/>
      </c>
      <c r="O306">
        <f>IFERROR(IF(ISNUMBER(INDEX(SPPR!$E:$Z,MATCH($A306,SPPR!$A:$A,0),12)),$C306*INDEX(SPPR!$E:$Z,MATCH($A306,SPPR!$A:$A,0),12),""),"")</f>
        <v/>
      </c>
      <c r="P306">
        <f>IFERROR(IF(ISNUMBER(INDEX(SPPR!$E:$Z,MATCH($A306,SPPR!$A:$A,0),13)),$C306*INDEX(SPPR!$E:$Z,MATCH($A306,SPPR!$A:$A,0),13),""),"")</f>
        <v/>
      </c>
      <c r="Q306">
        <f>IFERROR(IF(ISNUMBER(INDEX(SPPR!$E:$Z,MATCH($A306,SPPR!$A:$A,0),14)),$C306*INDEX(SPPR!$E:$Z,MATCH($A306,SPPR!$A:$A,0),14),""),"")</f>
        <v/>
      </c>
      <c r="R306">
        <f>IFERROR(IF(ISNUMBER(INDEX(SPPR!$E:$Z,MATCH($A306,SPPR!$A:$A,0),15)),$C306*INDEX(SPPR!$E:$Z,MATCH($A306,SPPR!$A:$A,0),15),""),"")</f>
        <v/>
      </c>
      <c r="S306">
        <f>IFERROR(IF(ISNUMBER(INDEX(SPPR!$E:$Z,MATCH($A306,SPPR!$A:$A,0),16)),$C306*INDEX(SPPR!$E:$Z,MATCH($A306,SPPR!$A:$A,0),16),""),"")</f>
        <v/>
      </c>
      <c r="T306">
        <f>IFERROR(IF(ISNUMBER(INDEX(SPPR!$E:$Z,MATCH($A306,SPPR!$A:$A,0),17)),$C306*INDEX(SPPR!$E:$Z,MATCH($A306,SPPR!$A:$A,0),17),""),"")</f>
        <v/>
      </c>
      <c r="U306">
        <f>IFERROR(IF(ISNUMBER(INDEX(SPPR!$E:$Z,MATCH($A306,SPPR!$A:$A,0),18)),$C306*INDEX(SPPR!$E:$Z,MATCH($A306,SPPR!$A:$A,0),18),""),"")</f>
        <v/>
      </c>
      <c r="V306">
        <f>IFERROR(IF(ISNUMBER(INDEX(SPPR!$E:$Z,MATCH($A306,SPPR!$A:$A,0),19)),$C306*INDEX(SPPR!$E:$Z,MATCH($A306,SPPR!$A:$A,0),19),""),"")</f>
        <v/>
      </c>
      <c r="W306">
        <f>IFERROR(IF(ISNUMBER(INDEX(SPPR!$E:$Z,MATCH($A306,SPPR!$A:$A,0),20)),$C306*INDEX(SPPR!$E:$Z,MATCH($A306,SPPR!$A:$A,0),20),""),"")</f>
        <v/>
      </c>
      <c r="X306">
        <f>IFERROR(IF(ISNUMBER(INDEX(SPPR!$E:$Z,MATCH($A306,SPPR!$A:$A,0),21)),$C306*INDEX(SPPR!$E:$Z,MATCH($A306,SPPR!$A:$A,0),21),""),"")</f>
        <v/>
      </c>
      <c r="Y306">
        <f>IFERROR(IF(ISNUMBER(INDEX(SPPR!$E:$Z,MATCH($A306,SPPR!$A:$A,0),22)),$C306*INDEX(SPPR!$E:$Z,MATCH($A306,SPPR!$A:$A,0),22),""),"")</f>
        <v/>
      </c>
    </row>
    <row r="307">
      <c r="A307" t="inlineStr">
        <is>
          <t>Sphyraena obtusata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IFERROR(IF(ISNUMBER(INDEX(SPPR!$E:$Z,MATCH($A307,SPPR!$A:$A,0),1)),$C307*INDEX(SPPR!$E:$Z,MATCH($A307,SPPR!$A:$A,0),1),""),"")</f>
        <v/>
      </c>
      <c r="E307">
        <f>IFERROR(IF(ISNUMBER(INDEX(SPPR!$E:$Z,MATCH($A307,SPPR!$A:$A,0),2)),$C307*INDEX(SPPR!$E:$Z,MATCH($A307,SPPR!$A:$A,0),2),""),"")</f>
        <v/>
      </c>
      <c r="F307">
        <f>IFERROR(IF(ISNUMBER(INDEX(SPPR!$E:$Z,MATCH($A307,SPPR!$A:$A,0),3)),$C307*INDEX(SPPR!$E:$Z,MATCH($A307,SPPR!$A:$A,0),3),""),"")</f>
        <v/>
      </c>
      <c r="G307">
        <f>IFERROR(IF(ISNUMBER(INDEX(SPPR!$E:$Z,MATCH($A307,SPPR!$A:$A,0),4)),$C307*INDEX(SPPR!$E:$Z,MATCH($A307,SPPR!$A:$A,0),4),""),"")</f>
        <v/>
      </c>
      <c r="H307">
        <f>IFERROR(IF(ISNUMBER(INDEX(SPPR!$E:$Z,MATCH($A307,SPPR!$A:$A,0),5)),$C307*INDEX(SPPR!$E:$Z,MATCH($A307,SPPR!$A:$A,0),5),""),"")</f>
        <v/>
      </c>
      <c r="I307">
        <f>IFERROR(IF(ISNUMBER(INDEX(SPPR!$E:$Z,MATCH($A307,SPPR!$A:$A,0),6)),$C307*INDEX(SPPR!$E:$Z,MATCH($A307,SPPR!$A:$A,0),6),""),"")</f>
        <v/>
      </c>
      <c r="J307">
        <f>IFERROR(IF(ISNUMBER(INDEX(SPPR!$E:$Z,MATCH($A307,SPPR!$A:$A,0),7)),$C307*INDEX(SPPR!$E:$Z,MATCH($A307,SPPR!$A:$A,0),7),""),"")</f>
        <v/>
      </c>
      <c r="K307">
        <f>IFERROR(IF(ISNUMBER(INDEX(SPPR!$E:$Z,MATCH($A307,SPPR!$A:$A,0),8)),$C307*INDEX(SPPR!$E:$Z,MATCH($A307,SPPR!$A:$A,0),8),""),"")</f>
        <v/>
      </c>
      <c r="L307">
        <f>IFERROR(IF(ISNUMBER(INDEX(SPPR!$E:$Z,MATCH($A307,SPPR!$A:$A,0),9)),$C307*INDEX(SPPR!$E:$Z,MATCH($A307,SPPR!$A:$A,0),9),""),"")</f>
        <v/>
      </c>
      <c r="M307">
        <f>IFERROR(IF(ISNUMBER(INDEX(SPPR!$E:$Z,MATCH($A307,SPPR!$A:$A,0),10)),$C307*INDEX(SPPR!$E:$Z,MATCH($A307,SPPR!$A:$A,0),10),""),"")</f>
        <v/>
      </c>
      <c r="N307">
        <f>IFERROR(IF(ISNUMBER(INDEX(SPPR!$E:$Z,MATCH($A307,SPPR!$A:$A,0),11)),$C307*INDEX(SPPR!$E:$Z,MATCH($A307,SPPR!$A:$A,0),11),""),"")</f>
        <v/>
      </c>
      <c r="O307">
        <f>IFERROR(IF(ISNUMBER(INDEX(SPPR!$E:$Z,MATCH($A307,SPPR!$A:$A,0),12)),$C307*INDEX(SPPR!$E:$Z,MATCH($A307,SPPR!$A:$A,0),12),""),"")</f>
        <v/>
      </c>
      <c r="P307">
        <f>IFERROR(IF(ISNUMBER(INDEX(SPPR!$E:$Z,MATCH($A307,SPPR!$A:$A,0),13)),$C307*INDEX(SPPR!$E:$Z,MATCH($A307,SPPR!$A:$A,0),13),""),"")</f>
        <v/>
      </c>
      <c r="Q307">
        <f>IFERROR(IF(ISNUMBER(INDEX(SPPR!$E:$Z,MATCH($A307,SPPR!$A:$A,0),14)),$C307*INDEX(SPPR!$E:$Z,MATCH($A307,SPPR!$A:$A,0),14),""),"")</f>
        <v/>
      </c>
      <c r="R307">
        <f>IFERROR(IF(ISNUMBER(INDEX(SPPR!$E:$Z,MATCH($A307,SPPR!$A:$A,0),15)),$C307*INDEX(SPPR!$E:$Z,MATCH($A307,SPPR!$A:$A,0),15),""),"")</f>
        <v/>
      </c>
      <c r="S307">
        <f>IFERROR(IF(ISNUMBER(INDEX(SPPR!$E:$Z,MATCH($A307,SPPR!$A:$A,0),16)),$C307*INDEX(SPPR!$E:$Z,MATCH($A307,SPPR!$A:$A,0),16),""),"")</f>
        <v/>
      </c>
      <c r="T307">
        <f>IFERROR(IF(ISNUMBER(INDEX(SPPR!$E:$Z,MATCH($A307,SPPR!$A:$A,0),17)),$C307*INDEX(SPPR!$E:$Z,MATCH($A307,SPPR!$A:$A,0),17),""),"")</f>
        <v/>
      </c>
      <c r="U307">
        <f>IFERROR(IF(ISNUMBER(INDEX(SPPR!$E:$Z,MATCH($A307,SPPR!$A:$A,0),18)),$C307*INDEX(SPPR!$E:$Z,MATCH($A307,SPPR!$A:$A,0),18),""),"")</f>
        <v/>
      </c>
      <c r="V307">
        <f>IFERROR(IF(ISNUMBER(INDEX(SPPR!$E:$Z,MATCH($A307,SPPR!$A:$A,0),19)),$C307*INDEX(SPPR!$E:$Z,MATCH($A307,SPPR!$A:$A,0),19),""),"")</f>
        <v/>
      </c>
      <c r="W307">
        <f>IFERROR(IF(ISNUMBER(INDEX(SPPR!$E:$Z,MATCH($A307,SPPR!$A:$A,0),20)),$C307*INDEX(SPPR!$E:$Z,MATCH($A307,SPPR!$A:$A,0),20),""),"")</f>
        <v/>
      </c>
      <c r="X307">
        <f>IFERROR(IF(ISNUMBER(INDEX(SPPR!$E:$Z,MATCH($A307,SPPR!$A:$A,0),21)),$C307*INDEX(SPPR!$E:$Z,MATCH($A307,SPPR!$A:$A,0),21),""),"")</f>
        <v/>
      </c>
      <c r="Y307">
        <f>IFERROR(IF(ISNUMBER(INDEX(SPPR!$E:$Z,MATCH($A307,SPPR!$A:$A,0),22)),$C307*INDEX(SPPR!$E:$Z,MATCH($A307,SPPR!$A:$A,0),22),""),"")</f>
        <v/>
      </c>
    </row>
    <row r="308">
      <c r="A308" t="inlineStr">
        <is>
          <t>Parupeneus barberinus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IFERROR(IF(ISNUMBER(INDEX(SPPR!$E:$Z,MATCH($A308,SPPR!$A:$A,0),1)),$C308*INDEX(SPPR!$E:$Z,MATCH($A308,SPPR!$A:$A,0),1),""),"")</f>
        <v/>
      </c>
      <c r="E308">
        <f>IFERROR(IF(ISNUMBER(INDEX(SPPR!$E:$Z,MATCH($A308,SPPR!$A:$A,0),2)),$C308*INDEX(SPPR!$E:$Z,MATCH($A308,SPPR!$A:$A,0),2),""),"")</f>
        <v/>
      </c>
      <c r="F308">
        <f>IFERROR(IF(ISNUMBER(INDEX(SPPR!$E:$Z,MATCH($A308,SPPR!$A:$A,0),3)),$C308*INDEX(SPPR!$E:$Z,MATCH($A308,SPPR!$A:$A,0),3),""),"")</f>
        <v/>
      </c>
      <c r="G308">
        <f>IFERROR(IF(ISNUMBER(INDEX(SPPR!$E:$Z,MATCH($A308,SPPR!$A:$A,0),4)),$C308*INDEX(SPPR!$E:$Z,MATCH($A308,SPPR!$A:$A,0),4),""),"")</f>
        <v/>
      </c>
      <c r="H308">
        <f>IFERROR(IF(ISNUMBER(INDEX(SPPR!$E:$Z,MATCH($A308,SPPR!$A:$A,0),5)),$C308*INDEX(SPPR!$E:$Z,MATCH($A308,SPPR!$A:$A,0),5),""),"")</f>
        <v/>
      </c>
      <c r="I308">
        <f>IFERROR(IF(ISNUMBER(INDEX(SPPR!$E:$Z,MATCH($A308,SPPR!$A:$A,0),6)),$C308*INDEX(SPPR!$E:$Z,MATCH($A308,SPPR!$A:$A,0),6),""),"")</f>
        <v/>
      </c>
      <c r="J308">
        <f>IFERROR(IF(ISNUMBER(INDEX(SPPR!$E:$Z,MATCH($A308,SPPR!$A:$A,0),7)),$C308*INDEX(SPPR!$E:$Z,MATCH($A308,SPPR!$A:$A,0),7),""),"")</f>
        <v/>
      </c>
      <c r="K308">
        <f>IFERROR(IF(ISNUMBER(INDEX(SPPR!$E:$Z,MATCH($A308,SPPR!$A:$A,0),8)),$C308*INDEX(SPPR!$E:$Z,MATCH($A308,SPPR!$A:$A,0),8),""),"")</f>
        <v/>
      </c>
      <c r="L308">
        <f>IFERROR(IF(ISNUMBER(INDEX(SPPR!$E:$Z,MATCH($A308,SPPR!$A:$A,0),9)),$C308*INDEX(SPPR!$E:$Z,MATCH($A308,SPPR!$A:$A,0),9),""),"")</f>
        <v/>
      </c>
      <c r="M308">
        <f>IFERROR(IF(ISNUMBER(INDEX(SPPR!$E:$Z,MATCH($A308,SPPR!$A:$A,0),10)),$C308*INDEX(SPPR!$E:$Z,MATCH($A308,SPPR!$A:$A,0),10),""),"")</f>
        <v/>
      </c>
      <c r="N308">
        <f>IFERROR(IF(ISNUMBER(INDEX(SPPR!$E:$Z,MATCH($A308,SPPR!$A:$A,0),11)),$C308*INDEX(SPPR!$E:$Z,MATCH($A308,SPPR!$A:$A,0),11),""),"")</f>
        <v/>
      </c>
      <c r="O308">
        <f>IFERROR(IF(ISNUMBER(INDEX(SPPR!$E:$Z,MATCH($A308,SPPR!$A:$A,0),12)),$C308*INDEX(SPPR!$E:$Z,MATCH($A308,SPPR!$A:$A,0),12),""),"")</f>
        <v/>
      </c>
      <c r="P308">
        <f>IFERROR(IF(ISNUMBER(INDEX(SPPR!$E:$Z,MATCH($A308,SPPR!$A:$A,0),13)),$C308*INDEX(SPPR!$E:$Z,MATCH($A308,SPPR!$A:$A,0),13),""),"")</f>
        <v/>
      </c>
      <c r="Q308">
        <f>IFERROR(IF(ISNUMBER(INDEX(SPPR!$E:$Z,MATCH($A308,SPPR!$A:$A,0),14)),$C308*INDEX(SPPR!$E:$Z,MATCH($A308,SPPR!$A:$A,0),14),""),"")</f>
        <v/>
      </c>
      <c r="R308">
        <f>IFERROR(IF(ISNUMBER(INDEX(SPPR!$E:$Z,MATCH($A308,SPPR!$A:$A,0),15)),$C308*INDEX(SPPR!$E:$Z,MATCH($A308,SPPR!$A:$A,0),15),""),"")</f>
        <v/>
      </c>
      <c r="S308">
        <f>IFERROR(IF(ISNUMBER(INDEX(SPPR!$E:$Z,MATCH($A308,SPPR!$A:$A,0),16)),$C308*INDEX(SPPR!$E:$Z,MATCH($A308,SPPR!$A:$A,0),16),""),"")</f>
        <v/>
      </c>
      <c r="T308">
        <f>IFERROR(IF(ISNUMBER(INDEX(SPPR!$E:$Z,MATCH($A308,SPPR!$A:$A,0),17)),$C308*INDEX(SPPR!$E:$Z,MATCH($A308,SPPR!$A:$A,0),17),""),"")</f>
        <v/>
      </c>
      <c r="U308">
        <f>IFERROR(IF(ISNUMBER(INDEX(SPPR!$E:$Z,MATCH($A308,SPPR!$A:$A,0),18)),$C308*INDEX(SPPR!$E:$Z,MATCH($A308,SPPR!$A:$A,0),18),""),"")</f>
        <v/>
      </c>
      <c r="V308">
        <f>IFERROR(IF(ISNUMBER(INDEX(SPPR!$E:$Z,MATCH($A308,SPPR!$A:$A,0),19)),$C308*INDEX(SPPR!$E:$Z,MATCH($A308,SPPR!$A:$A,0),19),""),"")</f>
        <v/>
      </c>
      <c r="W308">
        <f>IFERROR(IF(ISNUMBER(INDEX(SPPR!$E:$Z,MATCH($A308,SPPR!$A:$A,0),20)),$C308*INDEX(SPPR!$E:$Z,MATCH($A308,SPPR!$A:$A,0),20),""),"")</f>
        <v/>
      </c>
      <c r="X308">
        <f>IFERROR(IF(ISNUMBER(INDEX(SPPR!$E:$Z,MATCH($A308,SPPR!$A:$A,0),21)),$C308*INDEX(SPPR!$E:$Z,MATCH($A308,SPPR!$A:$A,0),21),""),"")</f>
        <v/>
      </c>
      <c r="Y308">
        <f>IFERROR(IF(ISNUMBER(INDEX(SPPR!$E:$Z,MATCH($A308,SPPR!$A:$A,0),22)),$C308*INDEX(SPPR!$E:$Z,MATCH($A308,SPPR!$A:$A,0),22),""),"")</f>
        <v/>
      </c>
    </row>
    <row r="309">
      <c r="A309" t="inlineStr">
        <is>
          <t>Psettodidae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IFERROR(IF(ISNUMBER(INDEX(SPPR!$E:$Z,MATCH($A309,SPPR!$A:$A,0),1)),$C309*INDEX(SPPR!$E:$Z,MATCH($A309,SPPR!$A:$A,0),1),""),"")</f>
        <v/>
      </c>
      <c r="E309">
        <f>IFERROR(IF(ISNUMBER(INDEX(SPPR!$E:$Z,MATCH($A309,SPPR!$A:$A,0),2)),$C309*INDEX(SPPR!$E:$Z,MATCH($A309,SPPR!$A:$A,0),2),""),"")</f>
        <v/>
      </c>
      <c r="F309">
        <f>IFERROR(IF(ISNUMBER(INDEX(SPPR!$E:$Z,MATCH($A309,SPPR!$A:$A,0),3)),$C309*INDEX(SPPR!$E:$Z,MATCH($A309,SPPR!$A:$A,0),3),""),"")</f>
        <v/>
      </c>
      <c r="G309">
        <f>IFERROR(IF(ISNUMBER(INDEX(SPPR!$E:$Z,MATCH($A309,SPPR!$A:$A,0),4)),$C309*INDEX(SPPR!$E:$Z,MATCH($A309,SPPR!$A:$A,0),4),""),"")</f>
        <v/>
      </c>
      <c r="H309">
        <f>IFERROR(IF(ISNUMBER(INDEX(SPPR!$E:$Z,MATCH($A309,SPPR!$A:$A,0),5)),$C309*INDEX(SPPR!$E:$Z,MATCH($A309,SPPR!$A:$A,0),5),""),"")</f>
        <v/>
      </c>
      <c r="I309">
        <f>IFERROR(IF(ISNUMBER(INDEX(SPPR!$E:$Z,MATCH($A309,SPPR!$A:$A,0),6)),$C309*INDEX(SPPR!$E:$Z,MATCH($A309,SPPR!$A:$A,0),6),""),"")</f>
        <v/>
      </c>
      <c r="J309">
        <f>IFERROR(IF(ISNUMBER(INDEX(SPPR!$E:$Z,MATCH($A309,SPPR!$A:$A,0),7)),$C309*INDEX(SPPR!$E:$Z,MATCH($A309,SPPR!$A:$A,0),7),""),"")</f>
        <v/>
      </c>
      <c r="K309">
        <f>IFERROR(IF(ISNUMBER(INDEX(SPPR!$E:$Z,MATCH($A309,SPPR!$A:$A,0),8)),$C309*INDEX(SPPR!$E:$Z,MATCH($A309,SPPR!$A:$A,0),8),""),"")</f>
        <v/>
      </c>
      <c r="L309">
        <f>IFERROR(IF(ISNUMBER(INDEX(SPPR!$E:$Z,MATCH($A309,SPPR!$A:$A,0),9)),$C309*INDEX(SPPR!$E:$Z,MATCH($A309,SPPR!$A:$A,0),9),""),"")</f>
        <v/>
      </c>
      <c r="M309">
        <f>IFERROR(IF(ISNUMBER(INDEX(SPPR!$E:$Z,MATCH($A309,SPPR!$A:$A,0),10)),$C309*INDEX(SPPR!$E:$Z,MATCH($A309,SPPR!$A:$A,0),10),""),"")</f>
        <v/>
      </c>
      <c r="N309">
        <f>IFERROR(IF(ISNUMBER(INDEX(SPPR!$E:$Z,MATCH($A309,SPPR!$A:$A,0),11)),$C309*INDEX(SPPR!$E:$Z,MATCH($A309,SPPR!$A:$A,0),11),""),"")</f>
        <v/>
      </c>
      <c r="O309">
        <f>IFERROR(IF(ISNUMBER(INDEX(SPPR!$E:$Z,MATCH($A309,SPPR!$A:$A,0),12)),$C309*INDEX(SPPR!$E:$Z,MATCH($A309,SPPR!$A:$A,0),12),""),"")</f>
        <v/>
      </c>
      <c r="P309">
        <f>IFERROR(IF(ISNUMBER(INDEX(SPPR!$E:$Z,MATCH($A309,SPPR!$A:$A,0),13)),$C309*INDEX(SPPR!$E:$Z,MATCH($A309,SPPR!$A:$A,0),13),""),"")</f>
        <v/>
      </c>
      <c r="Q309">
        <f>IFERROR(IF(ISNUMBER(INDEX(SPPR!$E:$Z,MATCH($A309,SPPR!$A:$A,0),14)),$C309*INDEX(SPPR!$E:$Z,MATCH($A309,SPPR!$A:$A,0),14),""),"")</f>
        <v/>
      </c>
      <c r="R309">
        <f>IFERROR(IF(ISNUMBER(INDEX(SPPR!$E:$Z,MATCH($A309,SPPR!$A:$A,0),15)),$C309*INDEX(SPPR!$E:$Z,MATCH($A309,SPPR!$A:$A,0),15),""),"")</f>
        <v/>
      </c>
      <c r="S309">
        <f>IFERROR(IF(ISNUMBER(INDEX(SPPR!$E:$Z,MATCH($A309,SPPR!$A:$A,0),16)),$C309*INDEX(SPPR!$E:$Z,MATCH($A309,SPPR!$A:$A,0),16),""),"")</f>
        <v/>
      </c>
      <c r="T309">
        <f>IFERROR(IF(ISNUMBER(INDEX(SPPR!$E:$Z,MATCH($A309,SPPR!$A:$A,0),17)),$C309*INDEX(SPPR!$E:$Z,MATCH($A309,SPPR!$A:$A,0),17),""),"")</f>
        <v/>
      </c>
      <c r="U309">
        <f>IFERROR(IF(ISNUMBER(INDEX(SPPR!$E:$Z,MATCH($A309,SPPR!$A:$A,0),18)),$C309*INDEX(SPPR!$E:$Z,MATCH($A309,SPPR!$A:$A,0),18),""),"")</f>
        <v/>
      </c>
      <c r="V309">
        <f>IFERROR(IF(ISNUMBER(INDEX(SPPR!$E:$Z,MATCH($A309,SPPR!$A:$A,0),19)),$C309*INDEX(SPPR!$E:$Z,MATCH($A309,SPPR!$A:$A,0),19),""),"")</f>
        <v/>
      </c>
      <c r="W309">
        <f>IFERROR(IF(ISNUMBER(INDEX(SPPR!$E:$Z,MATCH($A309,SPPR!$A:$A,0),20)),$C309*INDEX(SPPR!$E:$Z,MATCH($A309,SPPR!$A:$A,0),20),""),"")</f>
        <v/>
      </c>
      <c r="X309">
        <f>IFERROR(IF(ISNUMBER(INDEX(SPPR!$E:$Z,MATCH($A309,SPPR!$A:$A,0),21)),$C309*INDEX(SPPR!$E:$Z,MATCH($A309,SPPR!$A:$A,0),21),""),"")</f>
        <v/>
      </c>
      <c r="Y309">
        <f>IFERROR(IF(ISNUMBER(INDEX(SPPR!$E:$Z,MATCH($A309,SPPR!$A:$A,0),22)),$C309*INDEX(SPPR!$E:$Z,MATCH($A309,SPPR!$A:$A,0),22),""),"")</f>
        <v/>
      </c>
    </row>
    <row r="310">
      <c r="A310" t="inlineStr">
        <is>
          <t>Panulirus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IFERROR(IF(ISNUMBER(INDEX(SPPR!$E:$Z,MATCH($A310,SPPR!$A:$A,0),1)),$C310*INDEX(SPPR!$E:$Z,MATCH($A310,SPPR!$A:$A,0),1),""),"")</f>
        <v/>
      </c>
      <c r="E310">
        <f>IFERROR(IF(ISNUMBER(INDEX(SPPR!$E:$Z,MATCH($A310,SPPR!$A:$A,0),2)),$C310*INDEX(SPPR!$E:$Z,MATCH($A310,SPPR!$A:$A,0),2),""),"")</f>
        <v/>
      </c>
      <c r="F310">
        <f>IFERROR(IF(ISNUMBER(INDEX(SPPR!$E:$Z,MATCH($A310,SPPR!$A:$A,0),3)),$C310*INDEX(SPPR!$E:$Z,MATCH($A310,SPPR!$A:$A,0),3),""),"")</f>
        <v/>
      </c>
      <c r="G310">
        <f>IFERROR(IF(ISNUMBER(INDEX(SPPR!$E:$Z,MATCH($A310,SPPR!$A:$A,0),4)),$C310*INDEX(SPPR!$E:$Z,MATCH($A310,SPPR!$A:$A,0),4),""),"")</f>
        <v/>
      </c>
      <c r="H310">
        <f>IFERROR(IF(ISNUMBER(INDEX(SPPR!$E:$Z,MATCH($A310,SPPR!$A:$A,0),5)),$C310*INDEX(SPPR!$E:$Z,MATCH($A310,SPPR!$A:$A,0),5),""),"")</f>
        <v/>
      </c>
      <c r="I310">
        <f>IFERROR(IF(ISNUMBER(INDEX(SPPR!$E:$Z,MATCH($A310,SPPR!$A:$A,0),6)),$C310*INDEX(SPPR!$E:$Z,MATCH($A310,SPPR!$A:$A,0),6),""),"")</f>
        <v/>
      </c>
      <c r="J310">
        <f>IFERROR(IF(ISNUMBER(INDEX(SPPR!$E:$Z,MATCH($A310,SPPR!$A:$A,0),7)),$C310*INDEX(SPPR!$E:$Z,MATCH($A310,SPPR!$A:$A,0),7),""),"")</f>
        <v/>
      </c>
      <c r="K310">
        <f>IFERROR(IF(ISNUMBER(INDEX(SPPR!$E:$Z,MATCH($A310,SPPR!$A:$A,0),8)),$C310*INDEX(SPPR!$E:$Z,MATCH($A310,SPPR!$A:$A,0),8),""),"")</f>
        <v/>
      </c>
      <c r="L310">
        <f>IFERROR(IF(ISNUMBER(INDEX(SPPR!$E:$Z,MATCH($A310,SPPR!$A:$A,0),9)),$C310*INDEX(SPPR!$E:$Z,MATCH($A310,SPPR!$A:$A,0),9),""),"")</f>
        <v/>
      </c>
      <c r="M310">
        <f>IFERROR(IF(ISNUMBER(INDEX(SPPR!$E:$Z,MATCH($A310,SPPR!$A:$A,0),10)),$C310*INDEX(SPPR!$E:$Z,MATCH($A310,SPPR!$A:$A,0),10),""),"")</f>
        <v/>
      </c>
      <c r="N310">
        <f>IFERROR(IF(ISNUMBER(INDEX(SPPR!$E:$Z,MATCH($A310,SPPR!$A:$A,0),11)),$C310*INDEX(SPPR!$E:$Z,MATCH($A310,SPPR!$A:$A,0),11),""),"")</f>
        <v/>
      </c>
      <c r="O310">
        <f>IFERROR(IF(ISNUMBER(INDEX(SPPR!$E:$Z,MATCH($A310,SPPR!$A:$A,0),12)),$C310*INDEX(SPPR!$E:$Z,MATCH($A310,SPPR!$A:$A,0),12),""),"")</f>
        <v/>
      </c>
      <c r="P310">
        <f>IFERROR(IF(ISNUMBER(INDEX(SPPR!$E:$Z,MATCH($A310,SPPR!$A:$A,0),13)),$C310*INDEX(SPPR!$E:$Z,MATCH($A310,SPPR!$A:$A,0),13),""),"")</f>
        <v/>
      </c>
      <c r="Q310">
        <f>IFERROR(IF(ISNUMBER(INDEX(SPPR!$E:$Z,MATCH($A310,SPPR!$A:$A,0),14)),$C310*INDEX(SPPR!$E:$Z,MATCH($A310,SPPR!$A:$A,0),14),""),"")</f>
        <v/>
      </c>
      <c r="R310">
        <f>IFERROR(IF(ISNUMBER(INDEX(SPPR!$E:$Z,MATCH($A310,SPPR!$A:$A,0),15)),$C310*INDEX(SPPR!$E:$Z,MATCH($A310,SPPR!$A:$A,0),15),""),"")</f>
        <v/>
      </c>
      <c r="S310">
        <f>IFERROR(IF(ISNUMBER(INDEX(SPPR!$E:$Z,MATCH($A310,SPPR!$A:$A,0),16)),$C310*INDEX(SPPR!$E:$Z,MATCH($A310,SPPR!$A:$A,0),16),""),"")</f>
        <v/>
      </c>
      <c r="T310">
        <f>IFERROR(IF(ISNUMBER(INDEX(SPPR!$E:$Z,MATCH($A310,SPPR!$A:$A,0),17)),$C310*INDEX(SPPR!$E:$Z,MATCH($A310,SPPR!$A:$A,0),17),""),"")</f>
        <v/>
      </c>
      <c r="U310">
        <f>IFERROR(IF(ISNUMBER(INDEX(SPPR!$E:$Z,MATCH($A310,SPPR!$A:$A,0),18)),$C310*INDEX(SPPR!$E:$Z,MATCH($A310,SPPR!$A:$A,0),18),""),"")</f>
        <v/>
      </c>
      <c r="V310">
        <f>IFERROR(IF(ISNUMBER(INDEX(SPPR!$E:$Z,MATCH($A310,SPPR!$A:$A,0),19)),$C310*INDEX(SPPR!$E:$Z,MATCH($A310,SPPR!$A:$A,0),19),""),"")</f>
        <v/>
      </c>
      <c r="W310">
        <f>IFERROR(IF(ISNUMBER(INDEX(SPPR!$E:$Z,MATCH($A310,SPPR!$A:$A,0),20)),$C310*INDEX(SPPR!$E:$Z,MATCH($A310,SPPR!$A:$A,0),20),""),"")</f>
        <v/>
      </c>
      <c r="X310">
        <f>IFERROR(IF(ISNUMBER(INDEX(SPPR!$E:$Z,MATCH($A310,SPPR!$A:$A,0),21)),$C310*INDEX(SPPR!$E:$Z,MATCH($A310,SPPR!$A:$A,0),21),""),"")</f>
        <v/>
      </c>
      <c r="Y310">
        <f>IFERROR(IF(ISNUMBER(INDEX(SPPR!$E:$Z,MATCH($A310,SPPR!$A:$A,0),22)),$C310*INDEX(SPPR!$E:$Z,MATCH($A310,SPPR!$A:$A,0),22),""),"")</f>
        <v/>
      </c>
    </row>
    <row r="311">
      <c r="A311" t="inlineStr">
        <is>
          <t>Rhincodon typus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IFERROR(IF(ISNUMBER(INDEX(SPPR!$E:$Z,MATCH($A311,SPPR!$A:$A,0),1)),$C311*INDEX(SPPR!$E:$Z,MATCH($A311,SPPR!$A:$A,0),1),""),"")</f>
        <v/>
      </c>
      <c r="E311">
        <f>IFERROR(IF(ISNUMBER(INDEX(SPPR!$E:$Z,MATCH($A311,SPPR!$A:$A,0),2)),$C311*INDEX(SPPR!$E:$Z,MATCH($A311,SPPR!$A:$A,0),2),""),"")</f>
        <v/>
      </c>
      <c r="F311">
        <f>IFERROR(IF(ISNUMBER(INDEX(SPPR!$E:$Z,MATCH($A311,SPPR!$A:$A,0),3)),$C311*INDEX(SPPR!$E:$Z,MATCH($A311,SPPR!$A:$A,0),3),""),"")</f>
        <v/>
      </c>
      <c r="G311">
        <f>IFERROR(IF(ISNUMBER(INDEX(SPPR!$E:$Z,MATCH($A311,SPPR!$A:$A,0),4)),$C311*INDEX(SPPR!$E:$Z,MATCH($A311,SPPR!$A:$A,0),4),""),"")</f>
        <v/>
      </c>
      <c r="H311">
        <f>IFERROR(IF(ISNUMBER(INDEX(SPPR!$E:$Z,MATCH($A311,SPPR!$A:$A,0),5)),$C311*INDEX(SPPR!$E:$Z,MATCH($A311,SPPR!$A:$A,0),5),""),"")</f>
        <v/>
      </c>
      <c r="I311">
        <f>IFERROR(IF(ISNUMBER(INDEX(SPPR!$E:$Z,MATCH($A311,SPPR!$A:$A,0),6)),$C311*INDEX(SPPR!$E:$Z,MATCH($A311,SPPR!$A:$A,0),6),""),"")</f>
        <v/>
      </c>
      <c r="J311">
        <f>IFERROR(IF(ISNUMBER(INDEX(SPPR!$E:$Z,MATCH($A311,SPPR!$A:$A,0),7)),$C311*INDEX(SPPR!$E:$Z,MATCH($A311,SPPR!$A:$A,0),7),""),"")</f>
        <v/>
      </c>
      <c r="K311">
        <f>IFERROR(IF(ISNUMBER(INDEX(SPPR!$E:$Z,MATCH($A311,SPPR!$A:$A,0),8)),$C311*INDEX(SPPR!$E:$Z,MATCH($A311,SPPR!$A:$A,0),8),""),"")</f>
        <v/>
      </c>
      <c r="L311">
        <f>IFERROR(IF(ISNUMBER(INDEX(SPPR!$E:$Z,MATCH($A311,SPPR!$A:$A,0),9)),$C311*INDEX(SPPR!$E:$Z,MATCH($A311,SPPR!$A:$A,0),9),""),"")</f>
        <v/>
      </c>
      <c r="M311">
        <f>IFERROR(IF(ISNUMBER(INDEX(SPPR!$E:$Z,MATCH($A311,SPPR!$A:$A,0),10)),$C311*INDEX(SPPR!$E:$Z,MATCH($A311,SPPR!$A:$A,0),10),""),"")</f>
        <v/>
      </c>
      <c r="N311">
        <f>IFERROR(IF(ISNUMBER(INDEX(SPPR!$E:$Z,MATCH($A311,SPPR!$A:$A,0),11)),$C311*INDEX(SPPR!$E:$Z,MATCH($A311,SPPR!$A:$A,0),11),""),"")</f>
        <v/>
      </c>
      <c r="O311">
        <f>IFERROR(IF(ISNUMBER(INDEX(SPPR!$E:$Z,MATCH($A311,SPPR!$A:$A,0),12)),$C311*INDEX(SPPR!$E:$Z,MATCH($A311,SPPR!$A:$A,0),12),""),"")</f>
        <v/>
      </c>
      <c r="P311">
        <f>IFERROR(IF(ISNUMBER(INDEX(SPPR!$E:$Z,MATCH($A311,SPPR!$A:$A,0),13)),$C311*INDEX(SPPR!$E:$Z,MATCH($A311,SPPR!$A:$A,0),13),""),"")</f>
        <v/>
      </c>
      <c r="Q311">
        <f>IFERROR(IF(ISNUMBER(INDEX(SPPR!$E:$Z,MATCH($A311,SPPR!$A:$A,0),14)),$C311*INDEX(SPPR!$E:$Z,MATCH($A311,SPPR!$A:$A,0),14),""),"")</f>
        <v/>
      </c>
      <c r="R311">
        <f>IFERROR(IF(ISNUMBER(INDEX(SPPR!$E:$Z,MATCH($A311,SPPR!$A:$A,0),15)),$C311*INDEX(SPPR!$E:$Z,MATCH($A311,SPPR!$A:$A,0),15),""),"")</f>
        <v/>
      </c>
      <c r="S311">
        <f>IFERROR(IF(ISNUMBER(INDEX(SPPR!$E:$Z,MATCH($A311,SPPR!$A:$A,0),16)),$C311*INDEX(SPPR!$E:$Z,MATCH($A311,SPPR!$A:$A,0),16),""),"")</f>
        <v/>
      </c>
      <c r="T311">
        <f>IFERROR(IF(ISNUMBER(INDEX(SPPR!$E:$Z,MATCH($A311,SPPR!$A:$A,0),17)),$C311*INDEX(SPPR!$E:$Z,MATCH($A311,SPPR!$A:$A,0),17),""),"")</f>
        <v/>
      </c>
      <c r="U311">
        <f>IFERROR(IF(ISNUMBER(INDEX(SPPR!$E:$Z,MATCH($A311,SPPR!$A:$A,0),18)),$C311*INDEX(SPPR!$E:$Z,MATCH($A311,SPPR!$A:$A,0),18),""),"")</f>
        <v/>
      </c>
      <c r="V311">
        <f>IFERROR(IF(ISNUMBER(INDEX(SPPR!$E:$Z,MATCH($A311,SPPR!$A:$A,0),19)),$C311*INDEX(SPPR!$E:$Z,MATCH($A311,SPPR!$A:$A,0),19),""),"")</f>
        <v/>
      </c>
      <c r="W311">
        <f>IFERROR(IF(ISNUMBER(INDEX(SPPR!$E:$Z,MATCH($A311,SPPR!$A:$A,0),20)),$C311*INDEX(SPPR!$E:$Z,MATCH($A311,SPPR!$A:$A,0),20),""),"")</f>
        <v/>
      </c>
      <c r="X311">
        <f>IFERROR(IF(ISNUMBER(INDEX(SPPR!$E:$Z,MATCH($A311,SPPR!$A:$A,0),21)),$C311*INDEX(SPPR!$E:$Z,MATCH($A311,SPPR!$A:$A,0),21),""),"")</f>
        <v/>
      </c>
      <c r="Y311">
        <f>IFERROR(IF(ISNUMBER(INDEX(SPPR!$E:$Z,MATCH($A311,SPPR!$A:$A,0),22)),$C311*INDEX(SPPR!$E:$Z,MATCH($A311,SPPR!$A:$A,0),22),""),"")</f>
        <v/>
      </c>
    </row>
    <row r="312">
      <c r="A312" t="inlineStr">
        <is>
          <t>Cheilopogon unicolor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IFERROR(IF(ISNUMBER(INDEX(SPPR!$E:$Z,MATCH($A312,SPPR!$A:$A,0),1)),$C312*INDEX(SPPR!$E:$Z,MATCH($A312,SPPR!$A:$A,0),1),""),"")</f>
        <v/>
      </c>
      <c r="E312">
        <f>IFERROR(IF(ISNUMBER(INDEX(SPPR!$E:$Z,MATCH($A312,SPPR!$A:$A,0),2)),$C312*INDEX(SPPR!$E:$Z,MATCH($A312,SPPR!$A:$A,0),2),""),"")</f>
        <v/>
      </c>
      <c r="F312">
        <f>IFERROR(IF(ISNUMBER(INDEX(SPPR!$E:$Z,MATCH($A312,SPPR!$A:$A,0),3)),$C312*INDEX(SPPR!$E:$Z,MATCH($A312,SPPR!$A:$A,0),3),""),"")</f>
        <v/>
      </c>
      <c r="G312">
        <f>IFERROR(IF(ISNUMBER(INDEX(SPPR!$E:$Z,MATCH($A312,SPPR!$A:$A,0),4)),$C312*INDEX(SPPR!$E:$Z,MATCH($A312,SPPR!$A:$A,0),4),""),"")</f>
        <v/>
      </c>
      <c r="H312">
        <f>IFERROR(IF(ISNUMBER(INDEX(SPPR!$E:$Z,MATCH($A312,SPPR!$A:$A,0),5)),$C312*INDEX(SPPR!$E:$Z,MATCH($A312,SPPR!$A:$A,0),5),""),"")</f>
        <v/>
      </c>
      <c r="I312">
        <f>IFERROR(IF(ISNUMBER(INDEX(SPPR!$E:$Z,MATCH($A312,SPPR!$A:$A,0),6)),$C312*INDEX(SPPR!$E:$Z,MATCH($A312,SPPR!$A:$A,0),6),""),"")</f>
        <v/>
      </c>
      <c r="J312">
        <f>IFERROR(IF(ISNUMBER(INDEX(SPPR!$E:$Z,MATCH($A312,SPPR!$A:$A,0),7)),$C312*INDEX(SPPR!$E:$Z,MATCH($A312,SPPR!$A:$A,0),7),""),"")</f>
        <v/>
      </c>
      <c r="K312">
        <f>IFERROR(IF(ISNUMBER(INDEX(SPPR!$E:$Z,MATCH($A312,SPPR!$A:$A,0),8)),$C312*INDEX(SPPR!$E:$Z,MATCH($A312,SPPR!$A:$A,0),8),""),"")</f>
        <v/>
      </c>
      <c r="L312">
        <f>IFERROR(IF(ISNUMBER(INDEX(SPPR!$E:$Z,MATCH($A312,SPPR!$A:$A,0),9)),$C312*INDEX(SPPR!$E:$Z,MATCH($A312,SPPR!$A:$A,0),9),""),"")</f>
        <v/>
      </c>
      <c r="M312">
        <f>IFERROR(IF(ISNUMBER(INDEX(SPPR!$E:$Z,MATCH($A312,SPPR!$A:$A,0),10)),$C312*INDEX(SPPR!$E:$Z,MATCH($A312,SPPR!$A:$A,0),10),""),"")</f>
        <v/>
      </c>
      <c r="N312">
        <f>IFERROR(IF(ISNUMBER(INDEX(SPPR!$E:$Z,MATCH($A312,SPPR!$A:$A,0),11)),$C312*INDEX(SPPR!$E:$Z,MATCH($A312,SPPR!$A:$A,0),11),""),"")</f>
        <v/>
      </c>
      <c r="O312">
        <f>IFERROR(IF(ISNUMBER(INDEX(SPPR!$E:$Z,MATCH($A312,SPPR!$A:$A,0),12)),$C312*INDEX(SPPR!$E:$Z,MATCH($A312,SPPR!$A:$A,0),12),""),"")</f>
        <v/>
      </c>
      <c r="P312">
        <f>IFERROR(IF(ISNUMBER(INDEX(SPPR!$E:$Z,MATCH($A312,SPPR!$A:$A,0),13)),$C312*INDEX(SPPR!$E:$Z,MATCH($A312,SPPR!$A:$A,0),13),""),"")</f>
        <v/>
      </c>
      <c r="Q312">
        <f>IFERROR(IF(ISNUMBER(INDEX(SPPR!$E:$Z,MATCH($A312,SPPR!$A:$A,0),14)),$C312*INDEX(SPPR!$E:$Z,MATCH($A312,SPPR!$A:$A,0),14),""),"")</f>
        <v/>
      </c>
      <c r="R312">
        <f>IFERROR(IF(ISNUMBER(INDEX(SPPR!$E:$Z,MATCH($A312,SPPR!$A:$A,0),15)),$C312*INDEX(SPPR!$E:$Z,MATCH($A312,SPPR!$A:$A,0),15),""),"")</f>
        <v/>
      </c>
      <c r="S312">
        <f>IFERROR(IF(ISNUMBER(INDEX(SPPR!$E:$Z,MATCH($A312,SPPR!$A:$A,0),16)),$C312*INDEX(SPPR!$E:$Z,MATCH($A312,SPPR!$A:$A,0),16),""),"")</f>
        <v/>
      </c>
      <c r="T312">
        <f>IFERROR(IF(ISNUMBER(INDEX(SPPR!$E:$Z,MATCH($A312,SPPR!$A:$A,0),17)),$C312*INDEX(SPPR!$E:$Z,MATCH($A312,SPPR!$A:$A,0),17),""),"")</f>
        <v/>
      </c>
      <c r="U312">
        <f>IFERROR(IF(ISNUMBER(INDEX(SPPR!$E:$Z,MATCH($A312,SPPR!$A:$A,0),18)),$C312*INDEX(SPPR!$E:$Z,MATCH($A312,SPPR!$A:$A,0),18),""),"")</f>
        <v/>
      </c>
      <c r="V312">
        <f>IFERROR(IF(ISNUMBER(INDEX(SPPR!$E:$Z,MATCH($A312,SPPR!$A:$A,0),19)),$C312*INDEX(SPPR!$E:$Z,MATCH($A312,SPPR!$A:$A,0),19),""),"")</f>
        <v/>
      </c>
      <c r="W312">
        <f>IFERROR(IF(ISNUMBER(INDEX(SPPR!$E:$Z,MATCH($A312,SPPR!$A:$A,0),20)),$C312*INDEX(SPPR!$E:$Z,MATCH($A312,SPPR!$A:$A,0),20),""),"")</f>
        <v/>
      </c>
      <c r="X312">
        <f>IFERROR(IF(ISNUMBER(INDEX(SPPR!$E:$Z,MATCH($A312,SPPR!$A:$A,0),21)),$C312*INDEX(SPPR!$E:$Z,MATCH($A312,SPPR!$A:$A,0),21),""),"")</f>
        <v/>
      </c>
      <c r="Y312">
        <f>IFERROR(IF(ISNUMBER(INDEX(SPPR!$E:$Z,MATCH($A312,SPPR!$A:$A,0),22)),$C312*INDEX(SPPR!$E:$Z,MATCH($A312,SPPR!$A:$A,0),22),""),"")</f>
        <v/>
      </c>
    </row>
    <row r="313">
      <c r="A313" t="inlineStr">
        <is>
          <t>Mizuhopecten yessoensis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IFERROR(IF(ISNUMBER(INDEX(SPPR!$E:$Z,MATCH($A313,SPPR!$A:$A,0),1)),$C313*INDEX(SPPR!$E:$Z,MATCH($A313,SPPR!$A:$A,0),1),""),"")</f>
        <v/>
      </c>
      <c r="E313">
        <f>IFERROR(IF(ISNUMBER(INDEX(SPPR!$E:$Z,MATCH($A313,SPPR!$A:$A,0),2)),$C313*INDEX(SPPR!$E:$Z,MATCH($A313,SPPR!$A:$A,0),2),""),"")</f>
        <v/>
      </c>
      <c r="F313">
        <f>IFERROR(IF(ISNUMBER(INDEX(SPPR!$E:$Z,MATCH($A313,SPPR!$A:$A,0),3)),$C313*INDEX(SPPR!$E:$Z,MATCH($A313,SPPR!$A:$A,0),3),""),"")</f>
        <v/>
      </c>
      <c r="G313">
        <f>IFERROR(IF(ISNUMBER(INDEX(SPPR!$E:$Z,MATCH($A313,SPPR!$A:$A,0),4)),$C313*INDEX(SPPR!$E:$Z,MATCH($A313,SPPR!$A:$A,0),4),""),"")</f>
        <v/>
      </c>
      <c r="H313">
        <f>IFERROR(IF(ISNUMBER(INDEX(SPPR!$E:$Z,MATCH($A313,SPPR!$A:$A,0),5)),$C313*INDEX(SPPR!$E:$Z,MATCH($A313,SPPR!$A:$A,0),5),""),"")</f>
        <v/>
      </c>
      <c r="I313">
        <f>IFERROR(IF(ISNUMBER(INDEX(SPPR!$E:$Z,MATCH($A313,SPPR!$A:$A,0),6)),$C313*INDEX(SPPR!$E:$Z,MATCH($A313,SPPR!$A:$A,0),6),""),"")</f>
        <v/>
      </c>
      <c r="J313">
        <f>IFERROR(IF(ISNUMBER(INDEX(SPPR!$E:$Z,MATCH($A313,SPPR!$A:$A,0),7)),$C313*INDEX(SPPR!$E:$Z,MATCH($A313,SPPR!$A:$A,0),7),""),"")</f>
        <v/>
      </c>
      <c r="K313">
        <f>IFERROR(IF(ISNUMBER(INDEX(SPPR!$E:$Z,MATCH($A313,SPPR!$A:$A,0),8)),$C313*INDEX(SPPR!$E:$Z,MATCH($A313,SPPR!$A:$A,0),8),""),"")</f>
        <v/>
      </c>
      <c r="L313">
        <f>IFERROR(IF(ISNUMBER(INDEX(SPPR!$E:$Z,MATCH($A313,SPPR!$A:$A,0),9)),$C313*INDEX(SPPR!$E:$Z,MATCH($A313,SPPR!$A:$A,0),9),""),"")</f>
        <v/>
      </c>
      <c r="M313">
        <f>IFERROR(IF(ISNUMBER(INDEX(SPPR!$E:$Z,MATCH($A313,SPPR!$A:$A,0),10)),$C313*INDEX(SPPR!$E:$Z,MATCH($A313,SPPR!$A:$A,0),10),""),"")</f>
        <v/>
      </c>
      <c r="N313">
        <f>IFERROR(IF(ISNUMBER(INDEX(SPPR!$E:$Z,MATCH($A313,SPPR!$A:$A,0),11)),$C313*INDEX(SPPR!$E:$Z,MATCH($A313,SPPR!$A:$A,0),11),""),"")</f>
        <v/>
      </c>
      <c r="O313">
        <f>IFERROR(IF(ISNUMBER(INDEX(SPPR!$E:$Z,MATCH($A313,SPPR!$A:$A,0),12)),$C313*INDEX(SPPR!$E:$Z,MATCH($A313,SPPR!$A:$A,0),12),""),"")</f>
        <v/>
      </c>
      <c r="P313">
        <f>IFERROR(IF(ISNUMBER(INDEX(SPPR!$E:$Z,MATCH($A313,SPPR!$A:$A,0),13)),$C313*INDEX(SPPR!$E:$Z,MATCH($A313,SPPR!$A:$A,0),13),""),"")</f>
        <v/>
      </c>
      <c r="Q313">
        <f>IFERROR(IF(ISNUMBER(INDEX(SPPR!$E:$Z,MATCH($A313,SPPR!$A:$A,0),14)),$C313*INDEX(SPPR!$E:$Z,MATCH($A313,SPPR!$A:$A,0),14),""),"")</f>
        <v/>
      </c>
      <c r="R313">
        <f>IFERROR(IF(ISNUMBER(INDEX(SPPR!$E:$Z,MATCH($A313,SPPR!$A:$A,0),15)),$C313*INDEX(SPPR!$E:$Z,MATCH($A313,SPPR!$A:$A,0),15),""),"")</f>
        <v/>
      </c>
      <c r="S313">
        <f>IFERROR(IF(ISNUMBER(INDEX(SPPR!$E:$Z,MATCH($A313,SPPR!$A:$A,0),16)),$C313*INDEX(SPPR!$E:$Z,MATCH($A313,SPPR!$A:$A,0),16),""),"")</f>
        <v/>
      </c>
      <c r="T313">
        <f>IFERROR(IF(ISNUMBER(INDEX(SPPR!$E:$Z,MATCH($A313,SPPR!$A:$A,0),17)),$C313*INDEX(SPPR!$E:$Z,MATCH($A313,SPPR!$A:$A,0),17),""),"")</f>
        <v/>
      </c>
      <c r="U313">
        <f>IFERROR(IF(ISNUMBER(INDEX(SPPR!$E:$Z,MATCH($A313,SPPR!$A:$A,0),18)),$C313*INDEX(SPPR!$E:$Z,MATCH($A313,SPPR!$A:$A,0),18),""),"")</f>
        <v/>
      </c>
      <c r="V313">
        <f>IFERROR(IF(ISNUMBER(INDEX(SPPR!$E:$Z,MATCH($A313,SPPR!$A:$A,0),19)),$C313*INDEX(SPPR!$E:$Z,MATCH($A313,SPPR!$A:$A,0),19),""),"")</f>
        <v/>
      </c>
      <c r="W313">
        <f>IFERROR(IF(ISNUMBER(INDEX(SPPR!$E:$Z,MATCH($A313,SPPR!$A:$A,0),20)),$C313*INDEX(SPPR!$E:$Z,MATCH($A313,SPPR!$A:$A,0),20),""),"")</f>
        <v/>
      </c>
      <c r="X313">
        <f>IFERROR(IF(ISNUMBER(INDEX(SPPR!$E:$Z,MATCH($A313,SPPR!$A:$A,0),21)),$C313*INDEX(SPPR!$E:$Z,MATCH($A313,SPPR!$A:$A,0),21),""),"")</f>
        <v/>
      </c>
      <c r="Y313">
        <f>IFERROR(IF(ISNUMBER(INDEX(SPPR!$E:$Z,MATCH($A313,SPPR!$A:$A,0),22)),$C313*INDEX(SPPR!$E:$Z,MATCH($A313,SPPR!$A:$A,0),22),""),"")</f>
        <v/>
      </c>
    </row>
    <row r="314">
      <c r="A314" t="inlineStr">
        <is>
          <t>Evynnis tumifrons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IFERROR(IF(ISNUMBER(INDEX(SPPR!$E:$Z,MATCH($A314,SPPR!$A:$A,0),1)),$C314*INDEX(SPPR!$E:$Z,MATCH($A314,SPPR!$A:$A,0),1),""),"")</f>
        <v/>
      </c>
      <c r="E314">
        <f>IFERROR(IF(ISNUMBER(INDEX(SPPR!$E:$Z,MATCH($A314,SPPR!$A:$A,0),2)),$C314*INDEX(SPPR!$E:$Z,MATCH($A314,SPPR!$A:$A,0),2),""),"")</f>
        <v/>
      </c>
      <c r="F314">
        <f>IFERROR(IF(ISNUMBER(INDEX(SPPR!$E:$Z,MATCH($A314,SPPR!$A:$A,0),3)),$C314*INDEX(SPPR!$E:$Z,MATCH($A314,SPPR!$A:$A,0),3),""),"")</f>
        <v/>
      </c>
      <c r="G314">
        <f>IFERROR(IF(ISNUMBER(INDEX(SPPR!$E:$Z,MATCH($A314,SPPR!$A:$A,0),4)),$C314*INDEX(SPPR!$E:$Z,MATCH($A314,SPPR!$A:$A,0),4),""),"")</f>
        <v/>
      </c>
      <c r="H314">
        <f>IFERROR(IF(ISNUMBER(INDEX(SPPR!$E:$Z,MATCH($A314,SPPR!$A:$A,0),5)),$C314*INDEX(SPPR!$E:$Z,MATCH($A314,SPPR!$A:$A,0),5),""),"")</f>
        <v/>
      </c>
      <c r="I314">
        <f>IFERROR(IF(ISNUMBER(INDEX(SPPR!$E:$Z,MATCH($A314,SPPR!$A:$A,0),6)),$C314*INDEX(SPPR!$E:$Z,MATCH($A314,SPPR!$A:$A,0),6),""),"")</f>
        <v/>
      </c>
      <c r="J314">
        <f>IFERROR(IF(ISNUMBER(INDEX(SPPR!$E:$Z,MATCH($A314,SPPR!$A:$A,0),7)),$C314*INDEX(SPPR!$E:$Z,MATCH($A314,SPPR!$A:$A,0),7),""),"")</f>
        <v/>
      </c>
      <c r="K314">
        <f>IFERROR(IF(ISNUMBER(INDEX(SPPR!$E:$Z,MATCH($A314,SPPR!$A:$A,0),8)),$C314*INDEX(SPPR!$E:$Z,MATCH($A314,SPPR!$A:$A,0),8),""),"")</f>
        <v/>
      </c>
      <c r="L314">
        <f>IFERROR(IF(ISNUMBER(INDEX(SPPR!$E:$Z,MATCH($A314,SPPR!$A:$A,0),9)),$C314*INDEX(SPPR!$E:$Z,MATCH($A314,SPPR!$A:$A,0),9),""),"")</f>
        <v/>
      </c>
      <c r="M314">
        <f>IFERROR(IF(ISNUMBER(INDEX(SPPR!$E:$Z,MATCH($A314,SPPR!$A:$A,0),10)),$C314*INDEX(SPPR!$E:$Z,MATCH($A314,SPPR!$A:$A,0),10),""),"")</f>
        <v/>
      </c>
      <c r="N314">
        <f>IFERROR(IF(ISNUMBER(INDEX(SPPR!$E:$Z,MATCH($A314,SPPR!$A:$A,0),11)),$C314*INDEX(SPPR!$E:$Z,MATCH($A314,SPPR!$A:$A,0),11),""),"")</f>
        <v/>
      </c>
      <c r="O314">
        <f>IFERROR(IF(ISNUMBER(INDEX(SPPR!$E:$Z,MATCH($A314,SPPR!$A:$A,0),12)),$C314*INDEX(SPPR!$E:$Z,MATCH($A314,SPPR!$A:$A,0),12),""),"")</f>
        <v/>
      </c>
      <c r="P314">
        <f>IFERROR(IF(ISNUMBER(INDEX(SPPR!$E:$Z,MATCH($A314,SPPR!$A:$A,0),13)),$C314*INDEX(SPPR!$E:$Z,MATCH($A314,SPPR!$A:$A,0),13),""),"")</f>
        <v/>
      </c>
      <c r="Q314">
        <f>IFERROR(IF(ISNUMBER(INDEX(SPPR!$E:$Z,MATCH($A314,SPPR!$A:$A,0),14)),$C314*INDEX(SPPR!$E:$Z,MATCH($A314,SPPR!$A:$A,0),14),""),"")</f>
        <v/>
      </c>
      <c r="R314">
        <f>IFERROR(IF(ISNUMBER(INDEX(SPPR!$E:$Z,MATCH($A314,SPPR!$A:$A,0),15)),$C314*INDEX(SPPR!$E:$Z,MATCH($A314,SPPR!$A:$A,0),15),""),"")</f>
        <v/>
      </c>
      <c r="S314">
        <f>IFERROR(IF(ISNUMBER(INDEX(SPPR!$E:$Z,MATCH($A314,SPPR!$A:$A,0),16)),$C314*INDEX(SPPR!$E:$Z,MATCH($A314,SPPR!$A:$A,0),16),""),"")</f>
        <v/>
      </c>
      <c r="T314">
        <f>IFERROR(IF(ISNUMBER(INDEX(SPPR!$E:$Z,MATCH($A314,SPPR!$A:$A,0),17)),$C314*INDEX(SPPR!$E:$Z,MATCH($A314,SPPR!$A:$A,0),17),""),"")</f>
        <v/>
      </c>
      <c r="U314">
        <f>IFERROR(IF(ISNUMBER(INDEX(SPPR!$E:$Z,MATCH($A314,SPPR!$A:$A,0),18)),$C314*INDEX(SPPR!$E:$Z,MATCH($A314,SPPR!$A:$A,0),18),""),"")</f>
        <v/>
      </c>
      <c r="V314">
        <f>IFERROR(IF(ISNUMBER(INDEX(SPPR!$E:$Z,MATCH($A314,SPPR!$A:$A,0),19)),$C314*INDEX(SPPR!$E:$Z,MATCH($A314,SPPR!$A:$A,0),19),""),"")</f>
        <v/>
      </c>
      <c r="W314">
        <f>IFERROR(IF(ISNUMBER(INDEX(SPPR!$E:$Z,MATCH($A314,SPPR!$A:$A,0),20)),$C314*INDEX(SPPR!$E:$Z,MATCH($A314,SPPR!$A:$A,0),20),""),"")</f>
        <v/>
      </c>
      <c r="X314">
        <f>IFERROR(IF(ISNUMBER(INDEX(SPPR!$E:$Z,MATCH($A314,SPPR!$A:$A,0),21)),$C314*INDEX(SPPR!$E:$Z,MATCH($A314,SPPR!$A:$A,0),21),""),"")</f>
        <v/>
      </c>
      <c r="Y314">
        <f>IFERROR(IF(ISNUMBER(INDEX(SPPR!$E:$Z,MATCH($A314,SPPR!$A:$A,0),22)),$C314*INDEX(SPPR!$E:$Z,MATCH($A314,SPPR!$A:$A,0),22),""),"")</f>
        <v/>
      </c>
    </row>
    <row r="315">
      <c r="A315" t="inlineStr">
        <is>
          <t>Ephippidae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IFERROR(IF(ISNUMBER(INDEX(SPPR!$E:$Z,MATCH($A315,SPPR!$A:$A,0),1)),$C315*INDEX(SPPR!$E:$Z,MATCH($A315,SPPR!$A:$A,0),1),""),"")</f>
        <v/>
      </c>
      <c r="E315">
        <f>IFERROR(IF(ISNUMBER(INDEX(SPPR!$E:$Z,MATCH($A315,SPPR!$A:$A,0),2)),$C315*INDEX(SPPR!$E:$Z,MATCH($A315,SPPR!$A:$A,0),2),""),"")</f>
        <v/>
      </c>
      <c r="F315">
        <f>IFERROR(IF(ISNUMBER(INDEX(SPPR!$E:$Z,MATCH($A315,SPPR!$A:$A,0),3)),$C315*INDEX(SPPR!$E:$Z,MATCH($A315,SPPR!$A:$A,0),3),""),"")</f>
        <v/>
      </c>
      <c r="G315">
        <f>IFERROR(IF(ISNUMBER(INDEX(SPPR!$E:$Z,MATCH($A315,SPPR!$A:$A,0),4)),$C315*INDEX(SPPR!$E:$Z,MATCH($A315,SPPR!$A:$A,0),4),""),"")</f>
        <v/>
      </c>
      <c r="H315">
        <f>IFERROR(IF(ISNUMBER(INDEX(SPPR!$E:$Z,MATCH($A315,SPPR!$A:$A,0),5)),$C315*INDEX(SPPR!$E:$Z,MATCH($A315,SPPR!$A:$A,0),5),""),"")</f>
        <v/>
      </c>
      <c r="I315">
        <f>IFERROR(IF(ISNUMBER(INDEX(SPPR!$E:$Z,MATCH($A315,SPPR!$A:$A,0),6)),$C315*INDEX(SPPR!$E:$Z,MATCH($A315,SPPR!$A:$A,0),6),""),"")</f>
        <v/>
      </c>
      <c r="J315">
        <f>IFERROR(IF(ISNUMBER(INDEX(SPPR!$E:$Z,MATCH($A315,SPPR!$A:$A,0),7)),$C315*INDEX(SPPR!$E:$Z,MATCH($A315,SPPR!$A:$A,0),7),""),"")</f>
        <v/>
      </c>
      <c r="K315">
        <f>IFERROR(IF(ISNUMBER(INDEX(SPPR!$E:$Z,MATCH($A315,SPPR!$A:$A,0),8)),$C315*INDEX(SPPR!$E:$Z,MATCH($A315,SPPR!$A:$A,0),8),""),"")</f>
        <v/>
      </c>
      <c r="L315">
        <f>IFERROR(IF(ISNUMBER(INDEX(SPPR!$E:$Z,MATCH($A315,SPPR!$A:$A,0),9)),$C315*INDEX(SPPR!$E:$Z,MATCH($A315,SPPR!$A:$A,0),9),""),"")</f>
        <v/>
      </c>
      <c r="M315">
        <f>IFERROR(IF(ISNUMBER(INDEX(SPPR!$E:$Z,MATCH($A315,SPPR!$A:$A,0),10)),$C315*INDEX(SPPR!$E:$Z,MATCH($A315,SPPR!$A:$A,0),10),""),"")</f>
        <v/>
      </c>
      <c r="N315">
        <f>IFERROR(IF(ISNUMBER(INDEX(SPPR!$E:$Z,MATCH($A315,SPPR!$A:$A,0),11)),$C315*INDEX(SPPR!$E:$Z,MATCH($A315,SPPR!$A:$A,0),11),""),"")</f>
        <v/>
      </c>
      <c r="O315">
        <f>IFERROR(IF(ISNUMBER(INDEX(SPPR!$E:$Z,MATCH($A315,SPPR!$A:$A,0),12)),$C315*INDEX(SPPR!$E:$Z,MATCH($A315,SPPR!$A:$A,0),12),""),"")</f>
        <v/>
      </c>
      <c r="P315">
        <f>IFERROR(IF(ISNUMBER(INDEX(SPPR!$E:$Z,MATCH($A315,SPPR!$A:$A,0),13)),$C315*INDEX(SPPR!$E:$Z,MATCH($A315,SPPR!$A:$A,0),13),""),"")</f>
        <v/>
      </c>
      <c r="Q315">
        <f>IFERROR(IF(ISNUMBER(INDEX(SPPR!$E:$Z,MATCH($A315,SPPR!$A:$A,0),14)),$C315*INDEX(SPPR!$E:$Z,MATCH($A315,SPPR!$A:$A,0),14),""),"")</f>
        <v/>
      </c>
      <c r="R315">
        <f>IFERROR(IF(ISNUMBER(INDEX(SPPR!$E:$Z,MATCH($A315,SPPR!$A:$A,0),15)),$C315*INDEX(SPPR!$E:$Z,MATCH($A315,SPPR!$A:$A,0),15),""),"")</f>
        <v/>
      </c>
      <c r="S315">
        <f>IFERROR(IF(ISNUMBER(INDEX(SPPR!$E:$Z,MATCH($A315,SPPR!$A:$A,0),16)),$C315*INDEX(SPPR!$E:$Z,MATCH($A315,SPPR!$A:$A,0),16),""),"")</f>
        <v/>
      </c>
      <c r="T315">
        <f>IFERROR(IF(ISNUMBER(INDEX(SPPR!$E:$Z,MATCH($A315,SPPR!$A:$A,0),17)),$C315*INDEX(SPPR!$E:$Z,MATCH($A315,SPPR!$A:$A,0),17),""),"")</f>
        <v/>
      </c>
      <c r="U315">
        <f>IFERROR(IF(ISNUMBER(INDEX(SPPR!$E:$Z,MATCH($A315,SPPR!$A:$A,0),18)),$C315*INDEX(SPPR!$E:$Z,MATCH($A315,SPPR!$A:$A,0),18),""),"")</f>
        <v/>
      </c>
      <c r="V315">
        <f>IFERROR(IF(ISNUMBER(INDEX(SPPR!$E:$Z,MATCH($A315,SPPR!$A:$A,0),19)),$C315*INDEX(SPPR!$E:$Z,MATCH($A315,SPPR!$A:$A,0),19),""),"")</f>
        <v/>
      </c>
      <c r="W315">
        <f>IFERROR(IF(ISNUMBER(INDEX(SPPR!$E:$Z,MATCH($A315,SPPR!$A:$A,0),20)),$C315*INDEX(SPPR!$E:$Z,MATCH($A315,SPPR!$A:$A,0),20),""),"")</f>
        <v/>
      </c>
      <c r="X315">
        <f>IFERROR(IF(ISNUMBER(INDEX(SPPR!$E:$Z,MATCH($A315,SPPR!$A:$A,0),21)),$C315*INDEX(SPPR!$E:$Z,MATCH($A315,SPPR!$A:$A,0),21),""),"")</f>
        <v/>
      </c>
      <c r="Y315">
        <f>IFERROR(IF(ISNUMBER(INDEX(SPPR!$E:$Z,MATCH($A315,SPPR!$A:$A,0),22)),$C315*INDEX(SPPR!$E:$Z,MATCH($A315,SPPR!$A:$A,0),22),""),"")</f>
        <v/>
      </c>
    </row>
    <row r="316">
      <c r="A316" t="inlineStr">
        <is>
          <t>Mola mola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IFERROR(IF(ISNUMBER(INDEX(SPPR!$E:$Z,MATCH($A316,SPPR!$A:$A,0),1)),$C316*INDEX(SPPR!$E:$Z,MATCH($A316,SPPR!$A:$A,0),1),""),"")</f>
        <v/>
      </c>
      <c r="E316">
        <f>IFERROR(IF(ISNUMBER(INDEX(SPPR!$E:$Z,MATCH($A316,SPPR!$A:$A,0),2)),$C316*INDEX(SPPR!$E:$Z,MATCH($A316,SPPR!$A:$A,0),2),""),"")</f>
        <v/>
      </c>
      <c r="F316">
        <f>IFERROR(IF(ISNUMBER(INDEX(SPPR!$E:$Z,MATCH($A316,SPPR!$A:$A,0),3)),$C316*INDEX(SPPR!$E:$Z,MATCH($A316,SPPR!$A:$A,0),3),""),"")</f>
        <v/>
      </c>
      <c r="G316">
        <f>IFERROR(IF(ISNUMBER(INDEX(SPPR!$E:$Z,MATCH($A316,SPPR!$A:$A,0),4)),$C316*INDEX(SPPR!$E:$Z,MATCH($A316,SPPR!$A:$A,0),4),""),"")</f>
        <v/>
      </c>
      <c r="H316">
        <f>IFERROR(IF(ISNUMBER(INDEX(SPPR!$E:$Z,MATCH($A316,SPPR!$A:$A,0),5)),$C316*INDEX(SPPR!$E:$Z,MATCH($A316,SPPR!$A:$A,0),5),""),"")</f>
        <v/>
      </c>
      <c r="I316">
        <f>IFERROR(IF(ISNUMBER(INDEX(SPPR!$E:$Z,MATCH($A316,SPPR!$A:$A,0),6)),$C316*INDEX(SPPR!$E:$Z,MATCH($A316,SPPR!$A:$A,0),6),""),"")</f>
        <v/>
      </c>
      <c r="J316">
        <f>IFERROR(IF(ISNUMBER(INDEX(SPPR!$E:$Z,MATCH($A316,SPPR!$A:$A,0),7)),$C316*INDEX(SPPR!$E:$Z,MATCH($A316,SPPR!$A:$A,0),7),""),"")</f>
        <v/>
      </c>
      <c r="K316">
        <f>IFERROR(IF(ISNUMBER(INDEX(SPPR!$E:$Z,MATCH($A316,SPPR!$A:$A,0),8)),$C316*INDEX(SPPR!$E:$Z,MATCH($A316,SPPR!$A:$A,0),8),""),"")</f>
        <v/>
      </c>
      <c r="L316">
        <f>IFERROR(IF(ISNUMBER(INDEX(SPPR!$E:$Z,MATCH($A316,SPPR!$A:$A,0),9)),$C316*INDEX(SPPR!$E:$Z,MATCH($A316,SPPR!$A:$A,0),9),""),"")</f>
        <v/>
      </c>
      <c r="M316">
        <f>IFERROR(IF(ISNUMBER(INDEX(SPPR!$E:$Z,MATCH($A316,SPPR!$A:$A,0),10)),$C316*INDEX(SPPR!$E:$Z,MATCH($A316,SPPR!$A:$A,0),10),""),"")</f>
        <v/>
      </c>
      <c r="N316">
        <f>IFERROR(IF(ISNUMBER(INDEX(SPPR!$E:$Z,MATCH($A316,SPPR!$A:$A,0),11)),$C316*INDEX(SPPR!$E:$Z,MATCH($A316,SPPR!$A:$A,0),11),""),"")</f>
        <v/>
      </c>
      <c r="O316">
        <f>IFERROR(IF(ISNUMBER(INDEX(SPPR!$E:$Z,MATCH($A316,SPPR!$A:$A,0),12)),$C316*INDEX(SPPR!$E:$Z,MATCH($A316,SPPR!$A:$A,0),12),""),"")</f>
        <v/>
      </c>
      <c r="P316">
        <f>IFERROR(IF(ISNUMBER(INDEX(SPPR!$E:$Z,MATCH($A316,SPPR!$A:$A,0),13)),$C316*INDEX(SPPR!$E:$Z,MATCH($A316,SPPR!$A:$A,0),13),""),"")</f>
        <v/>
      </c>
      <c r="Q316">
        <f>IFERROR(IF(ISNUMBER(INDEX(SPPR!$E:$Z,MATCH($A316,SPPR!$A:$A,0),14)),$C316*INDEX(SPPR!$E:$Z,MATCH($A316,SPPR!$A:$A,0),14),""),"")</f>
        <v/>
      </c>
      <c r="R316">
        <f>IFERROR(IF(ISNUMBER(INDEX(SPPR!$E:$Z,MATCH($A316,SPPR!$A:$A,0),15)),$C316*INDEX(SPPR!$E:$Z,MATCH($A316,SPPR!$A:$A,0),15),""),"")</f>
        <v/>
      </c>
      <c r="S316">
        <f>IFERROR(IF(ISNUMBER(INDEX(SPPR!$E:$Z,MATCH($A316,SPPR!$A:$A,0),16)),$C316*INDEX(SPPR!$E:$Z,MATCH($A316,SPPR!$A:$A,0),16),""),"")</f>
        <v/>
      </c>
      <c r="T316">
        <f>IFERROR(IF(ISNUMBER(INDEX(SPPR!$E:$Z,MATCH($A316,SPPR!$A:$A,0),17)),$C316*INDEX(SPPR!$E:$Z,MATCH($A316,SPPR!$A:$A,0),17),""),"")</f>
        <v/>
      </c>
      <c r="U316">
        <f>IFERROR(IF(ISNUMBER(INDEX(SPPR!$E:$Z,MATCH($A316,SPPR!$A:$A,0),18)),$C316*INDEX(SPPR!$E:$Z,MATCH($A316,SPPR!$A:$A,0),18),""),"")</f>
        <v/>
      </c>
      <c r="V316">
        <f>IFERROR(IF(ISNUMBER(INDEX(SPPR!$E:$Z,MATCH($A316,SPPR!$A:$A,0),19)),$C316*INDEX(SPPR!$E:$Z,MATCH($A316,SPPR!$A:$A,0),19),""),"")</f>
        <v/>
      </c>
      <c r="W316">
        <f>IFERROR(IF(ISNUMBER(INDEX(SPPR!$E:$Z,MATCH($A316,SPPR!$A:$A,0),20)),$C316*INDEX(SPPR!$E:$Z,MATCH($A316,SPPR!$A:$A,0),20),""),"")</f>
        <v/>
      </c>
      <c r="X316">
        <f>IFERROR(IF(ISNUMBER(INDEX(SPPR!$E:$Z,MATCH($A316,SPPR!$A:$A,0),21)),$C316*INDEX(SPPR!$E:$Z,MATCH($A316,SPPR!$A:$A,0),21),""),"")</f>
        <v/>
      </c>
      <c r="Y316">
        <f>IFERROR(IF(ISNUMBER(INDEX(SPPR!$E:$Z,MATCH($A316,SPPR!$A:$A,0),22)),$C316*INDEX(SPPR!$E:$Z,MATCH($A316,SPPR!$A:$A,0),22),""),"")</f>
        <v/>
      </c>
    </row>
    <row r="317">
      <c r="A317" t="inlineStr">
        <is>
          <t>Latidae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IFERROR(IF(ISNUMBER(INDEX(SPPR!$E:$Z,MATCH($A317,SPPR!$A:$A,0),1)),$C317*INDEX(SPPR!$E:$Z,MATCH($A317,SPPR!$A:$A,0),1),""),"")</f>
        <v/>
      </c>
      <c r="E317">
        <f>IFERROR(IF(ISNUMBER(INDEX(SPPR!$E:$Z,MATCH($A317,SPPR!$A:$A,0),2)),$C317*INDEX(SPPR!$E:$Z,MATCH($A317,SPPR!$A:$A,0),2),""),"")</f>
        <v/>
      </c>
      <c r="F317">
        <f>IFERROR(IF(ISNUMBER(INDEX(SPPR!$E:$Z,MATCH($A317,SPPR!$A:$A,0),3)),$C317*INDEX(SPPR!$E:$Z,MATCH($A317,SPPR!$A:$A,0),3),""),"")</f>
        <v/>
      </c>
      <c r="G317">
        <f>IFERROR(IF(ISNUMBER(INDEX(SPPR!$E:$Z,MATCH($A317,SPPR!$A:$A,0),4)),$C317*INDEX(SPPR!$E:$Z,MATCH($A317,SPPR!$A:$A,0),4),""),"")</f>
        <v/>
      </c>
      <c r="H317">
        <f>IFERROR(IF(ISNUMBER(INDEX(SPPR!$E:$Z,MATCH($A317,SPPR!$A:$A,0),5)),$C317*INDEX(SPPR!$E:$Z,MATCH($A317,SPPR!$A:$A,0),5),""),"")</f>
        <v/>
      </c>
      <c r="I317">
        <f>IFERROR(IF(ISNUMBER(INDEX(SPPR!$E:$Z,MATCH($A317,SPPR!$A:$A,0),6)),$C317*INDEX(SPPR!$E:$Z,MATCH($A317,SPPR!$A:$A,0),6),""),"")</f>
        <v/>
      </c>
      <c r="J317">
        <f>IFERROR(IF(ISNUMBER(INDEX(SPPR!$E:$Z,MATCH($A317,SPPR!$A:$A,0),7)),$C317*INDEX(SPPR!$E:$Z,MATCH($A317,SPPR!$A:$A,0),7),""),"")</f>
        <v/>
      </c>
      <c r="K317">
        <f>IFERROR(IF(ISNUMBER(INDEX(SPPR!$E:$Z,MATCH($A317,SPPR!$A:$A,0),8)),$C317*INDEX(SPPR!$E:$Z,MATCH($A317,SPPR!$A:$A,0),8),""),"")</f>
        <v/>
      </c>
      <c r="L317">
        <f>IFERROR(IF(ISNUMBER(INDEX(SPPR!$E:$Z,MATCH($A317,SPPR!$A:$A,0),9)),$C317*INDEX(SPPR!$E:$Z,MATCH($A317,SPPR!$A:$A,0),9),""),"")</f>
        <v/>
      </c>
      <c r="M317">
        <f>IFERROR(IF(ISNUMBER(INDEX(SPPR!$E:$Z,MATCH($A317,SPPR!$A:$A,0),10)),$C317*INDEX(SPPR!$E:$Z,MATCH($A317,SPPR!$A:$A,0),10),""),"")</f>
        <v/>
      </c>
      <c r="N317">
        <f>IFERROR(IF(ISNUMBER(INDEX(SPPR!$E:$Z,MATCH($A317,SPPR!$A:$A,0),11)),$C317*INDEX(SPPR!$E:$Z,MATCH($A317,SPPR!$A:$A,0),11),""),"")</f>
        <v/>
      </c>
      <c r="O317">
        <f>IFERROR(IF(ISNUMBER(INDEX(SPPR!$E:$Z,MATCH($A317,SPPR!$A:$A,0),12)),$C317*INDEX(SPPR!$E:$Z,MATCH($A317,SPPR!$A:$A,0),12),""),"")</f>
        <v/>
      </c>
      <c r="P317">
        <f>IFERROR(IF(ISNUMBER(INDEX(SPPR!$E:$Z,MATCH($A317,SPPR!$A:$A,0),13)),$C317*INDEX(SPPR!$E:$Z,MATCH($A317,SPPR!$A:$A,0),13),""),"")</f>
        <v/>
      </c>
      <c r="Q317">
        <f>IFERROR(IF(ISNUMBER(INDEX(SPPR!$E:$Z,MATCH($A317,SPPR!$A:$A,0),14)),$C317*INDEX(SPPR!$E:$Z,MATCH($A317,SPPR!$A:$A,0),14),""),"")</f>
        <v/>
      </c>
      <c r="R317">
        <f>IFERROR(IF(ISNUMBER(INDEX(SPPR!$E:$Z,MATCH($A317,SPPR!$A:$A,0),15)),$C317*INDEX(SPPR!$E:$Z,MATCH($A317,SPPR!$A:$A,0),15),""),"")</f>
        <v/>
      </c>
      <c r="S317">
        <f>IFERROR(IF(ISNUMBER(INDEX(SPPR!$E:$Z,MATCH($A317,SPPR!$A:$A,0),16)),$C317*INDEX(SPPR!$E:$Z,MATCH($A317,SPPR!$A:$A,0),16),""),"")</f>
        <v/>
      </c>
      <c r="T317">
        <f>IFERROR(IF(ISNUMBER(INDEX(SPPR!$E:$Z,MATCH($A317,SPPR!$A:$A,0),17)),$C317*INDEX(SPPR!$E:$Z,MATCH($A317,SPPR!$A:$A,0),17),""),"")</f>
        <v/>
      </c>
      <c r="U317">
        <f>IFERROR(IF(ISNUMBER(INDEX(SPPR!$E:$Z,MATCH($A317,SPPR!$A:$A,0),18)),$C317*INDEX(SPPR!$E:$Z,MATCH($A317,SPPR!$A:$A,0),18),""),"")</f>
        <v/>
      </c>
      <c r="V317">
        <f>IFERROR(IF(ISNUMBER(INDEX(SPPR!$E:$Z,MATCH($A317,SPPR!$A:$A,0),19)),$C317*INDEX(SPPR!$E:$Z,MATCH($A317,SPPR!$A:$A,0),19),""),"")</f>
        <v/>
      </c>
      <c r="W317">
        <f>IFERROR(IF(ISNUMBER(INDEX(SPPR!$E:$Z,MATCH($A317,SPPR!$A:$A,0),20)),$C317*INDEX(SPPR!$E:$Z,MATCH($A317,SPPR!$A:$A,0),20),""),"")</f>
        <v/>
      </c>
      <c r="X317">
        <f>IFERROR(IF(ISNUMBER(INDEX(SPPR!$E:$Z,MATCH($A317,SPPR!$A:$A,0),21)),$C317*INDEX(SPPR!$E:$Z,MATCH($A317,SPPR!$A:$A,0),21),""),"")</f>
        <v/>
      </c>
      <c r="Y317">
        <f>IFERROR(IF(ISNUMBER(INDEX(SPPR!$E:$Z,MATCH($A317,SPPR!$A:$A,0),22)),$C317*INDEX(SPPR!$E:$Z,MATCH($A317,SPPR!$A:$A,0),22),""),"")</f>
        <v/>
      </c>
    </row>
    <row r="318">
      <c r="A318" t="inlineStr">
        <is>
          <t>Ranina ranina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IFERROR(IF(ISNUMBER(INDEX(SPPR!$E:$Z,MATCH($A318,SPPR!$A:$A,0),1)),$C318*INDEX(SPPR!$E:$Z,MATCH($A318,SPPR!$A:$A,0),1),""),"")</f>
        <v/>
      </c>
      <c r="E318">
        <f>IFERROR(IF(ISNUMBER(INDEX(SPPR!$E:$Z,MATCH($A318,SPPR!$A:$A,0),2)),$C318*INDEX(SPPR!$E:$Z,MATCH($A318,SPPR!$A:$A,0),2),""),"")</f>
        <v/>
      </c>
      <c r="F318">
        <f>IFERROR(IF(ISNUMBER(INDEX(SPPR!$E:$Z,MATCH($A318,SPPR!$A:$A,0),3)),$C318*INDEX(SPPR!$E:$Z,MATCH($A318,SPPR!$A:$A,0),3),""),"")</f>
        <v/>
      </c>
      <c r="G318">
        <f>IFERROR(IF(ISNUMBER(INDEX(SPPR!$E:$Z,MATCH($A318,SPPR!$A:$A,0),4)),$C318*INDEX(SPPR!$E:$Z,MATCH($A318,SPPR!$A:$A,0),4),""),"")</f>
        <v/>
      </c>
      <c r="H318">
        <f>IFERROR(IF(ISNUMBER(INDEX(SPPR!$E:$Z,MATCH($A318,SPPR!$A:$A,0),5)),$C318*INDEX(SPPR!$E:$Z,MATCH($A318,SPPR!$A:$A,0),5),""),"")</f>
        <v/>
      </c>
      <c r="I318">
        <f>IFERROR(IF(ISNUMBER(INDEX(SPPR!$E:$Z,MATCH($A318,SPPR!$A:$A,0),6)),$C318*INDEX(SPPR!$E:$Z,MATCH($A318,SPPR!$A:$A,0),6),""),"")</f>
        <v/>
      </c>
      <c r="J318">
        <f>IFERROR(IF(ISNUMBER(INDEX(SPPR!$E:$Z,MATCH($A318,SPPR!$A:$A,0),7)),$C318*INDEX(SPPR!$E:$Z,MATCH($A318,SPPR!$A:$A,0),7),""),"")</f>
        <v/>
      </c>
      <c r="K318">
        <f>IFERROR(IF(ISNUMBER(INDEX(SPPR!$E:$Z,MATCH($A318,SPPR!$A:$A,0),8)),$C318*INDEX(SPPR!$E:$Z,MATCH($A318,SPPR!$A:$A,0),8),""),"")</f>
        <v/>
      </c>
      <c r="L318">
        <f>IFERROR(IF(ISNUMBER(INDEX(SPPR!$E:$Z,MATCH($A318,SPPR!$A:$A,0),9)),$C318*INDEX(SPPR!$E:$Z,MATCH($A318,SPPR!$A:$A,0),9),""),"")</f>
        <v/>
      </c>
      <c r="M318">
        <f>IFERROR(IF(ISNUMBER(INDEX(SPPR!$E:$Z,MATCH($A318,SPPR!$A:$A,0),10)),$C318*INDEX(SPPR!$E:$Z,MATCH($A318,SPPR!$A:$A,0),10),""),"")</f>
        <v/>
      </c>
      <c r="N318">
        <f>IFERROR(IF(ISNUMBER(INDEX(SPPR!$E:$Z,MATCH($A318,SPPR!$A:$A,0),11)),$C318*INDEX(SPPR!$E:$Z,MATCH($A318,SPPR!$A:$A,0),11),""),"")</f>
        <v/>
      </c>
      <c r="O318">
        <f>IFERROR(IF(ISNUMBER(INDEX(SPPR!$E:$Z,MATCH($A318,SPPR!$A:$A,0),12)),$C318*INDEX(SPPR!$E:$Z,MATCH($A318,SPPR!$A:$A,0),12),""),"")</f>
        <v/>
      </c>
      <c r="P318">
        <f>IFERROR(IF(ISNUMBER(INDEX(SPPR!$E:$Z,MATCH($A318,SPPR!$A:$A,0),13)),$C318*INDEX(SPPR!$E:$Z,MATCH($A318,SPPR!$A:$A,0),13),""),"")</f>
        <v/>
      </c>
      <c r="Q318">
        <f>IFERROR(IF(ISNUMBER(INDEX(SPPR!$E:$Z,MATCH($A318,SPPR!$A:$A,0),14)),$C318*INDEX(SPPR!$E:$Z,MATCH($A318,SPPR!$A:$A,0),14),""),"")</f>
        <v/>
      </c>
      <c r="R318">
        <f>IFERROR(IF(ISNUMBER(INDEX(SPPR!$E:$Z,MATCH($A318,SPPR!$A:$A,0),15)),$C318*INDEX(SPPR!$E:$Z,MATCH($A318,SPPR!$A:$A,0),15),""),"")</f>
        <v/>
      </c>
      <c r="S318">
        <f>IFERROR(IF(ISNUMBER(INDEX(SPPR!$E:$Z,MATCH($A318,SPPR!$A:$A,0),16)),$C318*INDEX(SPPR!$E:$Z,MATCH($A318,SPPR!$A:$A,0),16),""),"")</f>
        <v/>
      </c>
      <c r="T318">
        <f>IFERROR(IF(ISNUMBER(INDEX(SPPR!$E:$Z,MATCH($A318,SPPR!$A:$A,0),17)),$C318*INDEX(SPPR!$E:$Z,MATCH($A318,SPPR!$A:$A,0),17),""),"")</f>
        <v/>
      </c>
      <c r="U318">
        <f>IFERROR(IF(ISNUMBER(INDEX(SPPR!$E:$Z,MATCH($A318,SPPR!$A:$A,0),18)),$C318*INDEX(SPPR!$E:$Z,MATCH($A318,SPPR!$A:$A,0),18),""),"")</f>
        <v/>
      </c>
      <c r="V318">
        <f>IFERROR(IF(ISNUMBER(INDEX(SPPR!$E:$Z,MATCH($A318,SPPR!$A:$A,0),19)),$C318*INDEX(SPPR!$E:$Z,MATCH($A318,SPPR!$A:$A,0),19),""),"")</f>
        <v/>
      </c>
      <c r="W318">
        <f>IFERROR(IF(ISNUMBER(INDEX(SPPR!$E:$Z,MATCH($A318,SPPR!$A:$A,0),20)),$C318*INDEX(SPPR!$E:$Z,MATCH($A318,SPPR!$A:$A,0),20),""),"")</f>
        <v/>
      </c>
      <c r="X318">
        <f>IFERROR(IF(ISNUMBER(INDEX(SPPR!$E:$Z,MATCH($A318,SPPR!$A:$A,0),21)),$C318*INDEX(SPPR!$E:$Z,MATCH($A318,SPPR!$A:$A,0),21),""),"")</f>
        <v/>
      </c>
      <c r="Y318">
        <f>IFERROR(IF(ISNUMBER(INDEX(SPPR!$E:$Z,MATCH($A318,SPPR!$A:$A,0),22)),$C318*INDEX(SPPR!$E:$Z,MATCH($A318,SPPR!$A:$A,0),22),""),"")</f>
        <v/>
      </c>
    </row>
    <row r="319">
      <c r="A319" t="inlineStr">
        <is>
          <t>Ozius guttatus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IFERROR(IF(ISNUMBER(INDEX(SPPR!$E:$Z,MATCH($A319,SPPR!$A:$A,0),1)),$C319*INDEX(SPPR!$E:$Z,MATCH($A319,SPPR!$A:$A,0),1),""),"")</f>
        <v/>
      </c>
      <c r="E319">
        <f>IFERROR(IF(ISNUMBER(INDEX(SPPR!$E:$Z,MATCH($A319,SPPR!$A:$A,0),2)),$C319*INDEX(SPPR!$E:$Z,MATCH($A319,SPPR!$A:$A,0),2),""),"")</f>
        <v/>
      </c>
      <c r="F319">
        <f>IFERROR(IF(ISNUMBER(INDEX(SPPR!$E:$Z,MATCH($A319,SPPR!$A:$A,0),3)),$C319*INDEX(SPPR!$E:$Z,MATCH($A319,SPPR!$A:$A,0),3),""),"")</f>
        <v/>
      </c>
      <c r="G319">
        <f>IFERROR(IF(ISNUMBER(INDEX(SPPR!$E:$Z,MATCH($A319,SPPR!$A:$A,0),4)),$C319*INDEX(SPPR!$E:$Z,MATCH($A319,SPPR!$A:$A,0),4),""),"")</f>
        <v/>
      </c>
      <c r="H319">
        <f>IFERROR(IF(ISNUMBER(INDEX(SPPR!$E:$Z,MATCH($A319,SPPR!$A:$A,0),5)),$C319*INDEX(SPPR!$E:$Z,MATCH($A319,SPPR!$A:$A,0),5),""),"")</f>
        <v/>
      </c>
      <c r="I319">
        <f>IFERROR(IF(ISNUMBER(INDEX(SPPR!$E:$Z,MATCH($A319,SPPR!$A:$A,0),6)),$C319*INDEX(SPPR!$E:$Z,MATCH($A319,SPPR!$A:$A,0),6),""),"")</f>
        <v/>
      </c>
      <c r="J319">
        <f>IFERROR(IF(ISNUMBER(INDEX(SPPR!$E:$Z,MATCH($A319,SPPR!$A:$A,0),7)),$C319*INDEX(SPPR!$E:$Z,MATCH($A319,SPPR!$A:$A,0),7),""),"")</f>
        <v/>
      </c>
      <c r="K319">
        <f>IFERROR(IF(ISNUMBER(INDEX(SPPR!$E:$Z,MATCH($A319,SPPR!$A:$A,0),8)),$C319*INDEX(SPPR!$E:$Z,MATCH($A319,SPPR!$A:$A,0),8),""),"")</f>
        <v/>
      </c>
      <c r="L319">
        <f>IFERROR(IF(ISNUMBER(INDEX(SPPR!$E:$Z,MATCH($A319,SPPR!$A:$A,0),9)),$C319*INDEX(SPPR!$E:$Z,MATCH($A319,SPPR!$A:$A,0),9),""),"")</f>
        <v/>
      </c>
      <c r="M319">
        <f>IFERROR(IF(ISNUMBER(INDEX(SPPR!$E:$Z,MATCH($A319,SPPR!$A:$A,0),10)),$C319*INDEX(SPPR!$E:$Z,MATCH($A319,SPPR!$A:$A,0),10),""),"")</f>
        <v/>
      </c>
      <c r="N319">
        <f>IFERROR(IF(ISNUMBER(INDEX(SPPR!$E:$Z,MATCH($A319,SPPR!$A:$A,0),11)),$C319*INDEX(SPPR!$E:$Z,MATCH($A319,SPPR!$A:$A,0),11),""),"")</f>
        <v/>
      </c>
      <c r="O319">
        <f>IFERROR(IF(ISNUMBER(INDEX(SPPR!$E:$Z,MATCH($A319,SPPR!$A:$A,0),12)),$C319*INDEX(SPPR!$E:$Z,MATCH($A319,SPPR!$A:$A,0),12),""),"")</f>
        <v/>
      </c>
      <c r="P319">
        <f>IFERROR(IF(ISNUMBER(INDEX(SPPR!$E:$Z,MATCH($A319,SPPR!$A:$A,0),13)),$C319*INDEX(SPPR!$E:$Z,MATCH($A319,SPPR!$A:$A,0),13),""),"")</f>
        <v/>
      </c>
      <c r="Q319">
        <f>IFERROR(IF(ISNUMBER(INDEX(SPPR!$E:$Z,MATCH($A319,SPPR!$A:$A,0),14)),$C319*INDEX(SPPR!$E:$Z,MATCH($A319,SPPR!$A:$A,0),14),""),"")</f>
        <v/>
      </c>
      <c r="R319">
        <f>IFERROR(IF(ISNUMBER(INDEX(SPPR!$E:$Z,MATCH($A319,SPPR!$A:$A,0),15)),$C319*INDEX(SPPR!$E:$Z,MATCH($A319,SPPR!$A:$A,0),15),""),"")</f>
        <v/>
      </c>
      <c r="S319">
        <f>IFERROR(IF(ISNUMBER(INDEX(SPPR!$E:$Z,MATCH($A319,SPPR!$A:$A,0),16)),$C319*INDEX(SPPR!$E:$Z,MATCH($A319,SPPR!$A:$A,0),16),""),"")</f>
        <v/>
      </c>
      <c r="T319">
        <f>IFERROR(IF(ISNUMBER(INDEX(SPPR!$E:$Z,MATCH($A319,SPPR!$A:$A,0),17)),$C319*INDEX(SPPR!$E:$Z,MATCH($A319,SPPR!$A:$A,0),17),""),"")</f>
        <v/>
      </c>
      <c r="U319">
        <f>IFERROR(IF(ISNUMBER(INDEX(SPPR!$E:$Z,MATCH($A319,SPPR!$A:$A,0),18)),$C319*INDEX(SPPR!$E:$Z,MATCH($A319,SPPR!$A:$A,0),18),""),"")</f>
        <v/>
      </c>
      <c r="V319">
        <f>IFERROR(IF(ISNUMBER(INDEX(SPPR!$E:$Z,MATCH($A319,SPPR!$A:$A,0),19)),$C319*INDEX(SPPR!$E:$Z,MATCH($A319,SPPR!$A:$A,0),19),""),"")</f>
        <v/>
      </c>
      <c r="W319">
        <f>IFERROR(IF(ISNUMBER(INDEX(SPPR!$E:$Z,MATCH($A319,SPPR!$A:$A,0),20)),$C319*INDEX(SPPR!$E:$Z,MATCH($A319,SPPR!$A:$A,0),20),""),"")</f>
        <v/>
      </c>
      <c r="X319">
        <f>IFERROR(IF(ISNUMBER(INDEX(SPPR!$E:$Z,MATCH($A319,SPPR!$A:$A,0),21)),$C319*INDEX(SPPR!$E:$Z,MATCH($A319,SPPR!$A:$A,0),21),""),"")</f>
        <v/>
      </c>
      <c r="Y319">
        <f>IFERROR(IF(ISNUMBER(INDEX(SPPR!$E:$Z,MATCH($A319,SPPR!$A:$A,0),22)),$C319*INDEX(SPPR!$E:$Z,MATCH($A319,SPPR!$A:$A,0),22),""),"")</f>
        <v/>
      </c>
    </row>
    <row r="320">
      <c r="A320" t="inlineStr">
        <is>
          <t>Sphyraena barracuda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IFERROR(IF(ISNUMBER(INDEX(SPPR!$E:$Z,MATCH($A320,SPPR!$A:$A,0),1)),$C320*INDEX(SPPR!$E:$Z,MATCH($A320,SPPR!$A:$A,0),1),""),"")</f>
        <v/>
      </c>
      <c r="E320">
        <f>IFERROR(IF(ISNUMBER(INDEX(SPPR!$E:$Z,MATCH($A320,SPPR!$A:$A,0),2)),$C320*INDEX(SPPR!$E:$Z,MATCH($A320,SPPR!$A:$A,0),2),""),"")</f>
        <v/>
      </c>
      <c r="F320">
        <f>IFERROR(IF(ISNUMBER(INDEX(SPPR!$E:$Z,MATCH($A320,SPPR!$A:$A,0),3)),$C320*INDEX(SPPR!$E:$Z,MATCH($A320,SPPR!$A:$A,0),3),""),"")</f>
        <v/>
      </c>
      <c r="G320">
        <f>IFERROR(IF(ISNUMBER(INDEX(SPPR!$E:$Z,MATCH($A320,SPPR!$A:$A,0),4)),$C320*INDEX(SPPR!$E:$Z,MATCH($A320,SPPR!$A:$A,0),4),""),"")</f>
        <v/>
      </c>
      <c r="H320">
        <f>IFERROR(IF(ISNUMBER(INDEX(SPPR!$E:$Z,MATCH($A320,SPPR!$A:$A,0),5)),$C320*INDEX(SPPR!$E:$Z,MATCH($A320,SPPR!$A:$A,0),5),""),"")</f>
        <v/>
      </c>
      <c r="I320">
        <f>IFERROR(IF(ISNUMBER(INDEX(SPPR!$E:$Z,MATCH($A320,SPPR!$A:$A,0),6)),$C320*INDEX(SPPR!$E:$Z,MATCH($A320,SPPR!$A:$A,0),6),""),"")</f>
        <v/>
      </c>
      <c r="J320">
        <f>IFERROR(IF(ISNUMBER(INDEX(SPPR!$E:$Z,MATCH($A320,SPPR!$A:$A,0),7)),$C320*INDEX(SPPR!$E:$Z,MATCH($A320,SPPR!$A:$A,0),7),""),"")</f>
        <v/>
      </c>
      <c r="K320">
        <f>IFERROR(IF(ISNUMBER(INDEX(SPPR!$E:$Z,MATCH($A320,SPPR!$A:$A,0),8)),$C320*INDEX(SPPR!$E:$Z,MATCH($A320,SPPR!$A:$A,0),8),""),"")</f>
        <v/>
      </c>
      <c r="L320">
        <f>IFERROR(IF(ISNUMBER(INDEX(SPPR!$E:$Z,MATCH($A320,SPPR!$A:$A,0),9)),$C320*INDEX(SPPR!$E:$Z,MATCH($A320,SPPR!$A:$A,0),9),""),"")</f>
        <v/>
      </c>
      <c r="M320">
        <f>IFERROR(IF(ISNUMBER(INDEX(SPPR!$E:$Z,MATCH($A320,SPPR!$A:$A,0),10)),$C320*INDEX(SPPR!$E:$Z,MATCH($A320,SPPR!$A:$A,0),10),""),"")</f>
        <v/>
      </c>
      <c r="N320">
        <f>IFERROR(IF(ISNUMBER(INDEX(SPPR!$E:$Z,MATCH($A320,SPPR!$A:$A,0),11)),$C320*INDEX(SPPR!$E:$Z,MATCH($A320,SPPR!$A:$A,0),11),""),"")</f>
        <v/>
      </c>
      <c r="O320">
        <f>IFERROR(IF(ISNUMBER(INDEX(SPPR!$E:$Z,MATCH($A320,SPPR!$A:$A,0),12)),$C320*INDEX(SPPR!$E:$Z,MATCH($A320,SPPR!$A:$A,0),12),""),"")</f>
        <v/>
      </c>
      <c r="P320">
        <f>IFERROR(IF(ISNUMBER(INDEX(SPPR!$E:$Z,MATCH($A320,SPPR!$A:$A,0),13)),$C320*INDEX(SPPR!$E:$Z,MATCH($A320,SPPR!$A:$A,0),13),""),"")</f>
        <v/>
      </c>
      <c r="Q320">
        <f>IFERROR(IF(ISNUMBER(INDEX(SPPR!$E:$Z,MATCH($A320,SPPR!$A:$A,0),14)),$C320*INDEX(SPPR!$E:$Z,MATCH($A320,SPPR!$A:$A,0),14),""),"")</f>
        <v/>
      </c>
      <c r="R320">
        <f>IFERROR(IF(ISNUMBER(INDEX(SPPR!$E:$Z,MATCH($A320,SPPR!$A:$A,0),15)),$C320*INDEX(SPPR!$E:$Z,MATCH($A320,SPPR!$A:$A,0),15),""),"")</f>
        <v/>
      </c>
      <c r="S320">
        <f>IFERROR(IF(ISNUMBER(INDEX(SPPR!$E:$Z,MATCH($A320,SPPR!$A:$A,0),16)),$C320*INDEX(SPPR!$E:$Z,MATCH($A320,SPPR!$A:$A,0),16),""),"")</f>
        <v/>
      </c>
      <c r="T320">
        <f>IFERROR(IF(ISNUMBER(INDEX(SPPR!$E:$Z,MATCH($A320,SPPR!$A:$A,0),17)),$C320*INDEX(SPPR!$E:$Z,MATCH($A320,SPPR!$A:$A,0),17),""),"")</f>
        <v/>
      </c>
      <c r="U320">
        <f>IFERROR(IF(ISNUMBER(INDEX(SPPR!$E:$Z,MATCH($A320,SPPR!$A:$A,0),18)),$C320*INDEX(SPPR!$E:$Z,MATCH($A320,SPPR!$A:$A,0),18),""),"")</f>
        <v/>
      </c>
      <c r="V320">
        <f>IFERROR(IF(ISNUMBER(INDEX(SPPR!$E:$Z,MATCH($A320,SPPR!$A:$A,0),19)),$C320*INDEX(SPPR!$E:$Z,MATCH($A320,SPPR!$A:$A,0),19),""),"")</f>
        <v/>
      </c>
      <c r="W320">
        <f>IFERROR(IF(ISNUMBER(INDEX(SPPR!$E:$Z,MATCH($A320,SPPR!$A:$A,0),20)),$C320*INDEX(SPPR!$E:$Z,MATCH($A320,SPPR!$A:$A,0),20),""),"")</f>
        <v/>
      </c>
      <c r="X320">
        <f>IFERROR(IF(ISNUMBER(INDEX(SPPR!$E:$Z,MATCH($A320,SPPR!$A:$A,0),21)),$C320*INDEX(SPPR!$E:$Z,MATCH($A320,SPPR!$A:$A,0),21),""),"")</f>
        <v/>
      </c>
      <c r="Y320">
        <f>IFERROR(IF(ISNUMBER(INDEX(SPPR!$E:$Z,MATCH($A320,SPPR!$A:$A,0),22)),$C320*INDEX(SPPR!$E:$Z,MATCH($A320,SPPR!$A:$A,0),22),""),"")</f>
        <v/>
      </c>
    </row>
    <row r="321">
      <c r="A321" t="inlineStr">
        <is>
          <t>Melicertus canaliculatus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IFERROR(IF(ISNUMBER(INDEX(SPPR!$E:$Z,MATCH($A321,SPPR!$A:$A,0),1)),$C321*INDEX(SPPR!$E:$Z,MATCH($A321,SPPR!$A:$A,0),1),""),"")</f>
        <v/>
      </c>
      <c r="E321">
        <f>IFERROR(IF(ISNUMBER(INDEX(SPPR!$E:$Z,MATCH($A321,SPPR!$A:$A,0),2)),$C321*INDEX(SPPR!$E:$Z,MATCH($A321,SPPR!$A:$A,0),2),""),"")</f>
        <v/>
      </c>
      <c r="F321">
        <f>IFERROR(IF(ISNUMBER(INDEX(SPPR!$E:$Z,MATCH($A321,SPPR!$A:$A,0),3)),$C321*INDEX(SPPR!$E:$Z,MATCH($A321,SPPR!$A:$A,0),3),""),"")</f>
        <v/>
      </c>
      <c r="G321">
        <f>IFERROR(IF(ISNUMBER(INDEX(SPPR!$E:$Z,MATCH($A321,SPPR!$A:$A,0),4)),$C321*INDEX(SPPR!$E:$Z,MATCH($A321,SPPR!$A:$A,0),4),""),"")</f>
        <v/>
      </c>
      <c r="H321">
        <f>IFERROR(IF(ISNUMBER(INDEX(SPPR!$E:$Z,MATCH($A321,SPPR!$A:$A,0),5)),$C321*INDEX(SPPR!$E:$Z,MATCH($A321,SPPR!$A:$A,0),5),""),"")</f>
        <v/>
      </c>
      <c r="I321">
        <f>IFERROR(IF(ISNUMBER(INDEX(SPPR!$E:$Z,MATCH($A321,SPPR!$A:$A,0),6)),$C321*INDEX(SPPR!$E:$Z,MATCH($A321,SPPR!$A:$A,0),6),""),"")</f>
        <v/>
      </c>
      <c r="J321">
        <f>IFERROR(IF(ISNUMBER(INDEX(SPPR!$E:$Z,MATCH($A321,SPPR!$A:$A,0),7)),$C321*INDEX(SPPR!$E:$Z,MATCH($A321,SPPR!$A:$A,0),7),""),"")</f>
        <v/>
      </c>
      <c r="K321">
        <f>IFERROR(IF(ISNUMBER(INDEX(SPPR!$E:$Z,MATCH($A321,SPPR!$A:$A,0),8)),$C321*INDEX(SPPR!$E:$Z,MATCH($A321,SPPR!$A:$A,0),8),""),"")</f>
        <v/>
      </c>
      <c r="L321">
        <f>IFERROR(IF(ISNUMBER(INDEX(SPPR!$E:$Z,MATCH($A321,SPPR!$A:$A,0),9)),$C321*INDEX(SPPR!$E:$Z,MATCH($A321,SPPR!$A:$A,0),9),""),"")</f>
        <v/>
      </c>
      <c r="M321">
        <f>IFERROR(IF(ISNUMBER(INDEX(SPPR!$E:$Z,MATCH($A321,SPPR!$A:$A,0),10)),$C321*INDEX(SPPR!$E:$Z,MATCH($A321,SPPR!$A:$A,0),10),""),"")</f>
        <v/>
      </c>
      <c r="N321">
        <f>IFERROR(IF(ISNUMBER(INDEX(SPPR!$E:$Z,MATCH($A321,SPPR!$A:$A,0),11)),$C321*INDEX(SPPR!$E:$Z,MATCH($A321,SPPR!$A:$A,0),11),""),"")</f>
        <v/>
      </c>
      <c r="O321">
        <f>IFERROR(IF(ISNUMBER(INDEX(SPPR!$E:$Z,MATCH($A321,SPPR!$A:$A,0),12)),$C321*INDEX(SPPR!$E:$Z,MATCH($A321,SPPR!$A:$A,0),12),""),"")</f>
        <v/>
      </c>
      <c r="P321">
        <f>IFERROR(IF(ISNUMBER(INDEX(SPPR!$E:$Z,MATCH($A321,SPPR!$A:$A,0),13)),$C321*INDEX(SPPR!$E:$Z,MATCH($A321,SPPR!$A:$A,0),13),""),"")</f>
        <v/>
      </c>
      <c r="Q321">
        <f>IFERROR(IF(ISNUMBER(INDEX(SPPR!$E:$Z,MATCH($A321,SPPR!$A:$A,0),14)),$C321*INDEX(SPPR!$E:$Z,MATCH($A321,SPPR!$A:$A,0),14),""),"")</f>
        <v/>
      </c>
      <c r="R321">
        <f>IFERROR(IF(ISNUMBER(INDEX(SPPR!$E:$Z,MATCH($A321,SPPR!$A:$A,0),15)),$C321*INDEX(SPPR!$E:$Z,MATCH($A321,SPPR!$A:$A,0),15),""),"")</f>
        <v/>
      </c>
      <c r="S321">
        <f>IFERROR(IF(ISNUMBER(INDEX(SPPR!$E:$Z,MATCH($A321,SPPR!$A:$A,0),16)),$C321*INDEX(SPPR!$E:$Z,MATCH($A321,SPPR!$A:$A,0),16),""),"")</f>
        <v/>
      </c>
      <c r="T321">
        <f>IFERROR(IF(ISNUMBER(INDEX(SPPR!$E:$Z,MATCH($A321,SPPR!$A:$A,0),17)),$C321*INDEX(SPPR!$E:$Z,MATCH($A321,SPPR!$A:$A,0),17),""),"")</f>
        <v/>
      </c>
      <c r="U321">
        <f>IFERROR(IF(ISNUMBER(INDEX(SPPR!$E:$Z,MATCH($A321,SPPR!$A:$A,0),18)),$C321*INDEX(SPPR!$E:$Z,MATCH($A321,SPPR!$A:$A,0),18),""),"")</f>
        <v/>
      </c>
      <c r="V321">
        <f>IFERROR(IF(ISNUMBER(INDEX(SPPR!$E:$Z,MATCH($A321,SPPR!$A:$A,0),19)),$C321*INDEX(SPPR!$E:$Z,MATCH($A321,SPPR!$A:$A,0),19),""),"")</f>
        <v/>
      </c>
      <c r="W321">
        <f>IFERROR(IF(ISNUMBER(INDEX(SPPR!$E:$Z,MATCH($A321,SPPR!$A:$A,0),20)),$C321*INDEX(SPPR!$E:$Z,MATCH($A321,SPPR!$A:$A,0),20),""),"")</f>
        <v/>
      </c>
      <c r="X321">
        <f>IFERROR(IF(ISNUMBER(INDEX(SPPR!$E:$Z,MATCH($A321,SPPR!$A:$A,0),21)),$C321*INDEX(SPPR!$E:$Z,MATCH($A321,SPPR!$A:$A,0),21),""),"")</f>
        <v/>
      </c>
      <c r="Y321">
        <f>IFERROR(IF(ISNUMBER(INDEX(SPPR!$E:$Z,MATCH($A321,SPPR!$A:$A,0),22)),$C321*INDEX(SPPR!$E:$Z,MATCH($A321,SPPR!$A:$A,0),22),""),"")</f>
        <v/>
      </c>
    </row>
    <row r="322">
      <c r="A322" t="inlineStr">
        <is>
          <t>Seriola dumerili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IFERROR(IF(ISNUMBER(INDEX(SPPR!$E:$Z,MATCH($A322,SPPR!$A:$A,0),1)),$C322*INDEX(SPPR!$E:$Z,MATCH($A322,SPPR!$A:$A,0),1),""),"")</f>
        <v/>
      </c>
      <c r="E322">
        <f>IFERROR(IF(ISNUMBER(INDEX(SPPR!$E:$Z,MATCH($A322,SPPR!$A:$A,0),2)),$C322*INDEX(SPPR!$E:$Z,MATCH($A322,SPPR!$A:$A,0),2),""),"")</f>
        <v/>
      </c>
      <c r="F322">
        <f>IFERROR(IF(ISNUMBER(INDEX(SPPR!$E:$Z,MATCH($A322,SPPR!$A:$A,0),3)),$C322*INDEX(SPPR!$E:$Z,MATCH($A322,SPPR!$A:$A,0),3),""),"")</f>
        <v/>
      </c>
      <c r="G322">
        <f>IFERROR(IF(ISNUMBER(INDEX(SPPR!$E:$Z,MATCH($A322,SPPR!$A:$A,0),4)),$C322*INDEX(SPPR!$E:$Z,MATCH($A322,SPPR!$A:$A,0),4),""),"")</f>
        <v/>
      </c>
      <c r="H322">
        <f>IFERROR(IF(ISNUMBER(INDEX(SPPR!$E:$Z,MATCH($A322,SPPR!$A:$A,0),5)),$C322*INDEX(SPPR!$E:$Z,MATCH($A322,SPPR!$A:$A,0),5),""),"")</f>
        <v/>
      </c>
      <c r="I322">
        <f>IFERROR(IF(ISNUMBER(INDEX(SPPR!$E:$Z,MATCH($A322,SPPR!$A:$A,0),6)),$C322*INDEX(SPPR!$E:$Z,MATCH($A322,SPPR!$A:$A,0),6),""),"")</f>
        <v/>
      </c>
      <c r="J322">
        <f>IFERROR(IF(ISNUMBER(INDEX(SPPR!$E:$Z,MATCH($A322,SPPR!$A:$A,0),7)),$C322*INDEX(SPPR!$E:$Z,MATCH($A322,SPPR!$A:$A,0),7),""),"")</f>
        <v/>
      </c>
      <c r="K322">
        <f>IFERROR(IF(ISNUMBER(INDEX(SPPR!$E:$Z,MATCH($A322,SPPR!$A:$A,0),8)),$C322*INDEX(SPPR!$E:$Z,MATCH($A322,SPPR!$A:$A,0),8),""),"")</f>
        <v/>
      </c>
      <c r="L322">
        <f>IFERROR(IF(ISNUMBER(INDEX(SPPR!$E:$Z,MATCH($A322,SPPR!$A:$A,0),9)),$C322*INDEX(SPPR!$E:$Z,MATCH($A322,SPPR!$A:$A,0),9),""),"")</f>
        <v/>
      </c>
      <c r="M322">
        <f>IFERROR(IF(ISNUMBER(INDEX(SPPR!$E:$Z,MATCH($A322,SPPR!$A:$A,0),10)),$C322*INDEX(SPPR!$E:$Z,MATCH($A322,SPPR!$A:$A,0),10),""),"")</f>
        <v/>
      </c>
      <c r="N322">
        <f>IFERROR(IF(ISNUMBER(INDEX(SPPR!$E:$Z,MATCH($A322,SPPR!$A:$A,0),11)),$C322*INDEX(SPPR!$E:$Z,MATCH($A322,SPPR!$A:$A,0),11),""),"")</f>
        <v/>
      </c>
      <c r="O322">
        <f>IFERROR(IF(ISNUMBER(INDEX(SPPR!$E:$Z,MATCH($A322,SPPR!$A:$A,0),12)),$C322*INDEX(SPPR!$E:$Z,MATCH($A322,SPPR!$A:$A,0),12),""),"")</f>
        <v/>
      </c>
      <c r="P322">
        <f>IFERROR(IF(ISNUMBER(INDEX(SPPR!$E:$Z,MATCH($A322,SPPR!$A:$A,0),13)),$C322*INDEX(SPPR!$E:$Z,MATCH($A322,SPPR!$A:$A,0),13),""),"")</f>
        <v/>
      </c>
      <c r="Q322">
        <f>IFERROR(IF(ISNUMBER(INDEX(SPPR!$E:$Z,MATCH($A322,SPPR!$A:$A,0),14)),$C322*INDEX(SPPR!$E:$Z,MATCH($A322,SPPR!$A:$A,0),14),""),"")</f>
        <v/>
      </c>
      <c r="R322">
        <f>IFERROR(IF(ISNUMBER(INDEX(SPPR!$E:$Z,MATCH($A322,SPPR!$A:$A,0),15)),$C322*INDEX(SPPR!$E:$Z,MATCH($A322,SPPR!$A:$A,0),15),""),"")</f>
        <v/>
      </c>
      <c r="S322">
        <f>IFERROR(IF(ISNUMBER(INDEX(SPPR!$E:$Z,MATCH($A322,SPPR!$A:$A,0),16)),$C322*INDEX(SPPR!$E:$Z,MATCH($A322,SPPR!$A:$A,0),16),""),"")</f>
        <v/>
      </c>
      <c r="T322">
        <f>IFERROR(IF(ISNUMBER(INDEX(SPPR!$E:$Z,MATCH($A322,SPPR!$A:$A,0),17)),$C322*INDEX(SPPR!$E:$Z,MATCH($A322,SPPR!$A:$A,0),17),""),"")</f>
        <v/>
      </c>
      <c r="U322">
        <f>IFERROR(IF(ISNUMBER(INDEX(SPPR!$E:$Z,MATCH($A322,SPPR!$A:$A,0),18)),$C322*INDEX(SPPR!$E:$Z,MATCH($A322,SPPR!$A:$A,0),18),""),"")</f>
        <v/>
      </c>
      <c r="V322">
        <f>IFERROR(IF(ISNUMBER(INDEX(SPPR!$E:$Z,MATCH($A322,SPPR!$A:$A,0),19)),$C322*INDEX(SPPR!$E:$Z,MATCH($A322,SPPR!$A:$A,0),19),""),"")</f>
        <v/>
      </c>
      <c r="W322">
        <f>IFERROR(IF(ISNUMBER(INDEX(SPPR!$E:$Z,MATCH($A322,SPPR!$A:$A,0),20)),$C322*INDEX(SPPR!$E:$Z,MATCH($A322,SPPR!$A:$A,0),20),""),"")</f>
        <v/>
      </c>
      <c r="X322">
        <f>IFERROR(IF(ISNUMBER(INDEX(SPPR!$E:$Z,MATCH($A322,SPPR!$A:$A,0),21)),$C322*INDEX(SPPR!$E:$Z,MATCH($A322,SPPR!$A:$A,0),21),""),"")</f>
        <v/>
      </c>
      <c r="Y322">
        <f>IFERROR(IF(ISNUMBER(INDEX(SPPR!$E:$Z,MATCH($A322,SPPR!$A:$A,0),22)),$C322*INDEX(SPPR!$E:$Z,MATCH($A322,SPPR!$A:$A,0),22),""),"")</f>
        <v/>
      </c>
    </row>
    <row r="323">
      <c r="A323" t="inlineStr">
        <is>
          <t>Labridae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IFERROR(IF(ISNUMBER(INDEX(SPPR!$E:$Z,MATCH($A323,SPPR!$A:$A,0),1)),$C323*INDEX(SPPR!$E:$Z,MATCH($A323,SPPR!$A:$A,0),1),""),"")</f>
        <v/>
      </c>
      <c r="E323">
        <f>IFERROR(IF(ISNUMBER(INDEX(SPPR!$E:$Z,MATCH($A323,SPPR!$A:$A,0),2)),$C323*INDEX(SPPR!$E:$Z,MATCH($A323,SPPR!$A:$A,0),2),""),"")</f>
        <v/>
      </c>
      <c r="F323">
        <f>IFERROR(IF(ISNUMBER(INDEX(SPPR!$E:$Z,MATCH($A323,SPPR!$A:$A,0),3)),$C323*INDEX(SPPR!$E:$Z,MATCH($A323,SPPR!$A:$A,0),3),""),"")</f>
        <v/>
      </c>
      <c r="G323">
        <f>IFERROR(IF(ISNUMBER(INDEX(SPPR!$E:$Z,MATCH($A323,SPPR!$A:$A,0),4)),$C323*INDEX(SPPR!$E:$Z,MATCH($A323,SPPR!$A:$A,0),4),""),"")</f>
        <v/>
      </c>
      <c r="H323">
        <f>IFERROR(IF(ISNUMBER(INDEX(SPPR!$E:$Z,MATCH($A323,SPPR!$A:$A,0),5)),$C323*INDEX(SPPR!$E:$Z,MATCH($A323,SPPR!$A:$A,0),5),""),"")</f>
        <v/>
      </c>
      <c r="I323">
        <f>IFERROR(IF(ISNUMBER(INDEX(SPPR!$E:$Z,MATCH($A323,SPPR!$A:$A,0),6)),$C323*INDEX(SPPR!$E:$Z,MATCH($A323,SPPR!$A:$A,0),6),""),"")</f>
        <v/>
      </c>
      <c r="J323">
        <f>IFERROR(IF(ISNUMBER(INDEX(SPPR!$E:$Z,MATCH($A323,SPPR!$A:$A,0),7)),$C323*INDEX(SPPR!$E:$Z,MATCH($A323,SPPR!$A:$A,0),7),""),"")</f>
        <v/>
      </c>
      <c r="K323">
        <f>IFERROR(IF(ISNUMBER(INDEX(SPPR!$E:$Z,MATCH($A323,SPPR!$A:$A,0),8)),$C323*INDEX(SPPR!$E:$Z,MATCH($A323,SPPR!$A:$A,0),8),""),"")</f>
        <v/>
      </c>
      <c r="L323">
        <f>IFERROR(IF(ISNUMBER(INDEX(SPPR!$E:$Z,MATCH($A323,SPPR!$A:$A,0),9)),$C323*INDEX(SPPR!$E:$Z,MATCH($A323,SPPR!$A:$A,0),9),""),"")</f>
        <v/>
      </c>
      <c r="M323">
        <f>IFERROR(IF(ISNUMBER(INDEX(SPPR!$E:$Z,MATCH($A323,SPPR!$A:$A,0),10)),$C323*INDEX(SPPR!$E:$Z,MATCH($A323,SPPR!$A:$A,0),10),""),"")</f>
        <v/>
      </c>
      <c r="N323">
        <f>IFERROR(IF(ISNUMBER(INDEX(SPPR!$E:$Z,MATCH($A323,SPPR!$A:$A,0),11)),$C323*INDEX(SPPR!$E:$Z,MATCH($A323,SPPR!$A:$A,0),11),""),"")</f>
        <v/>
      </c>
      <c r="O323">
        <f>IFERROR(IF(ISNUMBER(INDEX(SPPR!$E:$Z,MATCH($A323,SPPR!$A:$A,0),12)),$C323*INDEX(SPPR!$E:$Z,MATCH($A323,SPPR!$A:$A,0),12),""),"")</f>
        <v/>
      </c>
      <c r="P323">
        <f>IFERROR(IF(ISNUMBER(INDEX(SPPR!$E:$Z,MATCH($A323,SPPR!$A:$A,0),13)),$C323*INDEX(SPPR!$E:$Z,MATCH($A323,SPPR!$A:$A,0),13),""),"")</f>
        <v/>
      </c>
      <c r="Q323">
        <f>IFERROR(IF(ISNUMBER(INDEX(SPPR!$E:$Z,MATCH($A323,SPPR!$A:$A,0),14)),$C323*INDEX(SPPR!$E:$Z,MATCH($A323,SPPR!$A:$A,0),14),""),"")</f>
        <v/>
      </c>
      <c r="R323">
        <f>IFERROR(IF(ISNUMBER(INDEX(SPPR!$E:$Z,MATCH($A323,SPPR!$A:$A,0),15)),$C323*INDEX(SPPR!$E:$Z,MATCH($A323,SPPR!$A:$A,0),15),""),"")</f>
        <v/>
      </c>
      <c r="S323">
        <f>IFERROR(IF(ISNUMBER(INDEX(SPPR!$E:$Z,MATCH($A323,SPPR!$A:$A,0),16)),$C323*INDEX(SPPR!$E:$Z,MATCH($A323,SPPR!$A:$A,0),16),""),"")</f>
        <v/>
      </c>
      <c r="T323">
        <f>IFERROR(IF(ISNUMBER(INDEX(SPPR!$E:$Z,MATCH($A323,SPPR!$A:$A,0),17)),$C323*INDEX(SPPR!$E:$Z,MATCH($A323,SPPR!$A:$A,0),17),""),"")</f>
        <v/>
      </c>
      <c r="U323">
        <f>IFERROR(IF(ISNUMBER(INDEX(SPPR!$E:$Z,MATCH($A323,SPPR!$A:$A,0),18)),$C323*INDEX(SPPR!$E:$Z,MATCH($A323,SPPR!$A:$A,0),18),""),"")</f>
        <v/>
      </c>
      <c r="V323">
        <f>IFERROR(IF(ISNUMBER(INDEX(SPPR!$E:$Z,MATCH($A323,SPPR!$A:$A,0),19)),$C323*INDEX(SPPR!$E:$Z,MATCH($A323,SPPR!$A:$A,0),19),""),"")</f>
        <v/>
      </c>
      <c r="W323">
        <f>IFERROR(IF(ISNUMBER(INDEX(SPPR!$E:$Z,MATCH($A323,SPPR!$A:$A,0),20)),$C323*INDEX(SPPR!$E:$Z,MATCH($A323,SPPR!$A:$A,0),20),""),"")</f>
        <v/>
      </c>
      <c r="X323">
        <f>IFERROR(IF(ISNUMBER(INDEX(SPPR!$E:$Z,MATCH($A323,SPPR!$A:$A,0),21)),$C323*INDEX(SPPR!$E:$Z,MATCH($A323,SPPR!$A:$A,0),21),""),"")</f>
        <v/>
      </c>
      <c r="Y323">
        <f>IFERROR(IF(ISNUMBER(INDEX(SPPR!$E:$Z,MATCH($A323,SPPR!$A:$A,0),22)),$C323*INDEX(SPPR!$E:$Z,MATCH($A323,SPPR!$A:$A,0),22),""),"")</f>
        <v/>
      </c>
    </row>
    <row r="324">
      <c r="A324" t="inlineStr">
        <is>
          <t>Octopus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IFERROR(IF(ISNUMBER(INDEX(SPPR!$E:$Z,MATCH($A324,SPPR!$A:$A,0),1)),$C324*INDEX(SPPR!$E:$Z,MATCH($A324,SPPR!$A:$A,0),1),""),"")</f>
        <v/>
      </c>
      <c r="E324">
        <f>IFERROR(IF(ISNUMBER(INDEX(SPPR!$E:$Z,MATCH($A324,SPPR!$A:$A,0),2)),$C324*INDEX(SPPR!$E:$Z,MATCH($A324,SPPR!$A:$A,0),2),""),"")</f>
        <v/>
      </c>
      <c r="F324">
        <f>IFERROR(IF(ISNUMBER(INDEX(SPPR!$E:$Z,MATCH($A324,SPPR!$A:$A,0),3)),$C324*INDEX(SPPR!$E:$Z,MATCH($A324,SPPR!$A:$A,0),3),""),"")</f>
        <v/>
      </c>
      <c r="G324">
        <f>IFERROR(IF(ISNUMBER(INDEX(SPPR!$E:$Z,MATCH($A324,SPPR!$A:$A,0),4)),$C324*INDEX(SPPR!$E:$Z,MATCH($A324,SPPR!$A:$A,0),4),""),"")</f>
        <v/>
      </c>
      <c r="H324">
        <f>IFERROR(IF(ISNUMBER(INDEX(SPPR!$E:$Z,MATCH($A324,SPPR!$A:$A,0),5)),$C324*INDEX(SPPR!$E:$Z,MATCH($A324,SPPR!$A:$A,0),5),""),"")</f>
        <v/>
      </c>
      <c r="I324">
        <f>IFERROR(IF(ISNUMBER(INDEX(SPPR!$E:$Z,MATCH($A324,SPPR!$A:$A,0),6)),$C324*INDEX(SPPR!$E:$Z,MATCH($A324,SPPR!$A:$A,0),6),""),"")</f>
        <v/>
      </c>
      <c r="J324">
        <f>IFERROR(IF(ISNUMBER(INDEX(SPPR!$E:$Z,MATCH($A324,SPPR!$A:$A,0),7)),$C324*INDEX(SPPR!$E:$Z,MATCH($A324,SPPR!$A:$A,0),7),""),"")</f>
        <v/>
      </c>
      <c r="K324">
        <f>IFERROR(IF(ISNUMBER(INDEX(SPPR!$E:$Z,MATCH($A324,SPPR!$A:$A,0),8)),$C324*INDEX(SPPR!$E:$Z,MATCH($A324,SPPR!$A:$A,0),8),""),"")</f>
        <v/>
      </c>
      <c r="L324">
        <f>IFERROR(IF(ISNUMBER(INDEX(SPPR!$E:$Z,MATCH($A324,SPPR!$A:$A,0),9)),$C324*INDEX(SPPR!$E:$Z,MATCH($A324,SPPR!$A:$A,0),9),""),"")</f>
        <v/>
      </c>
      <c r="M324">
        <f>IFERROR(IF(ISNUMBER(INDEX(SPPR!$E:$Z,MATCH($A324,SPPR!$A:$A,0),10)),$C324*INDEX(SPPR!$E:$Z,MATCH($A324,SPPR!$A:$A,0),10),""),"")</f>
        <v/>
      </c>
      <c r="N324">
        <f>IFERROR(IF(ISNUMBER(INDEX(SPPR!$E:$Z,MATCH($A324,SPPR!$A:$A,0),11)),$C324*INDEX(SPPR!$E:$Z,MATCH($A324,SPPR!$A:$A,0),11),""),"")</f>
        <v/>
      </c>
      <c r="O324">
        <f>IFERROR(IF(ISNUMBER(INDEX(SPPR!$E:$Z,MATCH($A324,SPPR!$A:$A,0),12)),$C324*INDEX(SPPR!$E:$Z,MATCH($A324,SPPR!$A:$A,0),12),""),"")</f>
        <v/>
      </c>
      <c r="P324">
        <f>IFERROR(IF(ISNUMBER(INDEX(SPPR!$E:$Z,MATCH($A324,SPPR!$A:$A,0),13)),$C324*INDEX(SPPR!$E:$Z,MATCH($A324,SPPR!$A:$A,0),13),""),"")</f>
        <v/>
      </c>
      <c r="Q324">
        <f>IFERROR(IF(ISNUMBER(INDEX(SPPR!$E:$Z,MATCH($A324,SPPR!$A:$A,0),14)),$C324*INDEX(SPPR!$E:$Z,MATCH($A324,SPPR!$A:$A,0),14),""),"")</f>
        <v/>
      </c>
      <c r="R324">
        <f>IFERROR(IF(ISNUMBER(INDEX(SPPR!$E:$Z,MATCH($A324,SPPR!$A:$A,0),15)),$C324*INDEX(SPPR!$E:$Z,MATCH($A324,SPPR!$A:$A,0),15),""),"")</f>
        <v/>
      </c>
      <c r="S324">
        <f>IFERROR(IF(ISNUMBER(INDEX(SPPR!$E:$Z,MATCH($A324,SPPR!$A:$A,0),16)),$C324*INDEX(SPPR!$E:$Z,MATCH($A324,SPPR!$A:$A,0),16),""),"")</f>
        <v/>
      </c>
      <c r="T324">
        <f>IFERROR(IF(ISNUMBER(INDEX(SPPR!$E:$Z,MATCH($A324,SPPR!$A:$A,0),17)),$C324*INDEX(SPPR!$E:$Z,MATCH($A324,SPPR!$A:$A,0),17),""),"")</f>
        <v/>
      </c>
      <c r="U324">
        <f>IFERROR(IF(ISNUMBER(INDEX(SPPR!$E:$Z,MATCH($A324,SPPR!$A:$A,0),18)),$C324*INDEX(SPPR!$E:$Z,MATCH($A324,SPPR!$A:$A,0),18),""),"")</f>
        <v/>
      </c>
      <c r="V324">
        <f>IFERROR(IF(ISNUMBER(INDEX(SPPR!$E:$Z,MATCH($A324,SPPR!$A:$A,0),19)),$C324*INDEX(SPPR!$E:$Z,MATCH($A324,SPPR!$A:$A,0),19),""),"")</f>
        <v/>
      </c>
      <c r="W324">
        <f>IFERROR(IF(ISNUMBER(INDEX(SPPR!$E:$Z,MATCH($A324,SPPR!$A:$A,0),20)),$C324*INDEX(SPPR!$E:$Z,MATCH($A324,SPPR!$A:$A,0),20),""),"")</f>
        <v/>
      </c>
      <c r="X324">
        <f>IFERROR(IF(ISNUMBER(INDEX(SPPR!$E:$Z,MATCH($A324,SPPR!$A:$A,0),21)),$C324*INDEX(SPPR!$E:$Z,MATCH($A324,SPPR!$A:$A,0),21),""),"")</f>
        <v/>
      </c>
      <c r="Y324">
        <f>IFERROR(IF(ISNUMBER(INDEX(SPPR!$E:$Z,MATCH($A324,SPPR!$A:$A,0),22)),$C324*INDEX(SPPR!$E:$Z,MATCH($A324,SPPR!$A:$A,0),22),""),"")</f>
        <v/>
      </c>
    </row>
    <row r="325">
      <c r="A325" t="inlineStr">
        <is>
          <t>Plotosidae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IFERROR(IF(ISNUMBER(INDEX(SPPR!$E:$Z,MATCH($A325,SPPR!$A:$A,0),1)),$C325*INDEX(SPPR!$E:$Z,MATCH($A325,SPPR!$A:$A,0),1),""),"")</f>
        <v/>
      </c>
      <c r="E325">
        <f>IFERROR(IF(ISNUMBER(INDEX(SPPR!$E:$Z,MATCH($A325,SPPR!$A:$A,0),2)),$C325*INDEX(SPPR!$E:$Z,MATCH($A325,SPPR!$A:$A,0),2),""),"")</f>
        <v/>
      </c>
      <c r="F325">
        <f>IFERROR(IF(ISNUMBER(INDEX(SPPR!$E:$Z,MATCH($A325,SPPR!$A:$A,0),3)),$C325*INDEX(SPPR!$E:$Z,MATCH($A325,SPPR!$A:$A,0),3),""),"")</f>
        <v/>
      </c>
      <c r="G325">
        <f>IFERROR(IF(ISNUMBER(INDEX(SPPR!$E:$Z,MATCH($A325,SPPR!$A:$A,0),4)),$C325*INDEX(SPPR!$E:$Z,MATCH($A325,SPPR!$A:$A,0),4),""),"")</f>
        <v/>
      </c>
      <c r="H325">
        <f>IFERROR(IF(ISNUMBER(INDEX(SPPR!$E:$Z,MATCH($A325,SPPR!$A:$A,0),5)),$C325*INDEX(SPPR!$E:$Z,MATCH($A325,SPPR!$A:$A,0),5),""),"")</f>
        <v/>
      </c>
      <c r="I325">
        <f>IFERROR(IF(ISNUMBER(INDEX(SPPR!$E:$Z,MATCH($A325,SPPR!$A:$A,0),6)),$C325*INDEX(SPPR!$E:$Z,MATCH($A325,SPPR!$A:$A,0),6),""),"")</f>
        <v/>
      </c>
      <c r="J325">
        <f>IFERROR(IF(ISNUMBER(INDEX(SPPR!$E:$Z,MATCH($A325,SPPR!$A:$A,0),7)),$C325*INDEX(SPPR!$E:$Z,MATCH($A325,SPPR!$A:$A,0),7),""),"")</f>
        <v/>
      </c>
      <c r="K325">
        <f>IFERROR(IF(ISNUMBER(INDEX(SPPR!$E:$Z,MATCH($A325,SPPR!$A:$A,0),8)),$C325*INDEX(SPPR!$E:$Z,MATCH($A325,SPPR!$A:$A,0),8),""),"")</f>
        <v/>
      </c>
      <c r="L325">
        <f>IFERROR(IF(ISNUMBER(INDEX(SPPR!$E:$Z,MATCH($A325,SPPR!$A:$A,0),9)),$C325*INDEX(SPPR!$E:$Z,MATCH($A325,SPPR!$A:$A,0),9),""),"")</f>
        <v/>
      </c>
      <c r="M325">
        <f>IFERROR(IF(ISNUMBER(INDEX(SPPR!$E:$Z,MATCH($A325,SPPR!$A:$A,0),10)),$C325*INDEX(SPPR!$E:$Z,MATCH($A325,SPPR!$A:$A,0),10),""),"")</f>
        <v/>
      </c>
      <c r="N325">
        <f>IFERROR(IF(ISNUMBER(INDEX(SPPR!$E:$Z,MATCH($A325,SPPR!$A:$A,0),11)),$C325*INDEX(SPPR!$E:$Z,MATCH($A325,SPPR!$A:$A,0),11),""),"")</f>
        <v/>
      </c>
      <c r="O325">
        <f>IFERROR(IF(ISNUMBER(INDEX(SPPR!$E:$Z,MATCH($A325,SPPR!$A:$A,0),12)),$C325*INDEX(SPPR!$E:$Z,MATCH($A325,SPPR!$A:$A,0),12),""),"")</f>
        <v/>
      </c>
      <c r="P325">
        <f>IFERROR(IF(ISNUMBER(INDEX(SPPR!$E:$Z,MATCH($A325,SPPR!$A:$A,0),13)),$C325*INDEX(SPPR!$E:$Z,MATCH($A325,SPPR!$A:$A,0),13),""),"")</f>
        <v/>
      </c>
      <c r="Q325">
        <f>IFERROR(IF(ISNUMBER(INDEX(SPPR!$E:$Z,MATCH($A325,SPPR!$A:$A,0),14)),$C325*INDEX(SPPR!$E:$Z,MATCH($A325,SPPR!$A:$A,0),14),""),"")</f>
        <v/>
      </c>
      <c r="R325">
        <f>IFERROR(IF(ISNUMBER(INDEX(SPPR!$E:$Z,MATCH($A325,SPPR!$A:$A,0),15)),$C325*INDEX(SPPR!$E:$Z,MATCH($A325,SPPR!$A:$A,0),15),""),"")</f>
        <v/>
      </c>
      <c r="S325">
        <f>IFERROR(IF(ISNUMBER(INDEX(SPPR!$E:$Z,MATCH($A325,SPPR!$A:$A,0),16)),$C325*INDEX(SPPR!$E:$Z,MATCH($A325,SPPR!$A:$A,0),16),""),"")</f>
        <v/>
      </c>
      <c r="T325">
        <f>IFERROR(IF(ISNUMBER(INDEX(SPPR!$E:$Z,MATCH($A325,SPPR!$A:$A,0),17)),$C325*INDEX(SPPR!$E:$Z,MATCH($A325,SPPR!$A:$A,0),17),""),"")</f>
        <v/>
      </c>
      <c r="U325">
        <f>IFERROR(IF(ISNUMBER(INDEX(SPPR!$E:$Z,MATCH($A325,SPPR!$A:$A,0),18)),$C325*INDEX(SPPR!$E:$Z,MATCH($A325,SPPR!$A:$A,0),18),""),"")</f>
        <v/>
      </c>
      <c r="V325">
        <f>IFERROR(IF(ISNUMBER(INDEX(SPPR!$E:$Z,MATCH($A325,SPPR!$A:$A,0),19)),$C325*INDEX(SPPR!$E:$Z,MATCH($A325,SPPR!$A:$A,0),19),""),"")</f>
        <v/>
      </c>
      <c r="W325">
        <f>IFERROR(IF(ISNUMBER(INDEX(SPPR!$E:$Z,MATCH($A325,SPPR!$A:$A,0),20)),$C325*INDEX(SPPR!$E:$Z,MATCH($A325,SPPR!$A:$A,0),20),""),"")</f>
        <v/>
      </c>
      <c r="X325">
        <f>IFERROR(IF(ISNUMBER(INDEX(SPPR!$E:$Z,MATCH($A325,SPPR!$A:$A,0),21)),$C325*INDEX(SPPR!$E:$Z,MATCH($A325,SPPR!$A:$A,0),21),""),"")</f>
        <v/>
      </c>
      <c r="Y325">
        <f>IFERROR(IF(ISNUMBER(INDEX(SPPR!$E:$Z,MATCH($A325,SPPR!$A:$A,0),22)),$C325*INDEX(SPPR!$E:$Z,MATCH($A325,SPPR!$A:$A,0),22),""),"")</f>
        <v/>
      </c>
    </row>
    <row r="326">
      <c r="A326" t="inlineStr">
        <is>
          <t>Alopias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IFERROR(IF(ISNUMBER(INDEX(SPPR!$E:$Z,MATCH($A326,SPPR!$A:$A,0),1)),$C326*INDEX(SPPR!$E:$Z,MATCH($A326,SPPR!$A:$A,0),1),""),"")</f>
        <v/>
      </c>
      <c r="E326">
        <f>IFERROR(IF(ISNUMBER(INDEX(SPPR!$E:$Z,MATCH($A326,SPPR!$A:$A,0),2)),$C326*INDEX(SPPR!$E:$Z,MATCH($A326,SPPR!$A:$A,0),2),""),"")</f>
        <v/>
      </c>
      <c r="F326">
        <f>IFERROR(IF(ISNUMBER(INDEX(SPPR!$E:$Z,MATCH($A326,SPPR!$A:$A,0),3)),$C326*INDEX(SPPR!$E:$Z,MATCH($A326,SPPR!$A:$A,0),3),""),"")</f>
        <v/>
      </c>
      <c r="G326">
        <f>IFERROR(IF(ISNUMBER(INDEX(SPPR!$E:$Z,MATCH($A326,SPPR!$A:$A,0),4)),$C326*INDEX(SPPR!$E:$Z,MATCH($A326,SPPR!$A:$A,0),4),""),"")</f>
        <v/>
      </c>
      <c r="H326">
        <f>IFERROR(IF(ISNUMBER(INDEX(SPPR!$E:$Z,MATCH($A326,SPPR!$A:$A,0),5)),$C326*INDEX(SPPR!$E:$Z,MATCH($A326,SPPR!$A:$A,0),5),""),"")</f>
        <v/>
      </c>
      <c r="I326">
        <f>IFERROR(IF(ISNUMBER(INDEX(SPPR!$E:$Z,MATCH($A326,SPPR!$A:$A,0),6)),$C326*INDEX(SPPR!$E:$Z,MATCH($A326,SPPR!$A:$A,0),6),""),"")</f>
        <v/>
      </c>
      <c r="J326">
        <f>IFERROR(IF(ISNUMBER(INDEX(SPPR!$E:$Z,MATCH($A326,SPPR!$A:$A,0),7)),$C326*INDEX(SPPR!$E:$Z,MATCH($A326,SPPR!$A:$A,0),7),""),"")</f>
        <v/>
      </c>
      <c r="K326">
        <f>IFERROR(IF(ISNUMBER(INDEX(SPPR!$E:$Z,MATCH($A326,SPPR!$A:$A,0),8)),$C326*INDEX(SPPR!$E:$Z,MATCH($A326,SPPR!$A:$A,0),8),""),"")</f>
        <v/>
      </c>
      <c r="L326">
        <f>IFERROR(IF(ISNUMBER(INDEX(SPPR!$E:$Z,MATCH($A326,SPPR!$A:$A,0),9)),$C326*INDEX(SPPR!$E:$Z,MATCH($A326,SPPR!$A:$A,0),9),""),"")</f>
        <v/>
      </c>
      <c r="M326">
        <f>IFERROR(IF(ISNUMBER(INDEX(SPPR!$E:$Z,MATCH($A326,SPPR!$A:$A,0),10)),$C326*INDEX(SPPR!$E:$Z,MATCH($A326,SPPR!$A:$A,0),10),""),"")</f>
        <v/>
      </c>
      <c r="N326">
        <f>IFERROR(IF(ISNUMBER(INDEX(SPPR!$E:$Z,MATCH($A326,SPPR!$A:$A,0),11)),$C326*INDEX(SPPR!$E:$Z,MATCH($A326,SPPR!$A:$A,0),11),""),"")</f>
        <v/>
      </c>
      <c r="O326">
        <f>IFERROR(IF(ISNUMBER(INDEX(SPPR!$E:$Z,MATCH($A326,SPPR!$A:$A,0),12)),$C326*INDEX(SPPR!$E:$Z,MATCH($A326,SPPR!$A:$A,0),12),""),"")</f>
        <v/>
      </c>
      <c r="P326">
        <f>IFERROR(IF(ISNUMBER(INDEX(SPPR!$E:$Z,MATCH($A326,SPPR!$A:$A,0),13)),$C326*INDEX(SPPR!$E:$Z,MATCH($A326,SPPR!$A:$A,0),13),""),"")</f>
        <v/>
      </c>
      <c r="Q326">
        <f>IFERROR(IF(ISNUMBER(INDEX(SPPR!$E:$Z,MATCH($A326,SPPR!$A:$A,0),14)),$C326*INDEX(SPPR!$E:$Z,MATCH($A326,SPPR!$A:$A,0),14),""),"")</f>
        <v/>
      </c>
      <c r="R326">
        <f>IFERROR(IF(ISNUMBER(INDEX(SPPR!$E:$Z,MATCH($A326,SPPR!$A:$A,0),15)),$C326*INDEX(SPPR!$E:$Z,MATCH($A326,SPPR!$A:$A,0),15),""),"")</f>
        <v/>
      </c>
      <c r="S326">
        <f>IFERROR(IF(ISNUMBER(INDEX(SPPR!$E:$Z,MATCH($A326,SPPR!$A:$A,0),16)),$C326*INDEX(SPPR!$E:$Z,MATCH($A326,SPPR!$A:$A,0),16),""),"")</f>
        <v/>
      </c>
      <c r="T326">
        <f>IFERROR(IF(ISNUMBER(INDEX(SPPR!$E:$Z,MATCH($A326,SPPR!$A:$A,0),17)),$C326*INDEX(SPPR!$E:$Z,MATCH($A326,SPPR!$A:$A,0),17),""),"")</f>
        <v/>
      </c>
      <c r="U326">
        <f>IFERROR(IF(ISNUMBER(INDEX(SPPR!$E:$Z,MATCH($A326,SPPR!$A:$A,0),18)),$C326*INDEX(SPPR!$E:$Z,MATCH($A326,SPPR!$A:$A,0),18),""),"")</f>
        <v/>
      </c>
      <c r="V326">
        <f>IFERROR(IF(ISNUMBER(INDEX(SPPR!$E:$Z,MATCH($A326,SPPR!$A:$A,0),19)),$C326*INDEX(SPPR!$E:$Z,MATCH($A326,SPPR!$A:$A,0),19),""),"")</f>
        <v/>
      </c>
      <c r="W326">
        <f>IFERROR(IF(ISNUMBER(INDEX(SPPR!$E:$Z,MATCH($A326,SPPR!$A:$A,0),20)),$C326*INDEX(SPPR!$E:$Z,MATCH($A326,SPPR!$A:$A,0),20),""),"")</f>
        <v/>
      </c>
      <c r="X326">
        <f>IFERROR(IF(ISNUMBER(INDEX(SPPR!$E:$Z,MATCH($A326,SPPR!$A:$A,0),21)),$C326*INDEX(SPPR!$E:$Z,MATCH($A326,SPPR!$A:$A,0),21),""),"")</f>
        <v/>
      </c>
      <c r="Y326">
        <f>IFERROR(IF(ISNUMBER(INDEX(SPPR!$E:$Z,MATCH($A326,SPPR!$A:$A,0),22)),$C326*INDEX(SPPR!$E:$Z,MATCH($A326,SPPR!$A:$A,0),22),""),"")</f>
        <v/>
      </c>
    </row>
    <row r="327">
      <c r="A327" t="inlineStr">
        <is>
          <t>Elops machnata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IFERROR(IF(ISNUMBER(INDEX(SPPR!$E:$Z,MATCH($A327,SPPR!$A:$A,0),1)),$C327*INDEX(SPPR!$E:$Z,MATCH($A327,SPPR!$A:$A,0),1),""),"")</f>
        <v/>
      </c>
      <c r="E327">
        <f>IFERROR(IF(ISNUMBER(INDEX(SPPR!$E:$Z,MATCH($A327,SPPR!$A:$A,0),2)),$C327*INDEX(SPPR!$E:$Z,MATCH($A327,SPPR!$A:$A,0),2),""),"")</f>
        <v/>
      </c>
      <c r="F327">
        <f>IFERROR(IF(ISNUMBER(INDEX(SPPR!$E:$Z,MATCH($A327,SPPR!$A:$A,0),3)),$C327*INDEX(SPPR!$E:$Z,MATCH($A327,SPPR!$A:$A,0),3),""),"")</f>
        <v/>
      </c>
      <c r="G327">
        <f>IFERROR(IF(ISNUMBER(INDEX(SPPR!$E:$Z,MATCH($A327,SPPR!$A:$A,0),4)),$C327*INDEX(SPPR!$E:$Z,MATCH($A327,SPPR!$A:$A,0),4),""),"")</f>
        <v/>
      </c>
      <c r="H327">
        <f>IFERROR(IF(ISNUMBER(INDEX(SPPR!$E:$Z,MATCH($A327,SPPR!$A:$A,0),5)),$C327*INDEX(SPPR!$E:$Z,MATCH($A327,SPPR!$A:$A,0),5),""),"")</f>
        <v/>
      </c>
      <c r="I327">
        <f>IFERROR(IF(ISNUMBER(INDEX(SPPR!$E:$Z,MATCH($A327,SPPR!$A:$A,0),6)),$C327*INDEX(SPPR!$E:$Z,MATCH($A327,SPPR!$A:$A,0),6),""),"")</f>
        <v/>
      </c>
      <c r="J327">
        <f>IFERROR(IF(ISNUMBER(INDEX(SPPR!$E:$Z,MATCH($A327,SPPR!$A:$A,0),7)),$C327*INDEX(SPPR!$E:$Z,MATCH($A327,SPPR!$A:$A,0),7),""),"")</f>
        <v/>
      </c>
      <c r="K327">
        <f>IFERROR(IF(ISNUMBER(INDEX(SPPR!$E:$Z,MATCH($A327,SPPR!$A:$A,0),8)),$C327*INDEX(SPPR!$E:$Z,MATCH($A327,SPPR!$A:$A,0),8),""),"")</f>
        <v/>
      </c>
      <c r="L327">
        <f>IFERROR(IF(ISNUMBER(INDEX(SPPR!$E:$Z,MATCH($A327,SPPR!$A:$A,0),9)),$C327*INDEX(SPPR!$E:$Z,MATCH($A327,SPPR!$A:$A,0),9),""),"")</f>
        <v/>
      </c>
      <c r="M327">
        <f>IFERROR(IF(ISNUMBER(INDEX(SPPR!$E:$Z,MATCH($A327,SPPR!$A:$A,0),10)),$C327*INDEX(SPPR!$E:$Z,MATCH($A327,SPPR!$A:$A,0),10),""),"")</f>
        <v/>
      </c>
      <c r="N327">
        <f>IFERROR(IF(ISNUMBER(INDEX(SPPR!$E:$Z,MATCH($A327,SPPR!$A:$A,0),11)),$C327*INDEX(SPPR!$E:$Z,MATCH($A327,SPPR!$A:$A,0),11),""),"")</f>
        <v/>
      </c>
      <c r="O327">
        <f>IFERROR(IF(ISNUMBER(INDEX(SPPR!$E:$Z,MATCH($A327,SPPR!$A:$A,0),12)),$C327*INDEX(SPPR!$E:$Z,MATCH($A327,SPPR!$A:$A,0),12),""),"")</f>
        <v/>
      </c>
      <c r="P327">
        <f>IFERROR(IF(ISNUMBER(INDEX(SPPR!$E:$Z,MATCH($A327,SPPR!$A:$A,0),13)),$C327*INDEX(SPPR!$E:$Z,MATCH($A327,SPPR!$A:$A,0),13),""),"")</f>
        <v/>
      </c>
      <c r="Q327">
        <f>IFERROR(IF(ISNUMBER(INDEX(SPPR!$E:$Z,MATCH($A327,SPPR!$A:$A,0),14)),$C327*INDEX(SPPR!$E:$Z,MATCH($A327,SPPR!$A:$A,0),14),""),"")</f>
        <v/>
      </c>
      <c r="R327">
        <f>IFERROR(IF(ISNUMBER(INDEX(SPPR!$E:$Z,MATCH($A327,SPPR!$A:$A,0),15)),$C327*INDEX(SPPR!$E:$Z,MATCH($A327,SPPR!$A:$A,0),15),""),"")</f>
        <v/>
      </c>
      <c r="S327">
        <f>IFERROR(IF(ISNUMBER(INDEX(SPPR!$E:$Z,MATCH($A327,SPPR!$A:$A,0),16)),$C327*INDEX(SPPR!$E:$Z,MATCH($A327,SPPR!$A:$A,0),16),""),"")</f>
        <v/>
      </c>
      <c r="T327">
        <f>IFERROR(IF(ISNUMBER(INDEX(SPPR!$E:$Z,MATCH($A327,SPPR!$A:$A,0),17)),$C327*INDEX(SPPR!$E:$Z,MATCH($A327,SPPR!$A:$A,0),17),""),"")</f>
        <v/>
      </c>
      <c r="U327">
        <f>IFERROR(IF(ISNUMBER(INDEX(SPPR!$E:$Z,MATCH($A327,SPPR!$A:$A,0),18)),$C327*INDEX(SPPR!$E:$Z,MATCH($A327,SPPR!$A:$A,0),18),""),"")</f>
        <v/>
      </c>
      <c r="V327">
        <f>IFERROR(IF(ISNUMBER(INDEX(SPPR!$E:$Z,MATCH($A327,SPPR!$A:$A,0),19)),$C327*INDEX(SPPR!$E:$Z,MATCH($A327,SPPR!$A:$A,0),19),""),"")</f>
        <v/>
      </c>
      <c r="W327">
        <f>IFERROR(IF(ISNUMBER(INDEX(SPPR!$E:$Z,MATCH($A327,SPPR!$A:$A,0),20)),$C327*INDEX(SPPR!$E:$Z,MATCH($A327,SPPR!$A:$A,0),20),""),"")</f>
        <v/>
      </c>
      <c r="X327">
        <f>IFERROR(IF(ISNUMBER(INDEX(SPPR!$E:$Z,MATCH($A327,SPPR!$A:$A,0),21)),$C327*INDEX(SPPR!$E:$Z,MATCH($A327,SPPR!$A:$A,0),21),""),"")</f>
        <v/>
      </c>
      <c r="Y327">
        <f>IFERROR(IF(ISNUMBER(INDEX(SPPR!$E:$Z,MATCH($A327,SPPR!$A:$A,0),22)),$C327*INDEX(SPPR!$E:$Z,MATCH($A327,SPPR!$A:$A,0),22),""),"")</f>
        <v/>
      </c>
    </row>
    <row r="328">
      <c r="A328" t="inlineStr">
        <is>
          <t>Pellona ditchela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IFERROR(IF(ISNUMBER(INDEX(SPPR!$E:$Z,MATCH($A328,SPPR!$A:$A,0),1)),$C328*INDEX(SPPR!$E:$Z,MATCH($A328,SPPR!$A:$A,0),1),""),"")</f>
        <v/>
      </c>
      <c r="E328">
        <f>IFERROR(IF(ISNUMBER(INDEX(SPPR!$E:$Z,MATCH($A328,SPPR!$A:$A,0),2)),$C328*INDEX(SPPR!$E:$Z,MATCH($A328,SPPR!$A:$A,0),2),""),"")</f>
        <v/>
      </c>
      <c r="F328">
        <f>IFERROR(IF(ISNUMBER(INDEX(SPPR!$E:$Z,MATCH($A328,SPPR!$A:$A,0),3)),$C328*INDEX(SPPR!$E:$Z,MATCH($A328,SPPR!$A:$A,0),3),""),"")</f>
        <v/>
      </c>
      <c r="G328">
        <f>IFERROR(IF(ISNUMBER(INDEX(SPPR!$E:$Z,MATCH($A328,SPPR!$A:$A,0),4)),$C328*INDEX(SPPR!$E:$Z,MATCH($A328,SPPR!$A:$A,0),4),""),"")</f>
        <v/>
      </c>
      <c r="H328">
        <f>IFERROR(IF(ISNUMBER(INDEX(SPPR!$E:$Z,MATCH($A328,SPPR!$A:$A,0),5)),$C328*INDEX(SPPR!$E:$Z,MATCH($A328,SPPR!$A:$A,0),5),""),"")</f>
        <v/>
      </c>
      <c r="I328">
        <f>IFERROR(IF(ISNUMBER(INDEX(SPPR!$E:$Z,MATCH($A328,SPPR!$A:$A,0),6)),$C328*INDEX(SPPR!$E:$Z,MATCH($A328,SPPR!$A:$A,0),6),""),"")</f>
        <v/>
      </c>
      <c r="J328">
        <f>IFERROR(IF(ISNUMBER(INDEX(SPPR!$E:$Z,MATCH($A328,SPPR!$A:$A,0),7)),$C328*INDEX(SPPR!$E:$Z,MATCH($A328,SPPR!$A:$A,0),7),""),"")</f>
        <v/>
      </c>
      <c r="K328">
        <f>IFERROR(IF(ISNUMBER(INDEX(SPPR!$E:$Z,MATCH($A328,SPPR!$A:$A,0),8)),$C328*INDEX(SPPR!$E:$Z,MATCH($A328,SPPR!$A:$A,0),8),""),"")</f>
        <v/>
      </c>
      <c r="L328">
        <f>IFERROR(IF(ISNUMBER(INDEX(SPPR!$E:$Z,MATCH($A328,SPPR!$A:$A,0),9)),$C328*INDEX(SPPR!$E:$Z,MATCH($A328,SPPR!$A:$A,0),9),""),"")</f>
        <v/>
      </c>
      <c r="M328">
        <f>IFERROR(IF(ISNUMBER(INDEX(SPPR!$E:$Z,MATCH($A328,SPPR!$A:$A,0),10)),$C328*INDEX(SPPR!$E:$Z,MATCH($A328,SPPR!$A:$A,0),10),""),"")</f>
        <v/>
      </c>
      <c r="N328">
        <f>IFERROR(IF(ISNUMBER(INDEX(SPPR!$E:$Z,MATCH($A328,SPPR!$A:$A,0),11)),$C328*INDEX(SPPR!$E:$Z,MATCH($A328,SPPR!$A:$A,0),11),""),"")</f>
        <v/>
      </c>
      <c r="O328">
        <f>IFERROR(IF(ISNUMBER(INDEX(SPPR!$E:$Z,MATCH($A328,SPPR!$A:$A,0),12)),$C328*INDEX(SPPR!$E:$Z,MATCH($A328,SPPR!$A:$A,0),12),""),"")</f>
        <v/>
      </c>
      <c r="P328">
        <f>IFERROR(IF(ISNUMBER(INDEX(SPPR!$E:$Z,MATCH($A328,SPPR!$A:$A,0),13)),$C328*INDEX(SPPR!$E:$Z,MATCH($A328,SPPR!$A:$A,0),13),""),"")</f>
        <v/>
      </c>
      <c r="Q328">
        <f>IFERROR(IF(ISNUMBER(INDEX(SPPR!$E:$Z,MATCH($A328,SPPR!$A:$A,0),14)),$C328*INDEX(SPPR!$E:$Z,MATCH($A328,SPPR!$A:$A,0),14),""),"")</f>
        <v/>
      </c>
      <c r="R328">
        <f>IFERROR(IF(ISNUMBER(INDEX(SPPR!$E:$Z,MATCH($A328,SPPR!$A:$A,0),15)),$C328*INDEX(SPPR!$E:$Z,MATCH($A328,SPPR!$A:$A,0),15),""),"")</f>
        <v/>
      </c>
      <c r="S328">
        <f>IFERROR(IF(ISNUMBER(INDEX(SPPR!$E:$Z,MATCH($A328,SPPR!$A:$A,0),16)),$C328*INDEX(SPPR!$E:$Z,MATCH($A328,SPPR!$A:$A,0),16),""),"")</f>
        <v/>
      </c>
      <c r="T328">
        <f>IFERROR(IF(ISNUMBER(INDEX(SPPR!$E:$Z,MATCH($A328,SPPR!$A:$A,0),17)),$C328*INDEX(SPPR!$E:$Z,MATCH($A328,SPPR!$A:$A,0),17),""),"")</f>
        <v/>
      </c>
      <c r="U328">
        <f>IFERROR(IF(ISNUMBER(INDEX(SPPR!$E:$Z,MATCH($A328,SPPR!$A:$A,0),18)),$C328*INDEX(SPPR!$E:$Z,MATCH($A328,SPPR!$A:$A,0),18),""),"")</f>
        <v/>
      </c>
      <c r="V328">
        <f>IFERROR(IF(ISNUMBER(INDEX(SPPR!$E:$Z,MATCH($A328,SPPR!$A:$A,0),19)),$C328*INDEX(SPPR!$E:$Z,MATCH($A328,SPPR!$A:$A,0),19),""),"")</f>
        <v/>
      </c>
      <c r="W328">
        <f>IFERROR(IF(ISNUMBER(INDEX(SPPR!$E:$Z,MATCH($A328,SPPR!$A:$A,0),20)),$C328*INDEX(SPPR!$E:$Z,MATCH($A328,SPPR!$A:$A,0),20),""),"")</f>
        <v/>
      </c>
      <c r="X328">
        <f>IFERROR(IF(ISNUMBER(INDEX(SPPR!$E:$Z,MATCH($A328,SPPR!$A:$A,0),21)),$C328*INDEX(SPPR!$E:$Z,MATCH($A328,SPPR!$A:$A,0),21),""),"")</f>
        <v/>
      </c>
      <c r="Y328">
        <f>IFERROR(IF(ISNUMBER(INDEX(SPPR!$E:$Z,MATCH($A328,SPPR!$A:$A,0),22)),$C328*INDEX(SPPR!$E:$Z,MATCH($A328,SPPR!$A:$A,0),22),""),"")</f>
        <v/>
      </c>
    </row>
    <row r="329">
      <c r="A329" t="inlineStr">
        <is>
          <t>Chaetodontidae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IFERROR(IF(ISNUMBER(INDEX(SPPR!$E:$Z,MATCH($A329,SPPR!$A:$A,0),1)),$C329*INDEX(SPPR!$E:$Z,MATCH($A329,SPPR!$A:$A,0),1),""),"")</f>
        <v/>
      </c>
      <c r="E329">
        <f>IFERROR(IF(ISNUMBER(INDEX(SPPR!$E:$Z,MATCH($A329,SPPR!$A:$A,0),2)),$C329*INDEX(SPPR!$E:$Z,MATCH($A329,SPPR!$A:$A,0),2),""),"")</f>
        <v/>
      </c>
      <c r="F329">
        <f>IFERROR(IF(ISNUMBER(INDEX(SPPR!$E:$Z,MATCH($A329,SPPR!$A:$A,0),3)),$C329*INDEX(SPPR!$E:$Z,MATCH($A329,SPPR!$A:$A,0),3),""),"")</f>
        <v/>
      </c>
      <c r="G329">
        <f>IFERROR(IF(ISNUMBER(INDEX(SPPR!$E:$Z,MATCH($A329,SPPR!$A:$A,0),4)),$C329*INDEX(SPPR!$E:$Z,MATCH($A329,SPPR!$A:$A,0),4),""),"")</f>
        <v/>
      </c>
      <c r="H329">
        <f>IFERROR(IF(ISNUMBER(INDEX(SPPR!$E:$Z,MATCH($A329,SPPR!$A:$A,0),5)),$C329*INDEX(SPPR!$E:$Z,MATCH($A329,SPPR!$A:$A,0),5),""),"")</f>
        <v/>
      </c>
      <c r="I329">
        <f>IFERROR(IF(ISNUMBER(INDEX(SPPR!$E:$Z,MATCH($A329,SPPR!$A:$A,0),6)),$C329*INDEX(SPPR!$E:$Z,MATCH($A329,SPPR!$A:$A,0),6),""),"")</f>
        <v/>
      </c>
      <c r="J329">
        <f>IFERROR(IF(ISNUMBER(INDEX(SPPR!$E:$Z,MATCH($A329,SPPR!$A:$A,0),7)),$C329*INDEX(SPPR!$E:$Z,MATCH($A329,SPPR!$A:$A,0),7),""),"")</f>
        <v/>
      </c>
      <c r="K329">
        <f>IFERROR(IF(ISNUMBER(INDEX(SPPR!$E:$Z,MATCH($A329,SPPR!$A:$A,0),8)),$C329*INDEX(SPPR!$E:$Z,MATCH($A329,SPPR!$A:$A,0),8),""),"")</f>
        <v/>
      </c>
      <c r="L329">
        <f>IFERROR(IF(ISNUMBER(INDEX(SPPR!$E:$Z,MATCH($A329,SPPR!$A:$A,0),9)),$C329*INDEX(SPPR!$E:$Z,MATCH($A329,SPPR!$A:$A,0),9),""),"")</f>
        <v/>
      </c>
      <c r="M329">
        <f>IFERROR(IF(ISNUMBER(INDEX(SPPR!$E:$Z,MATCH($A329,SPPR!$A:$A,0),10)),$C329*INDEX(SPPR!$E:$Z,MATCH($A329,SPPR!$A:$A,0),10),""),"")</f>
        <v/>
      </c>
      <c r="N329">
        <f>IFERROR(IF(ISNUMBER(INDEX(SPPR!$E:$Z,MATCH($A329,SPPR!$A:$A,0),11)),$C329*INDEX(SPPR!$E:$Z,MATCH($A329,SPPR!$A:$A,0),11),""),"")</f>
        <v/>
      </c>
      <c r="O329">
        <f>IFERROR(IF(ISNUMBER(INDEX(SPPR!$E:$Z,MATCH($A329,SPPR!$A:$A,0),12)),$C329*INDEX(SPPR!$E:$Z,MATCH($A329,SPPR!$A:$A,0),12),""),"")</f>
        <v/>
      </c>
      <c r="P329">
        <f>IFERROR(IF(ISNUMBER(INDEX(SPPR!$E:$Z,MATCH($A329,SPPR!$A:$A,0),13)),$C329*INDEX(SPPR!$E:$Z,MATCH($A329,SPPR!$A:$A,0),13),""),"")</f>
        <v/>
      </c>
      <c r="Q329">
        <f>IFERROR(IF(ISNUMBER(INDEX(SPPR!$E:$Z,MATCH($A329,SPPR!$A:$A,0),14)),$C329*INDEX(SPPR!$E:$Z,MATCH($A329,SPPR!$A:$A,0),14),""),"")</f>
        <v/>
      </c>
      <c r="R329">
        <f>IFERROR(IF(ISNUMBER(INDEX(SPPR!$E:$Z,MATCH($A329,SPPR!$A:$A,0),15)),$C329*INDEX(SPPR!$E:$Z,MATCH($A329,SPPR!$A:$A,0),15),""),"")</f>
        <v/>
      </c>
      <c r="S329">
        <f>IFERROR(IF(ISNUMBER(INDEX(SPPR!$E:$Z,MATCH($A329,SPPR!$A:$A,0),16)),$C329*INDEX(SPPR!$E:$Z,MATCH($A329,SPPR!$A:$A,0),16),""),"")</f>
        <v/>
      </c>
      <c r="T329">
        <f>IFERROR(IF(ISNUMBER(INDEX(SPPR!$E:$Z,MATCH($A329,SPPR!$A:$A,0),17)),$C329*INDEX(SPPR!$E:$Z,MATCH($A329,SPPR!$A:$A,0),17),""),"")</f>
        <v/>
      </c>
      <c r="U329">
        <f>IFERROR(IF(ISNUMBER(INDEX(SPPR!$E:$Z,MATCH($A329,SPPR!$A:$A,0),18)),$C329*INDEX(SPPR!$E:$Z,MATCH($A329,SPPR!$A:$A,0),18),""),"")</f>
        <v/>
      </c>
      <c r="V329">
        <f>IFERROR(IF(ISNUMBER(INDEX(SPPR!$E:$Z,MATCH($A329,SPPR!$A:$A,0),19)),$C329*INDEX(SPPR!$E:$Z,MATCH($A329,SPPR!$A:$A,0),19),""),"")</f>
        <v/>
      </c>
      <c r="W329">
        <f>IFERROR(IF(ISNUMBER(INDEX(SPPR!$E:$Z,MATCH($A329,SPPR!$A:$A,0),20)),$C329*INDEX(SPPR!$E:$Z,MATCH($A329,SPPR!$A:$A,0),20),""),"")</f>
        <v/>
      </c>
      <c r="X329">
        <f>IFERROR(IF(ISNUMBER(INDEX(SPPR!$E:$Z,MATCH($A329,SPPR!$A:$A,0),21)),$C329*INDEX(SPPR!$E:$Z,MATCH($A329,SPPR!$A:$A,0),21),""),"")</f>
        <v/>
      </c>
      <c r="Y329">
        <f>IFERROR(IF(ISNUMBER(INDEX(SPPR!$E:$Z,MATCH($A329,SPPR!$A:$A,0),22)),$C329*INDEX(SPPR!$E:$Z,MATCH($A329,SPPR!$A:$A,0),22),""),"")</f>
        <v/>
      </c>
    </row>
    <row r="330">
      <c r="A330" t="inlineStr">
        <is>
          <t>Congridae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IFERROR(IF(ISNUMBER(INDEX(SPPR!$E:$Z,MATCH($A330,SPPR!$A:$A,0),1)),$C330*INDEX(SPPR!$E:$Z,MATCH($A330,SPPR!$A:$A,0),1),""),"")</f>
        <v/>
      </c>
      <c r="E330">
        <f>IFERROR(IF(ISNUMBER(INDEX(SPPR!$E:$Z,MATCH($A330,SPPR!$A:$A,0),2)),$C330*INDEX(SPPR!$E:$Z,MATCH($A330,SPPR!$A:$A,0),2),""),"")</f>
        <v/>
      </c>
      <c r="F330">
        <f>IFERROR(IF(ISNUMBER(INDEX(SPPR!$E:$Z,MATCH($A330,SPPR!$A:$A,0),3)),$C330*INDEX(SPPR!$E:$Z,MATCH($A330,SPPR!$A:$A,0),3),""),"")</f>
        <v/>
      </c>
      <c r="G330">
        <f>IFERROR(IF(ISNUMBER(INDEX(SPPR!$E:$Z,MATCH($A330,SPPR!$A:$A,0),4)),$C330*INDEX(SPPR!$E:$Z,MATCH($A330,SPPR!$A:$A,0),4),""),"")</f>
        <v/>
      </c>
      <c r="H330">
        <f>IFERROR(IF(ISNUMBER(INDEX(SPPR!$E:$Z,MATCH($A330,SPPR!$A:$A,0),5)),$C330*INDEX(SPPR!$E:$Z,MATCH($A330,SPPR!$A:$A,0),5),""),"")</f>
        <v/>
      </c>
      <c r="I330">
        <f>IFERROR(IF(ISNUMBER(INDEX(SPPR!$E:$Z,MATCH($A330,SPPR!$A:$A,0),6)),$C330*INDEX(SPPR!$E:$Z,MATCH($A330,SPPR!$A:$A,0),6),""),"")</f>
        <v/>
      </c>
      <c r="J330">
        <f>IFERROR(IF(ISNUMBER(INDEX(SPPR!$E:$Z,MATCH($A330,SPPR!$A:$A,0),7)),$C330*INDEX(SPPR!$E:$Z,MATCH($A330,SPPR!$A:$A,0),7),""),"")</f>
        <v/>
      </c>
      <c r="K330">
        <f>IFERROR(IF(ISNUMBER(INDEX(SPPR!$E:$Z,MATCH($A330,SPPR!$A:$A,0),8)),$C330*INDEX(SPPR!$E:$Z,MATCH($A330,SPPR!$A:$A,0),8),""),"")</f>
        <v/>
      </c>
      <c r="L330">
        <f>IFERROR(IF(ISNUMBER(INDEX(SPPR!$E:$Z,MATCH($A330,SPPR!$A:$A,0),9)),$C330*INDEX(SPPR!$E:$Z,MATCH($A330,SPPR!$A:$A,0),9),""),"")</f>
        <v/>
      </c>
      <c r="M330">
        <f>IFERROR(IF(ISNUMBER(INDEX(SPPR!$E:$Z,MATCH($A330,SPPR!$A:$A,0),10)),$C330*INDEX(SPPR!$E:$Z,MATCH($A330,SPPR!$A:$A,0),10),""),"")</f>
        <v/>
      </c>
      <c r="N330">
        <f>IFERROR(IF(ISNUMBER(INDEX(SPPR!$E:$Z,MATCH($A330,SPPR!$A:$A,0),11)),$C330*INDEX(SPPR!$E:$Z,MATCH($A330,SPPR!$A:$A,0),11),""),"")</f>
        <v/>
      </c>
      <c r="O330">
        <f>IFERROR(IF(ISNUMBER(INDEX(SPPR!$E:$Z,MATCH($A330,SPPR!$A:$A,0),12)),$C330*INDEX(SPPR!$E:$Z,MATCH($A330,SPPR!$A:$A,0),12),""),"")</f>
        <v/>
      </c>
      <c r="P330">
        <f>IFERROR(IF(ISNUMBER(INDEX(SPPR!$E:$Z,MATCH($A330,SPPR!$A:$A,0),13)),$C330*INDEX(SPPR!$E:$Z,MATCH($A330,SPPR!$A:$A,0),13),""),"")</f>
        <v/>
      </c>
      <c r="Q330">
        <f>IFERROR(IF(ISNUMBER(INDEX(SPPR!$E:$Z,MATCH($A330,SPPR!$A:$A,0),14)),$C330*INDEX(SPPR!$E:$Z,MATCH($A330,SPPR!$A:$A,0),14),""),"")</f>
        <v/>
      </c>
      <c r="R330">
        <f>IFERROR(IF(ISNUMBER(INDEX(SPPR!$E:$Z,MATCH($A330,SPPR!$A:$A,0),15)),$C330*INDEX(SPPR!$E:$Z,MATCH($A330,SPPR!$A:$A,0),15),""),"")</f>
        <v/>
      </c>
      <c r="S330">
        <f>IFERROR(IF(ISNUMBER(INDEX(SPPR!$E:$Z,MATCH($A330,SPPR!$A:$A,0),16)),$C330*INDEX(SPPR!$E:$Z,MATCH($A330,SPPR!$A:$A,0),16),""),"")</f>
        <v/>
      </c>
      <c r="T330">
        <f>IFERROR(IF(ISNUMBER(INDEX(SPPR!$E:$Z,MATCH($A330,SPPR!$A:$A,0),17)),$C330*INDEX(SPPR!$E:$Z,MATCH($A330,SPPR!$A:$A,0),17),""),"")</f>
        <v/>
      </c>
      <c r="U330">
        <f>IFERROR(IF(ISNUMBER(INDEX(SPPR!$E:$Z,MATCH($A330,SPPR!$A:$A,0),18)),$C330*INDEX(SPPR!$E:$Z,MATCH($A330,SPPR!$A:$A,0),18),""),"")</f>
        <v/>
      </c>
      <c r="V330">
        <f>IFERROR(IF(ISNUMBER(INDEX(SPPR!$E:$Z,MATCH($A330,SPPR!$A:$A,0),19)),$C330*INDEX(SPPR!$E:$Z,MATCH($A330,SPPR!$A:$A,0),19),""),"")</f>
        <v/>
      </c>
      <c r="W330">
        <f>IFERROR(IF(ISNUMBER(INDEX(SPPR!$E:$Z,MATCH($A330,SPPR!$A:$A,0),20)),$C330*INDEX(SPPR!$E:$Z,MATCH($A330,SPPR!$A:$A,0),20),""),"")</f>
        <v/>
      </c>
      <c r="X330">
        <f>IFERROR(IF(ISNUMBER(INDEX(SPPR!$E:$Z,MATCH($A330,SPPR!$A:$A,0),21)),$C330*INDEX(SPPR!$E:$Z,MATCH($A330,SPPR!$A:$A,0),21),""),"")</f>
        <v/>
      </c>
      <c r="Y330">
        <f>IFERROR(IF(ISNUMBER(INDEX(SPPR!$E:$Z,MATCH($A330,SPPR!$A:$A,0),22)),$C330*INDEX(SPPR!$E:$Z,MATCH($A330,SPPR!$A:$A,0),22),""),"")</f>
        <v/>
      </c>
    </row>
    <row r="331">
      <c r="A331" t="inlineStr">
        <is>
          <t>Lethrinus miniatus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IFERROR(IF(ISNUMBER(INDEX(SPPR!$E:$Z,MATCH($A331,SPPR!$A:$A,0),1)),$C331*INDEX(SPPR!$E:$Z,MATCH($A331,SPPR!$A:$A,0),1),""),"")</f>
        <v/>
      </c>
      <c r="E331">
        <f>IFERROR(IF(ISNUMBER(INDEX(SPPR!$E:$Z,MATCH($A331,SPPR!$A:$A,0),2)),$C331*INDEX(SPPR!$E:$Z,MATCH($A331,SPPR!$A:$A,0),2),""),"")</f>
        <v/>
      </c>
      <c r="F331">
        <f>IFERROR(IF(ISNUMBER(INDEX(SPPR!$E:$Z,MATCH($A331,SPPR!$A:$A,0),3)),$C331*INDEX(SPPR!$E:$Z,MATCH($A331,SPPR!$A:$A,0),3),""),"")</f>
        <v/>
      </c>
      <c r="G331">
        <f>IFERROR(IF(ISNUMBER(INDEX(SPPR!$E:$Z,MATCH($A331,SPPR!$A:$A,0),4)),$C331*INDEX(SPPR!$E:$Z,MATCH($A331,SPPR!$A:$A,0),4),""),"")</f>
        <v/>
      </c>
      <c r="H331">
        <f>IFERROR(IF(ISNUMBER(INDEX(SPPR!$E:$Z,MATCH($A331,SPPR!$A:$A,0),5)),$C331*INDEX(SPPR!$E:$Z,MATCH($A331,SPPR!$A:$A,0),5),""),"")</f>
        <v/>
      </c>
      <c r="I331">
        <f>IFERROR(IF(ISNUMBER(INDEX(SPPR!$E:$Z,MATCH($A331,SPPR!$A:$A,0),6)),$C331*INDEX(SPPR!$E:$Z,MATCH($A331,SPPR!$A:$A,0),6),""),"")</f>
        <v/>
      </c>
      <c r="J331">
        <f>IFERROR(IF(ISNUMBER(INDEX(SPPR!$E:$Z,MATCH($A331,SPPR!$A:$A,0),7)),$C331*INDEX(SPPR!$E:$Z,MATCH($A331,SPPR!$A:$A,0),7),""),"")</f>
        <v/>
      </c>
      <c r="K331">
        <f>IFERROR(IF(ISNUMBER(INDEX(SPPR!$E:$Z,MATCH($A331,SPPR!$A:$A,0),8)),$C331*INDEX(SPPR!$E:$Z,MATCH($A331,SPPR!$A:$A,0),8),""),"")</f>
        <v/>
      </c>
      <c r="L331">
        <f>IFERROR(IF(ISNUMBER(INDEX(SPPR!$E:$Z,MATCH($A331,SPPR!$A:$A,0),9)),$C331*INDEX(SPPR!$E:$Z,MATCH($A331,SPPR!$A:$A,0),9),""),"")</f>
        <v/>
      </c>
      <c r="M331">
        <f>IFERROR(IF(ISNUMBER(INDEX(SPPR!$E:$Z,MATCH($A331,SPPR!$A:$A,0),10)),$C331*INDEX(SPPR!$E:$Z,MATCH($A331,SPPR!$A:$A,0),10),""),"")</f>
        <v/>
      </c>
      <c r="N331">
        <f>IFERROR(IF(ISNUMBER(INDEX(SPPR!$E:$Z,MATCH($A331,SPPR!$A:$A,0),11)),$C331*INDEX(SPPR!$E:$Z,MATCH($A331,SPPR!$A:$A,0),11),""),"")</f>
        <v/>
      </c>
      <c r="O331">
        <f>IFERROR(IF(ISNUMBER(INDEX(SPPR!$E:$Z,MATCH($A331,SPPR!$A:$A,0),12)),$C331*INDEX(SPPR!$E:$Z,MATCH($A331,SPPR!$A:$A,0),12),""),"")</f>
        <v/>
      </c>
      <c r="P331">
        <f>IFERROR(IF(ISNUMBER(INDEX(SPPR!$E:$Z,MATCH($A331,SPPR!$A:$A,0),13)),$C331*INDEX(SPPR!$E:$Z,MATCH($A331,SPPR!$A:$A,0),13),""),"")</f>
        <v/>
      </c>
      <c r="Q331">
        <f>IFERROR(IF(ISNUMBER(INDEX(SPPR!$E:$Z,MATCH($A331,SPPR!$A:$A,0),14)),$C331*INDEX(SPPR!$E:$Z,MATCH($A331,SPPR!$A:$A,0),14),""),"")</f>
        <v/>
      </c>
      <c r="R331">
        <f>IFERROR(IF(ISNUMBER(INDEX(SPPR!$E:$Z,MATCH($A331,SPPR!$A:$A,0),15)),$C331*INDEX(SPPR!$E:$Z,MATCH($A331,SPPR!$A:$A,0),15),""),"")</f>
        <v/>
      </c>
      <c r="S331">
        <f>IFERROR(IF(ISNUMBER(INDEX(SPPR!$E:$Z,MATCH($A331,SPPR!$A:$A,0),16)),$C331*INDEX(SPPR!$E:$Z,MATCH($A331,SPPR!$A:$A,0),16),""),"")</f>
        <v/>
      </c>
      <c r="T331">
        <f>IFERROR(IF(ISNUMBER(INDEX(SPPR!$E:$Z,MATCH($A331,SPPR!$A:$A,0),17)),$C331*INDEX(SPPR!$E:$Z,MATCH($A331,SPPR!$A:$A,0),17),""),"")</f>
        <v/>
      </c>
      <c r="U331">
        <f>IFERROR(IF(ISNUMBER(INDEX(SPPR!$E:$Z,MATCH($A331,SPPR!$A:$A,0),18)),$C331*INDEX(SPPR!$E:$Z,MATCH($A331,SPPR!$A:$A,0),18),""),"")</f>
        <v/>
      </c>
      <c r="V331">
        <f>IFERROR(IF(ISNUMBER(INDEX(SPPR!$E:$Z,MATCH($A331,SPPR!$A:$A,0),19)),$C331*INDEX(SPPR!$E:$Z,MATCH($A331,SPPR!$A:$A,0),19),""),"")</f>
        <v/>
      </c>
      <c r="W331">
        <f>IFERROR(IF(ISNUMBER(INDEX(SPPR!$E:$Z,MATCH($A331,SPPR!$A:$A,0),20)),$C331*INDEX(SPPR!$E:$Z,MATCH($A331,SPPR!$A:$A,0),20),""),"")</f>
        <v/>
      </c>
      <c r="X331">
        <f>IFERROR(IF(ISNUMBER(INDEX(SPPR!$E:$Z,MATCH($A331,SPPR!$A:$A,0),21)),$C331*INDEX(SPPR!$E:$Z,MATCH($A331,SPPR!$A:$A,0),21),""),"")</f>
        <v/>
      </c>
      <c r="Y331">
        <f>IFERROR(IF(ISNUMBER(INDEX(SPPR!$E:$Z,MATCH($A331,SPPR!$A:$A,0),22)),$C331*INDEX(SPPR!$E:$Z,MATCH($A331,SPPR!$A:$A,0),22),""),"")</f>
        <v/>
      </c>
    </row>
    <row r="332">
      <c r="A332" t="inlineStr">
        <is>
          <t>Scylla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IFERROR(IF(ISNUMBER(INDEX(SPPR!$E:$Z,MATCH($A332,SPPR!$A:$A,0),1)),$C332*INDEX(SPPR!$E:$Z,MATCH($A332,SPPR!$A:$A,0),1),""),"")</f>
        <v/>
      </c>
      <c r="E332">
        <f>IFERROR(IF(ISNUMBER(INDEX(SPPR!$E:$Z,MATCH($A332,SPPR!$A:$A,0),2)),$C332*INDEX(SPPR!$E:$Z,MATCH($A332,SPPR!$A:$A,0),2),""),"")</f>
        <v/>
      </c>
      <c r="F332">
        <f>IFERROR(IF(ISNUMBER(INDEX(SPPR!$E:$Z,MATCH($A332,SPPR!$A:$A,0),3)),$C332*INDEX(SPPR!$E:$Z,MATCH($A332,SPPR!$A:$A,0),3),""),"")</f>
        <v/>
      </c>
      <c r="G332">
        <f>IFERROR(IF(ISNUMBER(INDEX(SPPR!$E:$Z,MATCH($A332,SPPR!$A:$A,0),4)),$C332*INDEX(SPPR!$E:$Z,MATCH($A332,SPPR!$A:$A,0),4),""),"")</f>
        <v/>
      </c>
      <c r="H332">
        <f>IFERROR(IF(ISNUMBER(INDEX(SPPR!$E:$Z,MATCH($A332,SPPR!$A:$A,0),5)),$C332*INDEX(SPPR!$E:$Z,MATCH($A332,SPPR!$A:$A,0),5),""),"")</f>
        <v/>
      </c>
      <c r="I332">
        <f>IFERROR(IF(ISNUMBER(INDEX(SPPR!$E:$Z,MATCH($A332,SPPR!$A:$A,0),6)),$C332*INDEX(SPPR!$E:$Z,MATCH($A332,SPPR!$A:$A,0),6),""),"")</f>
        <v/>
      </c>
      <c r="J332">
        <f>IFERROR(IF(ISNUMBER(INDEX(SPPR!$E:$Z,MATCH($A332,SPPR!$A:$A,0),7)),$C332*INDEX(SPPR!$E:$Z,MATCH($A332,SPPR!$A:$A,0),7),""),"")</f>
        <v/>
      </c>
      <c r="K332">
        <f>IFERROR(IF(ISNUMBER(INDEX(SPPR!$E:$Z,MATCH($A332,SPPR!$A:$A,0),8)),$C332*INDEX(SPPR!$E:$Z,MATCH($A332,SPPR!$A:$A,0),8),""),"")</f>
        <v/>
      </c>
      <c r="L332">
        <f>IFERROR(IF(ISNUMBER(INDEX(SPPR!$E:$Z,MATCH($A332,SPPR!$A:$A,0),9)),$C332*INDEX(SPPR!$E:$Z,MATCH($A332,SPPR!$A:$A,0),9),""),"")</f>
        <v/>
      </c>
      <c r="M332">
        <f>IFERROR(IF(ISNUMBER(INDEX(SPPR!$E:$Z,MATCH($A332,SPPR!$A:$A,0),10)),$C332*INDEX(SPPR!$E:$Z,MATCH($A332,SPPR!$A:$A,0),10),""),"")</f>
        <v/>
      </c>
      <c r="N332">
        <f>IFERROR(IF(ISNUMBER(INDEX(SPPR!$E:$Z,MATCH($A332,SPPR!$A:$A,0),11)),$C332*INDEX(SPPR!$E:$Z,MATCH($A332,SPPR!$A:$A,0),11),""),"")</f>
        <v/>
      </c>
      <c r="O332">
        <f>IFERROR(IF(ISNUMBER(INDEX(SPPR!$E:$Z,MATCH($A332,SPPR!$A:$A,0),12)),$C332*INDEX(SPPR!$E:$Z,MATCH($A332,SPPR!$A:$A,0),12),""),"")</f>
        <v/>
      </c>
      <c r="P332">
        <f>IFERROR(IF(ISNUMBER(INDEX(SPPR!$E:$Z,MATCH($A332,SPPR!$A:$A,0),13)),$C332*INDEX(SPPR!$E:$Z,MATCH($A332,SPPR!$A:$A,0),13),""),"")</f>
        <v/>
      </c>
      <c r="Q332">
        <f>IFERROR(IF(ISNUMBER(INDEX(SPPR!$E:$Z,MATCH($A332,SPPR!$A:$A,0),14)),$C332*INDEX(SPPR!$E:$Z,MATCH($A332,SPPR!$A:$A,0),14),""),"")</f>
        <v/>
      </c>
      <c r="R332">
        <f>IFERROR(IF(ISNUMBER(INDEX(SPPR!$E:$Z,MATCH($A332,SPPR!$A:$A,0),15)),$C332*INDEX(SPPR!$E:$Z,MATCH($A332,SPPR!$A:$A,0),15),""),"")</f>
        <v/>
      </c>
      <c r="S332">
        <f>IFERROR(IF(ISNUMBER(INDEX(SPPR!$E:$Z,MATCH($A332,SPPR!$A:$A,0),16)),$C332*INDEX(SPPR!$E:$Z,MATCH($A332,SPPR!$A:$A,0),16),""),"")</f>
        <v/>
      </c>
      <c r="T332">
        <f>IFERROR(IF(ISNUMBER(INDEX(SPPR!$E:$Z,MATCH($A332,SPPR!$A:$A,0),17)),$C332*INDEX(SPPR!$E:$Z,MATCH($A332,SPPR!$A:$A,0),17),""),"")</f>
        <v/>
      </c>
      <c r="U332">
        <f>IFERROR(IF(ISNUMBER(INDEX(SPPR!$E:$Z,MATCH($A332,SPPR!$A:$A,0),18)),$C332*INDEX(SPPR!$E:$Z,MATCH($A332,SPPR!$A:$A,0),18),""),"")</f>
        <v/>
      </c>
      <c r="V332">
        <f>IFERROR(IF(ISNUMBER(INDEX(SPPR!$E:$Z,MATCH($A332,SPPR!$A:$A,0),19)),$C332*INDEX(SPPR!$E:$Z,MATCH($A332,SPPR!$A:$A,0),19),""),"")</f>
        <v/>
      </c>
      <c r="W332">
        <f>IFERROR(IF(ISNUMBER(INDEX(SPPR!$E:$Z,MATCH($A332,SPPR!$A:$A,0),20)),$C332*INDEX(SPPR!$E:$Z,MATCH($A332,SPPR!$A:$A,0),20),""),"")</f>
        <v/>
      </c>
      <c r="X332">
        <f>IFERROR(IF(ISNUMBER(INDEX(SPPR!$E:$Z,MATCH($A332,SPPR!$A:$A,0),21)),$C332*INDEX(SPPR!$E:$Z,MATCH($A332,SPPR!$A:$A,0),21),""),"")</f>
        <v/>
      </c>
      <c r="Y332">
        <f>IFERROR(IF(ISNUMBER(INDEX(SPPR!$E:$Z,MATCH($A332,SPPR!$A:$A,0),22)),$C332*INDEX(SPPR!$E:$Z,MATCH($A332,SPPR!$A:$A,0),22),""),"")</f>
        <v/>
      </c>
    </row>
    <row r="333">
      <c r="A333" t="inlineStr">
        <is>
          <t>Hemitrygon akajei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IFERROR(IF(ISNUMBER(INDEX(SPPR!$E:$Z,MATCH($A333,SPPR!$A:$A,0),1)),$C333*INDEX(SPPR!$E:$Z,MATCH($A333,SPPR!$A:$A,0),1),""),"")</f>
        <v/>
      </c>
      <c r="E333">
        <f>IFERROR(IF(ISNUMBER(INDEX(SPPR!$E:$Z,MATCH($A333,SPPR!$A:$A,0),2)),$C333*INDEX(SPPR!$E:$Z,MATCH($A333,SPPR!$A:$A,0),2),""),"")</f>
        <v/>
      </c>
      <c r="F333">
        <f>IFERROR(IF(ISNUMBER(INDEX(SPPR!$E:$Z,MATCH($A333,SPPR!$A:$A,0),3)),$C333*INDEX(SPPR!$E:$Z,MATCH($A333,SPPR!$A:$A,0),3),""),"")</f>
        <v/>
      </c>
      <c r="G333">
        <f>IFERROR(IF(ISNUMBER(INDEX(SPPR!$E:$Z,MATCH($A333,SPPR!$A:$A,0),4)),$C333*INDEX(SPPR!$E:$Z,MATCH($A333,SPPR!$A:$A,0),4),""),"")</f>
        <v/>
      </c>
      <c r="H333">
        <f>IFERROR(IF(ISNUMBER(INDEX(SPPR!$E:$Z,MATCH($A333,SPPR!$A:$A,0),5)),$C333*INDEX(SPPR!$E:$Z,MATCH($A333,SPPR!$A:$A,0),5),""),"")</f>
        <v/>
      </c>
      <c r="I333">
        <f>IFERROR(IF(ISNUMBER(INDEX(SPPR!$E:$Z,MATCH($A333,SPPR!$A:$A,0),6)),$C333*INDEX(SPPR!$E:$Z,MATCH($A333,SPPR!$A:$A,0),6),""),"")</f>
        <v/>
      </c>
      <c r="J333">
        <f>IFERROR(IF(ISNUMBER(INDEX(SPPR!$E:$Z,MATCH($A333,SPPR!$A:$A,0),7)),$C333*INDEX(SPPR!$E:$Z,MATCH($A333,SPPR!$A:$A,0),7),""),"")</f>
        <v/>
      </c>
      <c r="K333">
        <f>IFERROR(IF(ISNUMBER(INDEX(SPPR!$E:$Z,MATCH($A333,SPPR!$A:$A,0),8)),$C333*INDEX(SPPR!$E:$Z,MATCH($A333,SPPR!$A:$A,0),8),""),"")</f>
        <v/>
      </c>
      <c r="L333">
        <f>IFERROR(IF(ISNUMBER(INDEX(SPPR!$E:$Z,MATCH($A333,SPPR!$A:$A,0),9)),$C333*INDEX(SPPR!$E:$Z,MATCH($A333,SPPR!$A:$A,0),9),""),"")</f>
        <v/>
      </c>
      <c r="M333">
        <f>IFERROR(IF(ISNUMBER(INDEX(SPPR!$E:$Z,MATCH($A333,SPPR!$A:$A,0),10)),$C333*INDEX(SPPR!$E:$Z,MATCH($A333,SPPR!$A:$A,0),10),""),"")</f>
        <v/>
      </c>
      <c r="N333">
        <f>IFERROR(IF(ISNUMBER(INDEX(SPPR!$E:$Z,MATCH($A333,SPPR!$A:$A,0),11)),$C333*INDEX(SPPR!$E:$Z,MATCH($A333,SPPR!$A:$A,0),11),""),"")</f>
        <v/>
      </c>
      <c r="O333">
        <f>IFERROR(IF(ISNUMBER(INDEX(SPPR!$E:$Z,MATCH($A333,SPPR!$A:$A,0),12)),$C333*INDEX(SPPR!$E:$Z,MATCH($A333,SPPR!$A:$A,0),12),""),"")</f>
        <v/>
      </c>
      <c r="P333">
        <f>IFERROR(IF(ISNUMBER(INDEX(SPPR!$E:$Z,MATCH($A333,SPPR!$A:$A,0),13)),$C333*INDEX(SPPR!$E:$Z,MATCH($A333,SPPR!$A:$A,0),13),""),"")</f>
        <v/>
      </c>
      <c r="Q333">
        <f>IFERROR(IF(ISNUMBER(INDEX(SPPR!$E:$Z,MATCH($A333,SPPR!$A:$A,0),14)),$C333*INDEX(SPPR!$E:$Z,MATCH($A333,SPPR!$A:$A,0),14),""),"")</f>
        <v/>
      </c>
      <c r="R333">
        <f>IFERROR(IF(ISNUMBER(INDEX(SPPR!$E:$Z,MATCH($A333,SPPR!$A:$A,0),15)),$C333*INDEX(SPPR!$E:$Z,MATCH($A333,SPPR!$A:$A,0),15),""),"")</f>
        <v/>
      </c>
      <c r="S333">
        <f>IFERROR(IF(ISNUMBER(INDEX(SPPR!$E:$Z,MATCH($A333,SPPR!$A:$A,0),16)),$C333*INDEX(SPPR!$E:$Z,MATCH($A333,SPPR!$A:$A,0),16),""),"")</f>
        <v/>
      </c>
      <c r="T333">
        <f>IFERROR(IF(ISNUMBER(INDEX(SPPR!$E:$Z,MATCH($A333,SPPR!$A:$A,0),17)),$C333*INDEX(SPPR!$E:$Z,MATCH($A333,SPPR!$A:$A,0),17),""),"")</f>
        <v/>
      </c>
      <c r="U333">
        <f>IFERROR(IF(ISNUMBER(INDEX(SPPR!$E:$Z,MATCH($A333,SPPR!$A:$A,0),18)),$C333*INDEX(SPPR!$E:$Z,MATCH($A333,SPPR!$A:$A,0),18),""),"")</f>
        <v/>
      </c>
      <c r="V333">
        <f>IFERROR(IF(ISNUMBER(INDEX(SPPR!$E:$Z,MATCH($A333,SPPR!$A:$A,0),19)),$C333*INDEX(SPPR!$E:$Z,MATCH($A333,SPPR!$A:$A,0),19),""),"")</f>
        <v/>
      </c>
      <c r="W333">
        <f>IFERROR(IF(ISNUMBER(INDEX(SPPR!$E:$Z,MATCH($A333,SPPR!$A:$A,0),20)),$C333*INDEX(SPPR!$E:$Z,MATCH($A333,SPPR!$A:$A,0),20),""),"")</f>
        <v/>
      </c>
      <c r="X333">
        <f>IFERROR(IF(ISNUMBER(INDEX(SPPR!$E:$Z,MATCH($A333,SPPR!$A:$A,0),21)),$C333*INDEX(SPPR!$E:$Z,MATCH($A333,SPPR!$A:$A,0),21),""),"")</f>
        <v/>
      </c>
      <c r="Y333">
        <f>IFERROR(IF(ISNUMBER(INDEX(SPPR!$E:$Z,MATCH($A333,SPPR!$A:$A,0),22)),$C333*INDEX(SPPR!$E:$Z,MATCH($A333,SPPR!$A:$A,0),22),""),"")</f>
        <v/>
      </c>
    </row>
    <row r="334">
      <c r="A334" t="inlineStr">
        <is>
          <t>Lepidocybium flavobrunneum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IFERROR(IF(ISNUMBER(INDEX(SPPR!$E:$Z,MATCH($A334,SPPR!$A:$A,0),1)),$C334*INDEX(SPPR!$E:$Z,MATCH($A334,SPPR!$A:$A,0),1),""),"")</f>
        <v/>
      </c>
      <c r="E334">
        <f>IFERROR(IF(ISNUMBER(INDEX(SPPR!$E:$Z,MATCH($A334,SPPR!$A:$A,0),2)),$C334*INDEX(SPPR!$E:$Z,MATCH($A334,SPPR!$A:$A,0),2),""),"")</f>
        <v/>
      </c>
      <c r="F334">
        <f>IFERROR(IF(ISNUMBER(INDEX(SPPR!$E:$Z,MATCH($A334,SPPR!$A:$A,0),3)),$C334*INDEX(SPPR!$E:$Z,MATCH($A334,SPPR!$A:$A,0),3),""),"")</f>
        <v/>
      </c>
      <c r="G334">
        <f>IFERROR(IF(ISNUMBER(INDEX(SPPR!$E:$Z,MATCH($A334,SPPR!$A:$A,0),4)),$C334*INDEX(SPPR!$E:$Z,MATCH($A334,SPPR!$A:$A,0),4),""),"")</f>
        <v/>
      </c>
      <c r="H334">
        <f>IFERROR(IF(ISNUMBER(INDEX(SPPR!$E:$Z,MATCH($A334,SPPR!$A:$A,0),5)),$C334*INDEX(SPPR!$E:$Z,MATCH($A334,SPPR!$A:$A,0),5),""),"")</f>
        <v/>
      </c>
      <c r="I334">
        <f>IFERROR(IF(ISNUMBER(INDEX(SPPR!$E:$Z,MATCH($A334,SPPR!$A:$A,0),6)),$C334*INDEX(SPPR!$E:$Z,MATCH($A334,SPPR!$A:$A,0),6),""),"")</f>
        <v/>
      </c>
      <c r="J334">
        <f>IFERROR(IF(ISNUMBER(INDEX(SPPR!$E:$Z,MATCH($A334,SPPR!$A:$A,0),7)),$C334*INDEX(SPPR!$E:$Z,MATCH($A334,SPPR!$A:$A,0),7),""),"")</f>
        <v/>
      </c>
      <c r="K334">
        <f>IFERROR(IF(ISNUMBER(INDEX(SPPR!$E:$Z,MATCH($A334,SPPR!$A:$A,0),8)),$C334*INDEX(SPPR!$E:$Z,MATCH($A334,SPPR!$A:$A,0),8),""),"")</f>
        <v/>
      </c>
      <c r="L334">
        <f>IFERROR(IF(ISNUMBER(INDEX(SPPR!$E:$Z,MATCH($A334,SPPR!$A:$A,0),9)),$C334*INDEX(SPPR!$E:$Z,MATCH($A334,SPPR!$A:$A,0),9),""),"")</f>
        <v/>
      </c>
      <c r="M334">
        <f>IFERROR(IF(ISNUMBER(INDEX(SPPR!$E:$Z,MATCH($A334,SPPR!$A:$A,0),10)),$C334*INDEX(SPPR!$E:$Z,MATCH($A334,SPPR!$A:$A,0),10),""),"")</f>
        <v/>
      </c>
      <c r="N334">
        <f>IFERROR(IF(ISNUMBER(INDEX(SPPR!$E:$Z,MATCH($A334,SPPR!$A:$A,0),11)),$C334*INDEX(SPPR!$E:$Z,MATCH($A334,SPPR!$A:$A,0),11),""),"")</f>
        <v/>
      </c>
      <c r="O334">
        <f>IFERROR(IF(ISNUMBER(INDEX(SPPR!$E:$Z,MATCH($A334,SPPR!$A:$A,0),12)),$C334*INDEX(SPPR!$E:$Z,MATCH($A334,SPPR!$A:$A,0),12),""),"")</f>
        <v/>
      </c>
      <c r="P334">
        <f>IFERROR(IF(ISNUMBER(INDEX(SPPR!$E:$Z,MATCH($A334,SPPR!$A:$A,0),13)),$C334*INDEX(SPPR!$E:$Z,MATCH($A334,SPPR!$A:$A,0),13),""),"")</f>
        <v/>
      </c>
      <c r="Q334">
        <f>IFERROR(IF(ISNUMBER(INDEX(SPPR!$E:$Z,MATCH($A334,SPPR!$A:$A,0),14)),$C334*INDEX(SPPR!$E:$Z,MATCH($A334,SPPR!$A:$A,0),14),""),"")</f>
        <v/>
      </c>
      <c r="R334">
        <f>IFERROR(IF(ISNUMBER(INDEX(SPPR!$E:$Z,MATCH($A334,SPPR!$A:$A,0),15)),$C334*INDEX(SPPR!$E:$Z,MATCH($A334,SPPR!$A:$A,0),15),""),"")</f>
        <v/>
      </c>
      <c r="S334">
        <f>IFERROR(IF(ISNUMBER(INDEX(SPPR!$E:$Z,MATCH($A334,SPPR!$A:$A,0),16)),$C334*INDEX(SPPR!$E:$Z,MATCH($A334,SPPR!$A:$A,0),16),""),"")</f>
        <v/>
      </c>
      <c r="T334">
        <f>IFERROR(IF(ISNUMBER(INDEX(SPPR!$E:$Z,MATCH($A334,SPPR!$A:$A,0),17)),$C334*INDEX(SPPR!$E:$Z,MATCH($A334,SPPR!$A:$A,0),17),""),"")</f>
        <v/>
      </c>
      <c r="U334">
        <f>IFERROR(IF(ISNUMBER(INDEX(SPPR!$E:$Z,MATCH($A334,SPPR!$A:$A,0),18)),$C334*INDEX(SPPR!$E:$Z,MATCH($A334,SPPR!$A:$A,0),18),""),"")</f>
        <v/>
      </c>
      <c r="V334">
        <f>IFERROR(IF(ISNUMBER(INDEX(SPPR!$E:$Z,MATCH($A334,SPPR!$A:$A,0),19)),$C334*INDEX(SPPR!$E:$Z,MATCH($A334,SPPR!$A:$A,0),19),""),"")</f>
        <v/>
      </c>
      <c r="W334">
        <f>IFERROR(IF(ISNUMBER(INDEX(SPPR!$E:$Z,MATCH($A334,SPPR!$A:$A,0),20)),$C334*INDEX(SPPR!$E:$Z,MATCH($A334,SPPR!$A:$A,0),20),""),"")</f>
        <v/>
      </c>
      <c r="X334">
        <f>IFERROR(IF(ISNUMBER(INDEX(SPPR!$E:$Z,MATCH($A334,SPPR!$A:$A,0),21)),$C334*INDEX(SPPR!$E:$Z,MATCH($A334,SPPR!$A:$A,0),21),""),"")</f>
        <v/>
      </c>
      <c r="Y334">
        <f>IFERROR(IF(ISNUMBER(INDEX(SPPR!$E:$Z,MATCH($A334,SPPR!$A:$A,0),22)),$C334*INDEX(SPPR!$E:$Z,MATCH($A334,SPPR!$A:$A,0),22),""),"")</f>
        <v/>
      </c>
    </row>
    <row r="335">
      <c r="A335" t="inlineStr">
        <is>
          <t>Charybdis feriatus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IFERROR(IF(ISNUMBER(INDEX(SPPR!$E:$Z,MATCH($A335,SPPR!$A:$A,0),1)),$C335*INDEX(SPPR!$E:$Z,MATCH($A335,SPPR!$A:$A,0),1),""),"")</f>
        <v/>
      </c>
      <c r="E335">
        <f>IFERROR(IF(ISNUMBER(INDEX(SPPR!$E:$Z,MATCH($A335,SPPR!$A:$A,0),2)),$C335*INDEX(SPPR!$E:$Z,MATCH($A335,SPPR!$A:$A,0),2),""),"")</f>
        <v/>
      </c>
      <c r="F335">
        <f>IFERROR(IF(ISNUMBER(INDEX(SPPR!$E:$Z,MATCH($A335,SPPR!$A:$A,0),3)),$C335*INDEX(SPPR!$E:$Z,MATCH($A335,SPPR!$A:$A,0),3),""),"")</f>
        <v/>
      </c>
      <c r="G335">
        <f>IFERROR(IF(ISNUMBER(INDEX(SPPR!$E:$Z,MATCH($A335,SPPR!$A:$A,0),4)),$C335*INDEX(SPPR!$E:$Z,MATCH($A335,SPPR!$A:$A,0),4),""),"")</f>
        <v/>
      </c>
      <c r="H335">
        <f>IFERROR(IF(ISNUMBER(INDEX(SPPR!$E:$Z,MATCH($A335,SPPR!$A:$A,0),5)),$C335*INDEX(SPPR!$E:$Z,MATCH($A335,SPPR!$A:$A,0),5),""),"")</f>
        <v/>
      </c>
      <c r="I335">
        <f>IFERROR(IF(ISNUMBER(INDEX(SPPR!$E:$Z,MATCH($A335,SPPR!$A:$A,0),6)),$C335*INDEX(SPPR!$E:$Z,MATCH($A335,SPPR!$A:$A,0),6),""),"")</f>
        <v/>
      </c>
      <c r="J335">
        <f>IFERROR(IF(ISNUMBER(INDEX(SPPR!$E:$Z,MATCH($A335,SPPR!$A:$A,0),7)),$C335*INDEX(SPPR!$E:$Z,MATCH($A335,SPPR!$A:$A,0),7),""),"")</f>
        <v/>
      </c>
      <c r="K335">
        <f>IFERROR(IF(ISNUMBER(INDEX(SPPR!$E:$Z,MATCH($A335,SPPR!$A:$A,0),8)),$C335*INDEX(SPPR!$E:$Z,MATCH($A335,SPPR!$A:$A,0),8),""),"")</f>
        <v/>
      </c>
      <c r="L335">
        <f>IFERROR(IF(ISNUMBER(INDEX(SPPR!$E:$Z,MATCH($A335,SPPR!$A:$A,0),9)),$C335*INDEX(SPPR!$E:$Z,MATCH($A335,SPPR!$A:$A,0),9),""),"")</f>
        <v/>
      </c>
      <c r="M335">
        <f>IFERROR(IF(ISNUMBER(INDEX(SPPR!$E:$Z,MATCH($A335,SPPR!$A:$A,0),10)),$C335*INDEX(SPPR!$E:$Z,MATCH($A335,SPPR!$A:$A,0),10),""),"")</f>
        <v/>
      </c>
      <c r="N335">
        <f>IFERROR(IF(ISNUMBER(INDEX(SPPR!$E:$Z,MATCH($A335,SPPR!$A:$A,0),11)),$C335*INDEX(SPPR!$E:$Z,MATCH($A335,SPPR!$A:$A,0),11),""),"")</f>
        <v/>
      </c>
      <c r="O335">
        <f>IFERROR(IF(ISNUMBER(INDEX(SPPR!$E:$Z,MATCH($A335,SPPR!$A:$A,0),12)),$C335*INDEX(SPPR!$E:$Z,MATCH($A335,SPPR!$A:$A,0),12),""),"")</f>
        <v/>
      </c>
      <c r="P335">
        <f>IFERROR(IF(ISNUMBER(INDEX(SPPR!$E:$Z,MATCH($A335,SPPR!$A:$A,0),13)),$C335*INDEX(SPPR!$E:$Z,MATCH($A335,SPPR!$A:$A,0),13),""),"")</f>
        <v/>
      </c>
      <c r="Q335">
        <f>IFERROR(IF(ISNUMBER(INDEX(SPPR!$E:$Z,MATCH($A335,SPPR!$A:$A,0),14)),$C335*INDEX(SPPR!$E:$Z,MATCH($A335,SPPR!$A:$A,0),14),""),"")</f>
        <v/>
      </c>
      <c r="R335">
        <f>IFERROR(IF(ISNUMBER(INDEX(SPPR!$E:$Z,MATCH($A335,SPPR!$A:$A,0),15)),$C335*INDEX(SPPR!$E:$Z,MATCH($A335,SPPR!$A:$A,0),15),""),"")</f>
        <v/>
      </c>
      <c r="S335">
        <f>IFERROR(IF(ISNUMBER(INDEX(SPPR!$E:$Z,MATCH($A335,SPPR!$A:$A,0),16)),$C335*INDEX(SPPR!$E:$Z,MATCH($A335,SPPR!$A:$A,0),16),""),"")</f>
        <v/>
      </c>
      <c r="T335">
        <f>IFERROR(IF(ISNUMBER(INDEX(SPPR!$E:$Z,MATCH($A335,SPPR!$A:$A,0),17)),$C335*INDEX(SPPR!$E:$Z,MATCH($A335,SPPR!$A:$A,0),17),""),"")</f>
        <v/>
      </c>
      <c r="U335">
        <f>IFERROR(IF(ISNUMBER(INDEX(SPPR!$E:$Z,MATCH($A335,SPPR!$A:$A,0),18)),$C335*INDEX(SPPR!$E:$Z,MATCH($A335,SPPR!$A:$A,0),18),""),"")</f>
        <v/>
      </c>
      <c r="V335">
        <f>IFERROR(IF(ISNUMBER(INDEX(SPPR!$E:$Z,MATCH($A335,SPPR!$A:$A,0),19)),$C335*INDEX(SPPR!$E:$Z,MATCH($A335,SPPR!$A:$A,0),19),""),"")</f>
        <v/>
      </c>
      <c r="W335">
        <f>IFERROR(IF(ISNUMBER(INDEX(SPPR!$E:$Z,MATCH($A335,SPPR!$A:$A,0),20)),$C335*INDEX(SPPR!$E:$Z,MATCH($A335,SPPR!$A:$A,0),20),""),"")</f>
        <v/>
      </c>
      <c r="X335">
        <f>IFERROR(IF(ISNUMBER(INDEX(SPPR!$E:$Z,MATCH($A335,SPPR!$A:$A,0),21)),$C335*INDEX(SPPR!$E:$Z,MATCH($A335,SPPR!$A:$A,0),21),""),"")</f>
        <v/>
      </c>
      <c r="Y335">
        <f>IFERROR(IF(ISNUMBER(INDEX(SPPR!$E:$Z,MATCH($A335,SPPR!$A:$A,0),22)),$C335*INDEX(SPPR!$E:$Z,MATCH($A335,SPPR!$A:$A,0),22),""),"")</f>
        <v/>
      </c>
    </row>
    <row r="336">
      <c r="A336" t="inlineStr">
        <is>
          <t>Encrasicholina punctifer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IFERROR(IF(ISNUMBER(INDEX(SPPR!$E:$Z,MATCH($A336,SPPR!$A:$A,0),1)),$C336*INDEX(SPPR!$E:$Z,MATCH($A336,SPPR!$A:$A,0),1),""),"")</f>
        <v/>
      </c>
      <c r="E336">
        <f>IFERROR(IF(ISNUMBER(INDEX(SPPR!$E:$Z,MATCH($A336,SPPR!$A:$A,0),2)),$C336*INDEX(SPPR!$E:$Z,MATCH($A336,SPPR!$A:$A,0),2),""),"")</f>
        <v/>
      </c>
      <c r="F336">
        <f>IFERROR(IF(ISNUMBER(INDEX(SPPR!$E:$Z,MATCH($A336,SPPR!$A:$A,0),3)),$C336*INDEX(SPPR!$E:$Z,MATCH($A336,SPPR!$A:$A,0),3),""),"")</f>
        <v/>
      </c>
      <c r="G336">
        <f>IFERROR(IF(ISNUMBER(INDEX(SPPR!$E:$Z,MATCH($A336,SPPR!$A:$A,0),4)),$C336*INDEX(SPPR!$E:$Z,MATCH($A336,SPPR!$A:$A,0),4),""),"")</f>
        <v/>
      </c>
      <c r="H336">
        <f>IFERROR(IF(ISNUMBER(INDEX(SPPR!$E:$Z,MATCH($A336,SPPR!$A:$A,0),5)),$C336*INDEX(SPPR!$E:$Z,MATCH($A336,SPPR!$A:$A,0),5),""),"")</f>
        <v/>
      </c>
      <c r="I336">
        <f>IFERROR(IF(ISNUMBER(INDEX(SPPR!$E:$Z,MATCH($A336,SPPR!$A:$A,0),6)),$C336*INDEX(SPPR!$E:$Z,MATCH($A336,SPPR!$A:$A,0),6),""),"")</f>
        <v/>
      </c>
      <c r="J336">
        <f>IFERROR(IF(ISNUMBER(INDEX(SPPR!$E:$Z,MATCH($A336,SPPR!$A:$A,0),7)),$C336*INDEX(SPPR!$E:$Z,MATCH($A336,SPPR!$A:$A,0),7),""),"")</f>
        <v/>
      </c>
      <c r="K336">
        <f>IFERROR(IF(ISNUMBER(INDEX(SPPR!$E:$Z,MATCH($A336,SPPR!$A:$A,0),8)),$C336*INDEX(SPPR!$E:$Z,MATCH($A336,SPPR!$A:$A,0),8),""),"")</f>
        <v/>
      </c>
      <c r="L336">
        <f>IFERROR(IF(ISNUMBER(INDEX(SPPR!$E:$Z,MATCH($A336,SPPR!$A:$A,0),9)),$C336*INDEX(SPPR!$E:$Z,MATCH($A336,SPPR!$A:$A,0),9),""),"")</f>
        <v/>
      </c>
      <c r="M336">
        <f>IFERROR(IF(ISNUMBER(INDEX(SPPR!$E:$Z,MATCH($A336,SPPR!$A:$A,0),10)),$C336*INDEX(SPPR!$E:$Z,MATCH($A336,SPPR!$A:$A,0),10),""),"")</f>
        <v/>
      </c>
      <c r="N336">
        <f>IFERROR(IF(ISNUMBER(INDEX(SPPR!$E:$Z,MATCH($A336,SPPR!$A:$A,0),11)),$C336*INDEX(SPPR!$E:$Z,MATCH($A336,SPPR!$A:$A,0),11),""),"")</f>
        <v/>
      </c>
      <c r="O336">
        <f>IFERROR(IF(ISNUMBER(INDEX(SPPR!$E:$Z,MATCH($A336,SPPR!$A:$A,0),12)),$C336*INDEX(SPPR!$E:$Z,MATCH($A336,SPPR!$A:$A,0),12),""),"")</f>
        <v/>
      </c>
      <c r="P336">
        <f>IFERROR(IF(ISNUMBER(INDEX(SPPR!$E:$Z,MATCH($A336,SPPR!$A:$A,0),13)),$C336*INDEX(SPPR!$E:$Z,MATCH($A336,SPPR!$A:$A,0),13),""),"")</f>
        <v/>
      </c>
      <c r="Q336">
        <f>IFERROR(IF(ISNUMBER(INDEX(SPPR!$E:$Z,MATCH($A336,SPPR!$A:$A,0),14)),$C336*INDEX(SPPR!$E:$Z,MATCH($A336,SPPR!$A:$A,0),14),""),"")</f>
        <v/>
      </c>
      <c r="R336">
        <f>IFERROR(IF(ISNUMBER(INDEX(SPPR!$E:$Z,MATCH($A336,SPPR!$A:$A,0),15)),$C336*INDEX(SPPR!$E:$Z,MATCH($A336,SPPR!$A:$A,0),15),""),"")</f>
        <v/>
      </c>
      <c r="S336">
        <f>IFERROR(IF(ISNUMBER(INDEX(SPPR!$E:$Z,MATCH($A336,SPPR!$A:$A,0),16)),$C336*INDEX(SPPR!$E:$Z,MATCH($A336,SPPR!$A:$A,0),16),""),"")</f>
        <v/>
      </c>
      <c r="T336">
        <f>IFERROR(IF(ISNUMBER(INDEX(SPPR!$E:$Z,MATCH($A336,SPPR!$A:$A,0),17)),$C336*INDEX(SPPR!$E:$Z,MATCH($A336,SPPR!$A:$A,0),17),""),"")</f>
        <v/>
      </c>
      <c r="U336">
        <f>IFERROR(IF(ISNUMBER(INDEX(SPPR!$E:$Z,MATCH($A336,SPPR!$A:$A,0),18)),$C336*INDEX(SPPR!$E:$Z,MATCH($A336,SPPR!$A:$A,0),18),""),"")</f>
        <v/>
      </c>
      <c r="V336">
        <f>IFERROR(IF(ISNUMBER(INDEX(SPPR!$E:$Z,MATCH($A336,SPPR!$A:$A,0),19)),$C336*INDEX(SPPR!$E:$Z,MATCH($A336,SPPR!$A:$A,0),19),""),"")</f>
        <v/>
      </c>
      <c r="W336">
        <f>IFERROR(IF(ISNUMBER(INDEX(SPPR!$E:$Z,MATCH($A336,SPPR!$A:$A,0),20)),$C336*INDEX(SPPR!$E:$Z,MATCH($A336,SPPR!$A:$A,0),20),""),"")</f>
        <v/>
      </c>
      <c r="X336">
        <f>IFERROR(IF(ISNUMBER(INDEX(SPPR!$E:$Z,MATCH($A336,SPPR!$A:$A,0),21)),$C336*INDEX(SPPR!$E:$Z,MATCH($A336,SPPR!$A:$A,0),21),""),"")</f>
        <v/>
      </c>
      <c r="Y336">
        <f>IFERROR(IF(ISNUMBER(INDEX(SPPR!$E:$Z,MATCH($A336,SPPR!$A:$A,0),22)),$C336*INDEX(SPPR!$E:$Z,MATCH($A336,SPPR!$A:$A,0),22),""),"")</f>
        <v/>
      </c>
    </row>
    <row r="337">
      <c r="A337" t="inlineStr">
        <is>
          <t>Spongia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IFERROR(IF(ISNUMBER(INDEX(SPPR!$E:$Z,MATCH($A337,SPPR!$A:$A,0),1)),$C337*INDEX(SPPR!$E:$Z,MATCH($A337,SPPR!$A:$A,0),1),""),"")</f>
        <v/>
      </c>
      <c r="E337">
        <f>IFERROR(IF(ISNUMBER(INDEX(SPPR!$E:$Z,MATCH($A337,SPPR!$A:$A,0),2)),$C337*INDEX(SPPR!$E:$Z,MATCH($A337,SPPR!$A:$A,0),2),""),"")</f>
        <v/>
      </c>
      <c r="F337">
        <f>IFERROR(IF(ISNUMBER(INDEX(SPPR!$E:$Z,MATCH($A337,SPPR!$A:$A,0),3)),$C337*INDEX(SPPR!$E:$Z,MATCH($A337,SPPR!$A:$A,0),3),""),"")</f>
        <v/>
      </c>
      <c r="G337">
        <f>IFERROR(IF(ISNUMBER(INDEX(SPPR!$E:$Z,MATCH($A337,SPPR!$A:$A,0),4)),$C337*INDEX(SPPR!$E:$Z,MATCH($A337,SPPR!$A:$A,0),4),""),"")</f>
        <v/>
      </c>
      <c r="H337">
        <f>IFERROR(IF(ISNUMBER(INDEX(SPPR!$E:$Z,MATCH($A337,SPPR!$A:$A,0),5)),$C337*INDEX(SPPR!$E:$Z,MATCH($A337,SPPR!$A:$A,0),5),""),"")</f>
        <v/>
      </c>
      <c r="I337">
        <f>IFERROR(IF(ISNUMBER(INDEX(SPPR!$E:$Z,MATCH($A337,SPPR!$A:$A,0),6)),$C337*INDEX(SPPR!$E:$Z,MATCH($A337,SPPR!$A:$A,0),6),""),"")</f>
        <v/>
      </c>
      <c r="J337">
        <f>IFERROR(IF(ISNUMBER(INDEX(SPPR!$E:$Z,MATCH($A337,SPPR!$A:$A,0),7)),$C337*INDEX(SPPR!$E:$Z,MATCH($A337,SPPR!$A:$A,0),7),""),"")</f>
        <v/>
      </c>
      <c r="K337">
        <f>IFERROR(IF(ISNUMBER(INDEX(SPPR!$E:$Z,MATCH($A337,SPPR!$A:$A,0),8)),$C337*INDEX(SPPR!$E:$Z,MATCH($A337,SPPR!$A:$A,0),8),""),"")</f>
        <v/>
      </c>
      <c r="L337">
        <f>IFERROR(IF(ISNUMBER(INDEX(SPPR!$E:$Z,MATCH($A337,SPPR!$A:$A,0),9)),$C337*INDEX(SPPR!$E:$Z,MATCH($A337,SPPR!$A:$A,0),9),""),"")</f>
        <v/>
      </c>
      <c r="M337">
        <f>IFERROR(IF(ISNUMBER(INDEX(SPPR!$E:$Z,MATCH($A337,SPPR!$A:$A,0),10)),$C337*INDEX(SPPR!$E:$Z,MATCH($A337,SPPR!$A:$A,0),10),""),"")</f>
        <v/>
      </c>
      <c r="N337">
        <f>IFERROR(IF(ISNUMBER(INDEX(SPPR!$E:$Z,MATCH($A337,SPPR!$A:$A,0),11)),$C337*INDEX(SPPR!$E:$Z,MATCH($A337,SPPR!$A:$A,0),11),""),"")</f>
        <v/>
      </c>
      <c r="O337">
        <f>IFERROR(IF(ISNUMBER(INDEX(SPPR!$E:$Z,MATCH($A337,SPPR!$A:$A,0),12)),$C337*INDEX(SPPR!$E:$Z,MATCH($A337,SPPR!$A:$A,0),12),""),"")</f>
        <v/>
      </c>
      <c r="P337">
        <f>IFERROR(IF(ISNUMBER(INDEX(SPPR!$E:$Z,MATCH($A337,SPPR!$A:$A,0),13)),$C337*INDEX(SPPR!$E:$Z,MATCH($A337,SPPR!$A:$A,0),13),""),"")</f>
        <v/>
      </c>
      <c r="Q337">
        <f>IFERROR(IF(ISNUMBER(INDEX(SPPR!$E:$Z,MATCH($A337,SPPR!$A:$A,0),14)),$C337*INDEX(SPPR!$E:$Z,MATCH($A337,SPPR!$A:$A,0),14),""),"")</f>
        <v/>
      </c>
      <c r="R337">
        <f>IFERROR(IF(ISNUMBER(INDEX(SPPR!$E:$Z,MATCH($A337,SPPR!$A:$A,0),15)),$C337*INDEX(SPPR!$E:$Z,MATCH($A337,SPPR!$A:$A,0),15),""),"")</f>
        <v/>
      </c>
      <c r="S337">
        <f>IFERROR(IF(ISNUMBER(INDEX(SPPR!$E:$Z,MATCH($A337,SPPR!$A:$A,0),16)),$C337*INDEX(SPPR!$E:$Z,MATCH($A337,SPPR!$A:$A,0),16),""),"")</f>
        <v/>
      </c>
      <c r="T337">
        <f>IFERROR(IF(ISNUMBER(INDEX(SPPR!$E:$Z,MATCH($A337,SPPR!$A:$A,0),17)),$C337*INDEX(SPPR!$E:$Z,MATCH($A337,SPPR!$A:$A,0),17),""),"")</f>
        <v/>
      </c>
      <c r="U337">
        <f>IFERROR(IF(ISNUMBER(INDEX(SPPR!$E:$Z,MATCH($A337,SPPR!$A:$A,0),18)),$C337*INDEX(SPPR!$E:$Z,MATCH($A337,SPPR!$A:$A,0),18),""),"")</f>
        <v/>
      </c>
      <c r="V337">
        <f>IFERROR(IF(ISNUMBER(INDEX(SPPR!$E:$Z,MATCH($A337,SPPR!$A:$A,0),19)),$C337*INDEX(SPPR!$E:$Z,MATCH($A337,SPPR!$A:$A,0),19),""),"")</f>
        <v/>
      </c>
      <c r="W337">
        <f>IFERROR(IF(ISNUMBER(INDEX(SPPR!$E:$Z,MATCH($A337,SPPR!$A:$A,0),20)),$C337*INDEX(SPPR!$E:$Z,MATCH($A337,SPPR!$A:$A,0),20),""),"")</f>
        <v/>
      </c>
      <c r="X337">
        <f>IFERROR(IF(ISNUMBER(INDEX(SPPR!$E:$Z,MATCH($A337,SPPR!$A:$A,0),21)),$C337*INDEX(SPPR!$E:$Z,MATCH($A337,SPPR!$A:$A,0),21),""),"")</f>
        <v/>
      </c>
      <c r="Y337">
        <f>IFERROR(IF(ISNUMBER(INDEX(SPPR!$E:$Z,MATCH($A337,SPPR!$A:$A,0),22)),$C337*INDEX(SPPR!$E:$Z,MATCH($A337,SPPR!$A:$A,0),22),""),"")</f>
        <v/>
      </c>
    </row>
    <row r="338">
      <c r="A338" t="inlineStr">
        <is>
          <t>Amusium pleuronectes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IFERROR(IF(ISNUMBER(INDEX(SPPR!$E:$Z,MATCH($A338,SPPR!$A:$A,0),1)),$C338*INDEX(SPPR!$E:$Z,MATCH($A338,SPPR!$A:$A,0),1),""),"")</f>
        <v/>
      </c>
      <c r="E338">
        <f>IFERROR(IF(ISNUMBER(INDEX(SPPR!$E:$Z,MATCH($A338,SPPR!$A:$A,0),2)),$C338*INDEX(SPPR!$E:$Z,MATCH($A338,SPPR!$A:$A,0),2),""),"")</f>
        <v/>
      </c>
      <c r="F338">
        <f>IFERROR(IF(ISNUMBER(INDEX(SPPR!$E:$Z,MATCH($A338,SPPR!$A:$A,0),3)),$C338*INDEX(SPPR!$E:$Z,MATCH($A338,SPPR!$A:$A,0),3),""),"")</f>
        <v/>
      </c>
      <c r="G338">
        <f>IFERROR(IF(ISNUMBER(INDEX(SPPR!$E:$Z,MATCH($A338,SPPR!$A:$A,0),4)),$C338*INDEX(SPPR!$E:$Z,MATCH($A338,SPPR!$A:$A,0),4),""),"")</f>
        <v/>
      </c>
      <c r="H338">
        <f>IFERROR(IF(ISNUMBER(INDEX(SPPR!$E:$Z,MATCH($A338,SPPR!$A:$A,0),5)),$C338*INDEX(SPPR!$E:$Z,MATCH($A338,SPPR!$A:$A,0),5),""),"")</f>
        <v/>
      </c>
      <c r="I338">
        <f>IFERROR(IF(ISNUMBER(INDEX(SPPR!$E:$Z,MATCH($A338,SPPR!$A:$A,0),6)),$C338*INDEX(SPPR!$E:$Z,MATCH($A338,SPPR!$A:$A,0),6),""),"")</f>
        <v/>
      </c>
      <c r="J338">
        <f>IFERROR(IF(ISNUMBER(INDEX(SPPR!$E:$Z,MATCH($A338,SPPR!$A:$A,0),7)),$C338*INDEX(SPPR!$E:$Z,MATCH($A338,SPPR!$A:$A,0),7),""),"")</f>
        <v/>
      </c>
      <c r="K338">
        <f>IFERROR(IF(ISNUMBER(INDEX(SPPR!$E:$Z,MATCH($A338,SPPR!$A:$A,0),8)),$C338*INDEX(SPPR!$E:$Z,MATCH($A338,SPPR!$A:$A,0),8),""),"")</f>
        <v/>
      </c>
      <c r="L338">
        <f>IFERROR(IF(ISNUMBER(INDEX(SPPR!$E:$Z,MATCH($A338,SPPR!$A:$A,0),9)),$C338*INDEX(SPPR!$E:$Z,MATCH($A338,SPPR!$A:$A,0),9),""),"")</f>
        <v/>
      </c>
      <c r="M338">
        <f>IFERROR(IF(ISNUMBER(INDEX(SPPR!$E:$Z,MATCH($A338,SPPR!$A:$A,0),10)),$C338*INDEX(SPPR!$E:$Z,MATCH($A338,SPPR!$A:$A,0),10),""),"")</f>
        <v/>
      </c>
      <c r="N338">
        <f>IFERROR(IF(ISNUMBER(INDEX(SPPR!$E:$Z,MATCH($A338,SPPR!$A:$A,0),11)),$C338*INDEX(SPPR!$E:$Z,MATCH($A338,SPPR!$A:$A,0),11),""),"")</f>
        <v/>
      </c>
      <c r="O338">
        <f>IFERROR(IF(ISNUMBER(INDEX(SPPR!$E:$Z,MATCH($A338,SPPR!$A:$A,0),12)),$C338*INDEX(SPPR!$E:$Z,MATCH($A338,SPPR!$A:$A,0),12),""),"")</f>
        <v/>
      </c>
      <c r="P338">
        <f>IFERROR(IF(ISNUMBER(INDEX(SPPR!$E:$Z,MATCH($A338,SPPR!$A:$A,0),13)),$C338*INDEX(SPPR!$E:$Z,MATCH($A338,SPPR!$A:$A,0),13),""),"")</f>
        <v/>
      </c>
      <c r="Q338">
        <f>IFERROR(IF(ISNUMBER(INDEX(SPPR!$E:$Z,MATCH($A338,SPPR!$A:$A,0),14)),$C338*INDEX(SPPR!$E:$Z,MATCH($A338,SPPR!$A:$A,0),14),""),"")</f>
        <v/>
      </c>
      <c r="R338">
        <f>IFERROR(IF(ISNUMBER(INDEX(SPPR!$E:$Z,MATCH($A338,SPPR!$A:$A,0),15)),$C338*INDEX(SPPR!$E:$Z,MATCH($A338,SPPR!$A:$A,0),15),""),"")</f>
        <v/>
      </c>
      <c r="S338">
        <f>IFERROR(IF(ISNUMBER(INDEX(SPPR!$E:$Z,MATCH($A338,SPPR!$A:$A,0),16)),$C338*INDEX(SPPR!$E:$Z,MATCH($A338,SPPR!$A:$A,0),16),""),"")</f>
        <v/>
      </c>
      <c r="T338">
        <f>IFERROR(IF(ISNUMBER(INDEX(SPPR!$E:$Z,MATCH($A338,SPPR!$A:$A,0),17)),$C338*INDEX(SPPR!$E:$Z,MATCH($A338,SPPR!$A:$A,0),17),""),"")</f>
        <v/>
      </c>
      <c r="U338">
        <f>IFERROR(IF(ISNUMBER(INDEX(SPPR!$E:$Z,MATCH($A338,SPPR!$A:$A,0),18)),$C338*INDEX(SPPR!$E:$Z,MATCH($A338,SPPR!$A:$A,0),18),""),"")</f>
        <v/>
      </c>
      <c r="V338">
        <f>IFERROR(IF(ISNUMBER(INDEX(SPPR!$E:$Z,MATCH($A338,SPPR!$A:$A,0),19)),$C338*INDEX(SPPR!$E:$Z,MATCH($A338,SPPR!$A:$A,0),19),""),"")</f>
        <v/>
      </c>
      <c r="W338">
        <f>IFERROR(IF(ISNUMBER(INDEX(SPPR!$E:$Z,MATCH($A338,SPPR!$A:$A,0),20)),$C338*INDEX(SPPR!$E:$Z,MATCH($A338,SPPR!$A:$A,0),20),""),"")</f>
        <v/>
      </c>
      <c r="X338">
        <f>IFERROR(IF(ISNUMBER(INDEX(SPPR!$E:$Z,MATCH($A338,SPPR!$A:$A,0),21)),$C338*INDEX(SPPR!$E:$Z,MATCH($A338,SPPR!$A:$A,0),21),""),"")</f>
        <v/>
      </c>
      <c r="Y338">
        <f>IFERROR(IF(ISNUMBER(INDEX(SPPR!$E:$Z,MATCH($A338,SPPR!$A:$A,0),22)),$C338*INDEX(SPPR!$E:$Z,MATCH($A338,SPPR!$A:$A,0),22),""),"")</f>
        <v/>
      </c>
    </row>
    <row r="339">
      <c r="A339" t="inlineStr">
        <is>
          <t>Scatophagus argus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IFERROR(IF(ISNUMBER(INDEX(SPPR!$E:$Z,MATCH($A339,SPPR!$A:$A,0),1)),$C339*INDEX(SPPR!$E:$Z,MATCH($A339,SPPR!$A:$A,0),1),""),"")</f>
        <v/>
      </c>
      <c r="E339">
        <f>IFERROR(IF(ISNUMBER(INDEX(SPPR!$E:$Z,MATCH($A339,SPPR!$A:$A,0),2)),$C339*INDEX(SPPR!$E:$Z,MATCH($A339,SPPR!$A:$A,0),2),""),"")</f>
        <v/>
      </c>
      <c r="F339">
        <f>IFERROR(IF(ISNUMBER(INDEX(SPPR!$E:$Z,MATCH($A339,SPPR!$A:$A,0),3)),$C339*INDEX(SPPR!$E:$Z,MATCH($A339,SPPR!$A:$A,0),3),""),"")</f>
        <v/>
      </c>
      <c r="G339">
        <f>IFERROR(IF(ISNUMBER(INDEX(SPPR!$E:$Z,MATCH($A339,SPPR!$A:$A,0),4)),$C339*INDEX(SPPR!$E:$Z,MATCH($A339,SPPR!$A:$A,0),4),""),"")</f>
        <v/>
      </c>
      <c r="H339">
        <f>IFERROR(IF(ISNUMBER(INDEX(SPPR!$E:$Z,MATCH($A339,SPPR!$A:$A,0),5)),$C339*INDEX(SPPR!$E:$Z,MATCH($A339,SPPR!$A:$A,0),5),""),"")</f>
        <v/>
      </c>
      <c r="I339">
        <f>IFERROR(IF(ISNUMBER(INDEX(SPPR!$E:$Z,MATCH($A339,SPPR!$A:$A,0),6)),$C339*INDEX(SPPR!$E:$Z,MATCH($A339,SPPR!$A:$A,0),6),""),"")</f>
        <v/>
      </c>
      <c r="J339">
        <f>IFERROR(IF(ISNUMBER(INDEX(SPPR!$E:$Z,MATCH($A339,SPPR!$A:$A,0),7)),$C339*INDEX(SPPR!$E:$Z,MATCH($A339,SPPR!$A:$A,0),7),""),"")</f>
        <v/>
      </c>
      <c r="K339">
        <f>IFERROR(IF(ISNUMBER(INDEX(SPPR!$E:$Z,MATCH($A339,SPPR!$A:$A,0),8)),$C339*INDEX(SPPR!$E:$Z,MATCH($A339,SPPR!$A:$A,0),8),""),"")</f>
        <v/>
      </c>
      <c r="L339">
        <f>IFERROR(IF(ISNUMBER(INDEX(SPPR!$E:$Z,MATCH($A339,SPPR!$A:$A,0),9)),$C339*INDEX(SPPR!$E:$Z,MATCH($A339,SPPR!$A:$A,0),9),""),"")</f>
        <v/>
      </c>
      <c r="M339">
        <f>IFERROR(IF(ISNUMBER(INDEX(SPPR!$E:$Z,MATCH($A339,SPPR!$A:$A,0),10)),$C339*INDEX(SPPR!$E:$Z,MATCH($A339,SPPR!$A:$A,0),10),""),"")</f>
        <v/>
      </c>
      <c r="N339">
        <f>IFERROR(IF(ISNUMBER(INDEX(SPPR!$E:$Z,MATCH($A339,SPPR!$A:$A,0),11)),$C339*INDEX(SPPR!$E:$Z,MATCH($A339,SPPR!$A:$A,0),11),""),"")</f>
        <v/>
      </c>
      <c r="O339">
        <f>IFERROR(IF(ISNUMBER(INDEX(SPPR!$E:$Z,MATCH($A339,SPPR!$A:$A,0),12)),$C339*INDEX(SPPR!$E:$Z,MATCH($A339,SPPR!$A:$A,0),12),""),"")</f>
        <v/>
      </c>
      <c r="P339">
        <f>IFERROR(IF(ISNUMBER(INDEX(SPPR!$E:$Z,MATCH($A339,SPPR!$A:$A,0),13)),$C339*INDEX(SPPR!$E:$Z,MATCH($A339,SPPR!$A:$A,0),13),""),"")</f>
        <v/>
      </c>
      <c r="Q339">
        <f>IFERROR(IF(ISNUMBER(INDEX(SPPR!$E:$Z,MATCH($A339,SPPR!$A:$A,0),14)),$C339*INDEX(SPPR!$E:$Z,MATCH($A339,SPPR!$A:$A,0),14),""),"")</f>
        <v/>
      </c>
      <c r="R339">
        <f>IFERROR(IF(ISNUMBER(INDEX(SPPR!$E:$Z,MATCH($A339,SPPR!$A:$A,0),15)),$C339*INDEX(SPPR!$E:$Z,MATCH($A339,SPPR!$A:$A,0),15),""),"")</f>
        <v/>
      </c>
      <c r="S339">
        <f>IFERROR(IF(ISNUMBER(INDEX(SPPR!$E:$Z,MATCH($A339,SPPR!$A:$A,0),16)),$C339*INDEX(SPPR!$E:$Z,MATCH($A339,SPPR!$A:$A,0),16),""),"")</f>
        <v/>
      </c>
      <c r="T339">
        <f>IFERROR(IF(ISNUMBER(INDEX(SPPR!$E:$Z,MATCH($A339,SPPR!$A:$A,0),17)),$C339*INDEX(SPPR!$E:$Z,MATCH($A339,SPPR!$A:$A,0),17),""),"")</f>
        <v/>
      </c>
      <c r="U339">
        <f>IFERROR(IF(ISNUMBER(INDEX(SPPR!$E:$Z,MATCH($A339,SPPR!$A:$A,0),18)),$C339*INDEX(SPPR!$E:$Z,MATCH($A339,SPPR!$A:$A,0),18),""),"")</f>
        <v/>
      </c>
      <c r="V339">
        <f>IFERROR(IF(ISNUMBER(INDEX(SPPR!$E:$Z,MATCH($A339,SPPR!$A:$A,0),19)),$C339*INDEX(SPPR!$E:$Z,MATCH($A339,SPPR!$A:$A,0),19),""),"")</f>
        <v/>
      </c>
      <c r="W339">
        <f>IFERROR(IF(ISNUMBER(INDEX(SPPR!$E:$Z,MATCH($A339,SPPR!$A:$A,0),20)),$C339*INDEX(SPPR!$E:$Z,MATCH($A339,SPPR!$A:$A,0),20),""),"")</f>
        <v/>
      </c>
      <c r="X339">
        <f>IFERROR(IF(ISNUMBER(INDEX(SPPR!$E:$Z,MATCH($A339,SPPR!$A:$A,0),21)),$C339*INDEX(SPPR!$E:$Z,MATCH($A339,SPPR!$A:$A,0),21),""),"")</f>
        <v/>
      </c>
      <c r="Y339">
        <f>IFERROR(IF(ISNUMBER(INDEX(SPPR!$E:$Z,MATCH($A339,SPPR!$A:$A,0),22)),$C339*INDEX(SPPR!$E:$Z,MATCH($A339,SPPR!$A:$A,0),22),""),"")</f>
        <v/>
      </c>
    </row>
    <row r="340">
      <c r="A340" t="inlineStr">
        <is>
          <t>Podophthalmus vigil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IFERROR(IF(ISNUMBER(INDEX(SPPR!$E:$Z,MATCH($A340,SPPR!$A:$A,0),1)),$C340*INDEX(SPPR!$E:$Z,MATCH($A340,SPPR!$A:$A,0),1),""),"")</f>
        <v/>
      </c>
      <c r="E340">
        <f>IFERROR(IF(ISNUMBER(INDEX(SPPR!$E:$Z,MATCH($A340,SPPR!$A:$A,0),2)),$C340*INDEX(SPPR!$E:$Z,MATCH($A340,SPPR!$A:$A,0),2),""),"")</f>
        <v/>
      </c>
      <c r="F340">
        <f>IFERROR(IF(ISNUMBER(INDEX(SPPR!$E:$Z,MATCH($A340,SPPR!$A:$A,0),3)),$C340*INDEX(SPPR!$E:$Z,MATCH($A340,SPPR!$A:$A,0),3),""),"")</f>
        <v/>
      </c>
      <c r="G340">
        <f>IFERROR(IF(ISNUMBER(INDEX(SPPR!$E:$Z,MATCH($A340,SPPR!$A:$A,0),4)),$C340*INDEX(SPPR!$E:$Z,MATCH($A340,SPPR!$A:$A,0),4),""),"")</f>
        <v/>
      </c>
      <c r="H340">
        <f>IFERROR(IF(ISNUMBER(INDEX(SPPR!$E:$Z,MATCH($A340,SPPR!$A:$A,0),5)),$C340*INDEX(SPPR!$E:$Z,MATCH($A340,SPPR!$A:$A,0),5),""),"")</f>
        <v/>
      </c>
      <c r="I340">
        <f>IFERROR(IF(ISNUMBER(INDEX(SPPR!$E:$Z,MATCH($A340,SPPR!$A:$A,0),6)),$C340*INDEX(SPPR!$E:$Z,MATCH($A340,SPPR!$A:$A,0),6),""),"")</f>
        <v/>
      </c>
      <c r="J340">
        <f>IFERROR(IF(ISNUMBER(INDEX(SPPR!$E:$Z,MATCH($A340,SPPR!$A:$A,0),7)),$C340*INDEX(SPPR!$E:$Z,MATCH($A340,SPPR!$A:$A,0),7),""),"")</f>
        <v/>
      </c>
      <c r="K340">
        <f>IFERROR(IF(ISNUMBER(INDEX(SPPR!$E:$Z,MATCH($A340,SPPR!$A:$A,0),8)),$C340*INDEX(SPPR!$E:$Z,MATCH($A340,SPPR!$A:$A,0),8),""),"")</f>
        <v/>
      </c>
      <c r="L340">
        <f>IFERROR(IF(ISNUMBER(INDEX(SPPR!$E:$Z,MATCH($A340,SPPR!$A:$A,0),9)),$C340*INDEX(SPPR!$E:$Z,MATCH($A340,SPPR!$A:$A,0),9),""),"")</f>
        <v/>
      </c>
      <c r="M340">
        <f>IFERROR(IF(ISNUMBER(INDEX(SPPR!$E:$Z,MATCH($A340,SPPR!$A:$A,0),10)),$C340*INDEX(SPPR!$E:$Z,MATCH($A340,SPPR!$A:$A,0),10),""),"")</f>
        <v/>
      </c>
      <c r="N340">
        <f>IFERROR(IF(ISNUMBER(INDEX(SPPR!$E:$Z,MATCH($A340,SPPR!$A:$A,0),11)),$C340*INDEX(SPPR!$E:$Z,MATCH($A340,SPPR!$A:$A,0),11),""),"")</f>
        <v/>
      </c>
      <c r="O340">
        <f>IFERROR(IF(ISNUMBER(INDEX(SPPR!$E:$Z,MATCH($A340,SPPR!$A:$A,0),12)),$C340*INDEX(SPPR!$E:$Z,MATCH($A340,SPPR!$A:$A,0),12),""),"")</f>
        <v/>
      </c>
      <c r="P340">
        <f>IFERROR(IF(ISNUMBER(INDEX(SPPR!$E:$Z,MATCH($A340,SPPR!$A:$A,0),13)),$C340*INDEX(SPPR!$E:$Z,MATCH($A340,SPPR!$A:$A,0),13),""),"")</f>
        <v/>
      </c>
      <c r="Q340">
        <f>IFERROR(IF(ISNUMBER(INDEX(SPPR!$E:$Z,MATCH($A340,SPPR!$A:$A,0),14)),$C340*INDEX(SPPR!$E:$Z,MATCH($A340,SPPR!$A:$A,0),14),""),"")</f>
        <v/>
      </c>
      <c r="R340">
        <f>IFERROR(IF(ISNUMBER(INDEX(SPPR!$E:$Z,MATCH($A340,SPPR!$A:$A,0),15)),$C340*INDEX(SPPR!$E:$Z,MATCH($A340,SPPR!$A:$A,0),15),""),"")</f>
        <v/>
      </c>
      <c r="S340">
        <f>IFERROR(IF(ISNUMBER(INDEX(SPPR!$E:$Z,MATCH($A340,SPPR!$A:$A,0),16)),$C340*INDEX(SPPR!$E:$Z,MATCH($A340,SPPR!$A:$A,0),16),""),"")</f>
        <v/>
      </c>
      <c r="T340">
        <f>IFERROR(IF(ISNUMBER(INDEX(SPPR!$E:$Z,MATCH($A340,SPPR!$A:$A,0),17)),$C340*INDEX(SPPR!$E:$Z,MATCH($A340,SPPR!$A:$A,0),17),""),"")</f>
        <v/>
      </c>
      <c r="U340">
        <f>IFERROR(IF(ISNUMBER(INDEX(SPPR!$E:$Z,MATCH($A340,SPPR!$A:$A,0),18)),$C340*INDEX(SPPR!$E:$Z,MATCH($A340,SPPR!$A:$A,0),18),""),"")</f>
        <v/>
      </c>
      <c r="V340">
        <f>IFERROR(IF(ISNUMBER(INDEX(SPPR!$E:$Z,MATCH($A340,SPPR!$A:$A,0),19)),$C340*INDEX(SPPR!$E:$Z,MATCH($A340,SPPR!$A:$A,0),19),""),"")</f>
        <v/>
      </c>
      <c r="W340">
        <f>IFERROR(IF(ISNUMBER(INDEX(SPPR!$E:$Z,MATCH($A340,SPPR!$A:$A,0),20)),$C340*INDEX(SPPR!$E:$Z,MATCH($A340,SPPR!$A:$A,0),20),""),"")</f>
        <v/>
      </c>
      <c r="X340">
        <f>IFERROR(IF(ISNUMBER(INDEX(SPPR!$E:$Z,MATCH($A340,SPPR!$A:$A,0),21)),$C340*INDEX(SPPR!$E:$Z,MATCH($A340,SPPR!$A:$A,0),21),""),"")</f>
        <v/>
      </c>
      <c r="Y340">
        <f>IFERROR(IF(ISNUMBER(INDEX(SPPR!$E:$Z,MATCH($A340,SPPR!$A:$A,0),22)),$C340*INDEX(SPPR!$E:$Z,MATCH($A340,SPPR!$A:$A,0),22),""),"")</f>
        <v/>
      </c>
    </row>
    <row r="341">
      <c r="A341" t="inlineStr">
        <is>
          <t>Drepane punctata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IFERROR(IF(ISNUMBER(INDEX(SPPR!$E:$Z,MATCH($A341,SPPR!$A:$A,0),1)),$C341*INDEX(SPPR!$E:$Z,MATCH($A341,SPPR!$A:$A,0),1),""),"")</f>
        <v/>
      </c>
      <c r="E341">
        <f>IFERROR(IF(ISNUMBER(INDEX(SPPR!$E:$Z,MATCH($A341,SPPR!$A:$A,0),2)),$C341*INDEX(SPPR!$E:$Z,MATCH($A341,SPPR!$A:$A,0),2),""),"")</f>
        <v/>
      </c>
      <c r="F341">
        <f>IFERROR(IF(ISNUMBER(INDEX(SPPR!$E:$Z,MATCH($A341,SPPR!$A:$A,0),3)),$C341*INDEX(SPPR!$E:$Z,MATCH($A341,SPPR!$A:$A,0),3),""),"")</f>
        <v/>
      </c>
      <c r="G341">
        <f>IFERROR(IF(ISNUMBER(INDEX(SPPR!$E:$Z,MATCH($A341,SPPR!$A:$A,0),4)),$C341*INDEX(SPPR!$E:$Z,MATCH($A341,SPPR!$A:$A,0),4),""),"")</f>
        <v/>
      </c>
      <c r="H341">
        <f>IFERROR(IF(ISNUMBER(INDEX(SPPR!$E:$Z,MATCH($A341,SPPR!$A:$A,0),5)),$C341*INDEX(SPPR!$E:$Z,MATCH($A341,SPPR!$A:$A,0),5),""),"")</f>
        <v/>
      </c>
      <c r="I341">
        <f>IFERROR(IF(ISNUMBER(INDEX(SPPR!$E:$Z,MATCH($A341,SPPR!$A:$A,0),6)),$C341*INDEX(SPPR!$E:$Z,MATCH($A341,SPPR!$A:$A,0),6),""),"")</f>
        <v/>
      </c>
      <c r="J341">
        <f>IFERROR(IF(ISNUMBER(INDEX(SPPR!$E:$Z,MATCH($A341,SPPR!$A:$A,0),7)),$C341*INDEX(SPPR!$E:$Z,MATCH($A341,SPPR!$A:$A,0),7),""),"")</f>
        <v/>
      </c>
      <c r="K341">
        <f>IFERROR(IF(ISNUMBER(INDEX(SPPR!$E:$Z,MATCH($A341,SPPR!$A:$A,0),8)),$C341*INDEX(SPPR!$E:$Z,MATCH($A341,SPPR!$A:$A,0),8),""),"")</f>
        <v/>
      </c>
      <c r="L341">
        <f>IFERROR(IF(ISNUMBER(INDEX(SPPR!$E:$Z,MATCH($A341,SPPR!$A:$A,0),9)),$C341*INDEX(SPPR!$E:$Z,MATCH($A341,SPPR!$A:$A,0),9),""),"")</f>
        <v/>
      </c>
      <c r="M341">
        <f>IFERROR(IF(ISNUMBER(INDEX(SPPR!$E:$Z,MATCH($A341,SPPR!$A:$A,0),10)),$C341*INDEX(SPPR!$E:$Z,MATCH($A341,SPPR!$A:$A,0),10),""),"")</f>
        <v/>
      </c>
      <c r="N341">
        <f>IFERROR(IF(ISNUMBER(INDEX(SPPR!$E:$Z,MATCH($A341,SPPR!$A:$A,0),11)),$C341*INDEX(SPPR!$E:$Z,MATCH($A341,SPPR!$A:$A,0),11),""),"")</f>
        <v/>
      </c>
      <c r="O341">
        <f>IFERROR(IF(ISNUMBER(INDEX(SPPR!$E:$Z,MATCH($A341,SPPR!$A:$A,0),12)),$C341*INDEX(SPPR!$E:$Z,MATCH($A341,SPPR!$A:$A,0),12),""),"")</f>
        <v/>
      </c>
      <c r="P341">
        <f>IFERROR(IF(ISNUMBER(INDEX(SPPR!$E:$Z,MATCH($A341,SPPR!$A:$A,0),13)),$C341*INDEX(SPPR!$E:$Z,MATCH($A341,SPPR!$A:$A,0),13),""),"")</f>
        <v/>
      </c>
      <c r="Q341">
        <f>IFERROR(IF(ISNUMBER(INDEX(SPPR!$E:$Z,MATCH($A341,SPPR!$A:$A,0),14)),$C341*INDEX(SPPR!$E:$Z,MATCH($A341,SPPR!$A:$A,0),14),""),"")</f>
        <v/>
      </c>
      <c r="R341">
        <f>IFERROR(IF(ISNUMBER(INDEX(SPPR!$E:$Z,MATCH($A341,SPPR!$A:$A,0),15)),$C341*INDEX(SPPR!$E:$Z,MATCH($A341,SPPR!$A:$A,0),15),""),"")</f>
        <v/>
      </c>
      <c r="S341">
        <f>IFERROR(IF(ISNUMBER(INDEX(SPPR!$E:$Z,MATCH($A341,SPPR!$A:$A,0),16)),$C341*INDEX(SPPR!$E:$Z,MATCH($A341,SPPR!$A:$A,0),16),""),"")</f>
        <v/>
      </c>
      <c r="T341">
        <f>IFERROR(IF(ISNUMBER(INDEX(SPPR!$E:$Z,MATCH($A341,SPPR!$A:$A,0),17)),$C341*INDEX(SPPR!$E:$Z,MATCH($A341,SPPR!$A:$A,0),17),""),"")</f>
        <v/>
      </c>
      <c r="U341">
        <f>IFERROR(IF(ISNUMBER(INDEX(SPPR!$E:$Z,MATCH($A341,SPPR!$A:$A,0),18)),$C341*INDEX(SPPR!$E:$Z,MATCH($A341,SPPR!$A:$A,0),18),""),"")</f>
        <v/>
      </c>
      <c r="V341">
        <f>IFERROR(IF(ISNUMBER(INDEX(SPPR!$E:$Z,MATCH($A341,SPPR!$A:$A,0),19)),$C341*INDEX(SPPR!$E:$Z,MATCH($A341,SPPR!$A:$A,0),19),""),"")</f>
        <v/>
      </c>
      <c r="W341">
        <f>IFERROR(IF(ISNUMBER(INDEX(SPPR!$E:$Z,MATCH($A341,SPPR!$A:$A,0),20)),$C341*INDEX(SPPR!$E:$Z,MATCH($A341,SPPR!$A:$A,0),20),""),"")</f>
        <v/>
      </c>
      <c r="X341">
        <f>IFERROR(IF(ISNUMBER(INDEX(SPPR!$E:$Z,MATCH($A341,SPPR!$A:$A,0),21)),$C341*INDEX(SPPR!$E:$Z,MATCH($A341,SPPR!$A:$A,0),21),""),"")</f>
        <v/>
      </c>
      <c r="Y341">
        <f>IFERROR(IF(ISNUMBER(INDEX(SPPR!$E:$Z,MATCH($A341,SPPR!$A:$A,0),22)),$C341*INDEX(SPPR!$E:$Z,MATCH($A341,SPPR!$A:$A,0),22),""),"")</f>
        <v/>
      </c>
    </row>
    <row r="342">
      <c r="A342" t="inlineStr">
        <is>
          <t>Charybdis anisodon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IFERROR(IF(ISNUMBER(INDEX(SPPR!$E:$Z,MATCH($A342,SPPR!$A:$A,0),1)),$C342*INDEX(SPPR!$E:$Z,MATCH($A342,SPPR!$A:$A,0),1),""),"")</f>
        <v/>
      </c>
      <c r="E342">
        <f>IFERROR(IF(ISNUMBER(INDEX(SPPR!$E:$Z,MATCH($A342,SPPR!$A:$A,0),2)),$C342*INDEX(SPPR!$E:$Z,MATCH($A342,SPPR!$A:$A,0),2),""),"")</f>
        <v/>
      </c>
      <c r="F342">
        <f>IFERROR(IF(ISNUMBER(INDEX(SPPR!$E:$Z,MATCH($A342,SPPR!$A:$A,0),3)),$C342*INDEX(SPPR!$E:$Z,MATCH($A342,SPPR!$A:$A,0),3),""),"")</f>
        <v/>
      </c>
      <c r="G342">
        <f>IFERROR(IF(ISNUMBER(INDEX(SPPR!$E:$Z,MATCH($A342,SPPR!$A:$A,0),4)),$C342*INDEX(SPPR!$E:$Z,MATCH($A342,SPPR!$A:$A,0),4),""),"")</f>
        <v/>
      </c>
      <c r="H342">
        <f>IFERROR(IF(ISNUMBER(INDEX(SPPR!$E:$Z,MATCH($A342,SPPR!$A:$A,0),5)),$C342*INDEX(SPPR!$E:$Z,MATCH($A342,SPPR!$A:$A,0),5),""),"")</f>
        <v/>
      </c>
      <c r="I342">
        <f>IFERROR(IF(ISNUMBER(INDEX(SPPR!$E:$Z,MATCH($A342,SPPR!$A:$A,0),6)),$C342*INDEX(SPPR!$E:$Z,MATCH($A342,SPPR!$A:$A,0),6),""),"")</f>
        <v/>
      </c>
      <c r="J342">
        <f>IFERROR(IF(ISNUMBER(INDEX(SPPR!$E:$Z,MATCH($A342,SPPR!$A:$A,0),7)),$C342*INDEX(SPPR!$E:$Z,MATCH($A342,SPPR!$A:$A,0),7),""),"")</f>
        <v/>
      </c>
      <c r="K342">
        <f>IFERROR(IF(ISNUMBER(INDEX(SPPR!$E:$Z,MATCH($A342,SPPR!$A:$A,0),8)),$C342*INDEX(SPPR!$E:$Z,MATCH($A342,SPPR!$A:$A,0),8),""),"")</f>
        <v/>
      </c>
      <c r="L342">
        <f>IFERROR(IF(ISNUMBER(INDEX(SPPR!$E:$Z,MATCH($A342,SPPR!$A:$A,0),9)),$C342*INDEX(SPPR!$E:$Z,MATCH($A342,SPPR!$A:$A,0),9),""),"")</f>
        <v/>
      </c>
      <c r="M342">
        <f>IFERROR(IF(ISNUMBER(INDEX(SPPR!$E:$Z,MATCH($A342,SPPR!$A:$A,0),10)),$C342*INDEX(SPPR!$E:$Z,MATCH($A342,SPPR!$A:$A,0),10),""),"")</f>
        <v/>
      </c>
      <c r="N342">
        <f>IFERROR(IF(ISNUMBER(INDEX(SPPR!$E:$Z,MATCH($A342,SPPR!$A:$A,0),11)),$C342*INDEX(SPPR!$E:$Z,MATCH($A342,SPPR!$A:$A,0),11),""),"")</f>
        <v/>
      </c>
      <c r="O342">
        <f>IFERROR(IF(ISNUMBER(INDEX(SPPR!$E:$Z,MATCH($A342,SPPR!$A:$A,0),12)),$C342*INDEX(SPPR!$E:$Z,MATCH($A342,SPPR!$A:$A,0),12),""),"")</f>
        <v/>
      </c>
      <c r="P342">
        <f>IFERROR(IF(ISNUMBER(INDEX(SPPR!$E:$Z,MATCH($A342,SPPR!$A:$A,0),13)),$C342*INDEX(SPPR!$E:$Z,MATCH($A342,SPPR!$A:$A,0),13),""),"")</f>
        <v/>
      </c>
      <c r="Q342">
        <f>IFERROR(IF(ISNUMBER(INDEX(SPPR!$E:$Z,MATCH($A342,SPPR!$A:$A,0),14)),$C342*INDEX(SPPR!$E:$Z,MATCH($A342,SPPR!$A:$A,0),14),""),"")</f>
        <v/>
      </c>
      <c r="R342">
        <f>IFERROR(IF(ISNUMBER(INDEX(SPPR!$E:$Z,MATCH($A342,SPPR!$A:$A,0),15)),$C342*INDEX(SPPR!$E:$Z,MATCH($A342,SPPR!$A:$A,0),15),""),"")</f>
        <v/>
      </c>
      <c r="S342">
        <f>IFERROR(IF(ISNUMBER(INDEX(SPPR!$E:$Z,MATCH($A342,SPPR!$A:$A,0),16)),$C342*INDEX(SPPR!$E:$Z,MATCH($A342,SPPR!$A:$A,0),16),""),"")</f>
        <v/>
      </c>
      <c r="T342">
        <f>IFERROR(IF(ISNUMBER(INDEX(SPPR!$E:$Z,MATCH($A342,SPPR!$A:$A,0),17)),$C342*INDEX(SPPR!$E:$Z,MATCH($A342,SPPR!$A:$A,0),17),""),"")</f>
        <v/>
      </c>
      <c r="U342">
        <f>IFERROR(IF(ISNUMBER(INDEX(SPPR!$E:$Z,MATCH($A342,SPPR!$A:$A,0),18)),$C342*INDEX(SPPR!$E:$Z,MATCH($A342,SPPR!$A:$A,0),18),""),"")</f>
        <v/>
      </c>
      <c r="V342">
        <f>IFERROR(IF(ISNUMBER(INDEX(SPPR!$E:$Z,MATCH($A342,SPPR!$A:$A,0),19)),$C342*INDEX(SPPR!$E:$Z,MATCH($A342,SPPR!$A:$A,0),19),""),"")</f>
        <v/>
      </c>
      <c r="W342">
        <f>IFERROR(IF(ISNUMBER(INDEX(SPPR!$E:$Z,MATCH($A342,SPPR!$A:$A,0),20)),$C342*INDEX(SPPR!$E:$Z,MATCH($A342,SPPR!$A:$A,0),20),""),"")</f>
        <v/>
      </c>
      <c r="X342">
        <f>IFERROR(IF(ISNUMBER(INDEX(SPPR!$E:$Z,MATCH($A342,SPPR!$A:$A,0),21)),$C342*INDEX(SPPR!$E:$Z,MATCH($A342,SPPR!$A:$A,0),21),""),"")</f>
        <v/>
      </c>
      <c r="Y342">
        <f>IFERROR(IF(ISNUMBER(INDEX(SPPR!$E:$Z,MATCH($A342,SPPR!$A:$A,0),22)),$C342*INDEX(SPPR!$E:$Z,MATCH($A342,SPPR!$A:$A,0),22),""),"")</f>
        <v/>
      </c>
    </row>
    <row r="343">
      <c r="A343" t="inlineStr">
        <is>
          <t>Beryx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IFERROR(IF(ISNUMBER(INDEX(SPPR!$E:$Z,MATCH($A343,SPPR!$A:$A,0),1)),$C343*INDEX(SPPR!$E:$Z,MATCH($A343,SPPR!$A:$A,0),1),""),"")</f>
        <v/>
      </c>
      <c r="E343">
        <f>IFERROR(IF(ISNUMBER(INDEX(SPPR!$E:$Z,MATCH($A343,SPPR!$A:$A,0),2)),$C343*INDEX(SPPR!$E:$Z,MATCH($A343,SPPR!$A:$A,0),2),""),"")</f>
        <v/>
      </c>
      <c r="F343">
        <f>IFERROR(IF(ISNUMBER(INDEX(SPPR!$E:$Z,MATCH($A343,SPPR!$A:$A,0),3)),$C343*INDEX(SPPR!$E:$Z,MATCH($A343,SPPR!$A:$A,0),3),""),"")</f>
        <v/>
      </c>
      <c r="G343">
        <f>IFERROR(IF(ISNUMBER(INDEX(SPPR!$E:$Z,MATCH($A343,SPPR!$A:$A,0),4)),$C343*INDEX(SPPR!$E:$Z,MATCH($A343,SPPR!$A:$A,0),4),""),"")</f>
        <v/>
      </c>
      <c r="H343">
        <f>IFERROR(IF(ISNUMBER(INDEX(SPPR!$E:$Z,MATCH($A343,SPPR!$A:$A,0),5)),$C343*INDEX(SPPR!$E:$Z,MATCH($A343,SPPR!$A:$A,0),5),""),"")</f>
        <v/>
      </c>
      <c r="I343">
        <f>IFERROR(IF(ISNUMBER(INDEX(SPPR!$E:$Z,MATCH($A343,SPPR!$A:$A,0),6)),$C343*INDEX(SPPR!$E:$Z,MATCH($A343,SPPR!$A:$A,0),6),""),"")</f>
        <v/>
      </c>
      <c r="J343">
        <f>IFERROR(IF(ISNUMBER(INDEX(SPPR!$E:$Z,MATCH($A343,SPPR!$A:$A,0),7)),$C343*INDEX(SPPR!$E:$Z,MATCH($A343,SPPR!$A:$A,0),7),""),"")</f>
        <v/>
      </c>
      <c r="K343">
        <f>IFERROR(IF(ISNUMBER(INDEX(SPPR!$E:$Z,MATCH($A343,SPPR!$A:$A,0),8)),$C343*INDEX(SPPR!$E:$Z,MATCH($A343,SPPR!$A:$A,0),8),""),"")</f>
        <v/>
      </c>
      <c r="L343">
        <f>IFERROR(IF(ISNUMBER(INDEX(SPPR!$E:$Z,MATCH($A343,SPPR!$A:$A,0),9)),$C343*INDEX(SPPR!$E:$Z,MATCH($A343,SPPR!$A:$A,0),9),""),"")</f>
        <v/>
      </c>
      <c r="M343">
        <f>IFERROR(IF(ISNUMBER(INDEX(SPPR!$E:$Z,MATCH($A343,SPPR!$A:$A,0),10)),$C343*INDEX(SPPR!$E:$Z,MATCH($A343,SPPR!$A:$A,0),10),""),"")</f>
        <v/>
      </c>
      <c r="N343">
        <f>IFERROR(IF(ISNUMBER(INDEX(SPPR!$E:$Z,MATCH($A343,SPPR!$A:$A,0),11)),$C343*INDEX(SPPR!$E:$Z,MATCH($A343,SPPR!$A:$A,0),11),""),"")</f>
        <v/>
      </c>
      <c r="O343">
        <f>IFERROR(IF(ISNUMBER(INDEX(SPPR!$E:$Z,MATCH($A343,SPPR!$A:$A,0),12)),$C343*INDEX(SPPR!$E:$Z,MATCH($A343,SPPR!$A:$A,0),12),""),"")</f>
        <v/>
      </c>
      <c r="P343">
        <f>IFERROR(IF(ISNUMBER(INDEX(SPPR!$E:$Z,MATCH($A343,SPPR!$A:$A,0),13)),$C343*INDEX(SPPR!$E:$Z,MATCH($A343,SPPR!$A:$A,0),13),""),"")</f>
        <v/>
      </c>
      <c r="Q343">
        <f>IFERROR(IF(ISNUMBER(INDEX(SPPR!$E:$Z,MATCH($A343,SPPR!$A:$A,0),14)),$C343*INDEX(SPPR!$E:$Z,MATCH($A343,SPPR!$A:$A,0),14),""),"")</f>
        <v/>
      </c>
      <c r="R343">
        <f>IFERROR(IF(ISNUMBER(INDEX(SPPR!$E:$Z,MATCH($A343,SPPR!$A:$A,0),15)),$C343*INDEX(SPPR!$E:$Z,MATCH($A343,SPPR!$A:$A,0),15),""),"")</f>
        <v/>
      </c>
      <c r="S343">
        <f>IFERROR(IF(ISNUMBER(INDEX(SPPR!$E:$Z,MATCH($A343,SPPR!$A:$A,0),16)),$C343*INDEX(SPPR!$E:$Z,MATCH($A343,SPPR!$A:$A,0),16),""),"")</f>
        <v/>
      </c>
      <c r="T343">
        <f>IFERROR(IF(ISNUMBER(INDEX(SPPR!$E:$Z,MATCH($A343,SPPR!$A:$A,0),17)),$C343*INDEX(SPPR!$E:$Z,MATCH($A343,SPPR!$A:$A,0),17),""),"")</f>
        <v/>
      </c>
      <c r="U343">
        <f>IFERROR(IF(ISNUMBER(INDEX(SPPR!$E:$Z,MATCH($A343,SPPR!$A:$A,0),18)),$C343*INDEX(SPPR!$E:$Z,MATCH($A343,SPPR!$A:$A,0),18),""),"")</f>
        <v/>
      </c>
      <c r="V343">
        <f>IFERROR(IF(ISNUMBER(INDEX(SPPR!$E:$Z,MATCH($A343,SPPR!$A:$A,0),19)),$C343*INDEX(SPPR!$E:$Z,MATCH($A343,SPPR!$A:$A,0),19),""),"")</f>
        <v/>
      </c>
      <c r="W343">
        <f>IFERROR(IF(ISNUMBER(INDEX(SPPR!$E:$Z,MATCH($A343,SPPR!$A:$A,0),20)),$C343*INDEX(SPPR!$E:$Z,MATCH($A343,SPPR!$A:$A,0),20),""),"")</f>
        <v/>
      </c>
      <c r="X343">
        <f>IFERROR(IF(ISNUMBER(INDEX(SPPR!$E:$Z,MATCH($A343,SPPR!$A:$A,0),21)),$C343*INDEX(SPPR!$E:$Z,MATCH($A343,SPPR!$A:$A,0),21),""),"")</f>
        <v/>
      </c>
      <c r="Y343">
        <f>IFERROR(IF(ISNUMBER(INDEX(SPPR!$E:$Z,MATCH($A343,SPPR!$A:$A,0),22)),$C343*INDEX(SPPR!$E:$Z,MATCH($A343,SPPR!$A:$A,0),22),""),"")</f>
        <v/>
      </c>
    </row>
    <row r="344">
      <c r="A344" t="inlineStr">
        <is>
          <t>Magallana gigas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IFERROR(IF(ISNUMBER(INDEX(SPPR!$E:$Z,MATCH($A344,SPPR!$A:$A,0),1)),$C344*INDEX(SPPR!$E:$Z,MATCH($A344,SPPR!$A:$A,0),1),""),"")</f>
        <v/>
      </c>
      <c r="E344">
        <f>IFERROR(IF(ISNUMBER(INDEX(SPPR!$E:$Z,MATCH($A344,SPPR!$A:$A,0),2)),$C344*INDEX(SPPR!$E:$Z,MATCH($A344,SPPR!$A:$A,0),2),""),"")</f>
        <v/>
      </c>
      <c r="F344">
        <f>IFERROR(IF(ISNUMBER(INDEX(SPPR!$E:$Z,MATCH($A344,SPPR!$A:$A,0),3)),$C344*INDEX(SPPR!$E:$Z,MATCH($A344,SPPR!$A:$A,0),3),""),"")</f>
        <v/>
      </c>
      <c r="G344">
        <f>IFERROR(IF(ISNUMBER(INDEX(SPPR!$E:$Z,MATCH($A344,SPPR!$A:$A,0),4)),$C344*INDEX(SPPR!$E:$Z,MATCH($A344,SPPR!$A:$A,0),4),""),"")</f>
        <v/>
      </c>
      <c r="H344">
        <f>IFERROR(IF(ISNUMBER(INDEX(SPPR!$E:$Z,MATCH($A344,SPPR!$A:$A,0),5)),$C344*INDEX(SPPR!$E:$Z,MATCH($A344,SPPR!$A:$A,0),5),""),"")</f>
        <v/>
      </c>
      <c r="I344">
        <f>IFERROR(IF(ISNUMBER(INDEX(SPPR!$E:$Z,MATCH($A344,SPPR!$A:$A,0),6)),$C344*INDEX(SPPR!$E:$Z,MATCH($A344,SPPR!$A:$A,0),6),""),"")</f>
        <v/>
      </c>
      <c r="J344">
        <f>IFERROR(IF(ISNUMBER(INDEX(SPPR!$E:$Z,MATCH($A344,SPPR!$A:$A,0),7)),$C344*INDEX(SPPR!$E:$Z,MATCH($A344,SPPR!$A:$A,0),7),""),"")</f>
        <v/>
      </c>
      <c r="K344">
        <f>IFERROR(IF(ISNUMBER(INDEX(SPPR!$E:$Z,MATCH($A344,SPPR!$A:$A,0),8)),$C344*INDEX(SPPR!$E:$Z,MATCH($A344,SPPR!$A:$A,0),8),""),"")</f>
        <v/>
      </c>
      <c r="L344">
        <f>IFERROR(IF(ISNUMBER(INDEX(SPPR!$E:$Z,MATCH($A344,SPPR!$A:$A,0),9)),$C344*INDEX(SPPR!$E:$Z,MATCH($A344,SPPR!$A:$A,0),9),""),"")</f>
        <v/>
      </c>
      <c r="M344">
        <f>IFERROR(IF(ISNUMBER(INDEX(SPPR!$E:$Z,MATCH($A344,SPPR!$A:$A,0),10)),$C344*INDEX(SPPR!$E:$Z,MATCH($A344,SPPR!$A:$A,0),10),""),"")</f>
        <v/>
      </c>
      <c r="N344">
        <f>IFERROR(IF(ISNUMBER(INDEX(SPPR!$E:$Z,MATCH($A344,SPPR!$A:$A,0),11)),$C344*INDEX(SPPR!$E:$Z,MATCH($A344,SPPR!$A:$A,0),11),""),"")</f>
        <v/>
      </c>
      <c r="O344">
        <f>IFERROR(IF(ISNUMBER(INDEX(SPPR!$E:$Z,MATCH($A344,SPPR!$A:$A,0),12)),$C344*INDEX(SPPR!$E:$Z,MATCH($A344,SPPR!$A:$A,0),12),""),"")</f>
        <v/>
      </c>
      <c r="P344">
        <f>IFERROR(IF(ISNUMBER(INDEX(SPPR!$E:$Z,MATCH($A344,SPPR!$A:$A,0),13)),$C344*INDEX(SPPR!$E:$Z,MATCH($A344,SPPR!$A:$A,0),13),""),"")</f>
        <v/>
      </c>
      <c r="Q344">
        <f>IFERROR(IF(ISNUMBER(INDEX(SPPR!$E:$Z,MATCH($A344,SPPR!$A:$A,0),14)),$C344*INDEX(SPPR!$E:$Z,MATCH($A344,SPPR!$A:$A,0),14),""),"")</f>
        <v/>
      </c>
      <c r="R344">
        <f>IFERROR(IF(ISNUMBER(INDEX(SPPR!$E:$Z,MATCH($A344,SPPR!$A:$A,0),15)),$C344*INDEX(SPPR!$E:$Z,MATCH($A344,SPPR!$A:$A,0),15),""),"")</f>
        <v/>
      </c>
      <c r="S344">
        <f>IFERROR(IF(ISNUMBER(INDEX(SPPR!$E:$Z,MATCH($A344,SPPR!$A:$A,0),16)),$C344*INDEX(SPPR!$E:$Z,MATCH($A344,SPPR!$A:$A,0),16),""),"")</f>
        <v/>
      </c>
      <c r="T344">
        <f>IFERROR(IF(ISNUMBER(INDEX(SPPR!$E:$Z,MATCH($A344,SPPR!$A:$A,0),17)),$C344*INDEX(SPPR!$E:$Z,MATCH($A344,SPPR!$A:$A,0),17),""),"")</f>
        <v/>
      </c>
      <c r="U344">
        <f>IFERROR(IF(ISNUMBER(INDEX(SPPR!$E:$Z,MATCH($A344,SPPR!$A:$A,0),18)),$C344*INDEX(SPPR!$E:$Z,MATCH($A344,SPPR!$A:$A,0),18),""),"")</f>
        <v/>
      </c>
      <c r="V344">
        <f>IFERROR(IF(ISNUMBER(INDEX(SPPR!$E:$Z,MATCH($A344,SPPR!$A:$A,0),19)),$C344*INDEX(SPPR!$E:$Z,MATCH($A344,SPPR!$A:$A,0),19),""),"")</f>
        <v/>
      </c>
      <c r="W344">
        <f>IFERROR(IF(ISNUMBER(INDEX(SPPR!$E:$Z,MATCH($A344,SPPR!$A:$A,0),20)),$C344*INDEX(SPPR!$E:$Z,MATCH($A344,SPPR!$A:$A,0),20),""),"")</f>
        <v/>
      </c>
      <c r="X344">
        <f>IFERROR(IF(ISNUMBER(INDEX(SPPR!$E:$Z,MATCH($A344,SPPR!$A:$A,0),21)),$C344*INDEX(SPPR!$E:$Z,MATCH($A344,SPPR!$A:$A,0),21),""),"")</f>
        <v/>
      </c>
      <c r="Y344">
        <f>IFERROR(IF(ISNUMBER(INDEX(SPPR!$E:$Z,MATCH($A344,SPPR!$A:$A,0),22)),$C344*INDEX(SPPR!$E:$Z,MATCH($A344,SPPR!$A:$A,0),22),""),"")</f>
        <v/>
      </c>
    </row>
    <row r="345">
      <c r="A345" t="inlineStr">
        <is>
          <t>Sillago sihama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IFERROR(IF(ISNUMBER(INDEX(SPPR!$E:$Z,MATCH($A345,SPPR!$A:$A,0),1)),$C345*INDEX(SPPR!$E:$Z,MATCH($A345,SPPR!$A:$A,0),1),""),"")</f>
        <v/>
      </c>
      <c r="E345">
        <f>IFERROR(IF(ISNUMBER(INDEX(SPPR!$E:$Z,MATCH($A345,SPPR!$A:$A,0),2)),$C345*INDEX(SPPR!$E:$Z,MATCH($A345,SPPR!$A:$A,0),2),""),"")</f>
        <v/>
      </c>
      <c r="F345">
        <f>IFERROR(IF(ISNUMBER(INDEX(SPPR!$E:$Z,MATCH($A345,SPPR!$A:$A,0),3)),$C345*INDEX(SPPR!$E:$Z,MATCH($A345,SPPR!$A:$A,0),3),""),"")</f>
        <v/>
      </c>
      <c r="G345">
        <f>IFERROR(IF(ISNUMBER(INDEX(SPPR!$E:$Z,MATCH($A345,SPPR!$A:$A,0),4)),$C345*INDEX(SPPR!$E:$Z,MATCH($A345,SPPR!$A:$A,0),4),""),"")</f>
        <v/>
      </c>
      <c r="H345">
        <f>IFERROR(IF(ISNUMBER(INDEX(SPPR!$E:$Z,MATCH($A345,SPPR!$A:$A,0),5)),$C345*INDEX(SPPR!$E:$Z,MATCH($A345,SPPR!$A:$A,0),5),""),"")</f>
        <v/>
      </c>
      <c r="I345">
        <f>IFERROR(IF(ISNUMBER(INDEX(SPPR!$E:$Z,MATCH($A345,SPPR!$A:$A,0),6)),$C345*INDEX(SPPR!$E:$Z,MATCH($A345,SPPR!$A:$A,0),6),""),"")</f>
        <v/>
      </c>
      <c r="J345">
        <f>IFERROR(IF(ISNUMBER(INDEX(SPPR!$E:$Z,MATCH($A345,SPPR!$A:$A,0),7)),$C345*INDEX(SPPR!$E:$Z,MATCH($A345,SPPR!$A:$A,0),7),""),"")</f>
        <v/>
      </c>
      <c r="K345">
        <f>IFERROR(IF(ISNUMBER(INDEX(SPPR!$E:$Z,MATCH($A345,SPPR!$A:$A,0),8)),$C345*INDEX(SPPR!$E:$Z,MATCH($A345,SPPR!$A:$A,0),8),""),"")</f>
        <v/>
      </c>
      <c r="L345">
        <f>IFERROR(IF(ISNUMBER(INDEX(SPPR!$E:$Z,MATCH($A345,SPPR!$A:$A,0),9)),$C345*INDEX(SPPR!$E:$Z,MATCH($A345,SPPR!$A:$A,0),9),""),"")</f>
        <v/>
      </c>
      <c r="M345">
        <f>IFERROR(IF(ISNUMBER(INDEX(SPPR!$E:$Z,MATCH($A345,SPPR!$A:$A,0),10)),$C345*INDEX(SPPR!$E:$Z,MATCH($A345,SPPR!$A:$A,0),10),""),"")</f>
        <v/>
      </c>
      <c r="N345">
        <f>IFERROR(IF(ISNUMBER(INDEX(SPPR!$E:$Z,MATCH($A345,SPPR!$A:$A,0),11)),$C345*INDEX(SPPR!$E:$Z,MATCH($A345,SPPR!$A:$A,0),11),""),"")</f>
        <v/>
      </c>
      <c r="O345">
        <f>IFERROR(IF(ISNUMBER(INDEX(SPPR!$E:$Z,MATCH($A345,SPPR!$A:$A,0),12)),$C345*INDEX(SPPR!$E:$Z,MATCH($A345,SPPR!$A:$A,0),12),""),"")</f>
        <v/>
      </c>
      <c r="P345">
        <f>IFERROR(IF(ISNUMBER(INDEX(SPPR!$E:$Z,MATCH($A345,SPPR!$A:$A,0),13)),$C345*INDEX(SPPR!$E:$Z,MATCH($A345,SPPR!$A:$A,0),13),""),"")</f>
        <v/>
      </c>
      <c r="Q345">
        <f>IFERROR(IF(ISNUMBER(INDEX(SPPR!$E:$Z,MATCH($A345,SPPR!$A:$A,0),14)),$C345*INDEX(SPPR!$E:$Z,MATCH($A345,SPPR!$A:$A,0),14),""),"")</f>
        <v/>
      </c>
      <c r="R345">
        <f>IFERROR(IF(ISNUMBER(INDEX(SPPR!$E:$Z,MATCH($A345,SPPR!$A:$A,0),15)),$C345*INDEX(SPPR!$E:$Z,MATCH($A345,SPPR!$A:$A,0),15),""),"")</f>
        <v/>
      </c>
      <c r="S345">
        <f>IFERROR(IF(ISNUMBER(INDEX(SPPR!$E:$Z,MATCH($A345,SPPR!$A:$A,0),16)),$C345*INDEX(SPPR!$E:$Z,MATCH($A345,SPPR!$A:$A,0),16),""),"")</f>
        <v/>
      </c>
      <c r="T345">
        <f>IFERROR(IF(ISNUMBER(INDEX(SPPR!$E:$Z,MATCH($A345,SPPR!$A:$A,0),17)),$C345*INDEX(SPPR!$E:$Z,MATCH($A345,SPPR!$A:$A,0),17),""),"")</f>
        <v/>
      </c>
      <c r="U345">
        <f>IFERROR(IF(ISNUMBER(INDEX(SPPR!$E:$Z,MATCH($A345,SPPR!$A:$A,0),18)),$C345*INDEX(SPPR!$E:$Z,MATCH($A345,SPPR!$A:$A,0),18),""),"")</f>
        <v/>
      </c>
      <c r="V345">
        <f>IFERROR(IF(ISNUMBER(INDEX(SPPR!$E:$Z,MATCH($A345,SPPR!$A:$A,0),19)),$C345*INDEX(SPPR!$E:$Z,MATCH($A345,SPPR!$A:$A,0),19),""),"")</f>
        <v/>
      </c>
      <c r="W345">
        <f>IFERROR(IF(ISNUMBER(INDEX(SPPR!$E:$Z,MATCH($A345,SPPR!$A:$A,0),20)),$C345*INDEX(SPPR!$E:$Z,MATCH($A345,SPPR!$A:$A,0),20),""),"")</f>
        <v/>
      </c>
      <c r="X345">
        <f>IFERROR(IF(ISNUMBER(INDEX(SPPR!$E:$Z,MATCH($A345,SPPR!$A:$A,0),21)),$C345*INDEX(SPPR!$E:$Z,MATCH($A345,SPPR!$A:$A,0),21),""),"")</f>
        <v/>
      </c>
      <c r="Y345">
        <f>IFERROR(IF(ISNUMBER(INDEX(SPPR!$E:$Z,MATCH($A345,SPPR!$A:$A,0),22)),$C345*INDEX(SPPR!$E:$Z,MATCH($A345,SPPR!$A:$A,0),22),""),"")</f>
        <v/>
      </c>
    </row>
    <row r="346">
      <c r="A346" t="inlineStr">
        <is>
          <t>Pteriomorphia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IFERROR(IF(ISNUMBER(INDEX(SPPR!$E:$Z,MATCH($A346,SPPR!$A:$A,0),1)),$C346*INDEX(SPPR!$E:$Z,MATCH($A346,SPPR!$A:$A,0),1),""),"")</f>
        <v/>
      </c>
      <c r="E346">
        <f>IFERROR(IF(ISNUMBER(INDEX(SPPR!$E:$Z,MATCH($A346,SPPR!$A:$A,0),2)),$C346*INDEX(SPPR!$E:$Z,MATCH($A346,SPPR!$A:$A,0),2),""),"")</f>
        <v/>
      </c>
      <c r="F346">
        <f>IFERROR(IF(ISNUMBER(INDEX(SPPR!$E:$Z,MATCH($A346,SPPR!$A:$A,0),3)),$C346*INDEX(SPPR!$E:$Z,MATCH($A346,SPPR!$A:$A,0),3),""),"")</f>
        <v/>
      </c>
      <c r="G346">
        <f>IFERROR(IF(ISNUMBER(INDEX(SPPR!$E:$Z,MATCH($A346,SPPR!$A:$A,0),4)),$C346*INDEX(SPPR!$E:$Z,MATCH($A346,SPPR!$A:$A,0),4),""),"")</f>
        <v/>
      </c>
      <c r="H346">
        <f>IFERROR(IF(ISNUMBER(INDEX(SPPR!$E:$Z,MATCH($A346,SPPR!$A:$A,0),5)),$C346*INDEX(SPPR!$E:$Z,MATCH($A346,SPPR!$A:$A,0),5),""),"")</f>
        <v/>
      </c>
      <c r="I346">
        <f>IFERROR(IF(ISNUMBER(INDEX(SPPR!$E:$Z,MATCH($A346,SPPR!$A:$A,0),6)),$C346*INDEX(SPPR!$E:$Z,MATCH($A346,SPPR!$A:$A,0),6),""),"")</f>
        <v/>
      </c>
      <c r="J346">
        <f>IFERROR(IF(ISNUMBER(INDEX(SPPR!$E:$Z,MATCH($A346,SPPR!$A:$A,0),7)),$C346*INDEX(SPPR!$E:$Z,MATCH($A346,SPPR!$A:$A,0),7),""),"")</f>
        <v/>
      </c>
      <c r="K346">
        <f>IFERROR(IF(ISNUMBER(INDEX(SPPR!$E:$Z,MATCH($A346,SPPR!$A:$A,0),8)),$C346*INDEX(SPPR!$E:$Z,MATCH($A346,SPPR!$A:$A,0),8),""),"")</f>
        <v/>
      </c>
      <c r="L346">
        <f>IFERROR(IF(ISNUMBER(INDEX(SPPR!$E:$Z,MATCH($A346,SPPR!$A:$A,0),9)),$C346*INDEX(SPPR!$E:$Z,MATCH($A346,SPPR!$A:$A,0),9),""),"")</f>
        <v/>
      </c>
      <c r="M346">
        <f>IFERROR(IF(ISNUMBER(INDEX(SPPR!$E:$Z,MATCH($A346,SPPR!$A:$A,0),10)),$C346*INDEX(SPPR!$E:$Z,MATCH($A346,SPPR!$A:$A,0),10),""),"")</f>
        <v/>
      </c>
      <c r="N346">
        <f>IFERROR(IF(ISNUMBER(INDEX(SPPR!$E:$Z,MATCH($A346,SPPR!$A:$A,0),11)),$C346*INDEX(SPPR!$E:$Z,MATCH($A346,SPPR!$A:$A,0),11),""),"")</f>
        <v/>
      </c>
      <c r="O346">
        <f>IFERROR(IF(ISNUMBER(INDEX(SPPR!$E:$Z,MATCH($A346,SPPR!$A:$A,0),12)),$C346*INDEX(SPPR!$E:$Z,MATCH($A346,SPPR!$A:$A,0),12),""),"")</f>
        <v/>
      </c>
      <c r="P346">
        <f>IFERROR(IF(ISNUMBER(INDEX(SPPR!$E:$Z,MATCH($A346,SPPR!$A:$A,0),13)),$C346*INDEX(SPPR!$E:$Z,MATCH($A346,SPPR!$A:$A,0),13),""),"")</f>
        <v/>
      </c>
      <c r="Q346">
        <f>IFERROR(IF(ISNUMBER(INDEX(SPPR!$E:$Z,MATCH($A346,SPPR!$A:$A,0),14)),$C346*INDEX(SPPR!$E:$Z,MATCH($A346,SPPR!$A:$A,0),14),""),"")</f>
        <v/>
      </c>
      <c r="R346">
        <f>IFERROR(IF(ISNUMBER(INDEX(SPPR!$E:$Z,MATCH($A346,SPPR!$A:$A,0),15)),$C346*INDEX(SPPR!$E:$Z,MATCH($A346,SPPR!$A:$A,0),15),""),"")</f>
        <v/>
      </c>
      <c r="S346">
        <f>IFERROR(IF(ISNUMBER(INDEX(SPPR!$E:$Z,MATCH($A346,SPPR!$A:$A,0),16)),$C346*INDEX(SPPR!$E:$Z,MATCH($A346,SPPR!$A:$A,0),16),""),"")</f>
        <v/>
      </c>
      <c r="T346">
        <f>IFERROR(IF(ISNUMBER(INDEX(SPPR!$E:$Z,MATCH($A346,SPPR!$A:$A,0),17)),$C346*INDEX(SPPR!$E:$Z,MATCH($A346,SPPR!$A:$A,0),17),""),"")</f>
        <v/>
      </c>
      <c r="U346">
        <f>IFERROR(IF(ISNUMBER(INDEX(SPPR!$E:$Z,MATCH($A346,SPPR!$A:$A,0),18)),$C346*INDEX(SPPR!$E:$Z,MATCH($A346,SPPR!$A:$A,0),18),""),"")</f>
        <v/>
      </c>
      <c r="V346">
        <f>IFERROR(IF(ISNUMBER(INDEX(SPPR!$E:$Z,MATCH($A346,SPPR!$A:$A,0),19)),$C346*INDEX(SPPR!$E:$Z,MATCH($A346,SPPR!$A:$A,0),19),""),"")</f>
        <v/>
      </c>
      <c r="W346">
        <f>IFERROR(IF(ISNUMBER(INDEX(SPPR!$E:$Z,MATCH($A346,SPPR!$A:$A,0),20)),$C346*INDEX(SPPR!$E:$Z,MATCH($A346,SPPR!$A:$A,0),20),""),"")</f>
        <v/>
      </c>
      <c r="X346">
        <f>IFERROR(IF(ISNUMBER(INDEX(SPPR!$E:$Z,MATCH($A346,SPPR!$A:$A,0),21)),$C346*INDEX(SPPR!$E:$Z,MATCH($A346,SPPR!$A:$A,0),21),""),"")</f>
        <v/>
      </c>
      <c r="Y346">
        <f>IFERROR(IF(ISNUMBER(INDEX(SPPR!$E:$Z,MATCH($A346,SPPR!$A:$A,0),22)),$C346*INDEX(SPPR!$E:$Z,MATCH($A346,SPPR!$A:$A,0),22),""),"")</f>
        <v/>
      </c>
    </row>
    <row r="347">
      <c r="A347" t="inlineStr">
        <is>
          <t>Metapenaeus ensis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IFERROR(IF(ISNUMBER(INDEX(SPPR!$E:$Z,MATCH($A347,SPPR!$A:$A,0),1)),$C347*INDEX(SPPR!$E:$Z,MATCH($A347,SPPR!$A:$A,0),1),""),"")</f>
        <v/>
      </c>
      <c r="E347">
        <f>IFERROR(IF(ISNUMBER(INDEX(SPPR!$E:$Z,MATCH($A347,SPPR!$A:$A,0),2)),$C347*INDEX(SPPR!$E:$Z,MATCH($A347,SPPR!$A:$A,0),2),""),"")</f>
        <v/>
      </c>
      <c r="F347">
        <f>IFERROR(IF(ISNUMBER(INDEX(SPPR!$E:$Z,MATCH($A347,SPPR!$A:$A,0),3)),$C347*INDEX(SPPR!$E:$Z,MATCH($A347,SPPR!$A:$A,0),3),""),"")</f>
        <v/>
      </c>
      <c r="G347">
        <f>IFERROR(IF(ISNUMBER(INDEX(SPPR!$E:$Z,MATCH($A347,SPPR!$A:$A,0),4)),$C347*INDEX(SPPR!$E:$Z,MATCH($A347,SPPR!$A:$A,0),4),""),"")</f>
        <v/>
      </c>
      <c r="H347">
        <f>IFERROR(IF(ISNUMBER(INDEX(SPPR!$E:$Z,MATCH($A347,SPPR!$A:$A,0),5)),$C347*INDEX(SPPR!$E:$Z,MATCH($A347,SPPR!$A:$A,0),5),""),"")</f>
        <v/>
      </c>
      <c r="I347">
        <f>IFERROR(IF(ISNUMBER(INDEX(SPPR!$E:$Z,MATCH($A347,SPPR!$A:$A,0),6)),$C347*INDEX(SPPR!$E:$Z,MATCH($A347,SPPR!$A:$A,0),6),""),"")</f>
        <v/>
      </c>
      <c r="J347">
        <f>IFERROR(IF(ISNUMBER(INDEX(SPPR!$E:$Z,MATCH($A347,SPPR!$A:$A,0),7)),$C347*INDEX(SPPR!$E:$Z,MATCH($A347,SPPR!$A:$A,0),7),""),"")</f>
        <v/>
      </c>
      <c r="K347">
        <f>IFERROR(IF(ISNUMBER(INDEX(SPPR!$E:$Z,MATCH($A347,SPPR!$A:$A,0),8)),$C347*INDEX(SPPR!$E:$Z,MATCH($A347,SPPR!$A:$A,0),8),""),"")</f>
        <v/>
      </c>
      <c r="L347">
        <f>IFERROR(IF(ISNUMBER(INDEX(SPPR!$E:$Z,MATCH($A347,SPPR!$A:$A,0),9)),$C347*INDEX(SPPR!$E:$Z,MATCH($A347,SPPR!$A:$A,0),9),""),"")</f>
        <v/>
      </c>
      <c r="M347">
        <f>IFERROR(IF(ISNUMBER(INDEX(SPPR!$E:$Z,MATCH($A347,SPPR!$A:$A,0),10)),$C347*INDEX(SPPR!$E:$Z,MATCH($A347,SPPR!$A:$A,0),10),""),"")</f>
        <v/>
      </c>
      <c r="N347">
        <f>IFERROR(IF(ISNUMBER(INDEX(SPPR!$E:$Z,MATCH($A347,SPPR!$A:$A,0),11)),$C347*INDEX(SPPR!$E:$Z,MATCH($A347,SPPR!$A:$A,0),11),""),"")</f>
        <v/>
      </c>
      <c r="O347">
        <f>IFERROR(IF(ISNUMBER(INDEX(SPPR!$E:$Z,MATCH($A347,SPPR!$A:$A,0),12)),$C347*INDEX(SPPR!$E:$Z,MATCH($A347,SPPR!$A:$A,0),12),""),"")</f>
        <v/>
      </c>
      <c r="P347">
        <f>IFERROR(IF(ISNUMBER(INDEX(SPPR!$E:$Z,MATCH($A347,SPPR!$A:$A,0),13)),$C347*INDEX(SPPR!$E:$Z,MATCH($A347,SPPR!$A:$A,0),13),""),"")</f>
        <v/>
      </c>
      <c r="Q347">
        <f>IFERROR(IF(ISNUMBER(INDEX(SPPR!$E:$Z,MATCH($A347,SPPR!$A:$A,0),14)),$C347*INDEX(SPPR!$E:$Z,MATCH($A347,SPPR!$A:$A,0),14),""),"")</f>
        <v/>
      </c>
      <c r="R347">
        <f>IFERROR(IF(ISNUMBER(INDEX(SPPR!$E:$Z,MATCH($A347,SPPR!$A:$A,0),15)),$C347*INDEX(SPPR!$E:$Z,MATCH($A347,SPPR!$A:$A,0),15),""),"")</f>
        <v/>
      </c>
      <c r="S347">
        <f>IFERROR(IF(ISNUMBER(INDEX(SPPR!$E:$Z,MATCH($A347,SPPR!$A:$A,0),16)),$C347*INDEX(SPPR!$E:$Z,MATCH($A347,SPPR!$A:$A,0),16),""),"")</f>
        <v/>
      </c>
      <c r="T347">
        <f>IFERROR(IF(ISNUMBER(INDEX(SPPR!$E:$Z,MATCH($A347,SPPR!$A:$A,0),17)),$C347*INDEX(SPPR!$E:$Z,MATCH($A347,SPPR!$A:$A,0),17),""),"")</f>
        <v/>
      </c>
      <c r="U347">
        <f>IFERROR(IF(ISNUMBER(INDEX(SPPR!$E:$Z,MATCH($A347,SPPR!$A:$A,0),18)),$C347*INDEX(SPPR!$E:$Z,MATCH($A347,SPPR!$A:$A,0),18),""),"")</f>
        <v/>
      </c>
      <c r="V347">
        <f>IFERROR(IF(ISNUMBER(INDEX(SPPR!$E:$Z,MATCH($A347,SPPR!$A:$A,0),19)),$C347*INDEX(SPPR!$E:$Z,MATCH($A347,SPPR!$A:$A,0),19),""),"")</f>
        <v/>
      </c>
      <c r="W347">
        <f>IFERROR(IF(ISNUMBER(INDEX(SPPR!$E:$Z,MATCH($A347,SPPR!$A:$A,0),20)),$C347*INDEX(SPPR!$E:$Z,MATCH($A347,SPPR!$A:$A,0),20),""),"")</f>
        <v/>
      </c>
      <c r="X347">
        <f>IFERROR(IF(ISNUMBER(INDEX(SPPR!$E:$Z,MATCH($A347,SPPR!$A:$A,0),21)),$C347*INDEX(SPPR!$E:$Z,MATCH($A347,SPPR!$A:$A,0),21),""),"")</f>
        <v/>
      </c>
      <c r="Y347">
        <f>IFERROR(IF(ISNUMBER(INDEX(SPPR!$E:$Z,MATCH($A347,SPPR!$A:$A,0),22)),$C347*INDEX(SPPR!$E:$Z,MATCH($A347,SPPR!$A:$A,0),22),""),"")</f>
        <v/>
      </c>
    </row>
    <row r="348">
      <c r="A348" t="inlineStr">
        <is>
          <t>Macolor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IFERROR(IF(ISNUMBER(INDEX(SPPR!$E:$Z,MATCH($A348,SPPR!$A:$A,0),1)),$C348*INDEX(SPPR!$E:$Z,MATCH($A348,SPPR!$A:$A,0),1),""),"")</f>
        <v/>
      </c>
      <c r="E348">
        <f>IFERROR(IF(ISNUMBER(INDEX(SPPR!$E:$Z,MATCH($A348,SPPR!$A:$A,0),2)),$C348*INDEX(SPPR!$E:$Z,MATCH($A348,SPPR!$A:$A,0),2),""),"")</f>
        <v/>
      </c>
      <c r="F348">
        <f>IFERROR(IF(ISNUMBER(INDEX(SPPR!$E:$Z,MATCH($A348,SPPR!$A:$A,0),3)),$C348*INDEX(SPPR!$E:$Z,MATCH($A348,SPPR!$A:$A,0),3),""),"")</f>
        <v/>
      </c>
      <c r="G348">
        <f>IFERROR(IF(ISNUMBER(INDEX(SPPR!$E:$Z,MATCH($A348,SPPR!$A:$A,0),4)),$C348*INDEX(SPPR!$E:$Z,MATCH($A348,SPPR!$A:$A,0),4),""),"")</f>
        <v/>
      </c>
      <c r="H348">
        <f>IFERROR(IF(ISNUMBER(INDEX(SPPR!$E:$Z,MATCH($A348,SPPR!$A:$A,0),5)),$C348*INDEX(SPPR!$E:$Z,MATCH($A348,SPPR!$A:$A,0),5),""),"")</f>
        <v/>
      </c>
      <c r="I348">
        <f>IFERROR(IF(ISNUMBER(INDEX(SPPR!$E:$Z,MATCH($A348,SPPR!$A:$A,0),6)),$C348*INDEX(SPPR!$E:$Z,MATCH($A348,SPPR!$A:$A,0),6),""),"")</f>
        <v/>
      </c>
      <c r="J348">
        <f>IFERROR(IF(ISNUMBER(INDEX(SPPR!$E:$Z,MATCH($A348,SPPR!$A:$A,0),7)),$C348*INDEX(SPPR!$E:$Z,MATCH($A348,SPPR!$A:$A,0),7),""),"")</f>
        <v/>
      </c>
      <c r="K348">
        <f>IFERROR(IF(ISNUMBER(INDEX(SPPR!$E:$Z,MATCH($A348,SPPR!$A:$A,0),8)),$C348*INDEX(SPPR!$E:$Z,MATCH($A348,SPPR!$A:$A,0),8),""),"")</f>
        <v/>
      </c>
      <c r="L348">
        <f>IFERROR(IF(ISNUMBER(INDEX(SPPR!$E:$Z,MATCH($A348,SPPR!$A:$A,0),9)),$C348*INDEX(SPPR!$E:$Z,MATCH($A348,SPPR!$A:$A,0),9),""),"")</f>
        <v/>
      </c>
      <c r="M348">
        <f>IFERROR(IF(ISNUMBER(INDEX(SPPR!$E:$Z,MATCH($A348,SPPR!$A:$A,0),10)),$C348*INDEX(SPPR!$E:$Z,MATCH($A348,SPPR!$A:$A,0),10),""),"")</f>
        <v/>
      </c>
      <c r="N348">
        <f>IFERROR(IF(ISNUMBER(INDEX(SPPR!$E:$Z,MATCH($A348,SPPR!$A:$A,0),11)),$C348*INDEX(SPPR!$E:$Z,MATCH($A348,SPPR!$A:$A,0),11),""),"")</f>
        <v/>
      </c>
      <c r="O348">
        <f>IFERROR(IF(ISNUMBER(INDEX(SPPR!$E:$Z,MATCH($A348,SPPR!$A:$A,0),12)),$C348*INDEX(SPPR!$E:$Z,MATCH($A348,SPPR!$A:$A,0),12),""),"")</f>
        <v/>
      </c>
      <c r="P348">
        <f>IFERROR(IF(ISNUMBER(INDEX(SPPR!$E:$Z,MATCH($A348,SPPR!$A:$A,0),13)),$C348*INDEX(SPPR!$E:$Z,MATCH($A348,SPPR!$A:$A,0),13),""),"")</f>
        <v/>
      </c>
      <c r="Q348">
        <f>IFERROR(IF(ISNUMBER(INDEX(SPPR!$E:$Z,MATCH($A348,SPPR!$A:$A,0),14)),$C348*INDEX(SPPR!$E:$Z,MATCH($A348,SPPR!$A:$A,0),14),""),"")</f>
        <v/>
      </c>
      <c r="R348">
        <f>IFERROR(IF(ISNUMBER(INDEX(SPPR!$E:$Z,MATCH($A348,SPPR!$A:$A,0),15)),$C348*INDEX(SPPR!$E:$Z,MATCH($A348,SPPR!$A:$A,0),15),""),"")</f>
        <v/>
      </c>
      <c r="S348">
        <f>IFERROR(IF(ISNUMBER(INDEX(SPPR!$E:$Z,MATCH($A348,SPPR!$A:$A,0),16)),$C348*INDEX(SPPR!$E:$Z,MATCH($A348,SPPR!$A:$A,0),16),""),"")</f>
        <v/>
      </c>
      <c r="T348">
        <f>IFERROR(IF(ISNUMBER(INDEX(SPPR!$E:$Z,MATCH($A348,SPPR!$A:$A,0),17)),$C348*INDEX(SPPR!$E:$Z,MATCH($A348,SPPR!$A:$A,0),17),""),"")</f>
        <v/>
      </c>
      <c r="U348">
        <f>IFERROR(IF(ISNUMBER(INDEX(SPPR!$E:$Z,MATCH($A348,SPPR!$A:$A,0),18)),$C348*INDEX(SPPR!$E:$Z,MATCH($A348,SPPR!$A:$A,0),18),""),"")</f>
        <v/>
      </c>
      <c r="V348">
        <f>IFERROR(IF(ISNUMBER(INDEX(SPPR!$E:$Z,MATCH($A348,SPPR!$A:$A,0),19)),$C348*INDEX(SPPR!$E:$Z,MATCH($A348,SPPR!$A:$A,0),19),""),"")</f>
        <v/>
      </c>
      <c r="W348">
        <f>IFERROR(IF(ISNUMBER(INDEX(SPPR!$E:$Z,MATCH($A348,SPPR!$A:$A,0),20)),$C348*INDEX(SPPR!$E:$Z,MATCH($A348,SPPR!$A:$A,0),20),""),"")</f>
        <v/>
      </c>
      <c r="X348">
        <f>IFERROR(IF(ISNUMBER(INDEX(SPPR!$E:$Z,MATCH($A348,SPPR!$A:$A,0),21)),$C348*INDEX(SPPR!$E:$Z,MATCH($A348,SPPR!$A:$A,0),21),""),"")</f>
        <v/>
      </c>
      <c r="Y348">
        <f>IFERROR(IF(ISNUMBER(INDEX(SPPR!$E:$Z,MATCH($A348,SPPR!$A:$A,0),22)),$C348*INDEX(SPPR!$E:$Z,MATCH($A348,SPPR!$A:$A,0),22),""),"")</f>
        <v/>
      </c>
    </row>
    <row r="349">
      <c r="A349" t="inlineStr">
        <is>
          <t>Haliotis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IFERROR(IF(ISNUMBER(INDEX(SPPR!$E:$Z,MATCH($A349,SPPR!$A:$A,0),1)),$C349*INDEX(SPPR!$E:$Z,MATCH($A349,SPPR!$A:$A,0),1),""),"")</f>
        <v/>
      </c>
      <c r="E349">
        <f>IFERROR(IF(ISNUMBER(INDEX(SPPR!$E:$Z,MATCH($A349,SPPR!$A:$A,0),2)),$C349*INDEX(SPPR!$E:$Z,MATCH($A349,SPPR!$A:$A,0),2),""),"")</f>
        <v/>
      </c>
      <c r="F349">
        <f>IFERROR(IF(ISNUMBER(INDEX(SPPR!$E:$Z,MATCH($A349,SPPR!$A:$A,0),3)),$C349*INDEX(SPPR!$E:$Z,MATCH($A349,SPPR!$A:$A,0),3),""),"")</f>
        <v/>
      </c>
      <c r="G349">
        <f>IFERROR(IF(ISNUMBER(INDEX(SPPR!$E:$Z,MATCH($A349,SPPR!$A:$A,0),4)),$C349*INDEX(SPPR!$E:$Z,MATCH($A349,SPPR!$A:$A,0),4),""),"")</f>
        <v/>
      </c>
      <c r="H349">
        <f>IFERROR(IF(ISNUMBER(INDEX(SPPR!$E:$Z,MATCH($A349,SPPR!$A:$A,0),5)),$C349*INDEX(SPPR!$E:$Z,MATCH($A349,SPPR!$A:$A,0),5),""),"")</f>
        <v/>
      </c>
      <c r="I349">
        <f>IFERROR(IF(ISNUMBER(INDEX(SPPR!$E:$Z,MATCH($A349,SPPR!$A:$A,0),6)),$C349*INDEX(SPPR!$E:$Z,MATCH($A349,SPPR!$A:$A,0),6),""),"")</f>
        <v/>
      </c>
      <c r="J349">
        <f>IFERROR(IF(ISNUMBER(INDEX(SPPR!$E:$Z,MATCH($A349,SPPR!$A:$A,0),7)),$C349*INDEX(SPPR!$E:$Z,MATCH($A349,SPPR!$A:$A,0),7),""),"")</f>
        <v/>
      </c>
      <c r="K349">
        <f>IFERROR(IF(ISNUMBER(INDEX(SPPR!$E:$Z,MATCH($A349,SPPR!$A:$A,0),8)),$C349*INDEX(SPPR!$E:$Z,MATCH($A349,SPPR!$A:$A,0),8),""),"")</f>
        <v/>
      </c>
      <c r="L349">
        <f>IFERROR(IF(ISNUMBER(INDEX(SPPR!$E:$Z,MATCH($A349,SPPR!$A:$A,0),9)),$C349*INDEX(SPPR!$E:$Z,MATCH($A349,SPPR!$A:$A,0),9),""),"")</f>
        <v/>
      </c>
      <c r="M349">
        <f>IFERROR(IF(ISNUMBER(INDEX(SPPR!$E:$Z,MATCH($A349,SPPR!$A:$A,0),10)),$C349*INDEX(SPPR!$E:$Z,MATCH($A349,SPPR!$A:$A,0),10),""),"")</f>
        <v/>
      </c>
      <c r="N349">
        <f>IFERROR(IF(ISNUMBER(INDEX(SPPR!$E:$Z,MATCH($A349,SPPR!$A:$A,0),11)),$C349*INDEX(SPPR!$E:$Z,MATCH($A349,SPPR!$A:$A,0),11),""),"")</f>
        <v/>
      </c>
      <c r="O349">
        <f>IFERROR(IF(ISNUMBER(INDEX(SPPR!$E:$Z,MATCH($A349,SPPR!$A:$A,0),12)),$C349*INDEX(SPPR!$E:$Z,MATCH($A349,SPPR!$A:$A,0),12),""),"")</f>
        <v/>
      </c>
      <c r="P349">
        <f>IFERROR(IF(ISNUMBER(INDEX(SPPR!$E:$Z,MATCH($A349,SPPR!$A:$A,0),13)),$C349*INDEX(SPPR!$E:$Z,MATCH($A349,SPPR!$A:$A,0),13),""),"")</f>
        <v/>
      </c>
      <c r="Q349">
        <f>IFERROR(IF(ISNUMBER(INDEX(SPPR!$E:$Z,MATCH($A349,SPPR!$A:$A,0),14)),$C349*INDEX(SPPR!$E:$Z,MATCH($A349,SPPR!$A:$A,0),14),""),"")</f>
        <v/>
      </c>
      <c r="R349">
        <f>IFERROR(IF(ISNUMBER(INDEX(SPPR!$E:$Z,MATCH($A349,SPPR!$A:$A,0),15)),$C349*INDEX(SPPR!$E:$Z,MATCH($A349,SPPR!$A:$A,0),15),""),"")</f>
        <v/>
      </c>
      <c r="S349">
        <f>IFERROR(IF(ISNUMBER(INDEX(SPPR!$E:$Z,MATCH($A349,SPPR!$A:$A,0),16)),$C349*INDEX(SPPR!$E:$Z,MATCH($A349,SPPR!$A:$A,0),16),""),"")</f>
        <v/>
      </c>
      <c r="T349">
        <f>IFERROR(IF(ISNUMBER(INDEX(SPPR!$E:$Z,MATCH($A349,SPPR!$A:$A,0),17)),$C349*INDEX(SPPR!$E:$Z,MATCH($A349,SPPR!$A:$A,0),17),""),"")</f>
        <v/>
      </c>
      <c r="U349">
        <f>IFERROR(IF(ISNUMBER(INDEX(SPPR!$E:$Z,MATCH($A349,SPPR!$A:$A,0),18)),$C349*INDEX(SPPR!$E:$Z,MATCH($A349,SPPR!$A:$A,0),18),""),"")</f>
        <v/>
      </c>
      <c r="V349">
        <f>IFERROR(IF(ISNUMBER(INDEX(SPPR!$E:$Z,MATCH($A349,SPPR!$A:$A,0),19)),$C349*INDEX(SPPR!$E:$Z,MATCH($A349,SPPR!$A:$A,0),19),""),"")</f>
        <v/>
      </c>
      <c r="W349">
        <f>IFERROR(IF(ISNUMBER(INDEX(SPPR!$E:$Z,MATCH($A349,SPPR!$A:$A,0),20)),$C349*INDEX(SPPR!$E:$Z,MATCH($A349,SPPR!$A:$A,0),20),""),"")</f>
        <v/>
      </c>
      <c r="X349">
        <f>IFERROR(IF(ISNUMBER(INDEX(SPPR!$E:$Z,MATCH($A349,SPPR!$A:$A,0),21)),$C349*INDEX(SPPR!$E:$Z,MATCH($A349,SPPR!$A:$A,0),21),""),"")</f>
        <v/>
      </c>
      <c r="Y349">
        <f>IFERROR(IF(ISNUMBER(INDEX(SPPR!$E:$Z,MATCH($A349,SPPR!$A:$A,0),22)),$C349*INDEX(SPPR!$E:$Z,MATCH($A349,SPPR!$A:$A,0),22),""),"")</f>
        <v/>
      </c>
    </row>
    <row r="350">
      <c r="A350" t="inlineStr">
        <is>
          <t>Berycidae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IFERROR(IF(ISNUMBER(INDEX(SPPR!$E:$Z,MATCH($A350,SPPR!$A:$A,0),1)),$C350*INDEX(SPPR!$E:$Z,MATCH($A350,SPPR!$A:$A,0),1),""),"")</f>
        <v/>
      </c>
      <c r="E350">
        <f>IFERROR(IF(ISNUMBER(INDEX(SPPR!$E:$Z,MATCH($A350,SPPR!$A:$A,0),2)),$C350*INDEX(SPPR!$E:$Z,MATCH($A350,SPPR!$A:$A,0),2),""),"")</f>
        <v/>
      </c>
      <c r="F350">
        <f>IFERROR(IF(ISNUMBER(INDEX(SPPR!$E:$Z,MATCH($A350,SPPR!$A:$A,0),3)),$C350*INDEX(SPPR!$E:$Z,MATCH($A350,SPPR!$A:$A,0),3),""),"")</f>
        <v/>
      </c>
      <c r="G350">
        <f>IFERROR(IF(ISNUMBER(INDEX(SPPR!$E:$Z,MATCH($A350,SPPR!$A:$A,0),4)),$C350*INDEX(SPPR!$E:$Z,MATCH($A350,SPPR!$A:$A,0),4),""),"")</f>
        <v/>
      </c>
      <c r="H350">
        <f>IFERROR(IF(ISNUMBER(INDEX(SPPR!$E:$Z,MATCH($A350,SPPR!$A:$A,0),5)),$C350*INDEX(SPPR!$E:$Z,MATCH($A350,SPPR!$A:$A,0),5),""),"")</f>
        <v/>
      </c>
      <c r="I350">
        <f>IFERROR(IF(ISNUMBER(INDEX(SPPR!$E:$Z,MATCH($A350,SPPR!$A:$A,0),6)),$C350*INDEX(SPPR!$E:$Z,MATCH($A350,SPPR!$A:$A,0),6),""),"")</f>
        <v/>
      </c>
      <c r="J350">
        <f>IFERROR(IF(ISNUMBER(INDEX(SPPR!$E:$Z,MATCH($A350,SPPR!$A:$A,0),7)),$C350*INDEX(SPPR!$E:$Z,MATCH($A350,SPPR!$A:$A,0),7),""),"")</f>
        <v/>
      </c>
      <c r="K350">
        <f>IFERROR(IF(ISNUMBER(INDEX(SPPR!$E:$Z,MATCH($A350,SPPR!$A:$A,0),8)),$C350*INDEX(SPPR!$E:$Z,MATCH($A350,SPPR!$A:$A,0),8),""),"")</f>
        <v/>
      </c>
      <c r="L350">
        <f>IFERROR(IF(ISNUMBER(INDEX(SPPR!$E:$Z,MATCH($A350,SPPR!$A:$A,0),9)),$C350*INDEX(SPPR!$E:$Z,MATCH($A350,SPPR!$A:$A,0),9),""),"")</f>
        <v/>
      </c>
      <c r="M350">
        <f>IFERROR(IF(ISNUMBER(INDEX(SPPR!$E:$Z,MATCH($A350,SPPR!$A:$A,0),10)),$C350*INDEX(SPPR!$E:$Z,MATCH($A350,SPPR!$A:$A,0),10),""),"")</f>
        <v/>
      </c>
      <c r="N350">
        <f>IFERROR(IF(ISNUMBER(INDEX(SPPR!$E:$Z,MATCH($A350,SPPR!$A:$A,0),11)),$C350*INDEX(SPPR!$E:$Z,MATCH($A350,SPPR!$A:$A,0),11),""),"")</f>
        <v/>
      </c>
      <c r="O350">
        <f>IFERROR(IF(ISNUMBER(INDEX(SPPR!$E:$Z,MATCH($A350,SPPR!$A:$A,0),12)),$C350*INDEX(SPPR!$E:$Z,MATCH($A350,SPPR!$A:$A,0),12),""),"")</f>
        <v/>
      </c>
      <c r="P350">
        <f>IFERROR(IF(ISNUMBER(INDEX(SPPR!$E:$Z,MATCH($A350,SPPR!$A:$A,0),13)),$C350*INDEX(SPPR!$E:$Z,MATCH($A350,SPPR!$A:$A,0),13),""),"")</f>
        <v/>
      </c>
      <c r="Q350">
        <f>IFERROR(IF(ISNUMBER(INDEX(SPPR!$E:$Z,MATCH($A350,SPPR!$A:$A,0),14)),$C350*INDEX(SPPR!$E:$Z,MATCH($A350,SPPR!$A:$A,0),14),""),"")</f>
        <v/>
      </c>
      <c r="R350">
        <f>IFERROR(IF(ISNUMBER(INDEX(SPPR!$E:$Z,MATCH($A350,SPPR!$A:$A,0),15)),$C350*INDEX(SPPR!$E:$Z,MATCH($A350,SPPR!$A:$A,0),15),""),"")</f>
        <v/>
      </c>
      <c r="S350">
        <f>IFERROR(IF(ISNUMBER(INDEX(SPPR!$E:$Z,MATCH($A350,SPPR!$A:$A,0),16)),$C350*INDEX(SPPR!$E:$Z,MATCH($A350,SPPR!$A:$A,0),16),""),"")</f>
        <v/>
      </c>
      <c r="T350">
        <f>IFERROR(IF(ISNUMBER(INDEX(SPPR!$E:$Z,MATCH($A350,SPPR!$A:$A,0),17)),$C350*INDEX(SPPR!$E:$Z,MATCH($A350,SPPR!$A:$A,0),17),""),"")</f>
        <v/>
      </c>
      <c r="U350">
        <f>IFERROR(IF(ISNUMBER(INDEX(SPPR!$E:$Z,MATCH($A350,SPPR!$A:$A,0),18)),$C350*INDEX(SPPR!$E:$Z,MATCH($A350,SPPR!$A:$A,0),18),""),"")</f>
        <v/>
      </c>
      <c r="V350">
        <f>IFERROR(IF(ISNUMBER(INDEX(SPPR!$E:$Z,MATCH($A350,SPPR!$A:$A,0),19)),$C350*INDEX(SPPR!$E:$Z,MATCH($A350,SPPR!$A:$A,0),19),""),"")</f>
        <v/>
      </c>
      <c r="W350">
        <f>IFERROR(IF(ISNUMBER(INDEX(SPPR!$E:$Z,MATCH($A350,SPPR!$A:$A,0),20)),$C350*INDEX(SPPR!$E:$Z,MATCH($A350,SPPR!$A:$A,0),20),""),"")</f>
        <v/>
      </c>
      <c r="X350">
        <f>IFERROR(IF(ISNUMBER(INDEX(SPPR!$E:$Z,MATCH($A350,SPPR!$A:$A,0),21)),$C350*INDEX(SPPR!$E:$Z,MATCH($A350,SPPR!$A:$A,0),21),""),"")</f>
        <v/>
      </c>
      <c r="Y350">
        <f>IFERROR(IF(ISNUMBER(INDEX(SPPR!$E:$Z,MATCH($A350,SPPR!$A:$A,0),22)),$C350*INDEX(SPPR!$E:$Z,MATCH($A350,SPPR!$A:$A,0),22),""),"")</f>
        <v/>
      </c>
    </row>
    <row r="351">
      <c r="A351" t="inlineStr">
        <is>
          <t>Makaira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IFERROR(IF(ISNUMBER(INDEX(SPPR!$E:$Z,MATCH($A351,SPPR!$A:$A,0),1)),$C351*INDEX(SPPR!$E:$Z,MATCH($A351,SPPR!$A:$A,0),1),""),"")</f>
        <v/>
      </c>
      <c r="E351">
        <f>IFERROR(IF(ISNUMBER(INDEX(SPPR!$E:$Z,MATCH($A351,SPPR!$A:$A,0),2)),$C351*INDEX(SPPR!$E:$Z,MATCH($A351,SPPR!$A:$A,0),2),""),"")</f>
        <v/>
      </c>
      <c r="F351">
        <f>IFERROR(IF(ISNUMBER(INDEX(SPPR!$E:$Z,MATCH($A351,SPPR!$A:$A,0),3)),$C351*INDEX(SPPR!$E:$Z,MATCH($A351,SPPR!$A:$A,0),3),""),"")</f>
        <v/>
      </c>
      <c r="G351">
        <f>IFERROR(IF(ISNUMBER(INDEX(SPPR!$E:$Z,MATCH($A351,SPPR!$A:$A,0),4)),$C351*INDEX(SPPR!$E:$Z,MATCH($A351,SPPR!$A:$A,0),4),""),"")</f>
        <v/>
      </c>
      <c r="H351">
        <f>IFERROR(IF(ISNUMBER(INDEX(SPPR!$E:$Z,MATCH($A351,SPPR!$A:$A,0),5)),$C351*INDEX(SPPR!$E:$Z,MATCH($A351,SPPR!$A:$A,0),5),""),"")</f>
        <v/>
      </c>
      <c r="I351">
        <f>IFERROR(IF(ISNUMBER(INDEX(SPPR!$E:$Z,MATCH($A351,SPPR!$A:$A,0),6)),$C351*INDEX(SPPR!$E:$Z,MATCH($A351,SPPR!$A:$A,0),6),""),"")</f>
        <v/>
      </c>
      <c r="J351">
        <f>IFERROR(IF(ISNUMBER(INDEX(SPPR!$E:$Z,MATCH($A351,SPPR!$A:$A,0),7)),$C351*INDEX(SPPR!$E:$Z,MATCH($A351,SPPR!$A:$A,0),7),""),"")</f>
        <v/>
      </c>
      <c r="K351">
        <f>IFERROR(IF(ISNUMBER(INDEX(SPPR!$E:$Z,MATCH($A351,SPPR!$A:$A,0),8)),$C351*INDEX(SPPR!$E:$Z,MATCH($A351,SPPR!$A:$A,0),8),""),"")</f>
        <v/>
      </c>
      <c r="L351">
        <f>IFERROR(IF(ISNUMBER(INDEX(SPPR!$E:$Z,MATCH($A351,SPPR!$A:$A,0),9)),$C351*INDEX(SPPR!$E:$Z,MATCH($A351,SPPR!$A:$A,0),9),""),"")</f>
        <v/>
      </c>
      <c r="M351">
        <f>IFERROR(IF(ISNUMBER(INDEX(SPPR!$E:$Z,MATCH($A351,SPPR!$A:$A,0),10)),$C351*INDEX(SPPR!$E:$Z,MATCH($A351,SPPR!$A:$A,0),10),""),"")</f>
        <v/>
      </c>
      <c r="N351">
        <f>IFERROR(IF(ISNUMBER(INDEX(SPPR!$E:$Z,MATCH($A351,SPPR!$A:$A,0),11)),$C351*INDEX(SPPR!$E:$Z,MATCH($A351,SPPR!$A:$A,0),11),""),"")</f>
        <v/>
      </c>
      <c r="O351">
        <f>IFERROR(IF(ISNUMBER(INDEX(SPPR!$E:$Z,MATCH($A351,SPPR!$A:$A,0),12)),$C351*INDEX(SPPR!$E:$Z,MATCH($A351,SPPR!$A:$A,0),12),""),"")</f>
        <v/>
      </c>
      <c r="P351">
        <f>IFERROR(IF(ISNUMBER(INDEX(SPPR!$E:$Z,MATCH($A351,SPPR!$A:$A,0),13)),$C351*INDEX(SPPR!$E:$Z,MATCH($A351,SPPR!$A:$A,0),13),""),"")</f>
        <v/>
      </c>
      <c r="Q351">
        <f>IFERROR(IF(ISNUMBER(INDEX(SPPR!$E:$Z,MATCH($A351,SPPR!$A:$A,0),14)),$C351*INDEX(SPPR!$E:$Z,MATCH($A351,SPPR!$A:$A,0),14),""),"")</f>
        <v/>
      </c>
      <c r="R351">
        <f>IFERROR(IF(ISNUMBER(INDEX(SPPR!$E:$Z,MATCH($A351,SPPR!$A:$A,0),15)),$C351*INDEX(SPPR!$E:$Z,MATCH($A351,SPPR!$A:$A,0),15),""),"")</f>
        <v/>
      </c>
      <c r="S351">
        <f>IFERROR(IF(ISNUMBER(INDEX(SPPR!$E:$Z,MATCH($A351,SPPR!$A:$A,0),16)),$C351*INDEX(SPPR!$E:$Z,MATCH($A351,SPPR!$A:$A,0),16),""),"")</f>
        <v/>
      </c>
      <c r="T351">
        <f>IFERROR(IF(ISNUMBER(INDEX(SPPR!$E:$Z,MATCH($A351,SPPR!$A:$A,0),17)),$C351*INDEX(SPPR!$E:$Z,MATCH($A351,SPPR!$A:$A,0),17),""),"")</f>
        <v/>
      </c>
      <c r="U351">
        <f>IFERROR(IF(ISNUMBER(INDEX(SPPR!$E:$Z,MATCH($A351,SPPR!$A:$A,0),18)),$C351*INDEX(SPPR!$E:$Z,MATCH($A351,SPPR!$A:$A,0),18),""),"")</f>
        <v/>
      </c>
      <c r="V351">
        <f>IFERROR(IF(ISNUMBER(INDEX(SPPR!$E:$Z,MATCH($A351,SPPR!$A:$A,0),19)),$C351*INDEX(SPPR!$E:$Z,MATCH($A351,SPPR!$A:$A,0),19),""),"")</f>
        <v/>
      </c>
      <c r="W351">
        <f>IFERROR(IF(ISNUMBER(INDEX(SPPR!$E:$Z,MATCH($A351,SPPR!$A:$A,0),20)),$C351*INDEX(SPPR!$E:$Z,MATCH($A351,SPPR!$A:$A,0),20),""),"")</f>
        <v/>
      </c>
      <c r="X351">
        <f>IFERROR(IF(ISNUMBER(INDEX(SPPR!$E:$Z,MATCH($A351,SPPR!$A:$A,0),21)),$C351*INDEX(SPPR!$E:$Z,MATCH($A351,SPPR!$A:$A,0),21),""),"")</f>
        <v/>
      </c>
      <c r="Y351">
        <f>IFERROR(IF(ISNUMBER(INDEX(SPPR!$E:$Z,MATCH($A351,SPPR!$A:$A,0),22)),$C351*INDEX(SPPR!$E:$Z,MATCH($A351,SPPR!$A:$A,0),22),""),"")</f>
        <v/>
      </c>
    </row>
    <row r="352">
      <c r="A352" t="inlineStr">
        <is>
          <t>Lutjanus bohar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IFERROR(IF(ISNUMBER(INDEX(SPPR!$E:$Z,MATCH($A352,SPPR!$A:$A,0),1)),$C352*INDEX(SPPR!$E:$Z,MATCH($A352,SPPR!$A:$A,0),1),""),"")</f>
        <v/>
      </c>
      <c r="E352">
        <f>IFERROR(IF(ISNUMBER(INDEX(SPPR!$E:$Z,MATCH($A352,SPPR!$A:$A,0),2)),$C352*INDEX(SPPR!$E:$Z,MATCH($A352,SPPR!$A:$A,0),2),""),"")</f>
        <v/>
      </c>
      <c r="F352">
        <f>IFERROR(IF(ISNUMBER(INDEX(SPPR!$E:$Z,MATCH($A352,SPPR!$A:$A,0),3)),$C352*INDEX(SPPR!$E:$Z,MATCH($A352,SPPR!$A:$A,0),3),""),"")</f>
        <v/>
      </c>
      <c r="G352">
        <f>IFERROR(IF(ISNUMBER(INDEX(SPPR!$E:$Z,MATCH($A352,SPPR!$A:$A,0),4)),$C352*INDEX(SPPR!$E:$Z,MATCH($A352,SPPR!$A:$A,0),4),""),"")</f>
        <v/>
      </c>
      <c r="H352">
        <f>IFERROR(IF(ISNUMBER(INDEX(SPPR!$E:$Z,MATCH($A352,SPPR!$A:$A,0),5)),$C352*INDEX(SPPR!$E:$Z,MATCH($A352,SPPR!$A:$A,0),5),""),"")</f>
        <v/>
      </c>
      <c r="I352">
        <f>IFERROR(IF(ISNUMBER(INDEX(SPPR!$E:$Z,MATCH($A352,SPPR!$A:$A,0),6)),$C352*INDEX(SPPR!$E:$Z,MATCH($A352,SPPR!$A:$A,0),6),""),"")</f>
        <v/>
      </c>
      <c r="J352">
        <f>IFERROR(IF(ISNUMBER(INDEX(SPPR!$E:$Z,MATCH($A352,SPPR!$A:$A,0),7)),$C352*INDEX(SPPR!$E:$Z,MATCH($A352,SPPR!$A:$A,0),7),""),"")</f>
        <v/>
      </c>
      <c r="K352">
        <f>IFERROR(IF(ISNUMBER(INDEX(SPPR!$E:$Z,MATCH($A352,SPPR!$A:$A,0),8)),$C352*INDEX(SPPR!$E:$Z,MATCH($A352,SPPR!$A:$A,0),8),""),"")</f>
        <v/>
      </c>
      <c r="L352">
        <f>IFERROR(IF(ISNUMBER(INDEX(SPPR!$E:$Z,MATCH($A352,SPPR!$A:$A,0),9)),$C352*INDEX(SPPR!$E:$Z,MATCH($A352,SPPR!$A:$A,0),9),""),"")</f>
        <v/>
      </c>
      <c r="M352">
        <f>IFERROR(IF(ISNUMBER(INDEX(SPPR!$E:$Z,MATCH($A352,SPPR!$A:$A,0),10)),$C352*INDEX(SPPR!$E:$Z,MATCH($A352,SPPR!$A:$A,0),10),""),"")</f>
        <v/>
      </c>
      <c r="N352">
        <f>IFERROR(IF(ISNUMBER(INDEX(SPPR!$E:$Z,MATCH($A352,SPPR!$A:$A,0),11)),$C352*INDEX(SPPR!$E:$Z,MATCH($A352,SPPR!$A:$A,0),11),""),"")</f>
        <v/>
      </c>
      <c r="O352">
        <f>IFERROR(IF(ISNUMBER(INDEX(SPPR!$E:$Z,MATCH($A352,SPPR!$A:$A,0),12)),$C352*INDEX(SPPR!$E:$Z,MATCH($A352,SPPR!$A:$A,0),12),""),"")</f>
        <v/>
      </c>
      <c r="P352">
        <f>IFERROR(IF(ISNUMBER(INDEX(SPPR!$E:$Z,MATCH($A352,SPPR!$A:$A,0),13)),$C352*INDEX(SPPR!$E:$Z,MATCH($A352,SPPR!$A:$A,0),13),""),"")</f>
        <v/>
      </c>
      <c r="Q352">
        <f>IFERROR(IF(ISNUMBER(INDEX(SPPR!$E:$Z,MATCH($A352,SPPR!$A:$A,0),14)),$C352*INDEX(SPPR!$E:$Z,MATCH($A352,SPPR!$A:$A,0),14),""),"")</f>
        <v/>
      </c>
      <c r="R352">
        <f>IFERROR(IF(ISNUMBER(INDEX(SPPR!$E:$Z,MATCH($A352,SPPR!$A:$A,0),15)),$C352*INDEX(SPPR!$E:$Z,MATCH($A352,SPPR!$A:$A,0),15),""),"")</f>
        <v/>
      </c>
      <c r="S352">
        <f>IFERROR(IF(ISNUMBER(INDEX(SPPR!$E:$Z,MATCH($A352,SPPR!$A:$A,0),16)),$C352*INDEX(SPPR!$E:$Z,MATCH($A352,SPPR!$A:$A,0),16),""),"")</f>
        <v/>
      </c>
      <c r="T352">
        <f>IFERROR(IF(ISNUMBER(INDEX(SPPR!$E:$Z,MATCH($A352,SPPR!$A:$A,0),17)),$C352*INDEX(SPPR!$E:$Z,MATCH($A352,SPPR!$A:$A,0),17),""),"")</f>
        <v/>
      </c>
      <c r="U352">
        <f>IFERROR(IF(ISNUMBER(INDEX(SPPR!$E:$Z,MATCH($A352,SPPR!$A:$A,0),18)),$C352*INDEX(SPPR!$E:$Z,MATCH($A352,SPPR!$A:$A,0),18),""),"")</f>
        <v/>
      </c>
      <c r="V352">
        <f>IFERROR(IF(ISNUMBER(INDEX(SPPR!$E:$Z,MATCH($A352,SPPR!$A:$A,0),19)),$C352*INDEX(SPPR!$E:$Z,MATCH($A352,SPPR!$A:$A,0),19),""),"")</f>
        <v/>
      </c>
      <c r="W352">
        <f>IFERROR(IF(ISNUMBER(INDEX(SPPR!$E:$Z,MATCH($A352,SPPR!$A:$A,0),20)),$C352*INDEX(SPPR!$E:$Z,MATCH($A352,SPPR!$A:$A,0),20),""),"")</f>
        <v/>
      </c>
      <c r="X352">
        <f>IFERROR(IF(ISNUMBER(INDEX(SPPR!$E:$Z,MATCH($A352,SPPR!$A:$A,0),21)),$C352*INDEX(SPPR!$E:$Z,MATCH($A352,SPPR!$A:$A,0),21),""),"")</f>
        <v/>
      </c>
      <c r="Y352">
        <f>IFERROR(IF(ISNUMBER(INDEX(SPPR!$E:$Z,MATCH($A352,SPPR!$A:$A,0),22)),$C352*INDEX(SPPR!$E:$Z,MATCH($A352,SPPR!$A:$A,0),22),""),"")</f>
        <v/>
      </c>
    </row>
    <row r="353">
      <c r="A353" t="inlineStr">
        <is>
          <t>Pomadasys argenteus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IFERROR(IF(ISNUMBER(INDEX(SPPR!$E:$Z,MATCH($A353,SPPR!$A:$A,0),1)),$C353*INDEX(SPPR!$E:$Z,MATCH($A353,SPPR!$A:$A,0),1),""),"")</f>
        <v/>
      </c>
      <c r="E353">
        <f>IFERROR(IF(ISNUMBER(INDEX(SPPR!$E:$Z,MATCH($A353,SPPR!$A:$A,0),2)),$C353*INDEX(SPPR!$E:$Z,MATCH($A353,SPPR!$A:$A,0),2),""),"")</f>
        <v/>
      </c>
      <c r="F353">
        <f>IFERROR(IF(ISNUMBER(INDEX(SPPR!$E:$Z,MATCH($A353,SPPR!$A:$A,0),3)),$C353*INDEX(SPPR!$E:$Z,MATCH($A353,SPPR!$A:$A,0),3),""),"")</f>
        <v/>
      </c>
      <c r="G353">
        <f>IFERROR(IF(ISNUMBER(INDEX(SPPR!$E:$Z,MATCH($A353,SPPR!$A:$A,0),4)),$C353*INDEX(SPPR!$E:$Z,MATCH($A353,SPPR!$A:$A,0),4),""),"")</f>
        <v/>
      </c>
      <c r="H353">
        <f>IFERROR(IF(ISNUMBER(INDEX(SPPR!$E:$Z,MATCH($A353,SPPR!$A:$A,0),5)),$C353*INDEX(SPPR!$E:$Z,MATCH($A353,SPPR!$A:$A,0),5),""),"")</f>
        <v/>
      </c>
      <c r="I353">
        <f>IFERROR(IF(ISNUMBER(INDEX(SPPR!$E:$Z,MATCH($A353,SPPR!$A:$A,0),6)),$C353*INDEX(SPPR!$E:$Z,MATCH($A353,SPPR!$A:$A,0),6),""),"")</f>
        <v/>
      </c>
      <c r="J353">
        <f>IFERROR(IF(ISNUMBER(INDEX(SPPR!$E:$Z,MATCH($A353,SPPR!$A:$A,0),7)),$C353*INDEX(SPPR!$E:$Z,MATCH($A353,SPPR!$A:$A,0),7),""),"")</f>
        <v/>
      </c>
      <c r="K353">
        <f>IFERROR(IF(ISNUMBER(INDEX(SPPR!$E:$Z,MATCH($A353,SPPR!$A:$A,0),8)),$C353*INDEX(SPPR!$E:$Z,MATCH($A353,SPPR!$A:$A,0),8),""),"")</f>
        <v/>
      </c>
      <c r="L353">
        <f>IFERROR(IF(ISNUMBER(INDEX(SPPR!$E:$Z,MATCH($A353,SPPR!$A:$A,0),9)),$C353*INDEX(SPPR!$E:$Z,MATCH($A353,SPPR!$A:$A,0),9),""),"")</f>
        <v/>
      </c>
      <c r="M353">
        <f>IFERROR(IF(ISNUMBER(INDEX(SPPR!$E:$Z,MATCH($A353,SPPR!$A:$A,0),10)),$C353*INDEX(SPPR!$E:$Z,MATCH($A353,SPPR!$A:$A,0),10),""),"")</f>
        <v/>
      </c>
      <c r="N353">
        <f>IFERROR(IF(ISNUMBER(INDEX(SPPR!$E:$Z,MATCH($A353,SPPR!$A:$A,0),11)),$C353*INDEX(SPPR!$E:$Z,MATCH($A353,SPPR!$A:$A,0),11),""),"")</f>
        <v/>
      </c>
      <c r="O353">
        <f>IFERROR(IF(ISNUMBER(INDEX(SPPR!$E:$Z,MATCH($A353,SPPR!$A:$A,0),12)),$C353*INDEX(SPPR!$E:$Z,MATCH($A353,SPPR!$A:$A,0),12),""),"")</f>
        <v/>
      </c>
      <c r="P353">
        <f>IFERROR(IF(ISNUMBER(INDEX(SPPR!$E:$Z,MATCH($A353,SPPR!$A:$A,0),13)),$C353*INDEX(SPPR!$E:$Z,MATCH($A353,SPPR!$A:$A,0),13),""),"")</f>
        <v/>
      </c>
      <c r="Q353">
        <f>IFERROR(IF(ISNUMBER(INDEX(SPPR!$E:$Z,MATCH($A353,SPPR!$A:$A,0),14)),$C353*INDEX(SPPR!$E:$Z,MATCH($A353,SPPR!$A:$A,0),14),""),"")</f>
        <v/>
      </c>
      <c r="R353">
        <f>IFERROR(IF(ISNUMBER(INDEX(SPPR!$E:$Z,MATCH($A353,SPPR!$A:$A,0),15)),$C353*INDEX(SPPR!$E:$Z,MATCH($A353,SPPR!$A:$A,0),15),""),"")</f>
        <v/>
      </c>
      <c r="S353">
        <f>IFERROR(IF(ISNUMBER(INDEX(SPPR!$E:$Z,MATCH($A353,SPPR!$A:$A,0),16)),$C353*INDEX(SPPR!$E:$Z,MATCH($A353,SPPR!$A:$A,0),16),""),"")</f>
        <v/>
      </c>
      <c r="T353">
        <f>IFERROR(IF(ISNUMBER(INDEX(SPPR!$E:$Z,MATCH($A353,SPPR!$A:$A,0),17)),$C353*INDEX(SPPR!$E:$Z,MATCH($A353,SPPR!$A:$A,0),17),""),"")</f>
        <v/>
      </c>
      <c r="U353">
        <f>IFERROR(IF(ISNUMBER(INDEX(SPPR!$E:$Z,MATCH($A353,SPPR!$A:$A,0),18)),$C353*INDEX(SPPR!$E:$Z,MATCH($A353,SPPR!$A:$A,0),18),""),"")</f>
        <v/>
      </c>
      <c r="V353">
        <f>IFERROR(IF(ISNUMBER(INDEX(SPPR!$E:$Z,MATCH($A353,SPPR!$A:$A,0),19)),$C353*INDEX(SPPR!$E:$Z,MATCH($A353,SPPR!$A:$A,0),19),""),"")</f>
        <v/>
      </c>
      <c r="W353">
        <f>IFERROR(IF(ISNUMBER(INDEX(SPPR!$E:$Z,MATCH($A353,SPPR!$A:$A,0),20)),$C353*INDEX(SPPR!$E:$Z,MATCH($A353,SPPR!$A:$A,0),20),""),"")</f>
        <v/>
      </c>
      <c r="X353">
        <f>IFERROR(IF(ISNUMBER(INDEX(SPPR!$E:$Z,MATCH($A353,SPPR!$A:$A,0),21)),$C353*INDEX(SPPR!$E:$Z,MATCH($A353,SPPR!$A:$A,0),21),""),"")</f>
        <v/>
      </c>
      <c r="Y353">
        <f>IFERROR(IF(ISNUMBER(INDEX(SPPR!$E:$Z,MATCH($A353,SPPR!$A:$A,0),22)),$C353*INDEX(SPPR!$E:$Z,MATCH($A353,SPPR!$A:$A,0),22),""),"")</f>
        <v/>
      </c>
    </row>
    <row r="354">
      <c r="A354" t="inlineStr">
        <is>
          <t>Caranx sexfasciatus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IFERROR(IF(ISNUMBER(INDEX(SPPR!$E:$Z,MATCH($A354,SPPR!$A:$A,0),1)),$C354*INDEX(SPPR!$E:$Z,MATCH($A354,SPPR!$A:$A,0),1),""),"")</f>
        <v/>
      </c>
      <c r="E354">
        <f>IFERROR(IF(ISNUMBER(INDEX(SPPR!$E:$Z,MATCH($A354,SPPR!$A:$A,0),2)),$C354*INDEX(SPPR!$E:$Z,MATCH($A354,SPPR!$A:$A,0),2),""),"")</f>
        <v/>
      </c>
      <c r="F354">
        <f>IFERROR(IF(ISNUMBER(INDEX(SPPR!$E:$Z,MATCH($A354,SPPR!$A:$A,0),3)),$C354*INDEX(SPPR!$E:$Z,MATCH($A354,SPPR!$A:$A,0),3),""),"")</f>
        <v/>
      </c>
      <c r="G354">
        <f>IFERROR(IF(ISNUMBER(INDEX(SPPR!$E:$Z,MATCH($A354,SPPR!$A:$A,0),4)),$C354*INDEX(SPPR!$E:$Z,MATCH($A354,SPPR!$A:$A,0),4),""),"")</f>
        <v/>
      </c>
      <c r="H354">
        <f>IFERROR(IF(ISNUMBER(INDEX(SPPR!$E:$Z,MATCH($A354,SPPR!$A:$A,0),5)),$C354*INDEX(SPPR!$E:$Z,MATCH($A354,SPPR!$A:$A,0),5),""),"")</f>
        <v/>
      </c>
      <c r="I354">
        <f>IFERROR(IF(ISNUMBER(INDEX(SPPR!$E:$Z,MATCH($A354,SPPR!$A:$A,0),6)),$C354*INDEX(SPPR!$E:$Z,MATCH($A354,SPPR!$A:$A,0),6),""),"")</f>
        <v/>
      </c>
      <c r="J354">
        <f>IFERROR(IF(ISNUMBER(INDEX(SPPR!$E:$Z,MATCH($A354,SPPR!$A:$A,0),7)),$C354*INDEX(SPPR!$E:$Z,MATCH($A354,SPPR!$A:$A,0),7),""),"")</f>
        <v/>
      </c>
      <c r="K354">
        <f>IFERROR(IF(ISNUMBER(INDEX(SPPR!$E:$Z,MATCH($A354,SPPR!$A:$A,0),8)),$C354*INDEX(SPPR!$E:$Z,MATCH($A354,SPPR!$A:$A,0),8),""),"")</f>
        <v/>
      </c>
      <c r="L354">
        <f>IFERROR(IF(ISNUMBER(INDEX(SPPR!$E:$Z,MATCH($A354,SPPR!$A:$A,0),9)),$C354*INDEX(SPPR!$E:$Z,MATCH($A354,SPPR!$A:$A,0),9),""),"")</f>
        <v/>
      </c>
      <c r="M354">
        <f>IFERROR(IF(ISNUMBER(INDEX(SPPR!$E:$Z,MATCH($A354,SPPR!$A:$A,0),10)),$C354*INDEX(SPPR!$E:$Z,MATCH($A354,SPPR!$A:$A,0),10),""),"")</f>
        <v/>
      </c>
      <c r="N354">
        <f>IFERROR(IF(ISNUMBER(INDEX(SPPR!$E:$Z,MATCH($A354,SPPR!$A:$A,0),11)),$C354*INDEX(SPPR!$E:$Z,MATCH($A354,SPPR!$A:$A,0),11),""),"")</f>
        <v/>
      </c>
      <c r="O354">
        <f>IFERROR(IF(ISNUMBER(INDEX(SPPR!$E:$Z,MATCH($A354,SPPR!$A:$A,0),12)),$C354*INDEX(SPPR!$E:$Z,MATCH($A354,SPPR!$A:$A,0),12),""),"")</f>
        <v/>
      </c>
      <c r="P354">
        <f>IFERROR(IF(ISNUMBER(INDEX(SPPR!$E:$Z,MATCH($A354,SPPR!$A:$A,0),13)),$C354*INDEX(SPPR!$E:$Z,MATCH($A354,SPPR!$A:$A,0),13),""),"")</f>
        <v/>
      </c>
      <c r="Q354">
        <f>IFERROR(IF(ISNUMBER(INDEX(SPPR!$E:$Z,MATCH($A354,SPPR!$A:$A,0),14)),$C354*INDEX(SPPR!$E:$Z,MATCH($A354,SPPR!$A:$A,0),14),""),"")</f>
        <v/>
      </c>
      <c r="R354">
        <f>IFERROR(IF(ISNUMBER(INDEX(SPPR!$E:$Z,MATCH($A354,SPPR!$A:$A,0),15)),$C354*INDEX(SPPR!$E:$Z,MATCH($A354,SPPR!$A:$A,0),15),""),"")</f>
        <v/>
      </c>
      <c r="S354">
        <f>IFERROR(IF(ISNUMBER(INDEX(SPPR!$E:$Z,MATCH($A354,SPPR!$A:$A,0),16)),$C354*INDEX(SPPR!$E:$Z,MATCH($A354,SPPR!$A:$A,0),16),""),"")</f>
        <v/>
      </c>
      <c r="T354">
        <f>IFERROR(IF(ISNUMBER(INDEX(SPPR!$E:$Z,MATCH($A354,SPPR!$A:$A,0),17)),$C354*INDEX(SPPR!$E:$Z,MATCH($A354,SPPR!$A:$A,0),17),""),"")</f>
        <v/>
      </c>
      <c r="U354">
        <f>IFERROR(IF(ISNUMBER(INDEX(SPPR!$E:$Z,MATCH($A354,SPPR!$A:$A,0),18)),$C354*INDEX(SPPR!$E:$Z,MATCH($A354,SPPR!$A:$A,0),18),""),"")</f>
        <v/>
      </c>
      <c r="V354">
        <f>IFERROR(IF(ISNUMBER(INDEX(SPPR!$E:$Z,MATCH($A354,SPPR!$A:$A,0),19)),$C354*INDEX(SPPR!$E:$Z,MATCH($A354,SPPR!$A:$A,0),19),""),"")</f>
        <v/>
      </c>
      <c r="W354">
        <f>IFERROR(IF(ISNUMBER(INDEX(SPPR!$E:$Z,MATCH($A354,SPPR!$A:$A,0),20)),$C354*INDEX(SPPR!$E:$Z,MATCH($A354,SPPR!$A:$A,0),20),""),"")</f>
        <v/>
      </c>
      <c r="X354">
        <f>IFERROR(IF(ISNUMBER(INDEX(SPPR!$E:$Z,MATCH($A354,SPPR!$A:$A,0),21)),$C354*INDEX(SPPR!$E:$Z,MATCH($A354,SPPR!$A:$A,0),21),""),"")</f>
        <v/>
      </c>
      <c r="Y354">
        <f>IFERROR(IF(ISNUMBER(INDEX(SPPR!$E:$Z,MATCH($A354,SPPR!$A:$A,0),22)),$C354*INDEX(SPPR!$E:$Z,MATCH($A354,SPPR!$A:$A,0),22),""),"")</f>
        <v/>
      </c>
    </row>
    <row r="355">
      <c r="A355" t="inlineStr">
        <is>
          <t>Spratelloides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IFERROR(IF(ISNUMBER(INDEX(SPPR!$E:$Z,MATCH($A355,SPPR!$A:$A,0),1)),$C355*INDEX(SPPR!$E:$Z,MATCH($A355,SPPR!$A:$A,0),1),""),"")</f>
        <v/>
      </c>
      <c r="E355">
        <f>IFERROR(IF(ISNUMBER(INDEX(SPPR!$E:$Z,MATCH($A355,SPPR!$A:$A,0),2)),$C355*INDEX(SPPR!$E:$Z,MATCH($A355,SPPR!$A:$A,0),2),""),"")</f>
        <v/>
      </c>
      <c r="F355">
        <f>IFERROR(IF(ISNUMBER(INDEX(SPPR!$E:$Z,MATCH($A355,SPPR!$A:$A,0),3)),$C355*INDEX(SPPR!$E:$Z,MATCH($A355,SPPR!$A:$A,0),3),""),"")</f>
        <v/>
      </c>
      <c r="G355">
        <f>IFERROR(IF(ISNUMBER(INDEX(SPPR!$E:$Z,MATCH($A355,SPPR!$A:$A,0),4)),$C355*INDEX(SPPR!$E:$Z,MATCH($A355,SPPR!$A:$A,0),4),""),"")</f>
        <v/>
      </c>
      <c r="H355">
        <f>IFERROR(IF(ISNUMBER(INDEX(SPPR!$E:$Z,MATCH($A355,SPPR!$A:$A,0),5)),$C355*INDEX(SPPR!$E:$Z,MATCH($A355,SPPR!$A:$A,0),5),""),"")</f>
        <v/>
      </c>
      <c r="I355">
        <f>IFERROR(IF(ISNUMBER(INDEX(SPPR!$E:$Z,MATCH($A355,SPPR!$A:$A,0),6)),$C355*INDEX(SPPR!$E:$Z,MATCH($A355,SPPR!$A:$A,0),6),""),"")</f>
        <v/>
      </c>
      <c r="J355">
        <f>IFERROR(IF(ISNUMBER(INDEX(SPPR!$E:$Z,MATCH($A355,SPPR!$A:$A,0),7)),$C355*INDEX(SPPR!$E:$Z,MATCH($A355,SPPR!$A:$A,0),7),""),"")</f>
        <v/>
      </c>
      <c r="K355">
        <f>IFERROR(IF(ISNUMBER(INDEX(SPPR!$E:$Z,MATCH($A355,SPPR!$A:$A,0),8)),$C355*INDEX(SPPR!$E:$Z,MATCH($A355,SPPR!$A:$A,0),8),""),"")</f>
        <v/>
      </c>
      <c r="L355">
        <f>IFERROR(IF(ISNUMBER(INDEX(SPPR!$E:$Z,MATCH($A355,SPPR!$A:$A,0),9)),$C355*INDEX(SPPR!$E:$Z,MATCH($A355,SPPR!$A:$A,0),9),""),"")</f>
        <v/>
      </c>
      <c r="M355">
        <f>IFERROR(IF(ISNUMBER(INDEX(SPPR!$E:$Z,MATCH($A355,SPPR!$A:$A,0),10)),$C355*INDEX(SPPR!$E:$Z,MATCH($A355,SPPR!$A:$A,0),10),""),"")</f>
        <v/>
      </c>
      <c r="N355">
        <f>IFERROR(IF(ISNUMBER(INDEX(SPPR!$E:$Z,MATCH($A355,SPPR!$A:$A,0),11)),$C355*INDEX(SPPR!$E:$Z,MATCH($A355,SPPR!$A:$A,0),11),""),"")</f>
        <v/>
      </c>
      <c r="O355">
        <f>IFERROR(IF(ISNUMBER(INDEX(SPPR!$E:$Z,MATCH($A355,SPPR!$A:$A,0),12)),$C355*INDEX(SPPR!$E:$Z,MATCH($A355,SPPR!$A:$A,0),12),""),"")</f>
        <v/>
      </c>
      <c r="P355">
        <f>IFERROR(IF(ISNUMBER(INDEX(SPPR!$E:$Z,MATCH($A355,SPPR!$A:$A,0),13)),$C355*INDEX(SPPR!$E:$Z,MATCH($A355,SPPR!$A:$A,0),13),""),"")</f>
        <v/>
      </c>
      <c r="Q355">
        <f>IFERROR(IF(ISNUMBER(INDEX(SPPR!$E:$Z,MATCH($A355,SPPR!$A:$A,0),14)),$C355*INDEX(SPPR!$E:$Z,MATCH($A355,SPPR!$A:$A,0),14),""),"")</f>
        <v/>
      </c>
      <c r="R355">
        <f>IFERROR(IF(ISNUMBER(INDEX(SPPR!$E:$Z,MATCH($A355,SPPR!$A:$A,0),15)),$C355*INDEX(SPPR!$E:$Z,MATCH($A355,SPPR!$A:$A,0),15),""),"")</f>
        <v/>
      </c>
      <c r="S355">
        <f>IFERROR(IF(ISNUMBER(INDEX(SPPR!$E:$Z,MATCH($A355,SPPR!$A:$A,0),16)),$C355*INDEX(SPPR!$E:$Z,MATCH($A355,SPPR!$A:$A,0),16),""),"")</f>
        <v/>
      </c>
      <c r="T355">
        <f>IFERROR(IF(ISNUMBER(INDEX(SPPR!$E:$Z,MATCH($A355,SPPR!$A:$A,0),17)),$C355*INDEX(SPPR!$E:$Z,MATCH($A355,SPPR!$A:$A,0),17),""),"")</f>
        <v/>
      </c>
      <c r="U355">
        <f>IFERROR(IF(ISNUMBER(INDEX(SPPR!$E:$Z,MATCH($A355,SPPR!$A:$A,0),18)),$C355*INDEX(SPPR!$E:$Z,MATCH($A355,SPPR!$A:$A,0),18),""),"")</f>
        <v/>
      </c>
      <c r="V355">
        <f>IFERROR(IF(ISNUMBER(INDEX(SPPR!$E:$Z,MATCH($A355,SPPR!$A:$A,0),19)),$C355*INDEX(SPPR!$E:$Z,MATCH($A355,SPPR!$A:$A,0),19),""),"")</f>
        <v/>
      </c>
      <c r="W355">
        <f>IFERROR(IF(ISNUMBER(INDEX(SPPR!$E:$Z,MATCH($A355,SPPR!$A:$A,0),20)),$C355*INDEX(SPPR!$E:$Z,MATCH($A355,SPPR!$A:$A,0),20),""),"")</f>
        <v/>
      </c>
      <c r="X355">
        <f>IFERROR(IF(ISNUMBER(INDEX(SPPR!$E:$Z,MATCH($A355,SPPR!$A:$A,0),21)),$C355*INDEX(SPPR!$E:$Z,MATCH($A355,SPPR!$A:$A,0),21),""),"")</f>
        <v/>
      </c>
      <c r="Y355">
        <f>IFERROR(IF(ISNUMBER(INDEX(SPPR!$E:$Z,MATCH($A355,SPPR!$A:$A,0),22)),$C355*INDEX(SPPR!$E:$Z,MATCH($A355,SPPR!$A:$A,0),22),""),"")</f>
        <v/>
      </c>
    </row>
    <row r="356">
      <c r="A356" t="inlineStr">
        <is>
          <t>Nibea albiflora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IFERROR(IF(ISNUMBER(INDEX(SPPR!$E:$Z,MATCH($A356,SPPR!$A:$A,0),1)),$C356*INDEX(SPPR!$E:$Z,MATCH($A356,SPPR!$A:$A,0),1),""),"")</f>
        <v/>
      </c>
      <c r="E356">
        <f>IFERROR(IF(ISNUMBER(INDEX(SPPR!$E:$Z,MATCH($A356,SPPR!$A:$A,0),2)),$C356*INDEX(SPPR!$E:$Z,MATCH($A356,SPPR!$A:$A,0),2),""),"")</f>
        <v/>
      </c>
      <c r="F356">
        <f>IFERROR(IF(ISNUMBER(INDEX(SPPR!$E:$Z,MATCH($A356,SPPR!$A:$A,0),3)),$C356*INDEX(SPPR!$E:$Z,MATCH($A356,SPPR!$A:$A,0),3),""),"")</f>
        <v/>
      </c>
      <c r="G356">
        <f>IFERROR(IF(ISNUMBER(INDEX(SPPR!$E:$Z,MATCH($A356,SPPR!$A:$A,0),4)),$C356*INDEX(SPPR!$E:$Z,MATCH($A356,SPPR!$A:$A,0),4),""),"")</f>
        <v/>
      </c>
      <c r="H356">
        <f>IFERROR(IF(ISNUMBER(INDEX(SPPR!$E:$Z,MATCH($A356,SPPR!$A:$A,0),5)),$C356*INDEX(SPPR!$E:$Z,MATCH($A356,SPPR!$A:$A,0),5),""),"")</f>
        <v/>
      </c>
      <c r="I356">
        <f>IFERROR(IF(ISNUMBER(INDEX(SPPR!$E:$Z,MATCH($A356,SPPR!$A:$A,0),6)),$C356*INDEX(SPPR!$E:$Z,MATCH($A356,SPPR!$A:$A,0),6),""),"")</f>
        <v/>
      </c>
      <c r="J356">
        <f>IFERROR(IF(ISNUMBER(INDEX(SPPR!$E:$Z,MATCH($A356,SPPR!$A:$A,0),7)),$C356*INDEX(SPPR!$E:$Z,MATCH($A356,SPPR!$A:$A,0),7),""),"")</f>
        <v/>
      </c>
      <c r="K356">
        <f>IFERROR(IF(ISNUMBER(INDEX(SPPR!$E:$Z,MATCH($A356,SPPR!$A:$A,0),8)),$C356*INDEX(SPPR!$E:$Z,MATCH($A356,SPPR!$A:$A,0),8),""),"")</f>
        <v/>
      </c>
      <c r="L356">
        <f>IFERROR(IF(ISNUMBER(INDEX(SPPR!$E:$Z,MATCH($A356,SPPR!$A:$A,0),9)),$C356*INDEX(SPPR!$E:$Z,MATCH($A356,SPPR!$A:$A,0),9),""),"")</f>
        <v/>
      </c>
      <c r="M356">
        <f>IFERROR(IF(ISNUMBER(INDEX(SPPR!$E:$Z,MATCH($A356,SPPR!$A:$A,0),10)),$C356*INDEX(SPPR!$E:$Z,MATCH($A356,SPPR!$A:$A,0),10),""),"")</f>
        <v/>
      </c>
      <c r="N356">
        <f>IFERROR(IF(ISNUMBER(INDEX(SPPR!$E:$Z,MATCH($A356,SPPR!$A:$A,0),11)),$C356*INDEX(SPPR!$E:$Z,MATCH($A356,SPPR!$A:$A,0),11),""),"")</f>
        <v/>
      </c>
      <c r="O356">
        <f>IFERROR(IF(ISNUMBER(INDEX(SPPR!$E:$Z,MATCH($A356,SPPR!$A:$A,0),12)),$C356*INDEX(SPPR!$E:$Z,MATCH($A356,SPPR!$A:$A,0),12),""),"")</f>
        <v/>
      </c>
      <c r="P356">
        <f>IFERROR(IF(ISNUMBER(INDEX(SPPR!$E:$Z,MATCH($A356,SPPR!$A:$A,0),13)),$C356*INDEX(SPPR!$E:$Z,MATCH($A356,SPPR!$A:$A,0),13),""),"")</f>
        <v/>
      </c>
      <c r="Q356">
        <f>IFERROR(IF(ISNUMBER(INDEX(SPPR!$E:$Z,MATCH($A356,SPPR!$A:$A,0),14)),$C356*INDEX(SPPR!$E:$Z,MATCH($A356,SPPR!$A:$A,0),14),""),"")</f>
        <v/>
      </c>
      <c r="R356">
        <f>IFERROR(IF(ISNUMBER(INDEX(SPPR!$E:$Z,MATCH($A356,SPPR!$A:$A,0),15)),$C356*INDEX(SPPR!$E:$Z,MATCH($A356,SPPR!$A:$A,0),15),""),"")</f>
        <v/>
      </c>
      <c r="S356">
        <f>IFERROR(IF(ISNUMBER(INDEX(SPPR!$E:$Z,MATCH($A356,SPPR!$A:$A,0),16)),$C356*INDEX(SPPR!$E:$Z,MATCH($A356,SPPR!$A:$A,0),16),""),"")</f>
        <v/>
      </c>
      <c r="T356">
        <f>IFERROR(IF(ISNUMBER(INDEX(SPPR!$E:$Z,MATCH($A356,SPPR!$A:$A,0),17)),$C356*INDEX(SPPR!$E:$Z,MATCH($A356,SPPR!$A:$A,0),17),""),"")</f>
        <v/>
      </c>
      <c r="U356">
        <f>IFERROR(IF(ISNUMBER(INDEX(SPPR!$E:$Z,MATCH($A356,SPPR!$A:$A,0),18)),$C356*INDEX(SPPR!$E:$Z,MATCH($A356,SPPR!$A:$A,0),18),""),"")</f>
        <v/>
      </c>
      <c r="V356">
        <f>IFERROR(IF(ISNUMBER(INDEX(SPPR!$E:$Z,MATCH($A356,SPPR!$A:$A,0),19)),$C356*INDEX(SPPR!$E:$Z,MATCH($A356,SPPR!$A:$A,0),19),""),"")</f>
        <v/>
      </c>
      <c r="W356">
        <f>IFERROR(IF(ISNUMBER(INDEX(SPPR!$E:$Z,MATCH($A356,SPPR!$A:$A,0),20)),$C356*INDEX(SPPR!$E:$Z,MATCH($A356,SPPR!$A:$A,0),20),""),"")</f>
        <v/>
      </c>
      <c r="X356">
        <f>IFERROR(IF(ISNUMBER(INDEX(SPPR!$E:$Z,MATCH($A356,SPPR!$A:$A,0),21)),$C356*INDEX(SPPR!$E:$Z,MATCH($A356,SPPR!$A:$A,0),21),""),"")</f>
        <v/>
      </c>
      <c r="Y356">
        <f>IFERROR(IF(ISNUMBER(INDEX(SPPR!$E:$Z,MATCH($A356,SPPR!$A:$A,0),22)),$C356*INDEX(SPPR!$E:$Z,MATCH($A356,SPPR!$A:$A,0),22),""),"")</f>
        <v/>
      </c>
    </row>
    <row r="357">
      <c r="A357" t="inlineStr">
        <is>
          <t>Bramidae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IFERROR(IF(ISNUMBER(INDEX(SPPR!$E:$Z,MATCH($A357,SPPR!$A:$A,0),1)),$C357*INDEX(SPPR!$E:$Z,MATCH($A357,SPPR!$A:$A,0),1),""),"")</f>
        <v/>
      </c>
      <c r="E357">
        <f>IFERROR(IF(ISNUMBER(INDEX(SPPR!$E:$Z,MATCH($A357,SPPR!$A:$A,0),2)),$C357*INDEX(SPPR!$E:$Z,MATCH($A357,SPPR!$A:$A,0),2),""),"")</f>
        <v/>
      </c>
      <c r="F357">
        <f>IFERROR(IF(ISNUMBER(INDEX(SPPR!$E:$Z,MATCH($A357,SPPR!$A:$A,0),3)),$C357*INDEX(SPPR!$E:$Z,MATCH($A357,SPPR!$A:$A,0),3),""),"")</f>
        <v/>
      </c>
      <c r="G357">
        <f>IFERROR(IF(ISNUMBER(INDEX(SPPR!$E:$Z,MATCH($A357,SPPR!$A:$A,0),4)),$C357*INDEX(SPPR!$E:$Z,MATCH($A357,SPPR!$A:$A,0),4),""),"")</f>
        <v/>
      </c>
      <c r="H357">
        <f>IFERROR(IF(ISNUMBER(INDEX(SPPR!$E:$Z,MATCH($A357,SPPR!$A:$A,0),5)),$C357*INDEX(SPPR!$E:$Z,MATCH($A357,SPPR!$A:$A,0),5),""),"")</f>
        <v/>
      </c>
      <c r="I357">
        <f>IFERROR(IF(ISNUMBER(INDEX(SPPR!$E:$Z,MATCH($A357,SPPR!$A:$A,0),6)),$C357*INDEX(SPPR!$E:$Z,MATCH($A357,SPPR!$A:$A,0),6),""),"")</f>
        <v/>
      </c>
      <c r="J357">
        <f>IFERROR(IF(ISNUMBER(INDEX(SPPR!$E:$Z,MATCH($A357,SPPR!$A:$A,0),7)),$C357*INDEX(SPPR!$E:$Z,MATCH($A357,SPPR!$A:$A,0),7),""),"")</f>
        <v/>
      </c>
      <c r="K357">
        <f>IFERROR(IF(ISNUMBER(INDEX(SPPR!$E:$Z,MATCH($A357,SPPR!$A:$A,0),8)),$C357*INDEX(SPPR!$E:$Z,MATCH($A357,SPPR!$A:$A,0),8),""),"")</f>
        <v/>
      </c>
      <c r="L357">
        <f>IFERROR(IF(ISNUMBER(INDEX(SPPR!$E:$Z,MATCH($A357,SPPR!$A:$A,0),9)),$C357*INDEX(SPPR!$E:$Z,MATCH($A357,SPPR!$A:$A,0),9),""),"")</f>
        <v/>
      </c>
      <c r="M357">
        <f>IFERROR(IF(ISNUMBER(INDEX(SPPR!$E:$Z,MATCH($A357,SPPR!$A:$A,0),10)),$C357*INDEX(SPPR!$E:$Z,MATCH($A357,SPPR!$A:$A,0),10),""),"")</f>
        <v/>
      </c>
      <c r="N357">
        <f>IFERROR(IF(ISNUMBER(INDEX(SPPR!$E:$Z,MATCH($A357,SPPR!$A:$A,0),11)),$C357*INDEX(SPPR!$E:$Z,MATCH($A357,SPPR!$A:$A,0),11),""),"")</f>
        <v/>
      </c>
      <c r="O357">
        <f>IFERROR(IF(ISNUMBER(INDEX(SPPR!$E:$Z,MATCH($A357,SPPR!$A:$A,0),12)),$C357*INDEX(SPPR!$E:$Z,MATCH($A357,SPPR!$A:$A,0),12),""),"")</f>
        <v/>
      </c>
      <c r="P357">
        <f>IFERROR(IF(ISNUMBER(INDEX(SPPR!$E:$Z,MATCH($A357,SPPR!$A:$A,0),13)),$C357*INDEX(SPPR!$E:$Z,MATCH($A357,SPPR!$A:$A,0),13),""),"")</f>
        <v/>
      </c>
      <c r="Q357">
        <f>IFERROR(IF(ISNUMBER(INDEX(SPPR!$E:$Z,MATCH($A357,SPPR!$A:$A,0),14)),$C357*INDEX(SPPR!$E:$Z,MATCH($A357,SPPR!$A:$A,0),14),""),"")</f>
        <v/>
      </c>
      <c r="R357">
        <f>IFERROR(IF(ISNUMBER(INDEX(SPPR!$E:$Z,MATCH($A357,SPPR!$A:$A,0),15)),$C357*INDEX(SPPR!$E:$Z,MATCH($A357,SPPR!$A:$A,0),15),""),"")</f>
        <v/>
      </c>
      <c r="S357">
        <f>IFERROR(IF(ISNUMBER(INDEX(SPPR!$E:$Z,MATCH($A357,SPPR!$A:$A,0),16)),$C357*INDEX(SPPR!$E:$Z,MATCH($A357,SPPR!$A:$A,0),16),""),"")</f>
        <v/>
      </c>
      <c r="T357">
        <f>IFERROR(IF(ISNUMBER(INDEX(SPPR!$E:$Z,MATCH($A357,SPPR!$A:$A,0),17)),$C357*INDEX(SPPR!$E:$Z,MATCH($A357,SPPR!$A:$A,0),17),""),"")</f>
        <v/>
      </c>
      <c r="U357">
        <f>IFERROR(IF(ISNUMBER(INDEX(SPPR!$E:$Z,MATCH($A357,SPPR!$A:$A,0),18)),$C357*INDEX(SPPR!$E:$Z,MATCH($A357,SPPR!$A:$A,0),18),""),"")</f>
        <v/>
      </c>
      <c r="V357">
        <f>IFERROR(IF(ISNUMBER(INDEX(SPPR!$E:$Z,MATCH($A357,SPPR!$A:$A,0),19)),$C357*INDEX(SPPR!$E:$Z,MATCH($A357,SPPR!$A:$A,0),19),""),"")</f>
        <v/>
      </c>
      <c r="W357">
        <f>IFERROR(IF(ISNUMBER(INDEX(SPPR!$E:$Z,MATCH($A357,SPPR!$A:$A,0),20)),$C357*INDEX(SPPR!$E:$Z,MATCH($A357,SPPR!$A:$A,0),20),""),"")</f>
        <v/>
      </c>
      <c r="X357">
        <f>IFERROR(IF(ISNUMBER(INDEX(SPPR!$E:$Z,MATCH($A357,SPPR!$A:$A,0),21)),$C357*INDEX(SPPR!$E:$Z,MATCH($A357,SPPR!$A:$A,0),21),""),"")</f>
        <v/>
      </c>
      <c r="Y357">
        <f>IFERROR(IF(ISNUMBER(INDEX(SPPR!$E:$Z,MATCH($A357,SPPR!$A:$A,0),22)),$C357*INDEX(SPPR!$E:$Z,MATCH($A357,SPPR!$A:$A,0),22),""),"")</f>
        <v/>
      </c>
    </row>
    <row r="358">
      <c r="A358" t="inlineStr">
        <is>
          <t>Anguilliformes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IFERROR(IF(ISNUMBER(INDEX(SPPR!$E:$Z,MATCH($A358,SPPR!$A:$A,0),1)),$C358*INDEX(SPPR!$E:$Z,MATCH($A358,SPPR!$A:$A,0),1),""),"")</f>
        <v/>
      </c>
      <c r="E358">
        <f>IFERROR(IF(ISNUMBER(INDEX(SPPR!$E:$Z,MATCH($A358,SPPR!$A:$A,0),2)),$C358*INDEX(SPPR!$E:$Z,MATCH($A358,SPPR!$A:$A,0),2),""),"")</f>
        <v/>
      </c>
      <c r="F358">
        <f>IFERROR(IF(ISNUMBER(INDEX(SPPR!$E:$Z,MATCH($A358,SPPR!$A:$A,0),3)),$C358*INDEX(SPPR!$E:$Z,MATCH($A358,SPPR!$A:$A,0),3),""),"")</f>
        <v/>
      </c>
      <c r="G358">
        <f>IFERROR(IF(ISNUMBER(INDEX(SPPR!$E:$Z,MATCH($A358,SPPR!$A:$A,0),4)),$C358*INDEX(SPPR!$E:$Z,MATCH($A358,SPPR!$A:$A,0),4),""),"")</f>
        <v/>
      </c>
      <c r="H358">
        <f>IFERROR(IF(ISNUMBER(INDEX(SPPR!$E:$Z,MATCH($A358,SPPR!$A:$A,0),5)),$C358*INDEX(SPPR!$E:$Z,MATCH($A358,SPPR!$A:$A,0),5),""),"")</f>
        <v/>
      </c>
      <c r="I358">
        <f>IFERROR(IF(ISNUMBER(INDEX(SPPR!$E:$Z,MATCH($A358,SPPR!$A:$A,0),6)),$C358*INDEX(SPPR!$E:$Z,MATCH($A358,SPPR!$A:$A,0),6),""),"")</f>
        <v/>
      </c>
      <c r="J358">
        <f>IFERROR(IF(ISNUMBER(INDEX(SPPR!$E:$Z,MATCH($A358,SPPR!$A:$A,0),7)),$C358*INDEX(SPPR!$E:$Z,MATCH($A358,SPPR!$A:$A,0),7),""),"")</f>
        <v/>
      </c>
      <c r="K358">
        <f>IFERROR(IF(ISNUMBER(INDEX(SPPR!$E:$Z,MATCH($A358,SPPR!$A:$A,0),8)),$C358*INDEX(SPPR!$E:$Z,MATCH($A358,SPPR!$A:$A,0),8),""),"")</f>
        <v/>
      </c>
      <c r="L358">
        <f>IFERROR(IF(ISNUMBER(INDEX(SPPR!$E:$Z,MATCH($A358,SPPR!$A:$A,0),9)),$C358*INDEX(SPPR!$E:$Z,MATCH($A358,SPPR!$A:$A,0),9),""),"")</f>
        <v/>
      </c>
      <c r="M358">
        <f>IFERROR(IF(ISNUMBER(INDEX(SPPR!$E:$Z,MATCH($A358,SPPR!$A:$A,0),10)),$C358*INDEX(SPPR!$E:$Z,MATCH($A358,SPPR!$A:$A,0),10),""),"")</f>
        <v/>
      </c>
      <c r="N358">
        <f>IFERROR(IF(ISNUMBER(INDEX(SPPR!$E:$Z,MATCH($A358,SPPR!$A:$A,0),11)),$C358*INDEX(SPPR!$E:$Z,MATCH($A358,SPPR!$A:$A,0),11),""),"")</f>
        <v/>
      </c>
      <c r="O358">
        <f>IFERROR(IF(ISNUMBER(INDEX(SPPR!$E:$Z,MATCH($A358,SPPR!$A:$A,0),12)),$C358*INDEX(SPPR!$E:$Z,MATCH($A358,SPPR!$A:$A,0),12),""),"")</f>
        <v/>
      </c>
      <c r="P358">
        <f>IFERROR(IF(ISNUMBER(INDEX(SPPR!$E:$Z,MATCH($A358,SPPR!$A:$A,0),13)),$C358*INDEX(SPPR!$E:$Z,MATCH($A358,SPPR!$A:$A,0),13),""),"")</f>
        <v/>
      </c>
      <c r="Q358">
        <f>IFERROR(IF(ISNUMBER(INDEX(SPPR!$E:$Z,MATCH($A358,SPPR!$A:$A,0),14)),$C358*INDEX(SPPR!$E:$Z,MATCH($A358,SPPR!$A:$A,0),14),""),"")</f>
        <v/>
      </c>
      <c r="R358">
        <f>IFERROR(IF(ISNUMBER(INDEX(SPPR!$E:$Z,MATCH($A358,SPPR!$A:$A,0),15)),$C358*INDEX(SPPR!$E:$Z,MATCH($A358,SPPR!$A:$A,0),15),""),"")</f>
        <v/>
      </c>
      <c r="S358">
        <f>IFERROR(IF(ISNUMBER(INDEX(SPPR!$E:$Z,MATCH($A358,SPPR!$A:$A,0),16)),$C358*INDEX(SPPR!$E:$Z,MATCH($A358,SPPR!$A:$A,0),16),""),"")</f>
        <v/>
      </c>
      <c r="T358">
        <f>IFERROR(IF(ISNUMBER(INDEX(SPPR!$E:$Z,MATCH($A358,SPPR!$A:$A,0),17)),$C358*INDEX(SPPR!$E:$Z,MATCH($A358,SPPR!$A:$A,0),17),""),"")</f>
        <v/>
      </c>
      <c r="U358">
        <f>IFERROR(IF(ISNUMBER(INDEX(SPPR!$E:$Z,MATCH($A358,SPPR!$A:$A,0),18)),$C358*INDEX(SPPR!$E:$Z,MATCH($A358,SPPR!$A:$A,0),18),""),"")</f>
        <v/>
      </c>
      <c r="V358">
        <f>IFERROR(IF(ISNUMBER(INDEX(SPPR!$E:$Z,MATCH($A358,SPPR!$A:$A,0),19)),$C358*INDEX(SPPR!$E:$Z,MATCH($A358,SPPR!$A:$A,0),19),""),"")</f>
        <v/>
      </c>
      <c r="W358">
        <f>IFERROR(IF(ISNUMBER(INDEX(SPPR!$E:$Z,MATCH($A358,SPPR!$A:$A,0),20)),$C358*INDEX(SPPR!$E:$Z,MATCH($A358,SPPR!$A:$A,0),20),""),"")</f>
        <v/>
      </c>
      <c r="X358">
        <f>IFERROR(IF(ISNUMBER(INDEX(SPPR!$E:$Z,MATCH($A358,SPPR!$A:$A,0),21)),$C358*INDEX(SPPR!$E:$Z,MATCH($A358,SPPR!$A:$A,0),21),""),"")</f>
        <v/>
      </c>
      <c r="Y358">
        <f>IFERROR(IF(ISNUMBER(INDEX(SPPR!$E:$Z,MATCH($A358,SPPR!$A:$A,0),22)),$C358*INDEX(SPPR!$E:$Z,MATCH($A358,SPPR!$A:$A,0),22),""),"")</f>
        <v/>
      </c>
    </row>
    <row r="359">
      <c r="A359" t="inlineStr">
        <is>
          <t>Crassostrea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IFERROR(IF(ISNUMBER(INDEX(SPPR!$E:$Z,MATCH($A359,SPPR!$A:$A,0),1)),$C359*INDEX(SPPR!$E:$Z,MATCH($A359,SPPR!$A:$A,0),1),""),"")</f>
        <v/>
      </c>
      <c r="E359">
        <f>IFERROR(IF(ISNUMBER(INDEX(SPPR!$E:$Z,MATCH($A359,SPPR!$A:$A,0),2)),$C359*INDEX(SPPR!$E:$Z,MATCH($A359,SPPR!$A:$A,0),2),""),"")</f>
        <v/>
      </c>
      <c r="F359">
        <f>IFERROR(IF(ISNUMBER(INDEX(SPPR!$E:$Z,MATCH($A359,SPPR!$A:$A,0),3)),$C359*INDEX(SPPR!$E:$Z,MATCH($A359,SPPR!$A:$A,0),3),""),"")</f>
        <v/>
      </c>
      <c r="G359">
        <f>IFERROR(IF(ISNUMBER(INDEX(SPPR!$E:$Z,MATCH($A359,SPPR!$A:$A,0),4)),$C359*INDEX(SPPR!$E:$Z,MATCH($A359,SPPR!$A:$A,0),4),""),"")</f>
        <v/>
      </c>
      <c r="H359">
        <f>IFERROR(IF(ISNUMBER(INDEX(SPPR!$E:$Z,MATCH($A359,SPPR!$A:$A,0),5)),$C359*INDEX(SPPR!$E:$Z,MATCH($A359,SPPR!$A:$A,0),5),""),"")</f>
        <v/>
      </c>
      <c r="I359">
        <f>IFERROR(IF(ISNUMBER(INDEX(SPPR!$E:$Z,MATCH($A359,SPPR!$A:$A,0),6)),$C359*INDEX(SPPR!$E:$Z,MATCH($A359,SPPR!$A:$A,0),6),""),"")</f>
        <v/>
      </c>
      <c r="J359">
        <f>IFERROR(IF(ISNUMBER(INDEX(SPPR!$E:$Z,MATCH($A359,SPPR!$A:$A,0),7)),$C359*INDEX(SPPR!$E:$Z,MATCH($A359,SPPR!$A:$A,0),7),""),"")</f>
        <v/>
      </c>
      <c r="K359">
        <f>IFERROR(IF(ISNUMBER(INDEX(SPPR!$E:$Z,MATCH($A359,SPPR!$A:$A,0),8)),$C359*INDEX(SPPR!$E:$Z,MATCH($A359,SPPR!$A:$A,0),8),""),"")</f>
        <v/>
      </c>
      <c r="L359">
        <f>IFERROR(IF(ISNUMBER(INDEX(SPPR!$E:$Z,MATCH($A359,SPPR!$A:$A,0),9)),$C359*INDEX(SPPR!$E:$Z,MATCH($A359,SPPR!$A:$A,0),9),""),"")</f>
        <v/>
      </c>
      <c r="M359">
        <f>IFERROR(IF(ISNUMBER(INDEX(SPPR!$E:$Z,MATCH($A359,SPPR!$A:$A,0),10)),$C359*INDEX(SPPR!$E:$Z,MATCH($A359,SPPR!$A:$A,0),10),""),"")</f>
        <v/>
      </c>
      <c r="N359">
        <f>IFERROR(IF(ISNUMBER(INDEX(SPPR!$E:$Z,MATCH($A359,SPPR!$A:$A,0),11)),$C359*INDEX(SPPR!$E:$Z,MATCH($A359,SPPR!$A:$A,0),11),""),"")</f>
        <v/>
      </c>
      <c r="O359">
        <f>IFERROR(IF(ISNUMBER(INDEX(SPPR!$E:$Z,MATCH($A359,SPPR!$A:$A,0),12)),$C359*INDEX(SPPR!$E:$Z,MATCH($A359,SPPR!$A:$A,0),12),""),"")</f>
        <v/>
      </c>
      <c r="P359">
        <f>IFERROR(IF(ISNUMBER(INDEX(SPPR!$E:$Z,MATCH($A359,SPPR!$A:$A,0),13)),$C359*INDEX(SPPR!$E:$Z,MATCH($A359,SPPR!$A:$A,0),13),""),"")</f>
        <v/>
      </c>
      <c r="Q359">
        <f>IFERROR(IF(ISNUMBER(INDEX(SPPR!$E:$Z,MATCH($A359,SPPR!$A:$A,0),14)),$C359*INDEX(SPPR!$E:$Z,MATCH($A359,SPPR!$A:$A,0),14),""),"")</f>
        <v/>
      </c>
      <c r="R359">
        <f>IFERROR(IF(ISNUMBER(INDEX(SPPR!$E:$Z,MATCH($A359,SPPR!$A:$A,0),15)),$C359*INDEX(SPPR!$E:$Z,MATCH($A359,SPPR!$A:$A,0),15),""),"")</f>
        <v/>
      </c>
      <c r="S359">
        <f>IFERROR(IF(ISNUMBER(INDEX(SPPR!$E:$Z,MATCH($A359,SPPR!$A:$A,0),16)),$C359*INDEX(SPPR!$E:$Z,MATCH($A359,SPPR!$A:$A,0),16),""),"")</f>
        <v/>
      </c>
      <c r="T359">
        <f>IFERROR(IF(ISNUMBER(INDEX(SPPR!$E:$Z,MATCH($A359,SPPR!$A:$A,0),17)),$C359*INDEX(SPPR!$E:$Z,MATCH($A359,SPPR!$A:$A,0),17),""),"")</f>
        <v/>
      </c>
      <c r="U359">
        <f>IFERROR(IF(ISNUMBER(INDEX(SPPR!$E:$Z,MATCH($A359,SPPR!$A:$A,0),18)),$C359*INDEX(SPPR!$E:$Z,MATCH($A359,SPPR!$A:$A,0),18),""),"")</f>
        <v/>
      </c>
      <c r="V359">
        <f>IFERROR(IF(ISNUMBER(INDEX(SPPR!$E:$Z,MATCH($A359,SPPR!$A:$A,0),19)),$C359*INDEX(SPPR!$E:$Z,MATCH($A359,SPPR!$A:$A,0),19),""),"")</f>
        <v/>
      </c>
      <c r="W359">
        <f>IFERROR(IF(ISNUMBER(INDEX(SPPR!$E:$Z,MATCH($A359,SPPR!$A:$A,0),20)),$C359*INDEX(SPPR!$E:$Z,MATCH($A359,SPPR!$A:$A,0),20),""),"")</f>
        <v/>
      </c>
      <c r="X359">
        <f>IFERROR(IF(ISNUMBER(INDEX(SPPR!$E:$Z,MATCH($A359,SPPR!$A:$A,0),21)),$C359*INDEX(SPPR!$E:$Z,MATCH($A359,SPPR!$A:$A,0),21),""),"")</f>
        <v/>
      </c>
      <c r="Y359">
        <f>IFERROR(IF(ISNUMBER(INDEX(SPPR!$E:$Z,MATCH($A359,SPPR!$A:$A,0),22)),$C359*INDEX(SPPR!$E:$Z,MATCH($A359,SPPR!$A:$A,0),22),""),"")</f>
        <v/>
      </c>
    </row>
    <row r="360">
      <c r="A360" t="inlineStr">
        <is>
          <t>Hippocampus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IFERROR(IF(ISNUMBER(INDEX(SPPR!$E:$Z,MATCH($A360,SPPR!$A:$A,0),1)),$C360*INDEX(SPPR!$E:$Z,MATCH($A360,SPPR!$A:$A,0),1),""),"")</f>
        <v/>
      </c>
      <c r="E360">
        <f>IFERROR(IF(ISNUMBER(INDEX(SPPR!$E:$Z,MATCH($A360,SPPR!$A:$A,0),2)),$C360*INDEX(SPPR!$E:$Z,MATCH($A360,SPPR!$A:$A,0),2),""),"")</f>
        <v/>
      </c>
      <c r="F360">
        <f>IFERROR(IF(ISNUMBER(INDEX(SPPR!$E:$Z,MATCH($A360,SPPR!$A:$A,0),3)),$C360*INDEX(SPPR!$E:$Z,MATCH($A360,SPPR!$A:$A,0),3),""),"")</f>
        <v/>
      </c>
      <c r="G360">
        <f>IFERROR(IF(ISNUMBER(INDEX(SPPR!$E:$Z,MATCH($A360,SPPR!$A:$A,0),4)),$C360*INDEX(SPPR!$E:$Z,MATCH($A360,SPPR!$A:$A,0),4),""),"")</f>
        <v/>
      </c>
      <c r="H360">
        <f>IFERROR(IF(ISNUMBER(INDEX(SPPR!$E:$Z,MATCH($A360,SPPR!$A:$A,0),5)),$C360*INDEX(SPPR!$E:$Z,MATCH($A360,SPPR!$A:$A,0),5),""),"")</f>
        <v/>
      </c>
      <c r="I360">
        <f>IFERROR(IF(ISNUMBER(INDEX(SPPR!$E:$Z,MATCH($A360,SPPR!$A:$A,0),6)),$C360*INDEX(SPPR!$E:$Z,MATCH($A360,SPPR!$A:$A,0),6),""),"")</f>
        <v/>
      </c>
      <c r="J360">
        <f>IFERROR(IF(ISNUMBER(INDEX(SPPR!$E:$Z,MATCH($A360,SPPR!$A:$A,0),7)),$C360*INDEX(SPPR!$E:$Z,MATCH($A360,SPPR!$A:$A,0),7),""),"")</f>
        <v/>
      </c>
      <c r="K360">
        <f>IFERROR(IF(ISNUMBER(INDEX(SPPR!$E:$Z,MATCH($A360,SPPR!$A:$A,0),8)),$C360*INDEX(SPPR!$E:$Z,MATCH($A360,SPPR!$A:$A,0),8),""),"")</f>
        <v/>
      </c>
      <c r="L360">
        <f>IFERROR(IF(ISNUMBER(INDEX(SPPR!$E:$Z,MATCH($A360,SPPR!$A:$A,0),9)),$C360*INDEX(SPPR!$E:$Z,MATCH($A360,SPPR!$A:$A,0),9),""),"")</f>
        <v/>
      </c>
      <c r="M360">
        <f>IFERROR(IF(ISNUMBER(INDEX(SPPR!$E:$Z,MATCH($A360,SPPR!$A:$A,0),10)),$C360*INDEX(SPPR!$E:$Z,MATCH($A360,SPPR!$A:$A,0),10),""),"")</f>
        <v/>
      </c>
      <c r="N360">
        <f>IFERROR(IF(ISNUMBER(INDEX(SPPR!$E:$Z,MATCH($A360,SPPR!$A:$A,0),11)),$C360*INDEX(SPPR!$E:$Z,MATCH($A360,SPPR!$A:$A,0),11),""),"")</f>
        <v/>
      </c>
      <c r="O360">
        <f>IFERROR(IF(ISNUMBER(INDEX(SPPR!$E:$Z,MATCH($A360,SPPR!$A:$A,0),12)),$C360*INDEX(SPPR!$E:$Z,MATCH($A360,SPPR!$A:$A,0),12),""),"")</f>
        <v/>
      </c>
      <c r="P360">
        <f>IFERROR(IF(ISNUMBER(INDEX(SPPR!$E:$Z,MATCH($A360,SPPR!$A:$A,0),13)),$C360*INDEX(SPPR!$E:$Z,MATCH($A360,SPPR!$A:$A,0),13),""),"")</f>
        <v/>
      </c>
      <c r="Q360">
        <f>IFERROR(IF(ISNUMBER(INDEX(SPPR!$E:$Z,MATCH($A360,SPPR!$A:$A,0),14)),$C360*INDEX(SPPR!$E:$Z,MATCH($A360,SPPR!$A:$A,0),14),""),"")</f>
        <v/>
      </c>
      <c r="R360">
        <f>IFERROR(IF(ISNUMBER(INDEX(SPPR!$E:$Z,MATCH($A360,SPPR!$A:$A,0),15)),$C360*INDEX(SPPR!$E:$Z,MATCH($A360,SPPR!$A:$A,0),15),""),"")</f>
        <v/>
      </c>
      <c r="S360">
        <f>IFERROR(IF(ISNUMBER(INDEX(SPPR!$E:$Z,MATCH($A360,SPPR!$A:$A,0),16)),$C360*INDEX(SPPR!$E:$Z,MATCH($A360,SPPR!$A:$A,0),16),""),"")</f>
        <v/>
      </c>
      <c r="T360">
        <f>IFERROR(IF(ISNUMBER(INDEX(SPPR!$E:$Z,MATCH($A360,SPPR!$A:$A,0),17)),$C360*INDEX(SPPR!$E:$Z,MATCH($A360,SPPR!$A:$A,0),17),""),"")</f>
        <v/>
      </c>
      <c r="U360">
        <f>IFERROR(IF(ISNUMBER(INDEX(SPPR!$E:$Z,MATCH($A360,SPPR!$A:$A,0),18)),$C360*INDEX(SPPR!$E:$Z,MATCH($A360,SPPR!$A:$A,0),18),""),"")</f>
        <v/>
      </c>
      <c r="V360">
        <f>IFERROR(IF(ISNUMBER(INDEX(SPPR!$E:$Z,MATCH($A360,SPPR!$A:$A,0),19)),$C360*INDEX(SPPR!$E:$Z,MATCH($A360,SPPR!$A:$A,0),19),""),"")</f>
        <v/>
      </c>
      <c r="W360">
        <f>IFERROR(IF(ISNUMBER(INDEX(SPPR!$E:$Z,MATCH($A360,SPPR!$A:$A,0),20)),$C360*INDEX(SPPR!$E:$Z,MATCH($A360,SPPR!$A:$A,0),20),""),"")</f>
        <v/>
      </c>
      <c r="X360">
        <f>IFERROR(IF(ISNUMBER(INDEX(SPPR!$E:$Z,MATCH($A360,SPPR!$A:$A,0),21)),$C360*INDEX(SPPR!$E:$Z,MATCH($A360,SPPR!$A:$A,0),21),""),"")</f>
        <v/>
      </c>
      <c r="Y360">
        <f>IFERROR(IF(ISNUMBER(INDEX(SPPR!$E:$Z,MATCH($A360,SPPR!$A:$A,0),22)),$C360*INDEX(SPPR!$E:$Z,MATCH($A360,SPPR!$A:$A,0),22),""),"")</f>
        <v/>
      </c>
    </row>
    <row r="361">
      <c r="A361" t="inlineStr">
        <is>
          <t>Holothuriidae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IFERROR(IF(ISNUMBER(INDEX(SPPR!$E:$Z,MATCH($A361,SPPR!$A:$A,0),1)),$C361*INDEX(SPPR!$E:$Z,MATCH($A361,SPPR!$A:$A,0),1),""),"")</f>
        <v/>
      </c>
      <c r="E361">
        <f>IFERROR(IF(ISNUMBER(INDEX(SPPR!$E:$Z,MATCH($A361,SPPR!$A:$A,0),2)),$C361*INDEX(SPPR!$E:$Z,MATCH($A361,SPPR!$A:$A,0),2),""),"")</f>
        <v/>
      </c>
      <c r="F361">
        <f>IFERROR(IF(ISNUMBER(INDEX(SPPR!$E:$Z,MATCH($A361,SPPR!$A:$A,0),3)),$C361*INDEX(SPPR!$E:$Z,MATCH($A361,SPPR!$A:$A,0),3),""),"")</f>
        <v/>
      </c>
      <c r="G361">
        <f>IFERROR(IF(ISNUMBER(INDEX(SPPR!$E:$Z,MATCH($A361,SPPR!$A:$A,0),4)),$C361*INDEX(SPPR!$E:$Z,MATCH($A361,SPPR!$A:$A,0),4),""),"")</f>
        <v/>
      </c>
      <c r="H361">
        <f>IFERROR(IF(ISNUMBER(INDEX(SPPR!$E:$Z,MATCH($A361,SPPR!$A:$A,0),5)),$C361*INDEX(SPPR!$E:$Z,MATCH($A361,SPPR!$A:$A,0),5),""),"")</f>
        <v/>
      </c>
      <c r="I361">
        <f>IFERROR(IF(ISNUMBER(INDEX(SPPR!$E:$Z,MATCH($A361,SPPR!$A:$A,0),6)),$C361*INDEX(SPPR!$E:$Z,MATCH($A361,SPPR!$A:$A,0),6),""),"")</f>
        <v/>
      </c>
      <c r="J361">
        <f>IFERROR(IF(ISNUMBER(INDEX(SPPR!$E:$Z,MATCH($A361,SPPR!$A:$A,0),7)),$C361*INDEX(SPPR!$E:$Z,MATCH($A361,SPPR!$A:$A,0),7),""),"")</f>
        <v/>
      </c>
      <c r="K361">
        <f>IFERROR(IF(ISNUMBER(INDEX(SPPR!$E:$Z,MATCH($A361,SPPR!$A:$A,0),8)),$C361*INDEX(SPPR!$E:$Z,MATCH($A361,SPPR!$A:$A,0),8),""),"")</f>
        <v/>
      </c>
      <c r="L361">
        <f>IFERROR(IF(ISNUMBER(INDEX(SPPR!$E:$Z,MATCH($A361,SPPR!$A:$A,0),9)),$C361*INDEX(SPPR!$E:$Z,MATCH($A361,SPPR!$A:$A,0),9),""),"")</f>
        <v/>
      </c>
      <c r="M361">
        <f>IFERROR(IF(ISNUMBER(INDEX(SPPR!$E:$Z,MATCH($A361,SPPR!$A:$A,0),10)),$C361*INDEX(SPPR!$E:$Z,MATCH($A361,SPPR!$A:$A,0),10),""),"")</f>
        <v/>
      </c>
      <c r="N361">
        <f>IFERROR(IF(ISNUMBER(INDEX(SPPR!$E:$Z,MATCH($A361,SPPR!$A:$A,0),11)),$C361*INDEX(SPPR!$E:$Z,MATCH($A361,SPPR!$A:$A,0),11),""),"")</f>
        <v/>
      </c>
      <c r="O361">
        <f>IFERROR(IF(ISNUMBER(INDEX(SPPR!$E:$Z,MATCH($A361,SPPR!$A:$A,0),12)),$C361*INDEX(SPPR!$E:$Z,MATCH($A361,SPPR!$A:$A,0),12),""),"")</f>
        <v/>
      </c>
      <c r="P361">
        <f>IFERROR(IF(ISNUMBER(INDEX(SPPR!$E:$Z,MATCH($A361,SPPR!$A:$A,0),13)),$C361*INDEX(SPPR!$E:$Z,MATCH($A361,SPPR!$A:$A,0),13),""),"")</f>
        <v/>
      </c>
      <c r="Q361">
        <f>IFERROR(IF(ISNUMBER(INDEX(SPPR!$E:$Z,MATCH($A361,SPPR!$A:$A,0),14)),$C361*INDEX(SPPR!$E:$Z,MATCH($A361,SPPR!$A:$A,0),14),""),"")</f>
        <v/>
      </c>
      <c r="R361">
        <f>IFERROR(IF(ISNUMBER(INDEX(SPPR!$E:$Z,MATCH($A361,SPPR!$A:$A,0),15)),$C361*INDEX(SPPR!$E:$Z,MATCH($A361,SPPR!$A:$A,0),15),""),"")</f>
        <v/>
      </c>
      <c r="S361">
        <f>IFERROR(IF(ISNUMBER(INDEX(SPPR!$E:$Z,MATCH($A361,SPPR!$A:$A,0),16)),$C361*INDEX(SPPR!$E:$Z,MATCH($A361,SPPR!$A:$A,0),16),""),"")</f>
        <v/>
      </c>
      <c r="T361">
        <f>IFERROR(IF(ISNUMBER(INDEX(SPPR!$E:$Z,MATCH($A361,SPPR!$A:$A,0),17)),$C361*INDEX(SPPR!$E:$Z,MATCH($A361,SPPR!$A:$A,0),17),""),"")</f>
        <v/>
      </c>
      <c r="U361">
        <f>IFERROR(IF(ISNUMBER(INDEX(SPPR!$E:$Z,MATCH($A361,SPPR!$A:$A,0),18)),$C361*INDEX(SPPR!$E:$Z,MATCH($A361,SPPR!$A:$A,0),18),""),"")</f>
        <v/>
      </c>
      <c r="V361">
        <f>IFERROR(IF(ISNUMBER(INDEX(SPPR!$E:$Z,MATCH($A361,SPPR!$A:$A,0),19)),$C361*INDEX(SPPR!$E:$Z,MATCH($A361,SPPR!$A:$A,0),19),""),"")</f>
        <v/>
      </c>
      <c r="W361">
        <f>IFERROR(IF(ISNUMBER(INDEX(SPPR!$E:$Z,MATCH($A361,SPPR!$A:$A,0),20)),$C361*INDEX(SPPR!$E:$Z,MATCH($A361,SPPR!$A:$A,0),20),""),"")</f>
        <v/>
      </c>
      <c r="X361">
        <f>IFERROR(IF(ISNUMBER(INDEX(SPPR!$E:$Z,MATCH($A361,SPPR!$A:$A,0),21)),$C361*INDEX(SPPR!$E:$Z,MATCH($A361,SPPR!$A:$A,0),21),""),"")</f>
        <v/>
      </c>
      <c r="Y361">
        <f>IFERROR(IF(ISNUMBER(INDEX(SPPR!$E:$Z,MATCH($A361,SPPR!$A:$A,0),22)),$C361*INDEX(SPPR!$E:$Z,MATCH($A361,SPPR!$A:$A,0),22),""),"")</f>
        <v/>
      </c>
    </row>
    <row r="362">
      <c r="A362" t="inlineStr">
        <is>
          <t>Isurus oxyrinchus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IFERROR(IF(ISNUMBER(INDEX(SPPR!$E:$Z,MATCH($A362,SPPR!$A:$A,0),1)),$C362*INDEX(SPPR!$E:$Z,MATCH($A362,SPPR!$A:$A,0),1),""),"")</f>
        <v/>
      </c>
      <c r="E362">
        <f>IFERROR(IF(ISNUMBER(INDEX(SPPR!$E:$Z,MATCH($A362,SPPR!$A:$A,0),2)),$C362*INDEX(SPPR!$E:$Z,MATCH($A362,SPPR!$A:$A,0),2),""),"")</f>
        <v/>
      </c>
      <c r="F362">
        <f>IFERROR(IF(ISNUMBER(INDEX(SPPR!$E:$Z,MATCH($A362,SPPR!$A:$A,0),3)),$C362*INDEX(SPPR!$E:$Z,MATCH($A362,SPPR!$A:$A,0),3),""),"")</f>
        <v/>
      </c>
      <c r="G362">
        <f>IFERROR(IF(ISNUMBER(INDEX(SPPR!$E:$Z,MATCH($A362,SPPR!$A:$A,0),4)),$C362*INDEX(SPPR!$E:$Z,MATCH($A362,SPPR!$A:$A,0),4),""),"")</f>
        <v/>
      </c>
      <c r="H362">
        <f>IFERROR(IF(ISNUMBER(INDEX(SPPR!$E:$Z,MATCH($A362,SPPR!$A:$A,0),5)),$C362*INDEX(SPPR!$E:$Z,MATCH($A362,SPPR!$A:$A,0),5),""),"")</f>
        <v/>
      </c>
      <c r="I362">
        <f>IFERROR(IF(ISNUMBER(INDEX(SPPR!$E:$Z,MATCH($A362,SPPR!$A:$A,0),6)),$C362*INDEX(SPPR!$E:$Z,MATCH($A362,SPPR!$A:$A,0),6),""),"")</f>
        <v/>
      </c>
      <c r="J362">
        <f>IFERROR(IF(ISNUMBER(INDEX(SPPR!$E:$Z,MATCH($A362,SPPR!$A:$A,0),7)),$C362*INDEX(SPPR!$E:$Z,MATCH($A362,SPPR!$A:$A,0),7),""),"")</f>
        <v/>
      </c>
      <c r="K362">
        <f>IFERROR(IF(ISNUMBER(INDEX(SPPR!$E:$Z,MATCH($A362,SPPR!$A:$A,0),8)),$C362*INDEX(SPPR!$E:$Z,MATCH($A362,SPPR!$A:$A,0),8),""),"")</f>
        <v/>
      </c>
      <c r="L362">
        <f>IFERROR(IF(ISNUMBER(INDEX(SPPR!$E:$Z,MATCH($A362,SPPR!$A:$A,0),9)),$C362*INDEX(SPPR!$E:$Z,MATCH($A362,SPPR!$A:$A,0),9),""),"")</f>
        <v/>
      </c>
      <c r="M362">
        <f>IFERROR(IF(ISNUMBER(INDEX(SPPR!$E:$Z,MATCH($A362,SPPR!$A:$A,0),10)),$C362*INDEX(SPPR!$E:$Z,MATCH($A362,SPPR!$A:$A,0),10),""),"")</f>
        <v/>
      </c>
      <c r="N362">
        <f>IFERROR(IF(ISNUMBER(INDEX(SPPR!$E:$Z,MATCH($A362,SPPR!$A:$A,0),11)),$C362*INDEX(SPPR!$E:$Z,MATCH($A362,SPPR!$A:$A,0),11),""),"")</f>
        <v/>
      </c>
      <c r="O362">
        <f>IFERROR(IF(ISNUMBER(INDEX(SPPR!$E:$Z,MATCH($A362,SPPR!$A:$A,0),12)),$C362*INDEX(SPPR!$E:$Z,MATCH($A362,SPPR!$A:$A,0),12),""),"")</f>
        <v/>
      </c>
      <c r="P362">
        <f>IFERROR(IF(ISNUMBER(INDEX(SPPR!$E:$Z,MATCH($A362,SPPR!$A:$A,0),13)),$C362*INDEX(SPPR!$E:$Z,MATCH($A362,SPPR!$A:$A,0),13),""),"")</f>
        <v/>
      </c>
      <c r="Q362">
        <f>IFERROR(IF(ISNUMBER(INDEX(SPPR!$E:$Z,MATCH($A362,SPPR!$A:$A,0),14)),$C362*INDEX(SPPR!$E:$Z,MATCH($A362,SPPR!$A:$A,0),14),""),"")</f>
        <v/>
      </c>
      <c r="R362">
        <f>IFERROR(IF(ISNUMBER(INDEX(SPPR!$E:$Z,MATCH($A362,SPPR!$A:$A,0),15)),$C362*INDEX(SPPR!$E:$Z,MATCH($A362,SPPR!$A:$A,0),15),""),"")</f>
        <v/>
      </c>
      <c r="S362">
        <f>IFERROR(IF(ISNUMBER(INDEX(SPPR!$E:$Z,MATCH($A362,SPPR!$A:$A,0),16)),$C362*INDEX(SPPR!$E:$Z,MATCH($A362,SPPR!$A:$A,0),16),""),"")</f>
        <v/>
      </c>
      <c r="T362">
        <f>IFERROR(IF(ISNUMBER(INDEX(SPPR!$E:$Z,MATCH($A362,SPPR!$A:$A,0),17)),$C362*INDEX(SPPR!$E:$Z,MATCH($A362,SPPR!$A:$A,0),17),""),"")</f>
        <v/>
      </c>
      <c r="U362">
        <f>IFERROR(IF(ISNUMBER(INDEX(SPPR!$E:$Z,MATCH($A362,SPPR!$A:$A,0),18)),$C362*INDEX(SPPR!$E:$Z,MATCH($A362,SPPR!$A:$A,0),18),""),"")</f>
        <v/>
      </c>
      <c r="V362">
        <f>IFERROR(IF(ISNUMBER(INDEX(SPPR!$E:$Z,MATCH($A362,SPPR!$A:$A,0),19)),$C362*INDEX(SPPR!$E:$Z,MATCH($A362,SPPR!$A:$A,0),19),""),"")</f>
        <v/>
      </c>
      <c r="W362">
        <f>IFERROR(IF(ISNUMBER(INDEX(SPPR!$E:$Z,MATCH($A362,SPPR!$A:$A,0),20)),$C362*INDEX(SPPR!$E:$Z,MATCH($A362,SPPR!$A:$A,0),20),""),"")</f>
        <v/>
      </c>
      <c r="X362">
        <f>IFERROR(IF(ISNUMBER(INDEX(SPPR!$E:$Z,MATCH($A362,SPPR!$A:$A,0),21)),$C362*INDEX(SPPR!$E:$Z,MATCH($A362,SPPR!$A:$A,0),21),""),"")</f>
        <v/>
      </c>
      <c r="Y362">
        <f>IFERROR(IF(ISNUMBER(INDEX(SPPR!$E:$Z,MATCH($A362,SPPR!$A:$A,0),22)),$C362*INDEX(SPPR!$E:$Z,MATCH($A362,SPPR!$A:$A,0),22),""),"")</f>
        <v/>
      </c>
    </row>
    <row r="363">
      <c r="A363" t="inlineStr">
        <is>
          <t>Amblygaster sirm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IFERROR(IF(ISNUMBER(INDEX(SPPR!$E:$Z,MATCH($A363,SPPR!$A:$A,0),1)),$C363*INDEX(SPPR!$E:$Z,MATCH($A363,SPPR!$A:$A,0),1),""),"")</f>
        <v/>
      </c>
      <c r="E363">
        <f>IFERROR(IF(ISNUMBER(INDEX(SPPR!$E:$Z,MATCH($A363,SPPR!$A:$A,0),2)),$C363*INDEX(SPPR!$E:$Z,MATCH($A363,SPPR!$A:$A,0),2),""),"")</f>
        <v/>
      </c>
      <c r="F363">
        <f>IFERROR(IF(ISNUMBER(INDEX(SPPR!$E:$Z,MATCH($A363,SPPR!$A:$A,0),3)),$C363*INDEX(SPPR!$E:$Z,MATCH($A363,SPPR!$A:$A,0),3),""),"")</f>
        <v/>
      </c>
      <c r="G363">
        <f>IFERROR(IF(ISNUMBER(INDEX(SPPR!$E:$Z,MATCH($A363,SPPR!$A:$A,0),4)),$C363*INDEX(SPPR!$E:$Z,MATCH($A363,SPPR!$A:$A,0),4),""),"")</f>
        <v/>
      </c>
      <c r="H363">
        <f>IFERROR(IF(ISNUMBER(INDEX(SPPR!$E:$Z,MATCH($A363,SPPR!$A:$A,0),5)),$C363*INDEX(SPPR!$E:$Z,MATCH($A363,SPPR!$A:$A,0),5),""),"")</f>
        <v/>
      </c>
      <c r="I363">
        <f>IFERROR(IF(ISNUMBER(INDEX(SPPR!$E:$Z,MATCH($A363,SPPR!$A:$A,0),6)),$C363*INDEX(SPPR!$E:$Z,MATCH($A363,SPPR!$A:$A,0),6),""),"")</f>
        <v/>
      </c>
      <c r="J363">
        <f>IFERROR(IF(ISNUMBER(INDEX(SPPR!$E:$Z,MATCH($A363,SPPR!$A:$A,0),7)),$C363*INDEX(SPPR!$E:$Z,MATCH($A363,SPPR!$A:$A,0),7),""),"")</f>
        <v/>
      </c>
      <c r="K363">
        <f>IFERROR(IF(ISNUMBER(INDEX(SPPR!$E:$Z,MATCH($A363,SPPR!$A:$A,0),8)),$C363*INDEX(SPPR!$E:$Z,MATCH($A363,SPPR!$A:$A,0),8),""),"")</f>
        <v/>
      </c>
      <c r="L363">
        <f>IFERROR(IF(ISNUMBER(INDEX(SPPR!$E:$Z,MATCH($A363,SPPR!$A:$A,0),9)),$C363*INDEX(SPPR!$E:$Z,MATCH($A363,SPPR!$A:$A,0),9),""),"")</f>
        <v/>
      </c>
      <c r="M363">
        <f>IFERROR(IF(ISNUMBER(INDEX(SPPR!$E:$Z,MATCH($A363,SPPR!$A:$A,0),10)),$C363*INDEX(SPPR!$E:$Z,MATCH($A363,SPPR!$A:$A,0),10),""),"")</f>
        <v/>
      </c>
      <c r="N363">
        <f>IFERROR(IF(ISNUMBER(INDEX(SPPR!$E:$Z,MATCH($A363,SPPR!$A:$A,0),11)),$C363*INDEX(SPPR!$E:$Z,MATCH($A363,SPPR!$A:$A,0),11),""),"")</f>
        <v/>
      </c>
      <c r="O363">
        <f>IFERROR(IF(ISNUMBER(INDEX(SPPR!$E:$Z,MATCH($A363,SPPR!$A:$A,0),12)),$C363*INDEX(SPPR!$E:$Z,MATCH($A363,SPPR!$A:$A,0),12),""),"")</f>
        <v/>
      </c>
      <c r="P363">
        <f>IFERROR(IF(ISNUMBER(INDEX(SPPR!$E:$Z,MATCH($A363,SPPR!$A:$A,0),13)),$C363*INDEX(SPPR!$E:$Z,MATCH($A363,SPPR!$A:$A,0),13),""),"")</f>
        <v/>
      </c>
      <c r="Q363">
        <f>IFERROR(IF(ISNUMBER(INDEX(SPPR!$E:$Z,MATCH($A363,SPPR!$A:$A,0),14)),$C363*INDEX(SPPR!$E:$Z,MATCH($A363,SPPR!$A:$A,0),14),""),"")</f>
        <v/>
      </c>
      <c r="R363">
        <f>IFERROR(IF(ISNUMBER(INDEX(SPPR!$E:$Z,MATCH($A363,SPPR!$A:$A,0),15)),$C363*INDEX(SPPR!$E:$Z,MATCH($A363,SPPR!$A:$A,0),15),""),"")</f>
        <v/>
      </c>
      <c r="S363">
        <f>IFERROR(IF(ISNUMBER(INDEX(SPPR!$E:$Z,MATCH($A363,SPPR!$A:$A,0),16)),$C363*INDEX(SPPR!$E:$Z,MATCH($A363,SPPR!$A:$A,0),16),""),"")</f>
        <v/>
      </c>
      <c r="T363">
        <f>IFERROR(IF(ISNUMBER(INDEX(SPPR!$E:$Z,MATCH($A363,SPPR!$A:$A,0),17)),$C363*INDEX(SPPR!$E:$Z,MATCH($A363,SPPR!$A:$A,0),17),""),"")</f>
        <v/>
      </c>
      <c r="U363">
        <f>IFERROR(IF(ISNUMBER(INDEX(SPPR!$E:$Z,MATCH($A363,SPPR!$A:$A,0),18)),$C363*INDEX(SPPR!$E:$Z,MATCH($A363,SPPR!$A:$A,0),18),""),"")</f>
        <v/>
      </c>
      <c r="V363">
        <f>IFERROR(IF(ISNUMBER(INDEX(SPPR!$E:$Z,MATCH($A363,SPPR!$A:$A,0),19)),$C363*INDEX(SPPR!$E:$Z,MATCH($A363,SPPR!$A:$A,0),19),""),"")</f>
        <v/>
      </c>
      <c r="W363">
        <f>IFERROR(IF(ISNUMBER(INDEX(SPPR!$E:$Z,MATCH($A363,SPPR!$A:$A,0),20)),$C363*INDEX(SPPR!$E:$Z,MATCH($A363,SPPR!$A:$A,0),20),""),"")</f>
        <v/>
      </c>
      <c r="X363">
        <f>IFERROR(IF(ISNUMBER(INDEX(SPPR!$E:$Z,MATCH($A363,SPPR!$A:$A,0),21)),$C363*INDEX(SPPR!$E:$Z,MATCH($A363,SPPR!$A:$A,0),21),""),"")</f>
        <v/>
      </c>
      <c r="Y363">
        <f>IFERROR(IF(ISNUMBER(INDEX(SPPR!$E:$Z,MATCH($A363,SPPR!$A:$A,0),22)),$C363*INDEX(SPPR!$E:$Z,MATCH($A363,SPPR!$A:$A,0),22),""),"")</f>
        <v/>
      </c>
    </row>
    <row r="364">
      <c r="A364" t="inlineStr">
        <is>
          <t>Lampris guttatus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IFERROR(IF(ISNUMBER(INDEX(SPPR!$E:$Z,MATCH($A364,SPPR!$A:$A,0),1)),$C364*INDEX(SPPR!$E:$Z,MATCH($A364,SPPR!$A:$A,0),1),""),"")</f>
        <v/>
      </c>
      <c r="E364">
        <f>IFERROR(IF(ISNUMBER(INDEX(SPPR!$E:$Z,MATCH($A364,SPPR!$A:$A,0),2)),$C364*INDEX(SPPR!$E:$Z,MATCH($A364,SPPR!$A:$A,0),2),""),"")</f>
        <v/>
      </c>
      <c r="F364">
        <f>IFERROR(IF(ISNUMBER(INDEX(SPPR!$E:$Z,MATCH($A364,SPPR!$A:$A,0),3)),$C364*INDEX(SPPR!$E:$Z,MATCH($A364,SPPR!$A:$A,0),3),""),"")</f>
        <v/>
      </c>
      <c r="G364">
        <f>IFERROR(IF(ISNUMBER(INDEX(SPPR!$E:$Z,MATCH($A364,SPPR!$A:$A,0),4)),$C364*INDEX(SPPR!$E:$Z,MATCH($A364,SPPR!$A:$A,0),4),""),"")</f>
        <v/>
      </c>
      <c r="H364">
        <f>IFERROR(IF(ISNUMBER(INDEX(SPPR!$E:$Z,MATCH($A364,SPPR!$A:$A,0),5)),$C364*INDEX(SPPR!$E:$Z,MATCH($A364,SPPR!$A:$A,0),5),""),"")</f>
        <v/>
      </c>
      <c r="I364">
        <f>IFERROR(IF(ISNUMBER(INDEX(SPPR!$E:$Z,MATCH($A364,SPPR!$A:$A,0),6)),$C364*INDEX(SPPR!$E:$Z,MATCH($A364,SPPR!$A:$A,0),6),""),"")</f>
        <v/>
      </c>
      <c r="J364">
        <f>IFERROR(IF(ISNUMBER(INDEX(SPPR!$E:$Z,MATCH($A364,SPPR!$A:$A,0),7)),$C364*INDEX(SPPR!$E:$Z,MATCH($A364,SPPR!$A:$A,0),7),""),"")</f>
        <v/>
      </c>
      <c r="K364">
        <f>IFERROR(IF(ISNUMBER(INDEX(SPPR!$E:$Z,MATCH($A364,SPPR!$A:$A,0),8)),$C364*INDEX(SPPR!$E:$Z,MATCH($A364,SPPR!$A:$A,0),8),""),"")</f>
        <v/>
      </c>
      <c r="L364">
        <f>IFERROR(IF(ISNUMBER(INDEX(SPPR!$E:$Z,MATCH($A364,SPPR!$A:$A,0),9)),$C364*INDEX(SPPR!$E:$Z,MATCH($A364,SPPR!$A:$A,0),9),""),"")</f>
        <v/>
      </c>
      <c r="M364">
        <f>IFERROR(IF(ISNUMBER(INDEX(SPPR!$E:$Z,MATCH($A364,SPPR!$A:$A,0),10)),$C364*INDEX(SPPR!$E:$Z,MATCH($A364,SPPR!$A:$A,0),10),""),"")</f>
        <v/>
      </c>
      <c r="N364">
        <f>IFERROR(IF(ISNUMBER(INDEX(SPPR!$E:$Z,MATCH($A364,SPPR!$A:$A,0),11)),$C364*INDEX(SPPR!$E:$Z,MATCH($A364,SPPR!$A:$A,0),11),""),"")</f>
        <v/>
      </c>
      <c r="O364">
        <f>IFERROR(IF(ISNUMBER(INDEX(SPPR!$E:$Z,MATCH($A364,SPPR!$A:$A,0),12)),$C364*INDEX(SPPR!$E:$Z,MATCH($A364,SPPR!$A:$A,0),12),""),"")</f>
        <v/>
      </c>
      <c r="P364">
        <f>IFERROR(IF(ISNUMBER(INDEX(SPPR!$E:$Z,MATCH($A364,SPPR!$A:$A,0),13)),$C364*INDEX(SPPR!$E:$Z,MATCH($A364,SPPR!$A:$A,0),13),""),"")</f>
        <v/>
      </c>
      <c r="Q364">
        <f>IFERROR(IF(ISNUMBER(INDEX(SPPR!$E:$Z,MATCH($A364,SPPR!$A:$A,0),14)),$C364*INDEX(SPPR!$E:$Z,MATCH($A364,SPPR!$A:$A,0),14),""),"")</f>
        <v/>
      </c>
      <c r="R364">
        <f>IFERROR(IF(ISNUMBER(INDEX(SPPR!$E:$Z,MATCH($A364,SPPR!$A:$A,0),15)),$C364*INDEX(SPPR!$E:$Z,MATCH($A364,SPPR!$A:$A,0),15),""),"")</f>
        <v/>
      </c>
      <c r="S364">
        <f>IFERROR(IF(ISNUMBER(INDEX(SPPR!$E:$Z,MATCH($A364,SPPR!$A:$A,0),16)),$C364*INDEX(SPPR!$E:$Z,MATCH($A364,SPPR!$A:$A,0),16),""),"")</f>
        <v/>
      </c>
      <c r="T364">
        <f>IFERROR(IF(ISNUMBER(INDEX(SPPR!$E:$Z,MATCH($A364,SPPR!$A:$A,0),17)),$C364*INDEX(SPPR!$E:$Z,MATCH($A364,SPPR!$A:$A,0),17),""),"")</f>
        <v/>
      </c>
      <c r="U364">
        <f>IFERROR(IF(ISNUMBER(INDEX(SPPR!$E:$Z,MATCH($A364,SPPR!$A:$A,0),18)),$C364*INDEX(SPPR!$E:$Z,MATCH($A364,SPPR!$A:$A,0),18),""),"")</f>
        <v/>
      </c>
      <c r="V364">
        <f>IFERROR(IF(ISNUMBER(INDEX(SPPR!$E:$Z,MATCH($A364,SPPR!$A:$A,0),19)),$C364*INDEX(SPPR!$E:$Z,MATCH($A364,SPPR!$A:$A,0),19),""),"")</f>
        <v/>
      </c>
      <c r="W364">
        <f>IFERROR(IF(ISNUMBER(INDEX(SPPR!$E:$Z,MATCH($A364,SPPR!$A:$A,0),20)),$C364*INDEX(SPPR!$E:$Z,MATCH($A364,SPPR!$A:$A,0),20),""),"")</f>
        <v/>
      </c>
      <c r="X364">
        <f>IFERROR(IF(ISNUMBER(INDEX(SPPR!$E:$Z,MATCH($A364,SPPR!$A:$A,0),21)),$C364*INDEX(SPPR!$E:$Z,MATCH($A364,SPPR!$A:$A,0),21),""),"")</f>
        <v/>
      </c>
      <c r="Y364">
        <f>IFERROR(IF(ISNUMBER(INDEX(SPPR!$E:$Z,MATCH($A364,SPPR!$A:$A,0),22)),$C364*INDEX(SPPR!$E:$Z,MATCH($A364,SPPR!$A:$A,0),22),""),"")</f>
        <v/>
      </c>
    </row>
    <row r="365">
      <c r="A365" t="inlineStr">
        <is>
          <t>Pectinidae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IFERROR(IF(ISNUMBER(INDEX(SPPR!$E:$Z,MATCH($A365,SPPR!$A:$A,0),1)),$C365*INDEX(SPPR!$E:$Z,MATCH($A365,SPPR!$A:$A,0),1),""),"")</f>
        <v/>
      </c>
      <c r="E365">
        <f>IFERROR(IF(ISNUMBER(INDEX(SPPR!$E:$Z,MATCH($A365,SPPR!$A:$A,0),2)),$C365*INDEX(SPPR!$E:$Z,MATCH($A365,SPPR!$A:$A,0),2),""),"")</f>
        <v/>
      </c>
      <c r="F365">
        <f>IFERROR(IF(ISNUMBER(INDEX(SPPR!$E:$Z,MATCH($A365,SPPR!$A:$A,0),3)),$C365*INDEX(SPPR!$E:$Z,MATCH($A365,SPPR!$A:$A,0),3),""),"")</f>
        <v/>
      </c>
      <c r="G365">
        <f>IFERROR(IF(ISNUMBER(INDEX(SPPR!$E:$Z,MATCH($A365,SPPR!$A:$A,0),4)),$C365*INDEX(SPPR!$E:$Z,MATCH($A365,SPPR!$A:$A,0),4),""),"")</f>
        <v/>
      </c>
      <c r="H365">
        <f>IFERROR(IF(ISNUMBER(INDEX(SPPR!$E:$Z,MATCH($A365,SPPR!$A:$A,0),5)),$C365*INDEX(SPPR!$E:$Z,MATCH($A365,SPPR!$A:$A,0),5),""),"")</f>
        <v/>
      </c>
      <c r="I365">
        <f>IFERROR(IF(ISNUMBER(INDEX(SPPR!$E:$Z,MATCH($A365,SPPR!$A:$A,0),6)),$C365*INDEX(SPPR!$E:$Z,MATCH($A365,SPPR!$A:$A,0),6),""),"")</f>
        <v/>
      </c>
      <c r="J365">
        <f>IFERROR(IF(ISNUMBER(INDEX(SPPR!$E:$Z,MATCH($A365,SPPR!$A:$A,0),7)),$C365*INDEX(SPPR!$E:$Z,MATCH($A365,SPPR!$A:$A,0),7),""),"")</f>
        <v/>
      </c>
      <c r="K365">
        <f>IFERROR(IF(ISNUMBER(INDEX(SPPR!$E:$Z,MATCH($A365,SPPR!$A:$A,0),8)),$C365*INDEX(SPPR!$E:$Z,MATCH($A365,SPPR!$A:$A,0),8),""),"")</f>
        <v/>
      </c>
      <c r="L365">
        <f>IFERROR(IF(ISNUMBER(INDEX(SPPR!$E:$Z,MATCH($A365,SPPR!$A:$A,0),9)),$C365*INDEX(SPPR!$E:$Z,MATCH($A365,SPPR!$A:$A,0),9),""),"")</f>
        <v/>
      </c>
      <c r="M365">
        <f>IFERROR(IF(ISNUMBER(INDEX(SPPR!$E:$Z,MATCH($A365,SPPR!$A:$A,0),10)),$C365*INDEX(SPPR!$E:$Z,MATCH($A365,SPPR!$A:$A,0),10),""),"")</f>
        <v/>
      </c>
      <c r="N365">
        <f>IFERROR(IF(ISNUMBER(INDEX(SPPR!$E:$Z,MATCH($A365,SPPR!$A:$A,0),11)),$C365*INDEX(SPPR!$E:$Z,MATCH($A365,SPPR!$A:$A,0),11),""),"")</f>
        <v/>
      </c>
      <c r="O365">
        <f>IFERROR(IF(ISNUMBER(INDEX(SPPR!$E:$Z,MATCH($A365,SPPR!$A:$A,0),12)),$C365*INDEX(SPPR!$E:$Z,MATCH($A365,SPPR!$A:$A,0),12),""),"")</f>
        <v/>
      </c>
      <c r="P365">
        <f>IFERROR(IF(ISNUMBER(INDEX(SPPR!$E:$Z,MATCH($A365,SPPR!$A:$A,0),13)),$C365*INDEX(SPPR!$E:$Z,MATCH($A365,SPPR!$A:$A,0),13),""),"")</f>
        <v/>
      </c>
      <c r="Q365">
        <f>IFERROR(IF(ISNUMBER(INDEX(SPPR!$E:$Z,MATCH($A365,SPPR!$A:$A,0),14)),$C365*INDEX(SPPR!$E:$Z,MATCH($A365,SPPR!$A:$A,0),14),""),"")</f>
        <v/>
      </c>
      <c r="R365">
        <f>IFERROR(IF(ISNUMBER(INDEX(SPPR!$E:$Z,MATCH($A365,SPPR!$A:$A,0),15)),$C365*INDEX(SPPR!$E:$Z,MATCH($A365,SPPR!$A:$A,0),15),""),"")</f>
        <v/>
      </c>
      <c r="S365">
        <f>IFERROR(IF(ISNUMBER(INDEX(SPPR!$E:$Z,MATCH($A365,SPPR!$A:$A,0),16)),$C365*INDEX(SPPR!$E:$Z,MATCH($A365,SPPR!$A:$A,0),16),""),"")</f>
        <v/>
      </c>
      <c r="T365">
        <f>IFERROR(IF(ISNUMBER(INDEX(SPPR!$E:$Z,MATCH($A365,SPPR!$A:$A,0),17)),$C365*INDEX(SPPR!$E:$Z,MATCH($A365,SPPR!$A:$A,0),17),""),"")</f>
        <v/>
      </c>
      <c r="U365">
        <f>IFERROR(IF(ISNUMBER(INDEX(SPPR!$E:$Z,MATCH($A365,SPPR!$A:$A,0),18)),$C365*INDEX(SPPR!$E:$Z,MATCH($A365,SPPR!$A:$A,0),18),""),"")</f>
        <v/>
      </c>
      <c r="V365">
        <f>IFERROR(IF(ISNUMBER(INDEX(SPPR!$E:$Z,MATCH($A365,SPPR!$A:$A,0),19)),$C365*INDEX(SPPR!$E:$Z,MATCH($A365,SPPR!$A:$A,0),19),""),"")</f>
        <v/>
      </c>
      <c r="W365">
        <f>IFERROR(IF(ISNUMBER(INDEX(SPPR!$E:$Z,MATCH($A365,SPPR!$A:$A,0),20)),$C365*INDEX(SPPR!$E:$Z,MATCH($A365,SPPR!$A:$A,0),20),""),"")</f>
        <v/>
      </c>
      <c r="X365">
        <f>IFERROR(IF(ISNUMBER(INDEX(SPPR!$E:$Z,MATCH($A365,SPPR!$A:$A,0),21)),$C365*INDEX(SPPR!$E:$Z,MATCH($A365,SPPR!$A:$A,0),21),""),"")</f>
        <v/>
      </c>
      <c r="Y365">
        <f>IFERROR(IF(ISNUMBER(INDEX(SPPR!$E:$Z,MATCH($A365,SPPR!$A:$A,0),22)),$C365*INDEX(SPPR!$E:$Z,MATCH($A365,SPPR!$A:$A,0),22),""),"")</f>
        <v/>
      </c>
    </row>
    <row r="366">
      <c r="A366" t="inlineStr">
        <is>
          <t>Gymnosarda unicolor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IFERROR(IF(ISNUMBER(INDEX(SPPR!$E:$Z,MATCH($A366,SPPR!$A:$A,0),1)),$C366*INDEX(SPPR!$E:$Z,MATCH($A366,SPPR!$A:$A,0),1),""),"")</f>
        <v/>
      </c>
      <c r="E366">
        <f>IFERROR(IF(ISNUMBER(INDEX(SPPR!$E:$Z,MATCH($A366,SPPR!$A:$A,0),2)),$C366*INDEX(SPPR!$E:$Z,MATCH($A366,SPPR!$A:$A,0),2),""),"")</f>
        <v/>
      </c>
      <c r="F366">
        <f>IFERROR(IF(ISNUMBER(INDEX(SPPR!$E:$Z,MATCH($A366,SPPR!$A:$A,0),3)),$C366*INDEX(SPPR!$E:$Z,MATCH($A366,SPPR!$A:$A,0),3),""),"")</f>
        <v/>
      </c>
      <c r="G366">
        <f>IFERROR(IF(ISNUMBER(INDEX(SPPR!$E:$Z,MATCH($A366,SPPR!$A:$A,0),4)),$C366*INDEX(SPPR!$E:$Z,MATCH($A366,SPPR!$A:$A,0),4),""),"")</f>
        <v/>
      </c>
      <c r="H366">
        <f>IFERROR(IF(ISNUMBER(INDEX(SPPR!$E:$Z,MATCH($A366,SPPR!$A:$A,0),5)),$C366*INDEX(SPPR!$E:$Z,MATCH($A366,SPPR!$A:$A,0),5),""),"")</f>
        <v/>
      </c>
      <c r="I366">
        <f>IFERROR(IF(ISNUMBER(INDEX(SPPR!$E:$Z,MATCH($A366,SPPR!$A:$A,0),6)),$C366*INDEX(SPPR!$E:$Z,MATCH($A366,SPPR!$A:$A,0),6),""),"")</f>
        <v/>
      </c>
      <c r="J366">
        <f>IFERROR(IF(ISNUMBER(INDEX(SPPR!$E:$Z,MATCH($A366,SPPR!$A:$A,0),7)),$C366*INDEX(SPPR!$E:$Z,MATCH($A366,SPPR!$A:$A,0),7),""),"")</f>
        <v/>
      </c>
      <c r="K366">
        <f>IFERROR(IF(ISNUMBER(INDEX(SPPR!$E:$Z,MATCH($A366,SPPR!$A:$A,0),8)),$C366*INDEX(SPPR!$E:$Z,MATCH($A366,SPPR!$A:$A,0),8),""),"")</f>
        <v/>
      </c>
      <c r="L366">
        <f>IFERROR(IF(ISNUMBER(INDEX(SPPR!$E:$Z,MATCH($A366,SPPR!$A:$A,0),9)),$C366*INDEX(SPPR!$E:$Z,MATCH($A366,SPPR!$A:$A,0),9),""),"")</f>
        <v/>
      </c>
      <c r="M366">
        <f>IFERROR(IF(ISNUMBER(INDEX(SPPR!$E:$Z,MATCH($A366,SPPR!$A:$A,0),10)),$C366*INDEX(SPPR!$E:$Z,MATCH($A366,SPPR!$A:$A,0),10),""),"")</f>
        <v/>
      </c>
      <c r="N366">
        <f>IFERROR(IF(ISNUMBER(INDEX(SPPR!$E:$Z,MATCH($A366,SPPR!$A:$A,0),11)),$C366*INDEX(SPPR!$E:$Z,MATCH($A366,SPPR!$A:$A,0),11),""),"")</f>
        <v/>
      </c>
      <c r="O366">
        <f>IFERROR(IF(ISNUMBER(INDEX(SPPR!$E:$Z,MATCH($A366,SPPR!$A:$A,0),12)),$C366*INDEX(SPPR!$E:$Z,MATCH($A366,SPPR!$A:$A,0),12),""),"")</f>
        <v/>
      </c>
      <c r="P366">
        <f>IFERROR(IF(ISNUMBER(INDEX(SPPR!$E:$Z,MATCH($A366,SPPR!$A:$A,0),13)),$C366*INDEX(SPPR!$E:$Z,MATCH($A366,SPPR!$A:$A,0),13),""),"")</f>
        <v/>
      </c>
      <c r="Q366">
        <f>IFERROR(IF(ISNUMBER(INDEX(SPPR!$E:$Z,MATCH($A366,SPPR!$A:$A,0),14)),$C366*INDEX(SPPR!$E:$Z,MATCH($A366,SPPR!$A:$A,0),14),""),"")</f>
        <v/>
      </c>
      <c r="R366">
        <f>IFERROR(IF(ISNUMBER(INDEX(SPPR!$E:$Z,MATCH($A366,SPPR!$A:$A,0),15)),$C366*INDEX(SPPR!$E:$Z,MATCH($A366,SPPR!$A:$A,0),15),""),"")</f>
        <v/>
      </c>
      <c r="S366">
        <f>IFERROR(IF(ISNUMBER(INDEX(SPPR!$E:$Z,MATCH($A366,SPPR!$A:$A,0),16)),$C366*INDEX(SPPR!$E:$Z,MATCH($A366,SPPR!$A:$A,0),16),""),"")</f>
        <v/>
      </c>
      <c r="T366">
        <f>IFERROR(IF(ISNUMBER(INDEX(SPPR!$E:$Z,MATCH($A366,SPPR!$A:$A,0),17)),$C366*INDEX(SPPR!$E:$Z,MATCH($A366,SPPR!$A:$A,0),17),""),"")</f>
        <v/>
      </c>
      <c r="U366">
        <f>IFERROR(IF(ISNUMBER(INDEX(SPPR!$E:$Z,MATCH($A366,SPPR!$A:$A,0),18)),$C366*INDEX(SPPR!$E:$Z,MATCH($A366,SPPR!$A:$A,0),18),""),"")</f>
        <v/>
      </c>
      <c r="V366">
        <f>IFERROR(IF(ISNUMBER(INDEX(SPPR!$E:$Z,MATCH($A366,SPPR!$A:$A,0),19)),$C366*INDEX(SPPR!$E:$Z,MATCH($A366,SPPR!$A:$A,0),19),""),"")</f>
        <v/>
      </c>
      <c r="W366">
        <f>IFERROR(IF(ISNUMBER(INDEX(SPPR!$E:$Z,MATCH($A366,SPPR!$A:$A,0),20)),$C366*INDEX(SPPR!$E:$Z,MATCH($A366,SPPR!$A:$A,0),20),""),"")</f>
        <v/>
      </c>
      <c r="X366">
        <f>IFERROR(IF(ISNUMBER(INDEX(SPPR!$E:$Z,MATCH($A366,SPPR!$A:$A,0),21)),$C366*INDEX(SPPR!$E:$Z,MATCH($A366,SPPR!$A:$A,0),21),""),"")</f>
        <v/>
      </c>
      <c r="Y366">
        <f>IFERROR(IF(ISNUMBER(INDEX(SPPR!$E:$Z,MATCH($A366,SPPR!$A:$A,0),22)),$C366*INDEX(SPPR!$E:$Z,MATCH($A366,SPPR!$A:$A,0),22),""),"")</f>
        <v/>
      </c>
    </row>
    <row r="367">
      <c r="A367" t="inlineStr">
        <is>
          <t>Tenualosa toli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IFERROR(IF(ISNUMBER(INDEX(SPPR!$E:$Z,MATCH($A367,SPPR!$A:$A,0),1)),$C367*INDEX(SPPR!$E:$Z,MATCH($A367,SPPR!$A:$A,0),1),""),"")</f>
        <v/>
      </c>
      <c r="E367">
        <f>IFERROR(IF(ISNUMBER(INDEX(SPPR!$E:$Z,MATCH($A367,SPPR!$A:$A,0),2)),$C367*INDEX(SPPR!$E:$Z,MATCH($A367,SPPR!$A:$A,0),2),""),"")</f>
        <v/>
      </c>
      <c r="F367">
        <f>IFERROR(IF(ISNUMBER(INDEX(SPPR!$E:$Z,MATCH($A367,SPPR!$A:$A,0),3)),$C367*INDEX(SPPR!$E:$Z,MATCH($A367,SPPR!$A:$A,0),3),""),"")</f>
        <v/>
      </c>
      <c r="G367">
        <f>IFERROR(IF(ISNUMBER(INDEX(SPPR!$E:$Z,MATCH($A367,SPPR!$A:$A,0),4)),$C367*INDEX(SPPR!$E:$Z,MATCH($A367,SPPR!$A:$A,0),4),""),"")</f>
        <v/>
      </c>
      <c r="H367">
        <f>IFERROR(IF(ISNUMBER(INDEX(SPPR!$E:$Z,MATCH($A367,SPPR!$A:$A,0),5)),$C367*INDEX(SPPR!$E:$Z,MATCH($A367,SPPR!$A:$A,0),5),""),"")</f>
        <v/>
      </c>
      <c r="I367">
        <f>IFERROR(IF(ISNUMBER(INDEX(SPPR!$E:$Z,MATCH($A367,SPPR!$A:$A,0),6)),$C367*INDEX(SPPR!$E:$Z,MATCH($A367,SPPR!$A:$A,0),6),""),"")</f>
        <v/>
      </c>
      <c r="J367">
        <f>IFERROR(IF(ISNUMBER(INDEX(SPPR!$E:$Z,MATCH($A367,SPPR!$A:$A,0),7)),$C367*INDEX(SPPR!$E:$Z,MATCH($A367,SPPR!$A:$A,0),7),""),"")</f>
        <v/>
      </c>
      <c r="K367">
        <f>IFERROR(IF(ISNUMBER(INDEX(SPPR!$E:$Z,MATCH($A367,SPPR!$A:$A,0),8)),$C367*INDEX(SPPR!$E:$Z,MATCH($A367,SPPR!$A:$A,0),8),""),"")</f>
        <v/>
      </c>
      <c r="L367">
        <f>IFERROR(IF(ISNUMBER(INDEX(SPPR!$E:$Z,MATCH($A367,SPPR!$A:$A,0),9)),$C367*INDEX(SPPR!$E:$Z,MATCH($A367,SPPR!$A:$A,0),9),""),"")</f>
        <v/>
      </c>
      <c r="M367">
        <f>IFERROR(IF(ISNUMBER(INDEX(SPPR!$E:$Z,MATCH($A367,SPPR!$A:$A,0),10)),$C367*INDEX(SPPR!$E:$Z,MATCH($A367,SPPR!$A:$A,0),10),""),"")</f>
        <v/>
      </c>
      <c r="N367">
        <f>IFERROR(IF(ISNUMBER(INDEX(SPPR!$E:$Z,MATCH($A367,SPPR!$A:$A,0),11)),$C367*INDEX(SPPR!$E:$Z,MATCH($A367,SPPR!$A:$A,0),11),""),"")</f>
        <v/>
      </c>
      <c r="O367">
        <f>IFERROR(IF(ISNUMBER(INDEX(SPPR!$E:$Z,MATCH($A367,SPPR!$A:$A,0),12)),$C367*INDEX(SPPR!$E:$Z,MATCH($A367,SPPR!$A:$A,0),12),""),"")</f>
        <v/>
      </c>
      <c r="P367">
        <f>IFERROR(IF(ISNUMBER(INDEX(SPPR!$E:$Z,MATCH($A367,SPPR!$A:$A,0),13)),$C367*INDEX(SPPR!$E:$Z,MATCH($A367,SPPR!$A:$A,0),13),""),"")</f>
        <v/>
      </c>
      <c r="Q367">
        <f>IFERROR(IF(ISNUMBER(INDEX(SPPR!$E:$Z,MATCH($A367,SPPR!$A:$A,0),14)),$C367*INDEX(SPPR!$E:$Z,MATCH($A367,SPPR!$A:$A,0),14),""),"")</f>
        <v/>
      </c>
      <c r="R367">
        <f>IFERROR(IF(ISNUMBER(INDEX(SPPR!$E:$Z,MATCH($A367,SPPR!$A:$A,0),15)),$C367*INDEX(SPPR!$E:$Z,MATCH($A367,SPPR!$A:$A,0),15),""),"")</f>
        <v/>
      </c>
      <c r="S367">
        <f>IFERROR(IF(ISNUMBER(INDEX(SPPR!$E:$Z,MATCH($A367,SPPR!$A:$A,0),16)),$C367*INDEX(SPPR!$E:$Z,MATCH($A367,SPPR!$A:$A,0),16),""),"")</f>
        <v/>
      </c>
      <c r="T367">
        <f>IFERROR(IF(ISNUMBER(INDEX(SPPR!$E:$Z,MATCH($A367,SPPR!$A:$A,0),17)),$C367*INDEX(SPPR!$E:$Z,MATCH($A367,SPPR!$A:$A,0),17),""),"")</f>
        <v/>
      </c>
      <c r="U367">
        <f>IFERROR(IF(ISNUMBER(INDEX(SPPR!$E:$Z,MATCH($A367,SPPR!$A:$A,0),18)),$C367*INDEX(SPPR!$E:$Z,MATCH($A367,SPPR!$A:$A,0),18),""),"")</f>
        <v/>
      </c>
      <c r="V367">
        <f>IFERROR(IF(ISNUMBER(INDEX(SPPR!$E:$Z,MATCH($A367,SPPR!$A:$A,0),19)),$C367*INDEX(SPPR!$E:$Z,MATCH($A367,SPPR!$A:$A,0),19),""),"")</f>
        <v/>
      </c>
      <c r="W367">
        <f>IFERROR(IF(ISNUMBER(INDEX(SPPR!$E:$Z,MATCH($A367,SPPR!$A:$A,0),20)),$C367*INDEX(SPPR!$E:$Z,MATCH($A367,SPPR!$A:$A,0),20),""),"")</f>
        <v/>
      </c>
      <c r="X367">
        <f>IFERROR(IF(ISNUMBER(INDEX(SPPR!$E:$Z,MATCH($A367,SPPR!$A:$A,0),21)),$C367*INDEX(SPPR!$E:$Z,MATCH($A367,SPPR!$A:$A,0),21),""),"")</f>
        <v/>
      </c>
      <c r="Y367">
        <f>IFERROR(IF(ISNUMBER(INDEX(SPPR!$E:$Z,MATCH($A367,SPPR!$A:$A,0),22)),$C367*INDEX(SPPR!$E:$Z,MATCH($A367,SPPR!$A:$A,0),22),""),"")</f>
        <v/>
      </c>
    </row>
    <row r="368">
      <c r="A368" t="inlineStr">
        <is>
          <t>Sphyrna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IFERROR(IF(ISNUMBER(INDEX(SPPR!$E:$Z,MATCH($A368,SPPR!$A:$A,0),1)),$C368*INDEX(SPPR!$E:$Z,MATCH($A368,SPPR!$A:$A,0),1),""),"")</f>
        <v/>
      </c>
      <c r="E368">
        <f>IFERROR(IF(ISNUMBER(INDEX(SPPR!$E:$Z,MATCH($A368,SPPR!$A:$A,0),2)),$C368*INDEX(SPPR!$E:$Z,MATCH($A368,SPPR!$A:$A,0),2),""),"")</f>
        <v/>
      </c>
      <c r="F368">
        <f>IFERROR(IF(ISNUMBER(INDEX(SPPR!$E:$Z,MATCH($A368,SPPR!$A:$A,0),3)),$C368*INDEX(SPPR!$E:$Z,MATCH($A368,SPPR!$A:$A,0),3),""),"")</f>
        <v/>
      </c>
      <c r="G368">
        <f>IFERROR(IF(ISNUMBER(INDEX(SPPR!$E:$Z,MATCH($A368,SPPR!$A:$A,0),4)),$C368*INDEX(SPPR!$E:$Z,MATCH($A368,SPPR!$A:$A,0),4),""),"")</f>
        <v/>
      </c>
      <c r="H368">
        <f>IFERROR(IF(ISNUMBER(INDEX(SPPR!$E:$Z,MATCH($A368,SPPR!$A:$A,0),5)),$C368*INDEX(SPPR!$E:$Z,MATCH($A368,SPPR!$A:$A,0),5),""),"")</f>
        <v/>
      </c>
      <c r="I368">
        <f>IFERROR(IF(ISNUMBER(INDEX(SPPR!$E:$Z,MATCH($A368,SPPR!$A:$A,0),6)),$C368*INDEX(SPPR!$E:$Z,MATCH($A368,SPPR!$A:$A,0),6),""),"")</f>
        <v/>
      </c>
      <c r="J368">
        <f>IFERROR(IF(ISNUMBER(INDEX(SPPR!$E:$Z,MATCH($A368,SPPR!$A:$A,0),7)),$C368*INDEX(SPPR!$E:$Z,MATCH($A368,SPPR!$A:$A,0),7),""),"")</f>
        <v/>
      </c>
      <c r="K368">
        <f>IFERROR(IF(ISNUMBER(INDEX(SPPR!$E:$Z,MATCH($A368,SPPR!$A:$A,0),8)),$C368*INDEX(SPPR!$E:$Z,MATCH($A368,SPPR!$A:$A,0),8),""),"")</f>
        <v/>
      </c>
      <c r="L368">
        <f>IFERROR(IF(ISNUMBER(INDEX(SPPR!$E:$Z,MATCH($A368,SPPR!$A:$A,0),9)),$C368*INDEX(SPPR!$E:$Z,MATCH($A368,SPPR!$A:$A,0),9),""),"")</f>
        <v/>
      </c>
      <c r="M368">
        <f>IFERROR(IF(ISNUMBER(INDEX(SPPR!$E:$Z,MATCH($A368,SPPR!$A:$A,0),10)),$C368*INDEX(SPPR!$E:$Z,MATCH($A368,SPPR!$A:$A,0),10),""),"")</f>
        <v/>
      </c>
      <c r="N368">
        <f>IFERROR(IF(ISNUMBER(INDEX(SPPR!$E:$Z,MATCH($A368,SPPR!$A:$A,0),11)),$C368*INDEX(SPPR!$E:$Z,MATCH($A368,SPPR!$A:$A,0),11),""),"")</f>
        <v/>
      </c>
      <c r="O368">
        <f>IFERROR(IF(ISNUMBER(INDEX(SPPR!$E:$Z,MATCH($A368,SPPR!$A:$A,0),12)),$C368*INDEX(SPPR!$E:$Z,MATCH($A368,SPPR!$A:$A,0),12),""),"")</f>
        <v/>
      </c>
      <c r="P368">
        <f>IFERROR(IF(ISNUMBER(INDEX(SPPR!$E:$Z,MATCH($A368,SPPR!$A:$A,0),13)),$C368*INDEX(SPPR!$E:$Z,MATCH($A368,SPPR!$A:$A,0),13),""),"")</f>
        <v/>
      </c>
      <c r="Q368">
        <f>IFERROR(IF(ISNUMBER(INDEX(SPPR!$E:$Z,MATCH($A368,SPPR!$A:$A,0),14)),$C368*INDEX(SPPR!$E:$Z,MATCH($A368,SPPR!$A:$A,0),14),""),"")</f>
        <v/>
      </c>
      <c r="R368">
        <f>IFERROR(IF(ISNUMBER(INDEX(SPPR!$E:$Z,MATCH($A368,SPPR!$A:$A,0),15)),$C368*INDEX(SPPR!$E:$Z,MATCH($A368,SPPR!$A:$A,0),15),""),"")</f>
        <v/>
      </c>
      <c r="S368">
        <f>IFERROR(IF(ISNUMBER(INDEX(SPPR!$E:$Z,MATCH($A368,SPPR!$A:$A,0),16)),$C368*INDEX(SPPR!$E:$Z,MATCH($A368,SPPR!$A:$A,0),16),""),"")</f>
        <v/>
      </c>
      <c r="T368">
        <f>IFERROR(IF(ISNUMBER(INDEX(SPPR!$E:$Z,MATCH($A368,SPPR!$A:$A,0),17)),$C368*INDEX(SPPR!$E:$Z,MATCH($A368,SPPR!$A:$A,0),17),""),"")</f>
        <v/>
      </c>
      <c r="U368">
        <f>IFERROR(IF(ISNUMBER(INDEX(SPPR!$E:$Z,MATCH($A368,SPPR!$A:$A,0),18)),$C368*INDEX(SPPR!$E:$Z,MATCH($A368,SPPR!$A:$A,0),18),""),"")</f>
        <v/>
      </c>
      <c r="V368">
        <f>IFERROR(IF(ISNUMBER(INDEX(SPPR!$E:$Z,MATCH($A368,SPPR!$A:$A,0),19)),$C368*INDEX(SPPR!$E:$Z,MATCH($A368,SPPR!$A:$A,0),19),""),"")</f>
        <v/>
      </c>
      <c r="W368">
        <f>IFERROR(IF(ISNUMBER(INDEX(SPPR!$E:$Z,MATCH($A368,SPPR!$A:$A,0),20)),$C368*INDEX(SPPR!$E:$Z,MATCH($A368,SPPR!$A:$A,0),20),""),"")</f>
        <v/>
      </c>
      <c r="X368">
        <f>IFERROR(IF(ISNUMBER(INDEX(SPPR!$E:$Z,MATCH($A368,SPPR!$A:$A,0),21)),$C368*INDEX(SPPR!$E:$Z,MATCH($A368,SPPR!$A:$A,0),21),""),"")</f>
        <v/>
      </c>
      <c r="Y368">
        <f>IFERROR(IF(ISNUMBER(INDEX(SPPR!$E:$Z,MATCH($A368,SPPR!$A:$A,0),22)),$C368*INDEX(SPPR!$E:$Z,MATCH($A368,SPPR!$A:$A,0),22),""),"")</f>
        <v/>
      </c>
    </row>
    <row r="369">
      <c r="A369" t="inlineStr">
        <is>
          <t>Ostreidae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IFERROR(IF(ISNUMBER(INDEX(SPPR!$E:$Z,MATCH($A369,SPPR!$A:$A,0),1)),$C369*INDEX(SPPR!$E:$Z,MATCH($A369,SPPR!$A:$A,0),1),""),"")</f>
        <v/>
      </c>
      <c r="E369">
        <f>IFERROR(IF(ISNUMBER(INDEX(SPPR!$E:$Z,MATCH($A369,SPPR!$A:$A,0),2)),$C369*INDEX(SPPR!$E:$Z,MATCH($A369,SPPR!$A:$A,0),2),""),"")</f>
        <v/>
      </c>
      <c r="F369">
        <f>IFERROR(IF(ISNUMBER(INDEX(SPPR!$E:$Z,MATCH($A369,SPPR!$A:$A,0),3)),$C369*INDEX(SPPR!$E:$Z,MATCH($A369,SPPR!$A:$A,0),3),""),"")</f>
        <v/>
      </c>
      <c r="G369">
        <f>IFERROR(IF(ISNUMBER(INDEX(SPPR!$E:$Z,MATCH($A369,SPPR!$A:$A,0),4)),$C369*INDEX(SPPR!$E:$Z,MATCH($A369,SPPR!$A:$A,0),4),""),"")</f>
        <v/>
      </c>
      <c r="H369">
        <f>IFERROR(IF(ISNUMBER(INDEX(SPPR!$E:$Z,MATCH($A369,SPPR!$A:$A,0),5)),$C369*INDEX(SPPR!$E:$Z,MATCH($A369,SPPR!$A:$A,0),5),""),"")</f>
        <v/>
      </c>
      <c r="I369">
        <f>IFERROR(IF(ISNUMBER(INDEX(SPPR!$E:$Z,MATCH($A369,SPPR!$A:$A,0),6)),$C369*INDEX(SPPR!$E:$Z,MATCH($A369,SPPR!$A:$A,0),6),""),"")</f>
        <v/>
      </c>
      <c r="J369">
        <f>IFERROR(IF(ISNUMBER(INDEX(SPPR!$E:$Z,MATCH($A369,SPPR!$A:$A,0),7)),$C369*INDEX(SPPR!$E:$Z,MATCH($A369,SPPR!$A:$A,0),7),""),"")</f>
        <v/>
      </c>
      <c r="K369">
        <f>IFERROR(IF(ISNUMBER(INDEX(SPPR!$E:$Z,MATCH($A369,SPPR!$A:$A,0),8)),$C369*INDEX(SPPR!$E:$Z,MATCH($A369,SPPR!$A:$A,0),8),""),"")</f>
        <v/>
      </c>
      <c r="L369">
        <f>IFERROR(IF(ISNUMBER(INDEX(SPPR!$E:$Z,MATCH($A369,SPPR!$A:$A,0),9)),$C369*INDEX(SPPR!$E:$Z,MATCH($A369,SPPR!$A:$A,0),9),""),"")</f>
        <v/>
      </c>
      <c r="M369">
        <f>IFERROR(IF(ISNUMBER(INDEX(SPPR!$E:$Z,MATCH($A369,SPPR!$A:$A,0),10)),$C369*INDEX(SPPR!$E:$Z,MATCH($A369,SPPR!$A:$A,0),10),""),"")</f>
        <v/>
      </c>
      <c r="N369">
        <f>IFERROR(IF(ISNUMBER(INDEX(SPPR!$E:$Z,MATCH($A369,SPPR!$A:$A,0),11)),$C369*INDEX(SPPR!$E:$Z,MATCH($A369,SPPR!$A:$A,0),11),""),"")</f>
        <v/>
      </c>
      <c r="O369">
        <f>IFERROR(IF(ISNUMBER(INDEX(SPPR!$E:$Z,MATCH($A369,SPPR!$A:$A,0),12)),$C369*INDEX(SPPR!$E:$Z,MATCH($A369,SPPR!$A:$A,0),12),""),"")</f>
        <v/>
      </c>
      <c r="P369">
        <f>IFERROR(IF(ISNUMBER(INDEX(SPPR!$E:$Z,MATCH($A369,SPPR!$A:$A,0),13)),$C369*INDEX(SPPR!$E:$Z,MATCH($A369,SPPR!$A:$A,0),13),""),"")</f>
        <v/>
      </c>
      <c r="Q369">
        <f>IFERROR(IF(ISNUMBER(INDEX(SPPR!$E:$Z,MATCH($A369,SPPR!$A:$A,0),14)),$C369*INDEX(SPPR!$E:$Z,MATCH($A369,SPPR!$A:$A,0),14),""),"")</f>
        <v/>
      </c>
      <c r="R369">
        <f>IFERROR(IF(ISNUMBER(INDEX(SPPR!$E:$Z,MATCH($A369,SPPR!$A:$A,0),15)),$C369*INDEX(SPPR!$E:$Z,MATCH($A369,SPPR!$A:$A,0),15),""),"")</f>
        <v/>
      </c>
      <c r="S369">
        <f>IFERROR(IF(ISNUMBER(INDEX(SPPR!$E:$Z,MATCH($A369,SPPR!$A:$A,0),16)),$C369*INDEX(SPPR!$E:$Z,MATCH($A369,SPPR!$A:$A,0),16),""),"")</f>
        <v/>
      </c>
      <c r="T369">
        <f>IFERROR(IF(ISNUMBER(INDEX(SPPR!$E:$Z,MATCH($A369,SPPR!$A:$A,0),17)),$C369*INDEX(SPPR!$E:$Z,MATCH($A369,SPPR!$A:$A,0),17),""),"")</f>
        <v/>
      </c>
      <c r="U369">
        <f>IFERROR(IF(ISNUMBER(INDEX(SPPR!$E:$Z,MATCH($A369,SPPR!$A:$A,0),18)),$C369*INDEX(SPPR!$E:$Z,MATCH($A369,SPPR!$A:$A,0),18),""),"")</f>
        <v/>
      </c>
      <c r="V369">
        <f>IFERROR(IF(ISNUMBER(INDEX(SPPR!$E:$Z,MATCH($A369,SPPR!$A:$A,0),19)),$C369*INDEX(SPPR!$E:$Z,MATCH($A369,SPPR!$A:$A,0),19),""),"")</f>
        <v/>
      </c>
      <c r="W369">
        <f>IFERROR(IF(ISNUMBER(INDEX(SPPR!$E:$Z,MATCH($A369,SPPR!$A:$A,0),20)),$C369*INDEX(SPPR!$E:$Z,MATCH($A369,SPPR!$A:$A,0),20),""),"")</f>
        <v/>
      </c>
      <c r="X369">
        <f>IFERROR(IF(ISNUMBER(INDEX(SPPR!$E:$Z,MATCH($A369,SPPR!$A:$A,0),21)),$C369*INDEX(SPPR!$E:$Z,MATCH($A369,SPPR!$A:$A,0),21),""),"")</f>
        <v/>
      </c>
      <c r="Y369">
        <f>IFERROR(IF(ISNUMBER(INDEX(SPPR!$E:$Z,MATCH($A369,SPPR!$A:$A,0),22)),$C369*INDEX(SPPR!$E:$Z,MATCH($A369,SPPR!$A:$A,0),22),""),"")</f>
        <v/>
      </c>
    </row>
    <row r="370">
      <c r="A370" t="inlineStr">
        <is>
          <t>Tripneustes gratilla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IFERROR(IF(ISNUMBER(INDEX(SPPR!$E:$Z,MATCH($A370,SPPR!$A:$A,0),1)),$C370*INDEX(SPPR!$E:$Z,MATCH($A370,SPPR!$A:$A,0),1),""),"")</f>
        <v/>
      </c>
      <c r="E370">
        <f>IFERROR(IF(ISNUMBER(INDEX(SPPR!$E:$Z,MATCH($A370,SPPR!$A:$A,0),2)),$C370*INDEX(SPPR!$E:$Z,MATCH($A370,SPPR!$A:$A,0),2),""),"")</f>
        <v/>
      </c>
      <c r="F370">
        <f>IFERROR(IF(ISNUMBER(INDEX(SPPR!$E:$Z,MATCH($A370,SPPR!$A:$A,0),3)),$C370*INDEX(SPPR!$E:$Z,MATCH($A370,SPPR!$A:$A,0),3),""),"")</f>
        <v/>
      </c>
      <c r="G370">
        <f>IFERROR(IF(ISNUMBER(INDEX(SPPR!$E:$Z,MATCH($A370,SPPR!$A:$A,0),4)),$C370*INDEX(SPPR!$E:$Z,MATCH($A370,SPPR!$A:$A,0),4),""),"")</f>
        <v/>
      </c>
      <c r="H370">
        <f>IFERROR(IF(ISNUMBER(INDEX(SPPR!$E:$Z,MATCH($A370,SPPR!$A:$A,0),5)),$C370*INDEX(SPPR!$E:$Z,MATCH($A370,SPPR!$A:$A,0),5),""),"")</f>
        <v/>
      </c>
      <c r="I370">
        <f>IFERROR(IF(ISNUMBER(INDEX(SPPR!$E:$Z,MATCH($A370,SPPR!$A:$A,0),6)),$C370*INDEX(SPPR!$E:$Z,MATCH($A370,SPPR!$A:$A,0),6),""),"")</f>
        <v/>
      </c>
      <c r="J370">
        <f>IFERROR(IF(ISNUMBER(INDEX(SPPR!$E:$Z,MATCH($A370,SPPR!$A:$A,0),7)),$C370*INDEX(SPPR!$E:$Z,MATCH($A370,SPPR!$A:$A,0),7),""),"")</f>
        <v/>
      </c>
      <c r="K370">
        <f>IFERROR(IF(ISNUMBER(INDEX(SPPR!$E:$Z,MATCH($A370,SPPR!$A:$A,0),8)),$C370*INDEX(SPPR!$E:$Z,MATCH($A370,SPPR!$A:$A,0),8),""),"")</f>
        <v/>
      </c>
      <c r="L370">
        <f>IFERROR(IF(ISNUMBER(INDEX(SPPR!$E:$Z,MATCH($A370,SPPR!$A:$A,0),9)),$C370*INDEX(SPPR!$E:$Z,MATCH($A370,SPPR!$A:$A,0),9),""),"")</f>
        <v/>
      </c>
      <c r="M370">
        <f>IFERROR(IF(ISNUMBER(INDEX(SPPR!$E:$Z,MATCH($A370,SPPR!$A:$A,0),10)),$C370*INDEX(SPPR!$E:$Z,MATCH($A370,SPPR!$A:$A,0),10),""),"")</f>
        <v/>
      </c>
      <c r="N370">
        <f>IFERROR(IF(ISNUMBER(INDEX(SPPR!$E:$Z,MATCH($A370,SPPR!$A:$A,0),11)),$C370*INDEX(SPPR!$E:$Z,MATCH($A370,SPPR!$A:$A,0),11),""),"")</f>
        <v/>
      </c>
      <c r="O370">
        <f>IFERROR(IF(ISNUMBER(INDEX(SPPR!$E:$Z,MATCH($A370,SPPR!$A:$A,0),12)),$C370*INDEX(SPPR!$E:$Z,MATCH($A370,SPPR!$A:$A,0),12),""),"")</f>
        <v/>
      </c>
      <c r="P370">
        <f>IFERROR(IF(ISNUMBER(INDEX(SPPR!$E:$Z,MATCH($A370,SPPR!$A:$A,0),13)),$C370*INDEX(SPPR!$E:$Z,MATCH($A370,SPPR!$A:$A,0),13),""),"")</f>
        <v/>
      </c>
      <c r="Q370">
        <f>IFERROR(IF(ISNUMBER(INDEX(SPPR!$E:$Z,MATCH($A370,SPPR!$A:$A,0),14)),$C370*INDEX(SPPR!$E:$Z,MATCH($A370,SPPR!$A:$A,0),14),""),"")</f>
        <v/>
      </c>
      <c r="R370">
        <f>IFERROR(IF(ISNUMBER(INDEX(SPPR!$E:$Z,MATCH($A370,SPPR!$A:$A,0),15)),$C370*INDEX(SPPR!$E:$Z,MATCH($A370,SPPR!$A:$A,0),15),""),"")</f>
        <v/>
      </c>
      <c r="S370">
        <f>IFERROR(IF(ISNUMBER(INDEX(SPPR!$E:$Z,MATCH($A370,SPPR!$A:$A,0),16)),$C370*INDEX(SPPR!$E:$Z,MATCH($A370,SPPR!$A:$A,0),16),""),"")</f>
        <v/>
      </c>
      <c r="T370">
        <f>IFERROR(IF(ISNUMBER(INDEX(SPPR!$E:$Z,MATCH($A370,SPPR!$A:$A,0),17)),$C370*INDEX(SPPR!$E:$Z,MATCH($A370,SPPR!$A:$A,0),17),""),"")</f>
        <v/>
      </c>
      <c r="U370">
        <f>IFERROR(IF(ISNUMBER(INDEX(SPPR!$E:$Z,MATCH($A370,SPPR!$A:$A,0),18)),$C370*INDEX(SPPR!$E:$Z,MATCH($A370,SPPR!$A:$A,0),18),""),"")</f>
        <v/>
      </c>
      <c r="V370">
        <f>IFERROR(IF(ISNUMBER(INDEX(SPPR!$E:$Z,MATCH($A370,SPPR!$A:$A,0),19)),$C370*INDEX(SPPR!$E:$Z,MATCH($A370,SPPR!$A:$A,0),19),""),"")</f>
        <v/>
      </c>
      <c r="W370">
        <f>IFERROR(IF(ISNUMBER(INDEX(SPPR!$E:$Z,MATCH($A370,SPPR!$A:$A,0),20)),$C370*INDEX(SPPR!$E:$Z,MATCH($A370,SPPR!$A:$A,0),20),""),"")</f>
        <v/>
      </c>
      <c r="X370">
        <f>IFERROR(IF(ISNUMBER(INDEX(SPPR!$E:$Z,MATCH($A370,SPPR!$A:$A,0),21)),$C370*INDEX(SPPR!$E:$Z,MATCH($A370,SPPR!$A:$A,0),21),""),"")</f>
        <v/>
      </c>
      <c r="Y370">
        <f>IFERROR(IF(ISNUMBER(INDEX(SPPR!$E:$Z,MATCH($A370,SPPR!$A:$A,0),22)),$C370*INDEX(SPPR!$E:$Z,MATCH($A370,SPPR!$A:$A,0),22),""),"")</f>
        <v/>
      </c>
    </row>
    <row r="371">
      <c r="A371" t="inlineStr">
        <is>
          <t>Lutjanus argentimaculatus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IFERROR(IF(ISNUMBER(INDEX(SPPR!$E:$Z,MATCH($A371,SPPR!$A:$A,0),1)),$C371*INDEX(SPPR!$E:$Z,MATCH($A371,SPPR!$A:$A,0),1),""),"")</f>
        <v/>
      </c>
      <c r="E371">
        <f>IFERROR(IF(ISNUMBER(INDEX(SPPR!$E:$Z,MATCH($A371,SPPR!$A:$A,0),2)),$C371*INDEX(SPPR!$E:$Z,MATCH($A371,SPPR!$A:$A,0),2),""),"")</f>
        <v/>
      </c>
      <c r="F371">
        <f>IFERROR(IF(ISNUMBER(INDEX(SPPR!$E:$Z,MATCH($A371,SPPR!$A:$A,0),3)),$C371*INDEX(SPPR!$E:$Z,MATCH($A371,SPPR!$A:$A,0),3),""),"")</f>
        <v/>
      </c>
      <c r="G371">
        <f>IFERROR(IF(ISNUMBER(INDEX(SPPR!$E:$Z,MATCH($A371,SPPR!$A:$A,0),4)),$C371*INDEX(SPPR!$E:$Z,MATCH($A371,SPPR!$A:$A,0),4),""),"")</f>
        <v/>
      </c>
      <c r="H371">
        <f>IFERROR(IF(ISNUMBER(INDEX(SPPR!$E:$Z,MATCH($A371,SPPR!$A:$A,0),5)),$C371*INDEX(SPPR!$E:$Z,MATCH($A371,SPPR!$A:$A,0),5),""),"")</f>
        <v/>
      </c>
      <c r="I371">
        <f>IFERROR(IF(ISNUMBER(INDEX(SPPR!$E:$Z,MATCH($A371,SPPR!$A:$A,0),6)),$C371*INDEX(SPPR!$E:$Z,MATCH($A371,SPPR!$A:$A,0),6),""),"")</f>
        <v/>
      </c>
      <c r="J371">
        <f>IFERROR(IF(ISNUMBER(INDEX(SPPR!$E:$Z,MATCH($A371,SPPR!$A:$A,0),7)),$C371*INDEX(SPPR!$E:$Z,MATCH($A371,SPPR!$A:$A,0),7),""),"")</f>
        <v/>
      </c>
      <c r="K371">
        <f>IFERROR(IF(ISNUMBER(INDEX(SPPR!$E:$Z,MATCH($A371,SPPR!$A:$A,0),8)),$C371*INDEX(SPPR!$E:$Z,MATCH($A371,SPPR!$A:$A,0),8),""),"")</f>
        <v/>
      </c>
      <c r="L371">
        <f>IFERROR(IF(ISNUMBER(INDEX(SPPR!$E:$Z,MATCH($A371,SPPR!$A:$A,0),9)),$C371*INDEX(SPPR!$E:$Z,MATCH($A371,SPPR!$A:$A,0),9),""),"")</f>
        <v/>
      </c>
      <c r="M371">
        <f>IFERROR(IF(ISNUMBER(INDEX(SPPR!$E:$Z,MATCH($A371,SPPR!$A:$A,0),10)),$C371*INDEX(SPPR!$E:$Z,MATCH($A371,SPPR!$A:$A,0),10),""),"")</f>
        <v/>
      </c>
      <c r="N371">
        <f>IFERROR(IF(ISNUMBER(INDEX(SPPR!$E:$Z,MATCH($A371,SPPR!$A:$A,0),11)),$C371*INDEX(SPPR!$E:$Z,MATCH($A371,SPPR!$A:$A,0),11),""),"")</f>
        <v/>
      </c>
      <c r="O371">
        <f>IFERROR(IF(ISNUMBER(INDEX(SPPR!$E:$Z,MATCH($A371,SPPR!$A:$A,0),12)),$C371*INDEX(SPPR!$E:$Z,MATCH($A371,SPPR!$A:$A,0),12),""),"")</f>
        <v/>
      </c>
      <c r="P371">
        <f>IFERROR(IF(ISNUMBER(INDEX(SPPR!$E:$Z,MATCH($A371,SPPR!$A:$A,0),13)),$C371*INDEX(SPPR!$E:$Z,MATCH($A371,SPPR!$A:$A,0),13),""),"")</f>
        <v/>
      </c>
      <c r="Q371">
        <f>IFERROR(IF(ISNUMBER(INDEX(SPPR!$E:$Z,MATCH($A371,SPPR!$A:$A,0),14)),$C371*INDEX(SPPR!$E:$Z,MATCH($A371,SPPR!$A:$A,0),14),""),"")</f>
        <v/>
      </c>
      <c r="R371">
        <f>IFERROR(IF(ISNUMBER(INDEX(SPPR!$E:$Z,MATCH($A371,SPPR!$A:$A,0),15)),$C371*INDEX(SPPR!$E:$Z,MATCH($A371,SPPR!$A:$A,0),15),""),"")</f>
        <v/>
      </c>
      <c r="S371">
        <f>IFERROR(IF(ISNUMBER(INDEX(SPPR!$E:$Z,MATCH($A371,SPPR!$A:$A,0),16)),$C371*INDEX(SPPR!$E:$Z,MATCH($A371,SPPR!$A:$A,0),16),""),"")</f>
        <v/>
      </c>
      <c r="T371">
        <f>IFERROR(IF(ISNUMBER(INDEX(SPPR!$E:$Z,MATCH($A371,SPPR!$A:$A,0),17)),$C371*INDEX(SPPR!$E:$Z,MATCH($A371,SPPR!$A:$A,0),17),""),"")</f>
        <v/>
      </c>
      <c r="U371">
        <f>IFERROR(IF(ISNUMBER(INDEX(SPPR!$E:$Z,MATCH($A371,SPPR!$A:$A,0),18)),$C371*INDEX(SPPR!$E:$Z,MATCH($A371,SPPR!$A:$A,0),18),""),"")</f>
        <v/>
      </c>
      <c r="V371">
        <f>IFERROR(IF(ISNUMBER(INDEX(SPPR!$E:$Z,MATCH($A371,SPPR!$A:$A,0),19)),$C371*INDEX(SPPR!$E:$Z,MATCH($A371,SPPR!$A:$A,0),19),""),"")</f>
        <v/>
      </c>
      <c r="W371">
        <f>IFERROR(IF(ISNUMBER(INDEX(SPPR!$E:$Z,MATCH($A371,SPPR!$A:$A,0),20)),$C371*INDEX(SPPR!$E:$Z,MATCH($A371,SPPR!$A:$A,0),20),""),"")</f>
        <v/>
      </c>
      <c r="X371">
        <f>IFERROR(IF(ISNUMBER(INDEX(SPPR!$E:$Z,MATCH($A371,SPPR!$A:$A,0),21)),$C371*INDEX(SPPR!$E:$Z,MATCH($A371,SPPR!$A:$A,0),21),""),"")</f>
        <v/>
      </c>
      <c r="Y371">
        <f>IFERROR(IF(ISNUMBER(INDEX(SPPR!$E:$Z,MATCH($A371,SPPR!$A:$A,0),22)),$C371*INDEX(SPPR!$E:$Z,MATCH($A371,SPPR!$A:$A,0),22),""),"")</f>
        <v/>
      </c>
    </row>
    <row r="372">
      <c r="A372" t="inlineStr">
        <is>
          <t>Pomatomus saltatrix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IFERROR(IF(ISNUMBER(INDEX(SPPR!$E:$Z,MATCH($A372,SPPR!$A:$A,0),1)),$C372*INDEX(SPPR!$E:$Z,MATCH($A372,SPPR!$A:$A,0),1),""),"")</f>
        <v/>
      </c>
      <c r="E372">
        <f>IFERROR(IF(ISNUMBER(INDEX(SPPR!$E:$Z,MATCH($A372,SPPR!$A:$A,0),2)),$C372*INDEX(SPPR!$E:$Z,MATCH($A372,SPPR!$A:$A,0),2),""),"")</f>
        <v/>
      </c>
      <c r="F372">
        <f>IFERROR(IF(ISNUMBER(INDEX(SPPR!$E:$Z,MATCH($A372,SPPR!$A:$A,0),3)),$C372*INDEX(SPPR!$E:$Z,MATCH($A372,SPPR!$A:$A,0),3),""),"")</f>
        <v/>
      </c>
      <c r="G372">
        <f>IFERROR(IF(ISNUMBER(INDEX(SPPR!$E:$Z,MATCH($A372,SPPR!$A:$A,0),4)),$C372*INDEX(SPPR!$E:$Z,MATCH($A372,SPPR!$A:$A,0),4),""),"")</f>
        <v/>
      </c>
      <c r="H372">
        <f>IFERROR(IF(ISNUMBER(INDEX(SPPR!$E:$Z,MATCH($A372,SPPR!$A:$A,0),5)),$C372*INDEX(SPPR!$E:$Z,MATCH($A372,SPPR!$A:$A,0),5),""),"")</f>
        <v/>
      </c>
      <c r="I372">
        <f>IFERROR(IF(ISNUMBER(INDEX(SPPR!$E:$Z,MATCH($A372,SPPR!$A:$A,0),6)),$C372*INDEX(SPPR!$E:$Z,MATCH($A372,SPPR!$A:$A,0),6),""),"")</f>
        <v/>
      </c>
      <c r="J372">
        <f>IFERROR(IF(ISNUMBER(INDEX(SPPR!$E:$Z,MATCH($A372,SPPR!$A:$A,0),7)),$C372*INDEX(SPPR!$E:$Z,MATCH($A372,SPPR!$A:$A,0),7),""),"")</f>
        <v/>
      </c>
      <c r="K372">
        <f>IFERROR(IF(ISNUMBER(INDEX(SPPR!$E:$Z,MATCH($A372,SPPR!$A:$A,0),8)),$C372*INDEX(SPPR!$E:$Z,MATCH($A372,SPPR!$A:$A,0),8),""),"")</f>
        <v/>
      </c>
      <c r="L372">
        <f>IFERROR(IF(ISNUMBER(INDEX(SPPR!$E:$Z,MATCH($A372,SPPR!$A:$A,0),9)),$C372*INDEX(SPPR!$E:$Z,MATCH($A372,SPPR!$A:$A,0),9),""),"")</f>
        <v/>
      </c>
      <c r="M372">
        <f>IFERROR(IF(ISNUMBER(INDEX(SPPR!$E:$Z,MATCH($A372,SPPR!$A:$A,0),10)),$C372*INDEX(SPPR!$E:$Z,MATCH($A372,SPPR!$A:$A,0),10),""),"")</f>
        <v/>
      </c>
      <c r="N372">
        <f>IFERROR(IF(ISNUMBER(INDEX(SPPR!$E:$Z,MATCH($A372,SPPR!$A:$A,0),11)),$C372*INDEX(SPPR!$E:$Z,MATCH($A372,SPPR!$A:$A,0),11),""),"")</f>
        <v/>
      </c>
      <c r="O372">
        <f>IFERROR(IF(ISNUMBER(INDEX(SPPR!$E:$Z,MATCH($A372,SPPR!$A:$A,0),12)),$C372*INDEX(SPPR!$E:$Z,MATCH($A372,SPPR!$A:$A,0),12),""),"")</f>
        <v/>
      </c>
      <c r="P372">
        <f>IFERROR(IF(ISNUMBER(INDEX(SPPR!$E:$Z,MATCH($A372,SPPR!$A:$A,0),13)),$C372*INDEX(SPPR!$E:$Z,MATCH($A372,SPPR!$A:$A,0),13),""),"")</f>
        <v/>
      </c>
      <c r="Q372">
        <f>IFERROR(IF(ISNUMBER(INDEX(SPPR!$E:$Z,MATCH($A372,SPPR!$A:$A,0),14)),$C372*INDEX(SPPR!$E:$Z,MATCH($A372,SPPR!$A:$A,0),14),""),"")</f>
        <v/>
      </c>
      <c r="R372">
        <f>IFERROR(IF(ISNUMBER(INDEX(SPPR!$E:$Z,MATCH($A372,SPPR!$A:$A,0),15)),$C372*INDEX(SPPR!$E:$Z,MATCH($A372,SPPR!$A:$A,0),15),""),"")</f>
        <v/>
      </c>
      <c r="S372">
        <f>IFERROR(IF(ISNUMBER(INDEX(SPPR!$E:$Z,MATCH($A372,SPPR!$A:$A,0),16)),$C372*INDEX(SPPR!$E:$Z,MATCH($A372,SPPR!$A:$A,0),16),""),"")</f>
        <v/>
      </c>
      <c r="T372">
        <f>IFERROR(IF(ISNUMBER(INDEX(SPPR!$E:$Z,MATCH($A372,SPPR!$A:$A,0),17)),$C372*INDEX(SPPR!$E:$Z,MATCH($A372,SPPR!$A:$A,0),17),""),"")</f>
        <v/>
      </c>
      <c r="U372">
        <f>IFERROR(IF(ISNUMBER(INDEX(SPPR!$E:$Z,MATCH($A372,SPPR!$A:$A,0),18)),$C372*INDEX(SPPR!$E:$Z,MATCH($A372,SPPR!$A:$A,0),18),""),"")</f>
        <v/>
      </c>
      <c r="V372">
        <f>IFERROR(IF(ISNUMBER(INDEX(SPPR!$E:$Z,MATCH($A372,SPPR!$A:$A,0),19)),$C372*INDEX(SPPR!$E:$Z,MATCH($A372,SPPR!$A:$A,0),19),""),"")</f>
        <v/>
      </c>
      <c r="W372">
        <f>IFERROR(IF(ISNUMBER(INDEX(SPPR!$E:$Z,MATCH($A372,SPPR!$A:$A,0),20)),$C372*INDEX(SPPR!$E:$Z,MATCH($A372,SPPR!$A:$A,0),20),""),"")</f>
        <v/>
      </c>
      <c r="X372">
        <f>IFERROR(IF(ISNUMBER(INDEX(SPPR!$E:$Z,MATCH($A372,SPPR!$A:$A,0),21)),$C372*INDEX(SPPR!$E:$Z,MATCH($A372,SPPR!$A:$A,0),21),""),"")</f>
        <v/>
      </c>
      <c r="Y372">
        <f>IFERROR(IF(ISNUMBER(INDEX(SPPR!$E:$Z,MATCH($A372,SPPR!$A:$A,0),22)),$C372*INDEX(SPPR!$E:$Z,MATCH($A372,SPPR!$A:$A,0),22),""),"")</f>
        <v/>
      </c>
    </row>
    <row r="373">
      <c r="A373" t="inlineStr">
        <is>
          <t>Sphyraena jello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IFERROR(IF(ISNUMBER(INDEX(SPPR!$E:$Z,MATCH($A373,SPPR!$A:$A,0),1)),$C373*INDEX(SPPR!$E:$Z,MATCH($A373,SPPR!$A:$A,0),1),""),"")</f>
        <v/>
      </c>
      <c r="E373">
        <f>IFERROR(IF(ISNUMBER(INDEX(SPPR!$E:$Z,MATCH($A373,SPPR!$A:$A,0),2)),$C373*INDEX(SPPR!$E:$Z,MATCH($A373,SPPR!$A:$A,0),2),""),"")</f>
        <v/>
      </c>
      <c r="F373">
        <f>IFERROR(IF(ISNUMBER(INDEX(SPPR!$E:$Z,MATCH($A373,SPPR!$A:$A,0),3)),$C373*INDEX(SPPR!$E:$Z,MATCH($A373,SPPR!$A:$A,0),3),""),"")</f>
        <v/>
      </c>
      <c r="G373">
        <f>IFERROR(IF(ISNUMBER(INDEX(SPPR!$E:$Z,MATCH($A373,SPPR!$A:$A,0),4)),$C373*INDEX(SPPR!$E:$Z,MATCH($A373,SPPR!$A:$A,0),4),""),"")</f>
        <v/>
      </c>
      <c r="H373">
        <f>IFERROR(IF(ISNUMBER(INDEX(SPPR!$E:$Z,MATCH($A373,SPPR!$A:$A,0),5)),$C373*INDEX(SPPR!$E:$Z,MATCH($A373,SPPR!$A:$A,0),5),""),"")</f>
        <v/>
      </c>
      <c r="I373">
        <f>IFERROR(IF(ISNUMBER(INDEX(SPPR!$E:$Z,MATCH($A373,SPPR!$A:$A,0),6)),$C373*INDEX(SPPR!$E:$Z,MATCH($A373,SPPR!$A:$A,0),6),""),"")</f>
        <v/>
      </c>
      <c r="J373">
        <f>IFERROR(IF(ISNUMBER(INDEX(SPPR!$E:$Z,MATCH($A373,SPPR!$A:$A,0),7)),$C373*INDEX(SPPR!$E:$Z,MATCH($A373,SPPR!$A:$A,0),7),""),"")</f>
        <v/>
      </c>
      <c r="K373">
        <f>IFERROR(IF(ISNUMBER(INDEX(SPPR!$E:$Z,MATCH($A373,SPPR!$A:$A,0),8)),$C373*INDEX(SPPR!$E:$Z,MATCH($A373,SPPR!$A:$A,0),8),""),"")</f>
        <v/>
      </c>
      <c r="L373">
        <f>IFERROR(IF(ISNUMBER(INDEX(SPPR!$E:$Z,MATCH($A373,SPPR!$A:$A,0),9)),$C373*INDEX(SPPR!$E:$Z,MATCH($A373,SPPR!$A:$A,0),9),""),"")</f>
        <v/>
      </c>
      <c r="M373">
        <f>IFERROR(IF(ISNUMBER(INDEX(SPPR!$E:$Z,MATCH($A373,SPPR!$A:$A,0),10)),$C373*INDEX(SPPR!$E:$Z,MATCH($A373,SPPR!$A:$A,0),10),""),"")</f>
        <v/>
      </c>
      <c r="N373">
        <f>IFERROR(IF(ISNUMBER(INDEX(SPPR!$E:$Z,MATCH($A373,SPPR!$A:$A,0),11)),$C373*INDEX(SPPR!$E:$Z,MATCH($A373,SPPR!$A:$A,0),11),""),"")</f>
        <v/>
      </c>
      <c r="O373">
        <f>IFERROR(IF(ISNUMBER(INDEX(SPPR!$E:$Z,MATCH($A373,SPPR!$A:$A,0),12)),$C373*INDEX(SPPR!$E:$Z,MATCH($A373,SPPR!$A:$A,0),12),""),"")</f>
        <v/>
      </c>
      <c r="P373">
        <f>IFERROR(IF(ISNUMBER(INDEX(SPPR!$E:$Z,MATCH($A373,SPPR!$A:$A,0),13)),$C373*INDEX(SPPR!$E:$Z,MATCH($A373,SPPR!$A:$A,0),13),""),"")</f>
        <v/>
      </c>
      <c r="Q373">
        <f>IFERROR(IF(ISNUMBER(INDEX(SPPR!$E:$Z,MATCH($A373,SPPR!$A:$A,0),14)),$C373*INDEX(SPPR!$E:$Z,MATCH($A373,SPPR!$A:$A,0),14),""),"")</f>
        <v/>
      </c>
      <c r="R373">
        <f>IFERROR(IF(ISNUMBER(INDEX(SPPR!$E:$Z,MATCH($A373,SPPR!$A:$A,0),15)),$C373*INDEX(SPPR!$E:$Z,MATCH($A373,SPPR!$A:$A,0),15),""),"")</f>
        <v/>
      </c>
      <c r="S373">
        <f>IFERROR(IF(ISNUMBER(INDEX(SPPR!$E:$Z,MATCH($A373,SPPR!$A:$A,0),16)),$C373*INDEX(SPPR!$E:$Z,MATCH($A373,SPPR!$A:$A,0),16),""),"")</f>
        <v/>
      </c>
      <c r="T373">
        <f>IFERROR(IF(ISNUMBER(INDEX(SPPR!$E:$Z,MATCH($A373,SPPR!$A:$A,0),17)),$C373*INDEX(SPPR!$E:$Z,MATCH($A373,SPPR!$A:$A,0),17),""),"")</f>
        <v/>
      </c>
      <c r="U373">
        <f>IFERROR(IF(ISNUMBER(INDEX(SPPR!$E:$Z,MATCH($A373,SPPR!$A:$A,0),18)),$C373*INDEX(SPPR!$E:$Z,MATCH($A373,SPPR!$A:$A,0),18),""),"")</f>
        <v/>
      </c>
      <c r="V373">
        <f>IFERROR(IF(ISNUMBER(INDEX(SPPR!$E:$Z,MATCH($A373,SPPR!$A:$A,0),19)),$C373*INDEX(SPPR!$E:$Z,MATCH($A373,SPPR!$A:$A,0),19),""),"")</f>
        <v/>
      </c>
      <c r="W373">
        <f>IFERROR(IF(ISNUMBER(INDEX(SPPR!$E:$Z,MATCH($A373,SPPR!$A:$A,0),20)),$C373*INDEX(SPPR!$E:$Z,MATCH($A373,SPPR!$A:$A,0),20),""),"")</f>
        <v/>
      </c>
      <c r="X373">
        <f>IFERROR(IF(ISNUMBER(INDEX(SPPR!$E:$Z,MATCH($A373,SPPR!$A:$A,0),21)),$C373*INDEX(SPPR!$E:$Z,MATCH($A373,SPPR!$A:$A,0),21),""),"")</f>
        <v/>
      </c>
      <c r="Y373">
        <f>IFERROR(IF(ISNUMBER(INDEX(SPPR!$E:$Z,MATCH($A373,SPPR!$A:$A,0),22)),$C373*INDEX(SPPR!$E:$Z,MATCH($A373,SPPR!$A:$A,0),22),""),"")</f>
        <v/>
      </c>
    </row>
    <row r="374">
      <c r="A374" t="inlineStr">
        <is>
          <t>Echinozoa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IFERROR(IF(ISNUMBER(INDEX(SPPR!$E:$Z,MATCH($A374,SPPR!$A:$A,0),1)),$C374*INDEX(SPPR!$E:$Z,MATCH($A374,SPPR!$A:$A,0),1),""),"")</f>
        <v/>
      </c>
      <c r="E374">
        <f>IFERROR(IF(ISNUMBER(INDEX(SPPR!$E:$Z,MATCH($A374,SPPR!$A:$A,0),2)),$C374*INDEX(SPPR!$E:$Z,MATCH($A374,SPPR!$A:$A,0),2),""),"")</f>
        <v/>
      </c>
      <c r="F374">
        <f>IFERROR(IF(ISNUMBER(INDEX(SPPR!$E:$Z,MATCH($A374,SPPR!$A:$A,0),3)),$C374*INDEX(SPPR!$E:$Z,MATCH($A374,SPPR!$A:$A,0),3),""),"")</f>
        <v/>
      </c>
      <c r="G374">
        <f>IFERROR(IF(ISNUMBER(INDEX(SPPR!$E:$Z,MATCH($A374,SPPR!$A:$A,0),4)),$C374*INDEX(SPPR!$E:$Z,MATCH($A374,SPPR!$A:$A,0),4),""),"")</f>
        <v/>
      </c>
      <c r="H374">
        <f>IFERROR(IF(ISNUMBER(INDEX(SPPR!$E:$Z,MATCH($A374,SPPR!$A:$A,0),5)),$C374*INDEX(SPPR!$E:$Z,MATCH($A374,SPPR!$A:$A,0),5),""),"")</f>
        <v/>
      </c>
      <c r="I374">
        <f>IFERROR(IF(ISNUMBER(INDEX(SPPR!$E:$Z,MATCH($A374,SPPR!$A:$A,0),6)),$C374*INDEX(SPPR!$E:$Z,MATCH($A374,SPPR!$A:$A,0),6),""),"")</f>
        <v/>
      </c>
      <c r="J374">
        <f>IFERROR(IF(ISNUMBER(INDEX(SPPR!$E:$Z,MATCH($A374,SPPR!$A:$A,0),7)),$C374*INDEX(SPPR!$E:$Z,MATCH($A374,SPPR!$A:$A,0),7),""),"")</f>
        <v/>
      </c>
      <c r="K374">
        <f>IFERROR(IF(ISNUMBER(INDEX(SPPR!$E:$Z,MATCH($A374,SPPR!$A:$A,0),8)),$C374*INDEX(SPPR!$E:$Z,MATCH($A374,SPPR!$A:$A,0),8),""),"")</f>
        <v/>
      </c>
      <c r="L374">
        <f>IFERROR(IF(ISNUMBER(INDEX(SPPR!$E:$Z,MATCH($A374,SPPR!$A:$A,0),9)),$C374*INDEX(SPPR!$E:$Z,MATCH($A374,SPPR!$A:$A,0),9),""),"")</f>
        <v/>
      </c>
      <c r="M374">
        <f>IFERROR(IF(ISNUMBER(INDEX(SPPR!$E:$Z,MATCH($A374,SPPR!$A:$A,0),10)),$C374*INDEX(SPPR!$E:$Z,MATCH($A374,SPPR!$A:$A,0),10),""),"")</f>
        <v/>
      </c>
      <c r="N374">
        <f>IFERROR(IF(ISNUMBER(INDEX(SPPR!$E:$Z,MATCH($A374,SPPR!$A:$A,0),11)),$C374*INDEX(SPPR!$E:$Z,MATCH($A374,SPPR!$A:$A,0),11),""),"")</f>
        <v/>
      </c>
      <c r="O374">
        <f>IFERROR(IF(ISNUMBER(INDEX(SPPR!$E:$Z,MATCH($A374,SPPR!$A:$A,0),12)),$C374*INDEX(SPPR!$E:$Z,MATCH($A374,SPPR!$A:$A,0),12),""),"")</f>
        <v/>
      </c>
      <c r="P374">
        <f>IFERROR(IF(ISNUMBER(INDEX(SPPR!$E:$Z,MATCH($A374,SPPR!$A:$A,0),13)),$C374*INDEX(SPPR!$E:$Z,MATCH($A374,SPPR!$A:$A,0),13),""),"")</f>
        <v/>
      </c>
      <c r="Q374">
        <f>IFERROR(IF(ISNUMBER(INDEX(SPPR!$E:$Z,MATCH($A374,SPPR!$A:$A,0),14)),$C374*INDEX(SPPR!$E:$Z,MATCH($A374,SPPR!$A:$A,0),14),""),"")</f>
        <v/>
      </c>
      <c r="R374">
        <f>IFERROR(IF(ISNUMBER(INDEX(SPPR!$E:$Z,MATCH($A374,SPPR!$A:$A,0),15)),$C374*INDEX(SPPR!$E:$Z,MATCH($A374,SPPR!$A:$A,0),15),""),"")</f>
        <v/>
      </c>
      <c r="S374">
        <f>IFERROR(IF(ISNUMBER(INDEX(SPPR!$E:$Z,MATCH($A374,SPPR!$A:$A,0),16)),$C374*INDEX(SPPR!$E:$Z,MATCH($A374,SPPR!$A:$A,0),16),""),"")</f>
        <v/>
      </c>
      <c r="T374">
        <f>IFERROR(IF(ISNUMBER(INDEX(SPPR!$E:$Z,MATCH($A374,SPPR!$A:$A,0),17)),$C374*INDEX(SPPR!$E:$Z,MATCH($A374,SPPR!$A:$A,0),17),""),"")</f>
        <v/>
      </c>
      <c r="U374">
        <f>IFERROR(IF(ISNUMBER(INDEX(SPPR!$E:$Z,MATCH($A374,SPPR!$A:$A,0),18)),$C374*INDEX(SPPR!$E:$Z,MATCH($A374,SPPR!$A:$A,0),18),""),"")</f>
        <v/>
      </c>
      <c r="V374">
        <f>IFERROR(IF(ISNUMBER(INDEX(SPPR!$E:$Z,MATCH($A374,SPPR!$A:$A,0),19)),$C374*INDEX(SPPR!$E:$Z,MATCH($A374,SPPR!$A:$A,0),19),""),"")</f>
        <v/>
      </c>
      <c r="W374">
        <f>IFERROR(IF(ISNUMBER(INDEX(SPPR!$E:$Z,MATCH($A374,SPPR!$A:$A,0),20)),$C374*INDEX(SPPR!$E:$Z,MATCH($A374,SPPR!$A:$A,0),20),""),"")</f>
        <v/>
      </c>
      <c r="X374">
        <f>IFERROR(IF(ISNUMBER(INDEX(SPPR!$E:$Z,MATCH($A374,SPPR!$A:$A,0),21)),$C374*INDEX(SPPR!$E:$Z,MATCH($A374,SPPR!$A:$A,0),21),""),"")</f>
        <v/>
      </c>
      <c r="Y374">
        <f>IFERROR(IF(ISNUMBER(INDEX(SPPR!$E:$Z,MATCH($A374,SPPR!$A:$A,0),22)),$C374*INDEX(SPPR!$E:$Z,MATCH($A374,SPPR!$A:$A,0),22),""),"")</f>
        <v/>
      </c>
    </row>
    <row r="375">
      <c r="A375" t="inlineStr">
        <is>
          <t>Tetrapturus angustirostris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IFERROR(IF(ISNUMBER(INDEX(SPPR!$E:$Z,MATCH($A375,SPPR!$A:$A,0),1)),$C375*INDEX(SPPR!$E:$Z,MATCH($A375,SPPR!$A:$A,0),1),""),"")</f>
        <v/>
      </c>
      <c r="E375">
        <f>IFERROR(IF(ISNUMBER(INDEX(SPPR!$E:$Z,MATCH($A375,SPPR!$A:$A,0),2)),$C375*INDEX(SPPR!$E:$Z,MATCH($A375,SPPR!$A:$A,0),2),""),"")</f>
        <v/>
      </c>
      <c r="F375">
        <f>IFERROR(IF(ISNUMBER(INDEX(SPPR!$E:$Z,MATCH($A375,SPPR!$A:$A,0),3)),$C375*INDEX(SPPR!$E:$Z,MATCH($A375,SPPR!$A:$A,0),3),""),"")</f>
        <v/>
      </c>
      <c r="G375">
        <f>IFERROR(IF(ISNUMBER(INDEX(SPPR!$E:$Z,MATCH($A375,SPPR!$A:$A,0),4)),$C375*INDEX(SPPR!$E:$Z,MATCH($A375,SPPR!$A:$A,0),4),""),"")</f>
        <v/>
      </c>
      <c r="H375">
        <f>IFERROR(IF(ISNUMBER(INDEX(SPPR!$E:$Z,MATCH($A375,SPPR!$A:$A,0),5)),$C375*INDEX(SPPR!$E:$Z,MATCH($A375,SPPR!$A:$A,0),5),""),"")</f>
        <v/>
      </c>
      <c r="I375">
        <f>IFERROR(IF(ISNUMBER(INDEX(SPPR!$E:$Z,MATCH($A375,SPPR!$A:$A,0),6)),$C375*INDEX(SPPR!$E:$Z,MATCH($A375,SPPR!$A:$A,0),6),""),"")</f>
        <v/>
      </c>
      <c r="J375">
        <f>IFERROR(IF(ISNUMBER(INDEX(SPPR!$E:$Z,MATCH($A375,SPPR!$A:$A,0),7)),$C375*INDEX(SPPR!$E:$Z,MATCH($A375,SPPR!$A:$A,0),7),""),"")</f>
        <v/>
      </c>
      <c r="K375">
        <f>IFERROR(IF(ISNUMBER(INDEX(SPPR!$E:$Z,MATCH($A375,SPPR!$A:$A,0),8)),$C375*INDEX(SPPR!$E:$Z,MATCH($A375,SPPR!$A:$A,0),8),""),"")</f>
        <v/>
      </c>
      <c r="L375">
        <f>IFERROR(IF(ISNUMBER(INDEX(SPPR!$E:$Z,MATCH($A375,SPPR!$A:$A,0),9)),$C375*INDEX(SPPR!$E:$Z,MATCH($A375,SPPR!$A:$A,0),9),""),"")</f>
        <v/>
      </c>
      <c r="M375">
        <f>IFERROR(IF(ISNUMBER(INDEX(SPPR!$E:$Z,MATCH($A375,SPPR!$A:$A,0),10)),$C375*INDEX(SPPR!$E:$Z,MATCH($A375,SPPR!$A:$A,0),10),""),"")</f>
        <v/>
      </c>
      <c r="N375">
        <f>IFERROR(IF(ISNUMBER(INDEX(SPPR!$E:$Z,MATCH($A375,SPPR!$A:$A,0),11)),$C375*INDEX(SPPR!$E:$Z,MATCH($A375,SPPR!$A:$A,0),11),""),"")</f>
        <v/>
      </c>
      <c r="O375">
        <f>IFERROR(IF(ISNUMBER(INDEX(SPPR!$E:$Z,MATCH($A375,SPPR!$A:$A,0),12)),$C375*INDEX(SPPR!$E:$Z,MATCH($A375,SPPR!$A:$A,0),12),""),"")</f>
        <v/>
      </c>
      <c r="P375">
        <f>IFERROR(IF(ISNUMBER(INDEX(SPPR!$E:$Z,MATCH($A375,SPPR!$A:$A,0),13)),$C375*INDEX(SPPR!$E:$Z,MATCH($A375,SPPR!$A:$A,0),13),""),"")</f>
        <v/>
      </c>
      <c r="Q375">
        <f>IFERROR(IF(ISNUMBER(INDEX(SPPR!$E:$Z,MATCH($A375,SPPR!$A:$A,0),14)),$C375*INDEX(SPPR!$E:$Z,MATCH($A375,SPPR!$A:$A,0),14),""),"")</f>
        <v/>
      </c>
      <c r="R375">
        <f>IFERROR(IF(ISNUMBER(INDEX(SPPR!$E:$Z,MATCH($A375,SPPR!$A:$A,0),15)),$C375*INDEX(SPPR!$E:$Z,MATCH($A375,SPPR!$A:$A,0),15),""),"")</f>
        <v/>
      </c>
      <c r="S375">
        <f>IFERROR(IF(ISNUMBER(INDEX(SPPR!$E:$Z,MATCH($A375,SPPR!$A:$A,0),16)),$C375*INDEX(SPPR!$E:$Z,MATCH($A375,SPPR!$A:$A,0),16),""),"")</f>
        <v/>
      </c>
      <c r="T375">
        <f>IFERROR(IF(ISNUMBER(INDEX(SPPR!$E:$Z,MATCH($A375,SPPR!$A:$A,0),17)),$C375*INDEX(SPPR!$E:$Z,MATCH($A375,SPPR!$A:$A,0),17),""),"")</f>
        <v/>
      </c>
      <c r="U375">
        <f>IFERROR(IF(ISNUMBER(INDEX(SPPR!$E:$Z,MATCH($A375,SPPR!$A:$A,0),18)),$C375*INDEX(SPPR!$E:$Z,MATCH($A375,SPPR!$A:$A,0),18),""),"")</f>
        <v/>
      </c>
      <c r="V375">
        <f>IFERROR(IF(ISNUMBER(INDEX(SPPR!$E:$Z,MATCH($A375,SPPR!$A:$A,0),19)),$C375*INDEX(SPPR!$E:$Z,MATCH($A375,SPPR!$A:$A,0),19),""),"")</f>
        <v/>
      </c>
      <c r="W375">
        <f>IFERROR(IF(ISNUMBER(INDEX(SPPR!$E:$Z,MATCH($A375,SPPR!$A:$A,0),20)),$C375*INDEX(SPPR!$E:$Z,MATCH($A375,SPPR!$A:$A,0),20),""),"")</f>
        <v/>
      </c>
      <c r="X375">
        <f>IFERROR(IF(ISNUMBER(INDEX(SPPR!$E:$Z,MATCH($A375,SPPR!$A:$A,0),21)),$C375*INDEX(SPPR!$E:$Z,MATCH($A375,SPPR!$A:$A,0),21),""),"")</f>
        <v/>
      </c>
      <c r="Y375">
        <f>IFERROR(IF(ISNUMBER(INDEX(SPPR!$E:$Z,MATCH($A375,SPPR!$A:$A,0),22)),$C375*INDEX(SPPR!$E:$Z,MATCH($A375,SPPR!$A:$A,0),22),""),"")</f>
        <v/>
      </c>
    </row>
    <row r="376">
      <c r="A376" t="inlineStr">
        <is>
          <t>Sphyrna lewini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IFERROR(IF(ISNUMBER(INDEX(SPPR!$E:$Z,MATCH($A376,SPPR!$A:$A,0),1)),$C376*INDEX(SPPR!$E:$Z,MATCH($A376,SPPR!$A:$A,0),1),""),"")</f>
        <v/>
      </c>
      <c r="E376">
        <f>IFERROR(IF(ISNUMBER(INDEX(SPPR!$E:$Z,MATCH($A376,SPPR!$A:$A,0),2)),$C376*INDEX(SPPR!$E:$Z,MATCH($A376,SPPR!$A:$A,0),2),""),"")</f>
        <v/>
      </c>
      <c r="F376">
        <f>IFERROR(IF(ISNUMBER(INDEX(SPPR!$E:$Z,MATCH($A376,SPPR!$A:$A,0),3)),$C376*INDEX(SPPR!$E:$Z,MATCH($A376,SPPR!$A:$A,0),3),""),"")</f>
        <v/>
      </c>
      <c r="G376">
        <f>IFERROR(IF(ISNUMBER(INDEX(SPPR!$E:$Z,MATCH($A376,SPPR!$A:$A,0),4)),$C376*INDEX(SPPR!$E:$Z,MATCH($A376,SPPR!$A:$A,0),4),""),"")</f>
        <v/>
      </c>
      <c r="H376">
        <f>IFERROR(IF(ISNUMBER(INDEX(SPPR!$E:$Z,MATCH($A376,SPPR!$A:$A,0),5)),$C376*INDEX(SPPR!$E:$Z,MATCH($A376,SPPR!$A:$A,0),5),""),"")</f>
        <v/>
      </c>
      <c r="I376">
        <f>IFERROR(IF(ISNUMBER(INDEX(SPPR!$E:$Z,MATCH($A376,SPPR!$A:$A,0),6)),$C376*INDEX(SPPR!$E:$Z,MATCH($A376,SPPR!$A:$A,0),6),""),"")</f>
        <v/>
      </c>
      <c r="J376">
        <f>IFERROR(IF(ISNUMBER(INDEX(SPPR!$E:$Z,MATCH($A376,SPPR!$A:$A,0),7)),$C376*INDEX(SPPR!$E:$Z,MATCH($A376,SPPR!$A:$A,0),7),""),"")</f>
        <v/>
      </c>
      <c r="K376">
        <f>IFERROR(IF(ISNUMBER(INDEX(SPPR!$E:$Z,MATCH($A376,SPPR!$A:$A,0),8)),$C376*INDEX(SPPR!$E:$Z,MATCH($A376,SPPR!$A:$A,0),8),""),"")</f>
        <v/>
      </c>
      <c r="L376">
        <f>IFERROR(IF(ISNUMBER(INDEX(SPPR!$E:$Z,MATCH($A376,SPPR!$A:$A,0),9)),$C376*INDEX(SPPR!$E:$Z,MATCH($A376,SPPR!$A:$A,0),9),""),"")</f>
        <v/>
      </c>
      <c r="M376">
        <f>IFERROR(IF(ISNUMBER(INDEX(SPPR!$E:$Z,MATCH($A376,SPPR!$A:$A,0),10)),$C376*INDEX(SPPR!$E:$Z,MATCH($A376,SPPR!$A:$A,0),10),""),"")</f>
        <v/>
      </c>
      <c r="N376">
        <f>IFERROR(IF(ISNUMBER(INDEX(SPPR!$E:$Z,MATCH($A376,SPPR!$A:$A,0),11)),$C376*INDEX(SPPR!$E:$Z,MATCH($A376,SPPR!$A:$A,0),11),""),"")</f>
        <v/>
      </c>
      <c r="O376">
        <f>IFERROR(IF(ISNUMBER(INDEX(SPPR!$E:$Z,MATCH($A376,SPPR!$A:$A,0),12)),$C376*INDEX(SPPR!$E:$Z,MATCH($A376,SPPR!$A:$A,0),12),""),"")</f>
        <v/>
      </c>
      <c r="P376">
        <f>IFERROR(IF(ISNUMBER(INDEX(SPPR!$E:$Z,MATCH($A376,SPPR!$A:$A,0),13)),$C376*INDEX(SPPR!$E:$Z,MATCH($A376,SPPR!$A:$A,0),13),""),"")</f>
        <v/>
      </c>
      <c r="Q376">
        <f>IFERROR(IF(ISNUMBER(INDEX(SPPR!$E:$Z,MATCH($A376,SPPR!$A:$A,0),14)),$C376*INDEX(SPPR!$E:$Z,MATCH($A376,SPPR!$A:$A,0),14),""),"")</f>
        <v/>
      </c>
      <c r="R376">
        <f>IFERROR(IF(ISNUMBER(INDEX(SPPR!$E:$Z,MATCH($A376,SPPR!$A:$A,0),15)),$C376*INDEX(SPPR!$E:$Z,MATCH($A376,SPPR!$A:$A,0),15),""),"")</f>
        <v/>
      </c>
      <c r="S376">
        <f>IFERROR(IF(ISNUMBER(INDEX(SPPR!$E:$Z,MATCH($A376,SPPR!$A:$A,0),16)),$C376*INDEX(SPPR!$E:$Z,MATCH($A376,SPPR!$A:$A,0),16),""),"")</f>
        <v/>
      </c>
      <c r="T376">
        <f>IFERROR(IF(ISNUMBER(INDEX(SPPR!$E:$Z,MATCH($A376,SPPR!$A:$A,0),17)),$C376*INDEX(SPPR!$E:$Z,MATCH($A376,SPPR!$A:$A,0),17),""),"")</f>
        <v/>
      </c>
      <c r="U376">
        <f>IFERROR(IF(ISNUMBER(INDEX(SPPR!$E:$Z,MATCH($A376,SPPR!$A:$A,0),18)),$C376*INDEX(SPPR!$E:$Z,MATCH($A376,SPPR!$A:$A,0),18),""),"")</f>
        <v/>
      </c>
      <c r="V376">
        <f>IFERROR(IF(ISNUMBER(INDEX(SPPR!$E:$Z,MATCH($A376,SPPR!$A:$A,0),19)),$C376*INDEX(SPPR!$E:$Z,MATCH($A376,SPPR!$A:$A,0),19),""),"")</f>
        <v/>
      </c>
      <c r="W376">
        <f>IFERROR(IF(ISNUMBER(INDEX(SPPR!$E:$Z,MATCH($A376,SPPR!$A:$A,0),20)),$C376*INDEX(SPPR!$E:$Z,MATCH($A376,SPPR!$A:$A,0),20),""),"")</f>
        <v/>
      </c>
      <c r="X376">
        <f>IFERROR(IF(ISNUMBER(INDEX(SPPR!$E:$Z,MATCH($A376,SPPR!$A:$A,0),21)),$C376*INDEX(SPPR!$E:$Z,MATCH($A376,SPPR!$A:$A,0),21),""),"")</f>
        <v/>
      </c>
      <c r="Y376">
        <f>IFERROR(IF(ISNUMBER(INDEX(SPPR!$E:$Z,MATCH($A376,SPPR!$A:$A,0),22)),$C376*INDEX(SPPR!$E:$Z,MATCH($A376,SPPR!$A:$A,0),22),""),"")</f>
        <v/>
      </c>
    </row>
    <row r="377">
      <c r="A377" t="inlineStr">
        <is>
          <t>Trochus niloticus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IFERROR(IF(ISNUMBER(INDEX(SPPR!$E:$Z,MATCH($A377,SPPR!$A:$A,0),1)),$C377*INDEX(SPPR!$E:$Z,MATCH($A377,SPPR!$A:$A,0),1),""),"")</f>
        <v/>
      </c>
      <c r="E377">
        <f>IFERROR(IF(ISNUMBER(INDEX(SPPR!$E:$Z,MATCH($A377,SPPR!$A:$A,0),2)),$C377*INDEX(SPPR!$E:$Z,MATCH($A377,SPPR!$A:$A,0),2),""),"")</f>
        <v/>
      </c>
      <c r="F377">
        <f>IFERROR(IF(ISNUMBER(INDEX(SPPR!$E:$Z,MATCH($A377,SPPR!$A:$A,0),3)),$C377*INDEX(SPPR!$E:$Z,MATCH($A377,SPPR!$A:$A,0),3),""),"")</f>
        <v/>
      </c>
      <c r="G377">
        <f>IFERROR(IF(ISNUMBER(INDEX(SPPR!$E:$Z,MATCH($A377,SPPR!$A:$A,0),4)),$C377*INDEX(SPPR!$E:$Z,MATCH($A377,SPPR!$A:$A,0),4),""),"")</f>
        <v/>
      </c>
      <c r="H377">
        <f>IFERROR(IF(ISNUMBER(INDEX(SPPR!$E:$Z,MATCH($A377,SPPR!$A:$A,0),5)),$C377*INDEX(SPPR!$E:$Z,MATCH($A377,SPPR!$A:$A,0),5),""),"")</f>
        <v/>
      </c>
      <c r="I377">
        <f>IFERROR(IF(ISNUMBER(INDEX(SPPR!$E:$Z,MATCH($A377,SPPR!$A:$A,0),6)),$C377*INDEX(SPPR!$E:$Z,MATCH($A377,SPPR!$A:$A,0),6),""),"")</f>
        <v/>
      </c>
      <c r="J377">
        <f>IFERROR(IF(ISNUMBER(INDEX(SPPR!$E:$Z,MATCH($A377,SPPR!$A:$A,0),7)),$C377*INDEX(SPPR!$E:$Z,MATCH($A377,SPPR!$A:$A,0),7),""),"")</f>
        <v/>
      </c>
      <c r="K377">
        <f>IFERROR(IF(ISNUMBER(INDEX(SPPR!$E:$Z,MATCH($A377,SPPR!$A:$A,0),8)),$C377*INDEX(SPPR!$E:$Z,MATCH($A377,SPPR!$A:$A,0),8),""),"")</f>
        <v/>
      </c>
      <c r="L377">
        <f>IFERROR(IF(ISNUMBER(INDEX(SPPR!$E:$Z,MATCH($A377,SPPR!$A:$A,0),9)),$C377*INDEX(SPPR!$E:$Z,MATCH($A377,SPPR!$A:$A,0),9),""),"")</f>
        <v/>
      </c>
      <c r="M377">
        <f>IFERROR(IF(ISNUMBER(INDEX(SPPR!$E:$Z,MATCH($A377,SPPR!$A:$A,0),10)),$C377*INDEX(SPPR!$E:$Z,MATCH($A377,SPPR!$A:$A,0),10),""),"")</f>
        <v/>
      </c>
      <c r="N377">
        <f>IFERROR(IF(ISNUMBER(INDEX(SPPR!$E:$Z,MATCH($A377,SPPR!$A:$A,0),11)),$C377*INDEX(SPPR!$E:$Z,MATCH($A377,SPPR!$A:$A,0),11),""),"")</f>
        <v/>
      </c>
      <c r="O377">
        <f>IFERROR(IF(ISNUMBER(INDEX(SPPR!$E:$Z,MATCH($A377,SPPR!$A:$A,0),12)),$C377*INDEX(SPPR!$E:$Z,MATCH($A377,SPPR!$A:$A,0),12),""),"")</f>
        <v/>
      </c>
      <c r="P377">
        <f>IFERROR(IF(ISNUMBER(INDEX(SPPR!$E:$Z,MATCH($A377,SPPR!$A:$A,0),13)),$C377*INDEX(SPPR!$E:$Z,MATCH($A377,SPPR!$A:$A,0),13),""),"")</f>
        <v/>
      </c>
      <c r="Q377">
        <f>IFERROR(IF(ISNUMBER(INDEX(SPPR!$E:$Z,MATCH($A377,SPPR!$A:$A,0),14)),$C377*INDEX(SPPR!$E:$Z,MATCH($A377,SPPR!$A:$A,0),14),""),"")</f>
        <v/>
      </c>
      <c r="R377">
        <f>IFERROR(IF(ISNUMBER(INDEX(SPPR!$E:$Z,MATCH($A377,SPPR!$A:$A,0),15)),$C377*INDEX(SPPR!$E:$Z,MATCH($A377,SPPR!$A:$A,0),15),""),"")</f>
        <v/>
      </c>
      <c r="S377">
        <f>IFERROR(IF(ISNUMBER(INDEX(SPPR!$E:$Z,MATCH($A377,SPPR!$A:$A,0),16)),$C377*INDEX(SPPR!$E:$Z,MATCH($A377,SPPR!$A:$A,0),16),""),"")</f>
        <v/>
      </c>
      <c r="T377">
        <f>IFERROR(IF(ISNUMBER(INDEX(SPPR!$E:$Z,MATCH($A377,SPPR!$A:$A,0),17)),$C377*INDEX(SPPR!$E:$Z,MATCH($A377,SPPR!$A:$A,0),17),""),"")</f>
        <v/>
      </c>
      <c r="U377">
        <f>IFERROR(IF(ISNUMBER(INDEX(SPPR!$E:$Z,MATCH($A377,SPPR!$A:$A,0),18)),$C377*INDEX(SPPR!$E:$Z,MATCH($A377,SPPR!$A:$A,0),18),""),"")</f>
        <v/>
      </c>
      <c r="V377">
        <f>IFERROR(IF(ISNUMBER(INDEX(SPPR!$E:$Z,MATCH($A377,SPPR!$A:$A,0),19)),$C377*INDEX(SPPR!$E:$Z,MATCH($A377,SPPR!$A:$A,0),19),""),"")</f>
        <v/>
      </c>
      <c r="W377">
        <f>IFERROR(IF(ISNUMBER(INDEX(SPPR!$E:$Z,MATCH($A377,SPPR!$A:$A,0),20)),$C377*INDEX(SPPR!$E:$Z,MATCH($A377,SPPR!$A:$A,0),20),""),"")</f>
        <v/>
      </c>
      <c r="X377">
        <f>IFERROR(IF(ISNUMBER(INDEX(SPPR!$E:$Z,MATCH($A377,SPPR!$A:$A,0),21)),$C377*INDEX(SPPR!$E:$Z,MATCH($A377,SPPR!$A:$A,0),21),""),"")</f>
        <v/>
      </c>
      <c r="Y377">
        <f>IFERROR(IF(ISNUMBER(INDEX(SPPR!$E:$Z,MATCH($A377,SPPR!$A:$A,0),22)),$C377*INDEX(SPPR!$E:$Z,MATCH($A377,SPPR!$A:$A,0),22),""),"")</f>
        <v/>
      </c>
    </row>
    <row r="378">
      <c r="A378" t="inlineStr">
        <is>
          <t>Holothuroidea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IFERROR(IF(ISNUMBER(INDEX(SPPR!$E:$Z,MATCH($A378,SPPR!$A:$A,0),1)),$C378*INDEX(SPPR!$E:$Z,MATCH($A378,SPPR!$A:$A,0),1),""),"")</f>
        <v/>
      </c>
      <c r="E378">
        <f>IFERROR(IF(ISNUMBER(INDEX(SPPR!$E:$Z,MATCH($A378,SPPR!$A:$A,0),2)),$C378*INDEX(SPPR!$E:$Z,MATCH($A378,SPPR!$A:$A,0),2),""),"")</f>
        <v/>
      </c>
      <c r="F378">
        <f>IFERROR(IF(ISNUMBER(INDEX(SPPR!$E:$Z,MATCH($A378,SPPR!$A:$A,0),3)),$C378*INDEX(SPPR!$E:$Z,MATCH($A378,SPPR!$A:$A,0),3),""),"")</f>
        <v/>
      </c>
      <c r="G378">
        <f>IFERROR(IF(ISNUMBER(INDEX(SPPR!$E:$Z,MATCH($A378,SPPR!$A:$A,0),4)),$C378*INDEX(SPPR!$E:$Z,MATCH($A378,SPPR!$A:$A,0),4),""),"")</f>
        <v/>
      </c>
      <c r="H378">
        <f>IFERROR(IF(ISNUMBER(INDEX(SPPR!$E:$Z,MATCH($A378,SPPR!$A:$A,0),5)),$C378*INDEX(SPPR!$E:$Z,MATCH($A378,SPPR!$A:$A,0),5),""),"")</f>
        <v/>
      </c>
      <c r="I378">
        <f>IFERROR(IF(ISNUMBER(INDEX(SPPR!$E:$Z,MATCH($A378,SPPR!$A:$A,0),6)),$C378*INDEX(SPPR!$E:$Z,MATCH($A378,SPPR!$A:$A,0),6),""),"")</f>
        <v/>
      </c>
      <c r="J378">
        <f>IFERROR(IF(ISNUMBER(INDEX(SPPR!$E:$Z,MATCH($A378,SPPR!$A:$A,0),7)),$C378*INDEX(SPPR!$E:$Z,MATCH($A378,SPPR!$A:$A,0),7),""),"")</f>
        <v/>
      </c>
      <c r="K378">
        <f>IFERROR(IF(ISNUMBER(INDEX(SPPR!$E:$Z,MATCH($A378,SPPR!$A:$A,0),8)),$C378*INDEX(SPPR!$E:$Z,MATCH($A378,SPPR!$A:$A,0),8),""),"")</f>
        <v/>
      </c>
      <c r="L378">
        <f>IFERROR(IF(ISNUMBER(INDEX(SPPR!$E:$Z,MATCH($A378,SPPR!$A:$A,0),9)),$C378*INDEX(SPPR!$E:$Z,MATCH($A378,SPPR!$A:$A,0),9),""),"")</f>
        <v/>
      </c>
      <c r="M378">
        <f>IFERROR(IF(ISNUMBER(INDEX(SPPR!$E:$Z,MATCH($A378,SPPR!$A:$A,0),10)),$C378*INDEX(SPPR!$E:$Z,MATCH($A378,SPPR!$A:$A,0),10),""),"")</f>
        <v/>
      </c>
      <c r="N378">
        <f>IFERROR(IF(ISNUMBER(INDEX(SPPR!$E:$Z,MATCH($A378,SPPR!$A:$A,0),11)),$C378*INDEX(SPPR!$E:$Z,MATCH($A378,SPPR!$A:$A,0),11),""),"")</f>
        <v/>
      </c>
      <c r="O378">
        <f>IFERROR(IF(ISNUMBER(INDEX(SPPR!$E:$Z,MATCH($A378,SPPR!$A:$A,0),12)),$C378*INDEX(SPPR!$E:$Z,MATCH($A378,SPPR!$A:$A,0),12),""),"")</f>
        <v/>
      </c>
      <c r="P378">
        <f>IFERROR(IF(ISNUMBER(INDEX(SPPR!$E:$Z,MATCH($A378,SPPR!$A:$A,0),13)),$C378*INDEX(SPPR!$E:$Z,MATCH($A378,SPPR!$A:$A,0),13),""),"")</f>
        <v/>
      </c>
      <c r="Q378">
        <f>IFERROR(IF(ISNUMBER(INDEX(SPPR!$E:$Z,MATCH($A378,SPPR!$A:$A,0),14)),$C378*INDEX(SPPR!$E:$Z,MATCH($A378,SPPR!$A:$A,0),14),""),"")</f>
        <v/>
      </c>
      <c r="R378">
        <f>IFERROR(IF(ISNUMBER(INDEX(SPPR!$E:$Z,MATCH($A378,SPPR!$A:$A,0),15)),$C378*INDEX(SPPR!$E:$Z,MATCH($A378,SPPR!$A:$A,0),15),""),"")</f>
        <v/>
      </c>
      <c r="S378">
        <f>IFERROR(IF(ISNUMBER(INDEX(SPPR!$E:$Z,MATCH($A378,SPPR!$A:$A,0),16)),$C378*INDEX(SPPR!$E:$Z,MATCH($A378,SPPR!$A:$A,0),16),""),"")</f>
        <v/>
      </c>
      <c r="T378">
        <f>IFERROR(IF(ISNUMBER(INDEX(SPPR!$E:$Z,MATCH($A378,SPPR!$A:$A,0),17)),$C378*INDEX(SPPR!$E:$Z,MATCH($A378,SPPR!$A:$A,0),17),""),"")</f>
        <v/>
      </c>
      <c r="U378">
        <f>IFERROR(IF(ISNUMBER(INDEX(SPPR!$E:$Z,MATCH($A378,SPPR!$A:$A,0),18)),$C378*INDEX(SPPR!$E:$Z,MATCH($A378,SPPR!$A:$A,0),18),""),"")</f>
        <v/>
      </c>
      <c r="V378">
        <f>IFERROR(IF(ISNUMBER(INDEX(SPPR!$E:$Z,MATCH($A378,SPPR!$A:$A,0),19)),$C378*INDEX(SPPR!$E:$Z,MATCH($A378,SPPR!$A:$A,0),19),""),"")</f>
        <v/>
      </c>
      <c r="W378">
        <f>IFERROR(IF(ISNUMBER(INDEX(SPPR!$E:$Z,MATCH($A378,SPPR!$A:$A,0),20)),$C378*INDEX(SPPR!$E:$Z,MATCH($A378,SPPR!$A:$A,0),20),""),"")</f>
        <v/>
      </c>
      <c r="X378">
        <f>IFERROR(IF(ISNUMBER(INDEX(SPPR!$E:$Z,MATCH($A378,SPPR!$A:$A,0),21)),$C378*INDEX(SPPR!$E:$Z,MATCH($A378,SPPR!$A:$A,0),21),""),"")</f>
        <v/>
      </c>
      <c r="Y378">
        <f>IFERROR(IF(ISNUMBER(INDEX(SPPR!$E:$Z,MATCH($A378,SPPR!$A:$A,0),22)),$C378*INDEX(SPPR!$E:$Z,MATCH($A378,SPPR!$A:$A,0),22),""),"")</f>
        <v/>
      </c>
    </row>
    <row r="379">
      <c r="A379" t="inlineStr">
        <is>
          <t>Pinctada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IFERROR(IF(ISNUMBER(INDEX(SPPR!$E:$Z,MATCH($A379,SPPR!$A:$A,0),1)),$C379*INDEX(SPPR!$E:$Z,MATCH($A379,SPPR!$A:$A,0),1),""),"")</f>
        <v/>
      </c>
      <c r="E379">
        <f>IFERROR(IF(ISNUMBER(INDEX(SPPR!$E:$Z,MATCH($A379,SPPR!$A:$A,0),2)),$C379*INDEX(SPPR!$E:$Z,MATCH($A379,SPPR!$A:$A,0),2),""),"")</f>
        <v/>
      </c>
      <c r="F379">
        <f>IFERROR(IF(ISNUMBER(INDEX(SPPR!$E:$Z,MATCH($A379,SPPR!$A:$A,0),3)),$C379*INDEX(SPPR!$E:$Z,MATCH($A379,SPPR!$A:$A,0),3),""),"")</f>
        <v/>
      </c>
      <c r="G379">
        <f>IFERROR(IF(ISNUMBER(INDEX(SPPR!$E:$Z,MATCH($A379,SPPR!$A:$A,0),4)),$C379*INDEX(SPPR!$E:$Z,MATCH($A379,SPPR!$A:$A,0),4),""),"")</f>
        <v/>
      </c>
      <c r="H379">
        <f>IFERROR(IF(ISNUMBER(INDEX(SPPR!$E:$Z,MATCH($A379,SPPR!$A:$A,0),5)),$C379*INDEX(SPPR!$E:$Z,MATCH($A379,SPPR!$A:$A,0),5),""),"")</f>
        <v/>
      </c>
      <c r="I379">
        <f>IFERROR(IF(ISNUMBER(INDEX(SPPR!$E:$Z,MATCH($A379,SPPR!$A:$A,0),6)),$C379*INDEX(SPPR!$E:$Z,MATCH($A379,SPPR!$A:$A,0),6),""),"")</f>
        <v/>
      </c>
      <c r="J379">
        <f>IFERROR(IF(ISNUMBER(INDEX(SPPR!$E:$Z,MATCH($A379,SPPR!$A:$A,0),7)),$C379*INDEX(SPPR!$E:$Z,MATCH($A379,SPPR!$A:$A,0),7),""),"")</f>
        <v/>
      </c>
      <c r="K379">
        <f>IFERROR(IF(ISNUMBER(INDEX(SPPR!$E:$Z,MATCH($A379,SPPR!$A:$A,0),8)),$C379*INDEX(SPPR!$E:$Z,MATCH($A379,SPPR!$A:$A,0),8),""),"")</f>
        <v/>
      </c>
      <c r="L379">
        <f>IFERROR(IF(ISNUMBER(INDEX(SPPR!$E:$Z,MATCH($A379,SPPR!$A:$A,0),9)),$C379*INDEX(SPPR!$E:$Z,MATCH($A379,SPPR!$A:$A,0),9),""),"")</f>
        <v/>
      </c>
      <c r="M379">
        <f>IFERROR(IF(ISNUMBER(INDEX(SPPR!$E:$Z,MATCH($A379,SPPR!$A:$A,0),10)),$C379*INDEX(SPPR!$E:$Z,MATCH($A379,SPPR!$A:$A,0),10),""),"")</f>
        <v/>
      </c>
      <c r="N379">
        <f>IFERROR(IF(ISNUMBER(INDEX(SPPR!$E:$Z,MATCH($A379,SPPR!$A:$A,0),11)),$C379*INDEX(SPPR!$E:$Z,MATCH($A379,SPPR!$A:$A,0),11),""),"")</f>
        <v/>
      </c>
      <c r="O379">
        <f>IFERROR(IF(ISNUMBER(INDEX(SPPR!$E:$Z,MATCH($A379,SPPR!$A:$A,0),12)),$C379*INDEX(SPPR!$E:$Z,MATCH($A379,SPPR!$A:$A,0),12),""),"")</f>
        <v/>
      </c>
      <c r="P379">
        <f>IFERROR(IF(ISNUMBER(INDEX(SPPR!$E:$Z,MATCH($A379,SPPR!$A:$A,0),13)),$C379*INDEX(SPPR!$E:$Z,MATCH($A379,SPPR!$A:$A,0),13),""),"")</f>
        <v/>
      </c>
      <c r="Q379">
        <f>IFERROR(IF(ISNUMBER(INDEX(SPPR!$E:$Z,MATCH($A379,SPPR!$A:$A,0),14)),$C379*INDEX(SPPR!$E:$Z,MATCH($A379,SPPR!$A:$A,0),14),""),"")</f>
        <v/>
      </c>
      <c r="R379">
        <f>IFERROR(IF(ISNUMBER(INDEX(SPPR!$E:$Z,MATCH($A379,SPPR!$A:$A,0),15)),$C379*INDEX(SPPR!$E:$Z,MATCH($A379,SPPR!$A:$A,0),15),""),"")</f>
        <v/>
      </c>
      <c r="S379">
        <f>IFERROR(IF(ISNUMBER(INDEX(SPPR!$E:$Z,MATCH($A379,SPPR!$A:$A,0),16)),$C379*INDEX(SPPR!$E:$Z,MATCH($A379,SPPR!$A:$A,0),16),""),"")</f>
        <v/>
      </c>
      <c r="T379">
        <f>IFERROR(IF(ISNUMBER(INDEX(SPPR!$E:$Z,MATCH($A379,SPPR!$A:$A,0),17)),$C379*INDEX(SPPR!$E:$Z,MATCH($A379,SPPR!$A:$A,0),17),""),"")</f>
        <v/>
      </c>
      <c r="U379">
        <f>IFERROR(IF(ISNUMBER(INDEX(SPPR!$E:$Z,MATCH($A379,SPPR!$A:$A,0),18)),$C379*INDEX(SPPR!$E:$Z,MATCH($A379,SPPR!$A:$A,0),18),""),"")</f>
        <v/>
      </c>
      <c r="V379">
        <f>IFERROR(IF(ISNUMBER(INDEX(SPPR!$E:$Z,MATCH($A379,SPPR!$A:$A,0),19)),$C379*INDEX(SPPR!$E:$Z,MATCH($A379,SPPR!$A:$A,0),19),""),"")</f>
        <v/>
      </c>
      <c r="W379">
        <f>IFERROR(IF(ISNUMBER(INDEX(SPPR!$E:$Z,MATCH($A379,SPPR!$A:$A,0),20)),$C379*INDEX(SPPR!$E:$Z,MATCH($A379,SPPR!$A:$A,0),20),""),"")</f>
        <v/>
      </c>
      <c r="X379">
        <f>IFERROR(IF(ISNUMBER(INDEX(SPPR!$E:$Z,MATCH($A379,SPPR!$A:$A,0),21)),$C379*INDEX(SPPR!$E:$Z,MATCH($A379,SPPR!$A:$A,0),21),""),"")</f>
        <v/>
      </c>
      <c r="Y379">
        <f>IFERROR(IF(ISNUMBER(INDEX(SPPR!$E:$Z,MATCH($A379,SPPR!$A:$A,0),22)),$C379*INDEX(SPPR!$E:$Z,MATCH($A379,SPPR!$A:$A,0),22),""),"")</f>
        <v/>
      </c>
    </row>
    <row r="380">
      <c r="A380" t="inlineStr">
        <is>
          <t>Carcharhinus amblyrhynchos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IFERROR(IF(ISNUMBER(INDEX(SPPR!$E:$Z,MATCH($A380,SPPR!$A:$A,0),1)),$C380*INDEX(SPPR!$E:$Z,MATCH($A380,SPPR!$A:$A,0),1),""),"")</f>
        <v/>
      </c>
      <c r="E380">
        <f>IFERROR(IF(ISNUMBER(INDEX(SPPR!$E:$Z,MATCH($A380,SPPR!$A:$A,0),2)),$C380*INDEX(SPPR!$E:$Z,MATCH($A380,SPPR!$A:$A,0),2),""),"")</f>
        <v/>
      </c>
      <c r="F380">
        <f>IFERROR(IF(ISNUMBER(INDEX(SPPR!$E:$Z,MATCH($A380,SPPR!$A:$A,0),3)),$C380*INDEX(SPPR!$E:$Z,MATCH($A380,SPPR!$A:$A,0),3),""),"")</f>
        <v/>
      </c>
      <c r="G380">
        <f>IFERROR(IF(ISNUMBER(INDEX(SPPR!$E:$Z,MATCH($A380,SPPR!$A:$A,0),4)),$C380*INDEX(SPPR!$E:$Z,MATCH($A380,SPPR!$A:$A,0),4),""),"")</f>
        <v/>
      </c>
      <c r="H380">
        <f>IFERROR(IF(ISNUMBER(INDEX(SPPR!$E:$Z,MATCH($A380,SPPR!$A:$A,0),5)),$C380*INDEX(SPPR!$E:$Z,MATCH($A380,SPPR!$A:$A,0),5),""),"")</f>
        <v/>
      </c>
      <c r="I380">
        <f>IFERROR(IF(ISNUMBER(INDEX(SPPR!$E:$Z,MATCH($A380,SPPR!$A:$A,0),6)),$C380*INDEX(SPPR!$E:$Z,MATCH($A380,SPPR!$A:$A,0),6),""),"")</f>
        <v/>
      </c>
      <c r="J380">
        <f>IFERROR(IF(ISNUMBER(INDEX(SPPR!$E:$Z,MATCH($A380,SPPR!$A:$A,0),7)),$C380*INDEX(SPPR!$E:$Z,MATCH($A380,SPPR!$A:$A,0),7),""),"")</f>
        <v/>
      </c>
      <c r="K380">
        <f>IFERROR(IF(ISNUMBER(INDEX(SPPR!$E:$Z,MATCH($A380,SPPR!$A:$A,0),8)),$C380*INDEX(SPPR!$E:$Z,MATCH($A380,SPPR!$A:$A,0),8),""),"")</f>
        <v/>
      </c>
      <c r="L380">
        <f>IFERROR(IF(ISNUMBER(INDEX(SPPR!$E:$Z,MATCH($A380,SPPR!$A:$A,0),9)),$C380*INDEX(SPPR!$E:$Z,MATCH($A380,SPPR!$A:$A,0),9),""),"")</f>
        <v/>
      </c>
      <c r="M380">
        <f>IFERROR(IF(ISNUMBER(INDEX(SPPR!$E:$Z,MATCH($A380,SPPR!$A:$A,0),10)),$C380*INDEX(SPPR!$E:$Z,MATCH($A380,SPPR!$A:$A,0),10),""),"")</f>
        <v/>
      </c>
      <c r="N380">
        <f>IFERROR(IF(ISNUMBER(INDEX(SPPR!$E:$Z,MATCH($A380,SPPR!$A:$A,0),11)),$C380*INDEX(SPPR!$E:$Z,MATCH($A380,SPPR!$A:$A,0),11),""),"")</f>
        <v/>
      </c>
      <c r="O380">
        <f>IFERROR(IF(ISNUMBER(INDEX(SPPR!$E:$Z,MATCH($A380,SPPR!$A:$A,0),12)),$C380*INDEX(SPPR!$E:$Z,MATCH($A380,SPPR!$A:$A,0),12),""),"")</f>
        <v/>
      </c>
      <c r="P380">
        <f>IFERROR(IF(ISNUMBER(INDEX(SPPR!$E:$Z,MATCH($A380,SPPR!$A:$A,0),13)),$C380*INDEX(SPPR!$E:$Z,MATCH($A380,SPPR!$A:$A,0),13),""),"")</f>
        <v/>
      </c>
      <c r="Q380">
        <f>IFERROR(IF(ISNUMBER(INDEX(SPPR!$E:$Z,MATCH($A380,SPPR!$A:$A,0),14)),$C380*INDEX(SPPR!$E:$Z,MATCH($A380,SPPR!$A:$A,0),14),""),"")</f>
        <v/>
      </c>
      <c r="R380">
        <f>IFERROR(IF(ISNUMBER(INDEX(SPPR!$E:$Z,MATCH($A380,SPPR!$A:$A,0),15)),$C380*INDEX(SPPR!$E:$Z,MATCH($A380,SPPR!$A:$A,0),15),""),"")</f>
        <v/>
      </c>
      <c r="S380">
        <f>IFERROR(IF(ISNUMBER(INDEX(SPPR!$E:$Z,MATCH($A380,SPPR!$A:$A,0),16)),$C380*INDEX(SPPR!$E:$Z,MATCH($A380,SPPR!$A:$A,0),16),""),"")</f>
        <v/>
      </c>
      <c r="T380">
        <f>IFERROR(IF(ISNUMBER(INDEX(SPPR!$E:$Z,MATCH($A380,SPPR!$A:$A,0),17)),$C380*INDEX(SPPR!$E:$Z,MATCH($A380,SPPR!$A:$A,0),17),""),"")</f>
        <v/>
      </c>
      <c r="U380">
        <f>IFERROR(IF(ISNUMBER(INDEX(SPPR!$E:$Z,MATCH($A380,SPPR!$A:$A,0),18)),$C380*INDEX(SPPR!$E:$Z,MATCH($A380,SPPR!$A:$A,0),18),""),"")</f>
        <v/>
      </c>
      <c r="V380">
        <f>IFERROR(IF(ISNUMBER(INDEX(SPPR!$E:$Z,MATCH($A380,SPPR!$A:$A,0),19)),$C380*INDEX(SPPR!$E:$Z,MATCH($A380,SPPR!$A:$A,0),19),""),"")</f>
        <v/>
      </c>
      <c r="W380">
        <f>IFERROR(IF(ISNUMBER(INDEX(SPPR!$E:$Z,MATCH($A380,SPPR!$A:$A,0),20)),$C380*INDEX(SPPR!$E:$Z,MATCH($A380,SPPR!$A:$A,0),20),""),"")</f>
        <v/>
      </c>
      <c r="X380">
        <f>IFERROR(IF(ISNUMBER(INDEX(SPPR!$E:$Z,MATCH($A380,SPPR!$A:$A,0),21)),$C380*INDEX(SPPR!$E:$Z,MATCH($A380,SPPR!$A:$A,0),21),""),"")</f>
        <v/>
      </c>
      <c r="Y380">
        <f>IFERROR(IF(ISNUMBER(INDEX(SPPR!$E:$Z,MATCH($A380,SPPR!$A:$A,0),22)),$C380*INDEX(SPPR!$E:$Z,MATCH($A380,SPPR!$A:$A,0),22),""),"")</f>
        <v/>
      </c>
    </row>
    <row r="381">
      <c r="A381" t="inlineStr">
        <is>
          <t>Sphyrnidae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IFERROR(IF(ISNUMBER(INDEX(SPPR!$E:$Z,MATCH($A381,SPPR!$A:$A,0),1)),$C381*INDEX(SPPR!$E:$Z,MATCH($A381,SPPR!$A:$A,0),1),""),"")</f>
        <v/>
      </c>
      <c r="E381">
        <f>IFERROR(IF(ISNUMBER(INDEX(SPPR!$E:$Z,MATCH($A381,SPPR!$A:$A,0),2)),$C381*INDEX(SPPR!$E:$Z,MATCH($A381,SPPR!$A:$A,0),2),""),"")</f>
        <v/>
      </c>
      <c r="F381">
        <f>IFERROR(IF(ISNUMBER(INDEX(SPPR!$E:$Z,MATCH($A381,SPPR!$A:$A,0),3)),$C381*INDEX(SPPR!$E:$Z,MATCH($A381,SPPR!$A:$A,0),3),""),"")</f>
        <v/>
      </c>
      <c r="G381">
        <f>IFERROR(IF(ISNUMBER(INDEX(SPPR!$E:$Z,MATCH($A381,SPPR!$A:$A,0),4)),$C381*INDEX(SPPR!$E:$Z,MATCH($A381,SPPR!$A:$A,0),4),""),"")</f>
        <v/>
      </c>
      <c r="H381">
        <f>IFERROR(IF(ISNUMBER(INDEX(SPPR!$E:$Z,MATCH($A381,SPPR!$A:$A,0),5)),$C381*INDEX(SPPR!$E:$Z,MATCH($A381,SPPR!$A:$A,0),5),""),"")</f>
        <v/>
      </c>
      <c r="I381">
        <f>IFERROR(IF(ISNUMBER(INDEX(SPPR!$E:$Z,MATCH($A381,SPPR!$A:$A,0),6)),$C381*INDEX(SPPR!$E:$Z,MATCH($A381,SPPR!$A:$A,0),6),""),"")</f>
        <v/>
      </c>
      <c r="J381">
        <f>IFERROR(IF(ISNUMBER(INDEX(SPPR!$E:$Z,MATCH($A381,SPPR!$A:$A,0),7)),$C381*INDEX(SPPR!$E:$Z,MATCH($A381,SPPR!$A:$A,0),7),""),"")</f>
        <v/>
      </c>
      <c r="K381">
        <f>IFERROR(IF(ISNUMBER(INDEX(SPPR!$E:$Z,MATCH($A381,SPPR!$A:$A,0),8)),$C381*INDEX(SPPR!$E:$Z,MATCH($A381,SPPR!$A:$A,0),8),""),"")</f>
        <v/>
      </c>
      <c r="L381">
        <f>IFERROR(IF(ISNUMBER(INDEX(SPPR!$E:$Z,MATCH($A381,SPPR!$A:$A,0),9)),$C381*INDEX(SPPR!$E:$Z,MATCH($A381,SPPR!$A:$A,0),9),""),"")</f>
        <v/>
      </c>
      <c r="M381">
        <f>IFERROR(IF(ISNUMBER(INDEX(SPPR!$E:$Z,MATCH($A381,SPPR!$A:$A,0),10)),$C381*INDEX(SPPR!$E:$Z,MATCH($A381,SPPR!$A:$A,0),10),""),"")</f>
        <v/>
      </c>
      <c r="N381">
        <f>IFERROR(IF(ISNUMBER(INDEX(SPPR!$E:$Z,MATCH($A381,SPPR!$A:$A,0),11)),$C381*INDEX(SPPR!$E:$Z,MATCH($A381,SPPR!$A:$A,0),11),""),"")</f>
        <v/>
      </c>
      <c r="O381">
        <f>IFERROR(IF(ISNUMBER(INDEX(SPPR!$E:$Z,MATCH($A381,SPPR!$A:$A,0),12)),$C381*INDEX(SPPR!$E:$Z,MATCH($A381,SPPR!$A:$A,0),12),""),"")</f>
        <v/>
      </c>
      <c r="P381">
        <f>IFERROR(IF(ISNUMBER(INDEX(SPPR!$E:$Z,MATCH($A381,SPPR!$A:$A,0),13)),$C381*INDEX(SPPR!$E:$Z,MATCH($A381,SPPR!$A:$A,0),13),""),"")</f>
        <v/>
      </c>
      <c r="Q381">
        <f>IFERROR(IF(ISNUMBER(INDEX(SPPR!$E:$Z,MATCH($A381,SPPR!$A:$A,0),14)),$C381*INDEX(SPPR!$E:$Z,MATCH($A381,SPPR!$A:$A,0),14),""),"")</f>
        <v/>
      </c>
      <c r="R381">
        <f>IFERROR(IF(ISNUMBER(INDEX(SPPR!$E:$Z,MATCH($A381,SPPR!$A:$A,0),15)),$C381*INDEX(SPPR!$E:$Z,MATCH($A381,SPPR!$A:$A,0),15),""),"")</f>
        <v/>
      </c>
      <c r="S381">
        <f>IFERROR(IF(ISNUMBER(INDEX(SPPR!$E:$Z,MATCH($A381,SPPR!$A:$A,0),16)),$C381*INDEX(SPPR!$E:$Z,MATCH($A381,SPPR!$A:$A,0),16),""),"")</f>
        <v/>
      </c>
      <c r="T381">
        <f>IFERROR(IF(ISNUMBER(INDEX(SPPR!$E:$Z,MATCH($A381,SPPR!$A:$A,0),17)),$C381*INDEX(SPPR!$E:$Z,MATCH($A381,SPPR!$A:$A,0),17),""),"")</f>
        <v/>
      </c>
      <c r="U381">
        <f>IFERROR(IF(ISNUMBER(INDEX(SPPR!$E:$Z,MATCH($A381,SPPR!$A:$A,0),18)),$C381*INDEX(SPPR!$E:$Z,MATCH($A381,SPPR!$A:$A,0),18),""),"")</f>
        <v/>
      </c>
      <c r="V381">
        <f>IFERROR(IF(ISNUMBER(INDEX(SPPR!$E:$Z,MATCH($A381,SPPR!$A:$A,0),19)),$C381*INDEX(SPPR!$E:$Z,MATCH($A381,SPPR!$A:$A,0),19),""),"")</f>
        <v/>
      </c>
      <c r="W381">
        <f>IFERROR(IF(ISNUMBER(INDEX(SPPR!$E:$Z,MATCH($A381,SPPR!$A:$A,0),20)),$C381*INDEX(SPPR!$E:$Z,MATCH($A381,SPPR!$A:$A,0),20),""),"")</f>
        <v/>
      </c>
      <c r="X381">
        <f>IFERROR(IF(ISNUMBER(INDEX(SPPR!$E:$Z,MATCH($A381,SPPR!$A:$A,0),21)),$C381*INDEX(SPPR!$E:$Z,MATCH($A381,SPPR!$A:$A,0),21),""),"")</f>
        <v/>
      </c>
      <c r="Y381">
        <f>IFERROR(IF(ISNUMBER(INDEX(SPPR!$E:$Z,MATCH($A381,SPPR!$A:$A,0),22)),$C381*INDEX(SPPR!$E:$Z,MATCH($A381,SPPR!$A:$A,0),22),""),"")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  <c r="AC4" s="4" t="inlineStr">
        <is>
          <t>SPPR_1995_TEmean_catch</t>
        </is>
      </c>
      <c r="AD4" s="4" t="inlineStr">
        <is>
          <t>Ulanowicz_globalTEmean_catch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0.03500000000000003</v>
      </c>
      <c r="G5" t="n">
        <v>323</v>
      </c>
      <c r="H5" t="n">
        <v>0</v>
      </c>
      <c r="I5" t="n">
        <v>140.953883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0.035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</v>
      </c>
      <c r="B6" t="inlineStr">
        <is>
          <t>Benthic producer</t>
        </is>
      </c>
      <c r="C6" t="inlineStr">
        <is>
          <t>PP</t>
        </is>
      </c>
      <c r="D6" t="n">
        <v>1</v>
      </c>
      <c r="E6" t="n">
        <v>1</v>
      </c>
      <c r="F6" t="n">
        <v>0.02000000000000002</v>
      </c>
      <c r="G6" t="n">
        <v>153</v>
      </c>
      <c r="H6" t="n">
        <v>0.0056</v>
      </c>
      <c r="I6" t="n">
        <v>140.953883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0.02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3</v>
      </c>
      <c r="B7" t="inlineStr">
        <is>
          <t>Zooplankton</t>
        </is>
      </c>
      <c r="C7" t="inlineStr">
        <is>
          <t>Regular</t>
        </is>
      </c>
      <c r="D7" t="n">
        <v>2</v>
      </c>
      <c r="E7" t="n">
        <v>0.1666666666666667</v>
      </c>
      <c r="F7" t="n">
        <v>0.05200000000000016</v>
      </c>
      <c r="G7" t="n">
        <v>33.8</v>
      </c>
      <c r="H7" t="n">
        <v>0.01</v>
      </c>
      <c r="I7" t="n">
        <v>140.953883</v>
      </c>
      <c r="J7" t="n">
        <v>10</v>
      </c>
      <c r="K7" t="n">
        <v>55.608076</v>
      </c>
      <c r="L7" t="n">
        <v>55.608076</v>
      </c>
      <c r="M7" t="n">
        <v>115.384615</v>
      </c>
      <c r="N7" t="n">
        <v>115.384615</v>
      </c>
      <c r="O7" t="n">
        <v>6</v>
      </c>
      <c r="P7" t="n">
        <v>114.728394</v>
      </c>
      <c r="Q7" t="n">
        <v>114.728394</v>
      </c>
      <c r="R7" t="n">
        <v>114.728394</v>
      </c>
      <c r="S7" t="n">
        <v>6.05984</v>
      </c>
      <c r="T7" t="n">
        <v>4.848511</v>
      </c>
      <c r="U7" t="n">
        <v>114.728394</v>
      </c>
      <c r="V7" t="n">
        <v>114.728394</v>
      </c>
      <c r="W7" t="n">
        <v>6.05984</v>
      </c>
      <c r="X7" t="n">
        <v>6.05984</v>
      </c>
      <c r="Y7" t="n">
        <v>4.848511</v>
      </c>
      <c r="Z7" t="n">
        <v>4.848511</v>
      </c>
      <c r="AA7" t="n">
        <v>6.224783</v>
      </c>
      <c r="AB7" t="n">
        <v>116.846993</v>
      </c>
      <c r="AC7" t="n">
        <v>7.440984</v>
      </c>
      <c r="AD7" t="n">
        <v>7.440984</v>
      </c>
    </row>
    <row r="8">
      <c r="A8" t="n">
        <v>4</v>
      </c>
      <c r="B8" t="inlineStr">
        <is>
          <t>Jellyfish</t>
        </is>
      </c>
      <c r="C8" t="inlineStr">
        <is>
          <t>Regular</t>
        </is>
      </c>
      <c r="D8" t="n">
        <v>3.104070721217805</v>
      </c>
      <c r="E8" t="n">
        <v>0.25</v>
      </c>
      <c r="F8" t="n">
        <v>0.95</v>
      </c>
      <c r="G8" t="n">
        <v>0.146</v>
      </c>
      <c r="H8" t="n">
        <v>0.0012</v>
      </c>
      <c r="I8" t="n">
        <v>140.953883</v>
      </c>
      <c r="J8" t="n">
        <v>103.790936</v>
      </c>
      <c r="K8" t="n">
        <v>3299.712955</v>
      </c>
      <c r="L8" t="n">
        <v>5979.61191</v>
      </c>
      <c r="M8" t="n">
        <v>468.918008</v>
      </c>
      <c r="N8" t="n">
        <v>473.97462</v>
      </c>
      <c r="O8" t="n">
        <v>450.275889</v>
      </c>
      <c r="P8" t="n">
        <v>711.02964</v>
      </c>
      <c r="Q8" t="n">
        <v>711.02964</v>
      </c>
      <c r="R8" t="n">
        <v>711.02964</v>
      </c>
      <c r="S8" t="n">
        <v>34.656914</v>
      </c>
      <c r="T8" t="n">
        <v>19.970973</v>
      </c>
      <c r="U8" t="n">
        <v>711.02964</v>
      </c>
      <c r="V8" t="n">
        <v>711.02964</v>
      </c>
      <c r="W8" t="n">
        <v>34.656914</v>
      </c>
      <c r="X8" t="n">
        <v>34.656914</v>
      </c>
      <c r="Y8" t="n">
        <v>19.970973</v>
      </c>
      <c r="Z8" t="n">
        <v>19.970973</v>
      </c>
      <c r="AA8" t="n">
        <v>36.368369</v>
      </c>
      <c r="AB8" t="n">
        <v>756.8536319999999</v>
      </c>
      <c r="AC8" t="n">
        <v>57.193376</v>
      </c>
      <c r="AD8" t="n">
        <v>56.260295</v>
      </c>
    </row>
    <row r="9">
      <c r="A9" t="n">
        <v>5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0.3</v>
      </c>
      <c r="F9" t="n">
        <v>0.95</v>
      </c>
      <c r="G9" t="n">
        <v>3.421</v>
      </c>
      <c r="H9" t="n">
        <v>0</v>
      </c>
      <c r="I9" t="n">
        <v>140.953883</v>
      </c>
      <c r="J9" t="n">
        <v>10</v>
      </c>
      <c r="K9" t="n">
        <v>55.608076</v>
      </c>
      <c r="L9" t="n">
        <v>55.608076</v>
      </c>
      <c r="M9" t="n">
        <v>3.508772</v>
      </c>
      <c r="N9" t="n">
        <v>3.508772</v>
      </c>
      <c r="O9" t="n">
        <v>3.333333</v>
      </c>
      <c r="P9" t="n">
        <v>3.442254</v>
      </c>
      <c r="Q9" t="n">
        <v>3.442254</v>
      </c>
      <c r="R9" t="n">
        <v>3.442254</v>
      </c>
      <c r="S9" t="n">
        <v>3.444147</v>
      </c>
      <c r="T9" t="n">
        <v>2.756501</v>
      </c>
      <c r="U9" t="n">
        <v>3.442254</v>
      </c>
      <c r="V9" t="n">
        <v>3.442254</v>
      </c>
      <c r="W9" t="n">
        <v>3.444147</v>
      </c>
      <c r="X9" t="n">
        <v>3.444147</v>
      </c>
      <c r="Y9" t="n">
        <v>2.756501</v>
      </c>
      <c r="Z9" t="n">
        <v>2.756501</v>
      </c>
      <c r="AA9" t="n">
        <v>3.417354</v>
      </c>
      <c r="AB9" t="n">
        <v>3.409848</v>
      </c>
      <c r="AC9" t="n">
        <v>7.440984</v>
      </c>
      <c r="AD9" t="n">
        <v>7.440984</v>
      </c>
    </row>
    <row r="10">
      <c r="A10" t="n">
        <v>6</v>
      </c>
      <c r="B10" t="inlineStr">
        <is>
          <t>Echinoderms</t>
        </is>
      </c>
      <c r="C10" t="inlineStr">
        <is>
          <t>Regular</t>
        </is>
      </c>
      <c r="D10" t="n">
        <v>2.333214688865273</v>
      </c>
      <c r="E10" t="n">
        <v>0.335195530726257</v>
      </c>
      <c r="F10" t="n">
        <v>0.398</v>
      </c>
      <c r="G10" t="n">
        <v>3.065</v>
      </c>
      <c r="H10" t="n">
        <v>0.0039</v>
      </c>
      <c r="I10" t="n">
        <v>140.953883</v>
      </c>
      <c r="J10" t="n">
        <v>18.617087</v>
      </c>
      <c r="K10" t="n">
        <v>164.501951</v>
      </c>
      <c r="L10" t="n">
        <v>16631.862825</v>
      </c>
      <c r="M10" t="n">
        <v>603.989501</v>
      </c>
      <c r="N10" t="n">
        <v>603.989501</v>
      </c>
      <c r="O10" t="n">
        <v>240.387821</v>
      </c>
      <c r="P10" t="n">
        <v>1080.992157</v>
      </c>
      <c r="Q10" t="n">
        <v>1080.992157</v>
      </c>
      <c r="R10" t="n">
        <v>1080.992157</v>
      </c>
      <c r="S10" t="n">
        <v>17.290347</v>
      </c>
      <c r="T10" t="n">
        <v>9.498851999999999</v>
      </c>
      <c r="U10" t="n">
        <v>1080.992157</v>
      </c>
      <c r="V10" t="n">
        <v>1080.992157</v>
      </c>
      <c r="W10" t="n">
        <v>17.290347</v>
      </c>
      <c r="X10" t="n">
        <v>17.290347</v>
      </c>
      <c r="Y10" t="n">
        <v>9.498851999999999</v>
      </c>
      <c r="Z10" t="n">
        <v>9.498851999999999</v>
      </c>
      <c r="AA10" t="n">
        <v>17.932707</v>
      </c>
      <c r="AB10" t="n">
        <v>1135.08839</v>
      </c>
      <c r="AC10" t="n">
        <v>12.790679</v>
      </c>
      <c r="AD10" t="n">
        <v>41.60617</v>
      </c>
    </row>
    <row r="11">
      <c r="A11" t="n">
        <v>7</v>
      </c>
      <c r="B11" t="inlineStr">
        <is>
          <t>Benthic crustaceans</t>
        </is>
      </c>
      <c r="C11" t="inlineStr">
        <is>
          <t>Regular</t>
        </is>
      </c>
      <c r="D11" t="n">
        <v>2.199822222222222</v>
      </c>
      <c r="E11" t="n">
        <v>0.2100371747211896</v>
      </c>
      <c r="F11" t="n">
        <v>0.624</v>
      </c>
      <c r="G11" t="n">
        <v>2.649</v>
      </c>
      <c r="H11" t="n">
        <v>0.0019</v>
      </c>
      <c r="I11" t="n">
        <v>140.953883</v>
      </c>
      <c r="J11" t="n">
        <v>15.812995</v>
      </c>
      <c r="K11" t="n">
        <v>123.721444</v>
      </c>
      <c r="L11" t="n">
        <v>7384.919423</v>
      </c>
      <c r="M11" t="n">
        <v>110.765161</v>
      </c>
      <c r="N11" t="n">
        <v>110.765161</v>
      </c>
      <c r="O11" t="n">
        <v>69.11746100000001</v>
      </c>
      <c r="P11" t="n">
        <v>113.463496</v>
      </c>
      <c r="Q11" t="n">
        <v>113.463496</v>
      </c>
      <c r="R11" t="n">
        <v>113.463496</v>
      </c>
      <c r="S11" t="n">
        <v>8.170260000000001</v>
      </c>
      <c r="T11" t="n">
        <v>5.693764</v>
      </c>
      <c r="U11" t="n">
        <v>113.463496</v>
      </c>
      <c r="V11" t="n">
        <v>113.463496</v>
      </c>
      <c r="W11" t="n">
        <v>8.170260000000001</v>
      </c>
      <c r="X11" t="n">
        <v>8.170260000000001</v>
      </c>
      <c r="Y11" t="n">
        <v>5.693764</v>
      </c>
      <c r="Z11" t="n">
        <v>5.693764</v>
      </c>
      <c r="AA11" t="n">
        <v>8.298344999999999</v>
      </c>
      <c r="AB11" t="n">
        <v>118.931059</v>
      </c>
      <c r="AC11" t="n">
        <v>11.094229</v>
      </c>
      <c r="AD11" t="n">
        <v>22.315768</v>
      </c>
    </row>
    <row r="12">
      <c r="A12" t="n">
        <v>8</v>
      </c>
      <c r="B12" t="inlineStr">
        <is>
          <t>Non-ceph molluscs</t>
        </is>
      </c>
      <c r="C12" t="inlineStr">
        <is>
          <t>Regular</t>
        </is>
      </c>
      <c r="D12" t="n">
        <v>2.177777777777778</v>
      </c>
      <c r="E12" t="n">
        <v>0.4285714285714285</v>
      </c>
      <c r="F12" t="n">
        <v>0.383</v>
      </c>
      <c r="G12" t="n">
        <v>13.747</v>
      </c>
      <c r="H12" t="n">
        <v>0.0056</v>
      </c>
      <c r="I12" t="n">
        <v>140.953883</v>
      </c>
      <c r="J12" t="n">
        <v>14.712171</v>
      </c>
      <c r="K12" t="n">
        <v>109.082967</v>
      </c>
      <c r="L12" t="n">
        <v>1554.089564</v>
      </c>
      <c r="M12" t="n">
        <v>87.52377799999999</v>
      </c>
      <c r="N12" t="n">
        <v>87.52377799999999</v>
      </c>
      <c r="O12" t="n">
        <v>33.521607</v>
      </c>
      <c r="P12" t="n">
        <v>92.59366</v>
      </c>
      <c r="Q12" t="n">
        <v>92.59366</v>
      </c>
      <c r="R12" t="n">
        <v>92.59366</v>
      </c>
      <c r="S12" t="n">
        <v>4.448657</v>
      </c>
      <c r="T12" t="n">
        <v>3.058348</v>
      </c>
      <c r="U12" t="n">
        <v>92.59366</v>
      </c>
      <c r="V12" t="n">
        <v>92.59366</v>
      </c>
      <c r="W12" t="n">
        <v>4.448657</v>
      </c>
      <c r="X12" t="n">
        <v>4.448657</v>
      </c>
      <c r="Y12" t="n">
        <v>3.058348</v>
      </c>
      <c r="Z12" t="n">
        <v>3.058348</v>
      </c>
      <c r="AA12" t="n">
        <v>4.556294</v>
      </c>
      <c r="AB12" t="n">
        <v>96.447226</v>
      </c>
      <c r="AC12" t="n">
        <v>10.417956</v>
      </c>
      <c r="AD12" t="n">
        <v>17.174689</v>
      </c>
    </row>
    <row r="13">
      <c r="A13" t="n">
        <v>9</v>
      </c>
      <c r="B13" t="inlineStr">
        <is>
          <t>Sessile/other invertebrates</t>
        </is>
      </c>
      <c r="C13" t="inlineStr">
        <is>
          <t>Regular</t>
        </is>
      </c>
      <c r="D13" t="n">
        <v>2.6</v>
      </c>
      <c r="E13" t="n">
        <v>0.1111111111111111</v>
      </c>
      <c r="F13" t="n">
        <v>0.845</v>
      </c>
      <c r="G13" t="n">
        <v>3.114</v>
      </c>
      <c r="H13" t="n">
        <v>0.0011</v>
      </c>
      <c r="I13" t="n">
        <v>140.953883</v>
      </c>
      <c r="J13" t="n">
        <v>39.810717</v>
      </c>
      <c r="K13" t="n">
        <v>619.755778</v>
      </c>
      <c r="L13" t="n">
        <v>1877.598068</v>
      </c>
      <c r="M13" t="n">
        <v>741.629495</v>
      </c>
      <c r="N13" t="n">
        <v>741.629495</v>
      </c>
      <c r="O13" t="n">
        <v>626.676923</v>
      </c>
      <c r="P13" t="n">
        <v>737.355125</v>
      </c>
      <c r="Q13" t="n">
        <v>737.355125</v>
      </c>
      <c r="R13" t="n">
        <v>737.355125</v>
      </c>
      <c r="S13" t="n">
        <v>36.442813</v>
      </c>
      <c r="T13" t="n">
        <v>23.922587</v>
      </c>
      <c r="U13" t="n">
        <v>737.355125</v>
      </c>
      <c r="V13" t="n">
        <v>737.355125</v>
      </c>
      <c r="W13" t="n">
        <v>36.442813</v>
      </c>
      <c r="X13" t="n">
        <v>36.442813</v>
      </c>
      <c r="Y13" t="n">
        <v>23.922587</v>
      </c>
      <c r="Z13" t="n">
        <v>23.922587</v>
      </c>
      <c r="AA13" t="n">
        <v>37.547619</v>
      </c>
      <c r="AB13" t="n">
        <v>765.5198799999999</v>
      </c>
      <c r="AC13" t="n">
        <v>24.808959</v>
      </c>
      <c r="AD13" t="n">
        <v>36.197335</v>
      </c>
    </row>
    <row r="14">
      <c r="A14" t="n">
        <v>10</v>
      </c>
      <c r="B14" t="inlineStr">
        <is>
          <t>Shrimps</t>
        </is>
      </c>
      <c r="C14" t="inlineStr">
        <is>
          <t>Regular</t>
        </is>
      </c>
      <c r="D14" t="n">
        <v>2.314</v>
      </c>
      <c r="E14" t="n">
        <v>0.1868512110726644</v>
      </c>
      <c r="F14" t="n">
        <v>0.95</v>
      </c>
      <c r="G14" t="n">
        <v>0.422</v>
      </c>
      <c r="H14" t="n">
        <v>0.035</v>
      </c>
      <c r="I14" t="n">
        <v>140.953883</v>
      </c>
      <c r="J14" t="n">
        <v>20.606299</v>
      </c>
      <c r="K14" t="n">
        <v>196.386285</v>
      </c>
      <c r="L14" t="n">
        <v>1009.116172</v>
      </c>
      <c r="M14" t="n">
        <v>131.71072</v>
      </c>
      <c r="N14" t="n">
        <v>131.71072</v>
      </c>
      <c r="O14" t="n">
        <v>125.125184</v>
      </c>
      <c r="P14" t="n">
        <v>130.894857</v>
      </c>
      <c r="Q14" t="n">
        <v>130.894857</v>
      </c>
      <c r="R14" t="n">
        <v>130.894857</v>
      </c>
      <c r="S14" t="n">
        <v>12.255972</v>
      </c>
      <c r="T14" t="n">
        <v>8.448598</v>
      </c>
      <c r="U14" t="n">
        <v>130.894857</v>
      </c>
      <c r="V14" t="n">
        <v>130.894857</v>
      </c>
      <c r="W14" t="n">
        <v>12.255972</v>
      </c>
      <c r="X14" t="n">
        <v>12.255972</v>
      </c>
      <c r="Y14" t="n">
        <v>8.448598</v>
      </c>
      <c r="Z14" t="n">
        <v>8.448598</v>
      </c>
      <c r="AA14" t="n">
        <v>12.680707</v>
      </c>
      <c r="AB14" t="n">
        <v>136.520004</v>
      </c>
      <c r="AC14" t="n">
        <v>13.974049</v>
      </c>
      <c r="AD14" t="n">
        <v>22.490141</v>
      </c>
    </row>
    <row r="15">
      <c r="A15" t="n">
        <v>11</v>
      </c>
      <c r="B15" t="inlineStr">
        <is>
          <t>Crabs</t>
        </is>
      </c>
      <c r="C15" t="inlineStr">
        <is>
          <t>Regular</t>
        </is>
      </c>
      <c r="D15" t="n">
        <v>2.523917480221986</v>
      </c>
      <c r="E15" t="n">
        <v>0.25</v>
      </c>
      <c r="F15" t="n">
        <v>0.95</v>
      </c>
      <c r="G15" t="n">
        <v>0.731</v>
      </c>
      <c r="H15" t="n">
        <v>0.01</v>
      </c>
      <c r="I15" t="n">
        <v>140.953883</v>
      </c>
      <c r="J15" t="n">
        <v>33.254785</v>
      </c>
      <c r="K15" t="n">
        <v>452.736281</v>
      </c>
      <c r="L15" t="n">
        <v>34182.13294</v>
      </c>
      <c r="M15" t="n">
        <v>151.084056</v>
      </c>
      <c r="N15" t="n">
        <v>151.084056</v>
      </c>
      <c r="O15" t="n">
        <v>143.529853</v>
      </c>
      <c r="P15" t="n">
        <v>173.938876</v>
      </c>
      <c r="Q15" t="n">
        <v>173.938876</v>
      </c>
      <c r="R15" t="n">
        <v>173.938876</v>
      </c>
      <c r="S15" t="n">
        <v>13.215653</v>
      </c>
      <c r="T15" t="n">
        <v>8.00437</v>
      </c>
      <c r="U15" t="n">
        <v>173.938876</v>
      </c>
      <c r="V15" t="n">
        <v>173.938876</v>
      </c>
      <c r="W15" t="n">
        <v>13.215653</v>
      </c>
      <c r="X15" t="n">
        <v>13.215653</v>
      </c>
      <c r="Y15" t="n">
        <v>8.00437</v>
      </c>
      <c r="Z15" t="n">
        <v>8.00437</v>
      </c>
      <c r="AA15" t="n">
        <v>13.539814</v>
      </c>
      <c r="AB15" t="n">
        <v>184.933079</v>
      </c>
      <c r="AC15" t="n">
        <v>21.207733</v>
      </c>
      <c r="AD15" t="n">
        <v>52.601429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3.29081348223872</v>
      </c>
      <c r="E16" t="n">
        <v>0.3875000000000001</v>
      </c>
      <c r="F16" t="n">
        <v>0.5</v>
      </c>
      <c r="G16" t="n">
        <v>0.465</v>
      </c>
      <c r="H16" t="n">
        <v>0.0244</v>
      </c>
      <c r="I16" t="n">
        <v>140.953883</v>
      </c>
      <c r="J16" t="n">
        <v>170.518341</v>
      </c>
      <c r="K16" t="n">
        <v>7847.80585</v>
      </c>
      <c r="L16" t="n">
        <v>421935.650343</v>
      </c>
      <c r="M16" t="n">
        <v>1050.872908</v>
      </c>
      <c r="N16" t="n">
        <v>1075.829695</v>
      </c>
      <c r="O16" t="n">
        <v>537.914847</v>
      </c>
      <c r="P16" t="n">
        <v>1659.687874</v>
      </c>
      <c r="Q16" t="n">
        <v>1659.687874</v>
      </c>
      <c r="R16" t="n">
        <v>1659.687874</v>
      </c>
      <c r="S16" t="n">
        <v>31.362197</v>
      </c>
      <c r="T16" t="n">
        <v>16.184075</v>
      </c>
      <c r="U16" t="n">
        <v>1659.687874</v>
      </c>
      <c r="V16" t="n">
        <v>1659.687874</v>
      </c>
      <c r="W16" t="n">
        <v>31.362197</v>
      </c>
      <c r="X16" t="n">
        <v>31.362197</v>
      </c>
      <c r="Y16" t="n">
        <v>16.184075</v>
      </c>
      <c r="Z16" t="n">
        <v>16.184075</v>
      </c>
      <c r="AA16" t="n">
        <v>32.286772</v>
      </c>
      <c r="AB16" t="n">
        <v>1775.112325</v>
      </c>
      <c r="AC16" t="n">
        <v>88.16158900000001</v>
      </c>
      <c r="AD16" t="n">
        <v>173.868813</v>
      </c>
    </row>
    <row r="17">
      <c r="A17" t="n">
        <v>13</v>
      </c>
      <c r="B17" t="inlineStr">
        <is>
          <t>Threadfin bream (nemipterids)</t>
        </is>
      </c>
      <c r="C17" t="inlineStr">
        <is>
          <t>Regular</t>
        </is>
      </c>
      <c r="D17" t="n">
        <v>3.210667554973283</v>
      </c>
      <c r="E17" t="n">
        <v>0.09135802469135804</v>
      </c>
      <c r="F17" t="n">
        <v>0.469</v>
      </c>
      <c r="G17" t="n">
        <v>1.04</v>
      </c>
      <c r="H17" t="n">
        <v>0.044</v>
      </c>
      <c r="I17" t="n">
        <v>140.953883</v>
      </c>
      <c r="J17" t="n">
        <v>158.552335</v>
      </c>
      <c r="K17" t="n">
        <v>6912.013677</v>
      </c>
      <c r="L17" t="n">
        <v>2905118.284102</v>
      </c>
      <c r="M17" t="n">
        <v>3502.459341</v>
      </c>
      <c r="N17" t="n">
        <v>3796.144916</v>
      </c>
      <c r="O17" t="n">
        <v>1780.391965</v>
      </c>
      <c r="P17" t="n">
        <v>4710.704014</v>
      </c>
      <c r="Q17" t="n">
        <v>4710.704014</v>
      </c>
      <c r="R17" t="n">
        <v>4710.704014</v>
      </c>
      <c r="S17" t="n">
        <v>105.183965</v>
      </c>
      <c r="T17" t="n">
        <v>52.828865</v>
      </c>
      <c r="U17" t="n">
        <v>4710.704014</v>
      </c>
      <c r="V17" t="n">
        <v>4710.704014</v>
      </c>
      <c r="W17" t="n">
        <v>105.183965</v>
      </c>
      <c r="X17" t="n">
        <v>105.183965</v>
      </c>
      <c r="Y17" t="n">
        <v>52.828865</v>
      </c>
      <c r="Z17" t="n">
        <v>52.828865</v>
      </c>
      <c r="AA17" t="n">
        <v>109.611209</v>
      </c>
      <c r="AB17" t="n">
        <v>5115.038689</v>
      </c>
      <c r="AC17" t="n">
        <v>82.74413800000001</v>
      </c>
      <c r="AD17" t="n">
        <v>193.416145</v>
      </c>
    </row>
    <row r="18">
      <c r="A18" t="n">
        <v>14</v>
      </c>
      <c r="B18" t="inlineStr">
        <is>
          <t>Bigeyes (priacanthids)</t>
        </is>
      </c>
      <c r="C18" t="inlineStr">
        <is>
          <t>Regular</t>
        </is>
      </c>
      <c r="D18" t="n">
        <v>3.471984562385465</v>
      </c>
      <c r="E18" t="n">
        <v>0.1070796460176991</v>
      </c>
      <c r="F18" t="n">
        <v>0.3280000000000001</v>
      </c>
      <c r="G18" t="n">
        <v>0.318</v>
      </c>
      <c r="H18" t="n">
        <v>0.035</v>
      </c>
      <c r="I18" t="n">
        <v>140.953883</v>
      </c>
      <c r="J18" t="n">
        <v>283.896083</v>
      </c>
      <c r="K18" t="n">
        <v>19102.99048</v>
      </c>
      <c r="L18" t="n">
        <v>21093286.411087</v>
      </c>
      <c r="M18" t="n">
        <v>10688.374283</v>
      </c>
      <c r="N18" t="n">
        <v>10967.724493</v>
      </c>
      <c r="O18" t="n">
        <v>3597.413634</v>
      </c>
      <c r="P18" t="n">
        <v>16970.336092</v>
      </c>
      <c r="Q18" t="n">
        <v>16970.336092</v>
      </c>
      <c r="R18" t="n">
        <v>16970.336092</v>
      </c>
      <c r="S18" t="n">
        <v>214.616191</v>
      </c>
      <c r="T18" t="n">
        <v>96.945487</v>
      </c>
      <c r="U18" t="n">
        <v>16970.336092</v>
      </c>
      <c r="V18" t="n">
        <v>16970.336092</v>
      </c>
      <c r="W18" t="n">
        <v>214.616191</v>
      </c>
      <c r="X18" t="n">
        <v>214.616191</v>
      </c>
      <c r="Y18" t="n">
        <v>96.945487</v>
      </c>
      <c r="Z18" t="n">
        <v>96.945487</v>
      </c>
      <c r="AA18" t="n">
        <v>226.201493</v>
      </c>
      <c r="AB18" t="n">
        <v>17690.628268</v>
      </c>
      <c r="AC18" t="n">
        <v>137.482738</v>
      </c>
      <c r="AD18" t="n">
        <v>446.984531</v>
      </c>
    </row>
    <row r="19">
      <c r="A19" t="n">
        <v>15</v>
      </c>
      <c r="B19" t="inlineStr">
        <is>
          <t>Lizard fish (synodontids)</t>
        </is>
      </c>
      <c r="C19" t="inlineStr">
        <is>
          <t>Regular</t>
        </is>
      </c>
      <c r="D19" t="n">
        <v>3.856614847729229</v>
      </c>
      <c r="E19" t="n">
        <v>0.4251386321626617</v>
      </c>
      <c r="F19" t="n">
        <v>0.2409999999999999</v>
      </c>
      <c r="G19" t="n">
        <v>0.3</v>
      </c>
      <c r="H19" t="n">
        <v>0.08400000000000001</v>
      </c>
      <c r="I19" t="n">
        <v>140.953883</v>
      </c>
      <c r="J19" t="n">
        <v>667.104795</v>
      </c>
      <c r="K19" t="n">
        <v>84841.433393</v>
      </c>
      <c r="L19" t="n">
        <v>62527803.444478</v>
      </c>
      <c r="M19" t="n">
        <v>9604.557183999999</v>
      </c>
      <c r="N19" t="n">
        <v>10115.319409</v>
      </c>
      <c r="O19" t="n">
        <v>2437.791978</v>
      </c>
      <c r="P19" t="n">
        <v>16798.641648</v>
      </c>
      <c r="Q19" t="n">
        <v>16798.641648</v>
      </c>
      <c r="R19" t="n">
        <v>16798.641648</v>
      </c>
      <c r="S19" t="n">
        <v>88.03658900000001</v>
      </c>
      <c r="T19" t="n">
        <v>38.159556</v>
      </c>
      <c r="U19" t="n">
        <v>16798.641648</v>
      </c>
      <c r="V19" t="n">
        <v>16798.641648</v>
      </c>
      <c r="W19" t="n">
        <v>88.03658900000001</v>
      </c>
      <c r="X19" t="n">
        <v>88.03658900000001</v>
      </c>
      <c r="Y19" t="n">
        <v>38.159556</v>
      </c>
      <c r="Z19" t="n">
        <v>38.159556</v>
      </c>
      <c r="AA19" t="n">
        <v>92.54017</v>
      </c>
      <c r="AB19" t="n">
        <v>18119.633615</v>
      </c>
      <c r="AC19" t="n">
        <v>289.503115</v>
      </c>
      <c r="AD19" t="n">
        <v>659.652259</v>
      </c>
    </row>
    <row r="20">
      <c r="A20" t="n">
        <v>16</v>
      </c>
      <c r="B20" t="inlineStr">
        <is>
          <t>Juvenile Hairtail (trichiurids)</t>
        </is>
      </c>
      <c r="C20" t="inlineStr">
        <is>
          <t>Regular</t>
        </is>
      </c>
      <c r="D20" t="n">
        <v>3.878329620318159</v>
      </c>
      <c r="E20" t="n">
        <v>0.1715137956748695</v>
      </c>
      <c r="F20" t="n">
        <v>0.329</v>
      </c>
      <c r="G20" t="n">
        <v>0.034</v>
      </c>
      <c r="H20" t="n">
        <v>0.0038</v>
      </c>
      <c r="I20" t="n">
        <v>140.953883</v>
      </c>
      <c r="J20" t="n">
        <v>700.024899</v>
      </c>
      <c r="K20" t="n">
        <v>92281.63460200001</v>
      </c>
      <c r="L20" t="n">
        <v>157235608.552394</v>
      </c>
      <c r="M20" t="n">
        <v>18812.478678</v>
      </c>
      <c r="N20" t="n">
        <v>19688.697334</v>
      </c>
      <c r="O20" t="n">
        <v>6477.581423</v>
      </c>
      <c r="P20" t="n">
        <v>33363.7801</v>
      </c>
      <c r="Q20" t="n">
        <v>33363.7801</v>
      </c>
      <c r="R20" t="n">
        <v>33363.7801</v>
      </c>
      <c r="S20" t="n">
        <v>229.406938</v>
      </c>
      <c r="T20" t="n">
        <v>97.04932100000001</v>
      </c>
      <c r="U20" t="n">
        <v>33363.7801</v>
      </c>
      <c r="V20" t="n">
        <v>33363.7801</v>
      </c>
      <c r="W20" t="n">
        <v>229.406938</v>
      </c>
      <c r="X20" t="n">
        <v>229.406938</v>
      </c>
      <c r="Y20" t="n">
        <v>97.04932100000001</v>
      </c>
      <c r="Z20" t="n">
        <v>97.04932100000001</v>
      </c>
      <c r="AA20" t="n">
        <v>236.95555</v>
      </c>
      <c r="AB20" t="n">
        <v>36288.272669</v>
      </c>
      <c r="AC20" t="n">
        <v>301.916777</v>
      </c>
      <c r="AD20" t="n">
        <v>937.442948</v>
      </c>
    </row>
    <row r="21">
      <c r="A21" t="n">
        <v>17</v>
      </c>
      <c r="B21" t="inlineStr">
        <is>
          <t>Adult hairtail (trichiurids)</t>
        </is>
      </c>
      <c r="C21" t="inlineStr">
        <is>
          <t>Regular</t>
        </is>
      </c>
      <c r="D21" t="n">
        <v>3.913681634309746</v>
      </c>
      <c r="E21" t="n">
        <v>0.2415458937198068</v>
      </c>
      <c r="F21" t="n">
        <v>0.327</v>
      </c>
      <c r="G21" t="n">
        <v>0.0426</v>
      </c>
      <c r="H21" t="n">
        <v>0.0152</v>
      </c>
      <c r="I21" t="n">
        <v>140.953883</v>
      </c>
      <c r="J21" t="n">
        <v>774.112337</v>
      </c>
      <c r="K21" t="n">
        <v>109992.032362</v>
      </c>
      <c r="L21" t="n">
        <v>233163707.648347</v>
      </c>
      <c r="M21" t="n">
        <v>14531.048098</v>
      </c>
      <c r="N21" t="n">
        <v>15150.328312</v>
      </c>
      <c r="O21" t="n">
        <v>4954.157358</v>
      </c>
      <c r="P21" t="n">
        <v>24638.994117</v>
      </c>
      <c r="Q21" t="n">
        <v>24638.994116</v>
      </c>
      <c r="R21" t="n">
        <v>24638.994116</v>
      </c>
      <c r="S21" t="n">
        <v>150.603685</v>
      </c>
      <c r="T21" t="n">
        <v>65.35183000000001</v>
      </c>
      <c r="U21" t="n">
        <v>24638.994116</v>
      </c>
      <c r="V21" t="n">
        <v>24638.994116</v>
      </c>
      <c r="W21" t="n">
        <v>150.603685</v>
      </c>
      <c r="X21" t="n">
        <v>150.603685</v>
      </c>
      <c r="Y21" t="n">
        <v>65.35183000000001</v>
      </c>
      <c r="Z21" t="n">
        <v>65.35183000000001</v>
      </c>
      <c r="AA21" t="n">
        <v>161.744541</v>
      </c>
      <c r="AB21" t="n">
        <v>27059.648227</v>
      </c>
      <c r="AC21" t="n">
        <v>329.586348</v>
      </c>
      <c r="AD21" t="n">
        <v>866.999871</v>
      </c>
    </row>
    <row r="22">
      <c r="A22" t="n">
        <v>18</v>
      </c>
      <c r="B22" t="inlineStr">
        <is>
          <t>Pomfret (stromateids)</t>
        </is>
      </c>
      <c r="C22" t="inlineStr">
        <is>
          <t>Regular</t>
        </is>
      </c>
      <c r="D22" t="n">
        <v>3.587017325582895</v>
      </c>
      <c r="E22" t="n">
        <v>0.2037617554858934</v>
      </c>
      <c r="F22" t="n">
        <v>0.95</v>
      </c>
      <c r="G22" t="n">
        <v>0.065</v>
      </c>
      <c r="H22" t="n">
        <v>0.0053</v>
      </c>
      <c r="I22" t="n">
        <v>140.953883</v>
      </c>
      <c r="J22" t="n">
        <v>342.280115</v>
      </c>
      <c r="K22" t="n">
        <v>26475.575966</v>
      </c>
      <c r="L22" t="n">
        <v>257355.857038</v>
      </c>
      <c r="M22" t="n">
        <v>1585.623721</v>
      </c>
      <c r="N22" t="n">
        <v>1650.152477</v>
      </c>
      <c r="O22" t="n">
        <v>1567.644853</v>
      </c>
      <c r="P22" t="n">
        <v>2274.19106</v>
      </c>
      <c r="Q22" t="n">
        <v>2274.19106</v>
      </c>
      <c r="R22" t="n">
        <v>2274.19106</v>
      </c>
      <c r="S22" t="n">
        <v>105.127985</v>
      </c>
      <c r="T22" t="n">
        <v>50.974766</v>
      </c>
      <c r="U22" t="n">
        <v>2274.19106</v>
      </c>
      <c r="V22" t="n">
        <v>2274.19106</v>
      </c>
      <c r="W22" t="n">
        <v>105.127985</v>
      </c>
      <c r="X22" t="n">
        <v>105.127985</v>
      </c>
      <c r="Y22" t="n">
        <v>50.974766</v>
      </c>
      <c r="Z22" t="n">
        <v>50.974766</v>
      </c>
      <c r="AA22" t="n">
        <v>111.155847</v>
      </c>
      <c r="AB22" t="n">
        <v>2438.947747</v>
      </c>
      <c r="AC22" t="n">
        <v>161.824385</v>
      </c>
      <c r="AD22" t="n">
        <v>255.683683</v>
      </c>
    </row>
    <row r="23">
      <c r="A23" t="n">
        <v>19</v>
      </c>
      <c r="B23" t="inlineStr">
        <is>
          <t>Snappers</t>
        </is>
      </c>
      <c r="C23" t="inlineStr">
        <is>
          <t>Regular</t>
        </is>
      </c>
      <c r="D23" t="n">
        <v>3.769209176753436</v>
      </c>
      <c r="E23" t="n">
        <v>0.1492204899777283</v>
      </c>
      <c r="F23" t="n">
        <v>0.95</v>
      </c>
      <c r="G23" t="n">
        <v>0.014</v>
      </c>
      <c r="H23" t="n">
        <v>0.0053</v>
      </c>
      <c r="I23" t="n">
        <v>140.953883</v>
      </c>
      <c r="J23" t="n">
        <v>554.842266</v>
      </c>
      <c r="K23" t="n">
        <v>61511.195509</v>
      </c>
      <c r="L23" t="n">
        <v>20307429.163039</v>
      </c>
      <c r="M23" t="n">
        <v>3230.237663</v>
      </c>
      <c r="N23" t="n">
        <v>3367.037571</v>
      </c>
      <c r="O23" t="n">
        <v>3198.685692</v>
      </c>
      <c r="P23" t="n">
        <v>4133.4309</v>
      </c>
      <c r="Q23" t="n">
        <v>4133.4309</v>
      </c>
      <c r="R23" t="n">
        <v>4133.4309</v>
      </c>
      <c r="S23" t="n">
        <v>205.658598</v>
      </c>
      <c r="T23" t="n">
        <v>91.38801100000001</v>
      </c>
      <c r="U23" t="n">
        <v>4133.4309</v>
      </c>
      <c r="V23" t="n">
        <v>4133.4309</v>
      </c>
      <c r="W23" t="n">
        <v>205.658598</v>
      </c>
      <c r="X23" t="n">
        <v>205.658598</v>
      </c>
      <c r="Y23" t="n">
        <v>91.38801100000001</v>
      </c>
      <c r="Z23" t="n">
        <v>91.38801100000001</v>
      </c>
      <c r="AA23" t="n">
        <v>216.473302</v>
      </c>
      <c r="AB23" t="n">
        <v>4393.486979</v>
      </c>
      <c r="AC23" t="n">
        <v>246.547973</v>
      </c>
      <c r="AD23" t="n">
        <v>636.567642</v>
      </c>
    </row>
    <row r="24">
      <c r="A24" t="n">
        <v>20</v>
      </c>
      <c r="B24" t="inlineStr">
        <is>
          <t>Adult groupers</t>
        </is>
      </c>
      <c r="C24" t="inlineStr">
        <is>
          <t>Regular</t>
        </is>
      </c>
      <c r="D24" t="n">
        <v>3.759047426500872</v>
      </c>
      <c r="E24" t="n">
        <v>0.139344262295082</v>
      </c>
      <c r="F24" t="n">
        <v>0.375</v>
      </c>
      <c r="G24" t="n">
        <v>0.04</v>
      </c>
      <c r="H24" t="n">
        <v>0.0029</v>
      </c>
      <c r="I24" t="n">
        <v>140.953883</v>
      </c>
      <c r="J24" t="n">
        <v>539.046528</v>
      </c>
      <c r="K24" t="n">
        <v>58487.681751</v>
      </c>
      <c r="L24" t="n">
        <v>89769700.66949099</v>
      </c>
      <c r="M24" t="n">
        <v>10399.759602</v>
      </c>
      <c r="N24" t="n">
        <v>10694.630086</v>
      </c>
      <c r="O24" t="n">
        <v>4010.486282</v>
      </c>
      <c r="P24" t="n">
        <v>14214.100911</v>
      </c>
      <c r="Q24" t="n">
        <v>14214.100911</v>
      </c>
      <c r="R24" t="n">
        <v>14214.100911</v>
      </c>
      <c r="S24" t="n">
        <v>203.72024</v>
      </c>
      <c r="T24" t="n">
        <v>90.708206</v>
      </c>
      <c r="U24" t="n">
        <v>14214.100911</v>
      </c>
      <c r="V24" t="n">
        <v>14214.100911</v>
      </c>
      <c r="W24" t="n">
        <v>203.72024</v>
      </c>
      <c r="X24" t="n">
        <v>203.72024</v>
      </c>
      <c r="Y24" t="n">
        <v>90.708206</v>
      </c>
      <c r="Z24" t="n">
        <v>90.708206</v>
      </c>
      <c r="AA24" t="n">
        <v>213.076898</v>
      </c>
      <c r="AB24" t="n">
        <v>15231.972848</v>
      </c>
      <c r="AC24" t="n">
        <v>240.418747</v>
      </c>
      <c r="AD24" t="n">
        <v>654.813563</v>
      </c>
    </row>
    <row r="25">
      <c r="A25" t="n">
        <v>21</v>
      </c>
      <c r="B25" t="inlineStr">
        <is>
          <t>Croakers (≤ 30 cm)</t>
        </is>
      </c>
      <c r="C25" t="inlineStr">
        <is>
          <t>Regular</t>
        </is>
      </c>
      <c r="D25" t="n">
        <v>3.312753045334324</v>
      </c>
      <c r="E25" t="n">
        <v>0.2092198581560283</v>
      </c>
      <c r="F25" t="n">
        <v>0.784</v>
      </c>
      <c r="G25" t="n">
        <v>0.289</v>
      </c>
      <c r="H25" t="n">
        <v>0.016</v>
      </c>
      <c r="I25" t="n">
        <v>140.953883</v>
      </c>
      <c r="J25" t="n">
        <v>201.414719</v>
      </c>
      <c r="K25" t="n">
        <v>10494.380534</v>
      </c>
      <c r="L25" t="n">
        <v>3053422.756123</v>
      </c>
      <c r="M25" t="n">
        <v>1402.335676</v>
      </c>
      <c r="N25" t="n">
        <v>1449.344811</v>
      </c>
      <c r="O25" t="n">
        <v>1136.286332</v>
      </c>
      <c r="P25" t="n">
        <v>1692.571887</v>
      </c>
      <c r="Q25" t="n">
        <v>1692.571887</v>
      </c>
      <c r="R25" t="n">
        <v>1692.571887</v>
      </c>
      <c r="S25" t="n">
        <v>68.15794</v>
      </c>
      <c r="T25" t="n">
        <v>34.55496</v>
      </c>
      <c r="U25" t="n">
        <v>1692.571887</v>
      </c>
      <c r="V25" t="n">
        <v>1692.571887</v>
      </c>
      <c r="W25" t="n">
        <v>68.15794</v>
      </c>
      <c r="X25" t="n">
        <v>68.15794</v>
      </c>
      <c r="Y25" t="n">
        <v>34.55496</v>
      </c>
      <c r="Z25" t="n">
        <v>34.55496</v>
      </c>
      <c r="AA25" t="n">
        <v>71.462779</v>
      </c>
      <c r="AB25" t="n">
        <v>1758.686512</v>
      </c>
      <c r="AC25" t="n">
        <v>101.933235</v>
      </c>
      <c r="AD25" t="n">
        <v>241.661422</v>
      </c>
    </row>
    <row r="26">
      <c r="A26" t="n">
        <v>22</v>
      </c>
      <c r="B26" t="inlineStr">
        <is>
          <t>Juvenile large croakers</t>
        </is>
      </c>
      <c r="C26" t="inlineStr">
        <is>
          <t>Regular</t>
        </is>
      </c>
      <c r="D26" t="n">
        <v>3.238588184699975</v>
      </c>
      <c r="E26" t="n">
        <v>0.1507987220447284</v>
      </c>
      <c r="F26" t="n">
        <v>0.913</v>
      </c>
      <c r="G26" t="n">
        <v>0.0425</v>
      </c>
      <c r="H26" t="n">
        <v>0.011</v>
      </c>
      <c r="I26" t="n">
        <v>140.953883</v>
      </c>
      <c r="J26" t="n">
        <v>166.134045</v>
      </c>
      <c r="K26" t="n">
        <v>7499.053469</v>
      </c>
      <c r="L26" t="n">
        <v>10067795.497938</v>
      </c>
      <c r="M26" t="n">
        <v>1781.28598</v>
      </c>
      <c r="N26" t="n">
        <v>1803.92647</v>
      </c>
      <c r="O26" t="n">
        <v>1646.984867</v>
      </c>
      <c r="P26" t="n">
        <v>2297.497518</v>
      </c>
      <c r="Q26" t="n">
        <v>2297.497518</v>
      </c>
      <c r="R26" t="n">
        <v>2297.497518</v>
      </c>
      <c r="S26" t="n">
        <v>87.077232</v>
      </c>
      <c r="T26" t="n">
        <v>43.279903</v>
      </c>
      <c r="U26" t="n">
        <v>2297.497518</v>
      </c>
      <c r="V26" t="n">
        <v>2297.497518</v>
      </c>
      <c r="W26" t="n">
        <v>87.077232</v>
      </c>
      <c r="X26" t="n">
        <v>87.077232</v>
      </c>
      <c r="Y26" t="n">
        <v>43.279903</v>
      </c>
      <c r="Z26" t="n">
        <v>43.279903</v>
      </c>
      <c r="AA26" t="n">
        <v>91.244243</v>
      </c>
      <c r="AB26" t="n">
        <v>2428.836763</v>
      </c>
      <c r="AC26" t="n">
        <v>86.182508</v>
      </c>
      <c r="AD26" t="n">
        <v>248.738701</v>
      </c>
    </row>
    <row r="27">
      <c r="A27" t="n">
        <v>23</v>
      </c>
      <c r="B27" t="inlineStr">
        <is>
          <t>Croakers (&gt; 30 cm)</t>
        </is>
      </c>
      <c r="C27" t="inlineStr">
        <is>
          <t>Regular</t>
        </is>
      </c>
      <c r="D27" t="n">
        <v>3.472838939946794</v>
      </c>
      <c r="E27" t="n">
        <v>0.2295345104333868</v>
      </c>
      <c r="F27" t="n">
        <v>0.541</v>
      </c>
      <c r="G27" t="n">
        <v>0.095</v>
      </c>
      <c r="H27" t="n">
        <v>0.044</v>
      </c>
      <c r="I27" t="n">
        <v>140.953883</v>
      </c>
      <c r="J27" t="n">
        <v>290.403291</v>
      </c>
      <c r="K27" t="n">
        <v>19873.63175</v>
      </c>
      <c r="L27" t="n">
        <v>24636366.743791</v>
      </c>
      <c r="M27" t="n">
        <v>3228.620571</v>
      </c>
      <c r="N27" t="n">
        <v>3327.653278</v>
      </c>
      <c r="O27" t="n">
        <v>1800.260423</v>
      </c>
      <c r="P27" t="n">
        <v>4039.901519</v>
      </c>
      <c r="Q27" t="n">
        <v>4039.901519</v>
      </c>
      <c r="R27" t="n">
        <v>4039.901519</v>
      </c>
      <c r="S27" t="n">
        <v>94.21130599999999</v>
      </c>
      <c r="T27" t="n">
        <v>44.282791</v>
      </c>
      <c r="U27" t="n">
        <v>4039.901519</v>
      </c>
      <c r="V27" t="n">
        <v>4039.901519</v>
      </c>
      <c r="W27" t="n">
        <v>94.21130599999999</v>
      </c>
      <c r="X27" t="n">
        <v>94.21130599999999</v>
      </c>
      <c r="Y27" t="n">
        <v>44.282791</v>
      </c>
      <c r="Z27" t="n">
        <v>44.282791</v>
      </c>
      <c r="AA27" t="n">
        <v>98.331816</v>
      </c>
      <c r="AB27" t="n">
        <v>4315.276634</v>
      </c>
      <c r="AC27" t="n">
        <v>140.22546</v>
      </c>
      <c r="AD27" t="n">
        <v>388.448979</v>
      </c>
    </row>
    <row r="28">
      <c r="A28" t="n">
        <v>24</v>
      </c>
      <c r="B28" t="inlineStr">
        <is>
          <t>Demesral fish (≤ 30 cm)</t>
        </is>
      </c>
      <c r="C28" t="inlineStr">
        <is>
          <t>Regular</t>
        </is>
      </c>
      <c r="D28" t="n">
        <v>3.00931693541396</v>
      </c>
      <c r="E28" t="n">
        <v>0.2072141212586339</v>
      </c>
      <c r="F28" t="n">
        <v>0.95</v>
      </c>
      <c r="G28" t="n">
        <v>1.541</v>
      </c>
      <c r="H28" t="n">
        <v>0.0902</v>
      </c>
      <c r="I28" t="n">
        <v>140.953883</v>
      </c>
      <c r="J28" t="n">
        <v>95.34341499999999</v>
      </c>
      <c r="K28" t="n">
        <v>2845.346423</v>
      </c>
      <c r="L28" t="n">
        <v>490526.782878</v>
      </c>
      <c r="M28" t="n">
        <v>569.846189</v>
      </c>
      <c r="N28" t="n">
        <v>594.287325</v>
      </c>
      <c r="O28" t="n">
        <v>564.572959</v>
      </c>
      <c r="P28" t="n">
        <v>738.02552</v>
      </c>
      <c r="Q28" t="n">
        <v>738.02552</v>
      </c>
      <c r="R28" t="n">
        <v>738.02552</v>
      </c>
      <c r="S28" t="n">
        <v>39.685535</v>
      </c>
      <c r="T28" t="n">
        <v>21.622034</v>
      </c>
      <c r="U28" t="n">
        <v>738.02552</v>
      </c>
      <c r="V28" t="n">
        <v>738.02552</v>
      </c>
      <c r="W28" t="n">
        <v>39.685535</v>
      </c>
      <c r="X28" t="n">
        <v>39.685535</v>
      </c>
      <c r="Y28" t="n">
        <v>21.622034</v>
      </c>
      <c r="Z28" t="n">
        <v>21.622034</v>
      </c>
      <c r="AA28" t="n">
        <v>41.109943</v>
      </c>
      <c r="AB28" t="n">
        <v>772.895549</v>
      </c>
      <c r="AC28" t="n">
        <v>53.114101</v>
      </c>
      <c r="AD28" t="n">
        <v>112.240217</v>
      </c>
    </row>
    <row r="29">
      <c r="A29" t="n">
        <v>25</v>
      </c>
      <c r="B29" t="inlineStr">
        <is>
          <t>Juvenile demersal fish (&gt; 30 cm)</t>
        </is>
      </c>
      <c r="C29" t="inlineStr">
        <is>
          <t>Regular</t>
        </is>
      </c>
      <c r="D29" t="n">
        <v>3.043612179667134</v>
      </c>
      <c r="E29" t="n">
        <v>0.1681759379042691</v>
      </c>
      <c r="F29" t="n">
        <v>0.599</v>
      </c>
      <c r="G29" t="n">
        <v>0.112</v>
      </c>
      <c r="H29" t="n">
        <v>0.0288</v>
      </c>
      <c r="I29" t="n">
        <v>140.953883</v>
      </c>
      <c r="J29" t="n">
        <v>107.215631</v>
      </c>
      <c r="K29" t="n">
        <v>3492.04875</v>
      </c>
      <c r="L29" t="n">
        <v>1035118.278922</v>
      </c>
      <c r="M29" t="n">
        <v>1361.395938</v>
      </c>
      <c r="N29" t="n">
        <v>1364.327136</v>
      </c>
      <c r="O29" t="n">
        <v>817.231955</v>
      </c>
      <c r="P29" t="n">
        <v>1542.046037</v>
      </c>
      <c r="Q29" t="n">
        <v>1542.046037</v>
      </c>
      <c r="R29" t="n">
        <v>1542.046037</v>
      </c>
      <c r="S29" t="n">
        <v>49.018375</v>
      </c>
      <c r="T29" t="n">
        <v>27.692265</v>
      </c>
      <c r="U29" t="n">
        <v>1542.046037</v>
      </c>
      <c r="V29" t="n">
        <v>1542.046037</v>
      </c>
      <c r="W29" t="n">
        <v>49.018375</v>
      </c>
      <c r="X29" t="n">
        <v>49.018375</v>
      </c>
      <c r="Y29" t="n">
        <v>27.692265</v>
      </c>
      <c r="Z29" t="n">
        <v>27.692265</v>
      </c>
      <c r="AA29" t="n">
        <v>50.796907</v>
      </c>
      <c r="AB29" t="n">
        <v>1602.1405</v>
      </c>
      <c r="AC29" t="n">
        <v>58.834839</v>
      </c>
      <c r="AD29" t="n">
        <v>116.586777</v>
      </c>
    </row>
    <row r="30">
      <c r="A30" t="n">
        <v>26</v>
      </c>
      <c r="B30" t="inlineStr">
        <is>
          <t>Adult demersal fish (&gt; 30 cm)</t>
        </is>
      </c>
      <c r="C30" t="inlineStr">
        <is>
          <t>Regular</t>
        </is>
      </c>
      <c r="D30" t="n">
        <v>3.427086988746579</v>
      </c>
      <c r="E30" t="n">
        <v>0.2318840579710145</v>
      </c>
      <c r="F30" t="n">
        <v>0.355</v>
      </c>
      <c r="G30" t="n">
        <v>0.195</v>
      </c>
      <c r="H30" t="n">
        <v>0.115</v>
      </c>
      <c r="I30" t="n">
        <v>140.953883</v>
      </c>
      <c r="J30" t="n">
        <v>259.279322</v>
      </c>
      <c r="K30" t="n">
        <v>16306.386431</v>
      </c>
      <c r="L30" t="n">
        <v>143289060.683536</v>
      </c>
      <c r="M30" t="n">
        <v>7900.416311</v>
      </c>
      <c r="N30" t="n">
        <v>8500.333087999999</v>
      </c>
      <c r="O30" t="n">
        <v>3017.618246</v>
      </c>
      <c r="P30" t="n">
        <v>12965.959653</v>
      </c>
      <c r="Q30" t="n">
        <v>12965.959653</v>
      </c>
      <c r="R30" t="n">
        <v>12965.959653</v>
      </c>
      <c r="S30" t="n">
        <v>94.019074</v>
      </c>
      <c r="T30" t="n">
        <v>41.234605</v>
      </c>
      <c r="U30" t="n">
        <v>12965.959653</v>
      </c>
      <c r="V30" t="n">
        <v>12965.959653</v>
      </c>
      <c r="W30" t="n">
        <v>94.019074</v>
      </c>
      <c r="X30" t="n">
        <v>94.019074</v>
      </c>
      <c r="Y30" t="n">
        <v>41.234605</v>
      </c>
      <c r="Z30" t="n">
        <v>41.234605</v>
      </c>
      <c r="AA30" t="n">
        <v>97.699888</v>
      </c>
      <c r="AB30" t="n">
        <v>13990.405339</v>
      </c>
      <c r="AC30" t="n">
        <v>127.032057</v>
      </c>
      <c r="AD30" t="n">
        <v>470.444746</v>
      </c>
    </row>
    <row r="31">
      <c r="A31" t="n">
        <v>27</v>
      </c>
      <c r="B31" t="inlineStr">
        <is>
          <t>Benthopelagic fish</t>
        </is>
      </c>
      <c r="C31" t="inlineStr">
        <is>
          <t>Regular</t>
        </is>
      </c>
      <c r="D31" t="n">
        <v>2.780602456126404</v>
      </c>
      <c r="E31" t="n">
        <v>0.2</v>
      </c>
      <c r="F31" t="n">
        <v>0.95</v>
      </c>
      <c r="G31" t="n">
        <v>0.47</v>
      </c>
      <c r="H31" t="n">
        <v>0.0303</v>
      </c>
      <c r="I31" t="n">
        <v>140.953883</v>
      </c>
      <c r="J31" t="n">
        <v>57.638856</v>
      </c>
      <c r="K31" t="n">
        <v>1182.200226</v>
      </c>
      <c r="L31" t="n">
        <v>56775.373409</v>
      </c>
      <c r="M31" t="n">
        <v>512.103289</v>
      </c>
      <c r="N31" t="n">
        <v>553.467817</v>
      </c>
      <c r="O31" t="n">
        <v>525.794426</v>
      </c>
      <c r="P31" t="n">
        <v>602.712303</v>
      </c>
      <c r="Q31" t="n">
        <v>602.712303</v>
      </c>
      <c r="R31" t="n">
        <v>602.712303</v>
      </c>
      <c r="S31" t="n">
        <v>31.190871</v>
      </c>
      <c r="T31" t="n">
        <v>18.283791</v>
      </c>
      <c r="U31" t="n">
        <v>602.712303</v>
      </c>
      <c r="V31" t="n">
        <v>602.712303</v>
      </c>
      <c r="W31" t="n">
        <v>31.190871</v>
      </c>
      <c r="X31" t="n">
        <v>31.190871</v>
      </c>
      <c r="Y31" t="n">
        <v>18.283791</v>
      </c>
      <c r="Z31" t="n">
        <v>18.283791</v>
      </c>
      <c r="AA31" t="n">
        <v>32.089433</v>
      </c>
      <c r="AB31" t="n">
        <v>622.065443</v>
      </c>
      <c r="AC31" t="n">
        <v>34.252552</v>
      </c>
      <c r="AD31" t="n">
        <v>73.57281500000001</v>
      </c>
    </row>
    <row r="32">
      <c r="A32" t="n">
        <v>28</v>
      </c>
      <c r="B32" t="inlineStr">
        <is>
          <t>Melon seed</t>
        </is>
      </c>
      <c r="C32" t="inlineStr">
        <is>
          <t>Regular</t>
        </is>
      </c>
      <c r="D32" t="n">
        <v>3.03486548350679</v>
      </c>
      <c r="E32" t="n">
        <v>0.09068825910931176</v>
      </c>
      <c r="F32" t="n">
        <v>0.964</v>
      </c>
      <c r="G32" t="n">
        <v>0.114</v>
      </c>
      <c r="H32" t="n">
        <v>0.0057</v>
      </c>
      <c r="I32" t="n">
        <v>140.953883</v>
      </c>
      <c r="J32" t="n">
        <v>105.954074</v>
      </c>
      <c r="K32" t="n">
        <v>3420.656849</v>
      </c>
      <c r="L32" t="n">
        <v>525649.253812</v>
      </c>
      <c r="M32" t="n">
        <v>1687.26083</v>
      </c>
      <c r="N32" t="n">
        <v>1714.476263</v>
      </c>
      <c r="O32" t="n">
        <v>1652.755118</v>
      </c>
      <c r="P32" t="n">
        <v>1871.214813</v>
      </c>
      <c r="Q32" t="n">
        <v>1871.214813</v>
      </c>
      <c r="R32" t="n">
        <v>1871.214813</v>
      </c>
      <c r="S32" t="n">
        <v>83.98319100000001</v>
      </c>
      <c r="T32" t="n">
        <v>49.600357</v>
      </c>
      <c r="U32" t="n">
        <v>1871.214813</v>
      </c>
      <c r="V32" t="n">
        <v>1871.214813</v>
      </c>
      <c r="W32" t="n">
        <v>83.98319100000001</v>
      </c>
      <c r="X32" t="n">
        <v>83.98319100000001</v>
      </c>
      <c r="Y32" t="n">
        <v>49.600357</v>
      </c>
      <c r="Z32" t="n">
        <v>49.600357</v>
      </c>
      <c r="AA32" t="n">
        <v>88.607298</v>
      </c>
      <c r="AB32" t="n">
        <v>1933.149653</v>
      </c>
      <c r="AC32" t="n">
        <v>58.230967</v>
      </c>
      <c r="AD32" t="n">
        <v>93.19774700000001</v>
      </c>
    </row>
    <row r="33">
      <c r="A33" t="n">
        <v>29</v>
      </c>
      <c r="B33" t="inlineStr">
        <is>
          <t>Pelagic fish (≤ 30 cm)</t>
        </is>
      </c>
      <c r="C33" t="inlineStr">
        <is>
          <t>Regular</t>
        </is>
      </c>
      <c r="D33" t="n">
        <v>2.781666666666666</v>
      </c>
      <c r="E33" t="n">
        <v>0.234860883797054</v>
      </c>
      <c r="F33" t="n">
        <v>0.95</v>
      </c>
      <c r="G33" t="n">
        <v>1.05</v>
      </c>
      <c r="H33" t="n">
        <v>0.146</v>
      </c>
      <c r="I33" t="n">
        <v>140.953883</v>
      </c>
      <c r="J33" t="n">
        <v>60.479203</v>
      </c>
      <c r="K33" t="n">
        <v>1285.725322</v>
      </c>
      <c r="L33" t="n">
        <v>3025.478454</v>
      </c>
      <c r="M33" t="n">
        <v>395.888053</v>
      </c>
      <c r="N33" t="n">
        <v>395.888053</v>
      </c>
      <c r="O33" t="n">
        <v>376.09365</v>
      </c>
      <c r="P33" t="n">
        <v>393.787233</v>
      </c>
      <c r="Q33" t="n">
        <v>393.787233</v>
      </c>
      <c r="R33" t="n">
        <v>393.787233</v>
      </c>
      <c r="S33" t="n">
        <v>20.916473</v>
      </c>
      <c r="T33" t="n">
        <v>13.510088</v>
      </c>
      <c r="U33" t="n">
        <v>393.787233</v>
      </c>
      <c r="V33" t="n">
        <v>393.787233</v>
      </c>
      <c r="W33" t="n">
        <v>20.916473</v>
      </c>
      <c r="X33" t="n">
        <v>20.916473</v>
      </c>
      <c r="Y33" t="n">
        <v>13.510088</v>
      </c>
      <c r="Z33" t="n">
        <v>13.510088</v>
      </c>
      <c r="AA33" t="n">
        <v>21.939981</v>
      </c>
      <c r="AB33" t="n">
        <v>405.784084</v>
      </c>
      <c r="AC33" t="n">
        <v>35.719215</v>
      </c>
      <c r="AD33" t="n">
        <v>45.472786</v>
      </c>
    </row>
    <row r="34">
      <c r="A34" t="n">
        <v>30</v>
      </c>
      <c r="B34" t="inlineStr">
        <is>
          <t>Juvenile large pelagic fish</t>
        </is>
      </c>
      <c r="C34" t="inlineStr">
        <is>
          <t>Regular</t>
        </is>
      </c>
      <c r="D34" t="n">
        <v>2.893396853714223</v>
      </c>
      <c r="E34" t="n">
        <v>0.1997216423103689</v>
      </c>
      <c r="F34" t="n">
        <v>0.6200000000000001</v>
      </c>
      <c r="G34" t="n">
        <v>0.118</v>
      </c>
      <c r="H34" t="n">
        <v>0.009599999999999999</v>
      </c>
      <c r="I34" t="n">
        <v>140.953883</v>
      </c>
      <c r="J34" t="n">
        <v>77.482131</v>
      </c>
      <c r="K34" t="n">
        <v>1981.149134</v>
      </c>
      <c r="L34" t="n">
        <v>451512.385976</v>
      </c>
      <c r="M34" t="n">
        <v>1184.193499</v>
      </c>
      <c r="N34" t="n">
        <v>1206.048386</v>
      </c>
      <c r="O34" t="n">
        <v>747.749999</v>
      </c>
      <c r="P34" t="n">
        <v>1249.656321</v>
      </c>
      <c r="Q34" t="n">
        <v>1249.656321</v>
      </c>
      <c r="R34" t="n">
        <v>1249.656321</v>
      </c>
      <c r="S34" t="n">
        <v>40.406762</v>
      </c>
      <c r="T34" t="n">
        <v>22.900074</v>
      </c>
      <c r="U34" t="n">
        <v>1249.656321</v>
      </c>
      <c r="V34" t="n">
        <v>1249.656321</v>
      </c>
      <c r="W34" t="n">
        <v>40.406762</v>
      </c>
      <c r="X34" t="n">
        <v>40.406762</v>
      </c>
      <c r="Y34" t="n">
        <v>22.900074</v>
      </c>
      <c r="Z34" t="n">
        <v>22.900074</v>
      </c>
      <c r="AA34" t="n">
        <v>42.394565</v>
      </c>
      <c r="AB34" t="n">
        <v>1275.963463</v>
      </c>
      <c r="AC34" t="n">
        <v>44.328741</v>
      </c>
      <c r="AD34" t="n">
        <v>100.375758</v>
      </c>
    </row>
    <row r="35">
      <c r="A35" t="n">
        <v>31</v>
      </c>
      <c r="B35" t="inlineStr">
        <is>
          <t>Pelagic fish (&gt; 30 cm)</t>
        </is>
      </c>
      <c r="C35" t="inlineStr">
        <is>
          <t>Regular</t>
        </is>
      </c>
      <c r="D35" t="n">
        <v>3.367201063009562</v>
      </c>
      <c r="E35" t="n">
        <v>0.143312101910828</v>
      </c>
      <c r="F35" t="n">
        <v>0.2829999999999999</v>
      </c>
      <c r="G35" t="n">
        <v>0.158</v>
      </c>
      <c r="H35" t="n">
        <v>0.038</v>
      </c>
      <c r="I35" t="n">
        <v>140.953883</v>
      </c>
      <c r="J35" t="n">
        <v>231.755137</v>
      </c>
      <c r="K35" t="n">
        <v>13406.095407</v>
      </c>
      <c r="L35" t="n">
        <v>32029215.29185</v>
      </c>
      <c r="M35" t="n">
        <v>7522.545642</v>
      </c>
      <c r="N35" t="n">
        <v>7619.353795</v>
      </c>
      <c r="O35" t="n">
        <v>2156.277124</v>
      </c>
      <c r="P35" t="n">
        <v>8594.243818999999</v>
      </c>
      <c r="Q35" t="n">
        <v>8594.243818999999</v>
      </c>
      <c r="R35" t="n">
        <v>8594.243818999999</v>
      </c>
      <c r="S35" t="n">
        <v>99.98532899999999</v>
      </c>
      <c r="T35" t="n">
        <v>52.562982</v>
      </c>
      <c r="U35" t="n">
        <v>8594.243818999999</v>
      </c>
      <c r="V35" t="n">
        <v>8594.243818999999</v>
      </c>
      <c r="W35" t="n">
        <v>99.98532899999999</v>
      </c>
      <c r="X35" t="n">
        <v>99.98532899999999</v>
      </c>
      <c r="Y35" t="n">
        <v>52.562982</v>
      </c>
      <c r="Z35" t="n">
        <v>52.562982</v>
      </c>
      <c r="AA35" t="n">
        <v>105.86076</v>
      </c>
      <c r="AB35" t="n">
        <v>9021.195495</v>
      </c>
      <c r="AC35" t="n">
        <v>115.194399</v>
      </c>
      <c r="AD35" t="n">
        <v>239.130488</v>
      </c>
    </row>
    <row r="36">
      <c r="A36" t="n">
        <v>32</v>
      </c>
      <c r="B36" t="inlineStr">
        <is>
          <t>Demersal sharks and rays</t>
        </is>
      </c>
      <c r="C36" t="inlineStr">
        <is>
          <t>Regular</t>
        </is>
      </c>
      <c r="D36" t="n">
        <v>3.509427430945212</v>
      </c>
      <c r="E36" t="n">
        <v>0.2</v>
      </c>
      <c r="F36" t="n">
        <v>0.3639999999999999</v>
      </c>
      <c r="G36" t="n">
        <v>0.04</v>
      </c>
      <c r="H36" t="n">
        <v>0.0158</v>
      </c>
      <c r="I36" t="n">
        <v>140.953883</v>
      </c>
      <c r="J36" t="n">
        <v>308.68601</v>
      </c>
      <c r="K36" t="n">
        <v>22108.042525</v>
      </c>
      <c r="L36" t="n">
        <v>195781560.03917</v>
      </c>
      <c r="M36" t="n">
        <v>10706.101486</v>
      </c>
      <c r="N36" t="n">
        <v>10781.622707</v>
      </c>
      <c r="O36" t="n">
        <v>3924.510665</v>
      </c>
      <c r="P36" t="n">
        <v>18846.946222</v>
      </c>
      <c r="Q36" t="n">
        <v>18846.946222</v>
      </c>
      <c r="R36" t="n">
        <v>18846.946222</v>
      </c>
      <c r="S36" t="n">
        <v>119.185901</v>
      </c>
      <c r="T36" t="n">
        <v>52.155741</v>
      </c>
      <c r="U36" t="n">
        <v>18846.946222</v>
      </c>
      <c r="V36" t="n">
        <v>18846.946222</v>
      </c>
      <c r="W36" t="n">
        <v>119.185901</v>
      </c>
      <c r="X36" t="n">
        <v>119.185901</v>
      </c>
      <c r="Y36" t="n">
        <v>52.155741</v>
      </c>
      <c r="Z36" t="n">
        <v>52.155741</v>
      </c>
      <c r="AA36" t="n">
        <v>124.506314</v>
      </c>
      <c r="AB36" t="n">
        <v>20404.471037</v>
      </c>
      <c r="AC36" t="n">
        <v>147.889899</v>
      </c>
      <c r="AD36" t="n">
        <v>588.19732</v>
      </c>
    </row>
    <row r="37">
      <c r="A37" t="n">
        <v>33</v>
      </c>
      <c r="B37" t="inlineStr">
        <is>
          <t>Pelagic sharks and rays</t>
        </is>
      </c>
      <c r="C37" t="inlineStr">
        <is>
          <t>Regular</t>
        </is>
      </c>
      <c r="D37" t="n">
        <v>3.989708938669605</v>
      </c>
      <c r="E37" t="n">
        <v>0.2</v>
      </c>
      <c r="F37" t="n">
        <v>0.5</v>
      </c>
      <c r="G37" t="n">
        <v>0.028</v>
      </c>
      <c r="H37" t="n">
        <v>0.0051</v>
      </c>
      <c r="I37" t="n">
        <v>140.953883</v>
      </c>
      <c r="J37" t="n">
        <v>908.988005</v>
      </c>
      <c r="K37" t="n">
        <v>145576.696024</v>
      </c>
      <c r="L37" t="n">
        <v>48080410.421404</v>
      </c>
      <c r="M37" t="n">
        <v>125208.792952</v>
      </c>
      <c r="N37" t="n">
        <v>126616.154086</v>
      </c>
      <c r="O37" t="n">
        <v>63308.077043</v>
      </c>
      <c r="P37" t="n">
        <v>172174.15174</v>
      </c>
      <c r="Q37" t="n">
        <v>172174.151739</v>
      </c>
      <c r="R37" t="n">
        <v>172174.151739</v>
      </c>
      <c r="S37" t="n">
        <v>202.141045</v>
      </c>
      <c r="T37" t="n">
        <v>87.49926499999999</v>
      </c>
      <c r="U37" t="n">
        <v>172174.151739</v>
      </c>
      <c r="V37" t="n">
        <v>172174.151739</v>
      </c>
      <c r="W37" t="n">
        <v>202.141045</v>
      </c>
      <c r="X37" t="n">
        <v>202.141045</v>
      </c>
      <c r="Y37" t="n">
        <v>87.49926499999999</v>
      </c>
      <c r="Z37" t="n">
        <v>87.49926499999999</v>
      </c>
      <c r="AA37" t="n">
        <v>214.928725</v>
      </c>
      <c r="AB37" t="n">
        <v>183923.261916</v>
      </c>
      <c r="AC37" t="n">
        <v>379.113334</v>
      </c>
      <c r="AD37" t="n">
        <v>767.7179190000001</v>
      </c>
    </row>
    <row r="38">
      <c r="A38" t="n">
        <v>34</v>
      </c>
      <c r="B38" t="inlineStr">
        <is>
          <t>Seabirds</t>
        </is>
      </c>
      <c r="C38" t="inlineStr">
        <is>
          <t>Regular</t>
        </is>
      </c>
      <c r="D38" t="n">
        <v>3.414700950377541</v>
      </c>
      <c r="E38" t="n">
        <v>0.0008854781582054309</v>
      </c>
      <c r="F38" t="n">
        <v>0.005000000000000115</v>
      </c>
      <c r="G38" t="n">
        <v>0.0022</v>
      </c>
      <c r="H38" t="n">
        <v>0</v>
      </c>
      <c r="I38" t="n">
        <v>140.953883</v>
      </c>
      <c r="J38" t="n">
        <v>252.737295</v>
      </c>
      <c r="K38" t="n">
        <v>15595.138368</v>
      </c>
      <c r="L38" t="n">
        <v>25661835.790168</v>
      </c>
      <c r="M38" t="n">
        <v>114992570.596754</v>
      </c>
      <c r="N38" t="n">
        <v>118462921.256599</v>
      </c>
      <c r="O38" t="n">
        <v>592314.606283</v>
      </c>
      <c r="P38" t="n">
        <v>142997375.907786</v>
      </c>
      <c r="Q38" t="n">
        <v>142997375.907166</v>
      </c>
      <c r="R38" t="n">
        <v>142997375.907166</v>
      </c>
      <c r="S38" t="n">
        <v>25221.159456</v>
      </c>
      <c r="T38" t="n">
        <v>11273.119926</v>
      </c>
      <c r="U38" t="n">
        <v>142997375.90717</v>
      </c>
      <c r="V38" t="n">
        <v>142997375.90717</v>
      </c>
      <c r="W38" t="n">
        <v>25221.159456</v>
      </c>
      <c r="X38" t="n">
        <v>25221.159456</v>
      </c>
      <c r="Y38" t="n">
        <v>11273.119926</v>
      </c>
      <c r="Z38" t="n">
        <v>11273.119926</v>
      </c>
      <c r="AA38" t="n">
        <v>26556.265048</v>
      </c>
      <c r="AB38" t="n">
        <v>152627302.111988</v>
      </c>
      <c r="AC38" t="n">
        <v>124.233722</v>
      </c>
      <c r="AD38" t="n">
        <v>547.069124</v>
      </c>
    </row>
    <row r="39">
      <c r="A39" t="n">
        <v>35</v>
      </c>
      <c r="B39" t="inlineStr">
        <is>
          <t>Pinnipeds</t>
        </is>
      </c>
      <c r="C39" t="inlineStr">
        <is>
          <t>Regular</t>
        </is>
      </c>
      <c r="D39" t="n">
        <v>4.146384704092291</v>
      </c>
      <c r="E39" t="n">
        <v>0.003046716316858497</v>
      </c>
      <c r="F39" t="n">
        <v>0.679</v>
      </c>
      <c r="G39" t="n">
        <v>0.0046</v>
      </c>
      <c r="H39" t="n">
        <v>0.0002</v>
      </c>
      <c r="I39" t="n">
        <v>140.953883</v>
      </c>
      <c r="J39" t="n">
        <v>1309.957766</v>
      </c>
      <c r="K39" t="n">
        <v>275450.610694</v>
      </c>
      <c r="L39" t="n">
        <v>174871731.554867</v>
      </c>
      <c r="M39" t="n">
        <v>529369.198881</v>
      </c>
      <c r="N39" t="n">
        <v>540110.531527</v>
      </c>
      <c r="O39" t="n">
        <v>366735.050907</v>
      </c>
      <c r="P39" t="n">
        <v>713102.337084</v>
      </c>
      <c r="Q39" t="n">
        <v>713102.337081</v>
      </c>
      <c r="R39" t="n">
        <v>713102.337081</v>
      </c>
      <c r="S39" t="n">
        <v>14980.630695</v>
      </c>
      <c r="T39" t="n">
        <v>6299.897453</v>
      </c>
      <c r="U39" t="n">
        <v>713102.337081</v>
      </c>
      <c r="V39" t="n">
        <v>713102.337081</v>
      </c>
      <c r="W39" t="n">
        <v>14980.630695</v>
      </c>
      <c r="X39" t="n">
        <v>14980.630695</v>
      </c>
      <c r="Y39" t="n">
        <v>6299.897453</v>
      </c>
      <c r="Z39" t="n">
        <v>6299.897453</v>
      </c>
      <c r="AA39" t="n">
        <v>16089.109389</v>
      </c>
      <c r="AB39" t="n">
        <v>754975.060388</v>
      </c>
      <c r="AC39" t="n">
        <v>521.309988</v>
      </c>
      <c r="AD39" t="n">
        <v>1222.744857</v>
      </c>
    </row>
    <row r="40">
      <c r="A40" t="n">
        <v>36</v>
      </c>
      <c r="B40" t="inlineStr">
        <is>
          <t>Other mammals</t>
        </is>
      </c>
      <c r="C40" t="inlineStr">
        <is>
          <t>Regular</t>
        </is>
      </c>
      <c r="D40" t="n">
        <v>3.922805246334676</v>
      </c>
      <c r="E40" t="n">
        <v>0.01064638783269962</v>
      </c>
      <c r="F40" t="n">
        <v>0.06800000000000006</v>
      </c>
      <c r="G40" t="n">
        <v>0.0158</v>
      </c>
      <c r="H40" t="n">
        <v>0.0001</v>
      </c>
      <c r="I40" t="n">
        <v>140.953883</v>
      </c>
      <c r="J40" t="n">
        <v>804.919552</v>
      </c>
      <c r="K40" t="n">
        <v>117743.969859</v>
      </c>
      <c r="L40" t="n">
        <v>272480122.528506</v>
      </c>
      <c r="M40" t="n">
        <v>1874464.07965</v>
      </c>
      <c r="N40" t="n">
        <v>1885163.373911</v>
      </c>
      <c r="O40" t="n">
        <v>128191.109426</v>
      </c>
      <c r="P40" t="n">
        <v>2655425.222791</v>
      </c>
      <c r="Q40" t="n">
        <v>2655425.22278</v>
      </c>
      <c r="R40" t="n">
        <v>2655425.22278</v>
      </c>
      <c r="S40" t="n">
        <v>4066.093194</v>
      </c>
      <c r="T40" t="n">
        <v>1748.991526</v>
      </c>
      <c r="U40" t="n">
        <v>2655425.22278</v>
      </c>
      <c r="V40" t="n">
        <v>2655425.22278</v>
      </c>
      <c r="W40" t="n">
        <v>4066.093194</v>
      </c>
      <c r="X40" t="n">
        <v>4066.093194</v>
      </c>
      <c r="Y40" t="n">
        <v>1748.991526</v>
      </c>
      <c r="Z40" t="n">
        <v>1748.991526</v>
      </c>
      <c r="AA40" t="n">
        <v>4302.546937</v>
      </c>
      <c r="AB40" t="n">
        <v>2858734.731157</v>
      </c>
      <c r="AC40" t="n">
        <v>340.990304</v>
      </c>
      <c r="AD40" t="n">
        <v>868.769579</v>
      </c>
    </row>
    <row r="41">
      <c r="A41" t="n">
        <v>37</v>
      </c>
      <c r="B41" t="inlineStr">
        <is>
          <t>Marine turtles</t>
        </is>
      </c>
      <c r="C41" t="inlineStr">
        <is>
          <t>Regular</t>
        </is>
      </c>
      <c r="D41" t="n">
        <v>2.972461641294619</v>
      </c>
      <c r="E41" t="n">
        <v>0.02857142857142857</v>
      </c>
      <c r="F41" t="n">
        <v>0.5029999999999999</v>
      </c>
      <c r="G41" t="n">
        <v>0.0002</v>
      </c>
      <c r="H41" t="n">
        <v>0.0001</v>
      </c>
      <c r="I41" t="n">
        <v>140.953883</v>
      </c>
      <c r="J41" t="n">
        <v>92.36817600000001</v>
      </c>
      <c r="K41" t="n">
        <v>2692.201195</v>
      </c>
      <c r="L41" t="n">
        <v>529081636.832315</v>
      </c>
      <c r="M41" t="n">
        <v>94248.914883</v>
      </c>
      <c r="N41" t="n">
        <v>92415.442283</v>
      </c>
      <c r="O41" t="n">
        <v>46484.967468</v>
      </c>
      <c r="P41" t="n">
        <v>154693.451843</v>
      </c>
      <c r="Q41" t="n">
        <v>154693.451843</v>
      </c>
      <c r="R41" t="n">
        <v>154693.451843</v>
      </c>
      <c r="S41" t="n">
        <v>919.1551920000001</v>
      </c>
      <c r="T41" t="n">
        <v>375.501358</v>
      </c>
      <c r="U41" t="n">
        <v>154693.451843</v>
      </c>
      <c r="V41" t="n">
        <v>154693.451843</v>
      </c>
      <c r="W41" t="n">
        <v>919.1551920000001</v>
      </c>
      <c r="X41" t="n">
        <v>919.1551920000001</v>
      </c>
      <c r="Y41" t="n">
        <v>375.501358</v>
      </c>
      <c r="Z41" t="n">
        <v>375.501358</v>
      </c>
      <c r="AA41" t="n">
        <v>964.229331</v>
      </c>
      <c r="AB41" t="n">
        <v>171169.874667</v>
      </c>
      <c r="AC41" t="n">
        <v>51.666488</v>
      </c>
      <c r="AD41" t="n">
        <v>627.781107</v>
      </c>
    </row>
    <row r="42">
      <c r="A42" t="n">
        <v>38</v>
      </c>
      <c r="B42" t="inlineStr">
        <is>
          <t>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100</v>
      </c>
      <c r="H42" t="n">
        <v>0</v>
      </c>
      <c r="I42" t="n">
        <v>140.953883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0.981042</v>
      </c>
      <c r="Q42" t="n">
        <v>0.981042</v>
      </c>
      <c r="R42" t="n">
        <v>0.981042</v>
      </c>
      <c r="S42" t="n">
        <v>1.033244</v>
      </c>
      <c r="T42" t="n">
        <v>1.033688</v>
      </c>
      <c r="U42" t="n">
        <v>0.981042</v>
      </c>
      <c r="V42" t="n">
        <v>0.981042</v>
      </c>
      <c r="W42" t="n">
        <v>1.033244</v>
      </c>
      <c r="X42" t="n">
        <v>1.033244</v>
      </c>
      <c r="Y42" t="n">
        <v>1.033688</v>
      </c>
      <c r="Z42" t="n">
        <v>1.033688</v>
      </c>
      <c r="AA42" t="n">
        <v>1.034703</v>
      </c>
      <c r="AB42" t="n">
        <v>0.981042</v>
      </c>
      <c r="AC42" t="n">
        <v>1</v>
      </c>
      <c r="AD42" t="n">
        <v>1</v>
      </c>
    </row>
    <row r="43">
      <c r="A43" t="n">
        <v>39</v>
      </c>
      <c r="B43" t="inlineStr">
        <is>
          <t>diet_import</t>
        </is>
      </c>
      <c r="C43" t="inlineStr">
        <is>
          <t>Import</t>
        </is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140.953883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Y43" t="n">
        <v>1</v>
      </c>
      <c r="AA43" t="n">
        <v>1</v>
      </c>
      <c r="AB43" t="n">
        <v>1</v>
      </c>
      <c r="AC43" t="n">
        <v>1</v>
      </c>
      <c r="AD4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762730127.2175671</v>
      </c>
      <c r="G52" t="n">
        <v>762730127.2175671</v>
      </c>
      <c r="H52" t="n">
        <v>762730127.2175671</v>
      </c>
      <c r="I52" t="n">
        <v>762730127.2175671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786301903.8927914</v>
      </c>
      <c r="G53" t="n">
        <v>786301903.8927914</v>
      </c>
      <c r="H53" t="n">
        <v>786301903.8927914</v>
      </c>
      <c r="I53" t="n">
        <v>786301903.8927914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805465267.1698498</v>
      </c>
      <c r="G54" t="n">
        <v>805465267.1698498</v>
      </c>
      <c r="H54" t="n">
        <v>805465267.1698498</v>
      </c>
      <c r="I54" t="n">
        <v>805465267.1698498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821821864.7807221</v>
      </c>
      <c r="G55" t="n">
        <v>821821864.7807221</v>
      </c>
      <c r="H55" t="n">
        <v>821821864.7807221</v>
      </c>
      <c r="I55" t="n">
        <v>821821864.7807221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818801505.684653</v>
      </c>
      <c r="G56" t="n">
        <v>818801505.684653</v>
      </c>
      <c r="H56" t="n">
        <v>818801505.684653</v>
      </c>
      <c r="I56" t="n">
        <v>818801505.684653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849739848.7979212</v>
      </c>
      <c r="C57" t="n">
        <v>602126216.880752</v>
      </c>
      <c r="D57" t="n">
        <v>1072193836.83449</v>
      </c>
      <c r="E57" t="n">
        <v>908560250.9895586</v>
      </c>
      <c r="F57" t="n">
        <v>713897257.0057914</v>
      </c>
      <c r="G57" t="n">
        <v>849739848.7979212</v>
      </c>
      <c r="H57" t="n">
        <v>602126216.880752</v>
      </c>
      <c r="I57" t="n">
        <v>1072193836.83449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848819914.5030699</v>
      </c>
      <c r="C58" t="n">
        <v>611990671.2523291</v>
      </c>
      <c r="D58" t="n">
        <v>1052419547.592666</v>
      </c>
      <c r="E58" t="n">
        <v>926881086.9577328</v>
      </c>
      <c r="F58" t="n">
        <v>679997884.2560726</v>
      </c>
      <c r="G58" t="n">
        <v>848819914.5030699</v>
      </c>
      <c r="H58" t="n">
        <v>611990671.2523291</v>
      </c>
      <c r="I58" t="n">
        <v>1052419547.592666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825883246.2400607</v>
      </c>
      <c r="C59" t="n">
        <v>600333261.0875763</v>
      </c>
      <c r="D59" t="n">
        <v>1043110359.099023</v>
      </c>
      <c r="E59" t="n">
        <v>877240267.425997</v>
      </c>
      <c r="F59" t="n">
        <v>661178090.8075349</v>
      </c>
      <c r="G59" t="n">
        <v>825883246.2400607</v>
      </c>
      <c r="H59" t="n">
        <v>600333261.0875763</v>
      </c>
      <c r="I59" t="n">
        <v>1043110359.099023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829793479.5800862</v>
      </c>
      <c r="C60" t="n">
        <v>587087364.2330979</v>
      </c>
      <c r="D60" t="n">
        <v>1040140308.607266</v>
      </c>
      <c r="E60" t="n">
        <v>890211165.2820171</v>
      </c>
      <c r="F60" t="n">
        <v>669290165.2178687</v>
      </c>
      <c r="G60" t="n">
        <v>829793479.5800862</v>
      </c>
      <c r="H60" t="n">
        <v>587087364.2330979</v>
      </c>
      <c r="I60" t="n">
        <v>1040140308.607266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842552687.5912061</v>
      </c>
      <c r="C61" t="n">
        <v>614211881.1163784</v>
      </c>
      <c r="D61" t="n">
        <v>1068275514.869114</v>
      </c>
      <c r="E61" t="n">
        <v>879444108.5777674</v>
      </c>
      <c r="F61" t="n">
        <v>670197208.8179662</v>
      </c>
      <c r="G61" t="n">
        <v>842552687.5912061</v>
      </c>
      <c r="H61" t="n">
        <v>614211881.1163784</v>
      </c>
      <c r="I61" t="n">
        <v>1068275514.869114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834805142.49043</v>
      </c>
      <c r="C62" t="n">
        <v>612210430.9113274</v>
      </c>
      <c r="D62" t="n">
        <v>1065952583.940214</v>
      </c>
      <c r="E62" t="n">
        <v>872491288.3934709</v>
      </c>
      <c r="F62" t="n">
        <v>663474650.6633369</v>
      </c>
      <c r="G62" t="n">
        <v>834805142.49043</v>
      </c>
      <c r="H62" t="n">
        <v>612210430.9113274</v>
      </c>
      <c r="I62" t="n">
        <v>1065952583.940214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836169340.6570677</v>
      </c>
      <c r="C63" t="n">
        <v>604564979.9689518</v>
      </c>
      <c r="D63" t="n">
        <v>1056444092.457385</v>
      </c>
      <c r="E63" t="n">
        <v>890036249.1410153</v>
      </c>
      <c r="F63" t="n">
        <v>640289499.3553935</v>
      </c>
      <c r="G63" t="n">
        <v>836169340.6570677</v>
      </c>
      <c r="H63" t="n">
        <v>604564979.9689518</v>
      </c>
      <c r="I63" t="n">
        <v>1056444092.457385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847680566.730783</v>
      </c>
      <c r="C64" t="n">
        <v>591565908.0278044</v>
      </c>
      <c r="D64" t="n">
        <v>1088001908.987172</v>
      </c>
      <c r="E64" t="n">
        <v>877932963.2465122</v>
      </c>
      <c r="F64" t="n">
        <v>616246070.4522116</v>
      </c>
      <c r="G64" t="n">
        <v>847680566.730783</v>
      </c>
      <c r="H64" t="n">
        <v>591565908.0278044</v>
      </c>
      <c r="I64" t="n">
        <v>1088001908.987172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819705575.5841926</v>
      </c>
      <c r="C65" t="n">
        <v>625928312.1204942</v>
      </c>
      <c r="D65" t="n">
        <v>1051998579.722854</v>
      </c>
      <c r="E65" t="n">
        <v>876872043.2534138</v>
      </c>
      <c r="F65" t="n">
        <v>642196302.0848556</v>
      </c>
      <c r="G65" t="n">
        <v>819705575.5841926</v>
      </c>
      <c r="H65" t="n">
        <v>625928312.1204942</v>
      </c>
      <c r="I65" t="n">
        <v>1051998579.722854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794581376.4256303</v>
      </c>
      <c r="C66" t="n">
        <v>565137229.3116368</v>
      </c>
      <c r="D66" t="n">
        <v>1021142728.900364</v>
      </c>
      <c r="E66" t="n">
        <v>850481470.0011201</v>
      </c>
      <c r="F66" t="n">
        <v>626219369.3954555</v>
      </c>
      <c r="G66" t="n">
        <v>794581376.4256303</v>
      </c>
      <c r="H66" t="n">
        <v>565137229.3116368</v>
      </c>
      <c r="I66" t="n">
        <v>1021142728.900364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802058080.4486796</v>
      </c>
      <c r="C67" t="n">
        <v>589453379.2204536</v>
      </c>
      <c r="D67" t="n">
        <v>1053680148.164961</v>
      </c>
      <c r="E67" t="n">
        <v>856279698.708218</v>
      </c>
      <c r="F67" t="n">
        <v>616971484.8724502</v>
      </c>
      <c r="G67" t="n">
        <v>802058080.4486796</v>
      </c>
      <c r="H67" t="n">
        <v>589453379.2204536</v>
      </c>
      <c r="I67" t="n">
        <v>1053680148.164961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804866220.6545502</v>
      </c>
      <c r="C68" t="n">
        <v>585276783.5130209</v>
      </c>
      <c r="D68" t="n">
        <v>1013752195.396637</v>
      </c>
      <c r="E68" t="n">
        <v>861871636.8734862</v>
      </c>
      <c r="F68" t="n">
        <v>653632357.2928101</v>
      </c>
      <c r="G68" t="n">
        <v>804866220.6545502</v>
      </c>
      <c r="H68" t="n">
        <v>585276783.5130209</v>
      </c>
      <c r="I68" t="n">
        <v>1013752195.396637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820471171.8437567</v>
      </c>
      <c r="C69" t="n">
        <v>570655990.5773482</v>
      </c>
      <c r="D69" t="n">
        <v>1023190416.243628</v>
      </c>
      <c r="E69" t="n">
        <v>863160750.7088088</v>
      </c>
      <c r="F69" t="n">
        <v>643540830.4155337</v>
      </c>
      <c r="G69" t="n">
        <v>820471171.8437567</v>
      </c>
      <c r="H69" t="n">
        <v>570655990.5773482</v>
      </c>
      <c r="I69" t="n">
        <v>1023190416.243628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849720471.7117414</v>
      </c>
      <c r="C70" t="n">
        <v>599709709.0542985</v>
      </c>
      <c r="D70" t="n">
        <v>1097364857.523421</v>
      </c>
      <c r="E70" t="n">
        <v>877177092.2867509</v>
      </c>
      <c r="F70" t="n">
        <v>634401604.6203098</v>
      </c>
      <c r="G70" t="n">
        <v>849720471.7117414</v>
      </c>
      <c r="H70" t="n">
        <v>599709709.0542985</v>
      </c>
      <c r="I70" t="n">
        <v>1097364857.523421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849347855.4120202</v>
      </c>
      <c r="C71" t="n">
        <v>596910979.8169287</v>
      </c>
      <c r="D71" t="n">
        <v>1079548623.702166</v>
      </c>
      <c r="E71" t="n">
        <v>852872649.3494724</v>
      </c>
      <c r="F71" t="n">
        <v>635152486.9900841</v>
      </c>
      <c r="G71" t="n">
        <v>849347855.4120202</v>
      </c>
      <c r="H71" t="n">
        <v>596910979.8169287</v>
      </c>
      <c r="I71" t="n">
        <v>1079548623.702166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836945749.6110218</v>
      </c>
      <c r="C72" t="n">
        <v>572629686.4373745</v>
      </c>
      <c r="D72" t="n">
        <v>1023969808.102137</v>
      </c>
      <c r="E72" t="n">
        <v>849654682.6907592</v>
      </c>
      <c r="F72" t="n">
        <v>617382742.6447375</v>
      </c>
      <c r="G72" t="n">
        <v>836945749.6110218</v>
      </c>
      <c r="H72" t="n">
        <v>572629686.4373745</v>
      </c>
      <c r="I72" t="n">
        <v>1023969808.102137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839939773.3415867</v>
      </c>
      <c r="C73" t="n">
        <v>569536167.7037263</v>
      </c>
      <c r="D73" t="n">
        <v>1045081739.728972</v>
      </c>
      <c r="E73" t="n">
        <v>865988503.4074858</v>
      </c>
      <c r="F73" t="n">
        <v>587423966.1984771</v>
      </c>
      <c r="G73" t="n">
        <v>839939773.3415867</v>
      </c>
      <c r="H73" t="n">
        <v>569536167.7037263</v>
      </c>
      <c r="I73" t="n">
        <v>1045081739.728972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2026-09-11T15:49:03Z</dcterms:created>
  <dcterms:modified xsi:type="dcterms:W3CDTF">2026-09-11T15:49:05Z</dcterms:modified>
</cp:coreProperties>
</file>