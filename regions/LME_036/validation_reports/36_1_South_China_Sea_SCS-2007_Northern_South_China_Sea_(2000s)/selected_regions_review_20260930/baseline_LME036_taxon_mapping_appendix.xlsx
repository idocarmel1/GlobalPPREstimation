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Types>
</file>

<file path=_rels/.rels><Relationships xmlns="http://schemas.openxmlformats.org/package/2006/relationships"><Relationship Type="http://schemas.openxmlformats.org/officeDocument/2006/relationships/officeDocument" Target="/xl/workbook.xml" Id="R3739fe783e224218"/></Relationships>
</file>

<file path=xl/workbook.xml><?xml version="1.0" encoding="utf-8"?>
<x:workbook xmlns:x="http://schemas.openxmlformats.org/spreadsheetml/2006/main">
  <x:sheets>
    <x:sheet xmlns:r="http://schemas.openxmlformats.org/officeDocument/2006/relationships" name="Taxon appendix" sheetId="1" r:id="Rc01d1aefb4ad4054"/>
    <x:sheet xmlns:r="http://schemas.openxmlformats.org/officeDocument/2006/relationships" name="Coverage" sheetId="2" r:id="Rdd188897289b4a58"/>
    <x:sheet xmlns:r="http://schemas.openxmlformats.org/officeDocument/2006/relationships" name="Allocation evidence" sheetId="3" r:id="Rd24402d44ba44d28"/>
    <x:sheet xmlns:r="http://schemas.openxmlformats.org/officeDocument/2006/relationships" name="Sources" sheetId="4" r:id="R15ed6d7d5769450e"/>
  </x:sheets>
</x:workbook>
</file>

<file path=xl/sharedStrings.xml><?xml version="1.0" encoding="utf-8"?>
<x:sst xmlns:x="http://schemas.openxmlformats.org/spreadsheetml/2006/main">
  <x:si>
    <x:t xml:space="preserve">South China Sea taxon mapping appendix</x:t>
  </x:si>
  <x:si>
    <x:t xml:space="preserve">2019 landings · 374 exact catch labels · Independent simple trophic chain · TE 0.1 · Catch in t; PPR in t C</x:t>
  </x:si>
  <x:si>
    <x:t xml:space="preserve">Sorted by unrounded simple-chain PPR, descending; unknown last. ? means unavailable. Very low flags broad-category or closest-analogue assumptions.</x:t>
  </x:si>
  <x:si>
    <x:t xml:space="preserve">Taxon name</x:t>
  </x:si>
  <x:si>
    <x:t xml:space="preserve">TL</x:t>
  </x:si>
  <x:si>
    <x:t xml:space="preserve">Catch (t)</x:t>
  </x:si>
  <x:si>
    <x:t xml:space="preserve">Simple-chain PPR (t C)</x:t>
  </x:si>
  <x:si>
    <x:t xml:space="preserve">Mapped group names and weights</x:t>
  </x:si>
  <x:si>
    <x:t xml:space="preserve">Confidence level</x:t>
  </x:si>
  <x:si>
    <x:t xml:space="preserve">Reason</x:t>
  </x:si>
  <x:si>
    <x:t xml:space="preserve">Mapping and coverage</x:t>
  </x:si>
  <x:si>
    <x:t xml:space="preserve">2019 landings; all sources; all taxa and groups; unidentified treatment uses each method’s own coefficients.</x:t>
  </x:si>
  <x:si>
    <x:t xml:space="preserve">Metric</x:t>
  </x:si>
  <x:si>
    <x:t xml:space="preserve">Value</x:t>
  </x:si>
  <x:si>
    <x:t xml:space="preserve">Catch taxa</x:t>
  </x:si>
  <x:si>
    <x:t xml:space="preserve">Landings (t)</x:t>
  </x:si>
  <x:si>
    <x:t xml:space="preserve">Missing-coefficient taxa (0 t landings)</x:t>
  </x:si>
  <x:si>
    <x:t xml:space="preserve">Overall confidence</x:t>
  </x:si>
  <x:si>
    <x:t xml:space="preserve">Taxa</x:t>
  </x:si>
  <x:si>
    <x:t xml:space="preserve">Catch percentage</x:t>
  </x:si>
  <x:si>
    <x:t xml:space="preserve">PPR percentage</x:t>
  </x:si>
  <x:si>
    <x:t xml:space="preserve">Allocation values and assumptions</x:t>
  </x:si>
  <x:si>
    <x:t xml:space="preserve">All 177 taxa with recorded allocation assumptions. Model catch is the actual field used; biomass is retained for inspection. Values use the model’s areal units; proportions are dimensionless.</x:t>
  </x:si>
  <x:si>
    <x:t xml:space="preserve">Candidate sets, source values and membership uncertainty are described in the regional Mapping review and linked mapping audit. Single-group assumptions use weight 1.</x:t>
  </x:si>
  <x:si>
    <x:t xml:space="preserve">Taxon</x:t>
  </x:si>
  <x:si>
    <x:t xml:space="preserve">Model group</x:t>
  </x:si>
  <x:si>
    <x:t xml:space="preserve">Group ID</x:t>
  </x:si>
  <x:si>
    <x:t xml:space="preserve">Model catch</x:t>
  </x:si>
  <x:si>
    <x:t xml:space="preserve">Model biomass</x:t>
  </x:si>
  <x:si>
    <x:t xml:space="preserve">Allocation field</x:t>
  </x:si>
  <x:si>
    <x:t xml:space="preserve">Eligible total</x:t>
  </x:si>
  <x:si>
    <x:t xml:space="preserve">Weight</x:t>
  </x:si>
  <x:si>
    <x:t xml:space="preserve">Weight confidence</x:t>
  </x:si>
  <x:si>
    <x:t xml:space="preserve">Candidate basis and assumptions</x:t>
  </x:si>
  <x:si>
    <x:t xml:space="preserve">Acanthocybium solandri</x:t>
  </x:si>
  <x:si>
    <x:t xml:space="preserve">Juvenile large pelagic fish</x:t>
  </x:si>
  <x:si>
    <x:t xml:space="preserve">Medium</x:t>
  </x:si>
  <x:si>
    <x:t xml:space="preserve">Pelagic fish (&gt; 30 cm)</x:t>
  </x:si>
  <x:si>
    <x:t xml:space="preserve">Acanthopagrus schlegelii</x:t>
  </x:si>
  <x:si>
    <x:t xml:space="preserve">Juvenile demersal fish (&gt; 30 cm)</x:t>
  </x:si>
  <x:si>
    <x:t xml:space="preserve">Adult demersal fish (&gt; 30 cm)</x:t>
  </x:si>
  <x:si>
    <x:t xml:space="preserve">Alepes</x:t>
  </x:si>
  <x:si>
    <x:t xml:space="preserve">Aluterus</x:t>
  </x:si>
  <x:si>
    <x:t xml:space="preserve">Anguilliformes</x:t>
  </x:si>
  <x:si>
    <x:t xml:space="preserve">Ariidae</x:t>
  </x:si>
  <x:si>
    <x:t xml:space="preserve">Atrobucca nibe</x:t>
  </x:si>
  <x:si>
    <x:t xml:space="preserve">Juvenile large croakers</x:t>
  </x:si>
  <x:si>
    <x:t xml:space="preserve">Croakers (&gt; 30 cm)</x:t>
  </x:si>
  <x:si>
    <x:t xml:space="preserve">Auxis</x:t>
  </x:si>
  <x:si>
    <x:t xml:space="preserve">Auxis rochei</x:t>
  </x:si>
  <x:si>
    <x:t xml:space="preserve">Auxis thazard</x:t>
  </x:si>
  <x:si>
    <x:t xml:space="preserve">Balistidae</x:t>
  </x:si>
  <x:si>
    <x:t xml:space="preserve">Batoidea</x:t>
  </x:si>
  <x:si>
    <x:t xml:space="preserve">Demersal sharks and rays</x:t>
  </x:si>
  <x:si>
    <x:t xml:space="preserve">Pelagic sharks and rays</x:t>
  </x:si>
  <x:si>
    <x:t xml:space="preserve">Bothidae</x:t>
  </x:si>
  <x:si>
    <x:t xml:space="preserve">Demesral fish (≤ 30 cm)</x:t>
  </x:si>
  <x:si>
    <x:t xml:space="preserve">Bramidae</x:t>
  </x:si>
  <x:si>
    <x:t xml:space="preserve">Caesio</x:t>
  </x:si>
  <x:si>
    <x:t xml:space="preserve">Caesionidae</x:t>
  </x:si>
  <x:si>
    <x:t xml:space="preserve">Carangidae</x:t>
  </x:si>
  <x:si>
    <x:t xml:space="preserve">Pelagic fish (≤ 30 cm)</x:t>
  </x:si>
  <x:si>
    <x:t xml:space="preserve">Carangoides</x:t>
  </x:si>
  <x:si>
    <x:t xml:space="preserve">Caranx</x:t>
  </x:si>
  <x:si>
    <x:t xml:space="preserve">Caranx ignobilis</x:t>
  </x:si>
  <x:si>
    <x:t xml:space="preserve">Caranx sexfasciatus</x:t>
  </x:si>
  <x:si>
    <x:t xml:space="preserve">Carcharhinidae</x:t>
  </x:si>
  <x:si>
    <x:t xml:space="preserve">Carcharhinus</x:t>
  </x:si>
  <x:si>
    <x:t xml:space="preserve">Cheilopogon unicolor</x:t>
  </x:si>
  <x:si>
    <x:t xml:space="preserve">Chelidonichthys kumu</x:t>
  </x:si>
  <x:si>
    <x:t xml:space="preserve">Chirocentrus</x:t>
  </x:si>
  <x:si>
    <x:t xml:space="preserve">Chondrichthyes</x:t>
  </x:si>
  <x:si>
    <x:t xml:space="preserve">Clupeidae</x:t>
  </x:si>
  <x:si>
    <x:t xml:space="preserve">Clupeiformes</x:t>
  </x:si>
  <x:si>
    <x:t xml:space="preserve">Cololabis saira</x:t>
  </x:si>
  <x:si>
    <x:t xml:space="preserve">Conger myriaster</x:t>
  </x:si>
  <x:si>
    <x:t xml:space="preserve">Congridae</x:t>
  </x:si>
  <x:si>
    <x:t xml:space="preserve">Coryphaena hippurus</x:t>
  </x:si>
  <x:si>
    <x:t xml:space="preserve">Cynoglossus</x:t>
  </x:si>
  <x:si>
    <x:t xml:space="preserve">Decapoda</x:t>
  </x:si>
  <x:si>
    <x:t xml:space="preserve">Zooplankton</x:t>
  </x:si>
  <x:si>
    <x:t xml:space="preserve">Benthic crustaceans</x:t>
  </x:si>
  <x:si>
    <x:t xml:space="preserve">Shrimps</x:t>
  </x:si>
  <x:si>
    <x:t xml:space="preserve">Crabs</x:t>
  </x:si>
  <x:si>
    <x:t xml:space="preserve">Decapterus</x:t>
  </x:si>
  <x:si>
    <x:t xml:space="preserve">Decapterus macrosoma</x:t>
  </x:si>
  <x:si>
    <x:t xml:space="preserve">Decapterus russelli</x:t>
  </x:si>
  <x:si>
    <x:t xml:space="preserve">Dendrobranchiata</x:t>
  </x:si>
  <x:si>
    <x:t xml:space="preserve">Drepane punctata</x:t>
  </x:si>
  <x:si>
    <x:t xml:space="preserve">Elagatis bipinnulata</x:t>
  </x:si>
  <x:si>
    <x:t xml:space="preserve">Elasmobranchii</x:t>
  </x:si>
  <x:si>
    <x:t xml:space="preserve">Eleutheronema tetradactylum</x:t>
  </x:si>
  <x:si>
    <x:t xml:space="preserve">Elops machnata</x:t>
  </x:si>
  <x:si>
    <x:t xml:space="preserve">Ephippidae</x:t>
  </x:si>
  <x:si>
    <x:t xml:space="preserve">Euthynnus affinis</x:t>
  </x:si>
  <x:si>
    <x:t xml:space="preserve">Evynnis tumifrons</x:t>
  </x:si>
  <x:si>
    <x:t xml:space="preserve">Gadiformes</x:t>
  </x:si>
  <x:si>
    <x:t xml:space="preserve">Benthopelagic fish</x:t>
  </x:si>
  <x:si>
    <x:t xml:space="preserve">No split</x:t>
  </x:si>
  <x:si>
    <x:t xml:space="preserve">High</x:t>
  </x:si>
  <x:si>
    <x:t xml:space="preserve">Gnathanodon speciosus</x:t>
  </x:si>
  <x:si>
    <x:t xml:space="preserve">Gymnocranius</x:t>
  </x:si>
  <x:si>
    <x:t xml:space="preserve">Gymnosarda unicolor</x:t>
  </x:si>
  <x:si>
    <x:t xml:space="preserve">Haemulidae</x:t>
  </x:si>
  <x:si>
    <x:t xml:space="preserve">Hemiramphidae</x:t>
  </x:si>
  <x:si>
    <x:t xml:space="preserve">Hemiramphus</x:t>
  </x:si>
  <x:si>
    <x:t xml:space="preserve">Hyporhamphus</x:t>
  </x:si>
  <x:si>
    <x:t xml:space="preserve">Hyporhamphus sajori</x:t>
  </x:si>
  <x:si>
    <x:t xml:space="preserve">Ilisha elongata</x:t>
  </x:si>
  <x:si>
    <x:t xml:space="preserve">Istiompax indica</x:t>
  </x:si>
  <x:si>
    <x:t xml:space="preserve">Istiophoridae</x:t>
  </x:si>
  <x:si>
    <x:t xml:space="preserve">Istiophorus</x:t>
  </x:si>
  <x:si>
    <x:t xml:space="preserve">Istiophorus platypterus</x:t>
  </x:si>
  <x:si>
    <x:t xml:space="preserve">Kajikia audax</x:t>
  </x:si>
  <x:si>
    <x:t xml:space="preserve">Katsuwonus pelamis</x:t>
  </x:si>
  <x:si>
    <x:t xml:space="preserve">Labridae</x:t>
  </x:si>
  <x:si>
    <x:t xml:space="preserve">Lactarius lactarius</x:t>
  </x:si>
  <x:si>
    <x:t xml:space="preserve">Lampris guttatus</x:t>
  </x:si>
  <x:si>
    <x:t xml:space="preserve">Larimichthys crocea</x:t>
  </x:si>
  <x:si>
    <x:t xml:space="preserve">Larimichthys polyactis</x:t>
  </x:si>
  <x:si>
    <x:t xml:space="preserve">Lateolabrax japonicus</x:t>
  </x:si>
  <x:si>
    <x:t xml:space="preserve">Lates calcarifer</x:t>
  </x:si>
  <x:si>
    <x:t xml:space="preserve">Latidae</x:t>
  </x:si>
  <x:si>
    <x:t xml:space="preserve">Lepidocybium flavobrunneum</x:t>
  </x:si>
  <x:si>
    <x:t xml:space="preserve">Lethrinidae</x:t>
  </x:si>
  <x:si>
    <x:t xml:space="preserve">Lethrinus</x:t>
  </x:si>
  <x:si>
    <x:t xml:space="preserve">Lethrinus miniatus</x:t>
  </x:si>
  <x:si>
    <x:t xml:space="preserve">Makaira</x:t>
  </x:si>
  <x:si>
    <x:t xml:space="preserve">Makaira mazara</x:t>
  </x:si>
  <x:si>
    <x:t xml:space="preserve">Malacostraca</x:t>
  </x:si>
  <x:si>
    <x:t xml:space="preserve">Marine finfishes not identified</x:t>
  </x:si>
  <x:si>
    <x:t xml:space="preserve">Threadfin bream (nemipterids)</x:t>
  </x:si>
  <x:si>
    <x:t xml:space="preserve">Bigeyes (priacanthids)</x:t>
  </x:si>
  <x:si>
    <x:t xml:space="preserve">Lizard fish (synodontids)</x:t>
  </x:si>
  <x:si>
    <x:t xml:space="preserve">Juvenile Hairtail (trichiurids)</x:t>
  </x:si>
  <x:si>
    <x:t xml:space="preserve">Adult hairtail (trichiurids)</x:t>
  </x:si>
  <x:si>
    <x:t xml:space="preserve">Pomfret (stromateids)</x:t>
  </x:si>
  <x:si>
    <x:t xml:space="preserve">Snappers</x:t>
  </x:si>
  <x:si>
    <x:t xml:space="preserve">Adult groupers</x:t>
  </x:si>
  <x:si>
    <x:t xml:space="preserve">Croakers (≤ 30 cm)</x:t>
  </x:si>
  <x:si>
    <x:t xml:space="preserve">Melon seed</x:t>
  </x:si>
  <x:si>
    <x:t xml:space="preserve">Marine fishes not identified</x:t>
  </x:si>
  <x:si>
    <x:t xml:space="preserve">Marine groundfishes not identified</x:t>
  </x:si>
  <x:si>
    <x:t xml:space="preserve">Marine pelagic fishes not identified</x:t>
  </x:si>
  <x:si>
    <x:t xml:space="preserve">Megalaspis cordyla</x:t>
  </x:si>
  <x:si>
    <x:t xml:space="preserve">Megalops cyprinoides</x:t>
  </x:si>
  <x:si>
    <x:t xml:space="preserve">Miichthys miiuy</x:t>
  </x:si>
  <x:si>
    <x:t xml:space="preserve">Miscellaneous aquatic invertebrates</x:t>
  </x:si>
  <x:si>
    <x:t xml:space="preserve">Polychaetes</x:t>
  </x:si>
  <x:si>
    <x:t xml:space="preserve">Echinoderms</x:t>
  </x:si>
  <x:si>
    <x:t xml:space="preserve">Non-ceph molluscs</x:t>
  </x:si>
  <x:si>
    <x:t xml:space="preserve">Sessile/other invertebrates</x:t>
  </x:si>
  <x:si>
    <x:t xml:space="preserve">Cephalopods</x:t>
  </x:si>
  <x:si>
    <x:t xml:space="preserve">Miscellaneous marine crustaceans</x:t>
  </x:si>
  <x:si>
    <x:t xml:space="preserve">Mola mola</x:t>
  </x:si>
  <x:si>
    <x:t xml:space="preserve">Mollusca</x:t>
  </x:si>
  <x:si>
    <x:t xml:space="preserve">Monacanthidae</x:t>
  </x:si>
  <x:si>
    <x:t xml:space="preserve">Mugil</x:t>
  </x:si>
  <x:si>
    <x:t xml:space="preserve">Mugilidae</x:t>
  </x:si>
  <x:si>
    <x:t xml:space="preserve">Mullidae</x:t>
  </x:si>
  <x:si>
    <x:t xml:space="preserve">Muraenesocidae</x:t>
  </x:si>
  <x:si>
    <x:t xml:space="preserve">Muraenesox</x:t>
  </x:si>
  <x:si>
    <x:t xml:space="preserve">Muraenesox cinereus</x:t>
  </x:si>
  <x:si>
    <x:t xml:space="preserve">Muraenidae</x:t>
  </x:si>
  <x:si>
    <x:t xml:space="preserve">Netuma thalassina</x:t>
  </x:si>
  <x:si>
    <x:t xml:space="preserve">Nibea albiflora</x:t>
  </x:si>
  <x:si>
    <x:t xml:space="preserve">Nibea mitsukurii</x:t>
  </x:si>
  <x:si>
    <x:t xml:space="preserve">Pagrus auratus</x:t>
  </x:si>
  <x:si>
    <x:t xml:space="preserve">Pagrus major</x:t>
  </x:si>
  <x:si>
    <x:t xml:space="preserve">Paralichthyidae</x:t>
  </x:si>
  <x:si>
    <x:t xml:space="preserve">Paralichthys olivaceus</x:t>
  </x:si>
  <x:si>
    <x:t xml:space="preserve">Parupeneus barberinus</x:t>
  </x:si>
  <x:si>
    <x:t xml:space="preserve">Perciformes</x:t>
  </x:si>
  <x:si>
    <x:t xml:space="preserve">Planiliza haematocheilus</x:t>
  </x:si>
  <x:si>
    <x:t xml:space="preserve">Platycaranx malabaricus</x:t>
  </x:si>
  <x:si>
    <x:t xml:space="preserve">Platycaranx talamparoides</x:t>
  </x:si>
  <x:si>
    <x:t xml:space="preserve">Platycephalidae</x:t>
  </x:si>
  <x:si>
    <x:t xml:space="preserve">Platycephalus indicus</x:t>
  </x:si>
  <x:si>
    <x:t xml:space="preserve">Plectorhinchus</x:t>
  </x:si>
  <x:si>
    <x:t xml:space="preserve">Pleuronectiformes</x:t>
  </x:si>
  <x:si>
    <x:t xml:space="preserve">Plotosidae</x:t>
  </x:si>
  <x:si>
    <x:t xml:space="preserve">Plotosus</x:t>
  </x:si>
  <x:si>
    <x:t xml:space="preserve">Polydactylus sexfilis</x:t>
  </x:si>
  <x:si>
    <x:t xml:space="preserve">Pomadasys</x:t>
  </x:si>
  <x:si>
    <x:t xml:space="preserve">Pomadasys argenteus</x:t>
  </x:si>
  <x:si>
    <x:t xml:space="preserve">Pomatomus saltatrix</x:t>
  </x:si>
  <x:si>
    <x:t xml:space="preserve">Psettodes erumei</x:t>
  </x:si>
  <x:si>
    <x:t xml:space="preserve">Psettodidae</x:t>
  </x:si>
  <x:si>
    <x:t xml:space="preserve">Rachycentridae</x:t>
  </x:si>
  <x:si>
    <x:t xml:space="preserve">Rachycentron canadum</x:t>
  </x:si>
  <x:si>
    <x:t xml:space="preserve">Rastrelliger</x:t>
  </x:si>
  <x:si>
    <x:t xml:space="preserve">Rastrelliger brachysoma</x:t>
  </x:si>
  <x:si>
    <x:t xml:space="preserve">Rastrelliger kanagurta</x:t>
  </x:si>
  <x:si>
    <x:t xml:space="preserve">Ruvettus pretiosus</x:t>
  </x:si>
  <x:si>
    <x:t xml:space="preserve">Sardinops sagax</x:t>
  </x:si>
  <x:si>
    <x:t xml:space="preserve">Scaridae</x:t>
  </x:si>
  <x:si>
    <x:t xml:space="preserve">Scarus</x:t>
  </x:si>
  <x:si>
    <x:t xml:space="preserve">Scatophagus</x:t>
  </x:si>
  <x:si>
    <x:t xml:space="preserve">Scatophagus argus</x:t>
  </x:si>
  <x:si>
    <x:t xml:space="preserve">Sciaenidae</x:t>
  </x:si>
  <x:si>
    <x:t xml:space="preserve">Scomber</x:t>
  </x:si>
  <x:si>
    <x:t xml:space="preserve">Scomber australasicus</x:t>
  </x:si>
  <x:si>
    <x:t xml:space="preserve">Scomber japonicus</x:t>
  </x:si>
  <x:si>
    <x:t xml:space="preserve">Scomberoides</x:t>
  </x:si>
  <x:si>
    <x:t xml:space="preserve">Scomberomorus</x:t>
  </x:si>
  <x:si>
    <x:t xml:space="preserve">Scomberomorus commerson</x:t>
  </x:si>
  <x:si>
    <x:t xml:space="preserve">Scomberomorus guttatus</x:t>
  </x:si>
  <x:si>
    <x:t xml:space="preserve">Scomberomorus niphonius</x:t>
  </x:si>
  <x:si>
    <x:t xml:space="preserve">Scombridae</x:t>
  </x:si>
  <x:si>
    <x:t xml:space="preserve">Scombroidei</x:t>
  </x:si>
  <x:si>
    <x:t xml:space="preserve">Scorpaenidae</x:t>
  </x:si>
  <x:si>
    <x:t xml:space="preserve">Scyris indica</x:t>
  </x:si>
  <x:si>
    <x:t xml:space="preserve">Selar crumenophthalmus</x:t>
  </x:si>
  <x:si>
    <x:t xml:space="preserve">Sergestidae</x:t>
  </x:si>
  <x:si>
    <x:t xml:space="preserve">Seriola</x:t>
  </x:si>
  <x:si>
    <x:t xml:space="preserve">Seriola dumerili</x:t>
  </x:si>
  <x:si>
    <x:t xml:space="preserve">Seriolina nigrofasciata</x:t>
  </x:si>
  <x:si>
    <x:t xml:space="preserve">Siganidae</x:t>
  </x:si>
  <x:si>
    <x:t xml:space="preserve">Siganus</x:t>
  </x:si>
  <x:si>
    <x:t xml:space="preserve">Sillaginidae</x:t>
  </x:si>
  <x:si>
    <x:t xml:space="preserve">Sillago</x:t>
  </x:si>
  <x:si>
    <x:t xml:space="preserve">Sillago sihama</x:t>
  </x:si>
  <x:si>
    <x:t xml:space="preserve">Sphyraena</x:t>
  </x:si>
  <x:si>
    <x:t xml:space="preserve">Sphyraena barracuda</x:t>
  </x:si>
  <x:si>
    <x:t xml:space="preserve">Sphyraena jello</x:t>
  </x:si>
  <x:si>
    <x:t xml:space="preserve">Sphyraena obtusata</x:t>
  </x:si>
  <x:si>
    <x:t xml:space="preserve">Sphyraenidae</x:t>
  </x:si>
  <x:si>
    <x:t xml:space="preserve">Tenualosa toli</x:t>
  </x:si>
  <x:si>
    <x:t xml:space="preserve">Terapon</x:t>
  </x:si>
  <x:si>
    <x:t xml:space="preserve">Terapontidae</x:t>
  </x:si>
  <x:si>
    <x:t xml:space="preserve">Tetraodontidae</x:t>
  </x:si>
  <x:si>
    <x:t xml:space="preserve">Tetrapturus angustirostris</x:t>
  </x:si>
  <x:si>
    <x:t xml:space="preserve">Thunnus</x:t>
  </x:si>
  <x:si>
    <x:t xml:space="preserve">Thunnus alalunga</x:t>
  </x:si>
  <x:si>
    <x:t xml:space="preserve">Thunnus albacares</x:t>
  </x:si>
  <x:si>
    <x:t xml:space="preserve">Thunnus obesus</x:t>
  </x:si>
  <x:si>
    <x:t xml:space="preserve">Thunnus orientalis</x:t>
  </x:si>
  <x:si>
    <x:t xml:space="preserve">Thunnus tonggol</x:t>
  </x:si>
  <x:si>
    <x:t xml:space="preserve">Trachurus japonicus</x:t>
  </x:si>
  <x:si>
    <x:t xml:space="preserve">Trichiuridae</x:t>
  </x:si>
  <x:si>
    <x:t xml:space="preserve">Trichiurus</x:t>
  </x:si>
  <x:si>
    <x:t xml:space="preserve">Trichiurus lepturus</x:t>
  </x:si>
  <x:si>
    <x:t xml:space="preserve">Tylosurus crocodilus</x:t>
  </x:si>
  <x:si>
    <x:t xml:space="preserve">Xiphias gladius</x:t>
  </x:si>
  <x:si>
    <x:t xml:space="preserve">Sources and model group inputs</x:t>
  </x:si>
  <x:si>
    <x:t xml:space="preserve">Source</x:t>
  </x:si>
  <x:si>
    <x:t xml:space="preserve">What it supports</x:t>
  </x:si>
  <x:si>
    <x:t xml:space="preserve">Link or retained location</x:t>
  </x:si>
  <x:si>
    <x:t xml:space="preserve">Cheung doctoral thesis</x:t>
  </x:si>
  <x:si>
    <x:t xml:space="preserve">Cheung W L (2007), Vulnerability of marine fishes to fishing. Appendix 6.1, printed pp. 322–341 (PDF pp. 337–356), defines groups. Tables 6.1–6.2, printed pp. 175–179, report parameters/catches.</x:t>
  </x:si>
  <x:si>
    <x:t xml:space="preserve">https://open.library.ubc.ca/collections/ubctheses/831/items/1.0074894</x:t>
  </x:si>
  <x:si>
    <x:t xml:space="preserve">Retained thesis PDF</x:t>
  </x:si>
  <x:si>
    <x:t xml:space="preserve">Local source copy for exact page references.</x:t>
  </x:si>
  <x:si>
    <x:t xml:space="preserve">../../regions/LME_036/papers/SCS-2007/ubc_2007-317501-87ea9ea0.pdf</x:t>
  </x:si>
  <x:si>
    <x:t xml:space="preserve">Adopted regional workbook</x:t>
  </x:si>
  <x:si>
    <x:t xml:space="preserve">Catch / Catch; Classic PPR / Taxa and Annual; PPR / Matching, Mapping review, Allocation assumptions.</x:t>
  </x:si>
  <x:si>
    <x:t xml:space="preserve">../../regions/LME_036/LME_036.xlsx</x:t>
  </x:si>
  <x:si>
    <x:t xml:space="preserve">Selected source model</x:t>
  </x:si>
  <x:si>
    <x:t xml:space="preserve">Exact selected 2000s JSON. group.export supplies catches and group.biomass the fallback field. Fields retain the source-model units; their ratios are dimensionless.</x:t>
  </x:si>
  <x:si>
    <x:t xml:space="preserve">../../regions/LME_036/models/36_1_South_China_Sea_SCS-2007_Northern_South_China_Sea_(2000s)/model.json</x:t>
  </x:si>
  <x:si>
    <x:t xml:space="preserve">Adopted mapping audit</x:t>
  </x:si>
  <x:si>
    <x:t xml:space="preserve">Candidate inclusion rationale, raw fields, calculations, confidence and prior decisions.</x:t>
  </x:si>
  <x:si>
    <x:t xml:space="preserve">Sea Around Us TL snapshot</x:t>
  </x:si>
  <x:si>
    <x:t xml:space="preserve">API v88 snapshot 3 September 2026. scientific_name and trophic_level; frozen Classic PPR coefficient is multiplied by catch and divided by nine once.</x:t>
  </x:si>
  <x:si>
    <x:t xml:space="preserve">../../regions/LME_036/raw/LME_036-exploited.json</x:t>
  </x:si>
  <x:si>
    <x:t xml:space="preserve">Pennahia synonym authority</x:t>
  </x:si>
  <x:si>
    <x:t xml:space="preserve">ITIS TSN 646537, synonym Argyrosomus argentatus; inspected in the independent review on 29 September 2026.</x:t>
  </x:si>
  <x:si>
    <x:t xml:space="preserve">https://www.itis.gov/servlet/SingleRpt/SingleRpt?search_topic=TSN&amp;search_value=646537</x:t>
  </x:si>
  <x:si>
    <x:t xml:space="preserve">Cephalopoda within Mollusca</x:t>
  </x:si>
  <x:si>
    <x:t xml:space="preserve">NCBI taxon 6605 supports the broad Mollusca boundary; historical check 29 September 2026.</x:t>
  </x:si>
  <x:si>
    <x:t xml:space="preserve">https://www.ncbi.nlm.nih.gov/datasets/taxonomy/6605/</x:t>
  </x:si>
  <x:si>
    <x:t xml:space="preserve">Acetes taxonomy</x:t>
  </x:si>
  <x:si>
    <x:t xml:space="preserve">US Fish and Wildlife Service tree, ITIS TSN 95888, supports Dendrobranchiata containing Acetes; historical check 29 September 2026.</x:t>
  </x:si>
  <x:si>
    <x:t xml:space="preserve">https://www.fws.gov/taxonomic-tree/21322</x:t>
  </x:si>
  <x:si>
    <x:t xml:space="preserve">Selaroides ecological evidence</x:t>
  </x:si>
  <x:si>
    <x:t xml:space="preserve">FishBase species 388, length and habitat mismatch; retained independent review finding, not a fresh retrieval.</x:t>
  </x:si>
  <x:si>
    <x:t xml:space="preserve">https://fishbase.mnhn.fr/summary/selaroides-leptolepis.html</x:t>
  </x:si>
  <x:si>
    <x:t xml:space="preserve">Decapterus length evidence</x:t>
  </x:si>
  <x:si>
    <x:t xml:space="preserve">FishBase species 1939, fork-length versus model total-length boundary; retained independent review finding.</x:t>
  </x:si>
  <x:si>
    <x:t xml:space="preserve">https://www.fishbase.se/summary/1939</x:t>
  </x:si>
  <x:si>
    <x:t xml:space="preserve">https://www.fishbase.org/Summary/Siganus-canaliculatus</x:t>
  </x:si>
  <x:si>
    <x:t xml:space="preserve">Psettodes maximum length</x:t>
  </x:si>
  <x:si>
    <x:t xml:space="preserve">FishBase species 513, 64 cm maximum TL; excludes the small-species demersal pool. Verified 29 September 2026.</x:t>
  </x:si>
  <x:si>
    <x:t xml:space="preserve">https://www.fishbase.se/summary/513</x:t>
  </x:si>
  <x:si>
    <x:t xml:space="preserve">Paralichthys maximum length</x:t>
  </x:si>
  <x:si>
    <x:t xml:space="preserve">FishBase, 103 cm maximum TL; excludes the small-species demersal pool. Verified 29 September 2026.</x:t>
  </x:si>
  <x:si>
    <x:t xml:space="preserve">https://www.fishbase.se/summary/Paralichthys_olivaceus.html</x:t>
  </x:si>
  <x:si>
    <x:t xml:space="preserve">Larimichthys maximum length</x:t>
  </x:si>
  <x:si>
    <x:t xml:space="preserve">FishBase species 416, 40 cm maximum SL, already greater than the 30 cm boundary without conversion; excludes the small-croaker pool. Verified 29 September 2026.</x:t>
  </x:si>
  <x:si>
    <x:t xml:space="preserve">https://www.fishbase.se/summary/416</x:t>
  </x:si>
  <x:si>
    <x:t xml:space="preserve">Mapping uncertainty details</x:t>
  </x:si>
  <x:si>
    <x:t xml:space="preserve">Candidate choices, exact weights, confidence and scientific limitations.</x:t>
  </x:si>
  <x:si>
    <x:t xml:space="preserve">Model group inputs</x:t>
  </x:si>
  <x:si>
    <x:t xml:space="preserve">Saved selected model group fields; 38 source groups. Synthetic diet_import is excluded from eligible ecological groups. Values are not target catch observations.</x:t>
  </x:si>
  <x:si>
    <x:t xml:space="preserve">Recorded values</x:t>
  </x:si>
  <x:si>
    <x:t xml:space="preserve">Source definition</x:t>
  </x:si>
  <x:si>
    <x:t xml:space="preserve">1 Phytoplankton</x:t>
  </x:si>
  <x:si>
    <x:t xml:space="preserve">catch = 0; biomass = 323</x:t>
  </x:si>
  <x:si>
    <x:t xml:space="preserve">Phytoplankton dominated by diatoms, followed by dinoflagellates.</x:t>
  </x:si>
  <x:si>
    <x:t xml:space="preserve">2 Benthic producer</x:t>
  </x:si>
  <x:si>
    <x:t xml:space="preserve">catch = 0.0056; biomass = 153</x:t>
  </x:si>
  <x:si>
    <x:t xml:space="preserve">Benthic algae.</x:t>
  </x:si>
  <x:si>
    <x:t xml:space="preserve">3 Zooplankton</x:t>
  </x:si>
  <x:si>
    <x:t xml:space="preserve">catch = 0.0948; biomass = 9</x:t>
  </x:si>
  <x:si>
    <x:t xml:space="preserve">Acetes spp.; definition: Zooplankton; explicitly includes the landed Mo shrimp Acetes spp.</x:t>
  </x:si>
  <x:si>
    <x:t xml:space="preserve">4 Jellyfish</x:t>
  </x:si>
  <x:si>
    <x:t xml:space="preserve">catch = 0.044; biomass = 1.53</x:t>
  </x:si>
  <x:si>
    <x:t xml:space="preserve">Medusae of Cnidaria.</x:t>
  </x:si>
  <x:si>
    <x:t xml:space="preserve">5 Polychaetes</x:t>
  </x:si>
  <x:si>
    <x:t xml:space="preserve">catch = 0; biomass = 2.24</x:t>
  </x:si>
  <x:si>
    <x:t xml:space="preserve">Polychaeta.</x:t>
  </x:si>
  <x:si>
    <x:t xml:space="preserve">6 Echinoderms</x:t>
  </x:si>
  <x:si>
    <x:t xml:space="preserve">catch = 0.0021; biomass = 1.98</x:t>
  </x:si>
  <x:si>
    <x:t xml:space="preserve">Echinodermata.</x:t>
  </x:si>
  <x:si>
    <x:t xml:space="preserve">7 Benthic crustaceans</x:t>
  </x:si>
  <x:si>
    <x:t xml:space="preserve">catch = 0.0391; biomass = 1.43</x:t>
  </x:si>
  <x:si>
    <x:t xml:space="preserve">Benthic crustaceans excluding shrimps and crabs; Oratosquilla spp. supplies the P/B estimate.</x:t>
  </x:si>
  <x:si>
    <x:t xml:space="preserve">8 Non-ceph molluscs</x:t>
  </x:si>
  <x:si>
    <x:t xml:space="preserve">catch = 0.7623; biomass = 2.68</x:t>
  </x:si>
  <x:si>
    <x:t xml:space="preserve">Non-cephalopod Mollusca.</x:t>
  </x:si>
  <x:si>
    <x:t xml:space="preserve">9 Sessile/other invertebrates</x:t>
  </x:si>
  <x:si>
    <x:t xml:space="preserve">catch = 0.003; biomass = 2.61</x:t>
  </x:si>
  <x:si>
    <x:t xml:space="preserve">Sessile and other invertebrates, separate from polychaetes, echinoderms, crustaceans and molluscs.</x:t>
  </x:si>
  <x:si>
    <x:t xml:space="preserve">10 Shrimps</x:t>
  </x:si>
  <x:si>
    <x:t xml:space="preserve">catch = 0.6788; biomass = 0.194</x:t>
  </x:si>
  <x:si>
    <x:t xml:space="preserve">Metapenaeopsis palmensis; M. barbata; definition: Shrimps including penaeids; Acetes is explicitly in Zooplankton.</x:t>
  </x:si>
  <x:si>
    <x:t xml:space="preserve">11 Crabs</x:t>
  </x:si>
  <x:si>
    <x:t xml:space="preserve">catch = 0.1997; biomass = 0.368</x:t>
  </x:si>
  <x:si>
    <x:t xml:space="preserve">Crabs.</x:t>
  </x:si>
  <x:si>
    <x:t xml:space="preserve">12 Cephalopods</x:t>
  </x:si>
  <x:si>
    <x:t xml:space="preserve">catch = 0.2733; biomass = 0.68</x:t>
  </x:si>
  <x:si>
    <x:t xml:space="preserve">Loligo edulis; L. chinensis; definition: Cephalopoda, dominated by Loligo squid.</x:t>
  </x:si>
  <x:si>
    <x:t xml:space="preserve">13 Threadfin bream (nemipterids)</x:t>
  </x:si>
  <x:si>
    <x:t xml:space="preserve">catch = 0.657; biomass = 0.26</x:t>
  </x:si>
  <x:si>
    <x:t xml:space="preserve">Nemipterus virgatus; N. bathybius; N. japonicus; definition: Family Nemipteridae.</x:t>
  </x:si>
  <x:si>
    <x:t xml:space="preserve">14 Bigeyes (priacanthids)</x:t>
  </x:si>
  <x:si>
    <x:t xml:space="preserve">catch = 0.206; biomass = 0.13</x:t>
  </x:si>
  <x:si>
    <x:t xml:space="preserve">Family Priacanthidae.</x:t>
  </x:si>
  <x:si>
    <x:t xml:space="preserve">15 Lizard fish (synodontids)</x:t>
  </x:si>
  <x:si>
    <x:t xml:space="preserve">catch = 0.0234; biomass = 0.032</x:t>
  </x:si>
  <x:si>
    <x:t xml:space="preserve">Saurida tumbil; S. undosquamis; definition: Family Synodontidae.</x:t>
  </x:si>
  <x:si>
    <x:t xml:space="preserve">16 Juvenile Hairtail (trichiurids)</x:t>
  </x:si>
  <x:si>
    <x:t xml:space="preserve">catch = 0.028; biomass = 0.015</x:t>
  </x:si>
  <x:si>
    <x:t xml:space="preserve">Trichiurus lepturus; definition: Family Trichiuridae, juvenile stanza younger than 18 months.</x:t>
  </x:si>
  <x:si>
    <x:t xml:space="preserve">17 Adult hairtail (trichiurids)</x:t>
  </x:si>
  <x:si>
    <x:t xml:space="preserve">catch = 0.0072; biomass = 0.012</x:t>
  </x:si>
  <x:si>
    <x:t xml:space="preserve">Trichiurus lepturus; definition: Family Trichiuridae, adult stanza from 18 months.</x:t>
  </x:si>
  <x:si>
    <x:t xml:space="preserve">18 Pomfret (stromateids)</x:t>
  </x:si>
  <x:si>
    <x:t xml:space="preserve">catch = 0.239; biomass = 0.108</x:t>
  </x:si>
  <x:si>
    <x:t xml:space="preserve">Family Stromateidae. Other pomfret-like families are excluded from the stated taxonomic definition.</x:t>
  </x:si>
  <x:si>
    <x:t xml:space="preserve">19 Snappers</x:t>
  </x:si>
  <x:si>
    <x:t xml:space="preserve">catch = 0.0011; biomass = 0.0013</x:t>
  </x:si>
  <x:si>
    <x:t xml:space="preserve">Family Lutjanidae.</x:t>
  </x:si>
  <x:si>
    <x:t xml:space="preserve">20 Adult groupers</x:t>
  </x:si>
  <x:si>
    <x:t xml:space="preserve">catch = 0.0089; biomass = 0.0064</x:t>
  </x:si>
  <x:si>
    <x:t xml:space="preserve">Family Serranidae; the final table calls this Adult groupers but supplies no separate juvenile grouper compartment.</x:t>
  </x:si>
  <x:si>
    <x:t xml:space="preserve">21 Croakers (≤ 30 cm)</x:t>
  </x:si>
  <x:si>
    <x:t xml:space="preserve">catch = 0.0351; biomass = 0.07</x:t>
  </x:si>
  <x:si>
    <x:t xml:space="preserve">Agyrosomus spp.; Pennahia spp.; Pennahia (Agyrosomus) argentatus; definition: Small Sciaenidae &lt;=30 cm; Pennahia is explicitly listed despite differing SAU size classes.</x:t>
  </x:si>
  <x:si>
    <x:t xml:space="preserve">22 Juvenile large croakers</x:t>
  </x:si>
  <x:si>
    <x:t xml:space="preserve">catch = 0.071; biomass = 0.04</x:t>
  </x:si>
  <x:si>
    <x:t xml:space="preserve">Larimichthys crocea; definition: Large Sciaenidae &gt;30 cm maximum length, immature fish younger than 24 months.</x:t>
  </x:si>
  <x:si>
    <x:t xml:space="preserve">23 Croakers (&gt; 30 cm)</x:t>
  </x:si>
  <x:si>
    <x:t xml:space="preserve">catch = 0.008; biomass = 0.0094</x:t>
  </x:si>
  <x:si>
    <x:t xml:space="preserve">Larimichthys crocea; definition: Large Sciaenidae &gt;30 cm maximum length, adult fish from 24 months.</x:t>
  </x:si>
  <x:si>
    <x:t xml:space="preserve">24 Demesral fish (≤ 30 cm)</x:t>
  </x:si>
  <x:si>
    <x:t xml:space="preserve">catch = 0.1788; biomass = 0.316</x:t>
  </x:si>
  <x:si>
    <x:t xml:space="preserve">Demersal fish with maximum total length &lt;=30 cm, except taxa in dedicated groups.</x:t>
  </x:si>
  <x:si>
    <x:t xml:space="preserve">25 Juvenile demersal fish (&gt; 30 cm)</x:t>
  </x:si>
  <x:si>
    <x:t xml:space="preserve">catch = 0.3165; biomass = 0.143</x:t>
  </x:si>
  <x:si>
    <x:t xml:space="preserve">Demersal fish with maximum total length &gt;30 cm, juvenile stanza; dedicated groups excluded.</x:t>
  </x:si>
  <x:si>
    <x:t xml:space="preserve">26 Adult demersal fish (&gt; 30 cm)</x:t>
  </x:si>
  <x:si>
    <x:t xml:space="preserve">catch = 0.0352; biomass = 0.021</x:t>
  </x:si>
  <x:si>
    <x:t xml:space="preserve">Demersal fish with maximum total length &gt;30 cm, adult stanza from 18 months; dedicated groups excluded.</x:t>
  </x:si>
  <x:si>
    <x:t xml:space="preserve">27 Benthopelagic fish</x:t>
  </x:si>
  <x:si>
    <x:t xml:space="preserve">catch = 0.6025; biomass = 0.922</x:t>
  </x:si>
  <x:si>
    <x:t xml:space="preserve">Final table has one Benthopelagic fish group. Appendix separately describes small &lt;=30 cm and large &gt;30 cm benthopelagic fish; their relationship to the final single pool is not resolved.</x:t>
  </x:si>
  <x:si>
    <x:t xml:space="preserve">28 Melon seed</x:t>
  </x:si>
  <x:si>
    <x:t xml:space="preserve">catch = 0.0499; biomass = 0.07</x:t>
  </x:si>
  <x:si>
    <x:t xml:space="preserve">Psenopsis anomala; definition: Psenopsis anomala.</x:t>
  </x:si>
  <x:si>
    <x:t xml:space="preserve">29 Pelagic fish (≤ 30 cm)</x:t>
  </x:si>
  <x:si>
    <x:t xml:space="preserve">catch = 2.345; biomass = 1.772</x:t>
  </x:si>
  <x:si>
    <x:t xml:space="preserve">Pelagic fish with maximum total length &lt;=30 cm, including sardines, thryssa and anchovies.</x:t>
  </x:si>
  <x:si>
    <x:t xml:space="preserve">30 Juvenile large pelagic fish</x:t>
  </x:si>
  <x:si>
    <x:t xml:space="preserve">catch = 0.7384; biomass = 0.289</x:t>
  </x:si>
  <x:si>
    <x:t xml:space="preserve">Pelagic fish with maximum total length &gt;30 cm, juvenile stanza; source paragraph mistakenly says demersal, but heading, examples and stanza names establish pelagic.</x:t>
  </x:si>
  <x:si>
    <x:t xml:space="preserve">31 Pelagic fish (&gt; 30 cm)</x:t>
  </x:si>
  <x:si>
    <x:t xml:space="preserve">catch = 0.0821; biomass = 0.079</x:t>
  </x:si>
  <x:si>
    <x:t xml:space="preserve">Pelagic fish with maximum total length &gt;30 cm, adult stanza from 18 months; includes scombrids.</x:t>
  </x:si>
  <x:si>
    <x:t xml:space="preserve">32 Demersal sharks and rays</x:t>
  </x:si>
  <x:si>
    <x:t xml:space="preserve">catch = 0.001; biomass = 0.001</x:t>
  </x:si>
  <x:si>
    <x:t xml:space="preserve">Demersal elasmobranchs. No species list documented.</x:t>
  </x:si>
  <x:si>
    <x:t xml:space="preserve">33 Pelagic sharks and rays</x:t>
  </x:si>
  <x:si>
    <x:t xml:space="preserve">catch = 0.0007; biomass = 0.0011</x:t>
  </x:si>
  <x:si>
    <x:t xml:space="preserve">Pelagic elasmobranchs. No species list documented.</x:t>
  </x:si>
  <x:si>
    <x:t xml:space="preserve">34 Seabirds</x:t>
  </x:si>
  <x:si>
    <x:t xml:space="preserve">catch = 0; biomass = 0.0022</x:t>
  </x:si>
  <x:si>
    <x:t xml:space="preserve">Seabirds; no species list documented.</x:t>
  </x:si>
  <x:si>
    <x:t xml:space="preserve">35 Pinnipeds</x:t>
  </x:si>
  <x:si>
    <x:t xml:space="preserve">catch = 0; biomass = 0.0046</x:t>
  </x:si>
  <x:si>
    <x:t xml:space="preserve">Pinnipeds; no species list documented.</x:t>
  </x:si>
  <x:si>
    <x:t xml:space="preserve">36 Other mammals</x:t>
  </x:si>
  <x:si>
    <x:t xml:space="preserve">catch = 0; biomass = 0.0158</x:t>
  </x:si>
  <x:si>
    <x:t xml:space="preserve">Other marine mammals; no species list documented.</x:t>
  </x:si>
  <x:si>
    <x:t xml:space="preserve">37 Marine turtles</x:t>
  </x:si>
  <x:si>
    <x:t xml:space="preserve">catch = 0; biomass = 0.0002</x:t>
  </x:si>
  <x:si>
    <x:t xml:space="preserve">Marine turtles; no species list documented.</x:t>
  </x:si>
  <x:si>
    <x:t xml:space="preserve">38 Detritus</x:t>
  </x:si>
  <x:si>
    <x:t xml:space="preserve">catch = 0; biomass = 100</x:t>
  </x:si>
  <x:si>
    <x:t xml:space="preserve">Non-living detritus.</x:t>
  </x:si>
</x:sst>
</file>

<file path=xl/styles.xml><?xml version="1.0" encoding="utf-8"?>
<x:styleSheet xmlns:x="http://schemas.openxmlformats.org/spreadsheetml/2006/main">
  <x:numFmts count="4">
    <x:numFmt numFmtId="164" formatCode="#,##0.000000"/>
    <x:numFmt numFmtId="165" formatCode="0.0000%"/>
    <x:numFmt numFmtId="166" formatCode="0.000000"/>
    <x:numFmt numFmtId="167" formatCode="0.000000%"/>
  </x:numFmts>
  <x:fonts count="9">
    <x:font>
      <x:sz val="11"/>
      <x:name val="Carlito"/>
    </x:font>
    <x:font>
      <x:sz val="11"/>
      <x:name val="Calibri"/>
    </x:font>
    <x:font>
      <x:b/>
      <x:sz val="17"/>
      <x:color rgb="FF153945"/>
      <x:name val="Calibri"/>
    </x:font>
    <x:font>
      <x:sz val="11"/>
      <x:color rgb="FF45545C"/>
      <x:name val="Calibri"/>
    </x:font>
    <x:font>
      <x:b/>
      <x:sz val="11"/>
      <x:color rgb="FFFFFFFF"/>
      <x:name val="Calibri"/>
    </x:font>
    <x:font>
      <x:sz val="11"/>
      <x:color rgb="FF175E72"/>
      <x:name val="Calibri"/>
    </x:font>
    <x:font>
      <x:sz val="11"/>
      <x:color rgb="FFFFFFFF"/>
      <x:name val="Calibri"/>
    </x:font>
    <x:font>
      <x:sz val="11"/>
      <x:color rgb="FF0563C1"/>
      <x:name val="Calibri"/>
      <x:u val="single"/>
    </x:font>
    <x:font>
      <x:sz val="11"/>
      <x:name val="Calibri"/>
      <x:color rgb="FF0563C1"/>
      <x:u val="single"/>
    </x:font>
  </x:fonts>
  <x:fills count="4">
    <x:fill>
      <x:patternFill patternType="none"/>
    </x:fill>
    <x:fill>
      <x:patternFill patternType="gray125"/>
    </x:fill>
    <x:fill>
      <x:patternFill patternType="solid">
        <x:fgColor rgb="FF174C58"/>
      </x:patternFill>
    </x:fill>
    <x:fill>
      <x:patternFill patternType="solid">
        <x:fgColor rgb="FF174C58"/>
      </x:patternFill>
    </x:fill>
  </x:fills>
  <x:borders count="1">
    <x:border/>
  </x:borders>
  <x:cellStyleXfs count="1">
    <x:xf numFmtId="0" fontId="0" fillId="0" borderId="0"/>
  </x:cellStyleXfs>
  <x:cellXfs count="26">
    <x:xf numFmtId="0" fontId="0" fillId="0" borderId="0" xfId="0"/>
    <x:xf numFmtId="0" fontId="1" fillId="0" borderId="0" xfId="0" applyFont="1"/>
    <x:xf numFmtId="0" fontId="1" fillId="0" borderId="0" xfId="0" applyFont="1" applyAlignment="1">
      <x:alignment vertical="top" wrapText="1"/>
    </x:xf>
    <x:xf numFmtId="0" fontId="4" fillId="2" borderId="0" xfId="0" applyFont="1" applyFill="1" applyAlignment="1">
      <x:alignment vertical="top" wrapText="1"/>
    </x:xf>
    <x:xf numFmtId="2" fontId="1" fillId="0" borderId="0" xfId="0" applyNumberFormat="1" applyFont="1" applyAlignment="1">
      <x:alignment vertical="top" wrapText="1"/>
    </x:xf>
    <x:xf numFmtId="4" fontId="1" fillId="0" borderId="0" xfId="0" applyNumberFormat="1" applyFont="1" applyAlignment="1">
      <x:alignment vertical="top" wrapText="1"/>
    </x:xf>
    <x:xf numFmtId="164" fontId="1" fillId="0" borderId="0" xfId="0" applyNumberFormat="1" applyFont="1"/>
    <x:xf numFmtId="165" fontId="1" fillId="0" borderId="0" xfId="0" applyNumberFormat="1" applyFont="1" applyAlignment="1">
      <x:alignment vertical="top" wrapText="1"/>
    </x:xf>
    <x:xf numFmtId="166" fontId="1" fillId="0" borderId="0" xfId="0" applyNumberFormat="1" applyFont="1" applyAlignment="1">
      <x:alignment vertical="top" wrapText="1"/>
    </x:xf>
    <x:xf numFmtId="167" fontId="1" fillId="0" borderId="0" xfId="0" applyNumberFormat="1" applyFont="1" applyAlignment="1">
      <x:alignment vertical="top" wrapText="1"/>
    </x:xf>
    <x:xf numFmtId="0" fontId="5" fillId="0" borderId="0" xfId="0" applyFont="1" applyAlignment="1">
      <x:alignment vertical="top" wrapText="1"/>
    </x:xf>
    <x:xf numFmtId="0" fontId="2" fillId="0" borderId="0" xfId="0" applyFont="1"/>
    <x:xf numFmtId="0" fontId="3" fillId="0" borderId="0" xfId="0" applyFont="1" applyAlignment="1">
      <x:alignment wrapText="1"/>
    </x:xf>
    <x:xf numFmtId="0" fontId="2" fillId="0" borderId="0"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165" fontId="1" fillId="0" borderId="0" xfId="0" applyNumberFormat="1" applyFont="1" applyFill="1" applyBorder="1" applyAlignment="1">
      <x:alignment vertical="top" wrapText="1"/>
    </x:xf>
    <x:xf numFmtId="167" fontId="1" fillId="0"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7" fillId="0" borderId="0" xfId="0" applyFont="1" applyAlignment="1">
      <x:alignment vertical="top" wrapText="1"/>
    </x:xf>
    <x:xf numFmtId="0" fontId="8" fillId="0" borderId="0" xfId="0" applyNumberFormat="1" applyFont="1" applyFill="1" applyBorder="1" applyAlignment="1">
      <x:alignment vertical="top" wrapText="1"/>
    </x:xf>
  </x:cellXfs>
  <x:cellStyles count="1">
    <x:cellStyle name="Normal" xfId="0"/>
  </x:cellStyles>
</x:styleSheet>
</file>

<file path=xl/_rels/workbook.xml.rels><Relationships xmlns="http://schemas.openxmlformats.org/package/2006/relationships"><Relationship Type="http://schemas.openxmlformats.org/officeDocument/2006/relationships/styles" Target="/xl/styles.xml" Id="Reb32112ff53f4006"/><Relationship Type="http://schemas.openxmlformats.org/officeDocument/2006/relationships/theme" Target="/xl/theme/theme1.xml" Id="R0fa8634d0e014a1a"/><Relationship Type="http://schemas.openxmlformats.org/officeDocument/2006/relationships/sharedStrings" Target="/xl/sharedStrings.xml" Id="Rcaf089050d094d90"/><Relationship Type="http://schemas.openxmlformats.org/officeDocument/2006/relationships/worksheet" Target="/xl/worksheets/sheet1.xml" Id="Rc01d1aefb4ad4054"/><Relationship Type="http://schemas.openxmlformats.org/officeDocument/2006/relationships/worksheet" Target="/xl/worksheets/sheet2.xml" Id="Rdd188897289b4a58"/><Relationship Type="http://schemas.openxmlformats.org/officeDocument/2006/relationships/worksheet" Target="/xl/worksheets/sheet3.xml" Id="Rd24402d44ba44d28"/><Relationship Type="http://schemas.openxmlformats.org/officeDocument/2006/relationships/worksheet" Target="/xl/worksheets/sheet4.xml" Id="R15ed6d7d5769450e"/></Relationships>
</file>

<file path=xl/tables/table1.xml><?xml version="1.0" encoding="utf-8"?>
<x:table xmlns:x="http://schemas.openxmlformats.org/spreadsheetml/2006/main" id="1" name="TaxonMappings" displayName="TaxonMappings" ref="A5:G379" totalsRowShown="0">
  <x:autoFilter ref="A5:G379">
    <x:filterColumn xmlns:mc="http://schemas.openxmlformats.org/markup-compatibility/2006" xmlns:xr="http://schemas.microsoft.com/office/spreadsheetml/2014/revision" xmlns:xr3="http://schemas.microsoft.com/office/spreadsheetml/2016/revision3" colId="5">
      <x:filters>
        <x:filter val="Low"/>
      </x:filters>
    </x:filterColumn>
  </x:autoFilter>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ConfidenceCoverage" displayName="ConfidenceCoverage" ref="A10:D15" totalsRowShown="0">
  <x:autoFilter ref="A10:D15"/>
  <x:tableColumns count="4">
    <x:tableColumn id="1" name="Overall confidence"/>
    <x:tableColumn id="2" name="Taxa"/>
    <x:tableColumn id="3" name="Catch percentage"/>
    <x:tableColumn id="4" name="PPR percentage"/>
  </x:tableColumns>
  <x:tableStyleInfo name="TableStyleMedium2" showFirstColumn="0" showLastColumn="0" showRowStripes="1" showColumnStripes="0"/>
</x:table>
</file>

<file path=xl/tables/table3.xml><?xml version="1.0" encoding="utf-8"?>
<x:table xmlns:x="http://schemas.openxmlformats.org/spreadsheetml/2006/main" id="8" name="GroupAssignmentRules" displayName="GroupAssignmentRules" ref="A20:C27" headerRowCount="1" totalsRowCount="0" totalsRowShown="0">
  <x:autoFilter ref="A20:C27"/>
  <x:tableColumns count="3">
    <x:tableColumn id="1" name="Plain-language rule"/>
    <x:tableColumn id="2" name="Confidence"/>
    <x:tableColumn id="3" name="PPR percentage"/>
  </x:tableColumns>
  <x:tableStyleInfo name="TableStyleMedium2" showFirstColumn="0" showLastColumn="0" showRowStripes="1" showColumnStripes="0"/>
</x:table>
</file>

<file path=xl/tables/table4.xml><?xml version="1.0" encoding="utf-8"?>
<x:table xmlns:x="http://schemas.openxmlformats.org/spreadsheetml/2006/main" id="9" name="AllocationWeightRules" displayName="AllocationWeightRules" ref="A32:C34" headerRowCount="1" totalsRowCount="0" totalsRowShown="0">
  <x:autoFilter ref="A32:C34"/>
  <x:tableColumns count="3">
    <x:tableColumn id="1" name="Plain-language rule"/>
    <x:tableColumn id="2" name="Confidence"/>
    <x:tableColumn id="3" name="PPR percentage"/>
  </x:tableColumns>
  <x:tableStyleInfo name="TableStyleMedium2" showFirstColumn="0" showLastColumn="0" showRowStripes="1" showColumnStripes="0"/>
</x:table>
</file>

<file path=xl/tables/table5.xml><?xml version="1.0" encoding="utf-8"?>
<x:table xmlns:x="http://schemas.openxmlformats.org/spreadsheetml/2006/main" id="5" name="AllocationEvidence" displayName="AllocationEvidence" ref="A5:J449" totalsRowShown="0">
  <x:autoFilter ref="A5:J449"/>
  <x:tableColumns count="10">
    <x:tableColumn id="1" name="Taxon"/>
    <x:tableColumn id="2" name="Model group"/>
    <x:tableColumn id="3" name="Group ID"/>
    <x:tableColumn id="4" name="Model catch"/>
    <x:tableColumn id="5" name="Model biomass"/>
    <x:tableColumn id="6" name="Allocation field"/>
    <x:tableColumn id="7" name="Eligible total"/>
    <x:tableColumn id="8" name="Weight"/>
    <x:tableColumn id="9" name="Weight confidence"/>
    <x:tableColumn id="10" name="Candidate basis and assumptions"/>
  </x:tableColumns>
  <x:tableStyleInfo name="TableStyleMedium2" showFirstColumn="0" showLastColumn="0" showRowStripes="1" showColumnStripes="0"/>
</x:table>
</file>

<file path=xl/tables/table6.xml><?xml version="1.0" encoding="utf-8"?>
<x:table xmlns:x="http://schemas.openxmlformats.org/spreadsheetml/2006/main" id="6" name="DescriptiveSources" displayName="DescriptiveSources" ref="A5:C21" totalsRowShown="0">
  <x:autoFilter ref="A5:C21"/>
  <x:tableColumns count="3">
    <x:tableColumn id="1" name="Source"/>
    <x:tableColumn id="2" name="What it supports"/>
    <x:tableColumn id="3" name="Link or retained location"/>
  </x:tableColumns>
  <x:tableStyleInfo name="TableStyleMedium2" showFirstColumn="0" showLastColumn="0" showRowStripes="1" showColumnStripes="0"/>
</x:table>
</file>

<file path=xl/tables/table7.xml><?xml version="1.0" encoding="utf-8"?>
<x:table xmlns:x="http://schemas.openxmlformats.org/spreadsheetml/2006/main" id="7" name="ModelGroupInputs" displayName="ModelGroupInputs" ref="A27:C65" totalsRowShown="0">
  <x:autoFilter ref="A27:C65"/>
  <x:tableColumns count="3">
    <x:tableColumn id="1" name="Model group"/>
    <x:tableColumn id="2" name="Recorded values"/>
    <x:tableColumn id="3" name="Source definition"/>
  </x:tableColumns>
  <x:tableStyleInfo name="TableStyleMedium2" showFirstColumn="0" showLastColumn="0" showRowStripes="1" showColumnStripes="0"/>
</x:table>
</file>

<file path=xl/tables/table8.xml><?xml version="1.0" encoding="utf-8"?>
<x:table xmlns:x="http://schemas.openxmlformats.org/spreadsheetml/2006/main" id="10" name="ConfidenceReviewSources" displayName="ConfidenceReviewSources" ref="A71:C560" headerRowCount="1" totalsRowCount="0" totalsRowShown="0">
  <x:autoFilter ref="A71:C560"/>
  <x:tableColumns count="3">
    <x:tableColumn id="1" name="Source"/>
    <x:tableColumn id="2" name="What it supports and applicable taxa"/>
    <x:tableColumn id="3" name="Link or retained loc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cecb4376151c4a2c"/></Relationships>
</file>

<file path=xl/worksheets/_rels/sheet2.xml.rels><Relationships xmlns="http://schemas.openxmlformats.org/package/2006/relationships"><Relationship Type="http://schemas.openxmlformats.org/officeDocument/2006/relationships/table" Target="/xl/tables/table2.xml" Id="R05a32a9ceb0e4065"/><Relationship Type="http://schemas.openxmlformats.org/officeDocument/2006/relationships/table" Target="/xl/tables/table3.xml" Id="R25f493f330d246e9"/><Relationship Type="http://schemas.openxmlformats.org/officeDocument/2006/relationships/table" Target="/xl/tables/table4.xml" Id="R6d9392eea3c148ec"/></Relationships>
</file>

<file path=xl/worksheets/_rels/sheet3.xml.rels><Relationships xmlns="http://schemas.openxmlformats.org/package/2006/relationships"><Relationship Type="http://schemas.openxmlformats.org/officeDocument/2006/relationships/table" Target="/xl/tables/table5.xml" Id="Rc74647c96ac74d43"/></Relationships>
</file>

<file path=xl/worksheets/_rels/sheet4.xml.rels><Relationships xmlns="http://schemas.openxmlformats.org/package/2006/relationships"><Relationship Type="http://schemas.openxmlformats.org/officeDocument/2006/relationships/hyperlink" Target="https://open.library.ubc.ca/collections/ubctheses/831/items/1.0074894" TargetMode="External" Id="R67366565818442ce"/><Relationship Type="http://schemas.openxmlformats.org/officeDocument/2006/relationships/hyperlink" Target="papers/SCS-2007/ubc_2007-317501-87ea9ea0.pdf" TargetMode="External" Id="R2050f87cc8bd4947"/><Relationship Type="http://schemas.openxmlformats.org/officeDocument/2006/relationships/hyperlink" Target="LME_036.xlsx" TargetMode="External" Id="R11f116abd05d47be"/><Relationship Type="http://schemas.openxmlformats.org/officeDocument/2006/relationships/hyperlink" Target="models/36_1_South_China_Sea_SCS-2007_Northern_South_China_Sea_(2000s)/model.json" TargetMode="External" Id="R8989537fbaae46cd"/><Relationship Type="http://schemas.openxmlformats.org/officeDocument/2006/relationships/hyperlink" Target="validation_reports/36_1_South_China_Sea_SCS-2007_Northern_South_China_Sea_(2000s)/confidence_reassessment_20260930/taxon_audit_adopted.json" TargetMode="External" Id="R6fbbcfc56c6e4e7d"/><Relationship Type="http://schemas.openxmlformats.org/officeDocument/2006/relationships/hyperlink" Target="raw/LME_036-exploited.json" TargetMode="External" Id="Rf86d47caf5a248e6"/><Relationship Type="http://schemas.openxmlformats.org/officeDocument/2006/relationships/hyperlink" Target="https://www.itis.gov/servlet/SingleRpt/SingleRpt?search_topic=TSN&amp;search_value=646537" TargetMode="External" Id="Rf4eae972f8764482"/><Relationship Type="http://schemas.openxmlformats.org/officeDocument/2006/relationships/hyperlink" Target="https://www.ncbi.nlm.nih.gov/datasets/taxonomy/6605/" TargetMode="External" Id="R9b5ccf2400cb42f0"/><Relationship Type="http://schemas.openxmlformats.org/officeDocument/2006/relationships/hyperlink" Target="https://www.fws.gov/taxonomic-tree/21322" TargetMode="External" Id="Rbb254c2afa924039"/><Relationship Type="http://schemas.openxmlformats.org/officeDocument/2006/relationships/hyperlink" Target="https://fishbase.mnhn.fr/summary/selaroides-leptolepis.html" TargetMode="External" Id="R6ebbb121a565464e"/><Relationship Type="http://schemas.openxmlformats.org/officeDocument/2006/relationships/hyperlink" Target="https://www.fishbase.se/summary/1939" TargetMode="External" Id="Redd377b104fd466b"/><Relationship Type="http://schemas.openxmlformats.org/officeDocument/2006/relationships/hyperlink" Target="https://www.fishbase.org/Summary/Siganus-canaliculatus" TargetMode="External" Id="Rbac30fae7bca4f09"/><Relationship Type="http://schemas.openxmlformats.org/officeDocument/2006/relationships/hyperlink" Target="https://www.fishbase.se/summary/513" TargetMode="External" Id="Re18375119fc043c9"/><Relationship Type="http://schemas.openxmlformats.org/officeDocument/2006/relationships/hyperlink" Target="https://www.fishbase.se/summary/Paralichthys_olivaceus.html" TargetMode="External" Id="Re824c9917bae4606"/><Relationship Type="http://schemas.openxmlformats.org/officeDocument/2006/relationships/hyperlink" Target="https://www.fishbase.se/summary/416" TargetMode="External" Id="Rc57e6aaeaef74782"/><Relationship Type="http://schemas.openxmlformats.org/officeDocument/2006/relationships/hyperlink" Target="validation_reports/36_1_South_China_Sea_SCS-2007_Northern_South_China_Sea_(2000s)/confidence_reassessment_20260930/taxon_audit_adopted.json" TargetMode="External" Id="R280a7a622b2f4f34"/><Relationship Type="http://schemas.openxmlformats.org/officeDocument/2006/relationships/table" Target="/xl/tables/table6.xml" Id="Rfbf98ffbb5ca4e7c"/><Relationship Type="http://schemas.openxmlformats.org/officeDocument/2006/relationships/table" Target="/xl/tables/table7.xml" Id="Rf34b2d7c812d46eb"/><Relationship Type="http://schemas.openxmlformats.org/officeDocument/2006/relationships/table" Target="/xl/tables/table8.xml" Id="R1812fa5b0d574482"/><Relationship Id="rIdConfidence72" Type="http://schemas.openxmlformats.org/officeDocument/2006/relationships/hyperlink" Target="validation_reports/36_1_South_China_Sea_SCS-2007_Northern_South_China_Sea_(2000s)/confidence_reassessment_20260930/source_group_definitions.txt" TargetMode="External"/><Relationship Id="rIdConfidence73" Type="http://schemas.openxmlformats.org/officeDocument/2006/relationships/hyperlink" Target="https://www.marinespecies.org/aphia.php?p=taxdetails&amp;id=127089" TargetMode="External"/><Relationship Id="rIdConfidence74" Type="http://schemas.openxmlformats.org/officeDocument/2006/relationships/hyperlink" Target="https://www.marinespecies.org/aphia.php?p=taxdetails&amp;id=125449" TargetMode="External"/><Relationship Id="rIdConfidence75" Type="http://schemas.openxmlformats.org/officeDocument/2006/relationships/hyperlink" Target="validation_reports/36_1_South_China_Sea_SCS-2007_Northern_South_China_Sea_(2000s)/confidence_reassessment_20260930/source_group_definitions.txt" TargetMode="External"/><Relationship Id="rIdConfidence76" Type="http://schemas.openxmlformats.org/officeDocument/2006/relationships/hyperlink" Target="LME_036.xlsx" TargetMode="External"/><Relationship Id="rIdConfidence77" Type="http://schemas.openxmlformats.org/officeDocument/2006/relationships/hyperlink" Target="validation_reports/36_1_South_China_Sea_SCS-2007_Northern_South_China_Sea_(2000s)/confidence_reassessment_20260930/pelagic_and_analogues_input.json" TargetMode="External"/><Relationship Id="rIdConfidence78" Type="http://schemas.openxmlformats.org/officeDocument/2006/relationships/hyperlink" Target="https://www.fao.org/docrep/pdf/009/ac478e/ac478e09.pdf" TargetMode="External"/><Relationship Id="rIdConfidence79" Type="http://schemas.openxmlformats.org/officeDocument/2006/relationships/hyperlink" Target="https://www.fao.org/docrep/pdf/009/ac478e/ac478e10.pdf" TargetMode="External"/><Relationship Id="rIdConfidence80" Type="http://schemas.openxmlformats.org/officeDocument/2006/relationships/hyperlink" Target="https://www.fao.org/4/y5852e/Y5852E12.htm" TargetMode="External"/><Relationship Id="rIdConfidence81" Type="http://schemas.openxmlformats.org/officeDocument/2006/relationships/hyperlink" Target="https://www.fao.org/docrep/pdf/009/ac478e/ac478e05.pdf" TargetMode="External"/><Relationship Id="rIdConfidence82" Type="http://schemas.openxmlformats.org/officeDocument/2006/relationships/hyperlink" Target="https://www.fao.org/docrep/pdf/009/ac480e/ac480e05.pdf" TargetMode="External"/><Relationship Id="rIdConfidence83" Type="http://schemas.openxmlformats.org/officeDocument/2006/relationships/hyperlink" Target="raw/LME_036-exploited.json" TargetMode="External"/><Relationship Id="rIdConfidence84" Type="http://schemas.openxmlformats.org/officeDocument/2006/relationships/hyperlink" Target="https://www.fao.org/docrep/pdf/009/ac478e/ac478e07.pdf" TargetMode="External"/><Relationship Id="rIdConfidence85" Type="http://schemas.openxmlformats.org/officeDocument/2006/relationships/hyperlink" Target="https://www.fao.org/4/ac478e/ac478e08.pdf" TargetMode="External"/><Relationship Id="rIdConfidence86" Type="http://schemas.openxmlformats.org/officeDocument/2006/relationships/hyperlink" Target="https://www.marinespecies.org/aphia.php?p=taxdetails&amp;id=125523" TargetMode="External"/><Relationship Id="rIdConfidence87" Type="http://schemas.openxmlformats.org/officeDocument/2006/relationships/hyperlink" Target="https://www.fishbase.se/summary/Decapterus-russelli.html" TargetMode="External"/><Relationship Id="rIdConfidence88" Type="http://schemas.openxmlformats.org/officeDocument/2006/relationships/hyperlink" Target="https://www.fishbase.se/summary/Gnathanodon-speciosus.html" TargetMode="External"/><Relationship Id="rIdConfidence89" Type="http://schemas.openxmlformats.org/officeDocument/2006/relationships/hyperlink" Target="papers/SCS-2007/ubc_2007-317501-87ea9ea0.pdf" TargetMode="External"/><Relationship Id="rIdConfidence90" Type="http://schemas.openxmlformats.org/officeDocument/2006/relationships/hyperlink" Target="https://www.fishbase.se/summary/Muraenesox-cinereus.html" TargetMode="External"/><Relationship Id="rIdConfidence91" Type="http://schemas.openxmlformats.org/officeDocument/2006/relationships/hyperlink" Target="https://www.fao.org/4/i2741e/i2741e10b.pdf" TargetMode="External"/><Relationship Id="rIdConfidence92" Type="http://schemas.openxmlformats.org/officeDocument/2006/relationships/hyperlink" Target="https://www.marinespecies.org/aphia.php?p=taxdetails&amp;id=205457" TargetMode="External"/><Relationship Id="rIdConfidence93" Type="http://schemas.openxmlformats.org/officeDocument/2006/relationships/hyperlink" Target="https://www.marinespecies.org/aphia.php?p=taxdetails&amp;id=135220" TargetMode="External"/><Relationship Id="rIdConfidence94" Type="http://schemas.openxmlformats.org/officeDocument/2006/relationships/hyperlink" Target="https://www.marinespecies.org/aphia.php?p=taxdetails&amp;id=127024" TargetMode="External"/><Relationship Id="rIdConfidence95" Type="http://schemas.openxmlformats.org/officeDocument/2006/relationships/hyperlink" Target="https://www.fishbase.se/summary/Scomberomorus-commerson.html" TargetMode="External"/><Relationship Id="rIdConfidence96" Type="http://schemas.openxmlformats.org/officeDocument/2006/relationships/hyperlink" Target="https://www.marinespecies.org/aphia.php?p=taxdetails&amp;id=125558" TargetMode="External"/><Relationship Id="rIdConfidence97" Type="http://schemas.openxmlformats.org/officeDocument/2006/relationships/hyperlink" Target="https://www.marinespecies.org/aphia.php?p=taxdetails&amp;id=11734" TargetMode="External"/><Relationship Id="rIdConfidence98" Type="http://schemas.openxmlformats.org/officeDocument/2006/relationships/hyperlink" Target="https://www.marinespecies.org/aphia.php?p=taxdetails&amp;id=11716" TargetMode="External"/><Relationship Id="rIdConfidence99" Type="http://schemas.openxmlformats.org/officeDocument/2006/relationships/hyperlink" Target="https://www.marinespecies.org/aphia.php?p=taxdetails&amp;id=127016" TargetMode="External"/><Relationship Id="rIdConfidence100" Type="http://schemas.openxmlformats.org/officeDocument/2006/relationships/hyperlink" Target="https://www.fishbase.se/summary/Auxis-thazard.html" TargetMode="External"/><Relationship Id="rIdConfidence101" Type="http://schemas.openxmlformats.org/officeDocument/2006/relationships/hyperlink" Target="https://www.fao.org/4/t0726e/t0726e00.htm" TargetMode="External"/><Relationship Id="rIdConfidence102" Type="http://schemas.openxmlformats.org/officeDocument/2006/relationships/hyperlink" Target="https://research.calacademy.org/research/ichthyology/catalog/classif.asp" TargetMode="External"/><Relationship Id="rIdConfidence103" Type="http://schemas.openxmlformats.org/officeDocument/2006/relationships/hyperlink" Target="https://www.marinespecies.org/aphia.php?p=taxdetails&amp;id=1061762" TargetMode="External"/><Relationship Id="rIdConfidence104" Type="http://schemas.openxmlformats.org/officeDocument/2006/relationships/hyperlink" Target="https://www.marinespecies.org/aphia.php?p=taxdetails&amp;id=217661" TargetMode="External"/><Relationship Id="rIdConfidence105" Type="http://schemas.openxmlformats.org/officeDocument/2006/relationships/hyperlink" Target="https://www.itis.gov/servlet/SingleRpt/SingleRpt?search_topic=TSN&amp;search_value=162425" TargetMode="External"/><Relationship Id="rIdConfidence106" Type="http://schemas.openxmlformats.org/officeDocument/2006/relationships/hyperlink" Target="https://www.fao.org/4/x2400e/x2400e52.pdf" TargetMode="External"/><Relationship Id="rIdConfidence107" Type="http://schemas.openxmlformats.org/officeDocument/2006/relationships/hyperlink" Target="https://www.marinespecies.org/aphia.php?p=taxdetails&amp;id=127018" TargetMode="External"/><Relationship Id="rIdConfidence108" Type="http://schemas.openxmlformats.org/officeDocument/2006/relationships/hyperlink" Target="https://www.fishbase.se/summary/Katsuwonus-pelamis.html" TargetMode="External"/><Relationship Id="rIdConfidence109" Type="http://schemas.openxmlformats.org/officeDocument/2006/relationships/hyperlink" Target="https://www.marinespecies.org/aphia.php?p=taxdetails&amp;id=342067" TargetMode="External"/><Relationship Id="rIdConfidence110" Type="http://schemas.openxmlformats.org/officeDocument/2006/relationships/hyperlink" Target="https://www.marinespecies.org/aphia.php?p=taxdetails&amp;id=219984" TargetMode="External"/><Relationship Id="rIdConfidence111" Type="http://schemas.openxmlformats.org/officeDocument/2006/relationships/hyperlink" Target="https://www.fishbase.se/summary/Engraulis-japonicus.html" TargetMode="External"/><Relationship Id="rIdConfidence112" Type="http://schemas.openxmlformats.org/officeDocument/2006/relationships/hyperlink" Target="https://www.marinespecies.org/aphia.php?p=taxdetails&amp;id=11723" TargetMode="External"/><Relationship Id="rIdConfidence113" Type="http://schemas.openxmlformats.org/officeDocument/2006/relationships/hyperlink" Target="https://www.fishbase.se/summary/Pagrus-major.html" TargetMode="External"/><Relationship Id="rIdConfidence114" Type="http://schemas.openxmlformats.org/officeDocument/2006/relationships/hyperlink" Target="https://www.fishbase.se/summary/Acanthopagrus-schlegelii.html" TargetMode="External"/><Relationship Id="rIdConfidence115" Type="http://schemas.openxmlformats.org/officeDocument/2006/relationships/hyperlink" Target="papers/SCS-2007/ubc_2007-317501-87ea9ea0.pdf" TargetMode="External"/><Relationship Id="rIdConfidence116" Type="http://schemas.openxmlformats.org/officeDocument/2006/relationships/hyperlink" Target="models/36_1_South_China_Sea_SCS-2007_Northern_South_China_Sea_(2000s)/model.json" TargetMode="External"/><Relationship Id="rIdConfidence117" Type="http://schemas.openxmlformats.org/officeDocument/2006/relationships/hyperlink" Target="https://www.marinespecies.org/aphia.php?p=taxdetails&amp;id=126049" TargetMode="External"/><Relationship Id="rIdConfidence118" Type="http://schemas.openxmlformats.org/officeDocument/2006/relationships/hyperlink" Target="https://www.fao.org/docrep/pdf/009/t0539e/t0539e08.pdf" TargetMode="External"/><Relationship Id="rIdConfidence119" Type="http://schemas.openxmlformats.org/officeDocument/2006/relationships/hyperlink" Target="models/36_1_South_China_Sea_SCS-2007_Northern_South_China_Sea_(2000s)/source_evidence/mapping/36_1_South_China_Sea_SCS-2007_Northern_South_China_Sea_(2000s).MODEL_PROFILE.md" TargetMode="External"/><Relationship Id="rIdConfidence120" Type="http://schemas.openxmlformats.org/officeDocument/2006/relationships/hyperlink" Target="https://www.marinespecies.org/aphia.php?p=taxdetails&amp;id=126846" TargetMode="External"/><Relationship Id="rIdConfidence121" Type="http://schemas.openxmlformats.org/officeDocument/2006/relationships/hyperlink" Target="https://www.fishbase.se/summary/Coryphaena-hippurus.html" TargetMode="External"/><Relationship Id="rIdConfidence122" Type="http://schemas.openxmlformats.org/officeDocument/2006/relationships/hyperlink" Target="https://www.fao.org/4/y0770e/y0770e03.pdf" TargetMode="External"/><Relationship Id="rIdConfidence123" Type="http://schemas.openxmlformats.org/officeDocument/2006/relationships/hyperlink" Target="https://www.fishbase.se/summary/Leiognathus-equulus.html" TargetMode="External"/><Relationship Id="rIdConfidence124" Type="http://schemas.openxmlformats.org/officeDocument/2006/relationships/hyperlink" Target="https://www.marinespecies.org/aphia.php?p=taxdetails&amp;id=125555" TargetMode="External"/><Relationship Id="rIdConfidence125" Type="http://schemas.openxmlformats.org/officeDocument/2006/relationships/hyperlink" Target="https://www.fao.org/4/x2400e/x2400e53.pdf" TargetMode="External"/><Relationship Id="rIdConfidence126" Type="http://schemas.openxmlformats.org/officeDocument/2006/relationships/hyperlink" Target="https://www.fishbase.se/summary/Lates-calcarifer.html" TargetMode="External"/><Relationship Id="rIdConfidence127" Type="http://schemas.openxmlformats.org/officeDocument/2006/relationships/hyperlink" Target="https://www.marinespecies.org/aphia.php?p=taxdetails&amp;id=126068" TargetMode="External"/><Relationship Id="rIdConfidence128" Type="http://schemas.openxmlformats.org/officeDocument/2006/relationships/hyperlink" Target="https://www.fao.org/4/t0540e/t0540e00.htm" TargetMode="External"/><Relationship Id="rIdConfidence129" Type="http://schemas.openxmlformats.org/officeDocument/2006/relationships/hyperlink" Target="https://www.marinespecies.org/aphia.php?p=taxdetails&amp;id=127022" TargetMode="External"/><Relationship Id="rIdConfidence130" Type="http://schemas.openxmlformats.org/officeDocument/2006/relationships/hyperlink" Target="https://www.fishbase.se/summary/Scomber-japonicus.html" TargetMode="External"/><Relationship Id="rIdConfidence131" Type="http://schemas.openxmlformats.org/officeDocument/2006/relationships/hyperlink" Target="https://www.marinespecies.org/aphia.php?p=taxdetails&amp;id=273817" TargetMode="External"/><Relationship Id="rIdConfidence132" Type="http://schemas.openxmlformats.org/officeDocument/2006/relationships/hyperlink" Target="https://www.fishbase.se/summary/Scomberomorus-niphonius.html" TargetMode="External"/><Relationship Id="rIdConfidence133" Type="http://schemas.openxmlformats.org/officeDocument/2006/relationships/hyperlink" Target="https://www.marinespecies.org/aphia.php?p=taxdetails&amp;id=218481" TargetMode="External"/><Relationship Id="rIdConfidence134" Type="http://schemas.openxmlformats.org/officeDocument/2006/relationships/hyperlink" Target="https://www.marinespecies.org/aphia.php?p=taxdetails&amp;id=126089" TargetMode="External"/><Relationship Id="rIdConfidence135" Type="http://schemas.openxmlformats.org/officeDocument/2006/relationships/hyperlink" Target="https://www.marinespecies.org/aphia.php?p=taxdetails&amp;id=127027" TargetMode="External"/><Relationship Id="rIdConfidence136" Type="http://schemas.openxmlformats.org/officeDocument/2006/relationships/hyperlink" Target="https://www.fishbase.se/summary/Thunnus-albacares.html" TargetMode="External"/><Relationship Id="rIdConfidence137" Type="http://schemas.openxmlformats.org/officeDocument/2006/relationships/hyperlink" Target="https://www.marinespecies.org/aphia.php?p=taxdetails&amp;id=10193" TargetMode="External"/><Relationship Id="rIdConfidence138" Type="http://schemas.openxmlformats.org/officeDocument/2006/relationships/hyperlink" Target="https://www.fao.org/4/x2400e/x2400e54.pdf" TargetMode="External"/><Relationship Id="rIdConfidence139" Type="http://schemas.openxmlformats.org/officeDocument/2006/relationships/hyperlink" Target="https://link.springer.com/article/10.1111/j.1444-2906.2006.01227.x" TargetMode="External"/><Relationship Id="rIdConfidence140" Type="http://schemas.openxmlformats.org/officeDocument/2006/relationships/hyperlink" Target="https://cir.nii.ac.jp/crid/1360848656233896320" TargetMode="External"/><Relationship Id="rIdConfidence141" Type="http://schemas.openxmlformats.org/officeDocument/2006/relationships/hyperlink" Target="https://www.marinespecies.org/aphia.php?p=taxdetails&amp;id=136093" TargetMode="External"/><Relationship Id="rIdConfidence142" Type="http://schemas.openxmlformats.org/officeDocument/2006/relationships/hyperlink" Target="https://www.fao.org/4/r7066e/r7066e20.pdf" TargetMode="External"/><Relationship Id="rIdConfidence143" Type="http://schemas.openxmlformats.org/officeDocument/2006/relationships/hyperlink" Target="https://www.marinespecies.org/aphia.php?p=taxdetails&amp;id=1130" TargetMode="External"/><Relationship Id="rIdConfidence144" Type="http://schemas.openxmlformats.org/officeDocument/2006/relationships/hyperlink" Target="https://www.marinespecies.org/aphia.php?p=taxdetails&amp;id=218430" TargetMode="External"/><Relationship Id="rIdConfidence145" Type="http://schemas.openxmlformats.org/officeDocument/2006/relationships/hyperlink" Target="https://www.fishbase.se/summary/Megalaspis-cordyla.html" TargetMode="External"/><Relationship Id="rIdConfidence146" Type="http://schemas.openxmlformats.org/officeDocument/2006/relationships/hyperlink" Target="https://www.marinespecies.org/aphia.php?id=10196&amp;p=taxdetails" TargetMode="External"/><Relationship Id="rIdConfidence147" Type="http://schemas.openxmlformats.org/officeDocument/2006/relationships/hyperlink" Target="https://www.marinespecies.org/aphia.php?p=taxdetails&amp;id=159791" TargetMode="External"/><Relationship Id="rIdConfidence148" Type="http://schemas.openxmlformats.org/officeDocument/2006/relationships/hyperlink" Target="https://www.fao.org/4/x2400e/x2400e55.pdf" TargetMode="External"/><Relationship Id="rIdConfidence149" Type="http://schemas.openxmlformats.org/officeDocument/2006/relationships/hyperlink" Target="https://www.marinespecies.org/aphia.php?p=taxdetails&amp;id=219722" TargetMode="External"/><Relationship Id="rIdConfidence150" Type="http://schemas.openxmlformats.org/officeDocument/2006/relationships/hyperlink" Target="https://www.fishbase.se/summary/Thunnus-tonggol.html" TargetMode="External"/><Relationship Id="rIdConfidence151" Type="http://schemas.openxmlformats.org/officeDocument/2006/relationships/hyperlink" Target="https://www.marinespecies.org/aphia.php?p=taxdetails&amp;id=219716" TargetMode="External"/><Relationship Id="rIdConfidence152" Type="http://schemas.openxmlformats.org/officeDocument/2006/relationships/hyperlink" Target="https://www.fishbase.se/summary/Scomberomorus-guttatus.html" TargetMode="External"/><Relationship Id="rIdConfidence153" Type="http://schemas.openxmlformats.org/officeDocument/2006/relationships/hyperlink" Target="https://www.marinespecies.org/aphia.php?p=taxdetails&amp;id=280366" TargetMode="External"/><Relationship Id="rIdConfidence154" Type="http://schemas.openxmlformats.org/officeDocument/2006/relationships/hyperlink" Target="https://www.fishbase.se/summary/Cololabis-saira.html" TargetMode="External"/><Relationship Id="rIdConfidence155" Type="http://schemas.openxmlformats.org/officeDocument/2006/relationships/hyperlink" Target="https://www.marinespecies.org/aphia.php?p=taxdetails&amp;id=281160" TargetMode="External"/><Relationship Id="rIdConfidence156" Type="http://schemas.openxmlformats.org/officeDocument/2006/relationships/hyperlink" Target="https://www.fishbase.se/summary/Ilisha-elongata.html" TargetMode="External"/><Relationship Id="rIdConfidence157" Type="http://schemas.openxmlformats.org/officeDocument/2006/relationships/hyperlink" Target="https://www.marinespecies.org/aphia.php?p=taxdetails&amp;id=11713" TargetMode="External"/><Relationship Id="rIdConfidence158" Type="http://schemas.openxmlformats.org/officeDocument/2006/relationships/hyperlink" Target="https://www.marinespecies.org/aphia.php?p=taxdetails&amp;id=125571" TargetMode="External"/><Relationship Id="rIdConfidence159" Type="http://schemas.openxmlformats.org/officeDocument/2006/relationships/hyperlink" Target="https://www.marinespecies.org/aphia.php?p=taxdetails&amp;id=125685" TargetMode="External"/><Relationship Id="rIdConfidence160" Type="http://schemas.openxmlformats.org/officeDocument/2006/relationships/hyperlink" Target="https://www.marinespecies.org/aphia.php?p=taxdetails&amp;id=11707" TargetMode="External"/><Relationship Id="rIdConfidence161" Type="http://schemas.openxmlformats.org/officeDocument/2006/relationships/hyperlink" Target="https://www.marinespecies.org/aphia.php?p=taxdetails&amp;id=281271" TargetMode="External"/><Relationship Id="rIdConfidence162" Type="http://schemas.openxmlformats.org/officeDocument/2006/relationships/hyperlink" Target="https://www.marinespecies.org/aphia.php?p=taxdetails&amp;id=11782" TargetMode="External"/><Relationship Id="rIdConfidence163" Type="http://schemas.openxmlformats.org/officeDocument/2006/relationships/hyperlink" Target="https://www.marinespecies.org/aphia.php?p=taxdetails&amp;id=217663" TargetMode="External"/><Relationship Id="rIdConfidence164" Type="http://schemas.openxmlformats.org/officeDocument/2006/relationships/hyperlink" Target="https://www.marinespecies.org/aphia.php?p=taxdetails&amp;id=219708" TargetMode="External"/><Relationship Id="rIdConfidence165" Type="http://schemas.openxmlformats.org/officeDocument/2006/relationships/hyperlink" Target="https://www.fishbase.se/summary/Euthynnus-affinis.html" TargetMode="External"/><Relationship Id="rIdConfidence166" Type="http://schemas.openxmlformats.org/officeDocument/2006/relationships/hyperlink" Target="https://www.fishbase.se/summary/Netuma-thalassina.html" TargetMode="External"/><Relationship Id="rIdConfidence167" Type="http://schemas.openxmlformats.org/officeDocument/2006/relationships/hyperlink" Target="https://www.fishbase.se/country/CountrySpeciesSummary.php?c_code=458&amp;genusname=Arius&amp;speciesname=venosus" TargetMode="External"/><Relationship Id="rIdConfidence168" Type="http://schemas.openxmlformats.org/officeDocument/2006/relationships/hyperlink" Target="https://www.marinespecies.org/aphia.php?p=taxdetails&amp;id=105719" TargetMode="External"/><Relationship Id="rIdConfidence169" Type="http://schemas.openxmlformats.org/officeDocument/2006/relationships/hyperlink" Target="https://www.marinespecies.org/aphia.php?p=taxdetails&amp;id=126809" TargetMode="External"/><Relationship Id="rIdConfidence170" Type="http://schemas.openxmlformats.org/officeDocument/2006/relationships/hyperlink" Target="https://www.fishbase.se/summary/Elagatis-bipinnulata.html" TargetMode="External"/><Relationship Id="rIdConfidence171" Type="http://schemas.openxmlformats.org/officeDocument/2006/relationships/hyperlink" Target="https://www.marinespecies.org/aphia.php?p=taxdetails&amp;id=11718" TargetMode="External"/><Relationship Id="rIdConfidence172" Type="http://schemas.openxmlformats.org/officeDocument/2006/relationships/hyperlink" Target="https://www.fishbase.se/summary/Miichthys-miiuy.html" TargetMode="External"/><Relationship Id="rIdConfidence173" Type="http://schemas.openxmlformats.org/officeDocument/2006/relationships/hyperlink" Target="https://www.marinespecies.org/aphia.php?p=taxdetails&amp;id=218496" TargetMode="External"/><Relationship Id="rIdConfidence174" Type="http://schemas.openxmlformats.org/officeDocument/2006/relationships/hyperlink" Target="https://www.marinespecies.org/aphia.php?p=taxdetails&amp;id=125465" TargetMode="External"/><Relationship Id="rIdConfidence175" Type="http://schemas.openxmlformats.org/officeDocument/2006/relationships/hyperlink" Target="https://www.fishbase.se/summary/Coilia-nasus.html" TargetMode="External"/><Relationship Id="rIdConfidence176" Type="http://schemas.openxmlformats.org/officeDocument/2006/relationships/hyperlink" Target="validation_reports/36_1_South_China_Sea_SCS-2007_Northern_South_China_Sea_(2000s)/confidence_reassessment_20260930/existing_high_medium_input.json" TargetMode="External"/><Relationship Id="rIdConfidence177" Type="http://schemas.openxmlformats.org/officeDocument/2006/relationships/hyperlink" Target="https://www.marinespecies.org/aphia.php?p=taxdetails&amp;id=278124" TargetMode="External"/><Relationship Id="rIdConfidence178" Type="http://schemas.openxmlformats.org/officeDocument/2006/relationships/hyperlink" Target="https://www.fishbase.se/summary/Upeneus-moluccensis.html" TargetMode="External"/><Relationship Id="rIdConfidence179" Type="http://schemas.openxmlformats.org/officeDocument/2006/relationships/hyperlink" Target="https://www.fishbase.se/summary/Parupeneus-barberinus.html" TargetMode="External"/><Relationship Id="rIdConfidence180" Type="http://schemas.openxmlformats.org/officeDocument/2006/relationships/hyperlink" Target="https://www.marinespecies.org/aphia.php?p=taxdetails&amp;id=151459" TargetMode="External"/><Relationship Id="rIdConfidence181" Type="http://schemas.openxmlformats.org/officeDocument/2006/relationships/hyperlink" Target="https://www.marinespecies.org/aphia.php?p=taxdetails&amp;id=126098" TargetMode="External"/><Relationship Id="rIdConfidence182" Type="http://schemas.openxmlformats.org/officeDocument/2006/relationships/hyperlink" Target="https://www.marinespecies.org/aphia.php?p=taxdetails&amp;id=125561" TargetMode="External"/><Relationship Id="rIdConfidence183" Type="http://schemas.openxmlformats.org/officeDocument/2006/relationships/hyperlink" Target="https://www.marinespecies.org/aphia.php?p=taxdetails&amp;id=105689" TargetMode="External"/><Relationship Id="rIdConfidence184" Type="http://schemas.openxmlformats.org/officeDocument/2006/relationships/hyperlink" Target="https://www.marinespecies.org/aphia.php?p=taxdetails&amp;id=218182" TargetMode="External"/><Relationship Id="rIdConfidence185" Type="http://schemas.openxmlformats.org/officeDocument/2006/relationships/hyperlink" Target="https://fishesofaustralia.net.au/home/species/3716" TargetMode="External"/><Relationship Id="rIdConfidence186" Type="http://schemas.openxmlformats.org/officeDocument/2006/relationships/hyperlink" Target="https://www.marinespecies.org/aphia.php?p=taxdetails&amp;id=125464" TargetMode="External"/><Relationship Id="rIdConfidence187" Type="http://schemas.openxmlformats.org/officeDocument/2006/relationships/hyperlink" Target="https://www.fishbase.se/summary/Chirocentrus-dorab.html" TargetMode="External"/><Relationship Id="rIdConfidence188" Type="http://schemas.openxmlformats.org/officeDocument/2006/relationships/hyperlink" Target="https://www.fao.org/4/an020e/an020e.pdf" TargetMode="External"/><Relationship Id="rIdConfidence189" Type="http://schemas.openxmlformats.org/officeDocument/2006/relationships/hyperlink" Target="https://www.marinespecies.org/aphia.php?p=taxdetails&amp;id=127028" TargetMode="External"/><Relationship Id="rIdConfidence190" Type="http://schemas.openxmlformats.org/officeDocument/2006/relationships/hyperlink" Target="https://www.fishbase.se/summary/Thunnus-obesus.html" TargetMode="External"/><Relationship Id="rIdConfidence191" Type="http://schemas.openxmlformats.org/officeDocument/2006/relationships/hyperlink" Target="https://www.marinespecies.org/aphia.php?p=taxdetails&amp;id=106669" TargetMode="External"/><Relationship Id="rIdConfidence192" Type="http://schemas.openxmlformats.org/officeDocument/2006/relationships/hyperlink" Target="https://www.marinespecies.org/aphia.php?p=taxdetails&amp;id=210377" TargetMode="External"/><Relationship Id="rIdConfidence193" Type="http://schemas.openxmlformats.org/officeDocument/2006/relationships/hyperlink" Target="https://www.fao.org/docrep/pdf/009/y0870e/y0870e43.pdf" TargetMode="External"/><Relationship Id="rIdConfidence194" Type="http://schemas.openxmlformats.org/officeDocument/2006/relationships/hyperlink" Target="https://www.marinespecies.org/aphia.php?p=taxdetails&amp;id=159646" TargetMode="External"/><Relationship Id="rIdConfidence195" Type="http://schemas.openxmlformats.org/officeDocument/2006/relationships/hyperlink" Target="https://www.fishbase.se/summary/Selar-crumenophthalmus.html" TargetMode="External"/><Relationship Id="rIdConfidence196" Type="http://schemas.openxmlformats.org/officeDocument/2006/relationships/hyperlink" Target="https://www.marinespecies.org/aphia.php?p=taxdetails&amp;id=125721" TargetMode="External"/><Relationship Id="rIdConfidence197" Type="http://schemas.openxmlformats.org/officeDocument/2006/relationships/hyperlink" Target="https://www.fishbase.se/summary/Sardinella-aurita.html" TargetMode="External"/><Relationship Id="rIdConfidence198" Type="http://schemas.openxmlformats.org/officeDocument/2006/relationships/hyperlink" Target="https://www.marinespecies.org/aphia.php?p=taxdetails&amp;id=135224" TargetMode="External"/><Relationship Id="rIdConfidence199" Type="http://schemas.openxmlformats.org/officeDocument/2006/relationships/hyperlink" Target="https://www.marinespecies.org/aphia.php?p=taxdetails&amp;id=206924" TargetMode="External"/><Relationship Id="rIdConfidence200" Type="http://schemas.openxmlformats.org/officeDocument/2006/relationships/hyperlink" Target="https://www.fishbase.se/identification/SpeciesList.php?genus=Stolephorus" TargetMode="External"/><Relationship Id="rIdConfidence201" Type="http://schemas.openxmlformats.org/officeDocument/2006/relationships/hyperlink" Target="https://www.marinespecies.org/aphia.php?p=taxdetails&amp;id=210646" TargetMode="External"/><Relationship Id="rIdConfidence202" Type="http://schemas.openxmlformats.org/officeDocument/2006/relationships/hyperlink" Target="https://www.marinespecies.org/aphia.php?p=taxdetails&amp;id=106727" TargetMode="External"/><Relationship Id="rIdConfidence203" Type="http://schemas.openxmlformats.org/officeDocument/2006/relationships/hyperlink" Target="https://www.marinespecies.org/aphia.php?p=taxdetails&amp;id=270328" TargetMode="External"/><Relationship Id="rIdConfidence204" Type="http://schemas.openxmlformats.org/officeDocument/2006/relationships/hyperlink" Target="https://www.marinespecies.org/aphia.php?p=taxdetails&amp;id=278133" TargetMode="External"/><Relationship Id="rIdConfidence205" Type="http://schemas.openxmlformats.org/officeDocument/2006/relationships/hyperlink" Target="https://www.marinespecies.org/aphia.php?p=taxdetails&amp;id=287187" TargetMode="External"/><Relationship Id="rIdConfidence206" Type="http://schemas.openxmlformats.org/officeDocument/2006/relationships/hyperlink" Target="https://www.marinespecies.org/aphia.php?p=taxdetails&amp;id=159804" TargetMode="External"/><Relationship Id="rIdConfidence207" Type="http://schemas.openxmlformats.org/officeDocument/2006/relationships/hyperlink" Target="https://www.fao.org/4/x2401e/x2401e28.pdf" TargetMode="External"/><Relationship Id="rIdConfidence208" Type="http://schemas.openxmlformats.org/officeDocument/2006/relationships/hyperlink" Target="https://www.fao.org/4/t0046e/t0046e00.htm" TargetMode="External"/><Relationship Id="rIdConfidence209" Type="http://schemas.openxmlformats.org/officeDocument/2006/relationships/hyperlink" Target="https://www.fao.org/4/t0046e/T0046E06.pdf" TargetMode="External"/><Relationship Id="rIdConfidence210" Type="http://schemas.openxmlformats.org/officeDocument/2006/relationships/hyperlink" Target="https://www.fao.org/4/t0046e/T0046E09.pdf" TargetMode="External"/><Relationship Id="rIdConfidence211" Type="http://schemas.openxmlformats.org/officeDocument/2006/relationships/hyperlink" Target="https://www.fishbase.se/summary/Caesio-cuning.html" TargetMode="External"/><Relationship Id="rIdConfidence212" Type="http://schemas.openxmlformats.org/officeDocument/2006/relationships/hyperlink" Target="https://www.marinespecies.org/aphia.php?p=taxdetails&amp;id=107113" TargetMode="External"/><Relationship Id="rIdConfidence213" Type="http://schemas.openxmlformats.org/officeDocument/2006/relationships/hyperlink" Target="https://www.fishbase.se/summary/Cantherhines-pardalis.html" TargetMode="External"/><Relationship Id="rIdConfidence214" Type="http://schemas.openxmlformats.org/officeDocument/2006/relationships/hyperlink" Target="https://www.fishbase.se/summary/Aluterus-monoceros.html" TargetMode="External"/><Relationship Id="rIdConfidence215" Type="http://schemas.openxmlformats.org/officeDocument/2006/relationships/hyperlink" Target="https://www.marinespecies.org/aphia.php?p=taxdetails&amp;id=218426" TargetMode="External"/><Relationship Id="rIdConfidence216" Type="http://schemas.openxmlformats.org/officeDocument/2006/relationships/hyperlink" Target="https://www.fishbase.se/summary/Decapterus-macrosoma.html" TargetMode="External"/><Relationship Id="rIdConfidence217" Type="http://schemas.openxmlformats.org/officeDocument/2006/relationships/hyperlink" Target="https://www.marinespecies.org/aphia.php?p=taxdetails&amp;id=218414" TargetMode="External"/><Relationship Id="rIdConfidence218" Type="http://schemas.openxmlformats.org/officeDocument/2006/relationships/hyperlink" Target="https://www.fishbase.se/summary/Caranx-ignobilis.html" TargetMode="External"/><Relationship Id="rIdConfidence219" Type="http://schemas.openxmlformats.org/officeDocument/2006/relationships/hyperlink" Target="https://downloads.regulations.gov/NOAA-NMFS-2015-0056-0002/content.pdf" TargetMode="External"/><Relationship Id="rIdConfidence220" Type="http://schemas.openxmlformats.org/officeDocument/2006/relationships/hyperlink" Target="https://www.marinespecies.org/aphia.php?p=taxdetails&amp;id=105751" TargetMode="External"/><Relationship Id="rIdConfidence221" Type="http://schemas.openxmlformats.org/officeDocument/2006/relationships/hyperlink" Target="https://www.marinespecies.org/aphia.php?id=105853&amp;p=taxdetails" TargetMode="External"/><Relationship Id="rIdConfidence222" Type="http://schemas.openxmlformats.org/officeDocument/2006/relationships/hyperlink" Target="https://www.marinespecies.org/aphia.php?p=taxdetails&amp;id=105752" TargetMode="External"/><Relationship Id="rIdConfidence223" Type="http://schemas.openxmlformats.org/officeDocument/2006/relationships/hyperlink" Target="https://www.fishbase.se/identification/SpeciesList.php?genus=Himantura" TargetMode="External"/><Relationship Id="rIdConfidence224" Type="http://schemas.openxmlformats.org/officeDocument/2006/relationships/hyperlink" Target="https://www.fishbase.se/summary/Himantura-uarnak.html" TargetMode="External"/><Relationship Id="rIdConfidence225" Type="http://schemas.openxmlformats.org/officeDocument/2006/relationships/hyperlink" Target="https://www.fishbase.se/summary/Conger-myriaster.html" TargetMode="External"/><Relationship Id="rIdConfidence226" Type="http://schemas.openxmlformats.org/officeDocument/2006/relationships/hyperlink" Target="https://www.fao.org/docrep/pdf/009/ac480e/ac480e10.pdf" TargetMode="External"/><Relationship Id="rIdConfidence227" Type="http://schemas.openxmlformats.org/officeDocument/2006/relationships/hyperlink" Target="https://www.marinespecies.org/aphia.php?p=taxdetails&amp;id=281273" TargetMode="External"/><Relationship Id="rIdConfidence228" Type="http://schemas.openxmlformats.org/officeDocument/2006/relationships/hyperlink" Target="https://www.fishbase.se/summary/Larimichthys-polyactis.html" TargetMode="External"/><Relationship Id="rIdConfidence229" Type="http://schemas.openxmlformats.org/officeDocument/2006/relationships/hyperlink" Target="https://www.marinespecies.org/aphia.php?p=taxdetails&amp;id=125718" TargetMode="External"/><Relationship Id="rIdConfidence230" Type="http://schemas.openxmlformats.org/officeDocument/2006/relationships/hyperlink" Target="https://www.fishbase.se/identification/SpeciesList.php?genus=Dussumieria" TargetMode="External"/><Relationship Id="rIdConfidence231" Type="http://schemas.openxmlformats.org/officeDocument/2006/relationships/hyperlink" Target="https://www.marinespecies.org/aphia.php?p=taxdetails&amp;id=138477" TargetMode="External"/><Relationship Id="rIdConfidence232" Type="http://schemas.openxmlformats.org/officeDocument/2006/relationships/hyperlink" Target="https://www.fishbase.se/summary/Paralichthys-olivaceus.html" TargetMode="External"/><Relationship Id="rIdConfidence233" Type="http://schemas.openxmlformats.org/officeDocument/2006/relationships/hyperlink" Target="https://www.marinespecies.org/aphia.php?p=taxdetails&amp;id=273765" TargetMode="External"/><Relationship Id="rIdConfidence234" Type="http://schemas.openxmlformats.org/officeDocument/2006/relationships/hyperlink" Target="https://www.marinespecies.org/aphia.php?p=taxdetails&amp;id=1061754" TargetMode="External"/><Relationship Id="rIdConfidence235" Type="http://schemas.openxmlformats.org/officeDocument/2006/relationships/hyperlink" Target="https://www.fishbase.se/identification/SpeciesList.php?famcode=504" TargetMode="External"/><Relationship Id="rIdConfidence236" Type="http://schemas.openxmlformats.org/officeDocument/2006/relationships/hyperlink" Target="https://www.fishbase.se/summary/1850" TargetMode="External"/><Relationship Id="rIdConfidence237" Type="http://schemas.openxmlformats.org/officeDocument/2006/relationships/hyperlink" Target="https://www.fishbase.se/summary/Lethrinus-miniatus.html" TargetMode="External"/><Relationship Id="rIdConfidence238" Type="http://schemas.openxmlformats.org/officeDocument/2006/relationships/hyperlink" Target="https://www.fishbase.se/identification/SpeciesList.php?genus=Lethrinus" TargetMode="External"/><Relationship Id="rIdConfidence239" Type="http://schemas.openxmlformats.org/officeDocument/2006/relationships/hyperlink" Target="https://www.marinespecies.org/aphia.php?p=taxdetails&amp;id=125551" TargetMode="External"/><Relationship Id="rIdConfidence240" Type="http://schemas.openxmlformats.org/officeDocument/2006/relationships/hyperlink" Target="https://www.fao.org/4/y5398e/y5398e03.pdf" TargetMode="External"/><Relationship Id="rIdConfidence241" Type="http://schemas.openxmlformats.org/officeDocument/2006/relationships/hyperlink" Target="https://www.marinespecies.org/aphia.php?p=taxdetails&amp;id=159259" TargetMode="External"/><Relationship Id="rIdConfidence242" Type="http://schemas.openxmlformats.org/officeDocument/2006/relationships/hyperlink" Target="https://www.fishbase.se/summary/Tylosurus-crocodilus.html" TargetMode="External"/><Relationship Id="rIdConfidence243" Type="http://schemas.openxmlformats.org/officeDocument/2006/relationships/hyperlink" Target="https://www.marinespecies.org/aphia.php?p=taxdetails&amp;id=273807" TargetMode="External"/><Relationship Id="rIdConfidence244" Type="http://schemas.openxmlformats.org/officeDocument/2006/relationships/hyperlink" Target="https://www.fishbase.se/summary/Rastrelliger-brachysoma.html" TargetMode="External"/><Relationship Id="rIdConfidence245" Type="http://schemas.openxmlformats.org/officeDocument/2006/relationships/hyperlink" Target="https://www.marinespecies.org/aphia.php?p=taxdetails&amp;id=218200" TargetMode="External"/><Relationship Id="rIdConfidence246" Type="http://schemas.openxmlformats.org/officeDocument/2006/relationships/hyperlink" Target="https://www.marinespecies.org/aphia.php?p=taxdetails&amp;id=1888072" TargetMode="External"/><Relationship Id="rIdConfidence247" Type="http://schemas.openxmlformats.org/officeDocument/2006/relationships/hyperlink" Target="https://www.fishbase.se/summary/Scyris-indica.html" TargetMode="External"/><Relationship Id="rIdConfidence248" Type="http://schemas.openxmlformats.org/officeDocument/2006/relationships/hyperlink" Target="https://www.marinespecies.org/aphia.php?p=taxdetails&amp;id=127075" TargetMode="External"/><Relationship Id="rIdConfidence249" Type="http://schemas.openxmlformats.org/officeDocument/2006/relationships/hyperlink" Target="https://www.fishbase.se/summary/Oxyconger-leptognathus.html" TargetMode="External"/><Relationship Id="rIdConfidence250" Type="http://schemas.openxmlformats.org/officeDocument/2006/relationships/hyperlink" Target="https://www.marinespecies.org/aphia.php?p=taxdetails&amp;id=105743" TargetMode="External"/><Relationship Id="rIdConfidence251" Type="http://schemas.openxmlformats.org/officeDocument/2006/relationships/hyperlink" Target="https://www.fishbase.se/summary/Isurus-paucus.html" TargetMode="External"/><Relationship Id="rIdConfidence252" Type="http://schemas.openxmlformats.org/officeDocument/2006/relationships/hyperlink" Target="https://www.fishbase.se/identification/SpeciesList.php?genus=Isurus" TargetMode="External"/><Relationship Id="rIdConfidence253" Type="http://schemas.openxmlformats.org/officeDocument/2006/relationships/hyperlink" Target="https://www.marinespecies.org/aphia.php?p=taxdetails&amp;id=126036" TargetMode="External"/><Relationship Id="rIdConfidence254" Type="http://schemas.openxmlformats.org/officeDocument/2006/relationships/hyperlink" Target="https://www.fishbase.se/identification/SpeciesList.php?genus=Upeneus" TargetMode="External"/><Relationship Id="rIdConfidence255" Type="http://schemas.openxmlformats.org/officeDocument/2006/relationships/hyperlink" Target="https://www.fishbase.se/summary/Upeneus-taeniopterus.html" TargetMode="External"/><Relationship Id="rIdConfidence256" Type="http://schemas.openxmlformats.org/officeDocument/2006/relationships/hyperlink" Target="https://www.fishbase.se/identification/SpeciesList.php?genus=Pomadasys" TargetMode="External"/><Relationship Id="rIdConfidence257" Type="http://schemas.openxmlformats.org/officeDocument/2006/relationships/hyperlink" Target="https://www.fishbase.se/summary/Pomadasys-quadrilineatus.html" TargetMode="External"/><Relationship Id="rIdConfidence258" Type="http://schemas.openxmlformats.org/officeDocument/2006/relationships/hyperlink" Target="https://www.fishbase.se/summary/Pomadasys-argenteus.html" TargetMode="External"/><Relationship Id="rIdConfidence259" Type="http://schemas.openxmlformats.org/officeDocument/2006/relationships/hyperlink" Target="https://www.jstage.jst.go.jp/article/jsfo/85/3/85_153/_pdf" TargetMode="External"/><Relationship Id="rIdConfidence260" Type="http://schemas.openxmlformats.org/officeDocument/2006/relationships/hyperlink" Target="https://www.marinespecies.org/aphia.php?p=taxdetails&amp;id=217452" TargetMode="External"/><Relationship Id="rIdConfidence261" Type="http://schemas.openxmlformats.org/officeDocument/2006/relationships/hyperlink" Target="https://www.fishbase.se/summary/Sardinops-sagax.html" TargetMode="External"/><Relationship Id="rIdConfidence262" Type="http://schemas.openxmlformats.org/officeDocument/2006/relationships/hyperlink" Target="https://www.marinespecies.org/aphia.php?p=taxdetails&amp;id=126419" TargetMode="External"/><Relationship Id="rIdConfidence263" Type="http://schemas.openxmlformats.org/officeDocument/2006/relationships/hyperlink" Target="https://www.fishbase.se/summary/Dussumieria-acuta.html" TargetMode="External"/><Relationship Id="rIdConfidence264" Type="http://schemas.openxmlformats.org/officeDocument/2006/relationships/hyperlink" Target="https://www.marinespecies.org/aphia.php?p=taxdetails&amp;id=273860" TargetMode="External"/><Relationship Id="rIdConfidence265" Type="http://schemas.openxmlformats.org/officeDocument/2006/relationships/hyperlink" Target="https://www.marinespecies.org/aphia.php?p=taxdetails&amp;id=125518" TargetMode="External"/><Relationship Id="rIdConfidence266" Type="http://schemas.openxmlformats.org/officeDocument/2006/relationships/hyperlink" Target="https://www.fao.org/docrep/pdf/009/y0770e/y0770e02.pdf" TargetMode="External"/><Relationship Id="rIdConfidence267" Type="http://schemas.openxmlformats.org/officeDocument/2006/relationships/hyperlink" Target="https://fishesofaustralia.net.au/home/species/580" TargetMode="External"/><Relationship Id="rIdConfidence268" Type="http://schemas.openxmlformats.org/officeDocument/2006/relationships/hyperlink" Target="https://www.marinespecies.org/aphia.php?p=taxdetails&amp;id=280223" TargetMode="External"/><Relationship Id="rIdConfidence269" Type="http://schemas.openxmlformats.org/officeDocument/2006/relationships/hyperlink" Target="https://www.fishbase.se/summary/Clupanodon-thrissa.html" TargetMode="External"/><Relationship Id="rIdConfidence270" Type="http://schemas.openxmlformats.org/officeDocument/2006/relationships/hyperlink" Target="https://www.marinespecies.org/aphia.php?p=taxdetails&amp;id=127020" TargetMode="External"/><Relationship Id="rIdConfidence271" Type="http://schemas.openxmlformats.org/officeDocument/2006/relationships/hyperlink" Target="https://www.fishbase.se/summary/Rastrelliger-kanagurta.html" TargetMode="External"/><Relationship Id="rIdConfidence272" Type="http://schemas.openxmlformats.org/officeDocument/2006/relationships/hyperlink" Target="https://www.fishbase.se/summary/Parastromateus-niger.html" TargetMode="External"/><Relationship Id="rIdConfidence273" Type="http://schemas.openxmlformats.org/officeDocument/2006/relationships/hyperlink" Target="https://www.marinespecies.org/aphia.php?p=taxdetails&amp;id=282196" TargetMode="External"/><Relationship Id="rIdConfidence274" Type="http://schemas.openxmlformats.org/officeDocument/2006/relationships/hyperlink" Target="https://www.fao.org/docrep/pdf/009/ac480e/ac480e06.pdf" TargetMode="External"/><Relationship Id="rIdConfidence275" Type="http://schemas.openxmlformats.org/officeDocument/2006/relationships/hyperlink" Target="https://www.fao.org/docrep/pdf/009/ac480e/ac480e07.pdf" TargetMode="External"/><Relationship Id="rIdConfidence276" Type="http://schemas.openxmlformats.org/officeDocument/2006/relationships/hyperlink" Target="https://www.marinespecies.org/aphia.php?p=taxdetails&amp;id=125567" TargetMode="External"/><Relationship Id="rIdConfidence277" Type="http://schemas.openxmlformats.org/officeDocument/2006/relationships/hyperlink" Target="https://www.marinespecies.org/aphia.php?p=taxdetails&amp;id=218497" TargetMode="External"/><Relationship Id="rIdConfidence278" Type="http://schemas.openxmlformats.org/officeDocument/2006/relationships/hyperlink" Target="https://www.marinespecies.org/aphia.php?p=taxdetails&amp;id=151453" TargetMode="External"/><Relationship Id="rIdConfidence279" Type="http://schemas.openxmlformats.org/officeDocument/2006/relationships/hyperlink" Target="https://www.marinespecies.org/aphia.php?p=taxdetails&amp;id=126989" TargetMode="External"/><Relationship Id="rIdConfidence280" Type="http://schemas.openxmlformats.org/officeDocument/2006/relationships/hyperlink" Target="https://www.fishbase.se/summary/Canthigaster-rivulata.html" TargetMode="External"/><Relationship Id="rIdConfidence281" Type="http://schemas.openxmlformats.org/officeDocument/2006/relationships/hyperlink" Target="https://www.fishbase.se/summary/Mugil-cephalus.html" TargetMode="External"/><Relationship Id="rIdConfidence282" Type="http://schemas.openxmlformats.org/officeDocument/2006/relationships/hyperlink" Target="https://www.fishbase.se/summary/Planiliza-haematocheilus.html" TargetMode="External"/><Relationship Id="rIdConfidence283" Type="http://schemas.openxmlformats.org/officeDocument/2006/relationships/hyperlink" Target="https://www.fishbase.se/summary/10310" TargetMode="External"/><Relationship Id="rIdConfidence284" Type="http://schemas.openxmlformats.org/officeDocument/2006/relationships/hyperlink" Target="https://www.fishbase.se/summary/Platycephalus-indicus.html" TargetMode="External"/><Relationship Id="rIdConfidence285" Type="http://schemas.openxmlformats.org/officeDocument/2006/relationships/hyperlink" Target="https://www.fishbase.se/summary/Pseudorhombus-pentophthalmus.html" TargetMode="External"/><Relationship Id="rIdConfidence286" Type="http://schemas.openxmlformats.org/officeDocument/2006/relationships/hyperlink" Target="https://www.marinespecies.org/aphia.php?p=taxdetails&amp;id=273302" TargetMode="External"/><Relationship Id="rIdConfidence287" Type="http://schemas.openxmlformats.org/officeDocument/2006/relationships/hyperlink" Target="https://www.fishbase.se/summary/Trachurus-japonicus.html" TargetMode="External"/><Relationship Id="rIdConfidence288" Type="http://schemas.openxmlformats.org/officeDocument/2006/relationships/hyperlink" Target="https://www.marinespecies.org/aphia.php?p=taxdetails&amp;id=210375" TargetMode="External"/><Relationship Id="rIdConfidence289" Type="http://schemas.openxmlformats.org/officeDocument/2006/relationships/hyperlink" Target="https://www.marinespecies.org/aphia.php?p=taxdetails&amp;id=105740" TargetMode="External"/><Relationship Id="rIdConfidence290" Type="http://schemas.openxmlformats.org/officeDocument/2006/relationships/hyperlink" Target="https://www.fishbase.se/identification/SpeciesList.php?genus=Alopias" TargetMode="External"/><Relationship Id="rIdConfidence291" Type="http://schemas.openxmlformats.org/officeDocument/2006/relationships/hyperlink" Target="https://www.fishbase.se/summary/Alopias-superciliosus.html" TargetMode="External"/><Relationship Id="rIdConfidence292" Type="http://schemas.openxmlformats.org/officeDocument/2006/relationships/hyperlink" Target="https://www.fishbase.se/summary/Alopias-pelagicus.html" TargetMode="External"/><Relationship Id="rIdConfidence293" Type="http://schemas.openxmlformats.org/officeDocument/2006/relationships/hyperlink" Target="https://www.fishbase.se/summary/Alopias-vulpinus.html" TargetMode="External"/><Relationship Id="rIdConfidence294" Type="http://schemas.openxmlformats.org/officeDocument/2006/relationships/hyperlink" Target="https://www.marinespecies.org/aphia.php?p=taxdetails&amp;id=126816" TargetMode="External"/><Relationship Id="rIdConfidence295" Type="http://schemas.openxmlformats.org/officeDocument/2006/relationships/hyperlink" Target="https://www.fishbase.se/summary/Seriola-dumerili.html" TargetMode="External"/><Relationship Id="rIdConfidence296" Type="http://schemas.openxmlformats.org/officeDocument/2006/relationships/hyperlink" Target="https://www.marinespecies.org/aphia.php?p=taxdetails&amp;id=272273" TargetMode="External"/><Relationship Id="rIdConfidence297" Type="http://schemas.openxmlformats.org/officeDocument/2006/relationships/hyperlink" Target="https://www.fishbase.se/summary/Sardinella-lemuru.html" TargetMode="External"/><Relationship Id="rIdConfidence298" Type="http://schemas.openxmlformats.org/officeDocument/2006/relationships/hyperlink" Target="https://www.marinespecies.org/aphia.php?p=taxdetails&amp;id=217864" TargetMode="External"/><Relationship Id="rIdConfidence299" Type="http://schemas.openxmlformats.org/officeDocument/2006/relationships/hyperlink" Target="https://www.fishbase.se/summary/Cypselurus-poecilopterus.html" TargetMode="External"/><Relationship Id="rIdConfidence300" Type="http://schemas.openxmlformats.org/officeDocument/2006/relationships/hyperlink" Target="https://www.marinespecies.org/aphia.php?p=taxdetails&amp;id=762806" TargetMode="External"/><Relationship Id="rIdConfidence301" Type="http://schemas.openxmlformats.org/officeDocument/2006/relationships/hyperlink" Target="https://www.marinespecies.org/aphia.php?p=taxdetails&amp;id=106923" TargetMode="External"/><Relationship Id="rIdConfidence302" Type="http://schemas.openxmlformats.org/officeDocument/2006/relationships/hyperlink" Target="https://www.fishbase.se/identification/SpeciesList.php?genus=Terapon" TargetMode="External"/><Relationship Id="rIdConfidence303" Type="http://schemas.openxmlformats.org/officeDocument/2006/relationships/hyperlink" Target="https://www.marinespecies.org/aphia.php?p=taxdetails&amp;id=101" TargetMode="External"/><Relationship Id="rIdConfidence304" Type="http://schemas.openxmlformats.org/officeDocument/2006/relationships/hyperlink" Target="https://www.fishbase.se/summary/Chelidonichthys-kumu.html" TargetMode="External"/><Relationship Id="rIdConfidence305" Type="http://schemas.openxmlformats.org/officeDocument/2006/relationships/hyperlink" Target="https://www.marinespecies.org/aphia.php?p=taxdetails&amp;id=272269" TargetMode="External"/><Relationship Id="rIdConfidence306" Type="http://schemas.openxmlformats.org/officeDocument/2006/relationships/hyperlink" Target="https://www.fishbase.se/summary/Sardinella-fimbriata.html" TargetMode="External"/><Relationship Id="rIdConfidence307" Type="http://schemas.openxmlformats.org/officeDocument/2006/relationships/hyperlink" Target="https://www.marinespecies.org/aphia.php?p=taxdetails&amp;id=277902" TargetMode="External"/><Relationship Id="rIdConfidence308" Type="http://schemas.openxmlformats.org/officeDocument/2006/relationships/hyperlink" Target="https://www.fishbase.se/identification/SpeciesList.php?genus=Plotosus" TargetMode="External"/><Relationship Id="rIdConfidence309" Type="http://schemas.openxmlformats.org/officeDocument/2006/relationships/hyperlink" Target="https://fishbase.se/summary/65357" TargetMode="External"/><Relationship Id="rIdConfidence310" Type="http://schemas.openxmlformats.org/officeDocument/2006/relationships/hyperlink" Target="https://www.marinespecies.org/aphia.php?p=taxdetails&amp;id=219715" TargetMode="External"/><Relationship Id="rIdConfidence311" Type="http://schemas.openxmlformats.org/officeDocument/2006/relationships/hyperlink" Target="https://www.fishbase.se/summary/Scomber-australasicus.html" TargetMode="External"/><Relationship Id="rIdConfidence312" Type="http://schemas.openxmlformats.org/officeDocument/2006/relationships/hyperlink" Target="https://www.marinespecies.org/aphia.php?p=taxdetails&amp;id=10297" TargetMode="External"/><Relationship Id="rIdConfidence313" Type="http://schemas.openxmlformats.org/officeDocument/2006/relationships/hyperlink" Target="https://www.marinespecies.org/aphia.php?p=taxdetails&amp;id=51" TargetMode="External"/><Relationship Id="rIdConfidence314" Type="http://schemas.openxmlformats.org/officeDocument/2006/relationships/hyperlink" Target="https://www.marinespecies.org/aphia.php?p=taxdetails&amp;id=218381" TargetMode="External"/><Relationship Id="rIdConfidence315" Type="http://schemas.openxmlformats.org/officeDocument/2006/relationships/hyperlink" Target="https://www.fishbase.se/summary/Lactarius-lactarius.html" TargetMode="External"/><Relationship Id="rIdConfidence316" Type="http://schemas.openxmlformats.org/officeDocument/2006/relationships/hyperlink" Target="https://www.marinespecies.org/aphia.php?p=taxdetails&amp;id=106818" TargetMode="External"/><Relationship Id="rIdConfidence317" Type="http://schemas.openxmlformats.org/officeDocument/2006/relationships/hyperlink" Target="https://www.fishbase.se/summary/12566" TargetMode="External"/><Relationship Id="rIdConfidence318" Type="http://schemas.openxmlformats.org/officeDocument/2006/relationships/hyperlink" Target="https://www.fishbase.se/summary/bothus-mancus" TargetMode="External"/><Relationship Id="rIdConfidence319" Type="http://schemas.openxmlformats.org/officeDocument/2006/relationships/hyperlink" Target="https://www.marinespecies.org/aphia.php?p=taxdetails&amp;id=218515" TargetMode="External"/><Relationship Id="rIdConfidence320" Type="http://schemas.openxmlformats.org/officeDocument/2006/relationships/hyperlink" Target="https://www.marinespecies.org/aphia.php?p=taxdetails&amp;id=127006" TargetMode="External"/><Relationship Id="rIdConfidence321" Type="http://schemas.openxmlformats.org/officeDocument/2006/relationships/hyperlink" Target="https://www.fishbase.se/summary/Rachycentron-canadum.html" TargetMode="External"/><Relationship Id="rIdConfidence322" Type="http://schemas.openxmlformats.org/officeDocument/2006/relationships/hyperlink" Target="https://www.fao.org/4/t0438e/t0438e21.pdf" TargetMode="External"/><Relationship Id="rIdConfidence323" Type="http://schemas.openxmlformats.org/officeDocument/2006/relationships/hyperlink" Target="https://www.st.nmfs.noaa.gov/spo/SPO/tr82opt.pdf" TargetMode="External"/><Relationship Id="rIdConfidence324" Type="http://schemas.openxmlformats.org/officeDocument/2006/relationships/hyperlink" Target="https://researcharchive.calacademy.org/research/ichthyology/catalog/fishcatget.asp?family=Istiophoridae&amp;tbl=species" TargetMode="External"/><Relationship Id="rIdConfidence325" Type="http://schemas.openxmlformats.org/officeDocument/2006/relationships/hyperlink" Target="https://www.fishbase.se/summary/Sebastapistes-cyanostigma.html" TargetMode="External"/><Relationship Id="rIdConfidence326" Type="http://schemas.openxmlformats.org/officeDocument/2006/relationships/hyperlink" Target="https://www.marinespecies.org/aphia.php?p=taxdetails&amp;id=106930" TargetMode="External"/><Relationship Id="rIdConfidence327" Type="http://schemas.openxmlformats.org/officeDocument/2006/relationships/hyperlink" Target="https://www.marinespecies.org/aphia.php?p=taxdetails&amp;id=125537" TargetMode="External"/><Relationship Id="rIdConfidence328" Type="http://schemas.openxmlformats.org/officeDocument/2006/relationships/hyperlink" Target="https://fishbase.se/Country/CountryChecklist.php?c_code=156&amp;cpresence=Reported&amp;ext_CL=on&amp;ext_pic=on&amp;resultPage=14&amp;sortby=alpha2&amp;trpp=50&amp;vhabitat=fresh&amp;what=list" TargetMode="External"/><Relationship Id="rIdConfidence329" Type="http://schemas.openxmlformats.org/officeDocument/2006/relationships/hyperlink" Target="https://agris.fao.org/search/zh/records/647481a12d3f560f80b1a875" TargetMode="External"/><Relationship Id="rIdConfidence330" Type="http://schemas.openxmlformats.org/officeDocument/2006/relationships/hyperlink" Target="https://www.marinespecies.org/aphia.php?p=taxdetails&amp;id=106822" TargetMode="External"/><Relationship Id="rIdConfidence331" Type="http://schemas.openxmlformats.org/officeDocument/2006/relationships/hyperlink" Target="https://www.fishbase.se/identification/SpeciesList.php?genus=Cynoglossus" TargetMode="External"/><Relationship Id="rIdConfidence332" Type="http://schemas.openxmlformats.org/officeDocument/2006/relationships/hyperlink" Target="https://www.fishbase.se/summary/Cynoglossus-arel.html" TargetMode="External"/><Relationship Id="rIdConfidence333" Type="http://schemas.openxmlformats.org/officeDocument/2006/relationships/hyperlink" Target="https://www.fao.org/4/x2400e/x2400e12.pdf" TargetMode="External"/><Relationship Id="rIdConfidence334" Type="http://schemas.openxmlformats.org/officeDocument/2006/relationships/hyperlink" Target="https://www.marinespecies.org/aphia.php?p=taxdetails&amp;id=218438" TargetMode="External"/><Relationship Id="rIdConfidence335" Type="http://schemas.openxmlformats.org/officeDocument/2006/relationships/hyperlink" Target="https://www.fishbase.se/summary/Seriolina-nigrofasciata.html" TargetMode="External"/><Relationship Id="rIdConfidence336" Type="http://schemas.openxmlformats.org/officeDocument/2006/relationships/hyperlink" Target="https://www.fishbase.se/summary/Eleutheronema-tetradactylum.html" TargetMode="External"/><Relationship Id="rIdConfidence337" Type="http://schemas.openxmlformats.org/officeDocument/2006/relationships/hyperlink" Target="https://repository.seafdec.or.th/bitstream/handle/20.500.12067/969/fishery-resources.pdf" TargetMode="External"/><Relationship Id="rIdConfidence338" Type="http://schemas.openxmlformats.org/officeDocument/2006/relationships/hyperlink" Target="https://www.marinespecies.org/aphia.php?p=taxdetails&amp;id=1071" TargetMode="External"/><Relationship Id="rIdConfidence339" Type="http://schemas.openxmlformats.org/officeDocument/2006/relationships/hyperlink" Target="https://www.fishbase.se/summary/Lateolabrax-japonicus.html" TargetMode="External"/><Relationship Id="rIdConfidence340" Type="http://schemas.openxmlformats.org/officeDocument/2006/relationships/hyperlink" Target="https://www.fishbase.se/summary/Pagrus-auratus.html" TargetMode="External"/><Relationship Id="rIdConfidence341" Type="http://schemas.openxmlformats.org/officeDocument/2006/relationships/hyperlink" Target="https://www.marinespecies.org/aphia.php?p=taxdetails&amp;id=158703" TargetMode="External"/><Relationship Id="rIdConfidence342" Type="http://schemas.openxmlformats.org/officeDocument/2006/relationships/hyperlink" Target="https://www.fishbase.se/identification/SpeciesList.php?genus=Thryssa" TargetMode="External"/><Relationship Id="rIdConfidence343" Type="http://schemas.openxmlformats.org/officeDocument/2006/relationships/hyperlink" Target="https://www.fishbase.se/summary/Thryssa-hamiltonii.html" TargetMode="External"/><Relationship Id="rIdConfidence344" Type="http://schemas.openxmlformats.org/officeDocument/2006/relationships/hyperlink" Target="https://www.fishbase.se/identification/SpeciesList.php?genus=Sillago" TargetMode="External"/><Relationship Id="rIdConfidence345" Type="http://schemas.openxmlformats.org/officeDocument/2006/relationships/hyperlink" Target="https://www.fao.org/4/x2400e/x2400e48.pdf" TargetMode="External"/><Relationship Id="rIdConfidence346" Type="http://schemas.openxmlformats.org/officeDocument/2006/relationships/hyperlink" Target="https://www.fishbase.se/summary/Sillago-sihama.html" TargetMode="External"/><Relationship Id="rIdConfidence347" Type="http://schemas.openxmlformats.org/officeDocument/2006/relationships/hyperlink" Target="https://www.marinespecies.org/aphia.php?p=taxdetails&amp;id=140605" TargetMode="External"/><Relationship Id="rIdConfidence348" Type="http://schemas.openxmlformats.org/officeDocument/2006/relationships/hyperlink" Target="https://www.fishbase.se/identification/SpeciesList.php?genus=Plectorhinchus" TargetMode="External"/><Relationship Id="rIdConfidence349" Type="http://schemas.openxmlformats.org/officeDocument/2006/relationships/hyperlink" Target="https://www.marinespecies.org/aphia.php?p=taxdetails&amp;id=279626" TargetMode="External"/><Relationship Id="rIdConfidence350" Type="http://schemas.openxmlformats.org/officeDocument/2006/relationships/hyperlink" Target="https://www.fishbase.se/summary/Anodontostoma-chacunda.html" TargetMode="External"/><Relationship Id="rIdConfidence351" Type="http://schemas.openxmlformats.org/officeDocument/2006/relationships/hyperlink" Target="https://www.marinespecies.org/aphia.php?p=taxdetails&amp;id=273993" TargetMode="External"/><Relationship Id="rIdConfidence352" Type="http://schemas.openxmlformats.org/officeDocument/2006/relationships/hyperlink" Target="https://www.fishbase.se/summary/Lobotes-surinamensis.html" TargetMode="External"/><Relationship Id="rIdConfidence353" Type="http://schemas.openxmlformats.org/officeDocument/2006/relationships/hyperlink" Target="https://www.marinespecies.org/aphia.php?p=taxdetails&amp;id=158343" TargetMode="External"/><Relationship Id="rIdConfidence354" Type="http://schemas.openxmlformats.org/officeDocument/2006/relationships/hyperlink" Target="https://www.marinespecies.org/aphia.php?p=taxdetails&amp;id=208814" TargetMode="External"/><Relationship Id="rIdConfidence355" Type="http://schemas.openxmlformats.org/officeDocument/2006/relationships/hyperlink" Target="https://www.marinespecies.org/aphia.php?p=taxdetails&amp;id=203906" TargetMode="External"/><Relationship Id="rIdConfidence356" Type="http://schemas.openxmlformats.org/officeDocument/2006/relationships/hyperlink" Target="https://www.marinespecies.org/aphia.php?p=taxdetails&amp;id=218451" TargetMode="External"/><Relationship Id="rIdConfidence357" Type="http://schemas.openxmlformats.org/officeDocument/2006/relationships/hyperlink" Target="https://www.fishbase.se/summary/Gazza-minuta.html" TargetMode="External"/><Relationship Id="rIdConfidence358" Type="http://schemas.openxmlformats.org/officeDocument/2006/relationships/hyperlink" Target="https://www.marinespecies.org/aphia.php?p=taxdetails&amp;id=106795" TargetMode="External"/><Relationship Id="rIdConfidence359" Type="http://schemas.openxmlformats.org/officeDocument/2006/relationships/hyperlink" Target="https://www.marinespecies.org/aphia.php?p=taxdetails&amp;id=127405" TargetMode="External"/><Relationship Id="rIdConfidence360" Type="http://schemas.openxmlformats.org/officeDocument/2006/relationships/hyperlink" Target="https://www.fishbase.se/summary/Mola-mola.html" TargetMode="External"/><Relationship Id="rIdConfidence361" Type="http://schemas.openxmlformats.org/officeDocument/2006/relationships/hyperlink" Target="https://www.fishbase.se/summary/Gerres-limbatus.html" TargetMode="External"/><Relationship Id="rIdConfidence362" Type="http://schemas.openxmlformats.org/officeDocument/2006/relationships/hyperlink" Target="https://www.fishbase.se/summary/Gerres-filamentosus.html" TargetMode="External"/><Relationship Id="rIdConfidence363" Type="http://schemas.openxmlformats.org/officeDocument/2006/relationships/hyperlink" Target="https://www.marinespecies.org/aphia.php?p=taxdetails&amp;id=218427" TargetMode="External"/><Relationship Id="rIdConfidence364" Type="http://schemas.openxmlformats.org/officeDocument/2006/relationships/hyperlink" Target="https://www.marinespecies.org/aphia.php?p=taxdetails&amp;id=106763" TargetMode="External"/><Relationship Id="rIdConfidence365" Type="http://schemas.openxmlformats.org/officeDocument/2006/relationships/hyperlink" Target="https://www.marinespecies.org/aphia.php?p=taxdetails&amp;id=377538" TargetMode="External"/><Relationship Id="rIdConfidence366" Type="http://schemas.openxmlformats.org/officeDocument/2006/relationships/hyperlink" Target="https://www.fishbase.se/summary/Psammoperca-waigiensis.html" TargetMode="External"/><Relationship Id="rIdConfidence367" Type="http://schemas.openxmlformats.org/officeDocument/2006/relationships/hyperlink" Target="https://www.marinespecies.org/aphia.php?p=taxdetails&amp;id=205222" TargetMode="External"/><Relationship Id="rIdConfidence368" Type="http://schemas.openxmlformats.org/officeDocument/2006/relationships/hyperlink" Target="https://www.fishbase.se/summary/Drepane-punctata.html" TargetMode="External"/><Relationship Id="rIdConfidence369" Type="http://schemas.openxmlformats.org/officeDocument/2006/relationships/hyperlink" Target="https://www.fishbase.se/summary/7692" TargetMode="External"/><Relationship Id="rIdConfidence370" Type="http://schemas.openxmlformats.org/officeDocument/2006/relationships/hyperlink" Target="https://www.fao.org/4/r7066e/r7066e21.pdf" TargetMode="External"/><Relationship Id="rIdConfidence371" Type="http://schemas.openxmlformats.org/officeDocument/2006/relationships/hyperlink" Target="https://fishbase.se/Fieldguide/FieldGuideSummary.php?c_code=608&amp;genusname=Siganus&amp;speciesname=canaliculatus" TargetMode="External"/><Relationship Id="rIdConfidence372" Type="http://schemas.openxmlformats.org/officeDocument/2006/relationships/hyperlink" Target="https://www.fishbase.se/summary/Siganus-spinus.html" TargetMode="External"/><Relationship Id="rIdConfidence373" Type="http://schemas.openxmlformats.org/officeDocument/2006/relationships/hyperlink" Target="https://www.fishbase.se/summary/Siganus-javus.html" TargetMode="External"/><Relationship Id="rIdConfidence374" Type="http://schemas.openxmlformats.org/officeDocument/2006/relationships/hyperlink" Target="https://www.marinespecies.org/aphia.php?p=taxdetails&amp;id=210371" TargetMode="External"/><Relationship Id="rIdConfidence375" Type="http://schemas.openxmlformats.org/officeDocument/2006/relationships/hyperlink" Target="https://www.fishbase.se/summary/Atrobucca-nibe.html" TargetMode="External"/><Relationship Id="rIdConfidence376" Type="http://schemas.openxmlformats.org/officeDocument/2006/relationships/hyperlink" Target="https://www.marinespecies.org/aphia.php?p=taxdetails&amp;id=125452" TargetMode="External"/><Relationship Id="rIdConfidence377" Type="http://schemas.openxmlformats.org/officeDocument/2006/relationships/hyperlink" Target="https://www.fishbase.se/summary/Cheilopogon-unicolor.html" TargetMode="External"/><Relationship Id="rIdConfidence378" Type="http://schemas.openxmlformats.org/officeDocument/2006/relationships/hyperlink" Target="https://www.fishbase.se/summary/Rhinecanthus-verrucosus.html" TargetMode="External"/><Relationship Id="rIdConfidence379" Type="http://schemas.openxmlformats.org/officeDocument/2006/relationships/hyperlink" Target="https://www.marinespecies.org/aphia.php?p=taxdetails&amp;id=105" TargetMode="External"/><Relationship Id="rIdConfidence380" Type="http://schemas.openxmlformats.org/officeDocument/2006/relationships/hyperlink" Target="https://www.marinespecies.org/aphia.php?p=taxdetails&amp;id=1803656" TargetMode="External"/><Relationship Id="rIdConfidence381" Type="http://schemas.openxmlformats.org/officeDocument/2006/relationships/hyperlink" Target="https://www.fishbase.se/summary/Platycaranx-talamparoides.html" TargetMode="External"/><Relationship Id="rIdConfidence382" Type="http://schemas.openxmlformats.org/officeDocument/2006/relationships/hyperlink" Target="https://www.marinespecies.org/aphia.php?p=taxdetails&amp;id=106731" TargetMode="External"/><Relationship Id="rIdConfidence383" Type="http://schemas.openxmlformats.org/officeDocument/2006/relationships/hyperlink" Target="https://www.marinespecies.org/aphia.php?p=taxdetails&amp;id=504471" TargetMode="External"/><Relationship Id="rIdConfidence384" Type="http://schemas.openxmlformats.org/officeDocument/2006/relationships/hyperlink" Target="https://www.marinespecies.org/aphia.php?p=taxdetails&amp;id=210372" TargetMode="External"/><Relationship Id="rIdConfidence385" Type="http://schemas.openxmlformats.org/officeDocument/2006/relationships/hyperlink" Target="https://www.marinespecies.org/aphia.php?p=taxdetails&amp;id=106794" TargetMode="External"/><Relationship Id="rIdConfidence386" Type="http://schemas.openxmlformats.org/officeDocument/2006/relationships/hyperlink" Target="https://www.marinespecies.org/aphia.php?p=taxdetails&amp;id=123082" TargetMode="External"/><Relationship Id="rIdConfidence387" Type="http://schemas.openxmlformats.org/officeDocument/2006/relationships/hyperlink" Target="https://www.fishbase.se/summary/Beryx-splendens.html" TargetMode="External"/><Relationship Id="rIdConfidence388" Type="http://schemas.openxmlformats.org/officeDocument/2006/relationships/hyperlink" Target="https://www.marinespecies.org/aphia.php?p=taxdetails&amp;id=212253" TargetMode="External"/><Relationship Id="rIdConfidence389" Type="http://schemas.openxmlformats.org/officeDocument/2006/relationships/hyperlink" Target="https://www.fishbase.se/summary/Megalops-cyprinoides.html" TargetMode="External"/><Relationship Id="rIdConfidence390" Type="http://schemas.openxmlformats.org/officeDocument/2006/relationships/hyperlink" Target="https://www.fishbase.se/summary/Gymnocranius-frenatus" TargetMode="External"/><Relationship Id="rIdConfidence391" Type="http://schemas.openxmlformats.org/officeDocument/2006/relationships/hyperlink" Target="https://www.fishbase.se/summary/1833" TargetMode="External"/><Relationship Id="rIdConfidence392" Type="http://schemas.openxmlformats.org/officeDocument/2006/relationships/hyperlink" Target="https://www.fishbase.se/summary/Gymnocranius-grandoculis" TargetMode="External"/><Relationship Id="rIdConfidence393" Type="http://schemas.openxmlformats.org/officeDocument/2006/relationships/hyperlink" Target="https://www.marinespecies.org/aphia.php?p=taxdetails&amp;id=218404" TargetMode="External"/><Relationship Id="rIdConfidence394" Type="http://schemas.openxmlformats.org/officeDocument/2006/relationships/hyperlink" Target="https://www.fishbase.se/summary/Caranx-sexfasciatus.html" TargetMode="External"/><Relationship Id="rIdConfidence395" Type="http://schemas.openxmlformats.org/officeDocument/2006/relationships/hyperlink" Target="https://www.fao.org/4/an020e/an020e.pdf" TargetMode="External"/><Relationship Id="rIdConfidence396" Type="http://schemas.openxmlformats.org/officeDocument/2006/relationships/hyperlink" Target="https://www.marinespecies.org/aphia.php?p=taxdetails&amp;id=220317" TargetMode="External"/><Relationship Id="rIdConfidence397" Type="http://schemas.openxmlformats.org/officeDocument/2006/relationships/hyperlink" Target="https://www.marinespecies.org/aphia.php?p=taxdetails&amp;id=212259" TargetMode="External"/><Relationship Id="rIdConfidence398" Type="http://schemas.openxmlformats.org/officeDocument/2006/relationships/hyperlink" Target="https://www.fishbase.se/summary/Dussumieria-elopsoides.html" TargetMode="External"/><Relationship Id="rIdConfidence399" Type="http://schemas.openxmlformats.org/officeDocument/2006/relationships/hyperlink" Target="https://www.fishbase.se/summary/Ariomma-indica.html" TargetMode="External"/><Relationship Id="rIdConfidence400" Type="http://schemas.openxmlformats.org/officeDocument/2006/relationships/hyperlink" Target="https://www.fao.org/4/y0870e/y0870e42.pdf" TargetMode="External"/><Relationship Id="rIdConfidence401" Type="http://schemas.openxmlformats.org/officeDocument/2006/relationships/hyperlink" Target="https://www.marinespecies.org/aphia.php?p=taxdetails&amp;id=105801" TargetMode="External"/><Relationship Id="rIdConfidence402" Type="http://schemas.openxmlformats.org/officeDocument/2006/relationships/hyperlink" Target="https://www.fishbase.se/summary/Prionace-glauca.html" TargetMode="External"/><Relationship Id="rIdConfidence403" Type="http://schemas.openxmlformats.org/officeDocument/2006/relationships/hyperlink" Target="https://www.marinespecies.org/aphia.php?p=taxdetails&amp;id=210354" TargetMode="External"/><Relationship Id="rIdConfidence404" Type="http://schemas.openxmlformats.org/officeDocument/2006/relationships/hyperlink" Target="https://www.marinespecies.org/aphia.php?p=taxdetails&amp;id=218429" TargetMode="External"/><Relationship Id="rIdConfidence405" Type="http://schemas.openxmlformats.org/officeDocument/2006/relationships/hyperlink" Target="https://www.marinespecies.org/aphia.php?p=taxdetails&amp;id=212252" TargetMode="External"/><Relationship Id="rIdConfidence406" Type="http://schemas.openxmlformats.org/officeDocument/2006/relationships/hyperlink" Target="https://www.fishbase.se/summary/Elops-machnata.html" TargetMode="External"/><Relationship Id="rIdConfidence407" Type="http://schemas.openxmlformats.org/officeDocument/2006/relationships/hyperlink" Target="https://www.marinespecies.org/aphia.php?p=taxdetails&amp;id=105708" TargetMode="External"/><Relationship Id="rIdConfidence408" Type="http://schemas.openxmlformats.org/officeDocument/2006/relationships/hyperlink" Target="https://eprints.cmfri.org.in/8476/1/IJF_Zacharia_95-98.pdf" TargetMode="External"/><Relationship Id="rIdConfidence409" Type="http://schemas.openxmlformats.org/officeDocument/2006/relationships/hyperlink" Target="https://www.marinespecies.org/aphia.php?p=taxdetails&amp;id=210378" TargetMode="External"/><Relationship Id="rIdConfidence410" Type="http://schemas.openxmlformats.org/officeDocument/2006/relationships/hyperlink" Target="https://www.marinespecies.org/aphia.php?p=taxdetails&amp;id=211" TargetMode="External"/><Relationship Id="rIdConfidence411" Type="http://schemas.openxmlformats.org/officeDocument/2006/relationships/hyperlink" Target="https://www.marinespecies.org/aphia.php?p=taxdetails&amp;id=138268" TargetMode="External"/><Relationship Id="rIdConfidence412" Type="http://schemas.openxmlformats.org/officeDocument/2006/relationships/hyperlink" Target="https://www.marinespecies.org/aphia.php?p=taxdetails&amp;id=1802012" TargetMode="External"/><Relationship Id="rIdConfidence413" Type="http://schemas.openxmlformats.org/officeDocument/2006/relationships/hyperlink" Target="https://www.fishbase.se/summary/Platycaranx-malabaricus.html" TargetMode="External"/><Relationship Id="rIdConfidence414" Type="http://schemas.openxmlformats.org/officeDocument/2006/relationships/hyperlink" Target="https://www.marinespecies.org/aphia.php?p=taxdetails&amp;id=212263" TargetMode="External"/><Relationship Id="rIdConfidence415" Type="http://schemas.openxmlformats.org/officeDocument/2006/relationships/hyperlink" Target="https://www.fishbase.se/summary/Spratelloides-gracilis.html" TargetMode="External"/><Relationship Id="rIdConfidence416" Type="http://schemas.openxmlformats.org/officeDocument/2006/relationships/hyperlink" Target="https://www.marinespecies.org/aphia.php?p=taxdetails&amp;id=125515" TargetMode="External"/><Relationship Id="rIdConfidence417" Type="http://schemas.openxmlformats.org/officeDocument/2006/relationships/hyperlink" Target="https://www.fishbase.se/summary/Acanthurus-xanthopterus.html" TargetMode="External"/><Relationship Id="rIdConfidence418" Type="http://schemas.openxmlformats.org/officeDocument/2006/relationships/hyperlink" Target="https://www.fao.org/4/y0870e/y0870e26.pdf" TargetMode="External"/><Relationship Id="rIdConfidence419" Type="http://schemas.openxmlformats.org/officeDocument/2006/relationships/hyperlink" Target="https://www.fishbase.se/summary/Scatophagus-argus.html" TargetMode="External"/><Relationship Id="rIdConfidence420" Type="http://schemas.openxmlformats.org/officeDocument/2006/relationships/hyperlink" Target="https://www.marinespecies.org/aphia.php?p=taxdetails&amp;id=107119" TargetMode="External"/><Relationship Id="rIdConfidence421" Type="http://schemas.openxmlformats.org/officeDocument/2006/relationships/hyperlink" Target="https://www.marinespecies.org/aphia.php?p=taxdetails&amp;id=151432" TargetMode="External"/><Relationship Id="rIdConfidence422" Type="http://schemas.openxmlformats.org/officeDocument/2006/relationships/hyperlink" Target="https://www.marinespecies.org/aphia.php?p=taxdetails&amp;id=275247" TargetMode="External"/><Relationship Id="rIdConfidence423" Type="http://schemas.openxmlformats.org/officeDocument/2006/relationships/hyperlink" Target="https://www.fishbase.se/summary/Stephanolepis-cirrhifer.html" TargetMode="External"/><Relationship Id="rIdConfidence424" Type="http://schemas.openxmlformats.org/officeDocument/2006/relationships/hyperlink" Target="https://www.marinespecies.org/aphia.php?p=taxdetails&amp;id=217439" TargetMode="External"/><Relationship Id="rIdConfidence425" Type="http://schemas.openxmlformats.org/officeDocument/2006/relationships/hyperlink" Target="https://www.fishbase.se/summary/Amblygaster-sirm.html" TargetMode="External"/><Relationship Id="rIdConfidence426" Type="http://schemas.openxmlformats.org/officeDocument/2006/relationships/hyperlink" Target="https://www.fao.org/docrep/pdf/009/y0870e/y0870e25.pdf" TargetMode="External"/><Relationship Id="rIdConfidence427" Type="http://schemas.openxmlformats.org/officeDocument/2006/relationships/hyperlink" Target="https://www.marinespecies.org/aphia.php?p=taxdetails&amp;id=212278" TargetMode="External"/><Relationship Id="rIdConfidence428" Type="http://schemas.openxmlformats.org/officeDocument/2006/relationships/hyperlink" Target="https://www.fishbase.se/summary/Hilsa-kelee.html" TargetMode="External"/><Relationship Id="rIdConfidence429" Type="http://schemas.openxmlformats.org/officeDocument/2006/relationships/hyperlink" Target="https://www.marinespecies.org/aphia.php?p=taxdetails&amp;id=125908" TargetMode="External"/><Relationship Id="rIdConfidence430" Type="http://schemas.openxmlformats.org/officeDocument/2006/relationships/hyperlink" Target="https://www.marinespecies.org/aphia.php?p=taxdetails&amp;id=206252" TargetMode="External"/><Relationship Id="rIdConfidence431" Type="http://schemas.openxmlformats.org/officeDocument/2006/relationships/hyperlink" Target="https://www.fishbase.se/identification/SpeciesList.php?genus=Cypselurus" TargetMode="External"/><Relationship Id="rIdConfidence432" Type="http://schemas.openxmlformats.org/officeDocument/2006/relationships/hyperlink" Target="https://www.marinespecies.org/aphia.php?p=taxdetails&amp;id=206918" TargetMode="External"/><Relationship Id="rIdConfidence433" Type="http://schemas.openxmlformats.org/officeDocument/2006/relationships/hyperlink" Target="https://www.marinespecies.org/aphia.php?p=taxdetails&amp;id=272196" TargetMode="External"/><Relationship Id="rIdConfidence434" Type="http://schemas.openxmlformats.org/officeDocument/2006/relationships/hyperlink" Target="https://www.fishbase.se/summary/Hyporhamphus-sajori.html" TargetMode="External"/><Relationship Id="rIdConfidence435" Type="http://schemas.openxmlformats.org/officeDocument/2006/relationships/hyperlink" Target="https://www.marinespecies.org/aphia.php?p=taxdetails&amp;id=272277" TargetMode="External"/><Relationship Id="rIdConfidence436" Type="http://schemas.openxmlformats.org/officeDocument/2006/relationships/hyperlink" Target="https://www.fishbase.se/summary/Sardinella-zunasi.html" TargetMode="External"/><Relationship Id="rIdConfidence437" Type="http://schemas.openxmlformats.org/officeDocument/2006/relationships/hyperlink" Target="https://www.marinespecies.org/aphia.php?p=taxdetails&amp;id=212279" TargetMode="External"/><Relationship Id="rIdConfidence438" Type="http://schemas.openxmlformats.org/officeDocument/2006/relationships/hyperlink" Target="https://www.fishbase.se/summary/Pellona-ditchela.html" TargetMode="External"/><Relationship Id="rIdConfidence439" Type="http://schemas.openxmlformats.org/officeDocument/2006/relationships/hyperlink" Target="https://www.marinespecies.org/aphia.php?p=taxdetails&amp;id=241776" TargetMode="External"/><Relationship Id="rIdConfidence440" Type="http://schemas.openxmlformats.org/officeDocument/2006/relationships/hyperlink" Target="https://www.marinespecies.org/aphia.php?p=taxdetails&amp;id=382902" TargetMode="External"/><Relationship Id="rIdConfidence441" Type="http://schemas.openxmlformats.org/officeDocument/2006/relationships/hyperlink" Target="https://www.marinespecies.org/aphia.php?p=taxdetails&amp;id=210373" TargetMode="External"/><Relationship Id="rIdConfidence442" Type="http://schemas.openxmlformats.org/officeDocument/2006/relationships/hyperlink" Target="https://www.marinespecies.org/aphia.php?p=taxdetails&amp;id=212268" TargetMode="External"/><Relationship Id="rIdConfidence443" Type="http://schemas.openxmlformats.org/officeDocument/2006/relationships/hyperlink" Target="https://www.fishbase.se/summary/Sardinella-albella.html" TargetMode="External"/><Relationship Id="rIdConfidence444" Type="http://schemas.openxmlformats.org/officeDocument/2006/relationships/hyperlink" Target="https://www.marinespecies.org/aphia.php?p=taxdetails&amp;id=125528" TargetMode="External"/><Relationship Id="rIdConfidence445" Type="http://schemas.openxmlformats.org/officeDocument/2006/relationships/hyperlink" Target="https://www.fishbase.se/summary/Halichoeres-trimaculatus.html" TargetMode="External"/><Relationship Id="rIdConfidence446" Type="http://schemas.openxmlformats.org/officeDocument/2006/relationships/hyperlink" Target="https://www.marinespecies.org/aphia.php?p=taxdetails&amp;id=368409" TargetMode="External"/><Relationship Id="rIdConfidence447" Type="http://schemas.openxmlformats.org/officeDocument/2006/relationships/hyperlink" Target="https://www.marinespecies.org/aphia.php?p=taxdetails&amp;id=206" TargetMode="External"/><Relationship Id="rIdConfidence448" Type="http://schemas.openxmlformats.org/officeDocument/2006/relationships/hyperlink" Target="https://www.marinespecies.org/aphia.php?p=taxdetails&amp;id=206707" TargetMode="External"/><Relationship Id="rIdConfidence449" Type="http://schemas.openxmlformats.org/officeDocument/2006/relationships/hyperlink" Target="https://www.fishbase.se/summary/Scarus-fuscocaudalis" TargetMode="External"/><Relationship Id="rIdConfidence450" Type="http://schemas.openxmlformats.org/officeDocument/2006/relationships/hyperlink" Target="https://www.fishbase.se/identification/SpeciesList.php?genus=Scarus" TargetMode="External"/><Relationship Id="rIdConfidence451" Type="http://schemas.openxmlformats.org/officeDocument/2006/relationships/hyperlink" Target="https://www.fishbase.se/summary/Nibea-albiflora.html" TargetMode="External"/><Relationship Id="rIdConfidence452" Type="http://schemas.openxmlformats.org/officeDocument/2006/relationships/hyperlink" Target="https://www.marinespecies.org/aphia.php?p=taxdetails&amp;id=105794" TargetMode="External"/><Relationship Id="rIdConfidence453" Type="http://schemas.openxmlformats.org/officeDocument/2006/relationships/hyperlink" Target="https://www.fishbase.se/summary/Carcharhinus-longimanus.html" TargetMode="External"/><Relationship Id="rIdConfidence454" Type="http://schemas.openxmlformats.org/officeDocument/2006/relationships/hyperlink" Target="https://www.marinespecies.org/aphia.php?p=taxdetails&amp;id=107060" TargetMode="External"/><Relationship Id="rIdConfidence455" Type="http://schemas.openxmlformats.org/officeDocument/2006/relationships/hyperlink" Target="https://pubmed.ncbi.nlm.nih.gov/29690102/" TargetMode="External"/><Relationship Id="rIdConfidence456" Type="http://schemas.openxmlformats.org/officeDocument/2006/relationships/hyperlink" Target="https://www.fisheries.noaa.gov/feature-story/clues-fish-auction-reveal-several-new-species-opah" TargetMode="External"/><Relationship Id="rIdConfidence457" Type="http://schemas.openxmlformats.org/officeDocument/2006/relationships/hyperlink" Target="https://www.marinespecies.org/aphia.php?p=taxdetails&amp;id=367822" TargetMode="External"/><Relationship Id="rIdConfidence458" Type="http://schemas.openxmlformats.org/officeDocument/2006/relationships/hyperlink" Target="https://www.marinespecies.org/aphia.php?p=taxdetails&amp;id=231750" TargetMode="External"/><Relationship Id="rIdConfidence459" Type="http://schemas.openxmlformats.org/officeDocument/2006/relationships/hyperlink" Target="https://www.fishbase.se/summary/4275" TargetMode="External"/><Relationship Id="rIdConfidence460" Type="http://schemas.openxmlformats.org/officeDocument/2006/relationships/hyperlink" Target="https://www.marinespecies.org/aphia.php?p=taxdetails&amp;id=209574" TargetMode="External"/><Relationship Id="rIdConfidence461" Type="http://schemas.openxmlformats.org/officeDocument/2006/relationships/hyperlink" Target="https://www.fao.org/fishery/docs/DOCUMENT/aquaculture/CulturedSpecies/file/en/en_milkfish.htm" TargetMode="External"/><Relationship Id="rIdConfidence462" Type="http://schemas.openxmlformats.org/officeDocument/2006/relationships/hyperlink" Target="https://www.fishbase.se/summary/Gymnothorax-melatremus.html" TargetMode="External"/><Relationship Id="rIdConfidence463" Type="http://schemas.openxmlformats.org/officeDocument/2006/relationships/hyperlink" Target="https://www.fishbase.se/summary/Ariosoma-megalops.html" TargetMode="External"/><Relationship Id="rIdConfidence464" Type="http://schemas.openxmlformats.org/officeDocument/2006/relationships/hyperlink" Target="https://www.marinespecies.org/aphia.php?p=taxdetails&amp;id=105839" TargetMode="External"/><Relationship Id="rIdConfidence465" Type="http://schemas.openxmlformats.org/officeDocument/2006/relationships/hyperlink" Target="https://www.fishbase.se/summary/Isurus-oxyrinchus.html" TargetMode="External"/><Relationship Id="rIdConfidence466" Type="http://schemas.openxmlformats.org/officeDocument/2006/relationships/hyperlink" Target="https://www.fao.org/docrep/pdf/009/ac480e/ac480e08.pdf" TargetMode="External"/><Relationship Id="rIdConfidence467" Type="http://schemas.openxmlformats.org/officeDocument/2006/relationships/hyperlink" Target="https://www.marinespecies.org/aphia.php?p=taxdetails&amp;id=1727" TargetMode="External"/><Relationship Id="rIdConfidence468" Type="http://schemas.openxmlformats.org/officeDocument/2006/relationships/hyperlink" Target="https://www.marinespecies.org/aphia.php?p=taxdetails&amp;id=836033" TargetMode="External"/><Relationship Id="rIdConfidence469" Type="http://schemas.openxmlformats.org/officeDocument/2006/relationships/hyperlink" Target="https://www.marinespecies.org/aphia.php?p=taxdetails&amp;id=127014" TargetMode="External"/><Relationship Id="rIdConfidence470" Type="http://schemas.openxmlformats.org/officeDocument/2006/relationships/hyperlink" Target="https://www.fishbase.se/summary/Acanthocybium-solandri.html" TargetMode="External"/><Relationship Id="rIdConfidence471" Type="http://schemas.openxmlformats.org/officeDocument/2006/relationships/hyperlink" Target="https://www.marinespecies.org/aphia.php?p=taxdetails&amp;id=219712" TargetMode="External"/><Relationship Id="rIdConfidence472" Type="http://schemas.openxmlformats.org/officeDocument/2006/relationships/hyperlink" Target="https://www.fishbase.se/summary/Gymnosarda-unicolor.html" TargetMode="External"/><Relationship Id="rIdConfidence473" Type="http://schemas.openxmlformats.org/officeDocument/2006/relationships/hyperlink" Target="https://www.marinespecies.org/aphia.php?p=taxdetails&amp;id=243" TargetMode="External"/><Relationship Id="rIdConfidence474" Type="http://schemas.openxmlformats.org/officeDocument/2006/relationships/hyperlink" Target="https://www.marinespecies.org/aphia.php?p=taxdetails&amp;id=127026" TargetMode="External"/><Relationship Id="rIdConfidence475" Type="http://schemas.openxmlformats.org/officeDocument/2006/relationships/hyperlink" Target="https://www.fishbase.se/summary/Thunnus-alalunga.html" TargetMode="External"/><Relationship Id="rIdConfidence476" Type="http://schemas.openxmlformats.org/officeDocument/2006/relationships/hyperlink" Target="https://www.marinespecies.org/aphia.php?p=taxdetails&amp;id=107112" TargetMode="External"/><Relationship Id="rIdConfidence477" Type="http://schemas.openxmlformats.org/officeDocument/2006/relationships/hyperlink" Target="https://www.marinespecies.org/aphia.php?p=taxdetails&amp;id=585389" TargetMode="External"/><Relationship Id="rIdConfidence478" Type="http://schemas.openxmlformats.org/officeDocument/2006/relationships/hyperlink" Target="https://www.marinespecies.org/aphia.php?p=taxdetails&amp;id=210362" TargetMode="External"/><Relationship Id="rIdConfidence479" Type="http://schemas.openxmlformats.org/officeDocument/2006/relationships/hyperlink" Target="https://www.marinespecies.org/aphia.php?p=taxdetails&amp;id=126224" TargetMode="External"/><Relationship Id="rIdConfidence480" Type="http://schemas.openxmlformats.org/officeDocument/2006/relationships/hyperlink" Target="https://www.fishbase.se/identification/SpeciesList.php?genus=Hippocampus" TargetMode="External"/><Relationship Id="rIdConfidence481" Type="http://schemas.openxmlformats.org/officeDocument/2006/relationships/hyperlink" Target="https://www.marinespecies.org/aphia.php?p=taxdetails&amp;id=397139" TargetMode="External"/><Relationship Id="rIdConfidence482" Type="http://schemas.openxmlformats.org/officeDocument/2006/relationships/hyperlink" Target="https://www.marinespecies.org/aphia.php?p=taxdetails&amp;id=273823" TargetMode="External"/><Relationship Id="rIdConfidence483" Type="http://schemas.openxmlformats.org/officeDocument/2006/relationships/hyperlink" Target="https://www.fishbase.se/summary/Thunnus-orientalis.html" TargetMode="External"/><Relationship Id="rIdConfidence484" Type="http://schemas.openxmlformats.org/officeDocument/2006/relationships/hyperlink" Target="https://www.marinespecies.org/aphia.php?p=taxdetails&amp;id=151482" TargetMode="External"/><Relationship Id="rIdConfidence485" Type="http://schemas.openxmlformats.org/officeDocument/2006/relationships/hyperlink" Target="https://www.fishbase.se/summary/Pomatomus-saltatrix.html" TargetMode="External"/><Relationship Id="rIdConfidence486" Type="http://schemas.openxmlformats.org/officeDocument/2006/relationships/hyperlink" Target="https://www.marinespecies.org/aphia.php?p=taxdetails&amp;id=131759" TargetMode="External"/><Relationship Id="rIdConfidence487" Type="http://schemas.openxmlformats.org/officeDocument/2006/relationships/hyperlink" Target="https://www.marinespecies.org/aphia.php?p=taxdetails&amp;id=393716" TargetMode="External"/><Relationship Id="rIdConfidence488" Type="http://schemas.openxmlformats.org/officeDocument/2006/relationships/hyperlink" Target="https://www.marinespecies.org/aphia.php?p=taxdetails&amp;id=105789" TargetMode="External"/><Relationship Id="rIdConfidence489" Type="http://schemas.openxmlformats.org/officeDocument/2006/relationships/hyperlink" Target="https://www.fishbase.se/summary/Carcharhinus-falciformis.html" TargetMode="External"/><Relationship Id="rIdConfidence490" Type="http://schemas.openxmlformats.org/officeDocument/2006/relationships/hyperlink" Target="https://www.marinespecies.org/aphia.php?p=taxdetails&amp;id=1806" TargetMode="External"/><Relationship Id="rIdConfidence491" Type="http://schemas.openxmlformats.org/officeDocument/2006/relationships/hyperlink" Target="https://www.marinespecies.org/aphia.php?p=taxdetails&amp;id=212045" TargetMode="External"/><Relationship Id="rIdConfidence492" Type="http://schemas.openxmlformats.org/officeDocument/2006/relationships/hyperlink" Target="https://www.fishbase.se/summary/Sphyraena-jello.html" TargetMode="External"/><Relationship Id="rIdConfidence493" Type="http://schemas.openxmlformats.org/officeDocument/2006/relationships/hyperlink" Target="https://www.marinespecies.org/aphia.php?p=taxdetails&amp;id=382922" TargetMode="External"/><Relationship Id="rIdConfidence494" Type="http://schemas.openxmlformats.org/officeDocument/2006/relationships/hyperlink" Target="https://www.marinespecies.org/aphia.php?p=taxdetails&amp;id=215" TargetMode="External"/><Relationship Id="rIdConfidence495" Type="http://schemas.openxmlformats.org/officeDocument/2006/relationships/hyperlink" Target="https://www.marinespecies.org/aphia.php?p=taxdetails&amp;id=105730" TargetMode="External"/><Relationship Id="rIdConfidence496" Type="http://schemas.openxmlformats.org/officeDocument/2006/relationships/hyperlink" Target="https://www.fishbase.se/summary/Sphyrna-mokarran.html" TargetMode="External"/><Relationship Id="rIdConfidence497" Type="http://schemas.openxmlformats.org/officeDocument/2006/relationships/hyperlink" Target="https://www.fishbase.se/summary/Sphyrna-zygaena.html" TargetMode="External"/><Relationship Id="rIdConfidence498" Type="http://schemas.openxmlformats.org/officeDocument/2006/relationships/hyperlink" Target="https://www.marinespecies.org/aphia.php?p=taxdetails&amp;id=367820" TargetMode="External"/><Relationship Id="rIdConfidence499" Type="http://schemas.openxmlformats.org/officeDocument/2006/relationships/hyperlink" Target="https://www.marinespecies.org/aphia.php?p=taxdetails&amp;id=215388" TargetMode="External"/><Relationship Id="rIdConfidence500" Type="http://schemas.openxmlformats.org/officeDocument/2006/relationships/hyperlink" Target="https://www.marinespecies.org/aphia.php?p=taxdetails&amp;id=210650" TargetMode="External"/><Relationship Id="rIdConfidence501" Type="http://schemas.openxmlformats.org/officeDocument/2006/relationships/hyperlink" Target="https://www.marinespecies.org/aphia.php?p=taxdetails&amp;id=218384" TargetMode="External"/><Relationship Id="rIdConfidence502" Type="http://schemas.openxmlformats.org/officeDocument/2006/relationships/hyperlink" Target="https://www.fishbase.se/summary/Atule-mate.html" TargetMode="External"/><Relationship Id="rIdConfidence503" Type="http://schemas.openxmlformats.org/officeDocument/2006/relationships/hyperlink" Target="https://www.marinespecies.org/aphia.php?p=taxdetails&amp;id=127015" TargetMode="External"/><Relationship Id="rIdConfidence504" Type="http://schemas.openxmlformats.org/officeDocument/2006/relationships/hyperlink" Target="https://www.fishbase.se/summary/Auxis-rochei.html" TargetMode="External"/><Relationship Id="rIdConfidence505" Type="http://schemas.openxmlformats.org/officeDocument/2006/relationships/hyperlink" Target="https://www.fao.org/4/a0653e/a0653e05.htm" TargetMode="External"/><Relationship Id="rIdConfidence506" Type="http://schemas.openxmlformats.org/officeDocument/2006/relationships/hyperlink" Target="https://www.marinespecies.org/aphia.php?p=taxdetails&amp;id=217337" TargetMode="External"/><Relationship Id="rIdConfidence507" Type="http://schemas.openxmlformats.org/officeDocument/2006/relationships/hyperlink" Target="https://www.fishbase.se/summary/Carcharhinus-amblyrhynchos.html" TargetMode="External"/><Relationship Id="rIdConfidence508" Type="http://schemas.openxmlformats.org/officeDocument/2006/relationships/hyperlink" Target="https://www.marinespecies.org/aphia.php?p=taxdetails&amp;id=1671019" TargetMode="External"/><Relationship Id="rIdConfidence509" Type="http://schemas.openxmlformats.org/officeDocument/2006/relationships/hyperlink" Target="https://agris.fao.org/search/en/providers/124947/records/679ba40c969e37f4376ecffc" TargetMode="External"/><Relationship Id="rIdConfidence510" Type="http://schemas.openxmlformats.org/officeDocument/2006/relationships/hyperlink" Target="https://www.marinespecies.org/aphia.php?p=taxdetails&amp;id=217858" TargetMode="External"/><Relationship Id="rIdConfidence511" Type="http://schemas.openxmlformats.org/officeDocument/2006/relationships/hyperlink" Target="https://www.marinespecies.org/aphia.php?p=taxdetails&amp;id=138297" TargetMode="External"/><Relationship Id="rIdConfidence512" Type="http://schemas.openxmlformats.org/officeDocument/2006/relationships/hyperlink" Target="https://www.marinespecies.org/aphia.php?p=taxdetails&amp;id=148744" TargetMode="External"/><Relationship Id="rIdConfidence513" Type="http://schemas.openxmlformats.org/officeDocument/2006/relationships/hyperlink" Target="https://www.marinespecies.org/aphia.php?p=taxdetails&amp;id=219982" TargetMode="External"/><Relationship Id="rIdConfidence514" Type="http://schemas.openxmlformats.org/officeDocument/2006/relationships/hyperlink" Target="https://www.fishbase.se/summary/Encrasicholina-punctifer.html" TargetMode="External"/><Relationship Id="rIdConfidence515" Type="http://schemas.openxmlformats.org/officeDocument/2006/relationships/hyperlink" Target="https://www.marinespecies.org/aphia.php?p=taxdetails&amp;id=218206" TargetMode="External"/><Relationship Id="rIdConfidence516" Type="http://schemas.openxmlformats.org/officeDocument/2006/relationships/hyperlink" Target="https://www.fishbase.se/summary/Evynnis-tumifrons.html" TargetMode="External"/><Relationship Id="rIdConfidence517" Type="http://schemas.openxmlformats.org/officeDocument/2006/relationships/hyperlink" Target="https://www.fao.org/docrep/009/t0243e/T0243E04.pdf" TargetMode="External"/><Relationship Id="rIdConfidence518" Type="http://schemas.openxmlformats.org/officeDocument/2006/relationships/hyperlink" Target="https://www.fao.org/docrep/pdf/009/y4161e/y4161e25.pdf" TargetMode="External"/><Relationship Id="rIdConfidence519" Type="http://schemas.openxmlformats.org/officeDocument/2006/relationships/hyperlink" Target="https://www.marinespecies.org/aphia.php?p=taxdetails&amp;id=138050" TargetMode="External"/><Relationship Id="rIdConfidence520" Type="http://schemas.openxmlformats.org/officeDocument/2006/relationships/hyperlink" Target="https://www.marinespecies.org/aphia.php?p=taxdetails&amp;id=281042" TargetMode="External"/><Relationship Id="rIdConfidence521" Type="http://schemas.openxmlformats.org/officeDocument/2006/relationships/hyperlink" Target="https://www.fishbase.se/summary/Hemitriakis-japanica.html" TargetMode="External"/><Relationship Id="rIdConfidence522" Type="http://schemas.openxmlformats.org/officeDocument/2006/relationships/hyperlink" Target="https://www.marinespecies.org/aphia.php?p=taxdetails&amp;id=1042845" TargetMode="External"/><Relationship Id="rIdConfidence523" Type="http://schemas.openxmlformats.org/officeDocument/2006/relationships/hyperlink" Target="https://www.fishbase.se/summary/Hemitrygon-akajei.html" TargetMode="External"/><Relationship Id="rIdConfidence524" Type="http://schemas.openxmlformats.org/officeDocument/2006/relationships/hyperlink" Target="https://www.marinespecies.org/aphia.php?p=taxdetails&amp;id=731943" TargetMode="External"/><Relationship Id="rIdConfidence525" Type="http://schemas.openxmlformats.org/officeDocument/2006/relationships/hyperlink" Target="https://www.marinespecies.org/aphia.php?p=taxdetails&amp;id=123083" TargetMode="External"/><Relationship Id="rIdConfidence526" Type="http://schemas.openxmlformats.org/officeDocument/2006/relationships/hyperlink" Target="https://www.fao.org/docrep/pdf/009/t0539e/t0539e06.pdf" TargetMode="External"/><Relationship Id="rIdConfidence527" Type="http://schemas.openxmlformats.org/officeDocument/2006/relationships/hyperlink" Target="https://www.marinespecies.org/aphia.php?p=taxdetails&amp;id=218498" TargetMode="External"/><Relationship Id="rIdConfidence528" Type="http://schemas.openxmlformats.org/officeDocument/2006/relationships/hyperlink" Target="https://www.marinespecies.org/aphia.php?p=taxdetails&amp;id=218479" TargetMode="External"/><Relationship Id="rIdConfidence529" Type="http://schemas.openxmlformats.org/officeDocument/2006/relationships/hyperlink" Target="https://www.marinespecies.org/aphia.php?p=taxdetails&amp;id=377467" TargetMode="External"/><Relationship Id="rIdConfidence530" Type="http://schemas.openxmlformats.org/officeDocument/2006/relationships/hyperlink" Target="https://www.marinespecies.org/aphia.php?p=taxdetails&amp;id=210397" TargetMode="External"/><Relationship Id="rIdConfidence531" Type="http://schemas.openxmlformats.org/officeDocument/2006/relationships/hyperlink" Target="https://www.marinespecies.org/aphia.php?p=taxdetails&amp;id=210392" TargetMode="External"/><Relationship Id="rIdConfidence532" Type="http://schemas.openxmlformats.org/officeDocument/2006/relationships/hyperlink" Target="https://www.marinespecies.org/aphia.php?p=taxdetails&amp;id=377544" TargetMode="External"/><Relationship Id="rIdConfidence533" Type="http://schemas.openxmlformats.org/officeDocument/2006/relationships/hyperlink" Target="https://www.marinespecies.org/aphia.php?p=taxdetails&amp;id=585386" TargetMode="External"/><Relationship Id="rIdConfidence534" Type="http://schemas.openxmlformats.org/officeDocument/2006/relationships/hyperlink" Target="https://www.marinespecies.org/aphia.php?p=taxdetails&amp;id=138223" TargetMode="External"/><Relationship Id="rIdConfidence535" Type="http://schemas.openxmlformats.org/officeDocument/2006/relationships/hyperlink" Target="https://www.fishbase.se/summary/427" TargetMode="External"/><Relationship Id="rIdConfidence536" Type="http://schemas.openxmlformats.org/officeDocument/2006/relationships/hyperlink" Target="https://www.marinespecies.org/aphia.php?p=taxdetails&amp;id=11760" TargetMode="External"/><Relationship Id="rIdConfidence537" Type="http://schemas.openxmlformats.org/officeDocument/2006/relationships/hyperlink" Target="https://www.marinespecies.org/aphia.php?p=taxdetails&amp;id=209154" TargetMode="External"/><Relationship Id="rIdConfidence538" Type="http://schemas.openxmlformats.org/officeDocument/2006/relationships/hyperlink" Target="https://www.marinespecies.org/aphia.php?p=taxdetails&amp;id=213" TargetMode="External"/><Relationship Id="rIdConfidence539" Type="http://schemas.openxmlformats.org/officeDocument/2006/relationships/hyperlink" Target="https://www.marinespecies.org/aphia.php?p=taxdetails&amp;id=138396" TargetMode="External"/><Relationship Id="rIdConfidence540" Type="http://schemas.openxmlformats.org/officeDocument/2006/relationships/hyperlink" Target="https://www.marinespecies.org/aphia.php?p=taxdetails&amp;id=208884" TargetMode="External"/><Relationship Id="rIdConfidence541" Type="http://schemas.openxmlformats.org/officeDocument/2006/relationships/hyperlink" Target="https://www.fishbase.se/summary/Polydactylus-sexfilis.html" TargetMode="External"/><Relationship Id="rIdConfidence542" Type="http://schemas.openxmlformats.org/officeDocument/2006/relationships/hyperlink" Target="https://www.marinespecies.org/aphia.php?p=taxdetails&amp;id=105847" TargetMode="External"/><Relationship Id="rIdConfidence543" Type="http://schemas.openxmlformats.org/officeDocument/2006/relationships/hyperlink" Target="https://www.fishbase.se/summary/Rhincodon-typus.html" TargetMode="External"/><Relationship Id="rIdConfidence544" Type="http://schemas.openxmlformats.org/officeDocument/2006/relationships/hyperlink" Target="https://www.marinespecies.org/aphia.php?p=taxdetails&amp;id=126371" TargetMode="External"/><Relationship Id="rIdConfidence545" Type="http://schemas.openxmlformats.org/officeDocument/2006/relationships/hyperlink" Target="https://www.marinespecies.org/aphia.php?p=taxdetails&amp;id=205756" TargetMode="External"/><Relationship Id="rIdConfidence546" Type="http://schemas.openxmlformats.org/officeDocument/2006/relationships/hyperlink" Target="https://www.marinespecies.org/aphia.php?p=taxdetails&amp;id=345843" TargetMode="External"/><Relationship Id="rIdConfidence547" Type="http://schemas.openxmlformats.org/officeDocument/2006/relationships/hyperlink" Target="https://www.fishbase.se/summary/Sphyraena-barracuda.html" TargetMode="External"/><Relationship Id="rIdConfidence548" Type="http://schemas.openxmlformats.org/officeDocument/2006/relationships/hyperlink" Target="https://www.marinespecies.org/aphia.php?p=taxdetails&amp;id=212056" TargetMode="External"/><Relationship Id="rIdConfidence549" Type="http://schemas.openxmlformats.org/officeDocument/2006/relationships/hyperlink" Target="https://www.fishbase.se/summary/Sphyraena-obtusata.html" TargetMode="External"/><Relationship Id="rIdConfidence550" Type="http://schemas.openxmlformats.org/officeDocument/2006/relationships/hyperlink" Target="https://www.marinespecies.org/aphia.php?p=taxdetails&amp;id=105816" TargetMode="External"/><Relationship Id="rIdConfidence551" Type="http://schemas.openxmlformats.org/officeDocument/2006/relationships/hyperlink" Target="https://www.fishbase.se/summary/Sphyrna-lewini.html" TargetMode="External"/><Relationship Id="rIdConfidence552" Type="http://schemas.openxmlformats.org/officeDocument/2006/relationships/hyperlink" Target="https://www.marinespecies.org/aphia.php?p=taxdetails&amp;id=105694" TargetMode="External"/><Relationship Id="rIdConfidence553" Type="http://schemas.openxmlformats.org/officeDocument/2006/relationships/hyperlink" Target="https://www.fishbase.se/summary/Eusphyra-blochii.html" TargetMode="External"/><Relationship Id="rIdConfidence554" Type="http://schemas.openxmlformats.org/officeDocument/2006/relationships/hyperlink" Target="https://www.marinespecies.org/aphia.php?p=taxdetails&amp;id=125722" TargetMode="External"/><Relationship Id="rIdConfidence555" Type="http://schemas.openxmlformats.org/officeDocument/2006/relationships/hyperlink" Target="https://www.fishbase.se/identification/SpeciesList.php?genus=Spratelloides" TargetMode="External"/><Relationship Id="rIdConfidence556" Type="http://schemas.openxmlformats.org/officeDocument/2006/relationships/hyperlink" Target="https://www.marinespecies.org/aphia.php?p=taxdetails&amp;id=217454" TargetMode="External"/><Relationship Id="rIdConfidence557" Type="http://schemas.openxmlformats.org/officeDocument/2006/relationships/hyperlink" Target="https://www.fishbase.se/summary/Tenualosa-toli.html" TargetMode="External"/><Relationship Id="rIdConfidence558" Type="http://schemas.openxmlformats.org/officeDocument/2006/relationships/hyperlink" Target="https://www.fao.org/docrep/pdf/009/ac478e/ac478e11.pdf" TargetMode="External"/><Relationship Id="rIdConfidence559" Type="http://schemas.openxmlformats.org/officeDocument/2006/relationships/hyperlink" Target="https://www.marinespecies.org/aphia.php?p=taxdetails&amp;id=212453" TargetMode="External"/><Relationship Id="rIdConfidence560" Type="http://schemas.openxmlformats.org/officeDocument/2006/relationships/hyperlink" Target="https://www.marinespecies.org/aphia.php?p=taxdetails&amp;id=216345" TargetMode="External"/></Relationships>
</file>

<file path=xl/worksheets/sheet1.xml><?xml version="1.0" encoding="utf-8"?>
<x:worksheet xmlns:x="http://schemas.openxmlformats.org/spreadsheetml/2006/main">
  <x:sheetViews>
    <x:sheetView showGridLines="0" zoomScale="85" zoomScaleNormal="85" workbookViewId="0">
      <x:pane ySplit="5" topLeftCell="A8" activePane="bottomLeft" state="frozen"/>
      <x:selection pane="bottomLeft" activeCell="E8" sqref="E8"/>
    </x:sheetView>
  </x:sheetViews>
  <x:sheetFormatPr defaultRowHeight="14"/>
  <x:cols>
    <x:col min="1" max="1" width="29" customWidth="1"/>
    <x:col min="2" max="2" width="9" customWidth="1"/>
    <x:col min="3" max="3" width="18" customWidth="1"/>
    <x:col min="4" max="4" width="21" customWidth="1"/>
    <x:col min="5" max="5" width="61" customWidth="1"/>
    <x:col min="6" max="6" width="15" customWidth="1"/>
    <x:col min="7" max="7" width="105" customWidth="1"/>
  </x:cols>
  <x:sheetData>
    <x:row r="1" ht="30" customHeight="1">
      <x:c r="A1" s="11" t="s">
        <x:v>0</x:v>
      </x:c>
      <x:c r="B1" s="11"/>
      <x:c r="C1" s="11"/>
      <x:c r="D1" s="11"/>
      <x:c r="E1" s="11"/>
      <x:c r="F1" s="11"/>
      <x:c r="G1" s="11"/>
      <x:c r="H1" s="1"/>
      <x:c r="I1" s="1"/>
      <x:c r="J1" s="1"/>
      <x:c r="K1" s="1"/>
    </x:row>
    <x:row r="2" ht="34" customHeight="1">
      <x:c r="A2" s="12" t="s">
        <x:v>1</x:v>
      </x:c>
      <x:c r="B2" s="12"/>
      <x:c r="C2" s="12"/>
      <x:c r="D2" s="12"/>
      <x:c r="E2" s="12"/>
      <x:c r="F2" s="12"/>
      <x:c r="G2" s="12"/>
      <x:c r="H2" s="1"/>
      <x:c r="I2" s="1"/>
      <x:c r="J2" s="1"/>
      <x:c r="K2" s="1"/>
    </x:row>
    <x:row r="3" ht="34" customHeight="1">
      <x:c r="A3" s="12" t="s">
        <x:v>2</x:v>
      </x:c>
      <x:c r="B3" s="12"/>
      <x:c r="C3" s="12"/>
      <x:c r="D3" s="12"/>
      <x:c r="E3" s="12"/>
      <x:c r="F3" s="12"/>
      <x:c r="G3" s="12"/>
      <x:c r="H3" s="1"/>
      <x:c r="I3" s="1"/>
      <x:c r="J3" s="1"/>
      <x:c r="K3" s="1"/>
    </x:row>
    <x:row r="4" ht="34" customHeight="1">
      <x:c r="A4" s="12" t="str">
        <x:v>Simple-chain PPR 837,452,937.7894479 t C. 34 missing TL/coefficient inputs belong to zero-landings taxa, whose 2019 PPR is zero. Full evidence is on Sources.</x:v>
      </x:c>
      <x:c r="B4" s="12"/>
      <x:c r="C4" s="12"/>
      <x:c r="D4" s="12"/>
      <x:c r="E4" s="12"/>
      <x:c r="F4" s="12"/>
      <x:c r="G4" s="12"/>
      <x:c r="H4" s="1"/>
      <x:c r="I4" s="1"/>
      <x:c r="J4" s="1"/>
      <x:c r="K4" s="1"/>
    </x:row>
    <x:row r="5" ht="34" customHeight="1">
      <x:c r="A5" s="3" t="s">
        <x:v>3</x:v>
      </x:c>
      <x:c r="B5" s="3" t="s">
        <x:v>4</x:v>
      </x:c>
      <x:c r="C5" s="3" t="s">
        <x:v>5</x:v>
      </x:c>
      <x:c r="D5" s="3" t="s">
        <x:v>6</x:v>
      </x:c>
      <x:c r="E5" s="3" t="s">
        <x:v>7</x:v>
      </x:c>
      <x:c r="F5" s="3" t="s">
        <x:v>8</x:v>
      </x:c>
      <x:c r="G5" s="3" t="s">
        <x:v>9</x:v>
      </x:c>
      <x:c r="H5" s="1"/>
      <x:c r="I5" s="1"/>
      <x:c r="J5" s="1"/>
      <x:c r="K5" s="1"/>
    </x:row>
    <x:row r="6" ht="57" customHeight="1" hidden="1">
      <x:c r="A6" s="2" t="str">
        <x:v>Trichiurus lepturus</x:v>
      </x:c>
      <x:c r="B6" s="4" t="n">
        <x:v>4.42</x:v>
      </x:c>
      <x:c r="C6" s="5" t="n">
        <x:v>402426.3603463139</x:v>
      </x:c>
      <x:c r="D6" s="5" t="n">
        <x:v>117609908.30154067</x:v>
      </x:c>
      <x:c r="E6" s="2" t="str">
        <x:v>Juvenile Hairtail (trichiurids) (79.545455%); Adult hairtail (trichiurids) (20.454545%)</x:v>
      </x:c>
      <x:c r="F6" s="2" t="str">
        <x:v>Medium</x:v>
      </x:c>
      <x:c r="G6" s="2" t="str">
        <x:v>Trichiurus lepturus is a trichiurid covered by the source juvenile/adult hairtail pair. The 18-month boundary affects allocation, not membership in that pair. Model catch proportions provide the split; allocation confidence remains Medium.</x:v>
      </x:c>
      <x:c r="H6" s="1"/>
      <x:c r="I6" s="1"/>
      <x:c r="J6" s="1"/>
      <x:c r="K6" s="1"/>
    </x:row>
    <x:row r="7" ht="57" customHeight="1" hidden="1">
      <x:c r="A7" s="2" t="str">
        <x:v>Synodontidae</x:v>
      </x:c>
      <x:c r="B7" s="4" t="n">
        <x:v>4.3</x:v>
      </x:c>
      <x:c r="C7" s="5" t="n">
        <x:v>443991.9994723433</x:v>
      </x:c>
      <x:c r="D7" s="5" t="n">
        <x:v>98431167.18831655</x:v>
      </x:c>
      <x:c r="E7" s="2" t="str">
        <x:v>Lizard fish (synodontids) (100.000000%)</x:v>
      </x:c>
      <x:c r="F7" s="2" t="str">
        <x:v>High</x:v>
      </x:c>
      <x:c r="G7" s="2" t="str">
        <x:v>Synodontidae fits the source Synodontidae concept. Explicit inclusion of Saurida tumbil and S. undosquamis anchors the historical boundary despite modern Harpadontidae placement. No split is required.</x:v>
      </x:c>
      <x:c r="H7" s="1"/>
      <x:c r="I7" s="1"/>
      <x:c r="J7" s="1"/>
      <x:c r="K7" s="1"/>
    </x:row>
    <x:row r="8" ht="72" customHeight="1" hidden="1">
      <x:c r="A8" s="2" t="str">
        <x:v>Scomberomorus</x:v>
      </x:c>
      <x:c r="B8" s="4" t="n">
        <x:v>4.35</x:v>
      </x:c>
      <x:c r="C8" s="5" t="n">
        <x:v>232516.2620377189</x:v>
      </x:c>
      <x:c r="D8" s="5" t="n">
        <x:v>57837674.54274846</x:v>
      </x:c>
      <x:c r="E8" s="2" t="str">
        <x:v>Juvenile large pelagic fish (89.993906%); Pelagic fish (&gt; 30 cm) (10.006094%)</x:v>
      </x:c>
      <x:c r="F8" s="2" t="str">
        <x:v>Medium</x:v>
      </x:c>
      <x:c r="G8" s="2" t="str">
        <x:v>Regional Spanish mackerels are epipelagic/neritic and exceed 30 cm maximum length. Source §6.1.24 therefore supports the combined large-pelagic pair; unknown catch age composition affects allocation, not eligibility. Model catch proportions provide the split; allocation confidence remains Medium.</x:v>
      </x:c>
      <x:c r="H8" s="1"/>
      <x:c r="I8" s="1"/>
      <x:c r="J8" s="1"/>
      <x:c r="K8" s="1"/>
    </x:row>
    <x:row r="9" ht="72" customHeight="1" hidden="1">
      <x:c r="A9" s="2" t="str">
        <x:v>Scombroidei</x:v>
      </x:c>
      <x:c r="B9" s="4" t="n">
        <x:v>4.2</x:v>
      </x:c>
      <x:c r="C9" s="5" t="n">
        <x:v>296059.2473865282</x:v>
      </x:c>
      <x:c r="D9" s="5" t="n">
        <x:v>52135809.52756327</x:v>
      </x:c>
      <x:c r="E9" s="2" t="str">
        <x:v>Juvenile large pelagic fish (89.993906%); Pelagic fish (&gt; 30 cm) (10.006094%)</x:v>
      </x:c>
      <x:c r="F9" s="2" t="str">
        <x:v>Medium</x:v>
      </x:c>
      <x:c r="G9" s="2" t="str">
        <x:v>The raw SAU label means tunas, bonitos and billfishes, corroborated by FAO fishery reporting usage. These support the large-pelagic pair; expanding this reporting label to every member of the historical suborder would be unjustified. Model catch proportions provide the split; allocation confidence remains Medium.</x:v>
      </x:c>
      <x:c r="H9" s="1"/>
      <x:c r="I9" s="1"/>
      <x:c r="J9" s="1"/>
      <x:c r="K9" s="1"/>
    </x:row>
    <x:row r="10" ht="72" customHeight="1">
      <x:c r="A10" s="2" t="str">
        <x:v>Scombridae</x:v>
      </x:c>
      <x:c r="B10" s="4" t="n">
        <x:v>4.26</x:v>
      </x:c>
      <x:c r="C10" s="5" t="n">
        <x:v>244425.4726775679</x:v>
      </x:c>
      <x:c r="D10" s="5" t="n">
        <x:v>49420138.055280134</x:v>
      </x:c>
      <x:c r="E10" s="2" t="str">
        <x:v>Juvenile large pelagic fish (89.993906%); Pelagic fish (&gt; 30 cm) (10.006094%)</x:v>
      </x:c>
      <x:c r="F10" s="2" t="str">
        <x:v>Low</x:v>
      </x:c>
      <x:c r="G10" s="2" t="str">
        <x:v>Most regional scombrids fit the large-pelagic pair, but family-wide exclusion of small mackerels is not established. Rastrelliger faughni has an incomplete small maximum-size record; SAU's average family size class does not resolve this boundary. Model catch proportions provide the split; allocation confidence remains Medium.</x:v>
      </x:c>
      <x:c r="H10" s="1"/>
      <x:c r="I10" s="1"/>
      <x:c r="J10" s="1"/>
      <x:c r="K10" s="1"/>
    </x:row>
    <x:row r="11" ht="72" customHeight="1">
      <x:c r="A11" s="2" t="str">
        <x:v>Carangidae</x:v>
      </x:c>
      <x:c r="B11" s="4" t="n">
        <x:v>4.05</x:v>
      </x:c>
      <x:c r="C11" s="5" t="n">
        <x:v>312565.3453921805</x:v>
      </x:c>
      <x:c r="D11" s="5" t="n">
        <x:v>38967120.633921504</x:v>
      </x:c>
      <x:c r="E11" s="2" t="str">
        <x:v>Pelagic fish (≤ 30 cm) (74.079924%); Juvenile large pelagic fish (23.326489%); Pelagic fish (&gt; 30 cm) (2.593587%)</x:v>
      </x:c>
      <x:c r="F11" s="2" t="str">
        <x:v>Low</x:v>
      </x:c>
      <x:c r="G11" s="2" t="str">
        <x:v>The eligible set includes only pelagic groups. Regional constituent taxa, including separately recorded Decapterus russelli and Gnathanodon speciosus, have benthopelagic/bottom-feeding ecology. The pelagic reporting classifier does not establish their exclusion. Model catch proportions provide the split; allocation confidence remains Medium.</x:v>
      </x:c>
      <x:c r="H11" s="1"/>
      <x:c r="I11" s="1"/>
      <x:c r="J11" s="1"/>
      <x:c r="K11" s="1"/>
    </x:row>
    <x:row r="12" ht="72" customHeight="1" hidden="1">
      <x:c r="A12" s="2" t="str">
        <x:v>Muraenesox cinereus</x:v>
      </x:c>
      <x:c r="B12" s="4" t="n">
        <x:v>4.38</x:v>
      </x:c>
      <x:c r="C12" s="5" t="n">
        <x:v>136921.8739794847</x:v>
      </x:c>
      <x:c r="D12" s="5" t="n">
        <x:v>36494744.29286955</x:v>
      </x:c>
      <x:c r="E12" s="2" t="str">
        <x:v>Juvenile demersal fish (&gt; 30 cm) (89.991470%); Adult demersal fish (&gt; 30 cm) (10.008530%)</x:v>
      </x:c>
      <x:c r="F12" s="2" t="str">
        <x:v>Medium</x:v>
      </x:c>
      <x:c r="G12" s="2" t="str">
        <x:v>Verified demersal soft-bottom ecology, maximum 220 cm TL and exclusion from every dedicated family pool satisfy the complete residual large-demersal definition. Groups 25 + 26 cover the stage union; uncertain catch ages and the 18–24-month convention do not create an outside candidate. Model catch proportions provide the split; allocation confidence remains Medium.</x:v>
      </x:c>
      <x:c r="H12" s="1"/>
      <x:c r="I12" s="1"/>
      <x:c r="J12" s="1"/>
      <x:c r="K12" s="1"/>
    </x:row>
    <x:row r="13" ht="57" customHeight="1" hidden="1">
      <x:c r="A13" s="2" t="str">
        <x:v>Nemipterus</x:v>
      </x:c>
      <x:c r="B13" s="4" t="n">
        <x:v>3.72</x:v>
      </x:c>
      <x:c r="C13" s="5" t="n">
        <x:v>331196.1841175943</x:v>
      </x:c>
      <x:c r="D13" s="5" t="n">
        <x:v>19312692.02568565</x:v>
      </x:c>
      <x:c r="E13" s="2" t="str">
        <x:v>Threadfin bream (nemipterids) (100.000000%)</x:v>
      </x:c>
      <x:c r="F13" s="2" t="str">
        <x:v>High</x:v>
      </x:c>
      <x:c r="G13" s="2" t="str">
        <x:v>Nemipterus is within Nemipteridae, expressly used as the source group boundary. Parameter species are examples, not a closed list; residual size/habitat pools do not compete. No split is required.</x:v>
      </x:c>
      <x:c r="H13" s="1"/>
      <x:c r="I13" s="1"/>
      <x:c r="J13" s="1"/>
      <x:c r="K13" s="1"/>
    </x:row>
    <x:row r="14" ht="42" customHeight="1" hidden="1">
      <x:c r="A14" s="2" t="str">
        <x:v>Scyphozoa</x:v>
      </x:c>
      <x:c r="B14" s="4" t="n">
        <x:v>3.46</x:v>
      </x:c>
      <x:c r="C14" s="5" t="n">
        <x:v>570279.5883612505</x:v>
      </x:c>
      <x:c r="D14" s="5" t="n">
        <x:v>18274492.204710215</x:v>
      </x:c>
      <x:c r="E14" s="2" t="str">
        <x:v>Jellyfish (100.000000%)</x:v>
      </x:c>
      <x:c r="F14" s="2" t="str">
        <x:v>High</x:v>
      </x:c>
      <x:c r="G14" s="2" t="str">
        <x:v>Scyphozoa is a scyphozoan jellyfish lineage fitting the source Cnidaria-medusae and landed-jellyfish concept, rather than all Cnidaria. No split is required.</x:v>
      </x:c>
      <x:c r="H14" s="1"/>
      <x:c r="I14" s="1"/>
      <x:c r="J14" s="1"/>
      <x:c r="K14" s="1"/>
    </x:row>
    <x:row r="15" ht="102" customHeight="1" hidden="1">
      <x:c r="A15" s="2" t="str">
        <x:v>Scomberomorus commerson</x:v>
      </x:c>
      <x:c r="B15" s="4" t="n">
        <x:v>4.5</x:v>
      </x:c>
      <x:c r="C15" s="5" t="n">
        <x:v>46804.2934347929</x:v>
      </x:c>
      <x:c r="D15" s="5" t="n">
        <x:v>16445352.392090121</x:v>
      </x:c>
      <x:c r="E15" s="2" t="str">
        <x:v>Juvenile large pelagic fish (89.993906%); Pelagic fish (&gt; 30 cm) (10.006094%)</x:v>
      </x:c>
      <x:c r="F15" s="2" t="str">
        <x:v>Medium</x:v>
      </x:c>
      <x:c r="G15"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240 cm FL; Marine;  pelagic-neritic; oceanodromous. Model catch proportions provide the split; allocation confidence remains Medium.</x:v>
      </x:c>
      <x:c r="H15" s="1"/>
      <x:c r="I15" s="1"/>
      <x:c r="J15" s="1"/>
      <x:c r="K15" s="1"/>
    </x:row>
    <x:row r="16" ht="342" customHeight="1" hidden="1">
      <x:c r="A16" s="2" t="str">
        <x:v>Marine fishes not identified</x:v>
      </x:c>
      <x:c r="B16" s="4" t="n">
        <x:v>3.28</x:v>
      </x:c>
      <x:c r="C16" s="5" t="n">
        <x:v>737700.5209608545</x:v>
      </x:c>
      <x:c r="D16" s="5" t="n">
        <x:v>15618437.381243672</x:v>
      </x:c>
      <x:c r="E16" s="2" t="str">
        <x:v>Threadfin bream (nemipterids) (11.659686%); Bigeyes (priacanthids) (3.655853%); Lizard fish (synodontids) (0.415276%); Juvenile Hairtail (trichiurids) (0.496912%); Adult hairtail (trichiurids) (0.127777%); Pomfret (stromateids) (4.241499%); Snappers (0.019522%); Adult groupers (0.157947%); Croakers (≤ 30 cm) (0.622915%); Juvenile large croakers (1.260027%); Croakers (&gt; 30 cm) (0.141975%); Demesral fish (≤ 30 cm) (3.173138%); Juvenile demersal fish (&gt; 30 cm) (5.616881%); Adult demersal fish (&gt; 30 cm) (0.624689%); Benthopelagic fish (10.692482%); Melon seed (0.885568%); Pelagic fish (≤ 30 cm) (41.616384%); Juvenile large pelagic fish (13.104281%); Pelagic fish (&gt; 30 cm) (1.457017%); Demersal sharks and rays (0.017747%); Pelagic sharks and rays (0.012423%)</x:v>
      </x:c>
      <x:c r="F16" s="2" t="str">
        <x:v>Very low</x:v>
      </x:c>
      <x:c r="G16"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x:v>
      </x:c>
      <x:c r="H16" s="1"/>
      <x:c r="I16" s="1"/>
      <x:c r="J16" s="1"/>
      <x:c r="K16" s="1"/>
    </x:row>
    <x:row r="17" ht="72" customHeight="1" hidden="1">
      <x:c r="A17" s="2" t="str">
        <x:v>Sciaenidae</x:v>
      </x:c>
      <x:c r="B17" s="4" t="n">
        <x:v>3.76</x:v>
      </x:c>
      <x:c r="C17" s="5" t="n">
        <x:v>239872.6443073262</x:v>
      </x:c>
      <x:c r="D17" s="5" t="n">
        <x:v>15336922.156567315</x:v>
      </x:c>
      <x:c r="E17" s="2" t="str">
        <x:v>Croakers (≤ 30 cm) (30.762489%); Juvenile large croakers (62.226117%); Croakers (&gt; 30 cm) (7.011394%)</x:v>
      </x:c>
      <x:c r="F17" s="2" t="str">
        <x:v>Medium</x:v>
      </x:c>
      <x:c r="G17" s="2" t="str">
        <x:v>The source partitions Sciaenidae into small croakers and both large-croaker stanzas. The current set contains all three, including the explicit Pennahia exception. Unknown composition limits the weights separately. Model catch proportions provide the split; allocation confidence remains Medium.</x:v>
      </x:c>
      <x:c r="H17" s="1"/>
      <x:c r="I17" s="1"/>
      <x:c r="J17" s="1"/>
      <x:c r="K17" s="1"/>
    </x:row>
    <x:row r="18" ht="42" customHeight="1" hidden="1">
      <x:c r="A18" s="2" t="str">
        <x:v>Loliginidae</x:v>
      </x:c>
      <x:c r="B18" s="4" t="n">
        <x:v>3.9</x:v>
      </x:c>
      <x:c r="C18" s="5" t="n">
        <x:v>164906.4501629182</x:v>
      </x:c>
      <x:c r="D18" s="5" t="n">
        <x:v>14554427.716950942</x:v>
      </x:c>
      <x:c r="E18" s="2" t="str">
        <x:v>Cephalopods (100.000000%)</x:v>
      </x:c>
      <x:c r="F18" s="2" t="str">
        <x:v>High</x:v>
      </x:c>
      <x:c r="G18" s="2" t="str">
        <x:v>Loliginidae is within Cephalopoda. Biomass estimation from two dominant Loligo species does not restrict the source group to those species or to squid. No split is required.</x:v>
      </x:c>
      <x:c r="H18" s="1"/>
      <x:c r="I18" s="1"/>
      <x:c r="J18" s="1"/>
      <x:c r="K18" s="1"/>
    </x:row>
    <x:row r="19" ht="57" customHeight="1" hidden="1">
      <x:c r="A19" s="2" t="str">
        <x:v>Teuthida</x:v>
      </x:c>
      <x:c r="B19" s="4" t="n">
        <x:v>4.13</x:v>
      </x:c>
      <x:c r="C19" s="5" t="n">
        <x:v>96525.5100481142</x:v>
      </x:c>
      <x:c r="D19" s="5" t="n">
        <x:v>14467703.364237078</x:v>
      </x:c>
      <x:c r="E19" s="2" t="str">
        <x:v>Cephalopods (100.000000%)</x:v>
      </x:c>
      <x:c r="F19" s="2" t="str">
        <x:v>High</x:v>
      </x:c>
      <x:c r="G19" s="2" t="str">
        <x:v>Teuthida is within Cephalopoda. Biomass estimation from two dominant Loligo species does not restrict the source group to those species or to squid. The questioned ordinal name remains inside Cephalopoda; uncertainty is group-invariant. No split is required.</x:v>
      </x:c>
      <x:c r="H19" s="1"/>
      <x:c r="I19" s="1"/>
      <x:c r="J19" s="1"/>
      <x:c r="K19" s="1"/>
    </x:row>
    <x:row r="20" ht="102" customHeight="1" hidden="1">
      <x:c r="A20" s="2" t="str">
        <x:v>Auxis thazard</x:v>
      </x:c>
      <x:c r="B20" s="4" t="n">
        <x:v>4.37</x:v>
      </x:c>
      <x:c r="C20" s="5" t="n">
        <x:v>50191.5277907398</x:v>
      </x:c>
      <x:c r="D20" s="5" t="n">
        <x:v>13073380.636886993</x:v>
      </x:c>
      <x:c r="E20" s="2" t="str">
        <x:v>Juvenile large pelagic fish (89.993906%); Pelagic fish (&gt; 30 cm) (10.006094%)</x:v>
      </x:c>
      <x:c r="F20" s="2" t="str">
        <x:v>Medium</x:v>
      </x:c>
      <x:c r="G20"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65 cm FL; Marine;  pelagic-neritic; oceanodromous. Model catch proportions provide the split; allocation confidence remains Medium.</x:v>
      </x:c>
      <x:c r="H20" s="1"/>
      <x:c r="I20" s="1"/>
      <x:c r="J20" s="1"/>
      <x:c r="K20" s="1"/>
    </x:row>
    <x:row r="21" ht="297" customHeight="1" hidden="1">
      <x:c r="A21" s="2" t="str">
        <x:v>Perciformes</x:v>
      </x:c>
      <x:c r="B21" s="4" t="n">
        <x:v>3.53</x:v>
      </x:c>
      <x:c r="C21" s="5" t="n">
        <x:v>324135.2639383788</x:v>
      </x:c>
      <x:c r="D21" s="5" t="n">
        <x:v>12203482.220461957</x:v>
      </x:c>
      <x:c r="E21" s="2" t="str">
        <x:v>Threadfin bream (nemipterids) (11.711856%); Bigeyes (priacanthids) (3.672211%); Juvenile Hairtail (trichiurids) (0.499135%); Adult hairtail (trichiurids) (0.128349%); Pomfret (stromateids) (4.260477%); Snappers (0.019609%); Adult groupers (0.158654%); Croakers (≤ 30 cm) (0.625702%); Juvenile large croakers (1.265665%); Croakers (&gt; 30 cm) (0.142610%); Demesral fish (≤ 30 cm) (3.187336%); Juvenile demersal fish (&gt; 30 cm) (5.642013%); Adult demersal fish (&gt; 30 cm) (0.627485%); Benthopelagic fish (10.740325%); Melon seed (0.889531%); Pelagic fish (≤ 30 cm) (41.802592%); Juvenile large pelagic fish (13.162914%); Pelagic fish (&gt; 30 cm) (1.463536%)</x:v>
      </x:c>
      <x:c r="F21" s="2" t="str">
        <x:v>Very low</x:v>
      </x:c>
      <x:c r="G21" s="2" t="str">
        <x:v>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x:v>
      </x:c>
      <x:c r="H21" s="1"/>
      <x:c r="I21" s="1"/>
      <x:c r="J21" s="1"/>
      <x:c r="K21" s="1"/>
    </x:row>
    <x:row r="22" ht="42" customHeight="1" hidden="1">
      <x:c r="A22" s="2" t="str">
        <x:v>Portunus trituberculatus</x:v>
      </x:c>
      <x:c r="B22" s="4" t="n">
        <x:v>3.73</x:v>
      </x:c>
      <x:c r="C22" s="5" t="n">
        <x:v>197873.2936457178</x:v>
      </x:c>
      <x:c r="D22" s="5" t="n">
        <x:v>11807138.92669537</x:v>
      </x:c>
      <x:c r="E22" s="2" t="str">
        <x:v>Crabs (100.000000%)</x:v>
      </x:c>
      <x:c r="F22" s="2" t="str">
        <x:v>High</x:v>
      </x:c>
      <x:c r="G22" s="2" t="str">
        <x:v>Portunus trituberculatus is a true-crab lineage within Crabs. The residual benthic-crustacean group expressly excludes crabs, so is not a competing placement. No split is required.</x:v>
      </x:c>
      <x:c r="H22" s="1"/>
      <x:c r="I22" s="1"/>
      <x:c r="J22" s="1"/>
      <x:c r="K22" s="1"/>
    </x:row>
    <x:row r="23" ht="57" customHeight="1" hidden="1">
      <x:c r="A23" s="2" t="str">
        <x:v>Harpadon nehereus</x:v>
      </x:c>
      <x:c r="B23" s="4" t="n">
        <x:v>4.2</x:v>
      </x:c>
      <x:c r="C23" s="5" t="n">
        <x:v>65885.1616222516</x:v>
      </x:c>
      <x:c r="D23" s="5" t="n">
        <x:v>11602327.126589647</x:v>
      </x:c>
      <x:c r="E23" s="2" t="str">
        <x:v>Lizard fish (synodontids) (100.000000%)</x:v>
      </x:c>
      <x:c r="F23" s="2" t="str">
        <x:v>High</x:v>
      </x:c>
      <x:c r="G23" s="2" t="str">
        <x:v>Harpadon nehereus fits the source Synodontidae concept. Explicit inclusion of Saurida tumbil and S. undosquamis anchors the historical boundary despite modern Harpadontidae placement. ITIS places Harpadon in the broader Synodontidae concept. No split is required.</x:v>
      </x:c>
      <x:c r="H23" s="1"/>
      <x:c r="I23" s="1"/>
      <x:c r="J23" s="1"/>
      <x:c r="K23" s="1"/>
    </x:row>
    <x:row r="24" ht="57" customHeight="1">
      <x:c r="A24" s="2" t="str">
        <x:v>Alepes</x:v>
      </x:c>
      <x:c r="B24" s="4" t="n">
        <x:v>3.32</x:v>
      </x:c>
      <x:c r="C24" s="5" t="n">
        <x:v>386716.9807797957</x:v>
      </x:c>
      <x:c r="D24" s="5" t="n">
        <x:v>8977403.240875365</x:v>
      </x:c>
      <x:c r="E24" s="2" t="str">
        <x:v>Juvenile large pelagic fish (89.993906%); Pelagic fish (&gt; 30 cm) (10.006094%)</x:v>
      </x:c>
      <x:c r="F24" s="2" t="str">
        <x:v>Low</x:v>
      </x:c>
      <x:c r="G24" s="2" t="str">
        <x:v>Alepes spans small species and larger A. vari; the catch label supplies no species composition. The adopted large-pelagic pair therefore does not establish containment of the whole genus. Model catch proportions provide the split; allocation confidence remains Medium.</x:v>
      </x:c>
      <x:c r="H24" s="1"/>
      <x:c r="I24" s="1"/>
      <x:c r="J24" s="1"/>
      <x:c r="K24" s="1"/>
    </x:row>
    <x:row r="25" ht="102" customHeight="1" hidden="1">
      <x:c r="A25" s="2" t="str">
        <x:v>Katsuwonus pelamis</x:v>
      </x:c>
      <x:c r="B25" s="4" t="n">
        <x:v>4.43</x:v>
      </x:c>
      <x:c r="C25" s="5" t="n">
        <x:v>28385.0476343092</x:v>
      </x:c>
      <x:c r="D25" s="5" t="n">
        <x:v>8488815.957651835</x:v>
      </x:c>
      <x:c r="E25" s="2" t="str">
        <x:v>Juvenile large pelagic fish (89.993906%); Pelagic fish (&gt; 30 cm) (10.006094%)</x:v>
      </x:c>
      <x:c r="F25" s="2" t="str">
        <x:v>Medium</x:v>
      </x:c>
      <x:c r="G25"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110 cm FL; Marine;  pelagic-oceanic; oceanodromous. Model catch proportions provide the split; allocation confidence remains Medium.</x:v>
      </x:c>
      <x:c r="H25" s="1"/>
      <x:c r="I25" s="1"/>
      <x:c r="J25" s="1"/>
      <x:c r="K25" s="1"/>
    </x:row>
    <x:row r="26" ht="42" customHeight="1" hidden="1">
      <x:c r="A26" s="2" t="str">
        <x:v>Todarodes pacificus</x:v>
      </x:c>
      <x:c r="B26" s="4" t="n">
        <x:v>4.28</x:v>
      </x:c>
      <x:c r="C26" s="5" t="n">
        <x:v>37474.8322631409</x:v>
      </x:c>
      <x:c r="D26" s="5" t="n">
        <x:v>7934091.198852973</x:v>
      </x:c>
      <x:c r="E26" s="2" t="str">
        <x:v>Cephalopods (100.000000%)</x:v>
      </x:c>
      <x:c r="F26" s="2" t="str">
        <x:v>High</x:v>
      </x:c>
      <x:c r="G26" s="2" t="str">
        <x:v>Todarodes pacificus is within Cephalopoda. Biomass estimation from two dominant Loligo species does not restrict the source group to those species or to squid. No split is required.</x:v>
      </x:c>
      <x:c r="H26" s="1"/>
      <x:c r="I26" s="1"/>
      <x:c r="J26" s="1"/>
      <x:c r="K26" s="1"/>
    </x:row>
    <x:row r="27" ht="72" customHeight="1" hidden="1">
      <x:c r="A27" s="2" t="str">
        <x:v>Engraulis japonicus</x:v>
      </x:c>
      <x:c r="B27" s="4" t="n">
        <x:v>3.14</x:v>
      </x:c>
      <x:c r="C27" s="5" t="n">
        <x:v>439426.8747921928</x:v>
      </x:c>
      <x:c r="D27" s="5" t="n">
        <x:v>6739754.926741834</x:v>
      </x:c>
      <x:c r="E27" s="2" t="str">
        <x:v>Pelagic fish (≤ 30 cm) (100.000000%)</x:v>
      </x:c>
      <x:c r="F27" s="2" t="str">
        <x:v>High</x:v>
      </x:c>
      <x:c r="G27" s="2" t="str">
        <x:v>Species evidence establishes pelagic habitat and maximum TL &lt;=30 cm. The source defines the small-pelagic pool by these criteria; its named examples are not a closed species list. No dedicated group competes. Checked species record: 18 cm TL; Marine;  pelagic-neritic; oceanodromous. No split is required.</x:v>
      </x:c>
      <x:c r="H27" s="1"/>
      <x:c r="I27" s="1"/>
      <x:c r="J27" s="1"/>
      <x:c r="K27" s="1"/>
    </x:row>
    <x:row r="28" ht="42" customHeight="1" hidden="1">
      <x:c r="A28" s="2" t="str">
        <x:v>Sepiidae</x:v>
      </x:c>
      <x:c r="B28" s="4" t="n">
        <x:v>3.6</x:v>
      </x:c>
      <x:c r="C28" s="5" t="n">
        <x:v>143044.2135727234</x:v>
      </x:c>
      <x:c r="D28" s="5" t="n">
        <x:v>6327436.347720789</x:v>
      </x:c>
      <x:c r="E28" s="2" t="str">
        <x:v>Cephalopods (100.000000%)</x:v>
      </x:c>
      <x:c r="F28" s="2" t="str">
        <x:v>High</x:v>
      </x:c>
      <x:c r="G28" s="2" t="str">
        <x:v>Sepiidae is within Cephalopoda. Biomass estimation from two dominant Loligo species does not restrict the source group to those species or to squid. No split is required.</x:v>
      </x:c>
      <x:c r="H28" s="1"/>
      <x:c r="I28" s="1"/>
      <x:c r="J28" s="1"/>
      <x:c r="K28" s="1"/>
    </x:row>
    <x:row r="29" ht="57" customHeight="1">
      <x:c r="A29" s="2" t="str">
        <x:v>Sparidae</x:v>
      </x:c>
      <x:c r="B29" s="4" t="n">
        <x:v>3.31</x:v>
      </x:c>
      <x:c r="C29" s="5" t="n">
        <x:v>262232.3661970165</x:v>
      </x:c>
      <x:c r="D29" s="5" t="n">
        <x:v>5948997.4709436</x:v>
      </x:c>
      <x:c r="E29" s="2" t="str">
        <x:v>Benthopelagic fish (100.000000%)</x:v>
      </x:c>
      <x:c r="F29" s="2" t="str">
        <x:v>Low</x:v>
      </x:c>
      <x:c r="G29" s="2" t="str">
        <x:v>Current group 27 alone is not established for the family: regional Pagrus major and Acanthopagrus schlegelii are documented large demersal sparids. 'Bream' does not make them Nemipteridae, and the final benthopelagic size scope is unresolved. No split is required.</x:v>
      </x:c>
      <x:c r="H29" s="1"/>
      <x:c r="I29" s="1"/>
      <x:c r="J29" s="1"/>
      <x:c r="K29" s="1"/>
    </x:row>
    <x:row r="30" ht="57" customHeight="1" hidden="1">
      <x:c r="A30" s="2" t="str">
        <x:v>Priacanthus</x:v>
      </x:c>
      <x:c r="B30" s="4" t="n">
        <x:v>3.81</x:v>
      </x:c>
      <x:c r="C30" s="5" t="n">
        <x:v>81379.45788557502</x:v>
      </x:c>
      <x:c r="D30" s="5" t="n">
        <x:v>5838110.126707684</x:v>
      </x:c>
      <x:c r="E30" s="2" t="str">
        <x:v>Bigeyes (priacanthids) (100.000000%)</x:v>
      </x:c>
      <x:c r="F30" s="2" t="str">
        <x:v>High</x:v>
      </x:c>
      <x:c r="G30" s="2" t="str">
        <x:v>Priacanthus is within Priacanthidae, expressly used as the source group boundary. Parameter species are examples, not a closed list; residual size/habitat pools do not compete. No split is required.</x:v>
      </x:c>
      <x:c r="H30" s="1"/>
      <x:c r="I30" s="1"/>
      <x:c r="J30" s="1"/>
      <x:c r="K30" s="1"/>
    </x:row>
    <x:row r="31" ht="72" customHeight="1">
      <x:c r="A31" s="2" t="str">
        <x:v>Ruvettus pretiosus</x:v>
      </x:c>
      <x:c r="B31" s="4" t="n">
        <x:v>4.18</x:v>
      </x:c>
      <x:c r="C31" s="5" t="n">
        <x:v>34590.9379943057</x:v>
      </x:c>
      <x:c r="D31" s="5" t="n">
        <x:v>5817278.14391564</x:v>
      </x:c>
      <x:c r="E31" s="2" t="str">
        <x:v>Benthopelagic fish (100.000000%)</x:v>
      </x:c>
      <x:c r="F31" s="2" t="str">
        <x:v>Low</x:v>
      </x:c>
      <x:c r="G31" s="2" t="str">
        <x:v>FAO explicitly describes oilfish as benthopelagic, with a 100–700 m range that overlaps the shelf edge. This supports group 27 better than a habitat-free analogue, but its deep distribution and the unresolved final small/large benthopelagic aggregation prevent stronger confidence. No split is required.</x:v>
      </x:c>
      <x:c r="H31" s="1"/>
      <x:c r="I31" s="1"/>
      <x:c r="J31" s="1"/>
      <x:c r="K31" s="1"/>
    </x:row>
    <x:row r="32" ht="102" customHeight="1" hidden="1">
      <x:c r="A32" s="2" t="str">
        <x:v>Coryphaena hippurus</x:v>
      </x:c>
      <x:c r="B32" s="4" t="n">
        <x:v>4.37</x:v>
      </x:c>
      <x:c r="C32" s="5" t="n">
        <x:v>20786.3543786342</x:v>
      </x:c>
      <x:c r="D32" s="5" t="n">
        <x:v>5414218.9888717495</x:v>
      </x:c>
      <x:c r="E32" s="2" t="str">
        <x:v>Juvenile large pelagic fish (89.993906%); Pelagic fish (&gt; 30 cm) (10.006094%)</x:v>
      </x:c>
      <x:c r="F32" s="2" t="str">
        <x:v>Medium</x:v>
      </x:c>
      <x:c r="G32"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210 cm TL; Marine; brackish;  pelagic-neritic; oceanodromous. Model catch proportions provide the split; allocation confidence remains Medium.</x:v>
      </x:c>
      <x:c r="H32" s="1"/>
      <x:c r="I32" s="1"/>
      <x:c r="J32" s="1"/>
      <x:c r="K32" s="1"/>
    </x:row>
    <x:row r="33" ht="72" customHeight="1">
      <x:c r="A33" s="2" t="str">
        <x:v>Leiognathidae</x:v>
      </x:c>
      <x:c r="B33" s="4" t="n">
        <x:v>3.24</x:v>
      </x:c>
      <x:c r="C33" s="5" t="n">
        <x:v>277484.4665916633</x:v>
      </x:c>
      <x:c r="D33" s="5" t="n">
        <x:v>5357919.288978566</x:v>
      </x:c>
      <x:c r="E33" s="2" t="str">
        <x:v>Benthopelagic fish (100.000000%)</x:v>
      </x:c>
      <x:c r="F33" s="2" t="str">
        <x:v>Low</x:v>
      </x:c>
      <x:c r="G33" s="2" t="str">
        <x:v>FAO describes bottom-living ponyfishes but nocturnal midwater movement only for some deeper members; L. equula is demersal and reaches 28 cm TL. Thus group 24 competes with current group 27 for an unresolved family composition, even though the final group 27 parameters resemble the small-benthopelagic appendix. No split is required.</x:v>
      </x:c>
      <x:c r="H33" s="1"/>
      <x:c r="I33" s="1"/>
      <x:c r="J33" s="1"/>
      <x:c r="K33" s="1"/>
    </x:row>
    <x:row r="34" ht="57" customHeight="1" hidden="1">
      <x:c r="A34" s="2" t="str">
        <x:v>Priacanthidae</x:v>
      </x:c>
      <x:c r="B34" s="4" t="n">
        <x:v>3.79</x:v>
      </x:c>
      <x:c r="C34" s="5" t="n">
        <x:v>75891.1854551452</x:v>
      </x:c>
      <x:c r="D34" s="5" t="n">
        <x:v>5199347.292998371</x:v>
      </x:c>
      <x:c r="E34" s="2" t="str">
        <x:v>Bigeyes (priacanthids) (100.000000%)</x:v>
      </x:c>
      <x:c r="F34" s="2" t="str">
        <x:v>High</x:v>
      </x:c>
      <x:c r="G34" s="2" t="str">
        <x:v>Priacanthidae is within Priacanthidae, expressly used as the source group boundary. Parameter species are examples, not a closed list; residual size/habitat pools do not compete. No split is required.</x:v>
      </x:c>
      <x:c r="H34" s="1"/>
      <x:c r="I34" s="1"/>
      <x:c r="J34" s="1"/>
      <x:c r="K34" s="1"/>
    </x:row>
    <x:row r="35" ht="72" customHeight="1">
      <x:c r="A35" s="2" t="str">
        <x:v>Carangoides</x:v>
      </x:c>
      <x:c r="B35" s="4" t="n">
        <x:v>4.34</x:v>
      </x:c>
      <x:c r="C35" s="5" t="n">
        <x:v>18958.1394090433</x:v>
      </x:c>
      <x:c r="D35" s="5" t="n">
        <x:v>4608432.206732284</x:v>
      </x:c>
      <x:c r="E35" s="2" t="str">
        <x:v>Juvenile large pelagic fish (89.993906%); Pelagic fish (&gt; 30 cm) (10.006094%)</x:v>
      </x:c>
      <x:c r="F35" s="2" t="str">
        <x:v>Low</x:v>
      </x:c>
      <x:c r="G35" s="2" t="str">
        <x:v>The historical Carangoides reporting genus includes small C. praeustus and demersal C. hedlandensis. The current large-pelagic pair cannot be verified for that mixed size/habitat set without species composition. Model catch proportions provide the split; allocation confidence remains Medium.</x:v>
      </x:c>
      <x:c r="H35" s="1"/>
      <x:c r="I35" s="1"/>
      <x:c r="J35" s="1"/>
      <x:c r="K35" s="1"/>
    </x:row>
    <x:row r="36" ht="72" customHeight="1" hidden="1">
      <x:c r="A36" s="2" t="str">
        <x:v>Lates calcarifer</x:v>
      </x:c>
      <x:c r="B36" s="4" t="n">
        <x:v>4.35</x:v>
      </x:c>
      <x:c r="C36" s="5" t="n">
        <x:v>18404.6390743277</x:v>
      </x:c>
      <x:c r="D36" s="5" t="n">
        <x:v>4578094.949268693</x:v>
      </x:c>
      <x:c r="E36" s="2" t="str">
        <x:v>Juvenile demersal fish (&gt; 30 cm) (89.991470%); Adult demersal fish (&gt; 30 cm) (10.008530%)</x:v>
      </x:c>
      <x:c r="F36" s="2" t="str">
        <x:v>Medium</x:v>
      </x:c>
      <x:c r="G36" s="2" t="str">
        <x:v>Its documented demersal coastal/estuarine ecology, maximum 200 cm TL and Latidae identity satisfy the explicit residual large-demersal criteria. It is not a source Serranidae grouper; groups 25 + 26 cover both stages independently of the catch-age proportions. Model catch proportions provide the split; allocation confidence remains Medium.</x:v>
      </x:c>
      <x:c r="H36" s="1"/>
      <x:c r="I36" s="1"/>
      <x:c r="J36" s="1"/>
      <x:c r="K36" s="1"/>
    </x:row>
    <x:row r="37" ht="57" customHeight="1" hidden="1">
      <x:c r="A37" s="2" t="str">
        <x:v>Epinephelus</x:v>
      </x:c>
      <x:c r="B37" s="4" t="n">
        <x:v>3.84</x:v>
      </x:c>
      <x:c r="C37" s="5" t="n">
        <x:v>55310.4304767253</x:v>
      </x:c>
      <x:c r="D37" s="5" t="n">
        <x:v>4251718.757628576</x:v>
      </x:c>
      <x:c r="E37" s="2" t="str">
        <x:v>Adult groupers (100.000000%)</x:v>
      </x:c>
      <x:c r="F37" s="2" t="str">
        <x:v>High</x:v>
      </x:c>
      <x:c r="G37" s="2" t="str">
        <x:v>Epinephelus fits the source Serranidae concept. The thesis defines one family pool and no juvenile grouper stanza; the stored word Adult does not by itself establish an age restriction. No split is required.</x:v>
      </x:c>
      <x:c r="H37" s="1"/>
      <x:c r="I37" s="1"/>
      <x:c r="J37" s="1"/>
      <x:c r="K37" s="1"/>
    </x:row>
    <x:row r="38" ht="72" customHeight="1" hidden="1">
      <x:c r="A38" s="2" t="str">
        <x:v>Scomber japonicus</x:v>
      </x:c>
      <x:c r="B38" s="4" t="n">
        <x:v>3.38</x:v>
      </x:c>
      <x:c r="C38" s="5" t="n">
        <x:v>152841.3718023047</x:v>
      </x:c>
      <x:c r="D38" s="5" t="n">
        <x:v>4073787.934082953</x:v>
      </x:c>
      <x:c r="E38" s="2" t="str">
        <x:v>Juvenile large pelagic fish (89.993906%); Pelagic fish (&gt; 30 cm) (10.006094%)</x:v>
      </x:c>
      <x:c r="F38" s="2" t="str">
        <x:v>Medium</x:v>
      </x:c>
      <x:c r="G38" s="2" t="str">
        <x:v>Pelagic-neritic ecology, maximum size &gt;30 cm and the source scombrid example support the current pair. Near-bottom behavior makes the model's competing benthopelagic boundary an interpretation rather than an unequivocal fit. Checked species record: 64 cm TL; Marine;  pelagic-neritic; oceanodromous. Model catch proportions provide the split; allocation confidence remains Medium.</x:v>
      </x:c>
      <x:c r="H38" s="1"/>
      <x:c r="I38" s="1"/>
      <x:c r="J38" s="1"/>
      <x:c r="K38" s="1"/>
    </x:row>
    <x:row r="39" ht="102" customHeight="1" hidden="1">
      <x:c r="A39" s="2" t="str">
        <x:v>Scomberomorus niphonius</x:v>
      </x:c>
      <x:c r="B39" s="4" t="n">
        <x:v>4.5</x:v>
      </x:c>
      <x:c r="C39" s="5" t="n">
        <x:v>11467.8352517486</x:v>
      </x:c>
      <x:c r="D39" s="5" t="n">
        <x:v>4029386.580788446</x:v>
      </x:c>
      <x:c r="E39" s="2" t="str">
        <x:v>Juvenile large pelagic fish (89.993906%); Pelagic fish (&gt; 30 cm) (10.006094%)</x:v>
      </x:c>
      <x:c r="F39" s="2" t="str">
        <x:v>Medium</x:v>
      </x:c>
      <x:c r="G39"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113 cm TL; Marine;  pelagic-neritic; oceanodromous. Model catch proportions provide the split; allocation confidence remains Medium.</x:v>
      </x:c>
      <x:c r="H39" s="1"/>
      <x:c r="I39" s="1"/>
      <x:c r="J39" s="1"/>
      <x:c r="K39" s="1"/>
    </x:row>
    <x:row r="40" ht="57" customHeight="1" hidden="1">
      <x:c r="A40" s="2" t="str">
        <x:v>Lutjanus malabaricus</x:v>
      </x:c>
      <x:c r="B40" s="4" t="n">
        <x:v>4.48</x:v>
      </x:c>
      <x:c r="C40" s="5" t="n">
        <x:v>11805.8375568092</x:v>
      </x:c>
      <x:c r="D40" s="5" t="n">
        <x:v>3961451.048941412</x:v>
      </x:c>
      <x:c r="E40" s="2" t="str">
        <x:v>Snappers (100.000000%)</x:v>
      </x:c>
      <x:c r="F40" s="2" t="str">
        <x:v>High</x:v>
      </x:c>
      <x:c r="G40" s="2" t="str">
        <x:v>Lutjanus malabaricus is within Lutjanidae, expressly used as the source group boundary. Parameter species are examples, not a closed list; residual size/habitat pools do not compete. No split is required.</x:v>
      </x:c>
      <x:c r="H40" s="1"/>
      <x:c r="I40" s="1"/>
      <x:c r="J40" s="1"/>
      <x:c r="K40" s="1"/>
    </x:row>
    <x:row r="41" ht="57" customHeight="1" hidden="1">
      <x:c r="A41" s="2" t="str">
        <x:v>Pampus</x:v>
      </x:c>
      <x:c r="B41" s="4" t="n">
        <x:v>3.41</x:v>
      </x:c>
      <x:c r="C41" s="5" t="n">
        <x:v>129073.1107121482</x:v>
      </x:c>
      <x:c r="D41" s="5" t="n">
        <x:v>3686321.993815162</x:v>
      </x:c>
      <x:c r="E41" s="2" t="str">
        <x:v>Pomfret (stromateids) (100.000000%)</x:v>
      </x:c>
      <x:c r="F41" s="2" t="str">
        <x:v>High</x:v>
      </x:c>
      <x:c r="G41" s="2" t="str">
        <x:v>Pampus is within Stromateidae, expressly used as the source group boundary. Parameter species are examples, not a closed list; residual size/habitat pools do not compete. The broader biomass-survey assemblage does not expand membership beyond Stromateidae. No split is required.</x:v>
      </x:c>
      <x:c r="H41" s="1"/>
      <x:c r="I41" s="1"/>
      <x:c r="J41" s="1"/>
      <x:c r="K41" s="1"/>
    </x:row>
    <x:row r="42" ht="102" customHeight="1" hidden="1">
      <x:c r="A42" s="2" t="str">
        <x:v>Thunnus albacares</x:v>
      </x:c>
      <x:c r="B42" s="4" t="n">
        <x:v>4.41</x:v>
      </x:c>
      <x:c r="C42" s="5" t="n">
        <x:v>12859.1902555373</x:v>
      </x:c>
      <x:c r="D42" s="5" t="n">
        <x:v>3672578.711406173</x:v>
      </x:c>
      <x:c r="E42" s="2" t="str">
        <x:v>Juvenile large pelagic fish (89.993906%); Pelagic fish (&gt; 30 cm) (10.006094%)</x:v>
      </x:c>
      <x:c r="F42" s="2" t="str">
        <x:v>Medium</x:v>
      </x:c>
      <x:c r="G42"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239 cm FL; Marine; brackish;  pelagic-oceanic; oceanodromous. Model catch proportions provide the split; allocation confidence remains Medium.</x:v>
      </x:c>
      <x:c r="H42" s="1"/>
      <x:c r="I42" s="1"/>
      <x:c r="J42" s="1"/>
      <x:c r="K42" s="1"/>
    </x:row>
    <x:row r="43" ht="57" customHeight="1" hidden="1">
      <x:c r="A43" s="2" t="str">
        <x:v>Elasmobranchii</x:v>
      </x:c>
      <x:c r="B43" s="4" t="n">
        <x:v>4.05</x:v>
      </x:c>
      <x:c r="C43" s="5" t="n">
        <x:v>27118.7674627386</x:v>
      </x:c>
      <x:c r="D43" s="5" t="n">
        <x:v>3380861.9501240365</x:v>
      </x:c>
      <x:c r="E43" s="2" t="str">
        <x:v>Demersal sharks and rays (58.823529%); Pelagic sharks and rays (41.176471%)</x:v>
      </x:c>
      <x:c r="F43" s="2" t="str">
        <x:v>Medium</x:v>
      </x:c>
      <x:c r="G43" s="2" t="str">
        <x:v>The source expressly divides elasmobranchs into demersal and pelagic groups, both included in the current mapping. Membership in that complete partition is documented; relative composition is unknown. Model catch proportions provide the split; allocation confidence remains Medium.</x:v>
      </x:c>
      <x:c r="H43" s="1"/>
      <x:c r="I43" s="1"/>
      <x:c r="J43" s="1"/>
      <x:c r="K43" s="1"/>
    </x:row>
    <x:row r="44" ht="72" customHeight="1">
      <x:c r="A44" s="2" t="str">
        <x:v>Decapterus</x:v>
      </x:c>
      <x:c r="B44" s="4" t="n">
        <x:v>3.63</x:v>
      </x:c>
      <x:c r="C44" s="5" t="n">
        <x:v>67285.0648076855</x:v>
      </x:c>
      <x:c r="D44" s="5" t="n">
        <x:v>3189158.9520218275</x:v>
      </x:c>
      <x:c r="E44" s="2" t="str">
        <x:v>Juvenile large pelagic fish (89.993906%); Pelagic fish (&gt; 30 cm) (10.006094%)</x:v>
      </x:c>
      <x:c r="F44" s="2" t="str">
        <x:v>Low</x:v>
      </x:c>
      <x:c r="G44" s="2" t="str">
        <x:v>Common regional scads often exceed the threshold, but the genus contains depth-diverse and historically confused species. Available FL/TL and modern species coverage do not establish whole-label containment in the current large-pelagic pair. Model catch proportions provide the split; allocation confidence remains Medium.</x:v>
      </x:c>
      <x:c r="H44" s="1"/>
      <x:c r="I44" s="1"/>
      <x:c r="J44" s="1"/>
      <x:c r="K44" s="1"/>
    </x:row>
    <x:row r="45" ht="57" customHeight="1" hidden="1">
      <x:c r="A45" s="2" t="str">
        <x:v>Squillidae</x:v>
      </x:c>
      <x:c r="B45" s="4" t="n">
        <x:v>3.5</x:v>
      </x:c>
      <x:c r="C45" s="5" t="n">
        <x:v>88046.0333192449</x:v>
      </x:c>
      <x:c r="D45" s="5" t="n">
        <x:v>3093622.2692432115</x:v>
      </x:c>
      <x:c r="E45" s="2" t="str">
        <x:v>Benthic crustaceans (100.000000%)</x:v>
      </x:c>
      <x:c r="F45" s="2" t="str">
        <x:v>High</x:v>
      </x:c>
      <x:c r="G45" s="2" t="str">
        <x:v>Squillidae is a benthic stomatopod lineage in the residual crustacean pool after shrimp/crab exclusions. Oratosquilla is a parameter example, not the complete membership. No split is required.</x:v>
      </x:c>
      <x:c r="H45" s="1"/>
      <x:c r="I45" s="1"/>
      <x:c r="J45" s="1"/>
      <x:c r="K45" s="1"/>
    </x:row>
    <x:row r="46" ht="72" customHeight="1">
      <x:c r="A46" s="2" t="str">
        <x:v>Sphyraena</x:v>
      </x:c>
      <x:c r="B46" s="4" t="n">
        <x:v>4.4</x:v>
      </x:c>
      <x:c r="C46" s="5" t="n">
        <x:v>10928.9977320833</x:v>
      </x:c>
      <x:c r="D46" s="5" t="n">
        <x:v>3050266.7903576707</x:v>
      </x:c>
      <x:c r="E46" s="2" t="str">
        <x:v>Juvenile large pelagic fish (89.993906%); Pelagic fish (&gt; 30 cm) (10.006094%)</x:v>
      </x:c>
      <x:c r="F46" s="2" t="str">
        <x:v>Low</x:v>
      </x:c>
      <x:c r="G46" s="2" t="str">
        <x:v>Large size is generally compatible, but regional barracudas include mainly bottom-associated S. forsteri as well as surface-oriented species. The genus-only catch label does not resolve the source's pelagic versus benthopelagic/demersal boundary. Model catch proportions provide the split; allocation confidence remains Medium.</x:v>
      </x:c>
      <x:c r="H46" s="1"/>
      <x:c r="I46" s="1"/>
      <x:c r="J46" s="1"/>
      <x:c r="K46" s="1"/>
    </x:row>
    <x:row r="47" ht="87" customHeight="1" hidden="1">
      <x:c r="A47" s="2" t="str">
        <x:v>Decapoda</x:v>
      </x:c>
      <x:c r="B47" s="4" t="n">
        <x:v>3.43</x:v>
      </x:c>
      <x:c r="C47" s="5" t="n">
        <x:v>101071.2094189076</x:v>
      </x:c>
      <x:c r="D47" s="5" t="n">
        <x:v>3022629.7536219535</x:v>
      </x:c>
      <x:c r="E47" s="2" t="str">
        <x:v>Zooplankton (9.363888%); Benthic crustaceans (3.862110%); Shrimps (67.048597%); Crabs (19.725405%)</x:v>
      </x:c>
      <x:c r="F47" s="2" t="str">
        <x:v>Medium</x:v>
      </x:c>
      <x:c r="G47" s="2" t="str">
        <x:v>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x:v>
      </x:c>
      <x:c r="H47" s="1"/>
      <x:c r="I47" s="1"/>
      <x:c r="J47" s="1"/>
      <x:c r="K47" s="1"/>
    </x:row>
    <x:row r="48" ht="342" customHeight="1" hidden="1">
      <x:c r="A48" s="2" t="str">
        <x:v>Marine finfishes not identified</x:v>
      </x:c>
      <x:c r="B48" s="4" t="n">
        <x:v>3.23</x:v>
      </x:c>
      <x:c r="C48" s="5" t="n">
        <x:v>155275.5661864692</x:v>
      </x:c>
      <x:c r="D48" s="5" t="n">
        <x:v>2929952.718428608</x:v>
      </x:c>
      <x:c r="E48" s="2" t="str">
        <x:v>Threadfin bream (nemipterids) (11.659686%); Bigeyes (priacanthids) (3.655853%); Lizard fish (synodontids) (0.415276%); Juvenile Hairtail (trichiurids) (0.496912%); Adult hairtail (trichiurids) (0.127777%); Pomfret (stromateids) (4.241499%); Snappers (0.019522%); Adult groupers (0.157947%); Croakers (≤ 30 cm) (0.622915%); Juvenile large croakers (1.260027%); Croakers (&gt; 30 cm) (0.141975%); Demesral fish (≤ 30 cm) (3.173138%); Juvenile demersal fish (&gt; 30 cm) (5.616881%); Adult demersal fish (&gt; 30 cm) (0.624689%); Benthopelagic fish (10.692482%); Melon seed (0.885568%); Pelagic fish (≤ 30 cm) (41.616384%); Juvenile large pelagic fish (13.104281%); Pelagic fish (&gt; 30 cm) (1.457017%); Demersal sharks and rays (0.017747%); Pelagic sharks and rays (0.012423%)</x:v>
      </x:c>
      <x:c r="F48" s="2" t="str">
        <x:v>Very low</x:v>
      </x:c>
      <x:c r="G48"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x:v>
      </x:c>
      <x:c r="H48" s="1"/>
      <x:c r="I48" s="1"/>
      <x:c r="J48" s="1"/>
      <x:c r="K48" s="1"/>
    </x:row>
    <x:row r="49" ht="87" customHeight="1" hidden="1">
      <x:c r="A49" s="2" t="str">
        <x:v>Megalaspis cordyla</x:v>
      </x:c>
      <x:c r="B49" s="4" t="n">
        <x:v>4.24</x:v>
      </x:c>
      <x:c r="C49" s="5" t="n">
        <x:v>14481.3844001527</x:v>
      </x:c>
      <x:c r="D49" s="5" t="n">
        <x:v>2796195.7568915165</x:v>
      </x:c>
      <x:c r="E49" s="2" t="str">
        <x:v>Juvenile large pelagic fish (89.993906%); Pelagic fish (&gt; 30 cm) (10.006094%)</x:v>
      </x:c>
      <x:c r="F49" s="2" t="str">
        <x:v>Medium</x:v>
      </x:c>
      <x:c r="G49" s="2" t="str">
        <x:v>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80 cm TL; Marine; brackish;  reef-associated;. Model catch proportions provide the split; allocation confidence remains Medium.</x:v>
      </x:c>
      <x:c r="H49" s="1"/>
      <x:c r="I49" s="1"/>
      <x:c r="J49" s="1"/>
      <x:c r="K49" s="1"/>
    </x:row>
    <x:row r="50" ht="72" customHeight="1" hidden="1">
      <x:c r="A50" s="2" t="str">
        <x:v>Chondrichthyes</x:v>
      </x:c>
      <x:c r="B50" s="4" t="n">
        <x:v>4</x:v>
      </x:c>
      <x:c r="C50" s="5" t="n">
        <x:v>25109.8485942637</x:v>
      </x:c>
      <x:c r="D50" s="5" t="n">
        <x:v>2789983.1771404115</x:v>
      </x:c>
      <x:c r="E50" s="2" t="str">
        <x:v>Demersal sharks and rays (58.823529%); Pelagic sharks and rays (41.176471%)</x:v>
      </x:c>
      <x:c r="F50" s="2" t="str">
        <x:v>Very low</x:v>
      </x:c>
      <x:c r="G50" s="2" t="str">
        <x:v>The raw category explicitly includes sharks, rays and chimaeras. Source groups 32–33 are defined as elasmobranchs, so they approximate only part of this class; chimaera composition and representation remain unknown. Model catch proportions provide the split; allocation confidence remains Medium.</x:v>
      </x:c>
      <x:c r="H50" s="1"/>
      <x:c r="I50" s="1"/>
      <x:c r="J50" s="1"/>
      <x:c r="K50" s="1"/>
    </x:row>
    <x:row r="51" ht="57" customHeight="1" hidden="1">
      <x:c r="A51" s="2" t="str">
        <x:v>Lutjanus</x:v>
      </x:c>
      <x:c r="B51" s="4" t="n">
        <x:v>4.02</x:v>
      </x:c>
      <x:c r="C51" s="5" t="n">
        <x:v>22653.4578388041</x:v>
      </x:c>
      <x:c r="D51" s="5" t="n">
        <x:v>2635675.823897686</x:v>
      </x:c>
      <x:c r="E51" s="2" t="str">
        <x:v>Snappers (100.000000%)</x:v>
      </x:c>
      <x:c r="F51" s="2" t="str">
        <x:v>High</x:v>
      </x:c>
      <x:c r="G51" s="2" t="str">
        <x:v>Lutjanus is within Lutjanidae, expressly used as the source group boundary. Parameter species are examples, not a closed list; residual size/habitat pools do not compete. No split is required.</x:v>
      </x:c>
      <x:c r="H51" s="1"/>
      <x:c r="I51" s="1"/>
      <x:c r="J51" s="1"/>
      <x:c r="K51" s="1"/>
    </x:row>
    <x:row r="52" ht="72" customHeight="1">
      <x:c r="A52" s="2" t="str">
        <x:v>Seriola</x:v>
      </x:c>
      <x:c r="B52" s="4" t="n">
        <x:v>4.39</x:v>
      </x:c>
      <x:c r="C52" s="5" t="n">
        <x:v>9656.8561392671</x:v>
      </x:c>
      <x:c r="D52" s="5" t="n">
        <x:v>2633863.42917185</x:v>
      </x:c>
      <x:c r="E52" s="2" t="str">
        <x:v>Juvenile large pelagic fish (89.993906%); Pelagic fish (&gt; 30 cm) (10.006094%)</x:v>
      </x:c>
      <x:c r="F52" s="2" t="str">
        <x:v>Low</x:v>
      </x:c>
      <x:c r="G52" s="2" t="str">
        <x:v>FAO describes regional amberjacks as both pelagic and epibenthic, often around reefs and drop-offs. Their large size supports the size class, but the current exclusively pelagic pair leaves a genuine habitat boundary unresolved. Model catch proportions provide the split; allocation confidence remains Medium.</x:v>
      </x:c>
      <x:c r="H52" s="1"/>
      <x:c r="I52" s="1"/>
      <x:c r="J52" s="1"/>
      <x:c r="K52" s="1"/>
    </x:row>
    <x:row r="53" ht="102" customHeight="1" hidden="1">
      <x:c r="A53" s="2" t="str">
        <x:v>Thunnus tonggol</x:v>
      </x:c>
      <x:c r="B53" s="4" t="n">
        <x:v>4.5</x:v>
      </x:c>
      <x:c r="C53" s="5" t="n">
        <x:v>7448.6668499699</x:v>
      </x:c>
      <x:c r="D53" s="5" t="n">
        <x:v>2617194.7530773985</x:v>
      </x:c>
      <x:c r="E53" s="2" t="str">
        <x:v>Juvenile large pelagic fish (89.993906%); Pelagic fish (&gt; 30 cm) (10.006094%)</x:v>
      </x:c>
      <x:c r="F53" s="2" t="str">
        <x:v>Medium</x:v>
      </x:c>
      <x:c r="G53"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145 cm FL; Marine;  pelagic-neritic; oceanodromous. Model catch proportions provide the split; allocation confidence remains Medium.</x:v>
      </x:c>
      <x:c r="H53" s="1"/>
      <x:c r="I53" s="1"/>
      <x:c r="J53" s="1"/>
      <x:c r="K53" s="1"/>
    </x:row>
    <x:row r="54" ht="57" customHeight="1">
      <x:c r="A54" s="2" t="str">
        <x:v>Selaroides leptolepis</x:v>
      </x:c>
      <x:c r="B54" s="4" t="n">
        <x:v>3.84</x:v>
      </x:c>
      <x:c r="C54" s="5" t="n">
        <x:v>33920.5135859908</x:v>
      </x:c>
      <x:c r="D54" s="5" t="n">
        <x:v>2607473.538696109</x:v>
      </x:c>
      <x:c r="E54" s="2" t="str">
        <x:v>Pelagic fish (≤ 30 cm) (100.000000%)</x:v>
      </x:c>
      <x:c r="F54" s="2" t="str">
        <x:v>Low</x:v>
      </x:c>
      <x:c r="G54" s="2" t="str">
        <x:v>Small size is compatible with group 29, but FAO describes large demersal schools over soft bottoms. The existing small-pelagic mapping therefore retains a specific habitat conflict. No split is required.</x:v>
      </x:c>
      <x:c r="H54" s="1"/>
      <x:c r="I54" s="1"/>
      <x:c r="J54" s="1"/>
      <x:c r="K54" s="1"/>
    </x:row>
    <x:row r="55" ht="102" customHeight="1" hidden="1">
      <x:c r="A55" s="2" t="str">
        <x:v>Scomberomorus guttatus</x:v>
      </x:c>
      <x:c r="B55" s="4" t="n">
        <x:v>4.28</x:v>
      </x:c>
      <x:c r="C55" s="5" t="n">
        <x:v>12049.6278404204</x:v>
      </x:c>
      <x:c r="D55" s="5" t="n">
        <x:v>2551121.3906663777</x:v>
      </x:c>
      <x:c r="E55" s="2" t="str">
        <x:v>Juvenile large pelagic fish (89.993906%); Pelagic fish (&gt; 30 cm) (10.006094%)</x:v>
      </x:c>
      <x:c r="F55" s="2" t="str">
        <x:v>Medium</x:v>
      </x:c>
      <x:c r="G55"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81.5 cm FL; Marine; brackish;  pelagic-neritic; oceanodromous. Model catch proportions provide the split; allocation confidence remains Medium.</x:v>
      </x:c>
      <x:c r="H55" s="1"/>
      <x:c r="I55" s="1"/>
      <x:c r="J55" s="1"/>
      <x:c r="K55" s="1"/>
    </x:row>
    <x:row r="56" ht="102" customHeight="1" hidden="1">
      <x:c r="A56" s="2" t="str">
        <x:v>Cololabis saira</x:v>
      </x:c>
      <x:c r="B56" s="4" t="n">
        <x:v>3.71</x:v>
      </x:c>
      <x:c r="C56" s="5" t="n">
        <x:v>44760.0329692707</x:v>
      </x:c>
      <x:c r="D56" s="5" t="n">
        <x:v>2550632.4951243657</x:v>
      </x:c>
      <x:c r="E56" s="2" t="str">
        <x:v>Juvenile large pelagic fish (89.993906%); Pelagic fish (&gt; 30 cm) (10.006094%)</x:v>
      </x:c>
      <x:c r="F56" s="2" t="str">
        <x:v>Medium</x:v>
      </x:c>
      <x:c r="G56"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40 cm SL; Marine;  pelagic-oceanic; oceanodromous. Model catch proportions provide the split; allocation confidence remains Medium.</x:v>
      </x:c>
      <x:c r="H56" s="1"/>
      <x:c r="I56" s="1"/>
      <x:c r="J56" s="1"/>
      <x:c r="K56" s="1"/>
    </x:row>
    <x:row r="57" ht="102" customHeight="1" hidden="1">
      <x:c r="A57" s="2" t="str">
        <x:v>Ilisha elongata</x:v>
      </x:c>
      <x:c r="B57" s="4" t="n">
        <x:v>3.79</x:v>
      </x:c>
      <x:c r="C57" s="5" t="n">
        <x:v>36037.4422664097</x:v>
      </x:c>
      <x:c r="D57" s="5" t="n">
        <x:v>2468945.1979266605</x:v>
      </x:c>
      <x:c r="E57" s="2" t="str">
        <x:v>Juvenile large pelagic fish (89.993906%); Pelagic fish (&gt; 30 cm) (10.006094%)</x:v>
      </x:c>
      <x:c r="F57" s="2" t="str">
        <x:v>Medium</x:v>
      </x:c>
      <x:c r="G57"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60 cm TL; Marine; brackish;  pelagic-neritic;. Model catch proportions provide the split; allocation confidence remains Medium.</x:v>
      </x:c>
      <x:c r="H57" s="1"/>
      <x:c r="I57" s="1"/>
      <x:c r="J57" s="1"/>
      <x:c r="K57" s="1"/>
    </x:row>
    <x:row r="58" ht="42" customHeight="1" hidden="1">
      <x:c r="A58" s="2" t="str">
        <x:v>Sepiida</x:v>
      </x:c>
      <x:c r="B58" s="4" t="n">
        <x:v>3.7</x:v>
      </x:c>
      <x:c r="C58" s="5" t="n">
        <x:v>40234.5103552879</x:v>
      </x:c>
      <x:c r="D58" s="5" t="n">
        <x:v>2240558.1045905105</x:v>
      </x:c>
      <x:c r="E58" s="2" t="str">
        <x:v>Cephalopods (100.000000%)</x:v>
      </x:c>
      <x:c r="F58" s="2" t="str">
        <x:v>High</x:v>
      </x:c>
      <x:c r="G58" s="2" t="str">
        <x:v>Sepiida is within Cephalopoda. Biomass estimation from two dominant Loligo species does not restrict the source group to those species or to squid. No split is required.</x:v>
      </x:c>
      <x:c r="H58" s="1"/>
      <x:c r="I58" s="1"/>
      <x:c r="J58" s="1"/>
      <x:c r="K58" s="1"/>
    </x:row>
    <x:row r="59" ht="57" customHeight="1" hidden="1">
      <x:c r="A59" s="2" t="str">
        <x:v>Trichiuridae</x:v>
      </x:c>
      <x:c r="B59" s="4" t="n">
        <x:v>4.15</x:v>
      </x:c>
      <x:c r="C59" s="5" t="n">
        <x:v>14238.2531999174</x:v>
      </x:c>
      <x:c r="D59" s="5" t="n">
        <x:v>2234674.134969823</x:v>
      </x:c>
      <x:c r="E59" s="2" t="str">
        <x:v>Juvenile Hairtail (trichiurids) (79.545455%); Adult hairtail (trichiurids) (20.454545%)</x:v>
      </x:c>
      <x:c r="F59" s="2" t="str">
        <x:v>Medium</x:v>
      </x:c>
      <x:c r="G59" s="2" t="str">
        <x:v>Trichiuridae is a trichiurid covered by the source juvenile/adult hairtail pair. The 18-month boundary affects allocation, not membership in that pair. Model catch proportions provide the split; allocation confidence remains Medium.</x:v>
      </x:c>
      <x:c r="H59" s="1"/>
      <x:c r="I59" s="1"/>
      <x:c r="J59" s="1"/>
      <x:c r="K59" s="1"/>
    </x:row>
    <x:row r="60" ht="57" customHeight="1" hidden="1">
      <x:c r="A60" s="2" t="str">
        <x:v>Saurida</x:v>
      </x:c>
      <x:c r="B60" s="4" t="n">
        <x:v>4.35</x:v>
      </x:c>
      <x:c r="C60" s="5" t="n">
        <x:v>8432.9570714606</x:v>
      </x:c>
      <x:c r="D60" s="5" t="n">
        <x:v>2097671.0285020215</x:v>
      </x:c>
      <x:c r="E60" s="2" t="str">
        <x:v>Lizard fish (synodontids) (100.000000%)</x:v>
      </x:c>
      <x:c r="F60" s="2" t="str">
        <x:v>High</x:v>
      </x:c>
      <x:c r="G60" s="2" t="str">
        <x:v>Saurida fits the source Synodontidae concept. Explicit inclusion of Saurida tumbil and S. undosquamis anchors the historical boundary despite modern Harpadontidae placement. No split is required.</x:v>
      </x:c>
      <x:c r="H60" s="1"/>
      <x:c r="I60" s="1"/>
      <x:c r="J60" s="1"/>
      <x:c r="K60" s="1"/>
    </x:row>
    <x:row r="61" ht="42" customHeight="1" hidden="1">
      <x:c r="A61" s="2" t="str">
        <x:v>Cephalopoda</x:v>
      </x:c>
      <x:c r="B61" s="4" t="n">
        <x:v>3.81</x:v>
      </x:c>
      <x:c r="C61" s="5" t="n">
        <x:v>29218.5094012472</x:v>
      </x:c>
      <x:c r="D61" s="5" t="n">
        <x:v>2096117.1290004551</x:v>
      </x:c>
      <x:c r="E61" s="2" t="str">
        <x:v>Cephalopods (100.000000%)</x:v>
      </x:c>
      <x:c r="F61" s="2" t="str">
        <x:v>High</x:v>
      </x:c>
      <x:c r="G61" s="2" t="str">
        <x:v>Cephalopoda is within Cephalopoda. Biomass estimation from two dominant Loligo species does not restrict the source group to those species or to squid. No split is required.</x:v>
      </x:c>
      <x:c r="H61" s="1"/>
      <x:c r="I61" s="1"/>
      <x:c r="J61" s="1"/>
      <x:c r="K61" s="1"/>
    </x:row>
    <x:row r="62" ht="57" customHeight="1" hidden="1">
      <x:c r="A62" s="2" t="str">
        <x:v>Larimichthys crocea</x:v>
      </x:c>
      <x:c r="B62" s="4" t="n">
        <x:v>3.72</x:v>
      </x:c>
      <x:c r="C62" s="5" t="n">
        <x:v>34581.1927283659</x:v>
      </x:c>
      <x:c r="D62" s="5" t="n">
        <x:v>2016496.4364646247</x:v>
      </x:c>
      <x:c r="E62" s="2" t="str">
        <x:v>Juvenile large croakers (89.873418%); Croakers (&gt; 30 cm) (10.126582%)</x:v>
      </x:c>
      <x:c r="F62" s="2" t="str">
        <x:v>Medium</x:v>
      </x:c>
      <x:c r="G62" s="2" t="str">
        <x:v>Larimichthys crocea is explicitly a large croaker in the source. Both 24-month stanzas are eligible; unknown catch ages limit allocation separately. Model catch proportions provide the split; allocation confidence remains Medium.</x:v>
      </x:c>
      <x:c r="H62" s="1"/>
      <x:c r="I62" s="1"/>
      <x:c r="J62" s="1"/>
      <x:c r="K62" s="1"/>
    </x:row>
    <x:row r="63" ht="42" customHeight="1" hidden="1">
      <x:c r="A63" s="2" t="str">
        <x:v>Octopodidae</x:v>
      </x:c>
      <x:c r="B63" s="4" t="n">
        <x:v>3.59</x:v>
      </x:c>
      <x:c r="C63" s="5" t="n">
        <x:v>45104.9351031782</x:v>
      </x:c>
      <x:c r="D63" s="5" t="n">
        <x:v>1949761.779685953</x:v>
      </x:c>
      <x:c r="E63" s="2" t="str">
        <x:v>Cephalopods (100.000000%)</x:v>
      </x:c>
      <x:c r="F63" s="2" t="str">
        <x:v>High</x:v>
      </x:c>
      <x:c r="G63" s="2" t="str">
        <x:v>Octopodidae is within Cephalopoda. Biomass estimation from two dominant Loligo species does not restrict the source group to those species or to squid. No split is required.</x:v>
      </x:c>
      <x:c r="H63" s="1"/>
      <x:c r="I63" s="1"/>
      <x:c r="J63" s="1"/>
      <x:c r="K63" s="1"/>
    </x:row>
    <x:row r="64" ht="57" customHeight="1" hidden="1">
      <x:c r="A64" s="2" t="str">
        <x:v>Saurida tumbil</x:v>
      </x:c>
      <x:c r="B64" s="4" t="n">
        <x:v>4.4</x:v>
      </x:c>
      <x:c r="C64" s="5" t="n">
        <x:v>6677.3012758872</x:v>
      </x:c>
      <x:c r="D64" s="5" t="n">
        <x:v>1863624.719333631</x:v>
      </x:c>
      <x:c r="E64" s="2" t="str">
        <x:v>Lizard fish (synodontids) (100.000000%)</x:v>
      </x:c>
      <x:c r="F64" s="2" t="str">
        <x:v>High</x:v>
      </x:c>
      <x:c r="G64" s="2" t="str">
        <x:v>Saurida tumbil fits the source Synodontidae concept. Explicit inclusion of Saurida tumbil and S. undosquamis anchors the historical boundary despite modern Harpadontidae placement. No split is required.</x:v>
      </x:c>
      <x:c r="H64" s="1"/>
      <x:c r="I64" s="1"/>
      <x:c r="J64" s="1"/>
      <x:c r="K64" s="1"/>
    </x:row>
    <x:row r="65" ht="102" customHeight="1" hidden="1">
      <x:c r="A65" s="2" t="str">
        <x:v>Euthynnus affinis</x:v>
      </x:c>
      <x:c r="B65" s="4" t="n">
        <x:v>4.5</x:v>
      </x:c>
      <x:c r="C65" s="5" t="n">
        <x:v>5112.4992114504</x:v>
      </x:c>
      <x:c r="D65" s="5" t="n">
        <x:v>1796349.1159997839</x:v>
      </x:c>
      <x:c r="E65" s="2" t="str">
        <x:v>Juvenile large pelagic fish (89.993906%); Pelagic fish (&gt; 30 cm) (10.006094%)</x:v>
      </x:c>
      <x:c r="F65" s="2" t="str">
        <x:v>Medium</x:v>
      </x:c>
      <x:c r="G65"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100 cm FL; Marine;  pelagic-neritic; oceanodromous. Model catch proportions provide the split; allocation confidence remains Medium.</x:v>
      </x:c>
      <x:c r="H65" s="1"/>
      <x:c r="I65" s="1"/>
      <x:c r="J65" s="1"/>
      <x:c r="K65" s="1"/>
    </x:row>
    <x:row r="66" ht="72" customHeight="1">
      <x:c r="A66" s="2" t="str">
        <x:v>Ariidae</x:v>
      </x:c>
      <x:c r="B66" s="4" t="n">
        <x:v>3.48</x:v>
      </x:c>
      <x:c r="C66" s="5" t="n">
        <x:v>52098.3462689772</x:v>
      </x:c>
      <x:c r="D66" s="5" t="n">
        <x:v>1748161.0049455294</x:v>
      </x:c>
      <x:c r="E66" s="2" t="str">
        <x:v>Juvenile demersal fish (&gt; 30 cm) (89.991470%); Adult demersal fish (&gt; 30 cm) (10.008530%)</x:v>
      </x:c>
      <x:c r="F66" s="2" t="str">
        <x:v>Low</x:v>
      </x:c>
      <x:c r="G66" s="2" t="str">
        <x:v>Ariidae contains large demersal Netuma thalassina and the regionally reported A. venosus with maximum 30 cm TL. Current groups 25 + 26 therefore omit a documented small-species candidate; small individuals of a large species are a different issue. Model catch proportions provide the split; allocation confidence remains Medium.</x:v>
      </x:c>
      <x:c r="H66" s="1"/>
      <x:c r="I66" s="1"/>
      <x:c r="J66" s="1"/>
      <x:c r="K66" s="1"/>
    </x:row>
    <x:row r="67" ht="72" customHeight="1" hidden="1">
      <x:c r="A67" s="2" t="str">
        <x:v>Carcharhinus</x:v>
      </x:c>
      <x:c r="B67" s="4" t="n">
        <x:v>4.26</x:v>
      </x:c>
      <x:c r="C67" s="5" t="n">
        <x:v>8528.4127392832</x:v>
      </x:c>
      <x:c r="D67" s="5" t="n">
        <x:v>1724351.1093615508</x:v>
      </x:c>
      <x:c r="E67" s="2" t="str">
        <x:v>Demersal sharks and rays (58.823529%); Pelagic sharks and rays (41.176471%)</x:v>
      </x:c>
      <x:c r="F67" s="2" t="str">
        <x:v>Medium</x:v>
      </x:c>
      <x:c r="G67" s="2" t="str">
        <x:v>The verified lineage is wholly elasmobranch and the current mapping includes both members of the source demersal/pelagic partition. No third shark/ray compartment is omitted. Composition remains allocation uncertainty. Model catch proportions provide the split; allocation confidence remains Medium.</x:v>
      </x:c>
      <x:c r="H67" s="1"/>
      <x:c r="I67" s="1"/>
      <x:c r="J67" s="1"/>
      <x:c r="K67" s="1"/>
    </x:row>
    <x:row r="68" ht="72" customHeight="1" hidden="1">
      <x:c r="A68" s="2" t="str">
        <x:v>Scomberoides</x:v>
      </x:c>
      <x:c r="B68" s="4" t="n">
        <x:v>4.47</x:v>
      </x:c>
      <x:c r="C68" s="5" t="n">
        <x:v>4915.8189299401</x:v>
      </x:c>
      <x:c r="D68" s="5" t="n">
        <x:v>1611956.6869622772</x:v>
      </x:c>
      <x:c r="E68" s="2" t="str">
        <x:v>Juvenile large pelagic fish (89.993906%); Pelagic fish (&gt; 30 cm) (10.006094%)</x:v>
      </x:c>
      <x:c r="F68" s="2" t="str">
        <x:v>Medium</x:v>
      </x:c>
      <x:c r="G68" s="2" t="str">
        <x:v>All four regional queenfishes in the FAO guide exceed 30 cm and school in surface/coastal pelagic waters. This coherent regional genus supports the large-pelagic pair; juvenile/adult shares remain assumed. Model catch proportions provide the split; allocation confidence remains Medium.</x:v>
      </x:c>
      <x:c r="H68" s="1"/>
      <x:c r="I68" s="1"/>
      <x:c r="J68" s="1"/>
      <x:c r="K68" s="1"/>
    </x:row>
    <x:row r="69" ht="87" customHeight="1" hidden="1">
      <x:c r="A69" s="2" t="str">
        <x:v>Elagatis bipinnulata</x:v>
      </x:c>
      <x:c r="B69" s="4" t="n">
        <x:v>4.27</x:v>
      </x:c>
      <x:c r="C69" s="5" t="n">
        <x:v>7658.0800287748</x:v>
      </x:c>
      <x:c r="D69" s="5" t="n">
        <x:v>1584445.812568483</x:v>
      </x:c>
      <x:c r="E69" s="2" t="str">
        <x:v>Juvenile large pelagic fish (89.993906%); Pelagic fish (&gt; 30 cm) (10.006094%)</x:v>
      </x:c>
      <x:c r="F69" s="2" t="str">
        <x:v>Medium</x:v>
      </x:c>
      <x:c r="G69" s="2" t="str">
        <x:v>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180 cm TL; Marine;  reef-associated;. Model catch proportions provide the split; allocation confidence remains Medium.</x:v>
      </x:c>
      <x:c r="H69" s="1"/>
      <x:c r="I69" s="1"/>
      <x:c r="J69" s="1"/>
      <x:c r="K69" s="1"/>
    </x:row>
    <x:row r="70" ht="42" customHeight="1" hidden="1">
      <x:c r="A70" s="2" t="str">
        <x:v>Octopoda</x:v>
      </x:c>
      <x:c r="B70" s="4" t="n">
        <x:v>3.58</x:v>
      </x:c>
      <x:c r="C70" s="5" t="n">
        <x:v>36830.0505057548</x:v>
      </x:c>
      <x:c r="D70" s="5" t="n">
        <x:v>1555821.6298043</x:v>
      </x:c>
      <x:c r="E70" s="2" t="str">
        <x:v>Cephalopods (100.000000%)</x:v>
      </x:c>
      <x:c r="F70" s="2" t="str">
        <x:v>High</x:v>
      </x:c>
      <x:c r="G70" s="2" t="str">
        <x:v>Octopoda is within Cephalopoda. Biomass estimation from two dominant Loligo species does not restrict the source group to those species or to squid. No split is required.</x:v>
      </x:c>
      <x:c r="H70" s="1"/>
      <x:c r="I70" s="1"/>
      <x:c r="J70" s="1"/>
      <x:c r="K70" s="1"/>
    </x:row>
    <x:row r="71" ht="72" customHeight="1" hidden="1">
      <x:c r="A71" s="2" t="str">
        <x:v>Miichthys miiuy</x:v>
      </x:c>
      <x:c r="B71" s="4" t="n">
        <x:v>3.5</x:v>
      </x:c>
      <x:c r="C71" s="5" t="n">
        <x:v>42680.9176965395</x:v>
      </x:c>
      <x:c r="D71" s="5" t="n">
        <x:v>1499654.583858357</x:v>
      </x:c>
      <x:c r="E71" s="2" t="str">
        <x:v>Juvenile large croakers (89.873418%); Croakers (&gt; 30 cm) (10.126582%)</x:v>
      </x:c>
      <x:c r="F71" s="2" t="str">
        <x:v>Medium</x:v>
      </x:c>
      <x:c r="G71" s="2" t="str">
        <x:v>This is a sciaenid with maximum 73.8 cm SL, necessarily above 30 cm TL, so the source's explicit large-croaker family/size definition establishes groups 22 + 23. Their union covers juvenile/adult ages; generic demersal pools are excluded. Model catch proportions provide the split; allocation confidence remains Medium.</x:v>
      </x:c>
      <x:c r="H71" s="1"/>
      <x:c r="I71" s="1"/>
      <x:c r="J71" s="1"/>
      <x:c r="K71" s="1"/>
    </x:row>
    <x:row r="72" ht="57" customHeight="1" hidden="1">
      <x:c r="A72" s="2" t="str">
        <x:v>Lutjanus johnii</x:v>
      </x:c>
      <x:c r="B72" s="4" t="n">
        <x:v>4.2</x:v>
      </x:c>
      <x:c r="C72" s="5" t="n">
        <x:v>7946.9104821734</x:v>
      </x:c>
      <x:c r="D72" s="5" t="n">
        <x:v>1399444.9249216102</x:v>
      </x:c>
      <x:c r="E72" s="2" t="str">
        <x:v>Snappers (100.000000%)</x:v>
      </x:c>
      <x:c r="F72" s="2" t="str">
        <x:v>High</x:v>
      </x:c>
      <x:c r="G72" s="2" t="str">
        <x:v>Lutjanus johnii is within Lutjanidae, expressly used as the source group boundary. Parameter species are examples, not a closed list; residual size/habitat pools do not compete. No split is required.</x:v>
      </x:c>
      <x:c r="H72" s="1"/>
      <x:c r="I72" s="1"/>
      <x:c r="J72" s="1"/>
      <x:c r="K72" s="1"/>
    </x:row>
    <x:row r="73" ht="72" customHeight="1">
      <x:c r="A73" s="2" t="str">
        <x:v>Engraulidae</x:v>
      </x:c>
      <x:c r="B73" s="4" t="n">
        <x:v>3.2</x:v>
      </x:c>
      <x:c r="C73" s="5" t="n">
        <x:v>76599.9412264414</x:v>
      </x:c>
      <x:c r="D73" s="5" t="n">
        <x:v>1348919.1710300935</x:v>
      </x:c>
      <x:c r="E73" s="2" t="str">
        <x:v>Pelagic fish (≤ 30 cm) (100.000000%)</x:v>
      </x:c>
      <x:c r="F73" s="2" t="str">
        <x:v>Low</x:v>
      </x:c>
      <x:c r="G73" s="2" t="str">
        <x:v>The source examples and catch name Anchovies, round herrings support small pelagics, but the family includes larger Coilia. The reporting classifier does not independently establish that those taxa are excluded. This is scope uncertainty, not a measured larger-anchovy contribution. No split is required.</x:v>
      </x:c>
      <x:c r="H73" s="1"/>
      <x:c r="I73" s="1"/>
      <x:c r="J73" s="1"/>
      <x:c r="K73" s="1"/>
    </x:row>
    <x:row r="74" ht="57" customHeight="1" hidden="1">
      <x:c r="A74" s="2" t="str">
        <x:v>Auxis</x:v>
      </x:c>
      <x:c r="B74" s="4" t="n">
        <x:v>4.24</x:v>
      </x:c>
      <x:c r="C74" s="5" t="n">
        <x:v>6916.7899304089</x:v>
      </x:c>
      <x:c r="D74" s="5" t="n">
        <x:v>1335555.9192611026</x:v>
      </x:c>
      <x:c r="E74" s="2" t="str">
        <x:v>Juvenile large pelagic fish (89.993906%); Pelagic fish (&gt; 30 cm) (10.006094%)</x:v>
      </x:c>
      <x:c r="F74" s="2" t="str">
        <x:v>Medium</x:v>
      </x:c>
      <x:c r="G74" s="2" t="str">
        <x:v>Both regional Auxis species are epipelagic and have maxima above 30 cm. Their combined juvenile/adult large-pelagic eligibility is supported even though the catch age mixture is unknown. Model catch proportions provide the split; allocation confidence remains Medium.</x:v>
      </x:c>
      <x:c r="H74" s="1"/>
      <x:c r="I74" s="1"/>
      <x:c r="J74" s="1"/>
      <x:c r="K74" s="1"/>
    </x:row>
    <x:row r="75" ht="57" customHeight="1" hidden="1">
      <x:c r="A75" s="2" t="str">
        <x:v>Nemipterus hexodon</x:v>
      </x:c>
      <x:c r="B75" s="4" t="n">
        <x:v>3.93</x:v>
      </x:c>
      <x:c r="C75" s="5" t="n">
        <x:v>13585.8701786107</x:v>
      </x:c>
      <x:c r="D75" s="5" t="n">
        <x:v>1284827.8767883207</x:v>
      </x:c>
      <x:c r="E75" s="2" t="str">
        <x:v>Threadfin bream (nemipterids) (100.000000%)</x:v>
      </x:c>
      <x:c r="F75" s="2" t="str">
        <x:v>High</x:v>
      </x:c>
      <x:c r="G75" s="2" t="str">
        <x:v>Nemipterus hexodon is within Nemipteridae, expressly used as the source group boundary. Parameter species are examples, not a closed list; residual size/habitat pools do not compete. No split is required.</x:v>
      </x:c>
      <x:c r="H75" s="1"/>
      <x:c r="I75" s="1"/>
      <x:c r="J75" s="1"/>
      <x:c r="K75" s="1"/>
    </x:row>
    <x:row r="76" ht="72" customHeight="1">
      <x:c r="A76" s="2" t="str">
        <x:v>Mullidae</x:v>
      </x:c>
      <x:c r="B76" s="4" t="n">
        <x:v>3.46</x:v>
      </x:c>
      <x:c r="C76" s="5" t="n">
        <x:v>39231.4233161052</x:v>
      </x:c>
      <x:c r="D76" s="5" t="n">
        <x:v>1257162.8972904785</x:v>
      </x:c>
      <x:c r="E76" s="2" t="str">
        <x:v>Juvenile demersal fish (&gt; 30 cm) (89.991470%); Adult demersal fish (&gt; 30 cm) (10.008530%)</x:v>
      </x:c>
      <x:c r="F76" s="2" t="str">
        <x:v>Low</x:v>
      </x:c>
      <x:c r="G76" s="2" t="str">
        <x:v>Mullidae spans the source size classes: Upeneus moluccensis reaches 22.5 cm TL while Parupeneus barberinus reaches 60 cm TL. Both forage at the bottom, so the concrete problem is omission of small-demersal group 24 from the current large pair. Model catch proportions provide the split; allocation confidence remains Medium.</x:v>
      </x:c>
      <x:c r="H76" s="1"/>
      <x:c r="I76" s="1"/>
      <x:c r="J76" s="1"/>
      <x:c r="K76" s="1"/>
    </x:row>
    <x:row r="77" ht="57" customHeight="1" hidden="1">
      <x:c r="A77" s="2" t="str">
        <x:v>Nemipteridae</x:v>
      </x:c>
      <x:c r="B77" s="4" t="n">
        <x:v>3.51</x:v>
      </x:c>
      <x:c r="C77" s="5" t="n">
        <x:v>33833.8901205483</x:v>
      </x:c>
      <x:c r="D77" s="5" t="n">
        <x:v>1216492.4702514932</x:v>
      </x:c>
      <x:c r="E77" s="2" t="str">
        <x:v>Threadfin bream (nemipterids) (100.000000%)</x:v>
      </x:c>
      <x:c r="F77" s="2" t="str">
        <x:v>High</x:v>
      </x:c>
      <x:c r="G77" s="2" t="str">
        <x:v>Nemipteridae is within Nemipteridae, expressly used as the source group boundary. Parameter species are examples, not a closed list; residual size/habitat pools do not compete. No split is required.</x:v>
      </x:c>
      <x:c r="H77" s="1"/>
      <x:c r="I77" s="1"/>
      <x:c r="J77" s="1"/>
      <x:c r="K77" s="1"/>
    </x:row>
    <x:row r="78" ht="57" customHeight="1" hidden="1">
      <x:c r="A78" s="2" t="str">
        <x:v>Trichiurus</x:v>
      </x:c>
      <x:c r="B78" s="4" t="n">
        <x:v>4.42</x:v>
      </x:c>
      <x:c r="C78" s="5" t="n">
        <x:v>4154.2252479521</x:v>
      </x:c>
      <x:c r="D78" s="5" t="n">
        <x:v>1214080.6334235624</x:v>
      </x:c>
      <x:c r="E78" s="2" t="str">
        <x:v>Juvenile Hairtail (trichiurids) (79.545455%); Adult hairtail (trichiurids) (20.454545%)</x:v>
      </x:c>
      <x:c r="F78" s="2" t="str">
        <x:v>Medium</x:v>
      </x:c>
      <x:c r="G78" s="2" t="str">
        <x:v>Trichiurus is a trichiurid covered by the source juvenile/adult hairtail pair. The 18-month boundary affects allocation, not membership in that pair. Model catch proportions provide the split; allocation confidence remains Medium.</x:v>
      </x:c>
      <x:c r="H78" s="1"/>
      <x:c r="I78" s="1"/>
      <x:c r="J78" s="1"/>
      <x:c r="K78" s="1"/>
    </x:row>
    <x:row r="79" ht="57" customHeight="1" hidden="1">
      <x:c r="A79" s="2" t="str">
        <x:v>Serranidae</x:v>
      </x:c>
      <x:c r="B79" s="4" t="n">
        <x:v>3.98</x:v>
      </x:c>
      <x:c r="C79" s="5" t="n">
        <x:v>11129.0768242422</x:v>
      </x:c>
      <x:c r="D79" s="5" t="n">
        <x:v>1180909.5396015877</x:v>
      </x:c>
      <x:c r="E79" s="2" t="str">
        <x:v>Adult groupers (100.000000%)</x:v>
      </x:c>
      <x:c r="F79" s="2" t="str">
        <x:v>High</x:v>
      </x:c>
      <x:c r="G79" s="2" t="str">
        <x:v>Serranidae fits the source Serranidae concept. The thesis defines one family pool and no juvenile grouper stanza; the stored word Adult does not by itself establish an age restriction. No split is required.</x:v>
      </x:c>
      <x:c r="H79" s="1"/>
      <x:c r="I79" s="1"/>
      <x:c r="J79" s="1"/>
      <x:c r="K79" s="1"/>
    </x:row>
    <x:row r="80" ht="72" customHeight="1" hidden="1">
      <x:c r="A80" s="2" t="str">
        <x:v>Carcharhinidae</x:v>
      </x:c>
      <x:c r="B80" s="4" t="n">
        <x:v>4.24</x:v>
      </x:c>
      <x:c r="C80" s="5" t="n">
        <x:v>5872.7986883923</x:v>
      </x:c>
      <x:c r="D80" s="5" t="n">
        <x:v>1133972.7141962654</x:v>
      </x:c>
      <x:c r="E80" s="2" t="str">
        <x:v>Demersal sharks and rays (58.823529%); Pelagic sharks and rays (41.176471%)</x:v>
      </x:c>
      <x:c r="F80" s="2" t="str">
        <x:v>Medium</x:v>
      </x:c>
      <x:c r="G80" s="2" t="str">
        <x:v>The verified lineage is wholly elasmobranch and the current mapping includes both members of the source demersal/pelagic partition. No third shark/ray compartment is omitted. Composition remains allocation uncertainty. Model catch proportions provide the split; allocation confidence remains Medium.</x:v>
      </x:c>
      <x:c r="H80" s="1"/>
      <x:c r="I80" s="1"/>
      <x:c r="J80" s="1"/>
      <x:c r="K80" s="1"/>
    </x:row>
    <x:row r="81" ht="57" customHeight="1" hidden="1">
      <x:c r="A81" s="2" t="str">
        <x:v>Cephalopholis boenak</x:v>
      </x:c>
      <x:c r="B81" s="4" t="n">
        <x:v>4.07</x:v>
      </x:c>
      <x:c r="C81" s="5" t="n">
        <x:v>8658.6013728768</x:v>
      </x:c>
      <x:c r="D81" s="5" t="n">
        <x:v>1130329.9535765564</x:v>
      </x:c>
      <x:c r="E81" s="2" t="str">
        <x:v>Adult groupers (100.000000%)</x:v>
      </x:c>
      <x:c r="F81" s="2" t="str">
        <x:v>High</x:v>
      </x:c>
      <x:c r="G81" s="2" t="str">
        <x:v>Cephalopholis boenak fits the source Serranidae concept. The thesis defines one family pool and no juvenile grouper stanza; the stored word Adult does not by itself establish an age restriction. No split is required.</x:v>
      </x:c>
      <x:c r="H81" s="1"/>
      <x:c r="I81" s="1"/>
      <x:c r="J81" s="1"/>
      <x:c r="K81" s="1"/>
    </x:row>
    <x:row r="82" ht="57" customHeight="1">
      <x:c r="A82" s="2" t="str">
        <x:v>Caranx</x:v>
      </x:c>
      <x:c r="B82" s="4" t="n">
        <x:v>4.12</x:v>
      </x:c>
      <x:c r="C82" s="5" t="n">
        <x:v>7710.3341813812</x:v>
      </x:c>
      <x:c r="D82" s="5" t="n">
        <x:v>1129355.5545697303</x:v>
      </x:c>
      <x:c r="E82" s="2" t="str">
        <x:v>Juvenile large pelagic fish (89.993906%); Pelagic fish (&gt; 30 cm) (10.006094%)</x:v>
      </x:c>
      <x:c r="F82" s="2" t="str">
        <x:v>Low</x:v>
      </x:c>
      <x:c r="G82" s="2" t="str">
        <x:v>Regional Caranx includes bottom-associated inshore jacks as well as pelagic forms. Large size alone does not establish whole-genus membership in the adopted pelagic pair. Model catch proportions provide the split; allocation confidence remains Medium.</x:v>
      </x:c>
      <x:c r="H82" s="1"/>
      <x:c r="I82" s="1"/>
      <x:c r="J82" s="1"/>
      <x:c r="K82" s="1"/>
    </x:row>
    <x:row r="83" ht="72" customHeight="1" hidden="1">
      <x:c r="A83" s="2" t="str">
        <x:v>Clupeidae</x:v>
      </x:c>
      <x:c r="B83" s="4" t="n">
        <x:v>3.16</x:v>
      </x:c>
      <x:c r="C83" s="5" t="n">
        <x:v>67673.449645598</x:v>
      </x:c>
      <x:c r="D83" s="5" t="n">
        <x:v>1086865.5060146586</x:v>
      </x:c>
      <x:c r="E83" s="2" t="str">
        <x:v>Pelagic fish (≤ 30 cm) (74.079924%); Juvenile large pelagic fish (23.326489%); Pelagic fish (&gt; 30 cm) (2.593587%)</x:v>
      </x:c>
      <x:c r="F83" s="2" t="str">
        <x:v>Medium</x:v>
      </x:c>
      <x:c r="G83" s="2" t="str">
        <x:v>The set covers both pelagic size classes and large-fish stanzas. This is a defensible interpretation of the catch pelagic category, not verified species composition or proof of exclusively pelagic ecology for every historical member. Model catch proportions provide the split; allocation confidence remains Medium.</x:v>
      </x:c>
      <x:c r="H83" s="1"/>
      <x:c r="I83" s="1"/>
      <x:c r="J83" s="1"/>
      <x:c r="K83" s="1"/>
    </x:row>
    <x:row r="84" ht="72" customHeight="1" hidden="1">
      <x:c r="A84" s="2" t="str">
        <x:v>Netuma thalassina</x:v>
      </x:c>
      <x:c r="B84" s="4" t="n">
        <x:v>3.54</x:v>
      </x:c>
      <x:c r="C84" s="5" t="n">
        <x:v>28164.0246240651</x:v>
      </x:c>
      <x:c r="D84" s="5" t="n">
        <x:v>1085056.1326906534</x:v>
      </x:c>
      <x:c r="E84" s="2" t="str">
        <x:v>Juvenile demersal fish (&gt; 30 cm) (89.991470%); Adult demersal fish (&gt; 30 cm) (10.008530%)</x:v>
      </x:c>
      <x:c r="F84" s="2" t="str">
        <x:v>Medium</x:v>
      </x:c>
      <x:c r="G84" s="2" t="str">
        <x:v>Verified demersal marine/estuarine ecology, species maximum well above 30 cm TL and Ariidae identity satisfy the complete residual large-demersal criteria. No dedicated ariid group competes; groups 25 + 26 cover its juvenile/adult union. Model catch proportions provide the split; allocation confidence remains Medium.</x:v>
      </x:c>
      <x:c r="H84" s="1"/>
      <x:c r="I84" s="1"/>
      <x:c r="J84" s="1"/>
      <x:c r="K84" s="1"/>
    </x:row>
    <x:row r="85" ht="72" customHeight="1">
      <x:c r="A85" s="2" t="str">
        <x:v>Chirocentrus dorab</x:v>
      </x:c>
      <x:c r="B85" s="4" t="n">
        <x:v>4.2</x:v>
      </x:c>
      <x:c r="C85" s="5" t="n">
        <x:v>5964.151628291799</x:v>
      </x:c>
      <x:c r="D85" s="5" t="n">
        <x:v>1050282.5904983934</x:v>
      </x:c>
      <x:c r="E85" s="2" t="str">
        <x:v>Benthopelagic fish (100.000000%)</x:v>
      </x:c>
      <x:c r="F85" s="2" t="str">
        <x:v>Low</x:v>
      </x:c>
      <x:c r="G85" s="2" t="str">
        <x:v>FAO explicitly calls this large wolf-herring coastal pelagic; its maximum 100 cm SL also exceeds the small species boundary. Current group 27 has competing large-pelagic groups 30 + 31 and an unresolved size scope. A reef-associated tag is insufficient support for exclusive benthopelagic placement. No split is required.</x:v>
      </x:c>
      <x:c r="H85" s="1"/>
      <x:c r="I85" s="1"/>
      <x:c r="J85" s="1"/>
      <x:c r="K85" s="1"/>
    </x:row>
    <x:row r="86" ht="102" customHeight="1" hidden="1">
      <x:c r="A86" s="2" t="str">
        <x:v>Thunnus obesus</x:v>
      </x:c>
      <x:c r="B86" s="4" t="n">
        <x:v>4.49</x:v>
      </x:c>
      <x:c r="C86" s="5" t="n">
        <x:v>2997.0257728214</x:v>
      </x:c>
      <x:c r="D86" s="5" t="n">
        <x:v>1029077.2285417212</x:v>
      </x:c>
      <x:c r="E86" s="2" t="str">
        <x:v>Juvenile large pelagic fish (89.993906%); Pelagic fish (&gt; 30 cm) (10.006094%)</x:v>
      </x:c>
      <x:c r="F86" s="2" t="str">
        <x:v>Medium</x:v>
      </x:c>
      <x:c r="G86"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250 cm TL; Marine;  pelagic-oceanic; oceanodromous. Model catch proportions provide the split; allocation confidence remains Medium.</x:v>
      </x:c>
      <x:c r="H86" s="1"/>
      <x:c r="I86" s="1"/>
      <x:c r="J86" s="1"/>
      <x:c r="K86" s="1"/>
    </x:row>
    <x:row r="87" ht="72" customHeight="1" hidden="1">
      <x:c r="A87" s="2" t="str">
        <x:v>Dendrobranchiata</x:v>
      </x:c>
      <x:c r="B87" s="4" t="n">
        <x:v>3.24</x:v>
      </x:c>
      <x:c r="C87" s="5" t="n">
        <x:v>52876.4363510987</x:v>
      </x:c>
      <x:c r="D87" s="5" t="n">
        <x:v>1020985.721247255</x:v>
      </x:c>
      <x:c r="E87" s="2" t="str">
        <x:v>Zooplankton (12.254395%); Shrimps (87.745605%)</x:v>
      </x:c>
      <x:c r="F87" s="2" t="str">
        <x:v>Medium</x:v>
      </x:c>
      <x:c r="G87" s="2" t="str">
        <x:v>The set retains Acetes in Zooplankton and other shrimp constituents in Shrimps. Both taxonomic intersections are supported, but the source boundary for non-Acetes pelagic shrimp is inferred rather than exhaustive. Model catch proportions provide the split; allocation confidence remains Medium.</x:v>
      </x:c>
      <x:c r="H87" s="1"/>
      <x:c r="I87" s="1"/>
      <x:c r="J87" s="1"/>
      <x:c r="K87" s="1"/>
    </x:row>
    <x:row r="88" ht="57" customHeight="1" hidden="1">
      <x:c r="A88" s="2" t="str">
        <x:v>Penaeus merguiensis</x:v>
      </x:c>
      <x:c r="B88" s="4" t="n">
        <x:v>3.77</x:v>
      </x:c>
      <x:c r="C88" s="5" t="n">
        <x:v>15088.0945073802</x:v>
      </x:c>
      <x:c r="D88" s="5" t="n">
        <x:v>987169.8580084824</x:v>
      </x:c>
      <x:c r="E88" s="2" t="str">
        <x:v>Shrimps (100.000000%)</x:v>
      </x:c>
      <x:c r="F88" s="2" t="str">
        <x:v>High</x:v>
      </x:c>
      <x:c r="G88" s="2" t="str">
        <x:v>Penaeus merguiensis is a non-Acetes shrimp lineage. Shrimps is broader than the Metapenaeopsis mortality examples; the explicit Acetes/Zooplankton exception is excluded. No split is required.</x:v>
      </x:c>
      <x:c r="H88" s="1"/>
      <x:c r="I88" s="1"/>
      <x:c r="J88" s="1"/>
      <x:c r="K88" s="1"/>
    </x:row>
    <x:row r="89" ht="72" customHeight="1" hidden="1">
      <x:c r="A89" s="2" t="str">
        <x:v>Psettodes erumei</x:v>
      </x:c>
      <x:c r="B89" s="4" t="n">
        <x:v>4.39</x:v>
      </x:c>
      <x:c r="C89" s="5" t="n">
        <x:v>3577.1770297484</x:v>
      </x:c>
      <x:c r="D89" s="5" t="n">
        <x:v>975658.7053230093</x:v>
      </x:c>
      <x:c r="E89" s="2" t="str">
        <x:v>Juvenile demersal fish (&gt; 30 cm) (89.991470%); Adult demersal fish (&gt; 30 cm) (10.008530%)</x:v>
      </x:c>
      <x:c r="F89" s="2" t="str">
        <x:v>Medium</x:v>
      </x:c>
      <x:c r="G89" s="2" t="str">
        <x:v>FAO documents this regional flatfish on mud/sand bottoms with maximum about 60 cm TL. It satisfies the explicit residual demersal size/habitat criteria and no dedicated flatfish pool competes. Its common 20–40 cm range does not create small-species group 24 eligibility. Model catch proportions provide the split; allocation confidence remains Medium.</x:v>
      </x:c>
      <x:c r="H89" s="1"/>
      <x:c r="I89" s="1"/>
      <x:c r="J89" s="1"/>
      <x:c r="K89" s="1"/>
    </x:row>
    <x:row r="90" ht="87" customHeight="1" hidden="1">
      <x:c r="A90" s="2" t="str">
        <x:v>Miscellaneous marine crustaceans</x:v>
      </x:c>
      <x:c r="B90" s="4" t="n">
        <x:v>2.7</x:v>
      </x:c>
      <x:c r="C90" s="5" t="n">
        <x:v>173426.4016760023</x:v>
      </x:c>
      <x:c r="D90" s="5" t="n">
        <x:v>965767.761043642</x:v>
      </x:c>
      <x:c r="E90" s="2" t="str">
        <x:v>Zooplankton (9.363888%); Benthic crustaceans (3.862110%); Shrimps (67.048597%); Crabs (19.725405%)</x:v>
      </x:c>
      <x:c r="F90" s="2" t="str">
        <x:v>Medium</x:v>
      </x:c>
      <x:c r="G90" s="2" t="str">
        <x:v>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x:v>
      </x:c>
      <x:c r="H90" s="1"/>
      <x:c r="I90" s="1"/>
      <x:c r="J90" s="1"/>
      <x:c r="K90" s="1"/>
    </x:row>
    <x:row r="91" ht="87" customHeight="1" hidden="1">
      <x:c r="A91" s="2" t="str">
        <x:v>Selar crumenophthalmus</x:v>
      </x:c>
      <x:c r="B91" s="4" t="n">
        <x:v>3.81</x:v>
      </x:c>
      <x:c r="C91" s="5" t="n">
        <x:v>13060.5178075145</x:v>
      </x:c>
      <x:c r="D91" s="5" t="n">
        <x:v>936953.1728671294</x:v>
      </x:c>
      <x:c r="E91" s="2" t="str">
        <x:v>Juvenile large pelagic fish (89.993906%); Pelagic fish (&gt; 30 cm) (10.006094%)</x:v>
      </x:c>
      <x:c r="F91" s="2" t="str">
        <x:v>Medium</x:v>
      </x:c>
      <x:c r="G91" s="2" t="str">
        <x:v>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70 cm TL; Marine;  reef-associated;. Model catch proportions provide the split; allocation confidence remains Medium.</x:v>
      </x:c>
      <x:c r="H91" s="1"/>
      <x:c r="I91" s="1"/>
      <x:c r="J91" s="1"/>
      <x:c r="K91" s="1"/>
    </x:row>
    <x:row r="92" ht="57" customHeight="1" hidden="1">
      <x:c r="A92" s="2" t="str">
        <x:v>Sardinella</x:v>
      </x:c>
      <x:c r="B92" s="4" t="n">
        <x:v>2.77</x:v>
      </x:c>
      <x:c r="C92" s="5" t="n">
        <x:v>142727.7340288096</x:v>
      </x:c>
      <x:c r="D92" s="5" t="n">
        <x:v>933825.7847349391</x:v>
      </x:c>
      <x:c r="E92" s="2" t="str">
        <x:v>Pelagic fish (≤ 30 cm) (100.000000%)</x:v>
      </x:c>
      <x:c r="F92" s="2" t="str">
        <x:v>Medium</x:v>
      </x:c>
      <x:c r="G92" s="2" t="str">
        <x:v>Source sardine examples and the regional small-pelagic reporting category support placement. A large global member such as S. aurita does not prove regional misplacement. A complete regional species composition and TL boundary remain unverified. No split is required.</x:v>
      </x:c>
      <x:c r="H92" s="1"/>
      <x:c r="I92" s="1"/>
      <x:c r="J92" s="1"/>
      <x:c r="K92" s="1"/>
    </x:row>
    <x:row r="93" ht="42" customHeight="1" hidden="1">
      <x:c r="A93" s="2" t="str">
        <x:v>Rhizostomeae</x:v>
      </x:c>
      <x:c r="B93" s="4" t="n">
        <x:v>3.46</x:v>
      </x:c>
      <x:c r="C93" s="5" t="n">
        <x:v>27768.5620784986</x:v>
      </x:c>
      <x:c r="D93" s="5" t="n">
        <x:v>889837.8647879644</x:v>
      </x:c>
      <x:c r="E93" s="2" t="str">
        <x:v>Jellyfish (100.000000%)</x:v>
      </x:c>
      <x:c r="F93" s="2" t="str">
        <x:v>High</x:v>
      </x:c>
      <x:c r="G93" s="2" t="str">
        <x:v>Rhizostomeae is a scyphozoan jellyfish lineage fitting the source Cnidaria-medusae and landed-jellyfish concept, rather than all Cnidaria. No split is required.</x:v>
      </x:c>
      <x:c r="H93" s="1"/>
      <x:c r="I93" s="1"/>
      <x:c r="J93" s="1"/>
      <x:c r="K93" s="1"/>
    </x:row>
    <x:row r="94" ht="72" customHeight="1">
      <x:c r="A94" s="2" t="str">
        <x:v>Sphyraenidae</x:v>
      </x:c>
      <x:c r="B94" s="4" t="n">
        <x:v>4.4</x:v>
      </x:c>
      <x:c r="C94" s="5" t="n">
        <x:v>3141.5423336535</x:v>
      </x:c>
      <x:c r="D94" s="5" t="n">
        <x:v>876799.7291019083</x:v>
      </x:c>
      <x:c r="E94" s="2" t="str">
        <x:v>Juvenile large pelagic fish (89.993906%); Pelagic fish (&gt; 30 cm) (10.006094%)</x:v>
      </x:c>
      <x:c r="F94" s="2" t="str">
        <x:v>Low</x:v>
      </x:c>
      <x:c r="G94" s="2" t="str">
        <x:v>The family is represented by Sphyraena, whose regional species differ between bottom-associated and surface-oriented habitats. Family rank adds no evidence that resolves the current pelagic-only candidate set. Model catch proportions provide the split; allocation confidence remains Medium.</x:v>
      </x:c>
      <x:c r="H94" s="1"/>
      <x:c r="I94" s="1"/>
      <x:c r="J94" s="1"/>
      <x:c r="K94" s="1"/>
    </x:row>
    <x:row r="95" ht="57" customHeight="1" hidden="1">
      <x:c r="A95" s="2" t="str">
        <x:v>Stolephorus</x:v>
      </x:c>
      <x:c r="B95" s="4" t="n">
        <x:v>3.44</x:v>
      </x:c>
      <x:c r="C95" s="5" t="n">
        <x:v>26512.2218552843</x:v>
      </x:c>
      <x:c r="D95" s="5" t="n">
        <x:v>811341.3602565941</x:v>
      </x:c>
      <x:c r="E95" s="2" t="str">
        <x:v>Pelagic fish (≤ 30 cm) (100.000000%)</x:v>
      </x:c>
      <x:c r="F95" s="2" t="str">
        <x:v>Medium</x:v>
      </x:c>
      <x:c r="G95" s="2" t="str">
        <x:v>The genus inventory supports a small-bodied pelagic lineage without a dedicated competing group. Most maxima are SL or unspecified; the full regional catch concept and TL boundary remain inferred. No split is required.</x:v>
      </x:c>
      <x:c r="H95" s="1"/>
      <x:c r="I95" s="1"/>
      <x:c r="J95" s="1"/>
      <x:c r="K95" s="1"/>
    </x:row>
    <x:row r="96" ht="42" customHeight="1" hidden="1">
      <x:c r="A96" s="2" t="str">
        <x:v>Acetes japonicus</x:v>
      </x:c>
      <x:c r="B96" s="4" t="n">
        <x:v>2.54</x:v>
      </x:c>
      <x:c r="C96" s="5" t="n">
        <x:v>209803.6342747194</x:v>
      </x:c>
      <x:c r="D96" s="5" t="n">
        <x:v>808296.1262434559</x:v>
      </x:c>
      <x:c r="E96" s="2" t="str">
        <x:v>Zooplankton (100.000000%)</x:v>
      </x:c>
      <x:c r="F96" s="2" t="str">
        <x:v>High</x:v>
      </x:c>
      <x:c r="G96" s="2" t="str">
        <x:v>Acetes spp. catch is explicitly assigned to Zooplankton. Acetes japonicus belongs to that genus, overriding the shrimp-like common name. No split is required.</x:v>
      </x:c>
      <x:c r="H96" s="1"/>
      <x:c r="I96" s="1"/>
      <x:c r="J96" s="1"/>
      <x:c r="K96" s="1"/>
    </x:row>
    <x:row r="97" ht="42" customHeight="1" hidden="1">
      <x:c r="A97" s="2" t="str">
        <x:v>Penaeidae</x:v>
      </x:c>
      <x:c r="B97" s="4" t="n">
        <x:v>3.31</x:v>
      </x:c>
      <x:c r="C97" s="5" t="n">
        <x:v>35566.546499536</x:v>
      </x:c>
      <x:c r="D97" s="5" t="n">
        <x:v>806861.8616550657</x:v>
      </x:c>
      <x:c r="E97" s="2" t="str">
        <x:v>Shrimps (100.000000%)</x:v>
      </x:c>
      <x:c r="F97" s="2" t="str">
        <x:v>High</x:v>
      </x:c>
      <x:c r="G97" s="2" t="str">
        <x:v>Penaeidae is a non-Acetes shrimp lineage. Shrimps is broader than the Metapenaeopsis mortality examples; the explicit Acetes/Zooplankton exception is excluded. No split is required.</x:v>
      </x:c>
      <x:c r="H97" s="1"/>
      <x:c r="I97" s="1"/>
      <x:c r="J97" s="1"/>
      <x:c r="K97" s="1"/>
    </x:row>
    <x:row r="98" ht="57" customHeight="1" hidden="1">
      <x:c r="A98" s="2" t="str">
        <x:v>Pennahia</x:v>
      </x:c>
      <x:c r="B98" s="4" t="n">
        <x:v>3.73</x:v>
      </x:c>
      <x:c r="C98" s="5" t="n">
        <x:v>13249.6331366305</x:v>
      </x:c>
      <x:c r="D98" s="5" t="n">
        <x:v>790608.2538457225</x:v>
      </x:c>
      <x:c r="E98" s="2" t="str">
        <x:v>Croakers (≤ 30 cm) (100.000000%)</x:v>
      </x:c>
      <x:c r="F98" s="2" t="str">
        <x:v>High</x:v>
      </x:c>
      <x:c r="G98" s="2" t="str">
        <x:v>Pennahia spp. and the argentatus spelling are explicitly assigned to small croakers. Pennahia is covered by the genus assignment; generic modern size classes do not override the source exception. No split is required.</x:v>
      </x:c>
      <x:c r="H98" s="1"/>
      <x:c r="I98" s="1"/>
      <x:c r="J98" s="1"/>
      <x:c r="K98" s="1"/>
    </x:row>
    <x:row r="99" ht="57" customHeight="1" hidden="1">
      <x:c r="A99" s="2" t="str">
        <x:v>Nemipterus virgatus</x:v>
      </x:c>
      <x:c r="B99" s="4" t="n">
        <x:v>3.99</x:v>
      </x:c>
      <x:c r="C99" s="5" t="n">
        <x:v>7017.575097194001</x:v>
      </x:c>
      <x:c r="D99" s="5" t="n">
        <x:v>761981.7317589524</x:v>
      </x:c>
      <x:c r="E99" s="2" t="str">
        <x:v>Threadfin bream (nemipterids) (100.000000%)</x:v>
      </x:c>
      <x:c r="F99" s="2" t="str">
        <x:v>High</x:v>
      </x:c>
      <x:c r="G99" s="2" t="str">
        <x:v>Nemipterus virgatus is within Nemipteridae, expressly used as the source group boundary. Parameter species are examples, not a closed list; residual size/habitat pools do not compete. No split is required.</x:v>
      </x:c>
      <x:c r="H99" s="1"/>
      <x:c r="I99" s="1"/>
      <x:c r="J99" s="1"/>
      <x:c r="K99" s="1"/>
    </x:row>
    <x:row r="100" ht="42" customHeight="1" hidden="1">
      <x:c r="A100" s="2" t="str">
        <x:v>Rhopilema esculentum</x:v>
      </x:c>
      <x:c r="B100" s="4" t="n">
        <x:v>3.01</x:v>
      </x:c>
      <x:c r="C100" s="5" t="n">
        <x:v>63412.2047284907</x:v>
      </x:c>
      <x:c r="D100" s="5" t="n">
        <x:v>720991.8302637447</x:v>
      </x:c>
      <x:c r="E100" s="2" t="str">
        <x:v>Jellyfish (100.000000%)</x:v>
      </x:c>
      <x:c r="F100" s="2" t="str">
        <x:v>High</x:v>
      </x:c>
      <x:c r="G100" s="2" t="str">
        <x:v>Rhopilema esculentum is a scyphozoan jellyfish lineage fitting the source Cnidaria-medusae and landed-jellyfish concept, rather than all Cnidaria. No split is required.</x:v>
      </x:c>
      <x:c r="H100" s="1"/>
      <x:c r="I100" s="1"/>
      <x:c r="J100" s="1"/>
      <x:c r="K100" s="1"/>
    </x:row>
    <x:row r="101" ht="57" customHeight="1" hidden="1">
      <x:c r="A101" s="2" t="str">
        <x:v>Pristipomoides</x:v>
      </x:c>
      <x:c r="B101" s="4" t="n">
        <x:v>3.91</x:v>
      </x:c>
      <x:c r="C101" s="5" t="n">
        <x:v>7826.889349014599</x:v>
      </x:c>
      <x:c r="D101" s="5" t="n">
        <x:v>706881.6121687589</x:v>
      </x:c>
      <x:c r="E101" s="2" t="str">
        <x:v>Snappers (100.000000%)</x:v>
      </x:c>
      <x:c r="F101" s="2" t="str">
        <x:v>High</x:v>
      </x:c>
      <x:c r="G101" s="2" t="str">
        <x:v>Pristipomoides is within Lutjanidae, expressly used as the source group boundary. Parameter species are examples, not a closed list; residual size/habitat pools do not compete. No split is required.</x:v>
      </x:c>
      <x:c r="H101" s="1"/>
      <x:c r="I101" s="1"/>
      <x:c r="J101" s="1"/>
      <x:c r="K101" s="1"/>
    </x:row>
    <x:row r="102" ht="72" customHeight="1" hidden="1">
      <x:c r="A102" s="2" t="str">
        <x:v>Chirocentrus</x:v>
      </x:c>
      <x:c r="B102" s="4" t="n">
        <x:v>4.3</x:v>
      </x:c>
      <x:c r="C102" s="5" t="n">
        <x:v>3160.4761486726</x:v>
      </x:c>
      <x:c r="D102" s="5" t="n">
        <x:v>700664.3285338244</x:v>
      </x:c>
      <x:c r="E102" s="2" t="str">
        <x:v>Juvenile large pelagic fish (89.993906%); Pelagic fish (&gt; 30 cm) (10.006094%)</x:v>
      </x:c>
      <x:c r="F102" s="2" t="str">
        <x:v>Medium</x:v>
      </x:c>
      <x:c r="G102" s="2" t="str">
        <x:v>Both regional wolf-herring species are coastal pelagic fishes with maxima far above 30 cm. The genus is therefore sufficiently coherent for the source large-pelagic pair, with stage proportions retained as assumptions. Model catch proportions provide the split; allocation confidence remains Medium.</x:v>
      </x:c>
      <x:c r="H102" s="1"/>
      <x:c r="I102" s="1"/>
      <x:c r="J102" s="1"/>
      <x:c r="K102" s="1"/>
    </x:row>
    <x:row r="103" ht="72" customHeight="1">
      <x:c r="A103" s="2" t="str">
        <x:v>Caesionidae</x:v>
      </x:c>
      <x:c r="B103" s="4" t="n">
        <x:v>3.39</x:v>
      </x:c>
      <x:c r="C103" s="5" t="n">
        <x:v>24658.9613597869</x:v>
      </x:c>
      <x:c r="D103" s="5" t="n">
        <x:v>672561.9144600176</x:v>
      </x:c>
      <x:c r="E103" s="2" t="str">
        <x:v>Juvenile demersal fish (&gt; 30 cm) (89.991470%); Adult demersal fish (&gt; 30 cm) (10.008530%)</x:v>
      </x:c>
      <x:c r="F103" s="2" t="str">
        <x:v>Low</x:v>
      </x:c>
      <x:c r="G103" s="2" t="str">
        <x:v>FAO fusiliers are schooling midwater reef planktivores, with small Pterocaesio and large Caesio. Current large-demersal pair does not resolve either habitat or species-size diversity. Modern placement within Lutjanidae cannot silently rewrite the thesis's source-era snapper scope. Model catch proportions provide the split; allocation confidence remains Medium.</x:v>
      </x:c>
      <x:c r="H103" s="1"/>
      <x:c r="I103" s="1"/>
      <x:c r="J103" s="1"/>
      <x:c r="K103" s="1"/>
    </x:row>
    <x:row r="104" ht="57" customHeight="1" hidden="1">
      <x:c r="A104" s="2" t="str">
        <x:v>Trachysalambria curvirostris</x:v>
      </x:c>
      <x:c r="B104" s="4" t="n">
        <x:v>2.7</x:v>
      </x:c>
      <x:c r="C104" s="5" t="n">
        <x:v>120511.7917739011</x:v>
      </x:c>
      <x:c r="D104" s="5" t="n">
        <x:v>671099.6837625266</x:v>
      </x:c>
      <x:c r="E104" s="2" t="str">
        <x:v>Shrimps (100.000000%)</x:v>
      </x:c>
      <x:c r="F104" s="2" t="str">
        <x:v>High</x:v>
      </x:c>
      <x:c r="G104" s="2" t="str">
        <x:v>Trachysalambria curvirostris is a non-Acetes shrimp lineage. Shrimps is broader than the Metapenaeopsis mortality examples; the explicit Acetes/Zooplankton exception is excluded. No split is required.</x:v>
      </x:c>
      <x:c r="H104" s="1"/>
      <x:c r="I104" s="1"/>
      <x:c r="J104" s="1"/>
      <x:c r="K104" s="1"/>
    </x:row>
    <x:row r="105" ht="72" customHeight="1">
      <x:c r="A105" s="2" t="str">
        <x:v>Monacanthidae</x:v>
      </x:c>
      <x:c r="B105" s="4" t="n">
        <x:v>3</x:v>
      </x:c>
      <x:c r="C105" s="5" t="n">
        <x:v>56514.1750516671</x:v>
      </x:c>
      <x:c r="D105" s="5" t="n">
        <x:v>627935.2783518567</x:v>
      </x:c>
      <x:c r="E105" s="2" t="str">
        <x:v>Juvenile demersal fish (&gt; 30 cm) (89.991470%); Adult demersal fish (&gt; 30 cm) (10.008530%)</x:v>
      </x:c>
      <x:c r="F105" s="2" t="str">
        <x:v>Low</x:v>
      </x:c>
      <x:c r="G105" s="2" t="str">
        <x:v>The family includes Cantherhines pardalis at 25 cm TL and Aluterus monoceros at 76.2 cm TL; the latter also forms midwater/surface associations. Current 25 + 26 cannot represent this demonstrated size/habitat mix without a catch-composition argument. Model catch proportions provide the split; allocation confidence remains Medium.</x:v>
      </x:c>
      <x:c r="H105" s="1"/>
      <x:c r="I105" s="1"/>
      <x:c r="J105" s="1"/>
      <x:c r="K105" s="1"/>
    </x:row>
    <x:row r="106" ht="87" customHeight="1" hidden="1">
      <x:c r="A106" s="2" t="str">
        <x:v>Decapterus macrosoma</x:v>
      </x:c>
      <x:c r="B106" s="4" t="n">
        <x:v>3.4</x:v>
      </x:c>
      <x:c r="C106" s="5" t="n">
        <x:v>21972.8561490285</x:v>
      </x:c>
      <x:c r="D106" s="5" t="n">
        <x:v>613259.102469517</x:v>
      </x:c>
      <x:c r="E106" s="2" t="str">
        <x:v>Juvenile large pelagic fish (89.993906%); Pelagic fish (&gt; 30 cm) (10.006094%)</x:v>
      </x:c>
      <x:c r="F106" s="2" t="str">
        <x:v>Medium</x:v>
      </x:c>
      <x:c r="G106" s="2" t="str">
        <x:v>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35 cm TL; Marine;  reef-associated;. Model catch proportions provide the split; allocation confidence remains Medium.</x:v>
      </x:c>
      <x:c r="H106" s="1"/>
      <x:c r="I106" s="1"/>
      <x:c r="J106" s="1"/>
      <x:c r="K106" s="1"/>
    </x:row>
    <x:row r="107" ht="87" customHeight="1">
      <x:c r="A107" s="2" t="str">
        <x:v>Caranx ignobilis</x:v>
      </x:c>
      <x:c r="B107" s="4" t="n">
        <x:v>4.22</x:v>
      </x:c>
      <x:c r="C107" s="5" t="n">
        <x:v>3145.4260218152</x:v>
      </x:c>
      <x:c r="D107" s="5" t="n">
        <x:v>580011.9826797683</x:v>
      </x:c>
      <x:c r="E107" s="2" t="str">
        <x:v>Juvenile large pelagic fish (89.993906%); Pelagic fish (&gt; 30 cm) (10.006094%)</x:v>
      </x:c>
      <x:c r="F107" s="2" t="str">
        <x:v>Low</x:v>
      </x:c>
      <x:c r="G107" s="2" t="str">
        <x:v>FishBase supports pelagic activity, whereas authoritative habitat accounts also use benthic/benthopelagic descriptions. The model explicitly separates benthopelagic fish. Conflicting evidence prevents a Medium exact ecological fit for the retained pelagic pair. Checked species record: 170 cm TL; Marine; brackish;  reef-associated;. Model catch proportions provide the split; allocation confidence remains Medium.</x:v>
      </x:c>
      <x:c r="H107" s="1"/>
      <x:c r="I107" s="1"/>
      <x:c r="J107" s="1"/>
      <x:c r="K107" s="1"/>
    </x:row>
    <x:row r="108" ht="72" customHeight="1" hidden="1">
      <x:c r="A108" s="2" t="str">
        <x:v>Dasyatis</x:v>
      </x:c>
      <x:c r="B108" s="4" t="n">
        <x:v>3.28</x:v>
      </x:c>
      <x:c r="C108" s="5" t="n">
        <x:v>26737.9322597945</x:v>
      </x:c>
      <x:c r="D108" s="5" t="n">
        <x:v>566089.7733400074</x:v>
      </x:c>
      <x:c r="E108" s="2" t="str">
        <x:v>Demersal sharks and rays (100.000000%)</x:v>
      </x:c>
      <x:c r="F108" s="2" t="str">
        <x:v>Medium</x:v>
      </x:c>
      <x:c r="G108" s="2" t="str">
        <x:v>Demersal stingrays support the catch-genus interpretation. Historical Dasyatis also included D. violacea, while the modern genus is narrower. The reporting taxonomic concept is not dated precisely enough for whole-genus High. This uncertainty does not establish actual pelagic catch composition. No split is required.</x:v>
      </x:c>
      <x:c r="H108" s="1"/>
      <x:c r="I108" s="1"/>
      <x:c r="J108" s="1"/>
      <x:c r="K108" s="1"/>
    </x:row>
    <x:row r="109" ht="57" customHeight="1" hidden="1">
      <x:c r="A109" s="2" t="str">
        <x:v>Himantura</x:v>
      </x:c>
      <x:c r="B109" s="4" t="n">
        <x:v>3.85</x:v>
      </x:c>
      <x:c r="C109" s="5" t="n">
        <x:v>7142.237783602201</x:v>
      </x:c>
      <x:c r="D109" s="5" t="n">
        <x:v>561813.0144411431</x:v>
      </x:c>
      <x:c r="E109" s="2" t="str">
        <x:v>Demersal sharks and rays (100.000000%)</x:v>
      </x:c>
      <x:c r="F109" s="2" t="str">
        <x:v>Medium</x:v>
      </x:c>
      <x:c r="G109" s="2" t="str">
        <x:v>Whipray lineages support demersal placement, exemplified by H. uarnak. No contrary pelagic member was established, but the full historical catch-genus concept was not verified; one exemplar does not prove all membership. No split is required.</x:v>
      </x:c>
      <x:c r="H109" s="1"/>
      <x:c r="I109" s="1"/>
      <x:c r="J109" s="1"/>
      <x:c r="K109" s="1"/>
    </x:row>
    <x:row r="110" ht="72" customHeight="1" hidden="1">
      <x:c r="A110" s="2" t="str">
        <x:v>Conger myriaster</x:v>
      </x:c>
      <x:c r="B110" s="4" t="n">
        <x:v>3.98</x:v>
      </x:c>
      <x:c r="C110" s="5" t="n">
        <x:v>5268.3843941122</x:v>
      </x:c>
      <x:c r="D110" s="5" t="n">
        <x:v>559029.7818542429</x:v>
      </x:c>
      <x:c r="E110" s="2" t="str">
        <x:v>Juvenile demersal fish (&gt; 30 cm) (89.991470%); Adult demersal fish (&gt; 30 cm) (10.008530%)</x:v>
      </x:c>
      <x:c r="F110" s="2" t="str">
        <x:v>Medium</x:v>
      </x:c>
      <x:c r="G110" s="2" t="str">
        <x:v>Maximum 100 cm TL and sand/mud bottom association support 25 + 26. Medium reflects relying on the coastal biology description to apply the model boundary despite discordant bathydemersal depth metadata; it is not a penalty for being deep or for lacking a named species group. Model catch proportions provide the split; allocation confidence remains Medium.</x:v>
      </x:c>
      <x:c r="H110" s="1"/>
      <x:c r="I110" s="1"/>
      <x:c r="J110" s="1"/>
      <x:c r="K110" s="1"/>
    </x:row>
    <x:row r="111" ht="72" customHeight="1" hidden="1">
      <x:c r="A111" s="2" t="str">
        <x:v>Xiphias gladius</x:v>
      </x:c>
      <x:c r="B111" s="4" t="n">
        <x:v>4.53</x:v>
      </x:c>
      <x:c r="C111" s="5" t="n">
        <x:v>1181.9686847172</x:v>
      </x:c>
      <x:c r="D111" s="5" t="n">
        <x:v>445003.53506218106</x:v>
      </x:c>
      <x:c r="E111" s="2" t="str">
        <x:v>Juvenile large pelagic fish (89.993906%); Pelagic fish (&gt; 30 cm) (10.006094%)</x:v>
      </x:c>
      <x:c r="F111" s="2" t="str">
        <x:v>Medium</x:v>
      </x:c>
      <x:c r="G111" s="2" t="str">
        <x:v>Verified swordfish size above 30 cm and epi/mesopelagic ecology satisfy the source's explicit residual large-pelagic definition, with no competing dedicated pool. Groups 30+31 cover both stages; geographic transfer and their assumed allocation do not weaken membership in the union. Model catch proportions provide the split; allocation confidence remains Medium.</x:v>
      </x:c>
      <x:c r="H111" s="1"/>
      <x:c r="I111" s="1"/>
      <x:c r="J111" s="1"/>
      <x:c r="K111" s="1"/>
    </x:row>
    <x:row r="112" ht="57" customHeight="1">
      <x:c r="A112" s="2" t="str">
        <x:v>Leiognathus</x:v>
      </x:c>
      <x:c r="B112" s="4" t="n">
        <x:v>3.22</x:v>
      </x:c>
      <x:c r="C112" s="5" t="n">
        <x:v>23872.6013613861</x:v>
      </x:c>
      <x:c r="D112" s="5" t="n">
        <x:v>440207.2962870274</x:v>
      </x:c>
      <x:c r="E112" s="2" t="str">
        <x:v>Benthopelagic fish (100.000000%)</x:v>
      </x:c>
      <x:c r="F112" s="2" t="str">
        <x:v>Low</x:v>
      </x:c>
      <x:c r="G112" s="2" t="str">
        <x:v>The named genus includes demersal L. equula (28 cm TL), while the historical ponyfish assemblage includes some nocturnal midwater migrants. Exclusive 27 is not established without resolving genus usage and species composition;24 is a concrete competing pool. No split is required.</x:v>
      </x:c>
      <x:c r="H112" s="1"/>
      <x:c r="I112" s="1"/>
      <x:c r="J112" s="1"/>
      <x:c r="K112" s="1"/>
    </x:row>
    <x:row r="113" ht="72" customHeight="1">
      <x:c r="A113" s="2" t="str">
        <x:v>Rastrelliger</x:v>
      </x:c>
      <x:c r="B113" s="4" t="n">
        <x:v>3.1</x:v>
      </x:c>
      <x:c r="C113" s="5" t="n">
        <x:v>29630.486811592</x:v>
      </x:c>
      <x:c r="D113" s="5" t="n">
        <x:v>414473.03123272356</x:v>
      </x:c>
      <x:c r="E113" s="2" t="str">
        <x:v>Juvenile large pelagic fish (89.993906%); Pelagic fish (&gt; 30 cm) (10.006094%)</x:v>
      </x:c>
      <x:c r="F113" s="2" t="str">
        <x:v>Low</x:v>
      </x:c>
      <x:c r="G113" s="2" t="str">
        <x:v>R. brachysoma and R. kanagurta exceed 30 cm FL, but the evidence recovered for R. faughni does not establish a &gt;30-cm maximum. The unresolved species boundary prevents upgrading the genus-wide large-pelagic pair. Model catch proportions provide the split; allocation confidence remains Medium.</x:v>
      </x:c>
      <x:c r="H113" s="1"/>
      <x:c r="I113" s="1"/>
      <x:c r="J113" s="1"/>
      <x:c r="K113" s="1"/>
    </x:row>
    <x:row r="114" ht="72" customHeight="1" hidden="1">
      <x:c r="A114" s="2" t="str">
        <x:v>Larimichthys polyactis</x:v>
      </x:c>
      <x:c r="B114" s="4" t="n">
        <x:v>3.64</x:v>
      </x:c>
      <x:c r="C114" s="5" t="n">
        <x:v>8455.549971794</x:v>
      </x:c>
      <x:c r="D114" s="5" t="n">
        <x:v>410109.04810955236</x:v>
      </x:c>
      <x:c r="E114" s="2" t="str">
        <x:v>Juvenile large croakers (89.873418%); Croakers (&gt; 30 cm) (10.126582%)</x:v>
      </x:c>
      <x:c r="F114" s="2" t="str">
        <x:v>Medium</x:v>
      </x:c>
      <x:c r="G114" s="2" t="str">
        <x:v>WoRMS confirms Sciaenidae and maximum 40 cm SL necessarily exceeds 30 cm TL. The source large-croaker definition selects both 24-month stanzas; the common name small yellow croaker does not select the small-species pool. Checked species record: 40 cm SL; Marine;  benthopelagic; oceanodromous. Model catch proportions provide the split; allocation confidence remains Medium.</x:v>
      </x:c>
      <x:c r="H114" s="1"/>
      <x:c r="I114" s="1"/>
      <x:c r="J114" s="1"/>
      <x:c r="K114" s="1"/>
    </x:row>
    <x:row r="115" ht="57" customHeight="1" hidden="1">
      <x:c r="A115" s="2" t="str">
        <x:v>Dussumieria</x:v>
      </x:c>
      <x:c r="B115" s="4" t="n">
        <x:v>3.4</x:v>
      </x:c>
      <x:c r="C115" s="5" t="n">
        <x:v>13790.2968083109</x:v>
      </x:c>
      <x:c r="D115" s="5" t="n">
        <x:v>384885.10488095577</x:v>
      </x:c>
      <x:c r="E115" s="2" t="str">
        <x:v>Pelagic fish (≤ 30 cm) (100.000000%)</x:v>
      </x:c>
      <x:c r="F115" s="2" t="str">
        <x:v>Medium</x:v>
      </x:c>
      <x:c r="G115" s="2" t="str">
        <x:v>The genus inventory supports a small-bodied pelagic lineage without a dedicated competing group. Most maxima are SL or unspecified; the full regional catch concept and TL boundary remain inferred. No split is required.</x:v>
      </x:c>
      <x:c r="H115" s="1"/>
      <x:c r="I115" s="1"/>
      <x:c r="J115" s="1"/>
      <x:c r="K115" s="1"/>
    </x:row>
    <x:row r="116" ht="42" customHeight="1" hidden="1">
      <x:c r="A116" s="2" t="str">
        <x:v>Sepia</x:v>
      </x:c>
      <x:c r="B116" s="4" t="n">
        <x:v>3.69</x:v>
      </x:c>
      <x:c r="C116" s="5" t="n">
        <x:v>6929.3366971666</x:v>
      </x:c>
      <x:c r="D116" s="5" t="n">
        <x:v>377093.59406052274</x:v>
      </x:c>
      <x:c r="E116" s="2" t="str">
        <x:v>Cephalopods (100.000000%)</x:v>
      </x:c>
      <x:c r="F116" s="2" t="str">
        <x:v>High</x:v>
      </x:c>
      <x:c r="G116" s="2" t="str">
        <x:v>Sepia is within Cephalopoda. Biomass estimation from two dominant Loligo species does not restrict the source group to those species or to squid. No split is required.</x:v>
      </x:c>
      <x:c r="H116" s="1"/>
      <x:c r="I116" s="1"/>
      <x:c r="J116" s="1"/>
      <x:c r="K116" s="1"/>
    </x:row>
    <x:row r="117" ht="72" customHeight="1" hidden="1">
      <x:c r="A117" s="2" t="str">
        <x:v>Paralichthys olivaceus</x:v>
      </x:c>
      <x:c r="B117" s="4" t="n">
        <x:v>4.25</x:v>
      </x:c>
      <x:c r="C117" s="5" t="n">
        <x:v>1886.4347656684</x:v>
      </x:c>
      <x:c r="D117" s="5" t="n">
        <x:v>372734.23357441294</x:v>
      </x:c>
      <x:c r="E117" s="2" t="str">
        <x:v>Juvenile demersal fish (&gt; 30 cm) (89.991470%); Adult demersal fish (&gt; 30 cm) (10.008530%)</x:v>
      </x:c>
      <x:c r="F117" s="2" t="str">
        <x:v>Medium</x:v>
      </x:c>
      <x:c r="G117" s="2" t="str">
        <x:v>Verified demersal ecology, maximum 103 cm TL and South China Sea occurrence satisfy the explicit residual large-demersal criteria. No dedicated flatfish pool competes, and the group 25 + 26 union covers stages without requiring observed catch ages. Model catch proportions provide the split; allocation confidence remains Medium.</x:v>
      </x:c>
      <x:c r="H117" s="1"/>
      <x:c r="I117" s="1"/>
      <x:c r="J117" s="1"/>
      <x:c r="K117" s="1"/>
    </x:row>
    <x:row r="118" ht="57" customHeight="1" hidden="1">
      <x:c r="A118" s="2" t="str">
        <x:v>Priacanthus macracanthus</x:v>
      </x:c>
      <x:c r="B118" s="4" t="n">
        <x:v>4.11</x:v>
      </x:c>
      <x:c r="C118" s="5" t="n">
        <x:v>2500.3139298576</x:v>
      </x:c>
      <x:c r="D118" s="5" t="n">
        <x:v>357892.033247906</x:v>
      </x:c>
      <x:c r="E118" s="2" t="str">
        <x:v>Bigeyes (priacanthids) (100.000000%)</x:v>
      </x:c>
      <x:c r="F118" s="2" t="str">
        <x:v>High</x:v>
      </x:c>
      <x:c r="G118" s="2" t="str">
        <x:v>Priacanthus macracanthus is within Priacanthidae, expressly used as the source group boundary. Parameter species are examples, not a closed list; residual size/habitat pools do not compete. No split is required.</x:v>
      </x:c>
      <x:c r="H118" s="1"/>
      <x:c r="I118" s="1"/>
      <x:c r="J118" s="1"/>
      <x:c r="K118" s="1"/>
    </x:row>
    <x:row r="119" ht="42" customHeight="1" hidden="1">
      <x:c r="A119" s="2" t="str">
        <x:v>Portunus pelagicus</x:v>
      </x:c>
      <x:c r="B119" s="4" t="n">
        <x:v>2.48</x:v>
      </x:c>
      <x:c r="C119" s="5" t="n">
        <x:v>104778.8997727715</x:v>
      </x:c>
      <x:c r="D119" s="5" t="n">
        <x:v>351585.79847845744</x:v>
      </x:c>
      <x:c r="E119" s="2" t="str">
        <x:v>Crabs (100.000000%)</x:v>
      </x:c>
      <x:c r="F119" s="2" t="str">
        <x:v>High</x:v>
      </x:c>
      <x:c r="G119" s="2" t="str">
        <x:v>Portunus pelagicus is a true-crab lineage within Crabs. The residual benthic-crustacean group expressly excludes crabs, so is not a competing placement. No split is required.</x:v>
      </x:c>
      <x:c r="H119" s="1"/>
      <x:c r="I119" s="1"/>
      <x:c r="J119" s="1"/>
      <x:c r="K119" s="1"/>
    </x:row>
    <x:row r="120" ht="72" customHeight="1" hidden="1">
      <x:c r="A120" s="2" t="str">
        <x:v>Muraenesox</x:v>
      </x:c>
      <x:c r="B120" s="4" t="n">
        <x:v>3.99</x:v>
      </x:c>
      <x:c r="C120" s="5" t="n">
        <x:v>3054.1788894707</x:v>
      </x:c>
      <x:c r="D120" s="5" t="n">
        <x:v>331628.58780536137</x:v>
      </x:c>
      <x:c r="E120" s="2" t="str">
        <x:v>Juvenile demersal fish (&gt; 30 cm) (89.991470%); Adult demersal fish (&gt; 30 cm) (10.008530%)</x:v>
      </x:c>
      <x:c r="F120" s="2" t="str">
        <x:v>Medium</x:v>
      </x:c>
      <x:c r="G120" s="2" t="str">
        <x:v>Regional pike-conger evidence identifies large benthic M. cinereus and M. bagio; their maxima are far above 30 cm. This supports 25 + 26 as an assumed eligible set, without requiring a genus catch-age composition or treating the genus rank itself as weak evidence. Model catch proportions provide the split; allocation confidence remains Medium.</x:v>
      </x:c>
      <x:c r="H120" s="1"/>
      <x:c r="I120" s="1"/>
      <x:c r="J120" s="1"/>
      <x:c r="K120" s="1"/>
    </x:row>
    <x:row r="121" ht="72" customHeight="1">
      <x:c r="A121" s="2" t="str">
        <x:v>Lethrinidae</x:v>
      </x:c>
      <x:c r="B121" s="4" t="n">
        <x:v>3.59</x:v>
      </x:c>
      <x:c r="C121" s="5" t="n">
        <x:v>7365.545254115499</x:v>
      </x:c>
      <x:c r="D121" s="5" t="n">
        <x:v>318392.18014992215</x:v>
      </x:c>
      <x:c r="E121" s="2" t="str">
        <x:v>Juvenile demersal fish (&gt; 30 cm) (89.991470%); Adult demersal fish (&gt; 30 cm) (10.008530%)</x:v>
      </x:c>
      <x:c r="F121" s="2" t="str">
        <x:v>Low</x:v>
      </x:c>
      <x:c r="G121" s="2" t="str">
        <x:v>The family contains the small bottom-associated Lethrinus variegatus (reported 20 cm TL) and large L. miniatus (90 cm TL), so 25 + 26 alone omit a supported small-species group. Emperors are not automatically the dedicated Lutjanidae snappers. Model catch proportions provide the split; allocation confidence remains Medium.</x:v>
      </x:c>
      <x:c r="H121" s="1"/>
      <x:c r="I121" s="1"/>
      <x:c r="J121" s="1"/>
      <x:c r="K121" s="1"/>
    </x:row>
    <x:row r="122" ht="72" customHeight="1" hidden="1">
      <x:c r="A122" s="2" t="str">
        <x:v>Scomber</x:v>
      </x:c>
      <x:c r="B122" s="4" t="n">
        <x:v>3.65</x:v>
      </x:c>
      <x:c r="C122" s="5" t="n">
        <x:v>6352.0294663402</x:v>
      </x:c>
      <x:c r="D122" s="5" t="n">
        <x:v>315260.81549706723</x:v>
      </x:c>
      <x:c r="E122" s="2" t="str">
        <x:v>Juvenile large pelagic fish (89.993906%); Pelagic fish (&gt; 30 cm) (10.006094%)</x:v>
      </x:c>
      <x:c r="F122" s="2" t="str">
        <x:v>Medium</x:v>
      </x:c>
      <x:c r="G122" s="2" t="str">
        <x:v>The raw reporting name is chub mackerels. Regional S. japonicus and S. australasicus are pelagic and exceed 30 cm FL, supporting the combined large-pelagic pair without treating caught small individuals as small-species fish. Model catch proportions provide the split; allocation confidence remains Medium.</x:v>
      </x:c>
      <x:c r="H122" s="1"/>
      <x:c r="I122" s="1"/>
      <x:c r="J122" s="1"/>
      <x:c r="K122" s="1"/>
    </x:row>
    <x:row r="123" ht="72" customHeight="1">
      <x:c r="A123" s="2" t="str">
        <x:v>Polynemidae</x:v>
      </x:c>
      <x:c r="B123" s="4" t="n">
        <x:v>3.62</x:v>
      </x:c>
      <x:c r="C123" s="5" t="n">
        <x:v>6668.0174394639</x:v>
      </x:c>
      <x:c r="D123" s="5" t="n">
        <x:v>308854.70210652903</x:v>
      </x:c>
      <x:c r="E123" s="2" t="str">
        <x:v>Demesral fish (≤ 30 cm) (100.000000%)</x:v>
      </x:c>
      <x:c r="F123" s="2" t="str">
        <x:v>Low</x:v>
      </x:c>
      <x:c r="G123" s="2" t="str">
        <x:v>Regional threadfins include large Eleutheronema species. The broad taxon includes regional large-bodied fish and does not itself establish maximum TL &lt;=30 cm. The small-demersal classifier is reporting context, but an exclusion of larger members was not independently documented. No split is required.</x:v>
      </x:c>
      <x:c r="H123" s="1"/>
      <x:c r="I123" s="1"/>
      <x:c r="J123" s="1"/>
      <x:c r="K123" s="1"/>
    </x:row>
    <x:row r="124" ht="87" customHeight="1" hidden="1">
      <x:c r="A124" s="2" t="str">
        <x:v>Tylosurus crocodilus</x:v>
      </x:c>
      <x:c r="B124" s="4" t="n">
        <x:v>4.43</x:v>
      </x:c>
      <x:c r="C124" s="5" t="n">
        <x:v>1016.6360761745</x:v>
      </x:c>
      <x:c r="D124" s="5" t="n">
        <x:v>304034.59799459553</x:v>
      </x:c>
      <x:c r="E124" s="2" t="str">
        <x:v>Juvenile large pelagic fish (89.993906%); Pelagic fish (&gt; 30 cm) (10.006094%)</x:v>
      </x:c>
      <x:c r="F124" s="2" t="str">
        <x:v>Medium</x:v>
      </x:c>
      <x:c r="G124" s="2" t="str">
        <x:v>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150 cm TL; Marine;  reef-associated; oceanodromous. Model catch proportions provide the split; allocation confidence remains Medium.</x:v>
      </x:c>
      <x:c r="H124" s="1"/>
      <x:c r="I124" s="1"/>
      <x:c r="J124" s="1"/>
      <x:c r="K124" s="1"/>
    </x:row>
    <x:row r="125" ht="102" customHeight="1" hidden="1">
      <x:c r="A125" s="2" t="str">
        <x:v>Rastrelliger brachysoma</x:v>
      </x:c>
      <x:c r="B125" s="4" t="n">
        <x:v>2.72</x:v>
      </x:c>
      <x:c r="C125" s="5" t="n">
        <x:v>50838.3680498361</x:v>
      </x:c>
      <x:c r="D125" s="5" t="n">
        <x:v>296448.38688308536</x:v>
      </x:c>
      <x:c r="E125" s="2" t="str">
        <x:v>Juvenile large pelagic fish (89.993906%); Pelagic fish (&gt; 30 cm) (10.006094%)</x:v>
      </x:c>
      <x:c r="F125" s="2" t="str">
        <x:v>Medium</x:v>
      </x:c>
      <x:c r="G125"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34.5 cm FL; Marine; brackish;  pelagic-neritic; oceanodromous. Model catch proportions provide the split; allocation confidence remains Medium.</x:v>
      </x:c>
      <x:c r="H125" s="1"/>
      <x:c r="I125" s="1"/>
      <x:c r="J125" s="1"/>
      <x:c r="K125" s="1"/>
    </x:row>
    <x:row r="126" ht="57" customHeight="1" hidden="1">
      <x:c r="A126" s="2" t="str">
        <x:v>Epinephelus coioides</x:v>
      </x:c>
      <x:c r="B126" s="4" t="n">
        <x:v>4</x:v>
      </x:c>
      <x:c r="C126" s="5" t="n">
        <x:v>2501.6491648462</x:v>
      </x:c>
      <x:c r="D126" s="5" t="n">
        <x:v>277961.0183162445</x:v>
      </x:c>
      <x:c r="E126" s="2" t="str">
        <x:v>Adult groupers (100.000000%)</x:v>
      </x:c>
      <x:c r="F126" s="2" t="str">
        <x:v>High</x:v>
      </x:c>
      <x:c r="G126" s="2" t="str">
        <x:v>Epinephelus coioides fits the source Serranidae concept. The thesis defines one family pool and no juvenile grouper stanza; the stored word Adult does not by itself establish an age restriction. No split is required.</x:v>
      </x:c>
      <x:c r="H126" s="1"/>
      <x:c r="I126" s="1"/>
      <x:c r="J126" s="1"/>
      <x:c r="K126" s="1"/>
    </x:row>
    <x:row r="127" ht="87" customHeight="1">
      <x:c r="A127" s="2" t="str">
        <x:v>Scyris indica</x:v>
      </x:c>
      <x:c r="B127" s="4" t="n">
        <x:v>4.09</x:v>
      </x:c>
      <x:c r="C127" s="5" t="n">
        <x:v>2029.7391876199</x:v>
      </x:c>
      <x:c r="D127" s="5" t="n">
        <x:v>277458.3039358728</x:v>
      </x:c>
      <x:c r="E127" s="2" t="str">
        <x:v>Juvenile large pelagic fish (89.993906%); Pelagic fish (&gt; 30 cm) (10.006094%)</x:v>
      </x:c>
      <x:c r="F127" s="2" t="str">
        <x:v>Low</x:v>
      </x:c>
      <x:c r="G127" s="2" t="str">
        <x:v>Adults occur over reefs deeper than 60 m, while surface swimming is reported for juveniles. Maximum size &gt;30 cm is secure, but species adult ecology emphasizes reef, shelf, near-bottom or bottom-feeding use. It does not close the retained pelagic-only boundary against the model's benthopelagic/demersal alternatives. Checked species record: 165 cm TL; Marine; brackish;  reef-associated;. Model catch proportions provide the split; allocation confidence remains Medium.</x:v>
      </x:c>
      <x:c r="H127" s="1"/>
      <x:c r="I127" s="1"/>
      <x:c r="J127" s="1"/>
      <x:c r="K127" s="1"/>
    </x:row>
    <x:row r="128" ht="72" customHeight="1" hidden="1">
      <x:c r="A128" s="2" t="str">
        <x:v>Pampus argenteus</x:v>
      </x:c>
      <x:c r="B128" s="4" t="n">
        <x:v>3.3</x:v>
      </x:c>
      <x:c r="C128" s="5" t="n">
        <x:v>12427.5133353598</x:v>
      </x:c>
      <x:c r="D128" s="5" t="n">
        <x:v>275512.766964629</x:v>
      </x:c>
      <x:c r="E128" s="2" t="str">
        <x:v>Pomfret (stromateids) (100.000000%)</x:v>
      </x:c>
      <x:c r="F128" s="2" t="str">
        <x:v>High</x:v>
      </x:c>
      <x:c r="G128" s="2" t="str">
        <x:v>Pampus argenteus is within Stromateidae, expressly used as the source group boundary. Parameter species are examples, not a closed list; residual size/habitat pools do not compete. The broader biomass-survey assemblage does not expand membership beyond Stromateidae. No split is required.</x:v>
      </x:c>
      <x:c r="H128" s="1"/>
      <x:c r="I128" s="1"/>
      <x:c r="J128" s="1"/>
      <x:c r="K128" s="1"/>
    </x:row>
    <x:row r="129" ht="87" customHeight="1" hidden="1">
      <x:c r="A129" s="2" t="str">
        <x:v>Muraenesocidae</x:v>
      </x:c>
      <x:c r="B129" s="4" t="n">
        <x:v>3.9</x:v>
      </x:c>
      <x:c r="C129" s="5" t="n">
        <x:v>3084.2911248959</x:v>
      </x:c>
      <x:c r="D129" s="5" t="n">
        <x:v>272215.50273492537</x:v>
      </x:c>
      <x:c r="E129" s="2" t="str">
        <x:v>Juvenile demersal fish (&gt; 30 cm) (89.991470%); Adult demersal fish (&gt; 30 cm) (10.008530%)</x:v>
      </x:c>
      <x:c r="F129" s="2" t="str">
        <x:v>Medium</x:v>
      </x:c>
      <x:c r="G129" s="2" t="str">
        <x:v>The checked regional family members are large pike congers: Congresox, Muraenesox, Oxyconger and Gavialiceps maxima exceed 30 cm TL and their relevant ecology is bottom-associated. Residual 25 + 26 form a supported assumed family set; bathydemersal members create transfer caveats rather than a different water-column guild. Model catch proportions provide the split; allocation confidence remains Medium.</x:v>
      </x:c>
      <x:c r="H129" s="1"/>
      <x:c r="I129" s="1"/>
      <x:c r="J129" s="1"/>
      <x:c r="K129" s="1"/>
    </x:row>
    <x:row r="130" ht="57" customHeight="1" hidden="1">
      <x:c r="A130" s="2" t="str">
        <x:v>Isurus</x:v>
      </x:c>
      <x:c r="B130" s="4" t="n">
        <x:v>4.5</x:v>
      </x:c>
      <x:c r="C130" s="5" t="n">
        <x:v>759.6754578951001</x:v>
      </x:c>
      <x:c r="D130" s="5" t="n">
        <x:v>266922.7477199843</x:v>
      </x:c>
      <x:c r="E130" s="2" t="str">
        <x:v>Pelagic sharks and rays (100.000000%)</x:v>
      </x:c>
      <x:c r="F130" s="2" t="str">
        <x:v>High</x:v>
      </x:c>
      <x:c r="G130" s="2" t="str">
        <x:v>The complete current genus inventory has I. oxyrinchus and I. paucus; both species accounts document pelagic-oceanic ecology. This closes genus-level membership in Pelagic sharks and rays. No split is required.</x:v>
      </x:c>
      <x:c r="H130" s="1"/>
      <x:c r="I130" s="1"/>
      <x:c r="J130" s="1"/>
      <x:c r="K130" s="1"/>
    </x:row>
    <x:row r="131" ht="57" customHeight="1">
      <x:c r="A131" s="2" t="str">
        <x:v>Upeneus</x:v>
      </x:c>
      <x:c r="B131" s="4" t="n">
        <x:v>3.54</x:v>
      </x:c>
      <x:c r="C131" s="5" t="n">
        <x:v>6787.0038076156</x:v>
      </x:c>
      <x:c r="D131" s="5" t="n">
        <x:v>261478.2582513304</x:v>
      </x:c>
      <x:c r="E131" s="2" t="str">
        <x:v>Demesral fish (≤ 30 cm) (100.000000%)</x:v>
      </x:c>
      <x:c r="F131" s="2" t="str">
        <x:v>Low</x:v>
      </x:c>
      <x:c r="G131" s="2" t="str">
        <x:v>The genus inventory includes U. taeniopterus at 33 cm TL and U. japonicus at 28 cm SL. A restricted regional catch concept could support small demersals, but the genus label alone does not establish the required &lt;=30 cm TL boundary. No split is required.</x:v>
      </x:c>
      <x:c r="H131" s="1"/>
      <x:c r="I131" s="1"/>
      <x:c r="J131" s="1"/>
      <x:c r="K131" s="1"/>
    </x:row>
    <x:row r="132" ht="72" customHeight="1">
      <x:c r="A132" s="2" t="str">
        <x:v>Pomadasys</x:v>
      </x:c>
      <x:c r="B132" s="4" t="n">
        <x:v>3.59</x:v>
      </x:c>
      <x:c r="C132" s="5" t="n">
        <x:v>6037.8571268176</x:v>
      </x:c>
      <x:c r="D132" s="5" t="n">
        <x:v>260999.8890397226</x:v>
      </x:c>
      <x:c r="E132" s="2" t="str">
        <x:v>Juvenile demersal fish (&gt; 30 cm) (89.991470%); Adult demersal fish (&gt; 30 cm) (10.008530%)</x:v>
      </x:c>
      <x:c r="F132" s="2" t="str">
        <x:v>Low</x:v>
      </x:c>
      <x:c r="G132" s="2" t="str">
        <x:v>Large demersal P. argenteus/argyreus support part of 25 + 26, but the East Asian shelf congener P. quadrilineatus is documented as pelagic-neritic and small (12.3 cm SL). The current genus-wide large-demersal set is therefore not established. Model catch proportions provide the split; allocation confidence remains Medium.</x:v>
      </x:c>
      <x:c r="H132" s="1"/>
      <x:c r="I132" s="1"/>
      <x:c r="J132" s="1"/>
      <x:c r="K132" s="1"/>
    </x:row>
    <x:row r="133" ht="57" customHeight="1">
      <x:c r="A133" s="2" t="str">
        <x:v>Decapterus maruadsi</x:v>
      </x:c>
      <x:c r="B133" s="4" t="n">
        <x:v>3.4</x:v>
      </x:c>
      <x:c r="C133" s="5" t="n">
        <x:v>9102.0473028009</x:v>
      </x:c>
      <x:c r="D133" s="5" t="n">
        <x:v>254036.7679873772</x:v>
      </x:c>
      <x:c r="E133" s="2" t="str">
        <x:v>Pelagic fish (≤ 30 cm) (100.000000%)</x:v>
      </x:c>
      <x:c r="F133" s="2" t="str">
        <x:v>Low</x:v>
      </x:c>
      <x:c r="G133" s="2" t="str">
        <x:v>The current ≤30-cm pelagic assignment conflicts with published size evidence: a reported 35.4 cm fork length and a separate 34.2 cm FL growth asymptote. These cannot support a species-maximum TL ≤30 cm; retain Low pending a group review. No split is required.</x:v>
      </x:c>
      <x:c r="H133" s="1"/>
      <x:c r="I133" s="1"/>
      <x:c r="J133" s="1"/>
      <x:c r="K133" s="1"/>
    </x:row>
    <x:row r="134" ht="102" customHeight="1" hidden="1">
      <x:c r="A134" s="2" t="str">
        <x:v>Sardinops sagax</x:v>
      </x:c>
      <x:c r="B134" s="4" t="n">
        <x:v>2.84</x:v>
      </x:c>
      <x:c r="C134" s="5" t="n">
        <x:v>32356.8353264112</x:v>
      </x:c>
      <x:c r="D134" s="5" t="n">
        <x:v>248727.34221927996</x:v>
      </x:c>
      <x:c r="E134" s="2" t="str">
        <x:v>Juvenile large pelagic fish (89.993906%); Pelagic fish (&gt; 30 cm) (10.006094%)</x:v>
      </x:c>
      <x:c r="F134" s="2" t="str">
        <x:v>Medium</x:v>
      </x:c>
      <x:c r="G134"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39.5 cm SL; Marine;  pelagic-neritic; oceanodromous. Model catch proportions provide the split; allocation confidence remains Medium.</x:v>
      </x:c>
      <x:c r="H134" s="1"/>
      <x:c r="I134" s="1"/>
      <x:c r="J134" s="1"/>
      <x:c r="K134" s="1"/>
    </x:row>
    <x:row r="135" ht="72" customHeight="1" hidden="1">
      <x:c r="A135" s="2" t="str">
        <x:v>Dussumieria acuta</x:v>
      </x:c>
      <x:c r="B135" s="4" t="n">
        <x:v>3.4</x:v>
      </x:c>
      <x:c r="C135" s="5" t="n">
        <x:v>8904.751677089</x:v>
      </x:c>
      <x:c r="D135" s="5" t="n">
        <x:v>248530.27681824483</x:v>
      </x:c>
      <x:c r="E135" s="2" t="str">
        <x:v>Pelagic fish (≤ 30 cm) (100.000000%)</x:v>
      </x:c>
      <x:c r="F135" s="2" t="str">
        <x:v>Medium</x:v>
      </x:c>
      <x:c r="G135" s="2" t="str">
        <x:v>Coastal-pelagic ecology and small size support the current pool. Retrieved maximum length is SL, not TL; no independent total-length bound/conversion was recovered, so the model TL criterion remains a supported inference. Checked species record: 20 cm SL; Marine; freshwater; brackish;  pelagic-neritic;. No split is required.</x:v>
      </x:c>
      <x:c r="H135" s="1"/>
      <x:c r="I135" s="1"/>
      <x:c r="J135" s="1"/>
      <x:c r="K135" s="1"/>
    </x:row>
    <x:row r="136" ht="57" customHeight="1" hidden="1">
      <x:c r="A136" s="2" t="str">
        <x:v>Epinephelus maculatus</x:v>
      </x:c>
      <x:c r="B136" s="4" t="n">
        <x:v>3.98</x:v>
      </x:c>
      <x:c r="C136" s="5" t="n">
        <x:v>2192.3362958657</x:v>
      </x:c>
      <x:c r="D136" s="5" t="n">
        <x:v>232629.43429082673</x:v>
      </x:c>
      <x:c r="E136" s="2" t="str">
        <x:v>Adult groupers (100.000000%)</x:v>
      </x:c>
      <x:c r="F136" s="2" t="str">
        <x:v>High</x:v>
      </x:c>
      <x:c r="G136" s="2" t="str">
        <x:v>Epinephelus maculatus fits the source Serranidae concept. The thesis defines one family pool and no juvenile grouper stanza; the stored word Adult does not by itself establish an age restriction. No split is required.</x:v>
      </x:c>
      <x:c r="H136" s="1"/>
      <x:c r="I136" s="1"/>
      <x:c r="J136" s="1"/>
      <x:c r="K136" s="1"/>
    </x:row>
    <x:row r="137" ht="57" customHeight="1" hidden="1">
      <x:c r="A137" s="2" t="str">
        <x:v>Apogonidae</x:v>
      </x:c>
      <x:c r="B137" s="4" t="n">
        <x:v>3.54</x:v>
      </x:c>
      <x:c r="C137" s="5" t="n">
        <x:v>5885.290923792501</x:v>
      </x:c>
      <x:c r="D137" s="5" t="n">
        <x:v>226738.5821014092</x:v>
      </x:c>
      <x:c r="E137" s="2" t="str">
        <x:v>Demesral fish (≤ 30 cm) (100.000000%)</x:v>
      </x:c>
      <x:c r="F137" s="2" t="str">
        <x:v>Medium</x:v>
      </x:c>
      <x:c r="G137" s="2" t="str">
        <x:v>The catch classifier and family ecology support a small reef/demersal interpretation after dedicated pools are excluded. No source reef compartment or complete regional family-by-size boundary was established; the ecological interpretation remains an assumption. No split is required.</x:v>
      </x:c>
      <x:c r="H137" s="1"/>
      <x:c r="I137" s="1"/>
      <x:c r="J137" s="1"/>
      <x:c r="K137" s="1"/>
    </x:row>
    <x:row r="138" ht="72" customHeight="1" hidden="1">
      <x:c r="A138" s="2" t="str">
        <x:v>Menidae</x:v>
      </x:c>
      <x:c r="B138" s="4" t="n">
        <x:v>3.45</x:v>
      </x:c>
      <x:c r="C138" s="5" t="n">
        <x:v>7045.520684393799</x:v>
      </x:c>
      <x:c r="D138" s="5" t="n">
        <x:v>220633.0582085127</x:v>
      </x:c>
      <x:c r="E138" s="2" t="str">
        <x:v>Benthopelagic fish (100.000000%)</x:v>
      </x:c>
      <x:c r="F138" s="2" t="str">
        <x:v>Medium</x:v>
      </x:c>
      <x:c r="G138" s="2" t="str">
        <x:v>FAO recognizes one living species, Mene maculata, reaching 30 cm TL with documented benthopelagic habitat. It fits the appendix small component, whose P/B and Q/B closely match final group 27. This supports Medium membership; the final consolidation is still unexplained. No split is required.</x:v>
      </x:c>
      <x:c r="H138" s="1"/>
      <x:c r="I138" s="1"/>
      <x:c r="J138" s="1"/>
      <x:c r="K138" s="1"/>
    </x:row>
    <x:row r="139" ht="72" customHeight="1">
      <x:c r="A139" s="2" t="str">
        <x:v>Clupanodon thrissa</x:v>
      </x:c>
      <x:c r="B139" s="4" t="n">
        <x:v>3.01</x:v>
      </x:c>
      <x:c r="C139" s="5" t="n">
        <x:v>19399.4028131867</x:v>
      </x:c>
      <x:c r="D139" s="5" t="n">
        <x:v>220569.69947961663</x:v>
      </x:c>
      <x:c r="E139" s="2" t="str">
        <x:v>Pelagic fish (≤ 30 cm) (100.000000%)</x:v>
      </x:c>
      <x:c r="F139" s="2" t="str">
        <x:v>Low</x:v>
      </x:c>
      <x:c r="G139" s="2" t="str">
        <x:v>Pelagic ecology is supported, but maximum 26 cm SL lies near the model 30 cm TL boundary. A verified conversion or same-metric maximum is needed before excluding the large-pelagic pair. Checked species record: 26 cm SL; Marine; freshwater; brackish;  pelagic-neritic; anadromous. No split is required.</x:v>
      </x:c>
      <x:c r="H139" s="1"/>
      <x:c r="I139" s="1"/>
      <x:c r="J139" s="1"/>
      <x:c r="K139" s="1"/>
    </x:row>
    <x:row r="140" ht="72" customHeight="1" hidden="1">
      <x:c r="A140" s="2" t="str">
        <x:v>Istiophorus platypterus</x:v>
      </x:c>
      <x:c r="B140" s="4" t="n">
        <x:v>4.5</x:v>
      </x:c>
      <x:c r="C140" s="5" t="n">
        <x:v>595.4238962842</x:v>
      </x:c>
      <x:c r="D140" s="5" t="n">
        <x:v>209210.63172777108</x:v>
      </x:c>
      <x:c r="E140" s="2" t="str">
        <x:v>Juvenile large pelagic fish (89.993906%); Pelagic fish (&gt; 30 cm) (10.006094%)</x:v>
      </x:c>
      <x:c r="F140" s="2" t="str">
        <x:v>Medium</x:v>
      </x:c>
      <x:c r="G140" s="2" t="str">
        <x:v>Verified maximum size above 30 cm and epipelagic ecology establish Indo-Pacific sailfish in the source's residual large-pelagic pair. No dedicated pool competes; coastal approaches reinforce the habitat fit. Unknown stage shares affect allocation, not membership in groups 30+31. Model catch proportions provide the split; allocation confidence remains Medium.</x:v>
      </x:c>
      <x:c r="H140" s="1"/>
      <x:c r="I140" s="1"/>
      <x:c r="J140" s="1"/>
      <x:c r="K140" s="1"/>
    </x:row>
    <x:row r="141" ht="117" customHeight="1" hidden="1">
      <x:c r="A141" s="2" t="str">
        <x:v>Rastrelliger kanagurta</x:v>
      </x:c>
      <x:c r="B141" s="4" t="n">
        <x:v>3.19</x:v>
      </x:c>
      <x:c r="C141" s="5" t="n">
        <x:v>11987.6998530119</x:v>
      </x:c>
      <x:c r="D141" s="5" t="n">
        <x:v>206297.20838755037</x:v>
      </x:c>
      <x:c r="E141" s="2" t="str">
        <x:v>Juvenile large pelagic fish (89.993906%); Pelagic fish (&gt; 30 cm) (10.006094%)</x:v>
      </x:c>
      <x:c r="F141" s="2" t="str">
        <x:v>Medium</x:v>
      </x:c>
      <x:c r="G141"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The first 36 cm entry omits a length convention; the separately reported female maximum of 42.1 cm TL establishes the required large-fish boundary. Model catch proportions provide the split; allocation confidence remains Medium.</x:v>
      </x:c>
      <x:c r="H141" s="1"/>
      <x:c r="I141" s="1"/>
      <x:c r="J141" s="1"/>
      <x:c r="K141" s="1"/>
    </x:row>
    <x:row r="142" ht="57" customHeight="1">
      <x:c r="A142" s="2" t="str">
        <x:v>Parastromateus niger</x:v>
      </x:c>
      <x:c r="B142" s="4" t="n">
        <x:v>2.93</x:v>
      </x:c>
      <x:c r="C142" s="5" t="n">
        <x:v>21361.6439052678</x:v>
      </x:c>
      <x:c r="D142" s="5" t="n">
        <x:v>202018.97429230437</x:v>
      </x:c>
      <x:c r="E142" s="2" t="str">
        <x:v>Benthopelagic fish (100.000000%)</x:v>
      </x:c>
      <x:c r="F142" s="2" t="str">
        <x:v>Low</x:v>
      </x:c>
      <x:c r="G142" s="2" t="str">
        <x:v>Bottom-by-day and surface-at-night behavior strongly supports benthopelagic ecology, and it is Carangidae rather than source Stromateidae. However, its 75 cm TL maximum places it in the appendix large component whose inclusion in final 27 is not demonstrated. No split is required.</x:v>
      </x:c>
      <x:c r="H142" s="1"/>
      <x:c r="I142" s="1"/>
      <x:c r="J142" s="1"/>
      <x:c r="K142" s="1"/>
    </x:row>
    <x:row r="143" ht="57" customHeight="1" hidden="1">
      <x:c r="A143" s="2" t="str">
        <x:v>Pennahia argentata</x:v>
      </x:c>
      <x:c r="B143" s="4" t="n">
        <x:v>3.47</x:v>
      </x:c>
      <x:c r="C143" s="5" t="n">
        <x:v>5866.0905526461</x:v>
      </x:c>
      <x:c r="D143" s="5" t="n">
        <x:v>192356.2284825522</x:v>
      </x:c>
      <x:c r="E143" s="2" t="str">
        <x:v>Croakers (≤ 30 cm) (100.000000%)</x:v>
      </x:c>
      <x:c r="F143" s="2" t="str">
        <x:v>High</x:v>
      </x:c>
      <x:c r="G143" s="2" t="str">
        <x:v>Pennahia spp. and the argentatus spelling are explicitly assigned to small croakers. Pennahia argentata is covered by the genus assignment; generic modern size classes do not override the source exception. No split is required.</x:v>
      </x:c>
      <x:c r="H143" s="1"/>
      <x:c r="I143" s="1"/>
      <x:c r="J143" s="1"/>
      <x:c r="K143" s="1"/>
    </x:row>
    <x:row r="144" ht="72" customHeight="1" hidden="1">
      <x:c r="A144" s="2" t="str">
        <x:v>Istiophoridae</x:v>
      </x:c>
      <x:c r="B144" s="4" t="n">
        <x:v>4.48</x:v>
      </x:c>
      <x:c r="C144" s="5" t="n">
        <x:v>512.1735098749</x:v>
      </x:c>
      <x:c r="D144" s="5" t="n">
        <x:v>171859.9191434494</x:v>
      </x:c>
      <x:c r="E144" s="2" t="str">
        <x:v>Juvenile large pelagic fish (89.993906%); Pelagic fish (&gt; 30 cm) (10.006094%)</x:v>
      </x:c>
      <x:c r="F144" s="2" t="str">
        <x:v>Medium</x:v>
      </x:c>
      <x:c r="G144" s="2" t="str">
        <x:v>Billfishes form a coherent large epipelagic family compatible with the source's residual large-pelagic pair. Family-level reporting reduces species detail but does not alone undermine this shared guild membership. Model catch proportions provide the split; allocation confidence remains Medium.</x:v>
      </x:c>
      <x:c r="H144" s="1"/>
      <x:c r="I144" s="1"/>
      <x:c r="J144" s="1"/>
      <x:c r="K144" s="1"/>
    </x:row>
    <x:row r="145" ht="57" customHeight="1" hidden="1">
      <x:c r="A145" s="2" t="str">
        <x:v>Stromateidae</x:v>
      </x:c>
      <x:c r="B145" s="4" t="n">
        <x:v>3.62</x:v>
      </x:c>
      <x:c r="C145" s="5" t="n">
        <x:v>3432.1457195437</x:v>
      </x:c>
      <x:c r="D145" s="5" t="n">
        <x:v>158972.94112072594</x:v>
      </x:c>
      <x:c r="E145" s="2" t="str">
        <x:v>Pomfret (stromateids) (100.000000%)</x:v>
      </x:c>
      <x:c r="F145" s="2" t="str">
        <x:v>High</x:v>
      </x:c>
      <x:c r="G145" s="2" t="str">
        <x:v>Stromateidae is within Stromateidae, expressly used as the source group boundary. Parameter species are examples, not a closed list; residual size/habitat pools do not compete. The broader biomass-survey assemblage does not expand membership beyond Stromateidae. No split is required.</x:v>
      </x:c>
      <x:c r="H145" s="1"/>
      <x:c r="I145" s="1"/>
      <x:c r="J145" s="1"/>
      <x:c r="K145" s="1"/>
    </x:row>
    <x:row r="146" ht="57" customHeight="1" hidden="1">
      <x:c r="A146" s="2" t="str">
        <x:v>Lutjanus quinquelineatus</x:v>
      </x:c>
      <x:c r="B146" s="4" t="n">
        <x:v>3.68</x:v>
      </x:c>
      <x:c r="C146" s="5" t="n">
        <x:v>2906.3870752297</x:v>
      </x:c>
      <x:c r="D146" s="5" t="n">
        <x:v>154564.92379361272</x:v>
      </x:c>
      <x:c r="E146" s="2" t="str">
        <x:v>Snappers (100.000000%)</x:v>
      </x:c>
      <x:c r="F146" s="2" t="str">
        <x:v>High</x:v>
      </x:c>
      <x:c r="G146" s="2" t="str">
        <x:v>Lutjanus quinquelineatus is within Lutjanidae, expressly used as the source group boundary. Parameter species are examples, not a closed list; residual size/habitat pools do not compete. No split is required.</x:v>
      </x:c>
      <x:c r="H146" s="1"/>
      <x:c r="I146" s="1"/>
      <x:c r="J146" s="1"/>
      <x:c r="K146" s="1"/>
    </x:row>
    <x:row r="147" ht="57" customHeight="1" hidden="1">
      <x:c r="A147" s="2" t="str">
        <x:v>Lutjanidae</x:v>
      </x:c>
      <x:c r="B147" s="4" t="n">
        <x:v>4.02</x:v>
      </x:c>
      <x:c r="C147" s="5" t="n">
        <x:v>1255.2861448221</x:v>
      </x:c>
      <x:c r="D147" s="5" t="n">
        <x:v>146049.55091288607</x:v>
      </x:c>
      <x:c r="E147" s="2" t="str">
        <x:v>Snappers (100.000000%)</x:v>
      </x:c>
      <x:c r="F147" s="2" t="str">
        <x:v>High</x:v>
      </x:c>
      <x:c r="G147" s="2" t="str">
        <x:v>Lutjanidae is within Lutjanidae, expressly used as the source group boundary. Parameter species are examples, not a closed list; residual size/habitat pools do not compete. No split is required.</x:v>
      </x:c>
      <x:c r="H147" s="1"/>
      <x:c r="I147" s="1"/>
      <x:c r="J147" s="1"/>
      <x:c r="K147" s="1"/>
    </x:row>
    <x:row r="148" ht="72" customHeight="1" hidden="1">
      <x:c r="A148" s="2" t="str">
        <x:v>Upeneus moluccensis</x:v>
      </x:c>
      <x:c r="B148" s="4" t="n">
        <x:v>3.63</x:v>
      </x:c>
      <x:c r="C148" s="5" t="n">
        <x:v>2994.4788178434</x:v>
      </x:c>
      <x:c r="D148" s="5" t="n">
        <x:v>141931.48146413325</x:v>
      </x:c>
      <x:c r="E148" s="2" t="str">
        <x:v>Demesral fish (≤ 30 cm) (100.000000%)</x:v>
      </x:c>
      <x:c r="F148" s="2" t="str">
        <x:v>Medium</x:v>
      </x:c>
      <x:c r="G148" s="2" t="str">
        <x:v>Maximum 22.5 cm TL and muddy coastal habitat support small demersals. Schooling/swimming behavior and the coarse reef-associated tag leave the model's demersal versus small-benthopelagic boundary interpreted rather than fully verified. Checked species record: 22.5 cm TL; Marine; brackish;  reef-associated;. No split is required.</x:v>
      </x:c>
      <x:c r="H148" s="1"/>
      <x:c r="I148" s="1"/>
      <x:c r="J148" s="1"/>
      <x:c r="K148" s="1"/>
    </x:row>
    <x:row r="149" ht="72" customHeight="1" hidden="1">
      <x:c r="A149" s="2" t="str">
        <x:v>Istiophorus</x:v>
      </x:c>
      <x:c r="B149" s="4" t="n">
        <x:v>4.5</x:v>
      </x:c>
      <x:c r="C149" s="5" t="n">
        <x:v>390.6314996311</x:v>
      </x:c>
      <x:c r="D149" s="5" t="n">
        <x:v>137253.91829349997</x:v>
      </x:c>
      <x:c r="E149" s="2" t="str">
        <x:v>Juvenile large pelagic fish (89.993906%); Pelagic fish (&gt; 30 cm) (10.006094%)</x:v>
      </x:c>
      <x:c r="F149" s="2" t="str">
        <x:v>Medium</x:v>
      </x:c>
      <x:c r="G149" s="2" t="str">
        <x:v>Sailfishes are large epipelagic fishes, including coastal approaches documented by FAO. Both the historical and current genus concepts support the source large-pelagic pair; exact stage fractions remain assumed. Model catch proportions provide the split; allocation confidence remains Medium.</x:v>
      </x:c>
      <x:c r="H149" s="1"/>
      <x:c r="I149" s="1"/>
      <x:c r="J149" s="1"/>
      <x:c r="K149" s="1"/>
    </x:row>
    <x:row r="150" ht="72" customHeight="1">
      <x:c r="A150" s="2" t="str">
        <x:v>Tetraodontidae</x:v>
      </x:c>
      <x:c r="B150" s="4" t="n">
        <x:v>3.5</x:v>
      </x:c>
      <x:c r="C150" s="5" t="n">
        <x:v>3884.3444347471</x:v>
      </x:c>
      <x:c r="D150" s="5" t="n">
        <x:v>136481.95144889032</x:v>
      </x:c>
      <x:c r="E150" s="2" t="str">
        <x:v>Juvenile demersal fish (&gt; 30 cm) (89.991470%); Adult demersal fish (&gt; 30 cm) (10.008530%)</x:v>
      </x:c>
      <x:c r="F150" s="2" t="str">
        <x:v>Low</x:v>
      </x:c>
      <x:c r="G150" s="2" t="str">
        <x:v>The family is not uniformly large demersal: Canthigaster rivulata reaches 18 cm TL and is reef/benthopelagic. Thus current 25 + 26 exclude a specific small species and a plausible alternate habitat, rather than merely suffering unspecified age uncertainty. Model catch proportions provide the split; allocation confidence remains Medium.</x:v>
      </x:c>
      <x:c r="H150" s="1"/>
      <x:c r="I150" s="1"/>
      <x:c r="J150" s="1"/>
      <x:c r="K150" s="1"/>
    </x:row>
    <x:row r="151" ht="72" customHeight="1">
      <x:c r="A151" s="2" t="str">
        <x:v>Mugilidae</x:v>
      </x:c>
      <x:c r="B151" s="4" t="n">
        <x:v>2.53</x:v>
      </x:c>
      <x:c r="C151" s="5" t="n">
        <x:v>31991.8590488781</x:v>
      </x:c>
      <x:c r="D151" s="5" t="n">
        <x:v>120447.27203046008</x:v>
      </x:c>
      <x:c r="E151" s="2" t="str">
        <x:v>Juvenile demersal fish (&gt; 30 cm) (89.991470%); Adult demersal fish (&gt; 30 cm) (10.008530%)</x:v>
      </x:c>
      <x:c r="F151" s="2" t="str">
        <x:v>Low</x:v>
      </x:c>
      <x:c r="G151" s="2" t="str">
        <x:v>Regional mullets include explicitly benthopelagic Mugil cephalus and pelagic-neritic Planiliza haematocheilus. Both are large, but neither family membership nor detrital/benthic feeding establishes the current exclusive demersal pair. Model catch proportions provide the split; allocation confidence remains Medium.</x:v>
      </x:c>
      <x:c r="H151" s="1"/>
      <x:c r="I151" s="1"/>
      <x:c r="J151" s="1"/>
      <x:c r="K151" s="1"/>
    </x:row>
    <x:row r="152" ht="57" customHeight="1">
      <x:c r="A152" s="2" t="str">
        <x:v>Platycephalidae</x:v>
      </x:c>
      <x:c r="B152" s="4" t="n">
        <x:v>3.9</x:v>
      </x:c>
      <x:c r="C152" s="5" t="n">
        <x:v>1334.1400818569</x:v>
      </x:c>
      <x:c r="D152" s="5" t="n">
        <x:v>117749.45956625551</x:v>
      </x:c>
      <x:c r="E152" s="2" t="str">
        <x:v>Juvenile demersal fish (&gt; 30 cm) (89.991470%); Adult demersal fish (&gt; 30 cm) (10.008530%)</x:v>
      </x:c>
      <x:c r="F152" s="2" t="str">
        <x:v>Low</x:v>
      </x:c>
      <x:c r="G152" s="2" t="str">
        <x:v>The flathead family crosses the species-maximum boundary: Sorsogona tuberculata reaches 14.5 cm TL, while P. indicus reaches 100 cm TL. Current 25 + 26 omit 24 for documented small demersal species. Model catch proportions provide the split; allocation confidence remains Medium.</x:v>
      </x:c>
      <x:c r="H152" s="1"/>
      <x:c r="I152" s="1"/>
      <x:c r="J152" s="1"/>
      <x:c r="K152" s="1"/>
    </x:row>
    <x:row r="153" ht="72" customHeight="1" hidden="1">
      <x:c r="A153" s="2" t="str">
        <x:v>Paralichthyidae</x:v>
      </x:c>
      <x:c r="B153" s="4" t="n">
        <x:v>4.06</x:v>
      </x:c>
      <x:c r="C153" s="5" t="n">
        <x:v>842.1088518698</x:v>
      </x:c>
      <x:c r="D153" s="5" t="n">
        <x:v>107430.03644098801</x:v>
      </x:c>
      <x:c r="E153" s="2" t="str">
        <x:v>Demesral fish (≤ 30 cm) (33.704053%); Juvenile demersal fish (&gt; 30 cm) (59.660697%); Adult demersal fish (&gt; 30 cm) (6.635250%)</x:v>
      </x:c>
      <x:c r="F153" s="2" t="str">
        <x:v>Medium</x:v>
      </x:c>
      <x:c r="G153" s="2" t="str">
        <x:v>This flatfish family has small demersal Pseudorhombus pentophthalmus (26.8 cm TL) and large Paralichthys olivaceus (103 cm TL). The current set 24 + 25 + 26 already spans those species classes and the large-species stages; unknown composition belongs to allocation confidence. Model catch proportions provide the split; allocation confidence remains Medium.</x:v>
      </x:c>
      <x:c r="H153" s="1"/>
      <x:c r="I153" s="1"/>
      <x:c r="J153" s="1"/>
      <x:c r="K153" s="1"/>
    </x:row>
    <x:row r="154" ht="102" customHeight="1" hidden="1">
      <x:c r="A154" s="2" t="str">
        <x:v>Trachurus japonicus</x:v>
      </x:c>
      <x:c r="B154" s="4" t="n">
        <x:v>3.4</x:v>
      </x:c>
      <x:c r="C154" s="5" t="n">
        <x:v>3715.657176667</x:v>
      </x:c>
      <x:c r="D154" s="5" t="n">
        <x:v>103703.43162456702</x:v>
      </x:c>
      <x:c r="E154" s="2" t="str">
        <x:v>Juvenile large pelagic fish (89.993906%); Pelagic fish (&gt; 30 cm) (10.006094%)</x:v>
      </x:c>
      <x:c r="F154" s="2" t="str">
        <x:v>Medium</x:v>
      </x:c>
      <x:c r="G154"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50 cm TL; Marine;  pelagic-neritic; oceanodromous. Model catch proportions provide the split; allocation confidence remains Medium.</x:v>
      </x:c>
      <x:c r="H154" s="1"/>
      <x:c r="I154" s="1"/>
      <x:c r="J154" s="1"/>
      <x:c r="K154" s="1"/>
    </x:row>
    <x:row r="155" ht="42" customHeight="1" hidden="1">
      <x:c r="A155" s="2" t="str">
        <x:v>Penaeus indicus</x:v>
      </x:c>
      <x:c r="B155" s="4" t="n">
        <x:v>2.7</x:v>
      </x:c>
      <x:c r="C155" s="5" t="n">
        <x:v>18298.3721318051</x:v>
      </x:c>
      <x:c r="D155" s="5" t="n">
        <x:v>101899.00565135306</x:v>
      </x:c>
      <x:c r="E155" s="2" t="str">
        <x:v>Shrimps (100.000000%)</x:v>
      </x:c>
      <x:c r="F155" s="2" t="str">
        <x:v>High</x:v>
      </x:c>
      <x:c r="G155" s="2" t="str">
        <x:v>Penaeus indicus is a non-Acetes shrimp lineage. Shrimps is broader than the Metapenaeopsis mortality examples; the explicit Acetes/Zooplankton exception is excluded. No split is required.</x:v>
      </x:c>
      <x:c r="H155" s="1"/>
      <x:c r="I155" s="1"/>
      <x:c r="J155" s="1"/>
      <x:c r="K155" s="1"/>
    </x:row>
    <x:row r="156" ht="57" customHeight="1" hidden="1">
      <x:c r="A156" s="2" t="str">
        <x:v>Alopias</x:v>
      </x:c>
      <x:c r="B156" s="4" t="n">
        <x:v>4.5</x:v>
      </x:c>
      <x:c r="C156" s="5" t="n">
        <x:v>278.9576847729001</x:v>
      </x:c>
      <x:c r="D156" s="5" t="n">
        <x:v>98015.73940995942</x:v>
      </x:c>
      <x:c r="E156" s="2" t="str">
        <x:v>Pelagic sharks and rays (100.000000%)</x:v>
      </x:c>
      <x:c r="F156" s="2" t="str">
        <x:v>Medium</x:v>
      </x:c>
      <x:c r="G156" s="2" t="str">
        <x:v>All three inventory species are predominantly pelagic, supporting the current shark pool. A. superciliosus also uses near-bottom water; the source does not define an operational mixed-habitat boundary, so whole-genus exclusivity is not promoted to High. No split is required.</x:v>
      </x:c>
      <x:c r="H156" s="1"/>
      <x:c r="I156" s="1"/>
      <x:c r="J156" s="1"/>
      <x:c r="K156" s="1"/>
    </x:row>
    <x:row r="157" ht="72" customHeight="1" hidden="1">
      <x:c r="A157" s="2" t="str">
        <x:v>Pagrus major</x:v>
      </x:c>
      <x:c r="B157" s="4" t="n">
        <x:v>3.7</x:v>
      </x:c>
      <x:c r="C157" s="5" t="n">
        <x:v>1739.450954688</x:v>
      </x:c>
      <x:c r="D157" s="5" t="n">
        <x:v>96865.62355671075</x:v>
      </x:c>
      <x:c r="E157" s="2" t="str">
        <x:v>Juvenile demersal fish (&gt; 30 cm) (89.991470%); Adult demersal fish (&gt; 30 cm) (10.008530%)</x:v>
      </x:c>
      <x:c r="F157" s="2" t="str">
        <x:v>Medium</x:v>
      </x:c>
      <x:c r="G157" s="2" t="str">
        <x:v>This verified demersal sparid reaches 100 cm SL, necessarily above 30 cm TL, and occurs in the northern South China Sea region. It satisfies the explicit residual large-demersal criteria; common 30 cm fish and the name bream do not place it in group 24 or dedicated Nemipteridae. Model catch proportions provide the split; allocation confidence remains Medium.</x:v>
      </x:c>
      <x:c r="H157" s="1"/>
      <x:c r="I157" s="1"/>
      <x:c r="J157" s="1"/>
      <x:c r="K157" s="1"/>
    </x:row>
    <x:row r="158" ht="87" customHeight="1">
      <x:c r="A158" s="2" t="str">
        <x:v>Seriola dumerili</x:v>
      </x:c>
      <x:c r="B158" s="4" t="n">
        <x:v>4.5</x:v>
      </x:c>
      <x:c r="C158" s="5" t="n">
        <x:v>273.3489238528</x:v>
      </x:c>
      <x:c r="D158" s="5" t="n">
        <x:v>96045.02170341964</x:v>
      </x:c>
      <x:c r="E158" s="2" t="str">
        <x:v>Juvenile large pelagic fish (89.993906%); Pelagic fish (&gt; 30 cm) (10.006094%)</x:v>
      </x:c>
      <x:c r="F158" s="2" t="str">
        <x:v>Low</x:v>
      </x:c>
      <x:c r="G158" s="2" t="str">
        <x:v>Adults use deep seaward reefs; the floating-vegetation association concerns juveniles. Maximum size &gt;30 cm is secure, but species adult ecology emphasizes reef, shelf, near-bottom or bottom-feeding use. It does not close the retained pelagic-only boundary against the model's benthopelagic/demersal alternatives. Checked species record: 190 cm TL; Marine;  reef-associated; oceanodromous. Model catch proportions provide the split; allocation confidence remains Medium.</x:v>
      </x:c>
      <x:c r="H158" s="1"/>
      <x:c r="I158" s="1"/>
      <x:c r="J158" s="1"/>
      <x:c r="K158" s="1"/>
    </x:row>
    <x:row r="159" ht="72" customHeight="1" hidden="1">
      <x:c r="A159" s="2" t="str">
        <x:v>Sardinella lemuru</x:v>
      </x:c>
      <x:c r="B159" s="4" t="n">
        <x:v>2.48</x:v>
      </x:c>
      <x:c r="C159" s="5" t="n">
        <x:v>27343.2381120938</x:v>
      </x:c>
      <x:c r="D159" s="5" t="n">
        <x:v>91750.28775331071</x:v>
      </x:c>
      <x:c r="E159" s="2" t="str">
        <x:v>Pelagic fish (≤ 30 cm) (100.000000%)</x:v>
      </x:c>
      <x:c r="F159" s="2" t="str">
        <x:v>Medium</x:v>
      </x:c>
      <x:c r="G159" s="2" t="str">
        <x:v>Coastal-pelagic ecology and small size support the current pool. Retrieved maximum length is SL, not TL; no independent total-length bound/conversion was recovered, so the model TL criterion remains a supported inference. Checked species record: 23 cm SL; Marine;  pelagic-neritic; oceanodromous. No split is required.</x:v>
      </x:c>
      <x:c r="H159" s="1"/>
      <x:c r="I159" s="1"/>
      <x:c r="J159" s="1"/>
      <x:c r="K159" s="1"/>
    </x:row>
    <x:row r="160" ht="72" customHeight="1" hidden="1">
      <x:c r="A160" s="2" t="str">
        <x:v>Cypselurus poecilopterus</x:v>
      </x:c>
      <x:c r="B160" s="4" t="n">
        <x:v>3.4</x:v>
      </x:c>
      <x:c r="C160" s="5" t="n">
        <x:v>3133.6198220805</x:v>
      </x:c>
      <x:c r="D160" s="5" t="n">
        <x:v>87458.85680659412</x:v>
      </x:c>
      <x:c r="E160" s="2" t="str">
        <x:v>Pelagic fish (≤ 30 cm) (100.000000%)</x:v>
      </x:c>
      <x:c r="F160" s="2" t="str">
        <x:v>High</x:v>
      </x:c>
      <x:c r="G160" s="2" t="str">
        <x:v>Species evidence establishes pelagic habitat and maximum TL &lt;=30 cm. The source defines the small-pelagic pool by these criteria; its named examples are not a closed species list. No dedicated group competes. Checked species record: 27 cm TL; Marine;  pelagic-neritic; oceanodromous. No split is required.</x:v>
      </x:c>
      <x:c r="H160" s="1"/>
      <x:c r="I160" s="1"/>
      <x:c r="J160" s="1"/>
      <x:c r="K160" s="1"/>
    </x:row>
    <x:row r="161" ht="42" customHeight="1" hidden="1">
      <x:c r="A161" s="2" t="str">
        <x:v>Penaeus chinensis</x:v>
      </x:c>
      <x:c r="B161" s="4" t="n">
        <x:v>2</x:v>
      </x:c>
      <x:c r="C161" s="5" t="n">
        <x:v>72951.8277109042</x:v>
      </x:c>
      <x:c r="D161" s="5" t="n">
        <x:v>81057.5863454491</x:v>
      </x:c>
      <x:c r="E161" s="2" t="str">
        <x:v>Shrimps (100.000000%)</x:v>
      </x:c>
      <x:c r="F161" s="2" t="str">
        <x:v>High</x:v>
      </x:c>
      <x:c r="G161" s="2" t="str">
        <x:v>Penaeus chinensis is a non-Acetes shrimp lineage. Shrimps is broader than the Metapenaeopsis mortality examples; the explicit Acetes/Zooplankton exception is excluded. No split is required.</x:v>
      </x:c>
      <x:c r="H161" s="1"/>
      <x:c r="I161" s="1"/>
      <x:c r="J161" s="1"/>
      <x:c r="K161" s="1"/>
    </x:row>
    <x:row r="162" ht="42" customHeight="1" hidden="1">
      <x:c r="A162" s="2" t="str">
        <x:v>Charybdis</x:v>
      </x:c>
      <x:c r="B162" s="4" t="n">
        <x:v>2.7</x:v>
      </x:c>
      <x:c r="C162" s="5" t="n">
        <x:v>14303.6239646456</x:v>
      </x:c>
      <x:c r="D162" s="5" t="n">
        <x:v>79653.26361872764</x:v>
      </x:c>
      <x:c r="E162" s="2" t="str">
        <x:v>Crabs (100.000000%)</x:v>
      </x:c>
      <x:c r="F162" s="2" t="str">
        <x:v>High</x:v>
      </x:c>
      <x:c r="G162" s="2" t="str">
        <x:v>Charybdis is a true-crab lineage within Crabs. The residual benthic-crustacean group expressly excludes crabs, so is not a competing placement. No split is required.</x:v>
      </x:c>
      <x:c r="H162" s="1"/>
      <x:c r="I162" s="1"/>
      <x:c r="J162" s="1"/>
      <x:c r="K162" s="1"/>
    </x:row>
    <x:row r="163" ht="72" customHeight="1">
      <x:c r="A163" s="2" t="str">
        <x:v>Terapon</x:v>
      </x:c>
      <x:c r="B163" s="4" t="n">
        <x:v>3.5</x:v>
      </x:c>
      <x:c r="C163" s="5" t="n">
        <x:v>2157.2200381911</x:v>
      </x:c>
      <x:c r="D163" s="5" t="n">
        <x:v>75796.98594265882</x:v>
      </x:c>
      <x:c r="E163" s="2" t="str">
        <x:v>Juvenile demersal fish (&gt; 30 cm) (89.991470%); Adult demersal fish (&gt; 30 cm) (10.008530%)</x:v>
      </x:c>
      <x:c r="F163" s="2" t="str">
        <x:v>Low</x:v>
      </x:c>
      <x:c r="G163" s="2" t="str">
        <x:v>T. puta has maximum 30 cm TL, whereas T. jarbua reaches 36 cm TL and T. theraps 30 cm SL. The current pair omits 24 for a congener on the source's inclusive ≤ 30 boundary; the threshold is species maximum rather than the size of landed individuals. Model catch proportions provide the split; allocation confidence remains Medium.</x:v>
      </x:c>
      <x:c r="H163" s="1"/>
      <x:c r="I163" s="1"/>
      <x:c r="J163" s="1"/>
      <x:c r="K163" s="1"/>
    </x:row>
    <x:row r="164" ht="72" customHeight="1" hidden="1">
      <x:c r="A164" s="2" t="str">
        <x:v>Pleuronectiformes</x:v>
      </x:c>
      <x:c r="B164" s="4" t="n">
        <x:v>3.57</x:v>
      </x:c>
      <x:c r="C164" s="5" t="n">
        <x:v>1789.8470157394</x:v>
      </x:c>
      <x:c r="D164" s="5" t="n">
        <x:v>73887.9134490698</x:v>
      </x:c>
      <x:c r="E164" s="2" t="str">
        <x:v>Demesral fish (≤ 30 cm) (33.704053%); Juvenile demersal fish (&gt; 30 cm) (59.660697%); Adult demersal fish (&gt; 30 cm) (6.635250%)</x:v>
      </x:c>
      <x:c r="F164" s="2" t="str">
        <x:v>Medium</x:v>
      </x:c>
      <x:c r="G164" s="2" t="str">
        <x:v>Regional flatfishes occupy bottom-associated guilds and include both small species and large species. Current 24 + 25 + 26 already covers the size classes documented by Pseudorhombus, Paralichthys and Psettodes, with no dedicated flatfish group competing. Model catch proportions provide the split; allocation confidence remains Medium.</x:v>
      </x:c>
      <x:c r="H164" s="1"/>
      <x:c r="I164" s="1"/>
      <x:c r="J164" s="1"/>
      <x:c r="K164" s="1"/>
    </x:row>
    <x:row r="165" ht="57" customHeight="1" hidden="1">
      <x:c r="A165" s="2" t="str">
        <x:v>Gastropoda</x:v>
      </x:c>
      <x:c r="B165" s="4" t="n">
        <x:v>3.06</x:v>
      </x:c>
      <x:c r="C165" s="5" t="n">
        <x:v>5741.678235690199</x:v>
      </x:c>
      <x:c r="D165" s="5" t="n">
        <x:v>73248.0962197504</x:v>
      </x:c>
      <x:c r="E165" s="2" t="str">
        <x:v>Non-ceph molluscs (100.000000%)</x:v>
      </x:c>
      <x:c r="F165" s="2" t="str">
        <x:v>High</x:v>
      </x:c>
      <x:c r="G165" s="2" t="str">
        <x:v>Gastropoda is a non-cephalopod mollusc. The source derives this catch by removing Cephalopoda from mollusc catch; no competing mollusc compartment contains this lineage. No split is required.</x:v>
      </x:c>
      <x:c r="H165" s="1"/>
      <x:c r="I165" s="1"/>
      <x:c r="J165" s="1"/>
      <x:c r="K165" s="1"/>
    </x:row>
    <x:row r="166" ht="87" customHeight="1" hidden="1">
      <x:c r="A166" s="2" t="str">
        <x:v>Platycephalus indicus</x:v>
      </x:c>
      <x:c r="B166" s="4" t="n">
        <x:v>3.6</x:v>
      </x:c>
      <x:c r="C166" s="5" t="n">
        <x:v>1591.2238953889</x:v>
      </x:c>
      <x:c r="D166" s="5" t="n">
        <x:v>70386.4047455988</x:v>
      </x:c>
      <x:c r="E166" s="2" t="str">
        <x:v>Juvenile demersal fish (&gt; 30 cm) (89.991470%); Adult demersal fish (&gt; 30 cm) (10.008530%)</x:v>
      </x:c>
      <x:c r="F166" s="2" t="str">
        <x:v>Medium</x:v>
      </x:c>
      <x:c r="G166" s="2" t="str">
        <x:v>Maximum 100 cm TL and documented sandy/muddy bottom and estuarine habitat support 25 + 26. The general 'reef-associated' field does not contradict the more specific bottom-associated biology. Medium reflects interpreting substrate-associated reef/inshore biology as included in the source residual demersal boundary, which does not explicitly discuss reef fishes. Model catch proportions provide the split; allocation confidence remains Medium.</x:v>
      </x:c>
      <x:c r="H166" s="1"/>
      <x:c r="I166" s="1"/>
      <x:c r="J166" s="1"/>
      <x:c r="K166" s="1"/>
    </x:row>
    <x:row r="167" ht="72" customHeight="1" hidden="1">
      <x:c r="A167" s="2" t="str">
        <x:v>Chelidonichthys kumu</x:v>
      </x:c>
      <x:c r="B167" s="4" t="n">
        <x:v>3.68</x:v>
      </x:c>
      <x:c r="C167" s="5" t="n">
        <x:v>1287.8886083428</x:v>
      </x:c>
      <x:c r="D167" s="5" t="n">
        <x:v>68491.36039026541</x:v>
      </x:c>
      <x:c r="E167" s="2" t="str">
        <x:v>Juvenile demersal fish (&gt; 30 cm) (89.991470%); Adult demersal fish (&gt; 30 cm) (10.008530%)</x:v>
      </x:c>
      <x:c r="F167" s="2" t="str">
        <x:v>Medium</x:v>
      </x:c>
      <x:c r="G167" s="2" t="str">
        <x:v>This documented demersal triglid reaches 60 cm TL and occupies sand/shell shelf substrates with regional occurrence. It meets the explicit residual large-demersal criteria, has no dedicated competing pool, and remains eligible for the combined 25 + 26 set despite unknown caught ages. Model catch proportions provide the split; allocation confidence remains Medium.</x:v>
      </x:c>
      <x:c r="H167" s="1"/>
      <x:c r="I167" s="1"/>
      <x:c r="J167" s="1"/>
      <x:c r="K167" s="1"/>
    </x:row>
    <x:row r="168" ht="72" customHeight="1" hidden="1">
      <x:c r="A168" s="2" t="str">
        <x:v>Sardinella fimbriata</x:v>
      </x:c>
      <x:c r="B168" s="4" t="n">
        <x:v>2.7</x:v>
      </x:c>
      <x:c r="C168" s="5" t="n">
        <x:v>12229.5418116872</x:v>
      </x:c>
      <x:c r="D168" s="5" t="n">
        <x:v>68103.22476809523</x:v>
      </x:c>
      <x:c r="E168" s="2" t="str">
        <x:v>Pelagic fish (≤ 30 cm) (100.000000%)</x:v>
      </x:c>
      <x:c r="F168" s="2" t="str">
        <x:v>High</x:v>
      </x:c>
      <x:c r="G168" s="2" t="str">
        <x:v>Species evidence establishes pelagic habitat and maximum TL &lt;=30 cm. The source defines the small-pelagic pool by these criteria; its named examples are not a closed species list. No dedicated group competes. Checked species record: 19 cm TL; Marine; brackish;  pelagic-neritic;. No split is required.</x:v>
      </x:c>
      <x:c r="H168" s="1"/>
      <x:c r="I168" s="1"/>
      <x:c r="J168" s="1"/>
      <x:c r="K168" s="1"/>
    </x:row>
    <x:row r="169" ht="42" customHeight="1" hidden="1">
      <x:c r="A169" s="2" t="str">
        <x:v>Psenopsis anomala</x:v>
      </x:c>
      <x:c r="B169" s="4" t="n">
        <x:v>4</x:v>
      </x:c>
      <x:c r="C169" s="5" t="n">
        <x:v>590.617659255</x:v>
      </x:c>
      <x:c r="D169" s="5" t="n">
        <x:v>65624.18436166667</x:v>
      </x:c>
      <x:c r="E169" s="2" t="str">
        <x:v>Melon seed (100.000000%)</x:v>
      </x:c>
      <x:c r="F169" s="2" t="str">
        <x:v>High</x:v>
      </x:c>
      <x:c r="G169" s="2" t="str">
        <x:v>The source defines Melon seed as Psenopsis anomala. This dedicated identity overrides generic benthopelagic placement and the unrelated Stromateidae pomfret group. No split is required.</x:v>
      </x:c>
      <x:c r="H169" s="1"/>
      <x:c r="I169" s="1"/>
      <x:c r="J169" s="1"/>
      <x:c r="K169" s="1"/>
    </x:row>
    <x:row r="170" ht="72" customHeight="1">
      <x:c r="A170" s="2" t="str">
        <x:v>Plotosus</x:v>
      </x:c>
      <x:c r="B170" s="4" t="n">
        <x:v>3.49</x:v>
      </x:c>
      <x:c r="C170" s="5" t="n">
        <x:v>1797.802914928</x:v>
      </x:c>
      <x:c r="D170" s="5" t="n">
        <x:v>61730.468184018006</x:v>
      </x:c>
      <x:c r="E170" s="2" t="str">
        <x:v>Juvenile demersal fish (&gt; 30 cm) (89.991470%); Adult demersal fish (&gt; 30 cm) (10.008530%)</x:v>
      </x:c>
      <x:c r="F170" s="2" t="str">
        <x:v>Low</x:v>
      </x:c>
      <x:c r="G170" s="2" t="str">
        <x:v>The genus includes Western Pacific P. nhatrangensis at 24.3 cm TL and larger P. lineatus 35.2 cm TL/P. canius 111.1 cm TL. Thus the current large-species pair is not an established complete genus set;24 is a genuine small-species candidate. Model catch proportions provide the split; allocation confidence remains Medium.</x:v>
      </x:c>
      <x:c r="H170" s="1"/>
      <x:c r="I170" s="1"/>
      <x:c r="J170" s="1"/>
      <x:c r="K170" s="1"/>
    </x:row>
    <x:row r="171" ht="87" customHeight="1" hidden="1">
      <x:c r="A171" s="2" t="str">
        <x:v>Scomber australasicus</x:v>
      </x:c>
      <x:c r="B171" s="4" t="n">
        <x:v>4.23</x:v>
      </x:c>
      <x:c r="C171" s="5" t="n">
        <x:v>312.8055447323</x:v>
      </x:c>
      <x:c r="D171" s="5" t="n">
        <x:v>59024.44786627413</x:v>
      </x:c>
      <x:c r="E171" s="2" t="str">
        <x:v>Juvenile large pelagic fish (89.993906%); Pelagic fish (&gt; 30 cm) (10.006094%)</x:v>
      </x:c>
      <x:c r="F171" s="2" t="str">
        <x:v>Medium</x:v>
      </x:c>
      <x:c r="G171" s="2" t="str">
        <x:v>Pelagic-neritic ecology, maximum size &gt;30 cm and the source scombrid example support the current pair. Near-bottom behavior makes the model's competing benthopelagic boundary an interpretation rather than an unequivocal fit. Checked species record: 50.2 cm SL; Marine;  pelagic-neritic; oceanodromous. Model catch proportions provide the split; allocation confidence remains Medium.</x:v>
      </x:c>
      <x:c r="H171" s="1"/>
      <x:c r="I171" s="1"/>
      <x:c r="J171" s="1"/>
      <x:c r="K171" s="1"/>
    </x:row>
    <x:row r="172" ht="72" customHeight="1" hidden="1">
      <x:c r="A172" s="2" t="str">
        <x:v>Clupeiformes</x:v>
      </x:c>
      <x:c r="B172" s="4" t="n">
        <x:v>3.24</x:v>
      </x:c>
      <x:c r="C172" s="5" t="n">
        <x:v>2906.7631727445</x:v>
      </x:c>
      <x:c r="D172" s="5" t="n">
        <x:v>56126.393895261754</x:v>
      </x:c>
      <x:c r="E172" s="2" t="str">
        <x:v>Pelagic fish (≤ 30 cm) (74.079924%); Juvenile large pelagic fish (23.326489%); Pelagic fish (&gt; 30 cm) (2.593587%)</x:v>
      </x:c>
      <x:c r="F172" s="2" t="str">
        <x:v>Medium</x:v>
      </x:c>
      <x:c r="G172" s="2" t="str">
        <x:v>The set covers both pelagic size classes and large-fish stanzas. This is a defensible interpretation of the catch pelagic category, not verified species composition or proof of exclusively pelagic ecology for every historical member. Model catch proportions provide the split; allocation confidence remains Medium.</x:v>
      </x:c>
      <x:c r="H172" s="1"/>
      <x:c r="I172" s="1"/>
      <x:c r="J172" s="1"/>
      <x:c r="K172" s="1"/>
    </x:row>
    <x:row r="173" ht="72" customHeight="1" hidden="1">
      <x:c r="A173" s="2" t="str">
        <x:v>Mollusca</x:v>
      </x:c>
      <x:c r="B173" s="4" t="n">
        <x:v>2.1</x:v>
      </x:c>
      <x:c r="C173" s="5" t="n">
        <x:v>39692.3948368138</x:v>
      </x:c>
      <x:c r="D173" s="5" t="n">
        <x:v>55521.96057225831</x:v>
      </x:c>
      <x:c r="E173" s="2" t="str">
        <x:v>Non-ceph molluscs (73.609502%); Cephalopods (26.390498%)</x:v>
      </x:c>
      <x:c r="F173" s="2" t="str">
        <x:v>Medium</x:v>
      </x:c>
      <x:c r="G173" s="2" t="str">
        <x:v>The source explicitly separates cephalopods from non-cephalopod molluscs and uses their catch difference. Both are included in the current union, so taxonomic membership is exhaustive; weights remain assumed. Model catch proportions provide the split; allocation confidence remains Medium.</x:v>
      </x:c>
      <x:c r="H173" s="1"/>
      <x:c r="I173" s="1"/>
      <x:c r="J173" s="1"/>
      <x:c r="K173" s="1"/>
    </x:row>
    <x:row r="174" ht="72" customHeight="1" hidden="1">
      <x:c r="A174" s="2" t="str">
        <x:v>Lactarius lactarius</x:v>
      </x:c>
      <x:c r="B174" s="4" t="n">
        <x:v>3.97</x:v>
      </x:c>
      <x:c r="C174" s="5" t="n">
        <x:v>528.9480463310999</x:v>
      </x:c>
      <x:c r="D174" s="5" t="n">
        <x:v>54849.2265707406</x:v>
      </x:c>
      <x:c r="E174" s="2" t="str">
        <x:v>Juvenile large pelagic fish (89.993906%); Pelagic fish (&gt; 30 cm) (10.006094%)</x:v>
      </x:c>
      <x:c r="F174" s="2" t="str">
        <x:v>Medium</x:v>
      </x:c>
      <x:c r="G174" s="2" t="str">
        <x:v>Maximum TL 40 cm and pelagic-neritic classification support the pair. Feeding on sand-dwelling animals also supports a possible benthopelagic interpretation; no explicit model species assignment settles this boundary. Checked species record: 40 cm TL; Marine; brackish;  pelagic-neritic;. Model catch proportions provide the split; allocation confidence remains Medium.</x:v>
      </x:c>
      <x:c r="H174" s="1"/>
      <x:c r="I174" s="1"/>
      <x:c r="J174" s="1"/>
      <x:c r="K174" s="1"/>
    </x:row>
    <x:row r="175" ht="42" customHeight="1" hidden="1">
      <x:c r="A175" s="2" t="str">
        <x:v>Metapenaeus</x:v>
      </x:c>
      <x:c r="B175" s="4" t="n">
        <x:v>2.7</x:v>
      </x:c>
      <x:c r="C175" s="5" t="n">
        <x:v>9786.3348803903</x:v>
      </x:c>
      <x:c r="D175" s="5" t="n">
        <x:v>54497.62340058778</x:v>
      </x:c>
      <x:c r="E175" s="2" t="str">
        <x:v>Shrimps (100.000000%)</x:v>
      </x:c>
      <x:c r="F175" s="2" t="str">
        <x:v>High</x:v>
      </x:c>
      <x:c r="G175" s="2" t="str">
        <x:v>Metapenaeus is a non-Acetes shrimp lineage. Shrimps is broader than the Metapenaeopsis mortality examples; the explicit Acetes/Zooplankton exception is excluded. No split is required.</x:v>
      </x:c>
      <x:c r="H175" s="1"/>
      <x:c r="I175" s="1"/>
      <x:c r="J175" s="1"/>
      <x:c r="K175" s="1"/>
    </x:row>
    <x:row r="176" ht="72" customHeight="1">
      <x:c r="A176" s="2" t="str">
        <x:v>Haemulidae</x:v>
      </x:c>
      <x:c r="B176" s="4" t="n">
        <x:v>3.36</x:v>
      </x:c>
      <x:c r="C176" s="5" t="n">
        <x:v>1986.3217087851</x:v>
      </x:c>
      <x:c r="D176" s="5" t="n">
        <x:v>50560.00167384658</x:v>
      </x:c>
      <x:c r="E176" s="2" t="str">
        <x:v>Juvenile demersal fish (&gt; 30 cm) (89.991470%); Adult demersal fish (&gt; 30 cm) (10.008530%)</x:v>
      </x:c>
      <x:c r="F176" s="2" t="str">
        <x:v>Low</x:v>
      </x:c>
      <x:c r="G176" s="2" t="str">
        <x:v>The family contains large demersal Pomadasys argenteus but also the East Asian shelf P. quadrilineatus with pelagic-neritic ecology. The current 25 + 26-only set therefore has a specific habitat-composition conflict, beyond unknown catch ages. Model catch proportions provide the split; allocation confidence remains Medium.</x:v>
      </x:c>
      <x:c r="H176" s="1"/>
      <x:c r="I176" s="1"/>
      <x:c r="J176" s="1"/>
      <x:c r="K176" s="1"/>
    </x:row>
    <x:row r="177" ht="57" customHeight="1" hidden="1">
      <x:c r="A177" s="2" t="str">
        <x:v>Mene maculata</x:v>
      </x:c>
      <x:c r="B177" s="4" t="n">
        <x:v>3.45</x:v>
      </x:c>
      <x:c r="C177" s="5" t="n">
        <x:v>1574.3400639038</x:v>
      </x:c>
      <x:c r="D177" s="5" t="n">
        <x:v>49301.0351568029</x:v>
      </x:c>
      <x:c r="E177" s="2" t="str">
        <x:v>Benthopelagic fish (100.000000%)</x:v>
      </x:c>
      <x:c r="F177" s="2" t="str">
        <x:v>Medium</x:v>
      </x:c>
      <x:c r="G177" s="2" t="str">
        <x:v>Maximum 30 cm TL and independently documented benthopelagic habitat support the appendix small component, whose PB/QB closely match final 27. This is a supported ecological assignment, with the unexplained final group consolidation still documented. No split is required.</x:v>
      </x:c>
      <x:c r="H177" s="1"/>
      <x:c r="I177" s="1"/>
      <x:c r="J177" s="1"/>
      <x:c r="K177" s="1"/>
    </x:row>
    <x:row r="178" ht="57" customHeight="1">
      <x:c r="A178" s="2" t="str">
        <x:v>Mugil cephalus</x:v>
      </x:c>
      <x:c r="B178" s="4" t="n">
        <x:v>2.14</x:v>
      </x:c>
      <x:c r="C178" s="5" t="n">
        <x:v>31324.35848421</x:v>
      </x:c>
      <x:c r="D178" s="5" t="n">
        <x:v>48044.057278203734</x:v>
      </x:c>
      <x:c r="E178" s="2" t="str">
        <x:v>Benthopelagic fish (100.000000%)</x:v>
      </x:c>
      <x:c r="F178" s="2" t="str">
        <x:v>Low</x:v>
      </x:c>
      <x:c r="G178" s="2" t="str">
        <x:v>The species is explicitly benthopelagic and far above 30 cm (100 cm SL), so its biology supports the appendix large-benthopelagic component. The unresolved issue is whether final 27 represents that component: its PB/QB instead track the small component. No split is required.</x:v>
      </x:c>
      <x:c r="H178" s="1"/>
      <x:c r="I178" s="1"/>
      <x:c r="J178" s="1"/>
      <x:c r="K178" s="1"/>
    </x:row>
    <x:row r="179" ht="147" customHeight="1" hidden="1">
      <x:c r="A179" s="2" t="str">
        <x:v>Miscellaneous aquatic invertebrates</x:v>
      </x:c>
      <x:c r="B179" s="4" t="n">
        <x:v>2.43</x:v>
      </x:c>
      <x:c r="C179" s="5" t="n">
        <x:v>15610.8865788672</x:v>
      </x:c>
      <x:c r="D179" s="5" t="n">
        <x:v>46685.82727464074</x:v>
      </x:c>
      <x:c r="E179" s="2" t="str">
        <x:v>Polychaetes (0.000000%); Echinoderms (0.107236%); Benthic crustaceans (1.996630%); Non-ceph molluscs (38.926620%); Sessile/other invertebrates (0.153194%); Shrimps (34.662718%); Crabs (10.197620%); Cephalopods (13.955982%)</x:v>
      </x:c>
      <x:c r="F179" s="2" t="str">
        <x:v>Very low</x:v>
      </x:c>
      <x:c r="G179" s="2" t="str">
        <x:v>Groups 5–12 form an explicit approximation to the saved demersal-invertebrate reporting class. The broader raw aquatic-invertebrate label does not verify that pelagic invertebrates are absent, so exclusion of jellyfish and caught zooplankton remains uncertain. Model catch proportions provide the split; allocation confidence remains Medium.</x:v>
      </x:c>
      <x:c r="H179" s="1"/>
      <x:c r="I179" s="1"/>
      <x:c r="J179" s="1"/>
      <x:c r="K179" s="1"/>
    </x:row>
    <x:row r="180" ht="72" customHeight="1" hidden="1">
      <x:c r="A180" s="2" t="str">
        <x:v>Bothidae</x:v>
      </x:c>
      <x:c r="B180" s="4" t="n">
        <x:v>3.77</x:v>
      </x:c>
      <x:c r="C180" s="5" t="n">
        <x:v>675.2924668251001</x:v>
      </x:c>
      <x:c r="D180" s="5" t="n">
        <x:v>44182.40939993164</x:v>
      </x:c>
      <x:c r="E180" s="2" t="str">
        <x:v>Demesral fish (≤ 30 cm) (33.704053%); Juvenile demersal fish (&gt; 30 cm) (59.660697%); Adult demersal fish (&gt; 30 cm) (6.635250%)</x:v>
      </x:c>
      <x:c r="F180" s="2" t="str">
        <x:v>Medium</x:v>
      </x:c>
      <x:c r="G180" s="2" t="str">
        <x:v>Small Arnoglossus polyspilus (24 cm TL) and large Bothus demonstrate size diversity among bottom-associated flatfishes. The existing 24 + 25 + 26 set already covers it, so unknown family composition does not independently require Low membership. Model catch proportions provide the split; allocation confidence remains Medium.</x:v>
      </x:c>
      <x:c r="H180" s="1"/>
      <x:c r="I180" s="1"/>
      <x:c r="J180" s="1"/>
      <x:c r="K180" s="1"/>
    </x:row>
    <x:row r="181" ht="57" customHeight="1" hidden="1">
      <x:c r="A181" s="2" t="str">
        <x:v>Nemipterus japonicus</x:v>
      </x:c>
      <x:c r="B181" s="4" t="n">
        <x:v>3.77</x:v>
      </x:c>
      <x:c r="C181" s="5" t="n">
        <x:v>671.649300205</x:v>
      </x:c>
      <x:c r="D181" s="5" t="n">
        <x:v>43944.04767219284</x:v>
      </x:c>
      <x:c r="E181" s="2" t="str">
        <x:v>Threadfin bream (nemipterids) (100.000000%)</x:v>
      </x:c>
      <x:c r="F181" s="2" t="str">
        <x:v>High</x:v>
      </x:c>
      <x:c r="G181" s="2" t="str">
        <x:v>Nemipterus japonicus is within Nemipteridae, expressly used as the source group boundary. Parameter species are examples, not a closed list; residual size/habitat pools do not compete. No split is required.</x:v>
      </x:c>
      <x:c r="H181" s="1"/>
      <x:c r="I181" s="1"/>
      <x:c r="J181" s="1"/>
      <x:c r="K181" s="1"/>
    </x:row>
    <x:row r="182" ht="87" customHeight="1" hidden="1">
      <x:c r="A182" s="2" t="str">
        <x:v>Rachycentron canadum</x:v>
      </x:c>
      <x:c r="B182" s="4" t="n">
        <x:v>3.96</x:v>
      </x:c>
      <x:c r="C182" s="5" t="n">
        <x:v>425.8810121688</x:v>
      </x:c>
      <x:c r="D182" s="5" t="n">
        <x:v>43156.45548597907</x:v>
      </x:c>
      <x:c r="E182" s="2" t="str">
        <x:v>Juvenile large pelagic fish (89.993906%); Pelagic fish (&gt; 30 cm) (10.006094%)</x:v>
      </x:c>
      <x:c r="F182" s="2" t="str">
        <x:v>Medium</x:v>
      </x:c>
      <x:c r="G182" s="2" t="str">
        <x:v>Maximum length securely exceeds 30 cm and pelagic fishery/ecological context supports the pair. Authoritative text also emphasizes reef/coastal or bottom-associated use; the source supplies no species assignment closing this boundary. Checked species record: 200 cm TL; Marine; brackish;  reef-associated; oceanodromous. Model catch proportions provide the split; allocation confidence remains Medium.</x:v>
      </x:c>
      <x:c r="H182" s="1"/>
      <x:c r="I182" s="1"/>
      <x:c r="J182" s="1"/>
      <x:c r="K182" s="1"/>
    </x:row>
    <x:row r="183" ht="72" customHeight="1" hidden="1">
      <x:c r="A183" s="2" t="str">
        <x:v>Rachycentridae</x:v>
      </x:c>
      <x:c r="B183" s="4" t="n">
        <x:v>3.96</x:v>
      </x:c>
      <x:c r="C183" s="5" t="n">
        <x:v>364.1001649574</x:v>
      </x:c>
      <x:c r="D183" s="5" t="n">
        <x:v>36895.92189471373</x:v>
      </x:c>
      <x:c r="E183" s="2" t="str">
        <x:v>Juvenile large pelagic fish (89.993906%); Pelagic fish (&gt; 30 cm) (10.006094%)</x:v>
      </x:c>
      <x:c r="F183" s="2" t="str">
        <x:v>Medium</x:v>
      </x:c>
      <x:c r="G183" s="2" t="str">
        <x:v>The family is monotypic for cobia, a mainly pelagic species reaching about 200 cm. The family label therefore supports the source large-pelagic pair; it does not inherently imply a diverse unresolved mixture. Model catch proportions provide the split; allocation confidence remains Medium.</x:v>
      </x:c>
      <x:c r="H183" s="1"/>
      <x:c r="I183" s="1"/>
      <x:c r="J183" s="1"/>
      <x:c r="K183" s="1"/>
    </x:row>
    <x:row r="184" ht="72" customHeight="1" hidden="1">
      <x:c r="A184" s="2" t="str">
        <x:v>Makaira mazara</x:v>
      </x:c>
      <x:c r="B184" s="4" t="n">
        <x:v>4.46</x:v>
      </x:c>
      <x:c r="C184" s="5" t="n">
        <x:v>106.1592009168</x:v>
      </x:c>
      <x:c r="D184" s="5" t="n">
        <x:v>34018.49775453312</x:v>
      </x:c>
      <x:c r="E184" s="2" t="str">
        <x:v>Juvenile large pelagic fish (89.993906%); Pelagic fish (&gt; 30 cm) (10.006094%)</x:v>
      </x:c>
      <x:c r="F184" s="2" t="str">
        <x:v>Medium</x:v>
      </x:c>
      <x:c r="G184" s="2" t="str">
        <x:v>Indo-Pacific blue marlin has verified size above 30 cm and epipelagic ecology, satisfying the explicit residual large-pelagic criteria. Whether M. mazara is separate from or included in M. nigricans does not alter eligibility in groups 30+31; retain the original catch name. Model catch proportions provide the split; allocation confidence remains Medium.</x:v>
      </x:c>
      <x:c r="H184" s="1"/>
      <x:c r="I184" s="1"/>
      <x:c r="J184" s="1"/>
      <x:c r="K184" s="1"/>
    </x:row>
    <x:row r="185" ht="72" customHeight="1">
      <x:c r="A185" s="2" t="str">
        <x:v>Scorpaenidae</x:v>
      </x:c>
      <x:c r="B185" s="4" t="n">
        <x:v>3.92</x:v>
      </x:c>
      <x:c r="C185" s="5" t="n">
        <x:v>347.2592603483</x:v>
      </x:c>
      <x:c r="D185" s="5" t="n">
        <x:v>32093.074659736245</x:v>
      </x:c>
      <x:c r="E185" s="2" t="str">
        <x:v>Juvenile demersal fish (&gt; 30 cm) (89.991470%); Adult demersal fish (&gt; 30 cm) (10.008530%)</x:v>
      </x:c>
      <x:c r="F185" s="2" t="str">
        <x:v>Low</x:v>
      </x:c>
      <x:c r="G185" s="2" t="str">
        <x:v>Scorpaenidae is not exclusively a &gt; 30 cm species family: regional Sebastapistes cyanostigma reaches 10 cm TL and occupies coral-associated bottom habitat. Current 25 + 26 omit the source's small-species pool 24. Model catch proportions provide the split; allocation confidence remains Medium.</x:v>
      </x:c>
      <x:c r="H185" s="1"/>
      <x:c r="I185" s="1"/>
      <x:c r="J185" s="1"/>
      <x:c r="K185" s="1"/>
    </x:row>
    <x:row r="186" ht="42" customHeight="1" hidden="1">
      <x:c r="A186" s="2" t="str">
        <x:v>Portunus</x:v>
      </x:c>
      <x:c r="B186" s="4" t="n">
        <x:v>3.26</x:v>
      </x:c>
      <x:c r="C186" s="5" t="n">
        <x:v>1523.2185319052</x:v>
      </x:c>
      <x:c r="D186" s="5" t="n">
        <x:v>30797.800781761445</x:v>
      </x:c>
      <x:c r="E186" s="2" t="str">
        <x:v>Crabs (100.000000%)</x:v>
      </x:c>
      <x:c r="F186" s="2" t="str">
        <x:v>High</x:v>
      </x:c>
      <x:c r="G186" s="2" t="str">
        <x:v>Portunus is a true-crab lineage within Crabs. The residual benthic-crustacean group expressly excludes crabs, so is not a competing placement. No split is required.</x:v>
      </x:c>
      <x:c r="H186" s="1"/>
      <x:c r="I186" s="1"/>
      <x:c r="J186" s="1"/>
      <x:c r="K186" s="1"/>
    </x:row>
    <x:row r="187" ht="57" customHeight="1">
      <x:c r="A187" s="2" t="str">
        <x:v>Gobiidae</x:v>
      </x:c>
      <x:c r="B187" s="4" t="n">
        <x:v>3.11</x:v>
      </x:c>
      <x:c r="C187" s="5" t="n">
        <x:v>2099.8582663312</x:v>
      </x:c>
      <x:c r="D187" s="5" t="n">
        <x:v>30057.127446892107</x:v>
      </x:c>
      <x:c r="E187" s="2" t="str">
        <x:v>Demesral fish (≤ 30 cm) (100.000000%)</x:v>
      </x:c>
      <x:c r="F187" s="2" t="str">
        <x:v>Low</x:v>
      </x:c>
      <x:c r="G187" s="2" t="str">
        <x:v>The family includes regional gobies above the source &lt;=30 cm TL threshold. The small-demersal classifier does not document a taxonomic/reporting exclusion of larger gobies; the current single size class has incomplete support. No split is required.</x:v>
      </x:c>
      <x:c r="H187" s="1"/>
      <x:c r="I187" s="1"/>
      <x:c r="J187" s="1"/>
      <x:c r="K187" s="1"/>
    </x:row>
    <x:row r="188" ht="42" customHeight="1" hidden="1">
      <x:c r="A188" s="2" t="str">
        <x:v>Penaeus</x:v>
      </x:c>
      <x:c r="B188" s="4" t="n">
        <x:v>2.7</x:v>
      </x:c>
      <x:c r="C188" s="5" t="n">
        <x:v>5318.7151246341</x:v>
      </x:c>
      <x:c r="D188" s="5" t="n">
        <x:v>29618.579108521095</x:v>
      </x:c>
      <x:c r="E188" s="2" t="str">
        <x:v>Shrimps (100.000000%)</x:v>
      </x:c>
      <x:c r="F188" s="2" t="str">
        <x:v>High</x:v>
      </x:c>
      <x:c r="G188" s="2" t="str">
        <x:v>Penaeus is a non-Acetes shrimp lineage. Shrimps is broader than the Metapenaeopsis mortality examples; the explicit Acetes/Zooplankton exception is excluded. No split is required.</x:v>
      </x:c>
      <x:c r="H188" s="1"/>
      <x:c r="I188" s="1"/>
      <x:c r="J188" s="1"/>
      <x:c r="K188" s="1"/>
    </x:row>
    <x:row r="189" ht="72" customHeight="1" hidden="1">
      <x:c r="A189" s="2" t="str">
        <x:v>Cynoglossus</x:v>
      </x:c>
      <x:c r="B189" s="4" t="n">
        <x:v>3.36</x:v>
      </x:c>
      <x:c r="C189" s="5" t="n">
        <x:v>1016.6950947229</x:v>
      </x:c>
      <x:c r="D189" s="5" t="n">
        <x:v>25879.043391426192</x:v>
      </x:c>
      <x:c r="E189" s="2" t="str">
        <x:v>Demesral fish (≤ 30 cm) (33.704053%); Juvenile demersal fish (&gt; 30 cm) (59.660697%); Adult demersal fish (&gt; 30 cm) (6.635250%)</x:v>
      </x:c>
      <x:c r="F189" s="2" t="str">
        <x:v>Medium</x:v>
      </x:c>
      <x:c r="G189" s="2" t="str">
        <x:v>The genus contains small C. interruptus/lighti and large C. arel/lingua, while its relevant biology is bottom-associated. Current 24 + 25 + 26 spans those species maxima and stages; the species mix affects weights rather than establishing a missing group. Model catch proportions provide the split; allocation confidence remains Medium.</x:v>
      </x:c>
      <x:c r="H189" s="1"/>
      <x:c r="I189" s="1"/>
      <x:c r="J189" s="1"/>
      <x:c r="K189" s="1"/>
    </x:row>
    <x:row r="190" ht="72" customHeight="1" hidden="1">
      <x:c r="A190" s="2" t="str">
        <x:v>Hemiramphus</x:v>
      </x:c>
      <x:c r="B190" s="4" t="n">
        <x:v>3.05</x:v>
      </x:c>
      <x:c r="C190" s="5" t="n">
        <x:v>2045.6713666299</x:v>
      </x:c>
      <x:c r="D190" s="5" t="n">
        <x:v>25503.12249773183</x:v>
      </x:c>
      <x:c r="E190" s="2" t="str">
        <x:v>Juvenile large pelagic fish (89.993906%); Pelagic fish (&gt; 30 cm) (10.006094%)</x:v>
      </x:c>
      <x:c r="F190" s="2" t="str">
        <x:v>Medium</x:v>
      </x:c>
      <x:c r="G190" s="2" t="str">
        <x:v>All three regional Hemiramphus species in the FAO guide are surface fishes with maximum TL of 34, 44 or 40 cm. This supports the large-pelagic pair for the genus; generic family-level small-halfbeak uncertainty should not be transferred to it. Model catch proportions provide the split; allocation confidence remains Medium.</x:v>
      </x:c>
      <x:c r="H190" s="1"/>
      <x:c r="I190" s="1"/>
      <x:c r="J190" s="1"/>
      <x:c r="K190" s="1"/>
    </x:row>
    <x:row r="191" ht="87" customHeight="1">
      <x:c r="A191" s="2" t="str">
        <x:v>Seriolina nigrofasciata</x:v>
      </x:c>
      <x:c r="B191" s="4" t="n">
        <x:v>4.17</x:v>
      </x:c>
      <x:c r="C191" s="5" t="n">
        <x:v>150.0503974073</x:v>
      </x:c>
      <x:c r="D191" s="5" t="n">
        <x:v>24660.089050345603</x:v>
      </x:c>
      <x:c r="E191" s="2" t="str">
        <x:v>Juvenile large pelagic fish (89.993906%); Pelagic fish (&gt; 30 cm) (10.006094%)</x:v>
      </x:c>
      <x:c r="F191" s="2" t="str">
        <x:v>Low</x:v>
      </x:c>
      <x:c r="G191" s="2" t="str">
        <x:v>The species is non-schooling and occurs over offshore reefs and rocky bottoms. Maximum size &gt;30 cm is secure, but species adult ecology emphasizes reef, shelf, near-bottom or bottom-feeding use. It does not close the retained pelagic-only boundary against the model's benthopelagic/demersal alternatives. Checked species record: 77.5 cm TL; Marine; brackish;  reef-associated;. Model catch proportions provide the split; allocation confidence remains Medium.</x:v>
      </x:c>
      <x:c r="H191" s="1"/>
      <x:c r="I191" s="1"/>
      <x:c r="J191" s="1"/>
      <x:c r="K191" s="1"/>
    </x:row>
    <x:row r="192" ht="72" customHeight="1" hidden="1">
      <x:c r="A192" s="2" t="str">
        <x:v>Eleutheronema tetradactylum</x:v>
      </x:c>
      <x:c r="B192" s="4" t="n">
        <x:v>4.06</x:v>
      </x:c>
      <x:c r="C192" s="5" t="n">
        <x:v>192.0941078355</x:v>
      </x:c>
      <x:c r="D192" s="5" t="n">
        <x:v>24505.949508837988</x:v>
      </x:c>
      <x:c r="E192" s="2" t="str">
        <x:v>Juvenile demersal fish (&gt; 30 cm) (89.991470%); Adult demersal fish (&gt; 30 cm) (10.008530%)</x:v>
      </x:c>
      <x:c r="F192" s="2" t="str">
        <x:v>Medium</x:v>
      </x:c>
      <x:c r="G192" s="2" t="str">
        <x:v>The species exceeds 30 cm by a wide margin, and SEAFDEC describes adults on shallow muddy bottoms. That behavior supports residual 25 + 26 despite a broad pelagic-neritic summary tag. Polynemidae threadfins are not Nemipteridae threadfin breams. Model catch proportions provide the split; allocation confidence remains Medium.</x:v>
      </x:c>
      <x:c r="H192" s="1"/>
      <x:c r="I192" s="1"/>
      <x:c r="J192" s="1"/>
      <x:c r="K192" s="1"/>
    </x:row>
    <x:row r="193" ht="87" customHeight="1" hidden="1">
      <x:c r="A193" s="2" t="str">
        <x:v>Malacostraca</x:v>
      </x:c>
      <x:c r="B193" s="4" t="n">
        <x:v>3</x:v>
      </x:c>
      <x:c r="C193" s="5" t="n">
        <x:v>2163.1452382685</x:v>
      </x:c>
      <x:c r="D193" s="5" t="n">
        <x:v>24034.947091872225</x:v>
      </x:c>
      <x:c r="E193" s="2" t="str">
        <x:v>Zooplankton (9.363888%); Benthic crustaceans (3.862110%); Shrimps (67.048597%); Crabs (19.725405%)</x:v>
      </x:c>
      <x:c r="F193" s="2" t="str">
        <x:v>Medium</x:v>
      </x:c>
      <x:c r="G193" s="2" t="str">
        <x:v>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x:v>
      </x:c>
      <x:c r="H193" s="1"/>
      <x:c r="I193" s="1"/>
      <x:c r="J193" s="1"/>
      <x:c r="K193" s="1"/>
    </x:row>
    <x:row r="194" ht="72" customHeight="1">
      <x:c r="A194" s="2" t="str">
        <x:v>Caesio</x:v>
      </x:c>
      <x:c r="B194" s="4" t="n">
        <x:v>3.4</x:v>
      </x:c>
      <x:c r="C194" s="5" t="n">
        <x:v>853.8808256184</x:v>
      </x:c>
      <x:c r="D194" s="5" t="n">
        <x:v>23831.68511107841</x:v>
      </x:c>
      <x:c r="E194" s="2" t="str">
        <x:v>Juvenile demersal fish (&gt; 30 cm) (89.991470%); Adult demersal fish (&gt; 30 cm) (10.008530%)</x:v>
      </x:c>
      <x:c r="F194" s="2" t="str">
        <x:v>Low</x:v>
      </x:c>
      <x:c r="G194" s="2" t="str">
        <x:v>Large regional Caesio, including C. cuning 60 cm TL, are reef-associated midwater zooplanktivores. That ecology does not establish exclusive large-demersal membership; source-era Caesionidae versus modern Lutjanidae also needs reconciliation before invoking dedicated snappers. Model catch proportions provide the split; allocation confidence remains Medium.</x:v>
      </x:c>
      <x:c r="H194" s="1"/>
      <x:c r="I194" s="1"/>
      <x:c r="J194" s="1"/>
      <x:c r="K194" s="1"/>
    </x:row>
    <x:row r="195" ht="102" customHeight="1" hidden="1">
      <x:c r="A195" s="2" t="str">
        <x:v>Lateolabrax japonicus</x:v>
      </x:c>
      <x:c r="B195" s="4" t="n">
        <x:v>3.36</x:v>
      </x:c>
      <x:c r="C195" s="5" t="n">
        <x:v>931.8267331484</x:v>
      </x:c>
      <x:c r="D195" s="5" t="n">
        <x:v>23718.796899488178</x:v>
      </x:c>
      <x:c r="E195" s="2" t="str">
        <x:v>Juvenile demersal fish (&gt; 30 cm) (89.991470%); Adult demersal fish (&gt; 30 cm) (10.008530%)</x:v>
      </x:c>
      <x:c r="F195" s="2" t="str">
        <x:v>Medium</x:v>
      </x:c>
      <x:c r="G195" s="2" t="str">
        <x:v>Maximum 102 cm TL and rocky inshore habitat support the residual large demersal pair; it is not a source-listed serranid grouper. The membership inference is ecological, while the regional species-name distinction is preserved. Medium reflects interpreting substrate-associated reef/inshore biology as included in the source residual demersal boundary, which does not explicitly discuss reef fishes. Model catch proportions provide the split; allocation confidence remains Medium.</x:v>
      </x:c>
      <x:c r="H195" s="1"/>
      <x:c r="I195" s="1"/>
      <x:c r="J195" s="1"/>
      <x:c r="K195" s="1"/>
    </x:row>
    <x:row r="196" ht="87" customHeight="1" hidden="1">
      <x:c r="A196" s="2" t="str">
        <x:v>Pagrus auratus</x:v>
      </x:c>
      <x:c r="B196" s="4" t="n">
        <x:v>3.59</x:v>
      </x:c>
      <x:c r="C196" s="5" t="n">
        <x:v>543.3389070569</x:v>
      </x:c>
      <x:c r="D196" s="5" t="n">
        <x:v>23487.040430776175</x:v>
      </x:c>
      <x:c r="E196" s="2" t="str">
        <x:v>Juvenile demersal fish (&gt; 30 cm) (89.991470%); Adult demersal fish (&gt; 30 cm) (10.008530%)</x:v>
      </x:c>
      <x:c r="F196" s="2" t="str">
        <x:v>Medium</x:v>
      </x:c>
      <x:c r="G196" s="2" t="str">
        <x:v>This large sparid (130 cm TL) uses reef and mud/sand bottoms and feeds on benthic prey, supporting 25 + 26. Its common name 'snapper' does not make it a member of the source's dedicated Lutjanidae pool. Medium reflects interpreting substrate-associated reef/inshore biology as included in the source residual demersal boundary, which does not explicitly discuss reef fishes. Model catch proportions provide the split; allocation confidence remains Medium.</x:v>
      </x:c>
      <x:c r="H196" s="1"/>
      <x:c r="I196" s="1"/>
      <x:c r="J196" s="1"/>
      <x:c r="K196" s="1"/>
    </x:row>
    <x:row r="197" ht="72" customHeight="1" hidden="1">
      <x:c r="A197" s="2" t="str">
        <x:v>Thryssa</x:v>
      </x:c>
      <x:c r="B197" s="4" t="n">
        <x:v>3.34</x:v>
      </x:c>
      <x:c r="C197" s="5" t="n">
        <x:v>963.7641834809</x:v>
      </x:c>
      <x:c r="D197" s="5" t="n">
        <x:v>23427.625501739865</x:v>
      </x:c>
      <x:c r="E197" s="2" t="str">
        <x:v>Pelagic fish (≤ 30 cm) (100.000000%)</x:v>
      </x:c>
      <x:c r="F197" s="2" t="str">
        <x:v>Medium</x:v>
      </x:c>
      <x:c r="G197" s="2" t="str">
        <x:v>Source thryssa examples support regional small-pelagic placement. The genus inventory includes near-boundary SL records and a large New Guinea freshwater exception. That distant exception does not prove regional misplacement, but an unconditional whole-genus High claim is not established. No split is required.</x:v>
      </x:c>
      <x:c r="H197" s="1"/>
      <x:c r="I197" s="1"/>
      <x:c r="J197" s="1"/>
      <x:c r="K197" s="1"/>
    </x:row>
    <x:row r="198" ht="72" customHeight="1">
      <x:c r="A198" s="2" t="str">
        <x:v>Sillaginidae</x:v>
      </x:c>
      <x:c r="B198" s="4" t="n">
        <x:v>3.25</x:v>
      </x:c>
      <x:c r="C198" s="5" t="n">
        <x:v>1154.9287619261</x:v>
      </x:c>
      <x:c r="D198" s="5" t="n">
        <x:v>22819.844859943652</x:v>
      </x:c>
      <x:c r="E198" s="2" t="str">
        <x:v>Juvenile demersal fish (&gt; 30 cm) (89.991470%); Adult demersal fish (&gt; 30 cm) (10.008530%)</x:v>
      </x:c>
      <x:c r="F198" s="2" t="str">
        <x:v>Low</x:v>
      </x:c>
      <x:c r="G198" s="2" t="str">
        <x:v>FAO documents bottom-dwelling sillaginids, but regional species include small Sillago argentifasciata/japonica and larger S. sihama. Current 25 + 26 omit 24 for species whose maximumTL is≤ 30; ordinary juvenile proportions are not the issue. Model catch proportions provide the split; allocation confidence remains Medium.</x:v>
      </x:c>
      <x:c r="H198" s="1"/>
      <x:c r="I198" s="1"/>
      <x:c r="J198" s="1"/>
      <x:c r="K198" s="1"/>
    </x:row>
    <x:row r="199" ht="42" customHeight="1" hidden="1">
      <x:c r="A199" s="2" t="str">
        <x:v>Octopus vulgaris</x:v>
      </x:c>
      <x:c r="B199" s="4" t="n">
        <x:v>3.6</x:v>
      </x:c>
      <x:c r="C199" s="5" t="n">
        <x:v>458.1614631695</x:v>
      </x:c>
      <x:c r="D199" s="5" t="n">
        <x:v>20266.373751006668</x:v>
      </x:c>
      <x:c r="E199" s="2" t="str">
        <x:v>Cephalopods (100.000000%)</x:v>
      </x:c>
      <x:c r="F199" s="2" t="str">
        <x:v>High</x:v>
      </x:c>
      <x:c r="G199" s="2" t="str">
        <x:v>Octopus vulgaris is within Cephalopoda. Biomass estimation from two dominant Loligo species does not restrict the source group to those species or to squid. No split is required.</x:v>
      </x:c>
      <x:c r="H199" s="1"/>
      <x:c r="I199" s="1"/>
      <x:c r="J199" s="1"/>
      <x:c r="K199" s="1"/>
    </x:row>
    <x:row r="200" ht="72" customHeight="1" hidden="1">
      <x:c r="A200" s="2" t="str">
        <x:v>Plectorhinchus</x:v>
      </x:c>
      <x:c r="B200" s="4" t="n">
        <x:v>3.43</x:v>
      </x:c>
      <x:c r="C200" s="5" t="n">
        <x:v>650.2650741865</x:v>
      </x:c>
      <x:c r="D200" s="5" t="n">
        <x:v>19446.789766123147</x:v>
      </x:c>
      <x:c r="E200" s="2" t="str">
        <x:v>Juvenile demersal fish (&gt; 30 cm) (89.991470%); Adult demersal fish (&gt; 30 cm) (10.008530%)</x:v>
      </x:c>
      <x:c r="F200" s="2" t="str">
        <x:v>Medium</x:v>
      </x:c>
      <x:c r="G200" s="2" t="str">
        <x:v>The reviewed regional sweetlips are large reef/bottom-associated species with maxima above 30 cm. This supports 25 + 26 as the assumed genus set; a value near 30 reported in SL for a different-region species does not establish a small-TL counterexample. Model catch proportions provide the split; allocation confidence remains Medium.</x:v>
      </x:c>
      <x:c r="H200" s="1"/>
      <x:c r="I200" s="1"/>
      <x:c r="J200" s="1"/>
      <x:c r="K200" s="1"/>
    </x:row>
    <x:row r="201" ht="72" customHeight="1" hidden="1">
      <x:c r="A201" s="2" t="str">
        <x:v>Anodontostoma chacunda</x:v>
      </x:c>
      <x:c r="B201" s="4" t="n">
        <x:v>2.84</x:v>
      </x:c>
      <x:c r="C201" s="5" t="n">
        <x:v>2475.2906287401</x:v>
      </x:c>
      <x:c r="D201" s="5" t="n">
        <x:v>19027.585766531196</x:v>
      </x:c>
      <x:c r="E201" s="2" t="str">
        <x:v>Pelagic fish (≤ 30 cm) (100.000000%)</x:v>
      </x:c>
      <x:c r="F201" s="2" t="str">
        <x:v>Medium</x:v>
      </x:c>
      <x:c r="G201" s="2" t="str">
        <x:v>Coastal-pelagic ecology and small size support the current pool. Retrieved maximum length is SL, not TL; no independent total-length bound/conversion was recovered, so the model TL criterion remains a supported inference. Checked species record: 22 cm SL; Marine; freshwater; brackish;  pelagic-neritic; anadromous. No split is required.</x:v>
      </x:c>
      <x:c r="H201" s="1"/>
      <x:c r="I201" s="1"/>
      <x:c r="J201" s="1"/>
      <x:c r="K201" s="1"/>
    </x:row>
    <x:row r="202" ht="72" customHeight="1" hidden="1">
      <x:c r="A202" s="2" t="str">
        <x:v>Pampus chinensis</x:v>
      </x:c>
      <x:c r="B202" s="4" t="n">
        <x:v>3.6</x:v>
      </x:c>
      <x:c r="C202" s="5" t="n">
        <x:v>407.0651029811</x:v>
      </x:c>
      <x:c r="D202" s="5" t="n">
        <x:v>18006.170708763748</x:v>
      </x:c>
      <x:c r="E202" s="2" t="str">
        <x:v>Pomfret (stromateids) (100.000000%)</x:v>
      </x:c>
      <x:c r="F202" s="2" t="str">
        <x:v>High</x:v>
      </x:c>
      <x:c r="G202" s="2" t="str">
        <x:v>Pampus chinensis is within Stromateidae, expressly used as the source group boundary. Parameter species are examples, not a closed list; residual size/habitat pools do not compete. The broader biomass-survey assemblage does not expand membership beyond Stromateidae. No split is required.</x:v>
      </x:c>
      <x:c r="H202" s="1"/>
      <x:c r="I202" s="1"/>
      <x:c r="J202" s="1"/>
      <x:c r="K202" s="1"/>
    </x:row>
    <x:row r="203" ht="57" customHeight="1">
      <x:c r="A203" s="2" t="str">
        <x:v>Lobotes surinamensis</x:v>
      </x:c>
      <x:c r="B203" s="4" t="n">
        <x:v>4.04</x:v>
      </x:c>
      <x:c r="C203" s="5" t="n">
        <x:v>135.1686029848</x:v>
      </x:c>
      <x:c r="D203" s="5" t="n">
        <x:v>16467.71399732976</x:v>
      </x:c>
      <x:c r="E203" s="2" t="str">
        <x:v>Benthopelagic fish (100.000000%)</x:v>
      </x:c>
      <x:c r="F203" s="2" t="str">
        <x:v>Low</x:v>
      </x:c>
      <x:c r="G203" s="2" t="str">
        <x:v>The 110 cm TL tripletail is documented benthopelagic with estuarine and surface-associated behavior. Biology supports the appendix large component, but final 27's parameters track the small component and do not independently establish large-species inclusion. No split is required.</x:v>
      </x:c>
      <x:c r="H203" s="1"/>
      <x:c r="I203" s="1"/>
      <x:c r="J203" s="1"/>
      <x:c r="K203" s="1"/>
    </x:row>
    <x:row r="204" ht="72" customHeight="1">
      <x:c r="A204" s="2" t="str">
        <x:v>Sillago</x:v>
      </x:c>
      <x:c r="B204" s="4" t="n">
        <x:v>3.33</x:v>
      </x:c>
      <x:c r="C204" s="5" t="n">
        <x:v>688.4261976386</x:v>
      </x:c>
      <x:c r="D204" s="5" t="n">
        <x:v>16353.65679968331</x:v>
      </x:c>
      <x:c r="E204" s="2" t="str">
        <x:v>Juvenile demersal fish (&gt; 30 cm) (89.991470%); Adult demersal fish (&gt; 30 cm) (10.008530%)</x:v>
      </x:c>
      <x:c r="F204" s="2" t="str">
        <x:v>Low</x:v>
      </x:c>
      <x:c r="G204" s="2" t="str">
        <x:v>The genus spans both source size classes: regional S. argentifasciata 14.9 cm TL and S. japonica 30 cm TL contrast with S. sihama 31 cm SL. Only 25 + 26 is therefore incomplete, even though all are bottom-associated. Model catch proportions provide the split; allocation confidence remains Medium.</x:v>
      </x:c>
      <x:c r="H204" s="1"/>
      <x:c r="I204" s="1"/>
      <x:c r="J204" s="1"/>
      <x:c r="K204" s="1"/>
    </x:row>
    <x:row r="205" ht="42" customHeight="1" hidden="1">
      <x:c r="A205" s="2" t="str">
        <x:v>Acetes</x:v>
      </x:c>
      <x:c r="B205" s="4" t="n">
        <x:v>2.7</x:v>
      </x:c>
      <x:c r="C205" s="5" t="n">
        <x:v>2936.5363392761</x:v>
      </x:c>
      <x:c r="D205" s="5" t="n">
        <x:v>16352.828048086072</x:v>
      </x:c>
      <x:c r="E205" s="2" t="str">
        <x:v>Zooplankton (100.000000%)</x:v>
      </x:c>
      <x:c r="F205" s="2" t="str">
        <x:v>High</x:v>
      </x:c>
      <x:c r="G205" s="2" t="str">
        <x:v>Acetes spp. catch is explicitly assigned to Zooplankton. Acetes belongs to that genus, overriding the shrimp-like common name. No split is required.</x:v>
      </x:c>
      <x:c r="H205" s="1"/>
      <x:c r="I205" s="1"/>
      <x:c r="J205" s="1"/>
      <x:c r="K205" s="1"/>
    </x:row>
    <x:row r="206" ht="42" customHeight="1" hidden="1">
      <x:c r="A206" s="2" t="str">
        <x:v>Scylla serrata</x:v>
      </x:c>
      <x:c r="B206" s="4" t="n">
        <x:v>3.17</x:v>
      </x:c>
      <x:c r="C206" s="5" t="n">
        <x:v>971.3526684794999</x:v>
      </x:c>
      <x:c r="D206" s="5" t="n">
        <x:v>15963.731997973331</x:v>
      </x:c>
      <x:c r="E206" s="2" t="str">
        <x:v>Crabs (100.000000%)</x:v>
      </x:c>
      <x:c r="F206" s="2" t="str">
        <x:v>High</x:v>
      </x:c>
      <x:c r="G206" s="2" t="str">
        <x:v>Scylla serrata is a true-crab lineage within Crabs. The residual benthic-crustacean group expressly excludes crabs, so is not a competing placement. No split is required.</x:v>
      </x:c>
      <x:c r="H206" s="1"/>
      <x:c r="I206" s="1"/>
      <x:c r="J206" s="1"/>
      <x:c r="K206" s="1"/>
    </x:row>
    <x:row r="207" ht="57" customHeight="1" hidden="1">
      <x:c r="A207" s="2" t="str">
        <x:v>Scolopsis</x:v>
      </x:c>
      <x:c r="B207" s="4" t="n">
        <x:v>3.3</x:v>
      </x:c>
      <x:c r="C207" s="5" t="n">
        <x:v>710.3281141269</x:v>
      </x:c>
      <x:c r="D207" s="5" t="n">
        <x:v>15747.676859781295</x:v>
      </x:c>
      <x:c r="E207" s="2" t="str">
        <x:v>Threadfin bream (nemipterids) (100.000000%)</x:v>
      </x:c>
      <x:c r="F207" s="2" t="str">
        <x:v>High</x:v>
      </x:c>
      <x:c r="G207" s="2" t="str">
        <x:v>Scolopsis is within Nemipteridae, expressly used as the source group boundary. Parameter species are examples, not a closed list; residual size/habitat pools do not compete. No split is required.</x:v>
      </x:c>
      <x:c r="H207" s="1"/>
      <x:c r="I207" s="1"/>
      <x:c r="J207" s="1"/>
      <x:c r="K207" s="1"/>
    </x:row>
    <x:row r="208" ht="57" customHeight="1" hidden="1">
      <x:c r="A208" s="2" t="str">
        <x:v>Gazza minuta</x:v>
      </x:c>
      <x:c r="B208" s="4" t="n">
        <x:v>4.19</x:v>
      </x:c>
      <x:c r="C208" s="5" t="n">
        <x:v>91.3387588591</x:v>
      </x:c>
      <x:c r="D208" s="5" t="n">
        <x:v>15718.554185757093</x:v>
      </x:c>
      <x:c r="E208" s="2" t="str">
        <x:v>Demesral fish (≤ 30 cm) (100.000000%)</x:v>
      </x:c>
      <x:c r="F208" s="2" t="str">
        <x:v>Medium</x:v>
      </x:c>
      <x:c r="G208" s="2" t="str">
        <x:v>Demersal ecology supports placement, but the retrieved maximum is 21 cm FL rather than TL. Retain the small-demersal inference without claiming an independently verified total-length boundary. Checked species record: 21 cm FL; Marine; brackish;  demersal;. No split is required.</x:v>
      </x:c>
      <x:c r="H208" s="1"/>
      <x:c r="I208" s="1"/>
      <x:c r="J208" s="1"/>
      <x:c r="K208" s="1"/>
    </x:row>
    <x:row r="209" ht="42" customHeight="1" hidden="1">
      <x:c r="A209" s="2" t="str">
        <x:v>Scyllaridae</x:v>
      </x:c>
      <x:c r="B209" s="4" t="n">
        <x:v>2.87</x:v>
      </x:c>
      <x:c r="C209" s="5" t="n">
        <x:v>1853.66647751</x:v>
      </x:c>
      <x:c r="D209" s="5" t="n">
        <x:v>15268.24381927067</x:v>
      </x:c>
      <x:c r="E209" s="2" t="str">
        <x:v>Benthic crustaceans (100.000000%)</x:v>
      </x:c>
      <x:c r="F209" s="2" t="str">
        <x:v>High</x:v>
      </x:c>
      <x:c r="G209" s="2" t="str">
        <x:v>Scyllaridae is a benthic lobster lineage in the residual crustacean pool after shrimp/crab exclusions. Oratosquilla is a parameter example, not the complete membership. No split is required.</x:v>
      </x:c>
      <x:c r="H209" s="1"/>
      <x:c r="I209" s="1"/>
      <x:c r="J209" s="1"/>
      <x:c r="K209" s="1"/>
    </x:row>
    <x:row r="210" ht="72" customHeight="1">
      <x:c r="A210" s="2" t="str">
        <x:v>Planiliza haematocheilus</x:v>
      </x:c>
      <x:c r="B210" s="4" t="n">
        <x:v>2.5</x:v>
      </x:c>
      <x:c r="C210" s="5" t="n">
        <x:v>4211.064677519</x:v>
      </x:c>
      <x:c r="D210" s="5" t="n">
        <x:v>14796.173061380548</x:v>
      </x:c>
      <x:c r="E210" s="2" t="str">
        <x:v>Juvenile demersal fish (&gt; 30 cm) (89.991470%); Adult demersal fish (&gt; 30 cm) (10.008530%)</x:v>
      </x:c>
      <x:c r="F210" s="2" t="str">
        <x:v>Low</x:v>
      </x:c>
      <x:c r="G210" s="2" t="str">
        <x:v>Maximum 80 cm TL establishes a large species, but the authoritative account describes pelagic-neritic coastal/estuarine ecology. Current exclusively demersal 25 + 26 lacks behavioral evidence resolving competing water-column pools; benthic food alone would not resolve this. Model catch proportions provide the split; allocation confidence remains Medium.</x:v>
      </x:c>
      <x:c r="H210" s="1"/>
      <x:c r="I210" s="1"/>
      <x:c r="J210" s="1"/>
      <x:c r="K210" s="1"/>
    </x:row>
    <x:row r="211" ht="102" customHeight="1" hidden="1">
      <x:c r="A211" s="2" t="str">
        <x:v>Mola mola</x:v>
      </x:c>
      <x:c r="B211" s="4" t="n">
        <x:v>3.68</x:v>
      </x:c>
      <x:c r="C211" s="5" t="n">
        <x:v>277.1696717644</x:v>
      </x:c>
      <x:c r="D211" s="5" t="n">
        <x:v>14740.19395395891</x:v>
      </x:c>
      <x:c r="E211" s="2" t="str">
        <x:v>Juvenile large pelagic fish (89.993906%); Pelagic fish (&gt; 30 cm) (10.006094%)</x:v>
      </x:c>
      <x:c r="F211" s="2" t="str">
        <x:v>Medium</x:v>
      </x:c>
      <x:c r="G211"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333 cm TL; Marine;  pelagic-oceanic; oceanodromous. Model catch proportions provide the split; allocation confidence remains Medium.</x:v>
      </x:c>
      <x:c r="H211" s="1"/>
      <x:c r="I211" s="1"/>
      <x:c r="J211" s="1"/>
      <x:c r="K211" s="1"/>
    </x:row>
    <x:row r="212" ht="57" customHeight="1">
      <x:c r="A212" s="2" t="str">
        <x:v>Gerreidae</x:v>
      </x:c>
      <x:c r="B212" s="4" t="n">
        <x:v>3.03</x:v>
      </x:c>
      <x:c r="C212" s="5" t="n">
        <x:v>1109.2610217807</x:v>
      </x:c>
      <x:c r="D212" s="5" t="n">
        <x:v>13206.606659840141</x:v>
      </x:c>
      <x:c r="E212" s="2" t="str">
        <x:v>Benthopelagic fish (100.000000%)</x:v>
      </x:c>
      <x:c r="F212" s="2" t="str">
        <x:v>Low</x:v>
      </x:c>
      <x:c r="G212" s="2" t="str">
        <x:v>Regional Gerres limbatus 15 cm TL and G. filamentosus 39 cm TL are documented demersal fishes on mud/sand bottoms. The family therefore crosses size pools and includes components better supported for 24/25 + 26 than sole current 27. No split is required.</x:v>
      </x:c>
      <x:c r="H212" s="1"/>
      <x:c r="I212" s="1"/>
      <x:c r="J212" s="1"/>
      <x:c r="K212" s="1"/>
    </x:row>
    <x:row r="213" ht="87" customHeight="1">
      <x:c r="A213" s="2" t="str">
        <x:v>Decapterus russelli</x:v>
      </x:c>
      <x:c r="B213" s="4" t="n">
        <x:v>3.68</x:v>
      </x:c>
      <x:c r="C213" s="5" t="n">
        <x:v>247.487864934</x:v>
      </x:c>
      <x:c r="D213" s="5" t="n">
        <x:v>13161.68218245479</x:v>
      </x:c>
      <x:c r="E213" s="2" t="str">
        <x:v>Juvenile large pelagic fish (89.993906%); Pelagic fish (&gt; 30 cm) (10.006094%)</x:v>
      </x:c>
      <x:c r="F213" s="2" t="str">
        <x:v>Low</x:v>
      </x:c>
      <x:c r="G213" s="2" t="str">
        <x:v>Species evidence explicitly establishes benthopelagic ecology and maximum TL &gt;30 cm. The selected model has one generic Benthopelagic fish group (27), giving a material competing placement for the current pelagic-only pair. The appendix distinguishes small and large benthopelagic fish, but the final merger scope is not established. Checked species record: 45 cm TL; Marine;  benthopelagic;. Model catch proportions provide the split; allocation confidence remains Medium.</x:v>
      </x:c>
      <x:c r="H213" s="1"/>
      <x:c r="I213" s="1"/>
      <x:c r="J213" s="1"/>
      <x:c r="K213" s="1"/>
    </x:row>
    <x:row r="214" ht="72" customHeight="1">
      <x:c r="A214" s="2" t="str">
        <x:v>Terapontidae</x:v>
      </x:c>
      <x:c r="B214" s="4" t="n">
        <x:v>3.64</x:v>
      </x:c>
      <x:c r="C214" s="5" t="n">
        <x:v>269.2911869916</x:v>
      </x:c>
      <x:c r="D214" s="5" t="n">
        <x:v>13061.09628939783</x:v>
      </x:c>
      <x:c r="E214" s="2" t="str">
        <x:v>Juvenile demersal fish (&gt; 30 cm) (89.991470%); Adult demersal fish (&gt; 30 cm) (10.008530%)</x:v>
      </x:c>
      <x:c r="F214" s="2" t="str">
        <x:v>Low</x:v>
      </x:c>
      <x:c r="G214" s="2" t="str">
        <x:v>The family contains Terapon puta at maximum 30 cm TL and larger T. jarbua; these are sufficient regional size-class counterexamples to 25 + 26-only membership. Current age splitting cannot substitute for the missing small-species category. Model catch proportions provide the split; allocation confidence remains Medium.</x:v>
      </x:c>
      <x:c r="H214" s="1"/>
      <x:c r="I214" s="1"/>
      <x:c r="J214" s="1"/>
      <x:c r="K214" s="1"/>
    </x:row>
    <x:row r="215" ht="42" customHeight="1" hidden="1">
      <x:c r="A215" s="2" t="str">
        <x:v>Portunidae</x:v>
      </x:c>
      <x:c r="B215" s="4" t="n">
        <x:v>3.56</x:v>
      </x:c>
      <x:c r="C215" s="5" t="n">
        <x:v>316.8668768144</x:v>
      </x:c>
      <x:c r="D215" s="5" t="n">
        <x:v>12783.045472761076</x:v>
      </x:c>
      <x:c r="E215" s="2" t="str">
        <x:v>Crabs (100.000000%)</x:v>
      </x:c>
      <x:c r="F215" s="2" t="str">
        <x:v>High</x:v>
      </x:c>
      <x:c r="G215" s="2" t="str">
        <x:v>Portunidae is a true-crab lineage within Crabs. The residual benthic-crustacean group expressly excludes crabs, so is not a competing placement. No split is required.</x:v>
      </x:c>
      <x:c r="H215" s="1"/>
      <x:c r="I215" s="1"/>
      <x:c r="J215" s="1"/>
      <x:c r="K215" s="1"/>
    </x:row>
    <x:row r="216" ht="57" customHeight="1" hidden="1">
      <x:c r="A216" s="2" t="str">
        <x:v>Metapenaeus joyneri</x:v>
      </x:c>
      <x:c r="B216" s="4" t="n">
        <x:v>3.2</x:v>
      </x:c>
      <x:c r="C216" s="5" t="n">
        <x:v>707.2507652774</x:v>
      </x:c>
      <x:c r="D216" s="5" t="n">
        <x:v>12454.632480567383</x:v>
      </x:c>
      <x:c r="E216" s="2" t="str">
        <x:v>Shrimps (100.000000%)</x:v>
      </x:c>
      <x:c r="F216" s="2" t="str">
        <x:v>High</x:v>
      </x:c>
      <x:c r="G216" s="2" t="str">
        <x:v>Metapenaeus joyneri is a non-Acetes shrimp lineage. Shrimps is broader than the Metapenaeopsis mortality examples; the explicit Acetes/Zooplankton exception is excluded. No split is required.</x:v>
      </x:c>
      <x:c r="H216" s="1"/>
      <x:c r="I216" s="1"/>
      <x:c r="J216" s="1"/>
      <x:c r="K216" s="1"/>
    </x:row>
    <x:row r="217" ht="72" customHeight="1" hidden="1">
      <x:c r="A217" s="2" t="str">
        <x:v>Latidae</x:v>
      </x:c>
      <x:c r="B217" s="4" t="n">
        <x:v>4.35</x:v>
      </x:c>
      <x:c r="C217" s="5" t="n">
        <x:v>48.8266225651</x:v>
      </x:c>
      <x:c r="D217" s="5" t="n">
        <x:v>12145.465784598577</x:v>
      </x:c>
      <x:c r="E217" s="2" t="str">
        <x:v>Juvenile demersal fish (&gt; 30 cm) (89.991470%); Adult demersal fish (&gt; 30 cm) (10.008530%)</x:v>
      </x:c>
      <x:c r="F217" s="2" t="str">
        <x:v>Medium</x:v>
      </x:c>
      <x:c r="G217" s="2" t="str">
        <x:v>The regional marine candidates Lates calcarifer and Psammoperca waigiensis are large (200 and 47 cm TL) with demersal/coastal reef-associated biology. They support residual 25 + 26 as an assumed regional family set, rather than a generic extension to worldwide freshwater Latidae. Model catch proportions provide the split; allocation confidence remains Medium.</x:v>
      </x:c>
      <x:c r="H217" s="1"/>
      <x:c r="I217" s="1"/>
      <x:c r="J217" s="1"/>
      <x:c r="K217" s="1"/>
    </x:row>
    <x:row r="218" ht="42" customHeight="1" hidden="1">
      <x:c r="A218" s="2" t="str">
        <x:v>Parapenaeopsis</x:v>
      </x:c>
      <x:c r="B218" s="4" t="n">
        <x:v>2.72</x:v>
      </x:c>
      <x:c r="C218" s="5" t="n">
        <x:v>2051.0014812198</x:v>
      </x:c>
      <x:c r="D218" s="5" t="n">
        <x:v>11959.787536972064</x:v>
      </x:c>
      <x:c r="E218" s="2" t="str">
        <x:v>Shrimps (100.000000%)</x:v>
      </x:c>
      <x:c r="F218" s="2" t="str">
        <x:v>High</x:v>
      </x:c>
      <x:c r="G218" s="2" t="str">
        <x:v>Parapenaeopsis is a non-Acetes shrimp lineage. Shrimps is broader than the Metapenaeopsis mortality examples; the explicit Acetes/Zooplankton exception is excluded. No split is required.</x:v>
      </x:c>
      <x:c r="H218" s="1"/>
      <x:c r="I218" s="1"/>
      <x:c r="J218" s="1"/>
      <x:c r="K218" s="1"/>
    </x:row>
    <x:row r="219" ht="72" customHeight="1">
      <x:c r="A219" s="2" t="str">
        <x:v>Drepane</x:v>
      </x:c>
      <x:c r="B219" s="4" t="n">
        <x:v>3.32</x:v>
      </x:c>
      <x:c r="C219" s="5" t="n">
        <x:v>510.0612503553</x:v>
      </x:c>
      <x:c r="D219" s="5" t="n">
        <x:v>11840.766631843351</x:v>
      </x:c>
      <x:c r="E219" s="2" t="str">
        <x:v>Benthopelagic fish (100.000000%)</x:v>
      </x:c>
      <x:c r="F219" s="2" t="str">
        <x:v>Low</x:v>
      </x:c>
      <x:c r="G219" s="2" t="str">
        <x:v>Regional Drepane punctata and D. longimana are large coastal bottom-associated sicklefishes (reported 50 cm TL). Current 27 is less specifically supported than the large-demersal pair used for D. punctata, and its final large-benthopelagic scope remains unresolved. No split is required.</x:v>
      </x:c>
      <x:c r="H219" s="1"/>
      <x:c r="I219" s="1"/>
      <x:c r="J219" s="1"/>
      <x:c r="K219" s="1"/>
    </x:row>
    <x:row r="220" ht="72" customHeight="1">
      <x:c r="A220" s="2" t="str">
        <x:v>Siganus</x:v>
      </x:c>
      <x:c r="B220" s="4" t="n">
        <x:v>2.11</x:v>
      </x:c>
      <x:c r="C220" s="5" t="n">
        <x:v>8030.5915137059</x:v>
      </x:c>
      <x:c r="D220" s="5" t="n">
        <x:v>11494.895463735904</x:v>
      </x:c>
      <x:c r="E220" s="2" t="str">
        <x:v>Juvenile demersal fish (&gt; 30 cm) (89.991470%); Adult demersal fish (&gt; 30 cm) (10.008530%)</x:v>
      </x:c>
      <x:c r="F220" s="2" t="str">
        <x:v>Low</x:v>
      </x:c>
      <x:c r="G220" s="2" t="str">
        <x:v>The regional genus spans maximum species total lengths: S. spinus reaches 28 cm TL and S. javus 53 cm TL. Current 25 + 26 therefore omits the small-species class. S. javus also has documented midwater behavior, so bottom-associated grazing alone does not establish one habitat for all components. Model catch proportions provide the split; allocation confidence remains Medium.</x:v>
      </x:c>
      <x:c r="H220" s="1"/>
      <x:c r="I220" s="1"/>
      <x:c r="J220" s="1"/>
      <x:c r="K220" s="1"/>
    </x:row>
    <x:row r="221" ht="72" customHeight="1">
      <x:c r="A221" s="2" t="str">
        <x:v>Mugil</x:v>
      </x:c>
      <x:c r="B221" s="4" t="n">
        <x:v>2.26</x:v>
      </x:c>
      <x:c r="C221" s="5" t="n">
        <x:v>5637.6636376472</x:v>
      </x:c>
      <x:c r="D221" s="5" t="n">
        <x:v>11398.734846645433</x:v>
      </x:c>
      <x:c r="E221" s="2" t="str">
        <x:v>Juvenile demersal fish (&gt; 30 cm) (89.991470%); Adult demersal fish (&gt; 30 cm) (10.008530%)</x:v>
      </x:c>
      <x:c r="F221" s="2" t="str">
        <x:v>Low</x:v>
      </x:c>
      <x:c r="G221" s="2" t="str">
        <x:v>The principal regional M. cephalus is explicitly benthopelagic and well above 30 cm, while genus catch is currently assigned only 25 + 26. Its species-level mapping to 27 exposes a real habitat-set inconsistency that unknown stage weights cannot explain. Model catch proportions provide the split; allocation confidence remains Medium.</x:v>
      </x:c>
      <x:c r="H221" s="1"/>
      <x:c r="I221" s="1"/>
      <x:c r="J221" s="1"/>
      <x:c r="K221" s="1"/>
    </x:row>
    <x:row r="222" ht="42" customHeight="1" hidden="1">
      <x:c r="A222" s="2" t="str">
        <x:v>Penaeus japonicus</x:v>
      </x:c>
      <x:c r="B222" s="4" t="n">
        <x:v>2.7</x:v>
      </x:c>
      <x:c r="C222" s="5" t="n">
        <x:v>2034.866287207</x:v>
      </x:c>
      <x:c r="D222" s="5" t="n">
        <x:v>11331.655614296391</x:v>
      </x:c>
      <x:c r="E222" s="2" t="str">
        <x:v>Shrimps (100.000000%)</x:v>
      </x:c>
      <x:c r="F222" s="2" t="str">
        <x:v>High</x:v>
      </x:c>
      <x:c r="G222" s="2" t="str">
        <x:v>Penaeus japonicus is a non-Acetes shrimp lineage. Shrimps is broader than the Metapenaeopsis mortality examples; the explicit Acetes/Zooplankton exception is excluded. No split is required.</x:v>
      </x:c>
      <x:c r="H222" s="1"/>
      <x:c r="I222" s="1"/>
      <x:c r="J222" s="1"/>
      <x:c r="K222" s="1"/>
    </x:row>
    <x:row r="223" ht="72" customHeight="1" hidden="1">
      <x:c r="A223" s="2" t="str">
        <x:v>Atrobucca nibe</x:v>
      </x:c>
      <x:c r="B223" s="4" t="n">
        <x:v>3.03</x:v>
      </x:c>
      <x:c r="C223" s="5" t="n">
        <x:v>901.7723487351</x:v>
      </x:c>
      <x:c r="D223" s="5" t="n">
        <x:v>10736.294228879095</x:v>
      </x:c>
      <x:c r="E223" s="2" t="str">
        <x:v>Juvenile large croakers (89.873418%); Croakers (&gt; 30 cm) (10.126582%)</x:v>
      </x:c>
      <x:c r="F223" s="2" t="str">
        <x:v>Medium</x:v>
      </x:c>
      <x:c r="G223" s="2" t="str">
        <x:v>Its verified Sciaenidae membership and 45 cm SL maximum satisfy the source's explicit &gt; 30 cm maximum-TL large-croaker definition. Groups 22 + 23 cover both stages; it need not be one of the commercially dominant examples named by the author. Model catch proportions provide the split; allocation confidence remains Medium.</x:v>
      </x:c>
      <x:c r="H223" s="1"/>
      <x:c r="I223" s="1"/>
      <x:c r="J223" s="1"/>
      <x:c r="K223" s="1"/>
    </x:row>
    <x:row r="224" ht="57" customHeight="1">
      <x:c r="A224" s="2" t="str">
        <x:v>Exocoetidae</x:v>
      </x:c>
      <x:c r="B224" s="4" t="n">
        <x:v>3.57</x:v>
      </x:c>
      <x:c r="C224" s="5" t="n">
        <x:v>251.6172091557</x:v>
      </x:c>
      <x:c r="D224" s="5" t="n">
        <x:v>10387.18416093935</x:v>
      </x:c>
      <x:c r="E224" s="2" t="str">
        <x:v>Pelagic fish (≤ 30 cm) (100.000000%)</x:v>
      </x:c>
      <x:c r="F224" s="2" t="str">
        <x:v>Low</x:v>
      </x:c>
      <x:c r="G224" s="2" t="str">
        <x:v>The current small-only set omits a possible large member present in the same catch universe: Cheilopogon unicolor, with maximum 38 cm TL. Family-wide small-pelagic placement needs an explicit reporting exclusion. No split is required.</x:v>
      </x:c>
      <x:c r="H224" s="1"/>
      <x:c r="I224" s="1"/>
      <x:c r="J224" s="1"/>
      <x:c r="K224" s="1"/>
    </x:row>
    <x:row r="225" ht="72" customHeight="1">
      <x:c r="A225" s="2" t="str">
        <x:v>Balistidae</x:v>
      </x:c>
      <x:c r="B225" s="4" t="n">
        <x:v>3.25</x:v>
      </x:c>
      <x:c r="C225" s="5" t="n">
        <x:v>521.2657552092</x:v>
      </x:c>
      <x:c r="D225" s="5" t="n">
        <x:v>10299.512884965667</x:v>
      </x:c>
      <x:c r="E225" s="2" t="str">
        <x:v>Juvenile demersal fish (&gt; 30 cm) (89.991470%); Adult demersal fish (&gt; 30 cm) (10.008530%)</x:v>
      </x:c>
      <x:c r="F225" s="2" t="str">
        <x:v>Low</x:v>
      </x:c>
      <x:c r="G225" s="2" t="str">
        <x:v>The family includes small regional Rhinecanthus verrucosus, maximum 23 cm TL, so current 25 + 26 is not a complete species-size set. Reef association does not justify treating every triggerfish as a &gt; 30 cm species. Model catch proportions provide the split; allocation confidence remains Medium.</x:v>
      </x:c>
      <x:c r="H225" s="1"/>
      <x:c r="I225" s="1"/>
      <x:c r="J225" s="1"/>
      <x:c r="K225" s="1"/>
    </x:row>
    <x:row r="226" ht="42" customHeight="1" hidden="1">
      <x:c r="A226" s="2" t="str">
        <x:v>Bivalvia</x:v>
      </x:c>
      <x:c r="B226" s="4" t="n">
        <x:v>2.23</x:v>
      </x:c>
      <x:c r="C226" s="5" t="n">
        <x:v>5397.986096821201</x:v>
      </x:c>
      <x:c r="D226" s="5" t="n">
        <x:v>10185.661805559277</x:v>
      </x:c>
      <x:c r="E226" s="2" t="str">
        <x:v>Non-ceph molluscs (100.000000%)</x:v>
      </x:c>
      <x:c r="F226" s="2" t="str">
        <x:v>High</x:v>
      </x:c>
      <x:c r="G226" s="2" t="str">
        <x:v>Bivalvia is a non-cephalopod mollusc. The source derives this catch by removing Cephalopoda from mollusc catch; no competing mollusc compartment contains this lineage. No split is required.</x:v>
      </x:c>
      <x:c r="H226" s="1"/>
      <x:c r="I226" s="1"/>
      <x:c r="J226" s="1"/>
      <x:c r="K226" s="1"/>
    </x:row>
    <x:row r="227" ht="72" customHeight="1">
      <x:c r="A227" s="2" t="str">
        <x:v>Lethrinus</x:v>
      </x:c>
      <x:c r="B227" s="4" t="n">
        <x:v>3.75</x:v>
      </x:c>
      <x:c r="C227" s="5" t="n">
        <x:v>151.5231738165</x:v>
      </x:c>
      <x:c r="D227" s="5" t="n">
        <x:v>9467.526929002022</x:v>
      </x:c>
      <x:c r="E227" s="2" t="str">
        <x:v>Juvenile demersal fish (&gt; 30 cm) (89.991470%); Adult demersal fish (&gt; 30 cm) (10.008530%)</x:v>
      </x:c>
      <x:c r="F227" s="2" t="str">
        <x:v>Low</x:v>
      </x:c>
      <x:c r="G227" s="2" t="str">
        <x:v>Reported maxima of regional L. variegatus 20 cm TL and L. miniatus 90 cm TL show that the genus cannot be treated as wholly large. Current 25 + 26 omits a small-species candidate; demersal behavior itself is well supported. Model catch proportions provide the split; allocation confidence remains Medium.</x:v>
      </x:c>
      <x:c r="H227" s="1"/>
      <x:c r="I227" s="1"/>
      <x:c r="J227" s="1"/>
      <x:c r="K227" s="1"/>
    </x:row>
    <x:row r="228" ht="72" customHeight="1" hidden="1">
      <x:c r="A228" s="2" t="str">
        <x:v>Istiompax indica</x:v>
      </x:c>
      <x:c r="B228" s="4" t="n">
        <x:v>4.5</x:v>
      </x:c>
      <x:c r="C228" s="5" t="n">
        <x:v>25.5078926537</x:v>
      </x:c>
      <x:c r="D228" s="5" t="n">
        <x:v>8962.559899640959</x:v>
      </x:c>
      <x:c r="E228" s="2" t="str">
        <x:v>Juvenile large pelagic fish (89.993906%); Pelagic fish (&gt; 30 cm) (10.006094%)</x:v>
      </x:c>
      <x:c r="F228" s="2" t="str">
        <x:v>Medium</x:v>
      </x:c>
      <x:c r="G228" s="2" t="str">
        <x:v>The verified Makaira indica–Istiompax indica identity connects the FAO size and epipelagic habitat evidence to black marlin. All residual &gt;30-cm pelagic criteria are met and no dedicated pool competes, establishing groups 30+31 independently of stage allocation. Model catch proportions provide the split; allocation confidence remains Medium.</x:v>
      </x:c>
      <x:c r="H228" s="1"/>
      <x:c r="I228" s="1"/>
      <x:c r="J228" s="1"/>
      <x:c r="K228" s="1"/>
    </x:row>
    <x:row r="229" ht="102" customHeight="1">
      <x:c r="A229" s="2" t="str">
        <x:v>Platycaranx talamparoides</x:v>
      </x:c>
      <x:c r="B229" s="4" t="n">
        <x:v>4.4</x:v>
      </x:c>
      <x:c r="C229" s="5" t="n">
        <x:v>28.6435040281</x:v>
      </x:c>
      <x:c r="D229" s="5" t="n">
        <x:v>7994.3587910082715</x:v>
      </x:c>
      <x:c r="E229" s="2" t="str">
        <x:v>Juvenile large pelagic fish (89.993906%); Pelagic fish (&gt; 30 cm) (10.006094%)</x:v>
      </x:c>
      <x:c r="F229" s="2" t="str">
        <x:v>Low</x:v>
      </x:c>
      <x:c r="G229" s="2" t="str">
        <x:v>The available description establishes coastal shelf occurrence, without resolving its position in the water column. Maximum size &gt;30 cm is secure, but species adult ecology emphasizes reef, shelf, near-bottom or bottom-feeding use. It does not close the retained pelagic-only boundary against the model's benthopelagic/demersal alternatives. Checked species record: 51 cm TL; Marine;  reef-associated;. Model catch proportions provide the split; allocation confidence remains Medium.</x:v>
      </x:c>
      <x:c r="H229" s="1"/>
      <x:c r="I229" s="1"/>
      <x:c r="J229" s="1"/>
      <x:c r="K229" s="1"/>
    </x:row>
    <x:row r="230" ht="72" customHeight="1" hidden="1">
      <x:c r="A230" s="2" t="str">
        <x:v>Sergestidae</x:v>
      </x:c>
      <x:c r="B230" s="4" t="n">
        <x:v>2.93</x:v>
      </x:c>
      <x:c r="C230" s="5" t="n">
        <x:v>825.2380457821</x:v>
      </x:c>
      <x:c r="D230" s="5" t="n">
        <x:v>7804.349903743776</x:v>
      </x:c>
      <x:c r="E230" s="2" t="str">
        <x:v>Zooplankton (12.254395%); Shrimps (87.745605%)</x:v>
      </x:c>
      <x:c r="F230" s="2" t="str">
        <x:v>Medium</x:v>
      </x:c>
      <x:c r="G230" s="2" t="str">
        <x:v>The set retains Acetes in Zooplankton and other shrimp constituents in Shrimps. Both taxonomic intersections are supported, but the source boundary for non-Acetes pelagic shrimp is inferred rather than exhaustive. Model catch proportions provide the split; allocation confidence remains Medium.</x:v>
      </x:c>
      <x:c r="H230" s="1"/>
      <x:c r="I230" s="1"/>
      <x:c r="J230" s="1"/>
      <x:c r="K230" s="1"/>
    </x:row>
    <x:row r="231" ht="57" customHeight="1" hidden="1">
      <x:c r="A231" s="2" t="str">
        <x:v>Tegillarca granosa</x:v>
      </x:c>
      <x:c r="B231" s="4" t="n">
        <x:v>2</x:v>
      </x:c>
      <x:c r="C231" s="5" t="n">
        <x:v>6996.1566210773</x:v>
      </x:c>
      <x:c r="D231" s="5" t="n">
        <x:v>7773.507356752556</x:v>
      </x:c>
      <x:c r="E231" s="2" t="str">
        <x:v>Non-ceph molluscs (100.000000%)</x:v>
      </x:c>
      <x:c r="F231" s="2" t="str">
        <x:v>High</x:v>
      </x:c>
      <x:c r="G231" s="2" t="str">
        <x:v>Tegillarca granosa is a non-cephalopod mollusc. The source derives this catch by removing Cephalopoda from mollusc catch; no competing mollusc compartment contains this lineage. No split is required.</x:v>
      </x:c>
      <x:c r="H231" s="1"/>
      <x:c r="I231" s="1"/>
      <x:c r="J231" s="1"/>
      <x:c r="K231" s="1"/>
    </x:row>
    <x:row r="232" ht="57" customHeight="1" hidden="1">
      <x:c r="A232" s="2" t="str">
        <x:v>Penaeus latisulcatus</x:v>
      </x:c>
      <x:c r="B232" s="4" t="n">
        <x:v>2.7</x:v>
      </x:c>
      <x:c r="C232" s="5" t="n">
        <x:v>1395.8112079466</x:v>
      </x:c>
      <x:c r="D232" s="5" t="n">
        <x:v>7772.919533074422</x:v>
      </x:c>
      <x:c r="E232" s="2" t="str">
        <x:v>Shrimps (100.000000%)</x:v>
      </x:c>
      <x:c r="F232" s="2" t="str">
        <x:v>High</x:v>
      </x:c>
      <x:c r="G232" s="2" t="str">
        <x:v>Penaeus latisulcatus is a non-Acetes shrimp lineage. Shrimps is broader than the Metapenaeopsis mortality examples; the explicit Acetes/Zooplankton exception is excluded. No split is required.</x:v>
      </x:c>
      <x:c r="H232" s="1"/>
      <x:c r="I232" s="1"/>
      <x:c r="J232" s="1"/>
      <x:c r="K232" s="1"/>
    </x:row>
    <x:row r="233" ht="42" customHeight="1" hidden="1">
      <x:c r="A233" s="2" t="str">
        <x:v>Palinuridae</x:v>
      </x:c>
      <x:c r="B233" s="4" t="n">
        <x:v>3.14</x:v>
      </x:c>
      <x:c r="C233" s="5" t="n">
        <x:v>485.2535877241</x:v>
      </x:c>
      <x:c r="D233" s="5" t="n">
        <x:v>7442.626853738258</x:v>
      </x:c>
      <x:c r="E233" s="2" t="str">
        <x:v>Benthic crustaceans (100.000000%)</x:v>
      </x:c>
      <x:c r="F233" s="2" t="str">
        <x:v>High</x:v>
      </x:c>
      <x:c r="G233" s="2" t="str">
        <x:v>Palinuridae is a benthic lobster lineage in the residual crustacean pool after shrimp/crab exclusions. Oratosquilla is a parameter example, not the complete membership. No split is required.</x:v>
      </x:c>
      <x:c r="H233" s="1"/>
      <x:c r="I233" s="1"/>
      <x:c r="J233" s="1"/>
      <x:c r="K233" s="1"/>
    </x:row>
    <x:row r="234" ht="42" customHeight="1" hidden="1">
      <x:c r="A234" s="2" t="str">
        <x:v>Echinoidea</x:v>
      </x:c>
      <x:c r="B234" s="4" t="n">
        <x:v>2.51</x:v>
      </x:c>
      <x:c r="C234" s="5" t="n">
        <x:v>1857.3483633202</x:v>
      </x:c>
      <x:c r="D234" s="5" t="n">
        <x:v>6678.068323100478</x:v>
      </x:c>
      <x:c r="E234" s="2" t="str">
        <x:v>Echinoderms (100.000000%)</x:v>
      </x:c>
      <x:c r="F234" s="2" t="str">
        <x:v>High</x:v>
      </x:c>
      <x:c r="G234" s="2" t="str">
        <x:v>Echinoidea is within Echinodermata, represented by one source compartment without competing size/stage pools. No split is required.</x:v>
      </x:c>
      <x:c r="H234" s="1"/>
      <x:c r="I234" s="1"/>
      <x:c r="J234" s="1"/>
      <x:c r="K234" s="1"/>
    </x:row>
    <x:row r="235" ht="72" customHeight="1">
      <x:c r="A235" s="2" t="str">
        <x:v>Berycidae</x:v>
      </x:c>
      <x:c r="B235" s="4" t="n">
        <x:v>3.99</x:v>
      </x:c>
      <x:c r="C235" s="5" t="n">
        <x:v>57.9199066823</x:v>
      </x:c>
      <x:c r="D235" s="5" t="n">
        <x:v>6289.054293803419</x:v>
      </x:c>
      <x:c r="E235" s="2" t="str">
        <x:v>Benthopelagic fish (100.000000%)</x:v>
      </x:c>
      <x:c r="F235" s="2" t="str">
        <x:v>Low</x:v>
      </x:c>
      <x:c r="G235" s="2" t="str">
        <x:v>Beryx splendens supplies a concrete large-benthopelagic family component (70 cm TL, outer shelf/slope). The main obstacle is final 27's unresolved inclusion of the appendix large component; the family's deep habitat adds model-transfer uncertainty, not proof of pelagic status. No split is required.</x:v>
      </x:c>
      <x:c r="H235" s="1"/>
      <x:c r="I235" s="1"/>
      <x:c r="J235" s="1"/>
      <x:c r="K235" s="1"/>
    </x:row>
    <x:row r="236" ht="102" customHeight="1">
      <x:c r="A236" s="2" t="str">
        <x:v>Megalops cyprinoides</x:v>
      </x:c>
      <x:c r="B236" s="4" t="n">
        <x:v>3.48</x:v>
      </x:c>
      <x:c r="C236" s="5" t="n">
        <x:v>177.5356060989</x:v>
      </x:c>
      <x:c r="D236" s="5" t="n">
        <x:v>5957.210656344308</x:v>
      </x:c>
      <x:c r="E236" s="2" t="str">
        <x:v>Juvenile large pelagic fish (89.993906%); Pelagic fish (&gt; 30 cm) (10.006094%)</x:v>
      </x:c>
      <x:c r="F236" s="2" t="str">
        <x:v>Low</x:v>
      </x:c>
      <x:c r="G236" s="2" t="str">
        <x:v>Species evidence explicitly establishes benthopelagic ecology and maximum TL &gt;30 cm. The selected model has one generic Benthopelagic fish group (27), giving a material competing placement for the current pelagic-only pair. The appendix distinguishes small and large benthopelagic fish, but the final merger scope is not established. Checked species record: 150 cm TL; Marine; freshwater; brackish;  benthopelagic; catadromous. Model catch proportions provide the split; allocation confidence remains Medium.</x:v>
      </x:c>
      <x:c r="H236" s="1"/>
      <x:c r="I236" s="1"/>
      <x:c r="J236" s="1"/>
      <x:c r="K236" s="1"/>
    </x:row>
    <x:row r="237" ht="72" customHeight="1">
      <x:c r="A237" s="2" t="str">
        <x:v>Psettodidae</x:v>
      </x:c>
      <x:c r="B237" s="4" t="n">
        <x:v>3.83</x:v>
      </x:c>
      <x:c r="C237" s="5" t="n">
        <x:v>74.69142941770001</x:v>
      </x:c>
      <x:c r="D237" s="5" t="n">
        <x:v>5610.844870777648</x:v>
      </x:c>
      <x:c r="E237" s="2" t="str">
        <x:v>Demesral fish (≤ 30 cm) (33.704053%); Juvenile demersal fish (&gt; 30 cm) (59.660697%); Adult demersal fish (&gt; 30 cm) (6.635250%)</x:v>
      </x:c>
      <x:c r="F237" s="2" t="str">
        <x:v>Low</x:v>
      </x:c>
      <x:c r="G237" s="2" t="str">
        <x:v>FAO identifies only Psettodes erumei in the regional family, with maximum about 60 cm TL. Current 24 + 25 + 26 includes a small-species pool unsupported by that regional composition; common 20–40 cm fish do not satisfy a species-maximum≤ 30 definition. Model catch proportions provide the split; allocation confidence remains Medium.</x:v>
      </x:c>
      <x:c r="H237" s="1"/>
      <x:c r="I237" s="1"/>
      <x:c r="J237" s="1"/>
      <x:c r="K237" s="1"/>
    </x:row>
    <x:row r="238" ht="72" customHeight="1" hidden="1">
      <x:c r="A238" s="2" t="str">
        <x:v>Gymnocranius</x:v>
      </x:c>
      <x:c r="B238" s="4" t="n">
        <x:v>3.4</x:v>
      </x:c>
      <x:c r="C238" s="5" t="n">
        <x:v>200.9946121148</x:v>
      </x:c>
      <x:c r="D238" s="5" t="n">
        <x:v>5609.729321974413</x:v>
      </x:c>
      <x:c r="E238" s="2" t="str">
        <x:v>Juvenile demersal fish (&gt; 30 cm) (89.991470%); Adult demersal fish (&gt; 30 cm) (10.008530%)</x:v>
      </x:c>
      <x:c r="F238" s="2" t="str">
        <x:v>Medium</x:v>
      </x:c>
      <x:c r="G238" s="2" t="str">
        <x:v>Regional griseus/frenatus/elongatus/euanus/grandoculis evidence supports bottom-associated emperors with maxima above 30 cm. The checked 35 cm TL and 80 cm TL members support 25 + 26 as a regional assumed genus set, with no dedicated emperor group. Model catch proportions provide the split; allocation confidence remains Medium.</x:v>
      </x:c>
      <x:c r="H238" s="1"/>
      <x:c r="I238" s="1"/>
      <x:c r="J238" s="1"/>
      <x:c r="K238" s="1"/>
    </x:row>
    <x:row r="239" ht="87" customHeight="1">
      <x:c r="A239" s="2" t="str">
        <x:v>Caranx sexfasciatus</x:v>
      </x:c>
      <x:c r="B239" s="4" t="n">
        <x:v>4.5</x:v>
      </x:c>
      <x:c r="C239" s="5" t="n">
        <x:v>13.606269148</x:v>
      </x:c>
      <x:c r="D239" s="5" t="n">
        <x:v>4780.755662773183</x:v>
      </x:c>
      <x:c r="E239" s="2" t="str">
        <x:v>Juvenile large pelagic fish (89.993906%); Pelagic fish (&gt; 30 cm) (10.006094%)</x:v>
      </x:c>
      <x:c r="F239" s="2" t="str">
        <x:v>Low</x:v>
      </x:c>
      <x:c r="G239" s="2" t="str">
        <x:v>FishBase supports pelagic activity, whereas authoritative habitat accounts also use benthic/benthopelagic descriptions. The model explicitly separates benthopelagic fish. Conflicting evidence prevents a Medium exact ecological fit for the retained pelagic pair. Checked species record: 120 cm TL; Marine; freshwater; brackish;  reef-associated; amphidromous;. Model catch proportions provide the split; allocation confidence remains Medium.</x:v>
      </x:c>
      <x:c r="H239" s="1"/>
      <x:c r="I239" s="1"/>
      <x:c r="J239" s="1"/>
      <x:c r="K239" s="1"/>
    </x:row>
    <x:row r="240" ht="42" customHeight="1" hidden="1">
      <x:c r="A240" s="2" t="str">
        <x:v>Sepioteuthis lessoniana</x:v>
      </x:c>
      <x:c r="B240" s="4" t="n">
        <x:v>3.98</x:v>
      </x:c>
      <x:c r="C240" s="5" t="n">
        <x:v>44.2482810127</x:v>
      </x:c>
      <x:c r="D240" s="5" t="n">
        <x:v>4695.197812369063</x:v>
      </x:c>
      <x:c r="E240" s="2" t="str">
        <x:v>Cephalopods (100.000000%)</x:v>
      </x:c>
      <x:c r="F240" s="2" t="str">
        <x:v>High</x:v>
      </x:c>
      <x:c r="G240" s="2" t="str">
        <x:v>Sepioteuthis lessoniana is within Cephalopoda. Biomass estimation from two dominant Loligo species does not restrict the source group to those species or to squid. No split is required.</x:v>
      </x:c>
      <x:c r="H240" s="1"/>
      <x:c r="I240" s="1"/>
      <x:c r="J240" s="1"/>
      <x:c r="K240" s="1"/>
    </x:row>
    <x:row r="241" ht="57" customHeight="1">
      <x:c r="A241" s="2" t="str">
        <x:v>Gerres</x:v>
      </x:c>
      <x:c r="B241" s="4" t="n">
        <x:v>3.27</x:v>
      </x:c>
      <x:c r="C241" s="5" t="n">
        <x:v>216.9204581174</x:v>
      </x:c>
      <x:c r="D241" s="5" t="n">
        <x:v>4488.053274882519</x:v>
      </x:c>
      <x:c r="E241" s="2" t="str">
        <x:v>Benthopelagic fish (100.000000%)</x:v>
      </x:c>
      <x:c r="F241" s="2" t="str">
        <x:v>Low</x:v>
      </x:c>
      <x:c r="G241" s="2" t="str">
        <x:v>The genus includes demersal small G. limbatus 15 cm TL and large G. filamentosus 39 cm TL in the region. Exclusive current 27 does not cover this documented size/habitat diversity without a composition argument. No split is required.</x:v>
      </x:c>
      <x:c r="H241" s="1"/>
      <x:c r="I241" s="1"/>
      <x:c r="J241" s="1"/>
      <x:c r="K241" s="1"/>
    </x:row>
    <x:row r="242" ht="87" customHeight="1" hidden="1">
      <x:c r="A242" s="2" t="str">
        <x:v>Lethrinus miniatus</x:v>
      </x:c>
      <x:c r="B242" s="4" t="n">
        <x:v>4.19</x:v>
      </x:c>
      <x:c r="C242" s="5" t="n">
        <x:v>25.405769537</x:v>
      </x:c>
      <x:c r="D242" s="5" t="n">
        <x:v>4372.097563907344</x:v>
      </x:c>
      <x:c r="E242" s="2" t="str">
        <x:v>Juvenile demersal fish (&gt; 30 cm) (89.991470%); Adult demersal fish (&gt; 30 cm) (10.008530%)</x:v>
      </x:c>
      <x:c r="F242" s="2" t="str">
        <x:v>Medium</x:v>
      </x:c>
      <x:c r="G242" s="2" t="str">
        <x:v>Maximum 90 cm TL and direct behavior—reef shelter followed by feeding over the sandy sea floor—support residual 25 + 26. Reef association and juvenile nursery movements do not create an unresolved species-maximum class. Medium reflects interpreting substrate-associated reef/inshore biology as included in the source residual demersal boundary, which does not explicitly discuss reef fishes. Model catch proportions provide the split; allocation confidence remains Medium.</x:v>
      </x:c>
      <x:c r="H242" s="1"/>
      <x:c r="I242" s="1"/>
      <x:c r="J242" s="1"/>
      <x:c r="K242" s="1"/>
    </x:row>
    <x:row r="243" ht="72" customHeight="1" hidden="1">
      <x:c r="A243" s="2" t="str">
        <x:v>Dussumieria elopsoides</x:v>
      </x:c>
      <x:c r="B243" s="4" t="n">
        <x:v>3.4</x:v>
      </x:c>
      <x:c r="C243" s="5" t="n">
        <x:v>154.452083374</x:v>
      </x:c>
      <x:c r="D243" s="5" t="n">
        <x:v>4310.734361617078</x:v>
      </x:c>
      <x:c r="E243" s="2" t="str">
        <x:v>Pelagic fish (≤ 30 cm) (100.000000%)</x:v>
      </x:c>
      <x:c r="F243" s="2" t="str">
        <x:v>Medium</x:v>
      </x:c>
      <x:c r="G243" s="2" t="str">
        <x:v>Coastal-pelagic ecology and small size support the current pool. Retrieved maximum length is SL, not TL; no independent total-length bound/conversion was recovered, so the model TL criterion remains a supported inference. Checked species record: 20 cm SL; Marine;  pelagic-neritic;. No split is required.</x:v>
      </x:c>
      <x:c r="H243" s="1"/>
      <x:c r="I243" s="1"/>
      <x:c r="J243" s="1"/>
      <x:c r="K243" s="1"/>
    </x:row>
    <x:row r="244" ht="72" customHeight="1">
      <x:c r="A244" s="2" t="str">
        <x:v>Ariomma indica</x:v>
      </x:c>
      <x:c r="B244" s="4" t="n">
        <x:v>3.63</x:v>
      </x:c>
      <x:c r="C244" s="5" t="n">
        <x:v>84.7206777473</x:v>
      </x:c>
      <x:c r="D244" s="5" t="n">
        <x:v>4015.567327332002</x:v>
      </x:c>
      <x:c r="E244" s="2" t="str">
        <x:v>Benthopelagic fish (100.000000%)</x:v>
      </x:c>
      <x:c r="F244" s="2" t="str">
        <x:v>Low</x:v>
      </x:c>
      <x:c r="G244" s="2" t="str">
        <x:v>Its bottom-by-day/water-column-at-night behavior supports benthopelagic placement and excludes a casual 'pomfret' transfer to Stromateidae or Psenopsis. However, the available maximum is 25 cm SL, notTL; it cannot establish the≤ 30 cm TL class that most closely matches final 27's parameters. No split is required.</x:v>
      </x:c>
      <x:c r="H244" s="1"/>
      <x:c r="I244" s="1"/>
      <x:c r="J244" s="1"/>
      <x:c r="K244" s="1"/>
    </x:row>
    <x:row r="245" ht="72" customHeight="1" hidden="1">
      <x:c r="A245" s="2" t="str">
        <x:v>Acanthopagrus schlegelii</x:v>
      </x:c>
      <x:c r="B245" s="4" t="n">
        <x:v>3.24</x:v>
      </x:c>
      <x:c r="C245" s="5" t="n">
        <x:v>181.50238144</x:v>
      </x:c>
      <x:c r="D245" s="5" t="n">
        <x:v>3504.6109876268592</x:v>
      </x:c>
      <x:c r="E245" s="2" t="str">
        <x:v>Juvenile demersal fish (&gt; 30 cm) (89.991470%); Adult demersal fish (&gt; 30 cm) (10.008530%)</x:v>
      </x:c>
      <x:c r="F245" s="2" t="str">
        <x:v>Medium</x:v>
      </x:c>
      <x:c r="G245" s="2" t="str">
        <x:v>Verified demersal sparid ecology, maximum 50 cm SL and regional rocky/brackish coastal habitat satisfy the residual large-demersal criteria. Dedicated croaker, threadfin-bream and snapper families are excluded taxonomically; groups 25 + 26 cover the stage union. Model catch proportions provide the split; allocation confidence remains Medium.</x:v>
      </x:c>
      <x:c r="H245" s="1"/>
      <x:c r="I245" s="1"/>
      <x:c r="J245" s="1"/>
      <x:c r="K245" s="1"/>
    </x:row>
    <x:row r="246" ht="72" customHeight="1" hidden="1">
      <x:c r="A246" s="2" t="str">
        <x:v>Prionace glauca</x:v>
      </x:c>
      <x:c r="B246" s="4" t="n">
        <x:v>4.35</x:v>
      </x:c>
      <x:c r="C246" s="5" t="n">
        <x:v>13.0939444881</x:v>
      </x:c>
      <x:c r="D246" s="5" t="n">
        <x:v>3257.07670141665</x:v>
      </x:c>
      <x:c r="E246" s="2" t="str">
        <x:v>Pelagic sharks and rays (100.000000%)</x:v>
      </x:c>
      <x:c r="F246" s="2" t="str">
        <x:v>High</x:v>
      </x:c>
      <x:c r="G246" s="2" t="str">
        <x:v>Species ecology explicitly supports pelagic elasmobranch membership. The source has no hard size/feeding-guild exclusion or additional stage pool for these sharks. Regional coefficient representativeness is a separate question. Checked species record: 400 cm TL; Marine; brackish;  pelagic-oceanic; oceanodromous. No split is required.</x:v>
      </x:c>
      <x:c r="H246" s="1"/>
      <x:c r="I246" s="1"/>
      <x:c r="J246" s="1"/>
      <x:c r="K246" s="1"/>
    </x:row>
    <x:row r="247" ht="57" customHeight="1" hidden="1">
      <x:c r="A247" s="2" t="str">
        <x:v>Panulirus longipes</x:v>
      </x:c>
      <x:c r="B247" s="4" t="n">
        <x:v>2.6</x:v>
      </x:c>
      <x:c r="C247" s="5" t="n">
        <x:v>719.7378422567</x:v>
      </x:c>
      <x:c r="D247" s="5" t="n">
        <x:v>3183.697732456602</x:v>
      </x:c>
      <x:c r="E247" s="2" t="str">
        <x:v>Benthic crustaceans (100.000000%)</x:v>
      </x:c>
      <x:c r="F247" s="2" t="str">
        <x:v>High</x:v>
      </x:c>
      <x:c r="G247" s="2" t="str">
        <x:v>Panulirus longipes is a benthic lobster lineage in the residual crustacean pool after shrimp/crab exclusions. Oratosquilla is a parameter example, not the complete membership. No split is required.</x:v>
      </x:c>
      <x:c r="H247" s="1"/>
      <x:c r="I247" s="1"/>
      <x:c r="J247" s="1"/>
      <x:c r="K247" s="1"/>
    </x:row>
    <x:row r="248" ht="87" customHeight="1">
      <x:c r="A248" s="2" t="str">
        <x:v>Gnathanodon speciosus</x:v>
      </x:c>
      <x:c r="B248" s="4" t="n">
        <x:v>3.84</x:v>
      </x:c>
      <x:c r="C248" s="5" t="n">
        <x:v>41.3810155573</x:v>
      </x:c>
      <x:c r="D248" s="5" t="n">
        <x:v>3180.963130068719</x:v>
      </x:c>
      <x:c r="E248" s="2" t="str">
        <x:v>Juvenile large pelagic fish (89.993906%); Pelagic fish (&gt; 30 cm) (10.006094%)</x:v>
      </x:c>
      <x:c r="F248" s="2" t="str">
        <x:v>Low</x:v>
      </x:c>
      <x:c r="G248" s="2" t="str">
        <x:v>Its Biology account describes rooting for benthic prey in sand and sucking invertebrates from substrate. Maximum size &gt;30 cm is secure, but species adult ecology emphasizes reef, shelf, near-bottom or bottom-feeding use. It does not close the retained pelagic-only boundary against the model's benthopelagic/demersal alternatives. Checked species record: 120 cm TL; Marine;  reef-associated;. Model catch proportions provide the split; allocation confidence remains Medium.</x:v>
      </x:c>
      <x:c r="H248" s="1"/>
      <x:c r="I248" s="1"/>
      <x:c r="J248" s="1"/>
      <x:c r="K248" s="1"/>
    </x:row>
    <x:row r="249" ht="87" customHeight="1">
      <x:c r="A249" s="2" t="str">
        <x:v>Elops machnata</x:v>
      </x:c>
      <x:c r="B249" s="4" t="n">
        <x:v>3.97</x:v>
      </x:c>
      <x:c r="C249" s="5" t="n">
        <x:v>30.391788875</x:v>
      </x:c>
      <x:c r="D249" s="5" t="n">
        <x:v>3151.4741862786564</x:v>
      </x:c>
      <x:c r="E249" s="2" t="str">
        <x:v>Juvenile large pelagic fish (89.993906%); Pelagic fish (&gt; 30 cm) (10.006094%)</x:v>
      </x:c>
      <x:c r="F249" s="2" t="str">
        <x:v>Low</x:v>
      </x:c>
      <x:c r="G249" s="2" t="str">
        <x:v>The Environment field says pelagic-neritic, but the same species Biology account explicitly says benthopelagic. Maximum 118 cm FL is securely above the size boundary. The habitat conflict leaves the retained large-pelagic pair incompletely supported against group 27. Checked species record: 118 cm FL; Marine; brackish;  pelagic-neritic; oceanodromous. Model catch proportions provide the split; allocation confidence remains Medium.</x:v>
      </x:c>
      <x:c r="H249" s="1"/>
      <x:c r="I249" s="1"/>
      <x:c r="J249" s="1"/>
      <x:c r="K249" s="1"/>
    </x:row>
    <x:row r="250" ht="72" customHeight="1">
      <x:c r="A250" s="2" t="str">
        <x:v>Hemiramphidae</x:v>
      </x:c>
      <x:c r="B250" s="4" t="n">
        <x:v>2.82</x:v>
      </x:c>
      <x:c r="C250" s="5" t="n">
        <x:v>418.7189652536</x:v>
      </x:c>
      <x:c r="D250" s="5" t="n">
        <x:v>3073.8319655508185</x:v>
      </x:c>
      <x:c r="E250" s="2" t="str">
        <x:v>Juvenile large pelagic fish (89.993906%); Pelagic fish (&gt; 30 cm) (10.006094%)</x:v>
      </x:c>
      <x:c r="F250" s="2" t="str">
        <x:v>Low</x:v>
      </x:c>
      <x:c r="G250" s="2" t="str">
        <x:v>Regional halfbeaks include H. limbatus with maximum 22 cm TL and larger Hemiramphus/Hyporhamphus species. The family catch label therefore does not establish that all catch belongs to the adopted &gt;30-cm pelagic pair. Model catch proportions provide the split; allocation confidence remains Medium.</x:v>
      </x:c>
      <x:c r="H250" s="1"/>
      <x:c r="I250" s="1"/>
      <x:c r="J250" s="1"/>
      <x:c r="K250" s="1"/>
    </x:row>
    <x:row r="251" ht="57" customHeight="1">
      <x:c r="A251" s="2" t="str">
        <x:v>Dasyatidae</x:v>
      </x:c>
      <x:c r="B251" s="4" t="n">
        <x:v>3.38</x:v>
      </x:c>
      <x:c r="C251" s="5" t="n">
        <x:v>115.106937631</x:v>
      </x:c>
      <x:c r="D251" s="5" t="n">
        <x:v>3068.025679964068</x:v>
      </x:c>
      <x:c r="E251" s="2" t="str">
        <x:v>Demersal sharks and rays (100.000000%)</x:v>
      </x:c>
      <x:c r="F251" s="2" t="str">
        <x:v>Low</x:v>
      </x:c>
      <x:c r="G251" s="2" t="str">
        <x:v>The family includes pelagic Pteroplatytrygon violacea; published distribution explicitly includes the South China Sea. Large rays reporting context does not establish exclusion of this member from a demersal-only set. No split is required.</x:v>
      </x:c>
      <x:c r="H251" s="1"/>
      <x:c r="I251" s="1"/>
      <x:c r="J251" s="1"/>
      <x:c r="K251" s="1"/>
    </x:row>
    <x:row r="252" ht="42" customHeight="1" hidden="1">
      <x:c r="A252" s="2" t="str">
        <x:v>Penaeus monodon</x:v>
      </x:c>
      <x:c r="B252" s="4" t="n">
        <x:v>2.6</x:v>
      </x:c>
      <x:c r="C252" s="5" t="n">
        <x:v>682.6803651934</x:v>
      </x:c>
      <x:c r="D252" s="5" t="n">
        <x:v>3019.777206439697</x:v>
      </x:c>
      <x:c r="E252" s="2" t="str">
        <x:v>Shrimps (100.000000%)</x:v>
      </x:c>
      <x:c r="F252" s="2" t="str">
        <x:v>High</x:v>
      </x:c>
      <x:c r="G252" s="2" t="str">
        <x:v>Penaeus monodon is a non-Acetes shrimp lineage. Shrimps is broader than the Metapenaeopsis mortality examples; the explicit Acetes/Zooplankton exception is excluded. No split is required.</x:v>
      </x:c>
      <x:c r="H252" s="1"/>
      <x:c r="I252" s="1"/>
      <x:c r="J252" s="1"/>
      <x:c r="K252" s="1"/>
    </x:row>
    <x:row r="253" ht="42" customHeight="1" hidden="1">
      <x:c r="A253" s="2" t="str">
        <x:v>Mytilidae</x:v>
      </x:c>
      <x:c r="B253" s="4" t="n">
        <x:v>2</x:v>
      </x:c>
      <x:c r="C253" s="5" t="n">
        <x:v>2617.3351217324</x:v>
      </x:c>
      <x:c r="D253" s="5" t="n">
        <x:v>2908.150135258222</x:v>
      </x:c>
      <x:c r="E253" s="2" t="str">
        <x:v>Non-ceph molluscs (100.000000%)</x:v>
      </x:c>
      <x:c r="F253" s="2" t="str">
        <x:v>High</x:v>
      </x:c>
      <x:c r="G253" s="2" t="str">
        <x:v>Mytilidae is a non-cephalopod mollusc. The source derives this catch by removing Cephalopoda from mollusc catch; no competing mollusc compartment contains this lineage. No split is required.</x:v>
      </x:c>
      <x:c r="H253" s="1"/>
      <x:c r="I253" s="1"/>
      <x:c r="J253" s="1"/>
      <x:c r="K253" s="1"/>
    </x:row>
    <x:row r="254" ht="42" customHeight="1" hidden="1">
      <x:c r="A254" s="2" t="str">
        <x:v>Octopus</x:v>
      </x:c>
      <x:c r="B254" s="4" t="n">
        <x:v>3.8</x:v>
      </x:c>
      <x:c r="C254" s="5" t="n">
        <x:v>36.8469693115</x:v>
      </x:c>
      <x:c r="D254" s="5" t="n">
        <x:v>2583.207323214134</x:v>
      </x:c>
      <x:c r="E254" s="2" t="str">
        <x:v>Cephalopods (100.000000%)</x:v>
      </x:c>
      <x:c r="F254" s="2" t="str">
        <x:v>High</x:v>
      </x:c>
      <x:c r="G254" s="2" t="str">
        <x:v>Octopus is within Cephalopoda. Biomass estimation from two dominant Loligo species does not restrict the source group to those species or to squid. No split is required.</x:v>
      </x:c>
      <x:c r="H254" s="1"/>
      <x:c r="I254" s="1"/>
      <x:c r="J254" s="1"/>
      <x:c r="K254" s="1"/>
    </x:row>
    <x:row r="255" ht="87" customHeight="1">
      <x:c r="A255" s="2" t="str">
        <x:v>Platycaranx malabaricus</x:v>
      </x:c>
      <x:c r="B255" s="4" t="n">
        <x:v>3.88</x:v>
      </x:c>
      <x:c r="C255" s="5" t="n">
        <x:v>30.6355451946</x:v>
      </x:c>
      <x:c r="D255" s="5" t="n">
        <x:v>2582.159731490736</x:v>
      </x:c>
      <x:c r="E255" s="2" t="str">
        <x:v>Juvenile large pelagic fish (89.993906%); Pelagic fish (&gt; 30 cm) (10.006094%)</x:v>
      </x:c>
      <x:c r="F255" s="2" t="str">
        <x:v>Low</x:v>
      </x:c>
      <x:c r="G255" s="2" t="str">
        <x:v>Adults occur near reefs and rocky bottoms; young use sandy bays. Maximum size &gt;30 cm is secure, but species adult ecology emphasizes reef, shelf, near-bottom or bottom-feeding use. It does not close the retained pelagic-only boundary against the model's benthopelagic/demersal alternatives. Checked species record: 60 cm TL; Marine;  reef-associated; amphidromous. Model catch proportions provide the split; allocation confidence remains Medium.</x:v>
      </x:c>
      <x:c r="H255" s="1"/>
      <x:c r="I255" s="1"/>
      <x:c r="J255" s="1"/>
      <x:c r="K255" s="1"/>
    </x:row>
    <x:row r="256" ht="72" customHeight="1" hidden="1">
      <x:c r="A256" s="2" t="str">
        <x:v>Spratelloides gracilis</x:v>
      </x:c>
      <x:c r="B256" s="4" t="n">
        <x:v>3.06</x:v>
      </x:c>
      <x:c r="C256" s="5" t="n">
        <x:v>128.1837869076</x:v>
      </x:c>
      <x:c r="D256" s="5" t="n">
        <x:v>1635.2742128349519</x:v>
      </x:c>
      <x:c r="E256" s="2" t="str">
        <x:v>Pelagic fish (≤ 30 cm) (100.000000%)</x:v>
      </x:c>
      <x:c r="F256" s="2" t="str">
        <x:v>Medium</x:v>
      </x:c>
      <x:c r="G256" s="2" t="str">
        <x:v>Coastal-pelagic ecology and small size support the current pool. Retrieved maximum length is SL, not TL; no independent total-length bound/conversion was recovered, so the model TL criterion remains a supported inference. Checked species record: 10.5 cm SL; Marine;  pelagic-neritic;. No split is required.</x:v>
      </x:c>
      <x:c r="H256" s="1"/>
      <x:c r="I256" s="1"/>
      <x:c r="J256" s="1"/>
      <x:c r="K256" s="1"/>
    </x:row>
    <x:row r="257" ht="282" customHeight="1" hidden="1">
      <x:c r="A257" s="2" t="str">
        <x:v>Marine groundfishes not identified</x:v>
      </x:c>
      <x:c r="B257" s="4" t="n">
        <x:v>3.22</x:v>
      </x:c>
      <x:c r="C257" s="5" t="n">
        <x:v>87.70005119390001</x:v>
      </x:c>
      <x:c r="D257" s="5" t="n">
        <x:v>1617.1761860333365</x:v>
      </x:c>
      <x:c r="E257" s="2" t="str">
        <x:v>Threadfin bream (nemipterids) (26.614275%); Bigeyes (priacanthids) (8.344811%); Lizard fish (synodontids) (0.947906%); Juvenile Hairtail (trichiurids) (1.134246%); Adult hairtail (trichiurids) (0.291663%); Pomfret (stromateids) (9.681601%); Snappers (0.044560%); Adult groupers (0.360528%); Croakers (≤ 30 cm) (1.421859%); Juvenile large croakers (2.876124%); Croakers (&gt; 30 cm) (0.324070%); Demesral fish (≤ 30 cm) (7.242972%); Juvenile demersal fish (&gt; 30 cm) (12.821032%); Adult demersal fish (&gt; 30 cm) (1.425909%); Benthopelagic fish (24.406546%); Melon seed (2.021389%); Demersal sharks and rays (0.040509%)</x:v>
      </x:c>
      <x:c r="F257" s="2" t="str">
        <x:v>Very low</x:v>
      </x:c>
      <x:c r="G257" s="2" t="str">
        <x:v>Named demersal/benthopelagic fish pools and demersal sharks/rays are a plausible broad groundfish approximation. The unidentified label does not determine the boundaries of benthopelagic named pools or confirm shark inclusion, so this precise candidate set remains unvalidated. Model catch proportions provide the split; allocation confidence remains Medium.</x:v>
      </x:c>
      <x:c r="H257" s="1"/>
      <x:c r="I257" s="1"/>
      <x:c r="J257" s="1"/>
      <x:c r="K257" s="1"/>
    </x:row>
    <x:row r="258" ht="72" customHeight="1">
      <x:c r="A258" s="2" t="str">
        <x:v>Acanthuridae</x:v>
      </x:c>
      <x:c r="B258" s="4" t="n">
        <x:v>2.28</x:v>
      </x:c>
      <x:c r="C258" s="5" t="n">
        <x:v>755.8920112397</x:v>
      </x:c>
      <x:c r="D258" s="5" t="n">
        <x:v>1600.358371599423</x:v>
      </x:c>
      <x:c r="E258" s="2" t="str">
        <x:v>Demesral fish (≤ 30 cm) (100.000000%)</x:v>
      </x:c>
      <x:c r="F258" s="2" t="str">
        <x:v>Low</x:v>
      </x:c>
      <x:c r="G258" s="2" t="str">
        <x:v>Acanthurus xanthopterus reaches 70 cm TL and occurs in the Indo-Pacific. The broad taxon includes regional large-bodied fish and does not itself establish maximum TL &lt;=30 cm. The small-demersal classifier is reporting context, but an exclusion of larger members was not independently documented. No split is required.</x:v>
      </x:c>
      <x:c r="H258" s="1"/>
      <x:c r="I258" s="1"/>
      <x:c r="J258" s="1"/>
      <x:c r="K258" s="1"/>
    </x:row>
    <x:row r="259" ht="72" customHeight="1" hidden="1">
      <x:c r="A259" s="2" t="str">
        <x:v>Scatophagus</x:v>
      </x:c>
      <x:c r="B259" s="4" t="n">
        <x:v>2.75</x:v>
      </x:c>
      <x:c r="C259" s="5" t="n">
        <x:v>253.6834256976</x:v>
      </x:c>
      <x:c r="D259" s="5" t="n">
        <x:v>1585.0741531735093</x:v>
      </x:c>
      <x:c r="E259" s="2" t="str">
        <x:v>Juvenile demersal fish (&gt; 30 cm) (89.991470%); Adult demersal fish (&gt; 30 cm) (10.008530%)</x:v>
      </x:c>
      <x:c r="F259" s="2" t="str">
        <x:v>Medium</x:v>
      </x:c>
      <x:c r="G259" s="2" t="str">
        <x:v>FAO's regional guide recognizes only S. argus in Scatophagus; its documented maximum 45 cm TL and demersal coastal biology support 25 + 26. A globally small S. tetracanthus is not evidence of a South China Sea component without regional support. Model catch proportions provide the split; allocation confidence remains Medium.</x:v>
      </x:c>
      <x:c r="H259" s="1"/>
      <x:c r="I259" s="1"/>
      <x:c r="J259" s="1"/>
      <x:c r="K259" s="1"/>
    </x:row>
    <x:row r="260" ht="57" customHeight="1" hidden="1">
      <x:c r="A260" s="2" t="str">
        <x:v>Solenocera crassicornis</x:v>
      </x:c>
      <x:c r="B260" s="4" t="n">
        <x:v>2.2</x:v>
      </x:c>
      <x:c r="C260" s="5" t="n">
        <x:v>866.9498430803</x:v>
      </x:c>
      <x:c r="D260" s="5" t="n">
        <x:v>1526.6921161146647</x:v>
      </x:c>
      <x:c r="E260" s="2" t="str">
        <x:v>Shrimps (100.000000%)</x:v>
      </x:c>
      <x:c r="F260" s="2" t="str">
        <x:v>High</x:v>
      </x:c>
      <x:c r="G260" s="2" t="str">
        <x:v>Solenocera crassicornis is a non-Acetes shrimp lineage. Shrimps is broader than the Metapenaeopsis mortality examples; the explicit Acetes/Zooplankton exception is excluded. No split is required.</x:v>
      </x:c>
      <x:c r="H260" s="1"/>
      <x:c r="I260" s="1"/>
      <x:c r="J260" s="1"/>
      <x:c r="K260" s="1"/>
    </x:row>
    <x:row r="261" ht="57" customHeight="1" hidden="1">
      <x:c r="A261" s="2" t="str">
        <x:v>Ambassidae</x:v>
      </x:c>
      <x:c r="B261" s="4" t="n">
        <x:v>3.3</x:v>
      </x:c>
      <x:c r="C261" s="5" t="n">
        <x:v>66.9081986927</x:v>
      </x:c>
      <x:c r="D261" s="5" t="n">
        <x:v>1483.3267490443814</x:v>
      </x:c>
      <x:c r="E261" s="2" t="str">
        <x:v>Demesral fish (≤ 30 cm) (100.000000%)</x:v>
      </x:c>
      <x:c r="F261" s="2" t="str">
        <x:v>Medium</x:v>
      </x:c>
      <x:c r="G261" s="2" t="str">
        <x:v>The catch classifier and family ecology support a small reef/demersal interpretation after dedicated pools are excluded. No source reef compartment or complete regional family-by-size boundary was established; the ecological interpretation remains an assumption. No split is required.</x:v>
      </x:c>
      <x:c r="H261" s="1"/>
      <x:c r="I261" s="1"/>
      <x:c r="J261" s="1"/>
      <x:c r="K261" s="1"/>
    </x:row>
    <x:row r="262" ht="57" customHeight="1" hidden="1">
      <x:c r="A262" s="2" t="str">
        <x:v>Stephanolepis cirrhifer</x:v>
      </x:c>
      <x:c r="B262" s="4" t="n">
        <x:v>2.84</x:v>
      </x:c>
      <x:c r="C262" s="5" t="n">
        <x:v>191.6428916267</x:v>
      </x:c>
      <x:c r="D262" s="5" t="n">
        <x:v>1473.1609753756927</x:v>
      </x:c>
      <x:c r="E262" s="2" t="str">
        <x:v>Demesral fish (≤ 30 cm) (100.000000%)</x:v>
      </x:c>
      <x:c r="F262" s="2" t="str">
        <x:v>High</x:v>
      </x:c>
      <x:c r="G262" s="2" t="str">
        <x:v>FishBase classifies the species as demersal and gives maximum TL 30 cm, meeting the source inclusive small-demersal boundary. No dedicated taxonomic pool competes. Checked species record: 30 cm TL; Marine;  demersal; oceanodromous. No split is required.</x:v>
      </x:c>
      <x:c r="H262" s="1"/>
      <x:c r="I262" s="1"/>
      <x:c r="J262" s="1"/>
      <x:c r="K262" s="1"/>
    </x:row>
    <x:row r="263" ht="57" customHeight="1">
      <x:c r="A263" s="2" t="str">
        <x:v>Amblygaster sirm</x:v>
      </x:c>
      <x:c r="B263" s="4" t="n">
        <x:v>3.2</x:v>
      </x:c>
      <x:c r="C263" s="5" t="n">
        <x:v>81.2127113972</x:v>
      </x:c>
      <x:c r="D263" s="5" t="n">
        <x:v>1430.1497048303488</x:v>
      </x:c>
      <x:c r="E263" s="2" t="str">
        <x:v>Pelagic fish (≤ 30 cm) (100.000000%)</x:v>
      </x:c>
      <x:c r="F263" s="2" t="str">
        <x:v>Low</x:v>
      </x:c>
      <x:c r="G263" s="2" t="str">
        <x:v>Pelagic ecology is supported, but maximum 27 cm SL lies near the model 30 cm TL boundary. A verified conversion or same-metric maximum is needed before excluding the large-pelagic pair. Checked species record: 27 cm SL; Marine; brackish;  reef-associated;. No split is required.</x:v>
      </x:c>
      <x:c r="H263" s="1"/>
      <x:c r="I263" s="1"/>
      <x:c r="J263" s="1"/>
      <x:c r="K263" s="1"/>
    </x:row>
    <x:row r="264" ht="72" customHeight="1">
      <x:c r="A264" s="2" t="str">
        <x:v>Ephippidae</x:v>
      </x:c>
      <x:c r="B264" s="4" t="n">
        <x:v>3.57</x:v>
      </x:c>
      <x:c r="C264" s="5" t="n">
        <x:v>33.5542948905</x:v>
      </x:c>
      <x:c r="D264" s="5" t="n">
        <x:v>1385.1780710373334</x:v>
      </x:c>
      <x:c r="E264" s="2" t="str">
        <x:v>Juvenile demersal fish (&gt; 30 cm) (89.991470%); Adult demersal fish (&gt; 30 cm) (10.008530%)</x:v>
      </x:c>
      <x:c r="F264" s="2" t="str">
        <x:v>Low</x:v>
      </x:c>
      <x:c r="G264" s="2" t="str">
        <x:v>Regional FAO accounts show Ephippus orbis 19 cm TL alongside Platax batavianus 65 cm TL and P. orbicularis 50 cm TL. The family therefore crosses the species-maximum threshold, making current 25 + 26 incomplete even before considering reef versus midwater behavior. Model catch proportions provide the split; allocation confidence remains Medium.</x:v>
      </x:c>
      <x:c r="H264" s="1"/>
      <x:c r="I264" s="1"/>
      <x:c r="J264" s="1"/>
      <x:c r="K264" s="1"/>
    </x:row>
    <x:row r="265" ht="57" customHeight="1">
      <x:c r="A265" s="2" t="str">
        <x:v>Hilsa kelee</x:v>
      </x:c>
      <x:c r="B265" s="4" t="n">
        <x:v>3.25</x:v>
      </x:c>
      <x:c r="C265" s="5" t="n">
        <x:v>69.2095534315</x:v>
      </x:c>
      <x:c r="D265" s="5" t="n">
        <x:v>1367.4880427247238</x:v>
      </x:c>
      <x:c r="E265" s="2" t="str">
        <x:v>Pelagic fish (≤ 30 cm) (100.000000%)</x:v>
      </x:c>
      <x:c r="F265" s="2" t="str">
        <x:v>Low</x:v>
      </x:c>
      <x:c r="G265" s="2" t="str">
        <x:v>Verified maximum TL is 35 cm, contradicting the current &lt;=30 cm small-pelagic pool. Pelagic identity remains meaningful, but the current size boundary is not satisfied. Checked species record: 35 cm TL; Marine; freshwater; brackish;  pelagic-neritic; anadromous. No split is required.</x:v>
      </x:c>
      <x:c r="H265" s="1"/>
      <x:c r="I265" s="1"/>
      <x:c r="J265" s="1"/>
      <x:c r="K265" s="1"/>
    </x:row>
    <x:row r="266" ht="72" customHeight="1" hidden="1">
      <x:c r="A266" s="2" t="str">
        <x:v>Makaira</x:v>
      </x:c>
      <x:c r="B266" s="4" t="n">
        <x:v>4.47</x:v>
      </x:c>
      <x:c r="C266" s="5" t="n">
        <x:v>4.0722338833</x:v>
      </x:c>
      <x:c r="D266" s="5" t="n">
        <x:v>1335.3349121709375</x:v>
      </x:c>
      <x:c r="E266" s="2" t="str">
        <x:v>Juvenile large pelagic fish (89.993906%); Pelagic fish (&gt; 30 cm) (10.006094%)</x:v>
      </x:c>
      <x:c r="F266" s="2" t="str">
        <x:v>Medium</x:v>
      </x:c>
      <x:c r="G266" s="2" t="str">
        <x:v>The raw label specifies blue marlins, which are large epipelagic fishes. Their membership in the source's residual large-pelagic pair is supported; historical generic transfers do not alter this shared guild. Model catch proportions provide the split; allocation confidence remains Medium.</x:v>
      </x:c>
      <x:c r="H266" s="1"/>
      <x:c r="I266" s="1"/>
      <x:c r="J266" s="1"/>
      <x:c r="K266" s="1"/>
    </x:row>
    <x:row r="267" ht="72" customHeight="1">
      <x:c r="A267" s="2" t="str">
        <x:v>Acanthurus</x:v>
      </x:c>
      <x:c r="B267" s="4" t="n">
        <x:v>2.03</x:v>
      </x:c>
      <x:c r="C267" s="5" t="n">
        <x:v>1090.3289570771</x:v>
      </x:c>
      <x:c r="D267" s="5" t="n">
        <x:v>1298.1205850752199</x:v>
      </x:c>
      <x:c r="E267" s="2" t="str">
        <x:v>Demesral fish (≤ 30 cm) (100.000000%)</x:v>
      </x:c>
      <x:c r="F267" s="2" t="str">
        <x:v>Low</x:v>
      </x:c>
      <x:c r="G267" s="2" t="str">
        <x:v>Acanthurus xanthopterus reaches 70 cm TL and occurs in the Indo-Pacific. The broad taxon includes regional large-bodied fish and does not itself establish maximum TL &lt;=30 cm. The small-demersal classifier is reporting context, but an exclusion of larger members was not independently documented. No split is required.</x:v>
      </x:c>
      <x:c r="H267" s="1"/>
      <x:c r="I267" s="1"/>
      <x:c r="J267" s="1"/>
      <x:c r="K267" s="1"/>
    </x:row>
    <x:row r="268" ht="57" customHeight="1" hidden="1">
      <x:c r="A268" s="2" t="str">
        <x:v>Cypselurus</x:v>
      </x:c>
      <x:c r="B268" s="4" t="n">
        <x:v>3.4</x:v>
      </x:c>
      <x:c r="C268" s="5" t="n">
        <x:v>43.7729235698</x:v>
      </x:c>
      <x:c r="D268" s="5" t="n">
        <x:v>1221.6956975831833</x:v>
      </x:c>
      <x:c r="E268" s="2" t="str">
        <x:v>Pelagic fish (≤ 30 cm) (100.000000%)</x:v>
      </x:c>
      <x:c r="F268" s="2" t="str">
        <x:v>Medium</x:v>
      </x:c>
      <x:c r="G268" s="2" t="str">
        <x:v>Inventory members include verified &lt;=30 cm TL species and near-boundary 24–26 cm SL records. The small-pelagic catch category supports placement but does not close every total-length predicate. C. poecilopterus cannot alone establish the whole genus. No split is required.</x:v>
      </x:c>
      <x:c r="H268" s="1"/>
      <x:c r="I268" s="1"/>
      <x:c r="J268" s="1"/>
      <x:c r="K268" s="1"/>
    </x:row>
    <x:row r="269" ht="42" customHeight="1" hidden="1">
      <x:c r="A269" s="2" t="str">
        <x:v>Cephea</x:v>
      </x:c>
      <x:c r="B269" s="4" t="n">
        <x:v>3.46</x:v>
      </x:c>
      <x:c r="C269" s="5" t="n">
        <x:v>37.3734653671</x:v>
      </x:c>
      <x:c r="D269" s="5" t="n">
        <x:v>1197.6250166636398</x:v>
      </x:c>
      <x:c r="E269" s="2" t="str">
        <x:v>Jellyfish (100.000000%)</x:v>
      </x:c>
      <x:c r="F269" s="2" t="str">
        <x:v>High</x:v>
      </x:c>
      <x:c r="G269" s="2" t="str">
        <x:v>Cephea is a scyphozoan jellyfish lineage fitting the source Cnidaria-medusae and landed-jellyfish concept, rather than all Cnidaria. No split is required.</x:v>
      </x:c>
      <x:c r="H269" s="1"/>
      <x:c r="I269" s="1"/>
      <x:c r="J269" s="1"/>
      <x:c r="K269" s="1"/>
    </x:row>
    <x:row r="270" ht="57" customHeight="1">
      <x:c r="A270" s="2" t="str">
        <x:v>Siganus canaliculatus</x:v>
      </x:c>
      <x:c r="B270" s="4" t="n">
        <x:v>2.76</x:v>
      </x:c>
      <x:c r="C270" s="5" t="n">
        <x:v>184.6434858169</x:v>
      </x:c>
      <x:c r="D270" s="5" t="n">
        <x:v>1180.5692878687905</x:v>
      </x:c>
      <x:c r="E270" s="2" t="str">
        <x:v>Demesral fish (≤ 30 cm) (100.000000%)</x:v>
      </x:c>
      <x:c r="F270" s="2" t="str">
        <x:v>Low</x:v>
      </x:c>
      <x:c r="G270" s="2" t="str">
        <x:v>The current single small-demersal group 24 requires a species maximum≤ 30 cm TL. The reviewed FishBase account gives 40 cm TL, which conflicts directly with that membership; common or landed fish below 30 cm do not remove the conflict. No split is required.</x:v>
      </x:c>
      <x:c r="H270" s="1"/>
      <x:c r="I270" s="1"/>
      <x:c r="J270" s="1"/>
      <x:c r="K270" s="1"/>
    </x:row>
    <x:row r="271" ht="102" customHeight="1" hidden="1">
      <x:c r="A271" s="2" t="str">
        <x:v>Hyporhamphus sajori</x:v>
      </x:c>
      <x:c r="B271" s="4" t="n">
        <x:v>3.4</x:v>
      </x:c>
      <x:c r="C271" s="5" t="n">
        <x:v>39.9936485108</x:v>
      </x:c>
      <x:c r="D271" s="5" t="n">
        <x:v>1116.2167004537982</x:v>
      </x:c>
      <x:c r="E271" s="2" t="str">
        <x:v>Juvenile large pelagic fish (89.993906%); Pelagic fish (&gt; 30 cm) (10.006094%)</x:v>
      </x:c>
      <x:c r="F271" s="2" t="str">
        <x:v>Medium</x:v>
      </x:c>
      <x:c r="G271"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40 cm TL; Marine; freshwater; brackish;  pelagic-neritic; amphidromous;. Model catch proportions provide the split; allocation confidence remains Medium.</x:v>
      </x:c>
      <x:c r="H271" s="1"/>
      <x:c r="I271" s="1"/>
      <x:c r="J271" s="1"/>
      <x:c r="K271" s="1"/>
    </x:row>
    <x:row r="272" ht="72" customHeight="1" hidden="1">
      <x:c r="A272" s="2" t="str">
        <x:v>Sardinella zunasi</x:v>
      </x:c>
      <x:c r="B272" s="4" t="n">
        <x:v>3.12</x:v>
      </x:c>
      <x:c r="C272" s="5" t="n">
        <x:v>73.2393589178</x:v>
      </x:c>
      <x:c r="D272" s="5" t="n">
        <x:v>1072.7586491215682</x:v>
      </x:c>
      <x:c r="E272" s="2" t="str">
        <x:v>Pelagic fish (≤ 30 cm) (100.000000%)</x:v>
      </x:c>
      <x:c r="F272" s="2" t="str">
        <x:v>High</x:v>
      </x:c>
      <x:c r="G272" s="2" t="str">
        <x:v>Species evidence establishes pelagic habitat and maximum TL &lt;=30 cm. The source defines the small-pelagic pool by these criteria; its named examples are not a closed species list. No dedicated group competes. Checked species record: 18 cm TL; Marine;  pelagic-neritic; oceanodromous. No split is required.</x:v>
      </x:c>
      <x:c r="H272" s="1"/>
      <x:c r="I272" s="1"/>
      <x:c r="J272" s="1"/>
      <x:c r="K272" s="1"/>
    </x:row>
    <x:row r="273" ht="72" customHeight="1" hidden="1">
      <x:c r="A273" s="2" t="str">
        <x:v>Pellona ditchela</x:v>
      </x:c>
      <x:c r="B273" s="4" t="n">
        <x:v>3.37</x:v>
      </x:c>
      <x:c r="C273" s="5" t="n">
        <x:v>38.6001858674</x:v>
      </x:c>
      <x:c r="D273" s="5" t="n">
        <x:v>1005.4185331895993</x:v>
      </x:c>
      <x:c r="E273" s="2" t="str">
        <x:v>Pelagic fish (≤ 30 cm) (100.000000%)</x:v>
      </x:c>
      <x:c r="F273" s="2" t="str">
        <x:v>Medium</x:v>
      </x:c>
      <x:c r="G273" s="2" t="str">
        <x:v>Coastal-pelagic ecology and small size support the current pool. Retrieved maximum length is SL, not TL; no independent total-length bound/conversion was recovered, so the model TL criterion remains a supported inference. Checked species record: 16 cm SL; Marine; freshwater; brackish;  pelagic-neritic; anadromous. No split is required.</x:v>
      </x:c>
      <x:c r="H273" s="1"/>
      <x:c r="I273" s="1"/>
      <x:c r="J273" s="1"/>
      <x:c r="K273" s="1"/>
    </x:row>
    <x:row r="274" ht="42" customHeight="1" hidden="1">
      <x:c r="A274" s="2" t="str">
        <x:v>Apostichopus japonicus</x:v>
      </x:c>
      <x:c r="B274" s="4" t="n">
        <x:v>2.3</x:v>
      </x:c>
      <x:c r="C274" s="5" t="n">
        <x:v>445.9938622275999</x:v>
      </x:c>
      <x:c r="D274" s="5" t="n">
        <x:v>988.749717789058</x:v>
      </x:c>
      <x:c r="E274" s="2" t="str">
        <x:v>Echinoderms (100.000000%)</x:v>
      </x:c>
      <x:c r="F274" s="2" t="str">
        <x:v>High</x:v>
      </x:c>
      <x:c r="G274" s="2" t="str">
        <x:v>Apostichopus japonicus is within Echinodermata, represented by one source compartment without competing size/stage pools. No split is required.</x:v>
      </x:c>
      <x:c r="H274" s="1"/>
      <x:c r="I274" s="1"/>
      <x:c r="J274" s="1"/>
      <x:c r="K274" s="1"/>
    </x:row>
    <x:row r="275" ht="72" customHeight="1" hidden="1">
      <x:c r="A275" s="2" t="str">
        <x:v>Pomadasys argenteus</x:v>
      </x:c>
      <x:c r="B275" s="4" t="n">
        <x:v>3.47</x:v>
      </x:c>
      <x:c r="C275" s="5" t="n">
        <x:v>24.564224811</x:v>
      </x:c>
      <x:c r="D275" s="5" t="n">
        <x:v>805.4907434236732</x:v>
      </x:c>
      <x:c r="E275" s="2" t="str">
        <x:v>Juvenile demersal fish (&gt; 30 cm) (89.991470%); Adult demersal fish (&gt; 30 cm) (10.008530%)</x:v>
      </x:c>
      <x:c r="F275" s="2" t="str">
        <x:v>Medium</x:v>
      </x:c>
      <x:c r="G275" s="2" t="str">
        <x:v>Verified demersal coastal ecology and maximum 70 cm TL satisfy the explicit residual large-demersal criteria, with no dedicated Haemulidae group. Common 25 cm fish do not create group 24 membership; uncertainty for other Pomadasys species does not negate this identified species fit. Model catch proportions provide the split; allocation confidence remains Medium.</x:v>
      </x:c>
      <x:c r="H275" s="1"/>
      <x:c r="I275" s="1"/>
      <x:c r="J275" s="1"/>
      <x:c r="K275" s="1"/>
    </x:row>
    <x:row r="276" ht="57" customHeight="1" hidden="1">
      <x:c r="A276" s="2" t="str">
        <x:v>Panulirus polyphagus</x:v>
      </x:c>
      <x:c r="B276" s="4" t="n">
        <x:v>2.94</x:v>
      </x:c>
      <x:c r="C276" s="5" t="n">
        <x:v>76.19425859299999</x:v>
      </x:c>
      <x:c r="D276" s="5" t="n">
        <x:v>737.3602777577912</x:v>
      </x:c>
      <x:c r="E276" s="2" t="str">
        <x:v>Benthic crustaceans (100.000000%)</x:v>
      </x:c>
      <x:c r="F276" s="2" t="str">
        <x:v>High</x:v>
      </x:c>
      <x:c r="G276" s="2" t="str">
        <x:v>Panulirus polyphagus is a benthic lobster lineage in the residual crustacean pool after shrimp/crab exclusions. Oratosquilla is a parameter example, not the complete membership. No split is required.</x:v>
      </x:c>
      <x:c r="H276" s="1"/>
      <x:c r="I276" s="1"/>
      <x:c r="J276" s="1"/>
      <x:c r="K276" s="1"/>
    </x:row>
    <x:row r="277" ht="57" customHeight="1" hidden="1">
      <x:c r="A277" s="2" t="str">
        <x:v>Penaeus penicillatus</x:v>
      </x:c>
      <x:c r="B277" s="4" t="n">
        <x:v>2.7</x:v>
      </x:c>
      <x:c r="C277" s="5" t="n">
        <x:v>126.8638323037</x:v>
      </x:c>
      <x:c r="D277" s="5" t="n">
        <x:v>706.472590662729</x:v>
      </x:c>
      <x:c r="E277" s="2" t="str">
        <x:v>Shrimps (100.000000%)</x:v>
      </x:c>
      <x:c r="F277" s="2" t="str">
        <x:v>High</x:v>
      </x:c>
      <x:c r="G277" s="2" t="str">
        <x:v>Penaeus penicillatus is a non-Acetes shrimp lineage. Shrimps is broader than the Metapenaeopsis mortality examples; the explicit Acetes/Zooplankton exception is excluded. No split is required.</x:v>
      </x:c>
      <x:c r="H277" s="1"/>
      <x:c r="I277" s="1"/>
      <x:c r="J277" s="1"/>
      <x:c r="K277" s="1"/>
    </x:row>
    <x:row r="278" ht="72" customHeight="1" hidden="1">
      <x:c r="A278" s="2" t="str">
        <x:v>Sardinella albella</x:v>
      </x:c>
      <x:c r="B278" s="4" t="n">
        <x:v>2.68</x:v>
      </x:c>
      <x:c r="C278" s="5" t="n">
        <x:v>130.2866014486</x:v>
      </x:c>
      <x:c r="D278" s="5" t="n">
        <x:v>692.8787564416248</x:v>
      </x:c>
      <x:c r="E278" s="2" t="str">
        <x:v>Pelagic fish (≤ 30 cm) (100.000000%)</x:v>
      </x:c>
      <x:c r="F278" s="2" t="str">
        <x:v>High</x:v>
      </x:c>
      <x:c r="G278" s="2" t="str">
        <x:v>Species evidence establishes pelagic habitat and maximum TL &lt;=30 cm. The source defines the small-pelagic pool by these criteria; its named examples are not a closed species list. No dedicated group competes. Checked species record: 15 cm TL; Marine; brackish;  pelagic-neritic;. No split is required.</x:v>
      </x:c>
      <x:c r="H278" s="1"/>
      <x:c r="I278" s="1"/>
      <x:c r="J278" s="1"/>
      <x:c r="K278" s="1"/>
    </x:row>
    <x:row r="279" ht="72" customHeight="1">
      <x:c r="A279" s="2" t="str">
        <x:v>Plotosidae</x:v>
      </x:c>
      <x:c r="B279" s="4" t="n">
        <x:v>3.49</x:v>
      </x:c>
      <x:c r="C279" s="5" t="n">
        <x:v>19.9022955015</x:v>
      </x:c>
      <x:c r="D279" s="5" t="n">
        <x:v>683.377476498014</x:v>
      </x:c>
      <x:c r="E279" s="2" t="str">
        <x:v>Juvenile demersal fish (&gt; 30 cm) (89.991470%); Adult demersal fish (&gt; 30 cm) (10.008530%)</x:v>
      </x:c>
      <x:c r="F279" s="2" t="str">
        <x:v>Low</x:v>
      </x:c>
      <x:c r="G279" s="2" t="str">
        <x:v>The family contains the Western Pacific small Plotosus nhatrangensis 24.3 cm TL and larger P. lineatus/P. canius. Current 25 + 26 does not establish coverage of all relevant species-size classes, regardless of the approved age split. Model catch proportions provide the split; allocation confidence remains Medium.</x:v>
      </x:c>
      <x:c r="H279" s="1"/>
      <x:c r="I279" s="1"/>
      <x:c r="J279" s="1"/>
      <x:c r="K279" s="1"/>
    </x:row>
    <x:row r="280" ht="57" customHeight="1" hidden="1">
      <x:c r="A280" s="2" t="str">
        <x:v>Chaetodontidae</x:v>
      </x:c>
      <x:c r="B280" s="4" t="n">
        <x:v>3.24</x:v>
      </x:c>
      <x:c r="C280" s="5" t="n">
        <x:v>30.9373729071</x:v>
      </x:c>
      <x:c r="D280" s="5" t="n">
        <x:v>597.366580858743</x:v>
      </x:c>
      <x:c r="E280" s="2" t="str">
        <x:v>Demesral fish (≤ 30 cm) (100.000000%)</x:v>
      </x:c>
      <x:c r="F280" s="2" t="str">
        <x:v>Medium</x:v>
      </x:c>
      <x:c r="G280" s="2" t="str">
        <x:v>The catch classifier and family ecology support a small reef/demersal interpretation after dedicated pools are excluded. No source reef compartment or complete regional family-by-size boundary was established; the ecological interpretation remains an assumption. No split is required.</x:v>
      </x:c>
      <x:c r="H280" s="1"/>
      <x:c r="I280" s="1"/>
      <x:c r="J280" s="1"/>
      <x:c r="K280" s="1"/>
    </x:row>
    <x:row r="281" ht="72" customHeight="1">
      <x:c r="A281" s="2" t="str">
        <x:v>Labridae</x:v>
      </x:c>
      <x:c r="B281" s="4" t="n">
        <x:v>3.46</x:v>
      </x:c>
      <x:c r="C281" s="5" t="n">
        <x:v>17.7866468793</x:v>
      </x:c>
      <x:c r="D281" s="5" t="n">
        <x:v>569.9694437209971</x:v>
      </x:c>
      <x:c r="E281" s="2" t="str">
        <x:v>Juvenile demersal fish (&gt; 30 cm) (89.991470%); Adult demersal fish (&gt; 30 cm) (10.008530%)</x:v>
      </x:c>
      <x:c r="F281" s="2" t="str">
        <x:v>Low</x:v>
      </x:c>
      <x:c r="G281" s="2" t="str">
        <x:v>A documented regional wrasse, Halichoeres trimaculatus, reaches 27 cm TL and forages on sand/rubble invertebrates. The family therefore cannot be assigned only to&gt; 30 cm demersal groups 25 + 26; its reef label does not remove the small-species candidate. Model catch proportions provide the split; allocation confidence remains Medium.</x:v>
      </x:c>
      <x:c r="H281" s="1"/>
      <x:c r="I281" s="1"/>
      <x:c r="J281" s="1"/>
      <x:c r="K281" s="1"/>
    </x:row>
    <x:row r="282" ht="87" customHeight="1" hidden="1">
      <x:c r="A282" s="2" t="str">
        <x:v>Drepane punctata</x:v>
      </x:c>
      <x:c r="B282" s="4" t="n">
        <x:v>3.32</x:v>
      </x:c>
      <x:c r="C282" s="5" t="n">
        <x:v>24.4966207517</x:v>
      </x:c>
      <x:c r="D282" s="5" t="n">
        <x:v>568.6743883947286</x:v>
      </x:c>
      <x:c r="E282" s="2" t="str">
        <x:v>Juvenile demersal fish (&gt; 30 cm) (89.991470%); Adult demersal fish (&gt; 30 cm) (10.008530%)</x:v>
      </x:c>
      <x:c r="F282" s="2" t="str">
        <x:v>Medium</x:v>
      </x:c>
      <x:c r="G282" s="2" t="str">
        <x:v>Maximum 50 cm TL and documented sand/mud, estuarine and bottom-feeding behavior support 25 + 26. A common 25 cm TL size and generic reef-associated field do not contradict the species-maximum and demersal criteria. Medium reflects interpreting substrate-associated reef/inshore biology as included in the source residual demersal boundary, which does not explicitly discuss reef fishes. Model catch proportions provide the split; allocation confidence remains Medium.</x:v>
      </x:c>
      <x:c r="H282" s="1"/>
      <x:c r="I282" s="1"/>
      <x:c r="J282" s="1"/>
      <x:c r="K282" s="1"/>
    </x:row>
    <x:row r="283" ht="72" customHeight="1" hidden="1">
      <x:c r="A283" s="2" t="str">
        <x:v>Batoidea</x:v>
      </x:c>
      <x:c r="B283" s="4" t="n">
        <x:v>3.72</x:v>
      </x:c>
      <x:c r="C283" s="5" t="n">
        <x:v>8.2236930981</x:v>
      </x:c>
      <x:c r="D283" s="5" t="n">
        <x:v>479.5394987430497</x:v>
      </x:c>
      <x:c r="E283" s="2" t="str">
        <x:v>Demersal sharks and rays (58.823529%); Pelagic sharks and rays (41.176471%)</x:v>
      </x:c>
      <x:c r="F283" s="2" t="str">
        <x:v>Medium</x:v>
      </x:c>
      <x:c r="G283" s="2" t="str">
        <x:v>The verified lineage is wholly elasmobranch and the current mapping includes both members of the source demersal/pelagic partition. No third shark/ray compartment is omitted. Composition remains allocation uncertainty. Model catch proportions provide the split; allocation confidence remains Medium.</x:v>
      </x:c>
      <x:c r="H283" s="1"/>
      <x:c r="I283" s="1"/>
      <x:c r="J283" s="1"/>
      <x:c r="K283" s="1"/>
    </x:row>
    <x:row r="284" ht="57" customHeight="1" hidden="1">
      <x:c r="A284" s="2" t="str">
        <x:v>Pteriomorphia</x:v>
      </x:c>
      <x:c r="B284" s="4" t="n">
        <x:v>2.27</x:v>
      </x:c>
      <x:c r="C284" s="5" t="n">
        <x:v>224.326600921</x:v>
      </x:c>
      <x:c r="D284" s="5" t="n">
        <x:v>464.1285310958875</x:v>
      </x:c>
      <x:c r="E284" s="2" t="str">
        <x:v>Non-ceph molluscs (100.000000%)</x:v>
      </x:c>
      <x:c r="F284" s="2" t="str">
        <x:v>High</x:v>
      </x:c>
      <x:c r="G284" s="2" t="str">
        <x:v>Pteriomorphia is a non-cephalopod mollusc. The source derives this catch by removing Cephalopoda from mollusc catch; no competing mollusc compartment contains this lineage. No split is required.</x:v>
      </x:c>
      <x:c r="H284" s="1"/>
      <x:c r="I284" s="1"/>
      <x:c r="J284" s="1"/>
      <x:c r="K284" s="1"/>
    </x:row>
    <x:row r="285" ht="57" customHeight="1" hidden="1">
      <x:c r="A285" s="2" t="str">
        <x:v>Macolor</x:v>
      </x:c>
      <x:c r="B285" s="4" t="n">
        <x:v>3.99</x:v>
      </x:c>
      <x:c r="C285" s="5" t="n">
        <x:v>4.0339936916</x:v>
      </x:c>
      <x:c r="D285" s="5" t="n">
        <x:v>438.01875383693977</x:v>
      </x:c>
      <x:c r="E285" s="2" t="str">
        <x:v>Snappers (100.000000%)</x:v>
      </x:c>
      <x:c r="F285" s="2" t="str">
        <x:v>High</x:v>
      </x:c>
      <x:c r="G285" s="2" t="str">
        <x:v>Macolor is within Lutjanidae, expressly used as the source group boundary. Parameter species are examples, not a closed list; residual size/habitat pools do not compete. No split is required.</x:v>
      </x:c>
      <x:c r="H285" s="1"/>
      <x:c r="I285" s="1"/>
      <x:c r="J285" s="1"/>
      <x:c r="K285" s="1"/>
    </x:row>
    <x:row r="286" ht="72" customHeight="1">
      <x:c r="A286" s="2" t="str">
        <x:v>Scarus</x:v>
      </x:c>
      <x:c r="B286" s="4" t="n">
        <x:v>2</x:v>
      </x:c>
      <x:c r="C286" s="5" t="n">
        <x:v>298.5620454713</x:v>
      </x:c>
      <x:c r="D286" s="5" t="n">
        <x:v>331.73560607922224</x:v>
      </x:c>
      <x:c r="E286" s="2" t="str">
        <x:v>Juvenile demersal fish (&gt; 30 cm) (89.991470%); Adult demersal fish (&gt; 30 cm) (10.008530%)</x:v>
      </x:c>
      <x:c r="F286" s="2" t="str">
        <x:v>Low</x:v>
      </x:c>
      <x:c r="G286" s="2" t="str">
        <x:v>Scarus fuscocaudalis is a regional 25 cm TL parrotfish, so current 25 + 26 excludes a supported small species. The genus contains larger members, but their existence does not establish an all-large genus catch composition. Model catch proportions provide the split; allocation confidence remains Medium.</x:v>
      </x:c>
      <x:c r="H286" s="1"/>
      <x:c r="I286" s="1"/>
      <x:c r="J286" s="1"/>
      <x:c r="K286" s="1"/>
    </x:row>
    <x:row r="287" ht="72" customHeight="1" hidden="1">
      <x:c r="A287" s="2" t="str">
        <x:v>Nibea albiflora</x:v>
      </x:c>
      <x:c r="B287" s="4" t="n">
        <x:v>3.5</x:v>
      </x:c>
      <x:c r="C287" s="5" t="n">
        <x:v>8.4658808641</x:v>
      </x:c>
      <x:c r="D287" s="5" t="n">
        <x:v>297.4607325576713</x:v>
      </x:c>
      <x:c r="E287" s="2" t="str">
        <x:v>Juvenile large croakers (89.873418%); Croakers (&gt; 30 cm) (10.126582%)</x:v>
      </x:c>
      <x:c r="F287" s="2" t="str">
        <x:v>Medium</x:v>
      </x:c>
      <x:c r="G287" s="2" t="str">
        <x:v>Sciaenidae membership and maximum 43.5 cm SL satisfy the source's explicit large-croaker definition. Dedicated 22 + 23 takes precedence over a generic benthopelagic label; the set already covers both juvenile and adult stages. Model catch proportions provide the split; allocation confidence remains Medium.</x:v>
      </x:c>
      <x:c r="H287" s="1"/>
      <x:c r="I287" s="1"/>
      <x:c r="J287" s="1"/>
      <x:c r="K287" s="1"/>
    </x:row>
    <x:row r="288" ht="72" customHeight="1">
      <x:c r="A288" s="2" t="str">
        <x:v>Hyporhamphus</x:v>
      </x:c>
      <x:c r="B288" s="4" t="n">
        <x:v>3.3</x:v>
      </x:c>
      <x:c r="C288" s="5" t="n">
        <x:v>13.325941559</x:v>
      </x:c>
      <x:c r="D288" s="5" t="n">
        <x:v>295.4305444905592</x:v>
      </x:c>
      <x:c r="E288" s="2" t="str">
        <x:v>Juvenile large pelagic fish (89.993906%); Pelagic fish (&gt; 30 cm) (10.006094%)</x:v>
      </x:c>
      <x:c r="F288" s="2" t="str">
        <x:v>Low</x:v>
      </x:c>
      <x:c r="G288" s="2" t="str">
        <x:v>The genus includes small H. limbatus and larger H. quoyi, with documented maxima on opposite sides of 30 cm TL. The species mixture is unknown, so the adopted large-pelagic pair does not cover an established whole-genus set. Model catch proportions provide the split; allocation confidence remains Medium.</x:v>
      </x:c>
      <x:c r="H288" s="1"/>
      <x:c r="I288" s="1"/>
      <x:c r="J288" s="1"/>
      <x:c r="K288" s="1"/>
    </x:row>
    <x:row r="289" ht="72" customHeight="1">
      <x:c r="A289" s="2" t="str">
        <x:v>Scaridae</x:v>
      </x:c>
      <x:c r="B289" s="4" t="n">
        <x:v>2</x:v>
      </x:c>
      <x:c r="C289" s="5" t="n">
        <x:v>256.1387966234</x:v>
      </x:c>
      <x:c r="D289" s="5" t="n">
        <x:v>284.59866291488896</x:v>
      </x:c>
      <x:c r="E289" s="2" t="str">
        <x:v>Juvenile demersal fish (&gt; 30 cm) (89.991470%); Adult demersal fish (&gt; 30 cm) (10.008530%)</x:v>
      </x:c>
      <x:c r="F289" s="2" t="str">
        <x:v>Low</x:v>
      </x:c>
      <x:c r="G289" s="2" t="str">
        <x:v>The family includes regional Scarus fuscocaudalis with maximum 25 cm TL as well as large parrotfishes. Current 25 + 26 therefore omit a small-species candidate; newer family-level taxonomy does not erase the model's size criterion. Model catch proportions provide the split; allocation confidence remains Medium.</x:v>
      </x:c>
      <x:c r="H289" s="1"/>
      <x:c r="I289" s="1"/>
      <x:c r="J289" s="1"/>
      <x:c r="K289" s="1"/>
    </x:row>
    <x:row r="290" ht="72" customHeight="1" hidden="1">
      <x:c r="A290" s="2" t="str">
        <x:v>Carcharhinus longimanus</x:v>
      </x:c>
      <x:c r="B290" s="4" t="n">
        <x:v>4.16</x:v>
      </x:c>
      <x:c r="C290" s="5" t="n">
        <x:v>1.7075742361</x:v>
      </x:c>
      <x:c r="D290" s="5" t="n">
        <x:v>274.2439680400041</x:v>
      </x:c>
      <x:c r="E290" s="2" t="str">
        <x:v>Pelagic sharks and rays (100.000000%)</x:v>
      </x:c>
      <x:c r="F290" s="2" t="str">
        <x:v>High</x:v>
      </x:c>
      <x:c r="G290" s="2" t="str">
        <x:v>Species ecology explicitly supports pelagic elasmobranch membership. The source has no hard size/feeding-guild exclusion or additional stage pool for these sharks. Regional coefficient representativeness is a separate question. Checked species record: 400 cm TL; Marine;  pelagic-oceanic; oceanodromous. No split is required.</x:v>
      </x:c>
      <x:c r="H290" s="1"/>
      <x:c r="I290" s="1"/>
      <x:c r="J290" s="1"/>
      <x:c r="K290" s="1"/>
    </x:row>
    <x:row r="291" ht="42" customHeight="1" hidden="1">
      <x:c r="A291" s="2" t="str">
        <x:v>Panulirus</x:v>
      </x:c>
      <x:c r="B291" s="4" t="n">
        <x:v>2.6</x:v>
      </x:c>
      <x:c r="C291" s="5" t="n">
        <x:v>54.9079295362</x:v>
      </x:c>
      <x:c r="D291" s="5" t="n">
        <x:v>242.88044965119317</x:v>
      </x:c>
      <x:c r="E291" s="2" t="str">
        <x:v>Benthic crustaceans (100.000000%)</x:v>
      </x:c>
      <x:c r="F291" s="2" t="str">
        <x:v>High</x:v>
      </x:c>
      <x:c r="G291" s="2" t="str">
        <x:v>Panulirus is a benthic lobster lineage in the residual crustacean pool after shrimp/crab exclusions. Oratosquilla is a parameter example, not the complete membership. No split is required.</x:v>
      </x:c>
      <x:c r="H291" s="1"/>
      <x:c r="I291" s="1"/>
      <x:c r="J291" s="1"/>
      <x:c r="K291" s="1"/>
    </x:row>
    <x:row r="292" ht="72" customHeight="1" hidden="1">
      <x:c r="A292" s="2" t="str">
        <x:v>Lampris guttatus</x:v>
      </x:c>
      <x:c r="B292" s="4" t="n">
        <x:v>4.22</x:v>
      </x:c>
      <x:c r="C292" s="5" t="n">
        <x:v>1.1288504099</x:v>
      </x:c>
      <x:c r="D292" s="5" t="n">
        <x:v>208.15837341395147</x:v>
      </x:c>
      <x:c r="E292" s="2" t="str">
        <x:v>Juvenile large pelagic fish (89.993906%); Pelagic fish (&gt; 30 cm) (10.006094%)</x:v>
      </x:c>
      <x:c r="F292" s="2" t="str">
        <x:v>Very low</x:v>
      </x:c>
      <x:c r="G292" s="2" t="str">
        <x:v>The historical opah label represents offshore deep-living fishes and a subsequently divided species complex. The adopted shelf large-pelagic pair remains a closest represented analogue without an established link to the source guild's sampled assemblage. Model catch proportions provide the split; allocation confidence remains Medium.</x:v>
      </x:c>
      <x:c r="H292" s="1"/>
      <x:c r="I292" s="1"/>
      <x:c r="J292" s="1"/>
      <x:c r="K292" s="1"/>
    </x:row>
    <x:row r="293" ht="57" customHeight="1" hidden="1">
      <x:c r="A293" s="2" t="str">
        <x:v>Perna viridis</x:v>
      </x:c>
      <x:c r="B293" s="4" t="n">
        <x:v>2</x:v>
      </x:c>
      <x:c r="C293" s="5" t="n">
        <x:v>176.9553851658</x:v>
      </x:c>
      <x:c r="D293" s="5" t="n">
        <x:v>196.61709462866668</x:v>
      </x:c>
      <x:c r="E293" s="2" t="str">
        <x:v>Non-ceph molluscs (100.000000%)</x:v>
      </x:c>
      <x:c r="F293" s="2" t="str">
        <x:v>High</x:v>
      </x:c>
      <x:c r="G293" s="2" t="str">
        <x:v>Perna viridis is a non-cephalopod mollusc. The source derives this catch by removing Cephalopoda from mollusc catch; no competing mollusc compartment contains this lineage. No split is required.</x:v>
      </x:c>
      <x:c r="H293" s="1"/>
      <x:c r="I293" s="1"/>
      <x:c r="J293" s="1"/>
      <x:c r="K293" s="1"/>
    </x:row>
    <x:row r="294" ht="57" customHeight="1" hidden="1">
      <x:c r="A294" s="2" t="str">
        <x:v>Ruditapes philippinarum</x:v>
      </x:c>
      <x:c r="B294" s="4" t="n">
        <x:v>2</x:v>
      </x:c>
      <x:c r="C294" s="5" t="n">
        <x:v>162.2976949297</x:v>
      </x:c>
      <x:c r="D294" s="5" t="n">
        <x:v>180.3307721441111</x:v>
      </x:c>
      <x:c r="E294" s="2" t="str">
        <x:v>Non-ceph molluscs (100.000000%)</x:v>
      </x:c>
      <x:c r="F294" s="2" t="str">
        <x:v>High</x:v>
      </x:c>
      <x:c r="G294" s="2" t="str">
        <x:v>Ruditapes philippinarum is a non-cephalopod mollusc. The source derives this catch by removing Cephalopoda from mollusc catch; no competing mollusc compartment contains this lineage. No split is required.</x:v>
      </x:c>
      <x:c r="H294" s="1"/>
      <x:c r="I294" s="1"/>
      <x:c r="J294" s="1"/>
      <x:c r="K294" s="1"/>
    </x:row>
    <x:row r="295" ht="72" customHeight="1">
      <x:c r="A295" s="2" t="str">
        <x:v>Aluterus</x:v>
      </x:c>
      <x:c r="B295" s="4" t="n">
        <x:v>2.81</x:v>
      </x:c>
      <x:c r="C295" s="5" t="n">
        <x:v>24.1529479837</x:v>
      </x:c>
      <x:c r="D295" s="5" t="n">
        <x:v>173.27170010366623</x:v>
      </x:c>
      <x:c r="E295" s="2" t="str">
        <x:v>Juvenile demersal fish (&gt; 30 cm) (89.991470%); Adult demersal fish (&gt; 30 cm) (10.008530%)</x:v>
      </x:c>
      <x:c r="F295" s="2" t="str">
        <x:v>Low</x:v>
      </x:c>
      <x:c r="G295" s="2" t="str">
        <x:v>The genus is large, but A. monoceros is explicitly benthopelagic, with pelagic juveniles and adults schooling under weed rafts. A. scriptus's reef association and benthic feeding do not establish exclusively demersal 25 + 26 for the genus. Model catch proportions provide the split; allocation confidence remains Medium.</x:v>
      </x:c>
      <x:c r="H295" s="1"/>
      <x:c r="I295" s="1"/>
      <x:c r="J295" s="1"/>
      <x:c r="K295" s="1"/>
    </x:row>
    <x:row r="296" ht="42" customHeight="1" hidden="1">
      <x:c r="A296" s="2" t="str">
        <x:v>Ranina ranina</x:v>
      </x:c>
      <x:c r="B296" s="4" t="n">
        <x:v>3.92</x:v>
      </x:c>
      <x:c r="C296" s="5" t="n">
        <x:v>1.7129909855</x:v>
      </x:c>
      <x:c r="D296" s="5" t="n">
        <x:v>158.31153799604007</x:v>
      </x:c>
      <x:c r="E296" s="2" t="str">
        <x:v>Crabs (100.000000%)</x:v>
      </x:c>
      <x:c r="F296" s="2" t="str">
        <x:v>High</x:v>
      </x:c>
      <x:c r="G296" s="2" t="str">
        <x:v>Ranina ranina is a true-crab lineage within Crabs. The residual benthic-crustacean group expressly excludes crabs, so is not a competing placement. No split is required.</x:v>
      </x:c>
      <x:c r="H296" s="1"/>
      <x:c r="I296" s="1"/>
      <x:c r="J296" s="1"/>
      <x:c r="K296" s="1"/>
    </x:row>
    <x:row r="297" ht="72" customHeight="1">
      <x:c r="A297" s="2" t="str">
        <x:v>Siganidae</x:v>
      </x:c>
      <x:c r="B297" s="4" t="n">
        <x:v>2.11</x:v>
      </x:c>
      <x:c r="C297" s="5" t="n">
        <x:v>92.43054463419999</x:v>
      </x:c>
      <x:c r="D297" s="5" t="n">
        <x:v>132.30400854195597</x:v>
      </x:c>
      <x:c r="E297" s="2" t="str">
        <x:v>Juvenile demersal fish (&gt; 30 cm) (89.991470%); Adult demersal fish (&gt; 30 cm) (10.008530%)</x:v>
      </x:c>
      <x:c r="F297" s="2" t="str">
        <x:v>Low</x:v>
      </x:c>
      <x:c r="G297" s="2" t="str">
        <x:v>The regional family spans maximum species total lengths: S. spinus reaches 28 cm TL and S. javus 53 cm TL. Current 25 + 26 therefore omits the small-species class. S. javus also has documented midwater behavior, so bottom-associated grazing alone does not establish one habitat for all components. Model catch proportions provide the split; allocation confidence remains Medium.</x:v>
      </x:c>
      <x:c r="H297" s="1"/>
      <x:c r="I297" s="1"/>
      <x:c r="J297" s="1"/>
      <x:c r="K297" s="1"/>
    </x:row>
    <x:row r="298" ht="72" customHeight="1">
      <x:c r="A298" s="2" t="str">
        <x:v>Chanos chanos</x:v>
      </x:c>
      <x:c r="B298" s="4" t="n">
        <x:v>2.03</x:v>
      </x:c>
      <x:c r="C298" s="5" t="n">
        <x:v>102.3092797947</x:v>
      </x:c>
      <x:c r="D298" s="5" t="n">
        <x:v>121.80707600552978</x:v>
      </x:c>
      <x:c r="E298" s="2" t="str">
        <x:v>Benthopelagic fish (100.000000%)</x:v>
      </x:c>
      <x:c r="F298" s="2" t="str">
        <x:v>Low</x:v>
      </x:c>
      <x:c r="G298" s="2" t="str">
        <x:v>FAO reports a very large species (180 cm SL) with coastal nursery and marine habitat shifts. This does not establish sole membership in final 27, whose parameters resemble the appendix small-benthopelagic group; size scope and adult water-column use remain material. No split is required.</x:v>
      </x:c>
      <x:c r="H298" s="1"/>
      <x:c r="I298" s="1"/>
      <x:c r="J298" s="1"/>
      <x:c r="K298" s="1"/>
    </x:row>
    <x:row r="299" ht="72" customHeight="1">
      <x:c r="A299" s="2" t="str">
        <x:v>Anguilliformes</x:v>
      </x:c>
      <x:c r="B299" s="4" t="n">
        <x:v>3.89</x:v>
      </x:c>
      <x:c r="C299" s="5" t="n">
        <x:v>1.3692809169</x:v>
      </x:c>
      <x:c r="D299" s="5" t="n">
        <x:v>118.10004039981294</x:v>
      </x:c>
      <x:c r="E299" s="2" t="str">
        <x:v>Juvenile demersal fish (&gt; 30 cm) (89.991470%); Adult demersal fish (&gt; 30 cm) (10.008530%)</x:v>
      </x:c>
      <x:c r="F299" s="2" t="str">
        <x:v>Low</x:v>
      </x:c>
      <x:c r="G299" s="2" t="str">
        <x:v>The broad eel order includes large bottom-associated Muraenesox/Conger but also the regional benthic moray Gymnothorax melatremus at 30 cm TL and small congrids. Thus current 25 + 26 is a demonstrably partial size set, rather than simply uncertain because the label is broad. Model catch proportions provide the split; allocation confidence remains Medium.</x:v>
      </x:c>
      <x:c r="H299" s="1"/>
      <x:c r="I299" s="1"/>
      <x:c r="J299" s="1"/>
      <x:c r="K299" s="1"/>
    </x:row>
    <x:row r="300" ht="72" customHeight="1" hidden="1">
      <x:c r="A300" s="2" t="str">
        <x:v>Isurus oxyrinchus</x:v>
      </x:c>
      <x:c r="B300" s="4" t="n">
        <x:v>4.5</x:v>
      </x:c>
      <x:c r="C300" s="5" t="n">
        <x:v>0.3033869186</x:v>
      </x:c>
      <x:c r="D300" s="5" t="n">
        <x:v>106.59929723067805</x:v>
      </x:c>
      <x:c r="E300" s="2" t="str">
        <x:v>Pelagic sharks and rays (100.000000%)</x:v>
      </x:c>
      <x:c r="F300" s="2" t="str">
        <x:v>High</x:v>
      </x:c>
      <x:c r="G300" s="2" t="str">
        <x:v>Species ecology explicitly supports pelagic elasmobranch membership. The source has no hard size/feeding-guild exclusion or additional stage pool for these sharks. Regional coefficient representativeness is a separate question. Checked species record: 445 cm TL; Marine;  pelagic-oceanic; oceanodromous. No split is required.</x:v>
      </x:c>
      <x:c r="H300" s="1"/>
      <x:c r="I300" s="1"/>
      <x:c r="J300" s="1"/>
      <x:c r="K300" s="1"/>
    </x:row>
    <x:row r="301" ht="72" customHeight="1" hidden="1">
      <x:c r="A301" s="2" t="str">
        <x:v>Kajikia audax</x:v>
      </x:c>
      <x:c r="B301" s="4" t="n">
        <x:v>4.58</x:v>
      </x:c>
      <x:c r="C301" s="5" t="n">
        <x:v>0.2452607026</x:v>
      </x:c>
      <x:c r="D301" s="5" t="n">
        <x:v>103.60613162516746</x:v>
      </x:c>
      <x:c r="E301" s="2" t="str">
        <x:v>Juvenile large pelagic fish (89.993906%); Pelagic fish (&gt; 30 cm) (10.006094%)</x:v>
      </x:c>
      <x:c r="F301" s="2" t="str">
        <x:v>Medium</x:v>
      </x:c>
      <x:c r="G301" s="2" t="str">
        <x:v>The verified Tetrapturus audax–Kajikia audax identity connects the FAO evidence to striped marlin. Size above 30 cm and epipelagic ecology fully satisfy the generic large-pelagic definition with no competing pool; groups 30+31 cover both stages. Model catch proportions provide the split; allocation confidence remains Medium.</x:v>
      </x:c>
      <x:c r="H301" s="1"/>
      <x:c r="I301" s="1"/>
      <x:c r="J301" s="1"/>
      <x:c r="K301" s="1"/>
    </x:row>
    <x:row r="302" ht="57" customHeight="1" hidden="1">
      <x:c r="A302" s="2" t="str">
        <x:v>Haliotidae</x:v>
      </x:c>
      <x:c r="B302" s="4" t="n">
        <x:v>2</x:v>
      </x:c>
      <x:c r="C302" s="5" t="n">
        <x:v>87.4813549519</x:v>
      </x:c>
      <x:c r="D302" s="5" t="n">
        <x:v>97.20150550211112</x:v>
      </x:c>
      <x:c r="E302" s="2" t="str">
        <x:v>Non-ceph molluscs (100.000000%)</x:v>
      </x:c>
      <x:c r="F302" s="2" t="str">
        <x:v>High</x:v>
      </x:c>
      <x:c r="G302" s="2" t="str">
        <x:v>Haliotidae is a non-cephalopod mollusc. The source derives this catch by removing Cephalopoda from mollusc catch; no competing mollusc compartment contains this lineage. No split is required.</x:v>
      </x:c>
      <x:c r="H302" s="1"/>
      <x:c r="I302" s="1"/>
      <x:c r="J302" s="1"/>
      <x:c r="K302" s="1"/>
    </x:row>
    <x:row r="303" ht="57" customHeight="1" hidden="1">
      <x:c r="A303" s="2" t="str">
        <x:v>Magallana gigas</x:v>
      </x:c>
      <x:c r="B303" s="4" t="n">
        <x:v>2</x:v>
      </x:c>
      <x:c r="C303" s="5" t="n">
        <x:v>65.7610990087</x:v>
      </x:c>
      <x:c r="D303" s="5" t="n">
        <x:v>73.06788778744445</x:v>
      </x:c>
      <x:c r="E303" s="2" t="str">
        <x:v>Non-ceph molluscs (100.000000%)</x:v>
      </x:c>
      <x:c r="F303" s="2" t="str">
        <x:v>High</x:v>
      </x:c>
      <x:c r="G303" s="2" t="str">
        <x:v>Magallana gigas is a non-cephalopod mollusc. The source derives this catch by removing Cephalopoda from mollusc catch; no competing mollusc compartment contains this lineage. No split is required.</x:v>
      </x:c>
      <x:c r="H303" s="1"/>
      <x:c r="I303" s="1"/>
      <x:c r="J303" s="1"/>
      <x:c r="K303" s="1"/>
    </x:row>
    <x:row r="304" ht="102" customHeight="1" hidden="1">
      <x:c r="A304" s="2" t="str">
        <x:v>Acanthocybium solandri</x:v>
      </x:c>
      <x:c r="B304" s="4" t="n">
        <x:v>4.26</x:v>
      </x:c>
      <x:c r="C304" s="5" t="n">
        <x:v>0.2814544278</x:v>
      </x:c>
      <x:c r="D304" s="5" t="n">
        <x:v>56.90698488080461</x:v>
      </x:c>
      <x:c r="E304" s="2" t="str">
        <x:v>Juvenile large pelagic fish (89.993906%); Pelagic fish (&gt; 30 cm) (10.006094%)</x:v>
      </x:c>
      <x:c r="F304" s="2" t="str">
        <x:v>Medium</x:v>
      </x:c>
      <x:c r="G304"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250 cm TL; Marine;  pelagic-oceanic; oceanodromous. Model catch proportions provide the split; allocation confidence remains Medium.</x:v>
      </x:c>
      <x:c r="H304" s="1"/>
      <x:c r="I304" s="1"/>
      <x:c r="J304" s="1"/>
      <x:c r="K304" s="1"/>
    </x:row>
    <x:row r="305" ht="87" customHeight="1" hidden="1">
      <x:c r="A305" s="2" t="str">
        <x:v>Gymnosarda unicolor</x:v>
      </x:c>
      <x:c r="B305" s="4" t="n">
        <x:v>4.5</x:v>
      </x:c>
      <x:c r="C305" s="5" t="n">
        <x:v>0.1382728383</x:v>
      </x:c>
      <x:c r="D305" s="5" t="n">
        <x:v>48.58412306268496</x:v>
      </x:c>
      <x:c r="E305" s="2" t="str">
        <x:v>Juvenile large pelagic fish (89.993906%); Pelagic fish (&gt; 30 cm) (10.006094%)</x:v>
      </x:c>
      <x:c r="F305" s="2" t="str">
        <x:v>Medium</x:v>
      </x:c>
      <x:c r="G305" s="2" t="str">
        <x:v>Maximum length securely exceeds 30 cm and pelagic fishery/ecological context supports the pair. Authoritative text also emphasizes reef/coastal or bottom-associated use; the source supplies no species assignment closing this boundary. Checked species record: 248 cm FL; Marine;  reef-associated; oceanodromous. Model catch proportions provide the split; allocation confidence remains Medium.</x:v>
      </x:c>
      <x:c r="H305" s="1"/>
      <x:c r="I305" s="1"/>
      <x:c r="J305" s="1"/>
      <x:c r="K305" s="1"/>
    </x:row>
    <x:row r="306" ht="42" customHeight="1" hidden="1">
      <x:c r="A306" s="2" t="str">
        <x:v>Veneridae</x:v>
      </x:c>
      <x:c r="B306" s="4" t="n">
        <x:v>2</x:v>
      </x:c>
      <x:c r="C306" s="5" t="n">
        <x:v>42.5048785683</x:v>
      </x:c>
      <x:c r="D306" s="5" t="n">
        <x:v>47.227642853666666</x:v>
      </x:c>
      <x:c r="E306" s="2" t="str">
        <x:v>Non-ceph molluscs (100.000000%)</x:v>
      </x:c>
      <x:c r="F306" s="2" t="str">
        <x:v>High</x:v>
      </x:c>
      <x:c r="G306" s="2" t="str">
        <x:v>Veneridae is a non-cephalopod mollusc. The source derives this catch by removing Cephalopoda from mollusc catch; no competing mollusc compartment contains this lineage. No split is required.</x:v>
      </x:c>
      <x:c r="H306" s="1"/>
      <x:c r="I306" s="1"/>
      <x:c r="J306" s="1"/>
      <x:c r="K306" s="1"/>
    </x:row>
    <x:row r="307" ht="102" customHeight="1" hidden="1">
      <x:c r="A307" s="2" t="str">
        <x:v>Thunnus alalunga</x:v>
      </x:c>
      <x:c r="B307" s="4" t="n">
        <x:v>4.3</x:v>
      </x:c>
      <x:c r="C307" s="5" t="n">
        <x:v>0.1687821008</x:v>
      </x:c>
      <x:c r="D307" s="5" t="n">
        <x:v>37.41828501861319</x:v>
      </x:c>
      <x:c r="E307" s="2" t="str">
        <x:v>Juvenile large pelagic fish (89.993906%); Pelagic fish (&gt; 30 cm) (10.006094%)</x:v>
      </x:c>
      <x:c r="F307" s="2" t="str">
        <x:v>Medium</x:v>
      </x:c>
      <x:c r="G307"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140 cm FL; Marine;  pelagic-oceanic; oceanodromous. Model catch proportions provide the split; allocation confidence remains Medium.</x:v>
      </x:c>
      <x:c r="H307" s="1"/>
      <x:c r="I307" s="1"/>
      <x:c r="J307" s="1"/>
      <x:c r="K307" s="1"/>
    </x:row>
    <x:row r="308" ht="72" customHeight="1" hidden="1">
      <x:c r="A308" s="2" t="str">
        <x:v>Scatophagus argus</x:v>
      </x:c>
      <x:c r="B308" s="4" t="n">
        <x:v>2.99</x:v>
      </x:c>
      <x:c r="C308" s="5" t="n">
        <x:v>3.4158297761</x:v>
      </x:c>
      <x:c r="D308" s="5" t="n">
        <x:v>37.089733307267494</x:v>
      </x:c>
      <x:c r="E308" s="2" t="str">
        <x:v>Juvenile demersal fish (&gt; 30 cm) (89.991470%); Adult demersal fish (&gt; 30 cm) (10.008530%)</x:v>
      </x:c>
      <x:c r="F308" s="2" t="str">
        <x:v>Medium</x:v>
      </x:c>
      <x:c r="G308" s="2" t="str">
        <x:v>The documented demersal coastal/estuarine species reaches 45 cm TL and has no dedicated competing source pool. It satisfies the explicit residual large-demersal definition; common 20 cm fish do not change the species-maximum class, and 25 + 26 covers its stage union. Model catch proportions provide the split; allocation confidence remains Medium.</x:v>
      </x:c>
      <x:c r="H308" s="1"/>
      <x:c r="I308" s="1"/>
      <x:c r="J308" s="1"/>
      <x:c r="K308" s="1"/>
    </x:row>
    <x:row r="309" ht="57" customHeight="1" hidden="1">
      <x:c r="A309" s="2" t="str">
        <x:v>Penaeus semisulcatus</x:v>
      </x:c>
      <x:c r="B309" s="4" t="n">
        <x:v>2</x:v>
      </x:c>
      <x:c r="C309" s="5" t="n">
        <x:v>32.1832682876</x:v>
      </x:c>
      <x:c r="D309" s="5" t="n">
        <x:v>35.759186986222225</x:v>
      </x:c>
      <x:c r="E309" s="2" t="str">
        <x:v>Shrimps (100.000000%)</x:v>
      </x:c>
      <x:c r="F309" s="2" t="str">
        <x:v>High</x:v>
      </x:c>
      <x:c r="G309" s="2" t="str">
        <x:v>Penaeus semisulcatus is a non-Acetes shrimp lineage. Shrimps is broader than the Metapenaeopsis mortality examples; the explicit Acetes/Zooplankton exception is excluded. No split is required.</x:v>
      </x:c>
      <x:c r="H309" s="1"/>
      <x:c r="I309" s="1"/>
      <x:c r="J309" s="1"/>
      <x:c r="K309" s="1"/>
    </x:row>
    <x:row r="310" ht="57" customHeight="1" hidden="1">
      <x:c r="A310" s="2" t="str">
        <x:v>Mierspenaeopsis hardwickii</x:v>
      </x:c>
      <x:c r="B310" s="4" t="n">
        <x:v>2.71</x:v>
      </x:c>
      <x:c r="C310" s="5" t="n">
        <x:v>5.972447527</x:v>
      </x:c>
      <x:c r="D310" s="5" t="n">
        <x:v>34.03375227236693</x:v>
      </x:c>
      <x:c r="E310" s="2" t="str">
        <x:v>Shrimps (100.000000%)</x:v>
      </x:c>
      <x:c r="F310" s="2" t="str">
        <x:v>High</x:v>
      </x:c>
      <x:c r="G310" s="2" t="str">
        <x:v>Mierspenaeopsis hardwickii is a non-Acetes shrimp lineage. Shrimps is broader than the Metapenaeopsis mortality examples; the explicit Acetes/Zooplankton exception is excluded. No split is required.</x:v>
      </x:c>
      <x:c r="H310" s="1"/>
      <x:c r="I310" s="1"/>
      <x:c r="J310" s="1"/>
      <x:c r="K310" s="1"/>
    </x:row>
    <x:row r="311" ht="87" customHeight="1" hidden="1">
      <x:c r="A311" s="2" t="str">
        <x:v>Marine pelagic fishes not identified</x:v>
      </x:c>
      <x:c r="B311" s="4" t="n">
        <x:v>3.35</x:v>
      </x:c>
      <x:c r="C311" s="5" t="n">
        <x:v>1.341543298</x:v>
      </x:c>
      <x:c r="D311" s="5" t="n">
        <x:v>33.37045932819206</x:v>
      </x:c>
      <x:c r="E311" s="2" t="str">
        <x:v>Pelagic fish (≤ 30 cm) (74.063546%); Juvenile large pelagic fish (23.321332%); Pelagic fish (&gt; 30 cm) (2.593014%); Pelagic sharks and rays (0.022109%)</x:v>
      </x:c>
      <x:c r="F311" s="2" t="str">
        <x:v>Very low</x:v>
      </x:c>
      <x:c r="G311" s="2" t="str">
        <x:v>Groups 29–31 and 33 are a reasonable open-water approximation, but the unidentified label does not verify exclusion of named groups with pelagic phases or inclusion of pelagic sharks/rays. The adopted boundary relies on saved catch classes rather than a resolved inventory. Model catch proportions provide the split; allocation confidence remains Medium.</x:v>
      </x:c>
      <x:c r="H311" s="1"/>
      <x:c r="I311" s="1"/>
      <x:c r="J311" s="1"/>
      <x:c r="K311" s="1"/>
    </x:row>
    <x:row r="312" ht="57" customHeight="1" hidden="1">
      <x:c r="A312" s="2" t="str">
        <x:v>Thenus orientalis</x:v>
      </x:c>
      <x:c r="B312" s="4" t="n">
        <x:v>2.5</x:v>
      </x:c>
      <x:c r="C312" s="5" t="n">
        <x:v>9.3758321418</x:v>
      </x:c>
      <x:c r="D312" s="5" t="n">
        <x:v>32.94331614166976</x:v>
      </x:c>
      <x:c r="E312" s="2" t="str">
        <x:v>Benthic crustaceans (100.000000%)</x:v>
      </x:c>
      <x:c r="F312" s="2" t="str">
        <x:v>High</x:v>
      </x:c>
      <x:c r="G312" s="2" t="str">
        <x:v>Thenus orientalis is a benthic lobster lineage in the residual crustacean pool after shrimp/crab exclusions. Oratosquilla is a parameter example, not the complete membership. No split is required.</x:v>
      </x:c>
      <x:c r="H312" s="1"/>
      <x:c r="I312" s="1"/>
      <x:c r="J312" s="1"/>
      <x:c r="K312" s="1"/>
    </x:row>
    <x:row r="313" ht="57" customHeight="1" hidden="1">
      <x:c r="A313" s="2" t="str">
        <x:v>Hippocampus</x:v>
      </x:c>
      <x:c r="B313" s="4" t="n">
        <x:v>3.33</x:v>
      </x:c>
      <x:c r="C313" s="5" t="n">
        <x:v>1.2172999906</x:v>
      </x:c>
      <x:c r="D313" s="5" t="n">
        <x:v>28.91712479393581</x:v>
      </x:c>
      <x:c r="E313" s="2" t="str">
        <x:v>Demesral fish (≤ 30 cm) (100.000000%)</x:v>
      </x:c>
      <x:c r="F313" s="2" t="str">
        <x:v>Medium</x:v>
      </x:c>
      <x:c r="G313" s="2" t="str">
        <x:v>Regional seahorse biology supports small benthic/reef fish. The genus inventory mixes length conventions; the whole regional TL boundary remains unverified. Larger H. abdominalis from another region is not by itself grounds to downgrade these catches. No split is required.</x:v>
      </x:c>
      <x:c r="H313" s="1"/>
      <x:c r="I313" s="1"/>
      <x:c r="J313" s="1"/>
      <x:c r="K313" s="1"/>
    </x:row>
    <x:row r="314" ht="57" customHeight="1" hidden="1">
      <x:c r="A314" s="2" t="str">
        <x:v>Meretrix lusoria</x:v>
      </x:c>
      <x:c r="B314" s="4" t="n">
        <x:v>2</x:v>
      </x:c>
      <x:c r="C314" s="5" t="n">
        <x:v>20.1254991649</x:v>
      </x:c>
      <x:c r="D314" s="5" t="n">
        <x:v>22.361665738777774</x:v>
      </x:c>
      <x:c r="E314" s="2" t="str">
        <x:v>Non-ceph molluscs (100.000000%)</x:v>
      </x:c>
      <x:c r="F314" s="2" t="str">
        <x:v>High</x:v>
      </x:c>
      <x:c r="G314" s="2" t="str">
        <x:v>Meretrix lusoria is a non-cephalopod mollusc. The source derives this catch by removing Cephalopoda from mollusc catch; no competing mollusc compartment contains this lineage. No split is required.</x:v>
      </x:c>
      <x:c r="H314" s="1"/>
      <x:c r="I314" s="1"/>
      <x:c r="J314" s="1"/>
      <x:c r="K314" s="1"/>
    </x:row>
    <x:row r="315" ht="102" customHeight="1" hidden="1">
      <x:c r="A315" s="2" t="str">
        <x:v>Thunnus orientalis</x:v>
      </x:c>
      <x:c r="B315" s="4" t="n">
        <x:v>4.05</x:v>
      </x:c>
      <x:c r="C315" s="5" t="n">
        <x:v>0.1673015096</x:v>
      </x:c>
      <x:c r="D315" s="5" t="n">
        <x:v>20.857264578197444</x:v>
      </x:c>
      <x:c r="E315" s="2" t="str">
        <x:v>Juvenile large pelagic fish (89.993906%); Pelagic fish (&gt; 30 cm) (10.006094%)</x:v>
      </x:c>
      <x:c r="F315" s="2" t="str">
        <x:v>Medium</x:v>
      </x:c>
      <x:c r="G315"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300 cm FL; Marine; brackish;  pelagic-oceanic; oceanodromous. Model catch proportions provide the split; allocation confidence remains Medium.</x:v>
      </x:c>
      <x:c r="H315" s="1"/>
      <x:c r="I315" s="1"/>
      <x:c r="J315" s="1"/>
      <x:c r="K315" s="1"/>
    </x:row>
    <x:row r="316" ht="102" customHeight="1" hidden="1">
      <x:c r="A316" s="2" t="str">
        <x:v>Pomatomus saltatrix</x:v>
      </x:c>
      <x:c r="B316" s="4" t="n">
        <x:v>4.53</x:v>
      </x:c>
      <x:c r="C316" s="5" t="n">
        <x:v>0.0406950571</x:v>
      </x:c>
      <x:c r="D316" s="5" t="n">
        <x:v>15.32142475787352</x:v>
      </x:c>
      <x:c r="E316" s="2" t="str">
        <x:v>Juvenile large pelagic fish (89.993906%); Pelagic fish (&gt; 30 cm) (10.006094%)</x:v>
      </x:c>
      <x:c r="F316" s="2" t="str">
        <x:v>Medium</x:v>
      </x:c>
      <x:c r="G316"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130 cm TL; Marine; brackish;  pelagic-oceanic; oceanodromous. Model catch proportions provide the split; allocation confidence remains Medium.</x:v>
      </x:c>
      <x:c r="H316" s="1"/>
      <x:c r="I316" s="1"/>
      <x:c r="J316" s="1"/>
      <x:c r="K316" s="1"/>
    </x:row>
    <x:row r="317" ht="57" customHeight="1" hidden="1">
      <x:c r="A317" s="2" t="str">
        <x:v>Spongia</x:v>
      </x:c>
      <x:c r="B317" s="4" t="n">
        <x:v>2</x:v>
      </x:c>
      <x:c r="C317" s="5" t="n">
        <x:v>7.6837557135</x:v>
      </x:c>
      <x:c r="D317" s="5" t="n">
        <x:v>8.537506348333332</x:v>
      </x:c>
      <x:c r="E317" s="2" t="str">
        <x:v>Sessile/other invertebrates (100.000000%)</x:v>
      </x:c>
      <x:c r="F317" s="2" t="str">
        <x:v>High</x:v>
      </x:c>
      <x:c r="G317" s="2" t="str">
        <x:v>Spongia is a sessile poriferan genus fitting Sessile/other invertebrates after the separately modeled echinoderm, polychaete, crustacean and mollusc groups are excluded. No split is required.</x:v>
      </x:c>
      <x:c r="H317" s="1"/>
      <x:c r="I317" s="1"/>
      <x:c r="J317" s="1"/>
      <x:c r="K317" s="1"/>
    </x:row>
    <x:row r="318" ht="57" customHeight="1" hidden="1">
      <x:c r="A318" s="2" t="str">
        <x:v>Mizuhopecten yessoensis</x:v>
      </x:c>
      <x:c r="B318" s="4" t="n">
        <x:v>2.1</x:v>
      </x:c>
      <x:c r="C318" s="5" t="n">
        <x:v>5.8322763773</x:v>
      </x:c>
      <x:c r="D318" s="5" t="n">
        <x:v>8.158223266655328</x:v>
      </x:c>
      <x:c r="E318" s="2" t="str">
        <x:v>Non-ceph molluscs (100.000000%)</x:v>
      </x:c>
      <x:c r="F318" s="2" t="str">
        <x:v>High</x:v>
      </x:c>
      <x:c r="G318" s="2" t="str">
        <x:v>Mizuhopecten yessoensis is a non-cephalopod mollusc. The source derives this catch by removing Cephalopoda from mollusc catch; no competing mollusc compartment contains this lineage. No split is required.</x:v>
      </x:c>
      <x:c r="H318" s="1"/>
      <x:c r="I318" s="1"/>
      <x:c r="J318" s="1"/>
      <x:c r="K318" s="1"/>
    </x:row>
    <x:row r="319" ht="72" customHeight="1" hidden="1">
      <x:c r="A319" s="2" t="str">
        <x:v>Carcharhinus falciformis</x:v>
      </x:c>
      <x:c r="B319" s="4" t="n">
        <x:v>4.51</x:v>
      </x:c>
      <x:c r="C319" s="5" t="n">
        <x:v>0.0181675793</x:v>
      </x:c>
      <x:c r="D319" s="5" t="n">
        <x:v>6.532126025828904</x:v>
      </x:c>
      <x:c r="E319" s="2" t="str">
        <x:v>Pelagic sharks and rays (100.000000%)</x:v>
      </x:c>
      <x:c r="F319" s="2" t="str">
        <x:v>Medium</x:v>
      </x:c>
      <x:c r="G319" s="2" t="str">
        <x:v>Predominantly epipelagic/tuna-associated ecology supports the pelagic shark pool, but documented near-bottom shelf/slope use prevents an exclusive habitat claim without a model operational rule. Checked species record: 350 cm TL; Marine;  reef-associated; oceanodromous. No split is required.</x:v>
      </x:c>
      <x:c r="H319" s="1"/>
      <x:c r="I319" s="1"/>
      <x:c r="J319" s="1"/>
      <x:c r="K319" s="1"/>
    </x:row>
    <x:row r="320" ht="42" customHeight="1" hidden="1">
      <x:c r="A320" s="2" t="str">
        <x:v>Echinodermata</x:v>
      </x:c>
      <x:c r="B320" s="4" t="n">
        <x:v>2.3</x:v>
      </x:c>
      <x:c r="C320" s="5" t="n">
        <x:v>2.7953624538</x:v>
      </x:c>
      <x:c r="D320" s="5" t="n">
        <x:v>6.197201511940083</x:v>
      </x:c>
      <x:c r="E320" s="2" t="str">
        <x:v>Echinoderms (100.000000%)</x:v>
      </x:c>
      <x:c r="F320" s="2" t="str">
        <x:v>High</x:v>
      </x:c>
      <x:c r="G320" s="2" t="str">
        <x:v>Echinodermata is within Echinodermata, represented by one source compartment without competing size/stage pools. No split is required.</x:v>
      </x:c>
      <x:c r="H320" s="1"/>
      <x:c r="I320" s="1"/>
      <x:c r="J320" s="1"/>
      <x:c r="K320" s="1"/>
    </x:row>
    <x:row r="321" ht="87" customHeight="1" hidden="1">
      <x:c r="A321" s="2" t="str">
        <x:v>Sphyraena jello</x:v>
      </x:c>
      <x:c r="B321" s="4" t="n">
        <x:v>4.5</x:v>
      </x:c>
      <x:c r="C321" s="5" t="n">
        <x:v>0.0099506992</x:v>
      </x:c>
      <x:c r="D321" s="5" t="n">
        <x:v>3.496319309246151</x:v>
      </x:c>
      <x:c r="E321" s="2" t="str">
        <x:v>Juvenile large pelagic fish (89.993906%); Pelagic fish (&gt; 30 cm) (10.006094%)</x:v>
      </x:c>
      <x:c r="F321" s="2" t="str">
        <x:v>Medium</x:v>
      </x:c>
      <x:c r="G321" s="2" t="str">
        <x:v>Maximum length securely exceeds 30 cm and pelagic fishery/ecological context supports the pair. Authoritative text also emphasizes reef/coastal or bottom-associated use; the source supplies no species assignment closing this boundary. Checked species record: 150 cm TL; Marine; brackish;  reef-associated; oceanodromous. Model catch proportions provide the split; allocation confidence remains Medium.</x:v>
      </x:c>
      <x:c r="H321" s="1"/>
      <x:c r="I321" s="1"/>
      <x:c r="J321" s="1"/>
      <x:c r="K321" s="1"/>
    </x:row>
    <x:row r="322" ht="72" customHeight="1" hidden="1">
      <x:c r="A322" s="2" t="str">
        <x:v>Ibacus ciliatus</x:v>
      </x:c>
      <x:c r="B322" s="4" t="n">
        <x:v>2.6</x:v>
      </x:c>
      <x:c r="C322" s="5" t="n">
        <x:v>0.7341562811</x:v>
      </x:c>
      <x:c r="D322" s="5" t="n">
        <x:v>3.247476442364433</x:v>
      </x:c>
      <x:c r="E322" s="2" t="str">
        <x:v>Benthic crustaceans (100.000000%)</x:v>
      </x:c>
      <x:c r="F322" s="2" t="str">
        <x:v>High</x:v>
      </x:c>
      <x:c r="G322" s="2" t="str">
        <x:v>Ibacus ciliatus is a benthic lobster lineage in the residual crustacean pool after shrimp/crab exclusions. Oratosquilla is a parameter example, not the complete membership. The accepted WoRMS record is selected over a same-name homonym; both alternatives are Scyllaridae. No split is required.</x:v>
      </x:c>
      <x:c r="H322" s="1"/>
      <x:c r="I322" s="1"/>
      <x:c r="J322" s="1"/>
      <x:c r="K322" s="1"/>
    </x:row>
    <x:row r="323" ht="42" customHeight="1" hidden="1">
      <x:c r="A323" s="2" t="str">
        <x:v>Ostreidae</x:v>
      </x:c>
      <x:c r="B323" s="4" t="n">
        <x:v>2</x:v>
      </x:c>
      <x:c r="C323" s="5" t="n">
        <x:v>2.3453648948</x:v>
      </x:c>
      <x:c r="D323" s="5" t="n">
        <x:v>2.605960994222222</x:v>
      </x:c>
      <x:c r="E323" s="2" t="str">
        <x:v>Non-ceph molluscs (100.000000%)</x:v>
      </x:c>
      <x:c r="F323" s="2" t="str">
        <x:v>High</x:v>
      </x:c>
      <x:c r="G323" s="2" t="str">
        <x:v>Ostreidae is a non-cephalopod mollusc. The source derives this catch by removing Cephalopoda from mollusc catch; no competing mollusc compartment contains this lineage. No split is required.</x:v>
      </x:c>
      <x:c r="H323" s="1"/>
      <x:c r="I323" s="1"/>
      <x:c r="J323" s="1"/>
      <x:c r="K323" s="1"/>
    </x:row>
    <x:row r="324" ht="72" customHeight="1" hidden="1">
      <x:c r="A324" s="2" t="str">
        <x:v>Sphyrna</x:v>
      </x:c>
      <x:c r="B324" s="4" t="n">
        <x:v>4.2</x:v>
      </x:c>
      <x:c r="C324" s="5" t="n">
        <x:v>0.0130214732</x:v>
      </x:c>
      <x:c r="D324" s="5" t="n">
        <x:v>2.2930715811660933</x:v>
      </x:c>
      <x:c r="E324" s="2" t="str">
        <x:v>Pelagic sharks and rays (100.000000%)</x:v>
      </x:c>
      <x:c r="F324" s="2" t="str">
        <x:v>Medium</x:v>
      </x:c>
      <x:c r="G324" s="2" t="str">
        <x:v>Regional hammerheads support a coastal-pelagic interpretation, but S. mokarran and S. zygaena also use bottom/reef habitats. Genus catch composition and the operational habitat boundary remain unresolved; a distant S. tiburo example alone would not prove regional misplacement. No split is required.</x:v>
      </x:c>
      <x:c r="H324" s="1"/>
      <x:c r="I324" s="1"/>
      <x:c r="J324" s="1"/>
      <x:c r="K324" s="1"/>
    </x:row>
    <x:row r="325" ht="57" customHeight="1" hidden="1">
      <x:c r="A325" s="2" t="str">
        <x:v>Placuna placenta</x:v>
      </x:c>
      <x:c r="B325" s="4" t="n">
        <x:v>2.41</x:v>
      </x:c>
      <x:c r="C325" s="5" t="n">
        <x:v>0.0177393287</x:v>
      </x:c>
      <x:c r="D325" s="5" t="n">
        <x:v>0.05066343964403411</x:v>
      </x:c>
      <x:c r="E325" s="2" t="str">
        <x:v>Non-ceph molluscs (100.000000%)</x:v>
      </x:c>
      <x:c r="F325" s="2" t="str">
        <x:v>High</x:v>
      </x:c>
      <x:c r="G325" s="2" t="str">
        <x:v>Placuna placenta is a non-cephalopod mollusc. The source derives this catch by removing Cephalopoda from mollusc catch; no competing mollusc compartment contains this lineage. No split is required.</x:v>
      </x:c>
      <x:c r="H325" s="1"/>
      <x:c r="I325" s="1"/>
      <x:c r="J325" s="1"/>
      <x:c r="K325" s="1"/>
    </x:row>
    <x:row r="326" ht="57" customHeight="1" hidden="1">
      <x:c r="A326" s="2" t="str">
        <x:v>Amusium pleuronectes</x:v>
      </x:c>
      <x:c r="B326" s="4" t="n">
        <x:v>2</x:v>
      </x:c>
      <x:c r="C326" s="5" t="n">
        <x:v>0.0005964344</x:v>
      </x:c>
      <x:c r="D326" s="5" t="n">
        <x:v>0.0006627048888888889</x:v>
      </x:c>
      <x:c r="E326" s="2" t="str">
        <x:v>Non-ceph molluscs (100.000000%)</x:v>
      </x:c>
      <x:c r="F326" s="2" t="str">
        <x:v>High</x:v>
      </x:c>
      <x:c r="G326" s="2" t="str">
        <x:v>Amusium pleuronectes is a non-cephalopod mollusc. The source derives this catch by removing Cephalopoda from mollusc catch; no competing mollusc compartment contains this lineage. No split is required.</x:v>
      </x:c>
      <x:c r="H326" s="1"/>
      <x:c r="I326" s="1"/>
      <x:c r="J326" s="1"/>
      <x:c r="K326" s="1"/>
    </x:row>
    <x:row r="327" ht="42" customHeight="1" hidden="1">
      <x:c r="A327" s="2" t="str">
        <x:v>Acetes sibogae</x:v>
      </x:c>
      <x:c r="B327" s="4" t="str">
        <x:v>?</x:v>
      </x:c>
      <x:c r="C327" s="5" t="n">
        <x:v>0</x:v>
      </x:c>
      <x:c r="D327" s="5" t="n">
        <x:v>0</x:v>
      </x:c>
      <x:c r="E327" s="2" t="str">
        <x:v>Zooplankton (100.000000%)</x:v>
      </x:c>
      <x:c r="F327" s="2" t="str">
        <x:v>High</x:v>
      </x:c>
      <x:c r="G327" s="2" t="str">
        <x:v>Acetes spp. catch is explicitly assigned to Zooplankton. Acetes sibogae belongs to that genus, overriding the shrimp-like common name. No split is required.</x:v>
      </x:c>
      <x:c r="H327" s="1"/>
      <x:c r="I327" s="1"/>
      <x:c r="J327" s="1"/>
      <x:c r="K327" s="1"/>
    </x:row>
    <x:row r="328" ht="57" customHeight="1" hidden="1">
      <x:c r="A328" s="2" t="str">
        <x:v>Atule mate</x:v>
      </x:c>
      <x:c r="B328" s="4" t="str">
        <x:v>?</x:v>
      </x:c>
      <x:c r="C328" s="5" t="n">
        <x:v>0</x:v>
      </x:c>
      <x:c r="D328" s="5" t="n">
        <x:v>0</x:v>
      </x:c>
      <x:c r="E328" s="2" t="str">
        <x:v>Pelagic fish (≤ 30 cm) (100.000000%)</x:v>
      </x:c>
      <x:c r="F328" s="2" t="str">
        <x:v>High</x:v>
      </x:c>
      <x:c r="G328" s="2" t="str">
        <x:v>Species Biology establishes epipelagic/pelagic activity despite a coarse reef-associated tag, and verified maximum TL is at or below the inclusive 30 cm boundary. No dedicated pool competes. Checked species record: 30 cm TL; Marine; brackish;  reef-associated;. No split is required.</x:v>
      </x:c>
      <x:c r="H328" s="1"/>
      <x:c r="I328" s="1"/>
      <x:c r="J328" s="1"/>
      <x:c r="K328" s="1"/>
    </x:row>
    <x:row r="329" ht="102" customHeight="1" hidden="1">
      <x:c r="A329" s="2" t="str">
        <x:v>Auxis rochei</x:v>
      </x:c>
      <x:c r="B329" s="4" t="n">
        <x:v>4.13</x:v>
      </x:c>
      <x:c r="C329" s="5" t="n">
        <x:v>0</x:v>
      </x:c>
      <x:c r="D329" s="5" t="n">
        <x:v>0</x:v>
      </x:c>
      <x:c r="E329" s="2" t="str">
        <x:v>Juvenile large pelagic fish (89.993906%); Pelagic fish (&gt; 30 cm) (10.006094%)</x:v>
      </x:c>
      <x:c r="F329" s="2" t="str">
        <x:v>Medium</x:v>
      </x:c>
      <x:c r="G329"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50 cm FL; Marine; brackish;  pelagic-neritic; oceanodromous. Model catch proportions provide the split; allocation confidence remains Medium.</x:v>
      </x:c>
      <x:c r="H329" s="1"/>
      <x:c r="I329" s="1"/>
      <x:c r="J329" s="1"/>
      <x:c r="K329" s="1"/>
    </x:row>
    <x:row r="330" ht="57" customHeight="1">
      <x:c r="A330" s="2" t="str">
        <x:v>Beryx</x:v>
      </x:c>
      <x:c r="B330" s="4" t="str">
        <x:v>?</x:v>
      </x:c>
      <x:c r="C330" s="5" t="n">
        <x:v>0</x:v>
      </x:c>
      <x:c r="D330" s="5" t="n">
        <x:v>0</x:v>
      </x:c>
      <x:c r="E330" s="2" t="str">
        <x:v>Benthopelagic fish (100.000000%)</x:v>
      </x:c>
      <x:c r="F330" s="2" t="str">
        <x:v>Low</x:v>
      </x:c>
      <x:c r="G330" s="2" t="str">
        <x:v>Beryx splendens is a 70 cm TL benthopelagic outer-shelf/slope species. The genus has a plausible benthopelagic connection, but final 27 has small-component PB/QB and no demonstrated large-component merger. Depth alone is not the reason for Low. No split is required.</x:v>
      </x:c>
      <x:c r="H330" s="1"/>
      <x:c r="I330" s="1"/>
      <x:c r="J330" s="1"/>
      <x:c r="K330" s="1"/>
    </x:row>
    <x:row r="331" ht="72" customHeight="1">
      <x:c r="A331" s="2" t="str">
        <x:v>Bramidae</x:v>
      </x:c>
      <x:c r="B331" s="4" t="n">
        <x:v>4.14</x:v>
      </x:c>
      <x:c r="C331" s="5" t="n">
        <x:v>0</x:v>
      </x:c>
      <x:c r="D331" s="5" t="n">
        <x:v>0</x:v>
      </x:c>
      <x:c r="E331" s="2" t="str">
        <x:v>Juvenile large pelagic fish (89.993906%); Pelagic fish (&gt; 30 cm) (10.006094%)</x:v>
      </x:c>
      <x:c r="F331" s="2" t="str">
        <x:v>Low</x:v>
      </x:c>
      <x:c r="G331" s="2" t="str">
        <x:v>FAO recognizes pelagic, benthopelagic and bathypelagic species within Bramidae. The family label does not establish exclusive membership in the adopted large-pelagic pair, despite a generic pelagic catch classification. Model catch proportions provide the split; allocation confidence remains Medium.</x:v>
      </x:c>
      <x:c r="H331" s="1"/>
      <x:c r="I331" s="1"/>
      <x:c r="J331" s="1"/>
      <x:c r="K331" s="1"/>
    </x:row>
    <x:row r="332" ht="72" customHeight="1">
      <x:c r="A332" s="2" t="str">
        <x:v>Carcharhinus amblyrhynchos</x:v>
      </x:c>
      <x:c r="B332" s="4" t="str">
        <x:v>?</x:v>
      </x:c>
      <x:c r="C332" s="5" t="n">
        <x:v>0</x:v>
      </x:c>
      <x:c r="D332" s="5" t="n">
        <x:v>0</x:v>
      </x:c>
      <x:c r="E332" s="2" t="str">
        <x:v>Demersal sharks and rays (100.000000%)</x:v>
      </x:c>
      <x:c r="F332" s="2" t="str">
        <x:v>Low</x:v>
      </x:c>
      <x:c r="G332" s="2" t="str">
        <x:v>The account describes a reef-associated coastal-pelagic shark using near-bottom waters. Both source elasmobranch habitat compartments are meaningful; a reef tag does not resolve the retained demersal-only assignment. Checked species record: 255 cm TL; Marine;  reef-associated; oceanodromous. No split is required.</x:v>
      </x:c>
      <x:c r="H332" s="1"/>
      <x:c r="I332" s="1"/>
      <x:c r="J332" s="1"/>
      <x:c r="K332" s="1"/>
    </x:row>
    <x:row r="333" ht="42" customHeight="1" hidden="1">
      <x:c r="A333" s="2" t="str">
        <x:v>Charybdis anisodon</x:v>
      </x:c>
      <x:c r="B333" s="4" t="str">
        <x:v>?</x:v>
      </x:c>
      <x:c r="C333" s="5" t="n">
        <x:v>0</x:v>
      </x:c>
      <x:c r="D333" s="5" t="n">
        <x:v>0</x:v>
      </x:c>
      <x:c r="E333" s="2" t="str">
        <x:v>Crabs (100.000000%)</x:v>
      </x:c>
      <x:c r="F333" s="2" t="str">
        <x:v>High</x:v>
      </x:c>
      <x:c r="G333" s="2" t="str">
        <x:v>Charybdis anisodon is a true-crab lineage within Crabs. The residual benthic-crustacean group expressly excludes crabs, so is not a competing placement. No split is required.</x:v>
      </x:c>
      <x:c r="H333" s="1"/>
      <x:c r="I333" s="1"/>
      <x:c r="J333" s="1"/>
      <x:c r="K333" s="1"/>
    </x:row>
    <x:row r="334" ht="57" customHeight="1" hidden="1">
      <x:c r="A334" s="2" t="str">
        <x:v>Charybdis feriatus</x:v>
      </x:c>
      <x:c r="B334" s="4" t="str">
        <x:v>?</x:v>
      </x:c>
      <x:c r="C334" s="5" t="n">
        <x:v>0</x:v>
      </x:c>
      <x:c r="D334" s="5" t="n">
        <x:v>0</x:v>
      </x:c>
      <x:c r="E334" s="2" t="str">
        <x:v>Crabs (100.000000%)</x:v>
      </x:c>
      <x:c r="F334" s="2" t="str">
        <x:v>High</x:v>
      </x:c>
      <x:c r="G334" s="2" t="str">
        <x:v>Charybdis feriatus is a true-crab lineage within Crabs. The residual benthic-crustacean group expressly excludes crabs, so is not a competing placement. The failed exact WoRMS spelling lookup is not treated as a verified synonym. No split is required.</x:v>
      </x:c>
      <x:c r="H334" s="1"/>
      <x:c r="I334" s="1"/>
      <x:c r="J334" s="1"/>
      <x:c r="K334" s="1"/>
    </x:row>
    <x:row r="335" ht="102" customHeight="1" hidden="1">
      <x:c r="A335" s="2" t="str">
        <x:v>Cheilopogon unicolor</x:v>
      </x:c>
      <x:c r="B335" s="4" t="n">
        <x:v>3.7</x:v>
      </x:c>
      <x:c r="C335" s="5" t="n">
        <x:v>0</x:v>
      </x:c>
      <x:c r="D335" s="5" t="n">
        <x:v>0</x:v>
      </x:c>
      <x:c r="E335" s="2" t="str">
        <x:v>Juvenile large pelagic fish (89.993906%); Pelagic fish (&gt; 30 cm) (10.006094%)</x:v>
      </x:c>
      <x:c r="F335" s="2" t="str">
        <x:v>Medium</x:v>
      </x:c>
      <x:c r="G335"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38 cm TL; Marine;  pelagic-neritic; oceanodromous;. Model catch proportions provide the split; allocation confidence remains Medium.</x:v>
      </x:c>
      <x:c r="H335" s="1"/>
      <x:c r="I335" s="1"/>
      <x:c r="J335" s="1"/>
      <x:c r="K335" s="1"/>
    </x:row>
    <x:row r="336" ht="72" customHeight="1">
      <x:c r="A336" s="2" t="str">
        <x:v>Congridae</x:v>
      </x:c>
      <x:c r="B336" s="4" t="str">
        <x:v>?</x:v>
      </x:c>
      <x:c r="C336" s="5" t="n">
        <x:v>0</x:v>
      </x:c>
      <x:c r="D336" s="5" t="n">
        <x:v>0</x:v>
      </x:c>
      <x:c r="E336" s="2" t="str">
        <x:v>Juvenile demersal fish (&gt; 30 cm) (89.991470%); Adult demersal fish (&gt; 30 cm) (10.008530%)</x:v>
      </x:c>
      <x:c r="F336" s="2" t="str">
        <x:v>Low</x:v>
      </x:c>
      <x:c r="G336" s="2" t="str">
        <x:v>The family includes large Conger myriaster 100 cm TL and small demersal Ariosoma megalops 20.8 cm TL in the Western Central Pacific. Current 25 + 26 therefore exclude a supported small-species class; deep habitat does not by itself invalidate demersal membership. Model catch proportions provide the split; allocation confidence remains Medium.</x:v>
      </x:c>
      <x:c r="H336" s="1"/>
      <x:c r="I336" s="1"/>
      <x:c r="J336" s="1"/>
      <x:c r="K336" s="1"/>
    </x:row>
    <x:row r="337" ht="57" customHeight="1" hidden="1">
      <x:c r="A337" s="2" t="str">
        <x:v>Crassostrea</x:v>
      </x:c>
      <x:c r="B337" s="4" t="str">
        <x:v>?</x:v>
      </x:c>
      <x:c r="C337" s="5" t="n">
        <x:v>0</x:v>
      </x:c>
      <x:c r="D337" s="5" t="n">
        <x:v>0</x:v>
      </x:c>
      <x:c r="E337" s="2" t="str">
        <x:v>Non-ceph molluscs (100.000000%)</x:v>
      </x:c>
      <x:c r="F337" s="2" t="str">
        <x:v>High</x:v>
      </x:c>
      <x:c r="G337" s="2" t="str">
        <x:v>Crassostrea is a non-cephalopod mollusc. The source derives this catch by removing Cephalopoda from mollusc catch; no competing mollusc compartment contains this lineage. No split is required.</x:v>
      </x:c>
      <x:c r="H337" s="1"/>
      <x:c r="I337" s="1"/>
      <x:c r="J337" s="1"/>
      <x:c r="K337" s="1"/>
    </x:row>
    <x:row r="338" ht="42" customHeight="1" hidden="1">
      <x:c r="A338" s="2" t="str">
        <x:v>Echinozoa</x:v>
      </x:c>
      <x:c r="B338" s="4" t="str">
        <x:v>?</x:v>
      </x:c>
      <x:c r="C338" s="5" t="n">
        <x:v>0</x:v>
      </x:c>
      <x:c r="D338" s="5" t="n">
        <x:v>0</x:v>
      </x:c>
      <x:c r="E338" s="2" t="str">
        <x:v>Echinoderms (100.000000%)</x:v>
      </x:c>
      <x:c r="F338" s="2" t="str">
        <x:v>High</x:v>
      </x:c>
      <x:c r="G338" s="2" t="str">
        <x:v>Echinozoa is within Echinodermata, represented by one source compartment without competing size/stage pools. No split is required.</x:v>
      </x:c>
      <x:c r="H338" s="1"/>
      <x:c r="I338" s="1"/>
      <x:c r="J338" s="1"/>
      <x:c r="K338" s="1"/>
    </x:row>
    <x:row r="339" ht="72" customHeight="1" hidden="1">
      <x:c r="A339" s="2" t="str">
        <x:v>Encrasicholina punctifer</x:v>
      </x:c>
      <x:c r="B339" s="4" t="n">
        <x:v>3.25</x:v>
      </x:c>
      <x:c r="C339" s="5" t="n">
        <x:v>0</x:v>
      </x:c>
      <x:c r="D339" s="5" t="n">
        <x:v>0</x:v>
      </x:c>
      <x:c r="E339" s="2" t="str">
        <x:v>Pelagic fish (≤ 30 cm) (100.000000%)</x:v>
      </x:c>
      <x:c r="F339" s="2" t="str">
        <x:v>High</x:v>
      </x:c>
      <x:c r="G339" s="2" t="str">
        <x:v>Species Biology establishes epipelagic/pelagic activity despite a coarse reef-associated tag, and verified maximum TL is at or below the inclusive 30 cm boundary. No dedicated pool competes. Checked species record: 13 cm TL; Marine;  reef-associated; oceanodromous. No split is required.</x:v>
      </x:c>
      <x:c r="H339" s="1"/>
      <x:c r="I339" s="1"/>
      <x:c r="J339" s="1"/>
      <x:c r="K339" s="1"/>
    </x:row>
    <x:row r="340" ht="57" customHeight="1" hidden="1">
      <x:c r="A340" s="2" t="str">
        <x:v>Epinephelus malabaricus</x:v>
      </x:c>
      <x:c r="B340" s="4" t="n">
        <x:v>4.16</x:v>
      </x:c>
      <x:c r="C340" s="5" t="n">
        <x:v>0</x:v>
      </x:c>
      <x:c r="D340" s="5" t="n">
        <x:v>0</x:v>
      </x:c>
      <x:c r="E340" s="2" t="str">
        <x:v>Adult groupers (100.000000%)</x:v>
      </x:c>
      <x:c r="F340" s="2" t="str">
        <x:v>High</x:v>
      </x:c>
      <x:c r="G340" s="2" t="str">
        <x:v>Epinephelus malabaricus fits the source Serranidae concept. The thesis defines one family pool and no juvenile grouper stanza; the stored word Adult does not by itself establish an age restriction. No split is required.</x:v>
      </x:c>
      <x:c r="H340" s="1"/>
      <x:c r="I340" s="1"/>
      <x:c r="J340" s="1"/>
      <x:c r="K340" s="1"/>
    </x:row>
    <x:row r="341" ht="72" customHeight="1" hidden="1">
      <x:c r="A341" s="2" t="str">
        <x:v>Evynnis tumifrons</x:v>
      </x:c>
      <x:c r="B341" s="4" t="n">
        <x:v>3.97</x:v>
      </x:c>
      <x:c r="C341" s="5" t="n">
        <x:v>0</x:v>
      </x:c>
      <x:c r="D341" s="5" t="n">
        <x:v>0</x:v>
      </x:c>
      <x:c r="E341" s="2" t="str">
        <x:v>Juvenile demersal fish (&gt; 30 cm) (89.991470%); Adult demersal fish (&gt; 30 cm) (10.008530%)</x:v>
      </x:c>
      <x:c r="F341" s="2" t="str">
        <x:v>Medium</x:v>
      </x:c>
      <x:c r="G341" s="2" t="str">
        <x:v>Verified demersal sparid ecology, regional occurrence and maximum 35 cm SL establish a species above 30 cm TL within the residual large-demersal definition. Dedicated family pools do not apply; groups 25 + 26 cover the juvenile/adult union. Model catch proportions provide the split; allocation confidence remains Medium.</x:v>
      </x:c>
      <x:c r="H341" s="1"/>
      <x:c r="I341" s="1"/>
      <x:c r="J341" s="1"/>
      <x:c r="K341" s="1"/>
    </x:row>
    <x:row r="342" ht="57" customHeight="1" hidden="1">
      <x:c r="A342" s="2" t="str">
        <x:v>Gadiformes</x:v>
      </x:c>
      <x:c r="B342" s="4" t="str">
        <x:v>?</x:v>
      </x:c>
      <x:c r="C342" s="5" t="n">
        <x:v>0</x:v>
      </x:c>
      <x:c r="D342" s="5" t="n">
        <x:v>0</x:v>
      </x:c>
      <x:c r="E342" s="2" t="str">
        <x:v>Benthopelagic fish (100.000000%)</x:v>
      </x:c>
      <x:c r="F342" s="2" t="str">
        <x:v>Very low</x:v>
      </x:c>
      <x:c r="G342" s="2" t="str">
        <x:v>A whole-order allocation to group 27 remains a broad approximation: Gadiformes includes small pelagic codlets as well as demersal/benthopelagic cod-like fishes. The saved cods/benthopelagic class does not establish the unreported family mixture. No split is required.</x:v>
      </x:c>
      <x:c r="H342" s="1"/>
      <x:c r="I342" s="1"/>
      <x:c r="J342" s="1"/>
      <x:c r="K342" s="1"/>
    </x:row>
    <x:row r="343" ht="42" customHeight="1" hidden="1">
      <x:c r="A343" s="2" t="str">
        <x:v>Haliotis</x:v>
      </x:c>
      <x:c r="B343" s="4" t="str">
        <x:v>?</x:v>
      </x:c>
      <x:c r="C343" s="5" t="n">
        <x:v>0</x:v>
      </x:c>
      <x:c r="D343" s="5" t="n">
        <x:v>0</x:v>
      </x:c>
      <x:c r="E343" s="2" t="str">
        <x:v>Non-ceph molluscs (100.000000%)</x:v>
      </x:c>
      <x:c r="F343" s="2" t="str">
        <x:v>High</x:v>
      </x:c>
      <x:c r="G343" s="2" t="str">
        <x:v>Haliotis is a non-cephalopod mollusc. The source derives this catch by removing Cephalopoda from mollusc catch; no competing mollusc compartment contains this lineage. No split is required.</x:v>
      </x:c>
      <x:c r="H343" s="1"/>
      <x:c r="I343" s="1"/>
      <x:c r="J343" s="1"/>
      <x:c r="K343" s="1"/>
    </x:row>
    <x:row r="344" ht="57" customHeight="1" hidden="1">
      <x:c r="A344" s="2" t="str">
        <x:v>Hemitriakis japanica</x:v>
      </x:c>
      <x:c r="B344" s="4" t="str">
        <x:v>?</x:v>
      </x:c>
      <x:c r="C344" s="5" t="n">
        <x:v>0</x:v>
      </x:c>
      <x:c r="D344" s="5" t="n">
        <x:v>0</x:v>
      </x:c>
      <x:c r="E344" s="2" t="str">
        <x:v>Demersal sharks and rays (100.000000%)</x:v>
      </x:c>
      <x:c r="F344" s="2" t="str">
        <x:v>High</x:v>
      </x:c>
      <x:c r="G344" s="2" t="str">
        <x:v>Species evidence explicitly establishes a demersal elasmobranch. The source has no hard maximum-size or stage filter, and the competing pelagic compartment is not equally supported. Checked species record: 110 cm TL; Marine;  demersal;. No split is required.</x:v>
      </x:c>
      <x:c r="H344" s="1"/>
      <x:c r="I344" s="1"/>
      <x:c r="J344" s="1"/>
      <x:c r="K344" s="1"/>
    </x:row>
    <x:row r="345" ht="57" customHeight="1" hidden="1">
      <x:c r="A345" s="2" t="str">
        <x:v>Hemitrygon akajei</x:v>
      </x:c>
      <x:c r="B345" s="4" t="n">
        <x:v>3.84</x:v>
      </x:c>
      <x:c r="C345" s="5" t="n">
        <x:v>0</x:v>
      </x:c>
      <x:c r="D345" s="5" t="n">
        <x:v>0</x:v>
      </x:c>
      <x:c r="E345" s="2" t="str">
        <x:v>Demersal sharks and rays (100.000000%)</x:v>
      </x:c>
      <x:c r="F345" s="2" t="str">
        <x:v>High</x:v>
      </x:c>
      <x:c r="G345" s="2" t="str">
        <x:v>Species evidence explicitly establishes a demersal elasmobranch. The source has no hard maximum-size or stage filter, and the competing pelagic compartment is not equally supported. Checked species record: 200 cm TL; Marine; brackish;  demersal; oceanodromous. No split is required.</x:v>
      </x:c>
      <x:c r="H345" s="1"/>
      <x:c r="I345" s="1"/>
      <x:c r="J345" s="1"/>
      <x:c r="K345" s="1"/>
    </x:row>
    <x:row r="346" ht="57" customHeight="1" hidden="1">
      <x:c r="A346" s="2" t="str">
        <x:v>Holothuriidae</x:v>
      </x:c>
      <x:c r="B346" s="4" t="str">
        <x:v>?</x:v>
      </x:c>
      <x:c r="C346" s="5" t="n">
        <x:v>0</x:v>
      </x:c>
      <x:c r="D346" s="5" t="n">
        <x:v>0</x:v>
      </x:c>
      <x:c r="E346" s="2" t="str">
        <x:v>Echinoderms (100.000000%)</x:v>
      </x:c>
      <x:c r="F346" s="2" t="str">
        <x:v>High</x:v>
      </x:c>
      <x:c r="G346" s="2" t="str">
        <x:v>Holothuriidae is within Echinodermata, represented by one source compartment without competing size/stage pools. The accepted family record is selected over the unaccepted same-name record. No split is required.</x:v>
      </x:c>
      <x:c r="H346" s="1"/>
      <x:c r="I346" s="1"/>
      <x:c r="J346" s="1"/>
      <x:c r="K346" s="1"/>
    </x:row>
    <x:row r="347" ht="42" customHeight="1" hidden="1">
      <x:c r="A347" s="2" t="str">
        <x:v>Holothuroidea</x:v>
      </x:c>
      <x:c r="B347" s="4" t="str">
        <x:v>?</x:v>
      </x:c>
      <x:c r="C347" s="5" t="n">
        <x:v>0</x:v>
      </x:c>
      <x:c r="D347" s="5" t="n">
        <x:v>0</x:v>
      </x:c>
      <x:c r="E347" s="2" t="str">
        <x:v>Echinoderms (100.000000%)</x:v>
      </x:c>
      <x:c r="F347" s="2" t="str">
        <x:v>High</x:v>
      </x:c>
      <x:c r="G347" s="2" t="str">
        <x:v>Holothuroidea is within Echinodermata, represented by one source compartment without competing size/stage pools. No split is required.</x:v>
      </x:c>
      <x:c r="H347" s="1"/>
      <x:c r="I347" s="1"/>
      <x:c r="J347" s="1"/>
      <x:c r="K347" s="1"/>
    </x:row>
    <x:row r="348" ht="72" customHeight="1" hidden="1">
      <x:c r="A348" s="2" t="str">
        <x:v>Lepidocybium flavobrunneum</x:v>
      </x:c>
      <x:c r="B348" s="4" t="str">
        <x:v>?</x:v>
      </x:c>
      <x:c r="C348" s="5" t="n">
        <x:v>0</x:v>
      </x:c>
      <x:c r="D348" s="5" t="n">
        <x:v>0</x:v>
      </x:c>
      <x:c r="E348" s="2" t="str">
        <x:v>Juvenile large pelagic fish (89.993906%); Pelagic fish (&gt; 30 cm) (10.006094%)</x:v>
      </x:c>
      <x:c r="F348" s="2" t="str">
        <x:v>Very low</x:v>
      </x:c>
      <x:c r="G348" s="2" t="str">
        <x:v>Escolar is principally a continental-slope fish below 200 m with upward night movements. The adopted shelf large-pelagic pair remains a weak analogue; a competing benthopelagic interpretation and the missing deep-water compartment are unresolved. Model catch proportions provide the split; allocation confidence remains Medium.</x:v>
      </x:c>
      <x:c r="H348" s="1"/>
      <x:c r="I348" s="1"/>
      <x:c r="J348" s="1"/>
      <x:c r="K348" s="1"/>
    </x:row>
    <x:row r="349" ht="57" customHeight="1" hidden="1">
      <x:c r="A349" s="2" t="str">
        <x:v>Lutjanus argentimaculatus</x:v>
      </x:c>
      <x:c r="B349" s="4" t="str">
        <x:v>?</x:v>
      </x:c>
      <x:c r="C349" s="5" t="n">
        <x:v>0</x:v>
      </x:c>
      <x:c r="D349" s="5" t="n">
        <x:v>0</x:v>
      </x:c>
      <x:c r="E349" s="2" t="str">
        <x:v>Snappers (100.000000%)</x:v>
      </x:c>
      <x:c r="F349" s="2" t="str">
        <x:v>High</x:v>
      </x:c>
      <x:c r="G349" s="2" t="str">
        <x:v>Lutjanus argentimaculatus is within Lutjanidae, expressly used as the source group boundary. Parameter species are examples, not a closed list; residual size/habitat pools do not compete. No split is required.</x:v>
      </x:c>
      <x:c r="H349" s="1"/>
      <x:c r="I349" s="1"/>
      <x:c r="J349" s="1"/>
      <x:c r="K349" s="1"/>
    </x:row>
    <x:row r="350" ht="57" customHeight="1" hidden="1">
      <x:c r="A350" s="2" t="str">
        <x:v>Lutjanus bohar</x:v>
      </x:c>
      <x:c r="B350" s="4" t="n">
        <x:v>4.27</x:v>
      </x:c>
      <x:c r="C350" s="5" t="n">
        <x:v>0</x:v>
      </x:c>
      <x:c r="D350" s="5" t="n">
        <x:v>0</x:v>
      </x:c>
      <x:c r="E350" s="2" t="str">
        <x:v>Snappers (100.000000%)</x:v>
      </x:c>
      <x:c r="F350" s="2" t="str">
        <x:v>High</x:v>
      </x:c>
      <x:c r="G350" s="2" t="str">
        <x:v>Lutjanus bohar is within Lutjanidae, expressly used as the source group boundary. Parameter species are examples, not a closed list; residual size/habitat pools do not compete. No split is required.</x:v>
      </x:c>
      <x:c r="H350" s="1"/>
      <x:c r="I350" s="1"/>
      <x:c r="J350" s="1"/>
      <x:c r="K350" s="1"/>
    </x:row>
    <x:row r="351" ht="57" customHeight="1" hidden="1">
      <x:c r="A351" s="2" t="str">
        <x:v>Melicertus canaliculatus</x:v>
      </x:c>
      <x:c r="B351" s="4" t="str">
        <x:v>?</x:v>
      </x:c>
      <x:c r="C351" s="5" t="n">
        <x:v>0</x:v>
      </x:c>
      <x:c r="D351" s="5" t="n">
        <x:v>0</x:v>
      </x:c>
      <x:c r="E351" s="2" t="str">
        <x:v>Shrimps (100.000000%)</x:v>
      </x:c>
      <x:c r="F351" s="2" t="str">
        <x:v>High</x:v>
      </x:c>
      <x:c r="G351" s="2" t="str">
        <x:v>Melicertus canaliculatus is a non-Acetes shrimp lineage. Shrimps is broader than the Metapenaeopsis mortality examples; the explicit Acetes/Zooplankton exception is excluded. No split is required.</x:v>
      </x:c>
      <x:c r="H351" s="1"/>
      <x:c r="I351" s="1"/>
      <x:c r="J351" s="1"/>
      <x:c r="K351" s="1"/>
    </x:row>
    <x:row r="352" ht="57" customHeight="1" hidden="1">
      <x:c r="A352" s="2" t="str">
        <x:v>Metapenaeus affinis</x:v>
      </x:c>
      <x:c r="B352" s="4" t="str">
        <x:v>?</x:v>
      </x:c>
      <x:c r="C352" s="5" t="n">
        <x:v>0</x:v>
      </x:c>
      <x:c r="D352" s="5" t="n">
        <x:v>0</x:v>
      </x:c>
      <x:c r="E352" s="2" t="str">
        <x:v>Shrimps (100.000000%)</x:v>
      </x:c>
      <x:c r="F352" s="2" t="str">
        <x:v>High</x:v>
      </x:c>
      <x:c r="G352" s="2" t="str">
        <x:v>Metapenaeus affinis is a non-Acetes shrimp lineage. Shrimps is broader than the Metapenaeopsis mortality examples; the explicit Acetes/Zooplankton exception is excluded. No split is required.</x:v>
      </x:c>
      <x:c r="H352" s="1"/>
      <x:c r="I352" s="1"/>
      <x:c r="J352" s="1"/>
      <x:c r="K352" s="1"/>
    </x:row>
    <x:row r="353" ht="42" customHeight="1" hidden="1">
      <x:c r="A353" s="2" t="str">
        <x:v>Metapenaeus ensis</x:v>
      </x:c>
      <x:c r="B353" s="4" t="n">
        <x:v>2.7</x:v>
      </x:c>
      <x:c r="C353" s="5" t="n">
        <x:v>0</x:v>
      </x:c>
      <x:c r="D353" s="5" t="n">
        <x:v>0</x:v>
      </x:c>
      <x:c r="E353" s="2" t="str">
        <x:v>Shrimps (100.000000%)</x:v>
      </x:c>
      <x:c r="F353" s="2" t="str">
        <x:v>High</x:v>
      </x:c>
      <x:c r="G353" s="2" t="str">
        <x:v>Metapenaeus ensis is a non-Acetes shrimp lineage. Shrimps is broader than the Metapenaeopsis mortality examples; the explicit Acetes/Zooplankton exception is excluded. No split is required.</x:v>
      </x:c>
      <x:c r="H353" s="1"/>
      <x:c r="I353" s="1"/>
      <x:c r="J353" s="1"/>
      <x:c r="K353" s="1"/>
    </x:row>
    <x:row r="354" ht="57" customHeight="1" hidden="1">
      <x:c r="A354" s="2" t="str">
        <x:v>Metapenaeus tenuipes</x:v>
      </x:c>
      <x:c r="B354" s="4" t="str">
        <x:v>?</x:v>
      </x:c>
      <x:c r="C354" s="5" t="n">
        <x:v>0</x:v>
      </x:c>
      <x:c r="D354" s="5" t="n">
        <x:v>0</x:v>
      </x:c>
      <x:c r="E354" s="2" t="str">
        <x:v>Shrimps (100.000000%)</x:v>
      </x:c>
      <x:c r="F354" s="2" t="str">
        <x:v>High</x:v>
      </x:c>
      <x:c r="G354" s="2" t="str">
        <x:v>Metapenaeus tenuipes is a non-Acetes shrimp lineage. Shrimps is broader than the Metapenaeopsis mortality examples; the explicit Acetes/Zooplankton exception is excluded. No split is required.</x:v>
      </x:c>
      <x:c r="H354" s="1"/>
      <x:c r="I354" s="1"/>
      <x:c r="J354" s="1"/>
      <x:c r="K354" s="1"/>
    </x:row>
    <x:row r="355" ht="57" customHeight="1" hidden="1">
      <x:c r="A355" s="2" t="str">
        <x:v>Mierspenaeopsis sculptilis</x:v>
      </x:c>
      <x:c r="B355" s="4" t="str">
        <x:v>?</x:v>
      </x:c>
      <x:c r="C355" s="5" t="n">
        <x:v>0</x:v>
      </x:c>
      <x:c r="D355" s="5" t="n">
        <x:v>0</x:v>
      </x:c>
      <x:c r="E355" s="2" t="str">
        <x:v>Shrimps (100.000000%)</x:v>
      </x:c>
      <x:c r="F355" s="2" t="str">
        <x:v>High</x:v>
      </x:c>
      <x:c r="G355" s="2" t="str">
        <x:v>Mierspenaeopsis sculptilis is a non-Acetes shrimp lineage. Shrimps is broader than the Metapenaeopsis mortality examples; the explicit Acetes/Zooplankton exception is excluded. No split is required.</x:v>
      </x:c>
      <x:c r="H355" s="1"/>
      <x:c r="I355" s="1"/>
      <x:c r="J355" s="1"/>
      <x:c r="K355" s="1"/>
    </x:row>
    <x:row r="356" ht="42" customHeight="1" hidden="1">
      <x:c r="A356" s="2" t="str">
        <x:v>Modiolus</x:v>
      </x:c>
      <x:c r="B356" s="4" t="str">
        <x:v>?</x:v>
      </x:c>
      <x:c r="C356" s="5" t="n">
        <x:v>0</x:v>
      </x:c>
      <x:c r="D356" s="5" t="n">
        <x:v>0</x:v>
      </x:c>
      <x:c r="E356" s="2" t="str">
        <x:v>Non-ceph molluscs (100.000000%)</x:v>
      </x:c>
      <x:c r="F356" s="2" t="str">
        <x:v>High</x:v>
      </x:c>
      <x:c r="G356" s="2" t="str">
        <x:v>Modiolus is a non-cephalopod mollusc. The source derives this catch by removing Cephalopoda from mollusc catch; no competing mollusc compartment contains this lineage. No split is required.</x:v>
      </x:c>
      <x:c r="H356" s="1"/>
      <x:c r="I356" s="1"/>
      <x:c r="J356" s="1"/>
      <x:c r="K356" s="1"/>
    </x:row>
    <x:row r="357" ht="72" customHeight="1">
      <x:c r="A357" s="2" t="str">
        <x:v>Muraenidae</x:v>
      </x:c>
      <x:c r="B357" s="4" t="n">
        <x:v>4.07</x:v>
      </x:c>
      <x:c r="C357" s="5" t="n">
        <x:v>0</x:v>
      </x:c>
      <x:c r="D357" s="5" t="n">
        <x:v>0</x:v>
      </x:c>
      <x:c r="E357" s="2" t="str">
        <x:v>Juvenile demersal fish (&gt; 30 cm) (89.991470%); Adult demersal fish (&gt; 30 cm) (10.008530%)</x:v>
      </x:c>
      <x:c r="F357" s="2" t="str">
        <x:v>Low</x:v>
      </x:c>
      <x:c r="G357" s="2" t="str">
        <x:v>The family includes benthic Gymnothorax melatremus with maximum 30 cm TL, documented in a Taiwan-focused taxonomic account. Current 25 + 26 therefore omit a small-species candidate, even though many familiar morays are large. Model catch proportions provide the split; allocation confidence remains Medium.</x:v>
      </x:c>
      <x:c r="H357" s="1"/>
      <x:c r="I357" s="1"/>
      <x:c r="J357" s="1"/>
      <x:c r="K357" s="1"/>
    </x:row>
    <x:row r="358" ht="72" customHeight="1" hidden="1">
      <x:c r="A358" s="2" t="str">
        <x:v>Nibea mitsukurii</x:v>
      </x:c>
      <x:c r="B358" s="4" t="n">
        <x:v>3.5</x:v>
      </x:c>
      <x:c r="C358" s="5" t="n">
        <x:v>0</x:v>
      </x:c>
      <x:c r="D358" s="5" t="n">
        <x:v>0</x:v>
      </x:c>
      <x:c r="E358" s="2" t="str">
        <x:v>Juvenile large croakers (89.873418%); Croakers (&gt; 30 cm) (10.126582%)</x:v>
      </x:c>
      <x:c r="F358" s="2" t="str">
        <x:v>Medium</x:v>
      </x:c>
      <x:c r="G358" s="2" t="str">
        <x:v>Verified Sciaenidae membership and maximum 75 cm SL satisfy the source's explicit large-croaker size/family criterion. Groups 22 + 23 cover the age range, and generic demersal/benthopelagic pools are excluded by the dedicated definition. Model catch proportions provide the split; allocation confidence remains Medium.</x:v>
      </x:c>
      <x:c r="H358" s="1"/>
      <x:c r="I358" s="1"/>
      <x:c r="J358" s="1"/>
      <x:c r="K358" s="1"/>
    </x:row>
    <x:row r="359" ht="42" customHeight="1" hidden="1">
      <x:c r="A359" s="2" t="str">
        <x:v>Ommastrephidae</x:v>
      </x:c>
      <x:c r="B359" s="4" t="n">
        <x:v>4.09</x:v>
      </x:c>
      <x:c r="C359" s="5" t="n">
        <x:v>0</x:v>
      </x:c>
      <x:c r="D359" s="5" t="n">
        <x:v>0</x:v>
      </x:c>
      <x:c r="E359" s="2" t="str">
        <x:v>Cephalopods (100.000000%)</x:v>
      </x:c>
      <x:c r="F359" s="2" t="str">
        <x:v>High</x:v>
      </x:c>
      <x:c r="G359" s="2" t="str">
        <x:v>Ommastrephidae is within Cephalopoda. Biomass estimation from two dominant Loligo species does not restrict the source group to those species or to squid. No split is required.</x:v>
      </x:c>
      <x:c r="H359" s="1"/>
      <x:c r="I359" s="1"/>
      <x:c r="J359" s="1"/>
      <x:c r="K359" s="1"/>
    </x:row>
    <x:row r="360" ht="42" customHeight="1" hidden="1">
      <x:c r="A360" s="2" t="str">
        <x:v>Ozius guttatus</x:v>
      </x:c>
      <x:c r="B360" s="4" t="str">
        <x:v>?</x:v>
      </x:c>
      <x:c r="C360" s="5" t="n">
        <x:v>0</x:v>
      </x:c>
      <x:c r="D360" s="5" t="n">
        <x:v>0</x:v>
      </x:c>
      <x:c r="E360" s="2" t="str">
        <x:v>Crabs (100.000000%)</x:v>
      </x:c>
      <x:c r="F360" s="2" t="str">
        <x:v>High</x:v>
      </x:c>
      <x:c r="G360" s="2" t="str">
        <x:v>Ozius guttatus is a true-crab lineage within Crabs. The residual benthic-crustacean group expressly excludes crabs, so is not a competing placement. No split is required.</x:v>
      </x:c>
      <x:c r="H360" s="1"/>
      <x:c r="I360" s="1"/>
      <x:c r="J360" s="1"/>
      <x:c r="K360" s="1"/>
    </x:row>
    <x:row r="361" ht="102" customHeight="1" hidden="1">
      <x:c r="A361" s="2" t="str">
        <x:v>Parupeneus barberinus</x:v>
      </x:c>
      <x:c r="B361" s="4" t="n">
        <x:v>3.22</x:v>
      </x:c>
      <x:c r="C361" s="5" t="n">
        <x:v>0</x:v>
      </x:c>
      <x:c r="D361" s="5" t="n">
        <x:v>0</x:v>
      </x:c>
      <x:c r="E361" s="2" t="str">
        <x:v>Juvenile demersal fish (&gt; 30 cm) (89.991470%); Adult demersal fish (&gt; 30 cm) (10.008530%)</x:v>
      </x:c>
      <x:c r="F361" s="2" t="str">
        <x:v>Medium</x:v>
      </x:c>
      <x:c r="G361" s="2" t="str">
        <x:v>This 60 cm TL goatfish forages directly on sand-dwelling invertebrates, supporting 25 + 26. Smaller species elsewhere in Mullidae do not make this identified species eligible for 24, and its common 30 cm size is not the model's species maximum. Medium reflects interpreting substrate-associated reef/inshore biology as included in the source residual demersal boundary, which does not explicitly discuss reef fishes. Model catch proportions provide the split; allocation confidence remains Medium.</x:v>
      </x:c>
      <x:c r="H361" s="1"/>
      <x:c r="I361" s="1"/>
      <x:c r="J361" s="1"/>
      <x:c r="K361" s="1"/>
    </x:row>
    <x:row r="362" ht="57" customHeight="1" hidden="1">
      <x:c r="A362" s="2" t="str">
        <x:v>Pectinidae</x:v>
      </x:c>
      <x:c r="B362" s="4" t="str">
        <x:v>?</x:v>
      </x:c>
      <x:c r="C362" s="5" t="n">
        <x:v>0</x:v>
      </x:c>
      <x:c r="D362" s="5" t="n">
        <x:v>0</x:v>
      </x:c>
      <x:c r="E362" s="2" t="str">
        <x:v>Non-ceph molluscs (100.000000%)</x:v>
      </x:c>
      <x:c r="F362" s="2" t="str">
        <x:v>High</x:v>
      </x:c>
      <x:c r="G362" s="2" t="str">
        <x:v>Pectinidae is a non-cephalopod mollusc. The source derives this catch by removing Cephalopoda from mollusc catch; no competing mollusc compartment contains this lineage. No split is required.</x:v>
      </x:c>
      <x:c r="H362" s="1"/>
      <x:c r="I362" s="1"/>
      <x:c r="J362" s="1"/>
      <x:c r="K362" s="1"/>
    </x:row>
    <x:row r="363" ht="42" customHeight="1" hidden="1">
      <x:c r="A363" s="2" t="str">
        <x:v>Pinctada</x:v>
      </x:c>
      <x:c r="B363" s="4" t="str">
        <x:v>?</x:v>
      </x:c>
      <x:c r="C363" s="5" t="n">
        <x:v>0</x:v>
      </x:c>
      <x:c r="D363" s="5" t="n">
        <x:v>0</x:v>
      </x:c>
      <x:c r="E363" s="2" t="str">
        <x:v>Non-ceph molluscs (100.000000%)</x:v>
      </x:c>
      <x:c r="F363" s="2" t="str">
        <x:v>High</x:v>
      </x:c>
      <x:c r="G363" s="2" t="str">
        <x:v>Pinctada is a non-cephalopod mollusc. The source derives this catch by removing Cephalopoda from mollusc catch; no competing mollusc compartment contains this lineage. No split is required.</x:v>
      </x:c>
      <x:c r="H363" s="1"/>
      <x:c r="I363" s="1"/>
      <x:c r="J363" s="1"/>
      <x:c r="K363" s="1"/>
    </x:row>
    <x:row r="364" ht="42" customHeight="1" hidden="1">
      <x:c r="A364" s="2" t="str">
        <x:v>Podophthalmus vigil</x:v>
      </x:c>
      <x:c r="B364" s="4" t="str">
        <x:v>?</x:v>
      </x:c>
      <x:c r="C364" s="5" t="n">
        <x:v>0</x:v>
      </x:c>
      <x:c r="D364" s="5" t="n">
        <x:v>0</x:v>
      </x:c>
      <x:c r="E364" s="2" t="str">
        <x:v>Crabs (100.000000%)</x:v>
      </x:c>
      <x:c r="F364" s="2" t="str">
        <x:v>High</x:v>
      </x:c>
      <x:c r="G364" s="2" t="str">
        <x:v>Podophthalmus vigil is a true-crab lineage within Crabs. The residual benthic-crustacean group expressly excludes crabs, so is not a competing placement. No split is required.</x:v>
      </x:c>
      <x:c r="H364" s="1"/>
      <x:c r="I364" s="1"/>
      <x:c r="J364" s="1"/>
      <x:c r="K364" s="1"/>
    </x:row>
    <x:row r="365" ht="72" customHeight="1">
      <x:c r="A365" s="2" t="str">
        <x:v>Polydactylus sexfilis</x:v>
      </x:c>
      <x:c r="B365" s="4" t="n">
        <x:v>3.43</x:v>
      </x:c>
      <x:c r="C365" s="5" t="n">
        <x:v>0</x:v>
      </x:c>
      <x:c r="D365" s="5" t="n">
        <x:v>0</x:v>
      </x:c>
      <x:c r="E365" s="2" t="str">
        <x:v>Juvenile demersal fish (&gt; 30 cm) (89.991470%); Adult demersal fish (&gt; 30 cm) (10.008530%)</x:v>
      </x:c>
      <x:c r="F365" s="2" t="str">
        <x:v>Low</x:v>
      </x:c>
      <x:c r="G365" s="2" t="str">
        <x:v>The species is large (61 cm TL), but its authoritative biology explicitly identifies a benthopelagic coastal fish. Sand/rock association and bottom prey provide only partial support for current 25 + 26 while 27 is a plausible competing habitat whose large-species scope is itself unresolved. Model catch proportions provide the split; allocation confidence remains Medium.</x:v>
      </x:c>
      <x:c r="H365" s="1"/>
      <x:c r="I365" s="1"/>
      <x:c r="J365" s="1"/>
      <x:c r="K365" s="1"/>
    </x:row>
    <x:row r="366" ht="72" customHeight="1" hidden="1">
      <x:c r="A366" s="2" t="str">
        <x:v>Rhincodon typus</x:v>
      </x:c>
      <x:c r="B366" s="4" t="str">
        <x:v>?</x:v>
      </x:c>
      <x:c r="C366" s="5" t="n">
        <x:v>0</x:v>
      </x:c>
      <x:c r="D366" s="5" t="n">
        <x:v>0</x:v>
      </x:c>
      <x:c r="E366" s="2" t="str">
        <x:v>Pelagic sharks and rays (100.000000%)</x:v>
      </x:c>
      <x:c r="F366" s="2" t="str">
        <x:v>High</x:v>
      </x:c>
      <x:c r="G366" s="2" t="str">
        <x:v>Species ecology explicitly supports pelagic elasmobranch membership. The source has no hard size/feeding-guild exclusion or additional stage pool for these sharks. Regional coefficient representativeness is a separate question. Checked species record: 1700 cm TL; Marine;  pelagic-oceanic; oceanodromous. No split is required.</x:v>
      </x:c>
      <x:c r="H366" s="1"/>
      <x:c r="I366" s="1"/>
      <x:c r="J366" s="1"/>
      <x:c r="K366" s="1"/>
    </x:row>
    <x:row r="367" ht="57" customHeight="1" hidden="1">
      <x:c r="A367" s="2" t="str">
        <x:v>Saurida undosquamis</x:v>
      </x:c>
      <x:c r="B367" s="4" t="n">
        <x:v>4.46</x:v>
      </x:c>
      <x:c r="C367" s="5" t="n">
        <x:v>0</x:v>
      </x:c>
      <x:c r="D367" s="5" t="n">
        <x:v>0</x:v>
      </x:c>
      <x:c r="E367" s="2" t="str">
        <x:v>Lizard fish (synodontids) (100.000000%)</x:v>
      </x:c>
      <x:c r="F367" s="2" t="str">
        <x:v>High</x:v>
      </x:c>
      <x:c r="G367" s="2" t="str">
        <x:v>Saurida undosquamis fits the source Synodontidae concept. Explicit inclusion of Saurida tumbil and S. undosquamis anchors the historical boundary despite modern Harpadontidae placement. No split is required.</x:v>
      </x:c>
      <x:c r="H367" s="1"/>
      <x:c r="I367" s="1"/>
      <x:c r="J367" s="1"/>
      <x:c r="K367" s="1"/>
    </x:row>
    <x:row r="368" ht="42" customHeight="1" hidden="1">
      <x:c r="A368" s="2" t="str">
        <x:v>Scylla</x:v>
      </x:c>
      <x:c r="B368" s="4" t="n">
        <x:v>3.17</x:v>
      </x:c>
      <x:c r="C368" s="5" t="n">
        <x:v>0</x:v>
      </x:c>
      <x:c r="D368" s="5" t="n">
        <x:v>0</x:v>
      </x:c>
      <x:c r="E368" s="2" t="str">
        <x:v>Crabs (100.000000%)</x:v>
      </x:c>
      <x:c r="F368" s="2" t="str">
        <x:v>High</x:v>
      </x:c>
      <x:c r="G368" s="2" t="str">
        <x:v>Scylla is a true-crab lineage within Crabs. The residual benthic-crustacean group expressly excludes crabs, so is not a competing placement. No split is required.</x:v>
      </x:c>
      <x:c r="H368" s="1"/>
      <x:c r="I368" s="1"/>
      <x:c r="J368" s="1"/>
      <x:c r="K368" s="1"/>
    </x:row>
    <x:row r="369" ht="102" customHeight="1" hidden="1">
      <x:c r="A369" s="2" t="str">
        <x:v>Sillago sihama</x:v>
      </x:c>
      <x:c r="B369" s="4" t="n">
        <x:v>3.33</x:v>
      </x:c>
      <x:c r="C369" s="5" t="n">
        <x:v>0</x:v>
      </x:c>
      <x:c r="D369" s="5" t="n">
        <x:v>0</x:v>
      </x:c>
      <x:c r="E369" s="2" t="str">
        <x:v>Juvenile demersal fish (&gt; 30 cm) (89.991470%); Adult demersal fish (&gt; 30 cm) (10.008530%)</x:v>
      </x:c>
      <x:c r="F369" s="2" t="str">
        <x:v>Medium</x:v>
      </x:c>
      <x:c r="G369" s="2" t="str">
        <x:v>Maximum 31 cm SL necessarily exceeds 30 cm TL, and burial in sand plus benthic feeding supports 25 + 26. The generic reef-associated tag and the existence of small Sillago congeners do not contradict this species-level fit. Medium reflects interpreting substrate-associated reef/inshore biology as included in the source residual demersal boundary, which does not explicitly discuss reef fishes. Model catch proportions provide the split; allocation confidence remains Medium.</x:v>
      </x:c>
      <x:c r="H369" s="1"/>
      <x:c r="I369" s="1"/>
      <x:c r="J369" s="1"/>
      <x:c r="K369" s="1"/>
    </x:row>
    <x:row r="370" ht="87" customHeight="1" hidden="1">
      <x:c r="A370" s="2" t="str">
        <x:v>Sphyraena barracuda</x:v>
      </x:c>
      <x:c r="B370" s="4" t="n">
        <x:v>4.49</x:v>
      </x:c>
      <x:c r="C370" s="5" t="n">
        <x:v>0</x:v>
      </x:c>
      <x:c r="D370" s="5" t="n">
        <x:v>0</x:v>
      </x:c>
      <x:c r="E370" s="2" t="str">
        <x:v>Juvenile large pelagic fish (89.993906%); Pelagic fish (&gt; 30 cm) (10.006094%)</x:v>
      </x:c>
      <x:c r="F370" s="2" t="str">
        <x:v>Medium</x:v>
      </x:c>
      <x:c r="G370" s="2" t="str">
        <x:v>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200 cm TL; Marine; brackish;  reef-associated;. Model catch proportions provide the split; allocation confidence remains Medium.</x:v>
      </x:c>
      <x:c r="H370" s="1"/>
      <x:c r="I370" s="1"/>
      <x:c r="J370" s="1"/>
      <x:c r="K370" s="1"/>
    </x:row>
    <x:row r="371" ht="87" customHeight="1" hidden="1">
      <x:c r="A371" s="2" t="str">
        <x:v>Sphyraena obtusata</x:v>
      </x:c>
      <x:c r="B371" s="4" t="str">
        <x:v>?</x:v>
      </x:c>
      <x:c r="C371" s="5" t="n">
        <x:v>0</x:v>
      </x:c>
      <x:c r="D371" s="5" t="n">
        <x:v>0</x:v>
      </x:c>
      <x:c r="E371" s="2" t="str">
        <x:v>Juvenile large pelagic fish (89.993906%); Pelagic fish (&gt; 30 cm) (10.006094%)</x:v>
      </x:c>
      <x:c r="F371" s="2" t="str">
        <x:v>Medium</x:v>
      </x:c>
      <x:c r="G371" s="2" t="str">
        <x:v>Maximum length securely exceeds 30 cm and pelagic fishery/ecological context supports the pair. Authoritative text also emphasizes reef/coastal or bottom-associated use; the source supplies no species assignment closing this boundary. Checked species record: 55 cm TL; Marine; brackish;  reef-associated;. Model catch proportions provide the split; allocation confidence remains Medium.</x:v>
      </x:c>
      <x:c r="H371" s="1"/>
      <x:c r="I371" s="1"/>
      <x:c r="J371" s="1"/>
      <x:c r="K371" s="1"/>
    </x:row>
    <x:row r="372" ht="72" customHeight="1" hidden="1">
      <x:c r="A372" s="2" t="str">
        <x:v>Sphyrna lewini</x:v>
      </x:c>
      <x:c r="B372" s="4" t="str">
        <x:v>?</x:v>
      </x:c>
      <x:c r="C372" s="5" t="n">
        <x:v>0</x:v>
      </x:c>
      <x:c r="D372" s="5" t="n">
        <x:v>0</x:v>
      </x:c>
      <x:c r="E372" s="2" t="str">
        <x:v>Pelagic sharks and rays (100.000000%)</x:v>
      </x:c>
      <x:c r="F372" s="2" t="str">
        <x:v>High</x:v>
      </x:c>
      <x:c r="G372" s="2" t="str">
        <x:v>Species ecology explicitly supports pelagic elasmobranch membership. The source has no hard size/feeding-guild exclusion or additional stage pool for these sharks. Regional coefficient representativeness is a separate question. Checked species record: 430 cm TL; Marine; brackish;  pelagic-oceanic; oceanodromous. No split is required.</x:v>
      </x:c>
      <x:c r="H372" s="1"/>
      <x:c r="I372" s="1"/>
      <x:c r="J372" s="1"/>
      <x:c r="K372" s="1"/>
    </x:row>
    <x:row r="373" ht="57" customHeight="1">
      <x:c r="A373" s="2" t="str">
        <x:v>Sphyrnidae</x:v>
      </x:c>
      <x:c r="B373" s="4" t="str">
        <x:v>?</x:v>
      </x:c>
      <x:c r="C373" s="5" t="n">
        <x:v>0</x:v>
      </x:c>
      <x:c r="D373" s="5" t="n">
        <x:v>0</x:v>
      </x:c>
      <x:c r="E373" s="2" t="str">
        <x:v>Pelagic sharks and rays (100.000000%)</x:v>
      </x:c>
      <x:c r="F373" s="2" t="str">
        <x:v>Low</x:v>
      </x:c>
      <x:c r="G373" s="2" t="str">
        <x:v>The family includes pelagic hammerheads and the regional benthopelagic winghead Eusphyra blochii. The pelagic-only assignment omits that habitat lineage without a documented reporting exclusion. No split is required.</x:v>
      </x:c>
      <x:c r="H373" s="1"/>
      <x:c r="I373" s="1"/>
      <x:c r="J373" s="1"/>
      <x:c r="K373" s="1"/>
    </x:row>
    <x:row r="374" ht="57" customHeight="1" hidden="1">
      <x:c r="A374" s="2" t="str">
        <x:v>Spratelloides</x:v>
      </x:c>
      <x:c r="B374" s="4" t="str">
        <x:v>?</x:v>
      </x:c>
      <x:c r="C374" s="5" t="n">
        <x:v>0</x:v>
      </x:c>
      <x:c r="D374" s="5" t="n">
        <x:v>0</x:v>
      </x:c>
      <x:c r="E374" s="2" t="str">
        <x:v>Pelagic fish (≤ 30 cm) (100.000000%)</x:v>
      </x:c>
      <x:c r="F374" s="2" t="str">
        <x:v>Medium</x:v>
      </x:c>
      <x:c r="G374" s="2" t="str">
        <x:v>The genus inventory supports a small-bodied pelagic lineage without a dedicated competing group. Most maxima are SL or unspecified; the full regional catch concept and TL boundary remain inferred. No split is required.</x:v>
      </x:c>
      <x:c r="H374" s="1"/>
      <x:c r="I374" s="1"/>
      <x:c r="J374" s="1"/>
      <x:c r="K374" s="1"/>
    </x:row>
    <x:row r="375" ht="102" customHeight="1" hidden="1">
      <x:c r="A375" s="2" t="str">
        <x:v>Tenualosa toli</x:v>
      </x:c>
      <x:c r="B375" s="4" t="str">
        <x:v>?</x:v>
      </x:c>
      <x:c r="C375" s="5" t="n">
        <x:v>0</x:v>
      </x:c>
      <x:c r="D375" s="5" t="n">
        <x:v>0</x:v>
      </x:c>
      <x:c r="E375" s="2" t="str">
        <x:v>Juvenile large pelagic fish (89.993906%); Pelagic fish (&gt; 30 cm) (10.006094%)</x:v>
      </x:c>
      <x:c r="F375" s="2" t="str">
        <x:v>Medium</x:v>
      </x:c>
      <x:c r="G375"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60 cm TL; Marine; freshwater; brackish;  pelagic-neritic; anadromous. Model catch proportions provide the split; allocation confidence remains Medium.</x:v>
      </x:c>
      <x:c r="H375" s="1"/>
      <x:c r="I375" s="1"/>
      <x:c r="J375" s="1"/>
      <x:c r="K375" s="1"/>
    </x:row>
    <x:row r="376" ht="72" customHeight="1" hidden="1">
      <x:c r="A376" s="2" t="str">
        <x:v>Tetrapturus angustirostris</x:v>
      </x:c>
      <x:c r="B376" s="4" t="str">
        <x:v>?</x:v>
      </x:c>
      <x:c r="C376" s="5" t="n">
        <x:v>0</x:v>
      </x:c>
      <x:c r="D376" s="5" t="n">
        <x:v>0</x:v>
      </x:c>
      <x:c r="E376" s="2" t="str">
        <x:v>Juvenile large pelagic fish (89.993906%); Pelagic fish (&gt; 30 cm) (10.006094%)</x:v>
      </x:c>
      <x:c r="F376" s="2" t="str">
        <x:v>Medium</x:v>
      </x:c>
      <x:c r="G376" s="2" t="str">
        <x:v>Shortbill spearfish has verified size above 30 cm and oceanic pelagic ecology, satisfying the explicit large-pelagic definition with no competing source pool. Its rarity near coasts limits shelf-model transfer, not membership in the combined groups 30+31. Model catch proportions provide the split; allocation confidence remains Medium.</x:v>
      </x:c>
      <x:c r="H376" s="1"/>
      <x:c r="I376" s="1"/>
      <x:c r="J376" s="1"/>
      <x:c r="K376" s="1"/>
    </x:row>
    <x:row r="377" ht="72" customHeight="1" hidden="1">
      <x:c r="A377" s="2" t="str">
        <x:v>Thunnus</x:v>
      </x:c>
      <x:c r="B377" s="4" t="str">
        <x:v>?</x:v>
      </x:c>
      <x:c r="C377" s="5" t="n">
        <x:v>0</x:v>
      </x:c>
      <x:c r="D377" s="5" t="n">
        <x:v>0</x:v>
      </x:c>
      <x:c r="E377" s="2" t="str">
        <x:v>Juvenile large pelagic fish (89.993906%); Pelagic fish (&gt; 30 cm) (10.006094%)</x:v>
      </x:c>
      <x:c r="F377" s="2" t="str">
        <x:v>Medium</x:v>
      </x:c>
      <x:c r="G377" s="2" t="str">
        <x:v>Regional tunas are large pelagic fishes, including neritic and oceanic forms, and meet the source's &gt;30-cm residual pelagic definition. The genus label supports the combined stage set even though species and age shares remain unknown. Model catch proportions provide the split; allocation confidence remains Medium.</x:v>
      </x:c>
      <x:c r="H377" s="1"/>
      <x:c r="I377" s="1"/>
      <x:c r="J377" s="1"/>
      <x:c r="K377" s="1"/>
    </x:row>
    <x:row r="378" ht="42" customHeight="1" hidden="1">
      <x:c r="A378" s="2" t="str">
        <x:v>Tripneustes gratilla</x:v>
      </x:c>
      <x:c r="B378" s="4" t="n">
        <x:v>2</x:v>
      </x:c>
      <x:c r="C378" s="5" t="n">
        <x:v>0</x:v>
      </x:c>
      <x:c r="D378" s="5" t="n">
        <x:v>0</x:v>
      </x:c>
      <x:c r="E378" s="2" t="str">
        <x:v>Echinoderms (100.000000%)</x:v>
      </x:c>
      <x:c r="F378" s="2" t="str">
        <x:v>High</x:v>
      </x:c>
      <x:c r="G378" s="2" t="str">
        <x:v>Tripneustes gratilla is within Echinodermata, represented by one source compartment without competing size/stage pools. No split is required.</x:v>
      </x:c>
      <x:c r="H378" s="1"/>
      <x:c r="I378" s="1"/>
      <x:c r="J378" s="1"/>
      <x:c r="K378" s="1"/>
    </x:row>
    <x:row r="379" ht="57" customHeight="1" hidden="1">
      <x:c r="A379" s="2" t="str">
        <x:v>Trochus niloticus</x:v>
      </x:c>
      <x:c r="B379" s="4" t="str">
        <x:v>?</x:v>
      </x:c>
      <x:c r="C379" s="5" t="n">
        <x:v>0</x:v>
      </x:c>
      <x:c r="D379" s="5" t="n">
        <x:v>0</x:v>
      </x:c>
      <x:c r="E379" s="2" t="str">
        <x:v>Non-ceph molluscs (100.000000%)</x:v>
      </x:c>
      <x:c r="F379" s="2" t="str">
        <x:v>High</x:v>
      </x:c>
      <x:c r="G379" s="2" t="str">
        <x:v>Trochus niloticus is a non-cephalopod mollusc. The source derives this catch by removing Cephalopoda from mollusc catch; no competing mollusc compartment contains this lineage. No split is required.</x:v>
      </x:c>
      <x:c r="H379" s="1"/>
      <x:c r="I379" s="1"/>
      <x:c r="J379" s="1"/>
      <x:c r="K379" s="1"/>
    </x:row>
    <x:row r="380" ht="14.5">
      <x:c r="A380" s="1"/>
      <x:c r="B380" s="1"/>
      <x:c r="C380" s="1"/>
      <x:c r="D380" s="1"/>
      <x:c r="E380" s="1"/>
      <x:c r="F380" s="1"/>
      <x:c r="G380" s="1"/>
      <x:c r="H380" s="1"/>
      <x:c r="I380" s="1"/>
      <x:c r="J380" s="1"/>
      <x:c r="K380" s="1"/>
    </x:row>
    <x:row r="381" ht="14.5">
      <x:c r="A381" s="1"/>
      <x:c r="B381" s="1"/>
      <x:c r="C381" s="1"/>
      <x:c r="D381" s="1"/>
      <x:c r="E381" s="1"/>
      <x:c r="F381" s="1"/>
      <x:c r="G381" s="1"/>
      <x:c r="H381" s="1"/>
      <x:c r="I381" s="1"/>
      <x:c r="J381" s="1"/>
      <x:c r="K381" s="1"/>
    </x:row>
    <x:row r="382" ht="14.5">
      <x:c r="A382" s="1"/>
      <x:c r="B382" s="1"/>
      <x:c r="C382" s="1"/>
      <x:c r="D382" s="1"/>
      <x:c r="E382" s="1"/>
      <x:c r="F382" s="1"/>
      <x:c r="G382" s="1"/>
      <x:c r="H382" s="1"/>
      <x:c r="I382" s="1"/>
      <x:c r="J382" s="1"/>
      <x:c r="K382" s="1"/>
    </x:row>
    <x:row r="383" ht="14.5">
      <x:c r="A383" s="1"/>
      <x:c r="B383" s="1"/>
      <x:c r="C383" s="1"/>
      <x:c r="D383" s="1"/>
      <x:c r="E383" s="1"/>
      <x:c r="F383" s="1"/>
      <x:c r="G383" s="1"/>
      <x:c r="H383" s="1"/>
      <x:c r="I383" s="1"/>
      <x:c r="J383" s="1"/>
      <x:c r="K383" s="1"/>
    </x:row>
    <x:row r="384" ht="14.5">
      <x:c r="A384" s="1"/>
      <x:c r="B384" s="1"/>
      <x:c r="C384" s="1"/>
      <x:c r="D384" s="1"/>
      <x:c r="E384" s="1"/>
      <x:c r="F384" s="1"/>
      <x:c r="G384" s="1"/>
      <x:c r="H384" s="1"/>
      <x:c r="I384" s="1"/>
      <x:c r="J384" s="1"/>
      <x:c r="K384" s="1"/>
    </x:row>
    <x:row r="385" ht="14.5">
      <x:c r="A385" s="1"/>
      <x:c r="B385" s="1"/>
      <x:c r="C385" s="1"/>
      <x:c r="D385" s="1"/>
      <x:c r="E385" s="1"/>
      <x:c r="F385" s="1"/>
      <x:c r="G385" s="1"/>
      <x:c r="H385" s="1"/>
      <x:c r="I385" s="1"/>
      <x:c r="J385" s="1"/>
      <x:c r="K385" s="1"/>
    </x:row>
    <x:row r="386" ht="14.5">
      <x:c r="A386" s="1"/>
      <x:c r="B386" s="1"/>
      <x:c r="C386" s="1"/>
      <x:c r="D386" s="1"/>
      <x:c r="E386" s="1"/>
      <x:c r="F386" s="1"/>
      <x:c r="G386" s="1"/>
      <x:c r="H386" s="1"/>
      <x:c r="I386" s="1"/>
      <x:c r="J386" s="1"/>
      <x:c r="K386" s="1"/>
    </x:row>
    <x:row r="387" ht="14.5">
      <x:c r="A387" s="1"/>
      <x:c r="B387" s="1"/>
      <x:c r="C387" s="1"/>
      <x:c r="D387" s="1"/>
      <x:c r="E387" s="1"/>
      <x:c r="F387" s="1"/>
      <x:c r="G387" s="1"/>
      <x:c r="H387" s="1"/>
      <x:c r="I387" s="1"/>
      <x:c r="J387" s="1"/>
      <x:c r="K387" s="1"/>
    </x:row>
    <x:row r="388" ht="14.5">
      <x:c r="A388" s="1"/>
      <x:c r="B388" s="1"/>
      <x:c r="C388" s="1"/>
      <x:c r="D388" s="1"/>
      <x:c r="E388" s="1"/>
      <x:c r="F388" s="1"/>
      <x:c r="G388" s="1"/>
      <x:c r="H388" s="1"/>
      <x:c r="I388" s="1"/>
      <x:c r="J388" s="1"/>
      <x:c r="K388" s="1"/>
    </x:row>
    <x:row r="389" ht="14.5">
      <x:c r="A389" s="1"/>
      <x:c r="B389" s="1"/>
      <x:c r="C389" s="1"/>
      <x:c r="D389" s="1"/>
      <x:c r="E389" s="1"/>
      <x:c r="F389" s="1"/>
      <x:c r="G389" s="1"/>
      <x:c r="H389" s="1"/>
      <x:c r="I389" s="1"/>
      <x:c r="J389" s="1"/>
      <x:c r="K389" s="1"/>
    </x:row>
    <x:row r="390" ht="14.5">
      <x:c r="A390" s="1"/>
      <x:c r="B390" s="1"/>
      <x:c r="C390" s="1"/>
      <x:c r="D390" s="1"/>
      <x:c r="E390" s="1"/>
      <x:c r="F390" s="1"/>
      <x:c r="G390" s="1"/>
      <x:c r="H390" s="1"/>
      <x:c r="I390" s="1"/>
      <x:c r="J390" s="1"/>
      <x:c r="K390" s="1"/>
    </x:row>
    <x:row r="391" ht="14.5">
      <x:c r="A391" s="1"/>
      <x:c r="B391" s="1"/>
      <x:c r="C391" s="1"/>
      <x:c r="D391" s="1"/>
      <x:c r="E391" s="1"/>
      <x:c r="F391" s="1"/>
      <x:c r="G391" s="1"/>
      <x:c r="H391" s="1"/>
      <x:c r="I391" s="1"/>
      <x:c r="J391" s="1"/>
      <x:c r="K391" s="1"/>
    </x:row>
    <x:row r="392" ht="14.5">
      <x:c r="A392" s="1"/>
      <x:c r="B392" s="1"/>
      <x:c r="C392" s="1"/>
      <x:c r="D392" s="1"/>
      <x:c r="E392" s="1"/>
      <x:c r="F392" s="1"/>
      <x:c r="G392" s="1"/>
      <x:c r="H392" s="1"/>
      <x:c r="I392" s="1"/>
      <x:c r="J392" s="1"/>
      <x:c r="K392" s="1"/>
    </x:row>
    <x:row r="393" ht="14.5">
      <x:c r="A393" s="1"/>
      <x:c r="B393" s="1"/>
      <x:c r="C393" s="1"/>
      <x:c r="D393" s="1"/>
      <x:c r="E393" s="1"/>
      <x:c r="F393" s="1"/>
      <x:c r="G393" s="1"/>
      <x:c r="H393" s="1"/>
      <x:c r="I393" s="1"/>
      <x:c r="J393" s="1"/>
      <x:c r="K393" s="1"/>
    </x:row>
    <x:row r="394" ht="14.5">
      <x:c r="A394" s="1"/>
      <x:c r="B394" s="1"/>
      <x:c r="C394" s="1"/>
      <x:c r="D394" s="1"/>
      <x:c r="E394" s="1"/>
      <x:c r="F394" s="1"/>
      <x:c r="G394" s="1"/>
      <x:c r="H394" s="1"/>
      <x:c r="I394" s="1"/>
      <x:c r="J394" s="1"/>
      <x:c r="K394" s="1"/>
    </x:row>
    <x:row r="395" ht="14.5">
      <x:c r="A395" s="1"/>
      <x:c r="B395" s="1"/>
      <x:c r="C395" s="1"/>
      <x:c r="D395" s="1"/>
      <x:c r="E395" s="1"/>
      <x:c r="F395" s="1"/>
      <x:c r="G395" s="1"/>
      <x:c r="H395" s="1"/>
      <x:c r="I395" s="1"/>
      <x:c r="J395" s="1"/>
      <x:c r="K395" s="1"/>
    </x:row>
    <x:row r="396" ht="14.5">
      <x:c r="A396" s="1"/>
      <x:c r="B396" s="1"/>
      <x:c r="C396" s="1"/>
      <x:c r="D396" s="1"/>
      <x:c r="E396" s="1"/>
      <x:c r="F396" s="1"/>
      <x:c r="G396" s="1"/>
      <x:c r="H396" s="1"/>
      <x:c r="I396" s="1"/>
      <x:c r="J396" s="1"/>
      <x:c r="K396" s="1"/>
    </x:row>
    <x:row r="397" ht="14.5">
      <x:c r="A397" s="1"/>
      <x:c r="B397" s="1"/>
      <x:c r="C397" s="1"/>
      <x:c r="D397" s="1"/>
      <x:c r="E397" s="1"/>
      <x:c r="F397" s="1"/>
      <x:c r="G397" s="1"/>
      <x:c r="H397" s="1"/>
      <x:c r="I397" s="1"/>
      <x:c r="J397" s="1"/>
      <x:c r="K397" s="1"/>
    </x:row>
    <x:row r="398" ht="14.5">
      <x:c r="A398" s="1"/>
      <x:c r="B398" s="1"/>
      <x:c r="C398" s="1"/>
      <x:c r="D398" s="1"/>
      <x:c r="E398" s="1"/>
      <x:c r="F398" s="1"/>
      <x:c r="G398" s="1"/>
      <x:c r="H398" s="1"/>
      <x:c r="I398" s="1"/>
      <x:c r="J398" s="1"/>
      <x:c r="K398" s="1"/>
    </x:row>
    <x:row r="399" ht="14.5">
      <x:c r="A399" s="1"/>
      <x:c r="B399" s="1"/>
      <x:c r="C399" s="1"/>
      <x:c r="D399" s="1"/>
      <x:c r="E399" s="1"/>
      <x:c r="F399" s="1"/>
      <x:c r="G399" s="1"/>
      <x:c r="H399" s="1"/>
      <x:c r="I399" s="1"/>
      <x:c r="J399" s="1"/>
      <x:c r="K399" s="1"/>
    </x:row>
    <x:row r="400" ht="14.5">
      <x:c r="A400" s="1"/>
      <x:c r="B400" s="1"/>
      <x:c r="C400" s="1"/>
      <x:c r="D400" s="1"/>
      <x:c r="E400" s="1"/>
      <x:c r="F400" s="1"/>
      <x:c r="G400" s="1"/>
      <x:c r="H400" s="1"/>
      <x:c r="I400" s="1"/>
      <x:c r="J400" s="1"/>
      <x:c r="K400" s="1"/>
    </x:row>
    <x:row r="401" ht="14.5">
      <x:c r="A401" s="1"/>
      <x:c r="B401" s="1"/>
      <x:c r="C401" s="1"/>
      <x:c r="D401" s="1"/>
      <x:c r="E401" s="1"/>
      <x:c r="F401" s="1"/>
      <x:c r="G401" s="1"/>
      <x:c r="H401" s="1"/>
      <x:c r="I401" s="1"/>
      <x:c r="J401" s="1"/>
      <x:c r="K401" s="1"/>
    </x:row>
    <x:row r="402" ht="14.5">
      <x:c r="A402" s="1"/>
      <x:c r="B402" s="1"/>
      <x:c r="C402" s="1"/>
      <x:c r="D402" s="1"/>
      <x:c r="E402" s="1"/>
      <x:c r="F402" s="1"/>
      <x:c r="G402" s="1"/>
      <x:c r="H402" s="1"/>
      <x:c r="I402" s="1"/>
      <x:c r="J402" s="1"/>
      <x:c r="K402" s="1"/>
    </x:row>
    <x:row r="403" ht="14.5">
      <x:c r="A403" s="1"/>
      <x:c r="B403" s="1"/>
      <x:c r="C403" s="1"/>
      <x:c r="D403" s="1"/>
      <x:c r="E403" s="1"/>
      <x:c r="F403" s="1"/>
      <x:c r="G403" s="1"/>
      <x:c r="H403" s="1"/>
      <x:c r="I403" s="1"/>
      <x:c r="J403" s="1"/>
      <x:c r="K403" s="1"/>
    </x:row>
    <x:row r="404" ht="14.5">
      <x:c r="A404" s="1"/>
      <x:c r="B404" s="1"/>
      <x:c r="C404" s="1"/>
      <x:c r="D404" s="1"/>
      <x:c r="E404" s="1"/>
      <x:c r="F404" s="1"/>
      <x:c r="G404" s="1"/>
      <x:c r="H404" s="1"/>
      <x:c r="I404" s="1"/>
      <x:c r="J404" s="1"/>
      <x:c r="K404" s="1"/>
    </x:row>
    <x:row r="405" ht="14.5">
      <x:c r="A405" s="1"/>
      <x:c r="B405" s="1"/>
      <x:c r="C405" s="1"/>
      <x:c r="D405" s="1"/>
      <x:c r="E405" s="1"/>
      <x:c r="F405" s="1"/>
      <x:c r="G405" s="1"/>
      <x:c r="H405" s="1"/>
      <x:c r="I405" s="1"/>
      <x:c r="J405" s="1"/>
      <x:c r="K405" s="1"/>
    </x:row>
    <x:row r="406" ht="14.5">
      <x:c r="A406" s="1"/>
      <x:c r="B406" s="1"/>
      <x:c r="C406" s="1"/>
      <x:c r="D406" s="1"/>
      <x:c r="E406" s="1"/>
      <x:c r="F406" s="1"/>
      <x:c r="G406" s="1"/>
      <x:c r="H406" s="1"/>
      <x:c r="I406" s="1"/>
      <x:c r="J406" s="1"/>
      <x:c r="K406" s="1"/>
    </x:row>
    <x:row r="407" ht="14.5">
      <x:c r="A407" s="1"/>
      <x:c r="B407" s="1"/>
      <x:c r="C407" s="1"/>
      <x:c r="D407" s="1"/>
      <x:c r="E407" s="1"/>
      <x:c r="F407" s="1"/>
      <x:c r="G407" s="1"/>
      <x:c r="H407" s="1"/>
      <x:c r="I407" s="1"/>
      <x:c r="J407" s="1"/>
      <x:c r="K407" s="1"/>
    </x:row>
    <x:row r="408" ht="14.5">
      <x:c r="A408" s="1"/>
      <x:c r="B408" s="1"/>
      <x:c r="C408" s="1"/>
      <x:c r="D408" s="1"/>
      <x:c r="E408" s="1"/>
      <x:c r="F408" s="1"/>
      <x:c r="G408" s="1"/>
      <x:c r="H408" s="1"/>
      <x:c r="I408" s="1"/>
      <x:c r="J408" s="1"/>
      <x:c r="K408" s="1"/>
    </x:row>
    <x:row r="409" ht="14.5">
      <x:c r="A409" s="1"/>
      <x:c r="B409" s="1"/>
      <x:c r="C409" s="1"/>
      <x:c r="D409" s="1"/>
      <x:c r="E409" s="1"/>
      <x:c r="F409" s="1"/>
      <x:c r="G409" s="1"/>
      <x:c r="H409" s="1"/>
      <x:c r="I409" s="1"/>
      <x:c r="J409" s="1"/>
      <x:c r="K409" s="1"/>
    </x:row>
    <x:row r="410" ht="14.5">
      <x:c r="A410" s="1"/>
      <x:c r="B410" s="1"/>
      <x:c r="C410" s="1"/>
      <x:c r="D410" s="1"/>
      <x:c r="E410" s="1"/>
      <x:c r="F410" s="1"/>
      <x:c r="G410" s="1"/>
      <x:c r="H410" s="1"/>
      <x:c r="I410" s="1"/>
      <x:c r="J410" s="1"/>
      <x:c r="K410" s="1"/>
    </x:row>
    <x:row r="411" ht="14.5">
      <x:c r="A411" s="1"/>
      <x:c r="B411" s="1"/>
      <x:c r="C411" s="1"/>
      <x:c r="D411" s="1"/>
      <x:c r="E411" s="1"/>
      <x:c r="F411" s="1"/>
      <x:c r="G411" s="1"/>
      <x:c r="H411" s="1"/>
      <x:c r="I411" s="1"/>
      <x:c r="J411" s="1"/>
      <x:c r="K411" s="1"/>
    </x:row>
    <x:row r="412" ht="14.5">
      <x:c r="A412" s="1"/>
      <x:c r="B412" s="1"/>
      <x:c r="C412" s="1"/>
      <x:c r="D412" s="1"/>
      <x:c r="E412" s="1"/>
      <x:c r="F412" s="1"/>
      <x:c r="G412" s="1"/>
      <x:c r="H412" s="1"/>
      <x:c r="I412" s="1"/>
      <x:c r="J412" s="1"/>
      <x:c r="K412" s="1"/>
    </x:row>
    <x:row r="413" ht="14.5">
      <x:c r="A413" s="1"/>
      <x:c r="B413" s="1"/>
      <x:c r="C413" s="1"/>
      <x:c r="D413" s="1"/>
      <x:c r="E413" s="1"/>
      <x:c r="F413" s="1"/>
      <x:c r="G413" s="1"/>
      <x:c r="H413" s="1"/>
      <x:c r="I413" s="1"/>
      <x:c r="J413" s="1"/>
      <x:c r="K413" s="1"/>
    </x:row>
    <x:row r="414" ht="14.5">
      <x:c r="A414" s="1"/>
      <x:c r="B414" s="1"/>
      <x:c r="C414" s="1"/>
      <x:c r="D414" s="1"/>
      <x:c r="E414" s="1"/>
      <x:c r="F414" s="1"/>
      <x:c r="G414" s="1"/>
      <x:c r="H414" s="1"/>
      <x:c r="I414" s="1"/>
      <x:c r="J414" s="1"/>
      <x:c r="K414" s="1"/>
    </x:row>
    <x:row r="415" ht="14.5">
      <x:c r="A415" s="1"/>
      <x:c r="B415" s="1"/>
      <x:c r="C415" s="1"/>
      <x:c r="D415" s="1"/>
      <x:c r="E415" s="1"/>
      <x:c r="F415" s="1"/>
      <x:c r="G415" s="1"/>
      <x:c r="H415" s="1"/>
      <x:c r="I415" s="1"/>
      <x:c r="J415" s="1"/>
      <x:c r="K415" s="1"/>
    </x:row>
    <x:row r="416" ht="14.5">
      <x:c r="A416" s="1"/>
      <x:c r="B416" s="1"/>
      <x:c r="C416" s="1"/>
      <x:c r="D416" s="1"/>
      <x:c r="E416" s="1"/>
      <x:c r="F416" s="1"/>
      <x:c r="G416" s="1"/>
      <x:c r="H416" s="1"/>
      <x:c r="I416" s="1"/>
      <x:c r="J416" s="1"/>
      <x:c r="K416" s="1"/>
    </x:row>
    <x:row r="417" ht="14.5">
      <x:c r="A417" s="1"/>
      <x:c r="B417" s="1"/>
      <x:c r="C417" s="1"/>
      <x:c r="D417" s="1"/>
      <x:c r="E417" s="1"/>
      <x:c r="F417" s="1"/>
      <x:c r="G417" s="1"/>
      <x:c r="H417" s="1"/>
      <x:c r="I417" s="1"/>
      <x:c r="J417" s="1"/>
      <x:c r="K417" s="1"/>
    </x:row>
    <x:row r="418" ht="14.5">
      <x:c r="A418" s="1"/>
      <x:c r="B418" s="1"/>
      <x:c r="C418" s="1"/>
      <x:c r="D418" s="1"/>
      <x:c r="E418" s="1"/>
      <x:c r="F418" s="1"/>
      <x:c r="G418" s="1"/>
      <x:c r="H418" s="1"/>
      <x:c r="I418" s="1"/>
      <x:c r="J418" s="1"/>
      <x:c r="K418" s="1"/>
    </x:row>
    <x:row r="419" ht="14.5">
      <x:c r="A419" s="1"/>
      <x:c r="B419" s="1"/>
      <x:c r="C419" s="1"/>
      <x:c r="D419" s="1"/>
      <x:c r="E419" s="1"/>
      <x:c r="F419" s="1"/>
      <x:c r="G419" s="1"/>
      <x:c r="H419" s="1"/>
      <x:c r="I419" s="1"/>
      <x:c r="J419" s="1"/>
      <x:c r="K419" s="1"/>
    </x:row>
    <x:row r="420" ht="14.5">
      <x:c r="A420" s="1"/>
      <x:c r="B420" s="1"/>
      <x:c r="C420" s="1"/>
      <x:c r="D420" s="1"/>
      <x:c r="E420" s="1"/>
      <x:c r="F420" s="1"/>
      <x:c r="G420" s="1"/>
      <x:c r="H420" s="1"/>
      <x:c r="I420" s="1"/>
      <x:c r="J420" s="1"/>
      <x:c r="K420" s="1"/>
    </x:row>
    <x:row r="421" ht="14.5">
      <x:c r="A421" s="1"/>
      <x:c r="B421" s="1"/>
      <x:c r="C421" s="1"/>
      <x:c r="D421" s="1"/>
      <x:c r="E421" s="1"/>
      <x:c r="F421" s="1"/>
      <x:c r="G421" s="1"/>
      <x:c r="H421" s="1"/>
      <x:c r="I421" s="1"/>
      <x:c r="J421" s="1"/>
      <x:c r="K421" s="1"/>
    </x:row>
    <x:row r="422" ht="14.5">
      <x:c r="A422" s="1"/>
      <x:c r="B422" s="1"/>
      <x:c r="C422" s="1"/>
      <x:c r="D422" s="1"/>
      <x:c r="E422" s="1"/>
      <x:c r="F422" s="1"/>
      <x:c r="G422" s="1"/>
      <x:c r="H422" s="1"/>
      <x:c r="I422" s="1"/>
      <x:c r="J422" s="1"/>
      <x:c r="K422" s="1"/>
    </x:row>
    <x:row r="423" ht="14.5">
      <x:c r="A423" s="1"/>
      <x:c r="B423" s="1"/>
      <x:c r="C423" s="1"/>
      <x:c r="D423" s="1"/>
      <x:c r="E423" s="1"/>
      <x:c r="F423" s="1"/>
      <x:c r="G423" s="1"/>
      <x:c r="H423" s="1"/>
      <x:c r="I423" s="1"/>
      <x:c r="J423" s="1"/>
      <x:c r="K423" s="1"/>
    </x:row>
    <x:row r="424" ht="14.5">
      <x:c r="A424" s="1"/>
      <x:c r="B424" s="1"/>
      <x:c r="C424" s="1"/>
      <x:c r="D424" s="1"/>
      <x:c r="E424" s="1"/>
      <x:c r="F424" s="1"/>
      <x:c r="G424" s="1"/>
      <x:c r="H424" s="1"/>
      <x:c r="I424" s="1"/>
      <x:c r="J424" s="1"/>
      <x:c r="K424" s="1"/>
    </x:row>
    <x:row r="425" ht="14.5">
      <x:c r="A425" s="1"/>
      <x:c r="B425" s="1"/>
      <x:c r="C425" s="1"/>
      <x:c r="D425" s="1"/>
      <x:c r="E425" s="1"/>
      <x:c r="F425" s="1"/>
      <x:c r="G425" s="1"/>
      <x:c r="H425" s="1"/>
      <x:c r="I425" s="1"/>
      <x:c r="J425" s="1"/>
      <x:c r="K425" s="1"/>
    </x:row>
    <x:row r="426" ht="14.5">
      <x:c r="A426" s="1"/>
      <x:c r="B426" s="1"/>
      <x:c r="C426" s="1"/>
      <x:c r="D426" s="1"/>
      <x:c r="E426" s="1"/>
      <x:c r="F426" s="1"/>
      <x:c r="G426" s="1"/>
      <x:c r="H426" s="1"/>
      <x:c r="I426" s="1"/>
      <x:c r="J426" s="1"/>
      <x:c r="K426" s="1"/>
    </x:row>
    <x:row r="427" ht="14.5">
      <x:c r="A427" s="1"/>
      <x:c r="B427" s="1"/>
      <x:c r="C427" s="1"/>
      <x:c r="D427" s="1"/>
      <x:c r="E427" s="1"/>
      <x:c r="F427" s="1"/>
      <x:c r="G427" s="1"/>
      <x:c r="H427" s="1"/>
      <x:c r="I427" s="1"/>
      <x:c r="J427" s="1"/>
      <x:c r="K427" s="1"/>
    </x:row>
    <x:row r="428" ht="14.5">
      <x:c r="A428" s="1"/>
      <x:c r="B428" s="1"/>
      <x:c r="C428" s="1"/>
      <x:c r="D428" s="1"/>
      <x:c r="E428" s="1"/>
      <x:c r="F428" s="1"/>
      <x:c r="G428" s="1"/>
      <x:c r="H428" s="1"/>
      <x:c r="I428" s="1"/>
      <x:c r="J428" s="1"/>
      <x:c r="K428" s="1"/>
    </x:row>
    <x:row r="429" ht="14.5">
      <x:c r="A429" s="1"/>
      <x:c r="B429" s="1"/>
      <x:c r="C429" s="1"/>
      <x:c r="D429" s="1"/>
      <x:c r="E429" s="1"/>
      <x:c r="F429" s="1"/>
      <x:c r="G429" s="1"/>
      <x:c r="H429" s="1"/>
      <x:c r="I429" s="1"/>
      <x:c r="J429" s="1"/>
      <x:c r="K429" s="1"/>
    </x:row>
    <x:row r="430" ht="14.5">
      <x:c r="A430" s="1"/>
      <x:c r="B430" s="1"/>
      <x:c r="C430" s="1"/>
      <x:c r="D430" s="1"/>
      <x:c r="E430" s="1"/>
      <x:c r="F430" s="1"/>
      <x:c r="G430" s="1"/>
      <x:c r="H430" s="1"/>
      <x:c r="I430" s="1"/>
      <x:c r="J430" s="1"/>
      <x:c r="K430" s="1"/>
    </x:row>
    <x:row r="431" ht="14.5">
      <x:c r="A431" s="1"/>
      <x:c r="B431" s="1"/>
      <x:c r="C431" s="1"/>
      <x:c r="D431" s="1"/>
      <x:c r="E431" s="1"/>
      <x:c r="F431" s="1"/>
      <x:c r="G431" s="1"/>
      <x:c r="H431" s="1"/>
      <x:c r="I431" s="1"/>
      <x:c r="J431" s="1"/>
      <x:c r="K431" s="1"/>
    </x:row>
    <x:row r="432" ht="14.5">
      <x:c r="A432" s="1"/>
      <x:c r="B432" s="1"/>
      <x:c r="C432" s="1"/>
      <x:c r="D432" s="1"/>
      <x:c r="E432" s="1"/>
      <x:c r="F432" s="1"/>
      <x:c r="G432" s="1"/>
      <x:c r="H432" s="1"/>
      <x:c r="I432" s="1"/>
      <x:c r="J432" s="1"/>
      <x:c r="K432" s="1"/>
    </x:row>
    <x:row r="433" ht="14.5">
      <x:c r="A433" s="1"/>
      <x:c r="B433" s="1"/>
      <x:c r="C433" s="1"/>
      <x:c r="D433" s="1"/>
      <x:c r="E433" s="1"/>
      <x:c r="F433" s="1"/>
      <x:c r="G433" s="1"/>
      <x:c r="H433" s="1"/>
      <x:c r="I433" s="1"/>
      <x:c r="J433" s="1"/>
      <x:c r="K433" s="1"/>
    </x:row>
    <x:row r="434" ht="14.5">
      <x:c r="A434" s="1"/>
      <x:c r="B434" s="1"/>
      <x:c r="C434" s="1"/>
      <x:c r="D434" s="1"/>
      <x:c r="E434" s="1"/>
      <x:c r="F434" s="1"/>
      <x:c r="G434" s="1"/>
      <x:c r="H434" s="1"/>
      <x:c r="I434" s="1"/>
      <x:c r="J434" s="1"/>
      <x:c r="K434" s="1"/>
    </x:row>
    <x:row r="435" ht="14.5">
      <x:c r="A435" s="1"/>
      <x:c r="B435" s="1"/>
      <x:c r="C435" s="1"/>
      <x:c r="D435" s="1"/>
      <x:c r="E435" s="1"/>
      <x:c r="F435" s="1"/>
      <x:c r="G435" s="1"/>
      <x:c r="H435" s="1"/>
      <x:c r="I435" s="1"/>
      <x:c r="J435" s="1"/>
      <x:c r="K435" s="1"/>
    </x:row>
    <x:row r="436" ht="14.5">
      <x:c r="A436" s="1"/>
      <x:c r="B436" s="1"/>
      <x:c r="C436" s="1"/>
      <x:c r="D436" s="1"/>
      <x:c r="E436" s="1"/>
      <x:c r="F436" s="1"/>
      <x:c r="G436" s="1"/>
      <x:c r="H436" s="1"/>
      <x:c r="I436" s="1"/>
      <x:c r="J436" s="1"/>
      <x:c r="K436" s="1"/>
    </x:row>
    <x:row r="437" ht="14.5">
      <x:c r="A437" s="1"/>
      <x:c r="B437" s="1"/>
      <x:c r="C437" s="1"/>
      <x:c r="D437" s="1"/>
      <x:c r="E437" s="1"/>
      <x:c r="F437" s="1"/>
      <x:c r="G437" s="1"/>
      <x:c r="H437" s="1"/>
      <x:c r="I437" s="1"/>
      <x:c r="J437" s="1"/>
      <x:c r="K437" s="1"/>
    </x:row>
    <x:row r="438" ht="14.5">
      <x:c r="A438" s="1"/>
      <x:c r="B438" s="1"/>
      <x:c r="C438" s="1"/>
      <x:c r="D438" s="1"/>
      <x:c r="E438" s="1"/>
      <x:c r="F438" s="1"/>
      <x:c r="G438" s="1"/>
      <x:c r="H438" s="1"/>
      <x:c r="I438" s="1"/>
      <x:c r="J438" s="1"/>
      <x:c r="K438" s="1"/>
    </x:row>
    <x:row r="439" ht="14.5">
      <x:c r="A439" s="1"/>
      <x:c r="B439" s="1"/>
      <x:c r="C439" s="1"/>
      <x:c r="D439" s="1"/>
      <x:c r="E439" s="1"/>
      <x:c r="F439" s="1"/>
      <x:c r="G439" s="1"/>
      <x:c r="H439" s="1"/>
      <x:c r="I439" s="1"/>
      <x:c r="J439" s="1"/>
      <x:c r="K439" s="1"/>
    </x:row>
    <x:row r="440" ht="14.5">
      <x:c r="A440" s="1"/>
      <x:c r="B440" s="1"/>
      <x:c r="C440" s="1"/>
      <x:c r="D440" s="1"/>
      <x:c r="E440" s="1"/>
      <x:c r="F440" s="1"/>
      <x:c r="G440" s="1"/>
      <x:c r="H440" s="1"/>
      <x:c r="I440" s="1"/>
      <x:c r="J440" s="1"/>
      <x:c r="K440" s="1"/>
    </x:row>
    <x:row r="441" ht="14.5">
      <x:c r="A441" s="1"/>
      <x:c r="B441" s="1"/>
      <x:c r="C441" s="1"/>
      <x:c r="D441" s="1"/>
      <x:c r="E441" s="1"/>
      <x:c r="F441" s="1"/>
      <x:c r="G441" s="1"/>
      <x:c r="H441" s="1"/>
      <x:c r="I441" s="1"/>
      <x:c r="J441" s="1"/>
      <x:c r="K441" s="1"/>
    </x:row>
    <x:row r="442" ht="14.5">
      <x:c r="A442" s="1"/>
      <x:c r="B442" s="1"/>
      <x:c r="C442" s="1"/>
      <x:c r="D442" s="1"/>
      <x:c r="E442" s="1"/>
      <x:c r="F442" s="1"/>
      <x:c r="G442" s="1"/>
      <x:c r="H442" s="1"/>
      <x:c r="I442" s="1"/>
      <x:c r="J442" s="1"/>
      <x:c r="K442" s="1"/>
    </x:row>
    <x:row r="443" ht="14.5">
      <x:c r="A443" s="1"/>
      <x:c r="B443" s="1"/>
      <x:c r="C443" s="1"/>
      <x:c r="D443" s="1"/>
      <x:c r="E443" s="1"/>
      <x:c r="F443" s="1"/>
      <x:c r="G443" s="1"/>
      <x:c r="H443" s="1"/>
      <x:c r="I443" s="1"/>
      <x:c r="J443" s="1"/>
      <x:c r="K443" s="1"/>
    </x:row>
    <x:row r="444" ht="14.5">
      <x:c r="A444" s="1"/>
      <x:c r="B444" s="1"/>
      <x:c r="C444" s="1"/>
      <x:c r="D444" s="1"/>
      <x:c r="E444" s="1"/>
      <x:c r="F444" s="1"/>
      <x:c r="G444" s="1"/>
      <x:c r="H444" s="1"/>
      <x:c r="I444" s="1"/>
      <x:c r="J444" s="1"/>
      <x:c r="K444" s="1"/>
    </x:row>
    <x:row r="445" ht="14.5">
      <x:c r="A445" s="1"/>
      <x:c r="B445" s="1"/>
      <x:c r="C445" s="1"/>
      <x:c r="D445" s="1"/>
      <x:c r="E445" s="1"/>
      <x:c r="F445" s="1"/>
      <x:c r="G445" s="1"/>
      <x:c r="H445" s="1"/>
      <x:c r="I445" s="1"/>
      <x:c r="J445" s="1"/>
      <x:c r="K445" s="1"/>
    </x:row>
    <x:row r="446" ht="14.5">
      <x:c r="A446" s="1"/>
      <x:c r="B446" s="1"/>
      <x:c r="C446" s="1"/>
      <x:c r="D446" s="1"/>
      <x:c r="E446" s="1"/>
      <x:c r="F446" s="1"/>
      <x:c r="G446" s="1"/>
      <x:c r="H446" s="1"/>
      <x:c r="I446" s="1"/>
      <x:c r="J446" s="1"/>
      <x:c r="K446" s="1"/>
    </x:row>
    <x:row r="447" ht="14.5">
      <x:c r="A447" s="1"/>
      <x:c r="B447" s="1"/>
      <x:c r="C447" s="1"/>
      <x:c r="D447" s="1"/>
      <x:c r="E447" s="1"/>
      <x:c r="F447" s="1"/>
      <x:c r="G447" s="1"/>
      <x:c r="H447" s="1"/>
      <x:c r="I447" s="1"/>
      <x:c r="J447" s="1"/>
      <x:c r="K447" s="1"/>
    </x:row>
    <x:row r="448" ht="14.5">
      <x:c r="A448" s="1"/>
      <x:c r="B448" s="1"/>
      <x:c r="C448" s="1"/>
      <x:c r="D448" s="1"/>
      <x:c r="E448" s="1"/>
      <x:c r="F448" s="1"/>
      <x:c r="G448" s="1"/>
      <x:c r="H448" s="1"/>
      <x:c r="I448" s="1"/>
      <x:c r="J448" s="1"/>
      <x:c r="K448" s="1"/>
    </x:row>
    <x:row r="449" ht="14.5">
      <x:c r="A449" s="1"/>
      <x:c r="B449" s="1"/>
      <x:c r="C449" s="1"/>
      <x:c r="D449" s="1"/>
      <x:c r="E449" s="1"/>
      <x:c r="F449" s="1"/>
      <x:c r="G449" s="1"/>
      <x:c r="H449" s="1"/>
      <x:c r="I449" s="1"/>
      <x:c r="J449" s="1"/>
      <x:c r="K449" s="1"/>
    </x:row>
    <x:row r="450" ht="14.5">
      <x:c r="A450" s="1"/>
      <x:c r="B450" s="1"/>
      <x:c r="C450" s="1"/>
      <x:c r="D450" s="1"/>
      <x:c r="E450" s="1"/>
      <x:c r="F450" s="1"/>
      <x:c r="G450" s="1"/>
      <x:c r="H450" s="1"/>
      <x:c r="I450" s="1"/>
      <x:c r="J450" s="1"/>
      <x:c r="K450" s="1"/>
    </x:row>
    <x:row r="451" ht="14.5">
      <x:c r="A451" s="1"/>
      <x:c r="B451" s="1"/>
      <x:c r="C451" s="1"/>
      <x:c r="D451" s="1"/>
      <x:c r="E451" s="1"/>
      <x:c r="F451" s="1"/>
      <x:c r="G451" s="1"/>
      <x:c r="H451" s="1"/>
      <x:c r="I451" s="1"/>
      <x:c r="J451" s="1"/>
      <x:c r="K451" s="1"/>
    </x:row>
    <x:row r="452" ht="14.5">
      <x:c r="A452" s="1"/>
      <x:c r="B452" s="1"/>
      <x:c r="C452" s="1"/>
      <x:c r="D452" s="1"/>
      <x:c r="E452" s="1"/>
      <x:c r="F452" s="1"/>
      <x:c r="G452" s="1"/>
      <x:c r="H452" s="1"/>
      <x:c r="I452" s="1"/>
      <x:c r="J452" s="1"/>
      <x:c r="K452" s="1"/>
    </x:row>
    <x:row r="453" ht="14.5">
      <x:c r="A453" s="1"/>
      <x:c r="B453" s="1"/>
      <x:c r="C453" s="1"/>
      <x:c r="D453" s="1"/>
      <x:c r="E453" s="1"/>
      <x:c r="F453" s="1"/>
      <x:c r="G453" s="1"/>
      <x:c r="H453" s="1"/>
      <x:c r="I453" s="1"/>
      <x:c r="J453" s="1"/>
      <x:c r="K453" s="1"/>
    </x:row>
    <x:row r="454" ht="14.5">
      <x:c r="A454" s="1"/>
      <x:c r="B454" s="1"/>
      <x:c r="C454" s="1"/>
      <x:c r="D454" s="1"/>
      <x:c r="E454" s="1"/>
      <x:c r="F454" s="1"/>
      <x:c r="G454" s="1"/>
      <x:c r="H454" s="1"/>
      <x:c r="I454" s="1"/>
      <x:c r="J454" s="1"/>
      <x:c r="K454" s="1"/>
    </x:row>
    <x:row r="455" ht="14.5">
      <x:c r="A455" s="1"/>
      <x:c r="B455" s="1"/>
      <x:c r="C455" s="1"/>
      <x:c r="D455" s="1"/>
      <x:c r="E455" s="1"/>
      <x:c r="F455" s="1"/>
      <x:c r="G455" s="1"/>
      <x:c r="H455" s="1"/>
      <x:c r="I455" s="1"/>
      <x:c r="J455" s="1"/>
      <x:c r="K455" s="1"/>
    </x:row>
    <x:row r="456" ht="14.5">
      <x:c r="A456" s="1"/>
      <x:c r="B456" s="1"/>
      <x:c r="C456" s="1"/>
      <x:c r="D456" s="1"/>
      <x:c r="E456" s="1"/>
      <x:c r="F456" s="1"/>
      <x:c r="G456" s="1"/>
      <x:c r="H456" s="1"/>
      <x:c r="I456" s="1"/>
      <x:c r="J456" s="1"/>
      <x:c r="K456" s="1"/>
    </x:row>
    <x:row r="457" ht="14.5">
      <x:c r="A457" s="1"/>
      <x:c r="B457" s="1"/>
      <x:c r="C457" s="1"/>
      <x:c r="D457" s="1"/>
      <x:c r="E457" s="1"/>
      <x:c r="F457" s="1"/>
      <x:c r="G457" s="1"/>
      <x:c r="H457" s="1"/>
      <x:c r="I457" s="1"/>
      <x:c r="J457" s="1"/>
      <x:c r="K457" s="1"/>
    </x:row>
    <x:row r="458" ht="14.5">
      <x:c r="A458" s="1"/>
      <x:c r="B458" s="1"/>
      <x:c r="C458" s="1"/>
      <x:c r="D458" s="1"/>
      <x:c r="E458" s="1"/>
      <x:c r="F458" s="1"/>
      <x:c r="G458" s="1"/>
      <x:c r="H458" s="1"/>
      <x:c r="I458" s="1"/>
      <x:c r="J458" s="1"/>
      <x:c r="K458" s="1"/>
    </x:row>
    <x:row r="459" ht="14.5">
      <x:c r="A459" s="1"/>
      <x:c r="B459" s="1"/>
      <x:c r="C459" s="1"/>
      <x:c r="D459" s="1"/>
      <x:c r="E459" s="1"/>
      <x:c r="F459" s="1"/>
      <x:c r="G459" s="1"/>
      <x:c r="H459" s="1"/>
      <x:c r="I459" s="1"/>
      <x:c r="J459" s="1"/>
      <x:c r="K459" s="1"/>
    </x:row>
    <x:row r="460" ht="14.5">
      <x:c r="A460" s="1"/>
      <x:c r="B460" s="1"/>
      <x:c r="C460" s="1"/>
      <x:c r="D460" s="1"/>
      <x:c r="E460" s="1"/>
      <x:c r="F460" s="1"/>
      <x:c r="G460" s="1"/>
      <x:c r="H460" s="1"/>
      <x:c r="I460" s="1"/>
      <x:c r="J460" s="1"/>
      <x:c r="K460" s="1"/>
    </x:row>
    <x:row r="461" ht="14.5">
      <x:c r="A461" s="1"/>
      <x:c r="B461" s="1"/>
      <x:c r="C461" s="1"/>
      <x:c r="D461" s="1"/>
      <x:c r="E461" s="1"/>
      <x:c r="F461" s="1"/>
      <x:c r="G461" s="1"/>
      <x:c r="H461" s="1"/>
      <x:c r="I461" s="1"/>
      <x:c r="J461" s="1"/>
      <x:c r="K461" s="1"/>
    </x:row>
    <x:row r="462" ht="14.5">
      <x:c r="A462" s="1"/>
      <x:c r="B462" s="1"/>
      <x:c r="C462" s="1"/>
      <x:c r="D462" s="1"/>
      <x:c r="E462" s="1"/>
      <x:c r="F462" s="1"/>
      <x:c r="G462" s="1"/>
      <x:c r="H462" s="1"/>
      <x:c r="I462" s="1"/>
      <x:c r="J462" s="1"/>
      <x:c r="K462" s="1"/>
    </x:row>
    <x:row r="463" ht="14.5">
      <x:c r="A463" s="1"/>
      <x:c r="B463" s="1"/>
      <x:c r="C463" s="1"/>
      <x:c r="D463" s="1"/>
      <x:c r="E463" s="1"/>
      <x:c r="F463" s="1"/>
      <x:c r="G463" s="1"/>
      <x:c r="H463" s="1"/>
      <x:c r="I463" s="1"/>
      <x:c r="J463" s="1"/>
      <x:c r="K463" s="1"/>
    </x:row>
    <x:row r="464" ht="14.5">
      <x:c r="A464" s="1"/>
      <x:c r="B464" s="1"/>
      <x:c r="C464" s="1"/>
      <x:c r="D464" s="1"/>
      <x:c r="E464" s="1"/>
      <x:c r="F464" s="1"/>
      <x:c r="G464" s="1"/>
      <x:c r="H464" s="1"/>
      <x:c r="I464" s="1"/>
      <x:c r="J464" s="1"/>
      <x:c r="K464" s="1"/>
    </x:row>
    <x:row r="465" ht="14.5">
      <x:c r="A465" s="1"/>
      <x:c r="B465" s="1"/>
      <x:c r="C465" s="1"/>
      <x:c r="D465" s="1"/>
      <x:c r="E465" s="1"/>
      <x:c r="F465" s="1"/>
      <x:c r="G465" s="1"/>
      <x:c r="H465" s="1"/>
      <x:c r="I465" s="1"/>
      <x:c r="J465" s="1"/>
      <x:c r="K465" s="1"/>
    </x:row>
    <x:row r="466" ht="14.5">
      <x:c r="A466" s="1"/>
      <x:c r="B466" s="1"/>
      <x:c r="C466" s="1"/>
      <x:c r="D466" s="1"/>
      <x:c r="E466" s="1"/>
      <x:c r="F466" s="1"/>
      <x:c r="G466" s="1"/>
      <x:c r="H466" s="1"/>
      <x:c r="I466" s="1"/>
      <x:c r="J466" s="1"/>
      <x:c r="K466" s="1"/>
    </x:row>
    <x:row r="467" ht="14.5">
      <x:c r="A467" s="1"/>
      <x:c r="B467" s="1"/>
      <x:c r="C467" s="1"/>
      <x:c r="D467" s="1"/>
      <x:c r="E467" s="1"/>
      <x:c r="F467" s="1"/>
      <x:c r="G467" s="1"/>
      <x:c r="H467" s="1"/>
      <x:c r="I467" s="1"/>
      <x:c r="J467" s="1"/>
      <x:c r="K467" s="1"/>
    </x:row>
    <x:row r="468" ht="14.5">
      <x:c r="A468" s="1"/>
      <x:c r="B468" s="1"/>
      <x:c r="C468" s="1"/>
      <x:c r="D468" s="1"/>
      <x:c r="E468" s="1"/>
      <x:c r="F468" s="1"/>
      <x:c r="G468" s="1"/>
      <x:c r="H468" s="1"/>
      <x:c r="I468" s="1"/>
      <x:c r="J468" s="1"/>
      <x:c r="K468" s="1"/>
    </x:row>
    <x:row r="469" ht="14.5">
      <x:c r="A469" s="1"/>
      <x:c r="B469" s="1"/>
      <x:c r="C469" s="1"/>
      <x:c r="D469" s="1"/>
      <x:c r="E469" s="1"/>
      <x:c r="F469" s="1"/>
      <x:c r="G469" s="1"/>
      <x:c r="H469" s="1"/>
      <x:c r="I469" s="1"/>
      <x:c r="J469" s="1"/>
      <x:c r="K469" s="1"/>
    </x:row>
    <x:row r="470" ht="14.5">
      <x:c r="A470" s="1"/>
      <x:c r="B470" s="1"/>
      <x:c r="C470" s="1"/>
      <x:c r="D470" s="1"/>
      <x:c r="E470" s="1"/>
      <x:c r="F470" s="1"/>
      <x:c r="G470" s="1"/>
      <x:c r="H470" s="1"/>
      <x:c r="I470" s="1"/>
      <x:c r="J470" s="1"/>
      <x:c r="K470" s="1"/>
    </x:row>
    <x:row r="471" ht="14.5">
      <x:c r="A471" s="1"/>
      <x:c r="B471" s="1"/>
      <x:c r="C471" s="1"/>
      <x:c r="D471" s="1"/>
      <x:c r="E471" s="1"/>
      <x:c r="F471" s="1"/>
      <x:c r="G471" s="1"/>
      <x:c r="H471" s="1"/>
      <x:c r="I471" s="1"/>
      <x:c r="J471" s="1"/>
      <x:c r="K471" s="1"/>
    </x:row>
    <x:row r="472" ht="14.5">
      <x:c r="A472" s="1"/>
      <x:c r="B472" s="1"/>
      <x:c r="C472" s="1"/>
      <x:c r="D472" s="1"/>
      <x:c r="E472" s="1"/>
      <x:c r="F472" s="1"/>
      <x:c r="G472" s="1"/>
      <x:c r="H472" s="1"/>
      <x:c r="I472" s="1"/>
      <x:c r="J472" s="1"/>
      <x:c r="K472" s="1"/>
    </x:row>
    <x:row r="473" ht="14.5">
      <x:c r="A473" s="1"/>
      <x:c r="B473" s="1"/>
      <x:c r="C473" s="1"/>
      <x:c r="D473" s="1"/>
      <x:c r="E473" s="1"/>
      <x:c r="F473" s="1"/>
      <x:c r="G473" s="1"/>
      <x:c r="H473" s="1"/>
      <x:c r="I473" s="1"/>
      <x:c r="J473" s="1"/>
      <x:c r="K473" s="1"/>
    </x:row>
    <x:row r="474" ht="14.5">
      <x:c r="A474" s="1"/>
      <x:c r="B474" s="1"/>
      <x:c r="C474" s="1"/>
      <x:c r="D474" s="1"/>
      <x:c r="E474" s="1"/>
      <x:c r="F474" s="1"/>
      <x:c r="G474" s="1"/>
      <x:c r="H474" s="1"/>
      <x:c r="I474" s="1"/>
      <x:c r="J474" s="1"/>
      <x:c r="K474" s="1"/>
    </x:row>
    <x:row r="475" ht="14.5">
      <x:c r="A475" s="1"/>
      <x:c r="B475" s="1"/>
      <x:c r="C475" s="1"/>
      <x:c r="D475" s="1"/>
      <x:c r="E475" s="1"/>
      <x:c r="F475" s="1"/>
      <x:c r="G475" s="1"/>
      <x:c r="H475" s="1"/>
      <x:c r="I475" s="1"/>
      <x:c r="J475" s="1"/>
      <x:c r="K475" s="1"/>
    </x:row>
    <x:row r="476" ht="14.5">
      <x:c r="A476" s="1"/>
      <x:c r="B476" s="1"/>
      <x:c r="C476" s="1"/>
      <x:c r="D476" s="1"/>
      <x:c r="E476" s="1"/>
      <x:c r="F476" s="1"/>
      <x:c r="G476" s="1"/>
      <x:c r="H476" s="1"/>
      <x:c r="I476" s="1"/>
      <x:c r="J476" s="1"/>
      <x:c r="K476" s="1"/>
    </x:row>
    <x:row r="477" ht="14.5">
      <x:c r="A477" s="1"/>
      <x:c r="B477" s="1"/>
      <x:c r="C477" s="1"/>
      <x:c r="D477" s="1"/>
      <x:c r="E477" s="1"/>
      <x:c r="F477" s="1"/>
      <x:c r="G477" s="1"/>
      <x:c r="H477" s="1"/>
      <x:c r="I477" s="1"/>
      <x:c r="J477" s="1"/>
      <x:c r="K477" s="1"/>
    </x:row>
    <x:row r="478" ht="14.5">
      <x:c r="A478" s="1"/>
      <x:c r="B478" s="1"/>
      <x:c r="C478" s="1"/>
      <x:c r="D478" s="1"/>
      <x:c r="E478" s="1"/>
      <x:c r="F478" s="1"/>
      <x:c r="G478" s="1"/>
      <x:c r="H478" s="1"/>
      <x:c r="I478" s="1"/>
      <x:c r="J478" s="1"/>
      <x:c r="K478" s="1"/>
    </x:row>
    <x:row r="479" ht="14.5">
      <x:c r="A479" s="1"/>
      <x:c r="B479" s="1"/>
      <x:c r="C479" s="1"/>
      <x:c r="D479" s="1"/>
      <x:c r="E479" s="1"/>
      <x:c r="F479" s="1"/>
      <x:c r="G479" s="1"/>
      <x:c r="H479" s="1"/>
      <x:c r="I479" s="1"/>
      <x:c r="J479" s="1"/>
      <x:c r="K479" s="1"/>
    </x:row>
    <x:row r="480" ht="14.5">
      <x:c r="A480" s="1"/>
      <x:c r="B480" s="1"/>
      <x:c r="C480" s="1"/>
      <x:c r="D480" s="1"/>
      <x:c r="E480" s="1"/>
      <x:c r="F480" s="1"/>
      <x:c r="G480" s="1"/>
      <x:c r="H480" s="1"/>
      <x:c r="I480" s="1"/>
      <x:c r="J480" s="1"/>
      <x:c r="K480" s="1"/>
    </x:row>
    <x:row r="481" ht="14.5">
      <x:c r="A481" s="1"/>
      <x:c r="B481" s="1"/>
      <x:c r="C481" s="1"/>
      <x:c r="D481" s="1"/>
      <x:c r="E481" s="1"/>
      <x:c r="F481" s="1"/>
      <x:c r="G481" s="1"/>
      <x:c r="H481" s="1"/>
      <x:c r="I481" s="1"/>
      <x:c r="J481" s="1"/>
      <x:c r="K481" s="1"/>
    </x:row>
    <x:row r="482" ht="14.5">
      <x:c r="A482" s="1"/>
      <x:c r="B482" s="1"/>
      <x:c r="C482" s="1"/>
      <x:c r="D482" s="1"/>
      <x:c r="E482" s="1"/>
      <x:c r="F482" s="1"/>
      <x:c r="G482" s="1"/>
      <x:c r="H482" s="1"/>
      <x:c r="I482" s="1"/>
      <x:c r="J482" s="1"/>
      <x:c r="K482" s="1"/>
    </x:row>
    <x:row r="483" ht="14.5">
      <x:c r="A483" s="1"/>
      <x:c r="B483" s="1"/>
      <x:c r="C483" s="1"/>
      <x:c r="D483" s="1"/>
      <x:c r="E483" s="1"/>
      <x:c r="F483" s="1"/>
      <x:c r="G483" s="1"/>
      <x:c r="H483" s="1"/>
      <x:c r="I483" s="1"/>
      <x:c r="J483" s="1"/>
      <x:c r="K483" s="1"/>
    </x:row>
    <x:row r="484" ht="14.5">
      <x:c r="A484" s="1"/>
      <x:c r="B484" s="1"/>
      <x:c r="C484" s="1"/>
      <x:c r="D484" s="1"/>
      <x:c r="E484" s="1"/>
      <x:c r="F484" s="1"/>
      <x:c r="G484" s="1"/>
      <x:c r="H484" s="1"/>
      <x:c r="I484" s="1"/>
      <x:c r="J484" s="1"/>
      <x:c r="K484" s="1"/>
    </x:row>
    <x:row r="485" ht="14.5">
      <x:c r="A485" s="1"/>
      <x:c r="B485" s="1"/>
      <x:c r="C485" s="1"/>
      <x:c r="D485" s="1"/>
      <x:c r="E485" s="1"/>
      <x:c r="F485" s="1"/>
      <x:c r="G485" s="1"/>
      <x:c r="H485" s="1"/>
      <x:c r="I485" s="1"/>
      <x:c r="J485" s="1"/>
      <x:c r="K485" s="1"/>
    </x:row>
    <x:row r="486" ht="14.5">
      <x:c r="A486" s="1"/>
      <x:c r="B486" s="1"/>
      <x:c r="C486" s="1"/>
      <x:c r="D486" s="1"/>
      <x:c r="E486" s="1"/>
      <x:c r="F486" s="1"/>
      <x:c r="G486" s="1"/>
      <x:c r="H486" s="1"/>
      <x:c r="I486" s="1"/>
      <x:c r="J486" s="1"/>
      <x:c r="K486" s="1"/>
    </x:row>
    <x:row r="487" ht="14.5">
      <x:c r="A487" s="1"/>
      <x:c r="B487" s="1"/>
      <x:c r="C487" s="1"/>
      <x:c r="D487" s="1"/>
      <x:c r="E487" s="1"/>
      <x:c r="F487" s="1"/>
      <x:c r="G487" s="1"/>
      <x:c r="H487" s="1"/>
      <x:c r="I487" s="1"/>
      <x:c r="J487" s="1"/>
      <x:c r="K487" s="1"/>
    </x:row>
    <x:row r="488" ht="14.5">
      <x:c r="A488" s="1"/>
      <x:c r="B488" s="1"/>
      <x:c r="C488" s="1"/>
      <x:c r="D488" s="1"/>
      <x:c r="E488" s="1"/>
      <x:c r="F488" s="1"/>
      <x:c r="G488" s="1"/>
      <x:c r="H488" s="1"/>
      <x:c r="I488" s="1"/>
      <x:c r="J488" s="1"/>
      <x:c r="K488" s="1"/>
    </x:row>
    <x:row r="489" ht="14.5">
      <x:c r="A489" s="1"/>
      <x:c r="B489" s="1"/>
      <x:c r="C489" s="1"/>
      <x:c r="D489" s="1"/>
      <x:c r="E489" s="1"/>
      <x:c r="F489" s="1"/>
      <x:c r="G489" s="1"/>
      <x:c r="H489" s="1"/>
      <x:c r="I489" s="1"/>
      <x:c r="J489" s="1"/>
      <x:c r="K489" s="1"/>
    </x:row>
    <x:row r="490" ht="14.5">
      <x:c r="A490" s="1"/>
      <x:c r="B490" s="1"/>
      <x:c r="C490" s="1"/>
      <x:c r="D490" s="1"/>
      <x:c r="E490" s="1"/>
      <x:c r="F490" s="1"/>
      <x:c r="G490" s="1"/>
      <x:c r="H490" s="1"/>
      <x:c r="I490" s="1"/>
      <x:c r="J490" s="1"/>
      <x:c r="K490" s="1"/>
    </x:row>
    <x:row r="491" ht="14.5">
      <x:c r="A491" s="1"/>
      <x:c r="B491" s="1"/>
      <x:c r="C491" s="1"/>
      <x:c r="D491" s="1"/>
      <x:c r="E491" s="1"/>
      <x:c r="F491" s="1"/>
      <x:c r="G491" s="1"/>
      <x:c r="H491" s="1"/>
      <x:c r="I491" s="1"/>
      <x:c r="J491" s="1"/>
      <x:c r="K491" s="1"/>
    </x:row>
    <x:row r="492" ht="14.5">
      <x:c r="A492" s="1"/>
      <x:c r="B492" s="1"/>
      <x:c r="C492" s="1"/>
      <x:c r="D492" s="1"/>
      <x:c r="E492" s="1"/>
      <x:c r="F492" s="1"/>
      <x:c r="G492" s="1"/>
      <x:c r="H492" s="1"/>
      <x:c r="I492" s="1"/>
      <x:c r="J492" s="1"/>
      <x:c r="K492" s="1"/>
    </x:row>
    <x:row r="493" ht="14.5">
      <x:c r="A493" s="1"/>
      <x:c r="B493" s="1"/>
      <x:c r="C493" s="1"/>
      <x:c r="D493" s="1"/>
      <x:c r="E493" s="1"/>
      <x:c r="F493" s="1"/>
      <x:c r="G493" s="1"/>
      <x:c r="H493" s="1"/>
      <x:c r="I493" s="1"/>
      <x:c r="J493" s="1"/>
      <x:c r="K493" s="1"/>
    </x:row>
    <x:row r="494" ht="14.5">
      <x:c r="A494" s="1"/>
      <x:c r="B494" s="1"/>
      <x:c r="C494" s="1"/>
      <x:c r="D494" s="1"/>
      <x:c r="E494" s="1"/>
      <x:c r="F494" s="1"/>
      <x:c r="G494" s="1"/>
      <x:c r="H494" s="1"/>
      <x:c r="I494" s="1"/>
      <x:c r="J494" s="1"/>
      <x:c r="K494" s="1"/>
    </x:row>
    <x:row r="495" ht="14.5">
      <x:c r="A495" s="1"/>
      <x:c r="B495" s="1"/>
      <x:c r="C495" s="1"/>
      <x:c r="D495" s="1"/>
      <x:c r="E495" s="1"/>
      <x:c r="F495" s="1"/>
      <x:c r="G495" s="1"/>
      <x:c r="H495" s="1"/>
      <x:c r="I495" s="1"/>
      <x:c r="J495" s="1"/>
      <x:c r="K495" s="1"/>
    </x:row>
    <x:row r="496" ht="14.5">
      <x:c r="A496" s="1"/>
      <x:c r="B496" s="1"/>
      <x:c r="C496" s="1"/>
      <x:c r="D496" s="1"/>
      <x:c r="E496" s="1"/>
      <x:c r="F496" s="1"/>
      <x:c r="G496" s="1"/>
      <x:c r="H496" s="1"/>
      <x:c r="I496" s="1"/>
      <x:c r="J496" s="1"/>
      <x:c r="K496" s="1"/>
    </x:row>
    <x:row r="497" ht="14.5">
      <x:c r="A497" s="1"/>
      <x:c r="B497" s="1"/>
      <x:c r="C497" s="1"/>
      <x:c r="D497" s="1"/>
      <x:c r="E497" s="1"/>
      <x:c r="F497" s="1"/>
      <x:c r="G497" s="1"/>
      <x:c r="H497" s="1"/>
      <x:c r="I497" s="1"/>
      <x:c r="J497" s="1"/>
      <x:c r="K497" s="1"/>
    </x:row>
    <x:row r="498" ht="14.5">
      <x:c r="A498" s="1"/>
      <x:c r="B498" s="1"/>
      <x:c r="C498" s="1"/>
      <x:c r="D498" s="1"/>
      <x:c r="E498" s="1"/>
      <x:c r="F498" s="1"/>
      <x:c r="G498" s="1"/>
      <x:c r="H498" s="1"/>
      <x:c r="I498" s="1"/>
      <x:c r="J498" s="1"/>
      <x:c r="K498" s="1"/>
    </x:row>
    <x:row r="499" ht="14.5">
      <x:c r="A499" s="1"/>
      <x:c r="B499" s="1"/>
      <x:c r="C499" s="1"/>
      <x:c r="D499" s="1"/>
      <x:c r="E499" s="1"/>
      <x:c r="F499" s="1"/>
      <x:c r="G499" s="1"/>
      <x:c r="H499" s="1"/>
      <x:c r="I499" s="1"/>
      <x:c r="J499" s="1"/>
      <x:c r="K499" s="1"/>
    </x:row>
    <x:row r="500" ht="14.5">
      <x:c r="A500" s="1"/>
      <x:c r="B500" s="1"/>
      <x:c r="C500" s="1"/>
      <x:c r="D500" s="1"/>
      <x:c r="E500" s="1"/>
      <x:c r="F500" s="1"/>
      <x:c r="G500" s="1"/>
      <x:c r="H500" s="1"/>
      <x:c r="I500" s="1"/>
      <x:c r="J500" s="1"/>
      <x:c r="K500" s="1"/>
    </x:row>
    <x:row r="501" ht="14.5">
      <x:c r="A501" s="1"/>
      <x:c r="B501" s="1"/>
      <x:c r="C501" s="1"/>
      <x:c r="D501" s="1"/>
      <x:c r="E501" s="1"/>
      <x:c r="F501" s="1"/>
      <x:c r="G501" s="1"/>
      <x:c r="H501" s="1"/>
      <x:c r="I501" s="1"/>
      <x:c r="J501" s="1"/>
      <x:c r="K501" s="1"/>
    </x:row>
    <x:row r="502" ht="14.5">
      <x:c r="A502" s="1"/>
      <x:c r="B502" s="1"/>
      <x:c r="C502" s="1"/>
      <x:c r="D502" s="1"/>
      <x:c r="E502" s="1"/>
      <x:c r="F502" s="1"/>
      <x:c r="G502" s="1"/>
      <x:c r="H502" s="1"/>
      <x:c r="I502" s="1"/>
      <x:c r="J502" s="1"/>
      <x:c r="K502" s="1"/>
    </x:row>
    <x:row r="503" ht="14.5">
      <x:c r="A503" s="1"/>
      <x:c r="B503" s="1"/>
      <x:c r="C503" s="1"/>
      <x:c r="D503" s="1"/>
      <x:c r="E503" s="1"/>
      <x:c r="F503" s="1"/>
      <x:c r="G503" s="1"/>
      <x:c r="H503" s="1"/>
      <x:c r="I503" s="1"/>
      <x:c r="J503" s="1"/>
      <x:c r="K503" s="1"/>
    </x:row>
    <x:row r="504" ht="14.5">
      <x:c r="A504" s="1"/>
      <x:c r="B504" s="1"/>
      <x:c r="C504" s="1"/>
      <x:c r="D504" s="1"/>
      <x:c r="E504" s="1"/>
      <x:c r="F504" s="1"/>
      <x:c r="G504" s="1"/>
      <x:c r="H504" s="1"/>
      <x:c r="I504" s="1"/>
      <x:c r="J504" s="1"/>
      <x:c r="K504" s="1"/>
    </x:row>
    <x:row r="505" ht="14.5">
      <x:c r="A505" s="1"/>
      <x:c r="B505" s="1"/>
      <x:c r="C505" s="1"/>
      <x:c r="D505" s="1"/>
      <x:c r="E505" s="1"/>
      <x:c r="F505" s="1"/>
      <x:c r="G505" s="1"/>
      <x:c r="H505" s="1"/>
      <x:c r="I505" s="1"/>
      <x:c r="J505" s="1"/>
      <x:c r="K505" s="1"/>
    </x:row>
    <x:row r="506" ht="14.5">
      <x:c r="A506" s="1"/>
      <x:c r="B506" s="1"/>
      <x:c r="C506" s="1"/>
      <x:c r="D506" s="1"/>
      <x:c r="E506" s="1"/>
      <x:c r="F506" s="1"/>
      <x:c r="G506" s="1"/>
      <x:c r="H506" s="1"/>
      <x:c r="I506" s="1"/>
      <x:c r="J506" s="1"/>
      <x:c r="K506" s="1"/>
    </x:row>
    <x:row r="507" ht="14.5">
      <x:c r="A507" s="1"/>
      <x:c r="B507" s="1"/>
      <x:c r="C507" s="1"/>
      <x:c r="D507" s="1"/>
      <x:c r="E507" s="1"/>
      <x:c r="F507" s="1"/>
      <x:c r="G507" s="1"/>
      <x:c r="H507" s="1"/>
      <x:c r="I507" s="1"/>
      <x:c r="J507" s="1"/>
      <x:c r="K507" s="1"/>
    </x:row>
    <x:row r="508" ht="14.5">
      <x:c r="A508" s="1"/>
      <x:c r="B508" s="1"/>
      <x:c r="C508" s="1"/>
      <x:c r="D508" s="1"/>
      <x:c r="E508" s="1"/>
      <x:c r="F508" s="1"/>
      <x:c r="G508" s="1"/>
      <x:c r="H508" s="1"/>
      <x:c r="I508" s="1"/>
      <x:c r="J508" s="1"/>
      <x:c r="K508" s="1"/>
    </x:row>
    <x:row r="509" ht="14.5">
      <x:c r="A509" s="1"/>
      <x:c r="B509" s="1"/>
      <x:c r="C509" s="1"/>
      <x:c r="D509" s="1"/>
      <x:c r="E509" s="1"/>
      <x:c r="F509" s="1"/>
      <x:c r="G509" s="1"/>
      <x:c r="H509" s="1"/>
      <x:c r="I509" s="1"/>
      <x:c r="J509" s="1"/>
      <x:c r="K509" s="1"/>
    </x:row>
    <x:row r="510" ht="14.5">
      <x:c r="A510" s="1"/>
      <x:c r="B510" s="1"/>
      <x:c r="C510" s="1"/>
      <x:c r="D510" s="1"/>
      <x:c r="E510" s="1"/>
      <x:c r="F510" s="1"/>
      <x:c r="G510" s="1"/>
      <x:c r="H510" s="1"/>
      <x:c r="I510" s="1"/>
      <x:c r="J510" s="1"/>
      <x:c r="K510" s="1"/>
    </x:row>
    <x:row r="511" ht="14.5">
      <x:c r="A511" s="1"/>
      <x:c r="B511" s="1"/>
      <x:c r="C511" s="1"/>
      <x:c r="D511" s="1"/>
      <x:c r="E511" s="1"/>
      <x:c r="F511" s="1"/>
      <x:c r="G511" s="1"/>
      <x:c r="H511" s="1"/>
      <x:c r="I511" s="1"/>
      <x:c r="J511" s="1"/>
      <x:c r="K511" s="1"/>
    </x:row>
    <x:row r="512" ht="14.5">
      <x:c r="A512" s="1"/>
      <x:c r="B512" s="1"/>
      <x:c r="C512" s="1"/>
      <x:c r="D512" s="1"/>
      <x:c r="E512" s="1"/>
      <x:c r="F512" s="1"/>
      <x:c r="G512" s="1"/>
      <x:c r="H512" s="1"/>
      <x:c r="I512" s="1"/>
      <x:c r="J512" s="1"/>
      <x:c r="K512" s="1"/>
    </x:row>
    <x:row r="513" ht="14.5">
      <x:c r="A513" s="1"/>
      <x:c r="B513" s="1"/>
      <x:c r="C513" s="1"/>
      <x:c r="D513" s="1"/>
      <x:c r="E513" s="1"/>
      <x:c r="F513" s="1"/>
      <x:c r="G513" s="1"/>
      <x:c r="H513" s="1"/>
      <x:c r="I513" s="1"/>
      <x:c r="J513" s="1"/>
      <x:c r="K513" s="1"/>
    </x:row>
    <x:row r="514" ht="14.5">
      <x:c r="A514" s="1"/>
      <x:c r="B514" s="1"/>
      <x:c r="C514" s="1"/>
      <x:c r="D514" s="1"/>
      <x:c r="E514" s="1"/>
      <x:c r="F514" s="1"/>
      <x:c r="G514" s="1"/>
      <x:c r="H514" s="1"/>
      <x:c r="I514" s="1"/>
      <x:c r="J514" s="1"/>
      <x:c r="K514" s="1"/>
    </x:row>
    <x:row r="515" ht="14.5">
      <x:c r="A515" s="1"/>
      <x:c r="B515" s="1"/>
      <x:c r="C515" s="1"/>
      <x:c r="D515" s="1"/>
      <x:c r="E515" s="1"/>
      <x:c r="F515" s="1"/>
      <x:c r="G515" s="1"/>
      <x:c r="H515" s="1"/>
      <x:c r="I515" s="1"/>
      <x:c r="J515" s="1"/>
      <x:c r="K515" s="1"/>
    </x:row>
    <x:row r="516" ht="14.5">
      <x:c r="A516" s="1"/>
      <x:c r="B516" s="1"/>
      <x:c r="C516" s="1"/>
      <x:c r="D516" s="1"/>
      <x:c r="E516" s="1"/>
      <x:c r="F516" s="1"/>
      <x:c r="G516" s="1"/>
      <x:c r="H516" s="1"/>
      <x:c r="I516" s="1"/>
      <x:c r="J516" s="1"/>
      <x:c r="K516" s="1"/>
    </x:row>
    <x:row r="517" ht="14.5">
      <x:c r="A517" s="1"/>
      <x:c r="B517" s="1"/>
      <x:c r="C517" s="1"/>
      <x:c r="D517" s="1"/>
      <x:c r="E517" s="1"/>
      <x:c r="F517" s="1"/>
      <x:c r="G517" s="1"/>
      <x:c r="H517" s="1"/>
      <x:c r="I517" s="1"/>
      <x:c r="J517" s="1"/>
      <x:c r="K517" s="1"/>
    </x:row>
    <x:row r="518" ht="14.5">
      <x:c r="A518" s="1"/>
      <x:c r="B518" s="1"/>
      <x:c r="C518" s="1"/>
      <x:c r="D518" s="1"/>
      <x:c r="E518" s="1"/>
      <x:c r="F518" s="1"/>
      <x:c r="G518" s="1"/>
      <x:c r="H518" s="1"/>
      <x:c r="I518" s="1"/>
      <x:c r="J518" s="1"/>
      <x:c r="K518" s="1"/>
    </x:row>
    <x:row r="519" ht="14.5">
      <x:c r="A519" s="1"/>
      <x:c r="B519" s="1"/>
      <x:c r="C519" s="1"/>
      <x:c r="D519" s="1"/>
      <x:c r="E519" s="1"/>
      <x:c r="F519" s="1"/>
      <x:c r="G519" s="1"/>
      <x:c r="H519" s="1"/>
      <x:c r="I519" s="1"/>
      <x:c r="J519" s="1"/>
      <x:c r="K519" s="1"/>
    </x:row>
    <x:row r="520" ht="14.5">
      <x:c r="A520" s="1"/>
      <x:c r="B520" s="1"/>
      <x:c r="C520" s="1"/>
      <x:c r="D520" s="1"/>
      <x:c r="E520" s="1"/>
      <x:c r="F520" s="1"/>
      <x:c r="G520" s="1"/>
      <x:c r="H520" s="1"/>
      <x:c r="I520" s="1"/>
      <x:c r="J520" s="1"/>
      <x:c r="K520" s="1"/>
    </x:row>
    <x:row r="521" ht="14.5">
      <x:c r="A521" s="1"/>
      <x:c r="B521" s="1"/>
      <x:c r="C521" s="1"/>
      <x:c r="D521" s="1"/>
      <x:c r="E521" s="1"/>
      <x:c r="F521" s="1"/>
      <x:c r="G521" s="1"/>
      <x:c r="H521" s="1"/>
      <x:c r="I521" s="1"/>
      <x:c r="J521" s="1"/>
      <x:c r="K521" s="1"/>
    </x:row>
    <x:row r="522" ht="14.5">
      <x:c r="A522" s="1"/>
      <x:c r="B522" s="1"/>
      <x:c r="C522" s="1"/>
      <x:c r="D522" s="1"/>
      <x:c r="E522" s="1"/>
      <x:c r="F522" s="1"/>
      <x:c r="G522" s="1"/>
      <x:c r="H522" s="1"/>
      <x:c r="I522" s="1"/>
      <x:c r="J522" s="1"/>
      <x:c r="K522" s="1"/>
    </x:row>
    <x:row r="523" ht="14.5">
      <x:c r="A523" s="1"/>
      <x:c r="B523" s="1"/>
      <x:c r="C523" s="1"/>
      <x:c r="D523" s="1"/>
      <x:c r="E523" s="1"/>
      <x:c r="F523" s="1"/>
      <x:c r="G523" s="1"/>
      <x:c r="H523" s="1"/>
      <x:c r="I523" s="1"/>
      <x:c r="J523" s="1"/>
      <x:c r="K523" s="1"/>
    </x:row>
    <x:row r="524" ht="14.5">
      <x:c r="A524" s="1"/>
      <x:c r="B524" s="1"/>
      <x:c r="C524" s="1"/>
      <x:c r="D524" s="1"/>
      <x:c r="E524" s="1"/>
      <x:c r="F524" s="1"/>
      <x:c r="G524" s="1"/>
      <x:c r="H524" s="1"/>
      <x:c r="I524" s="1"/>
      <x:c r="J524" s="1"/>
      <x:c r="K524" s="1"/>
    </x:row>
    <x:row r="525" ht="14.5">
      <x:c r="A525" s="1"/>
      <x:c r="B525" s="1"/>
      <x:c r="C525" s="1"/>
      <x:c r="D525" s="1"/>
      <x:c r="E525" s="1"/>
      <x:c r="F525" s="1"/>
      <x:c r="G525" s="1"/>
      <x:c r="H525" s="1"/>
      <x:c r="I525" s="1"/>
      <x:c r="J525" s="1"/>
      <x:c r="K525" s="1"/>
    </x:row>
    <x:row r="526" ht="14.5">
      <x:c r="A526" s="1"/>
      <x:c r="B526" s="1"/>
      <x:c r="C526" s="1"/>
      <x:c r="D526" s="1"/>
      <x:c r="E526" s="1"/>
      <x:c r="F526" s="1"/>
      <x:c r="G526" s="1"/>
      <x:c r="H526" s="1"/>
      <x:c r="I526" s="1"/>
      <x:c r="J526" s="1"/>
      <x:c r="K526" s="1"/>
    </x:row>
    <x:row r="527" ht="14.5">
      <x:c r="A527" s="1"/>
      <x:c r="B527" s="1"/>
      <x:c r="C527" s="1"/>
      <x:c r="D527" s="1"/>
      <x:c r="E527" s="1"/>
      <x:c r="F527" s="1"/>
      <x:c r="G527" s="1"/>
      <x:c r="H527" s="1"/>
      <x:c r="I527" s="1"/>
      <x:c r="J527" s="1"/>
      <x:c r="K527" s="1"/>
    </x:row>
    <x:row r="528" ht="14.5">
      <x:c r="A528" s="1"/>
      <x:c r="B528" s="1"/>
      <x:c r="C528" s="1"/>
      <x:c r="D528" s="1"/>
      <x:c r="E528" s="1"/>
      <x:c r="F528" s="1"/>
      <x:c r="G528" s="1"/>
      <x:c r="H528" s="1"/>
      <x:c r="I528" s="1"/>
      <x:c r="J528" s="1"/>
      <x:c r="K528" s="1"/>
    </x:row>
    <x:row r="529" ht="14.5">
      <x:c r="A529" s="1"/>
      <x:c r="B529" s="1"/>
      <x:c r="C529" s="1"/>
      <x:c r="D529" s="1"/>
      <x:c r="E529" s="1"/>
      <x:c r="F529" s="1"/>
      <x:c r="G529" s="1"/>
      <x:c r="H529" s="1"/>
      <x:c r="I529" s="1"/>
      <x:c r="J529" s="1"/>
      <x:c r="K529" s="1"/>
    </x:row>
    <x:row r="530" ht="14.5">
      <x:c r="A530" s="1"/>
      <x:c r="B530" s="1"/>
      <x:c r="C530" s="1"/>
      <x:c r="D530" s="1"/>
      <x:c r="E530" s="1"/>
      <x:c r="F530" s="1"/>
      <x:c r="G530" s="1"/>
      <x:c r="H530" s="1"/>
      <x:c r="I530" s="1"/>
      <x:c r="J530" s="1"/>
      <x:c r="K530" s="1"/>
    </x:row>
    <x:row r="531" ht="14.5">
      <x:c r="A531" s="1"/>
      <x:c r="B531" s="1"/>
      <x:c r="C531" s="1"/>
      <x:c r="D531" s="1"/>
      <x:c r="E531" s="1"/>
      <x:c r="F531" s="1"/>
      <x:c r="G531" s="1"/>
      <x:c r="H531" s="1"/>
      <x:c r="I531" s="1"/>
      <x:c r="J531" s="1"/>
      <x:c r="K531" s="1"/>
    </x:row>
    <x:row r="532" ht="14.5">
      <x:c r="A532" s="1"/>
      <x:c r="B532" s="1"/>
      <x:c r="C532" s="1"/>
      <x:c r="D532" s="1"/>
      <x:c r="E532" s="1"/>
      <x:c r="F532" s="1"/>
      <x:c r="G532" s="1"/>
      <x:c r="H532" s="1"/>
      <x:c r="I532" s="1"/>
      <x:c r="J532" s="1"/>
      <x:c r="K532" s="1"/>
    </x:row>
    <x:row r="533" ht="14.5">
      <x:c r="A533" s="1"/>
      <x:c r="B533" s="1"/>
      <x:c r="C533" s="1"/>
      <x:c r="D533" s="1"/>
      <x:c r="E533" s="1"/>
      <x:c r="F533" s="1"/>
      <x:c r="G533" s="1"/>
      <x:c r="H533" s="1"/>
      <x:c r="I533" s="1"/>
      <x:c r="J533" s="1"/>
      <x:c r="K533" s="1"/>
    </x:row>
    <x:row r="534" ht="14.5">
      <x:c r="A534" s="1"/>
      <x:c r="B534" s="1"/>
      <x:c r="C534" s="1"/>
      <x:c r="D534" s="1"/>
      <x:c r="E534" s="1"/>
      <x:c r="F534" s="1"/>
      <x:c r="G534" s="1"/>
      <x:c r="H534" s="1"/>
      <x:c r="I534" s="1"/>
      <x:c r="J534" s="1"/>
      <x:c r="K534" s="1"/>
    </x:row>
    <x:row r="535" ht="14.5">
      <x:c r="A535" s="1"/>
      <x:c r="B535" s="1"/>
      <x:c r="C535" s="1"/>
      <x:c r="D535" s="1"/>
      <x:c r="E535" s="1"/>
      <x:c r="F535" s="1"/>
      <x:c r="G535" s="1"/>
      <x:c r="H535" s="1"/>
      <x:c r="I535" s="1"/>
      <x:c r="J535" s="1"/>
      <x:c r="K535" s="1"/>
    </x:row>
    <x:row r="536" ht="14.5">
      <x:c r="A536" s="1"/>
      <x:c r="B536" s="1"/>
      <x:c r="C536" s="1"/>
      <x:c r="D536" s="1"/>
      <x:c r="E536" s="1"/>
      <x:c r="F536" s="1"/>
      <x:c r="G536" s="1"/>
      <x:c r="H536" s="1"/>
      <x:c r="I536" s="1"/>
      <x:c r="J536" s="1"/>
      <x:c r="K536" s="1"/>
    </x:row>
    <x:row r="537" ht="14.5">
      <x:c r="A537" s="1"/>
      <x:c r="B537" s="1"/>
      <x:c r="C537" s="1"/>
      <x:c r="D537" s="1"/>
      <x:c r="E537" s="1"/>
      <x:c r="F537" s="1"/>
      <x:c r="G537" s="1"/>
      <x:c r="H537" s="1"/>
      <x:c r="I537" s="1"/>
      <x:c r="J537" s="1"/>
      <x:c r="K537" s="1"/>
    </x:row>
    <x:row r="538" ht="14.5">
      <x:c r="A538" s="1"/>
      <x:c r="B538" s="1"/>
      <x:c r="C538" s="1"/>
      <x:c r="D538" s="1"/>
      <x:c r="E538" s="1"/>
      <x:c r="F538" s="1"/>
      <x:c r="G538" s="1"/>
      <x:c r="H538" s="1"/>
      <x:c r="I538" s="1"/>
      <x:c r="J538" s="1"/>
      <x:c r="K538" s="1"/>
    </x:row>
    <x:row r="539" ht="14.5">
      <x:c r="A539" s="1"/>
      <x:c r="B539" s="1"/>
      <x:c r="C539" s="1"/>
      <x:c r="D539" s="1"/>
      <x:c r="E539" s="1"/>
      <x:c r="F539" s="1"/>
      <x:c r="G539" s="1"/>
      <x:c r="H539" s="1"/>
      <x:c r="I539" s="1"/>
      <x:c r="J539" s="1"/>
      <x:c r="K539" s="1"/>
    </x:row>
    <x:row r="540" ht="14.5">
      <x:c r="A540" s="1"/>
      <x:c r="B540" s="1"/>
      <x:c r="C540" s="1"/>
      <x:c r="D540" s="1"/>
      <x:c r="E540" s="1"/>
      <x:c r="F540" s="1"/>
      <x:c r="G540" s="1"/>
      <x:c r="H540" s="1"/>
      <x:c r="I540" s="1"/>
      <x:c r="J540" s="1"/>
      <x:c r="K540" s="1"/>
    </x:row>
    <x:row r="541" ht="14.5">
      <x:c r="A541" s="1"/>
      <x:c r="B541" s="1"/>
      <x:c r="C541" s="1"/>
      <x:c r="D541" s="1"/>
      <x:c r="E541" s="1"/>
      <x:c r="F541" s="1"/>
      <x:c r="G541" s="1"/>
      <x:c r="H541" s="1"/>
      <x:c r="I541" s="1"/>
      <x:c r="J541" s="1"/>
      <x:c r="K541" s="1"/>
    </x:row>
    <x:row r="542" ht="14.5">
      <x:c r="A542" s="1"/>
      <x:c r="B542" s="1"/>
      <x:c r="C542" s="1"/>
      <x:c r="D542" s="1"/>
      <x:c r="E542" s="1"/>
      <x:c r="F542" s="1"/>
      <x:c r="G542" s="1"/>
      <x:c r="H542" s="1"/>
      <x:c r="I542" s="1"/>
      <x:c r="J542" s="1"/>
      <x:c r="K542" s="1"/>
    </x:row>
    <x:row r="543" ht="14.5">
      <x:c r="A543" s="1"/>
      <x:c r="B543" s="1"/>
      <x:c r="C543" s="1"/>
      <x:c r="D543" s="1"/>
      <x:c r="E543" s="1"/>
      <x:c r="F543" s="1"/>
      <x:c r="G543" s="1"/>
      <x:c r="H543" s="1"/>
      <x:c r="I543" s="1"/>
      <x:c r="J543" s="1"/>
      <x:c r="K543" s="1"/>
    </x:row>
    <x:row r="544" ht="14.5">
      <x:c r="A544" s="1"/>
      <x:c r="B544" s="1"/>
      <x:c r="C544" s="1"/>
      <x:c r="D544" s="1"/>
      <x:c r="E544" s="1"/>
      <x:c r="F544" s="1"/>
      <x:c r="G544" s="1"/>
      <x:c r="H544" s="1"/>
      <x:c r="I544" s="1"/>
      <x:c r="J544" s="1"/>
      <x:c r="K544" s="1"/>
    </x:row>
    <x:row r="545" ht="14.5">
      <x:c r="A545" s="1"/>
      <x:c r="B545" s="1"/>
      <x:c r="C545" s="1"/>
      <x:c r="D545" s="1"/>
      <x:c r="E545" s="1"/>
      <x:c r="F545" s="1"/>
      <x:c r="G545" s="1"/>
      <x:c r="H545" s="1"/>
      <x:c r="I545" s="1"/>
      <x:c r="J545" s="1"/>
      <x:c r="K545" s="1"/>
    </x:row>
    <x:row r="546" ht="14.5">
      <x:c r="A546" s="1"/>
      <x:c r="B546" s="1"/>
      <x:c r="C546" s="1"/>
      <x:c r="D546" s="1"/>
      <x:c r="E546" s="1"/>
      <x:c r="F546" s="1"/>
      <x:c r="G546" s="1"/>
      <x:c r="H546" s="1"/>
      <x:c r="I546" s="1"/>
      <x:c r="J546" s="1"/>
      <x:c r="K546" s="1"/>
    </x:row>
    <x:row r="547" ht="14.5">
      <x:c r="A547" s="1"/>
      <x:c r="B547" s="1"/>
      <x:c r="C547" s="1"/>
      <x:c r="D547" s="1"/>
      <x:c r="E547" s="1"/>
      <x:c r="F547" s="1"/>
      <x:c r="G547" s="1"/>
      <x:c r="H547" s="1"/>
      <x:c r="I547" s="1"/>
      <x:c r="J547" s="1"/>
      <x:c r="K547" s="1"/>
    </x:row>
    <x:row r="548" ht="14.5">
      <x:c r="A548" s="1"/>
      <x:c r="B548" s="1"/>
      <x:c r="C548" s="1"/>
      <x:c r="D548" s="1"/>
      <x:c r="E548" s="1"/>
      <x:c r="F548" s="1"/>
      <x:c r="G548" s="1"/>
      <x:c r="H548" s="1"/>
      <x:c r="I548" s="1"/>
      <x:c r="J548" s="1"/>
      <x:c r="K548" s="1"/>
    </x:row>
    <x:row r="549" ht="14.5">
      <x:c r="A549" s="1"/>
      <x:c r="B549" s="1"/>
      <x:c r="C549" s="1"/>
      <x:c r="D549" s="1"/>
      <x:c r="E549" s="1"/>
      <x:c r="F549" s="1"/>
      <x:c r="G549" s="1"/>
      <x:c r="H549" s="1"/>
      <x:c r="I549" s="1"/>
      <x:c r="J549" s="1"/>
      <x:c r="K549" s="1"/>
    </x:row>
    <x:row r="550" ht="14.5">
      <x:c r="A550" s="1"/>
      <x:c r="B550" s="1"/>
      <x:c r="C550" s="1"/>
      <x:c r="D550" s="1"/>
      <x:c r="E550" s="1"/>
      <x:c r="F550" s="1"/>
      <x:c r="G550" s="1"/>
      <x:c r="H550" s="1"/>
      <x:c r="I550" s="1"/>
      <x:c r="J550" s="1"/>
      <x:c r="K550" s="1"/>
    </x:row>
    <x:row r="551" ht="14.5">
      <x:c r="A551" s="1"/>
      <x:c r="B551" s="1"/>
      <x:c r="C551" s="1"/>
      <x:c r="D551" s="1"/>
      <x:c r="E551" s="1"/>
      <x:c r="F551" s="1"/>
      <x:c r="G551" s="1"/>
      <x:c r="H551" s="1"/>
      <x:c r="I551" s="1"/>
      <x:c r="J551" s="1"/>
      <x:c r="K551" s="1"/>
    </x:row>
    <x:row r="552" ht="14.5">
      <x:c r="A552" s="1"/>
      <x:c r="B552" s="1"/>
      <x:c r="C552" s="1"/>
      <x:c r="D552" s="1"/>
      <x:c r="E552" s="1"/>
      <x:c r="F552" s="1"/>
      <x:c r="G552" s="1"/>
      <x:c r="H552" s="1"/>
      <x:c r="I552" s="1"/>
      <x:c r="J552" s="1"/>
      <x:c r="K552" s="1"/>
    </x:row>
    <x:row r="553" ht="14.5">
      <x:c r="A553" s="1"/>
      <x:c r="B553" s="1"/>
      <x:c r="C553" s="1"/>
      <x:c r="D553" s="1"/>
      <x:c r="E553" s="1"/>
      <x:c r="F553" s="1"/>
      <x:c r="G553" s="1"/>
      <x:c r="H553" s="1"/>
      <x:c r="I553" s="1"/>
      <x:c r="J553" s="1"/>
      <x:c r="K553" s="1"/>
    </x:row>
    <x:row r="554" ht="14.5">
      <x:c r="A554" s="1"/>
      <x:c r="B554" s="1"/>
      <x:c r="C554" s="1"/>
      <x:c r="D554" s="1"/>
      <x:c r="E554" s="1"/>
      <x:c r="F554" s="1"/>
      <x:c r="G554" s="1"/>
      <x:c r="H554" s="1"/>
      <x:c r="I554" s="1"/>
      <x:c r="J554" s="1"/>
      <x:c r="K554" s="1"/>
    </x:row>
    <x:row r="555" ht="14.5">
      <x:c r="A555" s="1"/>
      <x:c r="B555" s="1"/>
      <x:c r="C555" s="1"/>
      <x:c r="D555" s="1"/>
      <x:c r="E555" s="1"/>
      <x:c r="F555" s="1"/>
      <x:c r="G555" s="1"/>
      <x:c r="H555" s="1"/>
      <x:c r="I555" s="1"/>
      <x:c r="J555" s="1"/>
      <x:c r="K555" s="1"/>
    </x:row>
    <x:row r="556" ht="14.5">
      <x:c r="A556" s="1"/>
      <x:c r="B556" s="1"/>
      <x:c r="C556" s="1"/>
      <x:c r="D556" s="1"/>
      <x:c r="E556" s="1"/>
      <x:c r="F556" s="1"/>
      <x:c r="G556" s="1"/>
      <x:c r="H556" s="1"/>
      <x:c r="I556" s="1"/>
      <x:c r="J556" s="1"/>
      <x:c r="K556" s="1"/>
    </x:row>
    <x:row r="557" ht="14.5">
      <x:c r="A557" s="1"/>
      <x:c r="B557" s="1"/>
      <x:c r="C557" s="1"/>
      <x:c r="D557" s="1"/>
      <x:c r="E557" s="1"/>
      <x:c r="F557" s="1"/>
      <x:c r="G557" s="1"/>
      <x:c r="H557" s="1"/>
      <x:c r="I557" s="1"/>
      <x:c r="J557" s="1"/>
      <x:c r="K557" s="1"/>
    </x:row>
    <x:row r="558" ht="14.5">
      <x:c r="A558" s="1"/>
      <x:c r="B558" s="1"/>
      <x:c r="C558" s="1"/>
      <x:c r="D558" s="1"/>
      <x:c r="E558" s="1"/>
      <x:c r="F558" s="1"/>
      <x:c r="G558" s="1"/>
      <x:c r="H558" s="1"/>
      <x:c r="I558" s="1"/>
      <x:c r="J558" s="1"/>
      <x:c r="K558" s="1"/>
    </x:row>
    <x:row r="559" ht="14.5">
      <x:c r="A559" s="1"/>
      <x:c r="B559" s="1"/>
      <x:c r="C559" s="1"/>
      <x:c r="D559" s="1"/>
      <x:c r="E559" s="1"/>
      <x:c r="F559" s="1"/>
      <x:c r="G559" s="1"/>
      <x:c r="H559" s="1"/>
      <x:c r="I559" s="1"/>
      <x:c r="J559" s="1"/>
      <x:c r="K559" s="1"/>
    </x:row>
    <x:row r="560" ht="14.5">
      <x:c r="A560" s="1"/>
      <x:c r="B560" s="1"/>
      <x:c r="C560" s="1"/>
      <x:c r="D560" s="1"/>
      <x:c r="E560" s="1"/>
      <x:c r="F560" s="1"/>
      <x:c r="G560" s="1"/>
      <x:c r="H560" s="1"/>
      <x:c r="I560" s="1"/>
      <x:c r="J560" s="1"/>
      <x:c r="K560" s="1"/>
    </x:row>
    <x:row r="561" ht="14.5">
      <x:c r="A561" s="1"/>
      <x:c r="B561" s="1"/>
      <x:c r="C561" s="1"/>
      <x:c r="D561" s="1"/>
      <x:c r="E561" s="1"/>
      <x:c r="F561" s="1"/>
      <x:c r="G561" s="1"/>
      <x:c r="H561" s="1"/>
      <x:c r="I561" s="1"/>
      <x:c r="J561" s="1"/>
      <x:c r="K561" s="1"/>
    </x:row>
    <x:row r="562" ht="14.5">
      <x:c r="A562" s="1"/>
      <x:c r="B562" s="1"/>
      <x:c r="C562" s="1"/>
      <x:c r="D562" s="1"/>
      <x:c r="E562" s="1"/>
      <x:c r="F562" s="1"/>
      <x:c r="G562" s="1"/>
      <x:c r="H562" s="1"/>
      <x:c r="I562" s="1"/>
      <x:c r="J562" s="1"/>
      <x:c r="K562" s="1"/>
    </x:row>
    <x:row r="563" ht="14.5">
      <x:c r="A563" s="1"/>
      <x:c r="B563" s="1"/>
      <x:c r="C563" s="1"/>
      <x:c r="D563" s="1"/>
      <x:c r="E563" s="1"/>
      <x:c r="F563" s="1"/>
      <x:c r="G563" s="1"/>
      <x:c r="H563" s="1"/>
      <x:c r="I563" s="1"/>
      <x:c r="J563" s="1"/>
      <x:c r="K563" s="1"/>
    </x:row>
    <x:row r="564" ht="14.5">
      <x:c r="A564" s="1"/>
      <x:c r="B564" s="1"/>
      <x:c r="C564" s="1"/>
      <x:c r="D564" s="1"/>
      <x:c r="E564" s="1"/>
      <x:c r="F564" s="1"/>
      <x:c r="G564" s="1"/>
      <x:c r="H564" s="1"/>
      <x:c r="I564" s="1"/>
      <x:c r="J564" s="1"/>
      <x:c r="K564" s="1"/>
    </x:row>
    <x:row r="565" ht="14.5">
      <x:c r="A565" s="1"/>
      <x:c r="B565" s="1"/>
      <x:c r="C565" s="1"/>
      <x:c r="D565" s="1"/>
      <x:c r="E565" s="1"/>
      <x:c r="F565" s="1"/>
      <x:c r="G565" s="1"/>
      <x:c r="H565" s="1"/>
      <x:c r="I565" s="1"/>
      <x:c r="J565" s="1"/>
      <x:c r="K565" s="1"/>
    </x:row>
    <x:row r="566" ht="14.5">
      <x:c r="A566" s="1"/>
      <x:c r="B566" s="1"/>
      <x:c r="C566" s="1"/>
      <x:c r="D566" s="1"/>
      <x:c r="E566" s="1"/>
      <x:c r="F566" s="1"/>
      <x:c r="G566" s="1"/>
      <x:c r="H566" s="1"/>
      <x:c r="I566" s="1"/>
      <x:c r="J566" s="1"/>
      <x:c r="K566" s="1"/>
    </x:row>
    <x:row r="567" ht="14.5">
      <x:c r="A567" s="1"/>
      <x:c r="B567" s="1"/>
      <x:c r="C567" s="1"/>
      <x:c r="D567" s="1"/>
      <x:c r="E567" s="1"/>
      <x:c r="F567" s="1"/>
      <x:c r="G567" s="1"/>
      <x:c r="H567" s="1"/>
      <x:c r="I567" s="1"/>
      <x:c r="J567" s="1"/>
      <x:c r="K567" s="1"/>
    </x:row>
    <x:row r="568" ht="14.5">
      <x:c r="A568" s="1"/>
      <x:c r="B568" s="1"/>
      <x:c r="C568" s="1"/>
      <x:c r="D568" s="1"/>
      <x:c r="E568" s="1"/>
      <x:c r="F568" s="1"/>
      <x:c r="G568" s="1"/>
      <x:c r="H568" s="1"/>
      <x:c r="I568" s="1"/>
      <x:c r="J568" s="1"/>
      <x:c r="K568" s="1"/>
    </x:row>
    <x:row r="569" ht="14.5">
      <x:c r="A569" s="1"/>
      <x:c r="B569" s="1"/>
      <x:c r="C569" s="1"/>
      <x:c r="D569" s="1"/>
      <x:c r="E569" s="1"/>
      <x:c r="F569" s="1"/>
      <x:c r="G569" s="1"/>
      <x:c r="H569" s="1"/>
      <x:c r="I569" s="1"/>
      <x:c r="J569" s="1"/>
      <x:c r="K569" s="1"/>
    </x:row>
    <x:row r="570" ht="14.5">
      <x:c r="A570" s="1"/>
      <x:c r="B570" s="1"/>
      <x:c r="C570" s="1"/>
      <x:c r="D570" s="1"/>
      <x:c r="E570" s="1"/>
      <x:c r="F570" s="1"/>
      <x:c r="G570" s="1"/>
      <x:c r="H570" s="1"/>
      <x:c r="I570" s="1"/>
      <x:c r="J570" s="1"/>
      <x:c r="K570" s="1"/>
    </x:row>
    <x:row r="571" ht="14.5">
      <x:c r="A571" s="1"/>
      <x:c r="B571" s="1"/>
      <x:c r="C571" s="1"/>
      <x:c r="D571" s="1"/>
      <x:c r="E571" s="1"/>
      <x:c r="F571" s="1"/>
      <x:c r="G571" s="1"/>
      <x:c r="H571" s="1"/>
      <x:c r="I571" s="1"/>
      <x:c r="J571" s="1"/>
      <x:c r="K571" s="1"/>
    </x:row>
    <x:row r="572" ht="14.5">
      <x:c r="A572" s="1"/>
      <x:c r="B572" s="1"/>
      <x:c r="C572" s="1"/>
      <x:c r="D572" s="1"/>
      <x:c r="E572" s="1"/>
      <x:c r="F572" s="1"/>
      <x:c r="G572" s="1"/>
      <x:c r="H572" s="1"/>
      <x:c r="I572" s="1"/>
      <x:c r="J572" s="1"/>
      <x:c r="K572" s="1"/>
    </x:row>
    <x:row r="573" ht="14.5">
      <x:c r="A573" s="1"/>
      <x:c r="B573" s="1"/>
      <x:c r="C573" s="1"/>
      <x:c r="D573" s="1"/>
      <x:c r="E573" s="1"/>
      <x:c r="F573" s="1"/>
      <x:c r="G573" s="1"/>
      <x:c r="H573" s="1"/>
      <x:c r="I573" s="1"/>
      <x:c r="J573" s="1"/>
      <x:c r="K573" s="1"/>
    </x:row>
    <x:row r="574" ht="14.5">
      <x:c r="A574" s="1"/>
      <x:c r="B574" s="1"/>
      <x:c r="C574" s="1"/>
      <x:c r="D574" s="1"/>
      <x:c r="E574" s="1"/>
      <x:c r="F574" s="1"/>
      <x:c r="G574" s="1"/>
      <x:c r="H574" s="1"/>
      <x:c r="I574" s="1"/>
      <x:c r="J574" s="1"/>
      <x:c r="K574" s="1"/>
    </x:row>
    <x:row r="575" ht="14.5">
      <x:c r="A575" s="1"/>
      <x:c r="B575" s="1"/>
      <x:c r="C575" s="1"/>
      <x:c r="D575" s="1"/>
      <x:c r="E575" s="1"/>
      <x:c r="F575" s="1"/>
      <x:c r="G575" s="1"/>
      <x:c r="H575" s="1"/>
      <x:c r="I575" s="1"/>
      <x:c r="J575" s="1"/>
      <x:c r="K575" s="1"/>
    </x:row>
    <x:row r="576" ht="14.5">
      <x:c r="A576" s="1"/>
      <x:c r="B576" s="1"/>
      <x:c r="C576" s="1"/>
      <x:c r="D576" s="1"/>
      <x:c r="E576" s="1"/>
      <x:c r="F576" s="1"/>
      <x:c r="G576" s="1"/>
      <x:c r="H576" s="1"/>
      <x:c r="I576" s="1"/>
      <x:c r="J576" s="1"/>
      <x:c r="K576" s="1"/>
    </x:row>
    <x:row r="577" ht="14.5">
      <x:c r="A577" s="1"/>
      <x:c r="B577" s="1"/>
      <x:c r="C577" s="1"/>
      <x:c r="D577" s="1"/>
      <x:c r="E577" s="1"/>
      <x:c r="F577" s="1"/>
      <x:c r="G577" s="1"/>
      <x:c r="H577" s="1"/>
      <x:c r="I577" s="1"/>
      <x:c r="J577" s="1"/>
      <x:c r="K577" s="1"/>
    </x:row>
    <x:row r="578" ht="14.5">
      <x:c r="A578" s="1"/>
      <x:c r="B578" s="1"/>
      <x:c r="C578" s="1"/>
      <x:c r="D578" s="1"/>
      <x:c r="E578" s="1"/>
      <x:c r="F578" s="1"/>
      <x:c r="G578" s="1"/>
      <x:c r="H578" s="1"/>
      <x:c r="I578" s="1"/>
      <x:c r="J578" s="1"/>
      <x:c r="K578" s="1"/>
    </x:row>
    <x:row r="579" ht="14.5">
      <x:c r="A579" s="1"/>
      <x:c r="B579" s="1"/>
      <x:c r="C579" s="1"/>
      <x:c r="D579" s="1"/>
      <x:c r="E579" s="1"/>
      <x:c r="F579" s="1"/>
      <x:c r="G579" s="1"/>
      <x:c r="H579" s="1"/>
      <x:c r="I579" s="1"/>
      <x:c r="J579" s="1"/>
      <x:c r="K579" s="1"/>
    </x:row>
    <x:row r="580" ht="14.5">
      <x:c r="A580" s="1"/>
      <x:c r="B580" s="1"/>
      <x:c r="C580" s="1"/>
      <x:c r="D580" s="1"/>
      <x:c r="E580" s="1"/>
      <x:c r="F580" s="1"/>
      <x:c r="G580" s="1"/>
      <x:c r="H580" s="1"/>
      <x:c r="I580" s="1"/>
      <x:c r="J580" s="1"/>
      <x:c r="K580" s="1"/>
    </x:row>
    <x:row r="581" ht="14.5">
      <x:c r="A581" s="1"/>
      <x:c r="B581" s="1"/>
      <x:c r="C581" s="1"/>
      <x:c r="D581" s="1"/>
      <x:c r="E581" s="1"/>
      <x:c r="F581" s="1"/>
      <x:c r="G581" s="1"/>
      <x:c r="H581" s="1"/>
      <x:c r="I581" s="1"/>
      <x:c r="J581" s="1"/>
      <x:c r="K581" s="1"/>
    </x:row>
    <x:row r="582" ht="14.5">
      <x:c r="A582" s="1"/>
      <x:c r="B582" s="1"/>
      <x:c r="C582" s="1"/>
      <x:c r="D582" s="1"/>
      <x:c r="E582" s="1"/>
      <x:c r="F582" s="1"/>
      <x:c r="G582" s="1"/>
      <x:c r="H582" s="1"/>
      <x:c r="I582" s="1"/>
      <x:c r="J582" s="1"/>
      <x:c r="K582" s="1"/>
    </x:row>
    <x:row r="583" ht="14.5">
      <x:c r="A583" s="1"/>
      <x:c r="B583" s="1"/>
      <x:c r="C583" s="1"/>
      <x:c r="D583" s="1"/>
      <x:c r="E583" s="1"/>
      <x:c r="F583" s="1"/>
      <x:c r="G583" s="1"/>
      <x:c r="H583" s="1"/>
      <x:c r="I583" s="1"/>
      <x:c r="J583" s="1"/>
      <x:c r="K583" s="1"/>
    </x:row>
    <x:row r="584" ht="14.5">
      <x:c r="A584" s="1"/>
      <x:c r="B584" s="1"/>
      <x:c r="C584" s="1"/>
      <x:c r="D584" s="1"/>
      <x:c r="E584" s="1"/>
      <x:c r="F584" s="1"/>
      <x:c r="G584" s="1"/>
      <x:c r="H584" s="1"/>
      <x:c r="I584" s="1"/>
      <x:c r="J584" s="1"/>
      <x:c r="K584" s="1"/>
    </x:row>
    <x:row r="585" ht="14.5">
      <x:c r="A585" s="1"/>
      <x:c r="B585" s="1"/>
      <x:c r="C585" s="1"/>
      <x:c r="D585" s="1"/>
      <x:c r="E585" s="1"/>
      <x:c r="F585" s="1"/>
      <x:c r="G585" s="1"/>
      <x:c r="H585" s="1"/>
      <x:c r="I585" s="1"/>
      <x:c r="J585" s="1"/>
      <x:c r="K585" s="1"/>
    </x:row>
    <x:row r="586" ht="14.5">
      <x:c r="A586" s="1"/>
      <x:c r="B586" s="1"/>
      <x:c r="C586" s="1"/>
      <x:c r="D586" s="1"/>
      <x:c r="E586" s="1"/>
      <x:c r="F586" s="1"/>
      <x:c r="G586" s="1"/>
      <x:c r="H586" s="1"/>
      <x:c r="I586" s="1"/>
      <x:c r="J586" s="1"/>
      <x:c r="K586" s="1"/>
    </x:row>
    <x:row r="587" ht="14.5">
      <x:c r="A587" s="1"/>
      <x:c r="B587" s="1"/>
      <x:c r="C587" s="1"/>
      <x:c r="D587" s="1"/>
      <x:c r="E587" s="1"/>
      <x:c r="F587" s="1"/>
      <x:c r="G587" s="1"/>
      <x:c r="H587" s="1"/>
      <x:c r="I587" s="1"/>
      <x:c r="J587" s="1"/>
      <x:c r="K587" s="1"/>
    </x:row>
    <x:row r="588" ht="14.5">
      <x:c r="A588" s="1"/>
      <x:c r="B588" s="1"/>
      <x:c r="C588" s="1"/>
      <x:c r="D588" s="1"/>
      <x:c r="E588" s="1"/>
      <x:c r="F588" s="1"/>
      <x:c r="G588" s="1"/>
      <x:c r="H588" s="1"/>
      <x:c r="I588" s="1"/>
      <x:c r="J588" s="1"/>
      <x:c r="K588" s="1"/>
    </x:row>
    <x:row r="589" ht="14.5">
      <x:c r="A589" s="1"/>
      <x:c r="B589" s="1"/>
      <x:c r="C589" s="1"/>
      <x:c r="D589" s="1"/>
      <x:c r="E589" s="1"/>
      <x:c r="F589" s="1"/>
      <x:c r="G589" s="1"/>
      <x:c r="H589" s="1"/>
      <x:c r="I589" s="1"/>
      <x:c r="J589" s="1"/>
      <x:c r="K589" s="1"/>
    </x:row>
    <x:row r="590" ht="14.5">
      <x:c r="A590" s="1"/>
      <x:c r="B590" s="1"/>
      <x:c r="C590" s="1"/>
      <x:c r="D590" s="1"/>
      <x:c r="E590" s="1"/>
      <x:c r="F590" s="1"/>
      <x:c r="G590" s="1"/>
      <x:c r="H590" s="1"/>
      <x:c r="I590" s="1"/>
      <x:c r="J590" s="1"/>
      <x:c r="K590" s="1"/>
    </x:row>
    <x:row r="591" ht="14.5">
      <x:c r="A591" s="1"/>
      <x:c r="B591" s="1"/>
      <x:c r="C591" s="1"/>
      <x:c r="D591" s="1"/>
      <x:c r="E591" s="1"/>
      <x:c r="F591" s="1"/>
      <x:c r="G591" s="1"/>
      <x:c r="H591" s="1"/>
      <x:c r="I591" s="1"/>
      <x:c r="J591" s="1"/>
      <x:c r="K591" s="1"/>
    </x:row>
    <x:row r="592" ht="14.5">
      <x:c r="A592" s="1"/>
      <x:c r="B592" s="1"/>
      <x:c r="C592" s="1"/>
      <x:c r="D592" s="1"/>
      <x:c r="E592" s="1"/>
      <x:c r="F592" s="1"/>
      <x:c r="G592" s="1"/>
      <x:c r="H592" s="1"/>
      <x:c r="I592" s="1"/>
      <x:c r="J592" s="1"/>
      <x:c r="K592" s="1"/>
    </x:row>
    <x:row r="593" ht="14.5">
      <x:c r="A593" s="1"/>
      <x:c r="B593" s="1"/>
      <x:c r="C593" s="1"/>
      <x:c r="D593" s="1"/>
      <x:c r="E593" s="1"/>
      <x:c r="F593" s="1"/>
      <x:c r="G593" s="1"/>
      <x:c r="H593" s="1"/>
      <x:c r="I593" s="1"/>
      <x:c r="J593" s="1"/>
      <x:c r="K593" s="1"/>
    </x:row>
    <x:row r="594" ht="14.5">
      <x:c r="A594" s="1"/>
      <x:c r="B594" s="1"/>
      <x:c r="C594" s="1"/>
      <x:c r="D594" s="1"/>
      <x:c r="E594" s="1"/>
      <x:c r="F594" s="1"/>
      <x:c r="G594" s="1"/>
      <x:c r="H594" s="1"/>
      <x:c r="I594" s="1"/>
      <x:c r="J594" s="1"/>
      <x:c r="K594" s="1"/>
    </x:row>
    <x:row r="595" ht="14.5">
      <x:c r="A595" s="1"/>
      <x:c r="B595" s="1"/>
      <x:c r="C595" s="1"/>
      <x:c r="D595" s="1"/>
      <x:c r="E595" s="1"/>
      <x:c r="F595" s="1"/>
      <x:c r="G595" s="1"/>
      <x:c r="H595" s="1"/>
      <x:c r="I595" s="1"/>
      <x:c r="J595" s="1"/>
      <x:c r="K595" s="1"/>
    </x:row>
    <x:row r="596" ht="14.5">
      <x:c r="A596" s="1"/>
      <x:c r="B596" s="1"/>
      <x:c r="C596" s="1"/>
      <x:c r="D596" s="1"/>
      <x:c r="E596" s="1"/>
      <x:c r="F596" s="1"/>
      <x:c r="G596" s="1"/>
      <x:c r="H596" s="1"/>
      <x:c r="I596" s="1"/>
      <x:c r="J596" s="1"/>
      <x:c r="K596" s="1"/>
    </x:row>
    <x:row r="597" ht="14.5">
      <x:c r="A597" s="1"/>
      <x:c r="B597" s="1"/>
      <x:c r="C597" s="1"/>
      <x:c r="D597" s="1"/>
      <x:c r="E597" s="1"/>
      <x:c r="F597" s="1"/>
      <x:c r="G597" s="1"/>
      <x:c r="H597" s="1"/>
      <x:c r="I597" s="1"/>
      <x:c r="J597" s="1"/>
      <x:c r="K597" s="1"/>
    </x:row>
    <x:row r="598" ht="14.5">
      <x:c r="A598" s="1"/>
      <x:c r="B598" s="1"/>
      <x:c r="C598" s="1"/>
      <x:c r="D598" s="1"/>
      <x:c r="E598" s="1"/>
      <x:c r="F598" s="1"/>
      <x:c r="G598" s="1"/>
      <x:c r="H598" s="1"/>
      <x:c r="I598" s="1"/>
      <x:c r="J598" s="1"/>
      <x:c r="K598" s="1"/>
    </x:row>
    <x:row r="599" ht="14.5">
      <x:c r="A599" s="1"/>
      <x:c r="B599" s="1"/>
      <x:c r="C599" s="1"/>
      <x:c r="D599" s="1"/>
      <x:c r="E599" s="1"/>
      <x:c r="F599" s="1"/>
      <x:c r="G599" s="1"/>
      <x:c r="H599" s="1"/>
      <x:c r="I599" s="1"/>
      <x:c r="J599" s="1"/>
      <x:c r="K599" s="1"/>
    </x:row>
    <x:row r="600" ht="14.5">
      <x:c r="A600" s="1"/>
      <x:c r="B600" s="1"/>
      <x:c r="C600" s="1"/>
      <x:c r="D600" s="1"/>
      <x:c r="E600" s="1"/>
      <x:c r="F600" s="1"/>
      <x:c r="G600" s="1"/>
      <x:c r="H600" s="1"/>
      <x:c r="I600" s="1"/>
      <x:c r="J600" s="1"/>
      <x:c r="K600" s="1"/>
    </x:row>
  </x:sheetData>
  <x:mergeCells>
    <x:mergeCell ref="A1:G1"/>
    <x:mergeCell ref="A2:G2"/>
    <x:mergeCell ref="A3:G3"/>
    <x:mergeCell ref="A4:G4"/>
  </x:mergeCells>
  <x:pageMargins left="0.7" right="0.7" top="0.75" bottom="0.75" header="0.3" footer="0.3"/>
  <x:tableParts count="1">
    <x:tablePart xmlns:r="http://schemas.openxmlformats.org/officeDocument/2006/relationships" r:id="Rcecb4376151c4a2c"/>
  </x:tableParts>
</x:worksheet>
</file>

<file path=xl/worksheets/sheet2.xml><?xml version="1.0" encoding="utf-8"?>
<x:worksheet xmlns:x="http://schemas.openxmlformats.org/spreadsheetml/2006/main">
  <x:sheetViews>
    <x:sheetView showGridLines="0" workbookViewId="0">
      <x:pane ySplit="5" topLeftCell="A10" activePane="bottomLeft" state="frozen"/>
      <x:selection pane="bottomLeft" activeCell="C21" sqref="C21"/>
    </x:sheetView>
  </x:sheetViews>
  <x:sheetFormatPr defaultRowHeight="14"/>
  <x:cols>
    <x:col min="1" max="1" width="82" customWidth="1"/>
    <x:col min="2" max="2" width="19" customWidth="1"/>
    <x:col min="3" max="3" width="23" customWidth="1"/>
    <x:col min="4" max="4" width="24" customWidth="1"/>
  </x:cols>
  <x:sheetData>
    <x:row r="1" ht="30" customHeight="1">
      <x:c r="A1" s="11" t="s">
        <x:v>10</x:v>
      </x:c>
      <x:c r="B1" s="11"/>
      <x:c r="C1" s="11"/>
      <x:c r="D1" s="11"/>
      <x:c r="E1" s="1"/>
      <x:c r="F1" s="1"/>
      <x:c r="G1" s="1"/>
      <x:c r="H1" s="1"/>
      <x:c r="I1" s="1"/>
      <x:c r="J1" s="1"/>
      <x:c r="K1" s="1"/>
    </x:row>
    <x:row r="2" ht="34" customHeight="1">
      <x:c r="A2" s="12" t="s">
        <x:v>11</x:v>
      </x:c>
      <x:c r="B2" s="12"/>
      <x:c r="C2" s="12"/>
      <x:c r="D2" s="12"/>
      <x:c r="E2" s="1"/>
      <x:c r="F2" s="1"/>
      <x:c r="G2" s="1"/>
      <x:c r="H2" s="1"/>
      <x:c r="I2" s="1"/>
      <x:c r="J2" s="1"/>
      <x:c r="K2" s="1"/>
    </x:row>
    <x:row r="3" ht="14.5">
      <x:c r="A3" s="1"/>
      <x:c r="B3" s="1"/>
      <x:c r="C3" s="1"/>
      <x:c r="D3" s="1"/>
      <x:c r="E3" s="1"/>
      <x:c r="F3" s="1"/>
      <x:c r="G3" s="1"/>
      <x:c r="H3" s="1"/>
      <x:c r="I3" s="1"/>
      <x:c r="J3" s="1"/>
      <x:c r="K3" s="1"/>
    </x:row>
    <x:row r="4" ht="14.5">
      <x:c r="A4" s="1" t="s">
        <x:v>12</x:v>
      </x:c>
      <x:c r="B4" s="1" t="s">
        <x:v>13</x:v>
      </x:c>
      <x:c r="C4" s="1"/>
      <x:c r="D4" s="1"/>
      <x:c r="E4" s="1"/>
      <x:c r="F4" s="1"/>
      <x:c r="G4" s="1"/>
      <x:c r="H4" s="1"/>
      <x:c r="I4" s="1"/>
      <x:c r="J4" s="1"/>
      <x:c r="K4" s="1"/>
    </x:row>
    <x:row r="5" ht="14.5">
      <x:c r="A5" s="1" t="s">
        <x:v>14</x:v>
      </x:c>
      <x:c r="B5" s="1">
        <x:v>374</x:v>
      </x:c>
      <x:c r="C5" s="1"/>
      <x:c r="D5" s="1"/>
      <x:c r="E5" s="1"/>
      <x:c r="F5" s="1"/>
      <x:c r="G5" s="1"/>
      <x:c r="H5" s="1"/>
      <x:c r="I5" s="1"/>
      <x:c r="J5" s="1"/>
      <x:c r="K5" s="1"/>
    </x:row>
    <x:row r="6" ht="14.5">
      <x:c r="A6" s="1" t="s">
        <x:v>15</x:v>
      </x:c>
      <x:c r="B6" s="6">
        <x:v>10308126.303982593</x:v>
      </x:c>
      <x:c r="C6" s="1"/>
      <x:c r="D6" s="1"/>
      <x:c r="E6" s="1"/>
      <x:c r="F6" s="1"/>
      <x:c r="G6" s="1"/>
      <x:c r="H6" s="1"/>
      <x:c r="I6" s="1"/>
      <x:c r="J6" s="1"/>
      <x:c r="K6" s="1"/>
    </x:row>
    <x:row r="7" ht="14.5">
      <x:c r="A7" s="1" t="str">
        <x:v>Simple-chain PPR (t C)</x:v>
      </x:c>
      <x:c r="B7" s="6">
        <x:v>837452937.7894479</x:v>
      </x:c>
      <x:c r="C7" s="1"/>
      <x:c r="D7" s="1"/>
      <x:c r="E7" s="1"/>
      <x:c r="F7" s="1"/>
      <x:c r="G7" s="1"/>
      <x:c r="H7" s="1"/>
      <x:c r="I7" s="1"/>
      <x:c r="J7" s="1"/>
      <x:c r="K7" s="1"/>
    </x:row>
    <x:row r="8" ht="14.5">
      <x:c r="A8" s="1" t="s">
        <x:v>16</x:v>
      </x:c>
      <x:c r="B8" s="1">
        <x:v>34</x:v>
      </x:c>
      <x:c r="C8" s="1"/>
      <x:c r="D8" s="1"/>
      <x:c r="E8" s="1"/>
      <x:c r="F8" s="1"/>
      <x:c r="G8" s="1"/>
      <x:c r="H8" s="1"/>
      <x:c r="I8" s="1"/>
      <x:c r="J8" s="1"/>
      <x:c r="K8" s="1"/>
    </x:row>
    <x:row r="9" ht="14.5">
      <x:c r="A9" s="1"/>
      <x:c r="B9" s="1"/>
      <x:c r="C9" s="1"/>
      <x:c r="D9" s="1"/>
      <x:c r="E9" s="1"/>
      <x:c r="F9" s="1"/>
      <x:c r="G9" s="1"/>
      <x:c r="H9" s="1"/>
      <x:c r="I9" s="1"/>
      <x:c r="J9" s="1"/>
      <x:c r="K9" s="1"/>
    </x:row>
    <x:row r="10" ht="34" customHeight="1">
      <x:c r="A10" s="3" t="s">
        <x:v>17</x:v>
      </x:c>
      <x:c r="B10" s="3" t="s">
        <x:v>18</x:v>
      </x:c>
      <x:c r="C10" s="3" t="s">
        <x:v>19</x:v>
      </x:c>
      <x:c r="D10" s="3" t="s">
        <x:v>20</x:v>
      </x:c>
      <x:c r="E10" s="1"/>
      <x:c r="F10" s="1"/>
      <x:c r="G10" s="1"/>
      <x:c r="H10" s="1"/>
      <x:c r="I10" s="1"/>
      <x:c r="J10" s="1"/>
      <x:c r="K10" s="1"/>
    </x:row>
    <x:row r="11" ht="14.5">
      <x:c r="A11" s="2" t="str">
        <x:v>High</x:v>
      </x:c>
      <x:c r="B11" s="2" t="n">
        <x:v>142</x:v>
      </x:c>
      <x:c r="C11" s="7" t="n">
        <x:v>0.3902077911562384</x:v>
      </x:c>
      <x:c r="D11" s="7" t="n">
        <x:v>0.3188294647188484</x:v>
      </x:c>
      <x:c r="E11" s="1"/>
      <x:c r="F11" s="1"/>
      <x:c r="G11" s="1"/>
      <x:c r="H11" s="1"/>
      <x:c r="I11" s="1"/>
      <x:c r="J11" s="1"/>
      <x:c r="K11" s="1"/>
    </x:row>
    <x:row r="12" ht="14.5">
      <x:c r="A12" s="2" t="str">
        <x:v>Medium</x:v>
      </x:c>
      <x:c r="B12" s="2" t="n">
        <x:v>133</x:v>
      </x:c>
      <x:c r="C12" s="7" t="n">
        <x:v>0.27767987052079807</x:v>
      </x:c>
      <x:c r="D12" s="7" t="n">
        <x:v>0.4692475240350811</x:v>
      </x:c>
      <x:c r="E12" s="1"/>
      <x:c r="F12" s="1"/>
      <x:c r="G12" s="1"/>
      <x:c r="H12" s="1"/>
      <x:c r="I12" s="1"/>
      <x:c r="J12" s="1"/>
      <x:c r="K12" s="1"/>
    </x:row>
    <x:row r="13" ht="14.5">
      <x:c r="A13" s="2" t="str">
        <x:v>Low</x:v>
      </x:c>
      <x:c r="B13" s="2" t="n">
        <x:v>89</x:v>
      </x:c>
      <x:c r="C13" s="7" t="n">
        <x:v>0.21008024251737273</x:v>
      </x:c>
      <x:c r="D13" s="7" t="n">
        <x:v>0.17181281697266607</x:v>
      </x:c>
      <x:c r="E13" s="1"/>
      <x:c r="F13" s="1"/>
      <x:c r="G13" s="1"/>
      <x:c r="H13" s="1"/>
      <x:c r="I13" s="1"/>
      <x:c r="J13" s="1"/>
      <x:c r="K13" s="1"/>
    </x:row>
    <x:row r="14" ht="14.5">
      <x:c r="A14" s="2" t="str">
        <x:v>Very low</x:v>
      </x:c>
      <x:c r="B14" s="2" t="n">
        <x:v>10</x:v>
      </x:c>
      <x:c r="C14" s="7" t="n">
        <x:v>0.12203209580559088</x:v>
      </x:c>
      <x:c r="D14" s="7" t="n">
        <x:v>0.040110194273404474</x:v>
      </x:c>
      <x:c r="E14" s="1"/>
      <x:c r="F14" s="1"/>
      <x:c r="G14" s="1"/>
      <x:c r="H14" s="1"/>
      <x:c r="I14" s="1"/>
      <x:c r="J14" s="1"/>
      <x:c r="K14" s="1"/>
    </x:row>
    <x:row r="15" ht="14.5">
      <x:c r="A15" s="2" t="str">
        <x:v>Unresolved</x:v>
      </x:c>
      <x:c r="B15" s="2" t="n">
        <x:v>0</x:v>
      </x:c>
      <x:c r="C15" s="7" t="n">
        <x:v>0</x:v>
      </x:c>
      <x:c r="D15" s="7" t="n">
        <x:v>0</x:v>
      </x:c>
      <x:c r="E15" s="1"/>
      <x:c r="F15" s="1"/>
      <x:c r="G15" s="1"/>
      <x:c r="H15" s="1"/>
      <x:c r="I15" s="1"/>
      <x:c r="J15" s="1"/>
      <x:c r="K15" s="1"/>
    </x:row>
    <x:row r="16" ht="34" customHeight="1">
      <x:c r="A16" s="12" t="str">
        <x:v>Overall confidence is the weaker membership or allocation confidence. Rule percentages describe the simple-chain PPR associated with each component rule.</x:v>
      </x:c>
      <x:c r="B16" s="12"/>
      <x:c r="C16" s="12"/>
      <x:c r="D16" s="12"/>
      <x:c r="E16" s="1"/>
      <x:c r="F16" s="1"/>
      <x:c r="G16" s="1"/>
      <x:c r="H16" s="1"/>
      <x:c r="I16" s="1"/>
      <x:c r="J16" s="1"/>
      <x:c r="K16" s="1"/>
    </x:row>
    <x:row r="17" ht="14.5">
      <x:c r="A17" s="1"/>
      <x:c r="B17" s="1"/>
      <x:c r="C17" s="1"/>
      <x:c r="D17" s="1"/>
      <x:c r="E17" s="1"/>
      <x:c r="F17" s="1"/>
      <x:c r="G17" s="1"/>
      <x:c r="H17" s="1"/>
      <x:c r="I17" s="1"/>
      <x:c r="J17" s="1"/>
      <x:c r="K17" s="1"/>
    </x:row>
    <x:row r="18" ht="30" customHeight="1">
      <x:c r="A18" s="13" t="str">
        <x:v>Group assignment rules</x:v>
      </x:c>
      <x:c r="B18" s="13"/>
      <x:c r="C18" s="13"/>
      <x:c r="D18" s="13"/>
      <x:c r="E18" s="1"/>
      <x:c r="F18" s="1"/>
      <x:c r="G18" s="1"/>
      <x:c r="H18" s="1"/>
      <x:c r="I18" s="1"/>
      <x:c r="J18" s="1"/>
      <x:c r="K18" s="1"/>
    </x:row>
    <x:row r="19" ht="14.5">
      <x:c r="A19"/>
      <x:c r="B19"/>
      <x:c r="C19"/>
      <x:c r="D19"/>
      <x:c r="E19" s="1"/>
      <x:c r="F19" s="1"/>
      <x:c r="G19" s="1"/>
      <x:c r="H19" s="1"/>
      <x:c r="I19" s="1"/>
      <x:c r="J19" s="1"/>
      <x:c r="K19" s="1"/>
    </x:row>
    <x:row r="20" ht="34" customHeight="1">
      <x:c r="A20" s="19" t="str">
        <x:v>Plain-language rule</x:v>
      </x:c>
      <x:c r="B20" s="19" t="str">
        <x:v>Confidence</x:v>
      </x:c>
      <x:c r="C20" s="19" t="str">
        <x:v>PPR percentage</x:v>
      </x:c>
      <x:c r="D20"/>
      <x:c r="E20" s="1"/>
      <x:c r="F20" s="1"/>
      <x:c r="G20" s="1"/>
      <x:c r="H20" s="1"/>
      <x:c r="I20" s="1"/>
      <x:c r="J20" s="1"/>
      <x:c r="K20" s="1"/>
    </x:row>
    <x:row r="21" ht="48" customHeight="1">
      <x:c r="A21" s="16" t="str">
        <x:v>Documented taxonomy and ecology unambiguously meet the group definition</x:v>
      </x:c>
      <x:c r="B21" s="16" t="str">
        <x:v>High</x:v>
      </x:c>
      <x:c r="C21" s="20" t="n">
        <x:v>0.4798973386886603</x:v>
      </x:c>
      <x:c r="D21"/>
      <x:c r="E21" s="1"/>
      <x:c r="F21" s="1"/>
      <x:c r="G21" s="1"/>
      <x:c r="H21" s="1"/>
      <x:c r="I21" s="1"/>
      <x:c r="J21" s="1"/>
      <x:c r="K21" s="1"/>
    </x:row>
    <x:row r="22" ht="48" customHeight="1">
      <x:c r="A22" s="16" t="str">
        <x:v>Ecological fit is partial or the source definition is conflicting</x:v>
      </x:c>
      <x:c r="B22" s="16" t="str">
        <x:v>Low</x:v>
      </x:c>
      <x:c r="C22" s="20" t="n">
        <x:v>0.17181281697266607</x:v>
      </x:c>
      <x:c r="D22"/>
      <x:c r="E22" s="1"/>
      <x:c r="F22" s="1"/>
      <x:c r="G22" s="1"/>
      <x:c r="H22" s="1"/>
      <x:c r="I22" s="1"/>
      <x:c r="J22" s="1"/>
      <x:c r="K22" s="1"/>
    </x:row>
    <x:row r="23" ht="48" customHeight="1">
      <x:c r="A23" s="16" t="str">
        <x:v>The source explicitly assigns the taxon to the model group</x:v>
      </x:c>
      <x:c r="B23" s="16" t="str">
        <x:v>High</x:v>
      </x:c>
      <x:c r="C23" s="20" t="n">
        <x:v>0.15207743961776304</x:v>
      </x:c>
      <x:c r="D23"/>
      <x:c r="E23" s="1"/>
      <x:c r="F23" s="1"/>
      <x:c r="G23" s="1"/>
      <x:c r="H23" s="1"/>
      <x:c r="I23" s="1"/>
      <x:c r="J23" s="1"/>
      <x:c r="K23" s="1"/>
    </x:row>
    <x:row r="24" ht="48" customHeight="1">
      <x:c r="A24" s="16" t="str">
        <x:v>Taxonomy, ecology and group definitions support the eligible group set</x:v>
      </x:c>
      <x:c r="B24" s="16" t="str">
        <x:v>Medium</x:v>
      </x:c>
      <x:c r="C24" s="20" t="n">
        <x:v>0.14494903479924606</x:v>
      </x:c>
      <x:c r="D24"/>
      <x:c r="E24" s="1"/>
      <x:c r="F24" s="1"/>
      <x:c r="G24" s="1"/>
      <x:c r="H24" s="1"/>
      <x:c r="I24" s="1"/>
      <x:c r="J24" s="1"/>
      <x:c r="K24" s="1"/>
    </x:row>
    <x:row r="25" ht="48" customHeight="1">
      <x:c r="A25" s="16" t="str">
        <x:v>A broad catch label is approximated by compatible model groups</x:v>
      </x:c>
      <x:c r="B25" s="16" t="str">
        <x:v>Very low</x:v>
      </x:c>
      <x:c r="C25" s="20" t="n">
        <x:v>0.04010994571212536</x:v>
      </x:c>
      <x:c r="D25"/>
      <x:c r="E25" s="1"/>
      <x:c r="F25" s="1"/>
      <x:c r="G25" s="1"/>
      <x:c r="H25" s="1"/>
      <x:c r="I25" s="1"/>
      <x:c r="J25" s="1"/>
      <x:c r="K25" s="1"/>
    </x:row>
    <x:row r="26" ht="48" customHeight="1">
      <x:c r="A26" s="16" t="str">
        <x:v>Documented size and habitat support an ecological assignment</x:v>
      </x:c>
      <x:c r="B26" s="16" t="str">
        <x:v>Medium</x:v>
      </x:c>
      <x:c r="C26" s="20" t="n">
        <x:v>0.011153175648260079</x:v>
      </x:c>
      <x:c r="D26"/>
      <x:c r="E26" s="1"/>
      <x:c r="F26" s="1"/>
      <x:c r="G26" s="1"/>
      <x:c r="H26" s="1"/>
      <x:c r="I26" s="1"/>
      <x:c r="J26" s="1"/>
      <x:c r="K26" s="1"/>
    </x:row>
    <x:row r="27" ht="48" customHeight="1">
      <x:c r="A27" s="16" t="str">
        <x:v>The closest represented ecological analogue substitutes for an absent group</x:v>
      </x:c>
      <x:c r="B27" s="16" t="str">
        <x:v>Very low</x:v>
      </x:c>
      <x:c r="C27" s="21" t="n">
        <x:v>2.485612791130796e-7</x:v>
      </x:c>
      <x:c r="D27"/>
      <x:c r="E27" s="1"/>
      <x:c r="F27" s="1"/>
      <x:c r="G27" s="1"/>
      <x:c r="H27" s="1"/>
      <x:c r="I27" s="1"/>
      <x:c r="J27" s="1"/>
      <x:c r="K27" s="1"/>
    </x:row>
    <x:row r="28" ht="42" customHeight="1">
      <x:c r="A28"/>
      <x:c r="B28"/>
      <x:c r="C28"/>
      <x:c r="D28"/>
      <x:c r="E28" s="1"/>
      <x:c r="F28" s="1"/>
      <x:c r="G28" s="1"/>
      <x:c r="H28" s="1"/>
      <x:c r="I28" s="1"/>
      <x:c r="J28" s="1"/>
      <x:c r="K28" s="1"/>
    </x:row>
    <x:row r="29" ht="14.5">
      <x:c r="A29"/>
      <x:c r="B29"/>
      <x:c r="C29"/>
      <x:c r="D29"/>
      <x:c r="E29" s="1"/>
      <x:c r="F29" s="1"/>
      <x:c r="G29" s="1"/>
      <x:c r="H29" s="1"/>
      <x:c r="I29" s="1"/>
      <x:c r="J29" s="1"/>
      <x:c r="K29" s="1"/>
    </x:row>
    <x:row r="30" ht="30" customHeight="1">
      <x:c r="A30" s="13" t="str">
        <x:v>Allocation weight rules</x:v>
      </x:c>
      <x:c r="B30" s="13"/>
      <x:c r="C30" s="13"/>
      <x:c r="D30" s="13"/>
      <x:c r="E30" s="1"/>
      <x:c r="F30" s="1"/>
      <x:c r="G30" s="1"/>
      <x:c r="H30" s="1"/>
      <x:c r="I30" s="1"/>
      <x:c r="J30" s="1"/>
      <x:c r="K30" s="1"/>
    </x:row>
    <x:row r="31" ht="30" customHeight="1">
      <x:c r="A31"/>
      <x:c r="B31"/>
      <x:c r="C31"/>
      <x:c r="D31"/>
      <x:c r="E31" s="1"/>
      <x:c r="F31" s="1"/>
      <x:c r="G31" s="1"/>
      <x:c r="H31" s="1"/>
      <x:c r="I31" s="1"/>
      <x:c r="J31" s="1"/>
      <x:c r="K31" s="1"/>
    </x:row>
    <x:row r="32" ht="34" customHeight="1">
      <x:c r="A32" s="19" t="str">
        <x:v>Plain-language rule</x:v>
      </x:c>
      <x:c r="B32" s="19" t="str">
        <x:v>Confidence</x:v>
      </x:c>
      <x:c r="C32" s="19" t="str">
        <x:v>PPR percentage</x:v>
      </x:c>
      <x:c r="D32"/>
      <x:c r="E32" s="1"/>
      <x:c r="F32" s="1"/>
      <x:c r="G32" s="1"/>
      <x:c r="H32" s="1"/>
      <x:c r="I32" s="1"/>
      <x:c r="J32" s="1"/>
      <x:c r="K32" s="1"/>
    </x:row>
    <x:row r="33" ht="48" customHeight="1">
      <x:c r="A33" s="16" t="str">
        <x:v>Model catch proportions supply an assumed allocation across eligible groups</x:v>
      </x:c>
      <x:c r="B33" s="16" t="str">
        <x:v>Medium</x:v>
      </x:c>
      <x:c r="C33" s="20" t="n">
        <x:v>0.6472865782319763</x:v>
      </x:c>
      <x:c r="D33"/>
      <x:c r="E33" s="1"/>
      <x:c r="F33" s="1"/>
      <x:c r="G33" s="1"/>
      <x:c r="H33" s="1"/>
      <x:c r="I33" s="1"/>
      <x:c r="J33" s="1"/>
      <x:c r="K33" s="1"/>
    </x:row>
    <x:row r="34" ht="48" customHeight="1">
      <x:c r="A34" s="16" t="str">
        <x:v>The taxon is assigned to one group and needs no split</x:v>
      </x:c>
      <x:c r="B34" s="16" t="str">
        <x:v>High</x:v>
      </x:c>
      <x:c r="C34" s="20" t="n">
        <x:v>0.3527134217680236</x:v>
      </x:c>
      <x:c r="D34"/>
      <x:c r="E34" s="1"/>
      <x:c r="F34" s="1"/>
      <x:c r="G34" s="1"/>
      <x:c r="H34" s="1"/>
      <x:c r="I34" s="1"/>
      <x:c r="J34" s="1"/>
      <x:c r="K34" s="1"/>
    </x:row>
    <x:row r="35" ht="42" customHeight="1">
      <x:c r="A35"/>
      <x:c r="B35"/>
      <x:c r="C35"/>
      <x:c r="D35"/>
      <x:c r="E35" s="1"/>
      <x:c r="F35" s="1"/>
      <x:c r="G35" s="1"/>
      <x:c r="H35" s="1"/>
      <x:c r="I35" s="1"/>
      <x:c r="J35" s="1"/>
      <x:c r="K35" s="1"/>
    </x:row>
    <x:row r="36" ht="14.5">
      <x:c r="A36"/>
      <x:c r="B36"/>
      <x:c r="C36"/>
      <x:c r="D36"/>
      <x:c r="E36" s="1"/>
      <x:c r="F36" s="1"/>
      <x:c r="G36" s="1"/>
      <x:c r="H36" s="1"/>
      <x:c r="I36" s="1"/>
      <x:c r="J36" s="1"/>
      <x:c r="K36" s="1"/>
    </x:row>
    <x:row r="37" ht="40" customHeight="1">
      <x:c r="A37" s="23" t="str">
        <x:v>Unresolved taxa: none. All 374 taxa remain mapped. 10 Very low assignments account for 12.2032% of landings and 4.0110% of PPR; 89 other taxa remain Low.</x:v>
      </x:c>
      <x:c r="B37" s="23"/>
      <x:c r="C37" s="23"/>
      <x:c r="D37" s="23"/>
      <x:c r="E37" s="1"/>
      <x:c r="F37" s="1"/>
      <x:c r="G37" s="1"/>
      <x:c r="H37" s="1"/>
      <x:c r="I37" s="1"/>
      <x:c r="J37" s="1"/>
      <x:c r="K37" s="1"/>
    </x:row>
    <x:row r="38" ht="34" customHeight="1">
      <x:c r="A38"/>
      <x:c r="B38"/>
      <x:c r="C38"/>
      <x:c r="D38"/>
      <x:c r="E38" s="1"/>
      <x:c r="F38" s="1"/>
      <x:c r="G38" s="1"/>
      <x:c r="H38" s="1"/>
      <x:c r="I38" s="1"/>
      <x:c r="J38" s="1"/>
      <x:c r="K38" s="1"/>
    </x:row>
    <x:row r="39" ht="40" customHeight="1">
      <x:c r="A39" s="23" t="str">
        <x:v>Sources: Cheung 2007 Appendix 6.1; exact model catch and biomass; regional Catch, Matching and Mapping review; Sea Around Us TL snapshot. New confidence evidence and taxon applicability are on Sources.</x:v>
      </x:c>
      <x:c r="B39" s="23"/>
      <x:c r="C39" s="23"/>
      <x:c r="D39" s="23"/>
      <x:c r="E39" s="1"/>
      <x:c r="F39" s="1"/>
      <x:c r="G39" s="1"/>
      <x:c r="H39" s="1"/>
      <x:c r="I39" s="1"/>
      <x:c r="J39" s="1"/>
      <x:c r="K39" s="1"/>
    </x:row>
    <x:row r="40" ht="34" customHeight="1">
      <x:c r="A40"/>
      <x:c r="B40"/>
      <x:c r="C40"/>
      <x:c r="D40"/>
      <x:c r="E40" s="1"/>
      <x:c r="F40" s="1"/>
      <x:c r="G40" s="1"/>
      <x:c r="H40" s="1"/>
      <x:c r="I40" s="1"/>
      <x:c r="J40" s="1"/>
      <x:c r="K40" s="1"/>
    </x:row>
    <x:row r="41" ht="14.5">
      <x:c r="A41"/>
      <x:c r="B41"/>
      <x:c r="C41"/>
      <x:c r="D41"/>
      <x:c r="E41" s="1"/>
      <x:c r="F41" s="1"/>
      <x:c r="G41" s="1"/>
      <x:c r="H41" s="1"/>
      <x:c r="I41" s="1"/>
      <x:c r="J41" s="1"/>
      <x:c r="K41" s="1"/>
    </x:row>
    <x:row r="42" ht="14.5">
      <x:c r="A42"/>
      <x:c r="B42"/>
      <x:c r="C42"/>
      <x:c r="D42"/>
      <x:c r="E42" s="1"/>
      <x:c r="F42" s="1"/>
      <x:c r="G42" s="1"/>
      <x:c r="H42" s="1"/>
      <x:c r="I42" s="1"/>
      <x:c r="J42" s="1"/>
      <x:c r="K42" s="1"/>
    </x:row>
    <x:row r="43" ht="14.5">
      <x:c r="A43"/>
      <x:c r="B43"/>
      <x:c r="C43"/>
      <x:c r="D43"/>
      <x:c r="E43" s="1"/>
      <x:c r="F43" s="1"/>
      <x:c r="G43" s="1"/>
      <x:c r="H43" s="1"/>
      <x:c r="I43" s="1"/>
      <x:c r="J43" s="1"/>
      <x:c r="K43" s="1"/>
    </x:row>
    <x:row r="44" ht="14.5">
      <x:c r="A44"/>
      <x:c r="B44"/>
      <x:c r="C44"/>
      <x:c r="D44"/>
      <x:c r="E44" s="1"/>
      <x:c r="F44" s="1"/>
      <x:c r="G44" s="1"/>
      <x:c r="H44" s="1"/>
      <x:c r="I44" s="1"/>
      <x:c r="J44" s="1"/>
      <x:c r="K44" s="1"/>
    </x:row>
    <x:row r="45" ht="14.5">
      <x:c r="A45"/>
      <x:c r="B45"/>
      <x:c r="C45"/>
      <x:c r="D45"/>
      <x:c r="E45" s="1"/>
      <x:c r="F45" s="1"/>
      <x:c r="G45" s="1"/>
      <x:c r="H45" s="1"/>
      <x:c r="I45" s="1"/>
      <x:c r="J45" s="1"/>
      <x:c r="K45" s="1"/>
    </x:row>
    <x:row r="46" ht="14.5">
      <x:c r="A46"/>
      <x:c r="B46"/>
      <x:c r="C46"/>
      <x:c r="D46"/>
      <x:c r="E46" s="1"/>
      <x:c r="F46" s="1"/>
      <x:c r="G46" s="1"/>
      <x:c r="H46" s="1"/>
      <x:c r="I46" s="1"/>
      <x:c r="J46" s="1"/>
      <x:c r="K46" s="1"/>
    </x:row>
    <x:row r="47" ht="14.5">
      <x:c r="A47"/>
      <x:c r="B47"/>
      <x:c r="C47"/>
      <x:c r="D47"/>
      <x:c r="E47" s="1"/>
      <x:c r="F47" s="1"/>
      <x:c r="G47" s="1"/>
      <x:c r="H47" s="1"/>
      <x:c r="I47" s="1"/>
      <x:c r="J47" s="1"/>
      <x:c r="K47" s="1"/>
    </x:row>
    <x:row r="48" ht="14.5">
      <x:c r="A48"/>
      <x:c r="B48"/>
      <x:c r="C48"/>
      <x:c r="D48"/>
      <x:c r="E48" s="1"/>
      <x:c r="F48" s="1"/>
      <x:c r="G48" s="1"/>
      <x:c r="H48" s="1"/>
      <x:c r="I48" s="1"/>
      <x:c r="J48" s="1"/>
      <x:c r="K48" s="1"/>
    </x:row>
    <x:row r="49" ht="14.5">
      <x:c r="A49"/>
      <x:c r="B49"/>
      <x:c r="C49"/>
      <x:c r="D49"/>
      <x:c r="E49" s="1"/>
      <x:c r="F49" s="1"/>
      <x:c r="G49" s="1"/>
      <x:c r="H49" s="1"/>
      <x:c r="I49" s="1"/>
      <x:c r="J49" s="1"/>
      <x:c r="K49" s="1"/>
    </x:row>
    <x:row r="50" ht="14.5">
      <x:c r="A50"/>
      <x:c r="B50"/>
      <x:c r="C50"/>
      <x:c r="D50"/>
      <x:c r="E50" s="1"/>
      <x:c r="F50" s="1"/>
      <x:c r="G50" s="1"/>
      <x:c r="H50" s="1"/>
      <x:c r="I50" s="1"/>
      <x:c r="J50" s="1"/>
      <x:c r="K50" s="1"/>
    </x:row>
    <x:row r="51" ht="14.5">
      <x:c r="A51"/>
      <x:c r="B51"/>
      <x:c r="C51"/>
      <x:c r="D51"/>
      <x:c r="E51" s="1"/>
      <x:c r="F51" s="1"/>
      <x:c r="G51" s="1"/>
      <x:c r="H51" s="1"/>
      <x:c r="I51" s="1"/>
      <x:c r="J51" s="1"/>
      <x:c r="K51" s="1"/>
    </x:row>
    <x:row r="52" ht="14.5">
      <x:c r="A52"/>
      <x:c r="B52"/>
      <x:c r="C52"/>
      <x:c r="D52"/>
      <x:c r="E52" s="1"/>
      <x:c r="F52" s="1"/>
      <x:c r="G52" s="1"/>
      <x:c r="H52" s="1"/>
      <x:c r="I52" s="1"/>
      <x:c r="J52" s="1"/>
      <x:c r="K52" s="1"/>
    </x:row>
    <x:row r="53" ht="14.5">
      <x:c r="A53"/>
      <x:c r="B53"/>
      <x:c r="C53"/>
      <x:c r="D53"/>
      <x:c r="E53" s="1"/>
      <x:c r="F53" s="1"/>
      <x:c r="G53" s="1"/>
      <x:c r="H53" s="1"/>
      <x:c r="I53" s="1"/>
      <x:c r="J53" s="1"/>
      <x:c r="K53" s="1"/>
    </x:row>
    <x:row r="54" ht="14.5">
      <x:c r="A54"/>
      <x:c r="B54"/>
      <x:c r="C54"/>
      <x:c r="D54"/>
      <x:c r="E54" s="1"/>
      <x:c r="F54" s="1"/>
      <x:c r="G54" s="1"/>
      <x:c r="H54" s="1"/>
      <x:c r="I54" s="1"/>
      <x:c r="J54" s="1"/>
      <x:c r="K54" s="1"/>
    </x:row>
    <x:row r="55" ht="14.5">
      <x:c r="A55"/>
      <x:c r="B55"/>
      <x:c r="C55"/>
      <x:c r="D55"/>
      <x:c r="E55" s="1"/>
      <x:c r="F55" s="1"/>
      <x:c r="G55" s="1"/>
      <x:c r="H55" s="1"/>
      <x:c r="I55" s="1"/>
      <x:c r="J55" s="1"/>
      <x:c r="K55" s="1"/>
    </x:row>
    <x:row r="56" ht="14.5">
      <x:c r="A56"/>
      <x:c r="B56"/>
      <x:c r="C56"/>
      <x:c r="D56"/>
      <x:c r="E56" s="1"/>
      <x:c r="F56" s="1"/>
      <x:c r="G56" s="1"/>
      <x:c r="H56" s="1"/>
      <x:c r="I56" s="1"/>
      <x:c r="J56" s="1"/>
      <x:c r="K56" s="1"/>
    </x:row>
    <x:row r="57" ht="14.5">
      <x:c r="A57"/>
      <x:c r="B57"/>
      <x:c r="C57"/>
      <x:c r="D57"/>
      <x:c r="E57" s="1"/>
      <x:c r="F57" s="1"/>
      <x:c r="G57" s="1"/>
      <x:c r="H57" s="1"/>
      <x:c r="I57" s="1"/>
      <x:c r="J57" s="1"/>
      <x:c r="K57" s="1"/>
    </x:row>
    <x:row r="58" ht="14.5">
      <x:c r="A58"/>
      <x:c r="B58"/>
      <x:c r="C58"/>
      <x:c r="D58"/>
      <x:c r="E58" s="1"/>
      <x:c r="F58" s="1"/>
      <x:c r="G58" s="1"/>
      <x:c r="H58" s="1"/>
      <x:c r="I58" s="1"/>
      <x:c r="J58" s="1"/>
      <x:c r="K58" s="1"/>
    </x:row>
    <x:row r="59" ht="14.5">
      <x:c r="A59"/>
      <x:c r="B59"/>
      <x:c r="C59"/>
      <x:c r="D59"/>
      <x:c r="E59" s="1"/>
      <x:c r="F59" s="1"/>
      <x:c r="G59" s="1"/>
      <x:c r="H59" s="1"/>
      <x:c r="I59" s="1"/>
      <x:c r="J59" s="1"/>
      <x:c r="K59" s="1"/>
    </x:row>
    <x:row r="60" ht="14.5">
      <x:c r="A60"/>
      <x:c r="B60"/>
      <x:c r="C60"/>
      <x:c r="D60"/>
      <x:c r="E60" s="1"/>
      <x:c r="F60" s="1"/>
      <x:c r="G60" s="1"/>
      <x:c r="H60" s="1"/>
      <x:c r="I60" s="1"/>
      <x:c r="J60" s="1"/>
      <x:c r="K60" s="1"/>
    </x:row>
    <x:row r="61" ht="14.5">
      <x:c r="A61"/>
      <x:c r="B61"/>
      <x:c r="C61"/>
      <x:c r="D61"/>
      <x:c r="E61" s="1"/>
      <x:c r="F61" s="1"/>
      <x:c r="G61" s="1"/>
      <x:c r="H61" s="1"/>
      <x:c r="I61" s="1"/>
      <x:c r="J61" s="1"/>
      <x:c r="K61" s="1"/>
    </x:row>
    <x:row r="62" ht="14.5">
      <x:c r="A62"/>
      <x:c r="B62"/>
      <x:c r="C62"/>
      <x:c r="D62"/>
      <x:c r="E62" s="1"/>
      <x:c r="F62" s="1"/>
      <x:c r="G62" s="1"/>
      <x:c r="H62" s="1"/>
      <x:c r="I62" s="1"/>
      <x:c r="J62" s="1"/>
      <x:c r="K62" s="1"/>
    </x:row>
    <x:row r="63" ht="14.5">
      <x:c r="A63"/>
      <x:c r="B63"/>
      <x:c r="C63"/>
      <x:c r="D63"/>
      <x:c r="E63" s="1"/>
      <x:c r="F63" s="1"/>
      <x:c r="G63" s="1"/>
      <x:c r="H63" s="1"/>
      <x:c r="I63" s="1"/>
      <x:c r="J63" s="1"/>
      <x:c r="K63" s="1"/>
    </x:row>
    <x:row r="64" ht="14.5">
      <x:c r="A64"/>
      <x:c r="B64"/>
      <x:c r="C64"/>
      <x:c r="D64"/>
      <x:c r="E64" s="1"/>
      <x:c r="F64" s="1"/>
      <x:c r="G64" s="1"/>
      <x:c r="H64" s="1"/>
      <x:c r="I64" s="1"/>
      <x:c r="J64" s="1"/>
      <x:c r="K64" s="1"/>
    </x:row>
    <x:row r="65" ht="14.5">
      <x:c r="A65"/>
      <x:c r="B65"/>
      <x:c r="C65"/>
      <x:c r="D65"/>
      <x:c r="E65" s="1"/>
      <x:c r="F65" s="1"/>
      <x:c r="G65" s="1"/>
      <x:c r="H65" s="1"/>
      <x:c r="I65" s="1"/>
      <x:c r="J65" s="1"/>
      <x:c r="K65" s="1"/>
    </x:row>
    <x:row r="66" ht="14.5">
      <x:c r="A66" s="1"/>
      <x:c r="B66" s="1"/>
      <x:c r="C66" s="1"/>
      <x:c r="D66" s="1"/>
      <x:c r="E66" s="1"/>
      <x:c r="F66" s="1"/>
      <x:c r="G66" s="1"/>
      <x:c r="H66" s="1"/>
      <x:c r="I66" s="1"/>
      <x:c r="J66" s="1"/>
      <x:c r="K66" s="1"/>
    </x:row>
    <x:row r="67" ht="14.5">
      <x:c r="A67" s="1"/>
      <x:c r="B67" s="1"/>
      <x:c r="C67" s="1"/>
      <x:c r="D67" s="1"/>
      <x:c r="E67" s="1"/>
      <x:c r="F67" s="1"/>
      <x:c r="G67" s="1"/>
      <x:c r="H67" s="1"/>
      <x:c r="I67" s="1"/>
      <x:c r="J67" s="1"/>
      <x:c r="K67" s="1"/>
    </x:row>
    <x:row r="68" ht="14.5">
      <x:c r="A68" s="1"/>
      <x:c r="B68" s="1"/>
      <x:c r="C68" s="1"/>
      <x:c r="D68" s="1"/>
      <x:c r="E68" s="1"/>
      <x:c r="F68" s="1"/>
      <x:c r="G68" s="1"/>
      <x:c r="H68" s="1"/>
      <x:c r="I68" s="1"/>
      <x:c r="J68" s="1"/>
      <x:c r="K68" s="1"/>
    </x:row>
    <x:row r="69" ht="14.5">
      <x:c r="A69" s="1"/>
      <x:c r="B69" s="1"/>
      <x:c r="C69" s="1"/>
      <x:c r="D69" s="1"/>
      <x:c r="E69" s="1"/>
      <x:c r="F69" s="1"/>
      <x:c r="G69" s="1"/>
      <x:c r="H69" s="1"/>
      <x:c r="I69" s="1"/>
      <x:c r="J69" s="1"/>
      <x:c r="K69" s="1"/>
    </x:row>
    <x:row r="70" ht="14.5">
      <x:c r="A70" s="1"/>
      <x:c r="B70" s="1"/>
      <x:c r="C70" s="1"/>
      <x:c r="D70" s="1"/>
      <x:c r="E70" s="1"/>
      <x:c r="F70" s="1"/>
      <x:c r="G70" s="1"/>
      <x:c r="H70" s="1"/>
      <x:c r="I70" s="1"/>
      <x:c r="J70" s="1"/>
      <x:c r="K70" s="1"/>
    </x:row>
    <x:row r="71" ht="14.5">
      <x:c r="A71" s="1"/>
      <x:c r="B71" s="1"/>
      <x:c r="C71" s="1"/>
      <x:c r="D71" s="1"/>
      <x:c r="E71" s="1"/>
      <x:c r="F71" s="1"/>
      <x:c r="G71" s="1"/>
      <x:c r="H71" s="1"/>
      <x:c r="I71" s="1"/>
      <x:c r="J71" s="1"/>
      <x:c r="K71" s="1"/>
    </x:row>
    <x:row r="72" ht="14.5">
      <x:c r="A72" s="1"/>
      <x:c r="B72" s="1"/>
      <x:c r="C72" s="1"/>
      <x:c r="D72" s="1"/>
      <x:c r="E72" s="1"/>
      <x:c r="F72" s="1"/>
      <x:c r="G72" s="1"/>
      <x:c r="H72" s="1"/>
      <x:c r="I72" s="1"/>
      <x:c r="J72" s="1"/>
      <x:c r="K72" s="1"/>
    </x:row>
    <x:row r="73" ht="14.5">
      <x:c r="A73" s="1"/>
      <x:c r="B73" s="1"/>
      <x:c r="C73" s="1"/>
      <x:c r="D73" s="1"/>
      <x:c r="E73" s="1"/>
      <x:c r="F73" s="1"/>
      <x:c r="G73" s="1"/>
      <x:c r="H73" s="1"/>
      <x:c r="I73" s="1"/>
      <x:c r="J73" s="1"/>
      <x:c r="K73" s="1"/>
    </x:row>
    <x:row r="74" ht="14.5">
      <x:c r="A74" s="1"/>
      <x:c r="B74" s="1"/>
      <x:c r="C74" s="1"/>
      <x:c r="D74" s="1"/>
      <x:c r="E74" s="1"/>
      <x:c r="F74" s="1"/>
      <x:c r="G74" s="1"/>
      <x:c r="H74" s="1"/>
      <x:c r="I74" s="1"/>
      <x:c r="J74" s="1"/>
      <x:c r="K74" s="1"/>
    </x:row>
    <x:row r="75" ht="14.5">
      <x:c r="A75" s="1"/>
      <x:c r="B75" s="1"/>
      <x:c r="C75" s="1"/>
      <x:c r="D75" s="1"/>
      <x:c r="E75" s="1"/>
      <x:c r="F75" s="1"/>
      <x:c r="G75" s="1"/>
      <x:c r="H75" s="1"/>
      <x:c r="I75" s="1"/>
      <x:c r="J75" s="1"/>
      <x:c r="K75" s="1"/>
    </x:row>
    <x:row r="76" ht="14.5">
      <x:c r="A76" s="1"/>
      <x:c r="B76" s="1"/>
      <x:c r="C76" s="1"/>
      <x:c r="D76" s="1"/>
      <x:c r="E76" s="1"/>
      <x:c r="F76" s="1"/>
      <x:c r="G76" s="1"/>
      <x:c r="H76" s="1"/>
      <x:c r="I76" s="1"/>
      <x:c r="J76" s="1"/>
      <x:c r="K76" s="1"/>
    </x:row>
    <x:row r="77" ht="14.5">
      <x:c r="A77" s="1"/>
      <x:c r="B77" s="1"/>
      <x:c r="C77" s="1"/>
      <x:c r="D77" s="1"/>
      <x:c r="E77" s="1"/>
      <x:c r="F77" s="1"/>
      <x:c r="G77" s="1"/>
      <x:c r="H77" s="1"/>
      <x:c r="I77" s="1"/>
      <x:c r="J77" s="1"/>
      <x:c r="K77" s="1"/>
    </x:row>
    <x:row r="78" ht="14.5">
      <x:c r="A78" s="1"/>
      <x:c r="B78" s="1"/>
      <x:c r="C78" s="1"/>
      <x:c r="D78" s="1"/>
      <x:c r="E78" s="1"/>
      <x:c r="F78" s="1"/>
      <x:c r="G78" s="1"/>
      <x:c r="H78" s="1"/>
      <x:c r="I78" s="1"/>
      <x:c r="J78" s="1"/>
      <x:c r="K78" s="1"/>
    </x:row>
    <x:row r="79" ht="14.5">
      <x:c r="A79" s="1"/>
      <x:c r="B79" s="1"/>
      <x:c r="C79" s="1"/>
      <x:c r="D79" s="1"/>
      <x:c r="E79" s="1"/>
      <x:c r="F79" s="1"/>
      <x:c r="G79" s="1"/>
      <x:c r="H79" s="1"/>
      <x:c r="I79" s="1"/>
      <x:c r="J79" s="1"/>
      <x:c r="K79" s="1"/>
    </x:row>
    <x:row r="80" ht="14.5">
      <x:c r="A80" s="1"/>
      <x:c r="B80" s="1"/>
      <x:c r="C80" s="1"/>
      <x:c r="D80" s="1"/>
      <x:c r="E80" s="1"/>
      <x:c r="F80" s="1"/>
      <x:c r="G80" s="1"/>
      <x:c r="H80" s="1"/>
      <x:c r="I80" s="1"/>
      <x:c r="J80" s="1"/>
      <x:c r="K80" s="1"/>
    </x:row>
    <x:row r="81" ht="14.5">
      <x:c r="A81" s="1"/>
      <x:c r="B81" s="1"/>
      <x:c r="C81" s="1"/>
      <x:c r="D81" s="1"/>
      <x:c r="E81" s="1"/>
      <x:c r="F81" s="1"/>
      <x:c r="G81" s="1"/>
      <x:c r="H81" s="1"/>
      <x:c r="I81" s="1"/>
      <x:c r="J81" s="1"/>
      <x:c r="K81" s="1"/>
    </x:row>
    <x:row r="82" ht="14.5">
      <x:c r="A82" s="1"/>
      <x:c r="B82" s="1"/>
      <x:c r="C82" s="1"/>
      <x:c r="D82" s="1"/>
      <x:c r="E82" s="1"/>
      <x:c r="F82" s="1"/>
      <x:c r="G82" s="1"/>
      <x:c r="H82" s="1"/>
      <x:c r="I82" s="1"/>
      <x:c r="J82" s="1"/>
      <x:c r="K82" s="1"/>
    </x:row>
    <x:row r="83" ht="14.5">
      <x:c r="A83" s="1"/>
      <x:c r="B83" s="1"/>
      <x:c r="C83" s="1"/>
      <x:c r="D83" s="1"/>
      <x:c r="E83" s="1"/>
      <x:c r="F83" s="1"/>
      <x:c r="G83" s="1"/>
      <x:c r="H83" s="1"/>
      <x:c r="I83" s="1"/>
      <x:c r="J83" s="1"/>
      <x:c r="K83" s="1"/>
    </x:row>
    <x:row r="84" ht="14.5">
      <x:c r="A84" s="1"/>
      <x:c r="B84" s="1"/>
      <x:c r="C84" s="1"/>
      <x:c r="D84" s="1"/>
      <x:c r="E84" s="1"/>
      <x:c r="F84" s="1"/>
      <x:c r="G84" s="1"/>
      <x:c r="H84" s="1"/>
      <x:c r="I84" s="1"/>
      <x:c r="J84" s="1"/>
      <x:c r="K84" s="1"/>
    </x:row>
    <x:row r="85" ht="14.5">
      <x:c r="A85" s="1"/>
      <x:c r="B85" s="1"/>
      <x:c r="C85" s="1"/>
      <x:c r="D85" s="1"/>
      <x:c r="E85" s="1"/>
      <x:c r="F85" s="1"/>
      <x:c r="G85" s="1"/>
      <x:c r="H85" s="1"/>
      <x:c r="I85" s="1"/>
      <x:c r="J85" s="1"/>
      <x:c r="K85" s="1"/>
    </x:row>
    <x:row r="86" ht="14.5">
      <x:c r="A86" s="1"/>
      <x:c r="B86" s="1"/>
      <x:c r="C86" s="1"/>
      <x:c r="D86" s="1"/>
      <x:c r="E86" s="1"/>
      <x:c r="F86" s="1"/>
      <x:c r="G86" s="1"/>
      <x:c r="H86" s="1"/>
      <x:c r="I86" s="1"/>
      <x:c r="J86" s="1"/>
      <x:c r="K86" s="1"/>
    </x:row>
    <x:row r="87" ht="14.5">
      <x:c r="A87" s="1"/>
      <x:c r="B87" s="1"/>
      <x:c r="C87" s="1"/>
      <x:c r="D87" s="1"/>
      <x:c r="E87" s="1"/>
      <x:c r="F87" s="1"/>
      <x:c r="G87" s="1"/>
      <x:c r="H87" s="1"/>
      <x:c r="I87" s="1"/>
      <x:c r="J87" s="1"/>
      <x:c r="K87" s="1"/>
    </x:row>
    <x:row r="88" ht="14.5">
      <x:c r="A88" s="1"/>
      <x:c r="B88" s="1"/>
      <x:c r="C88" s="1"/>
      <x:c r="D88" s="1"/>
      <x:c r="E88" s="1"/>
      <x:c r="F88" s="1"/>
      <x:c r="G88" s="1"/>
      <x:c r="H88" s="1"/>
      <x:c r="I88" s="1"/>
      <x:c r="J88" s="1"/>
      <x:c r="K88" s="1"/>
    </x:row>
    <x:row r="89" ht="14.5">
      <x:c r="A89" s="1"/>
      <x:c r="B89" s="1"/>
      <x:c r="C89" s="1"/>
      <x:c r="D89" s="1"/>
      <x:c r="E89" s="1"/>
      <x:c r="F89" s="1"/>
      <x:c r="G89" s="1"/>
      <x:c r="H89" s="1"/>
      <x:c r="I89" s="1"/>
      <x:c r="J89" s="1"/>
      <x:c r="K89" s="1"/>
    </x:row>
    <x:row r="90" ht="14.5">
      <x:c r="A90" s="1"/>
      <x:c r="B90" s="1"/>
      <x:c r="C90" s="1"/>
      <x:c r="D90" s="1"/>
      <x:c r="E90" s="1"/>
      <x:c r="F90" s="1"/>
      <x:c r="G90" s="1"/>
      <x:c r="H90" s="1"/>
      <x:c r="I90" s="1"/>
      <x:c r="J90" s="1"/>
      <x:c r="K90" s="1"/>
    </x:row>
    <x:row r="91" ht="14.5">
      <x:c r="A91" s="1"/>
      <x:c r="B91" s="1"/>
      <x:c r="C91" s="1"/>
      <x:c r="D91" s="1"/>
      <x:c r="E91" s="1"/>
      <x:c r="F91" s="1"/>
      <x:c r="G91" s="1"/>
      <x:c r="H91" s="1"/>
      <x:c r="I91" s="1"/>
      <x:c r="J91" s="1"/>
      <x:c r="K91" s="1"/>
    </x:row>
    <x:row r="92" ht="14.5">
      <x:c r="A92" s="1"/>
      <x:c r="B92" s="1"/>
      <x:c r="C92" s="1"/>
      <x:c r="D92" s="1"/>
      <x:c r="E92" s="1"/>
      <x:c r="F92" s="1"/>
      <x:c r="G92" s="1"/>
      <x:c r="H92" s="1"/>
      <x:c r="I92" s="1"/>
      <x:c r="J92" s="1"/>
      <x:c r="K92" s="1"/>
    </x:row>
    <x:row r="93" ht="14.5">
      <x:c r="A93" s="1"/>
      <x:c r="B93" s="1"/>
      <x:c r="C93" s="1"/>
      <x:c r="D93" s="1"/>
      <x:c r="E93" s="1"/>
      <x:c r="F93" s="1"/>
      <x:c r="G93" s="1"/>
      <x:c r="H93" s="1"/>
      <x:c r="I93" s="1"/>
      <x:c r="J93" s="1"/>
      <x:c r="K93" s="1"/>
    </x:row>
    <x:row r="94" ht="14.5">
      <x:c r="A94" s="1"/>
      <x:c r="B94" s="1"/>
      <x:c r="C94" s="1"/>
      <x:c r="D94" s="1"/>
      <x:c r="E94" s="1"/>
      <x:c r="F94" s="1"/>
      <x:c r="G94" s="1"/>
      <x:c r="H94" s="1"/>
      <x:c r="I94" s="1"/>
      <x:c r="J94" s="1"/>
      <x:c r="K94" s="1"/>
    </x:row>
    <x:row r="95" ht="14.5">
      <x:c r="A95" s="1"/>
      <x:c r="B95" s="1"/>
      <x:c r="C95" s="1"/>
      <x:c r="D95" s="1"/>
      <x:c r="E95" s="1"/>
      <x:c r="F95" s="1"/>
      <x:c r="G95" s="1"/>
      <x:c r="H95" s="1"/>
      <x:c r="I95" s="1"/>
      <x:c r="J95" s="1"/>
      <x:c r="K95" s="1"/>
    </x:row>
    <x:row r="96" ht="14.5">
      <x:c r="A96" s="1"/>
      <x:c r="B96" s="1"/>
      <x:c r="C96" s="1"/>
      <x:c r="D96" s="1"/>
      <x:c r="E96" s="1"/>
      <x:c r="F96" s="1"/>
      <x:c r="G96" s="1"/>
      <x:c r="H96" s="1"/>
      <x:c r="I96" s="1"/>
      <x:c r="J96" s="1"/>
      <x:c r="K96" s="1"/>
    </x:row>
    <x:row r="97" ht="14.5">
      <x:c r="A97" s="1"/>
      <x:c r="B97" s="1"/>
      <x:c r="C97" s="1"/>
      <x:c r="D97" s="1"/>
      <x:c r="E97" s="1"/>
      <x:c r="F97" s="1"/>
      <x:c r="G97" s="1"/>
      <x:c r="H97" s="1"/>
      <x:c r="I97" s="1"/>
      <x:c r="J97" s="1"/>
      <x:c r="K97" s="1"/>
    </x:row>
    <x:row r="98" ht="14.5">
      <x:c r="A98" s="1"/>
      <x:c r="B98" s="1"/>
      <x:c r="C98" s="1"/>
      <x:c r="D98" s="1"/>
      <x:c r="E98" s="1"/>
      <x:c r="F98" s="1"/>
      <x:c r="G98" s="1"/>
      <x:c r="H98" s="1"/>
      <x:c r="I98" s="1"/>
      <x:c r="J98" s="1"/>
      <x:c r="K98" s="1"/>
    </x:row>
    <x:row r="99" ht="14.5">
      <x:c r="A99" s="1"/>
      <x:c r="B99" s="1"/>
      <x:c r="C99" s="1"/>
      <x:c r="D99" s="1"/>
      <x:c r="E99" s="1"/>
      <x:c r="F99" s="1"/>
      <x:c r="G99" s="1"/>
      <x:c r="H99" s="1"/>
      <x:c r="I99" s="1"/>
      <x:c r="J99" s="1"/>
      <x:c r="K99" s="1"/>
    </x:row>
    <x:row r="100" ht="14.5">
      <x:c r="A100" s="1"/>
      <x:c r="B100" s="1"/>
      <x:c r="C100" s="1"/>
      <x:c r="D100" s="1"/>
      <x:c r="E100" s="1"/>
      <x:c r="F100" s="1"/>
      <x:c r="G100" s="1"/>
      <x:c r="H100" s="1"/>
      <x:c r="I100" s="1"/>
      <x:c r="J100" s="1"/>
      <x:c r="K100" s="1"/>
    </x:row>
    <x:row r="101" ht="14.5">
      <x:c r="A101" s="1"/>
      <x:c r="B101" s="1"/>
      <x:c r="C101" s="1"/>
      <x:c r="D101" s="1"/>
      <x:c r="E101" s="1"/>
      <x:c r="F101" s="1"/>
      <x:c r="G101" s="1"/>
      <x:c r="H101" s="1"/>
      <x:c r="I101" s="1"/>
      <x:c r="J101" s="1"/>
      <x:c r="K101" s="1"/>
    </x:row>
    <x:row r="102" ht="14.5">
      <x:c r="A102" s="1"/>
      <x:c r="B102" s="1"/>
      <x:c r="C102" s="1"/>
      <x:c r="D102" s="1"/>
      <x:c r="E102" s="1"/>
      <x:c r="F102" s="1"/>
      <x:c r="G102" s="1"/>
      <x:c r="H102" s="1"/>
      <x:c r="I102" s="1"/>
      <x:c r="J102" s="1"/>
      <x:c r="K102" s="1"/>
    </x:row>
    <x:row r="103" ht="14.5">
      <x:c r="A103" s="1"/>
      <x:c r="B103" s="1"/>
      <x:c r="C103" s="1"/>
      <x:c r="D103" s="1"/>
      <x:c r="E103" s="1"/>
      <x:c r="F103" s="1"/>
      <x:c r="G103" s="1"/>
      <x:c r="H103" s="1"/>
      <x:c r="I103" s="1"/>
      <x:c r="J103" s="1"/>
      <x:c r="K103" s="1"/>
    </x:row>
    <x:row r="104" ht="14.5">
      <x:c r="A104" s="1"/>
      <x:c r="B104" s="1"/>
      <x:c r="C104" s="1"/>
      <x:c r="D104" s="1"/>
      <x:c r="E104" s="1"/>
      <x:c r="F104" s="1"/>
      <x:c r="G104" s="1"/>
      <x:c r="H104" s="1"/>
      <x:c r="I104" s="1"/>
      <x:c r="J104" s="1"/>
      <x:c r="K104" s="1"/>
    </x:row>
    <x:row r="105" ht="14.5">
      <x:c r="A105" s="1"/>
      <x:c r="B105" s="1"/>
      <x:c r="C105" s="1"/>
      <x:c r="D105" s="1"/>
      <x:c r="E105" s="1"/>
      <x:c r="F105" s="1"/>
      <x:c r="G105" s="1"/>
      <x:c r="H105" s="1"/>
      <x:c r="I105" s="1"/>
      <x:c r="J105" s="1"/>
      <x:c r="K105" s="1"/>
    </x:row>
    <x:row r="106" ht="14.5">
      <x:c r="A106" s="1"/>
      <x:c r="B106" s="1"/>
      <x:c r="C106" s="1"/>
      <x:c r="D106" s="1"/>
      <x:c r="E106" s="1"/>
      <x:c r="F106" s="1"/>
      <x:c r="G106" s="1"/>
      <x:c r="H106" s="1"/>
      <x:c r="I106" s="1"/>
      <x:c r="J106" s="1"/>
      <x:c r="K106" s="1"/>
    </x:row>
    <x:row r="107" ht="14.5">
      <x:c r="A107" s="1"/>
      <x:c r="B107" s="1"/>
      <x:c r="C107" s="1"/>
      <x:c r="D107" s="1"/>
      <x:c r="E107" s="1"/>
      <x:c r="F107" s="1"/>
      <x:c r="G107" s="1"/>
      <x:c r="H107" s="1"/>
      <x:c r="I107" s="1"/>
      <x:c r="J107" s="1"/>
      <x:c r="K107" s="1"/>
    </x:row>
    <x:row r="108" ht="14.5">
      <x:c r="A108" s="1"/>
      <x:c r="B108" s="1"/>
      <x:c r="C108" s="1"/>
      <x:c r="D108" s="1"/>
      <x:c r="E108" s="1"/>
      <x:c r="F108" s="1"/>
      <x:c r="G108" s="1"/>
      <x:c r="H108" s="1"/>
      <x:c r="I108" s="1"/>
      <x:c r="J108" s="1"/>
      <x:c r="K108" s="1"/>
    </x:row>
    <x:row r="109" ht="14.5">
      <x:c r="A109" s="1"/>
      <x:c r="B109" s="1"/>
      <x:c r="C109" s="1"/>
      <x:c r="D109" s="1"/>
      <x:c r="E109" s="1"/>
      <x:c r="F109" s="1"/>
      <x:c r="G109" s="1"/>
      <x:c r="H109" s="1"/>
      <x:c r="I109" s="1"/>
      <x:c r="J109" s="1"/>
      <x:c r="K109" s="1"/>
    </x:row>
    <x:row r="110" ht="14.5">
      <x:c r="A110" s="1"/>
      <x:c r="B110" s="1"/>
      <x:c r="C110" s="1"/>
      <x:c r="D110" s="1"/>
      <x:c r="E110" s="1"/>
      <x:c r="F110" s="1"/>
      <x:c r="G110" s="1"/>
      <x:c r="H110" s="1"/>
      <x:c r="I110" s="1"/>
      <x:c r="J110" s="1"/>
      <x:c r="K110" s="1"/>
    </x:row>
    <x:row r="111" ht="14.5">
      <x:c r="A111" s="1"/>
      <x:c r="B111" s="1"/>
      <x:c r="C111" s="1"/>
      <x:c r="D111" s="1"/>
      <x:c r="E111" s="1"/>
      <x:c r="F111" s="1"/>
      <x:c r="G111" s="1"/>
      <x:c r="H111" s="1"/>
      <x:c r="I111" s="1"/>
      <x:c r="J111" s="1"/>
      <x:c r="K111" s="1"/>
    </x:row>
    <x:row r="112" ht="14.5">
      <x:c r="A112" s="1"/>
      <x:c r="B112" s="1"/>
      <x:c r="C112" s="1"/>
      <x:c r="D112" s="1"/>
      <x:c r="E112" s="1"/>
      <x:c r="F112" s="1"/>
      <x:c r="G112" s="1"/>
      <x:c r="H112" s="1"/>
      <x:c r="I112" s="1"/>
      <x:c r="J112" s="1"/>
      <x:c r="K112" s="1"/>
    </x:row>
    <x:row r="113" ht="14.5">
      <x:c r="A113" s="1"/>
      <x:c r="B113" s="1"/>
      <x:c r="C113" s="1"/>
      <x:c r="D113" s="1"/>
      <x:c r="E113" s="1"/>
      <x:c r="F113" s="1"/>
      <x:c r="G113" s="1"/>
      <x:c r="H113" s="1"/>
      <x:c r="I113" s="1"/>
      <x:c r="J113" s="1"/>
      <x:c r="K113" s="1"/>
    </x:row>
    <x:row r="114" ht="14.5">
      <x:c r="A114" s="1"/>
      <x:c r="B114" s="1"/>
      <x:c r="C114" s="1"/>
      <x:c r="D114" s="1"/>
      <x:c r="E114" s="1"/>
      <x:c r="F114" s="1"/>
      <x:c r="G114" s="1"/>
      <x:c r="H114" s="1"/>
      <x:c r="I114" s="1"/>
      <x:c r="J114" s="1"/>
      <x:c r="K114" s="1"/>
    </x:row>
    <x:row r="115" ht="14.5">
      <x:c r="A115" s="1"/>
      <x:c r="B115" s="1"/>
      <x:c r="C115" s="1"/>
      <x:c r="D115" s="1"/>
      <x:c r="E115" s="1"/>
      <x:c r="F115" s="1"/>
      <x:c r="G115" s="1"/>
      <x:c r="H115" s="1"/>
      <x:c r="I115" s="1"/>
      <x:c r="J115" s="1"/>
      <x:c r="K115" s="1"/>
    </x:row>
    <x:row r="116" ht="14.5">
      <x:c r="A116" s="1"/>
      <x:c r="B116" s="1"/>
      <x:c r="C116" s="1"/>
      <x:c r="D116" s="1"/>
      <x:c r="E116" s="1"/>
      <x:c r="F116" s="1"/>
      <x:c r="G116" s="1"/>
      <x:c r="H116" s="1"/>
      <x:c r="I116" s="1"/>
      <x:c r="J116" s="1"/>
      <x:c r="K116" s="1"/>
    </x:row>
    <x:row r="117" ht="14.5">
      <x:c r="A117" s="1"/>
      <x:c r="B117" s="1"/>
      <x:c r="C117" s="1"/>
      <x:c r="D117" s="1"/>
      <x:c r="E117" s="1"/>
      <x:c r="F117" s="1"/>
      <x:c r="G117" s="1"/>
      <x:c r="H117" s="1"/>
      <x:c r="I117" s="1"/>
      <x:c r="J117" s="1"/>
      <x:c r="K117" s="1"/>
    </x:row>
    <x:row r="118" ht="14.5">
      <x:c r="A118" s="1"/>
      <x:c r="B118" s="1"/>
      <x:c r="C118" s="1"/>
      <x:c r="D118" s="1"/>
      <x:c r="E118" s="1"/>
      <x:c r="F118" s="1"/>
      <x:c r="G118" s="1"/>
      <x:c r="H118" s="1"/>
      <x:c r="I118" s="1"/>
      <x:c r="J118" s="1"/>
      <x:c r="K118" s="1"/>
    </x:row>
    <x:row r="119" ht="14.5">
      <x:c r="A119" s="1"/>
      <x:c r="B119" s="1"/>
      <x:c r="C119" s="1"/>
      <x:c r="D119" s="1"/>
      <x:c r="E119" s="1"/>
      <x:c r="F119" s="1"/>
      <x:c r="G119" s="1"/>
      <x:c r="H119" s="1"/>
      <x:c r="I119" s="1"/>
      <x:c r="J119" s="1"/>
      <x:c r="K119" s="1"/>
    </x:row>
    <x:row r="120" ht="14.5">
      <x:c r="A120" s="1"/>
      <x:c r="B120" s="1"/>
      <x:c r="C120" s="1"/>
      <x:c r="D120" s="1"/>
      <x:c r="E120" s="1"/>
      <x:c r="F120" s="1"/>
      <x:c r="G120" s="1"/>
      <x:c r="H120" s="1"/>
      <x:c r="I120" s="1"/>
      <x:c r="J120" s="1"/>
      <x:c r="K120" s="1"/>
    </x:row>
    <x:row r="121" ht="14.5">
      <x:c r="A121" s="1"/>
      <x:c r="B121" s="1"/>
      <x:c r="C121" s="1"/>
      <x:c r="D121" s="1"/>
      <x:c r="E121" s="1"/>
      <x:c r="F121" s="1"/>
      <x:c r="G121" s="1"/>
      <x:c r="H121" s="1"/>
      <x:c r="I121" s="1"/>
      <x:c r="J121" s="1"/>
      <x:c r="K121" s="1"/>
    </x:row>
    <x:row r="122" ht="14.5">
      <x:c r="A122" s="1"/>
      <x:c r="B122" s="1"/>
      <x:c r="C122" s="1"/>
      <x:c r="D122" s="1"/>
      <x:c r="E122" s="1"/>
      <x:c r="F122" s="1"/>
      <x:c r="G122" s="1"/>
      <x:c r="H122" s="1"/>
      <x:c r="I122" s="1"/>
      <x:c r="J122" s="1"/>
      <x:c r="K122" s="1"/>
    </x:row>
    <x:row r="123" ht="14.5">
      <x:c r="A123" s="1"/>
      <x:c r="B123" s="1"/>
      <x:c r="C123" s="1"/>
      <x:c r="D123" s="1"/>
      <x:c r="E123" s="1"/>
      <x:c r="F123" s="1"/>
      <x:c r="G123" s="1"/>
      <x:c r="H123" s="1"/>
      <x:c r="I123" s="1"/>
      <x:c r="J123" s="1"/>
      <x:c r="K123" s="1"/>
    </x:row>
    <x:row r="124" ht="14.5">
      <x:c r="A124" s="1"/>
      <x:c r="B124" s="1"/>
      <x:c r="C124" s="1"/>
      <x:c r="D124" s="1"/>
      <x:c r="E124" s="1"/>
      <x:c r="F124" s="1"/>
      <x:c r="G124" s="1"/>
      <x:c r="H124" s="1"/>
      <x:c r="I124" s="1"/>
      <x:c r="J124" s="1"/>
      <x:c r="K124" s="1"/>
    </x:row>
    <x:row r="125" ht="14.5">
      <x:c r="A125" s="1"/>
      <x:c r="B125" s="1"/>
      <x:c r="C125" s="1"/>
      <x:c r="D125" s="1"/>
      <x:c r="E125" s="1"/>
      <x:c r="F125" s="1"/>
      <x:c r="G125" s="1"/>
      <x:c r="H125" s="1"/>
      <x:c r="I125" s="1"/>
      <x:c r="J125" s="1"/>
      <x:c r="K125" s="1"/>
    </x:row>
    <x:row r="126" ht="14.5">
      <x:c r="A126" s="1"/>
      <x:c r="B126" s="1"/>
      <x:c r="C126" s="1"/>
      <x:c r="D126" s="1"/>
      <x:c r="E126" s="1"/>
      <x:c r="F126" s="1"/>
      <x:c r="G126" s="1"/>
      <x:c r="H126" s="1"/>
      <x:c r="I126" s="1"/>
      <x:c r="J126" s="1"/>
      <x:c r="K126" s="1"/>
    </x:row>
    <x:row r="127" ht="14.5">
      <x:c r="A127" s="1"/>
      <x:c r="B127" s="1"/>
      <x:c r="C127" s="1"/>
      <x:c r="D127" s="1"/>
      <x:c r="E127" s="1"/>
      <x:c r="F127" s="1"/>
      <x:c r="G127" s="1"/>
      <x:c r="H127" s="1"/>
      <x:c r="I127" s="1"/>
      <x:c r="J127" s="1"/>
      <x:c r="K127" s="1"/>
    </x:row>
    <x:row r="128" ht="14.5">
      <x:c r="A128" s="1"/>
      <x:c r="B128" s="1"/>
      <x:c r="C128" s="1"/>
      <x:c r="D128" s="1"/>
      <x:c r="E128" s="1"/>
      <x:c r="F128" s="1"/>
      <x:c r="G128" s="1"/>
      <x:c r="H128" s="1"/>
      <x:c r="I128" s="1"/>
      <x:c r="J128" s="1"/>
      <x:c r="K128" s="1"/>
    </x:row>
    <x:row r="129" ht="14.5">
      <x:c r="A129" s="1"/>
      <x:c r="B129" s="1"/>
      <x:c r="C129" s="1"/>
      <x:c r="D129" s="1"/>
      <x:c r="E129" s="1"/>
      <x:c r="F129" s="1"/>
      <x:c r="G129" s="1"/>
      <x:c r="H129" s="1"/>
      <x:c r="I129" s="1"/>
      <x:c r="J129" s="1"/>
      <x:c r="K129" s="1"/>
    </x:row>
    <x:row r="130" ht="14.5">
      <x:c r="A130" s="1"/>
      <x:c r="B130" s="1"/>
      <x:c r="C130" s="1"/>
      <x:c r="D130" s="1"/>
      <x:c r="E130" s="1"/>
      <x:c r="F130" s="1"/>
      <x:c r="G130" s="1"/>
      <x:c r="H130" s="1"/>
      <x:c r="I130" s="1"/>
      <x:c r="J130" s="1"/>
      <x:c r="K130" s="1"/>
    </x:row>
    <x:row r="131" ht="14.5">
      <x:c r="A131" s="1"/>
      <x:c r="B131" s="1"/>
      <x:c r="C131" s="1"/>
      <x:c r="D131" s="1"/>
      <x:c r="E131" s="1"/>
      <x:c r="F131" s="1"/>
      <x:c r="G131" s="1"/>
      <x:c r="H131" s="1"/>
      <x:c r="I131" s="1"/>
      <x:c r="J131" s="1"/>
      <x:c r="K131" s="1"/>
    </x:row>
    <x:row r="132" ht="14.5">
      <x:c r="A132" s="1"/>
      <x:c r="B132" s="1"/>
      <x:c r="C132" s="1"/>
      <x:c r="D132" s="1"/>
      <x:c r="E132" s="1"/>
      <x:c r="F132" s="1"/>
      <x:c r="G132" s="1"/>
      <x:c r="H132" s="1"/>
      <x:c r="I132" s="1"/>
      <x:c r="J132" s="1"/>
      <x:c r="K132" s="1"/>
    </x:row>
    <x:row r="133" ht="14.5">
      <x:c r="A133" s="1"/>
      <x:c r="B133" s="1"/>
      <x:c r="C133" s="1"/>
      <x:c r="D133" s="1"/>
      <x:c r="E133" s="1"/>
      <x:c r="F133" s="1"/>
      <x:c r="G133" s="1"/>
      <x:c r="H133" s="1"/>
      <x:c r="I133" s="1"/>
      <x:c r="J133" s="1"/>
      <x:c r="K133" s="1"/>
    </x:row>
    <x:row r="134" ht="14.5">
      <x:c r="A134" s="1"/>
      <x:c r="B134" s="1"/>
      <x:c r="C134" s="1"/>
      <x:c r="D134" s="1"/>
      <x:c r="E134" s="1"/>
      <x:c r="F134" s="1"/>
      <x:c r="G134" s="1"/>
      <x:c r="H134" s="1"/>
      <x:c r="I134" s="1"/>
      <x:c r="J134" s="1"/>
      <x:c r="K134" s="1"/>
    </x:row>
    <x:row r="135" ht="14.5">
      <x:c r="A135" s="1"/>
      <x:c r="B135" s="1"/>
      <x:c r="C135" s="1"/>
      <x:c r="D135" s="1"/>
      <x:c r="E135" s="1"/>
      <x:c r="F135" s="1"/>
      <x:c r="G135" s="1"/>
      <x:c r="H135" s="1"/>
      <x:c r="I135" s="1"/>
      <x:c r="J135" s="1"/>
      <x:c r="K135" s="1"/>
    </x:row>
    <x:row r="136" ht="14.5">
      <x:c r="A136" s="1"/>
      <x:c r="B136" s="1"/>
      <x:c r="C136" s="1"/>
      <x:c r="D136" s="1"/>
      <x:c r="E136" s="1"/>
      <x:c r="F136" s="1"/>
      <x:c r="G136" s="1"/>
      <x:c r="H136" s="1"/>
      <x:c r="I136" s="1"/>
      <x:c r="J136" s="1"/>
      <x:c r="K136" s="1"/>
    </x:row>
    <x:row r="137" ht="14.5">
      <x:c r="A137" s="1"/>
      <x:c r="B137" s="1"/>
      <x:c r="C137" s="1"/>
      <x:c r="D137" s="1"/>
      <x:c r="E137" s="1"/>
      <x:c r="F137" s="1"/>
      <x:c r="G137" s="1"/>
      <x:c r="H137" s="1"/>
      <x:c r="I137" s="1"/>
      <x:c r="J137" s="1"/>
      <x:c r="K137" s="1"/>
    </x:row>
    <x:row r="138" ht="14.5">
      <x:c r="A138" s="1"/>
      <x:c r="B138" s="1"/>
      <x:c r="C138" s="1"/>
      <x:c r="D138" s="1"/>
      <x:c r="E138" s="1"/>
      <x:c r="F138" s="1"/>
      <x:c r="G138" s="1"/>
      <x:c r="H138" s="1"/>
      <x:c r="I138" s="1"/>
      <x:c r="J138" s="1"/>
      <x:c r="K138" s="1"/>
    </x:row>
    <x:row r="139" ht="14.5">
      <x:c r="A139" s="1"/>
      <x:c r="B139" s="1"/>
      <x:c r="C139" s="1"/>
      <x:c r="D139" s="1"/>
      <x:c r="E139" s="1"/>
      <x:c r="F139" s="1"/>
      <x:c r="G139" s="1"/>
      <x:c r="H139" s="1"/>
      <x:c r="I139" s="1"/>
      <x:c r="J139" s="1"/>
      <x:c r="K139" s="1"/>
    </x:row>
    <x:row r="140" ht="14.5">
      <x:c r="A140" s="1"/>
      <x:c r="B140" s="1"/>
      <x:c r="C140" s="1"/>
      <x:c r="D140" s="1"/>
      <x:c r="E140" s="1"/>
      <x:c r="F140" s="1"/>
      <x:c r="G140" s="1"/>
      <x:c r="H140" s="1"/>
      <x:c r="I140" s="1"/>
      <x:c r="J140" s="1"/>
      <x:c r="K140" s="1"/>
    </x:row>
    <x:row r="141" ht="14.5">
      <x:c r="A141" s="1"/>
      <x:c r="B141" s="1"/>
      <x:c r="C141" s="1"/>
      <x:c r="D141" s="1"/>
      <x:c r="E141" s="1"/>
      <x:c r="F141" s="1"/>
      <x:c r="G141" s="1"/>
      <x:c r="H141" s="1"/>
      <x:c r="I141" s="1"/>
      <x:c r="J141" s="1"/>
      <x:c r="K141" s="1"/>
    </x:row>
    <x:row r="142" ht="14.5">
      <x:c r="A142" s="1"/>
      <x:c r="B142" s="1"/>
      <x:c r="C142" s="1"/>
      <x:c r="D142" s="1"/>
      <x:c r="E142" s="1"/>
      <x:c r="F142" s="1"/>
      <x:c r="G142" s="1"/>
      <x:c r="H142" s="1"/>
      <x:c r="I142" s="1"/>
      <x:c r="J142" s="1"/>
      <x:c r="K142" s="1"/>
    </x:row>
    <x:row r="143" ht="14.5">
      <x:c r="A143" s="1"/>
      <x:c r="B143" s="1"/>
      <x:c r="C143" s="1"/>
      <x:c r="D143" s="1"/>
      <x:c r="E143" s="1"/>
      <x:c r="F143" s="1"/>
      <x:c r="G143" s="1"/>
      <x:c r="H143" s="1"/>
      <x:c r="I143" s="1"/>
      <x:c r="J143" s="1"/>
      <x:c r="K143" s="1"/>
    </x:row>
    <x:row r="144" ht="14.5">
      <x:c r="A144" s="1"/>
      <x:c r="B144" s="1"/>
      <x:c r="C144" s="1"/>
      <x:c r="D144" s="1"/>
      <x:c r="E144" s="1"/>
      <x:c r="F144" s="1"/>
      <x:c r="G144" s="1"/>
      <x:c r="H144" s="1"/>
      <x:c r="I144" s="1"/>
      <x:c r="J144" s="1"/>
      <x:c r="K144" s="1"/>
    </x:row>
    <x:row r="145" ht="14.5">
      <x:c r="A145" s="1"/>
      <x:c r="B145" s="1"/>
      <x:c r="C145" s="1"/>
      <x:c r="D145" s="1"/>
      <x:c r="E145" s="1"/>
      <x:c r="F145" s="1"/>
      <x:c r="G145" s="1"/>
      <x:c r="H145" s="1"/>
      <x:c r="I145" s="1"/>
      <x:c r="J145" s="1"/>
      <x:c r="K145" s="1"/>
    </x:row>
    <x:row r="146" ht="14.5">
      <x:c r="A146" s="1"/>
      <x:c r="B146" s="1"/>
      <x:c r="C146" s="1"/>
      <x:c r="D146" s="1"/>
      <x:c r="E146" s="1"/>
      <x:c r="F146" s="1"/>
      <x:c r="G146" s="1"/>
      <x:c r="H146" s="1"/>
      <x:c r="I146" s="1"/>
      <x:c r="J146" s="1"/>
      <x:c r="K146" s="1"/>
    </x:row>
    <x:row r="147" ht="14.5">
      <x:c r="A147" s="1"/>
      <x:c r="B147" s="1"/>
      <x:c r="C147" s="1"/>
      <x:c r="D147" s="1"/>
      <x:c r="E147" s="1"/>
      <x:c r="F147" s="1"/>
      <x:c r="G147" s="1"/>
      <x:c r="H147" s="1"/>
      <x:c r="I147" s="1"/>
      <x:c r="J147" s="1"/>
      <x:c r="K147" s="1"/>
    </x:row>
    <x:row r="148" ht="14.5">
      <x:c r="A148" s="1"/>
      <x:c r="B148" s="1"/>
      <x:c r="C148" s="1"/>
      <x:c r="D148" s="1"/>
      <x:c r="E148" s="1"/>
      <x:c r="F148" s="1"/>
      <x:c r="G148" s="1"/>
      <x:c r="H148" s="1"/>
      <x:c r="I148" s="1"/>
      <x:c r="J148" s="1"/>
      <x:c r="K148" s="1"/>
    </x:row>
    <x:row r="149" ht="14.5">
      <x:c r="A149" s="1"/>
      <x:c r="B149" s="1"/>
      <x:c r="C149" s="1"/>
      <x:c r="D149" s="1"/>
      <x:c r="E149" s="1"/>
      <x:c r="F149" s="1"/>
      <x:c r="G149" s="1"/>
      <x:c r="H149" s="1"/>
      <x:c r="I149" s="1"/>
      <x:c r="J149" s="1"/>
      <x:c r="K149" s="1"/>
    </x:row>
    <x:row r="150" ht="14.5">
      <x:c r="A150" s="1"/>
      <x:c r="B150" s="1"/>
      <x:c r="C150" s="1"/>
      <x:c r="D150" s="1"/>
      <x:c r="E150" s="1"/>
      <x:c r="F150" s="1"/>
      <x:c r="G150" s="1"/>
      <x:c r="H150" s="1"/>
      <x:c r="I150" s="1"/>
      <x:c r="J150" s="1"/>
      <x:c r="K150" s="1"/>
    </x:row>
    <x:row r="151" ht="14.5">
      <x:c r="A151" s="1"/>
      <x:c r="B151" s="1"/>
      <x:c r="C151" s="1"/>
      <x:c r="D151" s="1"/>
      <x:c r="E151" s="1"/>
      <x:c r="F151" s="1"/>
      <x:c r="G151" s="1"/>
      <x:c r="H151" s="1"/>
      <x:c r="I151" s="1"/>
      <x:c r="J151" s="1"/>
      <x:c r="K151" s="1"/>
    </x:row>
    <x:row r="152" ht="14.5">
      <x:c r="A152" s="1"/>
      <x:c r="B152" s="1"/>
      <x:c r="C152" s="1"/>
      <x:c r="D152" s="1"/>
      <x:c r="E152" s="1"/>
      <x:c r="F152" s="1"/>
      <x:c r="G152" s="1"/>
      <x:c r="H152" s="1"/>
      <x:c r="I152" s="1"/>
      <x:c r="J152" s="1"/>
      <x:c r="K152" s="1"/>
    </x:row>
    <x:row r="153" ht="14.5">
      <x:c r="A153" s="1"/>
      <x:c r="B153" s="1"/>
      <x:c r="C153" s="1"/>
      <x:c r="D153" s="1"/>
      <x:c r="E153" s="1"/>
      <x:c r="F153" s="1"/>
      <x:c r="G153" s="1"/>
      <x:c r="H153" s="1"/>
      <x:c r="I153" s="1"/>
      <x:c r="J153" s="1"/>
      <x:c r="K153" s="1"/>
    </x:row>
    <x:row r="154" ht="14.5">
      <x:c r="A154" s="1"/>
      <x:c r="B154" s="1"/>
      <x:c r="C154" s="1"/>
      <x:c r="D154" s="1"/>
      <x:c r="E154" s="1"/>
      <x:c r="F154" s="1"/>
      <x:c r="G154" s="1"/>
      <x:c r="H154" s="1"/>
      <x:c r="I154" s="1"/>
      <x:c r="J154" s="1"/>
      <x:c r="K154" s="1"/>
    </x:row>
    <x:row r="155" ht="14.5">
      <x:c r="A155" s="1"/>
      <x:c r="B155" s="1"/>
      <x:c r="C155" s="1"/>
      <x:c r="D155" s="1"/>
      <x:c r="E155" s="1"/>
      <x:c r="F155" s="1"/>
      <x:c r="G155" s="1"/>
      <x:c r="H155" s="1"/>
      <x:c r="I155" s="1"/>
      <x:c r="J155" s="1"/>
      <x:c r="K155" s="1"/>
    </x:row>
    <x:row r="156" ht="14.5">
      <x:c r="A156" s="1"/>
      <x:c r="B156" s="1"/>
      <x:c r="C156" s="1"/>
      <x:c r="D156" s="1"/>
      <x:c r="E156" s="1"/>
      <x:c r="F156" s="1"/>
      <x:c r="G156" s="1"/>
      <x:c r="H156" s="1"/>
      <x:c r="I156" s="1"/>
      <x:c r="J156" s="1"/>
      <x:c r="K156" s="1"/>
    </x:row>
    <x:row r="157" ht="14.5">
      <x:c r="A157" s="1"/>
      <x:c r="B157" s="1"/>
      <x:c r="C157" s="1"/>
      <x:c r="D157" s="1"/>
      <x:c r="E157" s="1"/>
      <x:c r="F157" s="1"/>
      <x:c r="G157" s="1"/>
      <x:c r="H157" s="1"/>
      <x:c r="I157" s="1"/>
      <x:c r="J157" s="1"/>
      <x:c r="K157" s="1"/>
    </x:row>
    <x:row r="158" ht="14.5">
      <x:c r="A158" s="1"/>
      <x:c r="B158" s="1"/>
      <x:c r="C158" s="1"/>
      <x:c r="D158" s="1"/>
      <x:c r="E158" s="1"/>
      <x:c r="F158" s="1"/>
      <x:c r="G158" s="1"/>
      <x:c r="H158" s="1"/>
      <x:c r="I158" s="1"/>
      <x:c r="J158" s="1"/>
      <x:c r="K158" s="1"/>
    </x:row>
    <x:row r="159" ht="14.5">
      <x:c r="A159" s="1"/>
      <x:c r="B159" s="1"/>
      <x:c r="C159" s="1"/>
      <x:c r="D159" s="1"/>
      <x:c r="E159" s="1"/>
      <x:c r="F159" s="1"/>
      <x:c r="G159" s="1"/>
      <x:c r="H159" s="1"/>
      <x:c r="I159" s="1"/>
      <x:c r="J159" s="1"/>
      <x:c r="K159" s="1"/>
    </x:row>
    <x:row r="160" ht="14.5">
      <x:c r="A160" s="1"/>
      <x:c r="B160" s="1"/>
      <x:c r="C160" s="1"/>
      <x:c r="D160" s="1"/>
      <x:c r="E160" s="1"/>
      <x:c r="F160" s="1"/>
      <x:c r="G160" s="1"/>
      <x:c r="H160" s="1"/>
      <x:c r="I160" s="1"/>
      <x:c r="J160" s="1"/>
      <x:c r="K160" s="1"/>
    </x:row>
    <x:row r="161" ht="14.5">
      <x:c r="A161" s="1"/>
      <x:c r="B161" s="1"/>
      <x:c r="C161" s="1"/>
      <x:c r="D161" s="1"/>
      <x:c r="E161" s="1"/>
      <x:c r="F161" s="1"/>
      <x:c r="G161" s="1"/>
      <x:c r="H161" s="1"/>
      <x:c r="I161" s="1"/>
      <x:c r="J161" s="1"/>
      <x:c r="K161" s="1"/>
    </x:row>
    <x:row r="162" ht="14.5">
      <x:c r="A162" s="1"/>
      <x:c r="B162" s="1"/>
      <x:c r="C162" s="1"/>
      <x:c r="D162" s="1"/>
      <x:c r="E162" s="1"/>
      <x:c r="F162" s="1"/>
      <x:c r="G162" s="1"/>
      <x:c r="H162" s="1"/>
      <x:c r="I162" s="1"/>
      <x:c r="J162" s="1"/>
      <x:c r="K162" s="1"/>
    </x:row>
    <x:row r="163" ht="14.5">
      <x:c r="A163" s="1"/>
      <x:c r="B163" s="1"/>
      <x:c r="C163" s="1"/>
      <x:c r="D163" s="1"/>
      <x:c r="E163" s="1"/>
      <x:c r="F163" s="1"/>
      <x:c r="G163" s="1"/>
      <x:c r="H163" s="1"/>
      <x:c r="I163" s="1"/>
      <x:c r="J163" s="1"/>
      <x:c r="K163" s="1"/>
    </x:row>
    <x:row r="164" ht="14.5">
      <x:c r="A164" s="1"/>
      <x:c r="B164" s="1"/>
      <x:c r="C164" s="1"/>
      <x:c r="D164" s="1"/>
      <x:c r="E164" s="1"/>
      <x:c r="F164" s="1"/>
      <x:c r="G164" s="1"/>
      <x:c r="H164" s="1"/>
      <x:c r="I164" s="1"/>
      <x:c r="J164" s="1"/>
      <x:c r="K164" s="1"/>
    </x:row>
    <x:row r="165" ht="14.5">
      <x:c r="A165" s="1"/>
      <x:c r="B165" s="1"/>
      <x:c r="C165" s="1"/>
      <x:c r="D165" s="1"/>
      <x:c r="E165" s="1"/>
      <x:c r="F165" s="1"/>
      <x:c r="G165" s="1"/>
      <x:c r="H165" s="1"/>
      <x:c r="I165" s="1"/>
      <x:c r="J165" s="1"/>
      <x:c r="K165" s="1"/>
    </x:row>
    <x:row r="166" ht="14.5">
      <x:c r="A166" s="1"/>
      <x:c r="B166" s="1"/>
      <x:c r="C166" s="1"/>
      <x:c r="D166" s="1"/>
      <x:c r="E166" s="1"/>
      <x:c r="F166" s="1"/>
      <x:c r="G166" s="1"/>
      <x:c r="H166" s="1"/>
      <x:c r="I166" s="1"/>
      <x:c r="J166" s="1"/>
      <x:c r="K166" s="1"/>
    </x:row>
    <x:row r="167" ht="14.5">
      <x:c r="A167" s="1"/>
      <x:c r="B167" s="1"/>
      <x:c r="C167" s="1"/>
      <x:c r="D167" s="1"/>
      <x:c r="E167" s="1"/>
      <x:c r="F167" s="1"/>
      <x:c r="G167" s="1"/>
      <x:c r="H167" s="1"/>
      <x:c r="I167" s="1"/>
      <x:c r="J167" s="1"/>
      <x:c r="K167" s="1"/>
    </x:row>
    <x:row r="168" ht="14.5">
      <x:c r="A168" s="1"/>
      <x:c r="B168" s="1"/>
      <x:c r="C168" s="1"/>
      <x:c r="D168" s="1"/>
      <x:c r="E168" s="1"/>
      <x:c r="F168" s="1"/>
      <x:c r="G168" s="1"/>
      <x:c r="H168" s="1"/>
      <x:c r="I168" s="1"/>
      <x:c r="J168" s="1"/>
      <x:c r="K168" s="1"/>
    </x:row>
    <x:row r="169" ht="14.5">
      <x:c r="A169" s="1"/>
      <x:c r="B169" s="1"/>
      <x:c r="C169" s="1"/>
      <x:c r="D169" s="1"/>
      <x:c r="E169" s="1"/>
      <x:c r="F169" s="1"/>
      <x:c r="G169" s="1"/>
      <x:c r="H169" s="1"/>
      <x:c r="I169" s="1"/>
      <x:c r="J169" s="1"/>
      <x:c r="K169" s="1"/>
    </x:row>
    <x:row r="170" ht="14.5">
      <x:c r="A170" s="1"/>
      <x:c r="B170" s="1"/>
      <x:c r="C170" s="1"/>
      <x:c r="D170" s="1"/>
      <x:c r="E170" s="1"/>
      <x:c r="F170" s="1"/>
      <x:c r="G170" s="1"/>
      <x:c r="H170" s="1"/>
      <x:c r="I170" s="1"/>
      <x:c r="J170" s="1"/>
      <x:c r="K170" s="1"/>
    </x:row>
    <x:row r="171" ht="14.5">
      <x:c r="A171" s="1"/>
      <x:c r="B171" s="1"/>
      <x:c r="C171" s="1"/>
      <x:c r="D171" s="1"/>
      <x:c r="E171" s="1"/>
      <x:c r="F171" s="1"/>
      <x:c r="G171" s="1"/>
      <x:c r="H171" s="1"/>
      <x:c r="I171" s="1"/>
      <x:c r="J171" s="1"/>
      <x:c r="K171" s="1"/>
    </x:row>
    <x:row r="172" ht="14.5">
      <x:c r="A172" s="1"/>
      <x:c r="B172" s="1"/>
      <x:c r="C172" s="1"/>
      <x:c r="D172" s="1"/>
      <x:c r="E172" s="1"/>
      <x:c r="F172" s="1"/>
      <x:c r="G172" s="1"/>
      <x:c r="H172" s="1"/>
      <x:c r="I172" s="1"/>
      <x:c r="J172" s="1"/>
      <x:c r="K172" s="1"/>
    </x:row>
    <x:row r="173" ht="14.5">
      <x:c r="A173" s="1"/>
      <x:c r="B173" s="1"/>
      <x:c r="C173" s="1"/>
      <x:c r="D173" s="1"/>
      <x:c r="E173" s="1"/>
      <x:c r="F173" s="1"/>
      <x:c r="G173" s="1"/>
      <x:c r="H173" s="1"/>
      <x:c r="I173" s="1"/>
      <x:c r="J173" s="1"/>
      <x:c r="K173" s="1"/>
    </x:row>
    <x:row r="174" ht="14.5">
      <x:c r="A174" s="1"/>
      <x:c r="B174" s="1"/>
      <x:c r="C174" s="1"/>
      <x:c r="D174" s="1"/>
      <x:c r="E174" s="1"/>
      <x:c r="F174" s="1"/>
      <x:c r="G174" s="1"/>
      <x:c r="H174" s="1"/>
      <x:c r="I174" s="1"/>
      <x:c r="J174" s="1"/>
      <x:c r="K174" s="1"/>
    </x:row>
    <x:row r="175" ht="14.5">
      <x:c r="A175" s="1"/>
      <x:c r="B175" s="1"/>
      <x:c r="C175" s="1"/>
      <x:c r="D175" s="1"/>
      <x:c r="E175" s="1"/>
      <x:c r="F175" s="1"/>
      <x:c r="G175" s="1"/>
      <x:c r="H175" s="1"/>
      <x:c r="I175" s="1"/>
      <x:c r="J175" s="1"/>
      <x:c r="K175" s="1"/>
    </x:row>
    <x:row r="176" ht="14.5">
      <x:c r="A176" s="1"/>
      <x:c r="B176" s="1"/>
      <x:c r="C176" s="1"/>
      <x:c r="D176" s="1"/>
      <x:c r="E176" s="1"/>
      <x:c r="F176" s="1"/>
      <x:c r="G176" s="1"/>
      <x:c r="H176" s="1"/>
      <x:c r="I176" s="1"/>
      <x:c r="J176" s="1"/>
      <x:c r="K176" s="1"/>
    </x:row>
    <x:row r="177" ht="14.5">
      <x:c r="A177" s="1"/>
      <x:c r="B177" s="1"/>
      <x:c r="C177" s="1"/>
      <x:c r="D177" s="1"/>
      <x:c r="E177" s="1"/>
      <x:c r="F177" s="1"/>
      <x:c r="G177" s="1"/>
      <x:c r="H177" s="1"/>
      <x:c r="I177" s="1"/>
      <x:c r="J177" s="1"/>
      <x:c r="K177" s="1"/>
    </x:row>
    <x:row r="178" ht="14.5">
      <x:c r="A178" s="1"/>
      <x:c r="B178" s="1"/>
      <x:c r="C178" s="1"/>
      <x:c r="D178" s="1"/>
      <x:c r="E178" s="1"/>
      <x:c r="F178" s="1"/>
      <x:c r="G178" s="1"/>
      <x:c r="H178" s="1"/>
      <x:c r="I178" s="1"/>
      <x:c r="J178" s="1"/>
      <x:c r="K178" s="1"/>
    </x:row>
    <x:row r="179" ht="14.5">
      <x:c r="A179" s="1"/>
      <x:c r="B179" s="1"/>
      <x:c r="C179" s="1"/>
      <x:c r="D179" s="1"/>
      <x:c r="E179" s="1"/>
      <x:c r="F179" s="1"/>
      <x:c r="G179" s="1"/>
      <x:c r="H179" s="1"/>
      <x:c r="I179" s="1"/>
      <x:c r="J179" s="1"/>
      <x:c r="K179" s="1"/>
    </x:row>
    <x:row r="180" ht="14.5">
      <x:c r="A180" s="1"/>
      <x:c r="B180" s="1"/>
      <x:c r="C180" s="1"/>
      <x:c r="D180" s="1"/>
      <x:c r="E180" s="1"/>
      <x:c r="F180" s="1"/>
      <x:c r="G180" s="1"/>
      <x:c r="H180" s="1"/>
      <x:c r="I180" s="1"/>
      <x:c r="J180" s="1"/>
      <x:c r="K180" s="1"/>
    </x:row>
    <x:row r="181" ht="14.5">
      <x:c r="A181" s="1"/>
      <x:c r="B181" s="1"/>
      <x:c r="C181" s="1"/>
      <x:c r="D181" s="1"/>
      <x:c r="E181" s="1"/>
      <x:c r="F181" s="1"/>
      <x:c r="G181" s="1"/>
      <x:c r="H181" s="1"/>
      <x:c r="I181" s="1"/>
      <x:c r="J181" s="1"/>
      <x:c r="K181" s="1"/>
    </x:row>
    <x:row r="182" ht="14.5">
      <x:c r="A182" s="1"/>
      <x:c r="B182" s="1"/>
      <x:c r="C182" s="1"/>
      <x:c r="D182" s="1"/>
      <x:c r="E182" s="1"/>
      <x:c r="F182" s="1"/>
      <x:c r="G182" s="1"/>
      <x:c r="H182" s="1"/>
      <x:c r="I182" s="1"/>
      <x:c r="J182" s="1"/>
      <x:c r="K182" s="1"/>
    </x:row>
    <x:row r="183" ht="14.5">
      <x:c r="A183" s="1"/>
      <x:c r="B183" s="1"/>
      <x:c r="C183" s="1"/>
      <x:c r="D183" s="1"/>
      <x:c r="E183" s="1"/>
      <x:c r="F183" s="1"/>
      <x:c r="G183" s="1"/>
      <x:c r="H183" s="1"/>
      <x:c r="I183" s="1"/>
      <x:c r="J183" s="1"/>
      <x:c r="K183" s="1"/>
    </x:row>
    <x:row r="184" ht="14.5">
      <x:c r="A184" s="1"/>
      <x:c r="B184" s="1"/>
      <x:c r="C184" s="1"/>
      <x:c r="D184" s="1"/>
      <x:c r="E184" s="1"/>
      <x:c r="F184" s="1"/>
      <x:c r="G184" s="1"/>
      <x:c r="H184" s="1"/>
      <x:c r="I184" s="1"/>
      <x:c r="J184" s="1"/>
      <x:c r="K184" s="1"/>
    </x:row>
    <x:row r="185" ht="14.5">
      <x:c r="A185" s="1"/>
      <x:c r="B185" s="1"/>
      <x:c r="C185" s="1"/>
      <x:c r="D185" s="1"/>
      <x:c r="E185" s="1"/>
      <x:c r="F185" s="1"/>
      <x:c r="G185" s="1"/>
      <x:c r="H185" s="1"/>
      <x:c r="I185" s="1"/>
      <x:c r="J185" s="1"/>
      <x:c r="K185" s="1"/>
    </x:row>
    <x:row r="186" ht="14.5">
      <x:c r="A186" s="1"/>
      <x:c r="B186" s="1"/>
      <x:c r="C186" s="1"/>
      <x:c r="D186" s="1"/>
      <x:c r="E186" s="1"/>
      <x:c r="F186" s="1"/>
      <x:c r="G186" s="1"/>
      <x:c r="H186" s="1"/>
      <x:c r="I186" s="1"/>
      <x:c r="J186" s="1"/>
      <x:c r="K186" s="1"/>
    </x:row>
    <x:row r="187" ht="14.5">
      <x:c r="A187" s="1"/>
      <x:c r="B187" s="1"/>
      <x:c r="C187" s="1"/>
      <x:c r="D187" s="1"/>
      <x:c r="E187" s="1"/>
      <x:c r="F187" s="1"/>
      <x:c r="G187" s="1"/>
      <x:c r="H187" s="1"/>
      <x:c r="I187" s="1"/>
      <x:c r="J187" s="1"/>
      <x:c r="K187" s="1"/>
    </x:row>
    <x:row r="188" ht="14.5">
      <x:c r="A188" s="1"/>
      <x:c r="B188" s="1"/>
      <x:c r="C188" s="1"/>
      <x:c r="D188" s="1"/>
      <x:c r="E188" s="1"/>
      <x:c r="F188" s="1"/>
      <x:c r="G188" s="1"/>
      <x:c r="H188" s="1"/>
      <x:c r="I188" s="1"/>
      <x:c r="J188" s="1"/>
      <x:c r="K188" s="1"/>
    </x:row>
    <x:row r="189" ht="14.5">
      <x:c r="A189" s="1"/>
      <x:c r="B189" s="1"/>
      <x:c r="C189" s="1"/>
      <x:c r="D189" s="1"/>
      <x:c r="E189" s="1"/>
      <x:c r="F189" s="1"/>
      <x:c r="G189" s="1"/>
      <x:c r="H189" s="1"/>
      <x:c r="I189" s="1"/>
      <x:c r="J189" s="1"/>
      <x:c r="K189" s="1"/>
    </x:row>
    <x:row r="190" ht="14.5">
      <x:c r="A190" s="1"/>
      <x:c r="B190" s="1"/>
      <x:c r="C190" s="1"/>
      <x:c r="D190" s="1"/>
      <x:c r="E190" s="1"/>
      <x:c r="F190" s="1"/>
      <x:c r="G190" s="1"/>
      <x:c r="H190" s="1"/>
      <x:c r="I190" s="1"/>
      <x:c r="J190" s="1"/>
      <x:c r="K190" s="1"/>
    </x:row>
    <x:row r="191" ht="14.5">
      <x:c r="A191" s="1"/>
      <x:c r="B191" s="1"/>
      <x:c r="C191" s="1"/>
      <x:c r="D191" s="1"/>
      <x:c r="E191" s="1"/>
      <x:c r="F191" s="1"/>
      <x:c r="G191" s="1"/>
      <x:c r="H191" s="1"/>
      <x:c r="I191" s="1"/>
      <x:c r="J191" s="1"/>
      <x:c r="K191" s="1"/>
    </x:row>
    <x:row r="192" ht="14.5">
      <x:c r="A192" s="1"/>
      <x:c r="B192" s="1"/>
      <x:c r="C192" s="1"/>
      <x:c r="D192" s="1"/>
      <x:c r="E192" s="1"/>
      <x:c r="F192" s="1"/>
      <x:c r="G192" s="1"/>
      <x:c r="H192" s="1"/>
      <x:c r="I192" s="1"/>
      <x:c r="J192" s="1"/>
      <x:c r="K192" s="1"/>
    </x:row>
    <x:row r="193" ht="14.5">
      <x:c r="A193" s="1"/>
      <x:c r="B193" s="1"/>
      <x:c r="C193" s="1"/>
      <x:c r="D193" s="1"/>
      <x:c r="E193" s="1"/>
      <x:c r="F193" s="1"/>
      <x:c r="G193" s="1"/>
      <x:c r="H193" s="1"/>
      <x:c r="I193" s="1"/>
      <x:c r="J193" s="1"/>
      <x:c r="K193" s="1"/>
    </x:row>
    <x:row r="194" ht="14.5">
      <x:c r="A194" s="1"/>
      <x:c r="B194" s="1"/>
      <x:c r="C194" s="1"/>
      <x:c r="D194" s="1"/>
      <x:c r="E194" s="1"/>
      <x:c r="F194" s="1"/>
      <x:c r="G194" s="1"/>
      <x:c r="H194" s="1"/>
      <x:c r="I194" s="1"/>
      <x:c r="J194" s="1"/>
      <x:c r="K194" s="1"/>
    </x:row>
    <x:row r="195" ht="14.5">
      <x:c r="A195" s="1"/>
      <x:c r="B195" s="1"/>
      <x:c r="C195" s="1"/>
      <x:c r="D195" s="1"/>
      <x:c r="E195" s="1"/>
      <x:c r="F195" s="1"/>
      <x:c r="G195" s="1"/>
      <x:c r="H195" s="1"/>
      <x:c r="I195" s="1"/>
      <x:c r="J195" s="1"/>
      <x:c r="K195" s="1"/>
    </x:row>
    <x:row r="196" ht="14.5">
      <x:c r="A196" s="1"/>
      <x:c r="B196" s="1"/>
      <x:c r="C196" s="1"/>
      <x:c r="D196" s="1"/>
      <x:c r="E196" s="1"/>
      <x:c r="F196" s="1"/>
      <x:c r="G196" s="1"/>
      <x:c r="H196" s="1"/>
      <x:c r="I196" s="1"/>
      <x:c r="J196" s="1"/>
      <x:c r="K196" s="1"/>
    </x:row>
    <x:row r="197" ht="14.5">
      <x:c r="A197" s="1"/>
      <x:c r="B197" s="1"/>
      <x:c r="C197" s="1"/>
      <x:c r="D197" s="1"/>
      <x:c r="E197" s="1"/>
      <x:c r="F197" s="1"/>
      <x:c r="G197" s="1"/>
      <x:c r="H197" s="1"/>
      <x:c r="I197" s="1"/>
      <x:c r="J197" s="1"/>
      <x:c r="K197" s="1"/>
    </x:row>
    <x:row r="198" ht="14.5">
      <x:c r="A198" s="1"/>
      <x:c r="B198" s="1"/>
      <x:c r="C198" s="1"/>
      <x:c r="D198" s="1"/>
      <x:c r="E198" s="1"/>
      <x:c r="F198" s="1"/>
      <x:c r="G198" s="1"/>
      <x:c r="H198" s="1"/>
      <x:c r="I198" s="1"/>
      <x:c r="J198" s="1"/>
      <x:c r="K198" s="1"/>
    </x:row>
    <x:row r="199" ht="14.5">
      <x:c r="A199" s="1"/>
      <x:c r="B199" s="1"/>
      <x:c r="C199" s="1"/>
      <x:c r="D199" s="1"/>
      <x:c r="E199" s="1"/>
      <x:c r="F199" s="1"/>
      <x:c r="G199" s="1"/>
      <x:c r="H199" s="1"/>
      <x:c r="I199" s="1"/>
      <x:c r="J199" s="1"/>
      <x:c r="K199" s="1"/>
    </x:row>
    <x:row r="200" ht="14.5">
      <x:c r="A200" s="1"/>
      <x:c r="B200" s="1"/>
      <x:c r="C200" s="1"/>
      <x:c r="D200" s="1"/>
      <x:c r="E200" s="1"/>
      <x:c r="F200" s="1"/>
      <x:c r="G200" s="1"/>
      <x:c r="H200" s="1"/>
      <x:c r="I200" s="1"/>
      <x:c r="J200" s="1"/>
      <x:c r="K200" s="1"/>
    </x:row>
    <x:row r="201" ht="14.5">
      <x:c r="A201" s="1"/>
      <x:c r="B201" s="1"/>
      <x:c r="C201" s="1"/>
      <x:c r="D201" s="1"/>
      <x:c r="E201" s="1"/>
      <x:c r="F201" s="1"/>
      <x:c r="G201" s="1"/>
      <x:c r="H201" s="1"/>
      <x:c r="I201" s="1"/>
      <x:c r="J201" s="1"/>
      <x:c r="K201" s="1"/>
    </x:row>
    <x:row r="202" ht="14.5">
      <x:c r="A202" s="1"/>
      <x:c r="B202" s="1"/>
      <x:c r="C202" s="1"/>
      <x:c r="D202" s="1"/>
      <x:c r="E202" s="1"/>
      <x:c r="F202" s="1"/>
      <x:c r="G202" s="1"/>
      <x:c r="H202" s="1"/>
      <x:c r="I202" s="1"/>
      <x:c r="J202" s="1"/>
      <x:c r="K202" s="1"/>
    </x:row>
    <x:row r="203" ht="14.5">
      <x:c r="A203" s="1"/>
      <x:c r="B203" s="1"/>
      <x:c r="C203" s="1"/>
      <x:c r="D203" s="1"/>
      <x:c r="E203" s="1"/>
      <x:c r="F203" s="1"/>
      <x:c r="G203" s="1"/>
      <x:c r="H203" s="1"/>
      <x:c r="I203" s="1"/>
      <x:c r="J203" s="1"/>
      <x:c r="K203" s="1"/>
    </x:row>
    <x:row r="204" ht="14.5">
      <x:c r="A204" s="1"/>
      <x:c r="B204" s="1"/>
      <x:c r="C204" s="1"/>
      <x:c r="D204" s="1"/>
      <x:c r="E204" s="1"/>
      <x:c r="F204" s="1"/>
      <x:c r="G204" s="1"/>
      <x:c r="H204" s="1"/>
      <x:c r="I204" s="1"/>
      <x:c r="J204" s="1"/>
      <x:c r="K204" s="1"/>
    </x:row>
    <x:row r="205" ht="14.5">
      <x:c r="A205" s="1"/>
      <x:c r="B205" s="1"/>
      <x:c r="C205" s="1"/>
      <x:c r="D205" s="1"/>
      <x:c r="E205" s="1"/>
      <x:c r="F205" s="1"/>
      <x:c r="G205" s="1"/>
      <x:c r="H205" s="1"/>
      <x:c r="I205" s="1"/>
      <x:c r="J205" s="1"/>
      <x:c r="K205" s="1"/>
    </x:row>
    <x:row r="206" ht="14.5">
      <x:c r="A206" s="1"/>
      <x:c r="B206" s="1"/>
      <x:c r="C206" s="1"/>
      <x:c r="D206" s="1"/>
      <x:c r="E206" s="1"/>
      <x:c r="F206" s="1"/>
      <x:c r="G206" s="1"/>
      <x:c r="H206" s="1"/>
      <x:c r="I206" s="1"/>
      <x:c r="J206" s="1"/>
      <x:c r="K206" s="1"/>
    </x:row>
    <x:row r="207" ht="14.5">
      <x:c r="A207" s="1"/>
      <x:c r="B207" s="1"/>
      <x:c r="C207" s="1"/>
      <x:c r="D207" s="1"/>
      <x:c r="E207" s="1"/>
      <x:c r="F207" s="1"/>
      <x:c r="G207" s="1"/>
      <x:c r="H207" s="1"/>
      <x:c r="I207" s="1"/>
      <x:c r="J207" s="1"/>
      <x:c r="K207" s="1"/>
    </x:row>
    <x:row r="208" ht="14.5">
      <x:c r="A208" s="1"/>
      <x:c r="B208" s="1"/>
      <x:c r="C208" s="1"/>
      <x:c r="D208" s="1"/>
      <x:c r="E208" s="1"/>
      <x:c r="F208" s="1"/>
      <x:c r="G208" s="1"/>
      <x:c r="H208" s="1"/>
      <x:c r="I208" s="1"/>
      <x:c r="J208" s="1"/>
      <x:c r="K208" s="1"/>
    </x:row>
    <x:row r="209" ht="14.5">
      <x:c r="A209" s="1"/>
      <x:c r="B209" s="1"/>
      <x:c r="C209" s="1"/>
      <x:c r="D209" s="1"/>
      <x:c r="E209" s="1"/>
      <x:c r="F209" s="1"/>
      <x:c r="G209" s="1"/>
      <x:c r="H209" s="1"/>
      <x:c r="I209" s="1"/>
      <x:c r="J209" s="1"/>
      <x:c r="K209" s="1"/>
    </x:row>
    <x:row r="210" ht="14.5">
      <x:c r="A210" s="1"/>
      <x:c r="B210" s="1"/>
      <x:c r="C210" s="1"/>
      <x:c r="D210" s="1"/>
      <x:c r="E210" s="1"/>
      <x:c r="F210" s="1"/>
      <x:c r="G210" s="1"/>
      <x:c r="H210" s="1"/>
      <x:c r="I210" s="1"/>
      <x:c r="J210" s="1"/>
      <x:c r="K210" s="1"/>
    </x:row>
    <x:row r="211" ht="14.5">
      <x:c r="A211" s="1"/>
      <x:c r="B211" s="1"/>
      <x:c r="C211" s="1"/>
      <x:c r="D211" s="1"/>
      <x:c r="E211" s="1"/>
      <x:c r="F211" s="1"/>
      <x:c r="G211" s="1"/>
      <x:c r="H211" s="1"/>
      <x:c r="I211" s="1"/>
      <x:c r="J211" s="1"/>
      <x:c r="K211" s="1"/>
    </x:row>
    <x:row r="212" ht="14.5">
      <x:c r="A212" s="1"/>
      <x:c r="B212" s="1"/>
      <x:c r="C212" s="1"/>
      <x:c r="D212" s="1"/>
      <x:c r="E212" s="1"/>
      <x:c r="F212" s="1"/>
      <x:c r="G212" s="1"/>
      <x:c r="H212" s="1"/>
      <x:c r="I212" s="1"/>
      <x:c r="J212" s="1"/>
      <x:c r="K212" s="1"/>
    </x:row>
    <x:row r="213" ht="14.5">
      <x:c r="A213" s="1"/>
      <x:c r="B213" s="1"/>
      <x:c r="C213" s="1"/>
      <x:c r="D213" s="1"/>
      <x:c r="E213" s="1"/>
      <x:c r="F213" s="1"/>
      <x:c r="G213" s="1"/>
      <x:c r="H213" s="1"/>
      <x:c r="I213" s="1"/>
      <x:c r="J213" s="1"/>
      <x:c r="K213" s="1"/>
    </x:row>
    <x:row r="214" ht="14.5">
      <x:c r="A214" s="1"/>
      <x:c r="B214" s="1"/>
      <x:c r="C214" s="1"/>
      <x:c r="D214" s="1"/>
      <x:c r="E214" s="1"/>
      <x:c r="F214" s="1"/>
      <x:c r="G214" s="1"/>
      <x:c r="H214" s="1"/>
      <x:c r="I214" s="1"/>
      <x:c r="J214" s="1"/>
      <x:c r="K214" s="1"/>
    </x:row>
    <x:row r="215" ht="14.5">
      <x:c r="A215" s="1"/>
      <x:c r="B215" s="1"/>
      <x:c r="C215" s="1"/>
      <x:c r="D215" s="1"/>
      <x:c r="E215" s="1"/>
      <x:c r="F215" s="1"/>
      <x:c r="G215" s="1"/>
      <x:c r="H215" s="1"/>
      <x:c r="I215" s="1"/>
      <x:c r="J215" s="1"/>
      <x:c r="K215" s="1"/>
    </x:row>
    <x:row r="216" ht="14.5">
      <x:c r="A216" s="1"/>
      <x:c r="B216" s="1"/>
      <x:c r="C216" s="1"/>
      <x:c r="D216" s="1"/>
      <x:c r="E216" s="1"/>
      <x:c r="F216" s="1"/>
      <x:c r="G216" s="1"/>
      <x:c r="H216" s="1"/>
      <x:c r="I216" s="1"/>
      <x:c r="J216" s="1"/>
      <x:c r="K216" s="1"/>
    </x:row>
    <x:row r="217" ht="14.5">
      <x:c r="A217" s="1"/>
      <x:c r="B217" s="1"/>
      <x:c r="C217" s="1"/>
      <x:c r="D217" s="1"/>
      <x:c r="E217" s="1"/>
      <x:c r="F217" s="1"/>
      <x:c r="G217" s="1"/>
      <x:c r="H217" s="1"/>
      <x:c r="I217" s="1"/>
      <x:c r="J217" s="1"/>
      <x:c r="K217" s="1"/>
    </x:row>
    <x:row r="218" ht="14.5">
      <x:c r="A218" s="1"/>
      <x:c r="B218" s="1"/>
      <x:c r="C218" s="1"/>
      <x:c r="D218" s="1"/>
      <x:c r="E218" s="1"/>
      <x:c r="F218" s="1"/>
      <x:c r="G218" s="1"/>
      <x:c r="H218" s="1"/>
      <x:c r="I218" s="1"/>
      <x:c r="J218" s="1"/>
      <x:c r="K218" s="1"/>
    </x:row>
    <x:row r="219" ht="14.5">
      <x:c r="A219" s="1"/>
      <x:c r="B219" s="1"/>
      <x:c r="C219" s="1"/>
      <x:c r="D219" s="1"/>
      <x:c r="E219" s="1"/>
      <x:c r="F219" s="1"/>
      <x:c r="G219" s="1"/>
      <x:c r="H219" s="1"/>
      <x:c r="I219" s="1"/>
      <x:c r="J219" s="1"/>
      <x:c r="K219" s="1"/>
    </x:row>
    <x:row r="220" ht="14.5">
      <x:c r="A220" s="1"/>
      <x:c r="B220" s="1"/>
      <x:c r="C220" s="1"/>
      <x:c r="D220" s="1"/>
      <x:c r="E220" s="1"/>
      <x:c r="F220" s="1"/>
      <x:c r="G220" s="1"/>
      <x:c r="H220" s="1"/>
      <x:c r="I220" s="1"/>
      <x:c r="J220" s="1"/>
      <x:c r="K220" s="1"/>
    </x:row>
    <x:row r="221" ht="14.5">
      <x:c r="A221" s="1"/>
      <x:c r="B221" s="1"/>
      <x:c r="C221" s="1"/>
      <x:c r="D221" s="1"/>
      <x:c r="E221" s="1"/>
      <x:c r="F221" s="1"/>
      <x:c r="G221" s="1"/>
      <x:c r="H221" s="1"/>
      <x:c r="I221" s="1"/>
      <x:c r="J221" s="1"/>
      <x:c r="K221" s="1"/>
    </x:row>
    <x:row r="222" ht="14.5">
      <x:c r="A222" s="1"/>
      <x:c r="B222" s="1"/>
      <x:c r="C222" s="1"/>
      <x:c r="D222" s="1"/>
      <x:c r="E222" s="1"/>
      <x:c r="F222" s="1"/>
      <x:c r="G222" s="1"/>
      <x:c r="H222" s="1"/>
      <x:c r="I222" s="1"/>
      <x:c r="J222" s="1"/>
      <x:c r="K222" s="1"/>
    </x:row>
    <x:row r="223" ht="14.5">
      <x:c r="A223" s="1"/>
      <x:c r="B223" s="1"/>
      <x:c r="C223" s="1"/>
      <x:c r="D223" s="1"/>
      <x:c r="E223" s="1"/>
      <x:c r="F223" s="1"/>
      <x:c r="G223" s="1"/>
      <x:c r="H223" s="1"/>
      <x:c r="I223" s="1"/>
      <x:c r="J223" s="1"/>
      <x:c r="K223" s="1"/>
    </x:row>
    <x:row r="224" ht="14.5">
      <x:c r="A224" s="1"/>
      <x:c r="B224" s="1"/>
      <x:c r="C224" s="1"/>
      <x:c r="D224" s="1"/>
      <x:c r="E224" s="1"/>
      <x:c r="F224" s="1"/>
      <x:c r="G224" s="1"/>
      <x:c r="H224" s="1"/>
      <x:c r="I224" s="1"/>
      <x:c r="J224" s="1"/>
      <x:c r="K224" s="1"/>
    </x:row>
    <x:row r="225" ht="14.5">
      <x:c r="A225" s="1"/>
      <x:c r="B225" s="1"/>
      <x:c r="C225" s="1"/>
      <x:c r="D225" s="1"/>
      <x:c r="E225" s="1"/>
      <x:c r="F225" s="1"/>
      <x:c r="G225" s="1"/>
      <x:c r="H225" s="1"/>
      <x:c r="I225" s="1"/>
      <x:c r="J225" s="1"/>
      <x:c r="K225" s="1"/>
    </x:row>
    <x:row r="226" ht="14.5">
      <x:c r="A226" s="1"/>
      <x:c r="B226" s="1"/>
      <x:c r="C226" s="1"/>
      <x:c r="D226" s="1"/>
      <x:c r="E226" s="1"/>
      <x:c r="F226" s="1"/>
      <x:c r="G226" s="1"/>
      <x:c r="H226" s="1"/>
      <x:c r="I226" s="1"/>
      <x:c r="J226" s="1"/>
      <x:c r="K226" s="1"/>
    </x:row>
    <x:row r="227" ht="14.5">
      <x:c r="A227" s="1"/>
      <x:c r="B227" s="1"/>
      <x:c r="C227" s="1"/>
      <x:c r="D227" s="1"/>
      <x:c r="E227" s="1"/>
      <x:c r="F227" s="1"/>
      <x:c r="G227" s="1"/>
      <x:c r="H227" s="1"/>
      <x:c r="I227" s="1"/>
      <x:c r="J227" s="1"/>
      <x:c r="K227" s="1"/>
    </x:row>
    <x:row r="228" ht="14.5">
      <x:c r="A228" s="1"/>
      <x:c r="B228" s="1"/>
      <x:c r="C228" s="1"/>
      <x:c r="D228" s="1"/>
      <x:c r="E228" s="1"/>
      <x:c r="F228" s="1"/>
      <x:c r="G228" s="1"/>
      <x:c r="H228" s="1"/>
      <x:c r="I228" s="1"/>
      <x:c r="J228" s="1"/>
      <x:c r="K228" s="1"/>
    </x:row>
    <x:row r="229" ht="14.5">
      <x:c r="A229" s="1"/>
      <x:c r="B229" s="1"/>
      <x:c r="C229" s="1"/>
      <x:c r="D229" s="1"/>
      <x:c r="E229" s="1"/>
      <x:c r="F229" s="1"/>
      <x:c r="G229" s="1"/>
      <x:c r="H229" s="1"/>
      <x:c r="I229" s="1"/>
      <x:c r="J229" s="1"/>
      <x:c r="K229" s="1"/>
    </x:row>
    <x:row r="230" ht="14.5">
      <x:c r="A230" s="1"/>
      <x:c r="B230" s="1"/>
      <x:c r="C230" s="1"/>
      <x:c r="D230" s="1"/>
      <x:c r="E230" s="1"/>
      <x:c r="F230" s="1"/>
      <x:c r="G230" s="1"/>
      <x:c r="H230" s="1"/>
      <x:c r="I230" s="1"/>
      <x:c r="J230" s="1"/>
      <x:c r="K230" s="1"/>
    </x:row>
    <x:row r="231" ht="14.5">
      <x:c r="A231" s="1"/>
      <x:c r="B231" s="1"/>
      <x:c r="C231" s="1"/>
      <x:c r="D231" s="1"/>
      <x:c r="E231" s="1"/>
      <x:c r="F231" s="1"/>
      <x:c r="G231" s="1"/>
      <x:c r="H231" s="1"/>
      <x:c r="I231" s="1"/>
      <x:c r="J231" s="1"/>
      <x:c r="K231" s="1"/>
    </x:row>
    <x:row r="232" ht="14.5">
      <x:c r="A232" s="1"/>
      <x:c r="B232" s="1"/>
      <x:c r="C232" s="1"/>
      <x:c r="D232" s="1"/>
      <x:c r="E232" s="1"/>
      <x:c r="F232" s="1"/>
      <x:c r="G232" s="1"/>
      <x:c r="H232" s="1"/>
      <x:c r="I232" s="1"/>
      <x:c r="J232" s="1"/>
      <x:c r="K232" s="1"/>
    </x:row>
    <x:row r="233" ht="14.5">
      <x:c r="A233" s="1"/>
      <x:c r="B233" s="1"/>
      <x:c r="C233" s="1"/>
      <x:c r="D233" s="1"/>
      <x:c r="E233" s="1"/>
      <x:c r="F233" s="1"/>
      <x:c r="G233" s="1"/>
      <x:c r="H233" s="1"/>
      <x:c r="I233" s="1"/>
      <x:c r="J233" s="1"/>
      <x:c r="K233" s="1"/>
    </x:row>
    <x:row r="234" ht="14.5">
      <x:c r="A234" s="1"/>
      <x:c r="B234" s="1"/>
      <x:c r="C234" s="1"/>
      <x:c r="D234" s="1"/>
      <x:c r="E234" s="1"/>
      <x:c r="F234" s="1"/>
      <x:c r="G234" s="1"/>
      <x:c r="H234" s="1"/>
      <x:c r="I234" s="1"/>
      <x:c r="J234" s="1"/>
      <x:c r="K234" s="1"/>
    </x:row>
    <x:row r="235" ht="14.5">
      <x:c r="A235" s="1"/>
      <x:c r="B235" s="1"/>
      <x:c r="C235" s="1"/>
      <x:c r="D235" s="1"/>
      <x:c r="E235" s="1"/>
      <x:c r="F235" s="1"/>
      <x:c r="G235" s="1"/>
      <x:c r="H235" s="1"/>
      <x:c r="I235" s="1"/>
      <x:c r="J235" s="1"/>
      <x:c r="K235" s="1"/>
    </x:row>
    <x:row r="236" ht="14.5">
      <x:c r="A236" s="1"/>
      <x:c r="B236" s="1"/>
      <x:c r="C236" s="1"/>
      <x:c r="D236" s="1"/>
      <x:c r="E236" s="1"/>
      <x:c r="F236" s="1"/>
      <x:c r="G236" s="1"/>
      <x:c r="H236" s="1"/>
      <x:c r="I236" s="1"/>
      <x:c r="J236" s="1"/>
      <x:c r="K236" s="1"/>
    </x:row>
    <x:row r="237" ht="14.5">
      <x:c r="A237" s="1"/>
      <x:c r="B237" s="1"/>
      <x:c r="C237" s="1"/>
      <x:c r="D237" s="1"/>
      <x:c r="E237" s="1"/>
      <x:c r="F237" s="1"/>
      <x:c r="G237" s="1"/>
      <x:c r="H237" s="1"/>
      <x:c r="I237" s="1"/>
      <x:c r="J237" s="1"/>
      <x:c r="K237" s="1"/>
    </x:row>
    <x:row r="238" ht="14.5">
      <x:c r="A238" s="1"/>
      <x:c r="B238" s="1"/>
      <x:c r="C238" s="1"/>
      <x:c r="D238" s="1"/>
      <x:c r="E238" s="1"/>
      <x:c r="F238" s="1"/>
      <x:c r="G238" s="1"/>
      <x:c r="H238" s="1"/>
      <x:c r="I238" s="1"/>
      <x:c r="J238" s="1"/>
      <x:c r="K238" s="1"/>
    </x:row>
    <x:row r="239" ht="14.5">
      <x:c r="A239" s="1"/>
      <x:c r="B239" s="1"/>
      <x:c r="C239" s="1"/>
      <x:c r="D239" s="1"/>
      <x:c r="E239" s="1"/>
      <x:c r="F239" s="1"/>
      <x:c r="G239" s="1"/>
      <x:c r="H239" s="1"/>
      <x:c r="I239" s="1"/>
      <x:c r="J239" s="1"/>
      <x:c r="K239" s="1"/>
    </x:row>
    <x:row r="240" ht="14.5">
      <x:c r="A240" s="1"/>
      <x:c r="B240" s="1"/>
      <x:c r="C240" s="1"/>
      <x:c r="D240" s="1"/>
      <x:c r="E240" s="1"/>
      <x:c r="F240" s="1"/>
      <x:c r="G240" s="1"/>
      <x:c r="H240" s="1"/>
      <x:c r="I240" s="1"/>
      <x:c r="J240" s="1"/>
      <x:c r="K240" s="1"/>
    </x:row>
    <x:row r="241" ht="14.5">
      <x:c r="A241" s="1"/>
      <x:c r="B241" s="1"/>
      <x:c r="C241" s="1"/>
      <x:c r="D241" s="1"/>
      <x:c r="E241" s="1"/>
      <x:c r="F241" s="1"/>
      <x:c r="G241" s="1"/>
      <x:c r="H241" s="1"/>
      <x:c r="I241" s="1"/>
      <x:c r="J241" s="1"/>
      <x:c r="K241" s="1"/>
    </x:row>
    <x:row r="242" ht="14.5">
      <x:c r="A242" s="1"/>
      <x:c r="B242" s="1"/>
      <x:c r="C242" s="1"/>
      <x:c r="D242" s="1"/>
      <x:c r="E242" s="1"/>
      <x:c r="F242" s="1"/>
      <x:c r="G242" s="1"/>
      <x:c r="H242" s="1"/>
      <x:c r="I242" s="1"/>
      <x:c r="J242" s="1"/>
      <x:c r="K242" s="1"/>
    </x:row>
    <x:row r="243" ht="14.5">
      <x:c r="A243" s="1"/>
      <x:c r="B243" s="1"/>
      <x:c r="C243" s="1"/>
      <x:c r="D243" s="1"/>
      <x:c r="E243" s="1"/>
      <x:c r="F243" s="1"/>
      <x:c r="G243" s="1"/>
      <x:c r="H243" s="1"/>
      <x:c r="I243" s="1"/>
      <x:c r="J243" s="1"/>
      <x:c r="K243" s="1"/>
    </x:row>
    <x:row r="244" ht="14.5">
      <x:c r="A244" s="1"/>
      <x:c r="B244" s="1"/>
      <x:c r="C244" s="1"/>
      <x:c r="D244" s="1"/>
      <x:c r="E244" s="1"/>
      <x:c r="F244" s="1"/>
      <x:c r="G244" s="1"/>
      <x:c r="H244" s="1"/>
      <x:c r="I244" s="1"/>
      <x:c r="J244" s="1"/>
      <x:c r="K244" s="1"/>
    </x:row>
    <x:row r="245" ht="14.5">
      <x:c r="A245" s="1"/>
      <x:c r="B245" s="1"/>
      <x:c r="C245" s="1"/>
      <x:c r="D245" s="1"/>
      <x:c r="E245" s="1"/>
      <x:c r="F245" s="1"/>
      <x:c r="G245" s="1"/>
      <x:c r="H245" s="1"/>
      <x:c r="I245" s="1"/>
      <x:c r="J245" s="1"/>
      <x:c r="K245" s="1"/>
    </x:row>
    <x:row r="246" ht="14.5">
      <x:c r="A246" s="1"/>
      <x:c r="B246" s="1"/>
      <x:c r="C246" s="1"/>
      <x:c r="D246" s="1"/>
      <x:c r="E246" s="1"/>
      <x:c r="F246" s="1"/>
      <x:c r="G246" s="1"/>
      <x:c r="H246" s="1"/>
      <x:c r="I246" s="1"/>
      <x:c r="J246" s="1"/>
      <x:c r="K246" s="1"/>
    </x:row>
    <x:row r="247" ht="14.5">
      <x:c r="A247" s="1"/>
      <x:c r="B247" s="1"/>
      <x:c r="C247" s="1"/>
      <x:c r="D247" s="1"/>
      <x:c r="E247" s="1"/>
      <x:c r="F247" s="1"/>
      <x:c r="G247" s="1"/>
      <x:c r="H247" s="1"/>
      <x:c r="I247" s="1"/>
      <x:c r="J247" s="1"/>
      <x:c r="K247" s="1"/>
    </x:row>
    <x:row r="248" ht="14.5">
      <x:c r="A248" s="1"/>
      <x:c r="B248" s="1"/>
      <x:c r="C248" s="1"/>
      <x:c r="D248" s="1"/>
      <x:c r="E248" s="1"/>
      <x:c r="F248" s="1"/>
      <x:c r="G248" s="1"/>
      <x:c r="H248" s="1"/>
      <x:c r="I248" s="1"/>
      <x:c r="J248" s="1"/>
      <x:c r="K248" s="1"/>
    </x:row>
    <x:row r="249" ht="14.5">
      <x:c r="A249" s="1"/>
      <x:c r="B249" s="1"/>
      <x:c r="C249" s="1"/>
      <x:c r="D249" s="1"/>
      <x:c r="E249" s="1"/>
      <x:c r="F249" s="1"/>
      <x:c r="G249" s="1"/>
      <x:c r="H249" s="1"/>
      <x:c r="I249" s="1"/>
      <x:c r="J249" s="1"/>
      <x:c r="K249" s="1"/>
    </x:row>
    <x:row r="250" ht="14.5">
      <x:c r="A250" s="1"/>
      <x:c r="B250" s="1"/>
      <x:c r="C250" s="1"/>
      <x:c r="D250" s="1"/>
      <x:c r="E250" s="1"/>
      <x:c r="F250" s="1"/>
      <x:c r="G250" s="1"/>
      <x:c r="H250" s="1"/>
      <x:c r="I250" s="1"/>
      <x:c r="J250" s="1"/>
      <x:c r="K250" s="1"/>
    </x:row>
    <x:row r="251" ht="14.5">
      <x:c r="A251" s="1"/>
      <x:c r="B251" s="1"/>
      <x:c r="C251" s="1"/>
      <x:c r="D251" s="1"/>
      <x:c r="E251" s="1"/>
      <x:c r="F251" s="1"/>
      <x:c r="G251" s="1"/>
      <x:c r="H251" s="1"/>
      <x:c r="I251" s="1"/>
      <x:c r="J251" s="1"/>
      <x:c r="K251" s="1"/>
    </x:row>
    <x:row r="252" ht="14.5">
      <x:c r="A252" s="1"/>
      <x:c r="B252" s="1"/>
      <x:c r="C252" s="1"/>
      <x:c r="D252" s="1"/>
      <x:c r="E252" s="1"/>
      <x:c r="F252" s="1"/>
      <x:c r="G252" s="1"/>
      <x:c r="H252" s="1"/>
      <x:c r="I252" s="1"/>
      <x:c r="J252" s="1"/>
      <x:c r="K252" s="1"/>
    </x:row>
    <x:row r="253" ht="14.5">
      <x:c r="A253" s="1"/>
      <x:c r="B253" s="1"/>
      <x:c r="C253" s="1"/>
      <x:c r="D253" s="1"/>
      <x:c r="E253" s="1"/>
      <x:c r="F253" s="1"/>
      <x:c r="G253" s="1"/>
      <x:c r="H253" s="1"/>
      <x:c r="I253" s="1"/>
      <x:c r="J253" s="1"/>
      <x:c r="K253" s="1"/>
    </x:row>
    <x:row r="254" ht="14.5">
      <x:c r="A254" s="1"/>
      <x:c r="B254" s="1"/>
      <x:c r="C254" s="1"/>
      <x:c r="D254" s="1"/>
      <x:c r="E254" s="1"/>
      <x:c r="F254" s="1"/>
      <x:c r="G254" s="1"/>
      <x:c r="H254" s="1"/>
      <x:c r="I254" s="1"/>
      <x:c r="J254" s="1"/>
      <x:c r="K254" s="1"/>
    </x:row>
    <x:row r="255" ht="14.5">
      <x:c r="A255" s="1"/>
      <x:c r="B255" s="1"/>
      <x:c r="C255" s="1"/>
      <x:c r="D255" s="1"/>
      <x:c r="E255" s="1"/>
      <x:c r="F255" s="1"/>
      <x:c r="G255" s="1"/>
      <x:c r="H255" s="1"/>
      <x:c r="I255" s="1"/>
      <x:c r="J255" s="1"/>
      <x:c r="K255" s="1"/>
    </x:row>
    <x:row r="256" ht="14.5">
      <x:c r="A256" s="1"/>
      <x:c r="B256" s="1"/>
      <x:c r="C256" s="1"/>
      <x:c r="D256" s="1"/>
      <x:c r="E256" s="1"/>
      <x:c r="F256" s="1"/>
      <x:c r="G256" s="1"/>
      <x:c r="H256" s="1"/>
      <x:c r="I256" s="1"/>
      <x:c r="J256" s="1"/>
      <x:c r="K256" s="1"/>
    </x:row>
    <x:row r="257" ht="14.5">
      <x:c r="A257" s="1"/>
      <x:c r="B257" s="1"/>
      <x:c r="C257" s="1"/>
      <x:c r="D257" s="1"/>
      <x:c r="E257" s="1"/>
      <x:c r="F257" s="1"/>
      <x:c r="G257" s="1"/>
      <x:c r="H257" s="1"/>
      <x:c r="I257" s="1"/>
      <x:c r="J257" s="1"/>
      <x:c r="K257" s="1"/>
    </x:row>
    <x:row r="258" ht="14.5">
      <x:c r="A258" s="1"/>
      <x:c r="B258" s="1"/>
      <x:c r="C258" s="1"/>
      <x:c r="D258" s="1"/>
      <x:c r="E258" s="1"/>
      <x:c r="F258" s="1"/>
      <x:c r="G258" s="1"/>
      <x:c r="H258" s="1"/>
      <x:c r="I258" s="1"/>
      <x:c r="J258" s="1"/>
      <x:c r="K258" s="1"/>
    </x:row>
    <x:row r="259" ht="14.5">
      <x:c r="A259" s="1"/>
      <x:c r="B259" s="1"/>
      <x:c r="C259" s="1"/>
      <x:c r="D259" s="1"/>
      <x:c r="E259" s="1"/>
      <x:c r="F259" s="1"/>
      <x:c r="G259" s="1"/>
      <x:c r="H259" s="1"/>
      <x:c r="I259" s="1"/>
      <x:c r="J259" s="1"/>
      <x:c r="K259" s="1"/>
    </x:row>
    <x:row r="260" ht="14.5">
      <x:c r="A260" s="1"/>
      <x:c r="B260" s="1"/>
      <x:c r="C260" s="1"/>
      <x:c r="D260" s="1"/>
      <x:c r="E260" s="1"/>
      <x:c r="F260" s="1"/>
      <x:c r="G260" s="1"/>
      <x:c r="H260" s="1"/>
      <x:c r="I260" s="1"/>
      <x:c r="J260" s="1"/>
      <x:c r="K260" s="1"/>
    </x:row>
    <x:row r="261" ht="14.5">
      <x:c r="A261" s="1"/>
      <x:c r="B261" s="1"/>
      <x:c r="C261" s="1"/>
      <x:c r="D261" s="1"/>
      <x:c r="E261" s="1"/>
      <x:c r="F261" s="1"/>
      <x:c r="G261" s="1"/>
      <x:c r="H261" s="1"/>
      <x:c r="I261" s="1"/>
      <x:c r="J261" s="1"/>
      <x:c r="K261" s="1"/>
    </x:row>
    <x:row r="262" ht="14.5">
      <x:c r="A262" s="1"/>
      <x:c r="B262" s="1"/>
      <x:c r="C262" s="1"/>
      <x:c r="D262" s="1"/>
      <x:c r="E262" s="1"/>
      <x:c r="F262" s="1"/>
      <x:c r="G262" s="1"/>
      <x:c r="H262" s="1"/>
      <x:c r="I262" s="1"/>
      <x:c r="J262" s="1"/>
      <x:c r="K262" s="1"/>
    </x:row>
    <x:row r="263" ht="14.5">
      <x:c r="A263" s="1"/>
      <x:c r="B263" s="1"/>
      <x:c r="C263" s="1"/>
      <x:c r="D263" s="1"/>
      <x:c r="E263" s="1"/>
      <x:c r="F263" s="1"/>
      <x:c r="G263" s="1"/>
      <x:c r="H263" s="1"/>
      <x:c r="I263" s="1"/>
      <x:c r="J263" s="1"/>
      <x:c r="K263" s="1"/>
    </x:row>
    <x:row r="264" ht="14.5">
      <x:c r="A264" s="1"/>
      <x:c r="B264" s="1"/>
      <x:c r="C264" s="1"/>
      <x:c r="D264" s="1"/>
      <x:c r="E264" s="1"/>
      <x:c r="F264" s="1"/>
      <x:c r="G264" s="1"/>
      <x:c r="H264" s="1"/>
      <x:c r="I264" s="1"/>
      <x:c r="J264" s="1"/>
      <x:c r="K264" s="1"/>
    </x:row>
    <x:row r="265" ht="14.5">
      <x:c r="A265" s="1"/>
      <x:c r="B265" s="1"/>
      <x:c r="C265" s="1"/>
      <x:c r="D265" s="1"/>
      <x:c r="E265" s="1"/>
      <x:c r="F265" s="1"/>
      <x:c r="G265" s="1"/>
      <x:c r="H265" s="1"/>
      <x:c r="I265" s="1"/>
      <x:c r="J265" s="1"/>
      <x:c r="K265" s="1"/>
    </x:row>
    <x:row r="266" ht="14.5">
      <x:c r="A266" s="1"/>
      <x:c r="B266" s="1"/>
      <x:c r="C266" s="1"/>
      <x:c r="D266" s="1"/>
      <x:c r="E266" s="1"/>
      <x:c r="F266" s="1"/>
      <x:c r="G266" s="1"/>
      <x:c r="H266" s="1"/>
      <x:c r="I266" s="1"/>
      <x:c r="J266" s="1"/>
      <x:c r="K266" s="1"/>
    </x:row>
    <x:row r="267" ht="14.5">
      <x:c r="A267" s="1"/>
      <x:c r="B267" s="1"/>
      <x:c r="C267" s="1"/>
      <x:c r="D267" s="1"/>
      <x:c r="E267" s="1"/>
      <x:c r="F267" s="1"/>
      <x:c r="G267" s="1"/>
      <x:c r="H267" s="1"/>
      <x:c r="I267" s="1"/>
      <x:c r="J267" s="1"/>
      <x:c r="K267" s="1"/>
    </x:row>
    <x:row r="268" ht="14.5">
      <x:c r="A268" s="1"/>
      <x:c r="B268" s="1"/>
      <x:c r="C268" s="1"/>
      <x:c r="D268" s="1"/>
      <x:c r="E268" s="1"/>
      <x:c r="F268" s="1"/>
      <x:c r="G268" s="1"/>
      <x:c r="H268" s="1"/>
      <x:c r="I268" s="1"/>
      <x:c r="J268" s="1"/>
      <x:c r="K268" s="1"/>
    </x:row>
    <x:row r="269" ht="14.5">
      <x:c r="A269" s="1"/>
      <x:c r="B269" s="1"/>
      <x:c r="C269" s="1"/>
      <x:c r="D269" s="1"/>
      <x:c r="E269" s="1"/>
      <x:c r="F269" s="1"/>
      <x:c r="G269" s="1"/>
      <x:c r="H269" s="1"/>
      <x:c r="I269" s="1"/>
      <x:c r="J269" s="1"/>
      <x:c r="K269" s="1"/>
    </x:row>
    <x:row r="270" ht="14.5">
      <x:c r="A270" s="1"/>
      <x:c r="B270" s="1"/>
      <x:c r="C270" s="1"/>
      <x:c r="D270" s="1"/>
      <x:c r="E270" s="1"/>
      <x:c r="F270" s="1"/>
      <x:c r="G270" s="1"/>
      <x:c r="H270" s="1"/>
      <x:c r="I270" s="1"/>
      <x:c r="J270" s="1"/>
      <x:c r="K270" s="1"/>
    </x:row>
    <x:row r="271" ht="14.5">
      <x:c r="A271" s="1"/>
      <x:c r="B271" s="1"/>
      <x:c r="C271" s="1"/>
      <x:c r="D271" s="1"/>
      <x:c r="E271" s="1"/>
      <x:c r="F271" s="1"/>
      <x:c r="G271" s="1"/>
      <x:c r="H271" s="1"/>
      <x:c r="I271" s="1"/>
      <x:c r="J271" s="1"/>
      <x:c r="K271" s="1"/>
    </x:row>
    <x:row r="272" ht="14.5">
      <x:c r="A272" s="1"/>
      <x:c r="B272" s="1"/>
      <x:c r="C272" s="1"/>
      <x:c r="D272" s="1"/>
      <x:c r="E272" s="1"/>
      <x:c r="F272" s="1"/>
      <x:c r="G272" s="1"/>
      <x:c r="H272" s="1"/>
      <x:c r="I272" s="1"/>
      <x:c r="J272" s="1"/>
      <x:c r="K272" s="1"/>
    </x:row>
    <x:row r="273" ht="14.5">
      <x:c r="A273" s="1"/>
      <x:c r="B273" s="1"/>
      <x:c r="C273" s="1"/>
      <x:c r="D273" s="1"/>
      <x:c r="E273" s="1"/>
      <x:c r="F273" s="1"/>
      <x:c r="G273" s="1"/>
      <x:c r="H273" s="1"/>
      <x:c r="I273" s="1"/>
      <x:c r="J273" s="1"/>
      <x:c r="K273" s="1"/>
    </x:row>
    <x:row r="274" ht="14.5">
      <x:c r="A274" s="1"/>
      <x:c r="B274" s="1"/>
      <x:c r="C274" s="1"/>
      <x:c r="D274" s="1"/>
      <x:c r="E274" s="1"/>
      <x:c r="F274" s="1"/>
      <x:c r="G274" s="1"/>
      <x:c r="H274" s="1"/>
      <x:c r="I274" s="1"/>
      <x:c r="J274" s="1"/>
      <x:c r="K274" s="1"/>
    </x:row>
    <x:row r="275" ht="14.5">
      <x:c r="A275" s="1"/>
      <x:c r="B275" s="1"/>
      <x:c r="C275" s="1"/>
      <x:c r="D275" s="1"/>
      <x:c r="E275" s="1"/>
      <x:c r="F275" s="1"/>
      <x:c r="G275" s="1"/>
      <x:c r="H275" s="1"/>
      <x:c r="I275" s="1"/>
      <x:c r="J275" s="1"/>
      <x:c r="K275" s="1"/>
    </x:row>
    <x:row r="276" ht="14.5">
      <x:c r="A276" s="1"/>
      <x:c r="B276" s="1"/>
      <x:c r="C276" s="1"/>
      <x:c r="D276" s="1"/>
      <x:c r="E276" s="1"/>
      <x:c r="F276" s="1"/>
      <x:c r="G276" s="1"/>
      <x:c r="H276" s="1"/>
      <x:c r="I276" s="1"/>
      <x:c r="J276" s="1"/>
      <x:c r="K276" s="1"/>
    </x:row>
    <x:row r="277" ht="14.5">
      <x:c r="A277" s="1"/>
      <x:c r="B277" s="1"/>
      <x:c r="C277" s="1"/>
      <x:c r="D277" s="1"/>
      <x:c r="E277" s="1"/>
      <x:c r="F277" s="1"/>
      <x:c r="G277" s="1"/>
      <x:c r="H277" s="1"/>
      <x:c r="I277" s="1"/>
      <x:c r="J277" s="1"/>
      <x:c r="K277" s="1"/>
    </x:row>
    <x:row r="278" ht="14.5">
      <x:c r="A278" s="1"/>
      <x:c r="B278" s="1"/>
      <x:c r="C278" s="1"/>
      <x:c r="D278" s="1"/>
      <x:c r="E278" s="1"/>
      <x:c r="F278" s="1"/>
      <x:c r="G278" s="1"/>
      <x:c r="H278" s="1"/>
      <x:c r="I278" s="1"/>
      <x:c r="J278" s="1"/>
      <x:c r="K278" s="1"/>
    </x:row>
    <x:row r="279" ht="14.5">
      <x:c r="A279" s="1"/>
      <x:c r="B279" s="1"/>
      <x:c r="C279" s="1"/>
      <x:c r="D279" s="1"/>
      <x:c r="E279" s="1"/>
      <x:c r="F279" s="1"/>
      <x:c r="G279" s="1"/>
      <x:c r="H279" s="1"/>
      <x:c r="I279" s="1"/>
      <x:c r="J279" s="1"/>
      <x:c r="K279" s="1"/>
    </x:row>
    <x:row r="280" ht="14.5">
      <x:c r="A280" s="1"/>
      <x:c r="B280" s="1"/>
      <x:c r="C280" s="1"/>
      <x:c r="D280" s="1"/>
      <x:c r="E280" s="1"/>
      <x:c r="F280" s="1"/>
      <x:c r="G280" s="1"/>
      <x:c r="H280" s="1"/>
      <x:c r="I280" s="1"/>
      <x:c r="J280" s="1"/>
      <x:c r="K280" s="1"/>
    </x:row>
    <x:row r="281" ht="14.5">
      <x:c r="A281" s="1"/>
      <x:c r="B281" s="1"/>
      <x:c r="C281" s="1"/>
      <x:c r="D281" s="1"/>
      <x:c r="E281" s="1"/>
      <x:c r="F281" s="1"/>
      <x:c r="G281" s="1"/>
      <x:c r="H281" s="1"/>
      <x:c r="I281" s="1"/>
      <x:c r="J281" s="1"/>
      <x:c r="K281" s="1"/>
    </x:row>
    <x:row r="282" ht="14.5">
      <x:c r="A282" s="1"/>
      <x:c r="B282" s="1"/>
      <x:c r="C282" s="1"/>
      <x:c r="D282" s="1"/>
      <x:c r="E282" s="1"/>
      <x:c r="F282" s="1"/>
      <x:c r="G282" s="1"/>
      <x:c r="H282" s="1"/>
      <x:c r="I282" s="1"/>
      <x:c r="J282" s="1"/>
      <x:c r="K282" s="1"/>
    </x:row>
    <x:row r="283" ht="14.5">
      <x:c r="A283" s="1"/>
      <x:c r="B283" s="1"/>
      <x:c r="C283" s="1"/>
      <x:c r="D283" s="1"/>
      <x:c r="E283" s="1"/>
      <x:c r="F283" s="1"/>
      <x:c r="G283" s="1"/>
      <x:c r="H283" s="1"/>
      <x:c r="I283" s="1"/>
      <x:c r="J283" s="1"/>
      <x:c r="K283" s="1"/>
    </x:row>
    <x:row r="284" ht="14.5">
      <x:c r="A284" s="1"/>
      <x:c r="B284" s="1"/>
      <x:c r="C284" s="1"/>
      <x:c r="D284" s="1"/>
      <x:c r="E284" s="1"/>
      <x:c r="F284" s="1"/>
      <x:c r="G284" s="1"/>
      <x:c r="H284" s="1"/>
      <x:c r="I284" s="1"/>
      <x:c r="J284" s="1"/>
      <x:c r="K284" s="1"/>
    </x:row>
    <x:row r="285" ht="14.5">
      <x:c r="A285" s="1"/>
      <x:c r="B285" s="1"/>
      <x:c r="C285" s="1"/>
      <x:c r="D285" s="1"/>
      <x:c r="E285" s="1"/>
      <x:c r="F285" s="1"/>
      <x:c r="G285" s="1"/>
      <x:c r="H285" s="1"/>
      <x:c r="I285" s="1"/>
      <x:c r="J285" s="1"/>
      <x:c r="K285" s="1"/>
    </x:row>
    <x:row r="286" ht="14.5">
      <x:c r="A286" s="1"/>
      <x:c r="B286" s="1"/>
      <x:c r="C286" s="1"/>
      <x:c r="D286" s="1"/>
      <x:c r="E286" s="1"/>
      <x:c r="F286" s="1"/>
      <x:c r="G286" s="1"/>
      <x:c r="H286" s="1"/>
      <x:c r="I286" s="1"/>
      <x:c r="J286" s="1"/>
      <x:c r="K286" s="1"/>
    </x:row>
    <x:row r="287" ht="14.5">
      <x:c r="A287" s="1"/>
      <x:c r="B287" s="1"/>
      <x:c r="C287" s="1"/>
      <x:c r="D287" s="1"/>
      <x:c r="E287" s="1"/>
      <x:c r="F287" s="1"/>
      <x:c r="G287" s="1"/>
      <x:c r="H287" s="1"/>
      <x:c r="I287" s="1"/>
      <x:c r="J287" s="1"/>
      <x:c r="K287" s="1"/>
    </x:row>
    <x:row r="288" ht="14.5">
      <x:c r="A288" s="1"/>
      <x:c r="B288" s="1"/>
      <x:c r="C288" s="1"/>
      <x:c r="D288" s="1"/>
      <x:c r="E288" s="1"/>
      <x:c r="F288" s="1"/>
      <x:c r="G288" s="1"/>
      <x:c r="H288" s="1"/>
      <x:c r="I288" s="1"/>
      <x:c r="J288" s="1"/>
      <x:c r="K288" s="1"/>
    </x:row>
    <x:row r="289" ht="14.5">
      <x:c r="A289" s="1"/>
      <x:c r="B289" s="1"/>
      <x:c r="C289" s="1"/>
      <x:c r="D289" s="1"/>
      <x:c r="E289" s="1"/>
      <x:c r="F289" s="1"/>
      <x:c r="G289" s="1"/>
      <x:c r="H289" s="1"/>
      <x:c r="I289" s="1"/>
      <x:c r="J289" s="1"/>
      <x:c r="K289" s="1"/>
    </x:row>
    <x:row r="290" ht="14.5">
      <x:c r="A290" s="1"/>
      <x:c r="B290" s="1"/>
      <x:c r="C290" s="1"/>
      <x:c r="D290" s="1"/>
      <x:c r="E290" s="1"/>
      <x:c r="F290" s="1"/>
      <x:c r="G290" s="1"/>
      <x:c r="H290" s="1"/>
      <x:c r="I290" s="1"/>
      <x:c r="J290" s="1"/>
      <x:c r="K290" s="1"/>
    </x:row>
    <x:row r="291" ht="14.5">
      <x:c r="A291" s="1"/>
      <x:c r="B291" s="1"/>
      <x:c r="C291" s="1"/>
      <x:c r="D291" s="1"/>
      <x:c r="E291" s="1"/>
      <x:c r="F291" s="1"/>
      <x:c r="G291" s="1"/>
      <x:c r="H291" s="1"/>
      <x:c r="I291" s="1"/>
      <x:c r="J291" s="1"/>
      <x:c r="K291" s="1"/>
    </x:row>
    <x:row r="292" ht="14.5">
      <x:c r="A292" s="1"/>
      <x:c r="B292" s="1"/>
      <x:c r="C292" s="1"/>
      <x:c r="D292" s="1"/>
      <x:c r="E292" s="1"/>
      <x:c r="F292" s="1"/>
      <x:c r="G292" s="1"/>
      <x:c r="H292" s="1"/>
      <x:c r="I292" s="1"/>
      <x:c r="J292" s="1"/>
      <x:c r="K292" s="1"/>
    </x:row>
    <x:row r="293" ht="14.5">
      <x:c r="A293" s="1"/>
      <x:c r="B293" s="1"/>
      <x:c r="C293" s="1"/>
      <x:c r="D293" s="1"/>
      <x:c r="E293" s="1"/>
      <x:c r="F293" s="1"/>
      <x:c r="G293" s="1"/>
      <x:c r="H293" s="1"/>
      <x:c r="I293" s="1"/>
      <x:c r="J293" s="1"/>
      <x:c r="K293" s="1"/>
    </x:row>
    <x:row r="294" ht="14.5">
      <x:c r="A294" s="1"/>
      <x:c r="B294" s="1"/>
      <x:c r="C294" s="1"/>
      <x:c r="D294" s="1"/>
      <x:c r="E294" s="1"/>
      <x:c r="F294" s="1"/>
      <x:c r="G294" s="1"/>
      <x:c r="H294" s="1"/>
      <x:c r="I294" s="1"/>
      <x:c r="J294" s="1"/>
      <x:c r="K294" s="1"/>
    </x:row>
    <x:row r="295" ht="14.5">
      <x:c r="A295" s="1"/>
      <x:c r="B295" s="1"/>
      <x:c r="C295" s="1"/>
      <x:c r="D295" s="1"/>
      <x:c r="E295" s="1"/>
      <x:c r="F295" s="1"/>
      <x:c r="G295" s="1"/>
      <x:c r="H295" s="1"/>
      <x:c r="I295" s="1"/>
      <x:c r="J295" s="1"/>
      <x:c r="K295" s="1"/>
    </x:row>
    <x:row r="296" ht="14.5">
      <x:c r="A296" s="1"/>
      <x:c r="B296" s="1"/>
      <x:c r="C296" s="1"/>
      <x:c r="D296" s="1"/>
      <x:c r="E296" s="1"/>
      <x:c r="F296" s="1"/>
      <x:c r="G296" s="1"/>
      <x:c r="H296" s="1"/>
      <x:c r="I296" s="1"/>
      <x:c r="J296" s="1"/>
      <x:c r="K296" s="1"/>
    </x:row>
    <x:row r="297" ht="14.5">
      <x:c r="A297" s="1"/>
      <x:c r="B297" s="1"/>
      <x:c r="C297" s="1"/>
      <x:c r="D297" s="1"/>
      <x:c r="E297" s="1"/>
      <x:c r="F297" s="1"/>
      <x:c r="G297" s="1"/>
      <x:c r="H297" s="1"/>
      <x:c r="I297" s="1"/>
      <x:c r="J297" s="1"/>
      <x:c r="K297" s="1"/>
    </x:row>
    <x:row r="298" ht="14.5">
      <x:c r="A298" s="1"/>
      <x:c r="B298" s="1"/>
      <x:c r="C298" s="1"/>
      <x:c r="D298" s="1"/>
      <x:c r="E298" s="1"/>
      <x:c r="F298" s="1"/>
      <x:c r="G298" s="1"/>
      <x:c r="H298" s="1"/>
      <x:c r="I298" s="1"/>
      <x:c r="J298" s="1"/>
      <x:c r="K298" s="1"/>
    </x:row>
    <x:row r="299" ht="14.5">
      <x:c r="A299" s="1"/>
      <x:c r="B299" s="1"/>
      <x:c r="C299" s="1"/>
      <x:c r="D299" s="1"/>
      <x:c r="E299" s="1"/>
      <x:c r="F299" s="1"/>
      <x:c r="G299" s="1"/>
      <x:c r="H299" s="1"/>
      <x:c r="I299" s="1"/>
      <x:c r="J299" s="1"/>
      <x:c r="K299" s="1"/>
    </x:row>
    <x:row r="300" ht="14.5">
      <x:c r="A300" s="1"/>
      <x:c r="B300" s="1"/>
      <x:c r="C300" s="1"/>
      <x:c r="D300" s="1"/>
      <x:c r="E300" s="1"/>
      <x:c r="F300" s="1"/>
      <x:c r="G300" s="1"/>
      <x:c r="H300" s="1"/>
      <x:c r="I300" s="1"/>
      <x:c r="J300" s="1"/>
      <x:c r="K300" s="1"/>
    </x:row>
    <x:row r="301" ht="14.5">
      <x:c r="A301" s="1"/>
      <x:c r="B301" s="1"/>
      <x:c r="C301" s="1"/>
      <x:c r="D301" s="1"/>
      <x:c r="E301" s="1"/>
      <x:c r="F301" s="1"/>
      <x:c r="G301" s="1"/>
      <x:c r="H301" s="1"/>
      <x:c r="I301" s="1"/>
      <x:c r="J301" s="1"/>
      <x:c r="K301" s="1"/>
    </x:row>
    <x:row r="302" ht="14.5">
      <x:c r="A302" s="1"/>
      <x:c r="B302" s="1"/>
      <x:c r="C302" s="1"/>
      <x:c r="D302" s="1"/>
      <x:c r="E302" s="1"/>
      <x:c r="F302" s="1"/>
      <x:c r="G302" s="1"/>
      <x:c r="H302" s="1"/>
      <x:c r="I302" s="1"/>
      <x:c r="J302" s="1"/>
      <x:c r="K302" s="1"/>
    </x:row>
    <x:row r="303" ht="14.5">
      <x:c r="A303" s="1"/>
      <x:c r="B303" s="1"/>
      <x:c r="C303" s="1"/>
      <x:c r="D303" s="1"/>
      <x:c r="E303" s="1"/>
      <x:c r="F303" s="1"/>
      <x:c r="G303" s="1"/>
      <x:c r="H303" s="1"/>
      <x:c r="I303" s="1"/>
      <x:c r="J303" s="1"/>
      <x:c r="K303" s="1"/>
    </x:row>
    <x:row r="304" ht="14.5">
      <x:c r="A304" s="1"/>
      <x:c r="B304" s="1"/>
      <x:c r="C304" s="1"/>
      <x:c r="D304" s="1"/>
      <x:c r="E304" s="1"/>
      <x:c r="F304" s="1"/>
      <x:c r="G304" s="1"/>
      <x:c r="H304" s="1"/>
      <x:c r="I304" s="1"/>
      <x:c r="J304" s="1"/>
      <x:c r="K304" s="1"/>
    </x:row>
    <x:row r="305" ht="14.5">
      <x:c r="A305" s="1"/>
      <x:c r="B305" s="1"/>
      <x:c r="C305" s="1"/>
      <x:c r="D305" s="1"/>
      <x:c r="E305" s="1"/>
      <x:c r="F305" s="1"/>
      <x:c r="G305" s="1"/>
      <x:c r="H305" s="1"/>
      <x:c r="I305" s="1"/>
      <x:c r="J305" s="1"/>
      <x:c r="K305" s="1"/>
    </x:row>
    <x:row r="306" ht="14.5">
      <x:c r="A306" s="1"/>
      <x:c r="B306" s="1"/>
      <x:c r="C306" s="1"/>
      <x:c r="D306" s="1"/>
      <x:c r="E306" s="1"/>
      <x:c r="F306" s="1"/>
      <x:c r="G306" s="1"/>
      <x:c r="H306" s="1"/>
      <x:c r="I306" s="1"/>
      <x:c r="J306" s="1"/>
      <x:c r="K306" s="1"/>
    </x:row>
    <x:row r="307" ht="14.5">
      <x:c r="A307" s="1"/>
      <x:c r="B307" s="1"/>
      <x:c r="C307" s="1"/>
      <x:c r="D307" s="1"/>
      <x:c r="E307" s="1"/>
      <x:c r="F307" s="1"/>
      <x:c r="G307" s="1"/>
      <x:c r="H307" s="1"/>
      <x:c r="I307" s="1"/>
      <x:c r="J307" s="1"/>
      <x:c r="K307" s="1"/>
    </x:row>
    <x:row r="308" ht="14.5">
      <x:c r="A308" s="1"/>
      <x:c r="B308" s="1"/>
      <x:c r="C308" s="1"/>
      <x:c r="D308" s="1"/>
      <x:c r="E308" s="1"/>
      <x:c r="F308" s="1"/>
      <x:c r="G308" s="1"/>
      <x:c r="H308" s="1"/>
      <x:c r="I308" s="1"/>
      <x:c r="J308" s="1"/>
      <x:c r="K308" s="1"/>
    </x:row>
    <x:row r="309" ht="14.5">
      <x:c r="A309" s="1"/>
      <x:c r="B309" s="1"/>
      <x:c r="C309" s="1"/>
      <x:c r="D309" s="1"/>
      <x:c r="E309" s="1"/>
      <x:c r="F309" s="1"/>
      <x:c r="G309" s="1"/>
      <x:c r="H309" s="1"/>
      <x:c r="I309" s="1"/>
      <x:c r="J309" s="1"/>
      <x:c r="K309" s="1"/>
    </x:row>
    <x:row r="310" ht="14.5">
      <x:c r="A310" s="1"/>
      <x:c r="B310" s="1"/>
      <x:c r="C310" s="1"/>
      <x:c r="D310" s="1"/>
      <x:c r="E310" s="1"/>
      <x:c r="F310" s="1"/>
      <x:c r="G310" s="1"/>
      <x:c r="H310" s="1"/>
      <x:c r="I310" s="1"/>
      <x:c r="J310" s="1"/>
      <x:c r="K310" s="1"/>
    </x:row>
    <x:row r="311" ht="14.5">
      <x:c r="A311" s="1"/>
      <x:c r="B311" s="1"/>
      <x:c r="C311" s="1"/>
      <x:c r="D311" s="1"/>
      <x:c r="E311" s="1"/>
      <x:c r="F311" s="1"/>
      <x:c r="G311" s="1"/>
      <x:c r="H311" s="1"/>
      <x:c r="I311" s="1"/>
      <x:c r="J311" s="1"/>
      <x:c r="K311" s="1"/>
    </x:row>
    <x:row r="312" ht="14.5">
      <x:c r="A312" s="1"/>
      <x:c r="B312" s="1"/>
      <x:c r="C312" s="1"/>
      <x:c r="D312" s="1"/>
      <x:c r="E312" s="1"/>
      <x:c r="F312" s="1"/>
      <x:c r="G312" s="1"/>
      <x:c r="H312" s="1"/>
      <x:c r="I312" s="1"/>
      <x:c r="J312" s="1"/>
      <x:c r="K312" s="1"/>
    </x:row>
    <x:row r="313" ht="14.5">
      <x:c r="A313" s="1"/>
      <x:c r="B313" s="1"/>
      <x:c r="C313" s="1"/>
      <x:c r="D313" s="1"/>
      <x:c r="E313" s="1"/>
      <x:c r="F313" s="1"/>
      <x:c r="G313" s="1"/>
      <x:c r="H313" s="1"/>
      <x:c r="I313" s="1"/>
      <x:c r="J313" s="1"/>
      <x:c r="K313" s="1"/>
    </x:row>
    <x:row r="314" ht="14.5">
      <x:c r="A314" s="1"/>
      <x:c r="B314" s="1"/>
      <x:c r="C314" s="1"/>
      <x:c r="D314" s="1"/>
      <x:c r="E314" s="1"/>
      <x:c r="F314" s="1"/>
      <x:c r="G314" s="1"/>
      <x:c r="H314" s="1"/>
      <x:c r="I314" s="1"/>
      <x:c r="J314" s="1"/>
      <x:c r="K314" s="1"/>
    </x:row>
    <x:row r="315" ht="14.5">
      <x:c r="A315" s="1"/>
      <x:c r="B315" s="1"/>
      <x:c r="C315" s="1"/>
      <x:c r="D315" s="1"/>
      <x:c r="E315" s="1"/>
      <x:c r="F315" s="1"/>
      <x:c r="G315" s="1"/>
      <x:c r="H315" s="1"/>
      <x:c r="I315" s="1"/>
      <x:c r="J315" s="1"/>
      <x:c r="K315" s="1"/>
    </x:row>
    <x:row r="316" ht="14.5">
      <x:c r="A316" s="1"/>
      <x:c r="B316" s="1"/>
      <x:c r="C316" s="1"/>
      <x:c r="D316" s="1"/>
      <x:c r="E316" s="1"/>
      <x:c r="F316" s="1"/>
      <x:c r="G316" s="1"/>
      <x:c r="H316" s="1"/>
      <x:c r="I316" s="1"/>
      <x:c r="J316" s="1"/>
      <x:c r="K316" s="1"/>
    </x:row>
    <x:row r="317" ht="14.5">
      <x:c r="A317" s="1"/>
      <x:c r="B317" s="1"/>
      <x:c r="C317" s="1"/>
      <x:c r="D317" s="1"/>
      <x:c r="E317" s="1"/>
      <x:c r="F317" s="1"/>
      <x:c r="G317" s="1"/>
      <x:c r="H317" s="1"/>
      <x:c r="I317" s="1"/>
      <x:c r="J317" s="1"/>
      <x:c r="K317" s="1"/>
    </x:row>
    <x:row r="318" ht="14.5">
      <x:c r="A318" s="1"/>
      <x:c r="B318" s="1"/>
      <x:c r="C318" s="1"/>
      <x:c r="D318" s="1"/>
      <x:c r="E318" s="1"/>
      <x:c r="F318" s="1"/>
      <x:c r="G318" s="1"/>
      <x:c r="H318" s="1"/>
      <x:c r="I318" s="1"/>
      <x:c r="J318" s="1"/>
      <x:c r="K318" s="1"/>
    </x:row>
    <x:row r="319" ht="14.5">
      <x:c r="A319" s="1"/>
      <x:c r="B319" s="1"/>
      <x:c r="C319" s="1"/>
      <x:c r="D319" s="1"/>
      <x:c r="E319" s="1"/>
      <x:c r="F319" s="1"/>
      <x:c r="G319" s="1"/>
      <x:c r="H319" s="1"/>
      <x:c r="I319" s="1"/>
      <x:c r="J319" s="1"/>
      <x:c r="K319" s="1"/>
    </x:row>
    <x:row r="320" ht="14.5">
      <x:c r="A320" s="1"/>
      <x:c r="B320" s="1"/>
      <x:c r="C320" s="1"/>
      <x:c r="D320" s="1"/>
      <x:c r="E320" s="1"/>
      <x:c r="F320" s="1"/>
      <x:c r="G320" s="1"/>
      <x:c r="H320" s="1"/>
      <x:c r="I320" s="1"/>
      <x:c r="J320" s="1"/>
      <x:c r="K320" s="1"/>
    </x:row>
    <x:row r="321" ht="14.5">
      <x:c r="A321" s="1"/>
      <x:c r="B321" s="1"/>
      <x:c r="C321" s="1"/>
      <x:c r="D321" s="1"/>
      <x:c r="E321" s="1"/>
      <x:c r="F321" s="1"/>
      <x:c r="G321" s="1"/>
      <x:c r="H321" s="1"/>
      <x:c r="I321" s="1"/>
      <x:c r="J321" s="1"/>
      <x:c r="K321" s="1"/>
    </x:row>
    <x:row r="322" ht="14.5">
      <x:c r="A322" s="1"/>
      <x:c r="B322" s="1"/>
      <x:c r="C322" s="1"/>
      <x:c r="D322" s="1"/>
      <x:c r="E322" s="1"/>
      <x:c r="F322" s="1"/>
      <x:c r="G322" s="1"/>
      <x:c r="H322" s="1"/>
      <x:c r="I322" s="1"/>
      <x:c r="J322" s="1"/>
      <x:c r="K322" s="1"/>
    </x:row>
    <x:row r="323" ht="14.5">
      <x:c r="A323" s="1"/>
      <x:c r="B323" s="1"/>
      <x:c r="C323" s="1"/>
      <x:c r="D323" s="1"/>
      <x:c r="E323" s="1"/>
      <x:c r="F323" s="1"/>
      <x:c r="G323" s="1"/>
      <x:c r="H323" s="1"/>
      <x:c r="I323" s="1"/>
      <x:c r="J323" s="1"/>
      <x:c r="K323" s="1"/>
    </x:row>
    <x:row r="324" ht="14.5">
      <x:c r="A324" s="1"/>
      <x:c r="B324" s="1"/>
      <x:c r="C324" s="1"/>
      <x:c r="D324" s="1"/>
      <x:c r="E324" s="1"/>
      <x:c r="F324" s="1"/>
      <x:c r="G324" s="1"/>
      <x:c r="H324" s="1"/>
      <x:c r="I324" s="1"/>
      <x:c r="J324" s="1"/>
      <x:c r="K324" s="1"/>
    </x:row>
    <x:row r="325" ht="14.5">
      <x:c r="A325" s="1"/>
      <x:c r="B325" s="1"/>
      <x:c r="C325" s="1"/>
      <x:c r="D325" s="1"/>
      <x:c r="E325" s="1"/>
      <x:c r="F325" s="1"/>
      <x:c r="G325" s="1"/>
      <x:c r="H325" s="1"/>
      <x:c r="I325" s="1"/>
      <x:c r="J325" s="1"/>
      <x:c r="K325" s="1"/>
    </x:row>
    <x:row r="326" ht="14.5">
      <x:c r="A326" s="1"/>
      <x:c r="B326" s="1"/>
      <x:c r="C326" s="1"/>
      <x:c r="D326" s="1"/>
      <x:c r="E326" s="1"/>
      <x:c r="F326" s="1"/>
      <x:c r="G326" s="1"/>
      <x:c r="H326" s="1"/>
      <x:c r="I326" s="1"/>
      <x:c r="J326" s="1"/>
      <x:c r="K326" s="1"/>
    </x:row>
    <x:row r="327" ht="14.5">
      <x:c r="A327" s="1"/>
      <x:c r="B327" s="1"/>
      <x:c r="C327" s="1"/>
      <x:c r="D327" s="1"/>
      <x:c r="E327" s="1"/>
      <x:c r="F327" s="1"/>
      <x:c r="G327" s="1"/>
      <x:c r="H327" s="1"/>
      <x:c r="I327" s="1"/>
      <x:c r="J327" s="1"/>
      <x:c r="K327" s="1"/>
    </x:row>
    <x:row r="328" ht="14.5">
      <x:c r="A328" s="1"/>
      <x:c r="B328" s="1"/>
      <x:c r="C328" s="1"/>
      <x:c r="D328" s="1"/>
      <x:c r="E328" s="1"/>
      <x:c r="F328" s="1"/>
      <x:c r="G328" s="1"/>
      <x:c r="H328" s="1"/>
      <x:c r="I328" s="1"/>
      <x:c r="J328" s="1"/>
      <x:c r="K328" s="1"/>
    </x:row>
    <x:row r="329" ht="14.5">
      <x:c r="A329" s="1"/>
      <x:c r="B329" s="1"/>
      <x:c r="C329" s="1"/>
      <x:c r="D329" s="1"/>
      <x:c r="E329" s="1"/>
      <x:c r="F329" s="1"/>
      <x:c r="G329" s="1"/>
      <x:c r="H329" s="1"/>
      <x:c r="I329" s="1"/>
      <x:c r="J329" s="1"/>
      <x:c r="K329" s="1"/>
    </x:row>
    <x:row r="330" ht="14.5">
      <x:c r="A330" s="1"/>
      <x:c r="B330" s="1"/>
      <x:c r="C330" s="1"/>
      <x:c r="D330" s="1"/>
      <x:c r="E330" s="1"/>
      <x:c r="F330" s="1"/>
      <x:c r="G330" s="1"/>
      <x:c r="H330" s="1"/>
      <x:c r="I330" s="1"/>
      <x:c r="J330" s="1"/>
      <x:c r="K330" s="1"/>
    </x:row>
    <x:row r="331" ht="14.5">
      <x:c r="A331" s="1"/>
      <x:c r="B331" s="1"/>
      <x:c r="C331" s="1"/>
      <x:c r="D331" s="1"/>
      <x:c r="E331" s="1"/>
      <x:c r="F331" s="1"/>
      <x:c r="G331" s="1"/>
      <x:c r="H331" s="1"/>
      <x:c r="I331" s="1"/>
      <x:c r="J331" s="1"/>
      <x:c r="K331" s="1"/>
    </x:row>
    <x:row r="332" ht="14.5">
      <x:c r="A332" s="1"/>
      <x:c r="B332" s="1"/>
      <x:c r="C332" s="1"/>
      <x:c r="D332" s="1"/>
      <x:c r="E332" s="1"/>
      <x:c r="F332" s="1"/>
      <x:c r="G332" s="1"/>
      <x:c r="H332" s="1"/>
      <x:c r="I332" s="1"/>
      <x:c r="J332" s="1"/>
      <x:c r="K332" s="1"/>
    </x:row>
    <x:row r="333" ht="14.5">
      <x:c r="A333" s="1"/>
      <x:c r="B333" s="1"/>
      <x:c r="C333" s="1"/>
      <x:c r="D333" s="1"/>
      <x:c r="E333" s="1"/>
      <x:c r="F333" s="1"/>
      <x:c r="G333" s="1"/>
      <x:c r="H333" s="1"/>
      <x:c r="I333" s="1"/>
      <x:c r="J333" s="1"/>
      <x:c r="K333" s="1"/>
    </x:row>
    <x:row r="334" ht="14.5">
      <x:c r="A334" s="1"/>
      <x:c r="B334" s="1"/>
      <x:c r="C334" s="1"/>
      <x:c r="D334" s="1"/>
      <x:c r="E334" s="1"/>
      <x:c r="F334" s="1"/>
      <x:c r="G334" s="1"/>
      <x:c r="H334" s="1"/>
      <x:c r="I334" s="1"/>
      <x:c r="J334" s="1"/>
      <x:c r="K334" s="1"/>
    </x:row>
    <x:row r="335" ht="14.5">
      <x:c r="A335" s="1"/>
      <x:c r="B335" s="1"/>
      <x:c r="C335" s="1"/>
      <x:c r="D335" s="1"/>
      <x:c r="E335" s="1"/>
      <x:c r="F335" s="1"/>
      <x:c r="G335" s="1"/>
      <x:c r="H335" s="1"/>
      <x:c r="I335" s="1"/>
      <x:c r="J335" s="1"/>
      <x:c r="K335" s="1"/>
    </x:row>
    <x:row r="336" ht="14.5">
      <x:c r="A336" s="1"/>
      <x:c r="B336" s="1"/>
      <x:c r="C336" s="1"/>
      <x:c r="D336" s="1"/>
      <x:c r="E336" s="1"/>
      <x:c r="F336" s="1"/>
      <x:c r="G336" s="1"/>
      <x:c r="H336" s="1"/>
      <x:c r="I336" s="1"/>
      <x:c r="J336" s="1"/>
      <x:c r="K336" s="1"/>
    </x:row>
    <x:row r="337" ht="14.5">
      <x:c r="A337" s="1"/>
      <x:c r="B337" s="1"/>
      <x:c r="C337" s="1"/>
      <x:c r="D337" s="1"/>
      <x:c r="E337" s="1"/>
      <x:c r="F337" s="1"/>
      <x:c r="G337" s="1"/>
      <x:c r="H337" s="1"/>
      <x:c r="I337" s="1"/>
      <x:c r="J337" s="1"/>
      <x:c r="K337" s="1"/>
    </x:row>
    <x:row r="338" ht="14.5">
      <x:c r="A338" s="1"/>
      <x:c r="B338" s="1"/>
      <x:c r="C338" s="1"/>
      <x:c r="D338" s="1"/>
      <x:c r="E338" s="1"/>
      <x:c r="F338" s="1"/>
      <x:c r="G338" s="1"/>
      <x:c r="H338" s="1"/>
      <x:c r="I338" s="1"/>
      <x:c r="J338" s="1"/>
      <x:c r="K338" s="1"/>
    </x:row>
    <x:row r="339" ht="14.5">
      <x:c r="A339" s="1"/>
      <x:c r="B339" s="1"/>
      <x:c r="C339" s="1"/>
      <x:c r="D339" s="1"/>
      <x:c r="E339" s="1"/>
      <x:c r="F339" s="1"/>
      <x:c r="G339" s="1"/>
      <x:c r="H339" s="1"/>
      <x:c r="I339" s="1"/>
      <x:c r="J339" s="1"/>
      <x:c r="K339" s="1"/>
    </x:row>
    <x:row r="340" ht="14.5">
      <x:c r="A340" s="1"/>
      <x:c r="B340" s="1"/>
      <x:c r="C340" s="1"/>
      <x:c r="D340" s="1"/>
      <x:c r="E340" s="1"/>
      <x:c r="F340" s="1"/>
      <x:c r="G340" s="1"/>
      <x:c r="H340" s="1"/>
      <x:c r="I340" s="1"/>
      <x:c r="J340" s="1"/>
      <x:c r="K340" s="1"/>
    </x:row>
    <x:row r="341" ht="14.5">
      <x:c r="A341" s="1"/>
      <x:c r="B341" s="1"/>
      <x:c r="C341" s="1"/>
      <x:c r="D341" s="1"/>
      <x:c r="E341" s="1"/>
      <x:c r="F341" s="1"/>
      <x:c r="G341" s="1"/>
      <x:c r="H341" s="1"/>
      <x:c r="I341" s="1"/>
      <x:c r="J341" s="1"/>
      <x:c r="K341" s="1"/>
    </x:row>
    <x:row r="342" ht="14.5">
      <x:c r="A342" s="1"/>
      <x:c r="B342" s="1"/>
      <x:c r="C342" s="1"/>
      <x:c r="D342" s="1"/>
      <x:c r="E342" s="1"/>
      <x:c r="F342" s="1"/>
      <x:c r="G342" s="1"/>
      <x:c r="H342" s="1"/>
      <x:c r="I342" s="1"/>
      <x:c r="J342" s="1"/>
      <x:c r="K342" s="1"/>
    </x:row>
    <x:row r="343" ht="14.5">
      <x:c r="A343" s="1"/>
      <x:c r="B343" s="1"/>
      <x:c r="C343" s="1"/>
      <x:c r="D343" s="1"/>
      <x:c r="E343" s="1"/>
      <x:c r="F343" s="1"/>
      <x:c r="G343" s="1"/>
      <x:c r="H343" s="1"/>
      <x:c r="I343" s="1"/>
      <x:c r="J343" s="1"/>
      <x:c r="K343" s="1"/>
    </x:row>
    <x:row r="344" ht="14.5">
      <x:c r="A344" s="1"/>
      <x:c r="B344" s="1"/>
      <x:c r="C344" s="1"/>
      <x:c r="D344" s="1"/>
      <x:c r="E344" s="1"/>
      <x:c r="F344" s="1"/>
      <x:c r="G344" s="1"/>
      <x:c r="H344" s="1"/>
      <x:c r="I344" s="1"/>
      <x:c r="J344" s="1"/>
      <x:c r="K344" s="1"/>
    </x:row>
    <x:row r="345" ht="14.5">
      <x:c r="A345" s="1"/>
      <x:c r="B345" s="1"/>
      <x:c r="C345" s="1"/>
      <x:c r="D345" s="1"/>
      <x:c r="E345" s="1"/>
      <x:c r="F345" s="1"/>
      <x:c r="G345" s="1"/>
      <x:c r="H345" s="1"/>
      <x:c r="I345" s="1"/>
      <x:c r="J345" s="1"/>
      <x:c r="K345" s="1"/>
    </x:row>
    <x:row r="346" ht="14.5">
      <x:c r="A346" s="1"/>
      <x:c r="B346" s="1"/>
      <x:c r="C346" s="1"/>
      <x:c r="D346" s="1"/>
      <x:c r="E346" s="1"/>
      <x:c r="F346" s="1"/>
      <x:c r="G346" s="1"/>
      <x:c r="H346" s="1"/>
      <x:c r="I346" s="1"/>
      <x:c r="J346" s="1"/>
      <x:c r="K346" s="1"/>
    </x:row>
    <x:row r="347" ht="14.5">
      <x:c r="A347" s="1"/>
      <x:c r="B347" s="1"/>
      <x:c r="C347" s="1"/>
      <x:c r="D347" s="1"/>
      <x:c r="E347" s="1"/>
      <x:c r="F347" s="1"/>
      <x:c r="G347" s="1"/>
      <x:c r="H347" s="1"/>
      <x:c r="I347" s="1"/>
      <x:c r="J347" s="1"/>
      <x:c r="K347" s="1"/>
    </x:row>
    <x:row r="348" ht="14.5">
      <x:c r="A348" s="1"/>
      <x:c r="B348" s="1"/>
      <x:c r="C348" s="1"/>
      <x:c r="D348" s="1"/>
      <x:c r="E348" s="1"/>
      <x:c r="F348" s="1"/>
      <x:c r="G348" s="1"/>
      <x:c r="H348" s="1"/>
      <x:c r="I348" s="1"/>
      <x:c r="J348" s="1"/>
      <x:c r="K348" s="1"/>
    </x:row>
    <x:row r="349" ht="14.5">
      <x:c r="A349" s="1"/>
      <x:c r="B349" s="1"/>
      <x:c r="C349" s="1"/>
      <x:c r="D349" s="1"/>
      <x:c r="E349" s="1"/>
      <x:c r="F349" s="1"/>
      <x:c r="G349" s="1"/>
      <x:c r="H349" s="1"/>
      <x:c r="I349" s="1"/>
      <x:c r="J349" s="1"/>
      <x:c r="K349" s="1"/>
    </x:row>
    <x:row r="350" ht="14.5">
      <x:c r="A350" s="1"/>
      <x:c r="B350" s="1"/>
      <x:c r="C350" s="1"/>
      <x:c r="D350" s="1"/>
      <x:c r="E350" s="1"/>
      <x:c r="F350" s="1"/>
      <x:c r="G350" s="1"/>
      <x:c r="H350" s="1"/>
      <x:c r="I350" s="1"/>
      <x:c r="J350" s="1"/>
      <x:c r="K350" s="1"/>
    </x:row>
    <x:row r="351" ht="14.5">
      <x:c r="A351" s="1"/>
      <x:c r="B351" s="1"/>
      <x:c r="C351" s="1"/>
      <x:c r="D351" s="1"/>
      <x:c r="E351" s="1"/>
      <x:c r="F351" s="1"/>
      <x:c r="G351" s="1"/>
      <x:c r="H351" s="1"/>
      <x:c r="I351" s="1"/>
      <x:c r="J351" s="1"/>
      <x:c r="K351" s="1"/>
    </x:row>
    <x:row r="352" ht="14.5">
      <x:c r="A352" s="1"/>
      <x:c r="B352" s="1"/>
      <x:c r="C352" s="1"/>
      <x:c r="D352" s="1"/>
      <x:c r="E352" s="1"/>
      <x:c r="F352" s="1"/>
      <x:c r="G352" s="1"/>
      <x:c r="H352" s="1"/>
      <x:c r="I352" s="1"/>
      <x:c r="J352" s="1"/>
      <x:c r="K352" s="1"/>
    </x:row>
    <x:row r="353" ht="14.5">
      <x:c r="A353" s="1"/>
      <x:c r="B353" s="1"/>
      <x:c r="C353" s="1"/>
      <x:c r="D353" s="1"/>
      <x:c r="E353" s="1"/>
      <x:c r="F353" s="1"/>
      <x:c r="G353" s="1"/>
      <x:c r="H353" s="1"/>
      <x:c r="I353" s="1"/>
      <x:c r="J353" s="1"/>
      <x:c r="K353" s="1"/>
    </x:row>
    <x:row r="354" ht="14.5">
      <x:c r="A354" s="1"/>
      <x:c r="B354" s="1"/>
      <x:c r="C354" s="1"/>
      <x:c r="D354" s="1"/>
      <x:c r="E354" s="1"/>
      <x:c r="F354" s="1"/>
      <x:c r="G354" s="1"/>
      <x:c r="H354" s="1"/>
      <x:c r="I354" s="1"/>
      <x:c r="J354" s="1"/>
      <x:c r="K354" s="1"/>
    </x:row>
    <x:row r="355" ht="14.5">
      <x:c r="A355" s="1"/>
      <x:c r="B355" s="1"/>
      <x:c r="C355" s="1"/>
      <x:c r="D355" s="1"/>
      <x:c r="E355" s="1"/>
      <x:c r="F355" s="1"/>
      <x:c r="G355" s="1"/>
      <x:c r="H355" s="1"/>
      <x:c r="I355" s="1"/>
      <x:c r="J355" s="1"/>
      <x:c r="K355" s="1"/>
    </x:row>
    <x:row r="356" ht="14.5">
      <x:c r="A356" s="1"/>
      <x:c r="B356" s="1"/>
      <x:c r="C356" s="1"/>
      <x:c r="D356" s="1"/>
      <x:c r="E356" s="1"/>
      <x:c r="F356" s="1"/>
      <x:c r="G356" s="1"/>
      <x:c r="H356" s="1"/>
      <x:c r="I356" s="1"/>
      <x:c r="J356" s="1"/>
      <x:c r="K356" s="1"/>
    </x:row>
    <x:row r="357" ht="14.5">
      <x:c r="A357" s="1"/>
      <x:c r="B357" s="1"/>
      <x:c r="C357" s="1"/>
      <x:c r="D357" s="1"/>
      <x:c r="E357" s="1"/>
      <x:c r="F357" s="1"/>
      <x:c r="G357" s="1"/>
      <x:c r="H357" s="1"/>
      <x:c r="I357" s="1"/>
      <x:c r="J357" s="1"/>
      <x:c r="K357" s="1"/>
    </x:row>
    <x:row r="358" ht="14.5">
      <x:c r="A358" s="1"/>
      <x:c r="B358" s="1"/>
      <x:c r="C358" s="1"/>
      <x:c r="D358" s="1"/>
      <x:c r="E358" s="1"/>
      <x:c r="F358" s="1"/>
      <x:c r="G358" s="1"/>
      <x:c r="H358" s="1"/>
      <x:c r="I358" s="1"/>
      <x:c r="J358" s="1"/>
      <x:c r="K358" s="1"/>
    </x:row>
    <x:row r="359" ht="14.5">
      <x:c r="A359" s="1"/>
      <x:c r="B359" s="1"/>
      <x:c r="C359" s="1"/>
      <x:c r="D359" s="1"/>
      <x:c r="E359" s="1"/>
      <x:c r="F359" s="1"/>
      <x:c r="G359" s="1"/>
      <x:c r="H359" s="1"/>
      <x:c r="I359" s="1"/>
      <x:c r="J359" s="1"/>
      <x:c r="K359" s="1"/>
    </x:row>
    <x:row r="360" ht="14.5">
      <x:c r="A360" s="1"/>
      <x:c r="B360" s="1"/>
      <x:c r="C360" s="1"/>
      <x:c r="D360" s="1"/>
      <x:c r="E360" s="1"/>
      <x:c r="F360" s="1"/>
      <x:c r="G360" s="1"/>
      <x:c r="H360" s="1"/>
      <x:c r="I360" s="1"/>
      <x:c r="J360" s="1"/>
      <x:c r="K360" s="1"/>
    </x:row>
    <x:row r="361" ht="14.5">
      <x:c r="A361" s="1"/>
      <x:c r="B361" s="1"/>
      <x:c r="C361" s="1"/>
      <x:c r="D361" s="1"/>
      <x:c r="E361" s="1"/>
      <x:c r="F361" s="1"/>
      <x:c r="G361" s="1"/>
      <x:c r="H361" s="1"/>
      <x:c r="I361" s="1"/>
      <x:c r="J361" s="1"/>
      <x:c r="K361" s="1"/>
    </x:row>
    <x:row r="362" ht="14.5">
      <x:c r="A362" s="1"/>
      <x:c r="B362" s="1"/>
      <x:c r="C362" s="1"/>
      <x:c r="D362" s="1"/>
      <x:c r="E362" s="1"/>
      <x:c r="F362" s="1"/>
      <x:c r="G362" s="1"/>
      <x:c r="H362" s="1"/>
      <x:c r="I362" s="1"/>
      <x:c r="J362" s="1"/>
      <x:c r="K362" s="1"/>
    </x:row>
    <x:row r="363" ht="14.5">
      <x:c r="A363" s="1"/>
      <x:c r="B363" s="1"/>
      <x:c r="C363" s="1"/>
      <x:c r="D363" s="1"/>
      <x:c r="E363" s="1"/>
      <x:c r="F363" s="1"/>
      <x:c r="G363" s="1"/>
      <x:c r="H363" s="1"/>
      <x:c r="I363" s="1"/>
      <x:c r="J363" s="1"/>
      <x:c r="K363" s="1"/>
    </x:row>
    <x:row r="364" ht="14.5">
      <x:c r="A364" s="1"/>
      <x:c r="B364" s="1"/>
      <x:c r="C364" s="1"/>
      <x:c r="D364" s="1"/>
      <x:c r="E364" s="1"/>
      <x:c r="F364" s="1"/>
      <x:c r="G364" s="1"/>
      <x:c r="H364" s="1"/>
      <x:c r="I364" s="1"/>
      <x:c r="J364" s="1"/>
      <x:c r="K364" s="1"/>
    </x:row>
    <x:row r="365" ht="14.5">
      <x:c r="A365" s="1"/>
      <x:c r="B365" s="1"/>
      <x:c r="C365" s="1"/>
      <x:c r="D365" s="1"/>
      <x:c r="E365" s="1"/>
      <x:c r="F365" s="1"/>
      <x:c r="G365" s="1"/>
      <x:c r="H365" s="1"/>
      <x:c r="I365" s="1"/>
      <x:c r="J365" s="1"/>
      <x:c r="K365" s="1"/>
    </x:row>
    <x:row r="366" ht="14.5">
      <x:c r="A366" s="1"/>
      <x:c r="B366" s="1"/>
      <x:c r="C366" s="1"/>
      <x:c r="D366" s="1"/>
      <x:c r="E366" s="1"/>
      <x:c r="F366" s="1"/>
      <x:c r="G366" s="1"/>
      <x:c r="H366" s="1"/>
      <x:c r="I366" s="1"/>
      <x:c r="J366" s="1"/>
      <x:c r="K366" s="1"/>
    </x:row>
    <x:row r="367" ht="14.5">
      <x:c r="A367" s="1"/>
      <x:c r="B367" s="1"/>
      <x:c r="C367" s="1"/>
      <x:c r="D367" s="1"/>
      <x:c r="E367" s="1"/>
      <x:c r="F367" s="1"/>
      <x:c r="G367" s="1"/>
      <x:c r="H367" s="1"/>
      <x:c r="I367" s="1"/>
      <x:c r="J367" s="1"/>
      <x:c r="K367" s="1"/>
    </x:row>
    <x:row r="368" ht="14.5">
      <x:c r="A368" s="1"/>
      <x:c r="B368" s="1"/>
      <x:c r="C368" s="1"/>
      <x:c r="D368" s="1"/>
      <x:c r="E368" s="1"/>
      <x:c r="F368" s="1"/>
      <x:c r="G368" s="1"/>
      <x:c r="H368" s="1"/>
      <x:c r="I368" s="1"/>
      <x:c r="J368" s="1"/>
      <x:c r="K368" s="1"/>
    </x:row>
    <x:row r="369" ht="14.5">
      <x:c r="A369" s="1"/>
      <x:c r="B369" s="1"/>
      <x:c r="C369" s="1"/>
      <x:c r="D369" s="1"/>
      <x:c r="E369" s="1"/>
      <x:c r="F369" s="1"/>
      <x:c r="G369" s="1"/>
      <x:c r="H369" s="1"/>
      <x:c r="I369" s="1"/>
      <x:c r="J369" s="1"/>
      <x:c r="K369" s="1"/>
    </x:row>
    <x:row r="370" ht="14.5">
      <x:c r="A370" s="1"/>
      <x:c r="B370" s="1"/>
      <x:c r="C370" s="1"/>
      <x:c r="D370" s="1"/>
      <x:c r="E370" s="1"/>
      <x:c r="F370" s="1"/>
      <x:c r="G370" s="1"/>
      <x:c r="H370" s="1"/>
      <x:c r="I370" s="1"/>
      <x:c r="J370" s="1"/>
      <x:c r="K370" s="1"/>
    </x:row>
    <x:row r="371" ht="14.5">
      <x:c r="A371" s="1"/>
      <x:c r="B371" s="1"/>
      <x:c r="C371" s="1"/>
      <x:c r="D371" s="1"/>
      <x:c r="E371" s="1"/>
      <x:c r="F371" s="1"/>
      <x:c r="G371" s="1"/>
      <x:c r="H371" s="1"/>
      <x:c r="I371" s="1"/>
      <x:c r="J371" s="1"/>
      <x:c r="K371" s="1"/>
    </x:row>
    <x:row r="372" ht="14.5">
      <x:c r="A372" s="1"/>
      <x:c r="B372" s="1"/>
      <x:c r="C372" s="1"/>
      <x:c r="D372" s="1"/>
      <x:c r="E372" s="1"/>
      <x:c r="F372" s="1"/>
      <x:c r="G372" s="1"/>
      <x:c r="H372" s="1"/>
      <x:c r="I372" s="1"/>
      <x:c r="J372" s="1"/>
      <x:c r="K372" s="1"/>
    </x:row>
    <x:row r="373" ht="14.5">
      <x:c r="A373" s="1"/>
      <x:c r="B373" s="1"/>
      <x:c r="C373" s="1"/>
      <x:c r="D373" s="1"/>
      <x:c r="E373" s="1"/>
      <x:c r="F373" s="1"/>
      <x:c r="G373" s="1"/>
      <x:c r="H373" s="1"/>
      <x:c r="I373" s="1"/>
      <x:c r="J373" s="1"/>
      <x:c r="K373" s="1"/>
    </x:row>
    <x:row r="374" ht="14.5">
      <x:c r="A374" s="1"/>
      <x:c r="B374" s="1"/>
      <x:c r="C374" s="1"/>
      <x:c r="D374" s="1"/>
      <x:c r="E374" s="1"/>
      <x:c r="F374" s="1"/>
      <x:c r="G374" s="1"/>
      <x:c r="H374" s="1"/>
      <x:c r="I374" s="1"/>
      <x:c r="J374" s="1"/>
      <x:c r="K374" s="1"/>
    </x:row>
    <x:row r="375" ht="14.5">
      <x:c r="A375" s="1"/>
      <x:c r="B375" s="1"/>
      <x:c r="C375" s="1"/>
      <x:c r="D375" s="1"/>
      <x:c r="E375" s="1"/>
      <x:c r="F375" s="1"/>
      <x:c r="G375" s="1"/>
      <x:c r="H375" s="1"/>
      <x:c r="I375" s="1"/>
      <x:c r="J375" s="1"/>
      <x:c r="K375" s="1"/>
    </x:row>
    <x:row r="376" ht="14.5">
      <x:c r="A376" s="1"/>
      <x:c r="B376" s="1"/>
      <x:c r="C376" s="1"/>
      <x:c r="D376" s="1"/>
      <x:c r="E376" s="1"/>
      <x:c r="F376" s="1"/>
      <x:c r="G376" s="1"/>
      <x:c r="H376" s="1"/>
      <x:c r="I376" s="1"/>
      <x:c r="J376" s="1"/>
      <x:c r="K376" s="1"/>
    </x:row>
    <x:row r="377" ht="14.5">
      <x:c r="A377" s="1"/>
      <x:c r="B377" s="1"/>
      <x:c r="C377" s="1"/>
      <x:c r="D377" s="1"/>
      <x:c r="E377" s="1"/>
      <x:c r="F377" s="1"/>
      <x:c r="G377" s="1"/>
      <x:c r="H377" s="1"/>
      <x:c r="I377" s="1"/>
      <x:c r="J377" s="1"/>
      <x:c r="K377" s="1"/>
    </x:row>
    <x:row r="378" ht="14.5">
      <x:c r="A378" s="1"/>
      <x:c r="B378" s="1"/>
      <x:c r="C378" s="1"/>
      <x:c r="D378" s="1"/>
      <x:c r="E378" s="1"/>
      <x:c r="F378" s="1"/>
      <x:c r="G378" s="1"/>
      <x:c r="H378" s="1"/>
      <x:c r="I378" s="1"/>
      <x:c r="J378" s="1"/>
      <x:c r="K378" s="1"/>
    </x:row>
    <x:row r="379" ht="14.5">
      <x:c r="A379" s="1"/>
      <x:c r="B379" s="1"/>
      <x:c r="C379" s="1"/>
      <x:c r="D379" s="1"/>
      <x:c r="E379" s="1"/>
      <x:c r="F379" s="1"/>
      <x:c r="G379" s="1"/>
      <x:c r="H379" s="1"/>
      <x:c r="I379" s="1"/>
      <x:c r="J379" s="1"/>
      <x:c r="K379" s="1"/>
    </x:row>
    <x:row r="380" ht="14.5">
      <x:c r="A380" s="1"/>
      <x:c r="B380" s="1"/>
      <x:c r="C380" s="1"/>
      <x:c r="D380" s="1"/>
      <x:c r="E380" s="1"/>
      <x:c r="F380" s="1"/>
      <x:c r="G380" s="1"/>
      <x:c r="H380" s="1"/>
      <x:c r="I380" s="1"/>
      <x:c r="J380" s="1"/>
      <x:c r="K380" s="1"/>
    </x:row>
    <x:row r="381" ht="14.5">
      <x:c r="A381" s="1"/>
      <x:c r="B381" s="1"/>
      <x:c r="C381" s="1"/>
      <x:c r="D381" s="1"/>
      <x:c r="E381" s="1"/>
      <x:c r="F381" s="1"/>
      <x:c r="G381" s="1"/>
      <x:c r="H381" s="1"/>
      <x:c r="I381" s="1"/>
      <x:c r="J381" s="1"/>
      <x:c r="K381" s="1"/>
    </x:row>
    <x:row r="382" ht="14.5">
      <x:c r="A382" s="1"/>
      <x:c r="B382" s="1"/>
      <x:c r="C382" s="1"/>
      <x:c r="D382" s="1"/>
      <x:c r="E382" s="1"/>
      <x:c r="F382" s="1"/>
      <x:c r="G382" s="1"/>
      <x:c r="H382" s="1"/>
      <x:c r="I382" s="1"/>
      <x:c r="J382" s="1"/>
      <x:c r="K382" s="1"/>
    </x:row>
    <x:row r="383" ht="14.5">
      <x:c r="A383" s="1"/>
      <x:c r="B383" s="1"/>
      <x:c r="C383" s="1"/>
      <x:c r="D383" s="1"/>
      <x:c r="E383" s="1"/>
      <x:c r="F383" s="1"/>
      <x:c r="G383" s="1"/>
      <x:c r="H383" s="1"/>
      <x:c r="I383" s="1"/>
      <x:c r="J383" s="1"/>
      <x:c r="K383" s="1"/>
    </x:row>
    <x:row r="384" ht="14.5">
      <x:c r="A384" s="1"/>
      <x:c r="B384" s="1"/>
      <x:c r="C384" s="1"/>
      <x:c r="D384" s="1"/>
      <x:c r="E384" s="1"/>
      <x:c r="F384" s="1"/>
      <x:c r="G384" s="1"/>
      <x:c r="H384" s="1"/>
      <x:c r="I384" s="1"/>
      <x:c r="J384" s="1"/>
      <x:c r="K384" s="1"/>
    </x:row>
    <x:row r="385" ht="14.5">
      <x:c r="A385" s="1"/>
      <x:c r="B385" s="1"/>
      <x:c r="C385" s="1"/>
      <x:c r="D385" s="1"/>
      <x:c r="E385" s="1"/>
      <x:c r="F385" s="1"/>
      <x:c r="G385" s="1"/>
      <x:c r="H385" s="1"/>
      <x:c r="I385" s="1"/>
      <x:c r="J385" s="1"/>
      <x:c r="K385" s="1"/>
    </x:row>
    <x:row r="386" ht="14.5">
      <x:c r="A386" s="1"/>
      <x:c r="B386" s="1"/>
      <x:c r="C386" s="1"/>
      <x:c r="D386" s="1"/>
      <x:c r="E386" s="1"/>
      <x:c r="F386" s="1"/>
      <x:c r="G386" s="1"/>
      <x:c r="H386" s="1"/>
      <x:c r="I386" s="1"/>
      <x:c r="J386" s="1"/>
      <x:c r="K386" s="1"/>
    </x:row>
    <x:row r="387" ht="14.5">
      <x:c r="A387" s="1"/>
      <x:c r="B387" s="1"/>
      <x:c r="C387" s="1"/>
      <x:c r="D387" s="1"/>
      <x:c r="E387" s="1"/>
      <x:c r="F387" s="1"/>
      <x:c r="G387" s="1"/>
      <x:c r="H387" s="1"/>
      <x:c r="I387" s="1"/>
      <x:c r="J387" s="1"/>
      <x:c r="K387" s="1"/>
    </x:row>
    <x:row r="388" ht="14.5">
      <x:c r="A388" s="1"/>
      <x:c r="B388" s="1"/>
      <x:c r="C388" s="1"/>
      <x:c r="D388" s="1"/>
      <x:c r="E388" s="1"/>
      <x:c r="F388" s="1"/>
      <x:c r="G388" s="1"/>
      <x:c r="H388" s="1"/>
      <x:c r="I388" s="1"/>
      <x:c r="J388" s="1"/>
      <x:c r="K388" s="1"/>
    </x:row>
    <x:row r="389" ht="14.5">
      <x:c r="A389" s="1"/>
      <x:c r="B389" s="1"/>
      <x:c r="C389" s="1"/>
      <x:c r="D389" s="1"/>
      <x:c r="E389" s="1"/>
      <x:c r="F389" s="1"/>
      <x:c r="G389" s="1"/>
      <x:c r="H389" s="1"/>
      <x:c r="I389" s="1"/>
      <x:c r="J389" s="1"/>
      <x:c r="K389" s="1"/>
    </x:row>
    <x:row r="390" ht="14.5">
      <x:c r="A390" s="1"/>
      <x:c r="B390" s="1"/>
      <x:c r="C390" s="1"/>
      <x:c r="D390" s="1"/>
      <x:c r="E390" s="1"/>
      <x:c r="F390" s="1"/>
      <x:c r="G390" s="1"/>
      <x:c r="H390" s="1"/>
      <x:c r="I390" s="1"/>
      <x:c r="J390" s="1"/>
      <x:c r="K390" s="1"/>
    </x:row>
    <x:row r="391" ht="14.5">
      <x:c r="A391" s="1"/>
      <x:c r="B391" s="1"/>
      <x:c r="C391" s="1"/>
      <x:c r="D391" s="1"/>
      <x:c r="E391" s="1"/>
      <x:c r="F391" s="1"/>
      <x:c r="G391" s="1"/>
      <x:c r="H391" s="1"/>
      <x:c r="I391" s="1"/>
      <x:c r="J391" s="1"/>
      <x:c r="K391" s="1"/>
    </x:row>
    <x:row r="392" ht="14.5">
      <x:c r="A392" s="1"/>
      <x:c r="B392" s="1"/>
      <x:c r="C392" s="1"/>
      <x:c r="D392" s="1"/>
      <x:c r="E392" s="1"/>
      <x:c r="F392" s="1"/>
      <x:c r="G392" s="1"/>
      <x:c r="H392" s="1"/>
      <x:c r="I392" s="1"/>
      <x:c r="J392" s="1"/>
      <x:c r="K392" s="1"/>
    </x:row>
    <x:row r="393" ht="14.5">
      <x:c r="A393" s="1"/>
      <x:c r="B393" s="1"/>
      <x:c r="C393" s="1"/>
      <x:c r="D393" s="1"/>
      <x:c r="E393" s="1"/>
      <x:c r="F393" s="1"/>
      <x:c r="G393" s="1"/>
      <x:c r="H393" s="1"/>
      <x:c r="I393" s="1"/>
      <x:c r="J393" s="1"/>
      <x:c r="K393" s="1"/>
    </x:row>
    <x:row r="394" ht="14.5">
      <x:c r="A394" s="1"/>
      <x:c r="B394" s="1"/>
      <x:c r="C394" s="1"/>
      <x:c r="D394" s="1"/>
      <x:c r="E394" s="1"/>
      <x:c r="F394" s="1"/>
      <x:c r="G394" s="1"/>
      <x:c r="H394" s="1"/>
      <x:c r="I394" s="1"/>
      <x:c r="J394" s="1"/>
      <x:c r="K394" s="1"/>
    </x:row>
    <x:row r="395" ht="14.5">
      <x:c r="A395" s="1"/>
      <x:c r="B395" s="1"/>
      <x:c r="C395" s="1"/>
      <x:c r="D395" s="1"/>
      <x:c r="E395" s="1"/>
      <x:c r="F395" s="1"/>
      <x:c r="G395" s="1"/>
      <x:c r="H395" s="1"/>
      <x:c r="I395" s="1"/>
      <x:c r="J395" s="1"/>
      <x:c r="K395" s="1"/>
    </x:row>
    <x:row r="396" ht="14.5">
      <x:c r="A396" s="1"/>
      <x:c r="B396" s="1"/>
      <x:c r="C396" s="1"/>
      <x:c r="D396" s="1"/>
      <x:c r="E396" s="1"/>
      <x:c r="F396" s="1"/>
      <x:c r="G396" s="1"/>
      <x:c r="H396" s="1"/>
      <x:c r="I396" s="1"/>
      <x:c r="J396" s="1"/>
      <x:c r="K396" s="1"/>
    </x:row>
    <x:row r="397" ht="14.5">
      <x:c r="A397" s="1"/>
      <x:c r="B397" s="1"/>
      <x:c r="C397" s="1"/>
      <x:c r="D397" s="1"/>
      <x:c r="E397" s="1"/>
      <x:c r="F397" s="1"/>
      <x:c r="G397" s="1"/>
      <x:c r="H397" s="1"/>
      <x:c r="I397" s="1"/>
      <x:c r="J397" s="1"/>
      <x:c r="K397" s="1"/>
    </x:row>
    <x:row r="398" ht="14.5">
      <x:c r="A398" s="1"/>
      <x:c r="B398" s="1"/>
      <x:c r="C398" s="1"/>
      <x:c r="D398" s="1"/>
      <x:c r="E398" s="1"/>
      <x:c r="F398" s="1"/>
      <x:c r="G398" s="1"/>
      <x:c r="H398" s="1"/>
      <x:c r="I398" s="1"/>
      <x:c r="J398" s="1"/>
      <x:c r="K398" s="1"/>
    </x:row>
    <x:row r="399" ht="14.5">
      <x:c r="A399" s="1"/>
      <x:c r="B399" s="1"/>
      <x:c r="C399" s="1"/>
      <x:c r="D399" s="1"/>
      <x:c r="E399" s="1"/>
      <x:c r="F399" s="1"/>
      <x:c r="G399" s="1"/>
      <x:c r="H399" s="1"/>
      <x:c r="I399" s="1"/>
      <x:c r="J399" s="1"/>
      <x:c r="K399" s="1"/>
    </x:row>
    <x:row r="400" ht="14.5">
      <x:c r="A400" s="1"/>
      <x:c r="B400" s="1"/>
      <x:c r="C400" s="1"/>
      <x:c r="D400" s="1"/>
      <x:c r="E400" s="1"/>
      <x:c r="F400" s="1"/>
      <x:c r="G400" s="1"/>
      <x:c r="H400" s="1"/>
      <x:c r="I400" s="1"/>
      <x:c r="J400" s="1"/>
      <x:c r="K400" s="1"/>
    </x:row>
    <x:row r="401" ht="14.5">
      <x:c r="A401" s="1"/>
      <x:c r="B401" s="1"/>
      <x:c r="C401" s="1"/>
      <x:c r="D401" s="1"/>
      <x:c r="E401" s="1"/>
      <x:c r="F401" s="1"/>
      <x:c r="G401" s="1"/>
      <x:c r="H401" s="1"/>
      <x:c r="I401" s="1"/>
      <x:c r="J401" s="1"/>
      <x:c r="K401" s="1"/>
    </x:row>
    <x:row r="402" ht="14.5">
      <x:c r="A402" s="1"/>
      <x:c r="B402" s="1"/>
      <x:c r="C402" s="1"/>
      <x:c r="D402" s="1"/>
      <x:c r="E402" s="1"/>
      <x:c r="F402" s="1"/>
      <x:c r="G402" s="1"/>
      <x:c r="H402" s="1"/>
      <x:c r="I402" s="1"/>
      <x:c r="J402" s="1"/>
      <x:c r="K402" s="1"/>
    </x:row>
    <x:row r="403" ht="14.5">
      <x:c r="A403" s="1"/>
      <x:c r="B403" s="1"/>
      <x:c r="C403" s="1"/>
      <x:c r="D403" s="1"/>
      <x:c r="E403" s="1"/>
      <x:c r="F403" s="1"/>
      <x:c r="G403" s="1"/>
      <x:c r="H403" s="1"/>
      <x:c r="I403" s="1"/>
      <x:c r="J403" s="1"/>
      <x:c r="K403" s="1"/>
    </x:row>
    <x:row r="404" ht="14.5">
      <x:c r="A404" s="1"/>
      <x:c r="B404" s="1"/>
      <x:c r="C404" s="1"/>
      <x:c r="D404" s="1"/>
      <x:c r="E404" s="1"/>
      <x:c r="F404" s="1"/>
      <x:c r="G404" s="1"/>
      <x:c r="H404" s="1"/>
      <x:c r="I404" s="1"/>
      <x:c r="J404" s="1"/>
      <x:c r="K404" s="1"/>
    </x:row>
    <x:row r="405" ht="14.5">
      <x:c r="A405" s="1"/>
      <x:c r="B405" s="1"/>
      <x:c r="C405" s="1"/>
      <x:c r="D405" s="1"/>
      <x:c r="E405" s="1"/>
      <x:c r="F405" s="1"/>
      <x:c r="G405" s="1"/>
      <x:c r="H405" s="1"/>
      <x:c r="I405" s="1"/>
      <x:c r="J405" s="1"/>
      <x:c r="K405" s="1"/>
    </x:row>
    <x:row r="406" ht="14.5">
      <x:c r="A406" s="1"/>
      <x:c r="B406" s="1"/>
      <x:c r="C406" s="1"/>
      <x:c r="D406" s="1"/>
      <x:c r="E406" s="1"/>
      <x:c r="F406" s="1"/>
      <x:c r="G406" s="1"/>
      <x:c r="H406" s="1"/>
      <x:c r="I406" s="1"/>
      <x:c r="J406" s="1"/>
      <x:c r="K406" s="1"/>
    </x:row>
    <x:row r="407" ht="14.5">
      <x:c r="A407" s="1"/>
      <x:c r="B407" s="1"/>
      <x:c r="C407" s="1"/>
      <x:c r="D407" s="1"/>
      <x:c r="E407" s="1"/>
      <x:c r="F407" s="1"/>
      <x:c r="G407" s="1"/>
      <x:c r="H407" s="1"/>
      <x:c r="I407" s="1"/>
      <x:c r="J407" s="1"/>
      <x:c r="K407" s="1"/>
    </x:row>
    <x:row r="408" ht="14.5">
      <x:c r="A408" s="1"/>
      <x:c r="B408" s="1"/>
      <x:c r="C408" s="1"/>
      <x:c r="D408" s="1"/>
      <x:c r="E408" s="1"/>
      <x:c r="F408" s="1"/>
      <x:c r="G408" s="1"/>
      <x:c r="H408" s="1"/>
      <x:c r="I408" s="1"/>
      <x:c r="J408" s="1"/>
      <x:c r="K408" s="1"/>
    </x:row>
    <x:row r="409" ht="14.5">
      <x:c r="A409" s="1"/>
      <x:c r="B409" s="1"/>
      <x:c r="C409" s="1"/>
      <x:c r="D409" s="1"/>
      <x:c r="E409" s="1"/>
      <x:c r="F409" s="1"/>
      <x:c r="G409" s="1"/>
      <x:c r="H409" s="1"/>
      <x:c r="I409" s="1"/>
      <x:c r="J409" s="1"/>
      <x:c r="K409" s="1"/>
    </x:row>
    <x:row r="410" ht="14.5">
      <x:c r="A410" s="1"/>
      <x:c r="B410" s="1"/>
      <x:c r="C410" s="1"/>
      <x:c r="D410" s="1"/>
      <x:c r="E410" s="1"/>
      <x:c r="F410" s="1"/>
      <x:c r="G410" s="1"/>
      <x:c r="H410" s="1"/>
      <x:c r="I410" s="1"/>
      <x:c r="J410" s="1"/>
      <x:c r="K410" s="1"/>
    </x:row>
    <x:row r="411" ht="14.5">
      <x:c r="A411" s="1"/>
      <x:c r="B411" s="1"/>
      <x:c r="C411" s="1"/>
      <x:c r="D411" s="1"/>
      <x:c r="E411" s="1"/>
      <x:c r="F411" s="1"/>
      <x:c r="G411" s="1"/>
      <x:c r="H411" s="1"/>
      <x:c r="I411" s="1"/>
      <x:c r="J411" s="1"/>
      <x:c r="K411" s="1"/>
    </x:row>
    <x:row r="412" ht="14.5">
      <x:c r="A412" s="1"/>
      <x:c r="B412" s="1"/>
      <x:c r="C412" s="1"/>
      <x:c r="D412" s="1"/>
      <x:c r="E412" s="1"/>
      <x:c r="F412" s="1"/>
      <x:c r="G412" s="1"/>
      <x:c r="H412" s="1"/>
      <x:c r="I412" s="1"/>
      <x:c r="J412" s="1"/>
      <x:c r="K412" s="1"/>
    </x:row>
    <x:row r="413" ht="14.5">
      <x:c r="A413" s="1"/>
      <x:c r="B413" s="1"/>
      <x:c r="C413" s="1"/>
      <x:c r="D413" s="1"/>
      <x:c r="E413" s="1"/>
      <x:c r="F413" s="1"/>
      <x:c r="G413" s="1"/>
      <x:c r="H413" s="1"/>
      <x:c r="I413" s="1"/>
      <x:c r="J413" s="1"/>
      <x:c r="K413" s="1"/>
    </x:row>
    <x:row r="414" ht="14.5">
      <x:c r="A414" s="1"/>
      <x:c r="B414" s="1"/>
      <x:c r="C414" s="1"/>
      <x:c r="D414" s="1"/>
      <x:c r="E414" s="1"/>
      <x:c r="F414" s="1"/>
      <x:c r="G414" s="1"/>
      <x:c r="H414" s="1"/>
      <x:c r="I414" s="1"/>
      <x:c r="J414" s="1"/>
      <x:c r="K414" s="1"/>
    </x:row>
    <x:row r="415" ht="14.5">
      <x:c r="A415" s="1"/>
      <x:c r="B415" s="1"/>
      <x:c r="C415" s="1"/>
      <x:c r="D415" s="1"/>
      <x:c r="E415" s="1"/>
      <x:c r="F415" s="1"/>
      <x:c r="G415" s="1"/>
      <x:c r="H415" s="1"/>
      <x:c r="I415" s="1"/>
      <x:c r="J415" s="1"/>
      <x:c r="K415" s="1"/>
    </x:row>
    <x:row r="416" ht="14.5">
      <x:c r="A416" s="1"/>
      <x:c r="B416" s="1"/>
      <x:c r="C416" s="1"/>
      <x:c r="D416" s="1"/>
      <x:c r="E416" s="1"/>
      <x:c r="F416" s="1"/>
      <x:c r="G416" s="1"/>
      <x:c r="H416" s="1"/>
      <x:c r="I416" s="1"/>
      <x:c r="J416" s="1"/>
      <x:c r="K416" s="1"/>
    </x:row>
    <x:row r="417" ht="14.5">
      <x:c r="A417" s="1"/>
      <x:c r="B417" s="1"/>
      <x:c r="C417" s="1"/>
      <x:c r="D417" s="1"/>
      <x:c r="E417" s="1"/>
      <x:c r="F417" s="1"/>
      <x:c r="G417" s="1"/>
      <x:c r="H417" s="1"/>
      <x:c r="I417" s="1"/>
      <x:c r="J417" s="1"/>
      <x:c r="K417" s="1"/>
    </x:row>
    <x:row r="418" ht="14.5">
      <x:c r="A418" s="1"/>
      <x:c r="B418" s="1"/>
      <x:c r="C418" s="1"/>
      <x:c r="D418" s="1"/>
      <x:c r="E418" s="1"/>
      <x:c r="F418" s="1"/>
      <x:c r="G418" s="1"/>
      <x:c r="H418" s="1"/>
      <x:c r="I418" s="1"/>
      <x:c r="J418" s="1"/>
      <x:c r="K418" s="1"/>
    </x:row>
    <x:row r="419" ht="14.5">
      <x:c r="A419" s="1"/>
      <x:c r="B419" s="1"/>
      <x:c r="C419" s="1"/>
      <x:c r="D419" s="1"/>
      <x:c r="E419" s="1"/>
      <x:c r="F419" s="1"/>
      <x:c r="G419" s="1"/>
      <x:c r="H419" s="1"/>
      <x:c r="I419" s="1"/>
      <x:c r="J419" s="1"/>
      <x:c r="K419" s="1"/>
    </x:row>
    <x:row r="420" ht="14.5">
      <x:c r="A420" s="1"/>
      <x:c r="B420" s="1"/>
      <x:c r="C420" s="1"/>
      <x:c r="D420" s="1"/>
      <x:c r="E420" s="1"/>
      <x:c r="F420" s="1"/>
      <x:c r="G420" s="1"/>
      <x:c r="H420" s="1"/>
      <x:c r="I420" s="1"/>
      <x:c r="J420" s="1"/>
      <x:c r="K420" s="1"/>
    </x:row>
    <x:row r="421" ht="14.5">
      <x:c r="A421" s="1"/>
      <x:c r="B421" s="1"/>
      <x:c r="C421" s="1"/>
      <x:c r="D421" s="1"/>
      <x:c r="E421" s="1"/>
      <x:c r="F421" s="1"/>
      <x:c r="G421" s="1"/>
      <x:c r="H421" s="1"/>
      <x:c r="I421" s="1"/>
      <x:c r="J421" s="1"/>
      <x:c r="K421" s="1"/>
    </x:row>
    <x:row r="422" ht="14.5">
      <x:c r="A422" s="1"/>
      <x:c r="B422" s="1"/>
      <x:c r="C422" s="1"/>
      <x:c r="D422" s="1"/>
      <x:c r="E422" s="1"/>
      <x:c r="F422" s="1"/>
      <x:c r="G422" s="1"/>
      <x:c r="H422" s="1"/>
      <x:c r="I422" s="1"/>
      <x:c r="J422" s="1"/>
      <x:c r="K422" s="1"/>
    </x:row>
    <x:row r="423" ht="14.5">
      <x:c r="A423" s="1"/>
      <x:c r="B423" s="1"/>
      <x:c r="C423" s="1"/>
      <x:c r="D423" s="1"/>
      <x:c r="E423" s="1"/>
      <x:c r="F423" s="1"/>
      <x:c r="G423" s="1"/>
      <x:c r="H423" s="1"/>
      <x:c r="I423" s="1"/>
      <x:c r="J423" s="1"/>
      <x:c r="K423" s="1"/>
    </x:row>
    <x:row r="424" ht="14.5">
      <x:c r="A424" s="1"/>
      <x:c r="B424" s="1"/>
      <x:c r="C424" s="1"/>
      <x:c r="D424" s="1"/>
      <x:c r="E424" s="1"/>
      <x:c r="F424" s="1"/>
      <x:c r="G424" s="1"/>
      <x:c r="H424" s="1"/>
      <x:c r="I424" s="1"/>
      <x:c r="J424" s="1"/>
      <x:c r="K424" s="1"/>
    </x:row>
    <x:row r="425" ht="14.5">
      <x:c r="A425" s="1"/>
      <x:c r="B425" s="1"/>
      <x:c r="C425" s="1"/>
      <x:c r="D425" s="1"/>
      <x:c r="E425" s="1"/>
      <x:c r="F425" s="1"/>
      <x:c r="G425" s="1"/>
      <x:c r="H425" s="1"/>
      <x:c r="I425" s="1"/>
      <x:c r="J425" s="1"/>
      <x:c r="K425" s="1"/>
    </x:row>
    <x:row r="426" ht="14.5">
      <x:c r="A426" s="1"/>
      <x:c r="B426" s="1"/>
      <x:c r="C426" s="1"/>
      <x:c r="D426" s="1"/>
      <x:c r="E426" s="1"/>
      <x:c r="F426" s="1"/>
      <x:c r="G426" s="1"/>
      <x:c r="H426" s="1"/>
      <x:c r="I426" s="1"/>
      <x:c r="J426" s="1"/>
      <x:c r="K426" s="1"/>
    </x:row>
    <x:row r="427" ht="14.5">
      <x:c r="A427" s="1"/>
      <x:c r="B427" s="1"/>
      <x:c r="C427" s="1"/>
      <x:c r="D427" s="1"/>
      <x:c r="E427" s="1"/>
      <x:c r="F427" s="1"/>
      <x:c r="G427" s="1"/>
      <x:c r="H427" s="1"/>
      <x:c r="I427" s="1"/>
      <x:c r="J427" s="1"/>
      <x:c r="K427" s="1"/>
    </x:row>
    <x:row r="428" ht="14.5">
      <x:c r="A428" s="1"/>
      <x:c r="B428" s="1"/>
      <x:c r="C428" s="1"/>
      <x:c r="D428" s="1"/>
      <x:c r="E428" s="1"/>
      <x:c r="F428" s="1"/>
      <x:c r="G428" s="1"/>
      <x:c r="H428" s="1"/>
      <x:c r="I428" s="1"/>
      <x:c r="J428" s="1"/>
      <x:c r="K428" s="1"/>
    </x:row>
    <x:row r="429" ht="14.5">
      <x:c r="A429" s="1"/>
      <x:c r="B429" s="1"/>
      <x:c r="C429" s="1"/>
      <x:c r="D429" s="1"/>
      <x:c r="E429" s="1"/>
      <x:c r="F429" s="1"/>
      <x:c r="G429" s="1"/>
      <x:c r="H429" s="1"/>
      <x:c r="I429" s="1"/>
      <x:c r="J429" s="1"/>
      <x:c r="K429" s="1"/>
    </x:row>
    <x:row r="430" ht="14.5">
      <x:c r="A430" s="1"/>
      <x:c r="B430" s="1"/>
      <x:c r="C430" s="1"/>
      <x:c r="D430" s="1"/>
      <x:c r="E430" s="1"/>
      <x:c r="F430" s="1"/>
      <x:c r="G430" s="1"/>
      <x:c r="H430" s="1"/>
      <x:c r="I430" s="1"/>
      <x:c r="J430" s="1"/>
      <x:c r="K430" s="1"/>
    </x:row>
    <x:row r="431" ht="14.5">
      <x:c r="A431" s="1"/>
      <x:c r="B431" s="1"/>
      <x:c r="C431" s="1"/>
      <x:c r="D431" s="1"/>
      <x:c r="E431" s="1"/>
      <x:c r="F431" s="1"/>
      <x:c r="G431" s="1"/>
      <x:c r="H431" s="1"/>
      <x:c r="I431" s="1"/>
      <x:c r="J431" s="1"/>
      <x:c r="K431" s="1"/>
    </x:row>
    <x:row r="432" ht="14.5">
      <x:c r="A432" s="1"/>
      <x:c r="B432" s="1"/>
      <x:c r="C432" s="1"/>
      <x:c r="D432" s="1"/>
      <x:c r="E432" s="1"/>
      <x:c r="F432" s="1"/>
      <x:c r="G432" s="1"/>
      <x:c r="H432" s="1"/>
      <x:c r="I432" s="1"/>
      <x:c r="J432" s="1"/>
      <x:c r="K432" s="1"/>
    </x:row>
    <x:row r="433" ht="14.5">
      <x:c r="A433" s="1"/>
      <x:c r="B433" s="1"/>
      <x:c r="C433" s="1"/>
      <x:c r="D433" s="1"/>
      <x:c r="E433" s="1"/>
      <x:c r="F433" s="1"/>
      <x:c r="G433" s="1"/>
      <x:c r="H433" s="1"/>
      <x:c r="I433" s="1"/>
      <x:c r="J433" s="1"/>
      <x:c r="K433" s="1"/>
    </x:row>
    <x:row r="434" ht="14.5">
      <x:c r="A434" s="1"/>
      <x:c r="B434" s="1"/>
      <x:c r="C434" s="1"/>
      <x:c r="D434" s="1"/>
      <x:c r="E434" s="1"/>
      <x:c r="F434" s="1"/>
      <x:c r="G434" s="1"/>
      <x:c r="H434" s="1"/>
      <x:c r="I434" s="1"/>
      <x:c r="J434" s="1"/>
      <x:c r="K434" s="1"/>
    </x:row>
    <x:row r="435" ht="14.5">
      <x:c r="A435" s="1"/>
      <x:c r="B435" s="1"/>
      <x:c r="C435" s="1"/>
      <x:c r="D435" s="1"/>
      <x:c r="E435" s="1"/>
      <x:c r="F435" s="1"/>
      <x:c r="G435" s="1"/>
      <x:c r="H435" s="1"/>
      <x:c r="I435" s="1"/>
      <x:c r="J435" s="1"/>
      <x:c r="K435" s="1"/>
    </x:row>
    <x:row r="436" ht="14.5">
      <x:c r="A436" s="1"/>
      <x:c r="B436" s="1"/>
      <x:c r="C436" s="1"/>
      <x:c r="D436" s="1"/>
      <x:c r="E436" s="1"/>
      <x:c r="F436" s="1"/>
      <x:c r="G436" s="1"/>
      <x:c r="H436" s="1"/>
      <x:c r="I436" s="1"/>
      <x:c r="J436" s="1"/>
      <x:c r="K436" s="1"/>
    </x:row>
    <x:row r="437" ht="14.5">
      <x:c r="A437" s="1"/>
      <x:c r="B437" s="1"/>
      <x:c r="C437" s="1"/>
      <x:c r="D437" s="1"/>
      <x:c r="E437" s="1"/>
      <x:c r="F437" s="1"/>
      <x:c r="G437" s="1"/>
      <x:c r="H437" s="1"/>
      <x:c r="I437" s="1"/>
      <x:c r="J437" s="1"/>
      <x:c r="K437" s="1"/>
    </x:row>
    <x:row r="438" ht="14.5">
      <x:c r="A438" s="1"/>
      <x:c r="B438" s="1"/>
      <x:c r="C438" s="1"/>
      <x:c r="D438" s="1"/>
      <x:c r="E438" s="1"/>
      <x:c r="F438" s="1"/>
      <x:c r="G438" s="1"/>
      <x:c r="H438" s="1"/>
      <x:c r="I438" s="1"/>
      <x:c r="J438" s="1"/>
      <x:c r="K438" s="1"/>
    </x:row>
    <x:row r="439" ht="14.5">
      <x:c r="A439" s="1"/>
      <x:c r="B439" s="1"/>
      <x:c r="C439" s="1"/>
      <x:c r="D439" s="1"/>
      <x:c r="E439" s="1"/>
      <x:c r="F439" s="1"/>
      <x:c r="G439" s="1"/>
      <x:c r="H439" s="1"/>
      <x:c r="I439" s="1"/>
      <x:c r="J439" s="1"/>
      <x:c r="K439" s="1"/>
    </x:row>
    <x:row r="440" ht="14.5">
      <x:c r="A440" s="1"/>
      <x:c r="B440" s="1"/>
      <x:c r="C440" s="1"/>
      <x:c r="D440" s="1"/>
      <x:c r="E440" s="1"/>
      <x:c r="F440" s="1"/>
      <x:c r="G440" s="1"/>
      <x:c r="H440" s="1"/>
      <x:c r="I440" s="1"/>
      <x:c r="J440" s="1"/>
      <x:c r="K440" s="1"/>
    </x:row>
    <x:row r="441" ht="14.5">
      <x:c r="A441" s="1"/>
      <x:c r="B441" s="1"/>
      <x:c r="C441" s="1"/>
      <x:c r="D441" s="1"/>
      <x:c r="E441" s="1"/>
      <x:c r="F441" s="1"/>
      <x:c r="G441" s="1"/>
      <x:c r="H441" s="1"/>
      <x:c r="I441" s="1"/>
      <x:c r="J441" s="1"/>
      <x:c r="K441" s="1"/>
    </x:row>
    <x:row r="442" ht="14.5">
      <x:c r="A442" s="1"/>
      <x:c r="B442" s="1"/>
      <x:c r="C442" s="1"/>
      <x:c r="D442" s="1"/>
      <x:c r="E442" s="1"/>
      <x:c r="F442" s="1"/>
      <x:c r="G442" s="1"/>
      <x:c r="H442" s="1"/>
      <x:c r="I442" s="1"/>
      <x:c r="J442" s="1"/>
      <x:c r="K442" s="1"/>
    </x:row>
    <x:row r="443" ht="14.5">
      <x:c r="A443" s="1"/>
      <x:c r="B443" s="1"/>
      <x:c r="C443" s="1"/>
      <x:c r="D443" s="1"/>
      <x:c r="E443" s="1"/>
      <x:c r="F443" s="1"/>
      <x:c r="G443" s="1"/>
      <x:c r="H443" s="1"/>
      <x:c r="I443" s="1"/>
      <x:c r="J443" s="1"/>
      <x:c r="K443" s="1"/>
    </x:row>
    <x:row r="444" ht="14.5">
      <x:c r="A444" s="1"/>
      <x:c r="B444" s="1"/>
      <x:c r="C444" s="1"/>
      <x:c r="D444" s="1"/>
      <x:c r="E444" s="1"/>
      <x:c r="F444" s="1"/>
      <x:c r="G444" s="1"/>
      <x:c r="H444" s="1"/>
      <x:c r="I444" s="1"/>
      <x:c r="J444" s="1"/>
      <x:c r="K444" s="1"/>
    </x:row>
    <x:row r="445" ht="14.5">
      <x:c r="A445" s="1"/>
      <x:c r="B445" s="1"/>
      <x:c r="C445" s="1"/>
      <x:c r="D445" s="1"/>
      <x:c r="E445" s="1"/>
      <x:c r="F445" s="1"/>
      <x:c r="G445" s="1"/>
      <x:c r="H445" s="1"/>
      <x:c r="I445" s="1"/>
      <x:c r="J445" s="1"/>
      <x:c r="K445" s="1"/>
    </x:row>
    <x:row r="446" ht="14.5">
      <x:c r="A446" s="1"/>
      <x:c r="B446" s="1"/>
      <x:c r="C446" s="1"/>
      <x:c r="D446" s="1"/>
      <x:c r="E446" s="1"/>
      <x:c r="F446" s="1"/>
      <x:c r="G446" s="1"/>
      <x:c r="H446" s="1"/>
      <x:c r="I446" s="1"/>
      <x:c r="J446" s="1"/>
      <x:c r="K446" s="1"/>
    </x:row>
    <x:row r="447" ht="14.5">
      <x:c r="A447" s="1"/>
      <x:c r="B447" s="1"/>
      <x:c r="C447" s="1"/>
      <x:c r="D447" s="1"/>
      <x:c r="E447" s="1"/>
      <x:c r="F447" s="1"/>
      <x:c r="G447" s="1"/>
      <x:c r="H447" s="1"/>
      <x:c r="I447" s="1"/>
      <x:c r="J447" s="1"/>
      <x:c r="K447" s="1"/>
    </x:row>
    <x:row r="448" ht="14.5">
      <x:c r="A448" s="1"/>
      <x:c r="B448" s="1"/>
      <x:c r="C448" s="1"/>
      <x:c r="D448" s="1"/>
      <x:c r="E448" s="1"/>
      <x:c r="F448" s="1"/>
      <x:c r="G448" s="1"/>
      <x:c r="H448" s="1"/>
      <x:c r="I448" s="1"/>
      <x:c r="J448" s="1"/>
      <x:c r="K448" s="1"/>
    </x:row>
    <x:row r="449" ht="14.5">
      <x:c r="A449" s="1"/>
      <x:c r="B449" s="1"/>
      <x:c r="C449" s="1"/>
      <x:c r="D449" s="1"/>
      <x:c r="E449" s="1"/>
      <x:c r="F449" s="1"/>
      <x:c r="G449" s="1"/>
      <x:c r="H449" s="1"/>
      <x:c r="I449" s="1"/>
      <x:c r="J449" s="1"/>
      <x:c r="K449" s="1"/>
    </x:row>
    <x:row r="450" ht="14.5">
      <x:c r="A450" s="1"/>
      <x:c r="B450" s="1"/>
      <x:c r="C450" s="1"/>
      <x:c r="D450" s="1"/>
      <x:c r="E450" s="1"/>
      <x:c r="F450" s="1"/>
      <x:c r="G450" s="1"/>
      <x:c r="H450" s="1"/>
      <x:c r="I450" s="1"/>
      <x:c r="J450" s="1"/>
      <x:c r="K450" s="1"/>
    </x:row>
    <x:row r="451" ht="14.5">
      <x:c r="A451" s="1"/>
      <x:c r="B451" s="1"/>
      <x:c r="C451" s="1"/>
      <x:c r="D451" s="1"/>
      <x:c r="E451" s="1"/>
      <x:c r="F451" s="1"/>
      <x:c r="G451" s="1"/>
      <x:c r="H451" s="1"/>
      <x:c r="I451" s="1"/>
      <x:c r="J451" s="1"/>
      <x:c r="K451" s="1"/>
    </x:row>
    <x:row r="452" ht="14.5">
      <x:c r="A452" s="1"/>
      <x:c r="B452" s="1"/>
      <x:c r="C452" s="1"/>
      <x:c r="D452" s="1"/>
      <x:c r="E452" s="1"/>
      <x:c r="F452" s="1"/>
      <x:c r="G452" s="1"/>
      <x:c r="H452" s="1"/>
      <x:c r="I452" s="1"/>
      <x:c r="J452" s="1"/>
      <x:c r="K452" s="1"/>
    </x:row>
    <x:row r="453" ht="14.5">
      <x:c r="A453" s="1"/>
      <x:c r="B453" s="1"/>
      <x:c r="C453" s="1"/>
      <x:c r="D453" s="1"/>
      <x:c r="E453" s="1"/>
      <x:c r="F453" s="1"/>
      <x:c r="G453" s="1"/>
      <x:c r="H453" s="1"/>
      <x:c r="I453" s="1"/>
      <x:c r="J453" s="1"/>
      <x:c r="K453" s="1"/>
    </x:row>
    <x:row r="454" ht="14.5">
      <x:c r="A454" s="1"/>
      <x:c r="B454" s="1"/>
      <x:c r="C454" s="1"/>
      <x:c r="D454" s="1"/>
      <x:c r="E454" s="1"/>
      <x:c r="F454" s="1"/>
      <x:c r="G454" s="1"/>
      <x:c r="H454" s="1"/>
      <x:c r="I454" s="1"/>
      <x:c r="J454" s="1"/>
      <x:c r="K454" s="1"/>
    </x:row>
    <x:row r="455" ht="14.5">
      <x:c r="A455" s="1"/>
      <x:c r="B455" s="1"/>
      <x:c r="C455" s="1"/>
      <x:c r="D455" s="1"/>
      <x:c r="E455" s="1"/>
      <x:c r="F455" s="1"/>
      <x:c r="G455" s="1"/>
      <x:c r="H455" s="1"/>
      <x:c r="I455" s="1"/>
      <x:c r="J455" s="1"/>
      <x:c r="K455" s="1"/>
    </x:row>
    <x:row r="456" ht="14.5">
      <x:c r="A456" s="1"/>
      <x:c r="B456" s="1"/>
      <x:c r="C456" s="1"/>
      <x:c r="D456" s="1"/>
      <x:c r="E456" s="1"/>
      <x:c r="F456" s="1"/>
      <x:c r="G456" s="1"/>
      <x:c r="H456" s="1"/>
      <x:c r="I456" s="1"/>
      <x:c r="J456" s="1"/>
      <x:c r="K456" s="1"/>
    </x:row>
    <x:row r="457" ht="14.5">
      <x:c r="A457" s="1"/>
      <x:c r="B457" s="1"/>
      <x:c r="C457" s="1"/>
      <x:c r="D457" s="1"/>
      <x:c r="E457" s="1"/>
      <x:c r="F457" s="1"/>
      <x:c r="G457" s="1"/>
      <x:c r="H457" s="1"/>
      <x:c r="I457" s="1"/>
      <x:c r="J457" s="1"/>
      <x:c r="K457" s="1"/>
    </x:row>
    <x:row r="458" ht="14.5">
      <x:c r="A458" s="1"/>
      <x:c r="B458" s="1"/>
      <x:c r="C458" s="1"/>
      <x:c r="D458" s="1"/>
      <x:c r="E458" s="1"/>
      <x:c r="F458" s="1"/>
      <x:c r="G458" s="1"/>
      <x:c r="H458" s="1"/>
      <x:c r="I458" s="1"/>
      <x:c r="J458" s="1"/>
      <x:c r="K458" s="1"/>
    </x:row>
    <x:row r="459" ht="14.5">
      <x:c r="A459" s="1"/>
      <x:c r="B459" s="1"/>
      <x:c r="C459" s="1"/>
      <x:c r="D459" s="1"/>
      <x:c r="E459" s="1"/>
      <x:c r="F459" s="1"/>
      <x:c r="G459" s="1"/>
      <x:c r="H459" s="1"/>
      <x:c r="I459" s="1"/>
      <x:c r="J459" s="1"/>
      <x:c r="K459" s="1"/>
    </x:row>
    <x:row r="460" ht="14.5">
      <x:c r="A460" s="1"/>
      <x:c r="B460" s="1"/>
      <x:c r="C460" s="1"/>
      <x:c r="D460" s="1"/>
      <x:c r="E460" s="1"/>
      <x:c r="F460" s="1"/>
      <x:c r="G460" s="1"/>
      <x:c r="H460" s="1"/>
      <x:c r="I460" s="1"/>
      <x:c r="J460" s="1"/>
      <x:c r="K460" s="1"/>
    </x:row>
    <x:row r="461" ht="14.5">
      <x:c r="A461" s="1"/>
      <x:c r="B461" s="1"/>
      <x:c r="C461" s="1"/>
      <x:c r="D461" s="1"/>
      <x:c r="E461" s="1"/>
      <x:c r="F461" s="1"/>
      <x:c r="G461" s="1"/>
      <x:c r="H461" s="1"/>
      <x:c r="I461" s="1"/>
      <x:c r="J461" s="1"/>
      <x:c r="K461" s="1"/>
    </x:row>
    <x:row r="462" ht="14.5">
      <x:c r="A462" s="1"/>
      <x:c r="B462" s="1"/>
      <x:c r="C462" s="1"/>
      <x:c r="D462" s="1"/>
      <x:c r="E462" s="1"/>
      <x:c r="F462" s="1"/>
      <x:c r="G462" s="1"/>
      <x:c r="H462" s="1"/>
      <x:c r="I462" s="1"/>
      <x:c r="J462" s="1"/>
      <x:c r="K462" s="1"/>
    </x:row>
    <x:row r="463" ht="14.5">
      <x:c r="A463" s="1"/>
      <x:c r="B463" s="1"/>
      <x:c r="C463" s="1"/>
      <x:c r="D463" s="1"/>
      <x:c r="E463" s="1"/>
      <x:c r="F463" s="1"/>
      <x:c r="G463" s="1"/>
      <x:c r="H463" s="1"/>
      <x:c r="I463" s="1"/>
      <x:c r="J463" s="1"/>
      <x:c r="K463" s="1"/>
    </x:row>
    <x:row r="464" ht="14.5">
      <x:c r="A464" s="1"/>
      <x:c r="B464" s="1"/>
      <x:c r="C464" s="1"/>
      <x:c r="D464" s="1"/>
      <x:c r="E464" s="1"/>
      <x:c r="F464" s="1"/>
      <x:c r="G464" s="1"/>
      <x:c r="H464" s="1"/>
      <x:c r="I464" s="1"/>
      <x:c r="J464" s="1"/>
      <x:c r="K464" s="1"/>
    </x:row>
    <x:row r="465" ht="14.5">
      <x:c r="A465" s="1"/>
      <x:c r="B465" s="1"/>
      <x:c r="C465" s="1"/>
      <x:c r="D465" s="1"/>
      <x:c r="E465" s="1"/>
      <x:c r="F465" s="1"/>
      <x:c r="G465" s="1"/>
      <x:c r="H465" s="1"/>
      <x:c r="I465" s="1"/>
      <x:c r="J465" s="1"/>
      <x:c r="K465" s="1"/>
    </x:row>
    <x:row r="466" ht="14.5">
      <x:c r="A466" s="1"/>
      <x:c r="B466" s="1"/>
      <x:c r="C466" s="1"/>
      <x:c r="D466" s="1"/>
      <x:c r="E466" s="1"/>
      <x:c r="F466" s="1"/>
      <x:c r="G466" s="1"/>
      <x:c r="H466" s="1"/>
      <x:c r="I466" s="1"/>
      <x:c r="J466" s="1"/>
      <x:c r="K466" s="1"/>
    </x:row>
    <x:row r="467" ht="14.5">
      <x:c r="A467" s="1"/>
      <x:c r="B467" s="1"/>
      <x:c r="C467" s="1"/>
      <x:c r="D467" s="1"/>
      <x:c r="E467" s="1"/>
      <x:c r="F467" s="1"/>
      <x:c r="G467" s="1"/>
      <x:c r="H467" s="1"/>
      <x:c r="I467" s="1"/>
      <x:c r="J467" s="1"/>
      <x:c r="K467" s="1"/>
    </x:row>
    <x:row r="468" ht="14.5">
      <x:c r="A468" s="1"/>
      <x:c r="B468" s="1"/>
      <x:c r="C468" s="1"/>
      <x:c r="D468" s="1"/>
      <x:c r="E468" s="1"/>
      <x:c r="F468" s="1"/>
      <x:c r="G468" s="1"/>
      <x:c r="H468" s="1"/>
      <x:c r="I468" s="1"/>
      <x:c r="J468" s="1"/>
      <x:c r="K468" s="1"/>
    </x:row>
    <x:row r="469" ht="14.5">
      <x:c r="A469" s="1"/>
      <x:c r="B469" s="1"/>
      <x:c r="C469" s="1"/>
      <x:c r="D469" s="1"/>
      <x:c r="E469" s="1"/>
      <x:c r="F469" s="1"/>
      <x:c r="G469" s="1"/>
      <x:c r="H469" s="1"/>
      <x:c r="I469" s="1"/>
      <x:c r="J469" s="1"/>
      <x:c r="K469" s="1"/>
    </x:row>
    <x:row r="470" ht="14.5">
      <x:c r="A470" s="1"/>
      <x:c r="B470" s="1"/>
      <x:c r="C470" s="1"/>
      <x:c r="D470" s="1"/>
      <x:c r="E470" s="1"/>
      <x:c r="F470" s="1"/>
      <x:c r="G470" s="1"/>
      <x:c r="H470" s="1"/>
      <x:c r="I470" s="1"/>
      <x:c r="J470" s="1"/>
      <x:c r="K470" s="1"/>
    </x:row>
    <x:row r="471" ht="14.5">
      <x:c r="A471" s="1"/>
      <x:c r="B471" s="1"/>
      <x:c r="C471" s="1"/>
      <x:c r="D471" s="1"/>
      <x:c r="E471" s="1"/>
      <x:c r="F471" s="1"/>
      <x:c r="G471" s="1"/>
      <x:c r="H471" s="1"/>
      <x:c r="I471" s="1"/>
      <x:c r="J471" s="1"/>
      <x:c r="K471" s="1"/>
    </x:row>
    <x:row r="472" ht="14.5">
      <x:c r="A472" s="1"/>
      <x:c r="B472" s="1"/>
      <x:c r="C472" s="1"/>
      <x:c r="D472" s="1"/>
      <x:c r="E472" s="1"/>
      <x:c r="F472" s="1"/>
      <x:c r="G472" s="1"/>
      <x:c r="H472" s="1"/>
      <x:c r="I472" s="1"/>
      <x:c r="J472" s="1"/>
      <x:c r="K472" s="1"/>
    </x:row>
    <x:row r="473" ht="14.5">
      <x:c r="A473" s="1"/>
      <x:c r="B473" s="1"/>
      <x:c r="C473" s="1"/>
      <x:c r="D473" s="1"/>
      <x:c r="E473" s="1"/>
      <x:c r="F473" s="1"/>
      <x:c r="G473" s="1"/>
      <x:c r="H473" s="1"/>
      <x:c r="I473" s="1"/>
      <x:c r="J473" s="1"/>
      <x:c r="K473" s="1"/>
    </x:row>
    <x:row r="474" ht="14.5">
      <x:c r="A474" s="1"/>
      <x:c r="B474" s="1"/>
      <x:c r="C474" s="1"/>
      <x:c r="D474" s="1"/>
      <x:c r="E474" s="1"/>
      <x:c r="F474" s="1"/>
      <x:c r="G474" s="1"/>
      <x:c r="H474" s="1"/>
      <x:c r="I474" s="1"/>
      <x:c r="J474" s="1"/>
      <x:c r="K474" s="1"/>
    </x:row>
    <x:row r="475" ht="14.5">
      <x:c r="A475" s="1"/>
      <x:c r="B475" s="1"/>
      <x:c r="C475" s="1"/>
      <x:c r="D475" s="1"/>
      <x:c r="E475" s="1"/>
      <x:c r="F475" s="1"/>
      <x:c r="G475" s="1"/>
      <x:c r="H475" s="1"/>
      <x:c r="I475" s="1"/>
      <x:c r="J475" s="1"/>
      <x:c r="K475" s="1"/>
    </x:row>
    <x:row r="476" ht="14.5">
      <x:c r="A476" s="1"/>
      <x:c r="B476" s="1"/>
      <x:c r="C476" s="1"/>
      <x:c r="D476" s="1"/>
      <x:c r="E476" s="1"/>
      <x:c r="F476" s="1"/>
      <x:c r="G476" s="1"/>
      <x:c r="H476" s="1"/>
      <x:c r="I476" s="1"/>
      <x:c r="J476" s="1"/>
      <x:c r="K476" s="1"/>
    </x:row>
    <x:row r="477" ht="14.5">
      <x:c r="A477" s="1"/>
      <x:c r="B477" s="1"/>
      <x:c r="C477" s="1"/>
      <x:c r="D477" s="1"/>
      <x:c r="E477" s="1"/>
      <x:c r="F477" s="1"/>
      <x:c r="G477" s="1"/>
      <x:c r="H477" s="1"/>
      <x:c r="I477" s="1"/>
      <x:c r="J477" s="1"/>
      <x:c r="K477" s="1"/>
    </x:row>
    <x:row r="478" ht="14.5">
      <x:c r="A478" s="1"/>
      <x:c r="B478" s="1"/>
      <x:c r="C478" s="1"/>
      <x:c r="D478" s="1"/>
      <x:c r="E478" s="1"/>
      <x:c r="F478" s="1"/>
      <x:c r="G478" s="1"/>
      <x:c r="H478" s="1"/>
      <x:c r="I478" s="1"/>
      <x:c r="J478" s="1"/>
      <x:c r="K478" s="1"/>
    </x:row>
    <x:row r="479" ht="14.5">
      <x:c r="A479" s="1"/>
      <x:c r="B479" s="1"/>
      <x:c r="C479" s="1"/>
      <x:c r="D479" s="1"/>
      <x:c r="E479" s="1"/>
      <x:c r="F479" s="1"/>
      <x:c r="G479" s="1"/>
      <x:c r="H479" s="1"/>
      <x:c r="I479" s="1"/>
      <x:c r="J479" s="1"/>
      <x:c r="K479" s="1"/>
    </x:row>
    <x:row r="480" ht="14.5">
      <x:c r="A480" s="1"/>
      <x:c r="B480" s="1"/>
      <x:c r="C480" s="1"/>
      <x:c r="D480" s="1"/>
      <x:c r="E480" s="1"/>
      <x:c r="F480" s="1"/>
      <x:c r="G480" s="1"/>
      <x:c r="H480" s="1"/>
      <x:c r="I480" s="1"/>
      <x:c r="J480" s="1"/>
      <x:c r="K480" s="1"/>
    </x:row>
    <x:row r="481" ht="14.5">
      <x:c r="A481" s="1"/>
      <x:c r="B481" s="1"/>
      <x:c r="C481" s="1"/>
      <x:c r="D481" s="1"/>
      <x:c r="E481" s="1"/>
      <x:c r="F481" s="1"/>
      <x:c r="G481" s="1"/>
      <x:c r="H481" s="1"/>
      <x:c r="I481" s="1"/>
      <x:c r="J481" s="1"/>
      <x:c r="K481" s="1"/>
    </x:row>
    <x:row r="482" ht="14.5">
      <x:c r="A482" s="1"/>
      <x:c r="B482" s="1"/>
      <x:c r="C482" s="1"/>
      <x:c r="D482" s="1"/>
      <x:c r="E482" s="1"/>
      <x:c r="F482" s="1"/>
      <x:c r="G482" s="1"/>
      <x:c r="H482" s="1"/>
      <x:c r="I482" s="1"/>
      <x:c r="J482" s="1"/>
      <x:c r="K482" s="1"/>
    </x:row>
    <x:row r="483" ht="14.5">
      <x:c r="A483" s="1"/>
      <x:c r="B483" s="1"/>
      <x:c r="C483" s="1"/>
      <x:c r="D483" s="1"/>
      <x:c r="E483" s="1"/>
      <x:c r="F483" s="1"/>
      <x:c r="G483" s="1"/>
      <x:c r="H483" s="1"/>
      <x:c r="I483" s="1"/>
      <x:c r="J483" s="1"/>
      <x:c r="K483" s="1"/>
    </x:row>
    <x:row r="484" ht="14.5">
      <x:c r="A484" s="1"/>
      <x:c r="B484" s="1"/>
      <x:c r="C484" s="1"/>
      <x:c r="D484" s="1"/>
      <x:c r="E484" s="1"/>
      <x:c r="F484" s="1"/>
      <x:c r="G484" s="1"/>
      <x:c r="H484" s="1"/>
      <x:c r="I484" s="1"/>
      <x:c r="J484" s="1"/>
      <x:c r="K484" s="1"/>
    </x:row>
    <x:row r="485" ht="14.5">
      <x:c r="A485" s="1"/>
      <x:c r="B485" s="1"/>
      <x:c r="C485" s="1"/>
      <x:c r="D485" s="1"/>
      <x:c r="E485" s="1"/>
      <x:c r="F485" s="1"/>
      <x:c r="G485" s="1"/>
      <x:c r="H485" s="1"/>
      <x:c r="I485" s="1"/>
      <x:c r="J485" s="1"/>
      <x:c r="K485" s="1"/>
    </x:row>
    <x:row r="486" ht="14.5">
      <x:c r="A486" s="1"/>
      <x:c r="B486" s="1"/>
      <x:c r="C486" s="1"/>
      <x:c r="D486" s="1"/>
      <x:c r="E486" s="1"/>
      <x:c r="F486" s="1"/>
      <x:c r="G486" s="1"/>
      <x:c r="H486" s="1"/>
      <x:c r="I486" s="1"/>
      <x:c r="J486" s="1"/>
      <x:c r="K486" s="1"/>
    </x:row>
    <x:row r="487" ht="14.5">
      <x:c r="A487" s="1"/>
      <x:c r="B487" s="1"/>
      <x:c r="C487" s="1"/>
      <x:c r="D487" s="1"/>
      <x:c r="E487" s="1"/>
      <x:c r="F487" s="1"/>
      <x:c r="G487" s="1"/>
      <x:c r="H487" s="1"/>
      <x:c r="I487" s="1"/>
      <x:c r="J487" s="1"/>
      <x:c r="K487" s="1"/>
    </x:row>
    <x:row r="488" ht="14.5">
      <x:c r="A488" s="1"/>
      <x:c r="B488" s="1"/>
      <x:c r="C488" s="1"/>
      <x:c r="D488" s="1"/>
      <x:c r="E488" s="1"/>
      <x:c r="F488" s="1"/>
      <x:c r="G488" s="1"/>
      <x:c r="H488" s="1"/>
      <x:c r="I488" s="1"/>
      <x:c r="J488" s="1"/>
      <x:c r="K488" s="1"/>
    </x:row>
    <x:row r="489" ht="14.5">
      <x:c r="A489" s="1"/>
      <x:c r="B489" s="1"/>
      <x:c r="C489" s="1"/>
      <x:c r="D489" s="1"/>
      <x:c r="E489" s="1"/>
      <x:c r="F489" s="1"/>
      <x:c r="G489" s="1"/>
      <x:c r="H489" s="1"/>
      <x:c r="I489" s="1"/>
      <x:c r="J489" s="1"/>
      <x:c r="K489" s="1"/>
    </x:row>
    <x:row r="490" ht="14.5">
      <x:c r="A490" s="1"/>
      <x:c r="B490" s="1"/>
      <x:c r="C490" s="1"/>
      <x:c r="D490" s="1"/>
      <x:c r="E490" s="1"/>
      <x:c r="F490" s="1"/>
      <x:c r="G490" s="1"/>
      <x:c r="H490" s="1"/>
      <x:c r="I490" s="1"/>
      <x:c r="J490" s="1"/>
      <x:c r="K490" s="1"/>
    </x:row>
    <x:row r="491" ht="14.5">
      <x:c r="A491" s="1"/>
      <x:c r="B491" s="1"/>
      <x:c r="C491" s="1"/>
      <x:c r="D491" s="1"/>
      <x:c r="E491" s="1"/>
      <x:c r="F491" s="1"/>
      <x:c r="G491" s="1"/>
      <x:c r="H491" s="1"/>
      <x:c r="I491" s="1"/>
      <x:c r="J491" s="1"/>
      <x:c r="K491" s="1"/>
    </x:row>
    <x:row r="492" ht="14.5">
      <x:c r="A492" s="1"/>
      <x:c r="B492" s="1"/>
      <x:c r="C492" s="1"/>
      <x:c r="D492" s="1"/>
      <x:c r="E492" s="1"/>
      <x:c r="F492" s="1"/>
      <x:c r="G492" s="1"/>
      <x:c r="H492" s="1"/>
      <x:c r="I492" s="1"/>
      <x:c r="J492" s="1"/>
      <x:c r="K492" s="1"/>
    </x:row>
    <x:row r="493" ht="14.5">
      <x:c r="A493" s="1"/>
      <x:c r="B493" s="1"/>
      <x:c r="C493" s="1"/>
      <x:c r="D493" s="1"/>
      <x:c r="E493" s="1"/>
      <x:c r="F493" s="1"/>
      <x:c r="G493" s="1"/>
      <x:c r="H493" s="1"/>
      <x:c r="I493" s="1"/>
      <x:c r="J493" s="1"/>
      <x:c r="K493" s="1"/>
    </x:row>
    <x:row r="494" ht="14.5">
      <x:c r="A494" s="1"/>
      <x:c r="B494" s="1"/>
      <x:c r="C494" s="1"/>
      <x:c r="D494" s="1"/>
      <x:c r="E494" s="1"/>
      <x:c r="F494" s="1"/>
      <x:c r="G494" s="1"/>
      <x:c r="H494" s="1"/>
      <x:c r="I494" s="1"/>
      <x:c r="J494" s="1"/>
      <x:c r="K494" s="1"/>
    </x:row>
    <x:row r="495" ht="14.5">
      <x:c r="A495" s="1"/>
      <x:c r="B495" s="1"/>
      <x:c r="C495" s="1"/>
      <x:c r="D495" s="1"/>
      <x:c r="E495" s="1"/>
      <x:c r="F495" s="1"/>
      <x:c r="G495" s="1"/>
      <x:c r="H495" s="1"/>
      <x:c r="I495" s="1"/>
      <x:c r="J495" s="1"/>
      <x:c r="K495" s="1"/>
    </x:row>
    <x:row r="496" ht="14.5">
      <x:c r="A496" s="1"/>
      <x:c r="B496" s="1"/>
      <x:c r="C496" s="1"/>
      <x:c r="D496" s="1"/>
      <x:c r="E496" s="1"/>
      <x:c r="F496" s="1"/>
      <x:c r="G496" s="1"/>
      <x:c r="H496" s="1"/>
      <x:c r="I496" s="1"/>
      <x:c r="J496" s="1"/>
      <x:c r="K496" s="1"/>
    </x:row>
    <x:row r="497" ht="14.5">
      <x:c r="A497" s="1"/>
      <x:c r="B497" s="1"/>
      <x:c r="C497" s="1"/>
      <x:c r="D497" s="1"/>
      <x:c r="E497" s="1"/>
      <x:c r="F497" s="1"/>
      <x:c r="G497" s="1"/>
      <x:c r="H497" s="1"/>
      <x:c r="I497" s="1"/>
      <x:c r="J497" s="1"/>
      <x:c r="K497" s="1"/>
    </x:row>
    <x:row r="498" ht="14.5">
      <x:c r="A498" s="1"/>
      <x:c r="B498" s="1"/>
      <x:c r="C498" s="1"/>
      <x:c r="D498" s="1"/>
      <x:c r="E498" s="1"/>
      <x:c r="F498" s="1"/>
      <x:c r="G498" s="1"/>
      <x:c r="H498" s="1"/>
      <x:c r="I498" s="1"/>
      <x:c r="J498" s="1"/>
      <x:c r="K498" s="1"/>
    </x:row>
    <x:row r="499" ht="14.5">
      <x:c r="A499" s="1"/>
      <x:c r="B499" s="1"/>
      <x:c r="C499" s="1"/>
      <x:c r="D499" s="1"/>
      <x:c r="E499" s="1"/>
      <x:c r="F499" s="1"/>
      <x:c r="G499" s="1"/>
      <x:c r="H499" s="1"/>
      <x:c r="I499" s="1"/>
      <x:c r="J499" s="1"/>
      <x:c r="K499" s="1"/>
    </x:row>
    <x:row r="500" ht="14.5">
      <x:c r="A500" s="1"/>
      <x:c r="B500" s="1"/>
      <x:c r="C500" s="1"/>
      <x:c r="D500" s="1"/>
      <x:c r="E500" s="1"/>
      <x:c r="F500" s="1"/>
      <x:c r="G500" s="1"/>
      <x:c r="H500" s="1"/>
      <x:c r="I500" s="1"/>
      <x:c r="J500" s="1"/>
      <x:c r="K500" s="1"/>
    </x:row>
    <x:row r="501" ht="14.5">
      <x:c r="A501" s="1"/>
      <x:c r="B501" s="1"/>
      <x:c r="C501" s="1"/>
      <x:c r="D501" s="1"/>
      <x:c r="E501" s="1"/>
      <x:c r="F501" s="1"/>
      <x:c r="G501" s="1"/>
      <x:c r="H501" s="1"/>
      <x:c r="I501" s="1"/>
      <x:c r="J501" s="1"/>
      <x:c r="K501" s="1"/>
    </x:row>
    <x:row r="502" ht="14.5">
      <x:c r="A502" s="1"/>
      <x:c r="B502" s="1"/>
      <x:c r="C502" s="1"/>
      <x:c r="D502" s="1"/>
      <x:c r="E502" s="1"/>
      <x:c r="F502" s="1"/>
      <x:c r="G502" s="1"/>
      <x:c r="H502" s="1"/>
      <x:c r="I502" s="1"/>
      <x:c r="J502" s="1"/>
      <x:c r="K502" s="1"/>
    </x:row>
    <x:row r="503" ht="14.5">
      <x:c r="A503" s="1"/>
      <x:c r="B503" s="1"/>
      <x:c r="C503" s="1"/>
      <x:c r="D503" s="1"/>
      <x:c r="E503" s="1"/>
      <x:c r="F503" s="1"/>
      <x:c r="G503" s="1"/>
      <x:c r="H503" s="1"/>
      <x:c r="I503" s="1"/>
      <x:c r="J503" s="1"/>
      <x:c r="K503" s="1"/>
    </x:row>
    <x:row r="504" ht="14.5">
      <x:c r="A504" s="1"/>
      <x:c r="B504" s="1"/>
      <x:c r="C504" s="1"/>
      <x:c r="D504" s="1"/>
      <x:c r="E504" s="1"/>
      <x:c r="F504" s="1"/>
      <x:c r="G504" s="1"/>
      <x:c r="H504" s="1"/>
      <x:c r="I504" s="1"/>
      <x:c r="J504" s="1"/>
      <x:c r="K504" s="1"/>
    </x:row>
    <x:row r="505" ht="14.5">
      <x:c r="A505" s="1"/>
      <x:c r="B505" s="1"/>
      <x:c r="C505" s="1"/>
      <x:c r="D505" s="1"/>
      <x:c r="E505" s="1"/>
      <x:c r="F505" s="1"/>
      <x:c r="G505" s="1"/>
      <x:c r="H505" s="1"/>
      <x:c r="I505" s="1"/>
      <x:c r="J505" s="1"/>
      <x:c r="K505" s="1"/>
    </x:row>
    <x:row r="506" ht="14.5">
      <x:c r="A506" s="1"/>
      <x:c r="B506" s="1"/>
      <x:c r="C506" s="1"/>
      <x:c r="D506" s="1"/>
      <x:c r="E506" s="1"/>
      <x:c r="F506" s="1"/>
      <x:c r="G506" s="1"/>
      <x:c r="H506" s="1"/>
      <x:c r="I506" s="1"/>
      <x:c r="J506" s="1"/>
      <x:c r="K506" s="1"/>
    </x:row>
    <x:row r="507" ht="14.5">
      <x:c r="A507" s="1"/>
      <x:c r="B507" s="1"/>
      <x:c r="C507" s="1"/>
      <x:c r="D507" s="1"/>
      <x:c r="E507" s="1"/>
      <x:c r="F507" s="1"/>
      <x:c r="G507" s="1"/>
      <x:c r="H507" s="1"/>
      <x:c r="I507" s="1"/>
      <x:c r="J507" s="1"/>
      <x:c r="K507" s="1"/>
    </x:row>
    <x:row r="508" ht="14.5">
      <x:c r="A508" s="1"/>
      <x:c r="B508" s="1"/>
      <x:c r="C508" s="1"/>
      <x:c r="D508" s="1"/>
      <x:c r="E508" s="1"/>
      <x:c r="F508" s="1"/>
      <x:c r="G508" s="1"/>
      <x:c r="H508" s="1"/>
      <x:c r="I508" s="1"/>
      <x:c r="J508" s="1"/>
      <x:c r="K508" s="1"/>
    </x:row>
    <x:row r="509" ht="14.5">
      <x:c r="A509" s="1"/>
      <x:c r="B509" s="1"/>
      <x:c r="C509" s="1"/>
      <x:c r="D509" s="1"/>
      <x:c r="E509" s="1"/>
      <x:c r="F509" s="1"/>
      <x:c r="G509" s="1"/>
      <x:c r="H509" s="1"/>
      <x:c r="I509" s="1"/>
      <x:c r="J509" s="1"/>
      <x:c r="K509" s="1"/>
    </x:row>
    <x:row r="510" ht="14.5">
      <x:c r="A510" s="1"/>
      <x:c r="B510" s="1"/>
      <x:c r="C510" s="1"/>
      <x:c r="D510" s="1"/>
      <x:c r="E510" s="1"/>
      <x:c r="F510" s="1"/>
      <x:c r="G510" s="1"/>
      <x:c r="H510" s="1"/>
      <x:c r="I510" s="1"/>
      <x:c r="J510" s="1"/>
      <x:c r="K510" s="1"/>
    </x:row>
    <x:row r="511" ht="14.5">
      <x:c r="A511" s="1"/>
      <x:c r="B511" s="1"/>
      <x:c r="C511" s="1"/>
      <x:c r="D511" s="1"/>
      <x:c r="E511" s="1"/>
      <x:c r="F511" s="1"/>
      <x:c r="G511" s="1"/>
      <x:c r="H511" s="1"/>
      <x:c r="I511" s="1"/>
      <x:c r="J511" s="1"/>
      <x:c r="K511" s="1"/>
    </x:row>
    <x:row r="512" ht="14.5">
      <x:c r="A512" s="1"/>
      <x:c r="B512" s="1"/>
      <x:c r="C512" s="1"/>
      <x:c r="D512" s="1"/>
      <x:c r="E512" s="1"/>
      <x:c r="F512" s="1"/>
      <x:c r="G512" s="1"/>
      <x:c r="H512" s="1"/>
      <x:c r="I512" s="1"/>
      <x:c r="J512" s="1"/>
      <x:c r="K512" s="1"/>
    </x:row>
    <x:row r="513" ht="14.5">
      <x:c r="A513" s="1"/>
      <x:c r="B513" s="1"/>
      <x:c r="C513" s="1"/>
      <x:c r="D513" s="1"/>
      <x:c r="E513" s="1"/>
      <x:c r="F513" s="1"/>
      <x:c r="G513" s="1"/>
      <x:c r="H513" s="1"/>
      <x:c r="I513" s="1"/>
      <x:c r="J513" s="1"/>
      <x:c r="K513" s="1"/>
    </x:row>
    <x:row r="514" ht="14.5">
      <x:c r="A514" s="1"/>
      <x:c r="B514" s="1"/>
      <x:c r="C514" s="1"/>
      <x:c r="D514" s="1"/>
      <x:c r="E514" s="1"/>
      <x:c r="F514" s="1"/>
      <x:c r="G514" s="1"/>
      <x:c r="H514" s="1"/>
      <x:c r="I514" s="1"/>
      <x:c r="J514" s="1"/>
      <x:c r="K514" s="1"/>
    </x:row>
    <x:row r="515" ht="14.5">
      <x:c r="A515" s="1"/>
      <x:c r="B515" s="1"/>
      <x:c r="C515" s="1"/>
      <x:c r="D515" s="1"/>
      <x:c r="E515" s="1"/>
      <x:c r="F515" s="1"/>
      <x:c r="G515" s="1"/>
      <x:c r="H515" s="1"/>
      <x:c r="I515" s="1"/>
      <x:c r="J515" s="1"/>
      <x:c r="K515" s="1"/>
    </x:row>
    <x:row r="516" ht="14.5">
      <x:c r="A516" s="1"/>
      <x:c r="B516" s="1"/>
      <x:c r="C516" s="1"/>
      <x:c r="D516" s="1"/>
      <x:c r="E516" s="1"/>
      <x:c r="F516" s="1"/>
      <x:c r="G516" s="1"/>
      <x:c r="H516" s="1"/>
      <x:c r="I516" s="1"/>
      <x:c r="J516" s="1"/>
      <x:c r="K516" s="1"/>
    </x:row>
    <x:row r="517" ht="14.5">
      <x:c r="A517" s="1"/>
      <x:c r="B517" s="1"/>
      <x:c r="C517" s="1"/>
      <x:c r="D517" s="1"/>
      <x:c r="E517" s="1"/>
      <x:c r="F517" s="1"/>
      <x:c r="G517" s="1"/>
      <x:c r="H517" s="1"/>
      <x:c r="I517" s="1"/>
      <x:c r="J517" s="1"/>
      <x:c r="K517" s="1"/>
    </x:row>
    <x:row r="518" ht="14.5">
      <x:c r="A518" s="1"/>
      <x:c r="B518" s="1"/>
      <x:c r="C518" s="1"/>
      <x:c r="D518" s="1"/>
      <x:c r="E518" s="1"/>
      <x:c r="F518" s="1"/>
      <x:c r="G518" s="1"/>
      <x:c r="H518" s="1"/>
      <x:c r="I518" s="1"/>
      <x:c r="J518" s="1"/>
      <x:c r="K518" s="1"/>
    </x:row>
    <x:row r="519" ht="14.5">
      <x:c r="A519" s="1"/>
      <x:c r="B519" s="1"/>
      <x:c r="C519" s="1"/>
      <x:c r="D519" s="1"/>
      <x:c r="E519" s="1"/>
      <x:c r="F519" s="1"/>
      <x:c r="G519" s="1"/>
      <x:c r="H519" s="1"/>
      <x:c r="I519" s="1"/>
      <x:c r="J519" s="1"/>
      <x:c r="K519" s="1"/>
    </x:row>
    <x:row r="520" ht="14.5">
      <x:c r="A520" s="1"/>
      <x:c r="B520" s="1"/>
      <x:c r="C520" s="1"/>
      <x:c r="D520" s="1"/>
      <x:c r="E520" s="1"/>
      <x:c r="F520" s="1"/>
      <x:c r="G520" s="1"/>
      <x:c r="H520" s="1"/>
      <x:c r="I520" s="1"/>
      <x:c r="J520" s="1"/>
      <x:c r="K520" s="1"/>
    </x:row>
    <x:row r="521" ht="14.5">
      <x:c r="A521" s="1"/>
      <x:c r="B521" s="1"/>
      <x:c r="C521" s="1"/>
      <x:c r="D521" s="1"/>
      <x:c r="E521" s="1"/>
      <x:c r="F521" s="1"/>
      <x:c r="G521" s="1"/>
      <x:c r="H521" s="1"/>
      <x:c r="I521" s="1"/>
      <x:c r="J521" s="1"/>
      <x:c r="K521" s="1"/>
    </x:row>
    <x:row r="522" ht="14.5">
      <x:c r="A522" s="1"/>
      <x:c r="B522" s="1"/>
      <x:c r="C522" s="1"/>
      <x:c r="D522" s="1"/>
      <x:c r="E522" s="1"/>
      <x:c r="F522" s="1"/>
      <x:c r="G522" s="1"/>
      <x:c r="H522" s="1"/>
      <x:c r="I522" s="1"/>
      <x:c r="J522" s="1"/>
      <x:c r="K522" s="1"/>
    </x:row>
    <x:row r="523" ht="14.5">
      <x:c r="A523" s="1"/>
      <x:c r="B523" s="1"/>
      <x:c r="C523" s="1"/>
      <x:c r="D523" s="1"/>
      <x:c r="E523" s="1"/>
      <x:c r="F523" s="1"/>
      <x:c r="G523" s="1"/>
      <x:c r="H523" s="1"/>
      <x:c r="I523" s="1"/>
      <x:c r="J523" s="1"/>
      <x:c r="K523" s="1"/>
    </x:row>
    <x:row r="524" ht="14.5">
      <x:c r="A524" s="1"/>
      <x:c r="B524" s="1"/>
      <x:c r="C524" s="1"/>
      <x:c r="D524" s="1"/>
      <x:c r="E524" s="1"/>
      <x:c r="F524" s="1"/>
      <x:c r="G524" s="1"/>
      <x:c r="H524" s="1"/>
      <x:c r="I524" s="1"/>
      <x:c r="J524" s="1"/>
      <x:c r="K524" s="1"/>
    </x:row>
    <x:row r="525" ht="14.5">
      <x:c r="A525" s="1"/>
      <x:c r="B525" s="1"/>
      <x:c r="C525" s="1"/>
      <x:c r="D525" s="1"/>
      <x:c r="E525" s="1"/>
      <x:c r="F525" s="1"/>
      <x:c r="G525" s="1"/>
      <x:c r="H525" s="1"/>
      <x:c r="I525" s="1"/>
      <x:c r="J525" s="1"/>
      <x:c r="K525" s="1"/>
    </x:row>
    <x:row r="526" ht="14.5">
      <x:c r="A526" s="1"/>
      <x:c r="B526" s="1"/>
      <x:c r="C526" s="1"/>
      <x:c r="D526" s="1"/>
      <x:c r="E526" s="1"/>
      <x:c r="F526" s="1"/>
      <x:c r="G526" s="1"/>
      <x:c r="H526" s="1"/>
      <x:c r="I526" s="1"/>
      <x:c r="J526" s="1"/>
      <x:c r="K526" s="1"/>
    </x:row>
    <x:row r="527" ht="14.5">
      <x:c r="A527" s="1"/>
      <x:c r="B527" s="1"/>
      <x:c r="C527" s="1"/>
      <x:c r="D527" s="1"/>
      <x:c r="E527" s="1"/>
      <x:c r="F527" s="1"/>
      <x:c r="G527" s="1"/>
      <x:c r="H527" s="1"/>
      <x:c r="I527" s="1"/>
      <x:c r="J527" s="1"/>
      <x:c r="K527" s="1"/>
    </x:row>
    <x:row r="528" ht="14.5">
      <x:c r="A528" s="1"/>
      <x:c r="B528" s="1"/>
      <x:c r="C528" s="1"/>
      <x:c r="D528" s="1"/>
      <x:c r="E528" s="1"/>
      <x:c r="F528" s="1"/>
      <x:c r="G528" s="1"/>
      <x:c r="H528" s="1"/>
      <x:c r="I528" s="1"/>
      <x:c r="J528" s="1"/>
      <x:c r="K528" s="1"/>
    </x:row>
    <x:row r="529" ht="14.5">
      <x:c r="A529" s="1"/>
      <x:c r="B529" s="1"/>
      <x:c r="C529" s="1"/>
      <x:c r="D529" s="1"/>
      <x:c r="E529" s="1"/>
      <x:c r="F529" s="1"/>
      <x:c r="G529" s="1"/>
      <x:c r="H529" s="1"/>
      <x:c r="I529" s="1"/>
      <x:c r="J529" s="1"/>
      <x:c r="K529" s="1"/>
    </x:row>
    <x:row r="530" ht="14.5">
      <x:c r="A530" s="1"/>
      <x:c r="B530" s="1"/>
      <x:c r="C530" s="1"/>
      <x:c r="D530" s="1"/>
      <x:c r="E530" s="1"/>
      <x:c r="F530" s="1"/>
      <x:c r="G530" s="1"/>
      <x:c r="H530" s="1"/>
      <x:c r="I530" s="1"/>
      <x:c r="J530" s="1"/>
      <x:c r="K530" s="1"/>
    </x:row>
    <x:row r="531" ht="14.5">
      <x:c r="A531" s="1"/>
      <x:c r="B531" s="1"/>
      <x:c r="C531" s="1"/>
      <x:c r="D531" s="1"/>
      <x:c r="E531" s="1"/>
      <x:c r="F531" s="1"/>
      <x:c r="G531" s="1"/>
      <x:c r="H531" s="1"/>
      <x:c r="I531" s="1"/>
      <x:c r="J531" s="1"/>
      <x:c r="K531" s="1"/>
    </x:row>
    <x:row r="532" ht="14.5">
      <x:c r="A532" s="1"/>
      <x:c r="B532" s="1"/>
      <x:c r="C532" s="1"/>
      <x:c r="D532" s="1"/>
      <x:c r="E532" s="1"/>
      <x:c r="F532" s="1"/>
      <x:c r="G532" s="1"/>
      <x:c r="H532" s="1"/>
      <x:c r="I532" s="1"/>
      <x:c r="J532" s="1"/>
      <x:c r="K532" s="1"/>
    </x:row>
    <x:row r="533" ht="14.5">
      <x:c r="A533" s="1"/>
      <x:c r="B533" s="1"/>
      <x:c r="C533" s="1"/>
      <x:c r="D533" s="1"/>
      <x:c r="E533" s="1"/>
      <x:c r="F533" s="1"/>
      <x:c r="G533" s="1"/>
      <x:c r="H533" s="1"/>
      <x:c r="I533" s="1"/>
      <x:c r="J533" s="1"/>
      <x:c r="K533" s="1"/>
    </x:row>
    <x:row r="534" ht="14.5">
      <x:c r="A534" s="1"/>
      <x:c r="B534" s="1"/>
      <x:c r="C534" s="1"/>
      <x:c r="D534" s="1"/>
      <x:c r="E534" s="1"/>
      <x:c r="F534" s="1"/>
      <x:c r="G534" s="1"/>
      <x:c r="H534" s="1"/>
      <x:c r="I534" s="1"/>
      <x:c r="J534" s="1"/>
      <x:c r="K534" s="1"/>
    </x:row>
    <x:row r="535" ht="14.5">
      <x:c r="A535" s="1"/>
      <x:c r="B535" s="1"/>
      <x:c r="C535" s="1"/>
      <x:c r="D535" s="1"/>
      <x:c r="E535" s="1"/>
      <x:c r="F535" s="1"/>
      <x:c r="G535" s="1"/>
      <x:c r="H535" s="1"/>
      <x:c r="I535" s="1"/>
      <x:c r="J535" s="1"/>
      <x:c r="K535" s="1"/>
    </x:row>
    <x:row r="536" ht="14.5">
      <x:c r="A536" s="1"/>
      <x:c r="B536" s="1"/>
      <x:c r="C536" s="1"/>
      <x:c r="D536" s="1"/>
      <x:c r="E536" s="1"/>
      <x:c r="F536" s="1"/>
      <x:c r="G536" s="1"/>
      <x:c r="H536" s="1"/>
      <x:c r="I536" s="1"/>
      <x:c r="J536" s="1"/>
      <x:c r="K536" s="1"/>
    </x:row>
    <x:row r="537" ht="14.5">
      <x:c r="A537" s="1"/>
      <x:c r="B537" s="1"/>
      <x:c r="C537" s="1"/>
      <x:c r="D537" s="1"/>
      <x:c r="E537" s="1"/>
      <x:c r="F537" s="1"/>
      <x:c r="G537" s="1"/>
      <x:c r="H537" s="1"/>
      <x:c r="I537" s="1"/>
      <x:c r="J537" s="1"/>
      <x:c r="K537" s="1"/>
    </x:row>
    <x:row r="538" ht="14.5">
      <x:c r="A538" s="1"/>
      <x:c r="B538" s="1"/>
      <x:c r="C538" s="1"/>
      <x:c r="D538" s="1"/>
      <x:c r="E538" s="1"/>
      <x:c r="F538" s="1"/>
      <x:c r="G538" s="1"/>
      <x:c r="H538" s="1"/>
      <x:c r="I538" s="1"/>
      <x:c r="J538" s="1"/>
      <x:c r="K538" s="1"/>
    </x:row>
    <x:row r="539" ht="14.5">
      <x:c r="A539" s="1"/>
      <x:c r="B539" s="1"/>
      <x:c r="C539" s="1"/>
      <x:c r="D539" s="1"/>
      <x:c r="E539" s="1"/>
      <x:c r="F539" s="1"/>
      <x:c r="G539" s="1"/>
      <x:c r="H539" s="1"/>
      <x:c r="I539" s="1"/>
      <x:c r="J539" s="1"/>
      <x:c r="K539" s="1"/>
    </x:row>
    <x:row r="540" ht="14.5">
      <x:c r="A540" s="1"/>
      <x:c r="B540" s="1"/>
      <x:c r="C540" s="1"/>
      <x:c r="D540" s="1"/>
      <x:c r="E540" s="1"/>
      <x:c r="F540" s="1"/>
      <x:c r="G540" s="1"/>
      <x:c r="H540" s="1"/>
      <x:c r="I540" s="1"/>
      <x:c r="J540" s="1"/>
      <x:c r="K540" s="1"/>
    </x:row>
    <x:row r="541" ht="14.5">
      <x:c r="A541" s="1"/>
      <x:c r="B541" s="1"/>
      <x:c r="C541" s="1"/>
      <x:c r="D541" s="1"/>
      <x:c r="E541" s="1"/>
      <x:c r="F541" s="1"/>
      <x:c r="G541" s="1"/>
      <x:c r="H541" s="1"/>
      <x:c r="I541" s="1"/>
      <x:c r="J541" s="1"/>
      <x:c r="K541" s="1"/>
    </x:row>
    <x:row r="542" ht="14.5">
      <x:c r="A542" s="1"/>
      <x:c r="B542" s="1"/>
      <x:c r="C542" s="1"/>
      <x:c r="D542" s="1"/>
      <x:c r="E542" s="1"/>
      <x:c r="F542" s="1"/>
      <x:c r="G542" s="1"/>
      <x:c r="H542" s="1"/>
      <x:c r="I542" s="1"/>
      <x:c r="J542" s="1"/>
      <x:c r="K542" s="1"/>
    </x:row>
    <x:row r="543" ht="14.5">
      <x:c r="A543" s="1"/>
      <x:c r="B543" s="1"/>
      <x:c r="C543" s="1"/>
      <x:c r="D543" s="1"/>
      <x:c r="E543" s="1"/>
      <x:c r="F543" s="1"/>
      <x:c r="G543" s="1"/>
      <x:c r="H543" s="1"/>
      <x:c r="I543" s="1"/>
      <x:c r="J543" s="1"/>
      <x:c r="K543" s="1"/>
    </x:row>
    <x:row r="544" ht="14.5">
      <x:c r="A544" s="1"/>
      <x:c r="B544" s="1"/>
      <x:c r="C544" s="1"/>
      <x:c r="D544" s="1"/>
      <x:c r="E544" s="1"/>
      <x:c r="F544" s="1"/>
      <x:c r="G544" s="1"/>
      <x:c r="H544" s="1"/>
      <x:c r="I544" s="1"/>
      <x:c r="J544" s="1"/>
      <x:c r="K544" s="1"/>
    </x:row>
    <x:row r="545" ht="14.5">
      <x:c r="A545" s="1"/>
      <x:c r="B545" s="1"/>
      <x:c r="C545" s="1"/>
      <x:c r="D545" s="1"/>
      <x:c r="E545" s="1"/>
      <x:c r="F545" s="1"/>
      <x:c r="G545" s="1"/>
      <x:c r="H545" s="1"/>
      <x:c r="I545" s="1"/>
      <x:c r="J545" s="1"/>
      <x:c r="K545" s="1"/>
    </x:row>
    <x:row r="546" ht="14.5">
      <x:c r="A546" s="1"/>
      <x:c r="B546" s="1"/>
      <x:c r="C546" s="1"/>
      <x:c r="D546" s="1"/>
      <x:c r="E546" s="1"/>
      <x:c r="F546" s="1"/>
      <x:c r="G546" s="1"/>
      <x:c r="H546" s="1"/>
      <x:c r="I546" s="1"/>
      <x:c r="J546" s="1"/>
      <x:c r="K546" s="1"/>
    </x:row>
    <x:row r="547" ht="14.5">
      <x:c r="A547" s="1"/>
      <x:c r="B547" s="1"/>
      <x:c r="C547" s="1"/>
      <x:c r="D547" s="1"/>
      <x:c r="E547" s="1"/>
      <x:c r="F547" s="1"/>
      <x:c r="G547" s="1"/>
      <x:c r="H547" s="1"/>
      <x:c r="I547" s="1"/>
      <x:c r="J547" s="1"/>
      <x:c r="K547" s="1"/>
    </x:row>
    <x:row r="548" ht="14.5">
      <x:c r="A548" s="1"/>
      <x:c r="B548" s="1"/>
      <x:c r="C548" s="1"/>
      <x:c r="D548" s="1"/>
      <x:c r="E548" s="1"/>
      <x:c r="F548" s="1"/>
      <x:c r="G548" s="1"/>
      <x:c r="H548" s="1"/>
      <x:c r="I548" s="1"/>
      <x:c r="J548" s="1"/>
      <x:c r="K548" s="1"/>
    </x:row>
    <x:row r="549" ht="14.5">
      <x:c r="A549" s="1"/>
      <x:c r="B549" s="1"/>
      <x:c r="C549" s="1"/>
      <x:c r="D549" s="1"/>
      <x:c r="E549" s="1"/>
      <x:c r="F549" s="1"/>
      <x:c r="G549" s="1"/>
      <x:c r="H549" s="1"/>
      <x:c r="I549" s="1"/>
      <x:c r="J549" s="1"/>
      <x:c r="K549" s="1"/>
    </x:row>
    <x:row r="550" ht="14.5">
      <x:c r="A550" s="1"/>
      <x:c r="B550" s="1"/>
      <x:c r="C550" s="1"/>
      <x:c r="D550" s="1"/>
      <x:c r="E550" s="1"/>
      <x:c r="F550" s="1"/>
      <x:c r="G550" s="1"/>
      <x:c r="H550" s="1"/>
      <x:c r="I550" s="1"/>
      <x:c r="J550" s="1"/>
      <x:c r="K550" s="1"/>
    </x:row>
    <x:row r="551" ht="14.5">
      <x:c r="A551" s="1"/>
      <x:c r="B551" s="1"/>
      <x:c r="C551" s="1"/>
      <x:c r="D551" s="1"/>
      <x:c r="E551" s="1"/>
      <x:c r="F551" s="1"/>
      <x:c r="G551" s="1"/>
      <x:c r="H551" s="1"/>
      <x:c r="I551" s="1"/>
      <x:c r="J551" s="1"/>
      <x:c r="K551" s="1"/>
    </x:row>
    <x:row r="552" ht="14.5">
      <x:c r="A552" s="1"/>
      <x:c r="B552" s="1"/>
      <x:c r="C552" s="1"/>
      <x:c r="D552" s="1"/>
      <x:c r="E552" s="1"/>
      <x:c r="F552" s="1"/>
      <x:c r="G552" s="1"/>
      <x:c r="H552" s="1"/>
      <x:c r="I552" s="1"/>
      <x:c r="J552" s="1"/>
      <x:c r="K552" s="1"/>
    </x:row>
    <x:row r="553" ht="14.5">
      <x:c r="A553" s="1"/>
      <x:c r="B553" s="1"/>
      <x:c r="C553" s="1"/>
      <x:c r="D553" s="1"/>
      <x:c r="E553" s="1"/>
      <x:c r="F553" s="1"/>
      <x:c r="G553" s="1"/>
      <x:c r="H553" s="1"/>
      <x:c r="I553" s="1"/>
      <x:c r="J553" s="1"/>
      <x:c r="K553" s="1"/>
    </x:row>
    <x:row r="554" ht="14.5">
      <x:c r="A554" s="1"/>
      <x:c r="B554" s="1"/>
      <x:c r="C554" s="1"/>
      <x:c r="D554" s="1"/>
      <x:c r="E554" s="1"/>
      <x:c r="F554" s="1"/>
      <x:c r="G554" s="1"/>
      <x:c r="H554" s="1"/>
      <x:c r="I554" s="1"/>
      <x:c r="J554" s="1"/>
      <x:c r="K554" s="1"/>
    </x:row>
    <x:row r="555" ht="14.5">
      <x:c r="A555" s="1"/>
      <x:c r="B555" s="1"/>
      <x:c r="C555" s="1"/>
      <x:c r="D555" s="1"/>
      <x:c r="E555" s="1"/>
      <x:c r="F555" s="1"/>
      <x:c r="G555" s="1"/>
      <x:c r="H555" s="1"/>
      <x:c r="I555" s="1"/>
      <x:c r="J555" s="1"/>
      <x:c r="K555" s="1"/>
    </x:row>
    <x:row r="556" ht="14.5">
      <x:c r="A556" s="1"/>
      <x:c r="B556" s="1"/>
      <x:c r="C556" s="1"/>
      <x:c r="D556" s="1"/>
      <x:c r="E556" s="1"/>
      <x:c r="F556" s="1"/>
      <x:c r="G556" s="1"/>
      <x:c r="H556" s="1"/>
      <x:c r="I556" s="1"/>
      <x:c r="J556" s="1"/>
      <x:c r="K556" s="1"/>
    </x:row>
    <x:row r="557" ht="14.5">
      <x:c r="A557" s="1"/>
      <x:c r="B557" s="1"/>
      <x:c r="C557" s="1"/>
      <x:c r="D557" s="1"/>
      <x:c r="E557" s="1"/>
      <x:c r="F557" s="1"/>
      <x:c r="G557" s="1"/>
      <x:c r="H557" s="1"/>
      <x:c r="I557" s="1"/>
      <x:c r="J557" s="1"/>
      <x:c r="K557" s="1"/>
    </x:row>
    <x:row r="558" ht="14.5">
      <x:c r="A558" s="1"/>
      <x:c r="B558" s="1"/>
      <x:c r="C558" s="1"/>
      <x:c r="D558" s="1"/>
      <x:c r="E558" s="1"/>
      <x:c r="F558" s="1"/>
      <x:c r="G558" s="1"/>
      <x:c r="H558" s="1"/>
      <x:c r="I558" s="1"/>
      <x:c r="J558" s="1"/>
      <x:c r="K558" s="1"/>
    </x:row>
    <x:row r="559" ht="14.5">
      <x:c r="A559" s="1"/>
      <x:c r="B559" s="1"/>
      <x:c r="C559" s="1"/>
      <x:c r="D559" s="1"/>
      <x:c r="E559" s="1"/>
      <x:c r="F559" s="1"/>
      <x:c r="G559" s="1"/>
      <x:c r="H559" s="1"/>
      <x:c r="I559" s="1"/>
      <x:c r="J559" s="1"/>
      <x:c r="K559" s="1"/>
    </x:row>
    <x:row r="560" ht="14.5">
      <x:c r="A560" s="1"/>
      <x:c r="B560" s="1"/>
      <x:c r="C560" s="1"/>
      <x:c r="D560" s="1"/>
      <x:c r="E560" s="1"/>
      <x:c r="F560" s="1"/>
      <x:c r="G560" s="1"/>
      <x:c r="H560" s="1"/>
      <x:c r="I560" s="1"/>
      <x:c r="J560" s="1"/>
      <x:c r="K560" s="1"/>
    </x:row>
    <x:row r="561" ht="14.5">
      <x:c r="A561" s="1"/>
      <x:c r="B561" s="1"/>
      <x:c r="C561" s="1"/>
      <x:c r="D561" s="1"/>
      <x:c r="E561" s="1"/>
      <x:c r="F561" s="1"/>
      <x:c r="G561" s="1"/>
      <x:c r="H561" s="1"/>
      <x:c r="I561" s="1"/>
      <x:c r="J561" s="1"/>
      <x:c r="K561" s="1"/>
    </x:row>
    <x:row r="562" ht="14.5">
      <x:c r="A562" s="1"/>
      <x:c r="B562" s="1"/>
      <x:c r="C562" s="1"/>
      <x:c r="D562" s="1"/>
      <x:c r="E562" s="1"/>
      <x:c r="F562" s="1"/>
      <x:c r="G562" s="1"/>
      <x:c r="H562" s="1"/>
      <x:c r="I562" s="1"/>
      <x:c r="J562" s="1"/>
      <x:c r="K562" s="1"/>
    </x:row>
    <x:row r="563" ht="14.5">
      <x:c r="A563" s="1"/>
      <x:c r="B563" s="1"/>
      <x:c r="C563" s="1"/>
      <x:c r="D563" s="1"/>
      <x:c r="E563" s="1"/>
      <x:c r="F563" s="1"/>
      <x:c r="G563" s="1"/>
      <x:c r="H563" s="1"/>
      <x:c r="I563" s="1"/>
      <x:c r="J563" s="1"/>
      <x:c r="K563" s="1"/>
    </x:row>
    <x:row r="564" ht="14.5">
      <x:c r="A564" s="1"/>
      <x:c r="B564" s="1"/>
      <x:c r="C564" s="1"/>
      <x:c r="D564" s="1"/>
      <x:c r="E564" s="1"/>
      <x:c r="F564" s="1"/>
      <x:c r="G564" s="1"/>
      <x:c r="H564" s="1"/>
      <x:c r="I564" s="1"/>
      <x:c r="J564" s="1"/>
      <x:c r="K564" s="1"/>
    </x:row>
    <x:row r="565" ht="14.5">
      <x:c r="A565" s="1"/>
      <x:c r="B565" s="1"/>
      <x:c r="C565" s="1"/>
      <x:c r="D565" s="1"/>
      <x:c r="E565" s="1"/>
      <x:c r="F565" s="1"/>
      <x:c r="G565" s="1"/>
      <x:c r="H565" s="1"/>
      <x:c r="I565" s="1"/>
      <x:c r="J565" s="1"/>
      <x:c r="K565" s="1"/>
    </x:row>
    <x:row r="566" ht="14.5">
      <x:c r="A566" s="1"/>
      <x:c r="B566" s="1"/>
      <x:c r="C566" s="1"/>
      <x:c r="D566" s="1"/>
      <x:c r="E566" s="1"/>
      <x:c r="F566" s="1"/>
      <x:c r="G566" s="1"/>
      <x:c r="H566" s="1"/>
      <x:c r="I566" s="1"/>
      <x:c r="J566" s="1"/>
      <x:c r="K566" s="1"/>
    </x:row>
    <x:row r="567" ht="14.5">
      <x:c r="A567" s="1"/>
      <x:c r="B567" s="1"/>
      <x:c r="C567" s="1"/>
      <x:c r="D567" s="1"/>
      <x:c r="E567" s="1"/>
      <x:c r="F567" s="1"/>
      <x:c r="G567" s="1"/>
      <x:c r="H567" s="1"/>
      <x:c r="I567" s="1"/>
      <x:c r="J567" s="1"/>
      <x:c r="K567" s="1"/>
    </x:row>
    <x:row r="568" ht="14.5">
      <x:c r="A568" s="1"/>
      <x:c r="B568" s="1"/>
      <x:c r="C568" s="1"/>
      <x:c r="D568" s="1"/>
      <x:c r="E568" s="1"/>
      <x:c r="F568" s="1"/>
      <x:c r="G568" s="1"/>
      <x:c r="H568" s="1"/>
      <x:c r="I568" s="1"/>
      <x:c r="J568" s="1"/>
      <x:c r="K568" s="1"/>
    </x:row>
    <x:row r="569" ht="14.5">
      <x:c r="A569" s="1"/>
      <x:c r="B569" s="1"/>
      <x:c r="C569" s="1"/>
      <x:c r="D569" s="1"/>
      <x:c r="E569" s="1"/>
      <x:c r="F569" s="1"/>
      <x:c r="G569" s="1"/>
      <x:c r="H569" s="1"/>
      <x:c r="I569" s="1"/>
      <x:c r="J569" s="1"/>
      <x:c r="K569" s="1"/>
    </x:row>
    <x:row r="570" ht="14.5">
      <x:c r="A570" s="1"/>
      <x:c r="B570" s="1"/>
      <x:c r="C570" s="1"/>
      <x:c r="D570" s="1"/>
      <x:c r="E570" s="1"/>
      <x:c r="F570" s="1"/>
      <x:c r="G570" s="1"/>
      <x:c r="H570" s="1"/>
      <x:c r="I570" s="1"/>
      <x:c r="J570" s="1"/>
      <x:c r="K570" s="1"/>
    </x:row>
    <x:row r="571" ht="14.5">
      <x:c r="A571" s="1"/>
      <x:c r="B571" s="1"/>
      <x:c r="C571" s="1"/>
      <x:c r="D571" s="1"/>
      <x:c r="E571" s="1"/>
      <x:c r="F571" s="1"/>
      <x:c r="G571" s="1"/>
      <x:c r="H571" s="1"/>
      <x:c r="I571" s="1"/>
      <x:c r="J571" s="1"/>
      <x:c r="K571" s="1"/>
    </x:row>
    <x:row r="572" ht="14.5">
      <x:c r="A572" s="1"/>
      <x:c r="B572" s="1"/>
      <x:c r="C572" s="1"/>
      <x:c r="D572" s="1"/>
      <x:c r="E572" s="1"/>
      <x:c r="F572" s="1"/>
      <x:c r="G572" s="1"/>
      <x:c r="H572" s="1"/>
      <x:c r="I572" s="1"/>
      <x:c r="J572" s="1"/>
      <x:c r="K572" s="1"/>
    </x:row>
    <x:row r="573" ht="14.5">
      <x:c r="A573" s="1"/>
      <x:c r="B573" s="1"/>
      <x:c r="C573" s="1"/>
      <x:c r="D573" s="1"/>
      <x:c r="E573" s="1"/>
      <x:c r="F573" s="1"/>
      <x:c r="G573" s="1"/>
      <x:c r="H573" s="1"/>
      <x:c r="I573" s="1"/>
      <x:c r="J573" s="1"/>
      <x:c r="K573" s="1"/>
    </x:row>
    <x:row r="574" ht="14.5">
      <x:c r="A574" s="1"/>
      <x:c r="B574" s="1"/>
      <x:c r="C574" s="1"/>
      <x:c r="D574" s="1"/>
      <x:c r="E574" s="1"/>
      <x:c r="F574" s="1"/>
      <x:c r="G574" s="1"/>
      <x:c r="H574" s="1"/>
      <x:c r="I574" s="1"/>
      <x:c r="J574" s="1"/>
      <x:c r="K574" s="1"/>
    </x:row>
    <x:row r="575" ht="14.5">
      <x:c r="A575" s="1"/>
      <x:c r="B575" s="1"/>
      <x:c r="C575" s="1"/>
      <x:c r="D575" s="1"/>
      <x:c r="E575" s="1"/>
      <x:c r="F575" s="1"/>
      <x:c r="G575" s="1"/>
      <x:c r="H575" s="1"/>
      <x:c r="I575" s="1"/>
      <x:c r="J575" s="1"/>
      <x:c r="K575" s="1"/>
    </x:row>
    <x:row r="576" ht="14.5">
      <x:c r="A576" s="1"/>
      <x:c r="B576" s="1"/>
      <x:c r="C576" s="1"/>
      <x:c r="D576" s="1"/>
      <x:c r="E576" s="1"/>
      <x:c r="F576" s="1"/>
      <x:c r="G576" s="1"/>
      <x:c r="H576" s="1"/>
      <x:c r="I576" s="1"/>
      <x:c r="J576" s="1"/>
      <x:c r="K576" s="1"/>
    </x:row>
    <x:row r="577" ht="14.5">
      <x:c r="A577" s="1"/>
      <x:c r="B577" s="1"/>
      <x:c r="C577" s="1"/>
      <x:c r="D577" s="1"/>
      <x:c r="E577" s="1"/>
      <x:c r="F577" s="1"/>
      <x:c r="G577" s="1"/>
      <x:c r="H577" s="1"/>
      <x:c r="I577" s="1"/>
      <x:c r="J577" s="1"/>
      <x:c r="K577" s="1"/>
    </x:row>
    <x:row r="578" ht="14.5">
      <x:c r="A578" s="1"/>
      <x:c r="B578" s="1"/>
      <x:c r="C578" s="1"/>
      <x:c r="D578" s="1"/>
      <x:c r="E578" s="1"/>
      <x:c r="F578" s="1"/>
      <x:c r="G578" s="1"/>
      <x:c r="H578" s="1"/>
      <x:c r="I578" s="1"/>
      <x:c r="J578" s="1"/>
      <x:c r="K578" s="1"/>
    </x:row>
    <x:row r="579" ht="14.5">
      <x:c r="A579" s="1"/>
      <x:c r="B579" s="1"/>
      <x:c r="C579" s="1"/>
      <x:c r="D579" s="1"/>
      <x:c r="E579" s="1"/>
      <x:c r="F579" s="1"/>
      <x:c r="G579" s="1"/>
      <x:c r="H579" s="1"/>
      <x:c r="I579" s="1"/>
      <x:c r="J579" s="1"/>
      <x:c r="K579" s="1"/>
    </x:row>
    <x:row r="580" ht="14.5">
      <x:c r="A580" s="1"/>
      <x:c r="B580" s="1"/>
      <x:c r="C580" s="1"/>
      <x:c r="D580" s="1"/>
      <x:c r="E580" s="1"/>
      <x:c r="F580" s="1"/>
      <x:c r="G580" s="1"/>
      <x:c r="H580" s="1"/>
      <x:c r="I580" s="1"/>
      <x:c r="J580" s="1"/>
      <x:c r="K580" s="1"/>
    </x:row>
    <x:row r="581" ht="14.5">
      <x:c r="A581" s="1"/>
      <x:c r="B581" s="1"/>
      <x:c r="C581" s="1"/>
      <x:c r="D581" s="1"/>
      <x:c r="E581" s="1"/>
      <x:c r="F581" s="1"/>
      <x:c r="G581" s="1"/>
      <x:c r="H581" s="1"/>
      <x:c r="I581" s="1"/>
      <x:c r="J581" s="1"/>
      <x:c r="K581" s="1"/>
    </x:row>
    <x:row r="582" ht="14.5">
      <x:c r="A582" s="1"/>
      <x:c r="B582" s="1"/>
      <x:c r="C582" s="1"/>
      <x:c r="D582" s="1"/>
      <x:c r="E582" s="1"/>
      <x:c r="F582" s="1"/>
      <x:c r="G582" s="1"/>
      <x:c r="H582" s="1"/>
      <x:c r="I582" s="1"/>
      <x:c r="J582" s="1"/>
      <x:c r="K582" s="1"/>
    </x:row>
    <x:row r="583" ht="14.5">
      <x:c r="A583" s="1"/>
      <x:c r="B583" s="1"/>
      <x:c r="C583" s="1"/>
      <x:c r="D583" s="1"/>
      <x:c r="E583" s="1"/>
      <x:c r="F583" s="1"/>
      <x:c r="G583" s="1"/>
      <x:c r="H583" s="1"/>
      <x:c r="I583" s="1"/>
      <x:c r="J583" s="1"/>
      <x:c r="K583" s="1"/>
    </x:row>
    <x:row r="584" ht="14.5">
      <x:c r="A584" s="1"/>
      <x:c r="B584" s="1"/>
      <x:c r="C584" s="1"/>
      <x:c r="D584" s="1"/>
      <x:c r="E584" s="1"/>
      <x:c r="F584" s="1"/>
      <x:c r="G584" s="1"/>
      <x:c r="H584" s="1"/>
      <x:c r="I584" s="1"/>
      <x:c r="J584" s="1"/>
      <x:c r="K584" s="1"/>
    </x:row>
    <x:row r="585" ht="14.5">
      <x:c r="A585" s="1"/>
      <x:c r="B585" s="1"/>
      <x:c r="C585" s="1"/>
      <x:c r="D585" s="1"/>
      <x:c r="E585" s="1"/>
      <x:c r="F585" s="1"/>
      <x:c r="G585" s="1"/>
      <x:c r="H585" s="1"/>
      <x:c r="I585" s="1"/>
      <x:c r="J585" s="1"/>
      <x:c r="K585" s="1"/>
    </x:row>
    <x:row r="586" ht="14.5">
      <x:c r="A586" s="1"/>
      <x:c r="B586" s="1"/>
      <x:c r="C586" s="1"/>
      <x:c r="D586" s="1"/>
      <x:c r="E586" s="1"/>
      <x:c r="F586" s="1"/>
      <x:c r="G586" s="1"/>
      <x:c r="H586" s="1"/>
      <x:c r="I586" s="1"/>
      <x:c r="J586" s="1"/>
      <x:c r="K586" s="1"/>
    </x:row>
    <x:row r="587" ht="14.5">
      <x:c r="A587" s="1"/>
      <x:c r="B587" s="1"/>
      <x:c r="C587" s="1"/>
      <x:c r="D587" s="1"/>
      <x:c r="E587" s="1"/>
      <x:c r="F587" s="1"/>
      <x:c r="G587" s="1"/>
      <x:c r="H587" s="1"/>
      <x:c r="I587" s="1"/>
      <x:c r="J587" s="1"/>
      <x:c r="K587" s="1"/>
    </x:row>
    <x:row r="588" ht="14.5">
      <x:c r="A588" s="1"/>
      <x:c r="B588" s="1"/>
      <x:c r="C588" s="1"/>
      <x:c r="D588" s="1"/>
      <x:c r="E588" s="1"/>
      <x:c r="F588" s="1"/>
      <x:c r="G588" s="1"/>
      <x:c r="H588" s="1"/>
      <x:c r="I588" s="1"/>
      <x:c r="J588" s="1"/>
      <x:c r="K588" s="1"/>
    </x:row>
    <x:row r="589" ht="14.5">
      <x:c r="A589" s="1"/>
      <x:c r="B589" s="1"/>
      <x:c r="C589" s="1"/>
      <x:c r="D589" s="1"/>
      <x:c r="E589" s="1"/>
      <x:c r="F589" s="1"/>
      <x:c r="G589" s="1"/>
      <x:c r="H589" s="1"/>
      <x:c r="I589" s="1"/>
      <x:c r="J589" s="1"/>
      <x:c r="K589" s="1"/>
    </x:row>
    <x:row r="590" ht="14.5">
      <x:c r="A590" s="1"/>
      <x:c r="B590" s="1"/>
      <x:c r="C590" s="1"/>
      <x:c r="D590" s="1"/>
      <x:c r="E590" s="1"/>
      <x:c r="F590" s="1"/>
      <x:c r="G590" s="1"/>
      <x:c r="H590" s="1"/>
      <x:c r="I590" s="1"/>
      <x:c r="J590" s="1"/>
      <x:c r="K590" s="1"/>
    </x:row>
    <x:row r="591" ht="14.5">
      <x:c r="A591" s="1"/>
      <x:c r="B591" s="1"/>
      <x:c r="C591" s="1"/>
      <x:c r="D591" s="1"/>
      <x:c r="E591" s="1"/>
      <x:c r="F591" s="1"/>
      <x:c r="G591" s="1"/>
      <x:c r="H591" s="1"/>
      <x:c r="I591" s="1"/>
      <x:c r="J591" s="1"/>
      <x:c r="K591" s="1"/>
    </x:row>
    <x:row r="592" ht="14.5">
      <x:c r="A592" s="1"/>
      <x:c r="B592" s="1"/>
      <x:c r="C592" s="1"/>
      <x:c r="D592" s="1"/>
      <x:c r="E592" s="1"/>
      <x:c r="F592" s="1"/>
      <x:c r="G592" s="1"/>
      <x:c r="H592" s="1"/>
      <x:c r="I592" s="1"/>
      <x:c r="J592" s="1"/>
      <x:c r="K592" s="1"/>
    </x:row>
    <x:row r="593" ht="14.5">
      <x:c r="A593" s="1"/>
      <x:c r="B593" s="1"/>
      <x:c r="C593" s="1"/>
      <x:c r="D593" s="1"/>
      <x:c r="E593" s="1"/>
      <x:c r="F593" s="1"/>
      <x:c r="G593" s="1"/>
      <x:c r="H593" s="1"/>
      <x:c r="I593" s="1"/>
      <x:c r="J593" s="1"/>
      <x:c r="K593" s="1"/>
    </x:row>
    <x:row r="594" ht="14.5">
      <x:c r="A594" s="1"/>
      <x:c r="B594" s="1"/>
      <x:c r="C594" s="1"/>
      <x:c r="D594" s="1"/>
      <x:c r="E594" s="1"/>
      <x:c r="F594" s="1"/>
      <x:c r="G594" s="1"/>
      <x:c r="H594" s="1"/>
      <x:c r="I594" s="1"/>
      <x:c r="J594" s="1"/>
      <x:c r="K594" s="1"/>
    </x:row>
    <x:row r="595" ht="14.5">
      <x:c r="A595" s="1"/>
      <x:c r="B595" s="1"/>
      <x:c r="C595" s="1"/>
      <x:c r="D595" s="1"/>
      <x:c r="E595" s="1"/>
      <x:c r="F595" s="1"/>
      <x:c r="G595" s="1"/>
      <x:c r="H595" s="1"/>
      <x:c r="I595" s="1"/>
      <x:c r="J595" s="1"/>
      <x:c r="K595" s="1"/>
    </x:row>
    <x:row r="596" ht="14.5">
      <x:c r="A596" s="1"/>
      <x:c r="B596" s="1"/>
      <x:c r="C596" s="1"/>
      <x:c r="D596" s="1"/>
      <x:c r="E596" s="1"/>
      <x:c r="F596" s="1"/>
      <x:c r="G596" s="1"/>
      <x:c r="H596" s="1"/>
      <x:c r="I596" s="1"/>
      <x:c r="J596" s="1"/>
      <x:c r="K596" s="1"/>
    </x:row>
    <x:row r="597" ht="14.5">
      <x:c r="A597" s="1"/>
      <x:c r="B597" s="1"/>
      <x:c r="C597" s="1"/>
      <x:c r="D597" s="1"/>
      <x:c r="E597" s="1"/>
      <x:c r="F597" s="1"/>
      <x:c r="G597" s="1"/>
      <x:c r="H597" s="1"/>
      <x:c r="I597" s="1"/>
      <x:c r="J597" s="1"/>
      <x:c r="K597" s="1"/>
    </x:row>
    <x:row r="598" ht="14.5">
      <x:c r="A598" s="1"/>
      <x:c r="B598" s="1"/>
      <x:c r="C598" s="1"/>
      <x:c r="D598" s="1"/>
      <x:c r="E598" s="1"/>
      <x:c r="F598" s="1"/>
      <x:c r="G598" s="1"/>
      <x:c r="H598" s="1"/>
      <x:c r="I598" s="1"/>
      <x:c r="J598" s="1"/>
      <x:c r="K598" s="1"/>
    </x:row>
    <x:row r="599" ht="14.5">
      <x:c r="A599" s="1"/>
      <x:c r="B599" s="1"/>
      <x:c r="C599" s="1"/>
      <x:c r="D599" s="1"/>
      <x:c r="E599" s="1"/>
      <x:c r="F599" s="1"/>
      <x:c r="G599" s="1"/>
      <x:c r="H599" s="1"/>
      <x:c r="I599" s="1"/>
      <x:c r="J599" s="1"/>
      <x:c r="K599" s="1"/>
    </x:row>
    <x:row r="600" ht="14.5">
      <x:c r="A600" s="1"/>
      <x:c r="B600" s="1"/>
      <x:c r="C600" s="1"/>
      <x:c r="D600" s="1"/>
      <x:c r="E600" s="1"/>
      <x:c r="F600" s="1"/>
      <x:c r="G600" s="1"/>
      <x:c r="H600" s="1"/>
      <x:c r="I600" s="1"/>
      <x:c r="J600" s="1"/>
      <x:c r="K600" s="1"/>
    </x:row>
  </x:sheetData>
  <x:mergeCells>
    <x:mergeCell ref="A1:D1"/>
    <x:mergeCell ref="A2:D2"/>
    <x:mergeCell ref="A16:D16"/>
    <x:mergeCell ref="A18:D18"/>
    <x:mergeCell ref="A30:D30"/>
    <x:mergeCell ref="A37:D37"/>
    <x:mergeCell ref="A39:D39"/>
  </x:mergeCells>
  <x:pageMargins left="0.7" right="0.7" top="0.75" bottom="0.75" header="0.3" footer="0.3"/>
  <x:tableParts count="3">
    <x:tablePart xmlns:r="http://schemas.openxmlformats.org/officeDocument/2006/relationships" r:id="R05a32a9ceb0e4065"/>
    <x:tablePart xmlns:r="http://schemas.openxmlformats.org/officeDocument/2006/relationships" r:id="R25f493f330d246e9"/>
    <x:tablePart xmlns:r="http://schemas.openxmlformats.org/officeDocument/2006/relationships" r:id="R6d9392eea3c148ec"/>
  </x:tableParts>
</x:worksheet>
</file>

<file path=xl/worksheets/sheet3.xml><?xml version="1.0" encoding="utf-8"?>
<x:worksheet xmlns:x="http://schemas.openxmlformats.org/spreadsheetml/2006/main">
  <x:sheetViews>
    <x:sheetView showGridLines="0" tabSelected="1" workbookViewId="0">
      <x:pane ySplit="5" topLeftCell="A370" activePane="bottomLeft" state="frozen"/>
      <x:selection pane="bottomLeft" activeCell="B371" sqref="B371"/>
    </x:sheetView>
  </x:sheetViews>
  <x:sheetFormatPr defaultRowHeight="14"/>
  <x:cols>
    <x:col min="1" max="1" width="30" customWidth="1"/>
    <x:col min="2" max="2" width="46" customWidth="1"/>
    <x:col min="3" max="3" width="20" customWidth="1"/>
    <x:col min="4" max="5" width="18" customWidth="1"/>
    <x:col min="6" max="6" width="19" customWidth="1"/>
    <x:col min="7" max="7" width="20" customWidth="1"/>
    <x:col min="8" max="8" width="18" customWidth="1"/>
    <x:col min="9" max="9" width="19" customWidth="1"/>
    <x:col min="10" max="10" width="100" customWidth="1"/>
  </x:cols>
  <x:sheetData>
    <x:row r="1" ht="30" customHeight="1">
      <x:c r="A1" s="11" t="s">
        <x:v>21</x:v>
      </x:c>
      <x:c r="B1" s="11"/>
      <x:c r="C1" s="11"/>
      <x:c r="D1" s="11"/>
      <x:c r="E1" s="11"/>
      <x:c r="F1" s="11"/>
      <x:c r="G1" s="11"/>
      <x:c r="H1" s="11"/>
      <x:c r="I1" s="11"/>
      <x:c r="J1" s="11"/>
      <x:c r="K1" s="1"/>
    </x:row>
    <x:row r="2" ht="34" customHeight="1">
      <x:c r="A2" s="12" t="s">
        <x:v>22</x:v>
      </x:c>
      <x:c r="B2" s="12"/>
      <x:c r="C2" s="12"/>
      <x:c r="D2" s="12"/>
      <x:c r="E2" s="12"/>
      <x:c r="F2" s="12"/>
      <x:c r="G2" s="12"/>
      <x:c r="H2" s="12"/>
      <x:c r="I2" s="12"/>
      <x:c r="J2" s="12"/>
      <x:c r="K2" s="1"/>
    </x:row>
    <x:row r="3" ht="34" customHeight="1">
      <x:c r="A3" s="12" t="str">
        <x:v>Denominator and weight formulas use every candidate for each exact taxon. Model catch proportions have Medium weight confidence. The two single-group assumptions require no split (High weight confidence); their overall level follows membership confidence.</x:v>
      </x:c>
      <x:c r="B3" s="12"/>
      <x:c r="C3" s="12"/>
      <x:c r="D3" s="12"/>
      <x:c r="E3" s="12"/>
      <x:c r="F3" s="12"/>
      <x:c r="G3" s="12"/>
      <x:c r="H3" s="12"/>
      <x:c r="I3" s="12"/>
      <x:c r="J3" s="12"/>
      <x:c r="K3" s="1"/>
    </x:row>
    <x:row r="4" ht="34" customHeight="1">
      <x:c r="A4" s="12" t="s">
        <x:v>23</x:v>
      </x:c>
      <x:c r="B4" s="12"/>
      <x:c r="C4" s="12"/>
      <x:c r="D4" s="12"/>
      <x:c r="E4" s="12"/>
      <x:c r="F4" s="12"/>
      <x:c r="G4" s="12"/>
      <x:c r="H4" s="12"/>
      <x:c r="I4" s="12"/>
      <x:c r="J4" s="12"/>
      <x:c r="K4" s="1"/>
    </x:row>
    <x:row r="5" ht="34" customHeight="1">
      <x:c r="A5" s="3" t="s">
        <x:v>24</x:v>
      </x:c>
      <x:c r="B5" s="3" t="s">
        <x:v>25</x:v>
      </x:c>
      <x:c r="C5" s="3" t="s">
        <x:v>26</x:v>
      </x:c>
      <x:c r="D5" s="3" t="s">
        <x:v>27</x:v>
      </x:c>
      <x:c r="E5" s="3" t="s">
        <x:v>28</x:v>
      </x:c>
      <x:c r="F5" s="3" t="s">
        <x:v>29</x:v>
      </x:c>
      <x:c r="G5" s="3" t="s">
        <x:v>30</x:v>
      </x:c>
      <x:c r="H5" s="3" t="s">
        <x:v>31</x:v>
      </x:c>
      <x:c r="I5" s="3" t="s">
        <x:v>32</x:v>
      </x:c>
      <x:c r="J5" s="3" t="s">
        <x:v>33</x:v>
      </x:c>
      <x:c r="K5" s="1"/>
    </x:row>
    <x:row r="6" ht="117" customHeight="1">
      <x:c r="A6" s="2" t="s">
        <x:v>34</x:v>
      </x:c>
      <x:c r="B6" s="2" t="s">
        <x:v>35</x:v>
      </x:c>
      <x:c r="C6" s="2">
        <x:v>30</x:v>
      </x:c>
      <x:c r="D6" s="8">
        <x:v>0.73839999999999995</x:v>
      </x:c>
      <x:c r="E6" s="8">
        <x:v>0.28899999999999998</x:v>
      </x:c>
      <x:c r="F6" s="8" t="s">
        <x:v>27</x:v>
      </x:c>
      <x:c r="G6" s="8" t="n">
        <x:f t="shared" ref="G6:G69" si="0">SUMIFS($D$6:$D$449,$A$6:$A$449,A6)</x:f>
        <x:v>0.8205</x:v>
      </x:c>
      <x:c r="H6" s="9" t="n">
        <x:f t="shared" ref="H6:H37" si="1">D6/G6</x:f>
        <x:v>0.8999390615478366</x:v>
      </x:c>
      <x:c r="I6" s="2" t="s">
        <x:v>36</x:v>
      </x:c>
      <x:c r="J6"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250 cm TL; Marine;  pelagic-oceanic; oceanodromous. Model catch proportions provide the split; allocation confidence remains Medium. Northern-shelf 2000s proxy transferred to whole-LME 2019 landings; fixed over 1950–2019.</x:v>
      </x:c>
      <x:c r="K6" s="1"/>
    </x:row>
    <x:row r="7" ht="117" customHeight="1">
      <x:c r="A7" s="2" t="s">
        <x:v>34</x:v>
      </x:c>
      <x:c r="B7" s="2" t="s">
        <x:v>37</x:v>
      </x:c>
      <x:c r="C7" s="2">
        <x:v>31</x:v>
      </x:c>
      <x:c r="D7" s="8">
        <x:v>8.2100000000000006E-2</x:v>
      </x:c>
      <x:c r="E7" s="8">
        <x:v>7.9000000000000001E-2</x:v>
      </x:c>
      <x:c r="F7" s="8" t="s">
        <x:v>27</x:v>
      </x:c>
      <x:c r="G7" s="8">
        <x:f t="shared" si="0"/>
        <x:v>0.82050000000000001</x:v>
      </x:c>
      <x:c r="H7" s="9">
        <x:f t="shared" si="1"/>
        <x:v>0.10006093845216332</x:v>
      </x:c>
      <x:c r="I7" s="2" t="s">
        <x:v>36</x:v>
      </x:c>
      <x:c r="J7"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250 cm TL; Marine;  pelagic-oceanic; oceanodromous. Model catch proportions provide the split; allocation confidence remains Medium. Northern-shelf 2000s proxy transferred to whole-LME 2019 landings; fixed over 1950–2019.</x:v>
      </x:c>
      <x:c r="K7" s="1"/>
    </x:row>
    <x:row r="8" ht="87" customHeight="1">
      <x:c r="A8" s="2" t="s">
        <x:v>38</x:v>
      </x:c>
      <x:c r="B8" s="2" t="s">
        <x:v>39</x:v>
      </x:c>
      <x:c r="C8" s="2">
        <x:v>25</x:v>
      </x:c>
      <x:c r="D8" s="8">
        <x:v>0.3165</x:v>
      </x:c>
      <x:c r="E8" s="8">
        <x:v>0.14299999999999999</x:v>
      </x:c>
      <x:c r="F8" s="8" t="s">
        <x:v>27</x:v>
      </x:c>
      <x:c r="G8" s="8">
        <x:f t="shared" si="0"/>
        <x:v>0.35170000000000001</x:v>
      </x:c>
      <x:c r="H8" s="9">
        <x:f t="shared" si="1"/>
        <x:v>0.89991470002843332</x:v>
      </x:c>
      <x:c r="I8" s="2" t="s">
        <x:v>36</x:v>
      </x:c>
      <x:c r="J8" s="2" t="str">
        <x:v>Verified demersal sparid ecology, maximum 50 cm SL and regional rocky/brackish coastal habitat satisfy the residual large-demersal criteria. Dedicated croaker, threadfin-bream and snapper families are excluded taxonomically; groups 25 + 26 cover the stage union. Model catch proportions provide the split; allocation confidence remains Medium. Northern-shelf 2000s proxy transferred to whole-LME 2019 landings; fixed over 1950–2019.</x:v>
      </x:c>
      <x:c r="K8" s="1"/>
    </x:row>
    <x:row r="9" ht="87" customHeight="1">
      <x:c r="A9" s="2" t="s">
        <x:v>38</x:v>
      </x:c>
      <x:c r="B9" s="2" t="s">
        <x:v>40</x:v>
      </x:c>
      <x:c r="C9" s="2">
        <x:v>26</x:v>
      </x:c>
      <x:c r="D9" s="8">
        <x:v>3.5200000000000002E-2</x:v>
      </x:c>
      <x:c r="E9" s="8">
        <x:v>2.1000000000000001E-2</x:v>
      </x:c>
      <x:c r="F9" s="8" t="s">
        <x:v>27</x:v>
      </x:c>
      <x:c r="G9" s="8">
        <x:f t="shared" si="0"/>
        <x:v>0.35170000000000001</x:v>
      </x:c>
      <x:c r="H9" s="9">
        <x:f t="shared" si="1"/>
        <x:v>0.10008529997156668</x:v>
      </x:c>
      <x:c r="I9" s="2" t="s">
        <x:v>36</x:v>
      </x:c>
      <x:c r="J9" s="2" t="str">
        <x:v>Verified demersal sparid ecology, maximum 50 cm SL and regional rocky/brackish coastal habitat satisfy the residual large-demersal criteria. Dedicated croaker, threadfin-bream and snapper families are excluded taxonomically; groups 25 + 26 cover the stage union. Model catch proportions provide the split; allocation confidence remains Medium. Northern-shelf 2000s proxy transferred to whole-LME 2019 landings; fixed over 1950–2019.</x:v>
      </x:c>
      <x:c r="K9" s="1"/>
    </x:row>
    <x:row r="10" ht="72" customHeight="1">
      <x:c r="A10" s="2" t="s">
        <x:v>41</x:v>
      </x:c>
      <x:c r="B10" s="2" t="s">
        <x:v>35</x:v>
      </x:c>
      <x:c r="C10" s="2">
        <x:v>30</x:v>
      </x:c>
      <x:c r="D10" s="8">
        <x:v>0.73839999999999995</x:v>
      </x:c>
      <x:c r="E10" s="8">
        <x:v>0.28899999999999998</x:v>
      </x:c>
      <x:c r="F10" s="8" t="s">
        <x:v>27</x:v>
      </x:c>
      <x:c r="G10" s="8">
        <x:f t="shared" si="0"/>
        <x:v>0.82050000000000001</x:v>
      </x:c>
      <x:c r="H10" s="9">
        <x:f t="shared" si="1"/>
        <x:v>0.89993906154783665</x:v>
      </x:c>
      <x:c r="I10" s="2" t="s">
        <x:v>36</x:v>
      </x:c>
      <x:c r="J10" s="2" t="str">
        <x:v>Alepes spans small species and larger A. vari; the catch label supplies no species composition. The adopted large-pelagic pair therefore does not establish containment of the whole genus. Model catch proportions provide the split; allocation confidence remains Medium. Northern-shelf 2000s proxy transferred to whole-LME 2019 landings; fixed over 1950–2019.</x:v>
      </x:c>
      <x:c r="K10" s="1"/>
    </x:row>
    <x:row r="11" ht="72" customHeight="1">
      <x:c r="A11" s="2" t="s">
        <x:v>41</x:v>
      </x:c>
      <x:c r="B11" s="2" t="s">
        <x:v>37</x:v>
      </x:c>
      <x:c r="C11" s="2">
        <x:v>31</x:v>
      </x:c>
      <x:c r="D11" s="8">
        <x:v>8.2100000000000006E-2</x:v>
      </x:c>
      <x:c r="E11" s="8">
        <x:v>7.9000000000000001E-2</x:v>
      </x:c>
      <x:c r="F11" s="8" t="s">
        <x:v>27</x:v>
      </x:c>
      <x:c r="G11" s="8">
        <x:f t="shared" si="0"/>
        <x:v>0.82050000000000001</x:v>
      </x:c>
      <x:c r="H11" s="9">
        <x:f t="shared" si="1"/>
        <x:v>0.10006093845216332</x:v>
      </x:c>
      <x:c r="I11" s="2" t="s">
        <x:v>36</x:v>
      </x:c>
      <x:c r="J11" s="2" t="str">
        <x:v>Alepes spans small species and larger A. vari; the catch label supplies no species composition. The adopted large-pelagic pair therefore does not establish containment of the whole genus. Model catch proportions provide the split; allocation confidence remains Medium. Northern-shelf 2000s proxy transferred to whole-LME 2019 landings; fixed over 1950–2019.</x:v>
      </x:c>
      <x:c r="K11" s="1"/>
    </x:row>
    <x:row r="12" ht="87" customHeight="1">
      <x:c r="A12" s="2" t="s">
        <x:v>42</x:v>
      </x:c>
      <x:c r="B12" s="2" t="s">
        <x:v>39</x:v>
      </x:c>
      <x:c r="C12" s="2">
        <x:v>25</x:v>
      </x:c>
      <x:c r="D12" s="8">
        <x:v>0.3165</x:v>
      </x:c>
      <x:c r="E12" s="8">
        <x:v>0.14299999999999999</x:v>
      </x:c>
      <x:c r="F12" s="8" t="s">
        <x:v>27</x:v>
      </x:c>
      <x:c r="G12" s="8">
        <x:f t="shared" si="0"/>
        <x:v>0.35170000000000001</x:v>
      </x:c>
      <x:c r="H12" s="9">
        <x:f t="shared" si="1"/>
        <x:v>0.89991470002843332</x:v>
      </x:c>
      <x:c r="I12" s="2" t="s">
        <x:v>36</x:v>
      </x:c>
      <x:c r="J12" s="2" t="str">
        <x:v>The genus is large, but A. monoceros is explicitly benthopelagic, with pelagic juveniles and adults schooling under weed rafts. A. scriptus's reef association and benthic feeding do not establish exclusively demersal 25 + 26 for the genus. Model catch proportions provide the split; allocation confidence remains Medium. Northern-shelf 2000s proxy transferred to whole-LME 2019 landings; fixed over 1950–2019.</x:v>
      </x:c>
      <x:c r="K12" s="1"/>
    </x:row>
    <x:row r="13" ht="87" customHeight="1">
      <x:c r="A13" s="2" t="s">
        <x:v>42</x:v>
      </x:c>
      <x:c r="B13" s="2" t="s">
        <x:v>40</x:v>
      </x:c>
      <x:c r="C13" s="2">
        <x:v>26</x:v>
      </x:c>
      <x:c r="D13" s="8">
        <x:v>3.5200000000000002E-2</x:v>
      </x:c>
      <x:c r="E13" s="8">
        <x:v>2.1000000000000001E-2</x:v>
      </x:c>
      <x:c r="F13" s="8" t="s">
        <x:v>27</x:v>
      </x:c>
      <x:c r="G13" s="8">
        <x:f t="shared" si="0"/>
        <x:v>0.35170000000000001</x:v>
      </x:c>
      <x:c r="H13" s="9">
        <x:f t="shared" si="1"/>
        <x:v>0.10008529997156668</x:v>
      </x:c>
      <x:c r="I13" s="2" t="s">
        <x:v>36</x:v>
      </x:c>
      <x:c r="J13" s="2" t="str">
        <x:v>The genus is large, but A. monoceros is explicitly benthopelagic, with pelagic juveniles and adults schooling under weed rafts. A. scriptus's reef association and benthic feeding do not establish exclusively demersal 25 + 26 for the genus. Model catch proportions provide the split; allocation confidence remains Medium. Northern-shelf 2000s proxy transferred to whole-LME 2019 landings; fixed over 1950–2019.</x:v>
      </x:c>
      <x:c r="K13" s="1"/>
    </x:row>
    <x:row r="14" ht="87" customHeight="1">
      <x:c r="A14" s="2" t="s">
        <x:v>43</x:v>
      </x:c>
      <x:c r="B14" s="2" t="s">
        <x:v>39</x:v>
      </x:c>
      <x:c r="C14" s="2">
        <x:v>25</x:v>
      </x:c>
      <x:c r="D14" s="8">
        <x:v>0.3165</x:v>
      </x:c>
      <x:c r="E14" s="8">
        <x:v>0.14299999999999999</x:v>
      </x:c>
      <x:c r="F14" s="8" t="s">
        <x:v>27</x:v>
      </x:c>
      <x:c r="G14" s="8">
        <x:f t="shared" si="0"/>
        <x:v>0.35170000000000001</x:v>
      </x:c>
      <x:c r="H14" s="9">
        <x:f t="shared" si="1"/>
        <x:v>0.89991470002843332</x:v>
      </x:c>
      <x:c r="I14" s="2" t="s">
        <x:v>36</x:v>
      </x:c>
      <x:c r="J14" s="2" t="str">
        <x:v>The broad eel order includes large bottom-associated Muraenesox/Conger but also the regional benthic moray Gymnothorax melatremus at 30 cm TL and small congrids. Thus current 25 + 26 is a demonstrably partial size set, rather than simply uncertain because the label is broad. Model catch proportions provide the split; allocation confidence remains Medium. Northern-shelf 2000s proxy transferred to whole-LME 2019 landings; fixed over 1950–2019.</x:v>
      </x:c>
      <x:c r="K14" s="1"/>
    </x:row>
    <x:row r="15" ht="87" customHeight="1">
      <x:c r="A15" s="2" t="s">
        <x:v>43</x:v>
      </x:c>
      <x:c r="B15" s="2" t="s">
        <x:v>40</x:v>
      </x:c>
      <x:c r="C15" s="2">
        <x:v>26</x:v>
      </x:c>
      <x:c r="D15" s="8">
        <x:v>3.5200000000000002E-2</x:v>
      </x:c>
      <x:c r="E15" s="8">
        <x:v>2.1000000000000001E-2</x:v>
      </x:c>
      <x:c r="F15" s="8" t="s">
        <x:v>27</x:v>
      </x:c>
      <x:c r="G15" s="8">
        <x:f t="shared" si="0"/>
        <x:v>0.35170000000000001</x:v>
      </x:c>
      <x:c r="H15" s="9">
        <x:f t="shared" si="1"/>
        <x:v>0.10008529997156668</x:v>
      </x:c>
      <x:c r="I15" s="2" t="s">
        <x:v>36</x:v>
      </x:c>
      <x:c r="J15" s="2" t="str">
        <x:v>The broad eel order includes large bottom-associated Muraenesox/Conger but also the regional benthic moray Gymnothorax melatremus at 30 cm TL and small congrids. Thus current 25 + 26 is a demonstrably partial size set, rather than simply uncertain because the label is broad. Model catch proportions provide the split; allocation confidence remains Medium. Northern-shelf 2000s proxy transferred to whole-LME 2019 landings; fixed over 1950–2019.</x:v>
      </x:c>
      <x:c r="K15" s="1"/>
    </x:row>
    <x:row r="16" ht="87" customHeight="1">
      <x:c r="A16" s="2" t="s">
        <x:v>44</x:v>
      </x:c>
      <x:c r="B16" s="2" t="s">
        <x:v>39</x:v>
      </x:c>
      <x:c r="C16" s="2">
        <x:v>25</x:v>
      </x:c>
      <x:c r="D16" s="8">
        <x:v>0.3165</x:v>
      </x:c>
      <x:c r="E16" s="8">
        <x:v>0.14299999999999999</x:v>
      </x:c>
      <x:c r="F16" s="8" t="s">
        <x:v>27</x:v>
      </x:c>
      <x:c r="G16" s="8">
        <x:f t="shared" si="0"/>
        <x:v>0.35170000000000001</x:v>
      </x:c>
      <x:c r="H16" s="9">
        <x:f t="shared" si="1"/>
        <x:v>0.89991470002843332</x:v>
      </x:c>
      <x:c r="I16" s="2" t="s">
        <x:v>36</x:v>
      </x:c>
      <x:c r="J16" s="2" t="str">
        <x:v>Ariidae contains large demersal Netuma thalassina and the regionally reported A. venosus with maximum 30 cm TL. Current groups 25 + 26 therefore omit a documented small-species candidate; small individuals of a large species are a different issue. Model catch proportions provide the split; allocation confidence remains Medium. Northern-shelf 2000s proxy transferred to whole-LME 2019 landings; fixed over 1950–2019.</x:v>
      </x:c>
      <x:c r="K16" s="1"/>
    </x:row>
    <x:row r="17" ht="87" customHeight="1">
      <x:c r="A17" s="2" t="s">
        <x:v>44</x:v>
      </x:c>
      <x:c r="B17" s="2" t="s">
        <x:v>40</x:v>
      </x:c>
      <x:c r="C17" s="2">
        <x:v>26</x:v>
      </x:c>
      <x:c r="D17" s="8">
        <x:v>3.5200000000000002E-2</x:v>
      </x:c>
      <x:c r="E17" s="8">
        <x:v>2.1000000000000001E-2</x:v>
      </x:c>
      <x:c r="F17" s="8" t="s">
        <x:v>27</x:v>
      </x:c>
      <x:c r="G17" s="8">
        <x:f t="shared" si="0"/>
        <x:v>0.35170000000000001</x:v>
      </x:c>
      <x:c r="H17" s="9">
        <x:f t="shared" si="1"/>
        <x:v>0.10008529997156668</x:v>
      </x:c>
      <x:c r="I17" s="2" t="s">
        <x:v>36</x:v>
      </x:c>
      <x:c r="J17" s="2" t="str">
        <x:v>Ariidae contains large demersal Netuma thalassina and the regionally reported A. venosus with maximum 30 cm TL. Current groups 25 + 26 therefore omit a documented small-species candidate; small individuals of a large species are a different issue. Model catch proportions provide the split; allocation confidence remains Medium. Northern-shelf 2000s proxy transferred to whole-LME 2019 landings; fixed over 1950–2019.</x:v>
      </x:c>
      <x:c r="K17" s="1"/>
    </x:row>
    <x:row r="18" ht="87" customHeight="1">
      <x:c r="A18" s="2" t="s">
        <x:v>45</x:v>
      </x:c>
      <x:c r="B18" s="2" t="s">
        <x:v>46</x:v>
      </x:c>
      <x:c r="C18" s="2">
        <x:v>22</x:v>
      </x:c>
      <x:c r="D18" s="8">
        <x:v>7.0999999999999994E-2</x:v>
      </x:c>
      <x:c r="E18" s="8">
        <x:v>0.04</x:v>
      </x:c>
      <x:c r="F18" s="8" t="s">
        <x:v>27</x:v>
      </x:c>
      <x:c r="G18" s="8">
        <x:f t="shared" si="0"/>
        <x:v>7.8999999999999987E-2</x:v>
      </x:c>
      <x:c r="H18" s="9">
        <x:f t="shared" si="1"/>
        <x:v>0.89873417721518989</x:v>
      </x:c>
      <x:c r="I18" s="2" t="s">
        <x:v>36</x:v>
      </x:c>
      <x:c r="J18" s="2" t="str">
        <x:v>Its verified Sciaenidae membership and 45 cm SL maximum satisfy the source's explicit &gt; 30 cm maximum-TL large-croaker definition. Groups 22 + 23 cover both stages; it need not be one of the commercially dominant examples named by the author. Model catch proportions provide the split; allocation confidence remains Medium. Northern-shelf 2000s proxy transferred to whole-LME 2019 landings; fixed over 1950–2019.</x:v>
      </x:c>
      <x:c r="K18" s="1"/>
    </x:row>
    <x:row r="19" ht="87" customHeight="1">
      <x:c r="A19" s="2" t="s">
        <x:v>45</x:v>
      </x:c>
      <x:c r="B19" s="2" t="s">
        <x:v>47</x:v>
      </x:c>
      <x:c r="C19" s="2">
        <x:v>23</x:v>
      </x:c>
      <x:c r="D19" s="8">
        <x:v>8.0000000000000002E-3</x:v>
      </x:c>
      <x:c r="E19" s="8">
        <x:v>9.4000000000000004E-3</x:v>
      </x:c>
      <x:c r="F19" s="8" t="s">
        <x:v>27</x:v>
      </x:c>
      <x:c r="G19" s="8">
        <x:f t="shared" si="0"/>
        <x:v>7.8999999999999987E-2</x:v>
      </x:c>
      <x:c r="H19" s="9">
        <x:f t="shared" si="1"/>
        <x:v>0.10126582278481014</x:v>
      </x:c>
      <x:c r="I19" s="2" t="s">
        <x:v>36</x:v>
      </x:c>
      <x:c r="J19" s="2" t="str">
        <x:v>Its verified Sciaenidae membership and 45 cm SL maximum satisfy the source's explicit &gt; 30 cm maximum-TL large-croaker definition. Groups 22 + 23 cover both stages; it need not be one of the commercially dominant examples named by the author. Model catch proportions provide the split; allocation confidence remains Medium. Northern-shelf 2000s proxy transferred to whole-LME 2019 landings; fixed over 1950–2019.</x:v>
      </x:c>
      <x:c r="K19" s="1"/>
    </x:row>
    <x:row r="20" ht="72" customHeight="1">
      <x:c r="A20" s="2" t="s">
        <x:v>48</x:v>
      </x:c>
      <x:c r="B20" s="2" t="s">
        <x:v>35</x:v>
      </x:c>
      <x:c r="C20" s="2">
        <x:v>30</x:v>
      </x:c>
      <x:c r="D20" s="8">
        <x:v>0.73839999999999995</x:v>
      </x:c>
      <x:c r="E20" s="8">
        <x:v>0.28899999999999998</x:v>
      </x:c>
      <x:c r="F20" s="8" t="s">
        <x:v>27</x:v>
      </x:c>
      <x:c r="G20" s="8">
        <x:f t="shared" si="0"/>
        <x:v>0.82050000000000001</x:v>
      </x:c>
      <x:c r="H20" s="9">
        <x:f t="shared" si="1"/>
        <x:v>0.89993906154783665</x:v>
      </x:c>
      <x:c r="I20" s="2" t="s">
        <x:v>36</x:v>
      </x:c>
      <x:c r="J20" s="2" t="str">
        <x:v>Both regional Auxis species are epipelagic and have maxima above 30 cm. Their combined juvenile/adult large-pelagic eligibility is supported even though the catch age mixture is unknown. Model catch proportions provide the split; allocation confidence remains Medium. Northern-shelf 2000s proxy transferred to whole-LME 2019 landings; fixed over 1950–2019.</x:v>
      </x:c>
      <x:c r="K20" s="1"/>
    </x:row>
    <x:row r="21" ht="72" customHeight="1">
      <x:c r="A21" s="2" t="s">
        <x:v>48</x:v>
      </x:c>
      <x:c r="B21" s="2" t="s">
        <x:v>37</x:v>
      </x:c>
      <x:c r="C21" s="2">
        <x:v>31</x:v>
      </x:c>
      <x:c r="D21" s="8">
        <x:v>8.2100000000000006E-2</x:v>
      </x:c>
      <x:c r="E21" s="8">
        <x:v>7.9000000000000001E-2</x:v>
      </x:c>
      <x:c r="F21" s="8" t="s">
        <x:v>27</x:v>
      </x:c>
      <x:c r="G21" s="8">
        <x:f t="shared" si="0"/>
        <x:v>0.82050000000000001</x:v>
      </x:c>
      <x:c r="H21" s="9">
        <x:f t="shared" si="1"/>
        <x:v>0.10006093845216332</x:v>
      </x:c>
      <x:c r="I21" s="2" t="s">
        <x:v>36</x:v>
      </x:c>
      <x:c r="J21" s="2" t="str">
        <x:v>Both regional Auxis species are epipelagic and have maxima above 30 cm. Their combined juvenile/adult large-pelagic eligibility is supported even though the catch age mixture is unknown. Model catch proportions provide the split; allocation confidence remains Medium. Northern-shelf 2000s proxy transferred to whole-LME 2019 landings; fixed over 1950–2019.</x:v>
      </x:c>
      <x:c r="K21" s="1"/>
    </x:row>
    <x:row r="22" ht="117" customHeight="1">
      <x:c r="A22" s="2" t="s">
        <x:v>49</x:v>
      </x:c>
      <x:c r="B22" s="2" t="s">
        <x:v>35</x:v>
      </x:c>
      <x:c r="C22" s="2">
        <x:v>30</x:v>
      </x:c>
      <x:c r="D22" s="8">
        <x:v>0.73839999999999995</x:v>
      </x:c>
      <x:c r="E22" s="8">
        <x:v>0.28899999999999998</x:v>
      </x:c>
      <x:c r="F22" s="8" t="s">
        <x:v>27</x:v>
      </x:c>
      <x:c r="G22" s="8">
        <x:f t="shared" si="0"/>
        <x:v>0.82050000000000001</x:v>
      </x:c>
      <x:c r="H22" s="9">
        <x:f t="shared" si="1"/>
        <x:v>0.89993906154783665</x:v>
      </x:c>
      <x:c r="I22" s="2" t="s">
        <x:v>36</x:v>
      </x:c>
      <x:c r="J22"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50 cm FL; Marine; brackish;  pelagic-neritic; oceanodromous. Model catch proportions provide the split; allocation confidence remains Medium. Northern-shelf 2000s proxy transferred to whole-LME 2019 landings; fixed over 1950–2019.</x:v>
      </x:c>
      <x:c r="K22" s="1"/>
    </x:row>
    <x:row r="23" ht="117" customHeight="1">
      <x:c r="A23" s="2" t="s">
        <x:v>49</x:v>
      </x:c>
      <x:c r="B23" s="2" t="s">
        <x:v>37</x:v>
      </x:c>
      <x:c r="C23" s="2">
        <x:v>31</x:v>
      </x:c>
      <x:c r="D23" s="8">
        <x:v>8.2100000000000006E-2</x:v>
      </x:c>
      <x:c r="E23" s="8">
        <x:v>7.9000000000000001E-2</x:v>
      </x:c>
      <x:c r="F23" s="8" t="s">
        <x:v>27</x:v>
      </x:c>
      <x:c r="G23" s="8">
        <x:f t="shared" si="0"/>
        <x:v>0.82050000000000001</x:v>
      </x:c>
      <x:c r="H23" s="9">
        <x:f t="shared" si="1"/>
        <x:v>0.10006093845216332</x:v>
      </x:c>
      <x:c r="I23" s="2" t="s">
        <x:v>36</x:v>
      </x:c>
      <x:c r="J23"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50 cm FL; Marine; brackish;  pelagic-neritic; oceanodromous. Model catch proportions provide the split; allocation confidence remains Medium. Northern-shelf 2000s proxy transferred to whole-LME 2019 landings; fixed over 1950–2019.</x:v>
      </x:c>
      <x:c r="K23" s="1"/>
    </x:row>
    <x:row r="24" ht="117" customHeight="1">
      <x:c r="A24" s="2" t="s">
        <x:v>50</x:v>
      </x:c>
      <x:c r="B24" s="2" t="s">
        <x:v>35</x:v>
      </x:c>
      <x:c r="C24" s="2">
        <x:v>30</x:v>
      </x:c>
      <x:c r="D24" s="8">
        <x:v>0.73839999999999995</x:v>
      </x:c>
      <x:c r="E24" s="8">
        <x:v>0.28899999999999998</x:v>
      </x:c>
      <x:c r="F24" s="8" t="s">
        <x:v>27</x:v>
      </x:c>
      <x:c r="G24" s="8">
        <x:f t="shared" si="0"/>
        <x:v>0.82050000000000001</x:v>
      </x:c>
      <x:c r="H24" s="9">
        <x:f t="shared" si="1"/>
        <x:v>0.89993906154783665</x:v>
      </x:c>
      <x:c r="I24" s="2" t="s">
        <x:v>36</x:v>
      </x:c>
      <x:c r="J24"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65 cm FL; Marine;  pelagic-neritic; oceanodromous. Model catch proportions provide the split; allocation confidence remains Medium. Northern-shelf 2000s proxy transferred to whole-LME 2019 landings; fixed over 1950–2019.</x:v>
      </x:c>
      <x:c r="K24" s="1"/>
    </x:row>
    <x:row r="25" ht="117" customHeight="1">
      <x:c r="A25" s="2" t="s">
        <x:v>50</x:v>
      </x:c>
      <x:c r="B25" s="2" t="s">
        <x:v>37</x:v>
      </x:c>
      <x:c r="C25" s="2">
        <x:v>31</x:v>
      </x:c>
      <x:c r="D25" s="8">
        <x:v>8.2100000000000006E-2</x:v>
      </x:c>
      <x:c r="E25" s="8">
        <x:v>7.9000000000000001E-2</x:v>
      </x:c>
      <x:c r="F25" s="8" t="s">
        <x:v>27</x:v>
      </x:c>
      <x:c r="G25" s="8">
        <x:f t="shared" si="0"/>
        <x:v>0.82050000000000001</x:v>
      </x:c>
      <x:c r="H25" s="9">
        <x:f t="shared" si="1"/>
        <x:v>0.10006093845216332</x:v>
      </x:c>
      <x:c r="I25" s="2" t="s">
        <x:v>36</x:v>
      </x:c>
      <x:c r="J25"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65 cm FL; Marine;  pelagic-neritic; oceanodromous. Model catch proportions provide the split; allocation confidence remains Medium. Northern-shelf 2000s proxy transferred to whole-LME 2019 landings; fixed over 1950–2019.</x:v>
      </x:c>
      <x:c r="K25" s="1"/>
    </x:row>
    <x:row r="26" ht="87" customHeight="1">
      <x:c r="A26" s="2" t="s">
        <x:v>51</x:v>
      </x:c>
      <x:c r="B26" s="2" t="s">
        <x:v>39</x:v>
      </x:c>
      <x:c r="C26" s="2">
        <x:v>25</x:v>
      </x:c>
      <x:c r="D26" s="8">
        <x:v>0.3165</x:v>
      </x:c>
      <x:c r="E26" s="8">
        <x:v>0.14299999999999999</x:v>
      </x:c>
      <x:c r="F26" s="8" t="s">
        <x:v>27</x:v>
      </x:c>
      <x:c r="G26" s="8">
        <x:f t="shared" si="0"/>
        <x:v>0.35170000000000001</x:v>
      </x:c>
      <x:c r="H26" s="9">
        <x:f t="shared" si="1"/>
        <x:v>0.89991470002843332</x:v>
      </x:c>
      <x:c r="I26" s="2" t="s">
        <x:v>36</x:v>
      </x:c>
      <x:c r="J26" s="2" t="str">
        <x:v>The family includes small regional Rhinecanthus verrucosus, maximum 23 cm TL, so current 25 + 26 is not a complete species-size set. Reef association does not justify treating every triggerfish as a &gt; 30 cm species. Model catch proportions provide the split; allocation confidence remains Medium. Northern-shelf 2000s proxy transferred to whole-LME 2019 landings; fixed over 1950–2019.</x:v>
      </x:c>
      <x:c r="K26" s="1"/>
    </x:row>
    <x:row r="27" ht="87" customHeight="1">
      <x:c r="A27" s="2" t="s">
        <x:v>51</x:v>
      </x:c>
      <x:c r="B27" s="2" t="s">
        <x:v>40</x:v>
      </x:c>
      <x:c r="C27" s="2">
        <x:v>26</x:v>
      </x:c>
      <x:c r="D27" s="8">
        <x:v>3.5200000000000002E-2</x:v>
      </x:c>
      <x:c r="E27" s="8">
        <x:v>2.1000000000000001E-2</x:v>
      </x:c>
      <x:c r="F27" s="8" t="s">
        <x:v>27</x:v>
      </x:c>
      <x:c r="G27" s="8">
        <x:f t="shared" si="0"/>
        <x:v>0.35170000000000001</x:v>
      </x:c>
      <x:c r="H27" s="9">
        <x:f t="shared" si="1"/>
        <x:v>0.10008529997156668</x:v>
      </x:c>
      <x:c r="I27" s="2" t="s">
        <x:v>36</x:v>
      </x:c>
      <x:c r="J27" s="2" t="str">
        <x:v>The family includes small regional Rhinecanthus verrucosus, maximum 23 cm TL, so current 25 + 26 is not a complete species-size set. Reef association does not justify treating every triggerfish as a &gt; 30 cm species. Model catch proportions provide the split; allocation confidence remains Medium. Northern-shelf 2000s proxy transferred to whole-LME 2019 landings; fixed over 1950–2019.</x:v>
      </x:c>
      <x:c r="K27" s="1"/>
    </x:row>
    <x:row r="28" ht="72" customHeight="1">
      <x:c r="A28" s="2" t="s">
        <x:v>52</x:v>
      </x:c>
      <x:c r="B28" s="2" t="s">
        <x:v>53</x:v>
      </x:c>
      <x:c r="C28" s="2">
        <x:v>32</x:v>
      </x:c>
      <x:c r="D28" s="8">
        <x:v>1E-3</x:v>
      </x:c>
      <x:c r="E28" s="8">
        <x:v>1E-3</x:v>
      </x:c>
      <x:c r="F28" s="8" t="s">
        <x:v>27</x:v>
      </x:c>
      <x:c r="G28" s="8">
        <x:f t="shared" si="0"/>
        <x:v>1.7000000000000001E-3</x:v>
      </x:c>
      <x:c r="H28" s="9">
        <x:f t="shared" si="1"/>
        <x:v>0.58823529411764708</x:v>
      </x:c>
      <x:c r="I28" s="2" t="s">
        <x:v>36</x:v>
      </x:c>
      <x:c r="J28" s="2" t="str">
        <x:v>The verified lineage is wholly elasmobranch and the current mapping includes both members of the source demersal/pelagic partition. No third shark/ray compartment is omitted. Composition remains allocation uncertainty. Model catch proportions provide the split; allocation confidence remains Medium. </x:v>
      </x:c>
      <x:c r="K28" s="1"/>
    </x:row>
    <x:row r="29" ht="72" customHeight="1">
      <x:c r="A29" s="2" t="s">
        <x:v>52</x:v>
      </x:c>
      <x:c r="B29" s="2" t="s">
        <x:v>54</x:v>
      </x:c>
      <x:c r="C29" s="2">
        <x:v>33</x:v>
      </x:c>
      <x:c r="D29" s="8">
        <x:v>6.9999999999999999E-4</x:v>
      </x:c>
      <x:c r="E29" s="8">
        <x:v>1.1000000000000001E-3</x:v>
      </x:c>
      <x:c r="F29" s="8" t="s">
        <x:v>27</x:v>
      </x:c>
      <x:c r="G29" s="8">
        <x:f t="shared" si="0"/>
        <x:v>1.7000000000000001E-3</x:v>
      </x:c>
      <x:c r="H29" s="9">
        <x:f t="shared" si="1"/>
        <x:v>0.41176470588235292</x:v>
      </x:c>
      <x:c r="I29" s="2" t="s">
        <x:v>36</x:v>
      </x:c>
      <x:c r="J29" s="2" t="str">
        <x:v>The verified lineage is wholly elasmobranch and the current mapping includes both members of the source demersal/pelagic partition. No third shark/ray compartment is omitted. Composition remains allocation uncertainty. Model catch proportions provide the split; allocation confidence remains Medium. </x:v>
      </x:c>
      <x:c r="K29" s="1"/>
    </x:row>
    <x:row r="30" ht="72" customHeight="1">
      <x:c r="A30" s="2" t="s">
        <x:v>55</x:v>
      </x:c>
      <x:c r="B30" s="2" t="s">
        <x:v>56</x:v>
      </x:c>
      <x:c r="C30" s="2">
        <x:v>24</x:v>
      </x:c>
      <x:c r="D30" s="8">
        <x:v>0.17879999999999999</x:v>
      </x:c>
      <x:c r="E30" s="8">
        <x:v>0.316</x:v>
      </x:c>
      <x:c r="F30" s="8" t="s">
        <x:v>27</x:v>
      </x:c>
      <x:c r="G30" s="8">
        <x:f t="shared" si="0"/>
        <x:v>0.53049999999999997</x:v>
      </x:c>
      <x:c r="H30" s="9">
        <x:f t="shared" si="1"/>
        <x:v>0.33704052780395855</x:v>
      </x:c>
      <x:c r="I30" s="2" t="s">
        <x:v>36</x:v>
      </x:c>
      <x:c r="J30" s="2" t="str">
        <x:v>Small Arnoglossus polyspilus (24 cm TL) and large Bothus demonstrate size diversity among bottom-associated flatfishes. The existing 24 + 25 + 26 set already covers it, so unknown family composition does not independently require Low membership. Model catch proportions provide the split; allocation confidence remains Medium. </x:v>
      </x:c>
      <x:c r="K30" s="1"/>
    </x:row>
    <x:row r="31" ht="72" customHeight="1">
      <x:c r="A31" s="2" t="s">
        <x:v>55</x:v>
      </x:c>
      <x:c r="B31" s="2" t="s">
        <x:v>39</x:v>
      </x:c>
      <x:c r="C31" s="2">
        <x:v>25</x:v>
      </x:c>
      <x:c r="D31" s="8">
        <x:v>0.3165</x:v>
      </x:c>
      <x:c r="E31" s="8">
        <x:v>0.14299999999999999</x:v>
      </x:c>
      <x:c r="F31" s="8" t="s">
        <x:v>27</x:v>
      </x:c>
      <x:c r="G31" s="8">
        <x:f t="shared" si="0"/>
        <x:v>0.53049999999999997</x:v>
      </x:c>
      <x:c r="H31" s="9">
        <x:f t="shared" si="1"/>
        <x:v>0.59660697455230915</x:v>
      </x:c>
      <x:c r="I31" s="2" t="s">
        <x:v>36</x:v>
      </x:c>
      <x:c r="J31" s="2" t="str">
        <x:v>Small Arnoglossus polyspilus (24 cm TL) and large Bothus demonstrate size diversity among bottom-associated flatfishes. The existing 24 + 25 + 26 set already covers it, so unknown family composition does not independently require Low membership. Model catch proportions provide the split; allocation confidence remains Medium. </x:v>
      </x:c>
      <x:c r="K31" s="1"/>
    </x:row>
    <x:row r="32" ht="72" customHeight="1">
      <x:c r="A32" s="2" t="s">
        <x:v>55</x:v>
      </x:c>
      <x:c r="B32" s="2" t="s">
        <x:v>40</x:v>
      </x:c>
      <x:c r="C32" s="2">
        <x:v>26</x:v>
      </x:c>
      <x:c r="D32" s="8">
        <x:v>3.5200000000000002E-2</x:v>
      </x:c>
      <x:c r="E32" s="8">
        <x:v>2.1000000000000001E-2</x:v>
      </x:c>
      <x:c r="F32" s="8" t="s">
        <x:v>27</x:v>
      </x:c>
      <x:c r="G32" s="8">
        <x:f t="shared" si="0"/>
        <x:v>0.53049999999999997</x:v>
      </x:c>
      <x:c r="H32" s="9">
        <x:f t="shared" si="1"/>
        <x:v>6.6352497643732342E-2</x:v>
      </x:c>
      <x:c r="I32" s="2" t="s">
        <x:v>36</x:v>
      </x:c>
      <x:c r="J32" s="2" t="str">
        <x:v>Small Arnoglossus polyspilus (24 cm TL) and large Bothus demonstrate size diversity among bottom-associated flatfishes. The existing 24 + 25 + 26 set already covers it, so unknown family composition does not independently require Low membership. Model catch proportions provide the split; allocation confidence remains Medium. </x:v>
      </x:c>
      <x:c r="K32" s="1"/>
    </x:row>
    <x:row r="33" ht="87" customHeight="1">
      <x:c r="A33" s="2" t="s">
        <x:v>57</x:v>
      </x:c>
      <x:c r="B33" s="2" t="s">
        <x:v>35</x:v>
      </x:c>
      <x:c r="C33" s="2">
        <x:v>30</x:v>
      </x:c>
      <x:c r="D33" s="8">
        <x:v>0.73839999999999995</x:v>
      </x:c>
      <x:c r="E33" s="8">
        <x:v>0.28899999999999998</x:v>
      </x:c>
      <x:c r="F33" s="8" t="s">
        <x:v>27</x:v>
      </x:c>
      <x:c r="G33" s="8">
        <x:f t="shared" si="0"/>
        <x:v>0.82050000000000001</x:v>
      </x:c>
      <x:c r="H33" s="9">
        <x:f t="shared" si="1"/>
        <x:v>0.89993906154783665</x:v>
      </x:c>
      <x:c r="I33" s="2" t="s">
        <x:v>36</x:v>
      </x:c>
      <x:c r="J33" s="2" t="str">
        <x:v>FAO recognizes pelagic, benthopelagic and bathypelagic species within Bramidae. The family label does not establish exclusive membership in the adopted large-pelagic pair, despite a generic pelagic catch classification. Model catch proportions provide the split; allocation confidence remains Medium. Northern-shelf 2000s proxy transferred to whole-LME 2019 landings; fixed over 1950–2019.</x:v>
      </x:c>
      <x:c r="K33" s="1"/>
    </x:row>
    <x:row r="34" ht="87" customHeight="1">
      <x:c r="A34" s="2" t="s">
        <x:v>57</x:v>
      </x:c>
      <x:c r="B34" s="2" t="s">
        <x:v>37</x:v>
      </x:c>
      <x:c r="C34" s="2">
        <x:v>31</x:v>
      </x:c>
      <x:c r="D34" s="8">
        <x:v>8.2100000000000006E-2</x:v>
      </x:c>
      <x:c r="E34" s="8">
        <x:v>7.9000000000000001E-2</x:v>
      </x:c>
      <x:c r="F34" s="8" t="s">
        <x:v>27</x:v>
      </x:c>
      <x:c r="G34" s="8">
        <x:f t="shared" si="0"/>
        <x:v>0.82050000000000001</x:v>
      </x:c>
      <x:c r="H34" s="9">
        <x:f t="shared" si="1"/>
        <x:v>0.10006093845216332</x:v>
      </x:c>
      <x:c r="I34" s="2" t="s">
        <x:v>36</x:v>
      </x:c>
      <x:c r="J34" s="2" t="str">
        <x:v>FAO recognizes pelagic, benthopelagic and bathypelagic species within Bramidae. The family label does not establish exclusive membership in the adopted large-pelagic pair, despite a generic pelagic catch classification. Model catch proportions provide the split; allocation confidence remains Medium. Northern-shelf 2000s proxy transferred to whole-LME 2019 landings; fixed over 1950–2019.</x:v>
      </x:c>
      <x:c r="K34" s="1"/>
    </x:row>
    <x:row r="35" ht="87" customHeight="1">
      <x:c r="A35" s="2" t="s">
        <x:v>58</x:v>
      </x:c>
      <x:c r="B35" s="2" t="s">
        <x:v>39</x:v>
      </x:c>
      <x:c r="C35" s="2">
        <x:v>25</x:v>
      </x:c>
      <x:c r="D35" s="8">
        <x:v>0.3165</x:v>
      </x:c>
      <x:c r="E35" s="8">
        <x:v>0.14299999999999999</x:v>
      </x:c>
      <x:c r="F35" s="8" t="s">
        <x:v>27</x:v>
      </x:c>
      <x:c r="G35" s="8">
        <x:f t="shared" si="0"/>
        <x:v>0.35170000000000001</x:v>
      </x:c>
      <x:c r="H35" s="9">
        <x:f t="shared" si="1"/>
        <x:v>0.89991470002843332</x:v>
      </x:c>
      <x:c r="I35" s="2" t="s">
        <x:v>36</x:v>
      </x:c>
      <x:c r="J35" s="2" t="str">
        <x:v>Large regional Caesio, including C. cuning 60 cm TL, are reef-associated midwater zooplanktivores. That ecology does not establish exclusive large-demersal membership; source-era Caesionidae versus modern Lutjanidae also needs reconciliation before invoking dedicated snappers. Model catch proportions provide the split; allocation confidence remains Medium. Northern-shelf 2000s proxy transferred to whole-LME 2019 landings; fixed over 1950–2019.</x:v>
      </x:c>
      <x:c r="K35" s="1"/>
    </x:row>
    <x:row r="36" ht="87" customHeight="1">
      <x:c r="A36" s="2" t="s">
        <x:v>58</x:v>
      </x:c>
      <x:c r="B36" s="2" t="s">
        <x:v>40</x:v>
      </x:c>
      <x:c r="C36" s="2">
        <x:v>26</x:v>
      </x:c>
      <x:c r="D36" s="8">
        <x:v>3.5200000000000002E-2</x:v>
      </x:c>
      <x:c r="E36" s="8">
        <x:v>2.1000000000000001E-2</x:v>
      </x:c>
      <x:c r="F36" s="8" t="s">
        <x:v>27</x:v>
      </x:c>
      <x:c r="G36" s="8">
        <x:f t="shared" si="0"/>
        <x:v>0.35170000000000001</x:v>
      </x:c>
      <x:c r="H36" s="9">
        <x:f t="shared" si="1"/>
        <x:v>0.10008529997156668</x:v>
      </x:c>
      <x:c r="I36" s="2" t="s">
        <x:v>36</x:v>
      </x:c>
      <x:c r="J36" s="2" t="str">
        <x:v>Large regional Caesio, including C. cuning 60 cm TL, are reef-associated midwater zooplanktivores. That ecology does not establish exclusive large-demersal membership; source-era Caesionidae versus modern Lutjanidae also needs reconciliation before invoking dedicated snappers. Model catch proportions provide the split; allocation confidence remains Medium. Northern-shelf 2000s proxy transferred to whole-LME 2019 landings; fixed over 1950–2019.</x:v>
      </x:c>
      <x:c r="K36" s="1"/>
    </x:row>
    <x:row r="37" ht="87" customHeight="1">
      <x:c r="A37" s="2" t="s">
        <x:v>59</x:v>
      </x:c>
      <x:c r="B37" s="2" t="s">
        <x:v>39</x:v>
      </x:c>
      <x:c r="C37" s="2">
        <x:v>25</x:v>
      </x:c>
      <x:c r="D37" s="8">
        <x:v>0.3165</x:v>
      </x:c>
      <x:c r="E37" s="8">
        <x:v>0.14299999999999999</x:v>
      </x:c>
      <x:c r="F37" s="8" t="s">
        <x:v>27</x:v>
      </x:c>
      <x:c r="G37" s="8">
        <x:f t="shared" si="0"/>
        <x:v>0.35170000000000001</x:v>
      </x:c>
      <x:c r="H37" s="9">
        <x:f t="shared" si="1"/>
        <x:v>0.89991470002843332</x:v>
      </x:c>
      <x:c r="I37" s="2" t="s">
        <x:v>36</x:v>
      </x:c>
      <x:c r="J37" s="2" t="str">
        <x:v>FAO fusiliers are schooling midwater reef planktivores, with small Pterocaesio and large Caesio. Current large-demersal pair does not resolve either habitat or species-size diversity. Modern placement within Lutjanidae cannot silently rewrite the thesis's source-era snapper scope. Model catch proportions provide the split; allocation confidence remains Medium. Northern-shelf 2000s proxy transferred to whole-LME 2019 landings; fixed over 1950–2019.</x:v>
      </x:c>
      <x:c r="K37" s="1"/>
    </x:row>
    <x:row r="38" ht="87" customHeight="1">
      <x:c r="A38" s="2" t="s">
        <x:v>59</x:v>
      </x:c>
      <x:c r="B38" s="2" t="s">
        <x:v>40</x:v>
      </x:c>
      <x:c r="C38" s="2">
        <x:v>26</x:v>
      </x:c>
      <x:c r="D38" s="8">
        <x:v>3.5200000000000002E-2</x:v>
      </x:c>
      <x:c r="E38" s="8">
        <x:v>2.1000000000000001E-2</x:v>
      </x:c>
      <x:c r="F38" s="8" t="s">
        <x:v>27</x:v>
      </x:c>
      <x:c r="G38" s="8">
        <x:f t="shared" si="0"/>
        <x:v>0.35170000000000001</x:v>
      </x:c>
      <x:c r="H38" s="9" t="n">
        <x:f t="shared" ref="H38:H69" si="2">D38/G38</x:f>
        <x:v>0.10008529997156668</x:v>
      </x:c>
      <x:c r="I38" s="2" t="s">
        <x:v>36</x:v>
      </x:c>
      <x:c r="J38" s="2" t="str">
        <x:v>FAO fusiliers are schooling midwater reef planktivores, with small Pterocaesio and large Caesio. Current large-demersal pair does not resolve either habitat or species-size diversity. Modern placement within Lutjanidae cannot silently rewrite the thesis's source-era snapper scope. Model catch proportions provide the split; allocation confidence remains Medium. Northern-shelf 2000s proxy transferred to whole-LME 2019 landings; fixed over 1950–2019.</x:v>
      </x:c>
      <x:c r="K38" s="1"/>
    </x:row>
    <x:row r="39" ht="72" customHeight="1">
      <x:c r="A39" s="2" t="s">
        <x:v>60</x:v>
      </x:c>
      <x:c r="B39" s="2" t="s">
        <x:v>61</x:v>
      </x:c>
      <x:c r="C39" s="2">
        <x:v>29</x:v>
      </x:c>
      <x:c r="D39" s="8">
        <x:v>2.3450000000000002</x:v>
      </x:c>
      <x:c r="E39" s="8">
        <x:v>1.772</x:v>
      </x:c>
      <x:c r="F39" s="8" t="s">
        <x:v>27</x:v>
      </x:c>
      <x:c r="G39" s="8">
        <x:f t="shared" si="0"/>
        <x:v>3.1655000000000002</x:v>
      </x:c>
      <x:c r="H39" s="9">
        <x:f t="shared" si="2"/>
        <x:v>0.74079924182593593</x:v>
      </x:c>
      <x:c r="I39" s="2" t="s">
        <x:v>36</x:v>
      </x:c>
      <x:c r="J39" s="2" t="str">
        <x:v>The eligible set includes only pelagic groups. Regional constituent taxa, including separately recorded Decapterus russelli and Gnathanodon speciosus, have benthopelagic/bottom-feeding ecology. The pelagic reporting classifier does not establish their exclusion. Model catch proportions provide the split; allocation confidence remains Medium. </x:v>
      </x:c>
      <x:c r="K39" s="1"/>
    </x:row>
    <x:row r="40" ht="72" customHeight="1">
      <x:c r="A40" s="2" t="s">
        <x:v>60</x:v>
      </x:c>
      <x:c r="B40" s="2" t="s">
        <x:v>35</x:v>
      </x:c>
      <x:c r="C40" s="2">
        <x:v>30</x:v>
      </x:c>
      <x:c r="D40" s="8">
        <x:v>0.73839999999999995</x:v>
      </x:c>
      <x:c r="E40" s="8">
        <x:v>0.28899999999999998</x:v>
      </x:c>
      <x:c r="F40" s="8" t="s">
        <x:v>27</x:v>
      </x:c>
      <x:c r="G40" s="8">
        <x:f t="shared" si="0"/>
        <x:v>3.1655000000000002</x:v>
      </x:c>
      <x:c r="H40" s="9">
        <x:f t="shared" si="2"/>
        <x:v>0.233264887063655</x:v>
      </x:c>
      <x:c r="I40" s="2" t="s">
        <x:v>36</x:v>
      </x:c>
      <x:c r="J40" s="2" t="str">
        <x:v>The eligible set includes only pelagic groups. Regional constituent taxa, including separately recorded Decapterus russelli and Gnathanodon speciosus, have benthopelagic/bottom-feeding ecology. The pelagic reporting classifier does not establish their exclusion. Model catch proportions provide the split; allocation confidence remains Medium. </x:v>
      </x:c>
      <x:c r="K40" s="1"/>
    </x:row>
    <x:row r="41" ht="72" customHeight="1">
      <x:c r="A41" s="2" t="s">
        <x:v>60</x:v>
      </x:c>
      <x:c r="B41" s="2" t="s">
        <x:v>37</x:v>
      </x:c>
      <x:c r="C41" s="2">
        <x:v>31</x:v>
      </x:c>
      <x:c r="D41" s="8">
        <x:v>8.2100000000000006E-2</x:v>
      </x:c>
      <x:c r="E41" s="8">
        <x:v>7.9000000000000001E-2</x:v>
      </x:c>
      <x:c r="F41" s="8" t="s">
        <x:v>27</x:v>
      </x:c>
      <x:c r="G41" s="8">
        <x:f t="shared" si="0"/>
        <x:v>3.1655000000000002</x:v>
      </x:c>
      <x:c r="H41" s="9">
        <x:f t="shared" si="2"/>
        <x:v>2.5935871110409098E-2</x:v>
      </x:c>
      <x:c r="I41" s="2" t="s">
        <x:v>36</x:v>
      </x:c>
      <x:c r="J41" s="2" t="str">
        <x:v>The eligible set includes only pelagic groups. Regional constituent taxa, including separately recorded Decapterus russelli and Gnathanodon speciosus, have benthopelagic/bottom-feeding ecology. The pelagic reporting classifier does not establish their exclusion. Model catch proportions provide the split; allocation confidence remains Medium. </x:v>
      </x:c>
      <x:c r="K41" s="1"/>
    </x:row>
    <x:row r="42" ht="87" customHeight="1">
      <x:c r="A42" s="2" t="s">
        <x:v>62</x:v>
      </x:c>
      <x:c r="B42" s="2" t="s">
        <x:v>35</x:v>
      </x:c>
      <x:c r="C42" s="2">
        <x:v>30</x:v>
      </x:c>
      <x:c r="D42" s="8">
        <x:v>0.73839999999999995</x:v>
      </x:c>
      <x:c r="E42" s="8">
        <x:v>0.28899999999999998</x:v>
      </x:c>
      <x:c r="F42" s="8" t="s">
        <x:v>27</x:v>
      </x:c>
      <x:c r="G42" s="8">
        <x:f t="shared" si="0"/>
        <x:v>0.82050000000000001</x:v>
      </x:c>
      <x:c r="H42" s="9">
        <x:f t="shared" si="2"/>
        <x:v>0.89993906154783665</x:v>
      </x:c>
      <x:c r="I42" s="2" t="s">
        <x:v>36</x:v>
      </x:c>
      <x:c r="J42" s="2" t="str">
        <x:v>The historical Carangoides reporting genus includes small C. praeustus and demersal C. hedlandensis. The current large-pelagic pair cannot be verified for that mixed size/habitat set without species composition. Model catch proportions provide the split; allocation confidence remains Medium. Northern-shelf 2000s proxy transferred to whole-LME 2019 landings; fixed over 1950–2019.</x:v>
      </x:c>
      <x:c r="K42" s="1"/>
    </x:row>
    <x:row r="43" ht="87" customHeight="1">
      <x:c r="A43" s="2" t="s">
        <x:v>62</x:v>
      </x:c>
      <x:c r="B43" s="2" t="s">
        <x:v>37</x:v>
      </x:c>
      <x:c r="C43" s="2">
        <x:v>31</x:v>
      </x:c>
      <x:c r="D43" s="8">
        <x:v>8.2100000000000006E-2</x:v>
      </x:c>
      <x:c r="E43" s="8">
        <x:v>7.9000000000000001E-2</x:v>
      </x:c>
      <x:c r="F43" s="8" t="s">
        <x:v>27</x:v>
      </x:c>
      <x:c r="G43" s="8">
        <x:f t="shared" si="0"/>
        <x:v>0.82050000000000001</x:v>
      </x:c>
      <x:c r="H43" s="9">
        <x:f t="shared" si="2"/>
        <x:v>0.10006093845216332</x:v>
      </x:c>
      <x:c r="I43" s="2" t="s">
        <x:v>36</x:v>
      </x:c>
      <x:c r="J43" s="2" t="str">
        <x:v>The historical Carangoides reporting genus includes small C. praeustus and demersal C. hedlandensis. The current large-pelagic pair cannot be verified for that mixed size/habitat set without species composition. Model catch proportions provide the split; allocation confidence remains Medium. Northern-shelf 2000s proxy transferred to whole-LME 2019 landings; fixed over 1950–2019.</x:v>
      </x:c>
      <x:c r="K43" s="1"/>
    </x:row>
    <x:row r="44" ht="72" customHeight="1">
      <x:c r="A44" s="2" t="s">
        <x:v>63</x:v>
      </x:c>
      <x:c r="B44" s="2" t="s">
        <x:v>35</x:v>
      </x:c>
      <x:c r="C44" s="2">
        <x:v>30</x:v>
      </x:c>
      <x:c r="D44" s="8">
        <x:v>0.73839999999999995</x:v>
      </x:c>
      <x:c r="E44" s="8">
        <x:v>0.28899999999999998</x:v>
      </x:c>
      <x:c r="F44" s="8" t="s">
        <x:v>27</x:v>
      </x:c>
      <x:c r="G44" s="8">
        <x:f t="shared" si="0"/>
        <x:v>0.82050000000000001</x:v>
      </x:c>
      <x:c r="H44" s="9">
        <x:f t="shared" si="2"/>
        <x:v>0.89993906154783665</x:v>
      </x:c>
      <x:c r="I44" s="2" t="s">
        <x:v>36</x:v>
      </x:c>
      <x:c r="J44" s="2" t="str">
        <x:v>Regional Caranx includes bottom-associated inshore jacks as well as pelagic forms. Large size alone does not establish whole-genus membership in the adopted pelagic pair. Model catch proportions provide the split; allocation confidence remains Medium. Northern-shelf 2000s proxy transferred to whole-LME 2019 landings; fixed over 1950–2019.</x:v>
      </x:c>
      <x:c r="K44" s="1"/>
    </x:row>
    <x:row r="45" ht="72" customHeight="1">
      <x:c r="A45" s="2" t="s">
        <x:v>63</x:v>
      </x:c>
      <x:c r="B45" s="2" t="s">
        <x:v>37</x:v>
      </x:c>
      <x:c r="C45" s="2">
        <x:v>31</x:v>
      </x:c>
      <x:c r="D45" s="8">
        <x:v>8.2100000000000006E-2</x:v>
      </x:c>
      <x:c r="E45" s="8">
        <x:v>7.9000000000000001E-2</x:v>
      </x:c>
      <x:c r="F45" s="8" t="s">
        <x:v>27</x:v>
      </x:c>
      <x:c r="G45" s="8">
        <x:f t="shared" si="0"/>
        <x:v>0.82050000000000001</x:v>
      </x:c>
      <x:c r="H45" s="9">
        <x:f t="shared" si="2"/>
        <x:v>0.10006093845216332</x:v>
      </x:c>
      <x:c r="I45" s="2" t="s">
        <x:v>36</x:v>
      </x:c>
      <x:c r="J45" s="2" t="str">
        <x:v>Regional Caranx includes bottom-associated inshore jacks as well as pelagic forms. Large size alone does not establish whole-genus membership in the adopted pelagic pair. Model catch proportions provide the split; allocation confidence remains Medium. Northern-shelf 2000s proxy transferred to whole-LME 2019 landings; fixed over 1950–2019.</x:v>
      </x:c>
      <x:c r="K45" s="1"/>
    </x:row>
    <x:row r="46" ht="102" customHeight="1">
      <x:c r="A46" s="2" t="s">
        <x:v>64</x:v>
      </x:c>
      <x:c r="B46" s="2" t="s">
        <x:v>35</x:v>
      </x:c>
      <x:c r="C46" s="2">
        <x:v>30</x:v>
      </x:c>
      <x:c r="D46" s="8">
        <x:v>0.73839999999999995</x:v>
      </x:c>
      <x:c r="E46" s="8">
        <x:v>0.28899999999999998</x:v>
      </x:c>
      <x:c r="F46" s="8" t="s">
        <x:v>27</x:v>
      </x:c>
      <x:c r="G46" s="8">
        <x:f t="shared" si="0"/>
        <x:v>0.82050000000000001</x:v>
      </x:c>
      <x:c r="H46" s="9">
        <x:f t="shared" si="2"/>
        <x:v>0.89993906154783665</x:v>
      </x:c>
      <x:c r="I46" s="2" t="s">
        <x:v>36</x:v>
      </x:c>
      <x:c r="J46" s="2" t="str">
        <x:v>FishBase supports pelagic activity, whereas authoritative habitat accounts also use benthic/benthopelagic descriptions. The model explicitly separates benthopelagic fish. Conflicting evidence prevents a Medium exact ecological fit for the retained pelagic pair. Checked species record: 170 cm TL; Marine; brackish;  reef-associated;. Model catch proportions provide the split; allocation confidence remains Medium. Northern-shelf 2000s proxy transferred to whole-LME 2019 landings; fixed over 1950–2019.</x:v>
      </x:c>
      <x:c r="K46" s="1"/>
    </x:row>
    <x:row r="47" ht="102" customHeight="1">
      <x:c r="A47" s="2" t="s">
        <x:v>64</x:v>
      </x:c>
      <x:c r="B47" s="2" t="s">
        <x:v>37</x:v>
      </x:c>
      <x:c r="C47" s="2">
        <x:v>31</x:v>
      </x:c>
      <x:c r="D47" s="8">
        <x:v>8.2100000000000006E-2</x:v>
      </x:c>
      <x:c r="E47" s="8">
        <x:v>7.9000000000000001E-2</x:v>
      </x:c>
      <x:c r="F47" s="8" t="s">
        <x:v>27</x:v>
      </x:c>
      <x:c r="G47" s="8">
        <x:f t="shared" si="0"/>
        <x:v>0.82050000000000001</x:v>
      </x:c>
      <x:c r="H47" s="9">
        <x:f t="shared" si="2"/>
        <x:v>0.10006093845216332</x:v>
      </x:c>
      <x:c r="I47" s="2" t="s">
        <x:v>36</x:v>
      </x:c>
      <x:c r="J47" s="2" t="str">
        <x:v>FishBase supports pelagic activity, whereas authoritative habitat accounts also use benthic/benthopelagic descriptions. The model explicitly separates benthopelagic fish. Conflicting evidence prevents a Medium exact ecological fit for the retained pelagic pair. Checked species record: 170 cm TL; Marine; brackish;  reef-associated;. Model catch proportions provide the split; allocation confidence remains Medium. Northern-shelf 2000s proxy transferred to whole-LME 2019 landings; fixed over 1950–2019.</x:v>
      </x:c>
      <x:c r="K47" s="1"/>
    </x:row>
    <x:row r="48" ht="102" customHeight="1">
      <x:c r="A48" s="2" t="s">
        <x:v>65</x:v>
      </x:c>
      <x:c r="B48" s="2" t="s">
        <x:v>35</x:v>
      </x:c>
      <x:c r="C48" s="2">
        <x:v>30</x:v>
      </x:c>
      <x:c r="D48" s="8">
        <x:v>0.73839999999999995</x:v>
      </x:c>
      <x:c r="E48" s="8">
        <x:v>0.28899999999999998</x:v>
      </x:c>
      <x:c r="F48" s="8" t="s">
        <x:v>27</x:v>
      </x:c>
      <x:c r="G48" s="8">
        <x:f t="shared" si="0"/>
        <x:v>0.82050000000000001</x:v>
      </x:c>
      <x:c r="H48" s="9">
        <x:f t="shared" si="2"/>
        <x:v>0.89993906154783665</x:v>
      </x:c>
      <x:c r="I48" s="2" t="s">
        <x:v>36</x:v>
      </x:c>
      <x:c r="J48" s="2" t="str">
        <x:v>FishBase supports pelagic activity, whereas authoritative habitat accounts also use benthic/benthopelagic descriptions. The model explicitly separates benthopelagic fish. Conflicting evidence prevents a Medium exact ecological fit for the retained pelagic pair. Checked species record: 120 cm TL; Marine; freshwater; brackish;  reef-associated; amphidromous;. Model catch proportions provide the split; allocation confidence remains Medium. Northern-shelf 2000s proxy transferred to whole-LME 2019 landings; fixed over 1950–2019.</x:v>
      </x:c>
      <x:c r="K48" s="1"/>
    </x:row>
    <x:row r="49" ht="102" customHeight="1">
      <x:c r="A49" s="2" t="s">
        <x:v>65</x:v>
      </x:c>
      <x:c r="B49" s="2" t="s">
        <x:v>37</x:v>
      </x:c>
      <x:c r="C49" s="2">
        <x:v>31</x:v>
      </x:c>
      <x:c r="D49" s="8">
        <x:v>8.2100000000000006E-2</x:v>
      </x:c>
      <x:c r="E49" s="8">
        <x:v>7.9000000000000001E-2</x:v>
      </x:c>
      <x:c r="F49" s="8" t="s">
        <x:v>27</x:v>
      </x:c>
      <x:c r="G49" s="8">
        <x:f t="shared" si="0"/>
        <x:v>0.82050000000000001</x:v>
      </x:c>
      <x:c r="H49" s="9">
        <x:f t="shared" si="2"/>
        <x:v>0.10006093845216332</x:v>
      </x:c>
      <x:c r="I49" s="2" t="s">
        <x:v>36</x:v>
      </x:c>
      <x:c r="J49" s="2" t="str">
        <x:v>FishBase supports pelagic activity, whereas authoritative habitat accounts also use benthic/benthopelagic descriptions. The model explicitly separates benthopelagic fish. Conflicting evidence prevents a Medium exact ecological fit for the retained pelagic pair. Checked species record: 120 cm TL; Marine; freshwater; brackish;  reef-associated; amphidromous;. Model catch proportions provide the split; allocation confidence remains Medium. Northern-shelf 2000s proxy transferred to whole-LME 2019 landings; fixed over 1950–2019.</x:v>
      </x:c>
      <x:c r="K49" s="1"/>
    </x:row>
    <x:row r="50" ht="72" customHeight="1">
      <x:c r="A50" s="2" t="s">
        <x:v>66</x:v>
      </x:c>
      <x:c r="B50" s="2" t="s">
        <x:v>53</x:v>
      </x:c>
      <x:c r="C50" s="2">
        <x:v>32</x:v>
      </x:c>
      <x:c r="D50" s="8">
        <x:v>1E-3</x:v>
      </x:c>
      <x:c r="E50" s="8">
        <x:v>1E-3</x:v>
      </x:c>
      <x:c r="F50" s="8" t="s">
        <x:v>27</x:v>
      </x:c>
      <x:c r="G50" s="8">
        <x:f t="shared" si="0"/>
        <x:v>1.7000000000000001E-3</x:v>
      </x:c>
      <x:c r="H50" s="9">
        <x:f t="shared" si="2"/>
        <x:v>0.58823529411764708</x:v>
      </x:c>
      <x:c r="I50" s="2" t="s">
        <x:v>36</x:v>
      </x:c>
      <x:c r="J50" s="2" t="str">
        <x:v>The verified lineage is wholly elasmobranch and the current mapping includes both members of the source demersal/pelagic partition. No third shark/ray compartment is omitted. Composition remains allocation uncertainty. Model catch proportions provide the split; allocation confidence remains Medium. </x:v>
      </x:c>
      <x:c r="K50" s="1"/>
    </x:row>
    <x:row r="51" ht="72" customHeight="1">
      <x:c r="A51" s="2" t="s">
        <x:v>66</x:v>
      </x:c>
      <x:c r="B51" s="2" t="s">
        <x:v>54</x:v>
      </x:c>
      <x:c r="C51" s="2">
        <x:v>33</x:v>
      </x:c>
      <x:c r="D51" s="8">
        <x:v>6.9999999999999999E-4</x:v>
      </x:c>
      <x:c r="E51" s="8">
        <x:v>1.1000000000000001E-3</x:v>
      </x:c>
      <x:c r="F51" s="8" t="s">
        <x:v>27</x:v>
      </x:c>
      <x:c r="G51" s="8">
        <x:f t="shared" si="0"/>
        <x:v>1.7000000000000001E-3</x:v>
      </x:c>
      <x:c r="H51" s="9">
        <x:f t="shared" si="2"/>
        <x:v>0.41176470588235292</x:v>
      </x:c>
      <x:c r="I51" s="2" t="s">
        <x:v>36</x:v>
      </x:c>
      <x:c r="J51" s="2" t="str">
        <x:v>The verified lineage is wholly elasmobranch and the current mapping includes both members of the source demersal/pelagic partition. No third shark/ray compartment is omitted. Composition remains allocation uncertainty. Model catch proportions provide the split; allocation confidence remains Medium. </x:v>
      </x:c>
      <x:c r="K51" s="1"/>
    </x:row>
    <x:row r="52" ht="72" customHeight="1">
      <x:c r="A52" s="2" t="s">
        <x:v>67</x:v>
      </x:c>
      <x:c r="B52" s="2" t="s">
        <x:v>53</x:v>
      </x:c>
      <x:c r="C52" s="2">
        <x:v>32</x:v>
      </x:c>
      <x:c r="D52" s="8">
        <x:v>1E-3</x:v>
      </x:c>
      <x:c r="E52" s="8">
        <x:v>1E-3</x:v>
      </x:c>
      <x:c r="F52" s="8" t="s">
        <x:v>27</x:v>
      </x:c>
      <x:c r="G52" s="8">
        <x:f t="shared" si="0"/>
        <x:v>1.7000000000000001E-3</x:v>
      </x:c>
      <x:c r="H52" s="9">
        <x:f t="shared" si="2"/>
        <x:v>0.58823529411764708</x:v>
      </x:c>
      <x:c r="I52" s="2" t="s">
        <x:v>36</x:v>
      </x:c>
      <x:c r="J52" s="2" t="str">
        <x:v>The verified lineage is wholly elasmobranch and the current mapping includes both members of the source demersal/pelagic partition. No third shark/ray compartment is omitted. Composition remains allocation uncertainty. Model catch proportions provide the split; allocation confidence remains Medium. </x:v>
      </x:c>
      <x:c r="K52" s="1"/>
    </x:row>
    <x:row r="53" ht="72" customHeight="1">
      <x:c r="A53" s="2" t="s">
        <x:v>67</x:v>
      </x:c>
      <x:c r="B53" s="2" t="s">
        <x:v>54</x:v>
      </x:c>
      <x:c r="C53" s="2">
        <x:v>33</x:v>
      </x:c>
      <x:c r="D53" s="8">
        <x:v>6.9999999999999999E-4</x:v>
      </x:c>
      <x:c r="E53" s="8">
        <x:v>1.1000000000000001E-3</x:v>
      </x:c>
      <x:c r="F53" s="8" t="s">
        <x:v>27</x:v>
      </x:c>
      <x:c r="G53" s="8">
        <x:f t="shared" si="0"/>
        <x:v>1.7000000000000001E-3</x:v>
      </x:c>
      <x:c r="H53" s="9">
        <x:f t="shared" si="2"/>
        <x:v>0.41176470588235292</x:v>
      </x:c>
      <x:c r="I53" s="2" t="s">
        <x:v>36</x:v>
      </x:c>
      <x:c r="J53" s="2" t="str">
        <x:v>The verified lineage is wholly elasmobranch and the current mapping includes both members of the source demersal/pelagic partition. No third shark/ray compartment is omitted. Composition remains allocation uncertainty. Model catch proportions provide the split; allocation confidence remains Medium. </x:v>
      </x:c>
      <x:c r="K53" s="1"/>
    </x:row>
    <x:row r="54" ht="117" customHeight="1">
      <x:c r="A54" s="2" t="s">
        <x:v>68</x:v>
      </x:c>
      <x:c r="B54" s="2" t="s">
        <x:v>35</x:v>
      </x:c>
      <x:c r="C54" s="2">
        <x:v>30</x:v>
      </x:c>
      <x:c r="D54" s="8">
        <x:v>0.73839999999999995</x:v>
      </x:c>
      <x:c r="E54" s="8">
        <x:v>0.28899999999999998</x:v>
      </x:c>
      <x:c r="F54" s="8" t="s">
        <x:v>27</x:v>
      </x:c>
      <x:c r="G54" s="8">
        <x:f t="shared" si="0"/>
        <x:v>0.82050000000000001</x:v>
      </x:c>
      <x:c r="H54" s="9">
        <x:f t="shared" si="2"/>
        <x:v>0.89993906154783665</x:v>
      </x:c>
      <x:c r="I54" s="2" t="s">
        <x:v>36</x:v>
      </x:c>
      <x:c r="J54"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38 cm TL; Marine;  pelagic-neritic; oceanodromous;. Model catch proportions provide the split; allocation confidence remains Medium. Northern-shelf 2000s proxy transferred to whole-LME 2019 landings; fixed over 1950–2019.</x:v>
      </x:c>
      <x:c r="K54" s="1"/>
    </x:row>
    <x:row r="55" ht="117" customHeight="1">
      <x:c r="A55" s="2" t="s">
        <x:v>68</x:v>
      </x:c>
      <x:c r="B55" s="2" t="s">
        <x:v>37</x:v>
      </x:c>
      <x:c r="C55" s="2">
        <x:v>31</x:v>
      </x:c>
      <x:c r="D55" s="8">
        <x:v>8.2100000000000006E-2</x:v>
      </x:c>
      <x:c r="E55" s="8">
        <x:v>7.9000000000000001E-2</x:v>
      </x:c>
      <x:c r="F55" s="8" t="s">
        <x:v>27</x:v>
      </x:c>
      <x:c r="G55" s="8">
        <x:f t="shared" si="0"/>
        <x:v>0.82050000000000001</x:v>
      </x:c>
      <x:c r="H55" s="9">
        <x:f t="shared" si="2"/>
        <x:v>0.10006093845216332</x:v>
      </x:c>
      <x:c r="I55" s="2" t="s">
        <x:v>36</x:v>
      </x:c>
      <x:c r="J55"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38 cm TL; Marine;  pelagic-neritic; oceanodromous;. Model catch proportions provide the split; allocation confidence remains Medium. Northern-shelf 2000s proxy transferred to whole-LME 2019 landings; fixed over 1950–2019.</x:v>
      </x:c>
      <x:c r="K55" s="1"/>
    </x:row>
    <x:row r="56" ht="102" customHeight="1">
      <x:c r="A56" s="2" t="s">
        <x:v>69</x:v>
      </x:c>
      <x:c r="B56" s="2" t="s">
        <x:v>39</x:v>
      </x:c>
      <x:c r="C56" s="2">
        <x:v>25</x:v>
      </x:c>
      <x:c r="D56" s="8">
        <x:v>0.3165</x:v>
      </x:c>
      <x:c r="E56" s="8">
        <x:v>0.14299999999999999</x:v>
      </x:c>
      <x:c r="F56" s="8" t="s">
        <x:v>27</x:v>
      </x:c>
      <x:c r="G56" s="8">
        <x:f t="shared" si="0"/>
        <x:v>0.35170000000000001</x:v>
      </x:c>
      <x:c r="H56" s="9">
        <x:f t="shared" si="2"/>
        <x:v>0.89991470002843332</x:v>
      </x:c>
      <x:c r="I56" s="2" t="s">
        <x:v>36</x:v>
      </x:c>
      <x:c r="J56" s="2" t="str">
        <x:v>This documented demersal triglid reaches 60 cm TL and occupies sand/shell shelf substrates with regional occurrence. It meets the explicit residual large-demersal criteria, has no dedicated competing pool, and remains eligible for the combined 25 + 26 set despite unknown caught ages. Model catch proportions provide the split; allocation confidence remains Medium. Northern-shelf 2000s proxy transferred to whole-LME 2019 landings; fixed over 1950–2019.</x:v>
      </x:c>
      <x:c r="K56" s="1"/>
    </x:row>
    <x:row r="57" ht="102" customHeight="1">
      <x:c r="A57" s="2" t="s">
        <x:v>69</x:v>
      </x:c>
      <x:c r="B57" s="2" t="s">
        <x:v>40</x:v>
      </x:c>
      <x:c r="C57" s="2">
        <x:v>26</x:v>
      </x:c>
      <x:c r="D57" s="8">
        <x:v>3.5200000000000002E-2</x:v>
      </x:c>
      <x:c r="E57" s="8">
        <x:v>2.1000000000000001E-2</x:v>
      </x:c>
      <x:c r="F57" s="8" t="s">
        <x:v>27</x:v>
      </x:c>
      <x:c r="G57" s="8">
        <x:f t="shared" si="0"/>
        <x:v>0.35170000000000001</x:v>
      </x:c>
      <x:c r="H57" s="9">
        <x:f t="shared" si="2"/>
        <x:v>0.10008529997156668</x:v>
      </x:c>
      <x:c r="I57" s="2" t="s">
        <x:v>36</x:v>
      </x:c>
      <x:c r="J57" s="2" t="str">
        <x:v>This documented demersal triglid reaches 60 cm TL and occupies sand/shell shelf substrates with regional occurrence. It meets the explicit residual large-demersal criteria, has no dedicated competing pool, and remains eligible for the combined 25 + 26 set despite unknown caught ages. Model catch proportions provide the split; allocation confidence remains Medium. Northern-shelf 2000s proxy transferred to whole-LME 2019 landings; fixed over 1950–2019.</x:v>
      </x:c>
      <x:c r="K57" s="1"/>
    </x:row>
    <x:row r="58" ht="87" customHeight="1">
      <x:c r="A58" s="2" t="s">
        <x:v>70</x:v>
      </x:c>
      <x:c r="B58" s="2" t="s">
        <x:v>35</x:v>
      </x:c>
      <x:c r="C58" s="2">
        <x:v>30</x:v>
      </x:c>
      <x:c r="D58" s="8">
        <x:v>0.73839999999999995</x:v>
      </x:c>
      <x:c r="E58" s="8">
        <x:v>0.28899999999999998</x:v>
      </x:c>
      <x:c r="F58" s="8" t="s">
        <x:v>27</x:v>
      </x:c>
      <x:c r="G58" s="8">
        <x:f t="shared" si="0"/>
        <x:v>0.82050000000000001</x:v>
      </x:c>
      <x:c r="H58" s="9">
        <x:f t="shared" si="2"/>
        <x:v>0.89993906154783665</x:v>
      </x:c>
      <x:c r="I58" s="2" t="s">
        <x:v>36</x:v>
      </x:c>
      <x:c r="J58" s="2" t="str">
        <x:v>Both regional wolf-herring species are coastal pelagic fishes with maxima far above 30 cm. The genus is therefore sufficiently coherent for the source large-pelagic pair, with stage proportions retained as assumptions. Model catch proportions provide the split; allocation confidence remains Medium. Northern-shelf 2000s proxy transferred to whole-LME 2019 landings; fixed over 1950–2019.</x:v>
      </x:c>
      <x:c r="K58" s="1"/>
    </x:row>
    <x:row r="59" ht="87" customHeight="1">
      <x:c r="A59" s="2" t="s">
        <x:v>70</x:v>
      </x:c>
      <x:c r="B59" s="2" t="s">
        <x:v>37</x:v>
      </x:c>
      <x:c r="C59" s="2">
        <x:v>31</x:v>
      </x:c>
      <x:c r="D59" s="8">
        <x:v>8.2100000000000006E-2</x:v>
      </x:c>
      <x:c r="E59" s="8">
        <x:v>7.9000000000000001E-2</x:v>
      </x:c>
      <x:c r="F59" s="8" t="s">
        <x:v>27</x:v>
      </x:c>
      <x:c r="G59" s="8">
        <x:f t="shared" si="0"/>
        <x:v>0.82050000000000001</x:v>
      </x:c>
      <x:c r="H59" s="9">
        <x:f t="shared" si="2"/>
        <x:v>0.10006093845216332</x:v>
      </x:c>
      <x:c r="I59" s="2" t="s">
        <x:v>36</x:v>
      </x:c>
      <x:c r="J59" s="2" t="str">
        <x:v>Both regional wolf-herring species are coastal pelagic fishes with maxima far above 30 cm. The genus is therefore sufficiently coherent for the source large-pelagic pair, with stage proportions retained as assumptions. Model catch proportions provide the split; allocation confidence remains Medium. Northern-shelf 2000s proxy transferred to whole-LME 2019 landings; fixed over 1950–2019.</x:v>
      </x:c>
      <x:c r="K59" s="1"/>
    </x:row>
    <x:row r="60" ht="87" customHeight="1">
      <x:c r="A60" s="2" t="s">
        <x:v>71</x:v>
      </x:c>
      <x:c r="B60" s="2" t="s">
        <x:v>53</x:v>
      </x:c>
      <x:c r="C60" s="2">
        <x:v>32</x:v>
      </x:c>
      <x:c r="D60" s="8">
        <x:v>1E-3</x:v>
      </x:c>
      <x:c r="E60" s="8">
        <x:v>1E-3</x:v>
      </x:c>
      <x:c r="F60" s="8" t="s">
        <x:v>27</x:v>
      </x:c>
      <x:c r="G60" s="8">
        <x:f t="shared" si="0"/>
        <x:v>1.7000000000000001E-3</x:v>
      </x:c>
      <x:c r="H60" s="9">
        <x:f t="shared" si="2"/>
        <x:v>0.58823529411764708</x:v>
      </x:c>
      <x:c r="I60" s="2" t="s">
        <x:v>36</x:v>
      </x:c>
      <x:c r="J60" s="2" t="str">
        <x:v>The raw category explicitly includes sharks, rays and chimaeras. Source groups 32–33 are defined as elasmobranchs, so they approximate only part of this class; chimaera composition and representation remain unknown. Model catch proportions provide the split; allocation confidence remains Medium. Assumed composition is fixed across 1950–2019 and landings, total catch and discards; source model is a 2000s northern shelf representation.</x:v>
      </x:c>
      <x:c r="K60" s="1"/>
    </x:row>
    <x:row r="61" ht="87" customHeight="1">
      <x:c r="A61" s="2" t="s">
        <x:v>71</x:v>
      </x:c>
      <x:c r="B61" s="2" t="s">
        <x:v>54</x:v>
      </x:c>
      <x:c r="C61" s="2">
        <x:v>33</x:v>
      </x:c>
      <x:c r="D61" s="8">
        <x:v>6.9999999999999999E-4</x:v>
      </x:c>
      <x:c r="E61" s="8">
        <x:v>1.1000000000000001E-3</x:v>
      </x:c>
      <x:c r="F61" s="8" t="s">
        <x:v>27</x:v>
      </x:c>
      <x:c r="G61" s="8">
        <x:f t="shared" si="0"/>
        <x:v>1.7000000000000001E-3</x:v>
      </x:c>
      <x:c r="H61" s="9">
        <x:f t="shared" si="2"/>
        <x:v>0.41176470588235292</x:v>
      </x:c>
      <x:c r="I61" s="2" t="s">
        <x:v>36</x:v>
      </x:c>
      <x:c r="J61" s="2" t="str">
        <x:v>The raw category explicitly includes sharks, rays and chimaeras. Source groups 32–33 are defined as elasmobranchs, so they approximate only part of this class; chimaera composition and representation remain unknown. Model catch proportions provide the split; allocation confidence remains Medium. Assumed composition is fixed across 1950–2019 and landings, total catch and discards; source model is a 2000s northern shelf representation.</x:v>
      </x:c>
      <x:c r="K61" s="1"/>
    </x:row>
    <x:row r="62" ht="72" customHeight="1">
      <x:c r="A62" s="2" t="s">
        <x:v>72</x:v>
      </x:c>
      <x:c r="B62" s="2" t="s">
        <x:v>61</x:v>
      </x:c>
      <x:c r="C62" s="2">
        <x:v>29</x:v>
      </x:c>
      <x:c r="D62" s="8">
        <x:v>2.3450000000000002</x:v>
      </x:c>
      <x:c r="E62" s="8">
        <x:v>1.772</x:v>
      </x:c>
      <x:c r="F62" s="8" t="s">
        <x:v>27</x:v>
      </x:c>
      <x:c r="G62" s="8">
        <x:f t="shared" si="0"/>
        <x:v>3.1655000000000002</x:v>
      </x:c>
      <x:c r="H62" s="9">
        <x:f t="shared" si="2"/>
        <x:v>0.74079924182593593</x:v>
      </x:c>
      <x:c r="I62" s="2" t="s">
        <x:v>36</x:v>
      </x:c>
      <x:c r="J62" s="2" t="str">
        <x:v>The set covers both pelagic size classes and large-fish stanzas. This is a defensible interpretation of the catch pelagic category, not verified species composition or proof of exclusively pelagic ecology for every historical member. Model catch proportions provide the split; allocation confidence remains Medium. </x:v>
      </x:c>
      <x:c r="K62" s="1"/>
    </x:row>
    <x:row r="63" ht="72" customHeight="1">
      <x:c r="A63" s="2" t="s">
        <x:v>72</x:v>
      </x:c>
      <x:c r="B63" s="2" t="s">
        <x:v>35</x:v>
      </x:c>
      <x:c r="C63" s="2">
        <x:v>30</x:v>
      </x:c>
      <x:c r="D63" s="8">
        <x:v>0.73839999999999995</x:v>
      </x:c>
      <x:c r="E63" s="8">
        <x:v>0.28899999999999998</x:v>
      </x:c>
      <x:c r="F63" s="8" t="s">
        <x:v>27</x:v>
      </x:c>
      <x:c r="G63" s="8">
        <x:f t="shared" si="0"/>
        <x:v>3.1655000000000002</x:v>
      </x:c>
      <x:c r="H63" s="9">
        <x:f t="shared" si="2"/>
        <x:v>0.233264887063655</x:v>
      </x:c>
      <x:c r="I63" s="2" t="s">
        <x:v>36</x:v>
      </x:c>
      <x:c r="J63" s="2" t="str">
        <x:v>The set covers both pelagic size classes and large-fish stanzas. This is a defensible interpretation of the catch pelagic category, not verified species composition or proof of exclusively pelagic ecology for every historical member. Model catch proportions provide the split; allocation confidence remains Medium. </x:v>
      </x:c>
      <x:c r="K63" s="1"/>
    </x:row>
    <x:row r="64" ht="72" customHeight="1">
      <x:c r="A64" s="2" t="s">
        <x:v>72</x:v>
      </x:c>
      <x:c r="B64" s="2" t="s">
        <x:v>37</x:v>
      </x:c>
      <x:c r="C64" s="2">
        <x:v>31</x:v>
      </x:c>
      <x:c r="D64" s="8">
        <x:v>8.2100000000000006E-2</x:v>
      </x:c>
      <x:c r="E64" s="8">
        <x:v>7.9000000000000001E-2</x:v>
      </x:c>
      <x:c r="F64" s="8" t="s">
        <x:v>27</x:v>
      </x:c>
      <x:c r="G64" s="8">
        <x:f t="shared" si="0"/>
        <x:v>3.1655000000000002</x:v>
      </x:c>
      <x:c r="H64" s="9">
        <x:f t="shared" si="2"/>
        <x:v>2.5935871110409098E-2</x:v>
      </x:c>
      <x:c r="I64" s="2" t="s">
        <x:v>36</x:v>
      </x:c>
      <x:c r="J64" s="2" t="str">
        <x:v>The set covers both pelagic size classes and large-fish stanzas. This is a defensible interpretation of the catch pelagic category, not verified species composition or proof of exclusively pelagic ecology for every historical member. Model catch proportions provide the split; allocation confidence remains Medium. </x:v>
      </x:c>
      <x:c r="K64" s="1"/>
    </x:row>
    <x:row r="65" ht="72" customHeight="1">
      <x:c r="A65" s="2" t="s">
        <x:v>73</x:v>
      </x:c>
      <x:c r="B65" s="2" t="s">
        <x:v>61</x:v>
      </x:c>
      <x:c r="C65" s="2">
        <x:v>29</x:v>
      </x:c>
      <x:c r="D65" s="8">
        <x:v>2.3450000000000002</x:v>
      </x:c>
      <x:c r="E65" s="8">
        <x:v>1.772</x:v>
      </x:c>
      <x:c r="F65" s="8" t="s">
        <x:v>27</x:v>
      </x:c>
      <x:c r="G65" s="8">
        <x:f t="shared" si="0"/>
        <x:v>3.1655000000000002</x:v>
      </x:c>
      <x:c r="H65" s="9">
        <x:f t="shared" si="2"/>
        <x:v>0.74079924182593593</x:v>
      </x:c>
      <x:c r="I65" s="2" t="s">
        <x:v>36</x:v>
      </x:c>
      <x:c r="J65" s="2" t="str">
        <x:v>The set covers both pelagic size classes and large-fish stanzas. This is a defensible interpretation of the catch pelagic category, not verified species composition or proof of exclusively pelagic ecology for every historical member. Model catch proportions provide the split; allocation confidence remains Medium. </x:v>
      </x:c>
      <x:c r="K65" s="1"/>
    </x:row>
    <x:row r="66" ht="72" customHeight="1">
      <x:c r="A66" s="2" t="s">
        <x:v>73</x:v>
      </x:c>
      <x:c r="B66" s="2" t="s">
        <x:v>35</x:v>
      </x:c>
      <x:c r="C66" s="2">
        <x:v>30</x:v>
      </x:c>
      <x:c r="D66" s="8">
        <x:v>0.73839999999999995</x:v>
      </x:c>
      <x:c r="E66" s="8">
        <x:v>0.28899999999999998</x:v>
      </x:c>
      <x:c r="F66" s="8" t="s">
        <x:v>27</x:v>
      </x:c>
      <x:c r="G66" s="8">
        <x:f t="shared" si="0"/>
        <x:v>3.1655000000000002</x:v>
      </x:c>
      <x:c r="H66" s="9">
        <x:f t="shared" si="2"/>
        <x:v>0.233264887063655</x:v>
      </x:c>
      <x:c r="I66" s="2" t="s">
        <x:v>36</x:v>
      </x:c>
      <x:c r="J66" s="2" t="str">
        <x:v>The set covers both pelagic size classes and large-fish stanzas. This is a defensible interpretation of the catch pelagic category, not verified species composition or proof of exclusively pelagic ecology for every historical member. Model catch proportions provide the split; allocation confidence remains Medium. </x:v>
      </x:c>
      <x:c r="K66" s="1"/>
    </x:row>
    <x:row r="67" ht="72" customHeight="1">
      <x:c r="A67" s="2" t="s">
        <x:v>73</x:v>
      </x:c>
      <x:c r="B67" s="2" t="s">
        <x:v>37</x:v>
      </x:c>
      <x:c r="C67" s="2">
        <x:v>31</x:v>
      </x:c>
      <x:c r="D67" s="8">
        <x:v>8.2100000000000006E-2</x:v>
      </x:c>
      <x:c r="E67" s="8">
        <x:v>7.9000000000000001E-2</x:v>
      </x:c>
      <x:c r="F67" s="8" t="s">
        <x:v>27</x:v>
      </x:c>
      <x:c r="G67" s="8">
        <x:f t="shared" si="0"/>
        <x:v>3.1655000000000002</x:v>
      </x:c>
      <x:c r="H67" s="9">
        <x:f t="shared" si="2"/>
        <x:v>2.5935871110409098E-2</x:v>
      </x:c>
      <x:c r="I67" s="2" t="s">
        <x:v>36</x:v>
      </x:c>
      <x:c r="J67" s="2" t="str">
        <x:v>The set covers both pelagic size classes and large-fish stanzas. This is a defensible interpretation of the catch pelagic category, not verified species composition or proof of exclusively pelagic ecology for every historical member. Model catch proportions provide the split; allocation confidence remains Medium. </x:v>
      </x:c>
      <x:c r="K67" s="1"/>
    </x:row>
    <x:row r="68" ht="117" customHeight="1">
      <x:c r="A68" s="2" t="s">
        <x:v>74</x:v>
      </x:c>
      <x:c r="B68" s="2" t="s">
        <x:v>35</x:v>
      </x:c>
      <x:c r="C68" s="2">
        <x:v>30</x:v>
      </x:c>
      <x:c r="D68" s="8">
        <x:v>0.73839999999999995</x:v>
      </x:c>
      <x:c r="E68" s="8">
        <x:v>0.28899999999999998</x:v>
      </x:c>
      <x:c r="F68" s="8" t="s">
        <x:v>27</x:v>
      </x:c>
      <x:c r="G68" s="8">
        <x:f t="shared" si="0"/>
        <x:v>0.82050000000000001</x:v>
      </x:c>
      <x:c r="H68" s="9">
        <x:f t="shared" si="2"/>
        <x:v>0.89993906154783665</x:v>
      </x:c>
      <x:c r="I68" s="2" t="s">
        <x:v>36</x:v>
      </x:c>
      <x:c r="J68"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40 cm SL; Marine;  pelagic-oceanic; oceanodromous. Model catch proportions provide the split; allocation confidence remains Medium. Northern-shelf 2000s proxy transferred to whole-LME 2019 landings; fixed over 1950–2019.</x:v>
      </x:c>
      <x:c r="K68" s="1"/>
    </x:row>
    <x:row r="69" ht="117" customHeight="1">
      <x:c r="A69" s="2" t="s">
        <x:v>74</x:v>
      </x:c>
      <x:c r="B69" s="2" t="s">
        <x:v>37</x:v>
      </x:c>
      <x:c r="C69" s="2">
        <x:v>31</x:v>
      </x:c>
      <x:c r="D69" s="8">
        <x:v>8.2100000000000006E-2</x:v>
      </x:c>
      <x:c r="E69" s="8">
        <x:v>7.9000000000000001E-2</x:v>
      </x:c>
      <x:c r="F69" s="8" t="s">
        <x:v>27</x:v>
      </x:c>
      <x:c r="G69" s="8">
        <x:f t="shared" si="0"/>
        <x:v>0.82050000000000001</x:v>
      </x:c>
      <x:c r="H69" s="9">
        <x:f t="shared" si="2"/>
        <x:v>0.10006093845216332</x:v>
      </x:c>
      <x:c r="I69" s="2" t="s">
        <x:v>36</x:v>
      </x:c>
      <x:c r="J69"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40 cm SL; Marine;  pelagic-oceanic; oceanodromous. Model catch proportions provide the split; allocation confidence remains Medium. Northern-shelf 2000s proxy transferred to whole-LME 2019 landings; fixed over 1950–2019.</x:v>
      </x:c>
      <x:c r="K69" s="1"/>
    </x:row>
    <x:row r="70" ht="87" customHeight="1">
      <x:c r="A70" s="2" t="s">
        <x:v>75</x:v>
      </x:c>
      <x:c r="B70" s="2" t="s">
        <x:v>39</x:v>
      </x:c>
      <x:c r="C70" s="2">
        <x:v>25</x:v>
      </x:c>
      <x:c r="D70" s="8">
        <x:v>0.3165</x:v>
      </x:c>
      <x:c r="E70" s="8">
        <x:v>0.14299999999999999</x:v>
      </x:c>
      <x:c r="F70" s="8" t="s">
        <x:v>27</x:v>
      </x:c>
      <x:c r="G70" s="8" t="n">
        <x:f t="shared" ref="G70:G133" si="3">SUMIFS($D$6:$D$449,$A$6:$A$449,A70)</x:f>
        <x:v>0.3517</x:v>
      </x:c>
      <x:c r="H70" s="9" t="n">
        <x:f t="shared" ref="H70:H101" si="4">D70/G70</x:f>
        <x:v>0.8999147000284333</x:v>
      </x:c>
      <x:c r="I70" s="2" t="s">
        <x:v>36</x:v>
      </x:c>
      <x:c r="J70" s="2" t="str">
        <x:v>Maximum 100 cm TL and sand/mud bottom association support 25 + 26. Medium reflects relying on the coastal biology description to apply the model boundary despite discordant bathydemersal depth metadata; it is not a penalty for being deep or for lacking a named species group. Model catch proportions provide the split; allocation confidence remains Medium. Northern-shelf 2000s proxy transferred to whole-LME 2019 landings; fixed over 1950–2019.</x:v>
      </x:c>
      <x:c r="K70" s="1"/>
    </x:row>
    <x:row r="71" ht="87" customHeight="1">
      <x:c r="A71" s="2" t="s">
        <x:v>75</x:v>
      </x:c>
      <x:c r="B71" s="2" t="s">
        <x:v>40</x:v>
      </x:c>
      <x:c r="C71" s="2">
        <x:v>26</x:v>
      </x:c>
      <x:c r="D71" s="8">
        <x:v>3.5200000000000002E-2</x:v>
      </x:c>
      <x:c r="E71" s="8">
        <x:v>2.1000000000000001E-2</x:v>
      </x:c>
      <x:c r="F71" s="8" t="s">
        <x:v>27</x:v>
      </x:c>
      <x:c r="G71" s="8">
        <x:f t="shared" si="3"/>
        <x:v>0.35170000000000001</x:v>
      </x:c>
      <x:c r="H71" s="9">
        <x:f t="shared" si="4"/>
        <x:v>0.10008529997156668</x:v>
      </x:c>
      <x:c r="I71" s="2" t="s">
        <x:v>36</x:v>
      </x:c>
      <x:c r="J71" s="2" t="str">
        <x:v>Maximum 100 cm TL and sand/mud bottom association support 25 + 26. Medium reflects relying on the coastal biology description to apply the model boundary despite discordant bathydemersal depth metadata; it is not a penalty for being deep or for lacking a named species group. Model catch proportions provide the split; allocation confidence remains Medium. Northern-shelf 2000s proxy transferred to whole-LME 2019 landings; fixed over 1950–2019.</x:v>
      </x:c>
      <x:c r="K71" s="1"/>
    </x:row>
    <x:row r="72" ht="87" customHeight="1">
      <x:c r="A72" s="2" t="s">
        <x:v>76</x:v>
      </x:c>
      <x:c r="B72" s="2" t="s">
        <x:v>39</x:v>
      </x:c>
      <x:c r="C72" s="2">
        <x:v>25</x:v>
      </x:c>
      <x:c r="D72" s="8">
        <x:v>0.3165</x:v>
      </x:c>
      <x:c r="E72" s="8">
        <x:v>0.14299999999999999</x:v>
      </x:c>
      <x:c r="F72" s="8" t="s">
        <x:v>27</x:v>
      </x:c>
      <x:c r="G72" s="8">
        <x:f t="shared" si="3"/>
        <x:v>0.35170000000000001</x:v>
      </x:c>
      <x:c r="H72" s="9">
        <x:f t="shared" si="4"/>
        <x:v>0.89991470002843332</x:v>
      </x:c>
      <x:c r="I72" s="2" t="s">
        <x:v>36</x:v>
      </x:c>
      <x:c r="J72" s="2" t="str">
        <x:v>The family includes large Conger myriaster 100 cm TL and small demersal Ariosoma megalops 20.8 cm TL in the Western Central Pacific. Current 25 + 26 therefore exclude a supported small-species class; deep habitat does not by itself invalidate demersal membership. Model catch proportions provide the split; allocation confidence remains Medium. Northern-shelf 2000s proxy transferred to whole-LME 2019 landings; fixed over 1950–2019.</x:v>
      </x:c>
      <x:c r="K72" s="1"/>
    </x:row>
    <x:row r="73" ht="87" customHeight="1">
      <x:c r="A73" s="2" t="s">
        <x:v>76</x:v>
      </x:c>
      <x:c r="B73" s="2" t="s">
        <x:v>40</x:v>
      </x:c>
      <x:c r="C73" s="2">
        <x:v>26</x:v>
      </x:c>
      <x:c r="D73" s="8">
        <x:v>3.5200000000000002E-2</x:v>
      </x:c>
      <x:c r="E73" s="8">
        <x:v>2.1000000000000001E-2</x:v>
      </x:c>
      <x:c r="F73" s="8" t="s">
        <x:v>27</x:v>
      </x:c>
      <x:c r="G73" s="8">
        <x:f t="shared" si="3"/>
        <x:v>0.35170000000000001</x:v>
      </x:c>
      <x:c r="H73" s="9">
        <x:f t="shared" si="4"/>
        <x:v>0.10008529997156668</x:v>
      </x:c>
      <x:c r="I73" s="2" t="s">
        <x:v>36</x:v>
      </x:c>
      <x:c r="J73" s="2" t="str">
        <x:v>The family includes large Conger myriaster 100 cm TL and small demersal Ariosoma megalops 20.8 cm TL in the Western Central Pacific. Current 25 + 26 therefore exclude a supported small-species class; deep habitat does not by itself invalidate demersal membership. Model catch proportions provide the split; allocation confidence remains Medium. Northern-shelf 2000s proxy transferred to whole-LME 2019 landings; fixed over 1950–2019.</x:v>
      </x:c>
      <x:c r="K73" s="1"/>
    </x:row>
    <x:row r="74" ht="117" customHeight="1">
      <x:c r="A74" s="2" t="s">
        <x:v>77</x:v>
      </x:c>
      <x:c r="B74" s="2" t="s">
        <x:v>35</x:v>
      </x:c>
      <x:c r="C74" s="2">
        <x:v>30</x:v>
      </x:c>
      <x:c r="D74" s="8">
        <x:v>0.73839999999999995</x:v>
      </x:c>
      <x:c r="E74" s="8">
        <x:v>0.28899999999999998</x:v>
      </x:c>
      <x:c r="F74" s="8" t="s">
        <x:v>27</x:v>
      </x:c>
      <x:c r="G74" s="8">
        <x:f t="shared" si="3"/>
        <x:v>0.82050000000000001</x:v>
      </x:c>
      <x:c r="H74" s="9">
        <x:f t="shared" si="4"/>
        <x:v>0.89993906154783665</x:v>
      </x:c>
      <x:c r="I74" s="2" t="s">
        <x:v>36</x:v>
      </x:c>
      <x:c r="J74"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210 cm TL; Marine; brackish;  pelagic-neritic; oceanodromous. Model catch proportions provide the split; allocation confidence remains Medium. Northern-shelf 2000s proxy transferred to whole-LME 2019 landings; fixed over 1950–2019.</x:v>
      </x:c>
      <x:c r="K74" s="1"/>
    </x:row>
    <x:row r="75" ht="117" customHeight="1">
      <x:c r="A75" s="2" t="s">
        <x:v>77</x:v>
      </x:c>
      <x:c r="B75" s="2" t="s">
        <x:v>37</x:v>
      </x:c>
      <x:c r="C75" s="2">
        <x:v>31</x:v>
      </x:c>
      <x:c r="D75" s="8">
        <x:v>8.2100000000000006E-2</x:v>
      </x:c>
      <x:c r="E75" s="8">
        <x:v>7.9000000000000001E-2</x:v>
      </x:c>
      <x:c r="F75" s="8" t="s">
        <x:v>27</x:v>
      </x:c>
      <x:c r="G75" s="8">
        <x:f t="shared" si="3"/>
        <x:v>0.82050000000000001</x:v>
      </x:c>
      <x:c r="H75" s="9">
        <x:f t="shared" si="4"/>
        <x:v>0.10006093845216332</x:v>
      </x:c>
      <x:c r="I75" s="2" t="s">
        <x:v>36</x:v>
      </x:c>
      <x:c r="J75"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210 cm TL; Marine; brackish;  pelagic-neritic; oceanodromous. Model catch proportions provide the split; allocation confidence remains Medium. Northern-shelf 2000s proxy transferred to whole-LME 2019 landings; fixed over 1950–2019.</x:v>
      </x:c>
      <x:c r="K75" s="1"/>
    </x:row>
    <x:row r="76" ht="72" customHeight="1">
      <x:c r="A76" s="2" t="s">
        <x:v>78</x:v>
      </x:c>
      <x:c r="B76" s="2" t="s">
        <x:v>56</x:v>
      </x:c>
      <x:c r="C76" s="2">
        <x:v>24</x:v>
      </x:c>
      <x:c r="D76" s="8">
        <x:v>0.17879999999999999</x:v>
      </x:c>
      <x:c r="E76" s="8">
        <x:v>0.316</x:v>
      </x:c>
      <x:c r="F76" s="8" t="s">
        <x:v>27</x:v>
      </x:c>
      <x:c r="G76" s="8">
        <x:f t="shared" si="3"/>
        <x:v>0.53049999999999997</x:v>
      </x:c>
      <x:c r="H76" s="9">
        <x:f t="shared" si="4"/>
        <x:v>0.33704052780395855</x:v>
      </x:c>
      <x:c r="I76" s="2" t="s">
        <x:v>36</x:v>
      </x:c>
      <x:c r="J76" s="2" t="str">
        <x:v>The genus contains small C. interruptus/lighti and large C. arel/lingua, while its relevant biology is bottom-associated. Current 24 + 25 + 26 spans those species maxima and stages; the species mix affects weights rather than establishing a missing group. Model catch proportions provide the split; allocation confidence remains Medium. </x:v>
      </x:c>
      <x:c r="K76" s="1"/>
    </x:row>
    <x:row r="77" ht="72" customHeight="1">
      <x:c r="A77" s="2" t="s">
        <x:v>78</x:v>
      </x:c>
      <x:c r="B77" s="2" t="s">
        <x:v>39</x:v>
      </x:c>
      <x:c r="C77" s="2">
        <x:v>25</x:v>
      </x:c>
      <x:c r="D77" s="8">
        <x:v>0.3165</x:v>
      </x:c>
      <x:c r="E77" s="8">
        <x:v>0.14299999999999999</x:v>
      </x:c>
      <x:c r="F77" s="8" t="s">
        <x:v>27</x:v>
      </x:c>
      <x:c r="G77" s="8">
        <x:f t="shared" si="3"/>
        <x:v>0.53049999999999997</x:v>
      </x:c>
      <x:c r="H77" s="9">
        <x:f t="shared" si="4"/>
        <x:v>0.59660697455230915</x:v>
      </x:c>
      <x:c r="I77" s="2" t="s">
        <x:v>36</x:v>
      </x:c>
      <x:c r="J77" s="2" t="str">
        <x:v>The genus contains small C. interruptus/lighti and large C. arel/lingua, while its relevant biology is bottom-associated. Current 24 + 25 + 26 spans those species maxima and stages; the species mix affects weights rather than establishing a missing group. Model catch proportions provide the split; allocation confidence remains Medium. </x:v>
      </x:c>
      <x:c r="K77" s="1"/>
    </x:row>
    <x:row r="78" ht="72" customHeight="1">
      <x:c r="A78" s="2" t="s">
        <x:v>78</x:v>
      </x:c>
      <x:c r="B78" s="2" t="s">
        <x:v>40</x:v>
      </x:c>
      <x:c r="C78" s="2">
        <x:v>26</x:v>
      </x:c>
      <x:c r="D78" s="8">
        <x:v>3.5200000000000002E-2</x:v>
      </x:c>
      <x:c r="E78" s="8">
        <x:v>2.1000000000000001E-2</x:v>
      </x:c>
      <x:c r="F78" s="8" t="s">
        <x:v>27</x:v>
      </x:c>
      <x:c r="G78" s="8">
        <x:f t="shared" si="3"/>
        <x:v>0.53049999999999997</x:v>
      </x:c>
      <x:c r="H78" s="9">
        <x:f t="shared" si="4"/>
        <x:v>6.6352497643732342E-2</x:v>
      </x:c>
      <x:c r="I78" s="2" t="s">
        <x:v>36</x:v>
      </x:c>
      <x:c r="J78" s="2" t="str">
        <x:v>The genus contains small C. interruptus/lighti and large C. arel/lingua, while its relevant biology is bottom-associated. Current 24 + 25 + 26 spans those species maxima and stages; the species mix affects weights rather than establishing a missing group. Model catch proportions provide the split; allocation confidence remains Medium. </x:v>
      </x:c>
      <x:c r="K78" s="1"/>
    </x:row>
    <x:row r="79" ht="72" customHeight="1">
      <x:c r="A79" s="2" t="s">
        <x:v>79</x:v>
      </x:c>
      <x:c r="B79" s="2" t="s">
        <x:v>80</x:v>
      </x:c>
      <x:c r="C79" s="2">
        <x:v>3</x:v>
      </x:c>
      <x:c r="D79" s="8">
        <x:v>9.4799999999999995E-2</x:v>
      </x:c>
      <x:c r="E79" s="8">
        <x:v>9</x:v>
      </x:c>
      <x:c r="F79" s="8" t="s">
        <x:v>27</x:v>
      </x:c>
      <x:c r="G79" s="8">
        <x:f t="shared" si="3"/>
        <x:v>1.0124</x:v>
      </x:c>
      <x:c r="H79" s="9">
        <x:f t="shared" si="4"/>
        <x:v>9.3638877913868032E-2</x:v>
      </x:c>
      <x:c r="I79" s="2" t="s">
        <x:v>36</x:v>
      </x:c>
      <x:c r="J79" s="2" t="str">
        <x:v>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 </x:v>
      </x:c>
      <x:c r="K79" s="1"/>
    </x:row>
    <x:row r="80" ht="72" customHeight="1">
      <x:c r="A80" s="2" t="s">
        <x:v>79</x:v>
      </x:c>
      <x:c r="B80" s="2" t="s">
        <x:v>81</x:v>
      </x:c>
      <x:c r="C80" s="2">
        <x:v>7</x:v>
      </x:c>
      <x:c r="D80" s="8">
        <x:v>3.9100000000000003E-2</x:v>
      </x:c>
      <x:c r="E80" s="8">
        <x:v>1.43</x:v>
      </x:c>
      <x:c r="F80" s="8" t="s">
        <x:v>27</x:v>
      </x:c>
      <x:c r="G80" s="8">
        <x:f t="shared" si="3"/>
        <x:v>1.0124</x:v>
      </x:c>
      <x:c r="H80" s="9">
        <x:f t="shared" si="4"/>
        <x:v>3.8621098380086927E-2</x:v>
      </x:c>
      <x:c r="I80" s="2" t="s">
        <x:v>36</x:v>
      </x:c>
      <x:c r="J80" s="2" t="str">
        <x:v>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 </x:v>
      </x:c>
      <x:c r="K80" s="1"/>
    </x:row>
    <x:row r="81" ht="72" customHeight="1">
      <x:c r="A81" s="2" t="s">
        <x:v>79</x:v>
      </x:c>
      <x:c r="B81" s="2" t="s">
        <x:v>82</x:v>
      </x:c>
      <x:c r="C81" s="2">
        <x:v>10</x:v>
      </x:c>
      <x:c r="D81" s="8">
        <x:v>0.67879999999999996</x:v>
      </x:c>
      <x:c r="E81" s="8">
        <x:v>0.19400000000000001</x:v>
      </x:c>
      <x:c r="F81" s="8" t="s">
        <x:v>27</x:v>
      </x:c>
      <x:c r="G81" s="8">
        <x:f t="shared" si="3"/>
        <x:v>1.0124</x:v>
      </x:c>
      <x:c r="H81" s="9">
        <x:f t="shared" si="4"/>
        <x:v>0.67048597392335041</x:v>
      </x:c>
      <x:c r="I81" s="2" t="s">
        <x:v>36</x:v>
      </x:c>
      <x:c r="J81" s="2" t="str">
        <x:v>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 </x:v>
      </x:c>
      <x:c r="K81" s="1"/>
    </x:row>
    <x:row r="82" ht="72" customHeight="1">
      <x:c r="A82" s="2" t="s">
        <x:v>79</x:v>
      </x:c>
      <x:c r="B82" s="2" t="s">
        <x:v>83</x:v>
      </x:c>
      <x:c r="C82" s="2">
        <x:v>11</x:v>
      </x:c>
      <x:c r="D82" s="8">
        <x:v>0.19969999999999999</x:v>
      </x:c>
      <x:c r="E82" s="8">
        <x:v>0.36799999999999999</x:v>
      </x:c>
      <x:c r="F82" s="8" t="s">
        <x:v>27</x:v>
      </x:c>
      <x:c r="G82" s="8">
        <x:f t="shared" si="3"/>
        <x:v>1.0124</x:v>
      </x:c>
      <x:c r="H82" s="9">
        <x:f t="shared" si="4"/>
        <x:v>0.19725404978269459</x:v>
      </x:c>
      <x:c r="I82" s="2" t="s">
        <x:v>36</x:v>
      </x:c>
      <x:c r="J82" s="2" t="str">
        <x:v>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 </x:v>
      </x:c>
      <x:c r="K82" s="1"/>
    </x:row>
    <x:row r="83" ht="87" customHeight="1">
      <x:c r="A83" s="2" t="s">
        <x:v>84</x:v>
      </x:c>
      <x:c r="B83" s="2" t="s">
        <x:v>35</x:v>
      </x:c>
      <x:c r="C83" s="2">
        <x:v>30</x:v>
      </x:c>
      <x:c r="D83" s="8">
        <x:v>0.73839999999999995</x:v>
      </x:c>
      <x:c r="E83" s="8">
        <x:v>0.28899999999999998</x:v>
      </x:c>
      <x:c r="F83" s="8" t="s">
        <x:v>27</x:v>
      </x:c>
      <x:c r="G83" s="8">
        <x:f t="shared" si="3"/>
        <x:v>0.82050000000000001</x:v>
      </x:c>
      <x:c r="H83" s="9">
        <x:f t="shared" si="4"/>
        <x:v>0.89993906154783665</x:v>
      </x:c>
      <x:c r="I83" s="2" t="s">
        <x:v>36</x:v>
      </x:c>
      <x:c r="J83" s="2" t="str">
        <x:v>Common regional scads often exceed the threshold, but the genus contains depth-diverse and historically confused species. Available FL/TL and modern species coverage do not establish whole-label containment in the current large-pelagic pair. Model catch proportions provide the split; allocation confidence remains Medium. Northern-shelf 2000s proxy transferred to whole-LME 2019 landings; fixed over 1950–2019.</x:v>
      </x:c>
      <x:c r="K83" s="1"/>
    </x:row>
    <x:row r="84" ht="87" customHeight="1">
      <x:c r="A84" s="2" t="s">
        <x:v>84</x:v>
      </x:c>
      <x:c r="B84" s="2" t="s">
        <x:v>37</x:v>
      </x:c>
      <x:c r="C84" s="2">
        <x:v>31</x:v>
      </x:c>
      <x:c r="D84" s="8">
        <x:v>8.2100000000000006E-2</x:v>
      </x:c>
      <x:c r="E84" s="8">
        <x:v>7.9000000000000001E-2</x:v>
      </x:c>
      <x:c r="F84" s="8" t="s">
        <x:v>27</x:v>
      </x:c>
      <x:c r="G84" s="8">
        <x:f t="shared" si="3"/>
        <x:v>0.82050000000000001</x:v>
      </x:c>
      <x:c r="H84" s="9">
        <x:f t="shared" si="4"/>
        <x:v>0.10006093845216332</x:v>
      </x:c>
      <x:c r="I84" s="2" t="s">
        <x:v>36</x:v>
      </x:c>
      <x:c r="J84" s="2" t="str">
        <x:v>Common regional scads often exceed the threshold, but the genus contains depth-diverse and historically confused species. Available FL/TL and modern species coverage do not establish whole-label containment in the current large-pelagic pair. Model catch proportions provide the split; allocation confidence remains Medium. Northern-shelf 2000s proxy transferred to whole-LME 2019 landings; fixed over 1950–2019.</x:v>
      </x:c>
      <x:c r="K84" s="1"/>
    </x:row>
    <x:row r="85" ht="102" customHeight="1">
      <x:c r="A85" s="2" t="s">
        <x:v>85</x:v>
      </x:c>
      <x:c r="B85" s="2" t="s">
        <x:v>35</x:v>
      </x:c>
      <x:c r="C85" s="2">
        <x:v>30</x:v>
      </x:c>
      <x:c r="D85" s="8">
        <x:v>0.73839999999999995</x:v>
      </x:c>
      <x:c r="E85" s="8">
        <x:v>0.28899999999999998</x:v>
      </x:c>
      <x:c r="F85" s="8" t="s">
        <x:v>27</x:v>
      </x:c>
      <x:c r="G85" s="8">
        <x:f t="shared" si="3"/>
        <x:v>0.82050000000000001</x:v>
      </x:c>
      <x:c r="H85" s="9">
        <x:f t="shared" si="4"/>
        <x:v>0.89993906154783665</x:v>
      </x:c>
      <x:c r="I85" s="2" t="s">
        <x:v>36</x:v>
      </x:c>
      <x:c r="J85" s="2" t="str">
        <x:v>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35 cm TL; Marine;  reef-associated;. Model catch proportions provide the split; allocation confidence remains Medium. Northern-shelf 2000s proxy transferred to whole-LME 2019 landings; fixed over 1950–2019.</x:v>
      </x:c>
      <x:c r="K85" s="1"/>
    </x:row>
    <x:row r="86" ht="102" customHeight="1">
      <x:c r="A86" s="2" t="s">
        <x:v>85</x:v>
      </x:c>
      <x:c r="B86" s="2" t="s">
        <x:v>37</x:v>
      </x:c>
      <x:c r="C86" s="2">
        <x:v>31</x:v>
      </x:c>
      <x:c r="D86" s="8">
        <x:v>8.2100000000000006E-2</x:v>
      </x:c>
      <x:c r="E86" s="8">
        <x:v>7.9000000000000001E-2</x:v>
      </x:c>
      <x:c r="F86" s="8" t="s">
        <x:v>27</x:v>
      </x:c>
      <x:c r="G86" s="8">
        <x:f t="shared" si="3"/>
        <x:v>0.82050000000000001</x:v>
      </x:c>
      <x:c r="H86" s="9">
        <x:f t="shared" si="4"/>
        <x:v>0.10006093845216332</x:v>
      </x:c>
      <x:c r="I86" s="2" t="s">
        <x:v>36</x:v>
      </x:c>
      <x:c r="J86" s="2" t="str">
        <x:v>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35 cm TL; Marine;  reef-associated;. Model catch proportions provide the split; allocation confidence remains Medium. Northern-shelf 2000s proxy transferred to whole-LME 2019 landings; fixed over 1950–2019.</x:v>
      </x:c>
      <x:c r="K86" s="1"/>
    </x:row>
    <x:row r="87" ht="117" customHeight="1">
      <x:c r="A87" s="2" t="s">
        <x:v>86</x:v>
      </x:c>
      <x:c r="B87" s="2" t="s">
        <x:v>35</x:v>
      </x:c>
      <x:c r="C87" s="2">
        <x:v>30</x:v>
      </x:c>
      <x:c r="D87" s="8">
        <x:v>0.73839999999999995</x:v>
      </x:c>
      <x:c r="E87" s="8">
        <x:v>0.28899999999999998</x:v>
      </x:c>
      <x:c r="F87" s="8" t="s">
        <x:v>27</x:v>
      </x:c>
      <x:c r="G87" s="8">
        <x:f t="shared" si="3"/>
        <x:v>0.82050000000000001</x:v>
      </x:c>
      <x:c r="H87" s="9">
        <x:f t="shared" si="4"/>
        <x:v>0.89993906154783665</x:v>
      </x:c>
      <x:c r="I87" s="2" t="s">
        <x:v>36</x:v>
      </x:c>
      <x:c r="J87" s="2" t="str">
        <x:v>Species evidence explicitly establishes benthopelagic ecology and maximum TL &gt;30 cm. The selected model has one generic Benthopelagic fish group (27), giving a material competing placement for the current pelagic-only pair. The appendix distinguishes small and large benthopelagic fish, but the final merger scope is not established. Checked species record: 45 cm TL; Marine;  benthopelagic;. Model catch proportions provide the split; allocation confidence remains Medium. Northern-shelf 2000s proxy transferred to whole-LME 2019 landings; fixed over 1950–2019.</x:v>
      </x:c>
      <x:c r="K87" s="1"/>
    </x:row>
    <x:row r="88" ht="117" customHeight="1">
      <x:c r="A88" s="2" t="s">
        <x:v>86</x:v>
      </x:c>
      <x:c r="B88" s="2" t="s">
        <x:v>37</x:v>
      </x:c>
      <x:c r="C88" s="2">
        <x:v>31</x:v>
      </x:c>
      <x:c r="D88" s="8">
        <x:v>8.2100000000000006E-2</x:v>
      </x:c>
      <x:c r="E88" s="8">
        <x:v>7.9000000000000001E-2</x:v>
      </x:c>
      <x:c r="F88" s="8" t="s">
        <x:v>27</x:v>
      </x:c>
      <x:c r="G88" s="8">
        <x:f t="shared" si="3"/>
        <x:v>0.82050000000000001</x:v>
      </x:c>
      <x:c r="H88" s="9">
        <x:f t="shared" si="4"/>
        <x:v>0.10006093845216332</x:v>
      </x:c>
      <x:c r="I88" s="2" t="s">
        <x:v>36</x:v>
      </x:c>
      <x:c r="J88" s="2" t="str">
        <x:v>Species evidence explicitly establishes benthopelagic ecology and maximum TL &gt;30 cm. The selected model has one generic Benthopelagic fish group (27), giving a material competing placement for the current pelagic-only pair. The appendix distinguishes small and large benthopelagic fish, but the final merger scope is not established. Checked species record: 45 cm TL; Marine;  benthopelagic;. Model catch proportions provide the split; allocation confidence remains Medium. Northern-shelf 2000s proxy transferred to whole-LME 2019 landings; fixed over 1950–2019.</x:v>
      </x:c>
      <x:c r="K88" s="1"/>
    </x:row>
    <x:row r="89" ht="72" customHeight="1">
      <x:c r="A89" s="2" t="s">
        <x:v>87</x:v>
      </x:c>
      <x:c r="B89" s="2" t="s">
        <x:v>80</x:v>
      </x:c>
      <x:c r="C89" s="2">
        <x:v>3</x:v>
      </x:c>
      <x:c r="D89" s="8">
        <x:v>9.4799999999999995E-2</x:v>
      </x:c>
      <x:c r="E89" s="8">
        <x:v>9</x:v>
      </x:c>
      <x:c r="F89" s="8" t="s">
        <x:v>27</x:v>
      </x:c>
      <x:c r="G89" s="8">
        <x:f t="shared" si="3"/>
        <x:v>0.77359999999999995</x:v>
      </x:c>
      <x:c r="H89" s="9">
        <x:f t="shared" si="4"/>
        <x:v>0.12254395036194415</x:v>
      </x:c>
      <x:c r="I89" s="2" t="s">
        <x:v>36</x:v>
      </x:c>
      <x:c r="J89" s="2" t="str">
        <x:v>The set retains Acetes in Zooplankton and other shrimp constituents in Shrimps. Both taxonomic intersections are supported, but the source boundary for non-Acetes pelagic shrimp is inferred rather than exhaustive. Model catch proportions provide the split; allocation confidence remains Medium. </x:v>
      </x:c>
      <x:c r="K89" s="1"/>
    </x:row>
    <x:row r="90" ht="72" customHeight="1">
      <x:c r="A90" s="2" t="s">
        <x:v>87</x:v>
      </x:c>
      <x:c r="B90" s="2" t="s">
        <x:v>82</x:v>
      </x:c>
      <x:c r="C90" s="2">
        <x:v>10</x:v>
      </x:c>
      <x:c r="D90" s="8">
        <x:v>0.67879999999999996</x:v>
      </x:c>
      <x:c r="E90" s="8">
        <x:v>0.19400000000000001</x:v>
      </x:c>
      <x:c r="F90" s="8" t="s">
        <x:v>27</x:v>
      </x:c>
      <x:c r="G90" s="8">
        <x:f t="shared" si="3"/>
        <x:v>0.77359999999999995</x:v>
      </x:c>
      <x:c r="H90" s="9">
        <x:f t="shared" si="4"/>
        <x:v>0.87745604963805579</x:v>
      </x:c>
      <x:c r="I90" s="2" t="s">
        <x:v>36</x:v>
      </x:c>
      <x:c r="J90" s="2" t="str">
        <x:v>The set retains Acetes in Zooplankton and other shrimp constituents in Shrimps. Both taxonomic intersections are supported, but the source boundary for non-Acetes pelagic shrimp is inferred rather than exhaustive. Model catch proportions provide the split; allocation confidence remains Medium. </x:v>
      </x:c>
      <x:c r="K90" s="1"/>
    </x:row>
    <x:row r="91" ht="117" customHeight="1">
      <x:c r="A91" s="2" t="s">
        <x:v>88</x:v>
      </x:c>
      <x:c r="B91" s="2" t="s">
        <x:v>39</x:v>
      </x:c>
      <x:c r="C91" s="2">
        <x:v>25</x:v>
      </x:c>
      <x:c r="D91" s="8">
        <x:v>0.3165</x:v>
      </x:c>
      <x:c r="E91" s="8">
        <x:v>0.14299999999999999</x:v>
      </x:c>
      <x:c r="F91" s="8" t="s">
        <x:v>27</x:v>
      </x:c>
      <x:c r="G91" s="8">
        <x:f t="shared" si="3"/>
        <x:v>0.35170000000000001</x:v>
      </x:c>
      <x:c r="H91" s="9">
        <x:f t="shared" si="4"/>
        <x:v>0.89991470002843332</x:v>
      </x:c>
      <x:c r="I91" s="2" t="s">
        <x:v>36</x:v>
      </x:c>
      <x:c r="J91" s="2" t="str">
        <x:v>Maximum 50 cm TL and documented sand/mud, estuarine and bottom-feeding behavior support 25 + 26. A common 25 cm TL size and generic reef-associated field do not contradict the species-maximum and demersal criteria. Medium reflects interpreting substrate-associated reef/inshore biology as included in the source residual demersal boundary, which does not explicitly discuss reef fishes. Model catch proportions provide the split; allocation confidence remains Medium. Northern-shelf 2000s proxy transferred to whole-LME 2019 landings; fixed over 1950–2019.</x:v>
      </x:c>
      <x:c r="K91" s="1"/>
    </x:row>
    <x:row r="92" ht="117" customHeight="1">
      <x:c r="A92" s="2" t="s">
        <x:v>88</x:v>
      </x:c>
      <x:c r="B92" s="2" t="s">
        <x:v>40</x:v>
      </x:c>
      <x:c r="C92" s="2">
        <x:v>26</x:v>
      </x:c>
      <x:c r="D92" s="8">
        <x:v>3.5200000000000002E-2</x:v>
      </x:c>
      <x:c r="E92" s="8">
        <x:v>2.1000000000000001E-2</x:v>
      </x:c>
      <x:c r="F92" s="8" t="s">
        <x:v>27</x:v>
      </x:c>
      <x:c r="G92" s="8">
        <x:f t="shared" si="3"/>
        <x:v>0.35170000000000001</x:v>
      </x:c>
      <x:c r="H92" s="9">
        <x:f t="shared" si="4"/>
        <x:v>0.10008529997156668</x:v>
      </x:c>
      <x:c r="I92" s="2" t="s">
        <x:v>36</x:v>
      </x:c>
      <x:c r="J92" s="2" t="str">
        <x:v>Maximum 50 cm TL and documented sand/mud, estuarine and bottom-feeding behavior support 25 + 26. A common 25 cm TL size and generic reef-associated field do not contradict the species-maximum and demersal criteria. Medium reflects interpreting substrate-associated reef/inshore biology as included in the source residual demersal boundary, which does not explicitly discuss reef fishes. Model catch proportions provide the split; allocation confidence remains Medium. Northern-shelf 2000s proxy transferred to whole-LME 2019 landings; fixed over 1950–2019.</x:v>
      </x:c>
      <x:c r="K92" s="1"/>
    </x:row>
    <x:row r="93" ht="102" customHeight="1">
      <x:c r="A93" s="2" t="s">
        <x:v>89</x:v>
      </x:c>
      <x:c r="B93" s="2" t="s">
        <x:v>35</x:v>
      </x:c>
      <x:c r="C93" s="2">
        <x:v>30</x:v>
      </x:c>
      <x:c r="D93" s="8">
        <x:v>0.73839999999999995</x:v>
      </x:c>
      <x:c r="E93" s="8">
        <x:v>0.28899999999999998</x:v>
      </x:c>
      <x:c r="F93" s="8" t="s">
        <x:v>27</x:v>
      </x:c>
      <x:c r="G93" s="8">
        <x:f t="shared" si="3"/>
        <x:v>0.82050000000000001</x:v>
      </x:c>
      <x:c r="H93" s="9">
        <x:f t="shared" si="4"/>
        <x:v>0.89993906154783665</x:v>
      </x:c>
      <x:c r="I93" s="2" t="s">
        <x:v>36</x:v>
      </x:c>
      <x:c r="J93" s="2" t="str">
        <x:v>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180 cm TL; Marine;  reef-associated;. Model catch proportions provide the split; allocation confidence remains Medium. Northern-shelf 2000s proxy transferred to whole-LME 2019 landings; fixed over 1950–2019.</x:v>
      </x:c>
      <x:c r="K93" s="1"/>
    </x:row>
    <x:row r="94" ht="102" customHeight="1">
      <x:c r="A94" s="2" t="s">
        <x:v>89</x:v>
      </x:c>
      <x:c r="B94" s="2" t="s">
        <x:v>37</x:v>
      </x:c>
      <x:c r="C94" s="2">
        <x:v>31</x:v>
      </x:c>
      <x:c r="D94" s="8">
        <x:v>8.2100000000000006E-2</x:v>
      </x:c>
      <x:c r="E94" s="8">
        <x:v>7.9000000000000001E-2</x:v>
      </x:c>
      <x:c r="F94" s="8" t="s">
        <x:v>27</x:v>
      </x:c>
      <x:c r="G94" s="8">
        <x:f t="shared" si="3"/>
        <x:v>0.82050000000000001</x:v>
      </x:c>
      <x:c r="H94" s="9">
        <x:f t="shared" si="4"/>
        <x:v>0.10006093845216332</x:v>
      </x:c>
      <x:c r="I94" s="2" t="s">
        <x:v>36</x:v>
      </x:c>
      <x:c r="J94" s="2" t="str">
        <x:v>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180 cm TL; Marine;  reef-associated;. Model catch proportions provide the split; allocation confidence remains Medium. Northern-shelf 2000s proxy transferred to whole-LME 2019 landings; fixed over 1950–2019.</x:v>
      </x:c>
      <x:c r="K94" s="1"/>
    </x:row>
    <x:row r="95" ht="72" customHeight="1">
      <x:c r="A95" s="2" t="s">
        <x:v>90</x:v>
      </x:c>
      <x:c r="B95" s="2" t="s">
        <x:v>53</x:v>
      </x:c>
      <x:c r="C95" s="2">
        <x:v>32</x:v>
      </x:c>
      <x:c r="D95" s="8">
        <x:v>1E-3</x:v>
      </x:c>
      <x:c r="E95" s="8">
        <x:v>1E-3</x:v>
      </x:c>
      <x:c r="F95" s="8" t="s">
        <x:v>27</x:v>
      </x:c>
      <x:c r="G95" s="8">
        <x:f t="shared" si="3"/>
        <x:v>1.7000000000000001E-3</x:v>
      </x:c>
      <x:c r="H95" s="9">
        <x:f t="shared" si="4"/>
        <x:v>0.58823529411764708</x:v>
      </x:c>
      <x:c r="I95" s="2" t="s">
        <x:v>36</x:v>
      </x:c>
      <x:c r="J95" s="2" t="str">
        <x:v>The source expressly divides elasmobranchs into demersal and pelagic groups, both included in the current mapping. Membership in that complete partition is documented; relative composition is unknown. Model catch proportions provide the split; allocation confidence remains Medium. </x:v>
      </x:c>
      <x:c r="K95" s="1"/>
    </x:row>
    <x:row r="96" ht="72" customHeight="1">
      <x:c r="A96" s="2" t="s">
        <x:v>90</x:v>
      </x:c>
      <x:c r="B96" s="2" t="s">
        <x:v>54</x:v>
      </x:c>
      <x:c r="C96" s="2">
        <x:v>33</x:v>
      </x:c>
      <x:c r="D96" s="8">
        <x:v>6.9999999999999999E-4</x:v>
      </x:c>
      <x:c r="E96" s="8">
        <x:v>1.1000000000000001E-3</x:v>
      </x:c>
      <x:c r="F96" s="8" t="s">
        <x:v>27</x:v>
      </x:c>
      <x:c r="G96" s="8">
        <x:f t="shared" si="3"/>
        <x:v>1.7000000000000001E-3</x:v>
      </x:c>
      <x:c r="H96" s="9">
        <x:f t="shared" si="4"/>
        <x:v>0.41176470588235292</x:v>
      </x:c>
      <x:c r="I96" s="2" t="s">
        <x:v>36</x:v>
      </x:c>
      <x:c r="J96" s="2" t="str">
        <x:v>The source expressly divides elasmobranchs into demersal and pelagic groups, both included in the current mapping. Membership in that complete partition is documented; relative composition is unknown. Model catch proportions provide the split; allocation confidence remains Medium. </x:v>
      </x:c>
      <x:c r="K96" s="1"/>
    </x:row>
    <x:row r="97" ht="87" customHeight="1">
      <x:c r="A97" s="2" t="s">
        <x:v>91</x:v>
      </x:c>
      <x:c r="B97" s="2" t="s">
        <x:v>39</x:v>
      </x:c>
      <x:c r="C97" s="2">
        <x:v>25</x:v>
      </x:c>
      <x:c r="D97" s="8">
        <x:v>0.3165</x:v>
      </x:c>
      <x:c r="E97" s="8">
        <x:v>0.14299999999999999</x:v>
      </x:c>
      <x:c r="F97" s="8" t="s">
        <x:v>27</x:v>
      </x:c>
      <x:c r="G97" s="8">
        <x:f t="shared" si="3"/>
        <x:v>0.35170000000000001</x:v>
      </x:c>
      <x:c r="H97" s="9">
        <x:f t="shared" si="4"/>
        <x:v>0.89991470002843332</x:v>
      </x:c>
      <x:c r="I97" s="2" t="s">
        <x:v>36</x:v>
      </x:c>
      <x:c r="J97" s="2" t="str">
        <x:v>The species exceeds 30 cm by a wide margin, and SEAFDEC describes adults on shallow muddy bottoms. That behavior supports residual 25 + 26 despite a broad pelagic-neritic summary tag. Polynemidae threadfins are not Nemipteridae threadfin breams. Model catch proportions provide the split; allocation confidence remains Medium. Northern-shelf 2000s proxy transferred to whole-LME 2019 landings; fixed over 1950–2019.</x:v>
      </x:c>
      <x:c r="K97" s="1"/>
    </x:row>
    <x:row r="98" ht="87" customHeight="1">
      <x:c r="A98" s="2" t="s">
        <x:v>91</x:v>
      </x:c>
      <x:c r="B98" s="2" t="s">
        <x:v>40</x:v>
      </x:c>
      <x:c r="C98" s="2">
        <x:v>26</x:v>
      </x:c>
      <x:c r="D98" s="8">
        <x:v>3.5200000000000002E-2</x:v>
      </x:c>
      <x:c r="E98" s="8">
        <x:v>2.1000000000000001E-2</x:v>
      </x:c>
      <x:c r="F98" s="8" t="s">
        <x:v>27</x:v>
      </x:c>
      <x:c r="G98" s="8">
        <x:f t="shared" si="3"/>
        <x:v>0.35170000000000001</x:v>
      </x:c>
      <x:c r="H98" s="9">
        <x:f t="shared" si="4"/>
        <x:v>0.10008529997156668</x:v>
      </x:c>
      <x:c r="I98" s="2" t="s">
        <x:v>36</x:v>
      </x:c>
      <x:c r="J98" s="2" t="str">
        <x:v>The species exceeds 30 cm by a wide margin, and SEAFDEC describes adults on shallow muddy bottoms. That behavior supports residual 25 + 26 despite a broad pelagic-neritic summary tag. Polynemidae threadfins are not Nemipteridae threadfin breams. Model catch proportions provide the split; allocation confidence remains Medium. Northern-shelf 2000s proxy transferred to whole-LME 2019 landings; fixed over 1950–2019.</x:v>
      </x:c>
      <x:c r="K98" s="1"/>
    </x:row>
    <x:row r="99" ht="102" customHeight="1">
      <x:c r="A99" s="2" t="s">
        <x:v>92</x:v>
      </x:c>
      <x:c r="B99" s="2" t="s">
        <x:v>35</x:v>
      </x:c>
      <x:c r="C99" s="2">
        <x:v>30</x:v>
      </x:c>
      <x:c r="D99" s="8">
        <x:v>0.73839999999999995</x:v>
      </x:c>
      <x:c r="E99" s="8">
        <x:v>0.28899999999999998</x:v>
      </x:c>
      <x:c r="F99" s="8" t="s">
        <x:v>27</x:v>
      </x:c>
      <x:c r="G99" s="8">
        <x:f t="shared" si="3"/>
        <x:v>0.82050000000000001</x:v>
      </x:c>
      <x:c r="H99" s="9">
        <x:f t="shared" si="4"/>
        <x:v>0.89993906154783665</x:v>
      </x:c>
      <x:c r="I99" s="2" t="s">
        <x:v>36</x:v>
      </x:c>
      <x:c r="J99" s="2" t="str">
        <x:v>The Environment field says pelagic-neritic, but the same species Biology account explicitly says benthopelagic. Maximum 118 cm FL is securely above the size boundary. The habitat conflict leaves the retained large-pelagic pair incompletely supported against group 27. Checked species record: 118 cm FL; Marine; brackish;  pelagic-neritic; oceanodromous. Model catch proportions provide the split; allocation confidence remains Medium. Northern-shelf 2000s proxy transferred to whole-LME 2019 landings; fixed over 1950–2019.</x:v>
      </x:c>
      <x:c r="K99" s="1"/>
    </x:row>
    <x:row r="100" ht="102" customHeight="1">
      <x:c r="A100" s="2" t="s">
        <x:v>92</x:v>
      </x:c>
      <x:c r="B100" s="2" t="s">
        <x:v>37</x:v>
      </x:c>
      <x:c r="C100" s="2">
        <x:v>31</x:v>
      </x:c>
      <x:c r="D100" s="8">
        <x:v>8.2100000000000006E-2</x:v>
      </x:c>
      <x:c r="E100" s="8">
        <x:v>7.9000000000000001E-2</x:v>
      </x:c>
      <x:c r="F100" s="8" t="s">
        <x:v>27</x:v>
      </x:c>
      <x:c r="G100" s="8">
        <x:f t="shared" si="3"/>
        <x:v>0.82050000000000001</x:v>
      </x:c>
      <x:c r="H100" s="9">
        <x:f t="shared" si="4"/>
        <x:v>0.10006093845216332</x:v>
      </x:c>
      <x:c r="I100" s="2" t="s">
        <x:v>36</x:v>
      </x:c>
      <x:c r="J100" s="2" t="str">
        <x:v>The Environment field says pelagic-neritic, but the same species Biology account explicitly says benthopelagic. Maximum 118 cm FL is securely above the size boundary. The habitat conflict leaves the retained large-pelagic pair incompletely supported against group 27. Checked species record: 118 cm FL; Marine; brackish;  pelagic-neritic; oceanodromous. Model catch proportions provide the split; allocation confidence remains Medium. Northern-shelf 2000s proxy transferred to whole-LME 2019 landings; fixed over 1950–2019.</x:v>
      </x:c>
      <x:c r="K100" s="1"/>
    </x:row>
    <x:row r="101" ht="87" customHeight="1">
      <x:c r="A101" s="2" t="s">
        <x:v>93</x:v>
      </x:c>
      <x:c r="B101" s="2" t="s">
        <x:v>39</x:v>
      </x:c>
      <x:c r="C101" s="2">
        <x:v>25</x:v>
      </x:c>
      <x:c r="D101" s="8">
        <x:v>0.3165</x:v>
      </x:c>
      <x:c r="E101" s="8">
        <x:v>0.14299999999999999</x:v>
      </x:c>
      <x:c r="F101" s="8" t="s">
        <x:v>27</x:v>
      </x:c>
      <x:c r="G101" s="8">
        <x:f t="shared" si="3"/>
        <x:v>0.35170000000000001</x:v>
      </x:c>
      <x:c r="H101" s="9">
        <x:f t="shared" si="4"/>
        <x:v>0.89991470002843332</x:v>
      </x:c>
      <x:c r="I101" s="2" t="s">
        <x:v>36</x:v>
      </x:c>
      <x:c r="J101" s="2" t="str">
        <x:v>Regional FAO accounts show Ephippus orbis 19 cm TL alongside Platax batavianus 65 cm TL and P. orbicularis 50 cm TL. The family therefore crosses the species-maximum threshold, making current 25 + 26 incomplete even before considering reef versus midwater behavior. Model catch proportions provide the split; allocation confidence remains Medium. Northern-shelf 2000s proxy transferred to whole-LME 2019 landings; fixed over 1950–2019.</x:v>
      </x:c>
      <x:c r="K101" s="1"/>
    </x:row>
    <x:row r="102" ht="87" customHeight="1">
      <x:c r="A102" s="2" t="s">
        <x:v>93</x:v>
      </x:c>
      <x:c r="B102" s="2" t="s">
        <x:v>40</x:v>
      </x:c>
      <x:c r="C102" s="2">
        <x:v>26</x:v>
      </x:c>
      <x:c r="D102" s="8">
        <x:v>3.5200000000000002E-2</x:v>
      </x:c>
      <x:c r="E102" s="8">
        <x:v>2.1000000000000001E-2</x:v>
      </x:c>
      <x:c r="F102" s="8" t="s">
        <x:v>27</x:v>
      </x:c>
      <x:c r="G102" s="8">
        <x:f t="shared" si="3"/>
        <x:v>0.35170000000000001</x:v>
      </x:c>
      <x:c r="H102" s="9" t="n">
        <x:f t="shared" ref="H102:H106" si="5">D102/G102</x:f>
        <x:v>0.10008529997156668</x:v>
      </x:c>
      <x:c r="I102" s="2" t="s">
        <x:v>36</x:v>
      </x:c>
      <x:c r="J102" s="2" t="str">
        <x:v>Regional FAO accounts show Ephippus orbis 19 cm TL alongside Platax batavianus 65 cm TL and P. orbicularis 50 cm TL. The family therefore crosses the species-maximum threshold, making current 25 + 26 incomplete even before considering reef versus midwater behavior. Model catch proportions provide the split; allocation confidence remains Medium. Northern-shelf 2000s proxy transferred to whole-LME 2019 landings; fixed over 1950–2019.</x:v>
      </x:c>
      <x:c r="K102" s="1"/>
    </x:row>
    <x:row r="103" ht="117" customHeight="1">
      <x:c r="A103" s="2" t="s">
        <x:v>94</x:v>
      </x:c>
      <x:c r="B103" s="2" t="s">
        <x:v>35</x:v>
      </x:c>
      <x:c r="C103" s="2">
        <x:v>30</x:v>
      </x:c>
      <x:c r="D103" s="8">
        <x:v>0.73839999999999995</x:v>
      </x:c>
      <x:c r="E103" s="8">
        <x:v>0.28899999999999998</x:v>
      </x:c>
      <x:c r="F103" s="8" t="s">
        <x:v>27</x:v>
      </x:c>
      <x:c r="G103" s="8">
        <x:f t="shared" si="3"/>
        <x:v>0.82050000000000001</x:v>
      </x:c>
      <x:c r="H103" s="9">
        <x:f t="shared" si="5"/>
        <x:v>0.89993906154783665</x:v>
      </x:c>
      <x:c r="I103" s="2" t="s">
        <x:v>36</x:v>
      </x:c>
      <x:c r="J103"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100 cm FL; Marine;  pelagic-neritic; oceanodromous. Model catch proportions provide the split; allocation confidence remains Medium. Northern-shelf 2000s proxy transferred to whole-LME 2019 landings; fixed over 1950–2019.</x:v>
      </x:c>
      <x:c r="K103" s="1"/>
    </x:row>
    <x:row r="104" ht="117" customHeight="1">
      <x:c r="A104" s="2" t="s">
        <x:v>94</x:v>
      </x:c>
      <x:c r="B104" s="2" t="s">
        <x:v>37</x:v>
      </x:c>
      <x:c r="C104" s="2">
        <x:v>31</x:v>
      </x:c>
      <x:c r="D104" s="8">
        <x:v>8.2100000000000006E-2</x:v>
      </x:c>
      <x:c r="E104" s="8">
        <x:v>7.9000000000000001E-2</x:v>
      </x:c>
      <x:c r="F104" s="8" t="s">
        <x:v>27</x:v>
      </x:c>
      <x:c r="G104" s="8">
        <x:f t="shared" si="3"/>
        <x:v>0.82050000000000001</x:v>
      </x:c>
      <x:c r="H104" s="9">
        <x:f t="shared" si="5"/>
        <x:v>0.10006093845216332</x:v>
      </x:c>
      <x:c r="I104" s="2" t="s">
        <x:v>36</x:v>
      </x:c>
      <x:c r="J104"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100 cm FL; Marine;  pelagic-neritic; oceanodromous. Model catch proportions provide the split; allocation confidence remains Medium. Northern-shelf 2000s proxy transferred to whole-LME 2019 landings; fixed over 1950–2019.</x:v>
      </x:c>
      <x:c r="K104" s="1"/>
    </x:row>
    <x:row r="105" ht="87" customHeight="1">
      <x:c r="A105" s="2" t="s">
        <x:v>95</x:v>
      </x:c>
      <x:c r="B105" s="2" t="s">
        <x:v>39</x:v>
      </x:c>
      <x:c r="C105" s="2">
        <x:v>25</x:v>
      </x:c>
      <x:c r="D105" s="8">
        <x:v>0.3165</x:v>
      </x:c>
      <x:c r="E105" s="8">
        <x:v>0.14299999999999999</x:v>
      </x:c>
      <x:c r="F105" s="8" t="s">
        <x:v>27</x:v>
      </x:c>
      <x:c r="G105" s="8">
        <x:f t="shared" si="3"/>
        <x:v>0.35170000000000001</x:v>
      </x:c>
      <x:c r="H105" s="9">
        <x:f t="shared" si="5"/>
        <x:v>0.89991470002843332</x:v>
      </x:c>
      <x:c r="I105" s="2" t="s">
        <x:v>36</x:v>
      </x:c>
      <x:c r="J105" s="2" t="str">
        <x:v>Verified demersal sparid ecology, regional occurrence and maximum 35 cm SL establish a species above 30 cm TL within the residual large-demersal definition. Dedicated family pools do not apply; groups 25 + 26 cover the juvenile/adult union. Model catch proportions provide the split; allocation confidence remains Medium. Northern-shelf 2000s proxy transferred to whole-LME 2019 landings; fixed over 1950–2019.</x:v>
      </x:c>
      <x:c r="K105" s="1"/>
    </x:row>
    <x:row r="106" ht="87" customHeight="1">
      <x:c r="A106" s="2" t="s">
        <x:v>95</x:v>
      </x:c>
      <x:c r="B106" s="2" t="s">
        <x:v>40</x:v>
      </x:c>
      <x:c r="C106" s="2">
        <x:v>26</x:v>
      </x:c>
      <x:c r="D106" s="8">
        <x:v>3.5200000000000002E-2</x:v>
      </x:c>
      <x:c r="E106" s="8">
        <x:v>2.1000000000000001E-2</x:v>
      </x:c>
      <x:c r="F106" s="8" t="s">
        <x:v>27</x:v>
      </x:c>
      <x:c r="G106" s="8">
        <x:f t="shared" si="3"/>
        <x:v>0.35170000000000001</x:v>
      </x:c>
      <x:c r="H106" s="9">
        <x:f t="shared" si="5"/>
        <x:v>0.10008529997156668</x:v>
      </x:c>
      <x:c r="I106" s="2" t="s">
        <x:v>36</x:v>
      </x:c>
      <x:c r="J106" s="2" t="str">
        <x:v>Verified demersal sparid ecology, regional occurrence and maximum 35 cm SL establish a species above 30 cm TL within the residual large-demersal definition. Dedicated family pools do not apply; groups 25 + 26 cover the juvenile/adult union. Model catch proportions provide the split; allocation confidence remains Medium. Northern-shelf 2000s proxy transferred to whole-LME 2019 landings; fixed over 1950–2019.</x:v>
      </x:c>
      <x:c r="K106" s="1"/>
    </x:row>
    <x:row r="107" ht="87" customHeight="1">
      <x:c r="A107" s="2" t="s">
        <x:v>96</x:v>
      </x:c>
      <x:c r="B107" s="2" t="s">
        <x:v>97</x:v>
      </x:c>
      <x:c r="C107" s="2">
        <x:v>27</x:v>
      </x:c>
      <x:c r="D107" s="8">
        <x:v>0.60250000000000004</x:v>
      </x:c>
      <x:c r="E107" s="8">
        <x:v>0.92200000000000004</x:v>
      </x:c>
      <x:c r="F107" s="8" t="s">
        <x:v>98</x:v>
      </x:c>
      <x:c r="G107" s="8">
        <x:f t="shared" si="3"/>
        <x:v>0.60250000000000004</x:v>
      </x:c>
      <x:c r="H107" s="9" t="n">
        <x:f>1</x:f>
        <x:v>1</x:v>
      </x:c>
      <x:c r="I107" s="2" t="s">
        <x:v>99</x:v>
      </x:c>
      <x:c r="J107" s="2" t="str">
        <x:v>A whole-order allocation to group 27 remains a broad approximation: Gadiformes includes small pelagic codlets as well as demersal/benthopelagic cod-like fishes. The saved cods/benthopelagic class does not establish the unreported family mixture. No split is required. Assumed composition is fixed across 1950–2019 and landings, total catch and discards; source model is a 2000s northern shelf representation.</x:v>
      </x:c>
      <x:c r="K107" s="1"/>
    </x:row>
    <x:row r="108" ht="117" customHeight="1">
      <x:c r="A108" s="2" t="s">
        <x:v>100</x:v>
      </x:c>
      <x:c r="B108" s="2" t="s">
        <x:v>35</x:v>
      </x:c>
      <x:c r="C108" s="2">
        <x:v>30</x:v>
      </x:c>
      <x:c r="D108" s="8">
        <x:v>0.73839999999999995</x:v>
      </x:c>
      <x:c r="E108" s="8">
        <x:v>0.28899999999999998</x:v>
      </x:c>
      <x:c r="F108" s="8" t="s">
        <x:v>27</x:v>
      </x:c>
      <x:c r="G108" s="8">
        <x:f t="shared" si="3"/>
        <x:v>0.82050000000000001</x:v>
      </x:c>
      <x:c r="H108" s="9" t="n">
        <x:f t="shared" ref="H108:H171" si="6">D108/G108</x:f>
        <x:v>0.8999390615478366</x:v>
      </x:c>
      <x:c r="I108" s="2" t="s">
        <x:v>36</x:v>
      </x:c>
      <x:c r="J108" s="2" t="str">
        <x:v>Its Biology account describes rooting for benthic prey in sand and sucking invertebrates from substrate. Maximum size &gt;30 cm is secure, but species adult ecology emphasizes reef, shelf, near-bottom or bottom-feeding use. It does not close the retained pelagic-only boundary against the model's benthopelagic/demersal alternatives. Checked species record: 120 cm TL; Marine;  reef-associated;. Model catch proportions provide the split; allocation confidence remains Medium. Northern-shelf 2000s proxy transferred to whole-LME 2019 landings; fixed over 1950–2019.</x:v>
      </x:c>
      <x:c r="K108" s="1"/>
    </x:row>
    <x:row r="109" ht="117" customHeight="1">
      <x:c r="A109" s="2" t="s">
        <x:v>100</x:v>
      </x:c>
      <x:c r="B109" s="2" t="s">
        <x:v>37</x:v>
      </x:c>
      <x:c r="C109" s="2">
        <x:v>31</x:v>
      </x:c>
      <x:c r="D109" s="8">
        <x:v>8.2100000000000006E-2</x:v>
      </x:c>
      <x:c r="E109" s="8">
        <x:v>7.9000000000000001E-2</x:v>
      </x:c>
      <x:c r="F109" s="8" t="s">
        <x:v>27</x:v>
      </x:c>
      <x:c r="G109" s="8">
        <x:f t="shared" si="3"/>
        <x:v>0.82050000000000001</x:v>
      </x:c>
      <x:c r="H109" s="9">
        <x:f t="shared" si="6"/>
        <x:v>0.10006093845216332</x:v>
      </x:c>
      <x:c r="I109" s="2" t="s">
        <x:v>36</x:v>
      </x:c>
      <x:c r="J109" s="2" t="str">
        <x:v>Its Biology account describes rooting for benthic prey in sand and sucking invertebrates from substrate. Maximum size &gt;30 cm is secure, but species adult ecology emphasizes reef, shelf, near-bottom or bottom-feeding use. It does not close the retained pelagic-only boundary against the model's benthopelagic/demersal alternatives. Checked species record: 120 cm TL; Marine;  reef-associated;. Model catch proportions provide the split; allocation confidence remains Medium. Northern-shelf 2000s proxy transferred to whole-LME 2019 landings; fixed over 1950–2019.</x:v>
      </x:c>
      <x:c r="K109" s="1"/>
    </x:row>
    <x:row r="110" ht="87" customHeight="1">
      <x:c r="A110" s="2" t="s">
        <x:v>101</x:v>
      </x:c>
      <x:c r="B110" s="2" t="s">
        <x:v>39</x:v>
      </x:c>
      <x:c r="C110" s="2">
        <x:v>25</x:v>
      </x:c>
      <x:c r="D110" s="8">
        <x:v>0.3165</x:v>
      </x:c>
      <x:c r="E110" s="8">
        <x:v>0.14299999999999999</x:v>
      </x:c>
      <x:c r="F110" s="8" t="s">
        <x:v>27</x:v>
      </x:c>
      <x:c r="G110" s="8">
        <x:f t="shared" si="3"/>
        <x:v>0.35170000000000001</x:v>
      </x:c>
      <x:c r="H110" s="9">
        <x:f t="shared" si="6"/>
        <x:v>0.89991470002843332</x:v>
      </x:c>
      <x:c r="I110" s="2" t="s">
        <x:v>36</x:v>
      </x:c>
      <x:c r="J110" s="2" t="str">
        <x:v>Regional griseus/frenatus/elongatus/euanus/grandoculis evidence supports bottom-associated emperors with maxima above 30 cm. The checked 35 cm TL and 80 cm TL members support 25 + 26 as a regional assumed genus set, with no dedicated emperor group. Model catch proportions provide the split; allocation confidence remains Medium. Northern-shelf 2000s proxy transferred to whole-LME 2019 landings; fixed over 1950–2019.</x:v>
      </x:c>
      <x:c r="K110" s="1"/>
    </x:row>
    <x:row r="111" ht="87" customHeight="1">
      <x:c r="A111" s="2" t="s">
        <x:v>101</x:v>
      </x:c>
      <x:c r="B111" s="2" t="s">
        <x:v>40</x:v>
      </x:c>
      <x:c r="C111" s="2">
        <x:v>26</x:v>
      </x:c>
      <x:c r="D111" s="8">
        <x:v>3.5200000000000002E-2</x:v>
      </x:c>
      <x:c r="E111" s="8">
        <x:v>2.1000000000000001E-2</x:v>
      </x:c>
      <x:c r="F111" s="8" t="s">
        <x:v>27</x:v>
      </x:c>
      <x:c r="G111" s="8">
        <x:f t="shared" si="3"/>
        <x:v>0.35170000000000001</x:v>
      </x:c>
      <x:c r="H111" s="9">
        <x:f t="shared" si="6"/>
        <x:v>0.10008529997156668</x:v>
      </x:c>
      <x:c r="I111" s="2" t="s">
        <x:v>36</x:v>
      </x:c>
      <x:c r="J111" s="2" t="str">
        <x:v>Regional griseus/frenatus/elongatus/euanus/grandoculis evidence supports bottom-associated emperors with maxima above 30 cm. The checked 35 cm TL and 80 cm TL members support 25 + 26 as a regional assumed genus set, with no dedicated emperor group. Model catch proportions provide the split; allocation confidence remains Medium. Northern-shelf 2000s proxy transferred to whole-LME 2019 landings; fixed over 1950–2019.</x:v>
      </x:c>
      <x:c r="K111" s="1"/>
    </x:row>
    <x:row r="112" ht="102" customHeight="1">
      <x:c r="A112" s="2" t="s">
        <x:v>102</x:v>
      </x:c>
      <x:c r="B112" s="2" t="s">
        <x:v>35</x:v>
      </x:c>
      <x:c r="C112" s="2">
        <x:v>30</x:v>
      </x:c>
      <x:c r="D112" s="8">
        <x:v>0.73839999999999995</x:v>
      </x:c>
      <x:c r="E112" s="8">
        <x:v>0.28899999999999998</x:v>
      </x:c>
      <x:c r="F112" s="8" t="s">
        <x:v>27</x:v>
      </x:c>
      <x:c r="G112" s="8">
        <x:f t="shared" si="3"/>
        <x:v>0.82050000000000001</x:v>
      </x:c>
      <x:c r="H112" s="9">
        <x:f t="shared" si="6"/>
        <x:v>0.89993906154783665</x:v>
      </x:c>
      <x:c r="I112" s="2" t="s">
        <x:v>36</x:v>
      </x:c>
      <x:c r="J112" s="2" t="str">
        <x:v>Maximum length securely exceeds 30 cm and pelagic fishery/ecological context supports the pair. Authoritative text also emphasizes reef/coastal or bottom-associated use; the source supplies no species assignment closing this boundary. Checked species record: 248 cm FL; Marine;  reef-associated; oceanodromous. Model catch proportions provide the split; allocation confidence remains Medium. Northern-shelf 2000s proxy transferred to whole-LME 2019 landings; fixed over 1950–2019.</x:v>
      </x:c>
      <x:c r="K112" s="1"/>
    </x:row>
    <x:row r="113" ht="102" customHeight="1">
      <x:c r="A113" s="2" t="s">
        <x:v>102</x:v>
      </x:c>
      <x:c r="B113" s="2" t="s">
        <x:v>37</x:v>
      </x:c>
      <x:c r="C113" s="2">
        <x:v>31</x:v>
      </x:c>
      <x:c r="D113" s="8">
        <x:v>8.2100000000000006E-2</x:v>
      </x:c>
      <x:c r="E113" s="8">
        <x:v>7.9000000000000001E-2</x:v>
      </x:c>
      <x:c r="F113" s="8" t="s">
        <x:v>27</x:v>
      </x:c>
      <x:c r="G113" s="8">
        <x:f t="shared" si="3"/>
        <x:v>0.82050000000000001</x:v>
      </x:c>
      <x:c r="H113" s="9">
        <x:f t="shared" si="6"/>
        <x:v>0.10006093845216332</x:v>
      </x:c>
      <x:c r="I113" s="2" t="s">
        <x:v>36</x:v>
      </x:c>
      <x:c r="J113" s="2" t="str">
        <x:v>Maximum length securely exceeds 30 cm and pelagic fishery/ecological context supports the pair. Authoritative text also emphasizes reef/coastal or bottom-associated use; the source supplies no species assignment closing this boundary. Checked species record: 248 cm FL; Marine;  reef-associated; oceanodromous. Model catch proportions provide the split; allocation confidence remains Medium. Northern-shelf 2000s proxy transferred to whole-LME 2019 landings; fixed over 1950–2019.</x:v>
      </x:c>
      <x:c r="K113" s="1"/>
    </x:row>
    <x:row r="114" ht="87" customHeight="1">
      <x:c r="A114" s="2" t="s">
        <x:v>103</x:v>
      </x:c>
      <x:c r="B114" s="2" t="s">
        <x:v>39</x:v>
      </x:c>
      <x:c r="C114" s="2">
        <x:v>25</x:v>
      </x:c>
      <x:c r="D114" s="8">
        <x:v>0.3165</x:v>
      </x:c>
      <x:c r="E114" s="8">
        <x:v>0.14299999999999999</x:v>
      </x:c>
      <x:c r="F114" s="8" t="s">
        <x:v>27</x:v>
      </x:c>
      <x:c r="G114" s="8">
        <x:f t="shared" si="3"/>
        <x:v>0.35170000000000001</x:v>
      </x:c>
      <x:c r="H114" s="9">
        <x:f t="shared" si="6"/>
        <x:v>0.89991470002843332</x:v>
      </x:c>
      <x:c r="I114" s="2" t="s">
        <x:v>36</x:v>
      </x:c>
      <x:c r="J114" s="2" t="str">
        <x:v>The family contains large demersal Pomadasys argenteus but also the East Asian shelf P. quadrilineatus with pelagic-neritic ecology. The current 25 + 26-only set therefore has a specific habitat-composition conflict, beyond unknown catch ages. Model catch proportions provide the split; allocation confidence remains Medium. Northern-shelf 2000s proxy transferred to whole-LME 2019 landings; fixed over 1950–2019.</x:v>
      </x:c>
      <x:c r="K114" s="1"/>
    </x:row>
    <x:row r="115" ht="87" customHeight="1">
      <x:c r="A115" s="2" t="s">
        <x:v>103</x:v>
      </x:c>
      <x:c r="B115" s="2" t="s">
        <x:v>40</x:v>
      </x:c>
      <x:c r="C115" s="2">
        <x:v>26</x:v>
      </x:c>
      <x:c r="D115" s="8">
        <x:v>3.5200000000000002E-2</x:v>
      </x:c>
      <x:c r="E115" s="8">
        <x:v>2.1000000000000001E-2</x:v>
      </x:c>
      <x:c r="F115" s="8" t="s">
        <x:v>27</x:v>
      </x:c>
      <x:c r="G115" s="8">
        <x:f t="shared" si="3"/>
        <x:v>0.35170000000000001</x:v>
      </x:c>
      <x:c r="H115" s="9">
        <x:f t="shared" si="6"/>
        <x:v>0.10008529997156668</x:v>
      </x:c>
      <x:c r="I115" s="2" t="s">
        <x:v>36</x:v>
      </x:c>
      <x:c r="J115" s="2" t="str">
        <x:v>The family contains large demersal Pomadasys argenteus but also the East Asian shelf P. quadrilineatus with pelagic-neritic ecology. The current 25 + 26-only set therefore has a specific habitat-composition conflict, beyond unknown catch ages. Model catch proportions provide the split; allocation confidence remains Medium. Northern-shelf 2000s proxy transferred to whole-LME 2019 landings; fixed over 1950–2019.</x:v>
      </x:c>
      <x:c r="K115" s="1"/>
    </x:row>
    <x:row r="116" ht="87" customHeight="1">
      <x:c r="A116" s="2" t="s">
        <x:v>104</x:v>
      </x:c>
      <x:c r="B116" s="2" t="s">
        <x:v>35</x:v>
      </x:c>
      <x:c r="C116" s="2">
        <x:v>30</x:v>
      </x:c>
      <x:c r="D116" s="8">
        <x:v>0.73839999999999995</x:v>
      </x:c>
      <x:c r="E116" s="8">
        <x:v>0.28899999999999998</x:v>
      </x:c>
      <x:c r="F116" s="8" t="s">
        <x:v>27</x:v>
      </x:c>
      <x:c r="G116" s="8">
        <x:f t="shared" si="3"/>
        <x:v>0.82050000000000001</x:v>
      </x:c>
      <x:c r="H116" s="9">
        <x:f t="shared" si="6"/>
        <x:v>0.89993906154783665</x:v>
      </x:c>
      <x:c r="I116" s="2" t="s">
        <x:v>36</x:v>
      </x:c>
      <x:c r="J116" s="2" t="str">
        <x:v>Regional halfbeaks include H. limbatus with maximum 22 cm TL and larger Hemiramphus/Hyporhamphus species. The family catch label therefore does not establish that all catch belongs to the adopted &gt;30-cm pelagic pair. Model catch proportions provide the split; allocation confidence remains Medium. Northern-shelf 2000s proxy transferred to whole-LME 2019 landings; fixed over 1950–2019.</x:v>
      </x:c>
      <x:c r="K116" s="1"/>
    </x:row>
    <x:row r="117" ht="87" customHeight="1">
      <x:c r="A117" s="2" t="s">
        <x:v>104</x:v>
      </x:c>
      <x:c r="B117" s="2" t="s">
        <x:v>37</x:v>
      </x:c>
      <x:c r="C117" s="2">
        <x:v>31</x:v>
      </x:c>
      <x:c r="D117" s="8">
        <x:v>8.2100000000000006E-2</x:v>
      </x:c>
      <x:c r="E117" s="8">
        <x:v>7.9000000000000001E-2</x:v>
      </x:c>
      <x:c r="F117" s="8" t="s">
        <x:v>27</x:v>
      </x:c>
      <x:c r="G117" s="8">
        <x:f t="shared" si="3"/>
        <x:v>0.82050000000000001</x:v>
      </x:c>
      <x:c r="H117" s="9">
        <x:f t="shared" si="6"/>
        <x:v>0.10006093845216332</x:v>
      </x:c>
      <x:c r="I117" s="2" t="s">
        <x:v>36</x:v>
      </x:c>
      <x:c r="J117" s="2" t="str">
        <x:v>Regional halfbeaks include H. limbatus with maximum 22 cm TL and larger Hemiramphus/Hyporhamphus species. The family catch label therefore does not establish that all catch belongs to the adopted &gt;30-cm pelagic pair. Model catch proportions provide the split; allocation confidence remains Medium. Northern-shelf 2000s proxy transferred to whole-LME 2019 landings; fixed over 1950–2019.</x:v>
      </x:c>
      <x:c r="K117" s="1"/>
    </x:row>
    <x:row r="118" ht="87" customHeight="1">
      <x:c r="A118" s="2" t="s">
        <x:v>105</x:v>
      </x:c>
      <x:c r="B118" s="2" t="s">
        <x:v>35</x:v>
      </x:c>
      <x:c r="C118" s="2">
        <x:v>30</x:v>
      </x:c>
      <x:c r="D118" s="8">
        <x:v>0.73839999999999995</x:v>
      </x:c>
      <x:c r="E118" s="8">
        <x:v>0.28899999999999998</x:v>
      </x:c>
      <x:c r="F118" s="8" t="s">
        <x:v>27</x:v>
      </x:c>
      <x:c r="G118" s="8">
        <x:f t="shared" si="3"/>
        <x:v>0.82050000000000001</x:v>
      </x:c>
      <x:c r="H118" s="9">
        <x:f t="shared" si="6"/>
        <x:v>0.89993906154783665</x:v>
      </x:c>
      <x:c r="I118" s="2" t="s">
        <x:v>36</x:v>
      </x:c>
      <x:c r="J118" s="2" t="str">
        <x:v>All three regional Hemiramphus species in the FAO guide are surface fishes with maximum TL of 34, 44 or 40 cm. This supports the large-pelagic pair for the genus; generic family-level small-halfbeak uncertainty should not be transferred to it. Model catch proportions provide the split; allocation confidence remains Medium. Northern-shelf 2000s proxy transferred to whole-LME 2019 landings; fixed over 1950–2019.</x:v>
      </x:c>
      <x:c r="K118" s="1"/>
    </x:row>
    <x:row r="119" ht="87" customHeight="1">
      <x:c r="A119" s="2" t="s">
        <x:v>105</x:v>
      </x:c>
      <x:c r="B119" s="2" t="s">
        <x:v>37</x:v>
      </x:c>
      <x:c r="C119" s="2">
        <x:v>31</x:v>
      </x:c>
      <x:c r="D119" s="8">
        <x:v>8.2100000000000006E-2</x:v>
      </x:c>
      <x:c r="E119" s="8">
        <x:v>7.9000000000000001E-2</x:v>
      </x:c>
      <x:c r="F119" s="8" t="s">
        <x:v>27</x:v>
      </x:c>
      <x:c r="G119" s="8">
        <x:f t="shared" si="3"/>
        <x:v>0.82050000000000001</x:v>
      </x:c>
      <x:c r="H119" s="9">
        <x:f t="shared" si="6"/>
        <x:v>0.10006093845216332</x:v>
      </x:c>
      <x:c r="I119" s="2" t="s">
        <x:v>36</x:v>
      </x:c>
      <x:c r="J119" s="2" t="str">
        <x:v>All three regional Hemiramphus species in the FAO guide are surface fishes with maximum TL of 34, 44 or 40 cm. This supports the large-pelagic pair for the genus; generic family-level small-halfbeak uncertainty should not be transferred to it. Model catch proportions provide the split; allocation confidence remains Medium. Northern-shelf 2000s proxy transferred to whole-LME 2019 landings; fixed over 1950–2019.</x:v>
      </x:c>
      <x:c r="K119" s="1"/>
    </x:row>
    <x:row r="120" ht="87" customHeight="1">
      <x:c r="A120" s="2" t="s">
        <x:v>106</x:v>
      </x:c>
      <x:c r="B120" s="2" t="s">
        <x:v>35</x:v>
      </x:c>
      <x:c r="C120" s="2">
        <x:v>30</x:v>
      </x:c>
      <x:c r="D120" s="8">
        <x:v>0.73839999999999995</x:v>
      </x:c>
      <x:c r="E120" s="8">
        <x:v>0.28899999999999998</x:v>
      </x:c>
      <x:c r="F120" s="8" t="s">
        <x:v>27</x:v>
      </x:c>
      <x:c r="G120" s="8">
        <x:f t="shared" si="3"/>
        <x:v>0.82050000000000001</x:v>
      </x:c>
      <x:c r="H120" s="9">
        <x:f t="shared" si="6"/>
        <x:v>0.89993906154783665</x:v>
      </x:c>
      <x:c r="I120" s="2" t="s">
        <x:v>36</x:v>
      </x:c>
      <x:c r="J120" s="2" t="str">
        <x:v>The genus includes small H. limbatus and larger H. quoyi, with documented maxima on opposite sides of 30 cm TL. The species mixture is unknown, so the adopted large-pelagic pair does not cover an established whole-genus set. Model catch proportions provide the split; allocation confidence remains Medium. Northern-shelf 2000s proxy transferred to whole-LME 2019 landings; fixed over 1950–2019.</x:v>
      </x:c>
      <x:c r="K120" s="1"/>
    </x:row>
    <x:row r="121" ht="87" customHeight="1">
      <x:c r="A121" s="2" t="s">
        <x:v>106</x:v>
      </x:c>
      <x:c r="B121" s="2" t="s">
        <x:v>37</x:v>
      </x:c>
      <x:c r="C121" s="2">
        <x:v>31</x:v>
      </x:c>
      <x:c r="D121" s="8">
        <x:v>8.2100000000000006E-2</x:v>
      </x:c>
      <x:c r="E121" s="8">
        <x:v>7.9000000000000001E-2</x:v>
      </x:c>
      <x:c r="F121" s="8" t="s">
        <x:v>27</x:v>
      </x:c>
      <x:c r="G121" s="8">
        <x:f t="shared" si="3"/>
        <x:v>0.82050000000000001</x:v>
      </x:c>
      <x:c r="H121" s="9">
        <x:f t="shared" si="6"/>
        <x:v>0.10006093845216332</x:v>
      </x:c>
      <x:c r="I121" s="2" t="s">
        <x:v>36</x:v>
      </x:c>
      <x:c r="J121" s="2" t="str">
        <x:v>The genus includes small H. limbatus and larger H. quoyi, with documented maxima on opposite sides of 30 cm TL. The species mixture is unknown, so the adopted large-pelagic pair does not cover an established whole-genus set. Model catch proportions provide the split; allocation confidence remains Medium. Northern-shelf 2000s proxy transferred to whole-LME 2019 landings; fixed over 1950–2019.</x:v>
      </x:c>
      <x:c r="K121" s="1"/>
    </x:row>
    <x:row r="122" ht="117" customHeight="1">
      <x:c r="A122" s="2" t="s">
        <x:v>107</x:v>
      </x:c>
      <x:c r="B122" s="2" t="s">
        <x:v>35</x:v>
      </x:c>
      <x:c r="C122" s="2">
        <x:v>30</x:v>
      </x:c>
      <x:c r="D122" s="8">
        <x:v>0.73839999999999995</x:v>
      </x:c>
      <x:c r="E122" s="8">
        <x:v>0.28899999999999998</x:v>
      </x:c>
      <x:c r="F122" s="8" t="s">
        <x:v>27</x:v>
      </x:c>
      <x:c r="G122" s="8">
        <x:f t="shared" si="3"/>
        <x:v>0.82050000000000001</x:v>
      </x:c>
      <x:c r="H122" s="9">
        <x:f t="shared" si="6"/>
        <x:v>0.89993906154783665</x:v>
      </x:c>
      <x:c r="I122" s="2" t="s">
        <x:v>36</x:v>
      </x:c>
      <x:c r="J122"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40 cm TL; Marine; freshwater; brackish;  pelagic-neritic; amphidromous;. Model catch proportions provide the split; allocation confidence remains Medium. Northern-shelf 2000s proxy transferred to whole-LME 2019 landings; fixed over 1950–2019.</x:v>
      </x:c>
      <x:c r="K122" s="1"/>
    </x:row>
    <x:row r="123" ht="117" customHeight="1">
      <x:c r="A123" s="2" t="s">
        <x:v>107</x:v>
      </x:c>
      <x:c r="B123" s="2" t="s">
        <x:v>37</x:v>
      </x:c>
      <x:c r="C123" s="2">
        <x:v>31</x:v>
      </x:c>
      <x:c r="D123" s="8">
        <x:v>8.2100000000000006E-2</x:v>
      </x:c>
      <x:c r="E123" s="8">
        <x:v>7.9000000000000001E-2</x:v>
      </x:c>
      <x:c r="F123" s="8" t="s">
        <x:v>27</x:v>
      </x:c>
      <x:c r="G123" s="8">
        <x:f t="shared" si="3"/>
        <x:v>0.82050000000000001</x:v>
      </x:c>
      <x:c r="H123" s="9">
        <x:f t="shared" si="6"/>
        <x:v>0.10006093845216332</x:v>
      </x:c>
      <x:c r="I123" s="2" t="s">
        <x:v>36</x:v>
      </x:c>
      <x:c r="J123"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40 cm TL; Marine; freshwater; brackish;  pelagic-neritic; amphidromous;. Model catch proportions provide the split; allocation confidence remains Medium. Northern-shelf 2000s proxy transferred to whole-LME 2019 landings; fixed over 1950–2019.</x:v>
      </x:c>
      <x:c r="K123" s="1"/>
    </x:row>
    <x:row r="124" ht="117" customHeight="1">
      <x:c r="A124" s="2" t="s">
        <x:v>108</x:v>
      </x:c>
      <x:c r="B124" s="2" t="s">
        <x:v>35</x:v>
      </x:c>
      <x:c r="C124" s="2">
        <x:v>30</x:v>
      </x:c>
      <x:c r="D124" s="8">
        <x:v>0.73839999999999995</x:v>
      </x:c>
      <x:c r="E124" s="8">
        <x:v>0.28899999999999998</x:v>
      </x:c>
      <x:c r="F124" s="8" t="s">
        <x:v>27</x:v>
      </x:c>
      <x:c r="G124" s="8">
        <x:f t="shared" si="3"/>
        <x:v>0.82050000000000001</x:v>
      </x:c>
      <x:c r="H124" s="9">
        <x:f t="shared" si="6"/>
        <x:v>0.89993906154783665</x:v>
      </x:c>
      <x:c r="I124" s="2" t="s">
        <x:v>36</x:v>
      </x:c>
      <x:c r="J124"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60 cm TL; Marine; brackish;  pelagic-neritic;. Model catch proportions provide the split; allocation confidence remains Medium. Northern-shelf 2000s proxy transferred to whole-LME 2019 landings; fixed over 1950–2019.</x:v>
      </x:c>
      <x:c r="K124" s="1"/>
    </x:row>
    <x:row r="125" ht="117" customHeight="1">
      <x:c r="A125" s="2" t="s">
        <x:v>108</x:v>
      </x:c>
      <x:c r="B125" s="2" t="s">
        <x:v>37</x:v>
      </x:c>
      <x:c r="C125" s="2">
        <x:v>31</x:v>
      </x:c>
      <x:c r="D125" s="8">
        <x:v>8.2100000000000006E-2</x:v>
      </x:c>
      <x:c r="E125" s="8">
        <x:v>7.9000000000000001E-2</x:v>
      </x:c>
      <x:c r="F125" s="8" t="s">
        <x:v>27</x:v>
      </x:c>
      <x:c r="G125" s="8">
        <x:f t="shared" si="3"/>
        <x:v>0.82050000000000001</x:v>
      </x:c>
      <x:c r="H125" s="9">
        <x:f t="shared" si="6"/>
        <x:v>0.10006093845216332</x:v>
      </x:c>
      <x:c r="I125" s="2" t="s">
        <x:v>36</x:v>
      </x:c>
      <x:c r="J125"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60 cm TL; Marine; brackish;  pelagic-neritic;. Model catch proportions provide the split; allocation confidence remains Medium. Northern-shelf 2000s proxy transferred to whole-LME 2019 landings; fixed over 1950–2019.</x:v>
      </x:c>
      <x:c r="K125" s="1"/>
    </x:row>
    <x:row r="126" ht="102" customHeight="1">
      <x:c r="A126" s="2" t="s">
        <x:v>109</x:v>
      </x:c>
      <x:c r="B126" s="2" t="s">
        <x:v>35</x:v>
      </x:c>
      <x:c r="C126" s="2">
        <x:v>30</x:v>
      </x:c>
      <x:c r="D126" s="8">
        <x:v>0.73839999999999995</x:v>
      </x:c>
      <x:c r="E126" s="8">
        <x:v>0.28899999999999998</x:v>
      </x:c>
      <x:c r="F126" s="8" t="s">
        <x:v>27</x:v>
      </x:c>
      <x:c r="G126" s="8">
        <x:f t="shared" si="3"/>
        <x:v>0.82050000000000001</x:v>
      </x:c>
      <x:c r="H126" s="9">
        <x:f t="shared" si="6"/>
        <x:v>0.89993906154783665</x:v>
      </x:c>
      <x:c r="I126" s="2" t="s">
        <x:v>36</x:v>
      </x:c>
      <x:c r="J126" s="2" t="str">
        <x:v>The verified Makaira indica–Istiompax indica identity connects the FAO size and epipelagic habitat evidence to black marlin. All residual &gt;30-cm pelagic criteria are met and no dedicated pool competes, establishing groups 30+31 independently of stage allocation. Model catch proportions provide the split; allocation confidence remains Medium. Assumed composition is fixed across 1950–2019 and landings, total catch and discards; source model is a 2000s northern shelf representation.</x:v>
      </x:c>
      <x:c r="K126" s="1"/>
    </x:row>
    <x:row r="127" ht="102" customHeight="1">
      <x:c r="A127" s="2" t="s">
        <x:v>109</x:v>
      </x:c>
      <x:c r="B127" s="2" t="s">
        <x:v>37</x:v>
      </x:c>
      <x:c r="C127" s="2">
        <x:v>31</x:v>
      </x:c>
      <x:c r="D127" s="8">
        <x:v>8.2100000000000006E-2</x:v>
      </x:c>
      <x:c r="E127" s="8">
        <x:v>7.9000000000000001E-2</x:v>
      </x:c>
      <x:c r="F127" s="8" t="s">
        <x:v>27</x:v>
      </x:c>
      <x:c r="G127" s="8">
        <x:f t="shared" si="3"/>
        <x:v>0.82050000000000001</x:v>
      </x:c>
      <x:c r="H127" s="9">
        <x:f t="shared" si="6"/>
        <x:v>0.10006093845216332</x:v>
      </x:c>
      <x:c r="I127" s="2" t="s">
        <x:v>36</x:v>
      </x:c>
      <x:c r="J127" s="2" t="str">
        <x:v>The verified Makaira indica–Istiompax indica identity connects the FAO size and epipelagic habitat evidence to black marlin. All residual &gt;30-cm pelagic criteria are met and no dedicated pool competes, establishing groups 30+31 independently of stage allocation. Model catch proportions provide the split; allocation confidence remains Medium. Assumed composition is fixed across 1950–2019 and landings, total catch and discards; source model is a 2000s northern shelf representation.</x:v>
      </x:c>
      <x:c r="K127" s="1"/>
    </x:row>
    <x:row r="128" ht="87" customHeight="1">
      <x:c r="A128" s="2" t="s">
        <x:v>110</x:v>
      </x:c>
      <x:c r="B128" s="2" t="s">
        <x:v>35</x:v>
      </x:c>
      <x:c r="C128" s="2">
        <x:v>30</x:v>
      </x:c>
      <x:c r="D128" s="8">
        <x:v>0.73839999999999995</x:v>
      </x:c>
      <x:c r="E128" s="8">
        <x:v>0.28899999999999998</x:v>
      </x:c>
      <x:c r="F128" s="8" t="s">
        <x:v>27</x:v>
      </x:c>
      <x:c r="G128" s="8">
        <x:f t="shared" si="3"/>
        <x:v>0.82050000000000001</x:v>
      </x:c>
      <x:c r="H128" s="9">
        <x:f t="shared" si="6"/>
        <x:v>0.89993906154783665</x:v>
      </x:c>
      <x:c r="I128" s="2" t="s">
        <x:v>36</x:v>
      </x:c>
      <x:c r="J128" s="2" t="str">
        <x:v>Billfishes form a coherent large epipelagic family compatible with the source's residual large-pelagic pair. Family-level reporting reduces species detail but does not alone undermine this shared guild membership. Model catch proportions provide the split; allocation confidence remains Medium. Assumed composition is fixed across 1950–2019 and landings, total catch and discards; source model is a 2000s northern shelf representation.</x:v>
      </x:c>
      <x:c r="K128" s="1"/>
    </x:row>
    <x:row r="129" ht="87" customHeight="1">
      <x:c r="A129" s="2" t="s">
        <x:v>110</x:v>
      </x:c>
      <x:c r="B129" s="2" t="s">
        <x:v>37</x:v>
      </x:c>
      <x:c r="C129" s="2">
        <x:v>31</x:v>
      </x:c>
      <x:c r="D129" s="8">
        <x:v>8.2100000000000006E-2</x:v>
      </x:c>
      <x:c r="E129" s="8">
        <x:v>7.9000000000000001E-2</x:v>
      </x:c>
      <x:c r="F129" s="8" t="s">
        <x:v>27</x:v>
      </x:c>
      <x:c r="G129" s="8">
        <x:f t="shared" si="3"/>
        <x:v>0.82050000000000001</x:v>
      </x:c>
      <x:c r="H129" s="9">
        <x:f t="shared" si="6"/>
        <x:v>0.10006093845216332</x:v>
      </x:c>
      <x:c r="I129" s="2" t="s">
        <x:v>36</x:v>
      </x:c>
      <x:c r="J129" s="2" t="str">
        <x:v>Billfishes form a coherent large epipelagic family compatible with the source's residual large-pelagic pair. Family-level reporting reduces species detail but does not alone undermine this shared guild membership. Model catch proportions provide the split; allocation confidence remains Medium. Assumed composition is fixed across 1950–2019 and landings, total catch and discards; source model is a 2000s northern shelf representation.</x:v>
      </x:c>
      <x:c r="K129" s="1"/>
    </x:row>
    <x:row r="130" ht="87" customHeight="1">
      <x:c r="A130" s="2" t="s">
        <x:v>111</x:v>
      </x:c>
      <x:c r="B130" s="2" t="s">
        <x:v>35</x:v>
      </x:c>
      <x:c r="C130" s="2">
        <x:v>30</x:v>
      </x:c>
      <x:c r="D130" s="8">
        <x:v>0.73839999999999995</x:v>
      </x:c>
      <x:c r="E130" s="8">
        <x:v>0.28899999999999998</x:v>
      </x:c>
      <x:c r="F130" s="8" t="s">
        <x:v>27</x:v>
      </x:c>
      <x:c r="G130" s="8">
        <x:f t="shared" si="3"/>
        <x:v>0.82050000000000001</x:v>
      </x:c>
      <x:c r="H130" s="9">
        <x:f t="shared" si="6"/>
        <x:v>0.89993906154783665</x:v>
      </x:c>
      <x:c r="I130" s="2" t="s">
        <x:v>36</x:v>
      </x:c>
      <x:c r="J130" s="2" t="str">
        <x:v>Sailfishes are large epipelagic fishes, including coastal approaches documented by FAO. Both the historical and current genus concepts support the source large-pelagic pair; exact stage fractions remain assumed. Model catch proportions provide the split; allocation confidence remains Medium. Assumed composition is fixed across 1950–2019 and landings, total catch and discards; source model is a 2000s northern shelf representation.</x:v>
      </x:c>
      <x:c r="K130" s="1"/>
    </x:row>
    <x:row r="131" ht="87" customHeight="1">
      <x:c r="A131" s="2" t="s">
        <x:v>111</x:v>
      </x:c>
      <x:c r="B131" s="2" t="s">
        <x:v>37</x:v>
      </x:c>
      <x:c r="C131" s="2">
        <x:v>31</x:v>
      </x:c>
      <x:c r="D131" s="8">
        <x:v>8.2100000000000006E-2</x:v>
      </x:c>
      <x:c r="E131" s="8">
        <x:v>7.9000000000000001E-2</x:v>
      </x:c>
      <x:c r="F131" s="8" t="s">
        <x:v>27</x:v>
      </x:c>
      <x:c r="G131" s="8">
        <x:f t="shared" si="3"/>
        <x:v>0.82050000000000001</x:v>
      </x:c>
      <x:c r="H131" s="9">
        <x:f t="shared" si="6"/>
        <x:v>0.10006093845216332</x:v>
      </x:c>
      <x:c r="I131" s="2" t="s">
        <x:v>36</x:v>
      </x:c>
      <x:c r="J131" s="2" t="str">
        <x:v>Sailfishes are large epipelagic fishes, including coastal approaches documented by FAO. Both the historical and current genus concepts support the source large-pelagic pair; exact stage fractions remain assumed. Model catch proportions provide the split; allocation confidence remains Medium. Assumed composition is fixed across 1950–2019 and landings, total catch and discards; source model is a 2000s northern shelf representation.</x:v>
      </x:c>
      <x:c r="K131" s="1"/>
    </x:row>
    <x:row r="132" ht="102" customHeight="1">
      <x:c r="A132" s="2" t="s">
        <x:v>112</x:v>
      </x:c>
      <x:c r="B132" s="2" t="s">
        <x:v>35</x:v>
      </x:c>
      <x:c r="C132" s="2">
        <x:v>30</x:v>
      </x:c>
      <x:c r="D132" s="8">
        <x:v>0.73839999999999995</x:v>
      </x:c>
      <x:c r="E132" s="8">
        <x:v>0.28899999999999998</x:v>
      </x:c>
      <x:c r="F132" s="8" t="s">
        <x:v>27</x:v>
      </x:c>
      <x:c r="G132" s="8">
        <x:f t="shared" si="3"/>
        <x:v>0.82050000000000001</x:v>
      </x:c>
      <x:c r="H132" s="9">
        <x:f t="shared" si="6"/>
        <x:v>0.89993906154783665</x:v>
      </x:c>
      <x:c r="I132" s="2" t="s">
        <x:v>36</x:v>
      </x:c>
      <x:c r="J132" s="2" t="str">
        <x:v>Verified maximum size above 30 cm and epipelagic ecology establish Indo-Pacific sailfish in the source's residual large-pelagic pair. No dedicated pool competes; coastal approaches reinforce the habitat fit. Unknown stage shares affect allocation, not membership in groups 30+31. Model catch proportions provide the split; allocation confidence remains Medium. Assumed composition is fixed across 1950–2019 and landings, total catch and discards; source model is a 2000s northern shelf representation.</x:v>
      </x:c>
      <x:c r="K132" s="1"/>
    </x:row>
    <x:row r="133" ht="102" customHeight="1">
      <x:c r="A133" s="2" t="s">
        <x:v>112</x:v>
      </x:c>
      <x:c r="B133" s="2" t="s">
        <x:v>37</x:v>
      </x:c>
      <x:c r="C133" s="2">
        <x:v>31</x:v>
      </x:c>
      <x:c r="D133" s="8">
        <x:v>8.2100000000000006E-2</x:v>
      </x:c>
      <x:c r="E133" s="8">
        <x:v>7.9000000000000001E-2</x:v>
      </x:c>
      <x:c r="F133" s="8" t="s">
        <x:v>27</x:v>
      </x:c>
      <x:c r="G133" s="8">
        <x:f t="shared" si="3"/>
        <x:v>0.82050000000000001</x:v>
      </x:c>
      <x:c r="H133" s="9">
        <x:f t="shared" si="6"/>
        <x:v>0.10006093845216332</x:v>
      </x:c>
      <x:c r="I133" s="2" t="s">
        <x:v>36</x:v>
      </x:c>
      <x:c r="J133" s="2" t="str">
        <x:v>Verified maximum size above 30 cm and epipelagic ecology establish Indo-Pacific sailfish in the source's residual large-pelagic pair. No dedicated pool competes; coastal approaches reinforce the habitat fit. Unknown stage shares affect allocation, not membership in groups 30+31. Model catch proportions provide the split; allocation confidence remains Medium. Assumed composition is fixed across 1950–2019 and landings, total catch and discards; source model is a 2000s northern shelf representation.</x:v>
      </x:c>
      <x:c r="K133" s="1"/>
    </x:row>
    <x:row r="134" ht="102" customHeight="1">
      <x:c r="A134" s="2" t="s">
        <x:v>113</x:v>
      </x:c>
      <x:c r="B134" s="2" t="s">
        <x:v>35</x:v>
      </x:c>
      <x:c r="C134" s="2">
        <x:v>30</x:v>
      </x:c>
      <x:c r="D134" s="8">
        <x:v>0.73839999999999995</x:v>
      </x:c>
      <x:c r="E134" s="8">
        <x:v>0.28899999999999998</x:v>
      </x:c>
      <x:c r="F134" s="8" t="s">
        <x:v>27</x:v>
      </x:c>
      <x:c r="G134" s="8" t="n">
        <x:f t="shared" ref="G134:G197" si="7">SUMIFS($D$6:$D$449,$A$6:$A$449,A134)</x:f>
        <x:v>0.8205</x:v>
      </x:c>
      <x:c r="H134" s="9">
        <x:f t="shared" si="6"/>
        <x:v>0.89993906154783665</x:v>
      </x:c>
      <x:c r="I134" s="2" t="s">
        <x:v>36</x:v>
      </x:c>
      <x:c r="J134" s="2" t="str">
        <x:v>The verified Tetrapturus audax–Kajikia audax identity connects the FAO evidence to striped marlin. Size above 30 cm and epipelagic ecology fully satisfy the generic large-pelagic definition with no competing pool; groups 30+31 cover both stages. Model catch proportions provide the split; allocation confidence remains Medium. Assumed composition is fixed across 1950–2019 and landings, total catch and discards; source model is a 2000s northern shelf representation.</x:v>
      </x:c>
      <x:c r="K134" s="1"/>
    </x:row>
    <x:row r="135" ht="102" customHeight="1">
      <x:c r="A135" s="2" t="s">
        <x:v>113</x:v>
      </x:c>
      <x:c r="B135" s="2" t="s">
        <x:v>37</x:v>
      </x:c>
      <x:c r="C135" s="2">
        <x:v>31</x:v>
      </x:c>
      <x:c r="D135" s="8">
        <x:v>8.2100000000000006E-2</x:v>
      </x:c>
      <x:c r="E135" s="8">
        <x:v>7.9000000000000001E-2</x:v>
      </x:c>
      <x:c r="F135" s="8" t="s">
        <x:v>27</x:v>
      </x:c>
      <x:c r="G135" s="8">
        <x:f t="shared" si="7"/>
        <x:v>0.82050000000000001</x:v>
      </x:c>
      <x:c r="H135" s="9">
        <x:f t="shared" si="6"/>
        <x:v>0.10006093845216332</x:v>
      </x:c>
      <x:c r="I135" s="2" t="s">
        <x:v>36</x:v>
      </x:c>
      <x:c r="J135" s="2" t="str">
        <x:v>The verified Tetrapturus audax–Kajikia audax identity connects the FAO evidence to striped marlin. Size above 30 cm and epipelagic ecology fully satisfy the generic large-pelagic definition with no competing pool; groups 30+31 cover both stages. Model catch proportions provide the split; allocation confidence remains Medium. Assumed composition is fixed across 1950–2019 and landings, total catch and discards; source model is a 2000s northern shelf representation.</x:v>
      </x:c>
      <x:c r="K135" s="1"/>
    </x:row>
    <x:row r="136" ht="117" customHeight="1">
      <x:c r="A136" s="2" t="s">
        <x:v>114</x:v>
      </x:c>
      <x:c r="B136" s="2" t="s">
        <x:v>35</x:v>
      </x:c>
      <x:c r="C136" s="2">
        <x:v>30</x:v>
      </x:c>
      <x:c r="D136" s="8">
        <x:v>0.73839999999999995</x:v>
      </x:c>
      <x:c r="E136" s="8">
        <x:v>0.28899999999999998</x:v>
      </x:c>
      <x:c r="F136" s="8" t="s">
        <x:v>27</x:v>
      </x:c>
      <x:c r="G136" s="8">
        <x:f t="shared" si="7"/>
        <x:v>0.82050000000000001</x:v>
      </x:c>
      <x:c r="H136" s="9">
        <x:f t="shared" si="6"/>
        <x:v>0.89993906154783665</x:v>
      </x:c>
      <x:c r="I136" s="2" t="s">
        <x:v>36</x:v>
      </x:c>
      <x:c r="J136"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110 cm FL; Marine;  pelagic-oceanic; oceanodromous. Model catch proportions provide the split; allocation confidence remains Medium. Northern-shelf 2000s proxy transferred to whole-LME 2019 landings; fixed over 1950–2019.</x:v>
      </x:c>
      <x:c r="K136" s="1"/>
    </x:row>
    <x:row r="137" ht="117" customHeight="1">
      <x:c r="A137" s="2" t="s">
        <x:v>114</x:v>
      </x:c>
      <x:c r="B137" s="2" t="s">
        <x:v>37</x:v>
      </x:c>
      <x:c r="C137" s="2">
        <x:v>31</x:v>
      </x:c>
      <x:c r="D137" s="8">
        <x:v>8.2100000000000006E-2</x:v>
      </x:c>
      <x:c r="E137" s="8">
        <x:v>7.9000000000000001E-2</x:v>
      </x:c>
      <x:c r="F137" s="8" t="s">
        <x:v>27</x:v>
      </x:c>
      <x:c r="G137" s="8">
        <x:f t="shared" si="7"/>
        <x:v>0.82050000000000001</x:v>
      </x:c>
      <x:c r="H137" s="9">
        <x:f t="shared" si="6"/>
        <x:v>0.10006093845216332</x:v>
      </x:c>
      <x:c r="I137" s="2" t="s">
        <x:v>36</x:v>
      </x:c>
      <x:c r="J137"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110 cm FL; Marine;  pelagic-oceanic; oceanodromous. Model catch proportions provide the split; allocation confidence remains Medium. Northern-shelf 2000s proxy transferred to whole-LME 2019 landings; fixed over 1950–2019.</x:v>
      </x:c>
      <x:c r="K137" s="1"/>
    </x:row>
    <x:row r="138" ht="87" customHeight="1">
      <x:c r="A138" s="2" t="s">
        <x:v>115</x:v>
      </x:c>
      <x:c r="B138" s="2" t="s">
        <x:v>39</x:v>
      </x:c>
      <x:c r="C138" s="2">
        <x:v>25</x:v>
      </x:c>
      <x:c r="D138" s="8">
        <x:v>0.3165</x:v>
      </x:c>
      <x:c r="E138" s="8">
        <x:v>0.14299999999999999</x:v>
      </x:c>
      <x:c r="F138" s="8" t="s">
        <x:v>27</x:v>
      </x:c>
      <x:c r="G138" s="8">
        <x:f t="shared" si="7"/>
        <x:v>0.35170000000000001</x:v>
      </x:c>
      <x:c r="H138" s="9">
        <x:f t="shared" si="6"/>
        <x:v>0.89991470002843332</x:v>
      </x:c>
      <x:c r="I138" s="2" t="s">
        <x:v>36</x:v>
      </x:c>
      <x:c r="J138" s="2" t="str">
        <x:v>A documented regional wrasse, Halichoeres trimaculatus, reaches 27 cm TL and forages on sand/rubble invertebrates. The family therefore cannot be assigned only to&gt; 30 cm demersal groups 25 + 26; its reef label does not remove the small-species candidate. Model catch proportions provide the split; allocation confidence remains Medium. Northern-shelf 2000s proxy transferred to whole-LME 2019 landings; fixed over 1950–2019.</x:v>
      </x:c>
      <x:c r="K138" s="1"/>
    </x:row>
    <x:row r="139" ht="87" customHeight="1">
      <x:c r="A139" s="2" t="s">
        <x:v>115</x:v>
      </x:c>
      <x:c r="B139" s="2" t="s">
        <x:v>40</x:v>
      </x:c>
      <x:c r="C139" s="2">
        <x:v>26</x:v>
      </x:c>
      <x:c r="D139" s="8">
        <x:v>3.5200000000000002E-2</x:v>
      </x:c>
      <x:c r="E139" s="8">
        <x:v>2.1000000000000001E-2</x:v>
      </x:c>
      <x:c r="F139" s="8" t="s">
        <x:v>27</x:v>
      </x:c>
      <x:c r="G139" s="8">
        <x:f t="shared" si="7"/>
        <x:v>0.35170000000000001</x:v>
      </x:c>
      <x:c r="H139" s="9">
        <x:f t="shared" si="6"/>
        <x:v>0.10008529997156668</x:v>
      </x:c>
      <x:c r="I139" s="2" t="s">
        <x:v>36</x:v>
      </x:c>
      <x:c r="J139" s="2" t="str">
        <x:v>A documented regional wrasse, Halichoeres trimaculatus, reaches 27 cm TL and forages on sand/rubble invertebrates. The family therefore cannot be assigned only to&gt; 30 cm demersal groups 25 + 26; its reef label does not remove the small-species candidate. Model catch proportions provide the split; allocation confidence remains Medium. Northern-shelf 2000s proxy transferred to whole-LME 2019 landings; fixed over 1950–2019.</x:v>
      </x:c>
      <x:c r="K139" s="1"/>
    </x:row>
    <x:row r="140" ht="102" customHeight="1">
      <x:c r="A140" s="2" t="s">
        <x:v>116</x:v>
      </x:c>
      <x:c r="B140" s="2" t="s">
        <x:v>35</x:v>
      </x:c>
      <x:c r="C140" s="2">
        <x:v>30</x:v>
      </x:c>
      <x:c r="D140" s="8">
        <x:v>0.73839999999999995</x:v>
      </x:c>
      <x:c r="E140" s="8">
        <x:v>0.28899999999999998</x:v>
      </x:c>
      <x:c r="F140" s="8" t="s">
        <x:v>27</x:v>
      </x:c>
      <x:c r="G140" s="8">
        <x:f t="shared" si="7"/>
        <x:v>0.82050000000000001</x:v>
      </x:c>
      <x:c r="H140" s="9">
        <x:f t="shared" si="6"/>
        <x:v>0.89993906154783665</x:v>
      </x:c>
      <x:c r="I140" s="2" t="s">
        <x:v>36</x:v>
      </x:c>
      <x:c r="J140" s="2" t="str">
        <x:v>Maximum TL 40 cm and pelagic-neritic classification support the pair. Feeding on sand-dwelling animals also supports a possible benthopelagic interpretation; no explicit model species assignment settles this boundary. Checked species record: 40 cm TL; Marine; brackish;  pelagic-neritic;. Model catch proportions provide the split; allocation confidence remains Medium. Northern-shelf 2000s proxy transferred to whole-LME 2019 landings; fixed over 1950–2019.</x:v>
      </x:c>
      <x:c r="K140" s="1"/>
    </x:row>
    <x:row r="141" ht="102" customHeight="1">
      <x:c r="A141" s="2" t="s">
        <x:v>116</x:v>
      </x:c>
      <x:c r="B141" s="2" t="s">
        <x:v>37</x:v>
      </x:c>
      <x:c r="C141" s="2">
        <x:v>31</x:v>
      </x:c>
      <x:c r="D141" s="8">
        <x:v>8.2100000000000006E-2</x:v>
      </x:c>
      <x:c r="E141" s="8">
        <x:v>7.9000000000000001E-2</x:v>
      </x:c>
      <x:c r="F141" s="8" t="s">
        <x:v>27</x:v>
      </x:c>
      <x:c r="G141" s="8">
        <x:f t="shared" si="7"/>
        <x:v>0.82050000000000001</x:v>
      </x:c>
      <x:c r="H141" s="9">
        <x:f t="shared" si="6"/>
        <x:v>0.10006093845216332</x:v>
      </x:c>
      <x:c r="I141" s="2" t="s">
        <x:v>36</x:v>
      </x:c>
      <x:c r="J141" s="2" t="str">
        <x:v>Maximum TL 40 cm and pelagic-neritic classification support the pair. Feeding on sand-dwelling animals also supports a possible benthopelagic interpretation; no explicit model species assignment settles this boundary. Checked species record: 40 cm TL; Marine; brackish;  pelagic-neritic;. Model catch proportions provide the split; allocation confidence remains Medium. Northern-shelf 2000s proxy transferred to whole-LME 2019 landings; fixed over 1950–2019.</x:v>
      </x:c>
      <x:c r="K141" s="1"/>
    </x:row>
    <x:row r="142" ht="102" customHeight="1">
      <x:c r="A142" s="2" t="s">
        <x:v>117</x:v>
      </x:c>
      <x:c r="B142" s="2" t="s">
        <x:v>35</x:v>
      </x:c>
      <x:c r="C142" s="2">
        <x:v>30</x:v>
      </x:c>
      <x:c r="D142" s="8">
        <x:v>0.73839999999999995</x:v>
      </x:c>
      <x:c r="E142" s="8">
        <x:v>0.28899999999999998</x:v>
      </x:c>
      <x:c r="F142" s="8" t="s">
        <x:v>27</x:v>
      </x:c>
      <x:c r="G142" s="8">
        <x:f t="shared" si="7"/>
        <x:v>0.82050000000000001</x:v>
      </x:c>
      <x:c r="H142" s="9">
        <x:f t="shared" si="6"/>
        <x:v>0.89993906154783665</x:v>
      </x:c>
      <x:c r="I142" s="2" t="s">
        <x:v>36</x:v>
      </x:c>
      <x:c r="J142" s="2" t="str">
        <x:v>The historical opah label represents offshore deep-living fishes and a subsequently divided species complex. The adopted shelf large-pelagic pair remains a closest represented analogue without an established link to the source guild's sampled assemblage. Model catch proportions provide the split; allocation confidence remains Medium. Assumed composition is fixed across 1950–2019 and landings, total catch and discards; source model is a 2000s northern shelf representation.</x:v>
      </x:c>
      <x:c r="K142" s="1"/>
    </x:row>
    <x:row r="143" ht="102" customHeight="1">
      <x:c r="A143" s="2" t="s">
        <x:v>117</x:v>
      </x:c>
      <x:c r="B143" s="2" t="s">
        <x:v>37</x:v>
      </x:c>
      <x:c r="C143" s="2">
        <x:v>31</x:v>
      </x:c>
      <x:c r="D143" s="8">
        <x:v>8.2100000000000006E-2</x:v>
      </x:c>
      <x:c r="E143" s="8">
        <x:v>7.9000000000000001E-2</x:v>
      </x:c>
      <x:c r="F143" s="8" t="s">
        <x:v>27</x:v>
      </x:c>
      <x:c r="G143" s="8">
        <x:f t="shared" si="7"/>
        <x:v>0.82050000000000001</x:v>
      </x:c>
      <x:c r="H143" s="9">
        <x:f t="shared" si="6"/>
        <x:v>0.10006093845216332</x:v>
      </x:c>
      <x:c r="I143" s="2" t="s">
        <x:v>36</x:v>
      </x:c>
      <x:c r="J143" s="2" t="str">
        <x:v>The historical opah label represents offshore deep-living fishes and a subsequently divided species complex. The adopted shelf large-pelagic pair remains a closest represented analogue without an established link to the source guild's sampled assemblage. Model catch proportions provide the split; allocation confidence remains Medium. Assumed composition is fixed across 1950–2019 and landings, total catch and discards; source model is a 2000s northern shelf representation.</x:v>
      </x:c>
      <x:c r="K143" s="1"/>
    </x:row>
    <x:row r="144" ht="72" customHeight="1">
      <x:c r="A144" s="2" t="s">
        <x:v>118</x:v>
      </x:c>
      <x:c r="B144" s="2" t="s">
        <x:v>46</x:v>
      </x:c>
      <x:c r="C144" s="2">
        <x:v>22</x:v>
      </x:c>
      <x:c r="D144" s="8">
        <x:v>7.0999999999999994E-2</x:v>
      </x:c>
      <x:c r="E144" s="8">
        <x:v>0.04</x:v>
      </x:c>
      <x:c r="F144" s="8" t="s">
        <x:v>27</x:v>
      </x:c>
      <x:c r="G144" s="8">
        <x:f t="shared" si="7"/>
        <x:v>7.8999999999999987E-2</x:v>
      </x:c>
      <x:c r="H144" s="9">
        <x:f t="shared" si="6"/>
        <x:v>0.89873417721518989</x:v>
      </x:c>
      <x:c r="I144" s="2" t="s">
        <x:v>36</x:v>
      </x:c>
      <x:c r="J144" s="2" t="str">
        <x:v>Larimichthys crocea is explicitly a large croaker in the source. Both 24-month stanzas are eligible; unknown catch ages limit allocation separately. Model catch proportions provide the split; allocation confidence remains Medium. Northern-shelf 2000s proxy transferred to whole-LME 2019 landings; fixed over 1950–2019.</x:v>
      </x:c>
      <x:c r="K144" s="1"/>
    </x:row>
    <x:row r="145" ht="72" customHeight="1">
      <x:c r="A145" s="2" t="s">
        <x:v>118</x:v>
      </x:c>
      <x:c r="B145" s="2" t="s">
        <x:v>47</x:v>
      </x:c>
      <x:c r="C145" s="2">
        <x:v>23</x:v>
      </x:c>
      <x:c r="D145" s="8">
        <x:v>8.0000000000000002E-3</x:v>
      </x:c>
      <x:c r="E145" s="8">
        <x:v>9.4000000000000004E-3</x:v>
      </x:c>
      <x:c r="F145" s="8" t="s">
        <x:v>27</x:v>
      </x:c>
      <x:c r="G145" s="8">
        <x:f t="shared" si="7"/>
        <x:v>7.8999999999999987E-2</x:v>
      </x:c>
      <x:c r="H145" s="9">
        <x:f t="shared" si="6"/>
        <x:v>0.10126582278481014</x:v>
      </x:c>
      <x:c r="I145" s="2" t="s">
        <x:v>36</x:v>
      </x:c>
      <x:c r="J145" s="2" t="str">
        <x:v>Larimichthys crocea is explicitly a large croaker in the source. Both 24-month stanzas are eligible; unknown catch ages limit allocation separately. Model catch proportions provide the split; allocation confidence remains Medium. Northern-shelf 2000s proxy transferred to whole-LME 2019 landings; fixed over 1950–2019.</x:v>
      </x:c>
      <x:c r="K145" s="1"/>
    </x:row>
    <x:row r="146" ht="87" customHeight="1">
      <x:c r="A146" s="2" t="s">
        <x:v>119</x:v>
      </x:c>
      <x:c r="B146" s="2" t="s">
        <x:v>46</x:v>
      </x:c>
      <x:c r="C146" s="2">
        <x:v>22</x:v>
      </x:c>
      <x:c r="D146" s="8">
        <x:v>7.0999999999999994E-2</x:v>
      </x:c>
      <x:c r="E146" s="8">
        <x:v>0.04</x:v>
      </x:c>
      <x:c r="F146" s="8" t="s">
        <x:v>27</x:v>
      </x:c>
      <x:c r="G146" s="8">
        <x:f t="shared" si="7"/>
        <x:v>7.8999999999999987E-2</x:v>
      </x:c>
      <x:c r="H146" s="9">
        <x:f t="shared" si="6"/>
        <x:v>0.89873417721518989</x:v>
      </x:c>
      <x:c r="I146" s="2" t="s">
        <x:v>36</x:v>
      </x:c>
      <x:c r="J146" s="2" t="str">
        <x:v>WoRMS confirms Sciaenidae and maximum 40 cm SL necessarily exceeds 30 cm TL. The source large-croaker definition selects both 24-month stanzas; the common name small yellow croaker does not select the small-species pool. Checked species record: 40 cm SL; Marine;  benthopelagic; oceanodromous. Model catch proportions provide the split; allocation confidence remains Medium. </x:v>
      </x:c>
      <x:c r="K146" s="1"/>
    </x:row>
    <x:row r="147" ht="87" customHeight="1">
      <x:c r="A147" s="2" t="s">
        <x:v>119</x:v>
      </x:c>
      <x:c r="B147" s="2" t="s">
        <x:v>47</x:v>
      </x:c>
      <x:c r="C147" s="2">
        <x:v>23</x:v>
      </x:c>
      <x:c r="D147" s="8">
        <x:v>8.0000000000000002E-3</x:v>
      </x:c>
      <x:c r="E147" s="8">
        <x:v>9.4000000000000004E-3</x:v>
      </x:c>
      <x:c r="F147" s="8" t="s">
        <x:v>27</x:v>
      </x:c>
      <x:c r="G147" s="8">
        <x:f t="shared" si="7"/>
        <x:v>7.8999999999999987E-2</x:v>
      </x:c>
      <x:c r="H147" s="9">
        <x:f t="shared" si="6"/>
        <x:v>0.10126582278481014</x:v>
      </x:c>
      <x:c r="I147" s="2" t="s">
        <x:v>36</x:v>
      </x:c>
      <x:c r="J147" s="2" t="str">
        <x:v>WoRMS confirms Sciaenidae and maximum 40 cm SL necessarily exceeds 30 cm TL. The source large-croaker definition selects both 24-month stanzas; the common name small yellow croaker does not select the small-species pool. Checked species record: 40 cm SL; Marine;  benthopelagic; oceanodromous. Model catch proportions provide the split; allocation confidence remains Medium. </x:v>
      </x:c>
      <x:c r="K147" s="1"/>
    </x:row>
    <x:row r="148" ht="117" customHeight="1">
      <x:c r="A148" s="2" t="s">
        <x:v>120</x:v>
      </x:c>
      <x:c r="B148" s="2" t="s">
        <x:v>39</x:v>
      </x:c>
      <x:c r="C148" s="2">
        <x:v>25</x:v>
      </x:c>
      <x:c r="D148" s="8">
        <x:v>0.3165</x:v>
      </x:c>
      <x:c r="E148" s="8">
        <x:v>0.14299999999999999</x:v>
      </x:c>
      <x:c r="F148" s="8" t="s">
        <x:v>27</x:v>
      </x:c>
      <x:c r="G148" s="8">
        <x:f t="shared" si="7"/>
        <x:v>0.35170000000000001</x:v>
      </x:c>
      <x:c r="H148" s="9">
        <x:f t="shared" si="6"/>
        <x:v>0.89991470002843332</x:v>
      </x:c>
      <x:c r="I148" s="2" t="s">
        <x:v>36</x:v>
      </x:c>
      <x:c r="J148" s="2" t="str">
        <x:v>Maximum 102 cm TL and rocky inshore habitat support the residual large demersal pair; it is not a source-listed serranid grouper. The membership inference is ecological, while the regional species-name distinction is preserved. Medium reflects interpreting substrate-associated reef/inshore biology as included in the source residual demersal boundary, which does not explicitly discuss reef fishes. Model catch proportions provide the split; allocation confidence remains Medium. Northern-shelf 2000s proxy transferred to whole-LME 2019 landings; fixed over 1950–2019.</x:v>
      </x:c>
      <x:c r="K148" s="1"/>
    </x:row>
    <x:row r="149" ht="117" customHeight="1">
      <x:c r="A149" s="2" t="s">
        <x:v>120</x:v>
      </x:c>
      <x:c r="B149" s="2" t="s">
        <x:v>40</x:v>
      </x:c>
      <x:c r="C149" s="2">
        <x:v>26</x:v>
      </x:c>
      <x:c r="D149" s="8">
        <x:v>3.5200000000000002E-2</x:v>
      </x:c>
      <x:c r="E149" s="8">
        <x:v>2.1000000000000001E-2</x:v>
      </x:c>
      <x:c r="F149" s="8" t="s">
        <x:v>27</x:v>
      </x:c>
      <x:c r="G149" s="8">
        <x:f t="shared" si="7"/>
        <x:v>0.35170000000000001</x:v>
      </x:c>
      <x:c r="H149" s="9">
        <x:f t="shared" si="6"/>
        <x:v>0.10008529997156668</x:v>
      </x:c>
      <x:c r="I149" s="2" t="s">
        <x:v>36</x:v>
      </x:c>
      <x:c r="J149" s="2" t="str">
        <x:v>Maximum 102 cm TL and rocky inshore habitat support the residual large demersal pair; it is not a source-listed serranid grouper. The membership inference is ecological, while the regional species-name distinction is preserved. Medium reflects interpreting substrate-associated reef/inshore biology as included in the source residual demersal boundary, which does not explicitly discuss reef fishes. Model catch proportions provide the split; allocation confidence remains Medium. Northern-shelf 2000s proxy transferred to whole-LME 2019 landings; fixed over 1950–2019.</x:v>
      </x:c>
      <x:c r="K149" s="1"/>
    </x:row>
    <x:row r="150" ht="87" customHeight="1">
      <x:c r="A150" s="2" t="s">
        <x:v>121</x:v>
      </x:c>
      <x:c r="B150" s="2" t="s">
        <x:v>39</x:v>
      </x:c>
      <x:c r="C150" s="2">
        <x:v>25</x:v>
      </x:c>
      <x:c r="D150" s="8">
        <x:v>0.3165</x:v>
      </x:c>
      <x:c r="E150" s="8">
        <x:v>0.14299999999999999</x:v>
      </x:c>
      <x:c r="F150" s="8" t="s">
        <x:v>27</x:v>
      </x:c>
      <x:c r="G150" s="8">
        <x:f t="shared" si="7"/>
        <x:v>0.35170000000000001</x:v>
      </x:c>
      <x:c r="H150" s="9">
        <x:f t="shared" si="6"/>
        <x:v>0.89991470002843332</x:v>
      </x:c>
      <x:c r="I150" s="2" t="s">
        <x:v>36</x:v>
      </x:c>
      <x:c r="J150" s="2" t="str">
        <x:v>Its documented demersal coastal/estuarine ecology, maximum 200 cm TL and Latidae identity satisfy the explicit residual large-demersal criteria. It is not a source Serranidae grouper; groups 25 + 26 cover both stages independently of the catch-age proportions. Model catch proportions provide the split; allocation confidence remains Medium. Northern-shelf 2000s proxy transferred to whole-LME 2019 landings; fixed over 1950–2019.</x:v>
      </x:c>
      <x:c r="K150" s="1"/>
    </x:row>
    <x:row r="151" ht="87" customHeight="1">
      <x:c r="A151" s="2" t="s">
        <x:v>121</x:v>
      </x:c>
      <x:c r="B151" s="2" t="s">
        <x:v>40</x:v>
      </x:c>
      <x:c r="C151" s="2">
        <x:v>26</x:v>
      </x:c>
      <x:c r="D151" s="8">
        <x:v>3.5200000000000002E-2</x:v>
      </x:c>
      <x:c r="E151" s="8">
        <x:v>2.1000000000000001E-2</x:v>
      </x:c>
      <x:c r="F151" s="8" t="s">
        <x:v>27</x:v>
      </x:c>
      <x:c r="G151" s="8">
        <x:f t="shared" si="7"/>
        <x:v>0.35170000000000001</x:v>
      </x:c>
      <x:c r="H151" s="9">
        <x:f t="shared" si="6"/>
        <x:v>0.10008529997156668</x:v>
      </x:c>
      <x:c r="I151" s="2" t="s">
        <x:v>36</x:v>
      </x:c>
      <x:c r="J151" s="2" t="str">
        <x:v>Its documented demersal coastal/estuarine ecology, maximum 200 cm TL and Latidae identity satisfy the explicit residual large-demersal criteria. It is not a source Serranidae grouper; groups 25 + 26 cover both stages independently of the catch-age proportions. Model catch proportions provide the split; allocation confidence remains Medium. Northern-shelf 2000s proxy transferred to whole-LME 2019 landings; fixed over 1950–2019.</x:v>
      </x:c>
      <x:c r="K151" s="1"/>
    </x:row>
    <x:row r="152" ht="87" customHeight="1">
      <x:c r="A152" s="2" t="s">
        <x:v>122</x:v>
      </x:c>
      <x:c r="B152" s="2" t="s">
        <x:v>39</x:v>
      </x:c>
      <x:c r="C152" s="2">
        <x:v>25</x:v>
      </x:c>
      <x:c r="D152" s="8">
        <x:v>0.3165</x:v>
      </x:c>
      <x:c r="E152" s="8">
        <x:v>0.14299999999999999</x:v>
      </x:c>
      <x:c r="F152" s="8" t="s">
        <x:v>27</x:v>
      </x:c>
      <x:c r="G152" s="8">
        <x:f t="shared" si="7"/>
        <x:v>0.35170000000000001</x:v>
      </x:c>
      <x:c r="H152" s="9">
        <x:f t="shared" si="6"/>
        <x:v>0.89991470002843332</x:v>
      </x:c>
      <x:c r="I152" s="2" t="s">
        <x:v>36</x:v>
      </x:c>
      <x:c r="J152" s="2" t="str">
        <x:v>The regional marine candidates Lates calcarifer and Psammoperca waigiensis are large (200 and 47 cm TL) with demersal/coastal reef-associated biology. They support residual 25 + 26 as an assumed regional family set, rather than a generic extension to worldwide freshwater Latidae. Model catch proportions provide the split; allocation confidence remains Medium. Northern-shelf 2000s proxy transferred to whole-LME 2019 landings; fixed over 1950–2019.</x:v>
      </x:c>
      <x:c r="K152" s="1"/>
    </x:row>
    <x:row r="153" ht="87" customHeight="1">
      <x:c r="A153" s="2" t="s">
        <x:v>122</x:v>
      </x:c>
      <x:c r="B153" s="2" t="s">
        <x:v>40</x:v>
      </x:c>
      <x:c r="C153" s="2">
        <x:v>26</x:v>
      </x:c>
      <x:c r="D153" s="8">
        <x:v>3.5200000000000002E-2</x:v>
      </x:c>
      <x:c r="E153" s="8">
        <x:v>2.1000000000000001E-2</x:v>
      </x:c>
      <x:c r="F153" s="8" t="s">
        <x:v>27</x:v>
      </x:c>
      <x:c r="G153" s="8">
        <x:f t="shared" si="7"/>
        <x:v>0.35170000000000001</x:v>
      </x:c>
      <x:c r="H153" s="9">
        <x:f t="shared" si="6"/>
        <x:v>0.10008529997156668</x:v>
      </x:c>
      <x:c r="I153" s="2" t="s">
        <x:v>36</x:v>
      </x:c>
      <x:c r="J153" s="2" t="str">
        <x:v>The regional marine candidates Lates calcarifer and Psammoperca waigiensis are large (200 and 47 cm TL) with demersal/coastal reef-associated biology. They support residual 25 + 26 as an assumed regional family set, rather than a generic extension to worldwide freshwater Latidae. Model catch proportions provide the split; allocation confidence remains Medium. Northern-shelf 2000s proxy transferred to whole-LME 2019 landings; fixed over 1950–2019.</x:v>
      </x:c>
      <x:c r="K153" s="1"/>
    </x:row>
    <x:row r="154" ht="102" customHeight="1">
      <x:c r="A154" s="2" t="s">
        <x:v>123</x:v>
      </x:c>
      <x:c r="B154" s="2" t="s">
        <x:v>35</x:v>
      </x:c>
      <x:c r="C154" s="2">
        <x:v>30</x:v>
      </x:c>
      <x:c r="D154" s="8">
        <x:v>0.73839999999999995</x:v>
      </x:c>
      <x:c r="E154" s="8">
        <x:v>0.28899999999999998</x:v>
      </x:c>
      <x:c r="F154" s="8" t="s">
        <x:v>27</x:v>
      </x:c>
      <x:c r="G154" s="8">
        <x:f t="shared" si="7"/>
        <x:v>0.82050000000000001</x:v>
      </x:c>
      <x:c r="H154" s="9">
        <x:f t="shared" si="6"/>
        <x:v>0.89993906154783665</x:v>
      </x:c>
      <x:c r="I154" s="2" t="s">
        <x:v>36</x:v>
      </x:c>
      <x:c r="J154" s="2" t="str">
        <x:v>Escolar is principally a continental-slope fish below 200 m with upward night movements. The adopted shelf large-pelagic pair remains a weak analogue; a competing benthopelagic interpretation and the missing deep-water compartment are unresolved. Model catch proportions provide the split; allocation confidence remains Medium. Assumed composition is fixed across 1950–2019 and landings, total catch and discards; source model is a 2000s northern shelf representation.</x:v>
      </x:c>
      <x:c r="K154" s="1"/>
    </x:row>
    <x:row r="155" ht="102" customHeight="1">
      <x:c r="A155" s="2" t="s">
        <x:v>123</x:v>
      </x:c>
      <x:c r="B155" s="2" t="s">
        <x:v>37</x:v>
      </x:c>
      <x:c r="C155" s="2">
        <x:v>31</x:v>
      </x:c>
      <x:c r="D155" s="8">
        <x:v>8.2100000000000006E-2</x:v>
      </x:c>
      <x:c r="E155" s="8">
        <x:v>7.9000000000000001E-2</x:v>
      </x:c>
      <x:c r="F155" s="8" t="s">
        <x:v>27</x:v>
      </x:c>
      <x:c r="G155" s="8">
        <x:f t="shared" si="7"/>
        <x:v>0.82050000000000001</x:v>
      </x:c>
      <x:c r="H155" s="9">
        <x:f t="shared" si="6"/>
        <x:v>0.10006093845216332</x:v>
      </x:c>
      <x:c r="I155" s="2" t="s">
        <x:v>36</x:v>
      </x:c>
      <x:c r="J155" s="2" t="str">
        <x:v>Escolar is principally a continental-slope fish below 200 m with upward night movements. The adopted shelf large-pelagic pair remains a weak analogue; a competing benthopelagic interpretation and the missing deep-water compartment are unresolved. Model catch proportions provide the split; allocation confidence remains Medium. Assumed composition is fixed across 1950–2019 and landings, total catch and discards; source model is a 2000s northern shelf representation.</x:v>
      </x:c>
      <x:c r="K155" s="1"/>
    </x:row>
    <x:row r="156" ht="87" customHeight="1">
      <x:c r="A156" s="2" t="s">
        <x:v>124</x:v>
      </x:c>
      <x:c r="B156" s="2" t="s">
        <x:v>39</x:v>
      </x:c>
      <x:c r="C156" s="2">
        <x:v>25</x:v>
      </x:c>
      <x:c r="D156" s="8">
        <x:v>0.3165</x:v>
      </x:c>
      <x:c r="E156" s="8">
        <x:v>0.14299999999999999</x:v>
      </x:c>
      <x:c r="F156" s="8" t="s">
        <x:v>27</x:v>
      </x:c>
      <x:c r="G156" s="8">
        <x:f t="shared" si="7"/>
        <x:v>0.35170000000000001</x:v>
      </x:c>
      <x:c r="H156" s="9">
        <x:f t="shared" si="6"/>
        <x:v>0.89991470002843332</x:v>
      </x:c>
      <x:c r="I156" s="2" t="s">
        <x:v>36</x:v>
      </x:c>
      <x:c r="J156" s="2" t="str">
        <x:v>The family contains the small bottom-associated Lethrinus variegatus (reported 20 cm TL) and large L. miniatus (90 cm TL), so 25 + 26 alone omit a supported small-species group. Emperors are not automatically the dedicated Lutjanidae snappers. Model catch proportions provide the split; allocation confidence remains Medium. Northern-shelf 2000s proxy transferred to whole-LME 2019 landings; fixed over 1950–2019.</x:v>
      </x:c>
      <x:c r="K156" s="1"/>
    </x:row>
    <x:row r="157" ht="87" customHeight="1">
      <x:c r="A157" s="2" t="s">
        <x:v>124</x:v>
      </x:c>
      <x:c r="B157" s="2" t="s">
        <x:v>40</x:v>
      </x:c>
      <x:c r="C157" s="2">
        <x:v>26</x:v>
      </x:c>
      <x:c r="D157" s="8">
        <x:v>3.5200000000000002E-2</x:v>
      </x:c>
      <x:c r="E157" s="8">
        <x:v>2.1000000000000001E-2</x:v>
      </x:c>
      <x:c r="F157" s="8" t="s">
        <x:v>27</x:v>
      </x:c>
      <x:c r="G157" s="8">
        <x:f t="shared" si="7"/>
        <x:v>0.35170000000000001</x:v>
      </x:c>
      <x:c r="H157" s="9">
        <x:f t="shared" si="6"/>
        <x:v>0.10008529997156668</x:v>
      </x:c>
      <x:c r="I157" s="2" t="s">
        <x:v>36</x:v>
      </x:c>
      <x:c r="J157" s="2" t="str">
        <x:v>The family contains the small bottom-associated Lethrinus variegatus (reported 20 cm TL) and large L. miniatus (90 cm TL), so 25 + 26 alone omit a supported small-species group. Emperors are not automatically the dedicated Lutjanidae snappers. Model catch proportions provide the split; allocation confidence remains Medium. Northern-shelf 2000s proxy transferred to whole-LME 2019 landings; fixed over 1950–2019.</x:v>
      </x:c>
      <x:c r="K157" s="1"/>
    </x:row>
    <x:row r="158" ht="87" customHeight="1">
      <x:c r="A158" s="2" t="s">
        <x:v>125</x:v>
      </x:c>
      <x:c r="B158" s="2" t="s">
        <x:v>39</x:v>
      </x:c>
      <x:c r="C158" s="2">
        <x:v>25</x:v>
      </x:c>
      <x:c r="D158" s="8">
        <x:v>0.3165</x:v>
      </x:c>
      <x:c r="E158" s="8">
        <x:v>0.14299999999999999</x:v>
      </x:c>
      <x:c r="F158" s="8" t="s">
        <x:v>27</x:v>
      </x:c>
      <x:c r="G158" s="8">
        <x:f t="shared" si="7"/>
        <x:v>0.35170000000000001</x:v>
      </x:c>
      <x:c r="H158" s="9">
        <x:f t="shared" si="6"/>
        <x:v>0.89991470002843332</x:v>
      </x:c>
      <x:c r="I158" s="2" t="s">
        <x:v>36</x:v>
      </x:c>
      <x:c r="J158" s="2" t="str">
        <x:v>Reported maxima of regional L. variegatus 20 cm TL and L. miniatus 90 cm TL show that the genus cannot be treated as wholly large. Current 25 + 26 omits a small-species candidate; demersal behavior itself is well supported. Model catch proportions provide the split; allocation confidence remains Medium. Northern-shelf 2000s proxy transferred to whole-LME 2019 landings; fixed over 1950–2019.</x:v>
      </x:c>
      <x:c r="K158" s="1"/>
    </x:row>
    <x:row r="159" ht="87" customHeight="1">
      <x:c r="A159" s="2" t="s">
        <x:v>125</x:v>
      </x:c>
      <x:c r="B159" s="2" t="s">
        <x:v>40</x:v>
      </x:c>
      <x:c r="C159" s="2">
        <x:v>26</x:v>
      </x:c>
      <x:c r="D159" s="8">
        <x:v>3.5200000000000002E-2</x:v>
      </x:c>
      <x:c r="E159" s="8">
        <x:v>2.1000000000000001E-2</x:v>
      </x:c>
      <x:c r="F159" s="8" t="s">
        <x:v>27</x:v>
      </x:c>
      <x:c r="G159" s="8">
        <x:f t="shared" si="7"/>
        <x:v>0.35170000000000001</x:v>
      </x:c>
      <x:c r="H159" s="9">
        <x:f t="shared" si="6"/>
        <x:v>0.10008529997156668</x:v>
      </x:c>
      <x:c r="I159" s="2" t="s">
        <x:v>36</x:v>
      </x:c>
      <x:c r="J159" s="2" t="str">
        <x:v>Reported maxima of regional L. variegatus 20 cm TL and L. miniatus 90 cm TL show that the genus cannot be treated as wholly large. Current 25 + 26 omits a small-species candidate; demersal behavior itself is well supported. Model catch proportions provide the split; allocation confidence remains Medium. Northern-shelf 2000s proxy transferred to whole-LME 2019 landings; fixed over 1950–2019.</x:v>
      </x:c>
      <x:c r="K159" s="1"/>
    </x:row>
    <x:row r="160" ht="117" customHeight="1">
      <x:c r="A160" s="2" t="s">
        <x:v>126</x:v>
      </x:c>
      <x:c r="B160" s="2" t="s">
        <x:v>39</x:v>
      </x:c>
      <x:c r="C160" s="2">
        <x:v>25</x:v>
      </x:c>
      <x:c r="D160" s="8">
        <x:v>0.3165</x:v>
      </x:c>
      <x:c r="E160" s="8">
        <x:v>0.14299999999999999</x:v>
      </x:c>
      <x:c r="F160" s="8" t="s">
        <x:v>27</x:v>
      </x:c>
      <x:c r="G160" s="8">
        <x:f t="shared" si="7"/>
        <x:v>0.35170000000000001</x:v>
      </x:c>
      <x:c r="H160" s="9">
        <x:f t="shared" si="6"/>
        <x:v>0.89991470002843332</x:v>
      </x:c>
      <x:c r="I160" s="2" t="s">
        <x:v>36</x:v>
      </x:c>
      <x:c r="J160" s="2" t="str">
        <x:v>Maximum 90 cm TL and direct behavior—reef shelter followed by feeding over the sandy sea floor—support residual 25 + 26. Reef association and juvenile nursery movements do not create an unresolved species-maximum class. Medium reflects interpreting substrate-associated reef/inshore biology as included in the source residual demersal boundary, which does not explicitly discuss reef fishes. Model catch proportions provide the split; allocation confidence remains Medium. Northern-shelf 2000s proxy transferred to whole-LME 2019 landings; fixed over 1950–2019.</x:v>
      </x:c>
      <x:c r="K160" s="1"/>
    </x:row>
    <x:row r="161" ht="117" customHeight="1">
      <x:c r="A161" s="2" t="s">
        <x:v>126</x:v>
      </x:c>
      <x:c r="B161" s="2" t="s">
        <x:v>40</x:v>
      </x:c>
      <x:c r="C161" s="2">
        <x:v>26</x:v>
      </x:c>
      <x:c r="D161" s="8">
        <x:v>3.5200000000000002E-2</x:v>
      </x:c>
      <x:c r="E161" s="8">
        <x:v>2.1000000000000001E-2</x:v>
      </x:c>
      <x:c r="F161" s="8" t="s">
        <x:v>27</x:v>
      </x:c>
      <x:c r="G161" s="8">
        <x:f t="shared" si="7"/>
        <x:v>0.35170000000000001</x:v>
      </x:c>
      <x:c r="H161" s="9">
        <x:f t="shared" si="6"/>
        <x:v>0.10008529997156668</x:v>
      </x:c>
      <x:c r="I161" s="2" t="s">
        <x:v>36</x:v>
      </x:c>
      <x:c r="J161" s="2" t="str">
        <x:v>Maximum 90 cm TL and direct behavior—reef shelter followed by feeding over the sandy sea floor—support residual 25 + 26. Reef association and juvenile nursery movements do not create an unresolved species-maximum class. Medium reflects interpreting substrate-associated reef/inshore biology as included in the source residual demersal boundary, which does not explicitly discuss reef fishes. Model catch proportions provide the split; allocation confidence remains Medium. Northern-shelf 2000s proxy transferred to whole-LME 2019 landings; fixed over 1950–2019.</x:v>
      </x:c>
      <x:c r="K161" s="1"/>
    </x:row>
    <x:row r="162" ht="87" customHeight="1">
      <x:c r="A162" s="2" t="s">
        <x:v>127</x:v>
      </x:c>
      <x:c r="B162" s="2" t="s">
        <x:v>35</x:v>
      </x:c>
      <x:c r="C162" s="2">
        <x:v>30</x:v>
      </x:c>
      <x:c r="D162" s="8">
        <x:v>0.73839999999999995</x:v>
      </x:c>
      <x:c r="E162" s="8">
        <x:v>0.28899999999999998</x:v>
      </x:c>
      <x:c r="F162" s="8" t="s">
        <x:v>27</x:v>
      </x:c>
      <x:c r="G162" s="8">
        <x:f t="shared" si="7"/>
        <x:v>0.82050000000000001</x:v>
      </x:c>
      <x:c r="H162" s="9">
        <x:f t="shared" si="6"/>
        <x:v>0.89993906154783665</x:v>
      </x:c>
      <x:c r="I162" s="2" t="s">
        <x:v>36</x:v>
      </x:c>
      <x:c r="J162" s="2" t="str">
        <x:v>The raw label specifies blue marlins, which are large epipelagic fishes. Their membership in the source's residual large-pelagic pair is supported; historical generic transfers do not alter this shared guild. Model catch proportions provide the split; allocation confidence remains Medium. Assumed composition is fixed across 1950–2019 and landings, total catch and discards; source model is a 2000s northern shelf representation.</x:v>
      </x:c>
      <x:c r="K162" s="1"/>
    </x:row>
    <x:row r="163" ht="87" customHeight="1">
      <x:c r="A163" s="2" t="s">
        <x:v>127</x:v>
      </x:c>
      <x:c r="B163" s="2" t="s">
        <x:v>37</x:v>
      </x:c>
      <x:c r="C163" s="2">
        <x:v>31</x:v>
      </x:c>
      <x:c r="D163" s="8">
        <x:v>8.2100000000000006E-2</x:v>
      </x:c>
      <x:c r="E163" s="8">
        <x:v>7.9000000000000001E-2</x:v>
      </x:c>
      <x:c r="F163" s="8" t="s">
        <x:v>27</x:v>
      </x:c>
      <x:c r="G163" s="8">
        <x:f t="shared" si="7"/>
        <x:v>0.82050000000000001</x:v>
      </x:c>
      <x:c r="H163" s="9">
        <x:f t="shared" si="6"/>
        <x:v>0.10006093845216332</x:v>
      </x:c>
      <x:c r="I163" s="2" t="s">
        <x:v>36</x:v>
      </x:c>
      <x:c r="J163" s="2" t="str">
        <x:v>The raw label specifies blue marlins, which are large epipelagic fishes. Their membership in the source's residual large-pelagic pair is supported; historical generic transfers do not alter this shared guild. Model catch proportions provide the split; allocation confidence remains Medium. Assumed composition is fixed across 1950–2019 and landings, total catch and discards; source model is a 2000s northern shelf representation.</x:v>
      </x:c>
      <x:c r="K163" s="1"/>
    </x:row>
    <x:row r="164" ht="102" customHeight="1">
      <x:c r="A164" s="2" t="s">
        <x:v>128</x:v>
      </x:c>
      <x:c r="B164" s="2" t="s">
        <x:v>35</x:v>
      </x:c>
      <x:c r="C164" s="2">
        <x:v>30</x:v>
      </x:c>
      <x:c r="D164" s="8">
        <x:v>0.73839999999999995</x:v>
      </x:c>
      <x:c r="E164" s="8">
        <x:v>0.28899999999999998</x:v>
      </x:c>
      <x:c r="F164" s="8" t="s">
        <x:v>27</x:v>
      </x:c>
      <x:c r="G164" s="8">
        <x:f t="shared" si="7"/>
        <x:v>0.82050000000000001</x:v>
      </x:c>
      <x:c r="H164" s="9">
        <x:f t="shared" si="6"/>
        <x:v>0.89993906154783665</x:v>
      </x:c>
      <x:c r="I164" s="2" t="s">
        <x:v>36</x:v>
      </x:c>
      <x:c r="J164" s="2" t="str">
        <x:v>Indo-Pacific blue marlin has verified size above 30 cm and epipelagic ecology, satisfying the explicit residual large-pelagic criteria. Whether M. mazara is separate from or included in M. nigricans does not alter eligibility in groups 30+31; retain the original catch name. Model catch proportions provide the split; allocation confidence remains Medium. Assumed composition is fixed across 1950–2019 and landings, total catch and discards; source model is a 2000s northern shelf representation.</x:v>
      </x:c>
      <x:c r="K164" s="1"/>
    </x:row>
    <x:row r="165" ht="102" customHeight="1">
      <x:c r="A165" s="2" t="s">
        <x:v>128</x:v>
      </x:c>
      <x:c r="B165" s="2" t="s">
        <x:v>37</x:v>
      </x:c>
      <x:c r="C165" s="2">
        <x:v>31</x:v>
      </x:c>
      <x:c r="D165" s="8">
        <x:v>8.2100000000000006E-2</x:v>
      </x:c>
      <x:c r="E165" s="8">
        <x:v>7.9000000000000001E-2</x:v>
      </x:c>
      <x:c r="F165" s="8" t="s">
        <x:v>27</x:v>
      </x:c>
      <x:c r="G165" s="8">
        <x:f t="shared" si="7"/>
        <x:v>0.82050000000000001</x:v>
      </x:c>
      <x:c r="H165" s="9">
        <x:f t="shared" si="6"/>
        <x:v>0.10006093845216332</x:v>
      </x:c>
      <x:c r="I165" s="2" t="s">
        <x:v>36</x:v>
      </x:c>
      <x:c r="J165" s="2" t="str">
        <x:v>Indo-Pacific blue marlin has verified size above 30 cm and epipelagic ecology, satisfying the explicit residual large-pelagic criteria. Whether M. mazara is separate from or included in M. nigricans does not alter eligibility in groups 30+31; retain the original catch name. Model catch proportions provide the split; allocation confidence remains Medium. Assumed composition is fixed across 1950–2019 and landings, total catch and discards; source model is a 2000s northern shelf representation.</x:v>
      </x:c>
      <x:c r="K165" s="1"/>
    </x:row>
    <x:row r="166" ht="72" customHeight="1">
      <x:c r="A166" s="2" t="s">
        <x:v>129</x:v>
      </x:c>
      <x:c r="B166" s="2" t="s">
        <x:v>80</x:v>
      </x:c>
      <x:c r="C166" s="2">
        <x:v>3</x:v>
      </x:c>
      <x:c r="D166" s="8">
        <x:v>9.4799999999999995E-2</x:v>
      </x:c>
      <x:c r="E166" s="8">
        <x:v>9</x:v>
      </x:c>
      <x:c r="F166" s="8" t="s">
        <x:v>27</x:v>
      </x:c>
      <x:c r="G166" s="8">
        <x:f t="shared" si="7"/>
        <x:v>1.0124</x:v>
      </x:c>
      <x:c r="H166" s="9">
        <x:f t="shared" si="6"/>
        <x:v>9.3638877913868032E-2</x:v>
      </x:c>
      <x:c r="I166" s="2" t="s">
        <x:v>36</x:v>
      </x:c>
      <x:c r="J166" s="2" t="str">
        <x:v>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 </x:v>
      </x:c>
      <x:c r="K166" s="1"/>
    </x:row>
    <x:row r="167" ht="72" customHeight="1">
      <x:c r="A167" s="2" t="s">
        <x:v>129</x:v>
      </x:c>
      <x:c r="B167" s="2" t="s">
        <x:v>81</x:v>
      </x:c>
      <x:c r="C167" s="2">
        <x:v>7</x:v>
      </x:c>
      <x:c r="D167" s="8">
        <x:v>3.9100000000000003E-2</x:v>
      </x:c>
      <x:c r="E167" s="8">
        <x:v>1.43</x:v>
      </x:c>
      <x:c r="F167" s="8" t="s">
        <x:v>27</x:v>
      </x:c>
      <x:c r="G167" s="8">
        <x:f t="shared" si="7"/>
        <x:v>1.0124</x:v>
      </x:c>
      <x:c r="H167" s="9">
        <x:f t="shared" si="6"/>
        <x:v>3.8621098380086927E-2</x:v>
      </x:c>
      <x:c r="I167" s="2" t="s">
        <x:v>36</x:v>
      </x:c>
      <x:c r="J167" s="2" t="str">
        <x:v>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 </x:v>
      </x:c>
      <x:c r="K167" s="1"/>
    </x:row>
    <x:row r="168" ht="72" customHeight="1">
      <x:c r="A168" s="2" t="s">
        <x:v>129</x:v>
      </x:c>
      <x:c r="B168" s="2" t="s">
        <x:v>82</x:v>
      </x:c>
      <x:c r="C168" s="2">
        <x:v>10</x:v>
      </x:c>
      <x:c r="D168" s="8">
        <x:v>0.67879999999999996</x:v>
      </x:c>
      <x:c r="E168" s="8">
        <x:v>0.19400000000000001</x:v>
      </x:c>
      <x:c r="F168" s="8" t="s">
        <x:v>27</x:v>
      </x:c>
      <x:c r="G168" s="8">
        <x:f t="shared" si="7"/>
        <x:v>1.0124</x:v>
      </x:c>
      <x:c r="H168" s="9">
        <x:f t="shared" si="6"/>
        <x:v>0.67048597392335041</x:v>
      </x:c>
      <x:c r="I168" s="2" t="s">
        <x:v>36</x:v>
      </x:c>
      <x:c r="J168" s="2" t="str">
        <x:v>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 </x:v>
      </x:c>
      <x:c r="K168" s="1"/>
    </x:row>
    <x:row r="169" ht="72" customHeight="1">
      <x:c r="A169" s="2" t="s">
        <x:v>129</x:v>
      </x:c>
      <x:c r="B169" s="2" t="s">
        <x:v>83</x:v>
      </x:c>
      <x:c r="C169" s="2">
        <x:v>11</x:v>
      </x:c>
      <x:c r="D169" s="8">
        <x:v>0.19969999999999999</x:v>
      </x:c>
      <x:c r="E169" s="8">
        <x:v>0.36799999999999999</x:v>
      </x:c>
      <x:c r="F169" s="8" t="s">
        <x:v>27</x:v>
      </x:c>
      <x:c r="G169" s="8">
        <x:f t="shared" si="7"/>
        <x:v>1.0124</x:v>
      </x:c>
      <x:c r="H169" s="9">
        <x:f t="shared" si="6"/>
        <x:v>0.19725404978269459</x:v>
      </x:c>
      <x:c r="I169" s="2" t="s">
        <x:v>36</x:v>
      </x:c>
      <x:c r="J169" s="2" t="str">
        <x:v>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 </x:v>
      </x:c>
      <x:c r="K169" s="1"/>
    </x:row>
    <x:row r="170" ht="102" customHeight="1">
      <x:c r="A170" s="2" t="s">
        <x:v>130</x:v>
      </x:c>
      <x:c r="B170" s="2" t="s">
        <x:v>131</x:v>
      </x:c>
      <x:c r="C170" s="2">
        <x:v>13</x:v>
      </x:c>
      <x:c r="D170" s="8">
        <x:v>0.65700000000000003</x:v>
      </x:c>
      <x:c r="E170" s="8">
        <x:v>0.26</x:v>
      </x:c>
      <x:c r="F170" s="8" t="s">
        <x:v>27</x:v>
      </x:c>
      <x:c r="G170" s="8">
        <x:f t="shared" si="7"/>
        <x:v>5.6348000000000003</x:v>
      </x:c>
      <x:c r="H170" s="9">
        <x:f t="shared" si="6"/>
        <x:v>0.1165968623553631</x:v>
      </x:c>
      <x:c r="I170" s="2" t="s">
        <x:v>36</x:v>
      </x:c>
      <x:c r="J170"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70" s="1"/>
    </x:row>
    <x:row r="171" ht="102" customHeight="1">
      <x:c r="A171" s="2" t="s">
        <x:v>130</x:v>
      </x:c>
      <x:c r="B171" s="2" t="s">
        <x:v>132</x:v>
      </x:c>
      <x:c r="C171" s="2">
        <x:v>14</x:v>
      </x:c>
      <x:c r="D171" s="8">
        <x:v>0.20599999999999999</x:v>
      </x:c>
      <x:c r="E171" s="8">
        <x:v>0.13</x:v>
      </x:c>
      <x:c r="F171" s="8" t="s">
        <x:v>27</x:v>
      </x:c>
      <x:c r="G171" s="8">
        <x:f t="shared" si="7"/>
        <x:v>5.6348000000000003</x:v>
      </x:c>
      <x:c r="H171" s="9">
        <x:f t="shared" si="6"/>
        <x:v>3.6558529140342154E-2</x:v>
      </x:c>
      <x:c r="I171" s="2" t="s">
        <x:v>36</x:v>
      </x:c>
      <x:c r="J171"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71" s="1"/>
    </x:row>
    <x:row r="172" ht="102" customHeight="1">
      <x:c r="A172" s="2" t="s">
        <x:v>130</x:v>
      </x:c>
      <x:c r="B172" s="2" t="s">
        <x:v>133</x:v>
      </x:c>
      <x:c r="C172" s="2">
        <x:v>15</x:v>
      </x:c>
      <x:c r="D172" s="8">
        <x:v>2.3400000000000001E-2</x:v>
      </x:c>
      <x:c r="E172" s="8">
        <x:v>3.2000000000000001E-2</x:v>
      </x:c>
      <x:c r="F172" s="8" t="s">
        <x:v>27</x:v>
      </x:c>
      <x:c r="G172" s="8">
        <x:f t="shared" si="7"/>
        <x:v>5.6348000000000003</x:v>
      </x:c>
      <x:c r="H172" s="9" t="n">
        <x:f t="shared" ref="H172:H235" si="8">D172/G172</x:f>
        <x:v>0.004152764960601974</x:v>
      </x:c>
      <x:c r="I172" s="2" t="s">
        <x:v>36</x:v>
      </x:c>
      <x:c r="J172"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72" s="1"/>
    </x:row>
    <x:row r="173" ht="102" customHeight="1">
      <x:c r="A173" s="2" t="s">
        <x:v>130</x:v>
      </x:c>
      <x:c r="B173" s="2" t="s">
        <x:v>134</x:v>
      </x:c>
      <x:c r="C173" s="2">
        <x:v>16</x:v>
      </x:c>
      <x:c r="D173" s="8">
        <x:v>2.8000000000000001E-2</x:v>
      </x:c>
      <x:c r="E173" s="8">
        <x:v>1.4999999999999999E-2</x:v>
      </x:c>
      <x:c r="F173" s="8" t="s">
        <x:v>27</x:v>
      </x:c>
      <x:c r="G173" s="8">
        <x:f t="shared" si="7"/>
        <x:v>5.6348000000000003</x:v>
      </x:c>
      <x:c r="H173" s="9">
        <x:f t="shared" si="8"/>
        <x:v>4.9691204656775751E-3</x:v>
      </x:c>
      <x:c r="I173" s="2" t="s">
        <x:v>36</x:v>
      </x:c>
      <x:c r="J173"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73" s="1"/>
    </x:row>
    <x:row r="174" ht="102" customHeight="1">
      <x:c r="A174" s="2" t="s">
        <x:v>130</x:v>
      </x:c>
      <x:c r="B174" s="2" t="s">
        <x:v>135</x:v>
      </x:c>
      <x:c r="C174" s="2">
        <x:v>17</x:v>
      </x:c>
      <x:c r="D174" s="8">
        <x:v>7.1999999999999998E-3</x:v>
      </x:c>
      <x:c r="E174" s="8">
        <x:v>1.2E-2</x:v>
      </x:c>
      <x:c r="F174" s="8" t="s">
        <x:v>27</x:v>
      </x:c>
      <x:c r="G174" s="8">
        <x:f t="shared" si="7"/>
        <x:v>5.6348000000000003</x:v>
      </x:c>
      <x:c r="H174" s="9">
        <x:f t="shared" si="8"/>
        <x:v>1.2777738340313764E-3</x:v>
      </x:c>
      <x:c r="I174" s="2" t="s">
        <x:v>36</x:v>
      </x:c>
      <x:c r="J174"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74" s="1"/>
    </x:row>
    <x:row r="175" ht="102" customHeight="1">
      <x:c r="A175" s="2" t="s">
        <x:v>130</x:v>
      </x:c>
      <x:c r="B175" s="2" t="s">
        <x:v>136</x:v>
      </x:c>
      <x:c r="C175" s="2">
        <x:v>18</x:v>
      </x:c>
      <x:c r="D175" s="8">
        <x:v>0.23899999999999999</x:v>
      </x:c>
      <x:c r="E175" s="8">
        <x:v>0.108</x:v>
      </x:c>
      <x:c r="F175" s="8" t="s">
        <x:v>27</x:v>
      </x:c>
      <x:c r="G175" s="8">
        <x:f t="shared" si="7"/>
        <x:v>5.6348000000000003</x:v>
      </x:c>
      <x:c r="H175" s="9">
        <x:f t="shared" si="8"/>
        <x:v>4.2414992546319301E-2</x:v>
      </x:c>
      <x:c r="I175" s="2" t="s">
        <x:v>36</x:v>
      </x:c>
      <x:c r="J175"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75" s="1"/>
    </x:row>
    <x:row r="176" ht="102" customHeight="1">
      <x:c r="A176" s="2" t="s">
        <x:v>130</x:v>
      </x:c>
      <x:c r="B176" s="2" t="s">
        <x:v>137</x:v>
      </x:c>
      <x:c r="C176" s="2">
        <x:v>19</x:v>
      </x:c>
      <x:c r="D176" s="8">
        <x:v>1.1000000000000001E-3</x:v>
      </x:c>
      <x:c r="E176" s="8">
        <x:v>1.2999999999999999E-3</x:v>
      </x:c>
      <x:c r="F176" s="8" t="s">
        <x:v>27</x:v>
      </x:c>
      <x:c r="G176" s="8">
        <x:f t="shared" si="7"/>
        <x:v>5.6348000000000003</x:v>
      </x:c>
      <x:c r="H176" s="9">
        <x:f t="shared" si="8"/>
        <x:v>1.9521544686590473E-4</x:v>
      </x:c>
      <x:c r="I176" s="2" t="s">
        <x:v>36</x:v>
      </x:c>
      <x:c r="J176"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76" s="1"/>
    </x:row>
    <x:row r="177" ht="102" customHeight="1">
      <x:c r="A177" s="2" t="s">
        <x:v>130</x:v>
      </x:c>
      <x:c r="B177" s="2" t="s">
        <x:v>138</x:v>
      </x:c>
      <x:c r="C177" s="2">
        <x:v>20</x:v>
      </x:c>
      <x:c r="D177" s="8">
        <x:v>8.8999999999999999E-3</x:v>
      </x:c>
      <x:c r="E177" s="8">
        <x:v>6.4000000000000003E-3</x:v>
      </x:c>
      <x:c r="F177" s="8" t="s">
        <x:v>27</x:v>
      </x:c>
      <x:c r="G177" s="8">
        <x:f t="shared" si="7"/>
        <x:v>5.6348000000000003</x:v>
      </x:c>
      <x:c r="H177" s="9">
        <x:f t="shared" si="8"/>
        <x:v>1.5794704337332292E-3</x:v>
      </x:c>
      <x:c r="I177" s="2" t="s">
        <x:v>36</x:v>
      </x:c>
      <x:c r="J177"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77" s="1"/>
    </x:row>
    <x:row r="178" ht="102" customHeight="1">
      <x:c r="A178" s="2" t="s">
        <x:v>130</x:v>
      </x:c>
      <x:c r="B178" s="2" t="s">
        <x:v>139</x:v>
      </x:c>
      <x:c r="C178" s="2">
        <x:v>21</x:v>
      </x:c>
      <x:c r="D178" s="8">
        <x:v>3.5099999999999999E-2</x:v>
      </x:c>
      <x:c r="E178" s="8">
        <x:v>7.0000000000000007E-2</x:v>
      </x:c>
      <x:c r="F178" s="8" t="s">
        <x:v>27</x:v>
      </x:c>
      <x:c r="G178" s="8">
        <x:f t="shared" si="7"/>
        <x:v>5.6348000000000003</x:v>
      </x:c>
      <x:c r="H178" s="9">
        <x:f t="shared" si="8"/>
        <x:v>6.22914744090296E-3</x:v>
      </x:c>
      <x:c r="I178" s="2" t="s">
        <x:v>36</x:v>
      </x:c>
      <x:c r="J178"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78" s="1"/>
    </x:row>
    <x:row r="179" ht="102" customHeight="1">
      <x:c r="A179" s="2" t="s">
        <x:v>130</x:v>
      </x:c>
      <x:c r="B179" s="2" t="s">
        <x:v>46</x:v>
      </x:c>
      <x:c r="C179" s="2">
        <x:v>22</x:v>
      </x:c>
      <x:c r="D179" s="8">
        <x:v>7.0999999999999994E-2</x:v>
      </x:c>
      <x:c r="E179" s="8">
        <x:v>0.04</x:v>
      </x:c>
      <x:c r="F179" s="8" t="s">
        <x:v>27</x:v>
      </x:c>
      <x:c r="G179" s="8">
        <x:f t="shared" si="7"/>
        <x:v>5.6348000000000003</x:v>
      </x:c>
      <x:c r="H179" s="9">
        <x:f t="shared" si="8"/>
        <x:v>1.260026975225385E-2</x:v>
      </x:c>
      <x:c r="I179" s="2" t="s">
        <x:v>36</x:v>
      </x:c>
      <x:c r="J179"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79" s="1"/>
    </x:row>
    <x:row r="180" ht="102" customHeight="1">
      <x:c r="A180" s="2" t="s">
        <x:v>130</x:v>
      </x:c>
      <x:c r="B180" s="2" t="s">
        <x:v>47</x:v>
      </x:c>
      <x:c r="C180" s="2">
        <x:v>23</x:v>
      </x:c>
      <x:c r="D180" s="8">
        <x:v>8.0000000000000002E-3</x:v>
      </x:c>
      <x:c r="E180" s="8">
        <x:v>9.4000000000000004E-3</x:v>
      </x:c>
      <x:c r="F180" s="8" t="s">
        <x:v>27</x:v>
      </x:c>
      <x:c r="G180" s="8">
        <x:f t="shared" si="7"/>
        <x:v>5.6348000000000003</x:v>
      </x:c>
      <x:c r="H180" s="9">
        <x:f t="shared" si="8"/>
        <x:v>1.4197487044793071E-3</x:v>
      </x:c>
      <x:c r="I180" s="2" t="s">
        <x:v>36</x:v>
      </x:c>
      <x:c r="J180"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80" s="1"/>
    </x:row>
    <x:row r="181" ht="102" customHeight="1">
      <x:c r="A181" s="2" t="s">
        <x:v>130</x:v>
      </x:c>
      <x:c r="B181" s="2" t="s">
        <x:v>56</x:v>
      </x:c>
      <x:c r="C181" s="2">
        <x:v>24</x:v>
      </x:c>
      <x:c r="D181" s="8">
        <x:v>0.17879999999999999</x:v>
      </x:c>
      <x:c r="E181" s="8">
        <x:v>0.316</x:v>
      </x:c>
      <x:c r="F181" s="8" t="s">
        <x:v>27</x:v>
      </x:c>
      <x:c r="G181" s="8">
        <x:f t="shared" si="7"/>
        <x:v>5.6348000000000003</x:v>
      </x:c>
      <x:c r="H181" s="9">
        <x:f t="shared" si="8"/>
        <x:v>3.1731383545112513E-2</x:v>
      </x:c>
      <x:c r="I181" s="2" t="s">
        <x:v>36</x:v>
      </x:c>
      <x:c r="J181"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81" s="1"/>
    </x:row>
    <x:row r="182" ht="102" customHeight="1">
      <x:c r="A182" s="2" t="s">
        <x:v>130</x:v>
      </x:c>
      <x:c r="B182" s="2" t="s">
        <x:v>39</x:v>
      </x:c>
      <x:c r="C182" s="2">
        <x:v>25</x:v>
      </x:c>
      <x:c r="D182" s="8">
        <x:v>0.3165</x:v>
      </x:c>
      <x:c r="E182" s="8">
        <x:v>0.14299999999999999</x:v>
      </x:c>
      <x:c r="F182" s="8" t="s">
        <x:v>27</x:v>
      </x:c>
      <x:c r="G182" s="8">
        <x:f t="shared" si="7"/>
        <x:v>5.6348000000000003</x:v>
      </x:c>
      <x:c r="H182" s="9">
        <x:f t="shared" si="8"/>
        <x:v>5.6168808120962588E-2</x:v>
      </x:c>
      <x:c r="I182" s="2" t="s">
        <x:v>36</x:v>
      </x:c>
      <x:c r="J182"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82" s="1"/>
    </x:row>
    <x:row r="183" ht="102" customHeight="1">
      <x:c r="A183" s="2" t="s">
        <x:v>130</x:v>
      </x:c>
      <x:c r="B183" s="2" t="s">
        <x:v>40</x:v>
      </x:c>
      <x:c r="C183" s="2">
        <x:v>26</x:v>
      </x:c>
      <x:c r="D183" s="8">
        <x:v>3.5200000000000002E-2</x:v>
      </x:c>
      <x:c r="E183" s="8">
        <x:v>2.1000000000000001E-2</x:v>
      </x:c>
      <x:c r="F183" s="8" t="s">
        <x:v>27</x:v>
      </x:c>
      <x:c r="G183" s="8">
        <x:f t="shared" si="7"/>
        <x:v>5.6348000000000003</x:v>
      </x:c>
      <x:c r="H183" s="9">
        <x:f t="shared" si="8"/>
        <x:v>6.2468942997089515E-3</x:v>
      </x:c>
      <x:c r="I183" s="2" t="s">
        <x:v>36</x:v>
      </x:c>
      <x:c r="J183"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83" s="1"/>
    </x:row>
    <x:row r="184" ht="102" customHeight="1">
      <x:c r="A184" s="2" t="s">
        <x:v>130</x:v>
      </x:c>
      <x:c r="B184" s="2" t="s">
        <x:v>97</x:v>
      </x:c>
      <x:c r="C184" s="2">
        <x:v>27</x:v>
      </x:c>
      <x:c r="D184" s="8">
        <x:v>0.60250000000000004</x:v>
      </x:c>
      <x:c r="E184" s="8">
        <x:v>0.92200000000000004</x:v>
      </x:c>
      <x:c r="F184" s="8" t="s">
        <x:v>27</x:v>
      </x:c>
      <x:c r="G184" s="8">
        <x:f t="shared" si="7"/>
        <x:v>5.6348000000000003</x:v>
      </x:c>
      <x:c r="H184" s="9">
        <x:f t="shared" si="8"/>
        <x:v>0.10692482430609782</x:v>
      </x:c>
      <x:c r="I184" s="2" t="s">
        <x:v>36</x:v>
      </x:c>
      <x:c r="J184"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84" s="1"/>
    </x:row>
    <x:row r="185" ht="102" customHeight="1">
      <x:c r="A185" s="2" t="s">
        <x:v>130</x:v>
      </x:c>
      <x:c r="B185" s="2" t="s">
        <x:v>140</x:v>
      </x:c>
      <x:c r="C185" s="2">
        <x:v>28</x:v>
      </x:c>
      <x:c r="D185" s="8">
        <x:v>4.99E-2</x:v>
      </x:c>
      <x:c r="E185" s="8">
        <x:v>7.0000000000000007E-2</x:v>
      </x:c>
      <x:c r="F185" s="8" t="s">
        <x:v>27</x:v>
      </x:c>
      <x:c r="G185" s="8">
        <x:f t="shared" si="7"/>
        <x:v>5.6348000000000003</x:v>
      </x:c>
      <x:c r="H185" s="9">
        <x:f t="shared" si="8"/>
        <x:v>8.8556825441896778E-3</x:v>
      </x:c>
      <x:c r="I185" s="2" t="s">
        <x:v>36</x:v>
      </x:c>
      <x:c r="J185"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85" s="1"/>
    </x:row>
    <x:row r="186" ht="102" customHeight="1">
      <x:c r="A186" s="2" t="s">
        <x:v>130</x:v>
      </x:c>
      <x:c r="B186" s="2" t="s">
        <x:v>61</x:v>
      </x:c>
      <x:c r="C186" s="2">
        <x:v>29</x:v>
      </x:c>
      <x:c r="D186" s="8">
        <x:v>2.3450000000000002</x:v>
      </x:c>
      <x:c r="E186" s="8">
        <x:v>1.772</x:v>
      </x:c>
      <x:c r="F186" s="8" t="s">
        <x:v>27</x:v>
      </x:c>
      <x:c r="G186" s="8">
        <x:f t="shared" si="7"/>
        <x:v>5.6348000000000003</x:v>
      </x:c>
      <x:c r="H186" s="9">
        <x:f t="shared" si="8"/>
        <x:v>0.41616383900049692</x:v>
      </x:c>
      <x:c r="I186" s="2" t="s">
        <x:v>36</x:v>
      </x:c>
      <x:c r="J186"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86" s="1"/>
    </x:row>
    <x:row r="187" ht="102" customHeight="1">
      <x:c r="A187" s="2" t="s">
        <x:v>130</x:v>
      </x:c>
      <x:c r="B187" s="2" t="s">
        <x:v>35</x:v>
      </x:c>
      <x:c r="C187" s="2">
        <x:v>30</x:v>
      </x:c>
      <x:c r="D187" s="8">
        <x:v>0.73839999999999995</x:v>
      </x:c>
      <x:c r="E187" s="8">
        <x:v>0.28899999999999998</x:v>
      </x:c>
      <x:c r="F187" s="8" t="s">
        <x:v>27</x:v>
      </x:c>
      <x:c r="G187" s="8">
        <x:f t="shared" si="7"/>
        <x:v>5.6348000000000003</x:v>
      </x:c>
      <x:c r="H187" s="9">
        <x:f t="shared" si="8"/>
        <x:v>0.13104280542344005</x:v>
      </x:c>
      <x:c r="I187" s="2" t="s">
        <x:v>36</x:v>
      </x:c>
      <x:c r="J187"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87" s="1"/>
    </x:row>
    <x:row r="188" ht="102" customHeight="1">
      <x:c r="A188" s="2" t="s">
        <x:v>130</x:v>
      </x:c>
      <x:c r="B188" s="2" t="s">
        <x:v>37</x:v>
      </x:c>
      <x:c r="C188" s="2">
        <x:v>31</x:v>
      </x:c>
      <x:c r="D188" s="8">
        <x:v>8.2100000000000006E-2</x:v>
      </x:c>
      <x:c r="E188" s="8">
        <x:v>7.9000000000000001E-2</x:v>
      </x:c>
      <x:c r="F188" s="8" t="s">
        <x:v>27</x:v>
      </x:c>
      <x:c r="G188" s="8">
        <x:f t="shared" si="7"/>
        <x:v>5.6348000000000003</x:v>
      </x:c>
      <x:c r="H188" s="9">
        <x:f t="shared" si="8"/>
        <x:v>1.4570171079718891E-2</x:v>
      </x:c>
      <x:c r="I188" s="2" t="s">
        <x:v>36</x:v>
      </x:c>
      <x:c r="J188"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88" s="1"/>
    </x:row>
    <x:row r="189" ht="102" customHeight="1">
      <x:c r="A189" s="2" t="s">
        <x:v>130</x:v>
      </x:c>
      <x:c r="B189" s="2" t="s">
        <x:v>53</x:v>
      </x:c>
      <x:c r="C189" s="2">
        <x:v>32</x:v>
      </x:c>
      <x:c r="D189" s="8">
        <x:v>1E-3</x:v>
      </x:c>
      <x:c r="E189" s="8">
        <x:v>1E-3</x:v>
      </x:c>
      <x:c r="F189" s="8" t="s">
        <x:v>27</x:v>
      </x:c>
      <x:c r="G189" s="8">
        <x:f t="shared" si="7"/>
        <x:v>5.6348000000000003</x:v>
      </x:c>
      <x:c r="H189" s="9">
        <x:f t="shared" si="8"/>
        <x:v>1.7746858805991339E-4</x:v>
      </x:c>
      <x:c r="I189" s="2" t="s">
        <x:v>36</x:v>
      </x:c>
      <x:c r="J189"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89" s="1"/>
    </x:row>
    <x:row r="190" ht="102" customHeight="1">
      <x:c r="A190" s="2" t="s">
        <x:v>130</x:v>
      </x:c>
      <x:c r="B190" s="2" t="s">
        <x:v>54</x:v>
      </x:c>
      <x:c r="C190" s="2">
        <x:v>33</x:v>
      </x:c>
      <x:c r="D190" s="8">
        <x:v>6.9999999999999999E-4</x:v>
      </x:c>
      <x:c r="E190" s="8">
        <x:v>1.1000000000000001E-3</x:v>
      </x:c>
      <x:c r="F190" s="8" t="s">
        <x:v>27</x:v>
      </x:c>
      <x:c r="G190" s="8">
        <x:f t="shared" si="7"/>
        <x:v>5.6348000000000003</x:v>
      </x:c>
      <x:c r="H190" s="9">
        <x:f t="shared" si="8"/>
        <x:v>1.2422801164193938E-4</x:v>
      </x:c>
      <x:c r="I190" s="2" t="s">
        <x:v>36</x:v>
      </x:c>
      <x:c r="J190" s="2" t="str">
        <x:v>All source fish pools provide a transparent broad approximation. The reporting label does not resolve whether finfishes includes sharks and rays or which unrepresented habitats occur, so the current all-fish set is not a validated inventory. Model catch proportions provide the split; allocation confidence remains Medium. Assumed composition is fixed across 1950–2019 and landings, total catch and discards; source model is a 2000s northern shelf representation.</x:v>
      </x:c>
      <x:c r="K190" s="1"/>
    </x:row>
    <x:row r="191" ht="102" customHeight="1">
      <x:c r="A191" s="2" t="s">
        <x:v>141</x:v>
      </x:c>
      <x:c r="B191" s="2" t="s">
        <x:v>131</x:v>
      </x:c>
      <x:c r="C191" s="2">
        <x:v>13</x:v>
      </x:c>
      <x:c r="D191" s="8">
        <x:v>0.65700000000000003</x:v>
      </x:c>
      <x:c r="E191" s="8">
        <x:v>0.26</x:v>
      </x:c>
      <x:c r="F191" s="8" t="s">
        <x:v>27</x:v>
      </x:c>
      <x:c r="G191" s="8">
        <x:f t="shared" si="7"/>
        <x:v>5.6348000000000003</x:v>
      </x:c>
      <x:c r="H191" s="9">
        <x:f t="shared" si="8"/>
        <x:v>0.1165968623553631</x:v>
      </x:c>
      <x:c r="I191" s="2" t="s">
        <x:v>36</x:v>
      </x:c>
      <x:c r="J191"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191" s="1"/>
    </x:row>
    <x:row r="192" ht="102" customHeight="1">
      <x:c r="A192" s="2" t="s">
        <x:v>141</x:v>
      </x:c>
      <x:c r="B192" s="2" t="s">
        <x:v>132</x:v>
      </x:c>
      <x:c r="C192" s="2">
        <x:v>14</x:v>
      </x:c>
      <x:c r="D192" s="8">
        <x:v>0.20599999999999999</x:v>
      </x:c>
      <x:c r="E192" s="8">
        <x:v>0.13</x:v>
      </x:c>
      <x:c r="F192" s="8" t="s">
        <x:v>27</x:v>
      </x:c>
      <x:c r="G192" s="8">
        <x:f t="shared" si="7"/>
        <x:v>5.6348000000000003</x:v>
      </x:c>
      <x:c r="H192" s="9">
        <x:f t="shared" si="8"/>
        <x:v>3.6558529140342154E-2</x:v>
      </x:c>
      <x:c r="I192" s="2" t="s">
        <x:v>36</x:v>
      </x:c>
      <x:c r="J192"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192" s="1"/>
    </x:row>
    <x:row r="193" ht="102" customHeight="1">
      <x:c r="A193" s="2" t="s">
        <x:v>141</x:v>
      </x:c>
      <x:c r="B193" s="2" t="s">
        <x:v>133</x:v>
      </x:c>
      <x:c r="C193" s="2">
        <x:v>15</x:v>
      </x:c>
      <x:c r="D193" s="8">
        <x:v>2.3400000000000001E-2</x:v>
      </x:c>
      <x:c r="E193" s="8">
        <x:v>3.2000000000000001E-2</x:v>
      </x:c>
      <x:c r="F193" s="8" t="s">
        <x:v>27</x:v>
      </x:c>
      <x:c r="G193" s="8">
        <x:f t="shared" si="7"/>
        <x:v>5.6348000000000003</x:v>
      </x:c>
      <x:c r="H193" s="9">
        <x:f t="shared" si="8"/>
        <x:v>4.1527649606019736E-3</x:v>
      </x:c>
      <x:c r="I193" s="2" t="s">
        <x:v>36</x:v>
      </x:c>
      <x:c r="J193"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193" s="1"/>
    </x:row>
    <x:row r="194" ht="102" customHeight="1">
      <x:c r="A194" s="2" t="s">
        <x:v>141</x:v>
      </x:c>
      <x:c r="B194" s="2" t="s">
        <x:v>134</x:v>
      </x:c>
      <x:c r="C194" s="2">
        <x:v>16</x:v>
      </x:c>
      <x:c r="D194" s="8">
        <x:v>2.8000000000000001E-2</x:v>
      </x:c>
      <x:c r="E194" s="8">
        <x:v>1.4999999999999999E-2</x:v>
      </x:c>
      <x:c r="F194" s="8" t="s">
        <x:v>27</x:v>
      </x:c>
      <x:c r="G194" s="8">
        <x:f t="shared" si="7"/>
        <x:v>5.6348000000000003</x:v>
      </x:c>
      <x:c r="H194" s="9">
        <x:f t="shared" si="8"/>
        <x:v>4.9691204656775751E-3</x:v>
      </x:c>
      <x:c r="I194" s="2" t="s">
        <x:v>36</x:v>
      </x:c>
      <x:c r="J194"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194" s="1"/>
    </x:row>
    <x:row r="195" ht="102" customHeight="1">
      <x:c r="A195" s="2" t="s">
        <x:v>141</x:v>
      </x:c>
      <x:c r="B195" s="2" t="s">
        <x:v>135</x:v>
      </x:c>
      <x:c r="C195" s="2">
        <x:v>17</x:v>
      </x:c>
      <x:c r="D195" s="8">
        <x:v>7.1999999999999998E-3</x:v>
      </x:c>
      <x:c r="E195" s="8">
        <x:v>1.2E-2</x:v>
      </x:c>
      <x:c r="F195" s="8" t="s">
        <x:v>27</x:v>
      </x:c>
      <x:c r="G195" s="8">
        <x:f t="shared" si="7"/>
        <x:v>5.6348000000000003</x:v>
      </x:c>
      <x:c r="H195" s="9">
        <x:f t="shared" si="8"/>
        <x:v>1.2777738340313764E-3</x:v>
      </x:c>
      <x:c r="I195" s="2" t="s">
        <x:v>36</x:v>
      </x:c>
      <x:c r="J195"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195" s="1"/>
    </x:row>
    <x:row r="196" ht="102" customHeight="1">
      <x:c r="A196" s="2" t="s">
        <x:v>141</x:v>
      </x:c>
      <x:c r="B196" s="2" t="s">
        <x:v>136</x:v>
      </x:c>
      <x:c r="C196" s="2">
        <x:v>18</x:v>
      </x:c>
      <x:c r="D196" s="8">
        <x:v>0.23899999999999999</x:v>
      </x:c>
      <x:c r="E196" s="8">
        <x:v>0.108</x:v>
      </x:c>
      <x:c r="F196" s="8" t="s">
        <x:v>27</x:v>
      </x:c>
      <x:c r="G196" s="8">
        <x:f t="shared" si="7"/>
        <x:v>5.6348000000000003</x:v>
      </x:c>
      <x:c r="H196" s="9">
        <x:f t="shared" si="8"/>
        <x:v>4.2414992546319301E-2</x:v>
      </x:c>
      <x:c r="I196" s="2" t="s">
        <x:v>36</x:v>
      </x:c>
      <x:c r="J196"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196" s="1"/>
    </x:row>
    <x:row r="197" ht="102" customHeight="1">
      <x:c r="A197" s="2" t="s">
        <x:v>141</x:v>
      </x:c>
      <x:c r="B197" s="2" t="s">
        <x:v>137</x:v>
      </x:c>
      <x:c r="C197" s="2">
        <x:v>19</x:v>
      </x:c>
      <x:c r="D197" s="8">
        <x:v>1.1000000000000001E-3</x:v>
      </x:c>
      <x:c r="E197" s="8">
        <x:v>1.2999999999999999E-3</x:v>
      </x:c>
      <x:c r="F197" s="8" t="s">
        <x:v>27</x:v>
      </x:c>
      <x:c r="G197" s="8">
        <x:f t="shared" si="7"/>
        <x:v>5.6348000000000003</x:v>
      </x:c>
      <x:c r="H197" s="9">
        <x:f t="shared" si="8"/>
        <x:v>1.9521544686590473E-4</x:v>
      </x:c>
      <x:c r="I197" s="2" t="s">
        <x:v>36</x:v>
      </x:c>
      <x:c r="J197"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197" s="1"/>
    </x:row>
    <x:row r="198" ht="102" customHeight="1">
      <x:c r="A198" s="2" t="s">
        <x:v>141</x:v>
      </x:c>
      <x:c r="B198" s="2" t="s">
        <x:v>138</x:v>
      </x:c>
      <x:c r="C198" s="2">
        <x:v>20</x:v>
      </x:c>
      <x:c r="D198" s="8">
        <x:v>8.8999999999999999E-3</x:v>
      </x:c>
      <x:c r="E198" s="8">
        <x:v>6.4000000000000003E-3</x:v>
      </x:c>
      <x:c r="F198" s="8" t="s">
        <x:v>27</x:v>
      </x:c>
      <x:c r="G198" s="8" t="n">
        <x:f t="shared" ref="G198:G261" si="9">SUMIFS($D$6:$D$449,$A$6:$A$449,A198)</x:f>
        <x:v>5.6348</x:v>
      </x:c>
      <x:c r="H198" s="9">
        <x:f t="shared" si="8"/>
        <x:v>1.5794704337332292E-3</x:v>
      </x:c>
      <x:c r="I198" s="2" t="s">
        <x:v>36</x:v>
      </x:c>
      <x:c r="J198"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198" s="1"/>
    </x:row>
    <x:row r="199" ht="102" customHeight="1">
      <x:c r="A199" s="2" t="s">
        <x:v>141</x:v>
      </x:c>
      <x:c r="B199" s="2" t="s">
        <x:v>139</x:v>
      </x:c>
      <x:c r="C199" s="2">
        <x:v>21</x:v>
      </x:c>
      <x:c r="D199" s="8">
        <x:v>3.5099999999999999E-2</x:v>
      </x:c>
      <x:c r="E199" s="8">
        <x:v>7.0000000000000007E-2</x:v>
      </x:c>
      <x:c r="F199" s="8" t="s">
        <x:v>27</x:v>
      </x:c>
      <x:c r="G199" s="8">
        <x:f t="shared" si="9"/>
        <x:v>5.6348000000000003</x:v>
      </x:c>
      <x:c r="H199" s="9">
        <x:f t="shared" si="8"/>
        <x:v>6.22914744090296E-3</x:v>
      </x:c>
      <x:c r="I199" s="2" t="s">
        <x:v>36</x:v>
      </x:c>
      <x:c r="J199"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199" s="1"/>
    </x:row>
    <x:row r="200" ht="102" customHeight="1">
      <x:c r="A200" s="2" t="s">
        <x:v>141</x:v>
      </x:c>
      <x:c r="B200" s="2" t="s">
        <x:v>46</x:v>
      </x:c>
      <x:c r="C200" s="2">
        <x:v>22</x:v>
      </x:c>
      <x:c r="D200" s="8">
        <x:v>7.0999999999999994E-2</x:v>
      </x:c>
      <x:c r="E200" s="8">
        <x:v>0.04</x:v>
      </x:c>
      <x:c r="F200" s="8" t="s">
        <x:v>27</x:v>
      </x:c>
      <x:c r="G200" s="8">
        <x:f t="shared" si="9"/>
        <x:v>5.6348000000000003</x:v>
      </x:c>
      <x:c r="H200" s="9">
        <x:f t="shared" si="8"/>
        <x:v>1.260026975225385E-2</x:v>
      </x:c>
      <x:c r="I200" s="2" t="s">
        <x:v>36</x:v>
      </x:c>
      <x:c r="J200"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200" s="1"/>
    </x:row>
    <x:row r="201" ht="102" customHeight="1">
      <x:c r="A201" s="2" t="s">
        <x:v>141</x:v>
      </x:c>
      <x:c r="B201" s="2" t="s">
        <x:v>47</x:v>
      </x:c>
      <x:c r="C201" s="2">
        <x:v>23</x:v>
      </x:c>
      <x:c r="D201" s="8">
        <x:v>8.0000000000000002E-3</x:v>
      </x:c>
      <x:c r="E201" s="8">
        <x:v>9.4000000000000004E-3</x:v>
      </x:c>
      <x:c r="F201" s="8" t="s">
        <x:v>27</x:v>
      </x:c>
      <x:c r="G201" s="8">
        <x:f t="shared" si="9"/>
        <x:v>5.6348000000000003</x:v>
      </x:c>
      <x:c r="H201" s="9">
        <x:f t="shared" si="8"/>
        <x:v>1.4197487044793071E-3</x:v>
      </x:c>
      <x:c r="I201" s="2" t="s">
        <x:v>36</x:v>
      </x:c>
      <x:c r="J201"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201" s="1"/>
    </x:row>
    <x:row r="202" ht="102" customHeight="1">
      <x:c r="A202" s="2" t="s">
        <x:v>141</x:v>
      </x:c>
      <x:c r="B202" s="2" t="s">
        <x:v>56</x:v>
      </x:c>
      <x:c r="C202" s="2">
        <x:v>24</x:v>
      </x:c>
      <x:c r="D202" s="8">
        <x:v>0.17879999999999999</x:v>
      </x:c>
      <x:c r="E202" s="8">
        <x:v>0.316</x:v>
      </x:c>
      <x:c r="F202" s="8" t="s">
        <x:v>27</x:v>
      </x:c>
      <x:c r="G202" s="8">
        <x:f t="shared" si="9"/>
        <x:v>5.6348000000000003</x:v>
      </x:c>
      <x:c r="H202" s="9">
        <x:f t="shared" si="8"/>
        <x:v>3.1731383545112513E-2</x:v>
      </x:c>
      <x:c r="I202" s="2" t="s">
        <x:v>36</x:v>
      </x:c>
      <x:c r="J202"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202" s="1"/>
    </x:row>
    <x:row r="203" ht="102" customHeight="1">
      <x:c r="A203" s="2" t="s">
        <x:v>141</x:v>
      </x:c>
      <x:c r="B203" s="2" t="s">
        <x:v>39</x:v>
      </x:c>
      <x:c r="C203" s="2">
        <x:v>25</x:v>
      </x:c>
      <x:c r="D203" s="8">
        <x:v>0.3165</x:v>
      </x:c>
      <x:c r="E203" s="8">
        <x:v>0.14299999999999999</x:v>
      </x:c>
      <x:c r="F203" s="8" t="s">
        <x:v>27</x:v>
      </x:c>
      <x:c r="G203" s="8">
        <x:f t="shared" si="9"/>
        <x:v>5.6348000000000003</x:v>
      </x:c>
      <x:c r="H203" s="9">
        <x:f t="shared" si="8"/>
        <x:v>5.6168808120962588E-2</x:v>
      </x:c>
      <x:c r="I203" s="2" t="s">
        <x:v>36</x:v>
      </x:c>
      <x:c r="J203"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203" s="1"/>
    </x:row>
    <x:row r="204" ht="102" customHeight="1">
      <x:c r="A204" s="2" t="s">
        <x:v>141</x:v>
      </x:c>
      <x:c r="B204" s="2" t="s">
        <x:v>40</x:v>
      </x:c>
      <x:c r="C204" s="2">
        <x:v>26</x:v>
      </x:c>
      <x:c r="D204" s="8">
        <x:v>3.5200000000000002E-2</x:v>
      </x:c>
      <x:c r="E204" s="8">
        <x:v>2.1000000000000001E-2</x:v>
      </x:c>
      <x:c r="F204" s="8" t="s">
        <x:v>27</x:v>
      </x:c>
      <x:c r="G204" s="8">
        <x:f t="shared" si="9"/>
        <x:v>5.6348000000000003</x:v>
      </x:c>
      <x:c r="H204" s="9">
        <x:f t="shared" si="8"/>
        <x:v>6.2468942997089515E-3</x:v>
      </x:c>
      <x:c r="I204" s="2" t="s">
        <x:v>36</x:v>
      </x:c>
      <x:c r="J204"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204" s="1"/>
    </x:row>
    <x:row r="205" ht="102" customHeight="1">
      <x:c r="A205" s="2" t="s">
        <x:v>141</x:v>
      </x:c>
      <x:c r="B205" s="2" t="s">
        <x:v>97</x:v>
      </x:c>
      <x:c r="C205" s="2">
        <x:v>27</x:v>
      </x:c>
      <x:c r="D205" s="8">
        <x:v>0.60250000000000004</x:v>
      </x:c>
      <x:c r="E205" s="8">
        <x:v>0.92200000000000004</x:v>
      </x:c>
      <x:c r="F205" s="8" t="s">
        <x:v>27</x:v>
      </x:c>
      <x:c r="G205" s="8">
        <x:f t="shared" si="9"/>
        <x:v>5.6348000000000003</x:v>
      </x:c>
      <x:c r="H205" s="9">
        <x:f t="shared" si="8"/>
        <x:v>0.10692482430609782</x:v>
      </x:c>
      <x:c r="I205" s="2" t="s">
        <x:v>36</x:v>
      </x:c>
      <x:c r="J205"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205" s="1"/>
    </x:row>
    <x:row r="206" ht="102" customHeight="1">
      <x:c r="A206" s="2" t="s">
        <x:v>141</x:v>
      </x:c>
      <x:c r="B206" s="2" t="s">
        <x:v>140</x:v>
      </x:c>
      <x:c r="C206" s="2">
        <x:v>28</x:v>
      </x:c>
      <x:c r="D206" s="8">
        <x:v>4.99E-2</x:v>
      </x:c>
      <x:c r="E206" s="8">
        <x:v>7.0000000000000007E-2</x:v>
      </x:c>
      <x:c r="F206" s="8" t="s">
        <x:v>27</x:v>
      </x:c>
      <x:c r="G206" s="8">
        <x:f t="shared" si="9"/>
        <x:v>5.6348000000000003</x:v>
      </x:c>
      <x:c r="H206" s="9">
        <x:f t="shared" si="8"/>
        <x:v>8.8556825441896778E-3</x:v>
      </x:c>
      <x:c r="I206" s="2" t="s">
        <x:v>36</x:v>
      </x:c>
      <x:c r="J206"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206" s="1"/>
    </x:row>
    <x:row r="207" ht="102" customHeight="1">
      <x:c r="A207" s="2" t="s">
        <x:v>141</x:v>
      </x:c>
      <x:c r="B207" s="2" t="s">
        <x:v>61</x:v>
      </x:c>
      <x:c r="C207" s="2">
        <x:v>29</x:v>
      </x:c>
      <x:c r="D207" s="8">
        <x:v>2.3450000000000002</x:v>
      </x:c>
      <x:c r="E207" s="8">
        <x:v>1.772</x:v>
      </x:c>
      <x:c r="F207" s="8" t="s">
        <x:v>27</x:v>
      </x:c>
      <x:c r="G207" s="8">
        <x:f t="shared" si="9"/>
        <x:v>5.6348000000000003</x:v>
      </x:c>
      <x:c r="H207" s="9">
        <x:f t="shared" si="8"/>
        <x:v>0.41616383900049692</x:v>
      </x:c>
      <x:c r="I207" s="2" t="s">
        <x:v>36</x:v>
      </x:c>
      <x:c r="J207"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207" s="1"/>
    </x:row>
    <x:row r="208" ht="102" customHeight="1">
      <x:c r="A208" s="2" t="s">
        <x:v>141</x:v>
      </x:c>
      <x:c r="B208" s="2" t="s">
        <x:v>35</x:v>
      </x:c>
      <x:c r="C208" s="2">
        <x:v>30</x:v>
      </x:c>
      <x:c r="D208" s="8">
        <x:v>0.73839999999999995</x:v>
      </x:c>
      <x:c r="E208" s="8">
        <x:v>0.28899999999999998</x:v>
      </x:c>
      <x:c r="F208" s="8" t="s">
        <x:v>27</x:v>
      </x:c>
      <x:c r="G208" s="8">
        <x:f t="shared" si="9"/>
        <x:v>5.6348000000000003</x:v>
      </x:c>
      <x:c r="H208" s="9">
        <x:f t="shared" si="8"/>
        <x:v>0.13104280542344005</x:v>
      </x:c>
      <x:c r="I208" s="2" t="s">
        <x:v>36</x:v>
      </x:c>
      <x:c r="J208"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208" s="1"/>
    </x:row>
    <x:row r="209" ht="102" customHeight="1">
      <x:c r="A209" s="2" t="s">
        <x:v>141</x:v>
      </x:c>
      <x:c r="B209" s="2" t="s">
        <x:v>37</x:v>
      </x:c>
      <x:c r="C209" s="2">
        <x:v>31</x:v>
      </x:c>
      <x:c r="D209" s="8">
        <x:v>8.2100000000000006E-2</x:v>
      </x:c>
      <x:c r="E209" s="8">
        <x:v>7.9000000000000001E-2</x:v>
      </x:c>
      <x:c r="F209" s="8" t="s">
        <x:v>27</x:v>
      </x:c>
      <x:c r="G209" s="8">
        <x:f t="shared" si="9"/>
        <x:v>5.6348000000000003</x:v>
      </x:c>
      <x:c r="H209" s="9">
        <x:f t="shared" si="8"/>
        <x:v>1.4570171079718891E-2</x:v>
      </x:c>
      <x:c r="I209" s="2" t="s">
        <x:v>36</x:v>
      </x:c>
      <x:c r="J209"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209" s="1"/>
    </x:row>
    <x:row r="210" ht="102" customHeight="1">
      <x:c r="A210" s="2" t="s">
        <x:v>141</x:v>
      </x:c>
      <x:c r="B210" s="2" t="s">
        <x:v>53</x:v>
      </x:c>
      <x:c r="C210" s="2">
        <x:v>32</x:v>
      </x:c>
      <x:c r="D210" s="8">
        <x:v>1E-3</x:v>
      </x:c>
      <x:c r="E210" s="8">
        <x:v>1E-3</x:v>
      </x:c>
      <x:c r="F210" s="8" t="s">
        <x:v>27</x:v>
      </x:c>
      <x:c r="G210" s="8">
        <x:f t="shared" si="9"/>
        <x:v>5.6348000000000003</x:v>
      </x:c>
      <x:c r="H210" s="9">
        <x:f t="shared" si="8"/>
        <x:v>1.7746858805991339E-4</x:v>
      </x:c>
      <x:c r="I210" s="2" t="s">
        <x:v>36</x:v>
      </x:c>
      <x:c r="J210"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210" s="1"/>
    </x:row>
    <x:row r="211" ht="102" customHeight="1">
      <x:c r="A211" s="2" t="s">
        <x:v>141</x:v>
      </x:c>
      <x:c r="B211" s="2" t="s">
        <x:v>54</x:v>
      </x:c>
      <x:c r="C211" s="2">
        <x:v>33</x:v>
      </x:c>
      <x:c r="D211" s="8">
        <x:v>6.9999999999999999E-4</x:v>
      </x:c>
      <x:c r="E211" s="8">
        <x:v>1.1000000000000001E-3</x:v>
      </x:c>
      <x:c r="F211" s="8" t="s">
        <x:v>27</x:v>
      </x:c>
      <x:c r="G211" s="8">
        <x:f t="shared" si="9"/>
        <x:v>5.6348000000000003</x:v>
      </x:c>
      <x:c r="H211" s="9">
        <x:f t="shared" si="8"/>
        <x:v>1.2422801164193938E-4</x:v>
      </x:c>
      <x:c r="I211" s="2" t="s">
        <x:v>36</x:v>
      </x:c>
      <x:c r="J211" s="2" t="str">
        <x:v>Groups 13–33 cover the source's named and residual fish compartments, so the adopted broad set is a reasonable approximation. The unidentified reporting label does not establish whether elasmobranchs or fish outside the represented guilds are present; exact containment remains unverified. Model catch proportions provide the split; allocation confidence remains Medium. Assumed composition is fixed across 1950–2019 and landings, total catch and discards; source model is a 2000s northern shelf representation.</x:v>
      </x:c>
      <x:c r="K211" s="1"/>
    </x:row>
    <x:row r="212" ht="102" customHeight="1">
      <x:c r="A212" s="2" t="s">
        <x:v>142</x:v>
      </x:c>
      <x:c r="B212" s="2" t="s">
        <x:v>131</x:v>
      </x:c>
      <x:c r="C212" s="2">
        <x:v>13</x:v>
      </x:c>
      <x:c r="D212" s="8">
        <x:v>0.65700000000000003</x:v>
      </x:c>
      <x:c r="E212" s="8">
        <x:v>0.26</x:v>
      </x:c>
      <x:c r="F212" s="8" t="s">
        <x:v>27</x:v>
      </x:c>
      <x:c r="G212" s="8">
        <x:f t="shared" si="9"/>
        <x:v>2.4685999999999999</x:v>
      </x:c>
      <x:c r="H212" s="9">
        <x:f t="shared" si="8"/>
        <x:v>0.26614275297739609</x:v>
      </x:c>
      <x:c r="I212" s="2" t="s">
        <x:v>36</x:v>
      </x:c>
      <x:c r="J212" s="2" t="str">
        <x:v>Named demersal/benthopelagic fish pools and demersal sharks/rays are a plausible broad groundfish approximation. The unidentified label does not determine the boundaries of benthopelagic named pools or confirm shark inclusion, so this precise candidate set remains unvalidated. Model catch proportions provide the split; allocation confidence remains Medium. Assumed composition is fixed across 1950–2019 and landings, total catch and discards; source model is a 2000s northern shelf representation.</x:v>
      </x:c>
      <x:c r="K212" s="1"/>
    </x:row>
    <x:row r="213" ht="102" customHeight="1">
      <x:c r="A213" s="2" t="s">
        <x:v>142</x:v>
      </x:c>
      <x:c r="B213" s="2" t="s">
        <x:v>132</x:v>
      </x:c>
      <x:c r="C213" s="2">
        <x:v>14</x:v>
      </x:c>
      <x:c r="D213" s="8">
        <x:v>0.20599999999999999</x:v>
      </x:c>
      <x:c r="E213" s="8">
        <x:v>0.13</x:v>
      </x:c>
      <x:c r="F213" s="8" t="s">
        <x:v>27</x:v>
      </x:c>
      <x:c r="G213" s="8">
        <x:f t="shared" si="9"/>
        <x:v>2.4685999999999999</x:v>
      </x:c>
      <x:c r="H213" s="9">
        <x:f t="shared" si="8"/>
        <x:v>8.3448108239487964E-2</x:v>
      </x:c>
      <x:c r="I213" s="2" t="s">
        <x:v>36</x:v>
      </x:c>
      <x:c r="J213" s="2" t="str">
        <x:v>Named demersal/benthopelagic fish pools and demersal sharks/rays are a plausible broad groundfish approximation. The unidentified label does not determine the boundaries of benthopelagic named pools or confirm shark inclusion, so this precise candidate set remains unvalidated. Model catch proportions provide the split; allocation confidence remains Medium. Assumed composition is fixed across 1950–2019 and landings, total catch and discards; source model is a 2000s northern shelf representation.</x:v>
      </x:c>
      <x:c r="K213" s="1"/>
    </x:row>
    <x:row r="214" ht="102" customHeight="1">
      <x:c r="A214" s="2" t="s">
        <x:v>142</x:v>
      </x:c>
      <x:c r="B214" s="2" t="s">
        <x:v>133</x:v>
      </x:c>
      <x:c r="C214" s="2">
        <x:v>15</x:v>
      </x:c>
      <x:c r="D214" s="8">
        <x:v>2.3400000000000001E-2</x:v>
      </x:c>
      <x:c r="E214" s="8">
        <x:v>3.2000000000000001E-2</x:v>
      </x:c>
      <x:c r="F214" s="8" t="s">
        <x:v>27</x:v>
      </x:c>
      <x:c r="G214" s="8">
        <x:f t="shared" si="9"/>
        <x:v>2.4685999999999999</x:v>
      </x:c>
      <x:c r="H214" s="9">
        <x:f t="shared" si="8"/>
        <x:v>9.4790569553593138E-3</x:v>
      </x:c>
      <x:c r="I214" s="2" t="s">
        <x:v>36</x:v>
      </x:c>
      <x:c r="J214" s="2" t="str">
        <x:v>Named demersal/benthopelagic fish pools and demersal sharks/rays are a plausible broad groundfish approximation. The unidentified label does not determine the boundaries of benthopelagic named pools or confirm shark inclusion, so this precise candidate set remains unvalidated. Model catch proportions provide the split; allocation confidence remains Medium. Assumed composition is fixed across 1950–2019 and landings, total catch and discards; source model is a 2000s northern shelf representation.</x:v>
      </x:c>
      <x:c r="K214" s="1"/>
    </x:row>
    <x:row r="215" ht="102" customHeight="1">
      <x:c r="A215" s="2" t="s">
        <x:v>142</x:v>
      </x:c>
      <x:c r="B215" s="2" t="s">
        <x:v>134</x:v>
      </x:c>
      <x:c r="C215" s="2">
        <x:v>16</x:v>
      </x:c>
      <x:c r="D215" s="8">
        <x:v>2.8000000000000001E-2</x:v>
      </x:c>
      <x:c r="E215" s="8">
        <x:v>1.4999999999999999E-2</x:v>
      </x:c>
      <x:c r="F215" s="8" t="s">
        <x:v>27</x:v>
      </x:c>
      <x:c r="G215" s="8">
        <x:f t="shared" si="9"/>
        <x:v>2.4685999999999999</x:v>
      </x:c>
      <x:c r="H215" s="9">
        <x:f t="shared" si="8"/>
        <x:v>1.1342461314105162E-2</x:v>
      </x:c>
      <x:c r="I215" s="2" t="s">
        <x:v>36</x:v>
      </x:c>
      <x:c r="J215" s="2" t="str">
        <x:v>Named demersal/benthopelagic fish pools and demersal sharks/rays are a plausible broad groundfish approximation. The unidentified label does not determine the boundaries of benthopelagic named pools or confirm shark inclusion, so this precise candidate set remains unvalidated. Model catch proportions provide the split; allocation confidence remains Medium. Assumed composition is fixed across 1950–2019 and landings, total catch and discards; source model is a 2000s northern shelf representation.</x:v>
      </x:c>
      <x:c r="K215" s="1"/>
    </x:row>
    <x:row r="216" ht="102" customHeight="1">
      <x:c r="A216" s="2" t="s">
        <x:v>142</x:v>
      </x:c>
      <x:c r="B216" s="2" t="s">
        <x:v>135</x:v>
      </x:c>
      <x:c r="C216" s="2">
        <x:v>17</x:v>
      </x:c>
      <x:c r="D216" s="8">
        <x:v>7.1999999999999998E-3</x:v>
      </x:c>
      <x:c r="E216" s="8">
        <x:v>1.2E-2</x:v>
      </x:c>
      <x:c r="F216" s="8" t="s">
        <x:v>27</x:v>
      </x:c>
      <x:c r="G216" s="8">
        <x:f t="shared" si="9"/>
        <x:v>2.4685999999999999</x:v>
      </x:c>
      <x:c r="H216" s="9">
        <x:f t="shared" si="8"/>
        <x:v>2.9166329093413272E-3</x:v>
      </x:c>
      <x:c r="I216" s="2" t="s">
        <x:v>36</x:v>
      </x:c>
      <x:c r="J216" s="2" t="str">
        <x:v>Named demersal/benthopelagic fish pools and demersal sharks/rays are a plausible broad groundfish approximation. The unidentified label does not determine the boundaries of benthopelagic named pools or confirm shark inclusion, so this precise candidate set remains unvalidated. Model catch proportions provide the split; allocation confidence remains Medium. Assumed composition is fixed across 1950–2019 and landings, total catch and discards; source model is a 2000s northern shelf representation.</x:v>
      </x:c>
      <x:c r="K216" s="1"/>
    </x:row>
    <x:row r="217" ht="102" customHeight="1">
      <x:c r="A217" s="2" t="s">
        <x:v>142</x:v>
      </x:c>
      <x:c r="B217" s="2" t="s">
        <x:v>136</x:v>
      </x:c>
      <x:c r="C217" s="2">
        <x:v>18</x:v>
      </x:c>
      <x:c r="D217" s="8">
        <x:v>0.23899999999999999</x:v>
      </x:c>
      <x:c r="E217" s="8">
        <x:v>0.108</x:v>
      </x:c>
      <x:c r="F217" s="8" t="s">
        <x:v>27</x:v>
      </x:c>
      <x:c r="G217" s="8">
        <x:f t="shared" si="9"/>
        <x:v>2.4685999999999999</x:v>
      </x:c>
      <x:c r="H217" s="9">
        <x:f t="shared" si="8"/>
        <x:v>9.6816009073969048E-2</x:v>
      </x:c>
      <x:c r="I217" s="2" t="s">
        <x:v>36</x:v>
      </x:c>
      <x:c r="J217" s="2" t="str">
        <x:v>Named demersal/benthopelagic fish pools and demersal sharks/rays are a plausible broad groundfish approximation. The unidentified label does not determine the boundaries of benthopelagic named pools or confirm shark inclusion, so this precise candidate set remains unvalidated. Model catch proportions provide the split; allocation confidence remains Medium. Assumed composition is fixed across 1950–2019 and landings, total catch and discards; source model is a 2000s northern shelf representation.</x:v>
      </x:c>
      <x:c r="K217" s="1"/>
    </x:row>
    <x:row r="218" ht="102" customHeight="1">
      <x:c r="A218" s="2" t="s">
        <x:v>142</x:v>
      </x:c>
      <x:c r="B218" s="2" t="s">
        <x:v>137</x:v>
      </x:c>
      <x:c r="C218" s="2">
        <x:v>19</x:v>
      </x:c>
      <x:c r="D218" s="8">
        <x:v>1.1000000000000001E-3</x:v>
      </x:c>
      <x:c r="E218" s="8">
        <x:v>1.2999999999999999E-3</x:v>
      </x:c>
      <x:c r="F218" s="8" t="s">
        <x:v>27</x:v>
      </x:c>
      <x:c r="G218" s="8">
        <x:f t="shared" si="9"/>
        <x:v>2.4685999999999999</x:v>
      </x:c>
      <x:c r="H218" s="9">
        <x:f t="shared" si="8"/>
        <x:v>4.4559669448270277E-4</x:v>
      </x:c>
      <x:c r="I218" s="2" t="s">
        <x:v>36</x:v>
      </x:c>
      <x:c r="J218" s="2" t="str">
        <x:v>Named demersal/benthopelagic fish pools and demersal sharks/rays are a plausible broad groundfish approximation. The unidentified label does not determine the boundaries of benthopelagic named pools or confirm shark inclusion, so this precise candidate set remains unvalidated. Model catch proportions provide the split; allocation confidence remains Medium. Assumed composition is fixed across 1950–2019 and landings, total catch and discards; source model is a 2000s northern shelf representation.</x:v>
      </x:c>
      <x:c r="K218" s="1"/>
    </x:row>
    <x:row r="219" ht="102" customHeight="1">
      <x:c r="A219" s="2" t="s">
        <x:v>142</x:v>
      </x:c>
      <x:c r="B219" s="2" t="s">
        <x:v>138</x:v>
      </x:c>
      <x:c r="C219" s="2">
        <x:v>20</x:v>
      </x:c>
      <x:c r="D219" s="8">
        <x:v>8.8999999999999999E-3</x:v>
      </x:c>
      <x:c r="E219" s="8">
        <x:v>6.4000000000000003E-3</x:v>
      </x:c>
      <x:c r="F219" s="8" t="s">
        <x:v>27</x:v>
      </x:c>
      <x:c r="G219" s="8">
        <x:f t="shared" si="9"/>
        <x:v>2.4685999999999999</x:v>
      </x:c>
      <x:c r="H219" s="9">
        <x:f t="shared" si="8"/>
        <x:v>3.6052823462691405E-3</x:v>
      </x:c>
      <x:c r="I219" s="2" t="s">
        <x:v>36</x:v>
      </x:c>
      <x:c r="J219" s="2" t="str">
        <x:v>Named demersal/benthopelagic fish pools and demersal sharks/rays are a plausible broad groundfish approximation. The unidentified label does not determine the boundaries of benthopelagic named pools or confirm shark inclusion, so this precise candidate set remains unvalidated. Model catch proportions provide the split; allocation confidence remains Medium. Assumed composition is fixed across 1950–2019 and landings, total catch and discards; source model is a 2000s northern shelf representation.</x:v>
      </x:c>
      <x:c r="K219" s="1"/>
    </x:row>
    <x:row r="220" ht="102" customHeight="1">
      <x:c r="A220" s="2" t="s">
        <x:v>142</x:v>
      </x:c>
      <x:c r="B220" s="2" t="s">
        <x:v>139</x:v>
      </x:c>
      <x:c r="C220" s="2">
        <x:v>21</x:v>
      </x:c>
      <x:c r="D220" s="8">
        <x:v>3.5099999999999999E-2</x:v>
      </x:c>
      <x:c r="E220" s="8">
        <x:v>7.0000000000000007E-2</x:v>
      </x:c>
      <x:c r="F220" s="8" t="s">
        <x:v>27</x:v>
      </x:c>
      <x:c r="G220" s="8">
        <x:f t="shared" si="9"/>
        <x:v>2.4685999999999999</x:v>
      </x:c>
      <x:c r="H220" s="9">
        <x:f t="shared" si="8"/>
        <x:v>1.421858543303897E-2</x:v>
      </x:c>
      <x:c r="I220" s="2" t="s">
        <x:v>36</x:v>
      </x:c>
      <x:c r="J220" s="2" t="str">
        <x:v>Named demersal/benthopelagic fish pools and demersal sharks/rays are a plausible broad groundfish approximation. The unidentified label does not determine the boundaries of benthopelagic named pools or confirm shark inclusion, so this precise candidate set remains unvalidated. Model catch proportions provide the split; allocation confidence remains Medium. Assumed composition is fixed across 1950–2019 and landings, total catch and discards; source model is a 2000s northern shelf representation.</x:v>
      </x:c>
      <x:c r="K220" s="1"/>
    </x:row>
    <x:row r="221" ht="102" customHeight="1">
      <x:c r="A221" s="2" t="s">
        <x:v>142</x:v>
      </x:c>
      <x:c r="B221" s="2" t="s">
        <x:v>46</x:v>
      </x:c>
      <x:c r="C221" s="2">
        <x:v>22</x:v>
      </x:c>
      <x:c r="D221" s="8">
        <x:v>7.0999999999999994E-2</x:v>
      </x:c>
      <x:c r="E221" s="8">
        <x:v>0.04</x:v>
      </x:c>
      <x:c r="F221" s="8" t="s">
        <x:v>27</x:v>
      </x:c>
      <x:c r="G221" s="8">
        <x:f t="shared" si="9"/>
        <x:v>2.4685999999999999</x:v>
      </x:c>
      <x:c r="H221" s="9">
        <x:f t="shared" si="8"/>
        <x:v>2.8761241189338083E-2</x:v>
      </x:c>
      <x:c r="I221" s="2" t="s">
        <x:v>36</x:v>
      </x:c>
      <x:c r="J221" s="2" t="str">
        <x:v>Named demersal/benthopelagic fish pools and demersal sharks/rays are a plausible broad groundfish approximation. The unidentified label does not determine the boundaries of benthopelagic named pools or confirm shark inclusion, so this precise candidate set remains unvalidated. Model catch proportions provide the split; allocation confidence remains Medium. Assumed composition is fixed across 1950–2019 and landings, total catch and discards; source model is a 2000s northern shelf representation.</x:v>
      </x:c>
      <x:c r="K221" s="1"/>
    </x:row>
    <x:row r="222" ht="102" customHeight="1">
      <x:c r="A222" s="2" t="s">
        <x:v>142</x:v>
      </x:c>
      <x:c r="B222" s="2" t="s">
        <x:v>47</x:v>
      </x:c>
      <x:c r="C222" s="2">
        <x:v>23</x:v>
      </x:c>
      <x:c r="D222" s="8">
        <x:v>8.0000000000000002E-3</x:v>
      </x:c>
      <x:c r="E222" s="8">
        <x:v>9.4000000000000004E-3</x:v>
      </x:c>
      <x:c r="F222" s="8" t="s">
        <x:v>27</x:v>
      </x:c>
      <x:c r="G222" s="8">
        <x:f t="shared" si="9"/>
        <x:v>2.4685999999999999</x:v>
      </x:c>
      <x:c r="H222" s="9">
        <x:f t="shared" si="8"/>
        <x:v>3.2407032326014747E-3</x:v>
      </x:c>
      <x:c r="I222" s="2" t="s">
        <x:v>36</x:v>
      </x:c>
      <x:c r="J222" s="2" t="str">
        <x:v>Named demersal/benthopelagic fish pools and demersal sharks/rays are a plausible broad groundfish approximation. The unidentified label does not determine the boundaries of benthopelagic named pools or confirm shark inclusion, so this precise candidate set remains unvalidated. Model catch proportions provide the split; allocation confidence remains Medium. Assumed composition is fixed across 1950–2019 and landings, total catch and discards; source model is a 2000s northern shelf representation.</x:v>
      </x:c>
      <x:c r="K222" s="1"/>
    </x:row>
    <x:row r="223" ht="102" customHeight="1">
      <x:c r="A223" s="2" t="s">
        <x:v>142</x:v>
      </x:c>
      <x:c r="B223" s="2" t="s">
        <x:v>56</x:v>
      </x:c>
      <x:c r="C223" s="2">
        <x:v>24</x:v>
      </x:c>
      <x:c r="D223" s="8">
        <x:v>0.17879999999999999</x:v>
      </x:c>
      <x:c r="E223" s="8">
        <x:v>0.316</x:v>
      </x:c>
      <x:c r="F223" s="8" t="s">
        <x:v>27</x:v>
      </x:c>
      <x:c r="G223" s="8">
        <x:f t="shared" si="9"/>
        <x:v>2.4685999999999999</x:v>
      </x:c>
      <x:c r="H223" s="9">
        <x:f t="shared" si="8"/>
        <x:v>7.2429717248642958E-2</x:v>
      </x:c>
      <x:c r="I223" s="2" t="s">
        <x:v>36</x:v>
      </x:c>
      <x:c r="J223" s="2" t="str">
        <x:v>Named demersal/benthopelagic fish pools and demersal sharks/rays are a plausible broad groundfish approximation. The unidentified label does not determine the boundaries of benthopelagic named pools or confirm shark inclusion, so this precise candidate set remains unvalidated. Model catch proportions provide the split; allocation confidence remains Medium. Assumed composition is fixed across 1950–2019 and landings, total catch and discards; source model is a 2000s northern shelf representation.</x:v>
      </x:c>
      <x:c r="K223" s="1"/>
    </x:row>
    <x:row r="224" ht="102" customHeight="1">
      <x:c r="A224" s="2" t="s">
        <x:v>142</x:v>
      </x:c>
      <x:c r="B224" s="2" t="s">
        <x:v>39</x:v>
      </x:c>
      <x:c r="C224" s="2">
        <x:v>25</x:v>
      </x:c>
      <x:c r="D224" s="8">
        <x:v>0.3165</x:v>
      </x:c>
      <x:c r="E224" s="8">
        <x:v>0.14299999999999999</x:v>
      </x:c>
      <x:c r="F224" s="8" t="s">
        <x:v>27</x:v>
      </x:c>
      <x:c r="G224" s="8">
        <x:f t="shared" si="9"/>
        <x:v>2.4685999999999999</x:v>
      </x:c>
      <x:c r="H224" s="9">
        <x:f t="shared" si="8"/>
        <x:v>0.12821032163979584</x:v>
      </x:c>
      <x:c r="I224" s="2" t="s">
        <x:v>36</x:v>
      </x:c>
      <x:c r="J224" s="2" t="str">
        <x:v>Named demersal/benthopelagic fish pools and demersal sharks/rays are a plausible broad groundfish approximation. The unidentified label does not determine the boundaries of benthopelagic named pools or confirm shark inclusion, so this precise candidate set remains unvalidated. Model catch proportions provide the split; allocation confidence remains Medium. Assumed composition is fixed across 1950–2019 and landings, total catch and discards; source model is a 2000s northern shelf representation.</x:v>
      </x:c>
      <x:c r="K224" s="1"/>
    </x:row>
    <x:row r="225" ht="102" customHeight="1">
      <x:c r="A225" s="2" t="s">
        <x:v>142</x:v>
      </x:c>
      <x:c r="B225" s="2" t="s">
        <x:v>40</x:v>
      </x:c>
      <x:c r="C225" s="2">
        <x:v>26</x:v>
      </x:c>
      <x:c r="D225" s="8">
        <x:v>3.5200000000000002E-2</x:v>
      </x:c>
      <x:c r="E225" s="8">
        <x:v>2.1000000000000001E-2</x:v>
      </x:c>
      <x:c r="F225" s="8" t="s">
        <x:v>27</x:v>
      </x:c>
      <x:c r="G225" s="8">
        <x:f t="shared" si="9"/>
        <x:v>2.4685999999999999</x:v>
      </x:c>
      <x:c r="H225" s="9">
        <x:f t="shared" si="8"/>
        <x:v>1.4259094223446489E-2</x:v>
      </x:c>
      <x:c r="I225" s="2" t="s">
        <x:v>36</x:v>
      </x:c>
      <x:c r="J225" s="2" t="str">
        <x:v>Named demersal/benthopelagic fish pools and demersal sharks/rays are a plausible broad groundfish approximation. The unidentified label does not determine the boundaries of benthopelagic named pools or confirm shark inclusion, so this precise candidate set remains unvalidated. Model catch proportions provide the split; allocation confidence remains Medium. Assumed composition is fixed across 1950–2019 and landings, total catch and discards; source model is a 2000s northern shelf representation.</x:v>
      </x:c>
      <x:c r="K225" s="1"/>
    </x:row>
    <x:row r="226" ht="102" customHeight="1">
      <x:c r="A226" s="2" t="s">
        <x:v>142</x:v>
      </x:c>
      <x:c r="B226" s="2" t="s">
        <x:v>97</x:v>
      </x:c>
      <x:c r="C226" s="2">
        <x:v>27</x:v>
      </x:c>
      <x:c r="D226" s="8">
        <x:v>0.60250000000000004</x:v>
      </x:c>
      <x:c r="E226" s="8">
        <x:v>0.92200000000000004</x:v>
      </x:c>
      <x:c r="F226" s="8" t="s">
        <x:v>27</x:v>
      </x:c>
      <x:c r="G226" s="8">
        <x:f t="shared" si="9"/>
        <x:v>2.4685999999999999</x:v>
      </x:c>
      <x:c r="H226" s="9">
        <x:f t="shared" si="8"/>
        <x:v>0.24406546220529857</x:v>
      </x:c>
      <x:c r="I226" s="2" t="s">
        <x:v>36</x:v>
      </x:c>
      <x:c r="J226" s="2" t="str">
        <x:v>Named demersal/benthopelagic fish pools and demersal sharks/rays are a plausible broad groundfish approximation. The unidentified label does not determine the boundaries of benthopelagic named pools or confirm shark inclusion, so this precise candidate set remains unvalidated. Model catch proportions provide the split; allocation confidence remains Medium. Assumed composition is fixed across 1950–2019 and landings, total catch and discards; source model is a 2000s northern shelf representation.</x:v>
      </x:c>
      <x:c r="K226" s="1"/>
    </x:row>
    <x:row r="227" ht="102" customHeight="1">
      <x:c r="A227" s="2" t="s">
        <x:v>142</x:v>
      </x:c>
      <x:c r="B227" s="2" t="s">
        <x:v>140</x:v>
      </x:c>
      <x:c r="C227" s="2">
        <x:v>28</x:v>
      </x:c>
      <x:c r="D227" s="8">
        <x:v>4.99E-2</x:v>
      </x:c>
      <x:c r="E227" s="8">
        <x:v>7.0000000000000007E-2</x:v>
      </x:c>
      <x:c r="F227" s="8" t="s">
        <x:v>27</x:v>
      </x:c>
      <x:c r="G227" s="8">
        <x:f t="shared" si="9"/>
        <x:v>2.4685999999999999</x:v>
      </x:c>
      <x:c r="H227" s="9">
        <x:f t="shared" si="8"/>
        <x:v>2.0213886413351697E-2</x:v>
      </x:c>
      <x:c r="I227" s="2" t="s">
        <x:v>36</x:v>
      </x:c>
      <x:c r="J227" s="2" t="str">
        <x:v>Named demersal/benthopelagic fish pools and demersal sharks/rays are a plausible broad groundfish approximation. The unidentified label does not determine the boundaries of benthopelagic named pools or confirm shark inclusion, so this precise candidate set remains unvalidated. Model catch proportions provide the split; allocation confidence remains Medium. Assumed composition is fixed across 1950–2019 and landings, total catch and discards; source model is a 2000s northern shelf representation.</x:v>
      </x:c>
      <x:c r="K227" s="1"/>
    </x:row>
    <x:row r="228" ht="102" customHeight="1">
      <x:c r="A228" s="2" t="s">
        <x:v>142</x:v>
      </x:c>
      <x:c r="B228" s="2" t="s">
        <x:v>53</x:v>
      </x:c>
      <x:c r="C228" s="2">
        <x:v>32</x:v>
      </x:c>
      <x:c r="D228" s="8">
        <x:v>1E-3</x:v>
      </x:c>
      <x:c r="E228" s="8">
        <x:v>1E-3</x:v>
      </x:c>
      <x:c r="F228" s="8" t="s">
        <x:v>27</x:v>
      </x:c>
      <x:c r="G228" s="8">
        <x:f t="shared" si="9"/>
        <x:v>2.4685999999999999</x:v>
      </x:c>
      <x:c r="H228" s="9">
        <x:f t="shared" si="8"/>
        <x:v>4.0508790407518434E-4</x:v>
      </x:c>
      <x:c r="I228" s="2" t="s">
        <x:v>36</x:v>
      </x:c>
      <x:c r="J228" s="2" t="str">
        <x:v>Named demersal/benthopelagic fish pools and demersal sharks/rays are a plausible broad groundfish approximation. The unidentified label does not determine the boundaries of benthopelagic named pools or confirm shark inclusion, so this precise candidate set remains unvalidated. Model catch proportions provide the split; allocation confidence remains Medium. Assumed composition is fixed across 1950–2019 and landings, total catch and discards; source model is a 2000s northern shelf representation.</x:v>
      </x:c>
      <x:c r="K228" s="1"/>
    </x:row>
    <x:row r="229" ht="102" customHeight="1">
      <x:c r="A229" s="2" t="s">
        <x:v>143</x:v>
      </x:c>
      <x:c r="B229" s="2" t="s">
        <x:v>61</x:v>
      </x:c>
      <x:c r="C229" s="2">
        <x:v>29</x:v>
      </x:c>
      <x:c r="D229" s="8">
        <x:v>2.3450000000000002</x:v>
      </x:c>
      <x:c r="E229" s="8">
        <x:v>1.772</x:v>
      </x:c>
      <x:c r="F229" s="8" t="s">
        <x:v>27</x:v>
      </x:c>
      <x:c r="G229" s="8">
        <x:f t="shared" si="9"/>
        <x:v>3.1662000000000003</x:v>
      </x:c>
      <x:c r="H229" s="9">
        <x:f t="shared" si="8"/>
        <x:v>0.74063546206809427</x:v>
      </x:c>
      <x:c r="I229" s="2" t="s">
        <x:v>36</x:v>
      </x:c>
      <x:c r="J229" s="2" t="str">
        <x:v>Groups 29–31 and 33 are a reasonable open-water approximation, but the unidentified label does not verify exclusion of named groups with pelagic phases or inclusion of pelagic sharks/rays. The adopted boundary relies on saved catch classes rather than a resolved inventory. Model catch proportions provide the split; allocation confidence remains Medium. Assumed composition is fixed across 1950–2019 and landings, total catch and discards; source model is a 2000s northern shelf representation.</x:v>
      </x:c>
      <x:c r="K229" s="1"/>
    </x:row>
    <x:row r="230" ht="102" customHeight="1">
      <x:c r="A230" s="2" t="s">
        <x:v>143</x:v>
      </x:c>
      <x:c r="B230" s="2" t="s">
        <x:v>35</x:v>
      </x:c>
      <x:c r="C230" s="2">
        <x:v>30</x:v>
      </x:c>
      <x:c r="D230" s="8">
        <x:v>0.73839999999999995</x:v>
      </x:c>
      <x:c r="E230" s="8">
        <x:v>0.28899999999999998</x:v>
      </x:c>
      <x:c r="F230" s="8" t="s">
        <x:v>27</x:v>
      </x:c>
      <x:c r="G230" s="8">
        <x:f t="shared" si="9"/>
        <x:v>3.1662000000000003</x:v>
      </x:c>
      <x:c r="H230" s="9">
        <x:f t="shared" si="8"/>
        <x:v>0.23321331564651629</x:v>
      </x:c>
      <x:c r="I230" s="2" t="s">
        <x:v>36</x:v>
      </x:c>
      <x:c r="J230" s="2" t="str">
        <x:v>Groups 29–31 and 33 are a reasonable open-water approximation, but the unidentified label does not verify exclusion of named groups with pelagic phases or inclusion of pelagic sharks/rays. The adopted boundary relies on saved catch classes rather than a resolved inventory. Model catch proportions provide the split; allocation confidence remains Medium. Assumed composition is fixed across 1950–2019 and landings, total catch and discards; source model is a 2000s northern shelf representation.</x:v>
      </x:c>
      <x:c r="K230" s="1"/>
    </x:row>
    <x:row r="231" ht="102" customHeight="1">
      <x:c r="A231" s="2" t="s">
        <x:v>143</x:v>
      </x:c>
      <x:c r="B231" s="2" t="s">
        <x:v>37</x:v>
      </x:c>
      <x:c r="C231" s="2">
        <x:v>31</x:v>
      </x:c>
      <x:c r="D231" s="8">
        <x:v>8.2100000000000006E-2</x:v>
      </x:c>
      <x:c r="E231" s="8">
        <x:v>7.9000000000000001E-2</x:v>
      </x:c>
      <x:c r="F231" s="8" t="s">
        <x:v>27</x:v>
      </x:c>
      <x:c r="G231" s="8">
        <x:f t="shared" si="9"/>
        <x:v>3.1662000000000003</x:v>
      </x:c>
      <x:c r="H231" s="9">
        <x:f t="shared" si="8"/>
        <x:v>2.5930137072831785E-2</x:v>
      </x:c>
      <x:c r="I231" s="2" t="s">
        <x:v>36</x:v>
      </x:c>
      <x:c r="J231" s="2" t="str">
        <x:v>Groups 29–31 and 33 are a reasonable open-water approximation, but the unidentified label does not verify exclusion of named groups with pelagic phases or inclusion of pelagic sharks/rays. The adopted boundary relies on saved catch classes rather than a resolved inventory. Model catch proportions provide the split; allocation confidence remains Medium. Assumed composition is fixed across 1950–2019 and landings, total catch and discards; source model is a 2000s northern shelf representation.</x:v>
      </x:c>
      <x:c r="K231" s="1"/>
    </x:row>
    <x:row r="232" ht="102" customHeight="1">
      <x:c r="A232" s="2" t="s">
        <x:v>143</x:v>
      </x:c>
      <x:c r="B232" s="2" t="s">
        <x:v>54</x:v>
      </x:c>
      <x:c r="C232" s="2">
        <x:v>33</x:v>
      </x:c>
      <x:c r="D232" s="8">
        <x:v>6.9999999999999999E-4</x:v>
      </x:c>
      <x:c r="E232" s="8">
        <x:v>1.1000000000000001E-3</x:v>
      </x:c>
      <x:c r="F232" s="8" t="s">
        <x:v>27</x:v>
      </x:c>
      <x:c r="G232" s="8">
        <x:f t="shared" si="9"/>
        <x:v>3.1662000000000003</x:v>
      </x:c>
      <x:c r="H232" s="9">
        <x:f t="shared" si="8"/>
        <x:v>2.2108521255764004E-4</x:v>
      </x:c>
      <x:c r="I232" s="2" t="s">
        <x:v>36</x:v>
      </x:c>
      <x:c r="J232" s="2" t="str">
        <x:v>Groups 29–31 and 33 are a reasonable open-water approximation, but the unidentified label does not verify exclusion of named groups with pelagic phases or inclusion of pelagic sharks/rays. The adopted boundary relies on saved catch classes rather than a resolved inventory. Model catch proportions provide the split; allocation confidence remains Medium. Assumed composition is fixed across 1950–2019 and landings, total catch and discards; source model is a 2000s northern shelf representation.</x:v>
      </x:c>
      <x:c r="K232" s="1"/>
    </x:row>
    <x:row r="233" ht="102" customHeight="1">
      <x:c r="A233" s="2" t="s">
        <x:v>144</x:v>
      </x:c>
      <x:c r="B233" s="2" t="s">
        <x:v>35</x:v>
      </x:c>
      <x:c r="C233" s="2">
        <x:v>30</x:v>
      </x:c>
      <x:c r="D233" s="8">
        <x:v>0.73839999999999995</x:v>
      </x:c>
      <x:c r="E233" s="8">
        <x:v>0.28899999999999998</x:v>
      </x:c>
      <x:c r="F233" s="8" t="s">
        <x:v>27</x:v>
      </x:c>
      <x:c r="G233" s="8">
        <x:f t="shared" si="9"/>
        <x:v>0.82050000000000001</x:v>
      </x:c>
      <x:c r="H233" s="9">
        <x:f t="shared" si="8"/>
        <x:v>0.89993906154783665</x:v>
      </x:c>
      <x:c r="I233" s="2" t="s">
        <x:v>36</x:v>
      </x:c>
      <x:c r="J233" s="2" t="str">
        <x:v>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80 cm TL; Marine; brackish;  reef-associated;. Model catch proportions provide the split; allocation confidence remains Medium. Northern-shelf 2000s proxy transferred to whole-LME 2019 landings; fixed over 1950–2019.</x:v>
      </x:c>
      <x:c r="K233" s="1"/>
    </x:row>
    <x:row r="234" ht="102" customHeight="1">
      <x:c r="A234" s="2" t="s">
        <x:v>144</x:v>
      </x:c>
      <x:c r="B234" s="2" t="s">
        <x:v>37</x:v>
      </x:c>
      <x:c r="C234" s="2">
        <x:v>31</x:v>
      </x:c>
      <x:c r="D234" s="8">
        <x:v>8.2100000000000006E-2</x:v>
      </x:c>
      <x:c r="E234" s="8">
        <x:v>7.9000000000000001E-2</x:v>
      </x:c>
      <x:c r="F234" s="8" t="s">
        <x:v>27</x:v>
      </x:c>
      <x:c r="G234" s="8">
        <x:f t="shared" si="9"/>
        <x:v>0.82050000000000001</x:v>
      </x:c>
      <x:c r="H234" s="9">
        <x:f t="shared" si="8"/>
        <x:v>0.10006093845216332</x:v>
      </x:c>
      <x:c r="I234" s="2" t="s">
        <x:v>36</x:v>
      </x:c>
      <x:c r="J234" s="2" t="str">
        <x:v>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80 cm TL; Marine; brackish;  reef-associated;. Model catch proportions provide the split; allocation confidence remains Medium. Northern-shelf 2000s proxy transferred to whole-LME 2019 landings; fixed over 1950–2019.</x:v>
      </x:c>
      <x:c r="K234" s="1"/>
    </x:row>
    <x:row r="235" ht="117" customHeight="1">
      <x:c r="A235" s="2" t="s">
        <x:v>145</x:v>
      </x:c>
      <x:c r="B235" s="2" t="s">
        <x:v>35</x:v>
      </x:c>
      <x:c r="C235" s="2">
        <x:v>30</x:v>
      </x:c>
      <x:c r="D235" s="8">
        <x:v>0.73839999999999995</x:v>
      </x:c>
      <x:c r="E235" s="8">
        <x:v>0.28899999999999998</x:v>
      </x:c>
      <x:c r="F235" s="8" t="s">
        <x:v>27</x:v>
      </x:c>
      <x:c r="G235" s="8">
        <x:f t="shared" si="9"/>
        <x:v>0.82050000000000001</x:v>
      </x:c>
      <x:c r="H235" s="9">
        <x:f t="shared" si="8"/>
        <x:v>0.89993906154783665</x:v>
      </x:c>
      <x:c r="I235" s="2" t="s">
        <x:v>36</x:v>
      </x:c>
      <x:c r="J235" s="2" t="str">
        <x:v>Species evidence explicitly establishes benthopelagic ecology and maximum TL &gt;30 cm. The selected model has one generic Benthopelagic fish group (27), giving a material competing placement for the current pelagic-only pair. The appendix distinguishes small and large benthopelagic fish, but the final merger scope is not established. Checked species record: 150 cm TL; Marine; freshwater; brackish;  benthopelagic; catadromous. Model catch proportions provide the split; allocation confidence remains Medium. Northern-shelf 2000s proxy transferred to whole-LME 2019 landings; fixed over 1950–2019.</x:v>
      </x:c>
      <x:c r="K235" s="1"/>
    </x:row>
    <x:row r="236" ht="117" customHeight="1">
      <x:c r="A236" s="2" t="s">
        <x:v>145</x:v>
      </x:c>
      <x:c r="B236" s="2" t="s">
        <x:v>37</x:v>
      </x:c>
      <x:c r="C236" s="2">
        <x:v>31</x:v>
      </x:c>
      <x:c r="D236" s="8">
        <x:v>8.2100000000000006E-2</x:v>
      </x:c>
      <x:c r="E236" s="8">
        <x:v>7.9000000000000001E-2</x:v>
      </x:c>
      <x:c r="F236" s="8" t="s">
        <x:v>27</x:v>
      </x:c>
      <x:c r="G236" s="8">
        <x:f t="shared" si="9"/>
        <x:v>0.82050000000000001</x:v>
      </x:c>
      <x:c r="H236" s="9" t="n">
        <x:f t="shared" ref="H236:H299" si="10">D236/G236</x:f>
        <x:v>0.10006093845216332</x:v>
      </x:c>
      <x:c r="I236" s="2" t="s">
        <x:v>36</x:v>
      </x:c>
      <x:c r="J236" s="2" t="str">
        <x:v>Species evidence explicitly establishes benthopelagic ecology and maximum TL &gt;30 cm. The selected model has one generic Benthopelagic fish group (27), giving a material competing placement for the current pelagic-only pair. The appendix distinguishes small and large benthopelagic fish, but the final merger scope is not established. Checked species record: 150 cm TL; Marine; freshwater; brackish;  benthopelagic; catadromous. Model catch proportions provide the split; allocation confidence remains Medium. Northern-shelf 2000s proxy transferred to whole-LME 2019 landings; fixed over 1950–2019.</x:v>
      </x:c>
      <x:c r="K236" s="1"/>
    </x:row>
    <x:row r="237" ht="87" customHeight="1">
      <x:c r="A237" s="2" t="s">
        <x:v>146</x:v>
      </x:c>
      <x:c r="B237" s="2" t="s">
        <x:v>46</x:v>
      </x:c>
      <x:c r="C237" s="2">
        <x:v>22</x:v>
      </x:c>
      <x:c r="D237" s="8">
        <x:v>7.0999999999999994E-2</x:v>
      </x:c>
      <x:c r="E237" s="8">
        <x:v>0.04</x:v>
      </x:c>
      <x:c r="F237" s="8" t="s">
        <x:v>27</x:v>
      </x:c>
      <x:c r="G237" s="8">
        <x:f t="shared" si="9"/>
        <x:v>7.8999999999999987E-2</x:v>
      </x:c>
      <x:c r="H237" s="9">
        <x:f t="shared" si="10"/>
        <x:v>0.89873417721518989</x:v>
      </x:c>
      <x:c r="I237" s="2" t="s">
        <x:v>36</x:v>
      </x:c>
      <x:c r="J237" s="2" t="str">
        <x:v>This is a sciaenid with maximum 73.8 cm SL, necessarily above 30 cm TL, so the source's explicit large-croaker family/size definition establishes groups 22 + 23. Their union covers juvenile/adult ages; generic demersal pools are excluded. Model catch proportions provide the split; allocation confidence remains Medium. Northern-shelf 2000s proxy transferred to whole-LME 2019 landings; fixed over 1950–2019.</x:v>
      </x:c>
      <x:c r="K237" s="1"/>
    </x:row>
    <x:row r="238" ht="87" customHeight="1">
      <x:c r="A238" s="2" t="s">
        <x:v>146</x:v>
      </x:c>
      <x:c r="B238" s="2" t="s">
        <x:v>47</x:v>
      </x:c>
      <x:c r="C238" s="2">
        <x:v>23</x:v>
      </x:c>
      <x:c r="D238" s="8">
        <x:v>8.0000000000000002E-3</x:v>
      </x:c>
      <x:c r="E238" s="8">
        <x:v>9.4000000000000004E-3</x:v>
      </x:c>
      <x:c r="F238" s="8" t="s">
        <x:v>27</x:v>
      </x:c>
      <x:c r="G238" s="8">
        <x:f t="shared" si="9"/>
        <x:v>7.8999999999999987E-2</x:v>
      </x:c>
      <x:c r="H238" s="9">
        <x:f t="shared" si="10"/>
        <x:v>0.10126582278481014</x:v>
      </x:c>
      <x:c r="I238" s="2" t="s">
        <x:v>36</x:v>
      </x:c>
      <x:c r="J238" s="2" t="str">
        <x:v>This is a sciaenid with maximum 73.8 cm SL, necessarily above 30 cm TL, so the source's explicit large-croaker family/size definition establishes groups 22 + 23. Their union covers juvenile/adult ages; generic demersal pools are excluded. Model catch proportions provide the split; allocation confidence remains Medium. Northern-shelf 2000s proxy transferred to whole-LME 2019 landings; fixed over 1950–2019.</x:v>
      </x:c>
      <x:c r="K238" s="1"/>
    </x:row>
    <x:row r="239" ht="102" customHeight="1">
      <x:c r="A239" s="2" t="s">
        <x:v>147</x:v>
      </x:c>
      <x:c r="B239" s="2" t="s">
        <x:v>148</x:v>
      </x:c>
      <x:c r="C239" s="2">
        <x:v>5</x:v>
      </x:c>
      <x:c r="D239" s="8">
        <x:v>0</x:v>
      </x:c>
      <x:c r="E239" s="8">
        <x:v>2.2400000000000002</x:v>
      </x:c>
      <x:c r="F239" s="8" t="s">
        <x:v>27</x:v>
      </x:c>
      <x:c r="G239" s="8">
        <x:f t="shared" si="9"/>
        <x:v>1.9582999999999999</x:v>
      </x:c>
      <x:c r="H239" s="9">
        <x:f t="shared" si="10"/>
        <x:v>0</x:v>
      </x:c>
      <x:c r="I239" s="2" t="s">
        <x:v>36</x:v>
      </x:c>
      <x:c r="J239" s="2" t="str">
        <x:v>Groups 5–12 form an explicit approximation to the saved demersal-invertebrate reporting class. The broader raw aquatic-invertebrate label does not verify that pelagic invertebrates are absent, so exclusion of jellyfish and caught zooplankton remains uncertain. Model catch proportions provide the split; allocation confidence remains Medium. Assumed composition is fixed across 1950–2019 and landings, total catch and discards; source model is a 2000s northern shelf representation.</x:v>
      </x:c>
      <x:c r="K239" s="1"/>
    </x:row>
    <x:row r="240" ht="102" customHeight="1">
      <x:c r="A240" s="2" t="s">
        <x:v>147</x:v>
      </x:c>
      <x:c r="B240" s="2" t="s">
        <x:v>149</x:v>
      </x:c>
      <x:c r="C240" s="2">
        <x:v>6</x:v>
      </x:c>
      <x:c r="D240" s="8">
        <x:v>2.0999999999999999E-3</x:v>
      </x:c>
      <x:c r="E240" s="8">
        <x:v>1.98</x:v>
      </x:c>
      <x:c r="F240" s="8" t="s">
        <x:v>27</x:v>
      </x:c>
      <x:c r="G240" s="8">
        <x:f t="shared" si="9"/>
        <x:v>1.9582999999999999</x:v>
      </x:c>
      <x:c r="H240" s="9">
        <x:f t="shared" si="10"/>
        <x:v>1.0723586784455905E-3</x:v>
      </x:c>
      <x:c r="I240" s="2" t="s">
        <x:v>36</x:v>
      </x:c>
      <x:c r="J240" s="2" t="str">
        <x:v>Groups 5–12 form an explicit approximation to the saved demersal-invertebrate reporting class. The broader raw aquatic-invertebrate label does not verify that pelagic invertebrates are absent, so exclusion of jellyfish and caught zooplankton remains uncertain. Model catch proportions provide the split; allocation confidence remains Medium. Assumed composition is fixed across 1950–2019 and landings, total catch and discards; source model is a 2000s northern shelf representation.</x:v>
      </x:c>
      <x:c r="K240" s="1"/>
    </x:row>
    <x:row r="241" ht="102" customHeight="1">
      <x:c r="A241" s="2" t="s">
        <x:v>147</x:v>
      </x:c>
      <x:c r="B241" s="2" t="s">
        <x:v>81</x:v>
      </x:c>
      <x:c r="C241" s="2">
        <x:v>7</x:v>
      </x:c>
      <x:c r="D241" s="8">
        <x:v>3.9100000000000003E-2</x:v>
      </x:c>
      <x:c r="E241" s="8">
        <x:v>1.43</x:v>
      </x:c>
      <x:c r="F241" s="8" t="s">
        <x:v>27</x:v>
      </x:c>
      <x:c r="G241" s="8">
        <x:f t="shared" si="9"/>
        <x:v>1.9582999999999999</x:v>
      </x:c>
      <x:c r="H241" s="9">
        <x:f t="shared" si="10"/>
        <x:v>1.9966297298677427E-2</x:v>
      </x:c>
      <x:c r="I241" s="2" t="s">
        <x:v>36</x:v>
      </x:c>
      <x:c r="J241" s="2" t="str">
        <x:v>Groups 5–12 form an explicit approximation to the saved demersal-invertebrate reporting class. The broader raw aquatic-invertebrate label does not verify that pelagic invertebrates are absent, so exclusion of jellyfish and caught zooplankton remains uncertain. Model catch proportions provide the split; allocation confidence remains Medium. Assumed composition is fixed across 1950–2019 and landings, total catch and discards; source model is a 2000s northern shelf representation.</x:v>
      </x:c>
      <x:c r="K241" s="1"/>
    </x:row>
    <x:row r="242" ht="102" customHeight="1">
      <x:c r="A242" s="2" t="s">
        <x:v>147</x:v>
      </x:c>
      <x:c r="B242" s="2" t="s">
        <x:v>150</x:v>
      </x:c>
      <x:c r="C242" s="2">
        <x:v>8</x:v>
      </x:c>
      <x:c r="D242" s="8">
        <x:v>0.76229999999999998</x:v>
      </x:c>
      <x:c r="E242" s="8">
        <x:v>2.68</x:v>
      </x:c>
      <x:c r="F242" s="8" t="s">
        <x:v>27</x:v>
      </x:c>
      <x:c r="G242" s="8">
        <x:f t="shared" si="9"/>
        <x:v>1.9582999999999999</x:v>
      </x:c>
      <x:c r="H242" s="9">
        <x:f t="shared" si="10"/>
        <x:v>0.38926620027574937</x:v>
      </x:c>
      <x:c r="I242" s="2" t="s">
        <x:v>36</x:v>
      </x:c>
      <x:c r="J242" s="2" t="str">
        <x:v>Groups 5–12 form an explicit approximation to the saved demersal-invertebrate reporting class. The broader raw aquatic-invertebrate label does not verify that pelagic invertebrates are absent, so exclusion of jellyfish and caught zooplankton remains uncertain. Model catch proportions provide the split; allocation confidence remains Medium. Assumed composition is fixed across 1950–2019 and landings, total catch and discards; source model is a 2000s northern shelf representation.</x:v>
      </x:c>
      <x:c r="K242" s="1"/>
    </x:row>
    <x:row r="243" ht="102" customHeight="1">
      <x:c r="A243" s="2" t="s">
        <x:v>147</x:v>
      </x:c>
      <x:c r="B243" s="2" t="s">
        <x:v>151</x:v>
      </x:c>
      <x:c r="C243" s="2">
        <x:v>9</x:v>
      </x:c>
      <x:c r="D243" s="8">
        <x:v>3.0000000000000001E-3</x:v>
      </x:c>
      <x:c r="E243" s="8">
        <x:v>2.61</x:v>
      </x:c>
      <x:c r="F243" s="8" t="s">
        <x:v>27</x:v>
      </x:c>
      <x:c r="G243" s="8">
        <x:f t="shared" si="9"/>
        <x:v>1.9582999999999999</x:v>
      </x:c>
      <x:c r="H243" s="9">
        <x:f t="shared" si="10"/>
        <x:v>1.5319409692079865E-3</x:v>
      </x:c>
      <x:c r="I243" s="2" t="s">
        <x:v>36</x:v>
      </x:c>
      <x:c r="J243" s="2" t="str">
        <x:v>Groups 5–12 form an explicit approximation to the saved demersal-invertebrate reporting class. The broader raw aquatic-invertebrate label does not verify that pelagic invertebrates are absent, so exclusion of jellyfish and caught zooplankton remains uncertain. Model catch proportions provide the split; allocation confidence remains Medium. Assumed composition is fixed across 1950–2019 and landings, total catch and discards; source model is a 2000s northern shelf representation.</x:v>
      </x:c>
      <x:c r="K243" s="1"/>
    </x:row>
    <x:row r="244" ht="102" customHeight="1">
      <x:c r="A244" s="2" t="s">
        <x:v>147</x:v>
      </x:c>
      <x:c r="B244" s="2" t="s">
        <x:v>82</x:v>
      </x:c>
      <x:c r="C244" s="2">
        <x:v>10</x:v>
      </x:c>
      <x:c r="D244" s="8">
        <x:v>0.67879999999999996</x:v>
      </x:c>
      <x:c r="E244" s="8">
        <x:v>0.19400000000000001</x:v>
      </x:c>
      <x:c r="F244" s="8" t="s">
        <x:v>27</x:v>
      </x:c>
      <x:c r="G244" s="8">
        <x:f t="shared" si="9"/>
        <x:v>1.9582999999999999</x:v>
      </x:c>
      <x:c r="H244" s="9">
        <x:f t="shared" si="10"/>
        <x:v>0.34662717663279374</x:v>
      </x:c>
      <x:c r="I244" s="2" t="s">
        <x:v>36</x:v>
      </x:c>
      <x:c r="J244" s="2" t="str">
        <x:v>Groups 5–12 form an explicit approximation to the saved demersal-invertebrate reporting class. The broader raw aquatic-invertebrate label does not verify that pelagic invertebrates are absent, so exclusion of jellyfish and caught zooplankton remains uncertain. Model catch proportions provide the split; allocation confidence remains Medium. Assumed composition is fixed across 1950–2019 and landings, total catch and discards; source model is a 2000s northern shelf representation.</x:v>
      </x:c>
      <x:c r="K244" s="1"/>
    </x:row>
    <x:row r="245" ht="102" customHeight="1">
      <x:c r="A245" s="2" t="s">
        <x:v>147</x:v>
      </x:c>
      <x:c r="B245" s="2" t="s">
        <x:v>83</x:v>
      </x:c>
      <x:c r="C245" s="2">
        <x:v>11</x:v>
      </x:c>
      <x:c r="D245" s="8">
        <x:v>0.19969999999999999</x:v>
      </x:c>
      <x:c r="E245" s="8">
        <x:v>0.36799999999999999</x:v>
      </x:c>
      <x:c r="F245" s="8" t="s">
        <x:v>27</x:v>
      </x:c>
      <x:c r="G245" s="8">
        <x:f t="shared" si="9"/>
        <x:v>1.9582999999999999</x:v>
      </x:c>
      <x:c r="H245" s="9">
        <x:f t="shared" si="10"/>
        <x:v>0.10197620385027829</x:v>
      </x:c>
      <x:c r="I245" s="2" t="s">
        <x:v>36</x:v>
      </x:c>
      <x:c r="J245" s="2" t="str">
        <x:v>Groups 5–12 form an explicit approximation to the saved demersal-invertebrate reporting class. The broader raw aquatic-invertebrate label does not verify that pelagic invertebrates are absent, so exclusion of jellyfish and caught zooplankton remains uncertain. Model catch proportions provide the split; allocation confidence remains Medium. Assumed composition is fixed across 1950–2019 and landings, total catch and discards; source model is a 2000s northern shelf representation.</x:v>
      </x:c>
      <x:c r="K245" s="1"/>
    </x:row>
    <x:row r="246" ht="102" customHeight="1">
      <x:c r="A246" s="2" t="s">
        <x:v>147</x:v>
      </x:c>
      <x:c r="B246" s="2" t="s">
        <x:v>152</x:v>
      </x:c>
      <x:c r="C246" s="2">
        <x:v>12</x:v>
      </x:c>
      <x:c r="D246" s="8">
        <x:v>0.27329999999999999</x:v>
      </x:c>
      <x:c r="E246" s="8">
        <x:v>0.68</x:v>
      </x:c>
      <x:c r="F246" s="8" t="s">
        <x:v>27</x:v>
      </x:c>
      <x:c r="G246" s="8">
        <x:f t="shared" si="9"/>
        <x:v>1.9582999999999999</x:v>
      </x:c>
      <x:c r="H246" s="9">
        <x:f t="shared" si="10"/>
        <x:v>0.13955982229484756</x:v>
      </x:c>
      <x:c r="I246" s="2" t="s">
        <x:v>36</x:v>
      </x:c>
      <x:c r="J246" s="2" t="str">
        <x:v>Groups 5–12 form an explicit approximation to the saved demersal-invertebrate reporting class. The broader raw aquatic-invertebrate label does not verify that pelagic invertebrates are absent, so exclusion of jellyfish and caught zooplankton remains uncertain. Model catch proportions provide the split; allocation confidence remains Medium. Assumed composition is fixed across 1950–2019 and landings, total catch and discards; source model is a 2000s northern shelf representation.</x:v>
      </x:c>
      <x:c r="K246" s="1"/>
    </x:row>
    <x:row r="247" ht="72" customHeight="1">
      <x:c r="A247" s="2" t="s">
        <x:v>153</x:v>
      </x:c>
      <x:c r="B247" s="2" t="s">
        <x:v>80</x:v>
      </x:c>
      <x:c r="C247" s="2">
        <x:v>3</x:v>
      </x:c>
      <x:c r="D247" s="8">
        <x:v>9.4799999999999995E-2</x:v>
      </x:c>
      <x:c r="E247" s="8">
        <x:v>9</x:v>
      </x:c>
      <x:c r="F247" s="8" t="s">
        <x:v>27</x:v>
      </x:c>
      <x:c r="G247" s="8">
        <x:f t="shared" si="9"/>
        <x:v>1.0124</x:v>
      </x:c>
      <x:c r="H247" s="9">
        <x:f t="shared" si="10"/>
        <x:v>9.3638877913868032E-2</x:v>
      </x:c>
      <x:c r="I247" s="2" t="s">
        <x:v>36</x:v>
      </x:c>
      <x:c r="J247" s="2" t="str">
        <x:v>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 </x:v>
      </x:c>
      <x:c r="K247" s="1"/>
    </x:row>
    <x:row r="248" ht="72" customHeight="1">
      <x:c r="A248" s="2" t="s">
        <x:v>153</x:v>
      </x:c>
      <x:c r="B248" s="2" t="s">
        <x:v>81</x:v>
      </x:c>
      <x:c r="C248" s="2">
        <x:v>7</x:v>
      </x:c>
      <x:c r="D248" s="8">
        <x:v>3.9100000000000003E-2</x:v>
      </x:c>
      <x:c r="E248" s="8">
        <x:v>1.43</x:v>
      </x:c>
      <x:c r="F248" s="8" t="s">
        <x:v>27</x:v>
      </x:c>
      <x:c r="G248" s="8">
        <x:f t="shared" si="9"/>
        <x:v>1.0124</x:v>
      </x:c>
      <x:c r="H248" s="9">
        <x:f t="shared" si="10"/>
        <x:v>3.8621098380086927E-2</x:v>
      </x:c>
      <x:c r="I248" s="2" t="s">
        <x:v>36</x:v>
      </x:c>
      <x:c r="J248" s="2" t="str">
        <x:v>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 </x:v>
      </x:c>
      <x:c r="K248" s="1"/>
    </x:row>
    <x:row r="249" ht="72" customHeight="1">
      <x:c r="A249" s="2" t="s">
        <x:v>153</x:v>
      </x:c>
      <x:c r="B249" s="2" t="s">
        <x:v>82</x:v>
      </x:c>
      <x:c r="C249" s="2">
        <x:v>10</x:v>
      </x:c>
      <x:c r="D249" s="8">
        <x:v>0.67879999999999996</x:v>
      </x:c>
      <x:c r="E249" s="8">
        <x:v>0.19400000000000001</x:v>
      </x:c>
      <x:c r="F249" s="8" t="s">
        <x:v>27</x:v>
      </x:c>
      <x:c r="G249" s="8">
        <x:f t="shared" si="9"/>
        <x:v>1.0124</x:v>
      </x:c>
      <x:c r="H249" s="9">
        <x:f t="shared" si="10"/>
        <x:v>0.67048597392335041</x:v>
      </x:c>
      <x:c r="I249" s="2" t="s">
        <x:v>36</x:v>
      </x:c>
      <x:c r="J249" s="2" t="str">
        <x:v>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 </x:v>
      </x:c>
      <x:c r="K249" s="1"/>
    </x:row>
    <x:row r="250" ht="72" customHeight="1">
      <x:c r="A250" s="2" t="s">
        <x:v>153</x:v>
      </x:c>
      <x:c r="B250" s="2" t="s">
        <x:v>83</x:v>
      </x:c>
      <x:c r="C250" s="2">
        <x:v>11</x:v>
      </x:c>
      <x:c r="D250" s="8">
        <x:v>0.19969999999999999</x:v>
      </x:c>
      <x:c r="E250" s="8">
        <x:v>0.36799999999999999</x:v>
      </x:c>
      <x:c r="F250" s="8" t="s">
        <x:v>27</x:v>
      </x:c>
      <x:c r="G250" s="8">
        <x:f t="shared" si="9"/>
        <x:v>1.0124</x:v>
      </x:c>
      <x:c r="H250" s="9">
        <x:f t="shared" si="10"/>
        <x:v>0.19725404978269459</x:v>
      </x:c>
      <x:c r="I250" s="2" t="s">
        <x:v>36</x:v>
      </x:c>
      <x:c r="J250" s="2" t="str">
        <x:v>The set includes Acetes/Zooplankton, residual benthic crustaceans, Shrimps and Crabs. These are meaningful crustacean intersections. Interpreting the broad reporting label and using whole pools as proxies remain explicit assumptions. Model catch proportions provide the split; allocation confidence remains Medium. </x:v>
      </x:c>
      <x:c r="K250" s="1"/>
    </x:row>
    <x:row r="251" ht="117" customHeight="1">
      <x:c r="A251" s="2" t="s">
        <x:v>154</x:v>
      </x:c>
      <x:c r="B251" s="2" t="s">
        <x:v>35</x:v>
      </x:c>
      <x:c r="C251" s="2">
        <x:v>30</x:v>
      </x:c>
      <x:c r="D251" s="8">
        <x:v>0.73839999999999995</x:v>
      </x:c>
      <x:c r="E251" s="8">
        <x:v>0.28899999999999998</x:v>
      </x:c>
      <x:c r="F251" s="8" t="s">
        <x:v>27</x:v>
      </x:c>
      <x:c r="G251" s="8">
        <x:f t="shared" si="9"/>
        <x:v>0.82050000000000001</x:v>
      </x:c>
      <x:c r="H251" s="9">
        <x:f t="shared" si="10"/>
        <x:v>0.89993906154783665</x:v>
      </x:c>
      <x:c r="I251" s="2" t="s">
        <x:v>36</x:v>
      </x:c>
      <x:c r="J251"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333 cm TL; Marine;  pelagic-oceanic; oceanodromous. Model catch proportions provide the split; allocation confidence remains Medium. Northern-shelf 2000s proxy transferred to whole-LME 2019 landings; fixed over 1950–2019.</x:v>
      </x:c>
      <x:c r="K251" s="1"/>
    </x:row>
    <x:row r="252" ht="117" customHeight="1">
      <x:c r="A252" s="2" t="s">
        <x:v>154</x:v>
      </x:c>
      <x:c r="B252" s="2" t="s">
        <x:v>37</x:v>
      </x:c>
      <x:c r="C252" s="2">
        <x:v>31</x:v>
      </x:c>
      <x:c r="D252" s="8">
        <x:v>8.2100000000000006E-2</x:v>
      </x:c>
      <x:c r="E252" s="8">
        <x:v>7.9000000000000001E-2</x:v>
      </x:c>
      <x:c r="F252" s="8" t="s">
        <x:v>27</x:v>
      </x:c>
      <x:c r="G252" s="8">
        <x:f t="shared" si="9"/>
        <x:v>0.82050000000000001</x:v>
      </x:c>
      <x:c r="H252" s="9">
        <x:f t="shared" si="10"/>
        <x:v>0.10006093845216332</x:v>
      </x:c>
      <x:c r="I252" s="2" t="s">
        <x:v>36</x:v>
      </x:c>
      <x:c r="J252"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333 cm TL; Marine;  pelagic-oceanic; oceanodromous. Model catch proportions provide the split; allocation confidence remains Medium. Northern-shelf 2000s proxy transferred to whole-LME 2019 landings; fixed over 1950–2019.</x:v>
      </x:c>
      <x:c r="K252" s="1"/>
    </x:row>
    <x:row r="253" ht="72" customHeight="1">
      <x:c r="A253" s="2" t="s">
        <x:v>155</x:v>
      </x:c>
      <x:c r="B253" s="2" t="s">
        <x:v>150</x:v>
      </x:c>
      <x:c r="C253" s="2">
        <x:v>8</x:v>
      </x:c>
      <x:c r="D253" s="8">
        <x:v>0.76229999999999998</x:v>
      </x:c>
      <x:c r="E253" s="8">
        <x:v>2.68</x:v>
      </x:c>
      <x:c r="F253" s="8" t="s">
        <x:v>27</x:v>
      </x:c>
      <x:c r="G253" s="8">
        <x:f t="shared" si="9"/>
        <x:v>1.0356000000000001</x:v>
      </x:c>
      <x:c r="H253" s="9">
        <x:f t="shared" si="10"/>
        <x:v>0.73609501738122818</x:v>
      </x:c>
      <x:c r="I253" s="2" t="s">
        <x:v>36</x:v>
      </x:c>
      <x:c r="J253" s="2" t="str">
        <x:v>The source explicitly separates cephalopods from non-cephalopod molluscs and uses their catch difference. Both are included in the current union, so taxonomic membership is exhaustive; weights remain assumed. Model catch proportions provide the split; allocation confidence remains Medium. </x:v>
      </x:c>
      <x:c r="K253" s="1"/>
    </x:row>
    <x:row r="254" ht="72" customHeight="1">
      <x:c r="A254" s="2" t="s">
        <x:v>155</x:v>
      </x:c>
      <x:c r="B254" s="2" t="s">
        <x:v>152</x:v>
      </x:c>
      <x:c r="C254" s="2">
        <x:v>12</x:v>
      </x:c>
      <x:c r="D254" s="8">
        <x:v>0.27329999999999999</x:v>
      </x:c>
      <x:c r="E254" s="8">
        <x:v>0.68</x:v>
      </x:c>
      <x:c r="F254" s="8" t="s">
        <x:v>27</x:v>
      </x:c>
      <x:c r="G254" s="8">
        <x:f t="shared" si="9"/>
        <x:v>1.0356000000000001</x:v>
      </x:c>
      <x:c r="H254" s="9">
        <x:f t="shared" si="10"/>
        <x:v>0.26390498261877171</x:v>
      </x:c>
      <x:c r="I254" s="2" t="s">
        <x:v>36</x:v>
      </x:c>
      <x:c r="J254" s="2" t="str">
        <x:v>The source explicitly separates cephalopods from non-cephalopod molluscs and uses their catch difference. Both are included in the current union, so taxonomic membership is exhaustive; weights remain assumed. Model catch proportions provide the split; allocation confidence remains Medium. </x:v>
      </x:c>
      <x:c r="K254" s="1"/>
    </x:row>
    <x:row r="255" ht="87" customHeight="1">
      <x:c r="A255" s="2" t="s">
        <x:v>156</x:v>
      </x:c>
      <x:c r="B255" s="2" t="s">
        <x:v>39</x:v>
      </x:c>
      <x:c r="C255" s="2">
        <x:v>25</x:v>
      </x:c>
      <x:c r="D255" s="8">
        <x:v>0.3165</x:v>
      </x:c>
      <x:c r="E255" s="8">
        <x:v>0.14299999999999999</x:v>
      </x:c>
      <x:c r="F255" s="8" t="s">
        <x:v>27</x:v>
      </x:c>
      <x:c r="G255" s="8">
        <x:f t="shared" si="9"/>
        <x:v>0.35170000000000001</x:v>
      </x:c>
      <x:c r="H255" s="9">
        <x:f t="shared" si="10"/>
        <x:v>0.89991470002843332</x:v>
      </x:c>
      <x:c r="I255" s="2" t="s">
        <x:v>36</x:v>
      </x:c>
      <x:c r="J255" s="2" t="str">
        <x:v>The family includes Cantherhines pardalis at 25 cm TL and Aluterus monoceros at 76.2 cm TL; the latter also forms midwater/surface associations. Current 25 + 26 cannot represent this demonstrated size/habitat mix without a catch-composition argument. Model catch proportions provide the split; allocation confidence remains Medium. Northern-shelf 2000s proxy transferred to whole-LME 2019 landings; fixed over 1950–2019.</x:v>
      </x:c>
      <x:c r="K255" s="1"/>
    </x:row>
    <x:row r="256" ht="87" customHeight="1">
      <x:c r="A256" s="2" t="s">
        <x:v>156</x:v>
      </x:c>
      <x:c r="B256" s="2" t="s">
        <x:v>40</x:v>
      </x:c>
      <x:c r="C256" s="2">
        <x:v>26</x:v>
      </x:c>
      <x:c r="D256" s="8">
        <x:v>3.5200000000000002E-2</x:v>
      </x:c>
      <x:c r="E256" s="8">
        <x:v>2.1000000000000001E-2</x:v>
      </x:c>
      <x:c r="F256" s="8" t="s">
        <x:v>27</x:v>
      </x:c>
      <x:c r="G256" s="8">
        <x:f t="shared" si="9"/>
        <x:v>0.35170000000000001</x:v>
      </x:c>
      <x:c r="H256" s="9">
        <x:f t="shared" si="10"/>
        <x:v>0.10008529997156668</x:v>
      </x:c>
      <x:c r="I256" s="2" t="s">
        <x:v>36</x:v>
      </x:c>
      <x:c r="J256" s="2" t="str">
        <x:v>The family includes Cantherhines pardalis at 25 cm TL and Aluterus monoceros at 76.2 cm TL; the latter also forms midwater/surface associations. Current 25 + 26 cannot represent this demonstrated size/habitat mix without a catch-composition argument. Model catch proportions provide the split; allocation confidence remains Medium. Northern-shelf 2000s proxy transferred to whole-LME 2019 landings; fixed over 1950–2019.</x:v>
      </x:c>
      <x:c r="K256" s="1"/>
    </x:row>
    <x:row r="257" ht="87" customHeight="1">
      <x:c r="A257" s="2" t="s">
        <x:v>157</x:v>
      </x:c>
      <x:c r="B257" s="2" t="s">
        <x:v>39</x:v>
      </x:c>
      <x:c r="C257" s="2">
        <x:v>25</x:v>
      </x:c>
      <x:c r="D257" s="8">
        <x:v>0.3165</x:v>
      </x:c>
      <x:c r="E257" s="8">
        <x:v>0.14299999999999999</x:v>
      </x:c>
      <x:c r="F257" s="8" t="s">
        <x:v>27</x:v>
      </x:c>
      <x:c r="G257" s="8">
        <x:f t="shared" si="9"/>
        <x:v>0.35170000000000001</x:v>
      </x:c>
      <x:c r="H257" s="9">
        <x:f t="shared" si="10"/>
        <x:v>0.89991470002843332</x:v>
      </x:c>
      <x:c r="I257" s="2" t="s">
        <x:v>36</x:v>
      </x:c>
      <x:c r="J257" s="2" t="str">
        <x:v>The principal regional M. cephalus is explicitly benthopelagic and well above 30 cm, while genus catch is currently assigned only 25 + 26. Its species-level mapping to 27 exposes a real habitat-set inconsistency that unknown stage weights cannot explain. Model catch proportions provide the split; allocation confidence remains Medium. Northern-shelf 2000s proxy transferred to whole-LME 2019 landings; fixed over 1950–2019.</x:v>
      </x:c>
      <x:c r="K257" s="1"/>
    </x:row>
    <x:row r="258" ht="87" customHeight="1">
      <x:c r="A258" s="2" t="s">
        <x:v>157</x:v>
      </x:c>
      <x:c r="B258" s="2" t="s">
        <x:v>40</x:v>
      </x:c>
      <x:c r="C258" s="2">
        <x:v>26</x:v>
      </x:c>
      <x:c r="D258" s="8">
        <x:v>3.5200000000000002E-2</x:v>
      </x:c>
      <x:c r="E258" s="8">
        <x:v>2.1000000000000001E-2</x:v>
      </x:c>
      <x:c r="F258" s="8" t="s">
        <x:v>27</x:v>
      </x:c>
      <x:c r="G258" s="8">
        <x:f t="shared" si="9"/>
        <x:v>0.35170000000000001</x:v>
      </x:c>
      <x:c r="H258" s="9">
        <x:f t="shared" si="10"/>
        <x:v>0.10008529997156668</x:v>
      </x:c>
      <x:c r="I258" s="2" t="s">
        <x:v>36</x:v>
      </x:c>
      <x:c r="J258" s="2" t="str">
        <x:v>The principal regional M. cephalus is explicitly benthopelagic and well above 30 cm, while genus catch is currently assigned only 25 + 26. Its species-level mapping to 27 exposes a real habitat-set inconsistency that unknown stage weights cannot explain. Model catch proportions provide the split; allocation confidence remains Medium. Northern-shelf 2000s proxy transferred to whole-LME 2019 landings; fixed over 1950–2019.</x:v>
      </x:c>
      <x:c r="K258" s="1"/>
    </x:row>
    <x:row r="259" ht="87" customHeight="1">
      <x:c r="A259" s="2" t="s">
        <x:v>158</x:v>
      </x:c>
      <x:c r="B259" s="2" t="s">
        <x:v>39</x:v>
      </x:c>
      <x:c r="C259" s="2">
        <x:v>25</x:v>
      </x:c>
      <x:c r="D259" s="8">
        <x:v>0.3165</x:v>
      </x:c>
      <x:c r="E259" s="8">
        <x:v>0.14299999999999999</x:v>
      </x:c>
      <x:c r="F259" s="8" t="s">
        <x:v>27</x:v>
      </x:c>
      <x:c r="G259" s="8">
        <x:f t="shared" si="9"/>
        <x:v>0.35170000000000001</x:v>
      </x:c>
      <x:c r="H259" s="9">
        <x:f t="shared" si="10"/>
        <x:v>0.89991470002843332</x:v>
      </x:c>
      <x:c r="I259" s="2" t="s">
        <x:v>36</x:v>
      </x:c>
      <x:c r="J259" s="2" t="str">
        <x:v>Regional mullets include explicitly benthopelagic Mugil cephalus and pelagic-neritic Planiliza haematocheilus. Both are large, but neither family membership nor detrital/benthic feeding establishes the current exclusive demersal pair. Model catch proportions provide the split; allocation confidence remains Medium. Northern-shelf 2000s proxy transferred to whole-LME 2019 landings; fixed over 1950–2019.</x:v>
      </x:c>
      <x:c r="K259" s="1"/>
    </x:row>
    <x:row r="260" ht="87" customHeight="1">
      <x:c r="A260" s="2" t="s">
        <x:v>158</x:v>
      </x:c>
      <x:c r="B260" s="2" t="s">
        <x:v>40</x:v>
      </x:c>
      <x:c r="C260" s="2">
        <x:v>26</x:v>
      </x:c>
      <x:c r="D260" s="8">
        <x:v>3.5200000000000002E-2</x:v>
      </x:c>
      <x:c r="E260" s="8">
        <x:v>2.1000000000000001E-2</x:v>
      </x:c>
      <x:c r="F260" s="8" t="s">
        <x:v>27</x:v>
      </x:c>
      <x:c r="G260" s="8">
        <x:f t="shared" si="9"/>
        <x:v>0.35170000000000001</x:v>
      </x:c>
      <x:c r="H260" s="9">
        <x:f t="shared" si="10"/>
        <x:v>0.10008529997156668</x:v>
      </x:c>
      <x:c r="I260" s="2" t="s">
        <x:v>36</x:v>
      </x:c>
      <x:c r="J260" s="2" t="str">
        <x:v>Regional mullets include explicitly benthopelagic Mugil cephalus and pelagic-neritic Planiliza haematocheilus. Both are large, but neither family membership nor detrital/benthic feeding establishes the current exclusive demersal pair. Model catch proportions provide the split; allocation confidence remains Medium. Northern-shelf 2000s proxy transferred to whole-LME 2019 landings; fixed over 1950–2019.</x:v>
      </x:c>
      <x:c r="K260" s="1"/>
    </x:row>
    <x:row r="261" ht="87" customHeight="1">
      <x:c r="A261" s="2" t="s">
        <x:v>159</x:v>
      </x:c>
      <x:c r="B261" s="2" t="s">
        <x:v>39</x:v>
      </x:c>
      <x:c r="C261" s="2">
        <x:v>25</x:v>
      </x:c>
      <x:c r="D261" s="8">
        <x:v>0.3165</x:v>
      </x:c>
      <x:c r="E261" s="8">
        <x:v>0.14299999999999999</x:v>
      </x:c>
      <x:c r="F261" s="8" t="s">
        <x:v>27</x:v>
      </x:c>
      <x:c r="G261" s="8">
        <x:f t="shared" si="9"/>
        <x:v>0.35170000000000001</x:v>
      </x:c>
      <x:c r="H261" s="9">
        <x:f t="shared" si="10"/>
        <x:v>0.89991470002843332</x:v>
      </x:c>
      <x:c r="I261" s="2" t="s">
        <x:v>36</x:v>
      </x:c>
      <x:c r="J261" s="2" t="str">
        <x:v>Mullidae spans the source size classes: Upeneus moluccensis reaches 22.5 cm TL while Parupeneus barberinus reaches 60 cm TL. Both forage at the bottom, so the concrete problem is omission of small-demersal group 24 from the current large pair. Model catch proportions provide the split; allocation confidence remains Medium. Northern-shelf 2000s proxy transferred to whole-LME 2019 landings; fixed over 1950–2019.</x:v>
      </x:c>
      <x:c r="K261" s="1"/>
    </x:row>
    <x:row r="262" ht="87" customHeight="1">
      <x:c r="A262" s="2" t="s">
        <x:v>159</x:v>
      </x:c>
      <x:c r="B262" s="2" t="s">
        <x:v>40</x:v>
      </x:c>
      <x:c r="C262" s="2">
        <x:v>26</x:v>
      </x:c>
      <x:c r="D262" s="8">
        <x:v>3.5200000000000002E-2</x:v>
      </x:c>
      <x:c r="E262" s="8">
        <x:v>2.1000000000000001E-2</x:v>
      </x:c>
      <x:c r="F262" s="8" t="s">
        <x:v>27</x:v>
      </x:c>
      <x:c r="G262" s="8" t="n">
        <x:f t="shared" ref="G262:G325" si="11">SUMIFS($D$6:$D$449,$A$6:$A$449,A262)</x:f>
        <x:v>0.3517</x:v>
      </x:c>
      <x:c r="H262" s="9">
        <x:f t="shared" si="10"/>
        <x:v>0.10008529997156668</x:v>
      </x:c>
      <x:c r="I262" s="2" t="s">
        <x:v>36</x:v>
      </x:c>
      <x:c r="J262" s="2" t="str">
        <x:v>Mullidae spans the source size classes: Upeneus moluccensis reaches 22.5 cm TL while Parupeneus barberinus reaches 60 cm TL. Both forage at the bottom, so the concrete problem is omission of small-demersal group 24 from the current large pair. Model catch proportions provide the split; allocation confidence remains Medium. Northern-shelf 2000s proxy transferred to whole-LME 2019 landings; fixed over 1950–2019.</x:v>
      </x:c>
      <x:c r="K262" s="1"/>
    </x:row>
    <x:row r="263" ht="102" customHeight="1">
      <x:c r="A263" s="2" t="s">
        <x:v>160</x:v>
      </x:c>
      <x:c r="B263" s="2" t="s">
        <x:v>39</x:v>
      </x:c>
      <x:c r="C263" s="2">
        <x:v>25</x:v>
      </x:c>
      <x:c r="D263" s="8">
        <x:v>0.3165</x:v>
      </x:c>
      <x:c r="E263" s="8">
        <x:v>0.14299999999999999</x:v>
      </x:c>
      <x:c r="F263" s="8" t="s">
        <x:v>27</x:v>
      </x:c>
      <x:c r="G263" s="8">
        <x:f t="shared" si="11"/>
        <x:v>0.35170000000000001</x:v>
      </x:c>
      <x:c r="H263" s="9">
        <x:f t="shared" si="10"/>
        <x:v>0.89991470002843332</x:v>
      </x:c>
      <x:c r="I263" s="2" t="s">
        <x:v>36</x:v>
      </x:c>
      <x:c r="J263" s="2" t="str">
        <x:v>The checked regional family members are large pike congers: Congresox, Muraenesox, Oxyconger and Gavialiceps maxima exceed 30 cm TL and their relevant ecology is bottom-associated. Residual 25 + 26 form a supported assumed family set; bathydemersal members create transfer caveats rather than a different water-column guild. Model catch proportions provide the split; allocation confidence remains Medium. Northern-shelf 2000s proxy transferred to whole-LME 2019 landings; fixed over 1950–2019.</x:v>
      </x:c>
      <x:c r="K263" s="1"/>
    </x:row>
    <x:row r="264" ht="102" customHeight="1">
      <x:c r="A264" s="2" t="s">
        <x:v>160</x:v>
      </x:c>
      <x:c r="B264" s="2" t="s">
        <x:v>40</x:v>
      </x:c>
      <x:c r="C264" s="2">
        <x:v>26</x:v>
      </x:c>
      <x:c r="D264" s="8">
        <x:v>3.5200000000000002E-2</x:v>
      </x:c>
      <x:c r="E264" s="8">
        <x:v>2.1000000000000001E-2</x:v>
      </x:c>
      <x:c r="F264" s="8" t="s">
        <x:v>27</x:v>
      </x:c>
      <x:c r="G264" s="8">
        <x:f t="shared" si="11"/>
        <x:v>0.35170000000000001</x:v>
      </x:c>
      <x:c r="H264" s="9">
        <x:f t="shared" si="10"/>
        <x:v>0.10008529997156668</x:v>
      </x:c>
      <x:c r="I264" s="2" t="s">
        <x:v>36</x:v>
      </x:c>
      <x:c r="J264" s="2" t="str">
        <x:v>The checked regional family members are large pike congers: Congresox, Muraenesox, Oxyconger and Gavialiceps maxima exceed 30 cm TL and their relevant ecology is bottom-associated. Residual 25 + 26 form a supported assumed family set; bathydemersal members create transfer caveats rather than a different water-column guild. Model catch proportions provide the split; allocation confidence remains Medium. Northern-shelf 2000s proxy transferred to whole-LME 2019 landings; fixed over 1950–2019.</x:v>
      </x:c>
      <x:c r="K264" s="1"/>
    </x:row>
    <x:row r="265" ht="87" customHeight="1">
      <x:c r="A265" s="2" t="s">
        <x:v>161</x:v>
      </x:c>
      <x:c r="B265" s="2" t="s">
        <x:v>39</x:v>
      </x:c>
      <x:c r="C265" s="2">
        <x:v>25</x:v>
      </x:c>
      <x:c r="D265" s="8">
        <x:v>0.3165</x:v>
      </x:c>
      <x:c r="E265" s="8">
        <x:v>0.14299999999999999</x:v>
      </x:c>
      <x:c r="F265" s="8" t="s">
        <x:v>27</x:v>
      </x:c>
      <x:c r="G265" s="8">
        <x:f t="shared" si="11"/>
        <x:v>0.35170000000000001</x:v>
      </x:c>
      <x:c r="H265" s="9">
        <x:f t="shared" si="10"/>
        <x:v>0.89991470002843332</x:v>
      </x:c>
      <x:c r="I265" s="2" t="s">
        <x:v>36</x:v>
      </x:c>
      <x:c r="J265" s="2" t="str">
        <x:v>Regional pike-conger evidence identifies large benthic M. cinereus and M. bagio; their maxima are far above 30 cm. This supports 25 + 26 as an assumed eligible set, without requiring a genus catch-age composition or treating the genus rank itself as weak evidence. Model catch proportions provide the split; allocation confidence remains Medium. Northern-shelf 2000s proxy transferred to whole-LME 2019 landings; fixed over 1950–2019.</x:v>
      </x:c>
      <x:c r="K265" s="1"/>
    </x:row>
    <x:row r="266" ht="87" customHeight="1">
      <x:c r="A266" s="2" t="s">
        <x:v>161</x:v>
      </x:c>
      <x:c r="B266" s="2" t="s">
        <x:v>40</x:v>
      </x:c>
      <x:c r="C266" s="2">
        <x:v>26</x:v>
      </x:c>
      <x:c r="D266" s="8">
        <x:v>3.5200000000000002E-2</x:v>
      </x:c>
      <x:c r="E266" s="8">
        <x:v>2.1000000000000001E-2</x:v>
      </x:c>
      <x:c r="F266" s="8" t="s">
        <x:v>27</x:v>
      </x:c>
      <x:c r="G266" s="8">
        <x:f t="shared" si="11"/>
        <x:v>0.35170000000000001</x:v>
      </x:c>
      <x:c r="H266" s="9">
        <x:f t="shared" si="10"/>
        <x:v>0.10008529997156668</x:v>
      </x:c>
      <x:c r="I266" s="2" t="s">
        <x:v>36</x:v>
      </x:c>
      <x:c r="J266" s="2" t="str">
        <x:v>Regional pike-conger evidence identifies large benthic M. cinereus and M. bagio; their maxima are far above 30 cm. This supports 25 + 26 as an assumed eligible set, without requiring a genus catch-age composition or treating the genus rank itself as weak evidence. Model catch proportions provide the split; allocation confidence remains Medium. Northern-shelf 2000s proxy transferred to whole-LME 2019 landings; fixed over 1950–2019.</x:v>
      </x:c>
      <x:c r="K266" s="1"/>
    </x:row>
    <x:row r="267" ht="102" customHeight="1">
      <x:c r="A267" s="2" t="s">
        <x:v>162</x:v>
      </x:c>
      <x:c r="B267" s="2" t="s">
        <x:v>39</x:v>
      </x:c>
      <x:c r="C267" s="2">
        <x:v>25</x:v>
      </x:c>
      <x:c r="D267" s="8">
        <x:v>0.3165</x:v>
      </x:c>
      <x:c r="E267" s="8">
        <x:v>0.14299999999999999</x:v>
      </x:c>
      <x:c r="F267" s="8" t="s">
        <x:v>27</x:v>
      </x:c>
      <x:c r="G267" s="8">
        <x:f t="shared" si="11"/>
        <x:v>0.35170000000000001</x:v>
      </x:c>
      <x:c r="H267" s="9">
        <x:f t="shared" si="10"/>
        <x:v>0.89991470002843332</x:v>
      </x:c>
      <x:c r="I267" s="2" t="s">
        <x:v>36</x:v>
      </x:c>
      <x:c r="J267" s="2" t="str">
        <x:v>Verified demersal soft-bottom ecology, maximum 220 cm TL and exclusion from every dedicated family pool satisfy the complete residual large-demersal definition. Groups 25 + 26 cover the stage union; uncertain catch ages and the 18–24-month convention do not create an outside candidate. Model catch proportions provide the split; allocation confidence remains Medium. Northern-shelf 2000s proxy transferred to whole-LME 2019 landings; fixed over 1950–2019.</x:v>
      </x:c>
      <x:c r="K267" s="1"/>
    </x:row>
    <x:row r="268" ht="102" customHeight="1">
      <x:c r="A268" s="2" t="s">
        <x:v>162</x:v>
      </x:c>
      <x:c r="B268" s="2" t="s">
        <x:v>40</x:v>
      </x:c>
      <x:c r="C268" s="2">
        <x:v>26</x:v>
      </x:c>
      <x:c r="D268" s="8">
        <x:v>3.5200000000000002E-2</x:v>
      </x:c>
      <x:c r="E268" s="8">
        <x:v>2.1000000000000001E-2</x:v>
      </x:c>
      <x:c r="F268" s="8" t="s">
        <x:v>27</x:v>
      </x:c>
      <x:c r="G268" s="8">
        <x:f t="shared" si="11"/>
        <x:v>0.35170000000000001</x:v>
      </x:c>
      <x:c r="H268" s="9">
        <x:f t="shared" si="10"/>
        <x:v>0.10008529997156668</x:v>
      </x:c>
      <x:c r="I268" s="2" t="s">
        <x:v>36</x:v>
      </x:c>
      <x:c r="J268" s="2" t="str">
        <x:v>Verified demersal soft-bottom ecology, maximum 220 cm TL and exclusion from every dedicated family pool satisfy the complete residual large-demersal definition. Groups 25 + 26 cover the stage union; uncertain catch ages and the 18–24-month convention do not create an outside candidate. Model catch proportions provide the split; allocation confidence remains Medium. Northern-shelf 2000s proxy transferred to whole-LME 2019 landings; fixed over 1950–2019.</x:v>
      </x:c>
      <x:c r="K268" s="1"/>
    </x:row>
    <x:row r="269" ht="87" customHeight="1">
      <x:c r="A269" s="2" t="s">
        <x:v>163</x:v>
      </x:c>
      <x:c r="B269" s="2" t="s">
        <x:v>39</x:v>
      </x:c>
      <x:c r="C269" s="2">
        <x:v>25</x:v>
      </x:c>
      <x:c r="D269" s="8">
        <x:v>0.3165</x:v>
      </x:c>
      <x:c r="E269" s="8">
        <x:v>0.14299999999999999</x:v>
      </x:c>
      <x:c r="F269" s="8" t="s">
        <x:v>27</x:v>
      </x:c>
      <x:c r="G269" s="8">
        <x:f t="shared" si="11"/>
        <x:v>0.35170000000000001</x:v>
      </x:c>
      <x:c r="H269" s="9">
        <x:f t="shared" si="10"/>
        <x:v>0.89991470002843332</x:v>
      </x:c>
      <x:c r="I269" s="2" t="s">
        <x:v>36</x:v>
      </x:c>
      <x:c r="J269" s="2" t="str">
        <x:v>The family includes benthic Gymnothorax melatremus with maximum 30 cm TL, documented in a Taiwan-focused taxonomic account. Current 25 + 26 therefore omit a small-species candidate, even though many familiar morays are large. Model catch proportions provide the split; allocation confidence remains Medium. Northern-shelf 2000s proxy transferred to whole-LME 2019 landings; fixed over 1950–2019.</x:v>
      </x:c>
      <x:c r="K269" s="1"/>
    </x:row>
    <x:row r="270" ht="87" customHeight="1">
      <x:c r="A270" s="2" t="s">
        <x:v>163</x:v>
      </x:c>
      <x:c r="B270" s="2" t="s">
        <x:v>40</x:v>
      </x:c>
      <x:c r="C270" s="2">
        <x:v>26</x:v>
      </x:c>
      <x:c r="D270" s="8">
        <x:v>3.5200000000000002E-2</x:v>
      </x:c>
      <x:c r="E270" s="8">
        <x:v>2.1000000000000001E-2</x:v>
      </x:c>
      <x:c r="F270" s="8" t="s">
        <x:v>27</x:v>
      </x:c>
      <x:c r="G270" s="8">
        <x:f t="shared" si="11"/>
        <x:v>0.35170000000000001</x:v>
      </x:c>
      <x:c r="H270" s="9">
        <x:f t="shared" si="10"/>
        <x:v>0.10008529997156668</x:v>
      </x:c>
      <x:c r="I270" s="2" t="s">
        <x:v>36</x:v>
      </x:c>
      <x:c r="J270" s="2" t="str">
        <x:v>The family includes benthic Gymnothorax melatremus with maximum 30 cm TL, documented in a Taiwan-focused taxonomic account. Current 25 + 26 therefore omit a small-species candidate, even though many familiar morays are large. Model catch proportions provide the split; allocation confidence remains Medium. Northern-shelf 2000s proxy transferred to whole-LME 2019 landings; fixed over 1950–2019.</x:v>
      </x:c>
      <x:c r="K270" s="1"/>
    </x:row>
    <x:row r="271" ht="87" customHeight="1">
      <x:c r="A271" s="2" t="s">
        <x:v>164</x:v>
      </x:c>
      <x:c r="B271" s="2" t="s">
        <x:v>39</x:v>
      </x:c>
      <x:c r="C271" s="2">
        <x:v>25</x:v>
      </x:c>
      <x:c r="D271" s="8">
        <x:v>0.3165</x:v>
      </x:c>
      <x:c r="E271" s="8">
        <x:v>0.14299999999999999</x:v>
      </x:c>
      <x:c r="F271" s="8" t="s">
        <x:v>27</x:v>
      </x:c>
      <x:c r="G271" s="8">
        <x:f t="shared" si="11"/>
        <x:v>0.35170000000000001</x:v>
      </x:c>
      <x:c r="H271" s="9">
        <x:f t="shared" si="10"/>
        <x:v>0.89991470002843332</x:v>
      </x:c>
      <x:c r="I271" s="2" t="s">
        <x:v>36</x:v>
      </x:c>
      <x:c r="J271" s="2" t="str">
        <x:v>Verified demersal marine/estuarine ecology, species maximum well above 30 cm TL and Ariidae identity satisfy the complete residual large-demersal criteria. No dedicated ariid group competes; groups 25 + 26 cover its juvenile/adult union. Model catch proportions provide the split; allocation confidence remains Medium. Northern-shelf 2000s proxy transferred to whole-LME 2019 landings; fixed over 1950–2019.</x:v>
      </x:c>
      <x:c r="K271" s="1"/>
    </x:row>
    <x:row r="272" ht="87" customHeight="1">
      <x:c r="A272" s="2" t="s">
        <x:v>164</x:v>
      </x:c>
      <x:c r="B272" s="2" t="s">
        <x:v>40</x:v>
      </x:c>
      <x:c r="C272" s="2">
        <x:v>26</x:v>
      </x:c>
      <x:c r="D272" s="8">
        <x:v>3.5200000000000002E-2</x:v>
      </x:c>
      <x:c r="E272" s="8">
        <x:v>2.1000000000000001E-2</x:v>
      </x:c>
      <x:c r="F272" s="8" t="s">
        <x:v>27</x:v>
      </x:c>
      <x:c r="G272" s="8">
        <x:f t="shared" si="11"/>
        <x:v>0.35170000000000001</x:v>
      </x:c>
      <x:c r="H272" s="9">
        <x:f t="shared" si="10"/>
        <x:v>0.10008529997156668</x:v>
      </x:c>
      <x:c r="I272" s="2" t="s">
        <x:v>36</x:v>
      </x:c>
      <x:c r="J272" s="2" t="str">
        <x:v>Verified demersal marine/estuarine ecology, species maximum well above 30 cm TL and Ariidae identity satisfy the complete residual large-demersal criteria. No dedicated ariid group competes; groups 25 + 26 cover its juvenile/adult union. Model catch proportions provide the split; allocation confidence remains Medium. Northern-shelf 2000s proxy transferred to whole-LME 2019 landings; fixed over 1950–2019.</x:v>
      </x:c>
      <x:c r="K272" s="1"/>
    </x:row>
    <x:row r="273" ht="87" customHeight="1">
      <x:c r="A273" s="2" t="s">
        <x:v>165</x:v>
      </x:c>
      <x:c r="B273" s="2" t="s">
        <x:v>46</x:v>
      </x:c>
      <x:c r="C273" s="2">
        <x:v>22</x:v>
      </x:c>
      <x:c r="D273" s="8">
        <x:v>7.0999999999999994E-2</x:v>
      </x:c>
      <x:c r="E273" s="8">
        <x:v>0.04</x:v>
      </x:c>
      <x:c r="F273" s="8" t="s">
        <x:v>27</x:v>
      </x:c>
      <x:c r="G273" s="8">
        <x:f t="shared" si="11"/>
        <x:v>7.8999999999999987E-2</x:v>
      </x:c>
      <x:c r="H273" s="9">
        <x:f t="shared" si="10"/>
        <x:v>0.89873417721518989</x:v>
      </x:c>
      <x:c r="I273" s="2" t="s">
        <x:v>36</x:v>
      </x:c>
      <x:c r="J273" s="2" t="str">
        <x:v>Sciaenidae membership and maximum 43.5 cm SL satisfy the source's explicit large-croaker definition. Dedicated 22 + 23 takes precedence over a generic benthopelagic label; the set already covers both juvenile and adult stages. Model catch proportions provide the split; allocation confidence remains Medium. Northern-shelf 2000s proxy transferred to whole-LME 2019 landings; fixed over 1950–2019.</x:v>
      </x:c>
      <x:c r="K273" s="1"/>
    </x:row>
    <x:row r="274" ht="87" customHeight="1">
      <x:c r="A274" s="2" t="s">
        <x:v>165</x:v>
      </x:c>
      <x:c r="B274" s="2" t="s">
        <x:v>47</x:v>
      </x:c>
      <x:c r="C274" s="2">
        <x:v>23</x:v>
      </x:c>
      <x:c r="D274" s="8">
        <x:v>8.0000000000000002E-3</x:v>
      </x:c>
      <x:c r="E274" s="8">
        <x:v>9.4000000000000004E-3</x:v>
      </x:c>
      <x:c r="F274" s="8" t="s">
        <x:v>27</x:v>
      </x:c>
      <x:c r="G274" s="8">
        <x:f t="shared" si="11"/>
        <x:v>7.8999999999999987E-2</x:v>
      </x:c>
      <x:c r="H274" s="9">
        <x:f t="shared" si="10"/>
        <x:v>0.10126582278481014</x:v>
      </x:c>
      <x:c r="I274" s="2" t="s">
        <x:v>36</x:v>
      </x:c>
      <x:c r="J274" s="2" t="str">
        <x:v>Sciaenidae membership and maximum 43.5 cm SL satisfy the source's explicit large-croaker definition. Dedicated 22 + 23 takes precedence over a generic benthopelagic label; the set already covers both juvenile and adult stages. Model catch proportions provide the split; allocation confidence remains Medium. Northern-shelf 2000s proxy transferred to whole-LME 2019 landings; fixed over 1950–2019.</x:v>
      </x:c>
      <x:c r="K274" s="1"/>
    </x:row>
    <x:row r="275" ht="87" customHeight="1">
      <x:c r="A275" s="2" t="s">
        <x:v>166</x:v>
      </x:c>
      <x:c r="B275" s="2" t="s">
        <x:v>46</x:v>
      </x:c>
      <x:c r="C275" s="2">
        <x:v>22</x:v>
      </x:c>
      <x:c r="D275" s="8">
        <x:v>7.0999999999999994E-2</x:v>
      </x:c>
      <x:c r="E275" s="8">
        <x:v>0.04</x:v>
      </x:c>
      <x:c r="F275" s="8" t="s">
        <x:v>27</x:v>
      </x:c>
      <x:c r="G275" s="8">
        <x:f t="shared" si="11"/>
        <x:v>7.8999999999999987E-2</x:v>
      </x:c>
      <x:c r="H275" s="9">
        <x:f t="shared" si="10"/>
        <x:v>0.89873417721518989</x:v>
      </x:c>
      <x:c r="I275" s="2" t="s">
        <x:v>36</x:v>
      </x:c>
      <x:c r="J275" s="2" t="str">
        <x:v>Verified Sciaenidae membership and maximum 75 cm SL satisfy the source's explicit large-croaker size/family criterion. Groups 22 + 23 cover the age range, and generic demersal/benthopelagic pools are excluded by the dedicated definition. Model catch proportions provide the split; allocation confidence remains Medium. Northern-shelf 2000s proxy transferred to whole-LME 2019 landings; fixed over 1950–2019.</x:v>
      </x:c>
      <x:c r="K275" s="1"/>
    </x:row>
    <x:row r="276" ht="87" customHeight="1">
      <x:c r="A276" s="2" t="s">
        <x:v>166</x:v>
      </x:c>
      <x:c r="B276" s="2" t="s">
        <x:v>47</x:v>
      </x:c>
      <x:c r="C276" s="2">
        <x:v>23</x:v>
      </x:c>
      <x:c r="D276" s="8">
        <x:v>8.0000000000000002E-3</x:v>
      </x:c>
      <x:c r="E276" s="8">
        <x:v>9.4000000000000004E-3</x:v>
      </x:c>
      <x:c r="F276" s="8" t="s">
        <x:v>27</x:v>
      </x:c>
      <x:c r="G276" s="8">
        <x:f t="shared" si="11"/>
        <x:v>7.8999999999999987E-2</x:v>
      </x:c>
      <x:c r="H276" s="9">
        <x:f t="shared" si="10"/>
        <x:v>0.10126582278481014</x:v>
      </x:c>
      <x:c r="I276" s="2" t="s">
        <x:v>36</x:v>
      </x:c>
      <x:c r="J276" s="2" t="str">
        <x:v>Verified Sciaenidae membership and maximum 75 cm SL satisfy the source's explicit large-croaker size/family criterion. Groups 22 + 23 cover the age range, and generic demersal/benthopelagic pools are excluded by the dedicated definition. Model catch proportions provide the split; allocation confidence remains Medium. Northern-shelf 2000s proxy transferred to whole-LME 2019 landings; fixed over 1950–2019.</x:v>
      </x:c>
      <x:c r="K276" s="1"/>
    </x:row>
    <x:row r="277" ht="117" customHeight="1">
      <x:c r="A277" s="2" t="s">
        <x:v>167</x:v>
      </x:c>
      <x:c r="B277" s="2" t="s">
        <x:v>39</x:v>
      </x:c>
      <x:c r="C277" s="2">
        <x:v>25</x:v>
      </x:c>
      <x:c r="D277" s="8">
        <x:v>0.3165</x:v>
      </x:c>
      <x:c r="E277" s="8">
        <x:v>0.14299999999999999</x:v>
      </x:c>
      <x:c r="F277" s="8" t="s">
        <x:v>27</x:v>
      </x:c>
      <x:c r="G277" s="8">
        <x:f t="shared" si="11"/>
        <x:v>0.35170000000000001</x:v>
      </x:c>
      <x:c r="H277" s="9">
        <x:f t="shared" si="10"/>
        <x:v>0.89991470002843332</x:v>
      </x:c>
      <x:c r="I277" s="2" t="s">
        <x:v>36</x:v>
      </x:c>
      <x:c r="J277" s="2" t="str">
        <x:v>This large sparid (130 cm TL) uses reef and mud/sand bottoms and feeds on benthic prey, supporting 25 + 26. Its common name 'snapper' does not make it a member of the source's dedicated Lutjanidae pool. Medium reflects interpreting substrate-associated reef/inshore biology as included in the source residual demersal boundary, which does not explicitly discuss reef fishes. Model catch proportions provide the split; allocation confidence remains Medium. Northern-shelf 2000s proxy transferred to whole-LME 2019 landings; fixed over 1950–2019.</x:v>
      </x:c>
      <x:c r="K277" s="1"/>
    </x:row>
    <x:row r="278" ht="117" customHeight="1">
      <x:c r="A278" s="2" t="s">
        <x:v>167</x:v>
      </x:c>
      <x:c r="B278" s="2" t="s">
        <x:v>40</x:v>
      </x:c>
      <x:c r="C278" s="2">
        <x:v>26</x:v>
      </x:c>
      <x:c r="D278" s="8">
        <x:v>3.5200000000000002E-2</x:v>
      </x:c>
      <x:c r="E278" s="8">
        <x:v>2.1000000000000001E-2</x:v>
      </x:c>
      <x:c r="F278" s="8" t="s">
        <x:v>27</x:v>
      </x:c>
      <x:c r="G278" s="8">
        <x:f t="shared" si="11"/>
        <x:v>0.35170000000000001</x:v>
      </x:c>
      <x:c r="H278" s="9">
        <x:f t="shared" si="10"/>
        <x:v>0.10008529997156668</x:v>
      </x:c>
      <x:c r="I278" s="2" t="s">
        <x:v>36</x:v>
      </x:c>
      <x:c r="J278" s="2" t="str">
        <x:v>This large sparid (130 cm TL) uses reef and mud/sand bottoms and feeds on benthic prey, supporting 25 + 26. Its common name 'snapper' does not make it a member of the source's dedicated Lutjanidae pool. Medium reflects interpreting substrate-associated reef/inshore biology as included in the source residual demersal boundary, which does not explicitly discuss reef fishes. Model catch proportions provide the split; allocation confidence remains Medium. Northern-shelf 2000s proxy transferred to whole-LME 2019 landings; fixed over 1950–2019.</x:v>
      </x:c>
      <x:c r="K278" s="1"/>
    </x:row>
    <x:row r="279" ht="87" customHeight="1">
      <x:c r="A279" s="2" t="s">
        <x:v>168</x:v>
      </x:c>
      <x:c r="B279" s="2" t="s">
        <x:v>39</x:v>
      </x:c>
      <x:c r="C279" s="2">
        <x:v>25</x:v>
      </x:c>
      <x:c r="D279" s="8">
        <x:v>0.3165</x:v>
      </x:c>
      <x:c r="E279" s="8">
        <x:v>0.14299999999999999</x:v>
      </x:c>
      <x:c r="F279" s="8" t="s">
        <x:v>27</x:v>
      </x:c>
      <x:c r="G279" s="8">
        <x:f t="shared" si="11"/>
        <x:v>0.35170000000000001</x:v>
      </x:c>
      <x:c r="H279" s="9">
        <x:f t="shared" si="10"/>
        <x:v>0.89991470002843332</x:v>
      </x:c>
      <x:c r="I279" s="2" t="s">
        <x:v>36</x:v>
      </x:c>
      <x:c r="J279" s="2" t="str">
        <x:v>This verified demersal sparid reaches 100 cm SL, necessarily above 30 cm TL, and occurs in the northern South China Sea region. It satisfies the explicit residual large-demersal criteria; common 30 cm fish and the name bream do not place it in group 24 or dedicated Nemipteridae. Model catch proportions provide the split; allocation confidence remains Medium. Northern-shelf 2000s proxy transferred to whole-LME 2019 landings; fixed over 1950–2019.</x:v>
      </x:c>
      <x:c r="K279" s="1"/>
    </x:row>
    <x:row r="280" ht="87" customHeight="1">
      <x:c r="A280" s="2" t="s">
        <x:v>168</x:v>
      </x:c>
      <x:c r="B280" s="2" t="s">
        <x:v>40</x:v>
      </x:c>
      <x:c r="C280" s="2">
        <x:v>26</x:v>
      </x:c>
      <x:c r="D280" s="8">
        <x:v>3.5200000000000002E-2</x:v>
      </x:c>
      <x:c r="E280" s="8">
        <x:v>2.1000000000000001E-2</x:v>
      </x:c>
      <x:c r="F280" s="8" t="s">
        <x:v>27</x:v>
      </x:c>
      <x:c r="G280" s="8">
        <x:f t="shared" si="11"/>
        <x:v>0.35170000000000001</x:v>
      </x:c>
      <x:c r="H280" s="9">
        <x:f t="shared" si="10"/>
        <x:v>0.10008529997156668</x:v>
      </x:c>
      <x:c r="I280" s="2" t="s">
        <x:v>36</x:v>
      </x:c>
      <x:c r="J280" s="2" t="str">
        <x:v>This verified demersal sparid reaches 100 cm SL, necessarily above 30 cm TL, and occurs in the northern South China Sea region. It satisfies the explicit residual large-demersal criteria; common 30 cm fish and the name bream do not place it in group 24 or dedicated Nemipteridae. Model catch proportions provide the split; allocation confidence remains Medium. Northern-shelf 2000s proxy transferred to whole-LME 2019 landings; fixed over 1950–2019.</x:v>
      </x:c>
      <x:c r="K280" s="1"/>
    </x:row>
    <x:row r="281" ht="72" customHeight="1">
      <x:c r="A281" s="2" t="s">
        <x:v>169</x:v>
      </x:c>
      <x:c r="B281" s="2" t="s">
        <x:v>56</x:v>
      </x:c>
      <x:c r="C281" s="2">
        <x:v>24</x:v>
      </x:c>
      <x:c r="D281" s="8">
        <x:v>0.17879999999999999</x:v>
      </x:c>
      <x:c r="E281" s="8">
        <x:v>0.316</x:v>
      </x:c>
      <x:c r="F281" s="8" t="s">
        <x:v>27</x:v>
      </x:c>
      <x:c r="G281" s="8">
        <x:f t="shared" si="11"/>
        <x:v>0.53049999999999997</x:v>
      </x:c>
      <x:c r="H281" s="9">
        <x:f t="shared" si="10"/>
        <x:v>0.33704052780395855</x:v>
      </x:c>
      <x:c r="I281" s="2" t="s">
        <x:v>36</x:v>
      </x:c>
      <x:c r="J281" s="2" t="str">
        <x:v>This flatfish family has small demersal Pseudorhombus pentophthalmus (26.8 cm TL) and large Paralichthys olivaceus (103 cm TL). The current set 24 + 25 + 26 already spans those species classes and the large-species stages; unknown composition belongs to allocation confidence. Model catch proportions provide the split; allocation confidence remains Medium. </x:v>
      </x:c>
      <x:c r="K281" s="1"/>
    </x:row>
    <x:row r="282" ht="72" customHeight="1">
      <x:c r="A282" s="2" t="s">
        <x:v>169</x:v>
      </x:c>
      <x:c r="B282" s="2" t="s">
        <x:v>39</x:v>
      </x:c>
      <x:c r="C282" s="2">
        <x:v>25</x:v>
      </x:c>
      <x:c r="D282" s="8">
        <x:v>0.3165</x:v>
      </x:c>
      <x:c r="E282" s="8">
        <x:v>0.14299999999999999</x:v>
      </x:c>
      <x:c r="F282" s="8" t="s">
        <x:v>27</x:v>
      </x:c>
      <x:c r="G282" s="8">
        <x:f t="shared" si="11"/>
        <x:v>0.53049999999999997</x:v>
      </x:c>
      <x:c r="H282" s="9">
        <x:f t="shared" si="10"/>
        <x:v>0.59660697455230915</x:v>
      </x:c>
      <x:c r="I282" s="2" t="s">
        <x:v>36</x:v>
      </x:c>
      <x:c r="J282" s="2" t="str">
        <x:v>This flatfish family has small demersal Pseudorhombus pentophthalmus (26.8 cm TL) and large Paralichthys olivaceus (103 cm TL). The current set 24 + 25 + 26 already spans those species classes and the large-species stages; unknown composition belongs to allocation confidence. Model catch proportions provide the split; allocation confidence remains Medium. </x:v>
      </x:c>
      <x:c r="K282" s="1"/>
    </x:row>
    <x:row r="283" ht="72" customHeight="1">
      <x:c r="A283" s="2" t="s">
        <x:v>169</x:v>
      </x:c>
      <x:c r="B283" s="2" t="s">
        <x:v>40</x:v>
      </x:c>
      <x:c r="C283" s="2">
        <x:v>26</x:v>
      </x:c>
      <x:c r="D283" s="8">
        <x:v>3.5200000000000002E-2</x:v>
      </x:c>
      <x:c r="E283" s="8">
        <x:v>2.1000000000000001E-2</x:v>
      </x:c>
      <x:c r="F283" s="8" t="s">
        <x:v>27</x:v>
      </x:c>
      <x:c r="G283" s="8">
        <x:f t="shared" si="11"/>
        <x:v>0.53049999999999997</x:v>
      </x:c>
      <x:c r="H283" s="9">
        <x:f t="shared" si="10"/>
        <x:v>6.6352497643732342E-2</x:v>
      </x:c>
      <x:c r="I283" s="2" t="s">
        <x:v>36</x:v>
      </x:c>
      <x:c r="J283" s="2" t="str">
        <x:v>This flatfish family has small demersal Pseudorhombus pentophthalmus (26.8 cm TL) and large Paralichthys olivaceus (103 cm TL). The current set 24 + 25 + 26 already spans those species classes and the large-species stages; unknown composition belongs to allocation confidence. Model catch proportions provide the split; allocation confidence remains Medium. </x:v>
      </x:c>
      <x:c r="K283" s="1"/>
    </x:row>
    <x:row r="284" ht="72" customHeight="1">
      <x:c r="A284" s="2" t="s">
        <x:v>170</x:v>
      </x:c>
      <x:c r="B284" s="2" t="s">
        <x:v>39</x:v>
      </x:c>
      <x:c r="C284" s="2">
        <x:v>25</x:v>
      </x:c>
      <x:c r="D284" s="8">
        <x:v>0.3165</x:v>
      </x:c>
      <x:c r="E284" s="8">
        <x:v>0.14299999999999999</x:v>
      </x:c>
      <x:c r="F284" s="8" t="s">
        <x:v>27</x:v>
      </x:c>
      <x:c r="G284" s="8">
        <x:f t="shared" si="11"/>
        <x:v>0.35170000000000001</x:v>
      </x:c>
      <x:c r="H284" s="9">
        <x:f t="shared" si="10"/>
        <x:v>0.89991470002843332</x:v>
      </x:c>
      <x:c r="I284" s="2" t="s">
        <x:v>36</x:v>
      </x:c>
      <x:c r="J284" s="2" t="str">
        <x:v>Verified demersal ecology, maximum 103 cm TL and South China Sea occurrence satisfy the explicit residual large-demersal criteria. No dedicated flatfish pool competes, and the group 25 + 26 union covers stages without requiring observed catch ages. Model catch proportions provide the split; allocation confidence remains Medium. </x:v>
      </x:c>
      <x:c r="K284" s="1"/>
    </x:row>
    <x:row r="285" ht="72" customHeight="1">
      <x:c r="A285" s="2" t="s">
        <x:v>170</x:v>
      </x:c>
      <x:c r="B285" s="2" t="s">
        <x:v>40</x:v>
      </x:c>
      <x:c r="C285" s="2">
        <x:v>26</x:v>
      </x:c>
      <x:c r="D285" s="8">
        <x:v>3.5200000000000002E-2</x:v>
      </x:c>
      <x:c r="E285" s="8">
        <x:v>2.1000000000000001E-2</x:v>
      </x:c>
      <x:c r="F285" s="8" t="s">
        <x:v>27</x:v>
      </x:c>
      <x:c r="G285" s="8">
        <x:f t="shared" si="11"/>
        <x:v>0.35170000000000001</x:v>
      </x:c>
      <x:c r="H285" s="9">
        <x:f t="shared" si="10"/>
        <x:v>0.10008529997156668</x:v>
      </x:c>
      <x:c r="I285" s="2" t="s">
        <x:v>36</x:v>
      </x:c>
      <x:c r="J285" s="2" t="str">
        <x:v>Verified demersal ecology, maximum 103 cm TL and South China Sea occurrence satisfy the explicit residual large-demersal criteria. No dedicated flatfish pool competes, and the group 25 + 26 union covers stages without requiring observed catch ages. Model catch proportions provide the split; allocation confidence remains Medium. </x:v>
      </x:c>
      <x:c r="K285" s="1"/>
    </x:row>
    <x:row r="286" ht="117" customHeight="1">
      <x:c r="A286" s="2" t="s">
        <x:v>171</x:v>
      </x:c>
      <x:c r="B286" s="2" t="s">
        <x:v>39</x:v>
      </x:c>
      <x:c r="C286" s="2">
        <x:v>25</x:v>
      </x:c>
      <x:c r="D286" s="8">
        <x:v>0.3165</x:v>
      </x:c>
      <x:c r="E286" s="8">
        <x:v>0.14299999999999999</x:v>
      </x:c>
      <x:c r="F286" s="8" t="s">
        <x:v>27</x:v>
      </x:c>
      <x:c r="G286" s="8">
        <x:f t="shared" si="11"/>
        <x:v>0.35170000000000001</x:v>
      </x:c>
      <x:c r="H286" s="9">
        <x:f t="shared" si="10"/>
        <x:v>0.89991470002843332</x:v>
      </x:c>
      <x:c r="I286" s="2" t="s">
        <x:v>36</x:v>
      </x:c>
      <x:c r="J286" s="2" t="str">
        <x:v>This 60 cm TL goatfish forages directly on sand-dwelling invertebrates, supporting 25 + 26. Smaller species elsewhere in Mullidae do not make this identified species eligible for 24, and its common 30 cm size is not the model's species maximum. Medium reflects interpreting substrate-associated reef/inshore biology as included in the source residual demersal boundary, which does not explicitly discuss reef fishes. Model catch proportions provide the split; allocation confidence remains Medium. Northern-shelf 2000s proxy transferred to whole-LME 2019 landings; fixed over 1950–2019.</x:v>
      </x:c>
      <x:c r="K286" s="1"/>
    </x:row>
    <x:row r="287" ht="117" customHeight="1">
      <x:c r="A287" s="2" t="s">
        <x:v>171</x:v>
      </x:c>
      <x:c r="B287" s="2" t="s">
        <x:v>40</x:v>
      </x:c>
      <x:c r="C287" s="2">
        <x:v>26</x:v>
      </x:c>
      <x:c r="D287" s="8">
        <x:v>3.5200000000000002E-2</x:v>
      </x:c>
      <x:c r="E287" s="8">
        <x:v>2.1000000000000001E-2</x:v>
      </x:c>
      <x:c r="F287" s="8" t="s">
        <x:v>27</x:v>
      </x:c>
      <x:c r="G287" s="8">
        <x:f t="shared" si="11"/>
        <x:v>0.35170000000000001</x:v>
      </x:c>
      <x:c r="H287" s="9">
        <x:f t="shared" si="10"/>
        <x:v>0.10008529997156668</x:v>
      </x:c>
      <x:c r="I287" s="2" t="s">
        <x:v>36</x:v>
      </x:c>
      <x:c r="J287" s="2" t="str">
        <x:v>This 60 cm TL goatfish forages directly on sand-dwelling invertebrates, supporting 25 + 26. Smaller species elsewhere in Mullidae do not make this identified species eligible for 24, and its common 30 cm size is not the model's species maximum. Medium reflects interpreting substrate-associated reef/inshore biology as included in the source residual demersal boundary, which does not explicitly discuss reef fishes. Model catch proportions provide the split; allocation confidence remains Medium. Northern-shelf 2000s proxy transferred to whole-LME 2019 landings; fixed over 1950–2019.</x:v>
      </x:c>
      <x:c r="K287" s="1"/>
    </x:row>
    <x:row r="288" ht="102" customHeight="1">
      <x:c r="A288" s="2" t="s">
        <x:v>172</x:v>
      </x:c>
      <x:c r="B288" s="2" t="s">
        <x:v>131</x:v>
      </x:c>
      <x:c r="C288" s="2">
        <x:v>13</x:v>
      </x:c>
      <x:c r="D288" s="8">
        <x:v>0.65700000000000003</x:v>
      </x:c>
      <x:c r="E288" s="8">
        <x:v>0.26</x:v>
      </x:c>
      <x:c r="F288" s="8" t="s">
        <x:v>27</x:v>
      </x:c>
      <x:c r="G288" s="8">
        <x:f t="shared" si="11"/>
        <x:v>5.6096999999999992</x:v>
      </x:c>
      <x:c r="H288" s="9">
        <x:f t="shared" si="10"/>
        <x:v>0.11711856248997275</x:v>
      </x:c>
      <x:c r="I288" s="2" t="s">
        <x:v>36</x:v>
      </x:c>
      <x:c r="J288" s="2" t="str">
        <x:v>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 Assumed composition is fixed across 1950–2019 and landings, total catch and discards; source model is a 2000s northern shelf representation.</x:v>
      </x:c>
      <x:c r="K288" s="1"/>
    </x:row>
    <x:row r="289" ht="102" customHeight="1">
      <x:c r="A289" s="2" t="s">
        <x:v>172</x:v>
      </x:c>
      <x:c r="B289" s="2" t="s">
        <x:v>132</x:v>
      </x:c>
      <x:c r="C289" s="2">
        <x:v>14</x:v>
      </x:c>
      <x:c r="D289" s="8">
        <x:v>0.20599999999999999</x:v>
      </x:c>
      <x:c r="E289" s="8">
        <x:v>0.13</x:v>
      </x:c>
      <x:c r="F289" s="8" t="s">
        <x:v>27</x:v>
      </x:c>
      <x:c r="G289" s="8">
        <x:f t="shared" si="11"/>
        <x:v>5.6096999999999992</x:v>
      </x:c>
      <x:c r="H289" s="9">
        <x:f t="shared" si="10"/>
        <x:v>3.67221063514983E-2</x:v>
      </x:c>
      <x:c r="I289" s="2" t="s">
        <x:v>36</x:v>
      </x:c>
      <x:c r="J289" s="2" t="str">
        <x:v>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 Assumed composition is fixed across 1950–2019 and landings, total catch and discards; source model is a 2000s northern shelf representation.</x:v>
      </x:c>
      <x:c r="K289" s="1"/>
    </x:row>
    <x:row r="290" ht="102" customHeight="1">
      <x:c r="A290" s="2" t="s">
        <x:v>172</x:v>
      </x:c>
      <x:c r="B290" s="2" t="s">
        <x:v>134</x:v>
      </x:c>
      <x:c r="C290" s="2">
        <x:v>16</x:v>
      </x:c>
      <x:c r="D290" s="8">
        <x:v>2.8000000000000001E-2</x:v>
      </x:c>
      <x:c r="E290" s="8">
        <x:v>1.4999999999999999E-2</x:v>
      </x:c>
      <x:c r="F290" s="8" t="s">
        <x:v>27</x:v>
      </x:c>
      <x:c r="G290" s="8">
        <x:f t="shared" si="11"/>
        <x:v>5.6096999999999992</x:v>
      </x:c>
      <x:c r="H290" s="9">
        <x:f t="shared" si="10"/>
        <x:v>4.9913542613687018E-3</x:v>
      </x:c>
      <x:c r="I290" s="2" t="s">
        <x:v>36</x:v>
      </x:c>
      <x:c r="J290" s="2" t="str">
        <x:v>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 Assumed composition is fixed across 1950–2019 and landings, total catch and discards; source model is a 2000s northern shelf representation.</x:v>
      </x:c>
      <x:c r="K290" s="1"/>
    </x:row>
    <x:row r="291" ht="102" customHeight="1">
      <x:c r="A291" s="2" t="s">
        <x:v>172</x:v>
      </x:c>
      <x:c r="B291" s="2" t="s">
        <x:v>135</x:v>
      </x:c>
      <x:c r="C291" s="2">
        <x:v>17</x:v>
      </x:c>
      <x:c r="D291" s="8">
        <x:v>7.1999999999999998E-3</x:v>
      </x:c>
      <x:c r="E291" s="8">
        <x:v>1.2E-2</x:v>
      </x:c>
      <x:c r="F291" s="8" t="s">
        <x:v>27</x:v>
      </x:c>
      <x:c r="G291" s="8">
        <x:f t="shared" si="11"/>
        <x:v>5.6096999999999992</x:v>
      </x:c>
      <x:c r="H291" s="9">
        <x:f t="shared" si="10"/>
        <x:v>1.2834910957805232E-3</x:v>
      </x:c>
      <x:c r="I291" s="2" t="s">
        <x:v>36</x:v>
      </x:c>
      <x:c r="J291" s="2" t="str">
        <x:v>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 Assumed composition is fixed across 1950–2019 and landings, total catch and discards; source model is a 2000s northern shelf representation.</x:v>
      </x:c>
      <x:c r="K291" s="1"/>
    </x:row>
    <x:row r="292" ht="102" customHeight="1">
      <x:c r="A292" s="2" t="s">
        <x:v>172</x:v>
      </x:c>
      <x:c r="B292" s="2" t="s">
        <x:v>136</x:v>
      </x:c>
      <x:c r="C292" s="2">
        <x:v>18</x:v>
      </x:c>
      <x:c r="D292" s="8">
        <x:v>0.23899999999999999</x:v>
      </x:c>
      <x:c r="E292" s="8">
        <x:v>0.108</x:v>
      </x:c>
      <x:c r="F292" s="8" t="s">
        <x:v>27</x:v>
      </x:c>
      <x:c r="G292" s="8">
        <x:f t="shared" si="11"/>
        <x:v>5.6096999999999992</x:v>
      </x:c>
      <x:c r="H292" s="9">
        <x:f t="shared" si="10"/>
        <x:v>4.2604773873825698E-2</x:v>
      </x:c>
      <x:c r="I292" s="2" t="s">
        <x:v>36</x:v>
      </x:c>
      <x:c r="J292" s="2" t="str">
        <x:v>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 Assumed composition is fixed across 1950–2019 and landings, total catch and discards; source model is a 2000s northern shelf representation.</x:v>
      </x:c>
      <x:c r="K292" s="1"/>
    </x:row>
    <x:row r="293" ht="102" customHeight="1">
      <x:c r="A293" s="2" t="s">
        <x:v>172</x:v>
      </x:c>
      <x:c r="B293" s="2" t="s">
        <x:v>137</x:v>
      </x:c>
      <x:c r="C293" s="2">
        <x:v>19</x:v>
      </x:c>
      <x:c r="D293" s="8">
        <x:v>1.1000000000000001E-3</x:v>
      </x:c>
      <x:c r="E293" s="8">
        <x:v>1.2999999999999999E-3</x:v>
      </x:c>
      <x:c r="F293" s="8" t="s">
        <x:v>27</x:v>
      </x:c>
      <x:c r="G293" s="8">
        <x:f t="shared" si="11"/>
        <x:v>5.6096999999999992</x:v>
      </x:c>
      <x:c r="H293" s="9">
        <x:f t="shared" si="10"/>
        <x:v>1.9608891741091327E-4</x:v>
      </x:c>
      <x:c r="I293" s="2" t="s">
        <x:v>36</x:v>
      </x:c>
      <x:c r="J293" s="2" t="str">
        <x:v>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 Assumed composition is fixed across 1950–2019 and landings, total catch and discards; source model is a 2000s northern shelf representation.</x:v>
      </x:c>
      <x:c r="K293" s="1"/>
    </x:row>
    <x:row r="294" ht="102" customHeight="1">
      <x:c r="A294" s="2" t="s">
        <x:v>172</x:v>
      </x:c>
      <x:c r="B294" s="2" t="s">
        <x:v>138</x:v>
      </x:c>
      <x:c r="C294" s="2">
        <x:v>20</x:v>
      </x:c>
      <x:c r="D294" s="8">
        <x:v>8.8999999999999999E-3</x:v>
      </x:c>
      <x:c r="E294" s="8">
        <x:v>6.4000000000000003E-3</x:v>
      </x:c>
      <x:c r="F294" s="8" t="s">
        <x:v>27</x:v>
      </x:c>
      <x:c r="G294" s="8">
        <x:f t="shared" si="11"/>
        <x:v>5.6096999999999992</x:v>
      </x:c>
      <x:c r="H294" s="9">
        <x:f t="shared" si="10"/>
        <x:v>1.5865376045064801E-3</x:v>
      </x:c>
      <x:c r="I294" s="2" t="s">
        <x:v>36</x:v>
      </x:c>
      <x:c r="J294" s="2" t="str">
        <x:v>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 Assumed composition is fixed across 1950–2019 and landings, total catch and discards; source model is a 2000s northern shelf representation.</x:v>
      </x:c>
      <x:c r="K294" s="1"/>
    </x:row>
    <x:row r="295" ht="102" customHeight="1">
      <x:c r="A295" s="2" t="s">
        <x:v>172</x:v>
      </x:c>
      <x:c r="B295" s="2" t="s">
        <x:v>139</x:v>
      </x:c>
      <x:c r="C295" s="2">
        <x:v>21</x:v>
      </x:c>
      <x:c r="D295" s="8">
        <x:v>3.5099999999999999E-2</x:v>
      </x:c>
      <x:c r="E295" s="8">
        <x:v>7.0000000000000007E-2</x:v>
      </x:c>
      <x:c r="F295" s="8" t="s">
        <x:v>27</x:v>
      </x:c>
      <x:c r="G295" s="8">
        <x:f t="shared" si="11"/>
        <x:v>5.6096999999999992</x:v>
      </x:c>
      <x:c r="H295" s="9">
        <x:f t="shared" si="10"/>
        <x:v>6.2570190919300503E-3</x:v>
      </x:c>
      <x:c r="I295" s="2" t="s">
        <x:v>36</x:v>
      </x:c>
      <x:c r="J295" s="2" t="str">
        <x:v>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 Assumed composition is fixed across 1950–2019 and landings, total catch and discards; source model is a 2000s northern shelf representation.</x:v>
      </x:c>
      <x:c r="K295" s="1"/>
    </x:row>
    <x:row r="296" ht="102" customHeight="1">
      <x:c r="A296" s="2" t="s">
        <x:v>172</x:v>
      </x:c>
      <x:c r="B296" s="2" t="s">
        <x:v>46</x:v>
      </x:c>
      <x:c r="C296" s="2">
        <x:v>22</x:v>
      </x:c>
      <x:c r="D296" s="8">
        <x:v>7.0999999999999994E-2</x:v>
      </x:c>
      <x:c r="E296" s="8">
        <x:v>0.04</x:v>
      </x:c>
      <x:c r="F296" s="8" t="s">
        <x:v>27</x:v>
      </x:c>
      <x:c r="G296" s="8">
        <x:f t="shared" si="11"/>
        <x:v>5.6096999999999992</x:v>
      </x:c>
      <x:c r="H296" s="9">
        <x:f t="shared" si="10"/>
        <x:v>1.2656648305613492E-2</x:v>
      </x:c>
      <x:c r="I296" s="2" t="s">
        <x:v>36</x:v>
      </x:c>
      <x:c r="J296" s="2" t="str">
        <x:v>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 Assumed composition is fixed across 1950–2019 and landings, total catch and discards; source model is a 2000s northern shelf representation.</x:v>
      </x:c>
      <x:c r="K296" s="1"/>
    </x:row>
    <x:row r="297" ht="102" customHeight="1">
      <x:c r="A297" s="2" t="s">
        <x:v>172</x:v>
      </x:c>
      <x:c r="B297" s="2" t="s">
        <x:v>47</x:v>
      </x:c>
      <x:c r="C297" s="2">
        <x:v>23</x:v>
      </x:c>
      <x:c r="D297" s="8">
        <x:v>8.0000000000000002E-3</x:v>
      </x:c>
      <x:c r="E297" s="8">
        <x:v>9.4000000000000004E-3</x:v>
      </x:c>
      <x:c r="F297" s="8" t="s">
        <x:v>27</x:v>
      </x:c>
      <x:c r="G297" s="8">
        <x:f t="shared" si="11"/>
        <x:v>5.6096999999999992</x:v>
      </x:c>
      <x:c r="H297" s="9">
        <x:f t="shared" si="10"/>
        <x:v>1.4261012175339146E-3</x:v>
      </x:c>
      <x:c r="I297" s="2" t="s">
        <x:v>36</x:v>
      </x:c>
      <x:c r="J297" s="2" t="str">
        <x:v>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 Assumed composition is fixed across 1950–2019 and landings, total catch and discards; source model is a 2000s northern shelf representation.</x:v>
      </x:c>
      <x:c r="K297" s="1"/>
    </x:row>
    <x:row r="298" ht="102" customHeight="1">
      <x:c r="A298" s="2" t="s">
        <x:v>172</x:v>
      </x:c>
      <x:c r="B298" s="2" t="s">
        <x:v>56</x:v>
      </x:c>
      <x:c r="C298" s="2">
        <x:v>24</x:v>
      </x:c>
      <x:c r="D298" s="8">
        <x:v>0.17879999999999999</x:v>
      </x:c>
      <x:c r="E298" s="8">
        <x:v>0.316</x:v>
      </x:c>
      <x:c r="F298" s="8" t="s">
        <x:v>27</x:v>
      </x:c>
      <x:c r="G298" s="8">
        <x:f t="shared" si="11"/>
        <x:v>5.6096999999999992</x:v>
      </x:c>
      <x:c r="H298" s="9">
        <x:f t="shared" si="10"/>
        <x:v>3.1873362211882993E-2</x:v>
      </x:c>
      <x:c r="I298" s="2" t="s">
        <x:v>36</x:v>
      </x:c>
      <x:c r="J298" s="2" t="str">
        <x:v>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 Assumed composition is fixed across 1950–2019 and landings, total catch and discards; source model is a 2000s northern shelf representation.</x:v>
      </x:c>
      <x:c r="K298" s="1"/>
    </x:row>
    <x:row r="299" ht="102" customHeight="1">
      <x:c r="A299" s="2" t="s">
        <x:v>172</x:v>
      </x:c>
      <x:c r="B299" s="2" t="s">
        <x:v>39</x:v>
      </x:c>
      <x:c r="C299" s="2">
        <x:v>25</x:v>
      </x:c>
      <x:c r="D299" s="8">
        <x:v>0.3165</x:v>
      </x:c>
      <x:c r="E299" s="8">
        <x:v>0.14299999999999999</x:v>
      </x:c>
      <x:c r="F299" s="8" t="s">
        <x:v>27</x:v>
      </x:c>
      <x:c r="G299" s="8">
        <x:f t="shared" si="11"/>
        <x:v>5.6096999999999992</x:v>
      </x:c>
      <x:c r="H299" s="9">
        <x:f t="shared" si="10"/>
        <x:v>5.6420129418685502E-2</x:v>
      </x:c>
      <x:c r="I299" s="2" t="s">
        <x:v>36</x:v>
      </x:c>
      <x:c r="J299" s="2" t="str">
        <x:v>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 Assumed composition is fixed across 1950–2019 and landings, total catch and discards; source model is a 2000s northern shelf representation.</x:v>
      </x:c>
      <x:c r="K299" s="1"/>
    </x:row>
    <x:row r="300" ht="102" customHeight="1">
      <x:c r="A300" s="2" t="s">
        <x:v>172</x:v>
      </x:c>
      <x:c r="B300" s="2" t="s">
        <x:v>40</x:v>
      </x:c>
      <x:c r="C300" s="2">
        <x:v>26</x:v>
      </x:c>
      <x:c r="D300" s="8">
        <x:v>3.5200000000000002E-2</x:v>
      </x:c>
      <x:c r="E300" s="8">
        <x:v>2.1000000000000001E-2</x:v>
      </x:c>
      <x:c r="F300" s="8" t="s">
        <x:v>27</x:v>
      </x:c>
      <x:c r="G300" s="8">
        <x:f t="shared" si="11"/>
        <x:v>5.6096999999999992</x:v>
      </x:c>
      <x:c r="H300" s="9" t="n">
        <x:f t="shared" ref="H300:H347" si="12">D300/G300</x:f>
        <x:v>0.0062748453571492245</x:v>
      </x:c>
      <x:c r="I300" s="2" t="s">
        <x:v>36</x:v>
      </x:c>
      <x:c r="J300" s="2" t="str">
        <x:v>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 Assumed composition is fixed across 1950–2019 and landings, total catch and discards; source model is a 2000s northern shelf representation.</x:v>
      </x:c>
      <x:c r="K300" s="1"/>
    </x:row>
    <x:row r="301" ht="102" customHeight="1">
      <x:c r="A301" s="2" t="s">
        <x:v>172</x:v>
      </x:c>
      <x:c r="B301" s="2" t="s">
        <x:v>97</x:v>
      </x:c>
      <x:c r="C301" s="2">
        <x:v>27</x:v>
      </x:c>
      <x:c r="D301" s="8">
        <x:v>0.60250000000000004</x:v>
      </x:c>
      <x:c r="E301" s="8">
        <x:v>0.92200000000000004</x:v>
      </x:c>
      <x:c r="F301" s="8" t="s">
        <x:v>27</x:v>
      </x:c>
      <x:c r="G301" s="8">
        <x:f t="shared" si="11"/>
        <x:v>5.6096999999999992</x:v>
      </x:c>
      <x:c r="H301" s="9">
        <x:f t="shared" si="12"/>
        <x:v>0.10740324794552296</x:v>
      </x:c>
      <x:c r="I301" s="2" t="s">
        <x:v>36</x:v>
      </x:c>
      <x:c r="J301" s="2" t="str">
        <x:v>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 Assumed composition is fixed across 1950–2019 and landings, total catch and discards; source model is a 2000s northern shelf representation.</x:v>
      </x:c>
      <x:c r="K301" s="1"/>
    </x:row>
    <x:row r="302" ht="102" customHeight="1">
      <x:c r="A302" s="2" t="s">
        <x:v>172</x:v>
      </x:c>
      <x:c r="B302" s="2" t="s">
        <x:v>140</x:v>
      </x:c>
      <x:c r="C302" s="2">
        <x:v>28</x:v>
      </x:c>
      <x:c r="D302" s="8">
        <x:v>4.99E-2</x:v>
      </x:c>
      <x:c r="E302" s="8">
        <x:v>7.0000000000000007E-2</x:v>
      </x:c>
      <x:c r="F302" s="8" t="s">
        <x:v>27</x:v>
      </x:c>
      <x:c r="G302" s="8">
        <x:f t="shared" si="11"/>
        <x:v>5.6096999999999992</x:v>
      </x:c>
      <x:c r="H302" s="9">
        <x:f t="shared" si="12"/>
        <x:v>8.8953063443677934E-3</x:v>
      </x:c>
      <x:c r="I302" s="2" t="s">
        <x:v>36</x:v>
      </x:c>
      <x:c r="J302" s="2" t="str">
        <x:v>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 Assumed composition is fixed across 1950–2019 and landings, total catch and discards; source model is a 2000s northern shelf representation.</x:v>
      </x:c>
      <x:c r="K302" s="1"/>
    </x:row>
    <x:row r="303" ht="102" customHeight="1">
      <x:c r="A303" s="2" t="s">
        <x:v>172</x:v>
      </x:c>
      <x:c r="B303" s="2" t="s">
        <x:v>61</x:v>
      </x:c>
      <x:c r="C303" s="2">
        <x:v>29</x:v>
      </x:c>
      <x:c r="D303" s="8">
        <x:v>2.3450000000000002</x:v>
      </x:c>
      <x:c r="E303" s="8">
        <x:v>1.772</x:v>
      </x:c>
      <x:c r="F303" s="8" t="s">
        <x:v>27</x:v>
      </x:c>
      <x:c r="G303" s="8">
        <x:f t="shared" si="11"/>
        <x:v>5.6096999999999992</x:v>
      </x:c>
      <x:c r="H303" s="9">
        <x:f t="shared" si="12"/>
        <x:v>0.4180259193896288</x:v>
      </x:c>
      <x:c r="I303" s="2" t="s">
        <x:v>36</x:v>
      </x:c>
      <x:c r="J303" s="2" t="str">
        <x:v>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 Assumed composition is fixed across 1950–2019 and landings, total catch and discards; source model is a 2000s northern shelf representation.</x:v>
      </x:c>
      <x:c r="K303" s="1"/>
    </x:row>
    <x:row r="304" ht="102" customHeight="1">
      <x:c r="A304" s="2" t="s">
        <x:v>172</x:v>
      </x:c>
      <x:c r="B304" s="2" t="s">
        <x:v>35</x:v>
      </x:c>
      <x:c r="C304" s="2">
        <x:v>30</x:v>
      </x:c>
      <x:c r="D304" s="8">
        <x:v>0.73839999999999995</x:v>
      </x:c>
      <x:c r="E304" s="8">
        <x:v>0.28899999999999998</x:v>
      </x:c>
      <x:c r="F304" s="8" t="s">
        <x:v>27</x:v>
      </x:c>
      <x:c r="G304" s="8">
        <x:f t="shared" si="11"/>
        <x:v>5.6096999999999992</x:v>
      </x:c>
      <x:c r="H304" s="9">
        <x:f t="shared" si="12"/>
        <x:v>0.1316291423783803</x:v>
      </x:c>
      <x:c r="I304" s="2" t="s">
        <x:v>36</x:v>
      </x:c>
      <x:c r="J304" s="2" t="str">
        <x:v>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 Assumed composition is fixed across 1950–2019 and landings, total catch and discards; source model is a 2000s northern shelf representation.</x:v>
      </x:c>
      <x:c r="K304" s="1"/>
    </x:row>
    <x:row r="305" ht="102" customHeight="1">
      <x:c r="A305" s="2" t="s">
        <x:v>172</x:v>
      </x:c>
      <x:c r="B305" s="2" t="s">
        <x:v>37</x:v>
      </x:c>
      <x:c r="C305" s="2">
        <x:v>31</x:v>
      </x:c>
      <x:c r="D305" s="8">
        <x:v>8.2100000000000006E-2</x:v>
      </x:c>
      <x:c r="E305" s="8">
        <x:v>7.9000000000000001E-2</x:v>
      </x:c>
      <x:c r="F305" s="8" t="s">
        <x:v>27</x:v>
      </x:c>
      <x:c r="G305" s="8">
        <x:f t="shared" si="11"/>
        <x:v>5.6096999999999992</x:v>
      </x:c>
      <x:c r="H305" s="9">
        <x:f t="shared" si="12"/>
        <x:v>1.4635363744941801E-2</x:v>
      </x:c>
      <x:c r="I305" s="2" t="s">
        <x:v>36</x:v>
      </x:c>
      <x:c r="J305" s="2" t="str">
        <x:v>The adopted named and residual percoid-compatible fish pools are a broad reporting-era approximation. Perciformes has changed taxonomic scope, and the raw label provides no family composition with which to validate every included or excluded model group. Model catch proportions provide the split; allocation confidence remains Medium. Assumed composition is fixed across 1950–2019 and landings, total catch and discards; source model is a 2000s northern shelf representation.</x:v>
      </x:c>
      <x:c r="K305" s="1"/>
    </x:row>
    <x:row r="306" ht="87" customHeight="1">
      <x:c r="A306" s="2" t="s">
        <x:v>173</x:v>
      </x:c>
      <x:c r="B306" s="2" t="s">
        <x:v>39</x:v>
      </x:c>
      <x:c r="C306" s="2">
        <x:v>25</x:v>
      </x:c>
      <x:c r="D306" s="8">
        <x:v>0.3165</x:v>
      </x:c>
      <x:c r="E306" s="8">
        <x:v>0.14299999999999999</x:v>
      </x:c>
      <x:c r="F306" s="8" t="s">
        <x:v>27</x:v>
      </x:c>
      <x:c r="G306" s="8">
        <x:f t="shared" si="11"/>
        <x:v>0.35170000000000001</x:v>
      </x:c>
      <x:c r="H306" s="9">
        <x:f t="shared" si="12"/>
        <x:v>0.89991470002843332</x:v>
      </x:c>
      <x:c r="I306" s="2" t="s">
        <x:v>36</x:v>
      </x:c>
      <x:c r="J306" s="2" t="str">
        <x:v>Maximum 80 cm TL establishes a large species, but the authoritative account describes pelagic-neritic coastal/estuarine ecology. Current exclusively demersal 25 + 26 lacks behavioral evidence resolving competing water-column pools; benthic food alone would not resolve this. Model catch proportions provide the split; allocation confidence remains Medium. Northern-shelf 2000s proxy transferred to whole-LME 2019 landings; fixed over 1950–2019.</x:v>
      </x:c>
      <x:c r="K306" s="1"/>
    </x:row>
    <x:row r="307" ht="87" customHeight="1">
      <x:c r="A307" s="2" t="s">
        <x:v>173</x:v>
      </x:c>
      <x:c r="B307" s="2" t="s">
        <x:v>40</x:v>
      </x:c>
      <x:c r="C307" s="2">
        <x:v>26</x:v>
      </x:c>
      <x:c r="D307" s="8">
        <x:v>3.5200000000000002E-2</x:v>
      </x:c>
      <x:c r="E307" s="8">
        <x:v>2.1000000000000001E-2</x:v>
      </x:c>
      <x:c r="F307" s="8" t="s">
        <x:v>27</x:v>
      </x:c>
      <x:c r="G307" s="8">
        <x:f t="shared" si="11"/>
        <x:v>0.35170000000000001</x:v>
      </x:c>
      <x:c r="H307" s="9">
        <x:f t="shared" si="12"/>
        <x:v>0.10008529997156668</x:v>
      </x:c>
      <x:c r="I307" s="2" t="s">
        <x:v>36</x:v>
      </x:c>
      <x:c r="J307" s="2" t="str">
        <x:v>Maximum 80 cm TL establishes a large species, but the authoritative account describes pelagic-neritic coastal/estuarine ecology. Current exclusively demersal 25 + 26 lacks behavioral evidence resolving competing water-column pools; benthic food alone would not resolve this. Model catch proportions provide the split; allocation confidence remains Medium. Northern-shelf 2000s proxy transferred to whole-LME 2019 landings; fixed over 1950–2019.</x:v>
      </x:c>
      <x:c r="K307" s="1"/>
    </x:row>
    <x:row r="308" ht="102" customHeight="1">
      <x:c r="A308" s="2" t="s">
        <x:v>174</x:v>
      </x:c>
      <x:c r="B308" s="2" t="s">
        <x:v>35</x:v>
      </x:c>
      <x:c r="C308" s="2">
        <x:v>30</x:v>
      </x:c>
      <x:c r="D308" s="8">
        <x:v>0.73839999999999995</x:v>
      </x:c>
      <x:c r="E308" s="8">
        <x:v>0.28899999999999998</x:v>
      </x:c>
      <x:c r="F308" s="8" t="s">
        <x:v>27</x:v>
      </x:c>
      <x:c r="G308" s="8">
        <x:f t="shared" si="11"/>
        <x:v>0.82050000000000001</x:v>
      </x:c>
      <x:c r="H308" s="9">
        <x:f t="shared" si="12"/>
        <x:v>0.89993906154783665</x:v>
      </x:c>
      <x:c r="I308" s="2" t="s">
        <x:v>36</x:v>
      </x:c>
      <x:c r="J308" s="2" t="str">
        <x:v>Adults occur near reefs and rocky bottoms; young use sandy bays. Maximum size &gt;30 cm is secure, but species adult ecology emphasizes reef, shelf, near-bottom or bottom-feeding use. It does not close the retained pelagic-only boundary against the model's benthopelagic/demersal alternatives. Checked species record: 60 cm TL; Marine;  reef-associated; amphidromous. Model catch proportions provide the split; allocation confidence remains Medium. Northern-shelf 2000s proxy transferred to whole-LME 2019 landings; fixed over 1950–2019.</x:v>
      </x:c>
      <x:c r="K308" s="1"/>
    </x:row>
    <x:row r="309" ht="102" customHeight="1">
      <x:c r="A309" s="2" t="s">
        <x:v>174</x:v>
      </x:c>
      <x:c r="B309" s="2" t="s">
        <x:v>37</x:v>
      </x:c>
      <x:c r="C309" s="2">
        <x:v>31</x:v>
      </x:c>
      <x:c r="D309" s="8">
        <x:v>8.2100000000000006E-2</x:v>
      </x:c>
      <x:c r="E309" s="8">
        <x:v>7.9000000000000001E-2</x:v>
      </x:c>
      <x:c r="F309" s="8" t="s">
        <x:v>27</x:v>
      </x:c>
      <x:c r="G309" s="8">
        <x:f t="shared" si="11"/>
        <x:v>0.82050000000000001</x:v>
      </x:c>
      <x:c r="H309" s="9">
        <x:f t="shared" si="12"/>
        <x:v>0.10006093845216332</x:v>
      </x:c>
      <x:c r="I309" s="2" t="s">
        <x:v>36</x:v>
      </x:c>
      <x:c r="J309" s="2" t="str">
        <x:v>Adults occur near reefs and rocky bottoms; young use sandy bays. Maximum size &gt;30 cm is secure, but species adult ecology emphasizes reef, shelf, near-bottom or bottom-feeding use. It does not close the retained pelagic-only boundary against the model's benthopelagic/demersal alternatives. Checked species record: 60 cm TL; Marine;  reef-associated; amphidromous. Model catch proportions provide the split; allocation confidence remains Medium. Northern-shelf 2000s proxy transferred to whole-LME 2019 landings; fixed over 1950–2019.</x:v>
      </x:c>
      <x:c r="K309" s="1"/>
    </x:row>
    <x:row r="310" ht="117" customHeight="1">
      <x:c r="A310" s="2" t="s">
        <x:v>175</x:v>
      </x:c>
      <x:c r="B310" s="2" t="s">
        <x:v>35</x:v>
      </x:c>
      <x:c r="C310" s="2">
        <x:v>30</x:v>
      </x:c>
      <x:c r="D310" s="8">
        <x:v>0.73839999999999995</x:v>
      </x:c>
      <x:c r="E310" s="8">
        <x:v>0.28899999999999998</x:v>
      </x:c>
      <x:c r="F310" s="8" t="s">
        <x:v>27</x:v>
      </x:c>
      <x:c r="G310" s="8">
        <x:f t="shared" si="11"/>
        <x:v>0.82050000000000001</x:v>
      </x:c>
      <x:c r="H310" s="9">
        <x:f t="shared" si="12"/>
        <x:v>0.89993906154783665</x:v>
      </x:c>
      <x:c r="I310" s="2" t="s">
        <x:v>36</x:v>
      </x:c>
      <x:c r="J310" s="2" t="str">
        <x:v>The available description establishes coastal shelf occurrence, without resolving its position in the water column. Maximum size &gt;30 cm is secure, but species adult ecology emphasizes reef, shelf, near-bottom or bottom-feeding use. It does not close the retained pelagic-only boundary against the model's benthopelagic/demersal alternatives. Checked species record: 51 cm TL; Marine;  reef-associated;. Model catch proportions provide the split; allocation confidence remains Medium. Northern-shelf 2000s proxy transferred to whole-LME 2019 landings; fixed over 1950–2019.</x:v>
      </x:c>
      <x:c r="K310" s="1"/>
    </x:row>
    <x:row r="311" ht="117" customHeight="1">
      <x:c r="A311" s="2" t="s">
        <x:v>175</x:v>
      </x:c>
      <x:c r="B311" s="2" t="s">
        <x:v>37</x:v>
      </x:c>
      <x:c r="C311" s="2">
        <x:v>31</x:v>
      </x:c>
      <x:c r="D311" s="8">
        <x:v>8.2100000000000006E-2</x:v>
      </x:c>
      <x:c r="E311" s="8">
        <x:v>7.9000000000000001E-2</x:v>
      </x:c>
      <x:c r="F311" s="8" t="s">
        <x:v>27</x:v>
      </x:c>
      <x:c r="G311" s="8">
        <x:f t="shared" si="11"/>
        <x:v>0.82050000000000001</x:v>
      </x:c>
      <x:c r="H311" s="9">
        <x:f t="shared" si="12"/>
        <x:v>0.10006093845216332</x:v>
      </x:c>
      <x:c r="I311" s="2" t="s">
        <x:v>36</x:v>
      </x:c>
      <x:c r="J311" s="2" t="str">
        <x:v>The available description establishes coastal shelf occurrence, without resolving its position in the water column. Maximum size &gt;30 cm is secure, but species adult ecology emphasizes reef, shelf, near-bottom or bottom-feeding use. It does not close the retained pelagic-only boundary against the model's benthopelagic/demersal alternatives. Checked species record: 51 cm TL; Marine;  reef-associated;. Model catch proportions provide the split; allocation confidence remains Medium. Northern-shelf 2000s proxy transferred to whole-LME 2019 landings; fixed over 1950–2019.</x:v>
      </x:c>
      <x:c r="K311" s="1"/>
    </x:row>
    <x:row r="312" ht="87" customHeight="1">
      <x:c r="A312" s="2" t="s">
        <x:v>176</x:v>
      </x:c>
      <x:c r="B312" s="2" t="s">
        <x:v>39</x:v>
      </x:c>
      <x:c r="C312" s="2">
        <x:v>25</x:v>
      </x:c>
      <x:c r="D312" s="8">
        <x:v>0.3165</x:v>
      </x:c>
      <x:c r="E312" s="8">
        <x:v>0.14299999999999999</x:v>
      </x:c>
      <x:c r="F312" s="8" t="s">
        <x:v>27</x:v>
      </x:c>
      <x:c r="G312" s="8">
        <x:f t="shared" si="11"/>
        <x:v>0.35170000000000001</x:v>
      </x:c>
      <x:c r="H312" s="9">
        <x:f t="shared" si="12"/>
        <x:v>0.89991470002843332</x:v>
      </x:c>
      <x:c r="I312" s="2" t="s">
        <x:v>36</x:v>
      </x:c>
      <x:c r="J312" s="2" t="str">
        <x:v>The flathead family crosses the species-maximum boundary: Sorsogona tuberculata reaches 14.5 cm TL, while P. indicus reaches 100 cm TL. Current 25 + 26 omit 24 for documented small demersal species. Model catch proportions provide the split; allocation confidence remains Medium. Northern-shelf 2000s proxy transferred to whole-LME 2019 landings; fixed over 1950–2019.</x:v>
      </x:c>
      <x:c r="K312" s="1"/>
    </x:row>
    <x:row r="313" ht="87" customHeight="1">
      <x:c r="A313" s="2" t="s">
        <x:v>176</x:v>
      </x:c>
      <x:c r="B313" s="2" t="s">
        <x:v>40</x:v>
      </x:c>
      <x:c r="C313" s="2">
        <x:v>26</x:v>
      </x:c>
      <x:c r="D313" s="8">
        <x:v>3.5200000000000002E-2</x:v>
      </x:c>
      <x:c r="E313" s="8">
        <x:v>2.1000000000000001E-2</x:v>
      </x:c>
      <x:c r="F313" s="8" t="s">
        <x:v>27</x:v>
      </x:c>
      <x:c r="G313" s="8">
        <x:f t="shared" si="11"/>
        <x:v>0.35170000000000001</x:v>
      </x:c>
      <x:c r="H313" s="9">
        <x:f t="shared" si="12"/>
        <x:v>0.10008529997156668</x:v>
      </x:c>
      <x:c r="I313" s="2" t="s">
        <x:v>36</x:v>
      </x:c>
      <x:c r="J313" s="2" t="str">
        <x:v>The flathead family crosses the species-maximum boundary: Sorsogona tuberculata reaches 14.5 cm TL, while P. indicus reaches 100 cm TL. Current 25 + 26 omit 24 for documented small demersal species. Model catch proportions provide the split; allocation confidence remains Medium. Northern-shelf 2000s proxy transferred to whole-LME 2019 landings; fixed over 1950–2019.</x:v>
      </x:c>
      <x:c r="K313" s="1"/>
    </x:row>
    <x:row r="314" ht="102" customHeight="1">
      <x:c r="A314" s="2" t="s">
        <x:v>177</x:v>
      </x:c>
      <x:c r="B314" s="2" t="s">
        <x:v>39</x:v>
      </x:c>
      <x:c r="C314" s="2">
        <x:v>25</x:v>
      </x:c>
      <x:c r="D314" s="8">
        <x:v>0.3165</x:v>
      </x:c>
      <x:c r="E314" s="8">
        <x:v>0.14299999999999999</x:v>
      </x:c>
      <x:c r="F314" s="8" t="s">
        <x:v>27</x:v>
      </x:c>
      <x:c r="G314" s="8">
        <x:f t="shared" si="11"/>
        <x:v>0.35170000000000001</x:v>
      </x:c>
      <x:c r="H314" s="9">
        <x:f t="shared" si="12"/>
        <x:v>0.89991470002843332</x:v>
      </x:c>
      <x:c r="I314" s="2" t="s">
        <x:v>36</x:v>
      </x:c>
      <x:c r="J314" s="2" t="str">
        <x:v>Maximum 100 cm TL and documented sandy/muddy bottom and estuarine habitat support 25 + 26. The general 'reef-associated' field does not contradict the more specific bottom-associated biology. Medium reflects interpreting substrate-associated reef/inshore biology as included in the source residual demersal boundary, which does not explicitly discuss reef fishes. Model catch proportions provide the split; allocation confidence remains Medium. Northern-shelf 2000s proxy transferred to whole-LME 2019 landings; fixed over 1950–2019.</x:v>
      </x:c>
      <x:c r="K314" s="1"/>
    </x:row>
    <x:row r="315" ht="102" customHeight="1">
      <x:c r="A315" s="2" t="s">
        <x:v>177</x:v>
      </x:c>
      <x:c r="B315" s="2" t="s">
        <x:v>40</x:v>
      </x:c>
      <x:c r="C315" s="2">
        <x:v>26</x:v>
      </x:c>
      <x:c r="D315" s="8">
        <x:v>3.5200000000000002E-2</x:v>
      </x:c>
      <x:c r="E315" s="8">
        <x:v>2.1000000000000001E-2</x:v>
      </x:c>
      <x:c r="F315" s="8" t="s">
        <x:v>27</x:v>
      </x:c>
      <x:c r="G315" s="8">
        <x:f t="shared" si="11"/>
        <x:v>0.35170000000000001</x:v>
      </x:c>
      <x:c r="H315" s="9">
        <x:f t="shared" si="12"/>
        <x:v>0.10008529997156668</x:v>
      </x:c>
      <x:c r="I315" s="2" t="s">
        <x:v>36</x:v>
      </x:c>
      <x:c r="J315" s="2" t="str">
        <x:v>Maximum 100 cm TL and documented sandy/muddy bottom and estuarine habitat support 25 + 26. The general 'reef-associated' field does not contradict the more specific bottom-associated biology. Medium reflects interpreting substrate-associated reef/inshore biology as included in the source residual demersal boundary, which does not explicitly discuss reef fishes. Model catch proportions provide the split; allocation confidence remains Medium. Northern-shelf 2000s proxy transferred to whole-LME 2019 landings; fixed over 1950–2019.</x:v>
      </x:c>
      <x:c r="K315" s="1"/>
    </x:row>
    <x:row r="316" ht="87" customHeight="1">
      <x:c r="A316" s="2" t="s">
        <x:v>178</x:v>
      </x:c>
      <x:c r="B316" s="2" t="s">
        <x:v>39</x:v>
      </x:c>
      <x:c r="C316" s="2">
        <x:v>25</x:v>
      </x:c>
      <x:c r="D316" s="8">
        <x:v>0.3165</x:v>
      </x:c>
      <x:c r="E316" s="8">
        <x:v>0.14299999999999999</x:v>
      </x:c>
      <x:c r="F316" s="8" t="s">
        <x:v>27</x:v>
      </x:c>
      <x:c r="G316" s="8">
        <x:f t="shared" si="11"/>
        <x:v>0.35170000000000001</x:v>
      </x:c>
      <x:c r="H316" s="9">
        <x:f t="shared" si="12"/>
        <x:v>0.89991470002843332</x:v>
      </x:c>
      <x:c r="I316" s="2" t="s">
        <x:v>36</x:v>
      </x:c>
      <x:c r="J316" s="2" t="str">
        <x:v>The reviewed regional sweetlips are large reef/bottom-associated species with maxima above 30 cm. This supports 25 + 26 as the assumed genus set; a value near 30 reported in SL for a different-region species does not establish a small-TL counterexample. Model catch proportions provide the split; allocation confidence remains Medium. Northern-shelf 2000s proxy transferred to whole-LME 2019 landings; fixed over 1950–2019.</x:v>
      </x:c>
      <x:c r="K316" s="1"/>
    </x:row>
    <x:row r="317" ht="87" customHeight="1">
      <x:c r="A317" s="2" t="s">
        <x:v>178</x:v>
      </x:c>
      <x:c r="B317" s="2" t="s">
        <x:v>40</x:v>
      </x:c>
      <x:c r="C317" s="2">
        <x:v>26</x:v>
      </x:c>
      <x:c r="D317" s="8">
        <x:v>3.5200000000000002E-2</x:v>
      </x:c>
      <x:c r="E317" s="8">
        <x:v>2.1000000000000001E-2</x:v>
      </x:c>
      <x:c r="F317" s="8" t="s">
        <x:v>27</x:v>
      </x:c>
      <x:c r="G317" s="8">
        <x:f t="shared" si="11"/>
        <x:v>0.35170000000000001</x:v>
      </x:c>
      <x:c r="H317" s="9">
        <x:f t="shared" si="12"/>
        <x:v>0.10008529997156668</x:v>
      </x:c>
      <x:c r="I317" s="2" t="s">
        <x:v>36</x:v>
      </x:c>
      <x:c r="J317" s="2" t="str">
        <x:v>The reviewed regional sweetlips are large reef/bottom-associated species with maxima above 30 cm. This supports 25 + 26 as the assumed genus set; a value near 30 reported in SL for a different-region species does not establish a small-TL counterexample. Model catch proportions provide the split; allocation confidence remains Medium. Northern-shelf 2000s proxy transferred to whole-LME 2019 landings; fixed over 1950–2019.</x:v>
      </x:c>
      <x:c r="K317" s="1"/>
    </x:row>
    <x:row r="318" ht="72" customHeight="1">
      <x:c r="A318" s="2" t="s">
        <x:v>179</x:v>
      </x:c>
      <x:c r="B318" s="2" t="s">
        <x:v>56</x:v>
      </x:c>
      <x:c r="C318" s="2">
        <x:v>24</x:v>
      </x:c>
      <x:c r="D318" s="8">
        <x:v>0.17879999999999999</x:v>
      </x:c>
      <x:c r="E318" s="8">
        <x:v>0.316</x:v>
      </x:c>
      <x:c r="F318" s="8" t="s">
        <x:v>27</x:v>
      </x:c>
      <x:c r="G318" s="8">
        <x:f t="shared" si="11"/>
        <x:v>0.53049999999999997</x:v>
      </x:c>
      <x:c r="H318" s="9">
        <x:f t="shared" si="12"/>
        <x:v>0.33704052780395855</x:v>
      </x:c>
      <x:c r="I318" s="2" t="s">
        <x:v>36</x:v>
      </x:c>
      <x:c r="J318" s="2" t="str">
        <x:v>Regional flatfishes occupy bottom-associated guilds and include both small species and large species. Current 24 + 25 + 26 already covers the size classes documented by Pseudorhombus, Paralichthys and Psettodes, with no dedicated flatfish group competing. Model catch proportions provide the split; allocation confidence remains Medium. </x:v>
      </x:c>
      <x:c r="K318" s="1"/>
    </x:row>
    <x:row r="319" ht="72" customHeight="1">
      <x:c r="A319" s="2" t="s">
        <x:v>179</x:v>
      </x:c>
      <x:c r="B319" s="2" t="s">
        <x:v>39</x:v>
      </x:c>
      <x:c r="C319" s="2">
        <x:v>25</x:v>
      </x:c>
      <x:c r="D319" s="8">
        <x:v>0.3165</x:v>
      </x:c>
      <x:c r="E319" s="8">
        <x:v>0.14299999999999999</x:v>
      </x:c>
      <x:c r="F319" s="8" t="s">
        <x:v>27</x:v>
      </x:c>
      <x:c r="G319" s="8">
        <x:f t="shared" si="11"/>
        <x:v>0.53049999999999997</x:v>
      </x:c>
      <x:c r="H319" s="9">
        <x:f t="shared" si="12"/>
        <x:v>0.59660697455230915</x:v>
      </x:c>
      <x:c r="I319" s="2" t="s">
        <x:v>36</x:v>
      </x:c>
      <x:c r="J319" s="2" t="str">
        <x:v>Regional flatfishes occupy bottom-associated guilds and include both small species and large species. Current 24 + 25 + 26 already covers the size classes documented by Pseudorhombus, Paralichthys and Psettodes, with no dedicated flatfish group competing. Model catch proportions provide the split; allocation confidence remains Medium. </x:v>
      </x:c>
      <x:c r="K319" s="1"/>
    </x:row>
    <x:row r="320" ht="72" customHeight="1">
      <x:c r="A320" s="2" t="s">
        <x:v>179</x:v>
      </x:c>
      <x:c r="B320" s="2" t="s">
        <x:v>40</x:v>
      </x:c>
      <x:c r="C320" s="2">
        <x:v>26</x:v>
      </x:c>
      <x:c r="D320" s="8">
        <x:v>3.5200000000000002E-2</x:v>
      </x:c>
      <x:c r="E320" s="8">
        <x:v>2.1000000000000001E-2</x:v>
      </x:c>
      <x:c r="F320" s="8" t="s">
        <x:v>27</x:v>
      </x:c>
      <x:c r="G320" s="8">
        <x:f t="shared" si="11"/>
        <x:v>0.53049999999999997</x:v>
      </x:c>
      <x:c r="H320" s="9">
        <x:f t="shared" si="12"/>
        <x:v>6.6352497643732342E-2</x:v>
      </x:c>
      <x:c r="I320" s="2" t="s">
        <x:v>36</x:v>
      </x:c>
      <x:c r="J320" s="2" t="str">
        <x:v>Regional flatfishes occupy bottom-associated guilds and include both small species and large species. Current 24 + 25 + 26 already covers the size classes documented by Pseudorhombus, Paralichthys and Psettodes, with no dedicated flatfish group competing. Model catch proportions provide the split; allocation confidence remains Medium. </x:v>
      </x:c>
      <x:c r="K320" s="1"/>
    </x:row>
    <x:row r="321" ht="87" customHeight="1">
      <x:c r="A321" s="2" t="s">
        <x:v>180</x:v>
      </x:c>
      <x:c r="B321" s="2" t="s">
        <x:v>39</x:v>
      </x:c>
      <x:c r="C321" s="2">
        <x:v>25</x:v>
      </x:c>
      <x:c r="D321" s="8">
        <x:v>0.3165</x:v>
      </x:c>
      <x:c r="E321" s="8">
        <x:v>0.14299999999999999</x:v>
      </x:c>
      <x:c r="F321" s="8" t="s">
        <x:v>27</x:v>
      </x:c>
      <x:c r="G321" s="8">
        <x:f t="shared" si="11"/>
        <x:v>0.35170000000000001</x:v>
      </x:c>
      <x:c r="H321" s="9">
        <x:f t="shared" si="12"/>
        <x:v>0.89991470002843332</x:v>
      </x:c>
      <x:c r="I321" s="2" t="s">
        <x:v>36</x:v>
      </x:c>
      <x:c r="J321" s="2" t="str">
        <x:v>The family contains the Western Pacific small Plotosus nhatrangensis 24.3 cm TL and larger P. lineatus/P. canius. Current 25 + 26 does not establish coverage of all relevant species-size classes, regardless of the approved age split. Model catch proportions provide the split; allocation confidence remains Medium. Northern-shelf 2000s proxy transferred to whole-LME 2019 landings; fixed over 1950–2019.</x:v>
      </x:c>
      <x:c r="K321" s="1"/>
    </x:row>
    <x:row r="322" ht="87" customHeight="1">
      <x:c r="A322" s="2" t="s">
        <x:v>180</x:v>
      </x:c>
      <x:c r="B322" s="2" t="s">
        <x:v>40</x:v>
      </x:c>
      <x:c r="C322" s="2">
        <x:v>26</x:v>
      </x:c>
      <x:c r="D322" s="8">
        <x:v>3.5200000000000002E-2</x:v>
      </x:c>
      <x:c r="E322" s="8">
        <x:v>2.1000000000000001E-2</x:v>
      </x:c>
      <x:c r="F322" s="8" t="s">
        <x:v>27</x:v>
      </x:c>
      <x:c r="G322" s="8">
        <x:f t="shared" si="11"/>
        <x:v>0.35170000000000001</x:v>
      </x:c>
      <x:c r="H322" s="9">
        <x:f t="shared" si="12"/>
        <x:v>0.10008529997156668</x:v>
      </x:c>
      <x:c r="I322" s="2" t="s">
        <x:v>36</x:v>
      </x:c>
      <x:c r="J322" s="2" t="str">
        <x:v>The family contains the Western Pacific small Plotosus nhatrangensis 24.3 cm TL and larger P. lineatus/P. canius. Current 25 + 26 does not establish coverage of all relevant species-size classes, regardless of the approved age split. Model catch proportions provide the split; allocation confidence remains Medium. Northern-shelf 2000s proxy transferred to whole-LME 2019 landings; fixed over 1950–2019.</x:v>
      </x:c>
      <x:c r="K322" s="1"/>
    </x:row>
    <x:row r="323" ht="87" customHeight="1">
      <x:c r="A323" s="2" t="s">
        <x:v>181</x:v>
      </x:c>
      <x:c r="B323" s="2" t="s">
        <x:v>39</x:v>
      </x:c>
      <x:c r="C323" s="2">
        <x:v>25</x:v>
      </x:c>
      <x:c r="D323" s="8">
        <x:v>0.3165</x:v>
      </x:c>
      <x:c r="E323" s="8">
        <x:v>0.14299999999999999</x:v>
      </x:c>
      <x:c r="F323" s="8" t="s">
        <x:v>27</x:v>
      </x:c>
      <x:c r="G323" s="8">
        <x:f t="shared" si="11"/>
        <x:v>0.35170000000000001</x:v>
      </x:c>
      <x:c r="H323" s="9">
        <x:f t="shared" si="12"/>
        <x:v>0.89991470002843332</x:v>
      </x:c>
      <x:c r="I323" s="2" t="s">
        <x:v>36</x:v>
      </x:c>
      <x:c r="J323" s="2" t="str">
        <x:v>The genus includes Western Pacific P. nhatrangensis at 24.3 cm TL and larger P. lineatus 35.2 cm TL/P. canius 111.1 cm TL. Thus the current large-species pair is not an established complete genus set;24 is a genuine small-species candidate. Model catch proportions provide the split; allocation confidence remains Medium. Northern-shelf 2000s proxy transferred to whole-LME 2019 landings; fixed over 1950–2019.</x:v>
      </x:c>
      <x:c r="K323" s="1"/>
    </x:row>
    <x:row r="324" ht="87" customHeight="1">
      <x:c r="A324" s="2" t="s">
        <x:v>181</x:v>
      </x:c>
      <x:c r="B324" s="2" t="s">
        <x:v>40</x:v>
      </x:c>
      <x:c r="C324" s="2">
        <x:v>26</x:v>
      </x:c>
      <x:c r="D324" s="8">
        <x:v>3.5200000000000002E-2</x:v>
      </x:c>
      <x:c r="E324" s="8">
        <x:v>2.1000000000000001E-2</x:v>
      </x:c>
      <x:c r="F324" s="8" t="s">
        <x:v>27</x:v>
      </x:c>
      <x:c r="G324" s="8">
        <x:f t="shared" si="11"/>
        <x:v>0.35170000000000001</x:v>
      </x:c>
      <x:c r="H324" s="9">
        <x:f t="shared" si="12"/>
        <x:v>0.10008529997156668</x:v>
      </x:c>
      <x:c r="I324" s="2" t="s">
        <x:v>36</x:v>
      </x:c>
      <x:c r="J324" s="2" t="str">
        <x:v>The genus includes Western Pacific P. nhatrangensis at 24.3 cm TL and larger P. lineatus 35.2 cm TL/P. canius 111.1 cm TL. Thus the current large-species pair is not an established complete genus set;24 is a genuine small-species candidate. Model catch proportions provide the split; allocation confidence remains Medium. Northern-shelf 2000s proxy transferred to whole-LME 2019 landings; fixed over 1950–2019.</x:v>
      </x:c>
      <x:c r="K324" s="1"/>
    </x:row>
    <x:row r="325" ht="102" customHeight="1">
      <x:c r="A325" s="2" t="s">
        <x:v>182</x:v>
      </x:c>
      <x:c r="B325" s="2" t="s">
        <x:v>39</x:v>
      </x:c>
      <x:c r="C325" s="2">
        <x:v>25</x:v>
      </x:c>
      <x:c r="D325" s="8">
        <x:v>0.3165</x:v>
      </x:c>
      <x:c r="E325" s="8">
        <x:v>0.14299999999999999</x:v>
      </x:c>
      <x:c r="F325" s="8" t="s">
        <x:v>27</x:v>
      </x:c>
      <x:c r="G325" s="8">
        <x:f t="shared" si="11"/>
        <x:v>0.35170000000000001</x:v>
      </x:c>
      <x:c r="H325" s="9">
        <x:f t="shared" si="12"/>
        <x:v>0.89991470002843332</x:v>
      </x:c>
      <x:c r="I325" s="2" t="s">
        <x:v>36</x:v>
      </x:c>
      <x:c r="J325" s="2" t="str">
        <x:v>The species is large (61 cm TL), but its authoritative biology explicitly identifies a benthopelagic coastal fish. Sand/rock association and bottom prey provide only partial support for current 25 + 26 while 27 is a plausible competing habitat whose large-species scope is itself unresolved. Model catch proportions provide the split; allocation confidence remains Medium. Northern-shelf 2000s proxy transferred to whole-LME 2019 landings; fixed over 1950–2019.</x:v>
      </x:c>
      <x:c r="K325" s="1"/>
    </x:row>
    <x:row r="326" ht="102" customHeight="1">
      <x:c r="A326" s="2" t="s">
        <x:v>182</x:v>
      </x:c>
      <x:c r="B326" s="2" t="s">
        <x:v>40</x:v>
      </x:c>
      <x:c r="C326" s="2">
        <x:v>26</x:v>
      </x:c>
      <x:c r="D326" s="8">
        <x:v>3.5200000000000002E-2</x:v>
      </x:c>
      <x:c r="E326" s="8">
        <x:v>2.1000000000000001E-2</x:v>
      </x:c>
      <x:c r="F326" s="8" t="s">
        <x:v>27</x:v>
      </x:c>
      <x:c r="G326" s="8" t="n">
        <x:f t="shared" ref="G326:G389" si="13">SUMIFS($D$6:$D$449,$A$6:$A$449,A326)</x:f>
        <x:v>0.3517</x:v>
      </x:c>
      <x:c r="H326" s="9">
        <x:f t="shared" si="12"/>
        <x:v>0.10008529997156668</x:v>
      </x:c>
      <x:c r="I326" s="2" t="s">
        <x:v>36</x:v>
      </x:c>
      <x:c r="J326" s="2" t="str">
        <x:v>The species is large (61 cm TL), but its authoritative biology explicitly identifies a benthopelagic coastal fish. Sand/rock association and bottom prey provide only partial support for current 25 + 26 while 27 is a plausible competing habitat whose large-species scope is itself unresolved. Model catch proportions provide the split; allocation confidence remains Medium. Northern-shelf 2000s proxy transferred to whole-LME 2019 landings; fixed over 1950–2019.</x:v>
      </x:c>
      <x:c r="K326" s="1"/>
    </x:row>
    <x:row r="327" ht="87" customHeight="1">
      <x:c r="A327" s="2" t="s">
        <x:v>183</x:v>
      </x:c>
      <x:c r="B327" s="2" t="s">
        <x:v>39</x:v>
      </x:c>
      <x:c r="C327" s="2">
        <x:v>25</x:v>
      </x:c>
      <x:c r="D327" s="8">
        <x:v>0.3165</x:v>
      </x:c>
      <x:c r="E327" s="8">
        <x:v>0.14299999999999999</x:v>
      </x:c>
      <x:c r="F327" s="8" t="s">
        <x:v>27</x:v>
      </x:c>
      <x:c r="G327" s="8">
        <x:f t="shared" si="13"/>
        <x:v>0.35170000000000001</x:v>
      </x:c>
      <x:c r="H327" s="9">
        <x:f t="shared" si="12"/>
        <x:v>0.89991470002843332</x:v>
      </x:c>
      <x:c r="I327" s="2" t="s">
        <x:v>36</x:v>
      </x:c>
      <x:c r="J327" s="2" t="str">
        <x:v>Large demersal P. argenteus/argyreus support part of 25 + 26, but the East Asian shelf congener P. quadrilineatus is documented as pelagic-neritic and small (12.3 cm SL). The current genus-wide large-demersal set is therefore not established. Model catch proportions provide the split; allocation confidence remains Medium. Northern-shelf 2000s proxy transferred to whole-LME 2019 landings; fixed over 1950–2019.</x:v>
      </x:c>
      <x:c r="K327" s="1"/>
    </x:row>
    <x:row r="328" ht="87" customHeight="1">
      <x:c r="A328" s="2" t="s">
        <x:v>183</x:v>
      </x:c>
      <x:c r="B328" s="2" t="s">
        <x:v>40</x:v>
      </x:c>
      <x:c r="C328" s="2">
        <x:v>26</x:v>
      </x:c>
      <x:c r="D328" s="8">
        <x:v>3.5200000000000002E-2</x:v>
      </x:c>
      <x:c r="E328" s="8">
        <x:v>2.1000000000000001E-2</x:v>
      </x:c>
      <x:c r="F328" s="8" t="s">
        <x:v>27</x:v>
      </x:c>
      <x:c r="G328" s="8">
        <x:f t="shared" si="13"/>
        <x:v>0.35170000000000001</x:v>
      </x:c>
      <x:c r="H328" s="9">
        <x:f t="shared" si="12"/>
        <x:v>0.10008529997156668</x:v>
      </x:c>
      <x:c r="I328" s="2" t="s">
        <x:v>36</x:v>
      </x:c>
      <x:c r="J328" s="2" t="str">
        <x:v>Large demersal P. argenteus/argyreus support part of 25 + 26, but the East Asian shelf congener P. quadrilineatus is documented as pelagic-neritic and small (12.3 cm SL). The current genus-wide large-demersal set is therefore not established. Model catch proportions provide the split; allocation confidence remains Medium. Northern-shelf 2000s proxy transferred to whole-LME 2019 landings; fixed over 1950–2019.</x:v>
      </x:c>
      <x:c r="K328" s="1"/>
    </x:row>
    <x:row r="329" ht="102" customHeight="1">
      <x:c r="A329" s="2" t="s">
        <x:v>184</x:v>
      </x:c>
      <x:c r="B329" s="2" t="s">
        <x:v>39</x:v>
      </x:c>
      <x:c r="C329" s="2">
        <x:v>25</x:v>
      </x:c>
      <x:c r="D329" s="8">
        <x:v>0.3165</x:v>
      </x:c>
      <x:c r="E329" s="8">
        <x:v>0.14299999999999999</x:v>
      </x:c>
      <x:c r="F329" s="8" t="s">
        <x:v>27</x:v>
      </x:c>
      <x:c r="G329" s="8">
        <x:f t="shared" si="13"/>
        <x:v>0.35170000000000001</x:v>
      </x:c>
      <x:c r="H329" s="9">
        <x:f t="shared" si="12"/>
        <x:v>0.89991470002843332</x:v>
      </x:c>
      <x:c r="I329" s="2" t="s">
        <x:v>36</x:v>
      </x:c>
      <x:c r="J329" s="2" t="str">
        <x:v>Verified demersal coastal ecology and maximum 70 cm TL satisfy the explicit residual large-demersal criteria, with no dedicated Haemulidae group. Common 25 cm fish do not create group 24 membership; uncertainty for other Pomadasys species does not negate this identified species fit. Model catch proportions provide the split; allocation confidence remains Medium. Northern-shelf 2000s proxy transferred to whole-LME 2019 landings; fixed over 1950–2019.</x:v>
      </x:c>
      <x:c r="K329" s="1"/>
    </x:row>
    <x:row r="330" ht="102" customHeight="1">
      <x:c r="A330" s="2" t="s">
        <x:v>184</x:v>
      </x:c>
      <x:c r="B330" s="2" t="s">
        <x:v>40</x:v>
      </x:c>
      <x:c r="C330" s="2">
        <x:v>26</x:v>
      </x:c>
      <x:c r="D330" s="8">
        <x:v>3.5200000000000002E-2</x:v>
      </x:c>
      <x:c r="E330" s="8">
        <x:v>2.1000000000000001E-2</x:v>
      </x:c>
      <x:c r="F330" s="8" t="s">
        <x:v>27</x:v>
      </x:c>
      <x:c r="G330" s="8">
        <x:f t="shared" si="13"/>
        <x:v>0.35170000000000001</x:v>
      </x:c>
      <x:c r="H330" s="9">
        <x:f t="shared" si="12"/>
        <x:v>0.10008529997156668</x:v>
      </x:c>
      <x:c r="I330" s="2" t="s">
        <x:v>36</x:v>
      </x:c>
      <x:c r="J330" s="2" t="str">
        <x:v>Verified demersal coastal ecology and maximum 70 cm TL satisfy the explicit residual large-demersal criteria, with no dedicated Haemulidae group. Common 25 cm fish do not create group 24 membership; uncertainty for other Pomadasys species does not negate this identified species fit. Model catch proportions provide the split; allocation confidence remains Medium. Northern-shelf 2000s proxy transferred to whole-LME 2019 landings; fixed over 1950–2019.</x:v>
      </x:c>
      <x:c r="K330" s="1"/>
    </x:row>
    <x:row r="331" ht="117" customHeight="1">
      <x:c r="A331" s="2" t="s">
        <x:v>185</x:v>
      </x:c>
      <x:c r="B331" s="2" t="s">
        <x:v>35</x:v>
      </x:c>
      <x:c r="C331" s="2">
        <x:v>30</x:v>
      </x:c>
      <x:c r="D331" s="8">
        <x:v>0.73839999999999995</x:v>
      </x:c>
      <x:c r="E331" s="8">
        <x:v>0.28899999999999998</x:v>
      </x:c>
      <x:c r="F331" s="8" t="s">
        <x:v>27</x:v>
      </x:c>
      <x:c r="G331" s="8">
        <x:f t="shared" si="13"/>
        <x:v>0.82050000000000001</x:v>
      </x:c>
      <x:c r="H331" s="9">
        <x:f t="shared" si="12"/>
        <x:v>0.89993906154783665</x:v>
      </x:c>
      <x:c r="I331" s="2" t="s">
        <x:v>36</x:v>
      </x:c>
      <x:c r="J331"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130 cm TL; Marine; brackish;  pelagic-oceanic; oceanodromous. Model catch proportions provide the split; allocation confidence remains Medium. Northern-shelf 2000s proxy transferred to whole-LME 2019 landings; fixed over 1950–2019.</x:v>
      </x:c>
      <x:c r="K331" s="1"/>
    </x:row>
    <x:row r="332" ht="117" customHeight="1">
      <x:c r="A332" s="2" t="s">
        <x:v>185</x:v>
      </x:c>
      <x:c r="B332" s="2" t="s">
        <x:v>37</x:v>
      </x:c>
      <x:c r="C332" s="2">
        <x:v>31</x:v>
      </x:c>
      <x:c r="D332" s="8">
        <x:v>8.2100000000000006E-2</x:v>
      </x:c>
      <x:c r="E332" s="8">
        <x:v>7.9000000000000001E-2</x:v>
      </x:c>
      <x:c r="F332" s="8" t="s">
        <x:v>27</x:v>
      </x:c>
      <x:c r="G332" s="8">
        <x:f t="shared" si="13"/>
        <x:v>0.82050000000000001</x:v>
      </x:c>
      <x:c r="H332" s="9">
        <x:f t="shared" si="12"/>
        <x:v>0.10006093845216332</x:v>
      </x:c>
      <x:c r="I332" s="2" t="s">
        <x:v>36</x:v>
      </x:c>
      <x:c r="J332"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130 cm TL; Marine; brackish;  pelagic-oceanic; oceanodromous. Model catch proportions provide the split; allocation confidence remains Medium. Northern-shelf 2000s proxy transferred to whole-LME 2019 landings; fixed over 1950–2019.</x:v>
      </x:c>
      <x:c r="K332" s="1"/>
    </x:row>
    <x:row r="333" ht="72" customHeight="1">
      <x:c r="A333" s="2" t="s">
        <x:v>186</x:v>
      </x:c>
      <x:c r="B333" s="2" t="s">
        <x:v>39</x:v>
      </x:c>
      <x:c r="C333" s="2">
        <x:v>25</x:v>
      </x:c>
      <x:c r="D333" s="8">
        <x:v>0.3165</x:v>
      </x:c>
      <x:c r="E333" s="8">
        <x:v>0.14299999999999999</x:v>
      </x:c>
      <x:c r="F333" s="8" t="s">
        <x:v>27</x:v>
      </x:c>
      <x:c r="G333" s="8">
        <x:f t="shared" si="13"/>
        <x:v>0.35170000000000001</x:v>
      </x:c>
      <x:c r="H333" s="9">
        <x:f t="shared" si="12"/>
        <x:v>0.89991470002843332</x:v>
      </x:c>
      <x:c r="I333" s="2" t="s">
        <x:v>36</x:v>
      </x:c>
      <x:c r="J333" s="2" t="str">
        <x:v>FAO documents this regional flatfish on mud/sand bottoms with maximum about 60 cm TL. It satisfies the explicit residual demersal size/habitat criteria and no dedicated flatfish pool competes. Its common 20–40 cm range does not create small-species group 24 eligibility. Model catch proportions provide the split; allocation confidence remains Medium. </x:v>
      </x:c>
      <x:c r="K333" s="1"/>
    </x:row>
    <x:row r="334" ht="72" customHeight="1">
      <x:c r="A334" s="2" t="s">
        <x:v>186</x:v>
      </x:c>
      <x:c r="B334" s="2" t="s">
        <x:v>40</x:v>
      </x:c>
      <x:c r="C334" s="2">
        <x:v>26</x:v>
      </x:c>
      <x:c r="D334" s="8">
        <x:v>3.5200000000000002E-2</x:v>
      </x:c>
      <x:c r="E334" s="8">
        <x:v>2.1000000000000001E-2</x:v>
      </x:c>
      <x:c r="F334" s="8" t="s">
        <x:v>27</x:v>
      </x:c>
      <x:c r="G334" s="8">
        <x:f t="shared" si="13"/>
        <x:v>0.35170000000000001</x:v>
      </x:c>
      <x:c r="H334" s="9">
        <x:f t="shared" si="12"/>
        <x:v>0.10008529997156668</x:v>
      </x:c>
      <x:c r="I334" s="2" t="s">
        <x:v>36</x:v>
      </x:c>
      <x:c r="J334" s="2" t="str">
        <x:v>FAO documents this regional flatfish on mud/sand bottoms with maximum about 60 cm TL. It satisfies the explicit residual demersal size/habitat criteria and no dedicated flatfish pool competes. Its common 20–40 cm range does not create small-species group 24 eligibility. Model catch proportions provide the split; allocation confidence remains Medium. </x:v>
      </x:c>
      <x:c r="K334" s="1"/>
    </x:row>
    <x:row r="335" ht="72" customHeight="1">
      <x:c r="A335" s="2" t="s">
        <x:v>187</x:v>
      </x:c>
      <x:c r="B335" s="2" t="s">
        <x:v>56</x:v>
      </x:c>
      <x:c r="C335" s="2">
        <x:v>24</x:v>
      </x:c>
      <x:c r="D335" s="8">
        <x:v>0.17879999999999999</x:v>
      </x:c>
      <x:c r="E335" s="8">
        <x:v>0.316</x:v>
      </x:c>
      <x:c r="F335" s="8" t="s">
        <x:v>27</x:v>
      </x:c>
      <x:c r="G335" s="8">
        <x:f t="shared" si="13"/>
        <x:v>0.53049999999999997</x:v>
      </x:c>
      <x:c r="H335" s="9">
        <x:f t="shared" si="12"/>
        <x:v>0.33704052780395855</x:v>
      </x:c>
      <x:c r="I335" s="2" t="s">
        <x:v>36</x:v>
      </x:c>
      <x:c r="J335" s="2" t="str">
        <x:v>FAO identifies only Psettodes erumei in the regional family, with maximum about 60 cm TL. Current 24 + 25 + 26 includes a small-species pool unsupported by that regional composition; common 20–40 cm fish do not satisfy a species-maximum≤ 30 definition. Model catch proportions provide the split; allocation confidence remains Medium. </x:v>
      </x:c>
      <x:c r="K335" s="1"/>
    </x:row>
    <x:row r="336" ht="72" customHeight="1">
      <x:c r="A336" s="2" t="s">
        <x:v>187</x:v>
      </x:c>
      <x:c r="B336" s="2" t="s">
        <x:v>39</x:v>
      </x:c>
      <x:c r="C336" s="2">
        <x:v>25</x:v>
      </x:c>
      <x:c r="D336" s="8">
        <x:v>0.3165</x:v>
      </x:c>
      <x:c r="E336" s="8">
        <x:v>0.14299999999999999</x:v>
      </x:c>
      <x:c r="F336" s="8" t="s">
        <x:v>27</x:v>
      </x:c>
      <x:c r="G336" s="8">
        <x:f t="shared" si="13"/>
        <x:v>0.53049999999999997</x:v>
      </x:c>
      <x:c r="H336" s="9">
        <x:f t="shared" si="12"/>
        <x:v>0.59660697455230915</x:v>
      </x:c>
      <x:c r="I336" s="2" t="s">
        <x:v>36</x:v>
      </x:c>
      <x:c r="J336" s="2" t="str">
        <x:v>FAO identifies only Psettodes erumei in the regional family, with maximum about 60 cm TL. Current 24 + 25 + 26 includes a small-species pool unsupported by that regional composition; common 20–40 cm fish do not satisfy a species-maximum≤ 30 definition. Model catch proportions provide the split; allocation confidence remains Medium. </x:v>
      </x:c>
      <x:c r="K336" s="1"/>
    </x:row>
    <x:row r="337" ht="72" customHeight="1">
      <x:c r="A337" s="2" t="s">
        <x:v>187</x:v>
      </x:c>
      <x:c r="B337" s="2" t="s">
        <x:v>40</x:v>
      </x:c>
      <x:c r="C337" s="2">
        <x:v>26</x:v>
      </x:c>
      <x:c r="D337" s="8">
        <x:v>3.5200000000000002E-2</x:v>
      </x:c>
      <x:c r="E337" s="8">
        <x:v>2.1000000000000001E-2</x:v>
      </x:c>
      <x:c r="F337" s="8" t="s">
        <x:v>27</x:v>
      </x:c>
      <x:c r="G337" s="8">
        <x:f t="shared" si="13"/>
        <x:v>0.53049999999999997</x:v>
      </x:c>
      <x:c r="H337" s="9">
        <x:f t="shared" si="12"/>
        <x:v>6.6352497643732342E-2</x:v>
      </x:c>
      <x:c r="I337" s="2" t="s">
        <x:v>36</x:v>
      </x:c>
      <x:c r="J337" s="2" t="str">
        <x:v>FAO identifies only Psettodes erumei in the regional family, with maximum about 60 cm TL. Current 24 + 25 + 26 includes a small-species pool unsupported by that regional composition; common 20–40 cm fish do not satisfy a species-maximum≤ 30 definition. Model catch proportions provide the split; allocation confidence remains Medium. </x:v>
      </x:c>
      <x:c r="K337" s="1"/>
    </x:row>
    <x:row r="338" ht="87" customHeight="1">
      <x:c r="A338" s="2" t="s">
        <x:v>188</x:v>
      </x:c>
      <x:c r="B338" s="2" t="s">
        <x:v>35</x:v>
      </x:c>
      <x:c r="C338" s="2">
        <x:v>30</x:v>
      </x:c>
      <x:c r="D338" s="8">
        <x:v>0.73839999999999995</x:v>
      </x:c>
      <x:c r="E338" s="8">
        <x:v>0.28899999999999998</x:v>
      </x:c>
      <x:c r="F338" s="8" t="s">
        <x:v>27</x:v>
      </x:c>
      <x:c r="G338" s="8">
        <x:f t="shared" si="13"/>
        <x:v>0.82050000000000001</x:v>
      </x:c>
      <x:c r="H338" s="9">
        <x:f t="shared" si="12"/>
        <x:v>0.89993906154783665</x:v>
      </x:c>
      <x:c r="I338" s="2" t="s">
        <x:v>36</x:v>
      </x:c>
      <x:c r="J338" s="2" t="str">
        <x:v>The family is monotypic for cobia, a mainly pelagic species reaching about 200 cm. The family label therefore supports the source large-pelagic pair; it does not inherently imply a diverse unresolved mixture. Model catch proportions provide the split; allocation confidence remains Medium. Northern-shelf 2000s proxy transferred to whole-LME 2019 landings; fixed over 1950–2019.</x:v>
      </x:c>
      <x:c r="K338" s="1"/>
    </x:row>
    <x:row r="339" ht="87" customHeight="1">
      <x:c r="A339" s="2" t="s">
        <x:v>188</x:v>
      </x:c>
      <x:c r="B339" s="2" t="s">
        <x:v>37</x:v>
      </x:c>
      <x:c r="C339" s="2">
        <x:v>31</x:v>
      </x:c>
      <x:c r="D339" s="8">
        <x:v>8.2100000000000006E-2</x:v>
      </x:c>
      <x:c r="E339" s="8">
        <x:v>7.9000000000000001E-2</x:v>
      </x:c>
      <x:c r="F339" s="8" t="s">
        <x:v>27</x:v>
      </x:c>
      <x:c r="G339" s="8">
        <x:f t="shared" si="13"/>
        <x:v>0.82050000000000001</x:v>
      </x:c>
      <x:c r="H339" s="9">
        <x:f t="shared" si="12"/>
        <x:v>0.10006093845216332</x:v>
      </x:c>
      <x:c r="I339" s="2" t="s">
        <x:v>36</x:v>
      </x:c>
      <x:c r="J339" s="2" t="str">
        <x:v>The family is monotypic for cobia, a mainly pelagic species reaching about 200 cm. The family label therefore supports the source large-pelagic pair; it does not inherently imply a diverse unresolved mixture. Model catch proportions provide the split; allocation confidence remains Medium. Northern-shelf 2000s proxy transferred to whole-LME 2019 landings; fixed over 1950–2019.</x:v>
      </x:c>
      <x:c r="K339" s="1"/>
    </x:row>
    <x:row r="340" ht="102" customHeight="1">
      <x:c r="A340" s="2" t="s">
        <x:v>189</x:v>
      </x:c>
      <x:c r="B340" s="2" t="s">
        <x:v>35</x:v>
      </x:c>
      <x:c r="C340" s="2">
        <x:v>30</x:v>
      </x:c>
      <x:c r="D340" s="8">
        <x:v>0.73839999999999995</x:v>
      </x:c>
      <x:c r="E340" s="8">
        <x:v>0.28899999999999998</x:v>
      </x:c>
      <x:c r="F340" s="8" t="s">
        <x:v>27</x:v>
      </x:c>
      <x:c r="G340" s="8">
        <x:f t="shared" si="13"/>
        <x:v>0.82050000000000001</x:v>
      </x:c>
      <x:c r="H340" s="9">
        <x:f t="shared" si="12"/>
        <x:v>0.89993906154783665</x:v>
      </x:c>
      <x:c r="I340" s="2" t="s">
        <x:v>36</x:v>
      </x:c>
      <x:c r="J340" s="2" t="str">
        <x:v>Maximum length securely exceeds 30 cm and pelagic fishery/ecological context supports the pair. Authoritative text also emphasizes reef/coastal or bottom-associated use; the source supplies no species assignment closing this boundary. Checked species record: 200 cm TL; Marine; brackish;  reef-associated; oceanodromous. Model catch proportions provide the split; allocation confidence remains Medium. Northern-shelf 2000s proxy transferred to whole-LME 2019 landings; fixed over 1950–2019.</x:v>
      </x:c>
      <x:c r="K340" s="1"/>
    </x:row>
    <x:row r="341" ht="102" customHeight="1">
      <x:c r="A341" s="2" t="s">
        <x:v>189</x:v>
      </x:c>
      <x:c r="B341" s="2" t="s">
        <x:v>37</x:v>
      </x:c>
      <x:c r="C341" s="2">
        <x:v>31</x:v>
      </x:c>
      <x:c r="D341" s="8">
        <x:v>8.2100000000000006E-2</x:v>
      </x:c>
      <x:c r="E341" s="8">
        <x:v>7.9000000000000001E-2</x:v>
      </x:c>
      <x:c r="F341" s="8" t="s">
        <x:v>27</x:v>
      </x:c>
      <x:c r="G341" s="8">
        <x:f t="shared" si="13"/>
        <x:v>0.82050000000000001</x:v>
      </x:c>
      <x:c r="H341" s="9">
        <x:f t="shared" si="12"/>
        <x:v>0.10006093845216332</x:v>
      </x:c>
      <x:c r="I341" s="2" t="s">
        <x:v>36</x:v>
      </x:c>
      <x:c r="J341" s="2" t="str">
        <x:v>Maximum length securely exceeds 30 cm and pelagic fishery/ecological context supports the pair. Authoritative text also emphasizes reef/coastal or bottom-associated use; the source supplies no species assignment closing this boundary. Checked species record: 200 cm TL; Marine; brackish;  reef-associated; oceanodromous. Model catch proportions provide the split; allocation confidence remains Medium. Northern-shelf 2000s proxy transferred to whole-LME 2019 landings; fixed over 1950–2019.</x:v>
      </x:c>
      <x:c r="K341" s="1"/>
    </x:row>
    <x:row r="342" ht="87" customHeight="1">
      <x:c r="A342" s="2" t="s">
        <x:v>190</x:v>
      </x:c>
      <x:c r="B342" s="2" t="s">
        <x:v>35</x:v>
      </x:c>
      <x:c r="C342" s="2">
        <x:v>30</x:v>
      </x:c>
      <x:c r="D342" s="8">
        <x:v>0.73839999999999995</x:v>
      </x:c>
      <x:c r="E342" s="8">
        <x:v>0.28899999999999998</x:v>
      </x:c>
      <x:c r="F342" s="8" t="s">
        <x:v>27</x:v>
      </x:c>
      <x:c r="G342" s="8">
        <x:f t="shared" si="13"/>
        <x:v>0.82050000000000001</x:v>
      </x:c>
      <x:c r="H342" s="9">
        <x:f t="shared" si="12"/>
        <x:v>0.89993906154783665</x:v>
      </x:c>
      <x:c r="I342" s="2" t="s">
        <x:v>36</x:v>
      </x:c>
      <x:c r="J342" s="2" t="str">
        <x:v>R. brachysoma and R. kanagurta exceed 30 cm FL, but the evidence recovered for R. faughni does not establish a &gt;30-cm maximum. The unresolved species boundary prevents upgrading the genus-wide large-pelagic pair. Model catch proportions provide the split; allocation confidence remains Medium. Northern-shelf 2000s proxy transferred to whole-LME 2019 landings; fixed over 1950–2019.</x:v>
      </x:c>
      <x:c r="K342" s="1"/>
    </x:row>
    <x:row r="343" ht="87" customHeight="1">
      <x:c r="A343" s="2" t="s">
        <x:v>190</x:v>
      </x:c>
      <x:c r="B343" s="2" t="s">
        <x:v>37</x:v>
      </x:c>
      <x:c r="C343" s="2">
        <x:v>31</x:v>
      </x:c>
      <x:c r="D343" s="8">
        <x:v>8.2100000000000006E-2</x:v>
      </x:c>
      <x:c r="E343" s="8">
        <x:v>7.9000000000000001E-2</x:v>
      </x:c>
      <x:c r="F343" s="8" t="s">
        <x:v>27</x:v>
      </x:c>
      <x:c r="G343" s="8">
        <x:f t="shared" si="13"/>
        <x:v>0.82050000000000001</x:v>
      </x:c>
      <x:c r="H343" s="9">
        <x:f t="shared" si="12"/>
        <x:v>0.10006093845216332</x:v>
      </x:c>
      <x:c r="I343" s="2" t="s">
        <x:v>36</x:v>
      </x:c>
      <x:c r="J343" s="2" t="str">
        <x:v>R. brachysoma and R. kanagurta exceed 30 cm FL, but the evidence recovered for R. faughni does not establish a &gt;30-cm maximum. The unresolved species boundary prevents upgrading the genus-wide large-pelagic pair. Model catch proportions provide the split; allocation confidence remains Medium. Northern-shelf 2000s proxy transferred to whole-LME 2019 landings; fixed over 1950–2019.</x:v>
      </x:c>
      <x:c r="K343" s="1"/>
    </x:row>
    <x:row r="344" ht="117" customHeight="1">
      <x:c r="A344" s="2" t="s">
        <x:v>191</x:v>
      </x:c>
      <x:c r="B344" s="2" t="s">
        <x:v>35</x:v>
      </x:c>
      <x:c r="C344" s="2">
        <x:v>30</x:v>
      </x:c>
      <x:c r="D344" s="8">
        <x:v>0.73839999999999995</x:v>
      </x:c>
      <x:c r="E344" s="8">
        <x:v>0.28899999999999998</x:v>
      </x:c>
      <x:c r="F344" s="8" t="s">
        <x:v>27</x:v>
      </x:c>
      <x:c r="G344" s="8">
        <x:f t="shared" si="13"/>
        <x:v>0.82050000000000001</x:v>
      </x:c>
      <x:c r="H344" s="9">
        <x:f t="shared" si="12"/>
        <x:v>0.89993906154783665</x:v>
      </x:c>
      <x:c r="I344" s="2" t="s">
        <x:v>36</x:v>
      </x:c>
      <x:c r="J344"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34.5 cm FL; Marine; brackish;  pelagic-neritic; oceanodromous. Model catch proportions provide the split; allocation confidence remains Medium. Northern-shelf 2000s proxy transferred to whole-LME 2019 landings; fixed over 1950–2019.</x:v>
      </x:c>
      <x:c r="K344" s="1"/>
    </x:row>
    <x:row r="345" ht="117" customHeight="1">
      <x:c r="A345" s="2" t="s">
        <x:v>191</x:v>
      </x:c>
      <x:c r="B345" s="2" t="s">
        <x:v>37</x:v>
      </x:c>
      <x:c r="C345" s="2">
        <x:v>31</x:v>
      </x:c>
      <x:c r="D345" s="8">
        <x:v>8.2100000000000006E-2</x:v>
      </x:c>
      <x:c r="E345" s="8">
        <x:v>7.9000000000000001E-2</x:v>
      </x:c>
      <x:c r="F345" s="8" t="s">
        <x:v>27</x:v>
      </x:c>
      <x:c r="G345" s="8">
        <x:f t="shared" si="13"/>
        <x:v>0.82050000000000001</x:v>
      </x:c>
      <x:c r="H345" s="9">
        <x:f t="shared" si="12"/>
        <x:v>0.10006093845216332</x:v>
      </x:c>
      <x:c r="I345" s="2" t="s">
        <x:v>36</x:v>
      </x:c>
      <x:c r="J345"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34.5 cm FL; Marine; brackish;  pelagic-neritic; oceanodromous. Model catch proportions provide the split; allocation confidence remains Medium. Northern-shelf 2000s proxy transferred to whole-LME 2019 landings; fixed over 1950–2019.</x:v>
      </x:c>
      <x:c r="K345" s="1"/>
    </x:row>
    <x:row r="346" ht="132" customHeight="1">
      <x:c r="A346" s="2" t="s">
        <x:v>192</x:v>
      </x:c>
      <x:c r="B346" s="2" t="s">
        <x:v>35</x:v>
      </x:c>
      <x:c r="C346" s="2">
        <x:v>30</x:v>
      </x:c>
      <x:c r="D346" s="8">
        <x:v>0.73839999999999995</x:v>
      </x:c>
      <x:c r="E346" s="8">
        <x:v>0.28899999999999998</x:v>
      </x:c>
      <x:c r="F346" s="8" t="s">
        <x:v>27</x:v>
      </x:c>
      <x:c r="G346" s="8">
        <x:f t="shared" si="13"/>
        <x:v>0.82050000000000001</x:v>
      </x:c>
      <x:c r="H346" s="9">
        <x:f t="shared" si="12"/>
        <x:v>0.89993906154783665</x:v>
      </x:c>
      <x:c r="I346" s="2" t="s">
        <x:v>36</x:v>
      </x:c>
      <x:c r="J346"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The first 36 cm entry omits a length convention; the separately reported female maximum of 42.1 cm TL establishes the required large-fish boundary. Model catch proportions provide the split; allocation confidence remains Medium. Northern-shelf 2000s proxy transferred to whole-LME 2019 landings; fixed over 1950–2019.</x:v>
      </x:c>
      <x:c r="K346" s="1"/>
    </x:row>
    <x:row r="347" ht="132" customHeight="1">
      <x:c r="A347" s="2" t="s">
        <x:v>192</x:v>
      </x:c>
      <x:c r="B347" s="2" t="s">
        <x:v>37</x:v>
      </x:c>
      <x:c r="C347" s="2">
        <x:v>31</x:v>
      </x:c>
      <x:c r="D347" s="8">
        <x:v>8.2100000000000006E-2</x:v>
      </x:c>
      <x:c r="E347" s="8">
        <x:v>7.9000000000000001E-2</x:v>
      </x:c>
      <x:c r="F347" s="8" t="s">
        <x:v>27</x:v>
      </x:c>
      <x:c r="G347" s="8">
        <x:f t="shared" si="13"/>
        <x:v>0.82050000000000001</x:v>
      </x:c>
      <x:c r="H347" s="9">
        <x:f t="shared" si="12"/>
        <x:v>0.10006093845216332</x:v>
      </x:c>
      <x:c r="I347" s="2" t="s">
        <x:v>36</x:v>
      </x:c>
      <x:c r="J347"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The first 36 cm entry omits a length convention; the separately reported female maximum of 42.1 cm TL establishes the required large-fish boundary. Model catch proportions provide the split; allocation confidence remains Medium. Northern-shelf 2000s proxy transferred to whole-LME 2019 landings; fixed over 1950–2019.</x:v>
      </x:c>
      <x:c r="K347" s="1"/>
    </x:row>
    <x:row r="348" ht="87" customHeight="1">
      <x:c r="A348" s="2" t="s">
        <x:v>193</x:v>
      </x:c>
      <x:c r="B348" s="2" t="s">
        <x:v>97</x:v>
      </x:c>
      <x:c r="C348" s="2">
        <x:v>27</x:v>
      </x:c>
      <x:c r="D348" s="8">
        <x:v>0.60250000000000004</x:v>
      </x:c>
      <x:c r="E348" s="8">
        <x:v>0.92200000000000004</x:v>
      </x:c>
      <x:c r="F348" s="8" t="s">
        <x:v>98</x:v>
      </x:c>
      <x:c r="G348" s="8">
        <x:f t="shared" si="13"/>
        <x:v>0.60250000000000004</x:v>
      </x:c>
      <x:c r="H348" s="9" t="n">
        <x:f>1</x:f>
        <x:v>1</x:v>
      </x:c>
      <x:c r="I348" s="2" t="s">
        <x:v>99</x:v>
      </x:c>
      <x:c r="J348" s="2" t="str">
        <x:v>FAO explicitly describes oilfish as benthopelagic, with a 100–700 m range that overlaps the shelf edge. This supports group 27 better than a habitat-free analogue, but its deep distribution and the unresolved final small/large benthopelagic aggregation prevent stronger confidence. No split is required. Assumed composition is fixed across 1950–2019 and landings, total catch and discards; source model is a 2000s northern shelf representation.</x:v>
      </x:c>
      <x:c r="K348" s="1"/>
    </x:row>
    <x:row r="349" ht="117" customHeight="1">
      <x:c r="A349" s="2" t="s">
        <x:v>194</x:v>
      </x:c>
      <x:c r="B349" s="2" t="s">
        <x:v>35</x:v>
      </x:c>
      <x:c r="C349" s="2">
        <x:v>30</x:v>
      </x:c>
      <x:c r="D349" s="8">
        <x:v>0.73839999999999995</x:v>
      </x:c>
      <x:c r="E349" s="8">
        <x:v>0.28899999999999998</x:v>
      </x:c>
      <x:c r="F349" s="8" t="s">
        <x:v>27</x:v>
      </x:c>
      <x:c r="G349" s="8">
        <x:f t="shared" si="13"/>
        <x:v>0.82050000000000001</x:v>
      </x:c>
      <x:c r="H349" s="9" t="n">
        <x:f t="shared" ref="H349:H380" si="14">D349/G349</x:f>
        <x:v>0.8999390615478366</x:v>
      </x:c>
      <x:c r="I349" s="2" t="s">
        <x:v>36</x:v>
      </x:c>
      <x:c r="J349"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39.5 cm SL; Marine;  pelagic-neritic; oceanodromous. Model catch proportions provide the split; allocation confidence remains Medium. Northern-shelf 2000s proxy transferred to whole-LME 2019 landings; fixed over 1950–2019.</x:v>
      </x:c>
      <x:c r="K349" s="1"/>
    </x:row>
    <x:row r="350" ht="117" customHeight="1">
      <x:c r="A350" s="2" t="s">
        <x:v>194</x:v>
      </x:c>
      <x:c r="B350" s="2" t="s">
        <x:v>37</x:v>
      </x:c>
      <x:c r="C350" s="2">
        <x:v>31</x:v>
      </x:c>
      <x:c r="D350" s="8">
        <x:v>8.2100000000000006E-2</x:v>
      </x:c>
      <x:c r="E350" s="8">
        <x:v>7.9000000000000001E-2</x:v>
      </x:c>
      <x:c r="F350" s="8" t="s">
        <x:v>27</x:v>
      </x:c>
      <x:c r="G350" s="8">
        <x:f t="shared" si="13"/>
        <x:v>0.82050000000000001</x:v>
      </x:c>
      <x:c r="H350" s="9">
        <x:f t="shared" si="14"/>
        <x:v>0.10006093845216332</x:v>
      </x:c>
      <x:c r="I350" s="2" t="s">
        <x:v>36</x:v>
      </x:c>
      <x:c r="J350"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39.5 cm SL; Marine;  pelagic-neritic; oceanodromous. Model catch proportions provide the split; allocation confidence remains Medium. Northern-shelf 2000s proxy transferred to whole-LME 2019 landings; fixed over 1950–2019.</x:v>
      </x:c>
      <x:c r="K350" s="1"/>
    </x:row>
    <x:row r="351" ht="87" customHeight="1">
      <x:c r="A351" s="2" t="s">
        <x:v>195</x:v>
      </x:c>
      <x:c r="B351" s="2" t="s">
        <x:v>39</x:v>
      </x:c>
      <x:c r="C351" s="2">
        <x:v>25</x:v>
      </x:c>
      <x:c r="D351" s="8">
        <x:v>0.3165</x:v>
      </x:c>
      <x:c r="E351" s="8">
        <x:v>0.14299999999999999</x:v>
      </x:c>
      <x:c r="F351" s="8" t="s">
        <x:v>27</x:v>
      </x:c>
      <x:c r="G351" s="8">
        <x:f t="shared" si="13"/>
        <x:v>0.35170000000000001</x:v>
      </x:c>
      <x:c r="H351" s="9">
        <x:f t="shared" si="14"/>
        <x:v>0.89991470002843332</x:v>
      </x:c>
      <x:c r="I351" s="2" t="s">
        <x:v>36</x:v>
      </x:c>
      <x:c r="J351" s="2" t="str">
        <x:v>The family includes regional Scarus fuscocaudalis with maximum 25 cm TL as well as large parrotfishes. Current 25 + 26 therefore omit a small-species candidate; newer family-level taxonomy does not erase the model's size criterion. Model catch proportions provide the split; allocation confidence remains Medium. Northern-shelf 2000s proxy transferred to whole-LME 2019 landings; fixed over 1950–2019.</x:v>
      </x:c>
      <x:c r="K351" s="1"/>
    </x:row>
    <x:row r="352" ht="87" customHeight="1">
      <x:c r="A352" s="2" t="s">
        <x:v>195</x:v>
      </x:c>
      <x:c r="B352" s="2" t="s">
        <x:v>40</x:v>
      </x:c>
      <x:c r="C352" s="2">
        <x:v>26</x:v>
      </x:c>
      <x:c r="D352" s="8">
        <x:v>3.5200000000000002E-2</x:v>
      </x:c>
      <x:c r="E352" s="8">
        <x:v>2.1000000000000001E-2</x:v>
      </x:c>
      <x:c r="F352" s="8" t="s">
        <x:v>27</x:v>
      </x:c>
      <x:c r="G352" s="8">
        <x:f t="shared" si="13"/>
        <x:v>0.35170000000000001</x:v>
      </x:c>
      <x:c r="H352" s="9">
        <x:f t="shared" si="14"/>
        <x:v>0.10008529997156668</x:v>
      </x:c>
      <x:c r="I352" s="2" t="s">
        <x:v>36</x:v>
      </x:c>
      <x:c r="J352" s="2" t="str">
        <x:v>The family includes regional Scarus fuscocaudalis with maximum 25 cm TL as well as large parrotfishes. Current 25 + 26 therefore omit a small-species candidate; newer family-level taxonomy does not erase the model's size criterion. Model catch proportions provide the split; allocation confidence remains Medium. Northern-shelf 2000s proxy transferred to whole-LME 2019 landings; fixed over 1950–2019.</x:v>
      </x:c>
      <x:c r="K352" s="1"/>
    </x:row>
    <x:row r="353" ht="87" customHeight="1">
      <x:c r="A353" s="2" t="s">
        <x:v>196</x:v>
      </x:c>
      <x:c r="B353" s="2" t="s">
        <x:v>39</x:v>
      </x:c>
      <x:c r="C353" s="2">
        <x:v>25</x:v>
      </x:c>
      <x:c r="D353" s="8">
        <x:v>0.3165</x:v>
      </x:c>
      <x:c r="E353" s="8">
        <x:v>0.14299999999999999</x:v>
      </x:c>
      <x:c r="F353" s="8" t="s">
        <x:v>27</x:v>
      </x:c>
      <x:c r="G353" s="8">
        <x:f t="shared" si="13"/>
        <x:v>0.35170000000000001</x:v>
      </x:c>
      <x:c r="H353" s="9">
        <x:f t="shared" si="14"/>
        <x:v>0.89991470002843332</x:v>
      </x:c>
      <x:c r="I353" s="2" t="s">
        <x:v>36</x:v>
      </x:c>
      <x:c r="J353" s="2" t="str">
        <x:v>Scarus fuscocaudalis is a regional 25 cm TL parrotfish, so current 25 + 26 excludes a supported small species. The genus contains larger members, but their existence does not establish an all-large genus catch composition. Model catch proportions provide the split; allocation confidence remains Medium. Northern-shelf 2000s proxy transferred to whole-LME 2019 landings; fixed over 1950–2019.</x:v>
      </x:c>
      <x:c r="K353" s="1"/>
    </x:row>
    <x:row r="354" ht="87" customHeight="1">
      <x:c r="A354" s="2" t="s">
        <x:v>196</x:v>
      </x:c>
      <x:c r="B354" s="2" t="s">
        <x:v>40</x:v>
      </x:c>
      <x:c r="C354" s="2">
        <x:v>26</x:v>
      </x:c>
      <x:c r="D354" s="8">
        <x:v>3.5200000000000002E-2</x:v>
      </x:c>
      <x:c r="E354" s="8">
        <x:v>2.1000000000000001E-2</x:v>
      </x:c>
      <x:c r="F354" s="8" t="s">
        <x:v>27</x:v>
      </x:c>
      <x:c r="G354" s="8">
        <x:f t="shared" si="13"/>
        <x:v>0.35170000000000001</x:v>
      </x:c>
      <x:c r="H354" s="9">
        <x:f t="shared" si="14"/>
        <x:v>0.10008529997156668</x:v>
      </x:c>
      <x:c r="I354" s="2" t="s">
        <x:v>36</x:v>
      </x:c>
      <x:c r="J354" s="2" t="str">
        <x:v>Scarus fuscocaudalis is a regional 25 cm TL parrotfish, so current 25 + 26 excludes a supported small species. The genus contains larger members, but their existence does not establish an all-large genus catch composition. Model catch proportions provide the split; allocation confidence remains Medium. Northern-shelf 2000s proxy transferred to whole-LME 2019 landings; fixed over 1950–2019.</x:v>
      </x:c>
      <x:c r="K354" s="1"/>
    </x:row>
    <x:row r="355" ht="87" customHeight="1">
      <x:c r="A355" s="2" t="s">
        <x:v>197</x:v>
      </x:c>
      <x:c r="B355" s="2" t="s">
        <x:v>39</x:v>
      </x:c>
      <x:c r="C355" s="2">
        <x:v>25</x:v>
      </x:c>
      <x:c r="D355" s="8">
        <x:v>0.3165</x:v>
      </x:c>
      <x:c r="E355" s="8">
        <x:v>0.14299999999999999</x:v>
      </x:c>
      <x:c r="F355" s="8" t="s">
        <x:v>27</x:v>
      </x:c>
      <x:c r="G355" s="8">
        <x:f t="shared" si="13"/>
        <x:v>0.35170000000000001</x:v>
      </x:c>
      <x:c r="H355" s="9">
        <x:f t="shared" si="14"/>
        <x:v>0.89991470002843332</x:v>
      </x:c>
      <x:c r="I355" s="2" t="s">
        <x:v>36</x:v>
      </x:c>
      <x:c r="J355" s="2" t="str">
        <x:v>FAO's regional guide recognizes only S. argus in Scatophagus; its documented maximum 45 cm TL and demersal coastal biology support 25 + 26. A globally small S. tetracanthus is not evidence of a South China Sea component without regional support. Model catch proportions provide the split; allocation confidence remains Medium. Northern-shelf 2000s proxy transferred to whole-LME 2019 landings; fixed over 1950–2019.</x:v>
      </x:c>
      <x:c r="K355" s="1"/>
    </x:row>
    <x:row r="356" ht="87" customHeight="1">
      <x:c r="A356" s="2" t="s">
        <x:v>197</x:v>
      </x:c>
      <x:c r="B356" s="2" t="s">
        <x:v>40</x:v>
      </x:c>
      <x:c r="C356" s="2">
        <x:v>26</x:v>
      </x:c>
      <x:c r="D356" s="8">
        <x:v>3.5200000000000002E-2</x:v>
      </x:c>
      <x:c r="E356" s="8">
        <x:v>2.1000000000000001E-2</x:v>
      </x:c>
      <x:c r="F356" s="8" t="s">
        <x:v>27</x:v>
      </x:c>
      <x:c r="G356" s="8">
        <x:f t="shared" si="13"/>
        <x:v>0.35170000000000001</x:v>
      </x:c>
      <x:c r="H356" s="9">
        <x:f t="shared" si="14"/>
        <x:v>0.10008529997156668</x:v>
      </x:c>
      <x:c r="I356" s="2" t="s">
        <x:v>36</x:v>
      </x:c>
      <x:c r="J356" s="2" t="str">
        <x:v>FAO's regional guide recognizes only S. argus in Scatophagus; its documented maximum 45 cm TL and demersal coastal biology support 25 + 26. A globally small S. tetracanthus is not evidence of a South China Sea component without regional support. Model catch proportions provide the split; allocation confidence remains Medium. Northern-shelf 2000s proxy transferred to whole-LME 2019 landings; fixed over 1950–2019.</x:v>
      </x:c>
      <x:c r="K356" s="1"/>
    </x:row>
    <x:row r="357" ht="87" customHeight="1">
      <x:c r="A357" s="2" t="s">
        <x:v>198</x:v>
      </x:c>
      <x:c r="B357" s="2" t="s">
        <x:v>39</x:v>
      </x:c>
      <x:c r="C357" s="2">
        <x:v>25</x:v>
      </x:c>
      <x:c r="D357" s="8">
        <x:v>0.3165</x:v>
      </x:c>
      <x:c r="E357" s="8">
        <x:v>0.14299999999999999</x:v>
      </x:c>
      <x:c r="F357" s="8" t="s">
        <x:v>27</x:v>
      </x:c>
      <x:c r="G357" s="8">
        <x:f t="shared" si="13"/>
        <x:v>0.35170000000000001</x:v>
      </x:c>
      <x:c r="H357" s="9">
        <x:f t="shared" si="14"/>
        <x:v>0.89991470002843332</x:v>
      </x:c>
      <x:c r="I357" s="2" t="s">
        <x:v>36</x:v>
      </x:c>
      <x:c r="J357" s="2" t="str">
        <x:v>The documented demersal coastal/estuarine species reaches 45 cm TL and has no dedicated competing source pool. It satisfies the explicit residual large-demersal definition; common 20 cm fish do not change the species-maximum class, and 25 + 26 covers its stage union. Model catch proportions provide the split; allocation confidence remains Medium. Northern-shelf 2000s proxy transferred to whole-LME 2019 landings; fixed over 1950–2019.</x:v>
      </x:c>
      <x:c r="K357" s="1"/>
    </x:row>
    <x:row r="358" ht="87" customHeight="1">
      <x:c r="A358" s="2" t="s">
        <x:v>198</x:v>
      </x:c>
      <x:c r="B358" s="2" t="s">
        <x:v>40</x:v>
      </x:c>
      <x:c r="C358" s="2">
        <x:v>26</x:v>
      </x:c>
      <x:c r="D358" s="8">
        <x:v>3.5200000000000002E-2</x:v>
      </x:c>
      <x:c r="E358" s="8">
        <x:v>2.1000000000000001E-2</x:v>
      </x:c>
      <x:c r="F358" s="8" t="s">
        <x:v>27</x:v>
      </x:c>
      <x:c r="G358" s="8">
        <x:f t="shared" si="13"/>
        <x:v>0.35170000000000001</x:v>
      </x:c>
      <x:c r="H358" s="9">
        <x:f t="shared" si="14"/>
        <x:v>0.10008529997156668</x:v>
      </x:c>
      <x:c r="I358" s="2" t="s">
        <x:v>36</x:v>
      </x:c>
      <x:c r="J358" s="2" t="str">
        <x:v>The documented demersal coastal/estuarine species reaches 45 cm TL and has no dedicated competing source pool. It satisfies the explicit residual large-demersal definition; common 20 cm fish do not change the species-maximum class, and 25 + 26 covers its stage union. Model catch proportions provide the split; allocation confidence remains Medium. Northern-shelf 2000s proxy transferred to whole-LME 2019 landings; fixed over 1950–2019.</x:v>
      </x:c>
      <x:c r="K358" s="1"/>
    </x:row>
    <x:row r="359" ht="72" customHeight="1">
      <x:c r="A359" s="2" t="s">
        <x:v>199</x:v>
      </x:c>
      <x:c r="B359" s="2" t="s">
        <x:v>139</x:v>
      </x:c>
      <x:c r="C359" s="2">
        <x:v>21</x:v>
      </x:c>
      <x:c r="D359" s="8">
        <x:v>3.5099999999999999E-2</x:v>
      </x:c>
      <x:c r="E359" s="8">
        <x:v>7.0000000000000007E-2</x:v>
      </x:c>
      <x:c r="F359" s="8" t="s">
        <x:v>27</x:v>
      </x:c>
      <x:c r="G359" s="8">
        <x:f t="shared" si="13"/>
        <x:v>0.11410000000000001</x:v>
      </x:c>
      <x:c r="H359" s="9">
        <x:f t="shared" si="14"/>
        <x:v>0.30762489044697633</x:v>
      </x:c>
      <x:c r="I359" s="2" t="s">
        <x:v>36</x:v>
      </x:c>
      <x:c r="J359" s="2" t="str">
        <x:v>The source partitions Sciaenidae into small croakers and both large-croaker stanzas. The current set contains all three, including the explicit Pennahia exception. Unknown composition limits the weights separately. Model catch proportions provide the split; allocation confidence remains Medium. </x:v>
      </x:c>
      <x:c r="K359" s="1"/>
    </x:row>
    <x:row r="360" ht="72" customHeight="1">
      <x:c r="A360" s="2" t="s">
        <x:v>199</x:v>
      </x:c>
      <x:c r="B360" s="2" t="s">
        <x:v>46</x:v>
      </x:c>
      <x:c r="C360" s="2">
        <x:v>22</x:v>
      </x:c>
      <x:c r="D360" s="8">
        <x:v>7.0999999999999994E-2</x:v>
      </x:c>
      <x:c r="E360" s="8">
        <x:v>0.04</x:v>
      </x:c>
      <x:c r="F360" s="8" t="s">
        <x:v>27</x:v>
      </x:c>
      <x:c r="G360" s="8">
        <x:f t="shared" si="13"/>
        <x:v>0.11410000000000001</x:v>
      </x:c>
      <x:c r="H360" s="9">
        <x:f t="shared" si="14"/>
        <x:v>0.62226117440841355</x:v>
      </x:c>
      <x:c r="I360" s="2" t="s">
        <x:v>36</x:v>
      </x:c>
      <x:c r="J360" s="2" t="str">
        <x:v>The source partitions Sciaenidae into small croakers and both large-croaker stanzas. The current set contains all three, including the explicit Pennahia exception. Unknown composition limits the weights separately. Model catch proportions provide the split; allocation confidence remains Medium. </x:v>
      </x:c>
      <x:c r="K360" s="1"/>
    </x:row>
    <x:row r="361" ht="72" customHeight="1">
      <x:c r="A361" s="2" t="s">
        <x:v>199</x:v>
      </x:c>
      <x:c r="B361" s="2" t="s">
        <x:v>47</x:v>
      </x:c>
      <x:c r="C361" s="2">
        <x:v>23</x:v>
      </x:c>
      <x:c r="D361" s="8">
        <x:v>8.0000000000000002E-3</x:v>
      </x:c>
      <x:c r="E361" s="8">
        <x:v>9.4000000000000004E-3</x:v>
      </x:c>
      <x:c r="F361" s="8" t="s">
        <x:v>27</x:v>
      </x:c>
      <x:c r="G361" s="8">
        <x:f t="shared" si="13"/>
        <x:v>0.11410000000000001</x:v>
      </x:c>
      <x:c r="H361" s="9">
        <x:f t="shared" si="14"/>
        <x:v>7.0113935144609993E-2</x:v>
      </x:c>
      <x:c r="I361" s="2" t="s">
        <x:v>36</x:v>
      </x:c>
      <x:c r="J361" s="2" t="str">
        <x:v>The source partitions Sciaenidae into small croakers and both large-croaker stanzas. The current set contains all three, including the explicit Pennahia exception. Unknown composition limits the weights separately. Model catch proportions provide the split; allocation confidence remains Medium. </x:v>
      </x:c>
      <x:c r="K361" s="1"/>
    </x:row>
    <x:row r="362" ht="87" customHeight="1">
      <x:c r="A362" s="2" t="s">
        <x:v>200</x:v>
      </x:c>
      <x:c r="B362" s="2" t="s">
        <x:v>35</x:v>
      </x:c>
      <x:c r="C362" s="2">
        <x:v>30</x:v>
      </x:c>
      <x:c r="D362" s="8">
        <x:v>0.73839999999999995</x:v>
      </x:c>
      <x:c r="E362" s="8">
        <x:v>0.28899999999999998</x:v>
      </x:c>
      <x:c r="F362" s="8" t="s">
        <x:v>27</x:v>
      </x:c>
      <x:c r="G362" s="8">
        <x:f t="shared" si="13"/>
        <x:v>0.82050000000000001</x:v>
      </x:c>
      <x:c r="H362" s="9">
        <x:f t="shared" si="14"/>
        <x:v>0.89993906154783665</x:v>
      </x:c>
      <x:c r="I362" s="2" t="s">
        <x:v>36</x:v>
      </x:c>
      <x:c r="J362" s="2" t="str">
        <x:v>The raw reporting name is chub mackerels. Regional S. japonicus and S. australasicus are pelagic and exceed 30 cm FL, supporting the combined large-pelagic pair without treating caught small individuals as small-species fish. Model catch proportions provide the split; allocation confidence remains Medium. Northern-shelf 2000s proxy transferred to whole-LME 2019 landings; fixed over 1950–2019.</x:v>
      </x:c>
      <x:c r="K362" s="1"/>
    </x:row>
    <x:row r="363" ht="87" customHeight="1">
      <x:c r="A363" s="2" t="s">
        <x:v>200</x:v>
      </x:c>
      <x:c r="B363" s="2" t="s">
        <x:v>37</x:v>
      </x:c>
      <x:c r="C363" s="2">
        <x:v>31</x:v>
      </x:c>
      <x:c r="D363" s="8">
        <x:v>8.2100000000000006E-2</x:v>
      </x:c>
      <x:c r="E363" s="8">
        <x:v>7.9000000000000001E-2</x:v>
      </x:c>
      <x:c r="F363" s="8" t="s">
        <x:v>27</x:v>
      </x:c>
      <x:c r="G363" s="8">
        <x:f t="shared" si="13"/>
        <x:v>0.82050000000000001</x:v>
      </x:c>
      <x:c r="H363" s="9">
        <x:f t="shared" si="14"/>
        <x:v>0.10006093845216332</x:v>
      </x:c>
      <x:c r="I363" s="2" t="s">
        <x:v>36</x:v>
      </x:c>
      <x:c r="J363" s="2" t="str">
        <x:v>The raw reporting name is chub mackerels. Regional S. japonicus and S. australasicus are pelagic and exceed 30 cm FL, supporting the combined large-pelagic pair without treating caught small individuals as small-species fish. Model catch proportions provide the split; allocation confidence remains Medium. Northern-shelf 2000s proxy transferred to whole-LME 2019 landings; fixed over 1950–2019.</x:v>
      </x:c>
      <x:c r="K363" s="1"/>
    </x:row>
    <x:row r="364" ht="102" customHeight="1">
      <x:c r="A364" s="2" t="s">
        <x:v>201</x:v>
      </x:c>
      <x:c r="B364" s="2" t="s">
        <x:v>35</x:v>
      </x:c>
      <x:c r="C364" s="2">
        <x:v>30</x:v>
      </x:c>
      <x:c r="D364" s="8">
        <x:v>0.73839999999999995</x:v>
      </x:c>
      <x:c r="E364" s="8">
        <x:v>0.28899999999999998</x:v>
      </x:c>
      <x:c r="F364" s="8" t="s">
        <x:v>27</x:v>
      </x:c>
      <x:c r="G364" s="8">
        <x:f t="shared" si="13"/>
        <x:v>0.82050000000000001</x:v>
      </x:c>
      <x:c r="H364" s="9">
        <x:f t="shared" si="14"/>
        <x:v>0.89993906154783665</x:v>
      </x:c>
      <x:c r="I364" s="2" t="s">
        <x:v>36</x:v>
      </x:c>
      <x:c r="J364" s="2" t="str">
        <x:v>Pelagic-neritic ecology, maximum size &gt;30 cm and the source scombrid example support the current pair. Near-bottom behavior makes the model's competing benthopelagic boundary an interpretation rather than an unequivocal fit. Checked species record: 50.2 cm SL; Marine;  pelagic-neritic; oceanodromous. Model catch proportions provide the split; allocation confidence remains Medium. Northern-shelf 2000s proxy transferred to whole-LME 2019 landings; fixed over 1950–2019.</x:v>
      </x:c>
      <x:c r="K364" s="1"/>
    </x:row>
    <x:row r="365" ht="102" customHeight="1">
      <x:c r="A365" s="2" t="s">
        <x:v>201</x:v>
      </x:c>
      <x:c r="B365" s="2" t="s">
        <x:v>37</x:v>
      </x:c>
      <x:c r="C365" s="2">
        <x:v>31</x:v>
      </x:c>
      <x:c r="D365" s="8">
        <x:v>8.2100000000000006E-2</x:v>
      </x:c>
      <x:c r="E365" s="8">
        <x:v>7.9000000000000001E-2</x:v>
      </x:c>
      <x:c r="F365" s="8" t="s">
        <x:v>27</x:v>
      </x:c>
      <x:c r="G365" s="8">
        <x:f t="shared" si="13"/>
        <x:v>0.82050000000000001</x:v>
      </x:c>
      <x:c r="H365" s="9">
        <x:f t="shared" si="14"/>
        <x:v>0.10006093845216332</x:v>
      </x:c>
      <x:c r="I365" s="2" t="s">
        <x:v>36</x:v>
      </x:c>
      <x:c r="J365" s="2" t="str">
        <x:v>Pelagic-neritic ecology, maximum size &gt;30 cm and the source scombrid example support the current pair. Near-bottom behavior makes the model's competing benthopelagic boundary an interpretation rather than an unequivocal fit. Checked species record: 50.2 cm SL; Marine;  pelagic-neritic; oceanodromous. Model catch proportions provide the split; allocation confidence remains Medium. Northern-shelf 2000s proxy transferred to whole-LME 2019 landings; fixed over 1950–2019.</x:v>
      </x:c>
      <x:c r="K365" s="1"/>
    </x:row>
    <x:row r="366" ht="102" customHeight="1">
      <x:c r="A366" s="2" t="s">
        <x:v>202</x:v>
      </x:c>
      <x:c r="B366" s="2" t="s">
        <x:v>35</x:v>
      </x:c>
      <x:c r="C366" s="2">
        <x:v>30</x:v>
      </x:c>
      <x:c r="D366" s="8">
        <x:v>0.73839999999999995</x:v>
      </x:c>
      <x:c r="E366" s="8">
        <x:v>0.28899999999999998</x:v>
      </x:c>
      <x:c r="F366" s="8" t="s">
        <x:v>27</x:v>
      </x:c>
      <x:c r="G366" s="8">
        <x:f t="shared" si="13"/>
        <x:v>0.82050000000000001</x:v>
      </x:c>
      <x:c r="H366" s="9">
        <x:f t="shared" si="14"/>
        <x:v>0.89993906154783665</x:v>
      </x:c>
      <x:c r="I366" s="2" t="s">
        <x:v>36</x:v>
      </x:c>
      <x:c r="J366" s="2" t="str">
        <x:v>Pelagic-neritic ecology, maximum size &gt;30 cm and the source scombrid example support the current pair. Near-bottom behavior makes the model's competing benthopelagic boundary an interpretation rather than an unequivocal fit. Checked species record: 64 cm TL; Marine;  pelagic-neritic; oceanodromous. Model catch proportions provide the split; allocation confidence remains Medium. Northern-shelf 2000s proxy transferred to whole-LME 2019 landings; fixed over 1950–2019.</x:v>
      </x:c>
      <x:c r="K366" s="1"/>
    </x:row>
    <x:row r="367" ht="102" customHeight="1">
      <x:c r="A367" s="2" t="s">
        <x:v>202</x:v>
      </x:c>
      <x:c r="B367" s="2" t="s">
        <x:v>37</x:v>
      </x:c>
      <x:c r="C367" s="2">
        <x:v>31</x:v>
      </x:c>
      <x:c r="D367" s="8">
        <x:v>8.2100000000000006E-2</x:v>
      </x:c>
      <x:c r="E367" s="8">
        <x:v>7.9000000000000001E-2</x:v>
      </x:c>
      <x:c r="F367" s="8" t="s">
        <x:v>27</x:v>
      </x:c>
      <x:c r="G367" s="8">
        <x:f t="shared" si="13"/>
        <x:v>0.82050000000000001</x:v>
      </x:c>
      <x:c r="H367" s="9">
        <x:f t="shared" si="14"/>
        <x:v>0.10006093845216332</x:v>
      </x:c>
      <x:c r="I367" s="2" t="s">
        <x:v>36</x:v>
      </x:c>
      <x:c r="J367" s="2" t="str">
        <x:v>Pelagic-neritic ecology, maximum size &gt;30 cm and the source scombrid example support the current pair. Near-bottom behavior makes the model's competing benthopelagic boundary an interpretation rather than an unequivocal fit. Checked species record: 64 cm TL; Marine;  pelagic-neritic; oceanodromous. Model catch proportions provide the split; allocation confidence remains Medium. Northern-shelf 2000s proxy transferred to whole-LME 2019 landings; fixed over 1950–2019.</x:v>
      </x:c>
      <x:c r="K367" s="1"/>
    </x:row>
    <x:row r="368" ht="87" customHeight="1">
      <x:c r="A368" s="2" t="s">
        <x:v>203</x:v>
      </x:c>
      <x:c r="B368" s="2" t="s">
        <x:v>35</x:v>
      </x:c>
      <x:c r="C368" s="2">
        <x:v>30</x:v>
      </x:c>
      <x:c r="D368" s="8">
        <x:v>0.73839999999999995</x:v>
      </x:c>
      <x:c r="E368" s="8">
        <x:v>0.28899999999999998</x:v>
      </x:c>
      <x:c r="F368" s="8" t="s">
        <x:v>27</x:v>
      </x:c>
      <x:c r="G368" s="8">
        <x:f t="shared" si="13"/>
        <x:v>0.82050000000000001</x:v>
      </x:c>
      <x:c r="H368" s="9">
        <x:f t="shared" si="14"/>
        <x:v>0.89993906154783665</x:v>
      </x:c>
      <x:c r="I368" s="2" t="s">
        <x:v>36</x:v>
      </x:c>
      <x:c r="J368" s="2" t="str">
        <x:v>All four regional queenfishes in the FAO guide exceed 30 cm and school in surface/coastal pelagic waters. This coherent regional genus supports the large-pelagic pair; juvenile/adult shares remain assumed. Model catch proportions provide the split; allocation confidence remains Medium. Northern-shelf 2000s proxy transferred to whole-LME 2019 landings; fixed over 1950–2019.</x:v>
      </x:c>
      <x:c r="K368" s="1"/>
    </x:row>
    <x:row r="369" ht="87" customHeight="1">
      <x:c r="A369" s="2" t="s">
        <x:v>203</x:v>
      </x:c>
      <x:c r="B369" s="2" t="s">
        <x:v>37</x:v>
      </x:c>
      <x:c r="C369" s="2">
        <x:v>31</x:v>
      </x:c>
      <x:c r="D369" s="8">
        <x:v>8.2100000000000006E-2</x:v>
      </x:c>
      <x:c r="E369" s="8">
        <x:v>7.9000000000000001E-2</x:v>
      </x:c>
      <x:c r="F369" s="8" t="s">
        <x:v>27</x:v>
      </x:c>
      <x:c r="G369" s="8">
        <x:f t="shared" si="13"/>
        <x:v>0.82050000000000001</x:v>
      </x:c>
      <x:c r="H369" s="9">
        <x:f t="shared" si="14"/>
        <x:v>0.10006093845216332</x:v>
      </x:c>
      <x:c r="I369" s="2" t="s">
        <x:v>36</x:v>
      </x:c>
      <x:c r="J369" s="2" t="str">
        <x:v>All four regional queenfishes in the FAO guide exceed 30 cm and school in surface/coastal pelagic waters. This coherent regional genus supports the large-pelagic pair; juvenile/adult shares remain assumed. Model catch proportions provide the split; allocation confidence remains Medium. Northern-shelf 2000s proxy transferred to whole-LME 2019 landings; fixed over 1950–2019.</x:v>
      </x:c>
      <x:c r="K369" s="1"/>
    </x:row>
    <x:row r="370" ht="87" customHeight="1">
      <x:c r="A370" s="2" t="s">
        <x:v>204</x:v>
      </x:c>
      <x:c r="B370" s="2" t="s">
        <x:v>35</x:v>
      </x:c>
      <x:c r="C370" s="2">
        <x:v>30</x:v>
      </x:c>
      <x:c r="D370" s="8">
        <x:v>0.73839999999999995</x:v>
      </x:c>
      <x:c r="E370" s="8">
        <x:v>0.28899999999999998</x:v>
      </x:c>
      <x:c r="F370" s="8" t="s">
        <x:v>27</x:v>
      </x:c>
      <x:c r="G370" s="8" t="n">
        <x:f>SUMIFS($D$6:$D$449,$A$6:$A$449,A370)</x:f>
        <x:v>0.8205</x:v>
      </x:c>
      <x:c r="H370" s="9" t="n">
        <x:f>D370/G370</x:f>
        <x:v>0.8999390615478366</x:v>
      </x:c>
      <x:c r="I370" s="2" t="s">
        <x:v>36</x:v>
      </x:c>
      <x:c r="J370" s="2" t="str">
        <x:v>Regional Spanish mackerels are epipelagic/neritic and exceed 30 cm maximum length. Source §6.1.24 therefore supports the combined large-pelagic pair; unknown catch age composition affects allocation, not eligibility. Model catch proportions provide the split; allocation confidence remains Medium. Northern-shelf 2000s proxy transferred to whole-LME 2019 landings; fixed over 1950–2019.</x:v>
      </x:c>
      <x:c r="K370" s="1"/>
    </x:row>
    <x:row r="371" ht="87" customHeight="1">
      <x:c r="A371" s="2" t="s">
        <x:v>204</x:v>
      </x:c>
      <x:c r="B371" s="2" t="s">
        <x:v>37</x:v>
      </x:c>
      <x:c r="C371" s="2">
        <x:v>31</x:v>
      </x:c>
      <x:c r="D371" s="8">
        <x:v>8.2100000000000006E-2</x:v>
      </x:c>
      <x:c r="E371" s="8">
        <x:v>7.9000000000000001E-2</x:v>
      </x:c>
      <x:c r="F371" s="8" t="s">
        <x:v>27</x:v>
      </x:c>
      <x:c r="G371" s="8">
        <x:f t="shared" si="13"/>
        <x:v>0.82050000000000001</x:v>
      </x:c>
      <x:c r="H371" s="9">
        <x:f t="shared" si="14"/>
        <x:v>0.10006093845216332</x:v>
      </x:c>
      <x:c r="I371" s="2" t="s">
        <x:v>36</x:v>
      </x:c>
      <x:c r="J371" s="2" t="str">
        <x:v>Regional Spanish mackerels are epipelagic/neritic and exceed 30 cm maximum length. Source §6.1.24 therefore supports the combined large-pelagic pair; unknown catch age composition affects allocation, not eligibility. Model catch proportions provide the split; allocation confidence remains Medium. Northern-shelf 2000s proxy transferred to whole-LME 2019 landings; fixed over 1950–2019.</x:v>
      </x:c>
      <x:c r="K371" s="1"/>
    </x:row>
    <x:row r="372" ht="117" customHeight="1">
      <x:c r="A372" s="2" t="s">
        <x:v>205</x:v>
      </x:c>
      <x:c r="B372" s="2" t="s">
        <x:v>35</x:v>
      </x:c>
      <x:c r="C372" s="2">
        <x:v>30</x:v>
      </x:c>
      <x:c r="D372" s="8">
        <x:v>0.73839999999999995</x:v>
      </x:c>
      <x:c r="E372" s="8">
        <x:v>0.28899999999999998</x:v>
      </x:c>
      <x:c r="F372" s="8" t="s">
        <x:v>27</x:v>
      </x:c>
      <x:c r="G372" s="8">
        <x:f t="shared" si="13"/>
        <x:v>0.82050000000000001</x:v>
      </x:c>
      <x:c r="H372" s="9">
        <x:f t="shared" si="14"/>
        <x:v>0.89993906154783665</x:v>
      </x:c>
      <x:c r="I372" s="2" t="s">
        <x:v>36</x:v>
      </x:c>
      <x:c r="J372"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240 cm FL; Marine;  pelagic-neritic; oceanodromous. Model catch proportions provide the split; allocation confidence remains Medium. Northern-shelf 2000s proxy transferred to whole-LME 2019 landings; fixed over 1950–2019.</x:v>
      </x:c>
      <x:c r="K372" s="1"/>
    </x:row>
    <x:row r="373" ht="117" customHeight="1">
      <x:c r="A373" s="2" t="s">
        <x:v>205</x:v>
      </x:c>
      <x:c r="B373" s="2" t="s">
        <x:v>37</x:v>
      </x:c>
      <x:c r="C373" s="2">
        <x:v>31</x:v>
      </x:c>
      <x:c r="D373" s="8">
        <x:v>8.2100000000000006E-2</x:v>
      </x:c>
      <x:c r="E373" s="8">
        <x:v>7.9000000000000001E-2</x:v>
      </x:c>
      <x:c r="F373" s="8" t="s">
        <x:v>27</x:v>
      </x:c>
      <x:c r="G373" s="8">
        <x:f t="shared" si="13"/>
        <x:v>0.82050000000000001</x:v>
      </x:c>
      <x:c r="H373" s="9">
        <x:f t="shared" si="14"/>
        <x:v>0.10006093845216332</x:v>
      </x:c>
      <x:c r="I373" s="2" t="s">
        <x:v>36</x:v>
      </x:c>
      <x:c r="J373"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240 cm FL; Marine;  pelagic-neritic; oceanodromous. Model catch proportions provide the split; allocation confidence remains Medium. Northern-shelf 2000s proxy transferred to whole-LME 2019 landings; fixed over 1950–2019.</x:v>
      </x:c>
      <x:c r="K373" s="1"/>
    </x:row>
    <x:row r="374" ht="117" customHeight="1">
      <x:c r="A374" s="2" t="s">
        <x:v>206</x:v>
      </x:c>
      <x:c r="B374" s="2" t="s">
        <x:v>35</x:v>
      </x:c>
      <x:c r="C374" s="2">
        <x:v>30</x:v>
      </x:c>
      <x:c r="D374" s="8">
        <x:v>0.73839999999999995</x:v>
      </x:c>
      <x:c r="E374" s="8">
        <x:v>0.28899999999999998</x:v>
      </x:c>
      <x:c r="F374" s="8" t="s">
        <x:v>27</x:v>
      </x:c>
      <x:c r="G374" s="8">
        <x:f t="shared" si="13"/>
        <x:v>0.82050000000000001</x:v>
      </x:c>
      <x:c r="H374" s="9">
        <x:f t="shared" si="14"/>
        <x:v>0.89993906154783665</x:v>
      </x:c>
      <x:c r="I374" s="2" t="s">
        <x:v>36</x:v>
      </x:c>
      <x:c r="J374"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81.5 cm FL; Marine; brackish;  pelagic-neritic; oceanodromous. Model catch proportions provide the split; allocation confidence remains Medium. Northern-shelf 2000s proxy transferred to whole-LME 2019 landings; fixed over 1950–2019.</x:v>
      </x:c>
      <x:c r="K374" s="1"/>
    </x:row>
    <x:row r="375" ht="117" customHeight="1">
      <x:c r="A375" s="2" t="s">
        <x:v>206</x:v>
      </x:c>
      <x:c r="B375" s="2" t="s">
        <x:v>37</x:v>
      </x:c>
      <x:c r="C375" s="2">
        <x:v>31</x:v>
      </x:c>
      <x:c r="D375" s="8">
        <x:v>8.2100000000000006E-2</x:v>
      </x:c>
      <x:c r="E375" s="8">
        <x:v>7.9000000000000001E-2</x:v>
      </x:c>
      <x:c r="F375" s="8" t="s">
        <x:v>27</x:v>
      </x:c>
      <x:c r="G375" s="8">
        <x:f t="shared" si="13"/>
        <x:v>0.82050000000000001</x:v>
      </x:c>
      <x:c r="H375" s="9">
        <x:f t="shared" si="14"/>
        <x:v>0.10006093845216332</x:v>
      </x:c>
      <x:c r="I375" s="2" t="s">
        <x:v>36</x:v>
      </x:c>
      <x:c r="J375"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81.5 cm FL; Marine; brackish;  pelagic-neritic; oceanodromous. Model catch proportions provide the split; allocation confidence remains Medium. Northern-shelf 2000s proxy transferred to whole-LME 2019 landings; fixed over 1950–2019.</x:v>
      </x:c>
      <x:c r="K375" s="1"/>
    </x:row>
    <x:row r="376" ht="117" customHeight="1">
      <x:c r="A376" s="2" t="s">
        <x:v>207</x:v>
      </x:c>
      <x:c r="B376" s="2" t="s">
        <x:v>35</x:v>
      </x:c>
      <x:c r="C376" s="2">
        <x:v>30</x:v>
      </x:c>
      <x:c r="D376" s="8">
        <x:v>0.73839999999999995</x:v>
      </x:c>
      <x:c r="E376" s="8">
        <x:v>0.28899999999999998</x:v>
      </x:c>
      <x:c r="F376" s="8" t="s">
        <x:v>27</x:v>
      </x:c>
      <x:c r="G376" s="8">
        <x:f t="shared" si="13"/>
        <x:v>0.82050000000000001</x:v>
      </x:c>
      <x:c r="H376" s="9">
        <x:f t="shared" si="14"/>
        <x:v>0.89993906154783665</x:v>
      </x:c>
      <x:c r="I376" s="2" t="s">
        <x:v>36</x:v>
      </x:c>
      <x:c r="J376"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113 cm TL; Marine;  pelagic-neritic; oceanodromous. Model catch proportions provide the split; allocation confidence remains Medium. Northern-shelf 2000s proxy transferred to whole-LME 2019 landings; fixed over 1950–2019.</x:v>
      </x:c>
      <x:c r="K376" s="1"/>
    </x:row>
    <x:row r="377" ht="117" customHeight="1">
      <x:c r="A377" s="2" t="s">
        <x:v>207</x:v>
      </x:c>
      <x:c r="B377" s="2" t="s">
        <x:v>37</x:v>
      </x:c>
      <x:c r="C377" s="2">
        <x:v>31</x:v>
      </x:c>
      <x:c r="D377" s="8">
        <x:v>8.2100000000000006E-2</x:v>
      </x:c>
      <x:c r="E377" s="8">
        <x:v>7.9000000000000001E-2</x:v>
      </x:c>
      <x:c r="F377" s="8" t="s">
        <x:v>27</x:v>
      </x:c>
      <x:c r="G377" s="8">
        <x:f t="shared" si="13"/>
        <x:v>0.82050000000000001</x:v>
      </x:c>
      <x:c r="H377" s="9">
        <x:f t="shared" si="14"/>
        <x:v>0.10006093845216332</x:v>
      </x:c>
      <x:c r="I377" s="2" t="s">
        <x:v>36</x:v>
      </x:c>
      <x:c r="J377"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113 cm TL; Marine;  pelagic-neritic; oceanodromous. Model catch proportions provide the split; allocation confidence remains Medium. Northern-shelf 2000s proxy transferred to whole-LME 2019 landings; fixed over 1950–2019.</x:v>
      </x:c>
      <x:c r="K377" s="1"/>
    </x:row>
    <x:row r="378" ht="87" customHeight="1">
      <x:c r="A378" s="2" t="s">
        <x:v>208</x:v>
      </x:c>
      <x:c r="B378" s="2" t="s">
        <x:v>35</x:v>
      </x:c>
      <x:c r="C378" s="2">
        <x:v>30</x:v>
      </x:c>
      <x:c r="D378" s="8">
        <x:v>0.73839999999999995</x:v>
      </x:c>
      <x:c r="E378" s="8">
        <x:v>0.28899999999999998</x:v>
      </x:c>
      <x:c r="F378" s="8" t="s">
        <x:v>27</x:v>
      </x:c>
      <x:c r="G378" s="8">
        <x:f t="shared" si="13"/>
        <x:v>0.82050000000000001</x:v>
      </x:c>
      <x:c r="H378" s="9">
        <x:f t="shared" si="14"/>
        <x:v>0.89993906154783665</x:v>
      </x:c>
      <x:c r="I378" s="2" t="s">
        <x:v>36</x:v>
      </x:c>
      <x:c r="J378" s="2" t="str">
        <x:v>Most regional scombrids fit the large-pelagic pair, but family-wide exclusion of small mackerels is not established. Rastrelliger faughni has an incomplete small maximum-size record; SAU's average family size class does not resolve this boundary. Model catch proportions provide the split; allocation confidence remains Medium. Northern-shelf 2000s proxy transferred to whole-LME 2019 landings; fixed over 1950–2019.</x:v>
      </x:c>
      <x:c r="K378" s="1"/>
    </x:row>
    <x:row r="379" ht="87" customHeight="1">
      <x:c r="A379" s="2" t="s">
        <x:v>208</x:v>
      </x:c>
      <x:c r="B379" s="2" t="s">
        <x:v>37</x:v>
      </x:c>
      <x:c r="C379" s="2">
        <x:v>31</x:v>
      </x:c>
      <x:c r="D379" s="8">
        <x:v>8.2100000000000006E-2</x:v>
      </x:c>
      <x:c r="E379" s="8">
        <x:v>7.9000000000000001E-2</x:v>
      </x:c>
      <x:c r="F379" s="8" t="s">
        <x:v>27</x:v>
      </x:c>
      <x:c r="G379" s="8">
        <x:f t="shared" si="13"/>
        <x:v>0.82050000000000001</x:v>
      </x:c>
      <x:c r="H379" s="9">
        <x:f t="shared" si="14"/>
        <x:v>0.10006093845216332</x:v>
      </x:c>
      <x:c r="I379" s="2" t="s">
        <x:v>36</x:v>
      </x:c>
      <x:c r="J379" s="2" t="str">
        <x:v>Most regional scombrids fit the large-pelagic pair, but family-wide exclusion of small mackerels is not established. Rastrelliger faughni has an incomplete small maximum-size record; SAU's average family size class does not resolve this boundary. Model catch proportions provide the split; allocation confidence remains Medium. Northern-shelf 2000s proxy transferred to whole-LME 2019 landings; fixed over 1950–2019.</x:v>
      </x:c>
      <x:c r="K379" s="1"/>
    </x:row>
    <x:row r="380" ht="87" customHeight="1">
      <x:c r="A380" s="2" t="s">
        <x:v>209</x:v>
      </x:c>
      <x:c r="B380" s="2" t="s">
        <x:v>35</x:v>
      </x:c>
      <x:c r="C380" s="2">
        <x:v>30</x:v>
      </x:c>
      <x:c r="D380" s="8">
        <x:v>0.73839999999999995</x:v>
      </x:c>
      <x:c r="E380" s="8">
        <x:v>0.28899999999999998</x:v>
      </x:c>
      <x:c r="F380" s="8" t="s">
        <x:v>27</x:v>
      </x:c>
      <x:c r="G380" s="8">
        <x:f t="shared" si="13"/>
        <x:v>0.82050000000000001</x:v>
      </x:c>
      <x:c r="H380" s="9">
        <x:f t="shared" si="14"/>
        <x:v>0.89993906154783665</x:v>
      </x:c>
      <x:c r="I380" s="2" t="s">
        <x:v>36</x:v>
      </x:c>
      <x:c r="J380" s="2" t="str">
        <x:v>The raw SAU label means tunas, bonitos and billfishes, corroborated by FAO fishery reporting usage. These support the large-pelagic pair; expanding this reporting label to every member of the historical suborder would be unjustified. Model catch proportions provide the split; allocation confidence remains Medium. Northern-shelf 2000s proxy transferred to whole-LME 2019 landings; fixed over 1950–2019.</x:v>
      </x:c>
      <x:c r="K380" s="1"/>
    </x:row>
    <x:row r="381" ht="87" customHeight="1">
      <x:c r="A381" s="2" t="s">
        <x:v>209</x:v>
      </x:c>
      <x:c r="B381" s="2" t="s">
        <x:v>37</x:v>
      </x:c>
      <x:c r="C381" s="2">
        <x:v>31</x:v>
      </x:c>
      <x:c r="D381" s="8">
        <x:v>8.2100000000000006E-2</x:v>
      </x:c>
      <x:c r="E381" s="8">
        <x:v>7.9000000000000001E-2</x:v>
      </x:c>
      <x:c r="F381" s="8" t="s">
        <x:v>27</x:v>
      </x:c>
      <x:c r="G381" s="8">
        <x:f t="shared" si="13"/>
        <x:v>0.82050000000000001</x:v>
      </x:c>
      <x:c r="H381" s="9" t="n">
        <x:f t="shared" ref="H381:H412" si="15">D381/G381</x:f>
        <x:v>0.10006093845216332</x:v>
      </x:c>
      <x:c r="I381" s="2" t="s">
        <x:v>36</x:v>
      </x:c>
      <x:c r="J381" s="2" t="str">
        <x:v>The raw SAU label means tunas, bonitos and billfishes, corroborated by FAO fishery reporting usage. These support the large-pelagic pair; expanding this reporting label to every member of the historical suborder would be unjustified. Model catch proportions provide the split; allocation confidence remains Medium. Northern-shelf 2000s proxy transferred to whole-LME 2019 landings; fixed over 1950–2019.</x:v>
      </x:c>
      <x:c r="K381" s="1"/>
    </x:row>
    <x:row r="382" ht="87" customHeight="1">
      <x:c r="A382" s="2" t="s">
        <x:v>210</x:v>
      </x:c>
      <x:c r="B382" s="2" t="s">
        <x:v>39</x:v>
      </x:c>
      <x:c r="C382" s="2">
        <x:v>25</x:v>
      </x:c>
      <x:c r="D382" s="8">
        <x:v>0.3165</x:v>
      </x:c>
      <x:c r="E382" s="8">
        <x:v>0.14299999999999999</x:v>
      </x:c>
      <x:c r="F382" s="8" t="s">
        <x:v>27</x:v>
      </x:c>
      <x:c r="G382" s="8">
        <x:f t="shared" si="13"/>
        <x:v>0.35170000000000001</x:v>
      </x:c>
      <x:c r="H382" s="9">
        <x:f t="shared" si="15"/>
        <x:v>0.89991470002843332</x:v>
      </x:c>
      <x:c r="I382" s="2" t="s">
        <x:v>36</x:v>
      </x:c>
      <x:c r="J382" s="2" t="str">
        <x:v>Scorpaenidae is not exclusively a &gt; 30 cm species family: regional Sebastapistes cyanostigma reaches 10 cm TL and occupies coral-associated bottom habitat. Current 25 + 26 omit the source's small-species pool 24. Model catch proportions provide the split; allocation confidence remains Medium. Northern-shelf 2000s proxy transferred to whole-LME 2019 landings; fixed over 1950–2019.</x:v>
      </x:c>
      <x:c r="K382" s="1"/>
    </x:row>
    <x:row r="383" ht="87" customHeight="1">
      <x:c r="A383" s="2" t="s">
        <x:v>210</x:v>
      </x:c>
      <x:c r="B383" s="2" t="s">
        <x:v>40</x:v>
      </x:c>
      <x:c r="C383" s="2">
        <x:v>26</x:v>
      </x:c>
      <x:c r="D383" s="8">
        <x:v>3.5200000000000002E-2</x:v>
      </x:c>
      <x:c r="E383" s="8">
        <x:v>2.1000000000000001E-2</x:v>
      </x:c>
      <x:c r="F383" s="8" t="s">
        <x:v>27</x:v>
      </x:c>
      <x:c r="G383" s="8">
        <x:f t="shared" si="13"/>
        <x:v>0.35170000000000001</x:v>
      </x:c>
      <x:c r="H383" s="9">
        <x:f t="shared" si="15"/>
        <x:v>0.10008529997156668</x:v>
      </x:c>
      <x:c r="I383" s="2" t="s">
        <x:v>36</x:v>
      </x:c>
      <x:c r="J383" s="2" t="str">
        <x:v>Scorpaenidae is not exclusively a &gt; 30 cm species family: regional Sebastapistes cyanostigma reaches 10 cm TL and occupies coral-associated bottom habitat. Current 25 + 26 omit the source's small-species pool 24. Model catch proportions provide the split; allocation confidence remains Medium. Northern-shelf 2000s proxy transferred to whole-LME 2019 landings; fixed over 1950–2019.</x:v>
      </x:c>
      <x:c r="K383" s="1"/>
    </x:row>
    <x:row r="384" ht="117" customHeight="1">
      <x:c r="A384" s="2" t="s">
        <x:v>211</x:v>
      </x:c>
      <x:c r="B384" s="2" t="s">
        <x:v>35</x:v>
      </x:c>
      <x:c r="C384" s="2">
        <x:v>30</x:v>
      </x:c>
      <x:c r="D384" s="8">
        <x:v>0.73839999999999995</x:v>
      </x:c>
      <x:c r="E384" s="8">
        <x:v>0.28899999999999998</x:v>
      </x:c>
      <x:c r="F384" s="8" t="s">
        <x:v>27</x:v>
      </x:c>
      <x:c r="G384" s="8">
        <x:f t="shared" si="13"/>
        <x:v>0.82050000000000001</x:v>
      </x:c>
      <x:c r="H384" s="9">
        <x:f t="shared" si="15"/>
        <x:v>0.89993906154783665</x:v>
      </x:c>
      <x:c r="I384" s="2" t="s">
        <x:v>36</x:v>
      </x:c>
      <x:c r="J384" s="2" t="str">
        <x:v>Adults occur over reefs deeper than 60 m, while surface swimming is reported for juveniles. Maximum size &gt;30 cm is secure, but species adult ecology emphasizes reef, shelf, near-bottom or bottom-feeding use. It does not close the retained pelagic-only boundary against the model's benthopelagic/demersal alternatives. Checked species record: 165 cm TL; Marine; brackish;  reef-associated;. Model catch proportions provide the split; allocation confidence remains Medium. Northern-shelf 2000s proxy transferred to whole-LME 2019 landings; fixed over 1950–2019.</x:v>
      </x:c>
      <x:c r="K384" s="1"/>
    </x:row>
    <x:row r="385" ht="117" customHeight="1">
      <x:c r="A385" s="2" t="s">
        <x:v>211</x:v>
      </x:c>
      <x:c r="B385" s="2" t="s">
        <x:v>37</x:v>
      </x:c>
      <x:c r="C385" s="2">
        <x:v>31</x:v>
      </x:c>
      <x:c r="D385" s="8">
        <x:v>8.2100000000000006E-2</x:v>
      </x:c>
      <x:c r="E385" s="8">
        <x:v>7.9000000000000001E-2</x:v>
      </x:c>
      <x:c r="F385" s="8" t="s">
        <x:v>27</x:v>
      </x:c>
      <x:c r="G385" s="8">
        <x:f t="shared" si="13"/>
        <x:v>0.82050000000000001</x:v>
      </x:c>
      <x:c r="H385" s="9">
        <x:f t="shared" si="15"/>
        <x:v>0.10006093845216332</x:v>
      </x:c>
      <x:c r="I385" s="2" t="s">
        <x:v>36</x:v>
      </x:c>
      <x:c r="J385" s="2" t="str">
        <x:v>Adults occur over reefs deeper than 60 m, while surface swimming is reported for juveniles. Maximum size &gt;30 cm is secure, but species adult ecology emphasizes reef, shelf, near-bottom or bottom-feeding use. It does not close the retained pelagic-only boundary against the model's benthopelagic/demersal alternatives. Checked species record: 165 cm TL; Marine; brackish;  reef-associated;. Model catch proportions provide the split; allocation confidence remains Medium. Northern-shelf 2000s proxy transferred to whole-LME 2019 landings; fixed over 1950–2019.</x:v>
      </x:c>
      <x:c r="K385" s="1"/>
    </x:row>
    <x:row r="386" ht="102" customHeight="1">
      <x:c r="A386" s="2" t="s">
        <x:v>212</x:v>
      </x:c>
      <x:c r="B386" s="2" t="s">
        <x:v>35</x:v>
      </x:c>
      <x:c r="C386" s="2">
        <x:v>30</x:v>
      </x:c>
      <x:c r="D386" s="8">
        <x:v>0.73839999999999995</x:v>
      </x:c>
      <x:c r="E386" s="8">
        <x:v>0.28899999999999998</x:v>
      </x:c>
      <x:c r="F386" s="8" t="s">
        <x:v>27</x:v>
      </x:c>
      <x:c r="G386" s="8">
        <x:f t="shared" si="13"/>
        <x:v>0.82050000000000001</x:v>
      </x:c>
      <x:c r="H386" s="9">
        <x:f t="shared" si="15"/>
        <x:v>0.89993906154783665</x:v>
      </x:c>
      <x:c r="I386" s="2" t="s">
        <x:v>36</x:v>
      </x:c>
      <x:c r="J386" s="2" t="str">
        <x:v>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70 cm TL; Marine;  reef-associated;. Model catch proportions provide the split; allocation confidence remains Medium. Northern-shelf 2000s proxy transferred to whole-LME 2019 landings; fixed over 1950–2019.</x:v>
      </x:c>
      <x:c r="K386" s="1"/>
    </x:row>
    <x:row r="387" ht="102" customHeight="1">
      <x:c r="A387" s="2" t="s">
        <x:v>212</x:v>
      </x:c>
      <x:c r="B387" s="2" t="s">
        <x:v>37</x:v>
      </x:c>
      <x:c r="C387" s="2">
        <x:v>31</x:v>
      </x:c>
      <x:c r="D387" s="8">
        <x:v>8.2100000000000006E-2</x:v>
      </x:c>
      <x:c r="E387" s="8">
        <x:v>7.9000000000000001E-2</x:v>
      </x:c>
      <x:c r="F387" s="8" t="s">
        <x:v>27</x:v>
      </x:c>
      <x:c r="G387" s="8">
        <x:f t="shared" si="13"/>
        <x:v>0.82050000000000001</x:v>
      </x:c>
      <x:c r="H387" s="9">
        <x:f t="shared" si="15"/>
        <x:v>0.10006093845216332</x:v>
      </x:c>
      <x:c r="I387" s="2" t="s">
        <x:v>36</x:v>
      </x:c>
      <x:c r="J387" s="2" t="str">
        <x:v>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70 cm TL; Marine;  reef-associated;. Model catch proportions provide the split; allocation confidence remains Medium. Northern-shelf 2000s proxy transferred to whole-LME 2019 landings; fixed over 1950–2019.</x:v>
      </x:c>
      <x:c r="K387" s="1"/>
    </x:row>
    <x:row r="388" ht="72" customHeight="1">
      <x:c r="A388" s="2" t="s">
        <x:v>213</x:v>
      </x:c>
      <x:c r="B388" s="2" t="s">
        <x:v>80</x:v>
      </x:c>
      <x:c r="C388" s="2">
        <x:v>3</x:v>
      </x:c>
      <x:c r="D388" s="8">
        <x:v>9.4799999999999995E-2</x:v>
      </x:c>
      <x:c r="E388" s="8">
        <x:v>9</x:v>
      </x:c>
      <x:c r="F388" s="8" t="s">
        <x:v>27</x:v>
      </x:c>
      <x:c r="G388" s="8">
        <x:f t="shared" si="13"/>
        <x:v>0.77359999999999995</x:v>
      </x:c>
      <x:c r="H388" s="9">
        <x:f t="shared" si="15"/>
        <x:v>0.12254395036194415</x:v>
      </x:c>
      <x:c r="I388" s="2" t="s">
        <x:v>36</x:v>
      </x:c>
      <x:c r="J388" s="2" t="str">
        <x:v>The set retains Acetes in Zooplankton and other shrimp constituents in Shrimps. Both taxonomic intersections are supported, but the source boundary for non-Acetes pelagic shrimp is inferred rather than exhaustive. Model catch proportions provide the split; allocation confidence remains Medium. </x:v>
      </x:c>
      <x:c r="K388" s="1"/>
    </x:row>
    <x:row r="389" ht="72" customHeight="1">
      <x:c r="A389" s="2" t="s">
        <x:v>213</x:v>
      </x:c>
      <x:c r="B389" s="2" t="s">
        <x:v>82</x:v>
      </x:c>
      <x:c r="C389" s="2">
        <x:v>10</x:v>
      </x:c>
      <x:c r="D389" s="8">
        <x:v>0.67879999999999996</x:v>
      </x:c>
      <x:c r="E389" s="8">
        <x:v>0.19400000000000001</x:v>
      </x:c>
      <x:c r="F389" s="8" t="s">
        <x:v>27</x:v>
      </x:c>
      <x:c r="G389" s="8">
        <x:f t="shared" si="13"/>
        <x:v>0.77359999999999995</x:v>
      </x:c>
      <x:c r="H389" s="9">
        <x:f t="shared" si="15"/>
        <x:v>0.87745604963805579</x:v>
      </x:c>
      <x:c r="I389" s="2" t="s">
        <x:v>36</x:v>
      </x:c>
      <x:c r="J389" s="2" t="str">
        <x:v>The set retains Acetes in Zooplankton and other shrimp constituents in Shrimps. Both taxonomic intersections are supported, but the source boundary for non-Acetes pelagic shrimp is inferred rather than exhaustive. Model catch proportions provide the split; allocation confidence remains Medium. </x:v>
      </x:c>
      <x:c r="K389" s="1"/>
    </x:row>
    <x:row r="390" ht="87" customHeight="1">
      <x:c r="A390" s="2" t="s">
        <x:v>214</x:v>
      </x:c>
      <x:c r="B390" s="2" t="s">
        <x:v>35</x:v>
      </x:c>
      <x:c r="C390" s="2">
        <x:v>30</x:v>
      </x:c>
      <x:c r="D390" s="8">
        <x:v>0.73839999999999995</x:v>
      </x:c>
      <x:c r="E390" s="8">
        <x:v>0.28899999999999998</x:v>
      </x:c>
      <x:c r="F390" s="8" t="s">
        <x:v>27</x:v>
      </x:c>
      <x:c r="G390" s="8" t="n">
        <x:f t="shared" ref="G390:G449" si="16">SUMIFS($D$6:$D$449,$A$6:$A$449,A390)</x:f>
        <x:v>0.8205</x:v>
      </x:c>
      <x:c r="H390" s="9">
        <x:f t="shared" si="15"/>
        <x:v>0.89993906154783665</x:v>
      </x:c>
      <x:c r="I390" s="2" t="s">
        <x:v>36</x:v>
      </x:c>
      <x:c r="J390" s="2" t="str">
        <x:v>FAO describes regional amberjacks as both pelagic and epibenthic, often around reefs and drop-offs. Their large size supports the size class, but the current exclusively pelagic pair leaves a genuine habitat boundary unresolved. Model catch proportions provide the split; allocation confidence remains Medium. Northern-shelf 2000s proxy transferred to whole-LME 2019 landings; fixed over 1950–2019.</x:v>
      </x:c>
      <x:c r="K390" s="1"/>
    </x:row>
    <x:row r="391" ht="87" customHeight="1">
      <x:c r="A391" s="2" t="s">
        <x:v>214</x:v>
      </x:c>
      <x:c r="B391" s="2" t="s">
        <x:v>37</x:v>
      </x:c>
      <x:c r="C391" s="2">
        <x:v>31</x:v>
      </x:c>
      <x:c r="D391" s="8">
        <x:v>8.2100000000000006E-2</x:v>
      </x:c>
      <x:c r="E391" s="8">
        <x:v>7.9000000000000001E-2</x:v>
      </x:c>
      <x:c r="F391" s="8" t="s">
        <x:v>27</x:v>
      </x:c>
      <x:c r="G391" s="8">
        <x:f t="shared" si="16"/>
        <x:v>0.82050000000000001</x:v>
      </x:c>
      <x:c r="H391" s="9">
        <x:f t="shared" si="15"/>
        <x:v>0.10006093845216332</x:v>
      </x:c>
      <x:c r="I391" s="2" t="s">
        <x:v>36</x:v>
      </x:c>
      <x:c r="J391" s="2" t="str">
        <x:v>FAO describes regional amberjacks as both pelagic and epibenthic, often around reefs and drop-offs. Their large size supports the size class, but the current exclusively pelagic pair leaves a genuine habitat boundary unresolved. Model catch proportions provide the split; allocation confidence remains Medium. Northern-shelf 2000s proxy transferred to whole-LME 2019 landings; fixed over 1950–2019.</x:v>
      </x:c>
      <x:c r="K391" s="1"/>
    </x:row>
    <x:row r="392" ht="117" customHeight="1">
      <x:c r="A392" s="2" t="s">
        <x:v>215</x:v>
      </x:c>
      <x:c r="B392" s="2" t="s">
        <x:v>35</x:v>
      </x:c>
      <x:c r="C392" s="2">
        <x:v>30</x:v>
      </x:c>
      <x:c r="D392" s="8">
        <x:v>0.73839999999999995</x:v>
      </x:c>
      <x:c r="E392" s="8">
        <x:v>0.28899999999999998</x:v>
      </x:c>
      <x:c r="F392" s="8" t="s">
        <x:v>27</x:v>
      </x:c>
      <x:c r="G392" s="8">
        <x:f t="shared" si="16"/>
        <x:v>0.82050000000000001</x:v>
      </x:c>
      <x:c r="H392" s="9">
        <x:f t="shared" si="15"/>
        <x:v>0.89993906154783665</x:v>
      </x:c>
      <x:c r="I392" s="2" t="s">
        <x:v>36</x:v>
      </x:c>
      <x:c r="J392" s="2" t="str">
        <x:v>Adults use deep seaward reefs; the floating-vegetation association concerns juveniles. Maximum size &gt;30 cm is secure, but species adult ecology emphasizes reef, shelf, near-bottom or bottom-feeding use. It does not close the retained pelagic-only boundary against the model's benthopelagic/demersal alternatives. Checked species record: 190 cm TL; Marine;  reef-associated; oceanodromous. Model catch proportions provide the split; allocation confidence remains Medium. Northern-shelf 2000s proxy transferred to whole-LME 2019 landings; fixed over 1950–2019.</x:v>
      </x:c>
      <x:c r="K392" s="1"/>
    </x:row>
    <x:row r="393" ht="117" customHeight="1">
      <x:c r="A393" s="2" t="s">
        <x:v>215</x:v>
      </x:c>
      <x:c r="B393" s="2" t="s">
        <x:v>37</x:v>
      </x:c>
      <x:c r="C393" s="2">
        <x:v>31</x:v>
      </x:c>
      <x:c r="D393" s="8">
        <x:v>8.2100000000000006E-2</x:v>
      </x:c>
      <x:c r="E393" s="8">
        <x:v>7.9000000000000001E-2</x:v>
      </x:c>
      <x:c r="F393" s="8" t="s">
        <x:v>27</x:v>
      </x:c>
      <x:c r="G393" s="8">
        <x:f t="shared" si="16"/>
        <x:v>0.82050000000000001</x:v>
      </x:c>
      <x:c r="H393" s="9">
        <x:f t="shared" si="15"/>
        <x:v>0.10006093845216332</x:v>
      </x:c>
      <x:c r="I393" s="2" t="s">
        <x:v>36</x:v>
      </x:c>
      <x:c r="J393" s="2" t="str">
        <x:v>Adults use deep seaward reefs; the floating-vegetation association concerns juveniles. Maximum size &gt;30 cm is secure, but species adult ecology emphasizes reef, shelf, near-bottom or bottom-feeding use. It does not close the retained pelagic-only boundary against the model's benthopelagic/demersal alternatives. Checked species record: 190 cm TL; Marine;  reef-associated; oceanodromous. Model catch proportions provide the split; allocation confidence remains Medium. Northern-shelf 2000s proxy transferred to whole-LME 2019 landings; fixed over 1950–2019.</x:v>
      </x:c>
      <x:c r="K393" s="1"/>
    </x:row>
    <x:row r="394" ht="117" customHeight="1">
      <x:c r="A394" s="2" t="s">
        <x:v>216</x:v>
      </x:c>
      <x:c r="B394" s="2" t="s">
        <x:v>35</x:v>
      </x:c>
      <x:c r="C394" s="2">
        <x:v>30</x:v>
      </x:c>
      <x:c r="D394" s="8">
        <x:v>0.73839999999999995</x:v>
      </x:c>
      <x:c r="E394" s="8">
        <x:v>0.28899999999999998</x:v>
      </x:c>
      <x:c r="F394" s="8" t="s">
        <x:v>27</x:v>
      </x:c>
      <x:c r="G394" s="8">
        <x:f t="shared" si="16"/>
        <x:v>0.82050000000000001</x:v>
      </x:c>
      <x:c r="H394" s="9">
        <x:f t="shared" si="15"/>
        <x:v>0.89993906154783665</x:v>
      </x:c>
      <x:c r="I394" s="2" t="s">
        <x:v>36</x:v>
      </x:c>
      <x:c r="J394" s="2" t="str">
        <x:v>The species is non-schooling and occurs over offshore reefs and rocky bottoms. Maximum size &gt;30 cm is secure, but species adult ecology emphasizes reef, shelf, near-bottom or bottom-feeding use. It does not close the retained pelagic-only boundary against the model's benthopelagic/demersal alternatives. Checked species record: 77.5 cm TL; Marine; brackish;  reef-associated;. Model catch proportions provide the split; allocation confidence remains Medium. Northern-shelf 2000s proxy transferred to whole-LME 2019 landings; fixed over 1950–2019.</x:v>
      </x:c>
      <x:c r="K394" s="1"/>
    </x:row>
    <x:row r="395" ht="117" customHeight="1">
      <x:c r="A395" s="2" t="s">
        <x:v>216</x:v>
      </x:c>
      <x:c r="B395" s="2" t="s">
        <x:v>37</x:v>
      </x:c>
      <x:c r="C395" s="2">
        <x:v>31</x:v>
      </x:c>
      <x:c r="D395" s="8">
        <x:v>8.2100000000000006E-2</x:v>
      </x:c>
      <x:c r="E395" s="8">
        <x:v>7.9000000000000001E-2</x:v>
      </x:c>
      <x:c r="F395" s="8" t="s">
        <x:v>27</x:v>
      </x:c>
      <x:c r="G395" s="8">
        <x:f t="shared" si="16"/>
        <x:v>0.82050000000000001</x:v>
      </x:c>
      <x:c r="H395" s="9">
        <x:f t="shared" si="15"/>
        <x:v>0.10006093845216332</x:v>
      </x:c>
      <x:c r="I395" s="2" t="s">
        <x:v>36</x:v>
      </x:c>
      <x:c r="J395" s="2" t="str">
        <x:v>The species is non-schooling and occurs over offshore reefs and rocky bottoms. Maximum size &gt;30 cm is secure, but species adult ecology emphasizes reef, shelf, near-bottom or bottom-feeding use. It does not close the retained pelagic-only boundary against the model's benthopelagic/demersal alternatives. Checked species record: 77.5 cm TL; Marine; brackish;  reef-associated;. Model catch proportions provide the split; allocation confidence remains Medium. Northern-shelf 2000s proxy transferred to whole-LME 2019 landings; fixed over 1950–2019.</x:v>
      </x:c>
      <x:c r="K395" s="1"/>
    </x:row>
    <x:row r="396" ht="102" customHeight="1">
      <x:c r="A396" s="2" t="s">
        <x:v>217</x:v>
      </x:c>
      <x:c r="B396" s="2" t="s">
        <x:v>39</x:v>
      </x:c>
      <x:c r="C396" s="2">
        <x:v>25</x:v>
      </x:c>
      <x:c r="D396" s="8">
        <x:v>0.3165</x:v>
      </x:c>
      <x:c r="E396" s="8">
        <x:v>0.14299999999999999</x:v>
      </x:c>
      <x:c r="F396" s="8" t="s">
        <x:v>27</x:v>
      </x:c>
      <x:c r="G396" s="8">
        <x:f t="shared" si="16"/>
        <x:v>0.35170000000000001</x:v>
      </x:c>
      <x:c r="H396" s="9">
        <x:f t="shared" si="15"/>
        <x:v>0.89991470002843332</x:v>
      </x:c>
      <x:c r="I396" s="2" t="s">
        <x:v>36</x:v>
      </x:c>
      <x:c r="J396" s="2" t="str">
        <x:v>The regional family spans maximum species total lengths: S. spinus reaches 28 cm TL and S. javus 53 cm TL. Current 25 + 26 therefore omits the small-species class. S. javus also has documented midwater behavior, so bottom-associated grazing alone does not establish one habitat for all components. Model catch proportions provide the split; allocation confidence remains Medium. Northern-shelf 2000s proxy transferred to whole-LME 2019 landings; fixed over 1950–2019.</x:v>
      </x:c>
      <x:c r="K396" s="1"/>
    </x:row>
    <x:row r="397" ht="102" customHeight="1">
      <x:c r="A397" s="2" t="s">
        <x:v>217</x:v>
      </x:c>
      <x:c r="B397" s="2" t="s">
        <x:v>40</x:v>
      </x:c>
      <x:c r="C397" s="2">
        <x:v>26</x:v>
      </x:c>
      <x:c r="D397" s="8">
        <x:v>3.5200000000000002E-2</x:v>
      </x:c>
      <x:c r="E397" s="8">
        <x:v>2.1000000000000001E-2</x:v>
      </x:c>
      <x:c r="F397" s="8" t="s">
        <x:v>27</x:v>
      </x:c>
      <x:c r="G397" s="8">
        <x:f t="shared" si="16"/>
        <x:v>0.35170000000000001</x:v>
      </x:c>
      <x:c r="H397" s="9">
        <x:f t="shared" si="15"/>
        <x:v>0.10008529997156668</x:v>
      </x:c>
      <x:c r="I397" s="2" t="s">
        <x:v>36</x:v>
      </x:c>
      <x:c r="J397" s="2" t="str">
        <x:v>The regional family spans maximum species total lengths: S. spinus reaches 28 cm TL and S. javus 53 cm TL. Current 25 + 26 therefore omits the small-species class. S. javus also has documented midwater behavior, so bottom-associated grazing alone does not establish one habitat for all components. Model catch proportions provide the split; allocation confidence remains Medium. Northern-shelf 2000s proxy transferred to whole-LME 2019 landings; fixed over 1950–2019.</x:v>
      </x:c>
      <x:c r="K397" s="1"/>
    </x:row>
    <x:row r="398" ht="102" customHeight="1">
      <x:c r="A398" s="2" t="s">
        <x:v>218</x:v>
      </x:c>
      <x:c r="B398" s="2" t="s">
        <x:v>39</x:v>
      </x:c>
      <x:c r="C398" s="2">
        <x:v>25</x:v>
      </x:c>
      <x:c r="D398" s="8">
        <x:v>0.3165</x:v>
      </x:c>
      <x:c r="E398" s="8">
        <x:v>0.14299999999999999</x:v>
      </x:c>
      <x:c r="F398" s="8" t="s">
        <x:v>27</x:v>
      </x:c>
      <x:c r="G398" s="8">
        <x:f t="shared" si="16"/>
        <x:v>0.35170000000000001</x:v>
      </x:c>
      <x:c r="H398" s="9">
        <x:f t="shared" si="15"/>
        <x:v>0.89991470002843332</x:v>
      </x:c>
      <x:c r="I398" s="2" t="s">
        <x:v>36</x:v>
      </x:c>
      <x:c r="J398" s="2" t="str">
        <x:v>The regional genus spans maximum species total lengths: S. spinus reaches 28 cm TL and S. javus 53 cm TL. Current 25 + 26 therefore omits the small-species class. S. javus also has documented midwater behavior, so bottom-associated grazing alone does not establish one habitat for all components. Model catch proportions provide the split; allocation confidence remains Medium. Northern-shelf 2000s proxy transferred to whole-LME 2019 landings; fixed over 1950–2019.</x:v>
      </x:c>
      <x:c r="K398" s="1"/>
    </x:row>
    <x:row r="399" ht="102" customHeight="1">
      <x:c r="A399" s="2" t="s">
        <x:v>218</x:v>
      </x:c>
      <x:c r="B399" s="2" t="s">
        <x:v>40</x:v>
      </x:c>
      <x:c r="C399" s="2">
        <x:v>26</x:v>
      </x:c>
      <x:c r="D399" s="8">
        <x:v>3.5200000000000002E-2</x:v>
      </x:c>
      <x:c r="E399" s="8">
        <x:v>2.1000000000000001E-2</x:v>
      </x:c>
      <x:c r="F399" s="8" t="s">
        <x:v>27</x:v>
      </x:c>
      <x:c r="G399" s="8">
        <x:f t="shared" si="16"/>
        <x:v>0.35170000000000001</x:v>
      </x:c>
      <x:c r="H399" s="9">
        <x:f t="shared" si="15"/>
        <x:v>0.10008529997156668</x:v>
      </x:c>
      <x:c r="I399" s="2" t="s">
        <x:v>36</x:v>
      </x:c>
      <x:c r="J399" s="2" t="str">
        <x:v>The regional genus spans maximum species total lengths: S. spinus reaches 28 cm TL and S. javus 53 cm TL. Current 25 + 26 therefore omits the small-species class. S. javus also has documented midwater behavior, so bottom-associated grazing alone does not establish one habitat for all components. Model catch proportions provide the split; allocation confidence remains Medium. Northern-shelf 2000s proxy transferred to whole-LME 2019 landings; fixed over 1950–2019.</x:v>
      </x:c>
      <x:c r="K399" s="1"/>
    </x:row>
    <x:row r="400" ht="87" customHeight="1">
      <x:c r="A400" s="2" t="s">
        <x:v>219</x:v>
      </x:c>
      <x:c r="B400" s="2" t="s">
        <x:v>39</x:v>
      </x:c>
      <x:c r="C400" s="2">
        <x:v>25</x:v>
      </x:c>
      <x:c r="D400" s="8">
        <x:v>0.3165</x:v>
      </x:c>
      <x:c r="E400" s="8">
        <x:v>0.14299999999999999</x:v>
      </x:c>
      <x:c r="F400" s="8" t="s">
        <x:v>27</x:v>
      </x:c>
      <x:c r="G400" s="8">
        <x:f t="shared" si="16"/>
        <x:v>0.35170000000000001</x:v>
      </x:c>
      <x:c r="H400" s="9">
        <x:f t="shared" si="15"/>
        <x:v>0.89991470002843332</x:v>
      </x:c>
      <x:c r="I400" s="2" t="s">
        <x:v>36</x:v>
      </x:c>
      <x:c r="J400" s="2" t="str">
        <x:v>FAO documents bottom-dwelling sillaginids, but regional species include small Sillago argentifasciata/japonica and larger S. sihama. Current 25 + 26 omit 24 for species whose maximumTL is≤ 30; ordinary juvenile proportions are not the issue. Model catch proportions provide the split; allocation confidence remains Medium. Northern-shelf 2000s proxy transferred to whole-LME 2019 landings; fixed over 1950–2019.</x:v>
      </x:c>
      <x:c r="K400" s="1"/>
    </x:row>
    <x:row r="401" ht="87" customHeight="1">
      <x:c r="A401" s="2" t="s">
        <x:v>219</x:v>
      </x:c>
      <x:c r="B401" s="2" t="s">
        <x:v>40</x:v>
      </x:c>
      <x:c r="C401" s="2">
        <x:v>26</x:v>
      </x:c>
      <x:c r="D401" s="8">
        <x:v>3.5200000000000002E-2</x:v>
      </x:c>
      <x:c r="E401" s="8">
        <x:v>2.1000000000000001E-2</x:v>
      </x:c>
      <x:c r="F401" s="8" t="s">
        <x:v>27</x:v>
      </x:c>
      <x:c r="G401" s="8">
        <x:f t="shared" si="16"/>
        <x:v>0.35170000000000001</x:v>
      </x:c>
      <x:c r="H401" s="9">
        <x:f t="shared" si="15"/>
        <x:v>0.10008529997156668</x:v>
      </x:c>
      <x:c r="I401" s="2" t="s">
        <x:v>36</x:v>
      </x:c>
      <x:c r="J401" s="2" t="str">
        <x:v>FAO documents bottom-dwelling sillaginids, but regional species include small Sillago argentifasciata/japonica and larger S. sihama. Current 25 + 26 omit 24 for species whose maximumTL is≤ 30; ordinary juvenile proportions are not the issue. Model catch proportions provide the split; allocation confidence remains Medium. Northern-shelf 2000s proxy transferred to whole-LME 2019 landings; fixed over 1950–2019.</x:v>
      </x:c>
      <x:c r="K401" s="1"/>
    </x:row>
    <x:row r="402" ht="87" customHeight="1">
      <x:c r="A402" s="2" t="s">
        <x:v>220</x:v>
      </x:c>
      <x:c r="B402" s="2" t="s">
        <x:v>39</x:v>
      </x:c>
      <x:c r="C402" s="2">
        <x:v>25</x:v>
      </x:c>
      <x:c r="D402" s="8">
        <x:v>0.3165</x:v>
      </x:c>
      <x:c r="E402" s="8">
        <x:v>0.14299999999999999</x:v>
      </x:c>
      <x:c r="F402" s="8" t="s">
        <x:v>27</x:v>
      </x:c>
      <x:c r="G402" s="8">
        <x:f t="shared" si="16"/>
        <x:v>0.35170000000000001</x:v>
      </x:c>
      <x:c r="H402" s="9">
        <x:f t="shared" si="15"/>
        <x:v>0.89991470002843332</x:v>
      </x:c>
      <x:c r="I402" s="2" t="s">
        <x:v>36</x:v>
      </x:c>
      <x:c r="J402" s="2" t="str">
        <x:v>The genus spans both source size classes: regional S. argentifasciata 14.9 cm TL and S. japonica 30 cm TL contrast with S. sihama 31 cm SL. Only 25 + 26 is therefore incomplete, even though all are bottom-associated. Model catch proportions provide the split; allocation confidence remains Medium. Northern-shelf 2000s proxy transferred to whole-LME 2019 landings; fixed over 1950–2019.</x:v>
      </x:c>
      <x:c r="K402" s="1"/>
    </x:row>
    <x:row r="403" ht="87" customHeight="1">
      <x:c r="A403" s="2" t="s">
        <x:v>220</x:v>
      </x:c>
      <x:c r="B403" s="2" t="s">
        <x:v>40</x:v>
      </x:c>
      <x:c r="C403" s="2">
        <x:v>26</x:v>
      </x:c>
      <x:c r="D403" s="8">
        <x:v>3.5200000000000002E-2</x:v>
      </x:c>
      <x:c r="E403" s="8">
        <x:v>2.1000000000000001E-2</x:v>
      </x:c>
      <x:c r="F403" s="8" t="s">
        <x:v>27</x:v>
      </x:c>
      <x:c r="G403" s="8">
        <x:f t="shared" si="16"/>
        <x:v>0.35170000000000001</x:v>
      </x:c>
      <x:c r="H403" s="9">
        <x:f t="shared" si="15"/>
        <x:v>0.10008529997156668</x:v>
      </x:c>
      <x:c r="I403" s="2" t="s">
        <x:v>36</x:v>
      </x:c>
      <x:c r="J403" s="2" t="str">
        <x:v>The genus spans both source size classes: regional S. argentifasciata 14.9 cm TL and S. japonica 30 cm TL contrast with S. sihama 31 cm SL. Only 25 + 26 is therefore incomplete, even though all are bottom-associated. Model catch proportions provide the split; allocation confidence remains Medium. Northern-shelf 2000s proxy transferred to whole-LME 2019 landings; fixed over 1950–2019.</x:v>
      </x:c>
      <x:c r="K403" s="1"/>
    </x:row>
    <x:row r="404" ht="117" customHeight="1">
      <x:c r="A404" s="2" t="s">
        <x:v>221</x:v>
      </x:c>
      <x:c r="B404" s="2" t="s">
        <x:v>39</x:v>
      </x:c>
      <x:c r="C404" s="2">
        <x:v>25</x:v>
      </x:c>
      <x:c r="D404" s="8">
        <x:v>0.3165</x:v>
      </x:c>
      <x:c r="E404" s="8">
        <x:v>0.14299999999999999</x:v>
      </x:c>
      <x:c r="F404" s="8" t="s">
        <x:v>27</x:v>
      </x:c>
      <x:c r="G404" s="8">
        <x:f t="shared" si="16"/>
        <x:v>0.35170000000000001</x:v>
      </x:c>
      <x:c r="H404" s="9">
        <x:f t="shared" si="15"/>
        <x:v>0.89991470002843332</x:v>
      </x:c>
      <x:c r="I404" s="2" t="s">
        <x:v>36</x:v>
      </x:c>
      <x:c r="J404" s="2" t="str">
        <x:v>Maximum 31 cm SL necessarily exceeds 30 cm TL, and burial in sand plus benthic feeding supports 25 + 26. The generic reef-associated tag and the existence of small Sillago congeners do not contradict this species-level fit. Medium reflects interpreting substrate-associated reef/inshore biology as included in the source residual demersal boundary, which does not explicitly discuss reef fishes. Model catch proportions provide the split; allocation confidence remains Medium. Northern-shelf 2000s proxy transferred to whole-LME 2019 landings; fixed over 1950–2019.</x:v>
      </x:c>
      <x:c r="K404" s="1"/>
    </x:row>
    <x:row r="405" ht="117" customHeight="1">
      <x:c r="A405" s="2" t="s">
        <x:v>221</x:v>
      </x:c>
      <x:c r="B405" s="2" t="s">
        <x:v>40</x:v>
      </x:c>
      <x:c r="C405" s="2">
        <x:v>26</x:v>
      </x:c>
      <x:c r="D405" s="8">
        <x:v>3.5200000000000002E-2</x:v>
      </x:c>
      <x:c r="E405" s="8">
        <x:v>2.1000000000000001E-2</x:v>
      </x:c>
      <x:c r="F405" s="8" t="s">
        <x:v>27</x:v>
      </x:c>
      <x:c r="G405" s="8">
        <x:f t="shared" si="16"/>
        <x:v>0.35170000000000001</x:v>
      </x:c>
      <x:c r="H405" s="9">
        <x:f t="shared" si="15"/>
        <x:v>0.10008529997156668</x:v>
      </x:c>
      <x:c r="I405" s="2" t="s">
        <x:v>36</x:v>
      </x:c>
      <x:c r="J405" s="2" t="str">
        <x:v>Maximum 31 cm SL necessarily exceeds 30 cm TL, and burial in sand plus benthic feeding supports 25 + 26. The generic reef-associated tag and the existence of small Sillago congeners do not contradict this species-level fit. Medium reflects interpreting substrate-associated reef/inshore biology as included in the source residual demersal boundary, which does not explicitly discuss reef fishes. Model catch proportions provide the split; allocation confidence remains Medium. Northern-shelf 2000s proxy transferred to whole-LME 2019 landings; fixed over 1950–2019.</x:v>
      </x:c>
      <x:c r="K405" s="1"/>
    </x:row>
    <x:row r="406" ht="87" customHeight="1">
      <x:c r="A406" s="2" t="s">
        <x:v>222</x:v>
      </x:c>
      <x:c r="B406" s="2" t="s">
        <x:v>35</x:v>
      </x:c>
      <x:c r="C406" s="2">
        <x:v>30</x:v>
      </x:c>
      <x:c r="D406" s="8">
        <x:v>0.73839999999999995</x:v>
      </x:c>
      <x:c r="E406" s="8">
        <x:v>0.28899999999999998</x:v>
      </x:c>
      <x:c r="F406" s="8" t="s">
        <x:v>27</x:v>
      </x:c>
      <x:c r="G406" s="8">
        <x:f t="shared" si="16"/>
        <x:v>0.82050000000000001</x:v>
      </x:c>
      <x:c r="H406" s="9">
        <x:f t="shared" si="15"/>
        <x:v>0.89993906154783665</x:v>
      </x:c>
      <x:c r="I406" s="2" t="s">
        <x:v>36</x:v>
      </x:c>
      <x:c r="J406" s="2" t="str">
        <x:v>Large size is generally compatible, but regional barracudas include mainly bottom-associated S. forsteri as well as surface-oriented species. The genus-only catch label does not resolve the source's pelagic versus benthopelagic/demersal boundary. Model catch proportions provide the split; allocation confidence remains Medium. Northern-shelf 2000s proxy transferred to whole-LME 2019 landings; fixed over 1950–2019.</x:v>
      </x:c>
      <x:c r="K406" s="1"/>
    </x:row>
    <x:row r="407" ht="87" customHeight="1">
      <x:c r="A407" s="2" t="s">
        <x:v>222</x:v>
      </x:c>
      <x:c r="B407" s="2" t="s">
        <x:v>37</x:v>
      </x:c>
      <x:c r="C407" s="2">
        <x:v>31</x:v>
      </x:c>
      <x:c r="D407" s="8">
        <x:v>8.2100000000000006E-2</x:v>
      </x:c>
      <x:c r="E407" s="8">
        <x:v>7.9000000000000001E-2</x:v>
      </x:c>
      <x:c r="F407" s="8" t="s">
        <x:v>27</x:v>
      </x:c>
      <x:c r="G407" s="8">
        <x:f t="shared" si="16"/>
        <x:v>0.82050000000000001</x:v>
      </x:c>
      <x:c r="H407" s="9">
        <x:f t="shared" si="15"/>
        <x:v>0.10006093845216332</x:v>
      </x:c>
      <x:c r="I407" s="2" t="s">
        <x:v>36</x:v>
      </x:c>
      <x:c r="J407" s="2" t="str">
        <x:v>Large size is generally compatible, but regional barracudas include mainly bottom-associated S. forsteri as well as surface-oriented species. The genus-only catch label does not resolve the source's pelagic versus benthopelagic/demersal boundary. Model catch proportions provide the split; allocation confidence remains Medium. Northern-shelf 2000s proxy transferred to whole-LME 2019 landings; fixed over 1950–2019.</x:v>
      </x:c>
      <x:c r="K407" s="1"/>
    </x:row>
    <x:row r="408" ht="102" customHeight="1">
      <x:c r="A408" s="2" t="s">
        <x:v>223</x:v>
      </x:c>
      <x:c r="B408" s="2" t="s">
        <x:v>35</x:v>
      </x:c>
      <x:c r="C408" s="2">
        <x:v>30</x:v>
      </x:c>
      <x:c r="D408" s="8">
        <x:v>0.73839999999999995</x:v>
      </x:c>
      <x:c r="E408" s="8">
        <x:v>0.28899999999999998</x:v>
      </x:c>
      <x:c r="F408" s="8" t="s">
        <x:v>27</x:v>
      </x:c>
      <x:c r="G408" s="8">
        <x:f t="shared" si="16"/>
        <x:v>0.82050000000000001</x:v>
      </x:c>
      <x:c r="H408" s="9">
        <x:f t="shared" si="15"/>
        <x:v>0.89993906154783665</x:v>
      </x:c>
      <x:c r="I408" s="2" t="s">
        <x:v>36</x:v>
      </x:c>
      <x:c r="J408" s="2" t="str">
        <x:v>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200 cm TL; Marine; brackish;  reef-associated;. Model catch proportions provide the split; allocation confidence remains Medium. Northern-shelf 2000s proxy transferred to whole-LME 2019 landings; fixed over 1950–2019.</x:v>
      </x:c>
      <x:c r="K408" s="1"/>
    </x:row>
    <x:row r="409" ht="102" customHeight="1">
      <x:c r="A409" s="2" t="s">
        <x:v>223</x:v>
      </x:c>
      <x:c r="B409" s="2" t="s">
        <x:v>37</x:v>
      </x:c>
      <x:c r="C409" s="2">
        <x:v>31</x:v>
      </x:c>
      <x:c r="D409" s="8">
        <x:v>8.2100000000000006E-2</x:v>
      </x:c>
      <x:c r="E409" s="8">
        <x:v>7.9000000000000001E-2</x:v>
      </x:c>
      <x:c r="F409" s="8" t="s">
        <x:v>27</x:v>
      </x:c>
      <x:c r="G409" s="8">
        <x:f t="shared" si="16"/>
        <x:v>0.82050000000000001</x:v>
      </x:c>
      <x:c r="H409" s="9">
        <x:f t="shared" si="15"/>
        <x:v>0.10006093845216332</x:v>
      </x:c>
      <x:c r="I409" s="2" t="s">
        <x:v>36</x:v>
      </x:c>
      <x:c r="J409" s="2" t="str">
        <x:v>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200 cm TL; Marine; brackish;  reef-associated;. Model catch proportions provide the split; allocation confidence remains Medium. Northern-shelf 2000s proxy transferred to whole-LME 2019 landings; fixed over 1950–2019.</x:v>
      </x:c>
      <x:c r="K409" s="1"/>
    </x:row>
    <x:row r="410" ht="102" customHeight="1">
      <x:c r="A410" s="2" t="s">
        <x:v>224</x:v>
      </x:c>
      <x:c r="B410" s="2" t="s">
        <x:v>35</x:v>
      </x:c>
      <x:c r="C410" s="2">
        <x:v>30</x:v>
      </x:c>
      <x:c r="D410" s="8">
        <x:v>0.73839999999999995</x:v>
      </x:c>
      <x:c r="E410" s="8">
        <x:v>0.28899999999999998</x:v>
      </x:c>
      <x:c r="F410" s="8" t="s">
        <x:v>27</x:v>
      </x:c>
      <x:c r="G410" s="8">
        <x:f t="shared" si="16"/>
        <x:v>0.82050000000000001</x:v>
      </x:c>
      <x:c r="H410" s="9">
        <x:f t="shared" si="15"/>
        <x:v>0.89993906154783665</x:v>
      </x:c>
      <x:c r="I410" s="2" t="s">
        <x:v>36</x:v>
      </x:c>
      <x:c r="J410" s="2" t="str">
        <x:v>Maximum length securely exceeds 30 cm and pelagic fishery/ecological context supports the pair. Authoritative text also emphasizes reef/coastal or bottom-associated use; the source supplies no species assignment closing this boundary. Checked species record: 150 cm TL; Marine; brackish;  reef-associated; oceanodromous. Model catch proportions provide the split; allocation confidence remains Medium. Northern-shelf 2000s proxy transferred to whole-LME 2019 landings; fixed over 1950–2019.</x:v>
      </x:c>
      <x:c r="K410" s="1"/>
    </x:row>
    <x:row r="411" ht="102" customHeight="1">
      <x:c r="A411" s="2" t="s">
        <x:v>224</x:v>
      </x:c>
      <x:c r="B411" s="2" t="s">
        <x:v>37</x:v>
      </x:c>
      <x:c r="C411" s="2">
        <x:v>31</x:v>
      </x:c>
      <x:c r="D411" s="8">
        <x:v>8.2100000000000006E-2</x:v>
      </x:c>
      <x:c r="E411" s="8">
        <x:v>7.9000000000000001E-2</x:v>
      </x:c>
      <x:c r="F411" s="8" t="s">
        <x:v>27</x:v>
      </x:c>
      <x:c r="G411" s="8">
        <x:f t="shared" si="16"/>
        <x:v>0.82050000000000001</x:v>
      </x:c>
      <x:c r="H411" s="9">
        <x:f t="shared" si="15"/>
        <x:v>0.10006093845216332</x:v>
      </x:c>
      <x:c r="I411" s="2" t="s">
        <x:v>36</x:v>
      </x:c>
      <x:c r="J411" s="2" t="str">
        <x:v>Maximum length securely exceeds 30 cm and pelagic fishery/ecological context supports the pair. Authoritative text also emphasizes reef/coastal or bottom-associated use; the source supplies no species assignment closing this boundary. Checked species record: 150 cm TL; Marine; brackish;  reef-associated; oceanodromous. Model catch proportions provide the split; allocation confidence remains Medium. Northern-shelf 2000s proxy transferred to whole-LME 2019 landings; fixed over 1950–2019.</x:v>
      </x:c>
      <x:c r="K411" s="1"/>
    </x:row>
    <x:row r="412" ht="102" customHeight="1">
      <x:c r="A412" s="2" t="s">
        <x:v>225</x:v>
      </x:c>
      <x:c r="B412" s="2" t="s">
        <x:v>35</x:v>
      </x:c>
      <x:c r="C412" s="2">
        <x:v>30</x:v>
      </x:c>
      <x:c r="D412" s="8">
        <x:v>0.73839999999999995</x:v>
      </x:c>
      <x:c r="E412" s="8">
        <x:v>0.28899999999999998</x:v>
      </x:c>
      <x:c r="F412" s="8" t="s">
        <x:v>27</x:v>
      </x:c>
      <x:c r="G412" s="8">
        <x:f t="shared" si="16"/>
        <x:v>0.82050000000000001</x:v>
      </x:c>
      <x:c r="H412" s="9">
        <x:f t="shared" si="15"/>
        <x:v>0.89993906154783665</x:v>
      </x:c>
      <x:c r="I412" s="2" t="s">
        <x:v>36</x:v>
      </x:c>
      <x:c r="J412" s="2" t="str">
        <x:v>Maximum length securely exceeds 30 cm and pelagic fishery/ecological context supports the pair. Authoritative text also emphasizes reef/coastal or bottom-associated use; the source supplies no species assignment closing this boundary. Checked species record: 55 cm TL; Marine; brackish;  reef-associated;. Model catch proportions provide the split; allocation confidence remains Medium. Northern-shelf 2000s proxy transferred to whole-LME 2019 landings; fixed over 1950–2019.</x:v>
      </x:c>
      <x:c r="K412" s="1"/>
    </x:row>
    <x:row r="413" ht="102" customHeight="1">
      <x:c r="A413" s="2" t="s">
        <x:v>225</x:v>
      </x:c>
      <x:c r="B413" s="2" t="s">
        <x:v>37</x:v>
      </x:c>
      <x:c r="C413" s="2">
        <x:v>31</x:v>
      </x:c>
      <x:c r="D413" s="8">
        <x:v>8.2100000000000006E-2</x:v>
      </x:c>
      <x:c r="E413" s="8">
        <x:v>7.9000000000000001E-2</x:v>
      </x:c>
      <x:c r="F413" s="8" t="s">
        <x:v>27</x:v>
      </x:c>
      <x:c r="G413" s="8">
        <x:f t="shared" si="16"/>
        <x:v>0.82050000000000001</x:v>
      </x:c>
      <x:c r="H413" s="9" t="n">
        <x:f t="shared" ref="H413:H444" si="17">D413/G413</x:f>
        <x:v>0.10006093845216332</x:v>
      </x:c>
      <x:c r="I413" s="2" t="s">
        <x:v>36</x:v>
      </x:c>
      <x:c r="J413" s="2" t="str">
        <x:v>Maximum length securely exceeds 30 cm and pelagic fishery/ecological context supports the pair. Authoritative text also emphasizes reef/coastal or bottom-associated use; the source supplies no species assignment closing this boundary. Checked species record: 55 cm TL; Marine; brackish;  reef-associated;. Model catch proportions provide the split; allocation confidence remains Medium. Northern-shelf 2000s proxy transferred to whole-LME 2019 landings; fixed over 1950–2019.</x:v>
      </x:c>
      <x:c r="K413" s="1"/>
    </x:row>
    <x:row r="414" ht="87" customHeight="1">
      <x:c r="A414" s="2" t="s">
        <x:v>226</x:v>
      </x:c>
      <x:c r="B414" s="2" t="s">
        <x:v>35</x:v>
      </x:c>
      <x:c r="C414" s="2">
        <x:v>30</x:v>
      </x:c>
      <x:c r="D414" s="8">
        <x:v>0.73839999999999995</x:v>
      </x:c>
      <x:c r="E414" s="8">
        <x:v>0.28899999999999998</x:v>
      </x:c>
      <x:c r="F414" s="8" t="s">
        <x:v>27</x:v>
      </x:c>
      <x:c r="G414" s="8">
        <x:f t="shared" si="16"/>
        <x:v>0.82050000000000001</x:v>
      </x:c>
      <x:c r="H414" s="9">
        <x:f t="shared" si="17"/>
        <x:v>0.89993906154783665</x:v>
      </x:c>
      <x:c r="I414" s="2" t="s">
        <x:v>36</x:v>
      </x:c>
      <x:c r="J414" s="2" t="str">
        <x:v>The family is represented by Sphyraena, whose regional species differ between bottom-associated and surface-oriented habitats. Family rank adds no evidence that resolves the current pelagic-only candidate set. Model catch proportions provide the split; allocation confidence remains Medium. Northern-shelf 2000s proxy transferred to whole-LME 2019 landings; fixed over 1950–2019.</x:v>
      </x:c>
      <x:c r="K414" s="1"/>
    </x:row>
    <x:row r="415" ht="87" customHeight="1">
      <x:c r="A415" s="2" t="s">
        <x:v>226</x:v>
      </x:c>
      <x:c r="B415" s="2" t="s">
        <x:v>37</x:v>
      </x:c>
      <x:c r="C415" s="2">
        <x:v>31</x:v>
      </x:c>
      <x:c r="D415" s="8">
        <x:v>8.2100000000000006E-2</x:v>
      </x:c>
      <x:c r="E415" s="8">
        <x:v>7.9000000000000001E-2</x:v>
      </x:c>
      <x:c r="F415" s="8" t="s">
        <x:v>27</x:v>
      </x:c>
      <x:c r="G415" s="8">
        <x:f t="shared" si="16"/>
        <x:v>0.82050000000000001</x:v>
      </x:c>
      <x:c r="H415" s="9">
        <x:f t="shared" si="17"/>
        <x:v>0.10006093845216332</x:v>
      </x:c>
      <x:c r="I415" s="2" t="s">
        <x:v>36</x:v>
      </x:c>
      <x:c r="J415" s="2" t="str">
        <x:v>The family is represented by Sphyraena, whose regional species differ between bottom-associated and surface-oriented habitats. Family rank adds no evidence that resolves the current pelagic-only candidate set. Model catch proportions provide the split; allocation confidence remains Medium. Northern-shelf 2000s proxy transferred to whole-LME 2019 landings; fixed over 1950–2019.</x:v>
      </x:c>
      <x:c r="K415" s="1"/>
    </x:row>
    <x:row r="416" ht="117" customHeight="1">
      <x:c r="A416" s="2" t="s">
        <x:v>227</x:v>
      </x:c>
      <x:c r="B416" s="2" t="s">
        <x:v>35</x:v>
      </x:c>
      <x:c r="C416" s="2">
        <x:v>30</x:v>
      </x:c>
      <x:c r="D416" s="8">
        <x:v>0.73839999999999995</x:v>
      </x:c>
      <x:c r="E416" s="8">
        <x:v>0.28899999999999998</x:v>
      </x:c>
      <x:c r="F416" s="8" t="s">
        <x:v>27</x:v>
      </x:c>
      <x:c r="G416" s="8">
        <x:f t="shared" si="16"/>
        <x:v>0.82050000000000001</x:v>
      </x:c>
      <x:c r="H416" s="9">
        <x:f t="shared" si="17"/>
        <x:v>0.89993906154783665</x:v>
      </x:c>
      <x:c r="I416" s="2" t="s">
        <x:v>36</x:v>
      </x:c>
      <x:c r="J416"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60 cm TL; Marine; freshwater; brackish;  pelagic-neritic; anadromous. Model catch proportions provide the split; allocation confidence remains Medium. Northern-shelf 2000s proxy transferred to whole-LME 2019 landings; fixed over 1950–2019.</x:v>
      </x:c>
      <x:c r="K416" s="1"/>
    </x:row>
    <x:row r="417" ht="117" customHeight="1">
      <x:c r="A417" s="2" t="s">
        <x:v>227</x:v>
      </x:c>
      <x:c r="B417" s="2" t="s">
        <x:v>37</x:v>
      </x:c>
      <x:c r="C417" s="2">
        <x:v>31</x:v>
      </x:c>
      <x:c r="D417" s="8">
        <x:v>8.2100000000000006E-2</x:v>
      </x:c>
      <x:c r="E417" s="8">
        <x:v>7.9000000000000001E-2</x:v>
      </x:c>
      <x:c r="F417" s="8" t="s">
        <x:v>27</x:v>
      </x:c>
      <x:c r="G417" s="8">
        <x:f t="shared" si="16"/>
        <x:v>0.82050000000000001</x:v>
      </x:c>
      <x:c r="H417" s="9">
        <x:f t="shared" si="17"/>
        <x:v>0.10006093845216332</x:v>
      </x:c>
      <x:c r="I417" s="2" t="s">
        <x:v>36</x:v>
      </x:c>
      <x:c r="J417"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60 cm TL; Marine; freshwater; brackish;  pelagic-neritic; anadromous. Model catch proportions provide the split; allocation confidence remains Medium. Northern-shelf 2000s proxy transferred to whole-LME 2019 landings; fixed over 1950–2019.</x:v>
      </x:c>
      <x:c r="K417" s="1"/>
    </x:row>
    <x:row r="418" ht="87" customHeight="1">
      <x:c r="A418" s="2" t="s">
        <x:v>228</x:v>
      </x:c>
      <x:c r="B418" s="2" t="s">
        <x:v>39</x:v>
      </x:c>
      <x:c r="C418" s="2">
        <x:v>25</x:v>
      </x:c>
      <x:c r="D418" s="8">
        <x:v>0.3165</x:v>
      </x:c>
      <x:c r="E418" s="8">
        <x:v>0.14299999999999999</x:v>
      </x:c>
      <x:c r="F418" s="8" t="s">
        <x:v>27</x:v>
      </x:c>
      <x:c r="G418" s="8">
        <x:f t="shared" si="16"/>
        <x:v>0.35170000000000001</x:v>
      </x:c>
      <x:c r="H418" s="9">
        <x:f t="shared" si="17"/>
        <x:v>0.89991470002843332</x:v>
      </x:c>
      <x:c r="I418" s="2" t="s">
        <x:v>36</x:v>
      </x:c>
      <x:c r="J418" s="2" t="str">
        <x:v>T. puta has maximum 30 cm TL, whereas T. jarbua reaches 36 cm TL and T. theraps 30 cm SL. The current pair omits 24 for a congener on the source's inclusive ≤ 30 boundary; the threshold is species maximum rather than the size of landed individuals. Model catch proportions provide the split; allocation confidence remains Medium. Northern-shelf 2000s proxy transferred to whole-LME 2019 landings; fixed over 1950–2019.</x:v>
      </x:c>
      <x:c r="K418" s="1"/>
    </x:row>
    <x:row r="419" ht="87" customHeight="1">
      <x:c r="A419" s="2" t="s">
        <x:v>228</x:v>
      </x:c>
      <x:c r="B419" s="2" t="s">
        <x:v>40</x:v>
      </x:c>
      <x:c r="C419" s="2">
        <x:v>26</x:v>
      </x:c>
      <x:c r="D419" s="8">
        <x:v>3.5200000000000002E-2</x:v>
      </x:c>
      <x:c r="E419" s="8">
        <x:v>2.1000000000000001E-2</x:v>
      </x:c>
      <x:c r="F419" s="8" t="s">
        <x:v>27</x:v>
      </x:c>
      <x:c r="G419" s="8">
        <x:f t="shared" si="16"/>
        <x:v>0.35170000000000001</x:v>
      </x:c>
      <x:c r="H419" s="9">
        <x:f t="shared" si="17"/>
        <x:v>0.10008529997156668</x:v>
      </x:c>
      <x:c r="I419" s="2" t="s">
        <x:v>36</x:v>
      </x:c>
      <x:c r="J419" s="2" t="str">
        <x:v>T. puta has maximum 30 cm TL, whereas T. jarbua reaches 36 cm TL and T. theraps 30 cm SL. The current pair omits 24 for a congener on the source's inclusive ≤ 30 boundary; the threshold is species maximum rather than the size of landed individuals. Model catch proportions provide the split; allocation confidence remains Medium. Northern-shelf 2000s proxy transferred to whole-LME 2019 landings; fixed over 1950–2019.</x:v>
      </x:c>
      <x:c r="K419" s="1"/>
    </x:row>
    <x:row r="420" ht="87" customHeight="1">
      <x:c r="A420" s="2" t="s">
        <x:v>229</x:v>
      </x:c>
      <x:c r="B420" s="2" t="s">
        <x:v>39</x:v>
      </x:c>
      <x:c r="C420" s="2">
        <x:v>25</x:v>
      </x:c>
      <x:c r="D420" s="8">
        <x:v>0.3165</x:v>
      </x:c>
      <x:c r="E420" s="8">
        <x:v>0.14299999999999999</x:v>
      </x:c>
      <x:c r="F420" s="8" t="s">
        <x:v>27</x:v>
      </x:c>
      <x:c r="G420" s="8">
        <x:f t="shared" si="16"/>
        <x:v>0.35170000000000001</x:v>
      </x:c>
      <x:c r="H420" s="9">
        <x:f t="shared" si="17"/>
        <x:v>0.89991470002843332</x:v>
      </x:c>
      <x:c r="I420" s="2" t="s">
        <x:v>36</x:v>
      </x:c>
      <x:c r="J420" s="2" t="str">
        <x:v>The family contains Terapon puta at maximum 30 cm TL and larger T. jarbua; these are sufficient regional size-class counterexamples to 25 + 26-only membership. Current age splitting cannot substitute for the missing small-species category. Model catch proportions provide the split; allocation confidence remains Medium. Northern-shelf 2000s proxy transferred to whole-LME 2019 landings; fixed over 1950–2019.</x:v>
      </x:c>
      <x:c r="K420" s="1"/>
    </x:row>
    <x:row r="421" ht="87" customHeight="1">
      <x:c r="A421" s="2" t="s">
        <x:v>229</x:v>
      </x:c>
      <x:c r="B421" s="2" t="s">
        <x:v>40</x:v>
      </x:c>
      <x:c r="C421" s="2">
        <x:v>26</x:v>
      </x:c>
      <x:c r="D421" s="8">
        <x:v>3.5200000000000002E-2</x:v>
      </x:c>
      <x:c r="E421" s="8">
        <x:v>2.1000000000000001E-2</x:v>
      </x:c>
      <x:c r="F421" s="8" t="s">
        <x:v>27</x:v>
      </x:c>
      <x:c r="G421" s="8">
        <x:f t="shared" si="16"/>
        <x:v>0.35170000000000001</x:v>
      </x:c>
      <x:c r="H421" s="9">
        <x:f t="shared" si="17"/>
        <x:v>0.10008529997156668</x:v>
      </x:c>
      <x:c r="I421" s="2" t="s">
        <x:v>36</x:v>
      </x:c>
      <x:c r="J421" s="2" t="str">
        <x:v>The family contains Terapon puta at maximum 30 cm TL and larger T. jarbua; these are sufficient regional size-class counterexamples to 25 + 26-only membership. Current age splitting cannot substitute for the missing small-species category. Model catch proportions provide the split; allocation confidence remains Medium. Northern-shelf 2000s proxy transferred to whole-LME 2019 landings; fixed over 1950–2019.</x:v>
      </x:c>
      <x:c r="K421" s="1"/>
    </x:row>
    <x:row r="422" ht="87" customHeight="1">
      <x:c r="A422" s="2" t="s">
        <x:v>230</x:v>
      </x:c>
      <x:c r="B422" s="2" t="s">
        <x:v>39</x:v>
      </x:c>
      <x:c r="C422" s="2">
        <x:v>25</x:v>
      </x:c>
      <x:c r="D422" s="8">
        <x:v>0.3165</x:v>
      </x:c>
      <x:c r="E422" s="8">
        <x:v>0.14299999999999999</x:v>
      </x:c>
      <x:c r="F422" s="8" t="s">
        <x:v>27</x:v>
      </x:c>
      <x:c r="G422" s="8">
        <x:f t="shared" si="16"/>
        <x:v>0.35170000000000001</x:v>
      </x:c>
      <x:c r="H422" s="9">
        <x:f t="shared" si="17"/>
        <x:v>0.89991470002843332</x:v>
      </x:c>
      <x:c r="I422" s="2" t="s">
        <x:v>36</x:v>
      </x:c>
      <x:c r="J422" s="2" t="str">
        <x:v>The family is not uniformly large demersal: Canthigaster rivulata reaches 18 cm TL and is reef/benthopelagic. Thus current 25 + 26 exclude a specific small species and a plausible alternate habitat, rather than merely suffering unspecified age uncertainty. Model catch proportions provide the split; allocation confidence remains Medium. Northern-shelf 2000s proxy transferred to whole-LME 2019 landings; fixed over 1950–2019.</x:v>
      </x:c>
      <x:c r="K422" s="1"/>
    </x:row>
    <x:row r="423" ht="87" customHeight="1">
      <x:c r="A423" s="2" t="s">
        <x:v>230</x:v>
      </x:c>
      <x:c r="B423" s="2" t="s">
        <x:v>40</x:v>
      </x:c>
      <x:c r="C423" s="2">
        <x:v>26</x:v>
      </x:c>
      <x:c r="D423" s="8">
        <x:v>3.5200000000000002E-2</x:v>
      </x:c>
      <x:c r="E423" s="8">
        <x:v>2.1000000000000001E-2</x:v>
      </x:c>
      <x:c r="F423" s="8" t="s">
        <x:v>27</x:v>
      </x:c>
      <x:c r="G423" s="8">
        <x:f t="shared" si="16"/>
        <x:v>0.35170000000000001</x:v>
      </x:c>
      <x:c r="H423" s="9">
        <x:f t="shared" si="17"/>
        <x:v>0.10008529997156668</x:v>
      </x:c>
      <x:c r="I423" s="2" t="s">
        <x:v>36</x:v>
      </x:c>
      <x:c r="J423" s="2" t="str">
        <x:v>The family is not uniformly large demersal: Canthigaster rivulata reaches 18 cm TL and is reef/benthopelagic. Thus current 25 + 26 exclude a specific small species and a plausible alternate habitat, rather than merely suffering unspecified age uncertainty. Model catch proportions provide the split; allocation confidence remains Medium. Northern-shelf 2000s proxy transferred to whole-LME 2019 landings; fixed over 1950–2019.</x:v>
      </x:c>
      <x:c r="K423" s="1"/>
    </x:row>
    <x:row r="424" ht="102" customHeight="1">
      <x:c r="A424" s="2" t="s">
        <x:v>231</x:v>
      </x:c>
      <x:c r="B424" s="2" t="s">
        <x:v>35</x:v>
      </x:c>
      <x:c r="C424" s="2">
        <x:v>30</x:v>
      </x:c>
      <x:c r="D424" s="8">
        <x:v>0.73839999999999995</x:v>
      </x:c>
      <x:c r="E424" s="8">
        <x:v>0.28899999999999998</x:v>
      </x:c>
      <x:c r="F424" s="8" t="s">
        <x:v>27</x:v>
      </x:c>
      <x:c r="G424" s="8">
        <x:f t="shared" si="16"/>
        <x:v>0.82050000000000001</x:v>
      </x:c>
      <x:c r="H424" s="9">
        <x:f t="shared" si="17"/>
        <x:v>0.89993906154783665</x:v>
      </x:c>
      <x:c r="I424" s="2" t="s">
        <x:v>36</x:v>
      </x:c>
      <x:c r="J424" s="2" t="str">
        <x:v>Shortbill spearfish has verified size above 30 cm and oceanic pelagic ecology, satisfying the explicit large-pelagic definition with no competing source pool. Its rarity near coasts limits shelf-model transfer, not membership in the combined groups 30+31. Model catch proportions provide the split; allocation confidence remains Medium. Assumed composition is fixed across 1950–2019 and landings, total catch and discards; source model is a 2000s northern shelf representation.</x:v>
      </x:c>
      <x:c r="K424" s="1"/>
    </x:row>
    <x:row r="425" ht="102" customHeight="1">
      <x:c r="A425" s="2" t="s">
        <x:v>231</x:v>
      </x:c>
      <x:c r="B425" s="2" t="s">
        <x:v>37</x:v>
      </x:c>
      <x:c r="C425" s="2">
        <x:v>31</x:v>
      </x:c>
      <x:c r="D425" s="8">
        <x:v>8.2100000000000006E-2</x:v>
      </x:c>
      <x:c r="E425" s="8">
        <x:v>7.9000000000000001E-2</x:v>
      </x:c>
      <x:c r="F425" s="8" t="s">
        <x:v>27</x:v>
      </x:c>
      <x:c r="G425" s="8">
        <x:f t="shared" si="16"/>
        <x:v>0.82050000000000001</x:v>
      </x:c>
      <x:c r="H425" s="9">
        <x:f t="shared" si="17"/>
        <x:v>0.10006093845216332</x:v>
      </x:c>
      <x:c r="I425" s="2" t="s">
        <x:v>36</x:v>
      </x:c>
      <x:c r="J425" s="2" t="str">
        <x:v>Shortbill spearfish has verified size above 30 cm and oceanic pelagic ecology, satisfying the explicit large-pelagic definition with no competing source pool. Its rarity near coasts limits shelf-model transfer, not membership in the combined groups 30+31. Model catch proportions provide the split; allocation confidence remains Medium. Assumed composition is fixed across 1950–2019 and landings, total catch and discards; source model is a 2000s northern shelf representation.</x:v>
      </x:c>
      <x:c r="K425" s="1"/>
    </x:row>
    <x:row r="426" ht="87" customHeight="1">
      <x:c r="A426" s="2" t="s">
        <x:v>232</x:v>
      </x:c>
      <x:c r="B426" s="2" t="s">
        <x:v>35</x:v>
      </x:c>
      <x:c r="C426" s="2">
        <x:v>30</x:v>
      </x:c>
      <x:c r="D426" s="8">
        <x:v>0.73839999999999995</x:v>
      </x:c>
      <x:c r="E426" s="8">
        <x:v>0.28899999999999998</x:v>
      </x:c>
      <x:c r="F426" s="8" t="s">
        <x:v>27</x:v>
      </x:c>
      <x:c r="G426" s="8">
        <x:f t="shared" si="16"/>
        <x:v>0.82050000000000001</x:v>
      </x:c>
      <x:c r="H426" s="9">
        <x:f t="shared" si="17"/>
        <x:v>0.89993906154783665</x:v>
      </x:c>
      <x:c r="I426" s="2" t="s">
        <x:v>36</x:v>
      </x:c>
      <x:c r="J426" s="2" t="str">
        <x:v>Regional tunas are large pelagic fishes, including neritic and oceanic forms, and meet the source's &gt;30-cm residual pelagic definition. The genus label supports the combined stage set even though species and age shares remain unknown. Model catch proportions provide the split; allocation confidence remains Medium. Northern-shelf 2000s proxy transferred to whole-LME 2019 landings; fixed over 1950–2019.</x:v>
      </x:c>
      <x:c r="K426" s="1"/>
    </x:row>
    <x:row r="427" ht="87" customHeight="1">
      <x:c r="A427" s="2" t="s">
        <x:v>232</x:v>
      </x:c>
      <x:c r="B427" s="2" t="s">
        <x:v>37</x:v>
      </x:c>
      <x:c r="C427" s="2">
        <x:v>31</x:v>
      </x:c>
      <x:c r="D427" s="8">
        <x:v>8.2100000000000006E-2</x:v>
      </x:c>
      <x:c r="E427" s="8">
        <x:v>7.9000000000000001E-2</x:v>
      </x:c>
      <x:c r="F427" s="8" t="s">
        <x:v>27</x:v>
      </x:c>
      <x:c r="G427" s="8">
        <x:f t="shared" si="16"/>
        <x:v>0.82050000000000001</x:v>
      </x:c>
      <x:c r="H427" s="9">
        <x:f t="shared" si="17"/>
        <x:v>0.10006093845216332</x:v>
      </x:c>
      <x:c r="I427" s="2" t="s">
        <x:v>36</x:v>
      </x:c>
      <x:c r="J427" s="2" t="str">
        <x:v>Regional tunas are large pelagic fishes, including neritic and oceanic forms, and meet the source's &gt;30-cm residual pelagic definition. The genus label supports the combined stage set even though species and age shares remain unknown. Model catch proportions provide the split; allocation confidence remains Medium. Northern-shelf 2000s proxy transferred to whole-LME 2019 landings; fixed over 1950–2019.</x:v>
      </x:c>
      <x:c r="K427" s="1"/>
    </x:row>
    <x:row r="428" ht="117" customHeight="1">
      <x:c r="A428" s="2" t="s">
        <x:v>233</x:v>
      </x:c>
      <x:c r="B428" s="2" t="s">
        <x:v>35</x:v>
      </x:c>
      <x:c r="C428" s="2">
        <x:v>30</x:v>
      </x:c>
      <x:c r="D428" s="8">
        <x:v>0.73839999999999995</x:v>
      </x:c>
      <x:c r="E428" s="8">
        <x:v>0.28899999999999998</x:v>
      </x:c>
      <x:c r="F428" s="8" t="s">
        <x:v>27</x:v>
      </x:c>
      <x:c r="G428" s="8">
        <x:f t="shared" si="16"/>
        <x:v>0.82050000000000001</x:v>
      </x:c>
      <x:c r="H428" s="9">
        <x:f t="shared" si="17"/>
        <x:v>0.89993906154783665</x:v>
      </x:c>
      <x:c r="I428" s="2" t="s">
        <x:v>36</x:v>
      </x:c>
      <x:c r="J428"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140 cm FL; Marine;  pelagic-oceanic; oceanodromous. Model catch proportions provide the split; allocation confidence remains Medium. Northern-shelf 2000s proxy transferred to whole-LME 2019 landings; fixed over 1950–2019.</x:v>
      </x:c>
      <x:c r="K428" s="1"/>
    </x:row>
    <x:row r="429" ht="117" customHeight="1">
      <x:c r="A429" s="2" t="s">
        <x:v>233</x:v>
      </x:c>
      <x:c r="B429" s="2" t="s">
        <x:v>37</x:v>
      </x:c>
      <x:c r="C429" s="2">
        <x:v>31</x:v>
      </x:c>
      <x:c r="D429" s="8">
        <x:v>8.2100000000000006E-2</x:v>
      </x:c>
      <x:c r="E429" s="8">
        <x:v>7.9000000000000001E-2</x:v>
      </x:c>
      <x:c r="F429" s="8" t="s">
        <x:v>27</x:v>
      </x:c>
      <x:c r="G429" s="8">
        <x:f t="shared" si="16"/>
        <x:v>0.82050000000000001</x:v>
      </x:c>
      <x:c r="H429" s="9">
        <x:f t="shared" si="17"/>
        <x:v>0.10006093845216332</x:v>
      </x:c>
      <x:c r="I429" s="2" t="s">
        <x:v>36</x:v>
      </x:c>
      <x:c r="J429"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140 cm FL; Marine;  pelagic-oceanic; oceanodromous. Model catch proportions provide the split; allocation confidence remains Medium. Northern-shelf 2000s proxy transferred to whole-LME 2019 landings; fixed over 1950–2019.</x:v>
      </x:c>
      <x:c r="K429" s="1"/>
    </x:row>
    <x:row r="430" ht="117" customHeight="1">
      <x:c r="A430" s="2" t="s">
        <x:v>234</x:v>
      </x:c>
      <x:c r="B430" s="2" t="s">
        <x:v>35</x:v>
      </x:c>
      <x:c r="C430" s="2">
        <x:v>30</x:v>
      </x:c>
      <x:c r="D430" s="8">
        <x:v>0.73839999999999995</x:v>
      </x:c>
      <x:c r="E430" s="8">
        <x:v>0.28899999999999998</x:v>
      </x:c>
      <x:c r="F430" s="8" t="s">
        <x:v>27</x:v>
      </x:c>
      <x:c r="G430" s="8">
        <x:f t="shared" si="16"/>
        <x:v>0.82050000000000001</x:v>
      </x:c>
      <x:c r="H430" s="9">
        <x:f t="shared" si="17"/>
        <x:v>0.89993906154783665</x:v>
      </x:c>
      <x:c r="I430" s="2" t="s">
        <x:v>36</x:v>
      </x:c>
      <x:c r="J430"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239 cm FL; Marine; brackish;  pelagic-oceanic; oceanodromous. Model catch proportions provide the split; allocation confidence remains Medium. Northern-shelf 2000s proxy transferred to whole-LME 2019 landings; fixed over 1950–2019.</x:v>
      </x:c>
      <x:c r="K430" s="1"/>
    </x:row>
    <x:row r="431" ht="117" customHeight="1">
      <x:c r="A431" s="2" t="s">
        <x:v>234</x:v>
      </x:c>
      <x:c r="B431" s="2" t="s">
        <x:v>37</x:v>
      </x:c>
      <x:c r="C431" s="2">
        <x:v>31</x:v>
      </x:c>
      <x:c r="D431" s="8">
        <x:v>8.2100000000000006E-2</x:v>
      </x:c>
      <x:c r="E431" s="8">
        <x:v>7.9000000000000001E-2</x:v>
      </x:c>
      <x:c r="F431" s="8" t="s">
        <x:v>27</x:v>
      </x:c>
      <x:c r="G431" s="8">
        <x:f t="shared" si="16"/>
        <x:v>0.82050000000000001</x:v>
      </x:c>
      <x:c r="H431" s="9">
        <x:f t="shared" si="17"/>
        <x:v>0.10006093845216332</x:v>
      </x:c>
      <x:c r="I431" s="2" t="s">
        <x:v>36</x:v>
      </x:c>
      <x:c r="J431"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239 cm FL; Marine; brackish;  pelagic-oceanic; oceanodromous. Model catch proportions provide the split; allocation confidence remains Medium. Northern-shelf 2000s proxy transferred to whole-LME 2019 landings; fixed over 1950–2019.</x:v>
      </x:c>
      <x:c r="K431" s="1"/>
    </x:row>
    <x:row r="432" ht="117" customHeight="1">
      <x:c r="A432" s="2" t="s">
        <x:v>235</x:v>
      </x:c>
      <x:c r="B432" s="2" t="s">
        <x:v>35</x:v>
      </x:c>
      <x:c r="C432" s="2">
        <x:v>30</x:v>
      </x:c>
      <x:c r="D432" s="8">
        <x:v>0.73839999999999995</x:v>
      </x:c>
      <x:c r="E432" s="8">
        <x:v>0.28899999999999998</x:v>
      </x:c>
      <x:c r="F432" s="8" t="s">
        <x:v>27</x:v>
      </x:c>
      <x:c r="G432" s="8">
        <x:f t="shared" si="16"/>
        <x:v>0.82050000000000001</x:v>
      </x:c>
      <x:c r="H432" s="9">
        <x:f t="shared" si="17"/>
        <x:v>0.89993906154783665</x:v>
      </x:c>
      <x:c r="I432" s="2" t="s">
        <x:v>36</x:v>
      </x:c>
      <x:c r="J432"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250 cm TL; Marine;  pelagic-oceanic; oceanodromous. Model catch proportions provide the split; allocation confidence remains Medium. Northern-shelf 2000s proxy transferred to whole-LME 2019 landings; fixed over 1950–2019.</x:v>
      </x:c>
      <x:c r="K432" s="1"/>
    </x:row>
    <x:row r="433" ht="117" customHeight="1">
      <x:c r="A433" s="2" t="s">
        <x:v>235</x:v>
      </x:c>
      <x:c r="B433" s="2" t="s">
        <x:v>37</x:v>
      </x:c>
      <x:c r="C433" s="2">
        <x:v>31</x:v>
      </x:c>
      <x:c r="D433" s="8">
        <x:v>8.2100000000000006E-2</x:v>
      </x:c>
      <x:c r="E433" s="8">
        <x:v>7.9000000000000001E-2</x:v>
      </x:c>
      <x:c r="F433" s="8" t="s">
        <x:v>27</x:v>
      </x:c>
      <x:c r="G433" s="8">
        <x:f t="shared" si="16"/>
        <x:v>0.82050000000000001</x:v>
      </x:c>
      <x:c r="H433" s="9">
        <x:f t="shared" si="17"/>
        <x:v>0.10006093845216332</x:v>
      </x:c>
      <x:c r="I433" s="2" t="s">
        <x:v>36</x:v>
      </x:c>
      <x:c r="J433"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250 cm TL; Marine;  pelagic-oceanic; oceanodromous. Model catch proportions provide the split; allocation confidence remains Medium. Northern-shelf 2000s proxy transferred to whole-LME 2019 landings; fixed over 1950–2019.</x:v>
      </x:c>
      <x:c r="K433" s="1"/>
    </x:row>
    <x:row r="434" ht="117" customHeight="1">
      <x:c r="A434" s="2" t="s">
        <x:v>236</x:v>
      </x:c>
      <x:c r="B434" s="2" t="s">
        <x:v>35</x:v>
      </x:c>
      <x:c r="C434" s="2">
        <x:v>30</x:v>
      </x:c>
      <x:c r="D434" s="8">
        <x:v>0.73839999999999995</x:v>
      </x:c>
      <x:c r="E434" s="8">
        <x:v>0.28899999999999998</x:v>
      </x:c>
      <x:c r="F434" s="8" t="s">
        <x:v>27</x:v>
      </x:c>
      <x:c r="G434" s="8">
        <x:f t="shared" si="16"/>
        <x:v>0.82050000000000001</x:v>
      </x:c>
      <x:c r="H434" s="9">
        <x:f t="shared" si="17"/>
        <x:v>0.89993906154783665</x:v>
      </x:c>
      <x:c r="I434" s="2" t="s">
        <x:v>36</x:v>
      </x:c>
      <x:c r="J434"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300 cm FL; Marine; brackish;  pelagic-oceanic; oceanodromous. Model catch proportions provide the split; allocation confidence remains Medium. Northern-shelf 2000s proxy transferred to whole-LME 2019 landings; fixed over 1950–2019.</x:v>
      </x:c>
      <x:c r="K434" s="1"/>
    </x:row>
    <x:row r="435" ht="117" customHeight="1">
      <x:c r="A435" s="2" t="s">
        <x:v>236</x:v>
      </x:c>
      <x:c r="B435" s="2" t="s">
        <x:v>37</x:v>
      </x:c>
      <x:c r="C435" s="2">
        <x:v>31</x:v>
      </x:c>
      <x:c r="D435" s="8">
        <x:v>8.2100000000000006E-2</x:v>
      </x:c>
      <x:c r="E435" s="8">
        <x:v>7.9000000000000001E-2</x:v>
      </x:c>
      <x:c r="F435" s="8" t="s">
        <x:v>27</x:v>
      </x:c>
      <x:c r="G435" s="8">
        <x:f t="shared" si="16"/>
        <x:v>0.82050000000000001</x:v>
      </x:c>
      <x:c r="H435" s="9">
        <x:f t="shared" si="17"/>
        <x:v>0.10006093845216332</x:v>
      </x:c>
      <x:c r="I435" s="2" t="s">
        <x:v>36</x:v>
      </x:c>
      <x:c r="J435"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300 cm FL; Marine; brackish;  pelagic-oceanic; oceanodromous. Model catch proportions provide the split; allocation confidence remains Medium. Northern-shelf 2000s proxy transferred to whole-LME 2019 landings; fixed over 1950–2019.</x:v>
      </x:c>
      <x:c r="K435" s="1"/>
    </x:row>
    <x:row r="436" ht="117" customHeight="1">
      <x:c r="A436" s="2" t="s">
        <x:v>237</x:v>
      </x:c>
      <x:c r="B436" s="2" t="s">
        <x:v>35</x:v>
      </x:c>
      <x:c r="C436" s="2">
        <x:v>30</x:v>
      </x:c>
      <x:c r="D436" s="8">
        <x:v>0.73839999999999995</x:v>
      </x:c>
      <x:c r="E436" s="8">
        <x:v>0.28899999999999998</x:v>
      </x:c>
      <x:c r="F436" s="8" t="s">
        <x:v>27</x:v>
      </x:c>
      <x:c r="G436" s="8">
        <x:f t="shared" si="16"/>
        <x:v>0.82050000000000001</x:v>
      </x:c>
      <x:c r="H436" s="9">
        <x:f t="shared" si="17"/>
        <x:v>0.89993906154783665</x:v>
      </x:c>
      <x:c r="I436" s="2" t="s">
        <x:v>36</x:v>
      </x:c>
      <x:c r="J436"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145 cm FL; Marine;  pelagic-neritic; oceanodromous. Model catch proportions provide the split; allocation confidence remains Medium. Northern-shelf 2000s proxy transferred to whole-LME 2019 landings; fixed over 1950–2019.</x:v>
      </x:c>
      <x:c r="K436" s="1"/>
    </x:row>
    <x:row r="437" ht="117" customHeight="1">
      <x:c r="A437" s="2" t="s">
        <x:v>237</x:v>
      </x:c>
      <x:c r="B437" s="2" t="s">
        <x:v>37</x:v>
      </x:c>
      <x:c r="C437" s="2">
        <x:v>31</x:v>
      </x:c>
      <x:c r="D437" s="8">
        <x:v>8.2100000000000006E-2</x:v>
      </x:c>
      <x:c r="E437" s="8">
        <x:v>7.9000000000000001E-2</x:v>
      </x:c>
      <x:c r="F437" s="8" t="s">
        <x:v>27</x:v>
      </x:c>
      <x:c r="G437" s="8">
        <x:f t="shared" si="16"/>
        <x:v>0.82050000000000001</x:v>
      </x:c>
      <x:c r="H437" s="9">
        <x:f t="shared" si="17"/>
        <x:v>0.10006093845216332</x:v>
      </x:c>
      <x:c r="I437" s="2" t="s">
        <x:v>36</x:v>
      </x:c>
      <x:c r="J437"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145 cm FL; Marine;  pelagic-neritic; oceanodromous. Model catch proportions provide the split; allocation confidence remains Medium. Northern-shelf 2000s proxy transferred to whole-LME 2019 landings; fixed over 1950–2019.</x:v>
      </x:c>
      <x:c r="K437" s="1"/>
    </x:row>
    <x:row r="438" ht="117" customHeight="1">
      <x:c r="A438" s="2" t="s">
        <x:v>238</x:v>
      </x:c>
      <x:c r="B438" s="2" t="s">
        <x:v>35</x:v>
      </x:c>
      <x:c r="C438" s="2">
        <x:v>30</x:v>
      </x:c>
      <x:c r="D438" s="8">
        <x:v>0.73839999999999995</x:v>
      </x:c>
      <x:c r="E438" s="8">
        <x:v>0.28899999999999998</x:v>
      </x:c>
      <x:c r="F438" s="8" t="s">
        <x:v>27</x:v>
      </x:c>
      <x:c r="G438" s="8">
        <x:f t="shared" si="16"/>
        <x:v>0.82050000000000001</x:v>
      </x:c>
      <x:c r="H438" s="9">
        <x:f t="shared" si="17"/>
        <x:v>0.89993906154783665</x:v>
      </x:c>
      <x:c r="I438" s="2" t="s">
        <x:v>36</x:v>
      </x:c>
      <x:c r="J438"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50 cm TL; Marine;  pelagic-neritic; oceanodromous. Model catch proportions provide the split; allocation confidence remains Medium. Northern-shelf 2000s proxy transferred to whole-LME 2019 landings; fixed over 1950–2019.</x:v>
      </x:c>
      <x:c r="K438" s="1"/>
    </x:row>
    <x:row r="439" ht="117" customHeight="1">
      <x:c r="A439" s="2" t="s">
        <x:v>238</x:v>
      </x:c>
      <x:c r="B439" s="2" t="s">
        <x:v>37</x:v>
      </x:c>
      <x:c r="C439" s="2">
        <x:v>31</x:v>
      </x:c>
      <x:c r="D439" s="8">
        <x:v>8.2100000000000006E-2</x:v>
      </x:c>
      <x:c r="E439" s="8">
        <x:v>7.9000000000000001E-2</x:v>
      </x:c>
      <x:c r="F439" s="8" t="s">
        <x:v>27</x:v>
      </x:c>
      <x:c r="G439" s="8">
        <x:f t="shared" si="16"/>
        <x:v>0.82050000000000001</x:v>
      </x:c>
      <x:c r="H439" s="9">
        <x:f t="shared" si="17"/>
        <x:v>0.10006093845216332</x:v>
      </x:c>
      <x:c r="I439" s="2" t="s">
        <x:v>36</x:v>
      </x:c>
      <x:c r="J439" s="2" t="str">
        <x:v>Direct species ecology establishes pelagic habitat and maximum length above 30 cm. An FL/SL maximum above 30 also proves TL above 30. No dedicated taxon pool competes. Both large-pelagic stanzas are eligible; their weights remain assumed. The source paragraph's demersal wording is reconciled by the pelagic heading, examples and stanza names. Checked species record: 50 cm TL; Marine;  pelagic-neritic; oceanodromous. Model catch proportions provide the split; allocation confidence remains Medium. Northern-shelf 2000s proxy transferred to whole-LME 2019 landings; fixed over 1950–2019.</x:v>
      </x:c>
      <x:c r="K439" s="1"/>
    </x:row>
    <x:row r="440" ht="72" customHeight="1">
      <x:c r="A440" s="2" t="s">
        <x:v>239</x:v>
      </x:c>
      <x:c r="B440" s="2" t="s">
        <x:v>134</x:v>
      </x:c>
      <x:c r="C440" s="2">
        <x:v>16</x:v>
      </x:c>
      <x:c r="D440" s="8">
        <x:v>2.8000000000000001E-2</x:v>
      </x:c>
      <x:c r="E440" s="8">
        <x:v>1.4999999999999999E-2</x:v>
      </x:c>
      <x:c r="F440" s="8" t="s">
        <x:v>27</x:v>
      </x:c>
      <x:c r="G440" s="8">
        <x:f t="shared" si="16"/>
        <x:v>3.5200000000000002E-2</x:v>
      </x:c>
      <x:c r="H440" s="9">
        <x:f t="shared" si="17"/>
        <x:v>0.79545454545454541</x:v>
      </x:c>
      <x:c r="I440" s="2" t="s">
        <x:v>36</x:v>
      </x:c>
      <x:c r="J440" s="2" t="str">
        <x:v>Trichiuridae is a trichiurid covered by the source juvenile/adult hairtail pair. The 18-month boundary affects allocation, not membership in that pair. Model catch proportions provide the split; allocation confidence remains Medium. Northern-shelf 2000s proxy transferred to whole-LME 2019 landings; fixed over 1950–2019.</x:v>
      </x:c>
      <x:c r="K440" s="1"/>
    </x:row>
    <x:row r="441" ht="72" customHeight="1">
      <x:c r="A441" s="2" t="s">
        <x:v>239</x:v>
      </x:c>
      <x:c r="B441" s="2" t="s">
        <x:v>135</x:v>
      </x:c>
      <x:c r="C441" s="2">
        <x:v>17</x:v>
      </x:c>
      <x:c r="D441" s="8">
        <x:v>7.1999999999999998E-3</x:v>
      </x:c>
      <x:c r="E441" s="8">
        <x:v>1.2E-2</x:v>
      </x:c>
      <x:c r="F441" s="8" t="s">
        <x:v>27</x:v>
      </x:c>
      <x:c r="G441" s="8">
        <x:f t="shared" si="16"/>
        <x:v>3.5200000000000002E-2</x:v>
      </x:c>
      <x:c r="H441" s="9">
        <x:f t="shared" si="17"/>
        <x:v>0.20454545454545453</x:v>
      </x:c>
      <x:c r="I441" s="2" t="s">
        <x:v>36</x:v>
      </x:c>
      <x:c r="J441" s="2" t="str">
        <x:v>Trichiuridae is a trichiurid covered by the source juvenile/adult hairtail pair. The 18-month boundary affects allocation, not membership in that pair. Model catch proportions provide the split; allocation confidence remains Medium. Northern-shelf 2000s proxy transferred to whole-LME 2019 landings; fixed over 1950–2019.</x:v>
      </x:c>
      <x:c r="K441" s="1"/>
    </x:row>
    <x:row r="442" ht="72" customHeight="1">
      <x:c r="A442" s="2" t="s">
        <x:v>240</x:v>
      </x:c>
      <x:c r="B442" s="2" t="s">
        <x:v>134</x:v>
      </x:c>
      <x:c r="C442" s="2">
        <x:v>16</x:v>
      </x:c>
      <x:c r="D442" s="8">
        <x:v>2.8000000000000001E-2</x:v>
      </x:c>
      <x:c r="E442" s="8">
        <x:v>1.4999999999999999E-2</x:v>
      </x:c>
      <x:c r="F442" s="8" t="s">
        <x:v>27</x:v>
      </x:c>
      <x:c r="G442" s="8">
        <x:f t="shared" si="16"/>
        <x:v>3.5200000000000002E-2</x:v>
      </x:c>
      <x:c r="H442" s="9">
        <x:f t="shared" si="17"/>
        <x:v>0.79545454545454541</x:v>
      </x:c>
      <x:c r="I442" s="2" t="s">
        <x:v>36</x:v>
      </x:c>
      <x:c r="J442" s="2" t="str">
        <x:v>Trichiurus is a trichiurid covered by the source juvenile/adult hairtail pair. The 18-month boundary affects allocation, not membership in that pair. Model catch proportions provide the split; allocation confidence remains Medium. Northern-shelf 2000s proxy transferred to whole-LME 2019 landings; fixed over 1950–2019.</x:v>
      </x:c>
      <x:c r="K442" s="1"/>
    </x:row>
    <x:row r="443" ht="72" customHeight="1">
      <x:c r="A443" s="2" t="s">
        <x:v>240</x:v>
      </x:c>
      <x:c r="B443" s="2" t="s">
        <x:v>135</x:v>
      </x:c>
      <x:c r="C443" s="2">
        <x:v>17</x:v>
      </x:c>
      <x:c r="D443" s="8">
        <x:v>7.1999999999999998E-3</x:v>
      </x:c>
      <x:c r="E443" s="8">
        <x:v>1.2E-2</x:v>
      </x:c>
      <x:c r="F443" s="8" t="s">
        <x:v>27</x:v>
      </x:c>
      <x:c r="G443" s="8">
        <x:f t="shared" si="16"/>
        <x:v>3.5200000000000002E-2</x:v>
      </x:c>
      <x:c r="H443" s="9">
        <x:f t="shared" si="17"/>
        <x:v>0.20454545454545453</x:v>
      </x:c>
      <x:c r="I443" s="2" t="s">
        <x:v>36</x:v>
      </x:c>
      <x:c r="J443" s="2" t="str">
        <x:v>Trichiurus is a trichiurid covered by the source juvenile/adult hairtail pair. The 18-month boundary affects allocation, not membership in that pair. Model catch proportions provide the split; allocation confidence remains Medium. Northern-shelf 2000s proxy transferred to whole-LME 2019 landings; fixed over 1950–2019.</x:v>
      </x:c>
      <x:c r="K443" s="1"/>
    </x:row>
    <x:row r="444" ht="72" customHeight="1">
      <x:c r="A444" s="2" t="s">
        <x:v>241</x:v>
      </x:c>
      <x:c r="B444" s="2" t="s">
        <x:v>134</x:v>
      </x:c>
      <x:c r="C444" s="2">
        <x:v>16</x:v>
      </x:c>
      <x:c r="D444" s="8">
        <x:v>2.8000000000000001E-2</x:v>
      </x:c>
      <x:c r="E444" s="8">
        <x:v>1.4999999999999999E-2</x:v>
      </x:c>
      <x:c r="F444" s="8" t="s">
        <x:v>27</x:v>
      </x:c>
      <x:c r="G444" s="8">
        <x:f t="shared" si="16"/>
        <x:v>3.5200000000000002E-2</x:v>
      </x:c>
      <x:c r="H444" s="9">
        <x:f t="shared" si="17"/>
        <x:v>0.79545454545454541</x:v>
      </x:c>
      <x:c r="I444" s="2" t="s">
        <x:v>36</x:v>
      </x:c>
      <x:c r="J444" s="2" t="str">
        <x:v>Trichiurus lepturus is a trichiurid covered by the source juvenile/adult hairtail pair. The 18-month boundary affects allocation, not membership in that pair. Model catch proportions provide the split; allocation confidence remains Medium. Northern-shelf 2000s proxy transferred to whole-LME 2019 landings; fixed over 1950–2019.</x:v>
      </x:c>
      <x:c r="K444" s="1"/>
    </x:row>
    <x:row r="445" ht="72" customHeight="1">
      <x:c r="A445" s="2" t="s">
        <x:v>241</x:v>
      </x:c>
      <x:c r="B445" s="2" t="s">
        <x:v>135</x:v>
      </x:c>
      <x:c r="C445" s="2">
        <x:v>17</x:v>
      </x:c>
      <x:c r="D445" s="8">
        <x:v>7.1999999999999998E-3</x:v>
      </x:c>
      <x:c r="E445" s="8">
        <x:v>1.2E-2</x:v>
      </x:c>
      <x:c r="F445" s="8" t="s">
        <x:v>27</x:v>
      </x:c>
      <x:c r="G445" s="8">
        <x:f t="shared" si="16"/>
        <x:v>3.5200000000000002E-2</x:v>
      </x:c>
      <x:c r="H445" s="9" t="n">
        <x:f t="shared" ref="H445:H449" si="18">D445/G445</x:f>
        <x:v>0.20454545454545453</x:v>
      </x:c>
      <x:c r="I445" s="2" t="s">
        <x:v>36</x:v>
      </x:c>
      <x:c r="J445" s="2" t="str">
        <x:v>Trichiurus lepturus is a trichiurid covered by the source juvenile/adult hairtail pair. The 18-month boundary affects allocation, not membership in that pair. Model catch proportions provide the split; allocation confidence remains Medium. Northern-shelf 2000s proxy transferred to whole-LME 2019 landings; fixed over 1950–2019.</x:v>
      </x:c>
      <x:c r="K445" s="1"/>
    </x:row>
    <x:row r="446" ht="102" customHeight="1">
      <x:c r="A446" s="2" t="s">
        <x:v>242</x:v>
      </x:c>
      <x:c r="B446" s="2" t="s">
        <x:v>35</x:v>
      </x:c>
      <x:c r="C446" s="2">
        <x:v>30</x:v>
      </x:c>
      <x:c r="D446" s="8">
        <x:v>0.73839999999999995</x:v>
      </x:c>
      <x:c r="E446" s="8">
        <x:v>0.28899999999999998</x:v>
      </x:c>
      <x:c r="F446" s="8" t="s">
        <x:v>27</x:v>
      </x:c>
      <x:c r="G446" s="8">
        <x:f t="shared" si="16"/>
        <x:v>0.82050000000000001</x:v>
      </x:c>
      <x:c r="H446" s="9">
        <x:f t="shared" si="18"/>
        <x:v>0.89993906154783665</x:v>
      </x:c>
      <x:c r="I446" s="2" t="s">
        <x:v>36</x:v>
      </x:c>
      <x:c r="J446" s="2" t="str">
        <x:v>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150 cm TL; Marine;  reef-associated; oceanodromous. Model catch proportions provide the split; allocation confidence remains Medium. Northern-shelf 2000s proxy transferred to whole-LME 2019 landings; fixed over 1950–2019.</x:v>
      </x:c>
      <x:c r="K446" s="1"/>
    </x:row>
    <x:row r="447" ht="102" customHeight="1">
      <x:c r="A447" s="2" t="s">
        <x:v>242</x:v>
      </x:c>
      <x:c r="B447" s="2" t="s">
        <x:v>37</x:v>
      </x:c>
      <x:c r="C447" s="2">
        <x:v>31</x:v>
      </x:c>
      <x:c r="D447" s="8">
        <x:v>8.2100000000000006E-2</x:v>
      </x:c>
      <x:c r="E447" s="8">
        <x:v>7.9000000000000001E-2</x:v>
      </x:c>
      <x:c r="F447" s="8" t="s">
        <x:v>27</x:v>
      </x:c>
      <x:c r="G447" s="8">
        <x:f t="shared" si="16"/>
        <x:v>0.82050000000000001</x:v>
      </x:c>
      <x:c r="H447" s="9">
        <x:f t="shared" si="18"/>
        <x:v>0.10006093845216332</x:v>
      </x:c>
      <x:c r="I447" s="2" t="s">
        <x:v>36</x:v>
      </x:c>
      <x:c r="J447" s="2" t="str">
        <x:v>The species Biology account documents pelagic/near-surface activity beyond the coarse reef-associated tag; maximum TL exceeds 30 cm. No dedicated source pool applies. Reef association alone does not contradict documented pelagic use, supporting both large-pelagic stanzas. Checked species record: 150 cm TL; Marine;  reef-associated; oceanodromous. Model catch proportions provide the split; allocation confidence remains Medium. Northern-shelf 2000s proxy transferred to whole-LME 2019 landings; fixed over 1950–2019.</x:v>
      </x:c>
      <x:c r="K447" s="1"/>
    </x:row>
    <x:row r="448" ht="102" customHeight="1">
      <x:c r="A448" s="2" t="s">
        <x:v>243</x:v>
      </x:c>
      <x:c r="B448" s="2" t="s">
        <x:v>35</x:v>
      </x:c>
      <x:c r="C448" s="2">
        <x:v>30</x:v>
      </x:c>
      <x:c r="D448" s="8">
        <x:v>0.73839999999999995</x:v>
      </x:c>
      <x:c r="E448" s="8">
        <x:v>0.28899999999999998</x:v>
      </x:c>
      <x:c r="F448" s="8" t="s">
        <x:v>27</x:v>
      </x:c>
      <x:c r="G448" s="8">
        <x:f t="shared" si="16"/>
        <x:v>0.82050000000000001</x:v>
      </x:c>
      <x:c r="H448" s="9">
        <x:f t="shared" si="18"/>
        <x:v>0.89993906154783665</x:v>
      </x:c>
      <x:c r="I448" s="2" t="s">
        <x:v>36</x:v>
      </x:c>
      <x:c r="J448" s="2" t="str">
        <x:v>Verified swordfish size above 30 cm and epi/mesopelagic ecology satisfy the source's explicit residual large-pelagic definition, with no competing dedicated pool. Groups 30+31 cover both stages; geographic transfer and their assumed allocation do not weaken membership in the union. Model catch proportions provide the split; allocation confidence remains Medium. Assumed composition is fixed across 1950–2019 and landings, total catch and discards; source model is a 2000s northern shelf representation.</x:v>
      </x:c>
      <x:c r="K448" s="1"/>
    </x:row>
    <x:row r="449" ht="102" customHeight="1">
      <x:c r="A449" s="2" t="s">
        <x:v>243</x:v>
      </x:c>
      <x:c r="B449" s="2" t="s">
        <x:v>37</x:v>
      </x:c>
      <x:c r="C449" s="2">
        <x:v>31</x:v>
      </x:c>
      <x:c r="D449" s="8">
        <x:v>8.2100000000000006E-2</x:v>
      </x:c>
      <x:c r="E449" s="8">
        <x:v>7.9000000000000001E-2</x:v>
      </x:c>
      <x:c r="F449" s="8" t="s">
        <x:v>27</x:v>
      </x:c>
      <x:c r="G449" s="8">
        <x:f t="shared" si="16"/>
        <x:v>0.82050000000000001</x:v>
      </x:c>
      <x:c r="H449" s="9">
        <x:f t="shared" si="18"/>
        <x:v>0.10006093845216332</x:v>
      </x:c>
      <x:c r="I449" s="2" t="s">
        <x:v>36</x:v>
      </x:c>
      <x:c r="J449" s="2" t="str">
        <x:v>Verified swordfish size above 30 cm and epi/mesopelagic ecology satisfy the source's explicit residual large-pelagic definition, with no competing dedicated pool. Groups 30+31 cover both stages; geographic transfer and their assumed allocation do not weaken membership in the union. Model catch proportions provide the split; allocation confidence remains Medium. Assumed composition is fixed across 1950–2019 and landings, total catch and discards; source model is a 2000s northern shelf representation.</x:v>
      </x:c>
      <x:c r="K449" s="1"/>
    </x:row>
    <x:row r="450" ht="14.5">
      <x:c r="A450" s="1"/>
      <x:c r="B450" s="1"/>
      <x:c r="C450" s="1"/>
      <x:c r="D450" s="1"/>
      <x:c r="E450" s="1"/>
      <x:c r="F450" s="1"/>
      <x:c r="G450" s="1"/>
      <x:c r="H450" s="1"/>
      <x:c r="I450" s="1"/>
      <x:c r="J450" s="1"/>
      <x:c r="K450" s="1"/>
    </x:row>
    <x:row r="451" ht="14.5">
      <x:c r="A451" s="1"/>
      <x:c r="B451" s="1"/>
      <x:c r="C451" s="1"/>
      <x:c r="D451" s="1"/>
      <x:c r="E451" s="1"/>
      <x:c r="F451" s="1"/>
      <x:c r="G451" s="1"/>
      <x:c r="H451" s="1"/>
      <x:c r="I451" s="1"/>
      <x:c r="J451" s="1"/>
      <x:c r="K451" s="1"/>
    </x:row>
    <x:row r="452" ht="14.5">
      <x:c r="A452" s="1"/>
      <x:c r="B452" s="1"/>
      <x:c r="C452" s="1"/>
      <x:c r="D452" s="1"/>
      <x:c r="E452" s="1"/>
      <x:c r="F452" s="1"/>
      <x:c r="G452" s="1"/>
      <x:c r="H452" s="1"/>
      <x:c r="I452" s="1"/>
      <x:c r="J452" s="1"/>
      <x:c r="K452" s="1"/>
    </x:row>
    <x:row r="453" ht="14.5">
      <x:c r="A453" s="1"/>
      <x:c r="B453" s="1"/>
      <x:c r="C453" s="1"/>
      <x:c r="D453" s="1"/>
      <x:c r="E453" s="1"/>
      <x:c r="F453" s="1"/>
      <x:c r="G453" s="1"/>
      <x:c r="H453" s="1"/>
      <x:c r="I453" s="1"/>
      <x:c r="J453" s="1"/>
      <x:c r="K453" s="1"/>
    </x:row>
    <x:row r="454" ht="14.5">
      <x:c r="A454" s="1"/>
      <x:c r="B454" s="1"/>
      <x:c r="C454" s="1"/>
      <x:c r="D454" s="1"/>
      <x:c r="E454" s="1"/>
      <x:c r="F454" s="1"/>
      <x:c r="G454" s="1"/>
      <x:c r="H454" s="1"/>
      <x:c r="I454" s="1"/>
      <x:c r="J454" s="1"/>
      <x:c r="K454" s="1"/>
    </x:row>
    <x:row r="455" ht="14.5">
      <x:c r="A455" s="1"/>
      <x:c r="B455" s="1"/>
      <x:c r="C455" s="1"/>
      <x:c r="D455" s="1"/>
      <x:c r="E455" s="1"/>
      <x:c r="F455" s="1"/>
      <x:c r="G455" s="1"/>
      <x:c r="H455" s="1"/>
      <x:c r="I455" s="1"/>
      <x:c r="J455" s="1"/>
      <x:c r="K455" s="1"/>
    </x:row>
    <x:row r="456" ht="14.5">
      <x:c r="A456" s="1"/>
      <x:c r="B456" s="1"/>
      <x:c r="C456" s="1"/>
      <x:c r="D456" s="1"/>
      <x:c r="E456" s="1"/>
      <x:c r="F456" s="1"/>
      <x:c r="G456" s="1"/>
      <x:c r="H456" s="1"/>
      <x:c r="I456" s="1"/>
      <x:c r="J456" s="1"/>
      <x:c r="K456" s="1"/>
    </x:row>
    <x:row r="457" ht="14.5">
      <x:c r="A457" s="1"/>
      <x:c r="B457" s="1"/>
      <x:c r="C457" s="1"/>
      <x:c r="D457" s="1"/>
      <x:c r="E457" s="1"/>
      <x:c r="F457" s="1"/>
      <x:c r="G457" s="1"/>
      <x:c r="H457" s="1"/>
      <x:c r="I457" s="1"/>
      <x:c r="J457" s="1"/>
      <x:c r="K457" s="1"/>
    </x:row>
    <x:row r="458" ht="14.5">
      <x:c r="A458" s="1"/>
      <x:c r="B458" s="1"/>
      <x:c r="C458" s="1"/>
      <x:c r="D458" s="1"/>
      <x:c r="E458" s="1"/>
      <x:c r="F458" s="1"/>
      <x:c r="G458" s="1"/>
      <x:c r="H458" s="1"/>
      <x:c r="I458" s="1"/>
      <x:c r="J458" s="1"/>
      <x:c r="K458" s="1"/>
    </x:row>
    <x:row r="459" ht="14.5">
      <x:c r="A459" s="1"/>
      <x:c r="B459" s="1"/>
      <x:c r="C459" s="1"/>
      <x:c r="D459" s="1"/>
      <x:c r="E459" s="1"/>
      <x:c r="F459" s="1"/>
      <x:c r="G459" s="1"/>
      <x:c r="H459" s="1"/>
      <x:c r="I459" s="1"/>
      <x:c r="J459" s="1"/>
      <x:c r="K459" s="1"/>
    </x:row>
    <x:row r="460" ht="14.5">
      <x:c r="A460" s="1"/>
      <x:c r="B460" s="1"/>
      <x:c r="C460" s="1"/>
      <x:c r="D460" s="1"/>
      <x:c r="E460" s="1"/>
      <x:c r="F460" s="1"/>
      <x:c r="G460" s="1"/>
      <x:c r="H460" s="1"/>
      <x:c r="I460" s="1"/>
      <x:c r="J460" s="1"/>
      <x:c r="K460" s="1"/>
    </x:row>
    <x:row r="461" ht="14.5">
      <x:c r="A461" s="1"/>
      <x:c r="B461" s="1"/>
      <x:c r="C461" s="1"/>
      <x:c r="D461" s="1"/>
      <x:c r="E461" s="1"/>
      <x:c r="F461" s="1"/>
      <x:c r="G461" s="1"/>
      <x:c r="H461" s="1"/>
      <x:c r="I461" s="1"/>
      <x:c r="J461" s="1"/>
      <x:c r="K461" s="1"/>
    </x:row>
    <x:row r="462" ht="14.5">
      <x:c r="A462" s="1"/>
      <x:c r="B462" s="1"/>
      <x:c r="C462" s="1"/>
      <x:c r="D462" s="1"/>
      <x:c r="E462" s="1"/>
      <x:c r="F462" s="1"/>
      <x:c r="G462" s="1"/>
      <x:c r="H462" s="1"/>
      <x:c r="I462" s="1"/>
      <x:c r="J462" s="1"/>
      <x:c r="K462" s="1"/>
    </x:row>
    <x:row r="463" ht="14.5">
      <x:c r="A463" s="1"/>
      <x:c r="B463" s="1"/>
      <x:c r="C463" s="1"/>
      <x:c r="D463" s="1"/>
      <x:c r="E463" s="1"/>
      <x:c r="F463" s="1"/>
      <x:c r="G463" s="1"/>
      <x:c r="H463" s="1"/>
      <x:c r="I463" s="1"/>
      <x:c r="J463" s="1"/>
      <x:c r="K463" s="1"/>
    </x:row>
    <x:row r="464" ht="14.5">
      <x:c r="A464" s="1"/>
      <x:c r="B464" s="1"/>
      <x:c r="C464" s="1"/>
      <x:c r="D464" s="1"/>
      <x:c r="E464" s="1"/>
      <x:c r="F464" s="1"/>
      <x:c r="G464" s="1"/>
      <x:c r="H464" s="1"/>
      <x:c r="I464" s="1"/>
      <x:c r="J464" s="1"/>
      <x:c r="K464" s="1"/>
    </x:row>
    <x:row r="465" ht="14.5">
      <x:c r="A465" s="1"/>
      <x:c r="B465" s="1"/>
      <x:c r="C465" s="1"/>
      <x:c r="D465" s="1"/>
      <x:c r="E465" s="1"/>
      <x:c r="F465" s="1"/>
      <x:c r="G465" s="1"/>
      <x:c r="H465" s="1"/>
      <x:c r="I465" s="1"/>
      <x:c r="J465" s="1"/>
      <x:c r="K465" s="1"/>
    </x:row>
    <x:row r="466" ht="14.5">
      <x:c r="A466" s="1"/>
      <x:c r="B466" s="1"/>
      <x:c r="C466" s="1"/>
      <x:c r="D466" s="1"/>
      <x:c r="E466" s="1"/>
      <x:c r="F466" s="1"/>
      <x:c r="G466" s="1"/>
      <x:c r="H466" s="1"/>
      <x:c r="I466" s="1"/>
      <x:c r="J466" s="1"/>
      <x:c r="K466" s="1"/>
    </x:row>
    <x:row r="467" ht="14.5">
      <x:c r="A467" s="1"/>
      <x:c r="B467" s="1"/>
      <x:c r="C467" s="1"/>
      <x:c r="D467" s="1"/>
      <x:c r="E467" s="1"/>
      <x:c r="F467" s="1"/>
      <x:c r="G467" s="1"/>
      <x:c r="H467" s="1"/>
      <x:c r="I467" s="1"/>
      <x:c r="J467" s="1"/>
      <x:c r="K467" s="1"/>
    </x:row>
    <x:row r="468" ht="14.5">
      <x:c r="A468" s="1"/>
      <x:c r="B468" s="1"/>
      <x:c r="C468" s="1"/>
      <x:c r="D468" s="1"/>
      <x:c r="E468" s="1"/>
      <x:c r="F468" s="1"/>
      <x:c r="G468" s="1"/>
      <x:c r="H468" s="1"/>
      <x:c r="I468" s="1"/>
      <x:c r="J468" s="1"/>
      <x:c r="K468" s="1"/>
    </x:row>
    <x:row r="469" ht="14.5">
      <x:c r="A469" s="1"/>
      <x:c r="B469" s="1"/>
      <x:c r="C469" s="1"/>
      <x:c r="D469" s="1"/>
      <x:c r="E469" s="1"/>
      <x:c r="F469" s="1"/>
      <x:c r="G469" s="1"/>
      <x:c r="H469" s="1"/>
      <x:c r="I469" s="1"/>
      <x:c r="J469" s="1"/>
      <x:c r="K469" s="1"/>
    </x:row>
    <x:row r="470" ht="14.5">
      <x:c r="A470" s="1"/>
      <x:c r="B470" s="1"/>
      <x:c r="C470" s="1"/>
      <x:c r="D470" s="1"/>
      <x:c r="E470" s="1"/>
      <x:c r="F470" s="1"/>
      <x:c r="G470" s="1"/>
      <x:c r="H470" s="1"/>
      <x:c r="I470" s="1"/>
      <x:c r="J470" s="1"/>
      <x:c r="K470" s="1"/>
    </x:row>
    <x:row r="471" ht="14.5">
      <x:c r="A471" s="1"/>
      <x:c r="B471" s="1"/>
      <x:c r="C471" s="1"/>
      <x:c r="D471" s="1"/>
      <x:c r="E471" s="1"/>
      <x:c r="F471" s="1"/>
      <x:c r="G471" s="1"/>
      <x:c r="H471" s="1"/>
      <x:c r="I471" s="1"/>
      <x:c r="J471" s="1"/>
      <x:c r="K471" s="1"/>
    </x:row>
    <x:row r="472" ht="14.5">
      <x:c r="A472" s="1"/>
      <x:c r="B472" s="1"/>
      <x:c r="C472" s="1"/>
      <x:c r="D472" s="1"/>
      <x:c r="E472" s="1"/>
      <x:c r="F472" s="1"/>
      <x:c r="G472" s="1"/>
      <x:c r="H472" s="1"/>
      <x:c r="I472" s="1"/>
      <x:c r="J472" s="1"/>
      <x:c r="K472" s="1"/>
    </x:row>
    <x:row r="473" ht="14.5">
      <x:c r="A473" s="1"/>
      <x:c r="B473" s="1"/>
      <x:c r="C473" s="1"/>
      <x:c r="D473" s="1"/>
      <x:c r="E473" s="1"/>
      <x:c r="F473" s="1"/>
      <x:c r="G473" s="1"/>
      <x:c r="H473" s="1"/>
      <x:c r="I473" s="1"/>
      <x:c r="J473" s="1"/>
      <x:c r="K473" s="1"/>
    </x:row>
    <x:row r="474" ht="14.5">
      <x:c r="A474" s="1"/>
      <x:c r="B474" s="1"/>
      <x:c r="C474" s="1"/>
      <x:c r="D474" s="1"/>
      <x:c r="E474" s="1"/>
      <x:c r="F474" s="1"/>
      <x:c r="G474" s="1"/>
      <x:c r="H474" s="1"/>
      <x:c r="I474" s="1"/>
      <x:c r="J474" s="1"/>
      <x:c r="K474" s="1"/>
    </x:row>
    <x:row r="475" ht="14.5">
      <x:c r="A475" s="1"/>
      <x:c r="B475" s="1"/>
      <x:c r="C475" s="1"/>
      <x:c r="D475" s="1"/>
      <x:c r="E475" s="1"/>
      <x:c r="F475" s="1"/>
      <x:c r="G475" s="1"/>
      <x:c r="H475" s="1"/>
      <x:c r="I475" s="1"/>
      <x:c r="J475" s="1"/>
      <x:c r="K475" s="1"/>
    </x:row>
    <x:row r="476" ht="14.5">
      <x:c r="A476" s="1"/>
      <x:c r="B476" s="1"/>
      <x:c r="C476" s="1"/>
      <x:c r="D476" s="1"/>
      <x:c r="E476" s="1"/>
      <x:c r="F476" s="1"/>
      <x:c r="G476" s="1"/>
      <x:c r="H476" s="1"/>
      <x:c r="I476" s="1"/>
      <x:c r="J476" s="1"/>
      <x:c r="K476" s="1"/>
    </x:row>
    <x:row r="477" ht="14.5">
      <x:c r="A477" s="1"/>
      <x:c r="B477" s="1"/>
      <x:c r="C477" s="1"/>
      <x:c r="D477" s="1"/>
      <x:c r="E477" s="1"/>
      <x:c r="F477" s="1"/>
      <x:c r="G477" s="1"/>
      <x:c r="H477" s="1"/>
      <x:c r="I477" s="1"/>
      <x:c r="J477" s="1"/>
      <x:c r="K477" s="1"/>
    </x:row>
    <x:row r="478" ht="14.5">
      <x:c r="A478" s="1"/>
      <x:c r="B478" s="1"/>
      <x:c r="C478" s="1"/>
      <x:c r="D478" s="1"/>
      <x:c r="E478" s="1"/>
      <x:c r="F478" s="1"/>
      <x:c r="G478" s="1"/>
      <x:c r="H478" s="1"/>
      <x:c r="I478" s="1"/>
      <x:c r="J478" s="1"/>
      <x:c r="K478" s="1"/>
    </x:row>
    <x:row r="479" ht="14.5">
      <x:c r="A479" s="1"/>
      <x:c r="B479" s="1"/>
      <x:c r="C479" s="1"/>
      <x:c r="D479" s="1"/>
      <x:c r="E479" s="1"/>
      <x:c r="F479" s="1"/>
      <x:c r="G479" s="1"/>
      <x:c r="H479" s="1"/>
      <x:c r="I479" s="1"/>
      <x:c r="J479" s="1"/>
      <x:c r="K479" s="1"/>
    </x:row>
    <x:row r="480" ht="14.5">
      <x:c r="A480" s="1"/>
      <x:c r="B480" s="1"/>
      <x:c r="C480" s="1"/>
      <x:c r="D480" s="1"/>
      <x:c r="E480" s="1"/>
      <x:c r="F480" s="1"/>
      <x:c r="G480" s="1"/>
      <x:c r="H480" s="1"/>
      <x:c r="I480" s="1"/>
      <x:c r="J480" s="1"/>
      <x:c r="K480" s="1"/>
    </x:row>
    <x:row r="481" ht="14.5">
      <x:c r="A481" s="1"/>
      <x:c r="B481" s="1"/>
      <x:c r="C481" s="1"/>
      <x:c r="D481" s="1"/>
      <x:c r="E481" s="1"/>
      <x:c r="F481" s="1"/>
      <x:c r="G481" s="1"/>
      <x:c r="H481" s="1"/>
      <x:c r="I481" s="1"/>
      <x:c r="J481" s="1"/>
      <x:c r="K481" s="1"/>
    </x:row>
    <x:row r="482" ht="14.5">
      <x:c r="A482" s="1"/>
      <x:c r="B482" s="1"/>
      <x:c r="C482" s="1"/>
      <x:c r="D482" s="1"/>
      <x:c r="E482" s="1"/>
      <x:c r="F482" s="1"/>
      <x:c r="G482" s="1"/>
      <x:c r="H482" s="1"/>
      <x:c r="I482" s="1"/>
      <x:c r="J482" s="1"/>
      <x:c r="K482" s="1"/>
    </x:row>
    <x:row r="483" ht="14.5">
      <x:c r="A483" s="1"/>
      <x:c r="B483" s="1"/>
      <x:c r="C483" s="1"/>
      <x:c r="D483" s="1"/>
      <x:c r="E483" s="1"/>
      <x:c r="F483" s="1"/>
      <x:c r="G483" s="1"/>
      <x:c r="H483" s="1"/>
      <x:c r="I483" s="1"/>
      <x:c r="J483" s="1"/>
      <x:c r="K483" s="1"/>
    </x:row>
    <x:row r="484" ht="14.5">
      <x:c r="A484" s="1"/>
      <x:c r="B484" s="1"/>
      <x:c r="C484" s="1"/>
      <x:c r="D484" s="1"/>
      <x:c r="E484" s="1"/>
      <x:c r="F484" s="1"/>
      <x:c r="G484" s="1"/>
      <x:c r="H484" s="1"/>
      <x:c r="I484" s="1"/>
      <x:c r="J484" s="1"/>
      <x:c r="K484" s="1"/>
    </x:row>
    <x:row r="485" ht="14.5">
      <x:c r="A485" s="1"/>
      <x:c r="B485" s="1"/>
      <x:c r="C485" s="1"/>
      <x:c r="D485" s="1"/>
      <x:c r="E485" s="1"/>
      <x:c r="F485" s="1"/>
      <x:c r="G485" s="1"/>
      <x:c r="H485" s="1"/>
      <x:c r="I485" s="1"/>
      <x:c r="J485" s="1"/>
      <x:c r="K485" s="1"/>
    </x:row>
    <x:row r="486" ht="14.5">
      <x:c r="A486" s="1"/>
      <x:c r="B486" s="1"/>
      <x:c r="C486" s="1"/>
      <x:c r="D486" s="1"/>
      <x:c r="E486" s="1"/>
      <x:c r="F486" s="1"/>
      <x:c r="G486" s="1"/>
      <x:c r="H486" s="1"/>
      <x:c r="I486" s="1"/>
      <x:c r="J486" s="1"/>
      <x:c r="K486" s="1"/>
    </x:row>
    <x:row r="487" ht="14.5">
      <x:c r="A487" s="1"/>
      <x:c r="B487" s="1"/>
      <x:c r="C487" s="1"/>
      <x:c r="D487" s="1"/>
      <x:c r="E487" s="1"/>
      <x:c r="F487" s="1"/>
      <x:c r="G487" s="1"/>
      <x:c r="H487" s="1"/>
      <x:c r="I487" s="1"/>
      <x:c r="J487" s="1"/>
      <x:c r="K487" s="1"/>
    </x:row>
    <x:row r="488" ht="14.5">
      <x:c r="A488" s="1"/>
      <x:c r="B488" s="1"/>
      <x:c r="C488" s="1"/>
      <x:c r="D488" s="1"/>
      <x:c r="E488" s="1"/>
      <x:c r="F488" s="1"/>
      <x:c r="G488" s="1"/>
      <x:c r="H488" s="1"/>
      <x:c r="I488" s="1"/>
      <x:c r="J488" s="1"/>
      <x:c r="K488" s="1"/>
    </x:row>
    <x:row r="489" ht="14.5">
      <x:c r="A489" s="1"/>
      <x:c r="B489" s="1"/>
      <x:c r="C489" s="1"/>
      <x:c r="D489" s="1"/>
      <x:c r="E489" s="1"/>
      <x:c r="F489" s="1"/>
      <x:c r="G489" s="1"/>
      <x:c r="H489" s="1"/>
      <x:c r="I489" s="1"/>
      <x:c r="J489" s="1"/>
      <x:c r="K489" s="1"/>
    </x:row>
    <x:row r="490" ht="14.5">
      <x:c r="A490" s="1"/>
      <x:c r="B490" s="1"/>
      <x:c r="C490" s="1"/>
      <x:c r="D490" s="1"/>
      <x:c r="E490" s="1"/>
      <x:c r="F490" s="1"/>
      <x:c r="G490" s="1"/>
      <x:c r="H490" s="1"/>
      <x:c r="I490" s="1"/>
      <x:c r="J490" s="1"/>
      <x:c r="K490" s="1"/>
    </x:row>
    <x:row r="491" ht="14.5">
      <x:c r="A491" s="1"/>
      <x:c r="B491" s="1"/>
      <x:c r="C491" s="1"/>
      <x:c r="D491" s="1"/>
      <x:c r="E491" s="1"/>
      <x:c r="F491" s="1"/>
      <x:c r="G491" s="1"/>
      <x:c r="H491" s="1"/>
      <x:c r="I491" s="1"/>
      <x:c r="J491" s="1"/>
      <x:c r="K491" s="1"/>
    </x:row>
    <x:row r="492" ht="14.5">
      <x:c r="A492" s="1"/>
      <x:c r="B492" s="1"/>
      <x:c r="C492" s="1"/>
      <x:c r="D492" s="1"/>
      <x:c r="E492" s="1"/>
      <x:c r="F492" s="1"/>
      <x:c r="G492" s="1"/>
      <x:c r="H492" s="1"/>
      <x:c r="I492" s="1"/>
      <x:c r="J492" s="1"/>
      <x:c r="K492" s="1"/>
    </x:row>
    <x:row r="493" ht="14.5">
      <x:c r="A493" s="1"/>
      <x:c r="B493" s="1"/>
      <x:c r="C493" s="1"/>
      <x:c r="D493" s="1"/>
      <x:c r="E493" s="1"/>
      <x:c r="F493" s="1"/>
      <x:c r="G493" s="1"/>
      <x:c r="H493" s="1"/>
      <x:c r="I493" s="1"/>
      <x:c r="J493" s="1"/>
      <x:c r="K493" s="1"/>
    </x:row>
    <x:row r="494" ht="14.5">
      <x:c r="A494" s="1"/>
      <x:c r="B494" s="1"/>
      <x:c r="C494" s="1"/>
      <x:c r="D494" s="1"/>
      <x:c r="E494" s="1"/>
      <x:c r="F494" s="1"/>
      <x:c r="G494" s="1"/>
      <x:c r="H494" s="1"/>
      <x:c r="I494" s="1"/>
      <x:c r="J494" s="1"/>
      <x:c r="K494" s="1"/>
    </x:row>
    <x:row r="495" ht="14.5">
      <x:c r="A495" s="1"/>
      <x:c r="B495" s="1"/>
      <x:c r="C495" s="1"/>
      <x:c r="D495" s="1"/>
      <x:c r="E495" s="1"/>
      <x:c r="F495" s="1"/>
      <x:c r="G495" s="1"/>
      <x:c r="H495" s="1"/>
      <x:c r="I495" s="1"/>
      <x:c r="J495" s="1"/>
      <x:c r="K495" s="1"/>
    </x:row>
    <x:row r="496" ht="14.5">
      <x:c r="A496" s="1"/>
      <x:c r="B496" s="1"/>
      <x:c r="C496" s="1"/>
      <x:c r="D496" s="1"/>
      <x:c r="E496" s="1"/>
      <x:c r="F496" s="1"/>
      <x:c r="G496" s="1"/>
      <x:c r="H496" s="1"/>
      <x:c r="I496" s="1"/>
      <x:c r="J496" s="1"/>
      <x:c r="K496" s="1"/>
    </x:row>
    <x:row r="497" ht="14.5">
      <x:c r="A497" s="1"/>
      <x:c r="B497" s="1"/>
      <x:c r="C497" s="1"/>
      <x:c r="D497" s="1"/>
      <x:c r="E497" s="1"/>
      <x:c r="F497" s="1"/>
      <x:c r="G497" s="1"/>
      <x:c r="H497" s="1"/>
      <x:c r="I497" s="1"/>
      <x:c r="J497" s="1"/>
      <x:c r="K497" s="1"/>
    </x:row>
    <x:row r="498" ht="14.5">
      <x:c r="A498" s="1"/>
      <x:c r="B498" s="1"/>
      <x:c r="C498" s="1"/>
      <x:c r="D498" s="1"/>
      <x:c r="E498" s="1"/>
      <x:c r="F498" s="1"/>
      <x:c r="G498" s="1"/>
      <x:c r="H498" s="1"/>
      <x:c r="I498" s="1"/>
      <x:c r="J498" s="1"/>
      <x:c r="K498" s="1"/>
    </x:row>
    <x:row r="499" ht="14.5">
      <x:c r="A499" s="1"/>
      <x:c r="B499" s="1"/>
      <x:c r="C499" s="1"/>
      <x:c r="D499" s="1"/>
      <x:c r="E499" s="1"/>
      <x:c r="F499" s="1"/>
      <x:c r="G499" s="1"/>
      <x:c r="H499" s="1"/>
      <x:c r="I499" s="1"/>
      <x:c r="J499" s="1"/>
      <x:c r="K499" s="1"/>
    </x:row>
    <x:row r="500" ht="14.5">
      <x:c r="A500" s="1"/>
      <x:c r="B500" s="1"/>
      <x:c r="C500" s="1"/>
      <x:c r="D500" s="1"/>
      <x:c r="E500" s="1"/>
      <x:c r="F500" s="1"/>
      <x:c r="G500" s="1"/>
      <x:c r="H500" s="1"/>
      <x:c r="I500" s="1"/>
      <x:c r="J500" s="1"/>
      <x:c r="K500" s="1"/>
    </x:row>
    <x:row r="501" ht="14.5">
      <x:c r="A501" s="1"/>
      <x:c r="B501" s="1"/>
      <x:c r="C501" s="1"/>
      <x:c r="D501" s="1"/>
      <x:c r="E501" s="1"/>
      <x:c r="F501" s="1"/>
      <x:c r="G501" s="1"/>
      <x:c r="H501" s="1"/>
      <x:c r="I501" s="1"/>
      <x:c r="J501" s="1"/>
      <x:c r="K501" s="1"/>
    </x:row>
    <x:row r="502" ht="14.5">
      <x:c r="A502" s="1"/>
      <x:c r="B502" s="1"/>
      <x:c r="C502" s="1"/>
      <x:c r="D502" s="1"/>
      <x:c r="E502" s="1"/>
      <x:c r="F502" s="1"/>
      <x:c r="G502" s="1"/>
      <x:c r="H502" s="1"/>
      <x:c r="I502" s="1"/>
      <x:c r="J502" s="1"/>
      <x:c r="K502" s="1"/>
    </x:row>
    <x:row r="503" ht="14.5">
      <x:c r="A503" s="1"/>
      <x:c r="B503" s="1"/>
      <x:c r="C503" s="1"/>
      <x:c r="D503" s="1"/>
      <x:c r="E503" s="1"/>
      <x:c r="F503" s="1"/>
      <x:c r="G503" s="1"/>
      <x:c r="H503" s="1"/>
      <x:c r="I503" s="1"/>
      <x:c r="J503" s="1"/>
      <x:c r="K503" s="1"/>
    </x:row>
    <x:row r="504" ht="14.5">
      <x:c r="A504" s="1"/>
      <x:c r="B504" s="1"/>
      <x:c r="C504" s="1"/>
      <x:c r="D504" s="1"/>
      <x:c r="E504" s="1"/>
      <x:c r="F504" s="1"/>
      <x:c r="G504" s="1"/>
      <x:c r="H504" s="1"/>
      <x:c r="I504" s="1"/>
      <x:c r="J504" s="1"/>
      <x:c r="K504" s="1"/>
    </x:row>
    <x:row r="505" ht="14.5">
      <x:c r="A505" s="1"/>
      <x:c r="B505" s="1"/>
      <x:c r="C505" s="1"/>
      <x:c r="D505" s="1"/>
      <x:c r="E505" s="1"/>
      <x:c r="F505" s="1"/>
      <x:c r="G505" s="1"/>
      <x:c r="H505" s="1"/>
      <x:c r="I505" s="1"/>
      <x:c r="J505" s="1"/>
      <x:c r="K505" s="1"/>
    </x:row>
    <x:row r="506" ht="14.5">
      <x:c r="A506" s="1"/>
      <x:c r="B506" s="1"/>
      <x:c r="C506" s="1"/>
      <x:c r="D506" s="1"/>
      <x:c r="E506" s="1"/>
      <x:c r="F506" s="1"/>
      <x:c r="G506" s="1"/>
      <x:c r="H506" s="1"/>
      <x:c r="I506" s="1"/>
      <x:c r="J506" s="1"/>
      <x:c r="K506" s="1"/>
    </x:row>
    <x:row r="507" ht="14.5">
      <x:c r="A507" s="1"/>
      <x:c r="B507" s="1"/>
      <x:c r="C507" s="1"/>
      <x:c r="D507" s="1"/>
      <x:c r="E507" s="1"/>
      <x:c r="F507" s="1"/>
      <x:c r="G507" s="1"/>
      <x:c r="H507" s="1"/>
      <x:c r="I507" s="1"/>
      <x:c r="J507" s="1"/>
      <x:c r="K507" s="1"/>
    </x:row>
    <x:row r="508" ht="14.5">
      <x:c r="A508" s="1"/>
      <x:c r="B508" s="1"/>
      <x:c r="C508" s="1"/>
      <x:c r="D508" s="1"/>
      <x:c r="E508" s="1"/>
      <x:c r="F508" s="1"/>
      <x:c r="G508" s="1"/>
      <x:c r="H508" s="1"/>
      <x:c r="I508" s="1"/>
      <x:c r="J508" s="1"/>
      <x:c r="K508" s="1"/>
    </x:row>
    <x:row r="509" ht="14.5">
      <x:c r="A509" s="1"/>
      <x:c r="B509" s="1"/>
      <x:c r="C509" s="1"/>
      <x:c r="D509" s="1"/>
      <x:c r="E509" s="1"/>
      <x:c r="F509" s="1"/>
      <x:c r="G509" s="1"/>
      <x:c r="H509" s="1"/>
      <x:c r="I509" s="1"/>
      <x:c r="J509" s="1"/>
      <x:c r="K509" s="1"/>
    </x:row>
    <x:row r="510" ht="14.5">
      <x:c r="A510" s="1"/>
      <x:c r="B510" s="1"/>
      <x:c r="C510" s="1"/>
      <x:c r="D510" s="1"/>
      <x:c r="E510" s="1"/>
      <x:c r="F510" s="1"/>
      <x:c r="G510" s="1"/>
      <x:c r="H510" s="1"/>
      <x:c r="I510" s="1"/>
      <x:c r="J510" s="1"/>
      <x:c r="K510" s="1"/>
    </x:row>
    <x:row r="511" ht="14.5">
      <x:c r="A511" s="1"/>
      <x:c r="B511" s="1"/>
      <x:c r="C511" s="1"/>
      <x:c r="D511" s="1"/>
      <x:c r="E511" s="1"/>
      <x:c r="F511" s="1"/>
      <x:c r="G511" s="1"/>
      <x:c r="H511" s="1"/>
      <x:c r="I511" s="1"/>
      <x:c r="J511" s="1"/>
      <x:c r="K511" s="1"/>
    </x:row>
    <x:row r="512" ht="14.5">
      <x:c r="A512" s="1"/>
      <x:c r="B512" s="1"/>
      <x:c r="C512" s="1"/>
      <x:c r="D512" s="1"/>
      <x:c r="E512" s="1"/>
      <x:c r="F512" s="1"/>
      <x:c r="G512" s="1"/>
      <x:c r="H512" s="1"/>
      <x:c r="I512" s="1"/>
      <x:c r="J512" s="1"/>
      <x:c r="K512" s="1"/>
    </x:row>
    <x:row r="513" ht="14.5">
      <x:c r="A513" s="1"/>
      <x:c r="B513" s="1"/>
      <x:c r="C513" s="1"/>
      <x:c r="D513" s="1"/>
      <x:c r="E513" s="1"/>
      <x:c r="F513" s="1"/>
      <x:c r="G513" s="1"/>
      <x:c r="H513" s="1"/>
      <x:c r="I513" s="1"/>
      <x:c r="J513" s="1"/>
      <x:c r="K513" s="1"/>
    </x:row>
    <x:row r="514" ht="14.5">
      <x:c r="A514" s="1"/>
      <x:c r="B514" s="1"/>
      <x:c r="C514" s="1"/>
      <x:c r="D514" s="1"/>
      <x:c r="E514" s="1"/>
      <x:c r="F514" s="1"/>
      <x:c r="G514" s="1"/>
      <x:c r="H514" s="1"/>
      <x:c r="I514" s="1"/>
      <x:c r="J514" s="1"/>
      <x:c r="K514" s="1"/>
    </x:row>
    <x:row r="515" ht="14.5">
      <x:c r="A515" s="1"/>
      <x:c r="B515" s="1"/>
      <x:c r="C515" s="1"/>
      <x:c r="D515" s="1"/>
      <x:c r="E515" s="1"/>
      <x:c r="F515" s="1"/>
      <x:c r="G515" s="1"/>
      <x:c r="H515" s="1"/>
      <x:c r="I515" s="1"/>
      <x:c r="J515" s="1"/>
      <x:c r="K515" s="1"/>
    </x:row>
    <x:row r="516" ht="14.5">
      <x:c r="A516" s="1"/>
      <x:c r="B516" s="1"/>
      <x:c r="C516" s="1"/>
      <x:c r="D516" s="1"/>
      <x:c r="E516" s="1"/>
      <x:c r="F516" s="1"/>
      <x:c r="G516" s="1"/>
      <x:c r="H516" s="1"/>
      <x:c r="I516" s="1"/>
      <x:c r="J516" s="1"/>
      <x:c r="K516" s="1"/>
    </x:row>
    <x:row r="517" ht="14.5">
      <x:c r="A517" s="1"/>
      <x:c r="B517" s="1"/>
      <x:c r="C517" s="1"/>
      <x:c r="D517" s="1"/>
      <x:c r="E517" s="1"/>
      <x:c r="F517" s="1"/>
      <x:c r="G517" s="1"/>
      <x:c r="H517" s="1"/>
      <x:c r="I517" s="1"/>
      <x:c r="J517" s="1"/>
      <x:c r="K517" s="1"/>
    </x:row>
    <x:row r="518" ht="14.5">
      <x:c r="A518" s="1"/>
      <x:c r="B518" s="1"/>
      <x:c r="C518" s="1"/>
      <x:c r="D518" s="1"/>
      <x:c r="E518" s="1"/>
      <x:c r="F518" s="1"/>
      <x:c r="G518" s="1"/>
      <x:c r="H518" s="1"/>
      <x:c r="I518" s="1"/>
      <x:c r="J518" s="1"/>
      <x:c r="K518" s="1"/>
    </x:row>
    <x:row r="519" ht="14.5">
      <x:c r="A519" s="1"/>
      <x:c r="B519" s="1"/>
      <x:c r="C519" s="1"/>
      <x:c r="D519" s="1"/>
      <x:c r="E519" s="1"/>
      <x:c r="F519" s="1"/>
      <x:c r="G519" s="1"/>
      <x:c r="H519" s="1"/>
      <x:c r="I519" s="1"/>
      <x:c r="J519" s="1"/>
      <x:c r="K519" s="1"/>
    </x:row>
    <x:row r="520" ht="14.5">
      <x:c r="A520" s="1"/>
      <x:c r="B520" s="1"/>
      <x:c r="C520" s="1"/>
      <x:c r="D520" s="1"/>
      <x:c r="E520" s="1"/>
      <x:c r="F520" s="1"/>
      <x:c r="G520" s="1"/>
      <x:c r="H520" s="1"/>
      <x:c r="I520" s="1"/>
      <x:c r="J520" s="1"/>
      <x:c r="K520" s="1"/>
    </x:row>
    <x:row r="521" ht="14.5">
      <x:c r="A521" s="1"/>
      <x:c r="B521" s="1"/>
      <x:c r="C521" s="1"/>
      <x:c r="D521" s="1"/>
      <x:c r="E521" s="1"/>
      <x:c r="F521" s="1"/>
      <x:c r="G521" s="1"/>
      <x:c r="H521" s="1"/>
      <x:c r="I521" s="1"/>
      <x:c r="J521" s="1"/>
      <x:c r="K521" s="1"/>
    </x:row>
    <x:row r="522" ht="14.5">
      <x:c r="A522" s="1"/>
      <x:c r="B522" s="1"/>
      <x:c r="C522" s="1"/>
      <x:c r="D522" s="1"/>
      <x:c r="E522" s="1"/>
      <x:c r="F522" s="1"/>
      <x:c r="G522" s="1"/>
      <x:c r="H522" s="1"/>
      <x:c r="I522" s="1"/>
      <x:c r="J522" s="1"/>
      <x:c r="K522" s="1"/>
    </x:row>
    <x:row r="523" ht="14.5">
      <x:c r="A523" s="1"/>
      <x:c r="B523" s="1"/>
      <x:c r="C523" s="1"/>
      <x:c r="D523" s="1"/>
      <x:c r="E523" s="1"/>
      <x:c r="F523" s="1"/>
      <x:c r="G523" s="1"/>
      <x:c r="H523" s="1"/>
      <x:c r="I523" s="1"/>
      <x:c r="J523" s="1"/>
      <x:c r="K523" s="1"/>
    </x:row>
    <x:row r="524" ht="14.5">
      <x:c r="A524" s="1"/>
      <x:c r="B524" s="1"/>
      <x:c r="C524" s="1"/>
      <x:c r="D524" s="1"/>
      <x:c r="E524" s="1"/>
      <x:c r="F524" s="1"/>
      <x:c r="G524" s="1"/>
      <x:c r="H524" s="1"/>
      <x:c r="I524" s="1"/>
      <x:c r="J524" s="1"/>
      <x:c r="K524" s="1"/>
    </x:row>
    <x:row r="525" ht="14.5">
      <x:c r="A525" s="1"/>
      <x:c r="B525" s="1"/>
      <x:c r="C525" s="1"/>
      <x:c r="D525" s="1"/>
      <x:c r="E525" s="1"/>
      <x:c r="F525" s="1"/>
      <x:c r="G525" s="1"/>
      <x:c r="H525" s="1"/>
      <x:c r="I525" s="1"/>
      <x:c r="J525" s="1"/>
      <x:c r="K525" s="1"/>
    </x:row>
    <x:row r="526" ht="14.5">
      <x:c r="A526" s="1"/>
      <x:c r="B526" s="1"/>
      <x:c r="C526" s="1"/>
      <x:c r="D526" s="1"/>
      <x:c r="E526" s="1"/>
      <x:c r="F526" s="1"/>
      <x:c r="G526" s="1"/>
      <x:c r="H526" s="1"/>
      <x:c r="I526" s="1"/>
      <x:c r="J526" s="1"/>
      <x:c r="K526" s="1"/>
    </x:row>
    <x:row r="527" ht="14.5">
      <x:c r="A527" s="1"/>
      <x:c r="B527" s="1"/>
      <x:c r="C527" s="1"/>
      <x:c r="D527" s="1"/>
      <x:c r="E527" s="1"/>
      <x:c r="F527" s="1"/>
      <x:c r="G527" s="1"/>
      <x:c r="H527" s="1"/>
      <x:c r="I527" s="1"/>
      <x:c r="J527" s="1"/>
      <x:c r="K527" s="1"/>
    </x:row>
    <x:row r="528" ht="14.5">
      <x:c r="A528" s="1"/>
      <x:c r="B528" s="1"/>
      <x:c r="C528" s="1"/>
      <x:c r="D528" s="1"/>
      <x:c r="E528" s="1"/>
      <x:c r="F528" s="1"/>
      <x:c r="G528" s="1"/>
      <x:c r="H528" s="1"/>
      <x:c r="I528" s="1"/>
      <x:c r="J528" s="1"/>
      <x:c r="K528" s="1"/>
    </x:row>
    <x:row r="529" ht="14.5">
      <x:c r="A529" s="1"/>
      <x:c r="B529" s="1"/>
      <x:c r="C529" s="1"/>
      <x:c r="D529" s="1"/>
      <x:c r="E529" s="1"/>
      <x:c r="F529" s="1"/>
      <x:c r="G529" s="1"/>
      <x:c r="H529" s="1"/>
      <x:c r="I529" s="1"/>
      <x:c r="J529" s="1"/>
      <x:c r="K529" s="1"/>
    </x:row>
    <x:row r="530" ht="14.5">
      <x:c r="A530" s="1"/>
      <x:c r="B530" s="1"/>
      <x:c r="C530" s="1"/>
      <x:c r="D530" s="1"/>
      <x:c r="E530" s="1"/>
      <x:c r="F530" s="1"/>
      <x:c r="G530" s="1"/>
      <x:c r="H530" s="1"/>
      <x:c r="I530" s="1"/>
      <x:c r="J530" s="1"/>
      <x:c r="K530" s="1"/>
    </x:row>
    <x:row r="531" ht="14.5">
      <x:c r="A531" s="1"/>
      <x:c r="B531" s="1"/>
      <x:c r="C531" s="1"/>
      <x:c r="D531" s="1"/>
      <x:c r="E531" s="1"/>
      <x:c r="F531" s="1"/>
      <x:c r="G531" s="1"/>
      <x:c r="H531" s="1"/>
      <x:c r="I531" s="1"/>
      <x:c r="J531" s="1"/>
      <x:c r="K531" s="1"/>
    </x:row>
    <x:row r="532" ht="14.5">
      <x:c r="A532" s="1"/>
      <x:c r="B532" s="1"/>
      <x:c r="C532" s="1"/>
      <x:c r="D532" s="1"/>
      <x:c r="E532" s="1"/>
      <x:c r="F532" s="1"/>
      <x:c r="G532" s="1"/>
      <x:c r="H532" s="1"/>
      <x:c r="I532" s="1"/>
      <x:c r="J532" s="1"/>
      <x:c r="K532" s="1"/>
    </x:row>
    <x:row r="533" ht="14.5">
      <x:c r="A533" s="1"/>
      <x:c r="B533" s="1"/>
      <x:c r="C533" s="1"/>
      <x:c r="D533" s="1"/>
      <x:c r="E533" s="1"/>
      <x:c r="F533" s="1"/>
      <x:c r="G533" s="1"/>
      <x:c r="H533" s="1"/>
      <x:c r="I533" s="1"/>
      <x:c r="J533" s="1"/>
      <x:c r="K533" s="1"/>
    </x:row>
    <x:row r="534" ht="14.5">
      <x:c r="A534" s="1"/>
      <x:c r="B534" s="1"/>
      <x:c r="C534" s="1"/>
      <x:c r="D534" s="1"/>
      <x:c r="E534" s="1"/>
      <x:c r="F534" s="1"/>
      <x:c r="G534" s="1"/>
      <x:c r="H534" s="1"/>
      <x:c r="I534" s="1"/>
      <x:c r="J534" s="1"/>
      <x:c r="K534" s="1"/>
    </x:row>
    <x:row r="535" ht="14.5">
      <x:c r="A535" s="1"/>
      <x:c r="B535" s="1"/>
      <x:c r="C535" s="1"/>
      <x:c r="D535" s="1"/>
      <x:c r="E535" s="1"/>
      <x:c r="F535" s="1"/>
      <x:c r="G535" s="1"/>
      <x:c r="H535" s="1"/>
      <x:c r="I535" s="1"/>
      <x:c r="J535" s="1"/>
      <x:c r="K535" s="1"/>
    </x:row>
    <x:row r="536" ht="14.5">
      <x:c r="A536" s="1"/>
      <x:c r="B536" s="1"/>
      <x:c r="C536" s="1"/>
      <x:c r="D536" s="1"/>
      <x:c r="E536" s="1"/>
      <x:c r="F536" s="1"/>
      <x:c r="G536" s="1"/>
      <x:c r="H536" s="1"/>
      <x:c r="I536" s="1"/>
      <x:c r="J536" s="1"/>
      <x:c r="K536" s="1"/>
    </x:row>
    <x:row r="537" ht="14.5">
      <x:c r="A537" s="1"/>
      <x:c r="B537" s="1"/>
      <x:c r="C537" s="1"/>
      <x:c r="D537" s="1"/>
      <x:c r="E537" s="1"/>
      <x:c r="F537" s="1"/>
      <x:c r="G537" s="1"/>
      <x:c r="H537" s="1"/>
      <x:c r="I537" s="1"/>
      <x:c r="J537" s="1"/>
      <x:c r="K537" s="1"/>
    </x:row>
    <x:row r="538" ht="14.5">
      <x:c r="A538" s="1"/>
      <x:c r="B538" s="1"/>
      <x:c r="C538" s="1"/>
      <x:c r="D538" s="1"/>
      <x:c r="E538" s="1"/>
      <x:c r="F538" s="1"/>
      <x:c r="G538" s="1"/>
      <x:c r="H538" s="1"/>
      <x:c r="I538" s="1"/>
      <x:c r="J538" s="1"/>
      <x:c r="K538" s="1"/>
    </x:row>
    <x:row r="539" ht="14.5">
      <x:c r="A539" s="1"/>
      <x:c r="B539" s="1"/>
      <x:c r="C539" s="1"/>
      <x:c r="D539" s="1"/>
      <x:c r="E539" s="1"/>
      <x:c r="F539" s="1"/>
      <x:c r="G539" s="1"/>
      <x:c r="H539" s="1"/>
      <x:c r="I539" s="1"/>
      <x:c r="J539" s="1"/>
      <x:c r="K539" s="1"/>
    </x:row>
    <x:row r="540" ht="14.5">
      <x:c r="A540" s="1"/>
      <x:c r="B540" s="1"/>
      <x:c r="C540" s="1"/>
      <x:c r="D540" s="1"/>
      <x:c r="E540" s="1"/>
      <x:c r="F540" s="1"/>
      <x:c r="G540" s="1"/>
      <x:c r="H540" s="1"/>
      <x:c r="I540" s="1"/>
      <x:c r="J540" s="1"/>
      <x:c r="K540" s="1"/>
    </x:row>
    <x:row r="541" ht="14.5">
      <x:c r="A541" s="1"/>
      <x:c r="B541" s="1"/>
      <x:c r="C541" s="1"/>
      <x:c r="D541" s="1"/>
      <x:c r="E541" s="1"/>
      <x:c r="F541" s="1"/>
      <x:c r="G541" s="1"/>
      <x:c r="H541" s="1"/>
      <x:c r="I541" s="1"/>
      <x:c r="J541" s="1"/>
      <x:c r="K541" s="1"/>
    </x:row>
    <x:row r="542" ht="14.5">
      <x:c r="A542" s="1"/>
      <x:c r="B542" s="1"/>
      <x:c r="C542" s="1"/>
      <x:c r="D542" s="1"/>
      <x:c r="E542" s="1"/>
      <x:c r="F542" s="1"/>
      <x:c r="G542" s="1"/>
      <x:c r="H542" s="1"/>
      <x:c r="I542" s="1"/>
      <x:c r="J542" s="1"/>
      <x:c r="K542" s="1"/>
    </x:row>
    <x:row r="543" ht="14.5">
      <x:c r="A543" s="1"/>
      <x:c r="B543" s="1"/>
      <x:c r="C543" s="1"/>
      <x:c r="D543" s="1"/>
      <x:c r="E543" s="1"/>
      <x:c r="F543" s="1"/>
      <x:c r="G543" s="1"/>
      <x:c r="H543" s="1"/>
      <x:c r="I543" s="1"/>
      <x:c r="J543" s="1"/>
      <x:c r="K543" s="1"/>
    </x:row>
    <x:row r="544" ht="14.5">
      <x:c r="A544" s="1"/>
      <x:c r="B544" s="1"/>
      <x:c r="C544" s="1"/>
      <x:c r="D544" s="1"/>
      <x:c r="E544" s="1"/>
      <x:c r="F544" s="1"/>
      <x:c r="G544" s="1"/>
      <x:c r="H544" s="1"/>
      <x:c r="I544" s="1"/>
      <x:c r="J544" s="1"/>
      <x:c r="K544" s="1"/>
    </x:row>
    <x:row r="545" ht="14.5">
      <x:c r="A545" s="1"/>
      <x:c r="B545" s="1"/>
      <x:c r="C545" s="1"/>
      <x:c r="D545" s="1"/>
      <x:c r="E545" s="1"/>
      <x:c r="F545" s="1"/>
      <x:c r="G545" s="1"/>
      <x:c r="H545" s="1"/>
      <x:c r="I545" s="1"/>
      <x:c r="J545" s="1"/>
      <x:c r="K545" s="1"/>
    </x:row>
    <x:row r="546" ht="14.5">
      <x:c r="A546" s="1"/>
      <x:c r="B546" s="1"/>
      <x:c r="C546" s="1"/>
      <x:c r="D546" s="1"/>
      <x:c r="E546" s="1"/>
      <x:c r="F546" s="1"/>
      <x:c r="G546" s="1"/>
      <x:c r="H546" s="1"/>
      <x:c r="I546" s="1"/>
      <x:c r="J546" s="1"/>
      <x:c r="K546" s="1"/>
    </x:row>
    <x:row r="547" ht="14.5">
      <x:c r="A547" s="1"/>
      <x:c r="B547" s="1"/>
      <x:c r="C547" s="1"/>
      <x:c r="D547" s="1"/>
      <x:c r="E547" s="1"/>
      <x:c r="F547" s="1"/>
      <x:c r="G547" s="1"/>
      <x:c r="H547" s="1"/>
      <x:c r="I547" s="1"/>
      <x:c r="J547" s="1"/>
      <x:c r="K547" s="1"/>
    </x:row>
    <x:row r="548" ht="14.5">
      <x:c r="A548" s="1"/>
      <x:c r="B548" s="1"/>
      <x:c r="C548" s="1"/>
      <x:c r="D548" s="1"/>
      <x:c r="E548" s="1"/>
      <x:c r="F548" s="1"/>
      <x:c r="G548" s="1"/>
      <x:c r="H548" s="1"/>
      <x:c r="I548" s="1"/>
      <x:c r="J548" s="1"/>
      <x:c r="K548" s="1"/>
    </x:row>
    <x:row r="549" ht="14.5">
      <x:c r="A549" s="1"/>
      <x:c r="B549" s="1"/>
      <x:c r="C549" s="1"/>
      <x:c r="D549" s="1"/>
      <x:c r="E549" s="1"/>
      <x:c r="F549" s="1"/>
      <x:c r="G549" s="1"/>
      <x:c r="H549" s="1"/>
      <x:c r="I549" s="1"/>
      <x:c r="J549" s="1"/>
      <x:c r="K549" s="1"/>
    </x:row>
    <x:row r="550" ht="14.5">
      <x:c r="A550" s="1"/>
      <x:c r="B550" s="1"/>
      <x:c r="C550" s="1"/>
      <x:c r="D550" s="1"/>
      <x:c r="E550" s="1"/>
      <x:c r="F550" s="1"/>
      <x:c r="G550" s="1"/>
      <x:c r="H550" s="1"/>
      <x:c r="I550" s="1"/>
      <x:c r="J550" s="1"/>
      <x:c r="K550" s="1"/>
    </x:row>
    <x:row r="551" ht="14.5">
      <x:c r="A551" s="1"/>
      <x:c r="B551" s="1"/>
      <x:c r="C551" s="1"/>
      <x:c r="D551" s="1"/>
      <x:c r="E551" s="1"/>
      <x:c r="F551" s="1"/>
      <x:c r="G551" s="1"/>
      <x:c r="H551" s="1"/>
      <x:c r="I551" s="1"/>
      <x:c r="J551" s="1"/>
      <x:c r="K551" s="1"/>
    </x:row>
    <x:row r="552" ht="14.5">
      <x:c r="A552" s="1"/>
      <x:c r="B552" s="1"/>
      <x:c r="C552" s="1"/>
      <x:c r="D552" s="1"/>
      <x:c r="E552" s="1"/>
      <x:c r="F552" s="1"/>
      <x:c r="G552" s="1"/>
      <x:c r="H552" s="1"/>
      <x:c r="I552" s="1"/>
      <x:c r="J552" s="1"/>
      <x:c r="K552" s="1"/>
    </x:row>
    <x:row r="553" ht="14.5">
      <x:c r="A553" s="1"/>
      <x:c r="B553" s="1"/>
      <x:c r="C553" s="1"/>
      <x:c r="D553" s="1"/>
      <x:c r="E553" s="1"/>
      <x:c r="F553" s="1"/>
      <x:c r="G553" s="1"/>
      <x:c r="H553" s="1"/>
      <x:c r="I553" s="1"/>
      <x:c r="J553" s="1"/>
      <x:c r="K553" s="1"/>
    </x:row>
    <x:row r="554" ht="14.5">
      <x:c r="A554" s="1"/>
      <x:c r="B554" s="1"/>
      <x:c r="C554" s="1"/>
      <x:c r="D554" s="1"/>
      <x:c r="E554" s="1"/>
      <x:c r="F554" s="1"/>
      <x:c r="G554" s="1"/>
      <x:c r="H554" s="1"/>
      <x:c r="I554" s="1"/>
      <x:c r="J554" s="1"/>
      <x:c r="K554" s="1"/>
    </x:row>
    <x:row r="555" ht="14.5">
      <x:c r="A555" s="1"/>
      <x:c r="B555" s="1"/>
      <x:c r="C555" s="1"/>
      <x:c r="D555" s="1"/>
      <x:c r="E555" s="1"/>
      <x:c r="F555" s="1"/>
      <x:c r="G555" s="1"/>
      <x:c r="H555" s="1"/>
      <x:c r="I555" s="1"/>
      <x:c r="J555" s="1"/>
      <x:c r="K555" s="1"/>
    </x:row>
    <x:row r="556" ht="14.5">
      <x:c r="A556" s="1"/>
      <x:c r="B556" s="1"/>
      <x:c r="C556" s="1"/>
      <x:c r="D556" s="1"/>
      <x:c r="E556" s="1"/>
      <x:c r="F556" s="1"/>
      <x:c r="G556" s="1"/>
      <x:c r="H556" s="1"/>
      <x:c r="I556" s="1"/>
      <x:c r="J556" s="1"/>
      <x:c r="K556" s="1"/>
    </x:row>
    <x:row r="557" ht="14.5">
      <x:c r="A557" s="1"/>
      <x:c r="B557" s="1"/>
      <x:c r="C557" s="1"/>
      <x:c r="D557" s="1"/>
      <x:c r="E557" s="1"/>
      <x:c r="F557" s="1"/>
      <x:c r="G557" s="1"/>
      <x:c r="H557" s="1"/>
      <x:c r="I557" s="1"/>
      <x:c r="J557" s="1"/>
      <x:c r="K557" s="1"/>
    </x:row>
    <x:row r="558" ht="14.5">
      <x:c r="A558" s="1"/>
      <x:c r="B558" s="1"/>
      <x:c r="C558" s="1"/>
      <x:c r="D558" s="1"/>
      <x:c r="E558" s="1"/>
      <x:c r="F558" s="1"/>
      <x:c r="G558" s="1"/>
      <x:c r="H558" s="1"/>
      <x:c r="I558" s="1"/>
      <x:c r="J558" s="1"/>
      <x:c r="K558" s="1"/>
    </x:row>
    <x:row r="559" ht="14.5">
      <x:c r="A559" s="1"/>
      <x:c r="B559" s="1"/>
      <x:c r="C559" s="1"/>
      <x:c r="D559" s="1"/>
      <x:c r="E559" s="1"/>
      <x:c r="F559" s="1"/>
      <x:c r="G559" s="1"/>
      <x:c r="H559" s="1"/>
      <x:c r="I559" s="1"/>
      <x:c r="J559" s="1"/>
      <x:c r="K559" s="1"/>
    </x:row>
    <x:row r="560" ht="14.5">
      <x:c r="A560" s="1"/>
      <x:c r="B560" s="1"/>
      <x:c r="C560" s="1"/>
      <x:c r="D560" s="1"/>
      <x:c r="E560" s="1"/>
      <x:c r="F560" s="1"/>
      <x:c r="G560" s="1"/>
      <x:c r="H560" s="1"/>
      <x:c r="I560" s="1"/>
      <x:c r="J560" s="1"/>
      <x:c r="K560" s="1"/>
    </x:row>
    <x:row r="561" ht="14.5">
      <x:c r="A561" s="1"/>
      <x:c r="B561" s="1"/>
      <x:c r="C561" s="1"/>
      <x:c r="D561" s="1"/>
      <x:c r="E561" s="1"/>
      <x:c r="F561" s="1"/>
      <x:c r="G561" s="1"/>
      <x:c r="H561" s="1"/>
      <x:c r="I561" s="1"/>
      <x:c r="J561" s="1"/>
      <x:c r="K561" s="1"/>
    </x:row>
    <x:row r="562" ht="14.5">
      <x:c r="A562" s="1"/>
      <x:c r="B562" s="1"/>
      <x:c r="C562" s="1"/>
      <x:c r="D562" s="1"/>
      <x:c r="E562" s="1"/>
      <x:c r="F562" s="1"/>
      <x:c r="G562" s="1"/>
      <x:c r="H562" s="1"/>
      <x:c r="I562" s="1"/>
      <x:c r="J562" s="1"/>
      <x:c r="K562" s="1"/>
    </x:row>
    <x:row r="563" ht="14.5">
      <x:c r="A563" s="1"/>
      <x:c r="B563" s="1"/>
      <x:c r="C563" s="1"/>
      <x:c r="D563" s="1"/>
      <x:c r="E563" s="1"/>
      <x:c r="F563" s="1"/>
      <x:c r="G563" s="1"/>
      <x:c r="H563" s="1"/>
      <x:c r="I563" s="1"/>
      <x:c r="J563" s="1"/>
      <x:c r="K563" s="1"/>
    </x:row>
    <x:row r="564" ht="14.5">
      <x:c r="A564" s="1"/>
      <x:c r="B564" s="1"/>
      <x:c r="C564" s="1"/>
      <x:c r="D564" s="1"/>
      <x:c r="E564" s="1"/>
      <x:c r="F564" s="1"/>
      <x:c r="G564" s="1"/>
      <x:c r="H564" s="1"/>
      <x:c r="I564" s="1"/>
      <x:c r="J564" s="1"/>
      <x:c r="K564" s="1"/>
    </x:row>
    <x:row r="565" ht="14.5">
      <x:c r="A565" s="1"/>
      <x:c r="B565" s="1"/>
      <x:c r="C565" s="1"/>
      <x:c r="D565" s="1"/>
      <x:c r="E565" s="1"/>
      <x:c r="F565" s="1"/>
      <x:c r="G565" s="1"/>
      <x:c r="H565" s="1"/>
      <x:c r="I565" s="1"/>
      <x:c r="J565" s="1"/>
      <x:c r="K565" s="1"/>
    </x:row>
    <x:row r="566" ht="14.5">
      <x:c r="A566" s="1"/>
      <x:c r="B566" s="1"/>
      <x:c r="C566" s="1"/>
      <x:c r="D566" s="1"/>
      <x:c r="E566" s="1"/>
      <x:c r="F566" s="1"/>
      <x:c r="G566" s="1"/>
      <x:c r="H566" s="1"/>
      <x:c r="I566" s="1"/>
      <x:c r="J566" s="1"/>
      <x:c r="K566" s="1"/>
    </x:row>
    <x:row r="567" ht="14.5">
      <x:c r="A567" s="1"/>
      <x:c r="B567" s="1"/>
      <x:c r="C567" s="1"/>
      <x:c r="D567" s="1"/>
      <x:c r="E567" s="1"/>
      <x:c r="F567" s="1"/>
      <x:c r="G567" s="1"/>
      <x:c r="H567" s="1"/>
      <x:c r="I567" s="1"/>
      <x:c r="J567" s="1"/>
      <x:c r="K567" s="1"/>
    </x:row>
    <x:row r="568" ht="14.5">
      <x:c r="A568" s="1"/>
      <x:c r="B568" s="1"/>
      <x:c r="C568" s="1"/>
      <x:c r="D568" s="1"/>
      <x:c r="E568" s="1"/>
      <x:c r="F568" s="1"/>
      <x:c r="G568" s="1"/>
      <x:c r="H568" s="1"/>
      <x:c r="I568" s="1"/>
      <x:c r="J568" s="1"/>
      <x:c r="K568" s="1"/>
    </x:row>
    <x:row r="569" ht="14.5">
      <x:c r="A569" s="1"/>
      <x:c r="B569" s="1"/>
      <x:c r="C569" s="1"/>
      <x:c r="D569" s="1"/>
      <x:c r="E569" s="1"/>
      <x:c r="F569" s="1"/>
      <x:c r="G569" s="1"/>
      <x:c r="H569" s="1"/>
      <x:c r="I569" s="1"/>
      <x:c r="J569" s="1"/>
      <x:c r="K569" s="1"/>
    </x:row>
    <x:row r="570" ht="14.5">
      <x:c r="A570" s="1"/>
      <x:c r="B570" s="1"/>
      <x:c r="C570" s="1"/>
      <x:c r="D570" s="1"/>
      <x:c r="E570" s="1"/>
      <x:c r="F570" s="1"/>
      <x:c r="G570" s="1"/>
      <x:c r="H570" s="1"/>
      <x:c r="I570" s="1"/>
      <x:c r="J570" s="1"/>
      <x:c r="K570" s="1"/>
    </x:row>
    <x:row r="571" ht="14.5">
      <x:c r="A571" s="1"/>
      <x:c r="B571" s="1"/>
      <x:c r="C571" s="1"/>
      <x:c r="D571" s="1"/>
      <x:c r="E571" s="1"/>
      <x:c r="F571" s="1"/>
      <x:c r="G571" s="1"/>
      <x:c r="H571" s="1"/>
      <x:c r="I571" s="1"/>
      <x:c r="J571" s="1"/>
      <x:c r="K571" s="1"/>
    </x:row>
    <x:row r="572" ht="14.5">
      <x:c r="A572" s="1"/>
      <x:c r="B572" s="1"/>
      <x:c r="C572" s="1"/>
      <x:c r="D572" s="1"/>
      <x:c r="E572" s="1"/>
      <x:c r="F572" s="1"/>
      <x:c r="G572" s="1"/>
      <x:c r="H572" s="1"/>
      <x:c r="I572" s="1"/>
      <x:c r="J572" s="1"/>
      <x:c r="K572" s="1"/>
    </x:row>
    <x:row r="573" ht="14.5">
      <x:c r="A573" s="1"/>
      <x:c r="B573" s="1"/>
      <x:c r="C573" s="1"/>
      <x:c r="D573" s="1"/>
      <x:c r="E573" s="1"/>
      <x:c r="F573" s="1"/>
      <x:c r="G573" s="1"/>
      <x:c r="H573" s="1"/>
      <x:c r="I573" s="1"/>
      <x:c r="J573" s="1"/>
      <x:c r="K573" s="1"/>
    </x:row>
    <x:row r="574" ht="14.5">
      <x:c r="A574" s="1"/>
      <x:c r="B574" s="1"/>
      <x:c r="C574" s="1"/>
      <x:c r="D574" s="1"/>
      <x:c r="E574" s="1"/>
      <x:c r="F574" s="1"/>
      <x:c r="G574" s="1"/>
      <x:c r="H574" s="1"/>
      <x:c r="I574" s="1"/>
      <x:c r="J574" s="1"/>
      <x:c r="K574" s="1"/>
    </x:row>
    <x:row r="575" ht="14.5">
      <x:c r="A575" s="1"/>
      <x:c r="B575" s="1"/>
      <x:c r="C575" s="1"/>
      <x:c r="D575" s="1"/>
      <x:c r="E575" s="1"/>
      <x:c r="F575" s="1"/>
      <x:c r="G575" s="1"/>
      <x:c r="H575" s="1"/>
      <x:c r="I575" s="1"/>
      <x:c r="J575" s="1"/>
      <x:c r="K575" s="1"/>
    </x:row>
    <x:row r="576" ht="14.5">
      <x:c r="A576" s="1"/>
      <x:c r="B576" s="1"/>
      <x:c r="C576" s="1"/>
      <x:c r="D576" s="1"/>
      <x:c r="E576" s="1"/>
      <x:c r="F576" s="1"/>
      <x:c r="G576" s="1"/>
      <x:c r="H576" s="1"/>
      <x:c r="I576" s="1"/>
      <x:c r="J576" s="1"/>
      <x:c r="K576" s="1"/>
    </x:row>
    <x:row r="577" ht="14.5">
      <x:c r="A577" s="1"/>
      <x:c r="B577" s="1"/>
      <x:c r="C577" s="1"/>
      <x:c r="D577" s="1"/>
      <x:c r="E577" s="1"/>
      <x:c r="F577" s="1"/>
      <x:c r="G577" s="1"/>
      <x:c r="H577" s="1"/>
      <x:c r="I577" s="1"/>
      <x:c r="J577" s="1"/>
      <x:c r="K577" s="1"/>
    </x:row>
    <x:row r="578" ht="14.5">
      <x:c r="A578" s="1"/>
      <x:c r="B578" s="1"/>
      <x:c r="C578" s="1"/>
      <x:c r="D578" s="1"/>
      <x:c r="E578" s="1"/>
      <x:c r="F578" s="1"/>
      <x:c r="G578" s="1"/>
      <x:c r="H578" s="1"/>
      <x:c r="I578" s="1"/>
      <x:c r="J578" s="1"/>
      <x:c r="K578" s="1"/>
    </x:row>
    <x:row r="579" ht="14.5">
      <x:c r="A579" s="1"/>
      <x:c r="B579" s="1"/>
      <x:c r="C579" s="1"/>
      <x:c r="D579" s="1"/>
      <x:c r="E579" s="1"/>
      <x:c r="F579" s="1"/>
      <x:c r="G579" s="1"/>
      <x:c r="H579" s="1"/>
      <x:c r="I579" s="1"/>
      <x:c r="J579" s="1"/>
      <x:c r="K579" s="1"/>
    </x:row>
    <x:row r="580" ht="14.5">
      <x:c r="A580" s="1"/>
      <x:c r="B580" s="1"/>
      <x:c r="C580" s="1"/>
      <x:c r="D580" s="1"/>
      <x:c r="E580" s="1"/>
      <x:c r="F580" s="1"/>
      <x:c r="G580" s="1"/>
      <x:c r="H580" s="1"/>
      <x:c r="I580" s="1"/>
      <x:c r="J580" s="1"/>
      <x:c r="K580" s="1"/>
    </x:row>
    <x:row r="581" ht="14.5">
      <x:c r="A581" s="1"/>
      <x:c r="B581" s="1"/>
      <x:c r="C581" s="1"/>
      <x:c r="D581" s="1"/>
      <x:c r="E581" s="1"/>
      <x:c r="F581" s="1"/>
      <x:c r="G581" s="1"/>
      <x:c r="H581" s="1"/>
      <x:c r="I581" s="1"/>
      <x:c r="J581" s="1"/>
      <x:c r="K581" s="1"/>
    </x:row>
    <x:row r="582" ht="14.5">
      <x:c r="A582" s="1"/>
      <x:c r="B582" s="1"/>
      <x:c r="C582" s="1"/>
      <x:c r="D582" s="1"/>
      <x:c r="E582" s="1"/>
      <x:c r="F582" s="1"/>
      <x:c r="G582" s="1"/>
      <x:c r="H582" s="1"/>
      <x:c r="I582" s="1"/>
      <x:c r="J582" s="1"/>
      <x:c r="K582" s="1"/>
    </x:row>
    <x:row r="583" ht="14.5">
      <x:c r="A583" s="1"/>
      <x:c r="B583" s="1"/>
      <x:c r="C583" s="1"/>
      <x:c r="D583" s="1"/>
      <x:c r="E583" s="1"/>
      <x:c r="F583" s="1"/>
      <x:c r="G583" s="1"/>
      <x:c r="H583" s="1"/>
      <x:c r="I583" s="1"/>
      <x:c r="J583" s="1"/>
      <x:c r="K583" s="1"/>
    </x:row>
    <x:row r="584" ht="14.5">
      <x:c r="A584" s="1"/>
      <x:c r="B584" s="1"/>
      <x:c r="C584" s="1"/>
      <x:c r="D584" s="1"/>
      <x:c r="E584" s="1"/>
      <x:c r="F584" s="1"/>
      <x:c r="G584" s="1"/>
      <x:c r="H584" s="1"/>
      <x:c r="I584" s="1"/>
      <x:c r="J584" s="1"/>
      <x:c r="K584" s="1"/>
    </x:row>
    <x:row r="585" ht="14.5">
      <x:c r="A585" s="1"/>
      <x:c r="B585" s="1"/>
      <x:c r="C585" s="1"/>
      <x:c r="D585" s="1"/>
      <x:c r="E585" s="1"/>
      <x:c r="F585" s="1"/>
      <x:c r="G585" s="1"/>
      <x:c r="H585" s="1"/>
      <x:c r="I585" s="1"/>
      <x:c r="J585" s="1"/>
      <x:c r="K585" s="1"/>
    </x:row>
    <x:row r="586" ht="14.5">
      <x:c r="A586" s="1"/>
      <x:c r="B586" s="1"/>
      <x:c r="C586" s="1"/>
      <x:c r="D586" s="1"/>
      <x:c r="E586" s="1"/>
      <x:c r="F586" s="1"/>
      <x:c r="G586" s="1"/>
      <x:c r="H586" s="1"/>
      <x:c r="I586" s="1"/>
      <x:c r="J586" s="1"/>
      <x:c r="K586" s="1"/>
    </x:row>
    <x:row r="587" ht="14.5">
      <x:c r="A587" s="1"/>
      <x:c r="B587" s="1"/>
      <x:c r="C587" s="1"/>
      <x:c r="D587" s="1"/>
      <x:c r="E587" s="1"/>
      <x:c r="F587" s="1"/>
      <x:c r="G587" s="1"/>
      <x:c r="H587" s="1"/>
      <x:c r="I587" s="1"/>
      <x:c r="J587" s="1"/>
      <x:c r="K587" s="1"/>
    </x:row>
    <x:row r="588" ht="14.5">
      <x:c r="A588" s="1"/>
      <x:c r="B588" s="1"/>
      <x:c r="C588" s="1"/>
      <x:c r="D588" s="1"/>
      <x:c r="E588" s="1"/>
      <x:c r="F588" s="1"/>
      <x:c r="G588" s="1"/>
      <x:c r="H588" s="1"/>
      <x:c r="I588" s="1"/>
      <x:c r="J588" s="1"/>
      <x:c r="K588" s="1"/>
    </x:row>
    <x:row r="589" ht="14.5">
      <x:c r="A589" s="1"/>
      <x:c r="B589" s="1"/>
      <x:c r="C589" s="1"/>
      <x:c r="D589" s="1"/>
      <x:c r="E589" s="1"/>
      <x:c r="F589" s="1"/>
      <x:c r="G589" s="1"/>
      <x:c r="H589" s="1"/>
      <x:c r="I589" s="1"/>
      <x:c r="J589" s="1"/>
      <x:c r="K589" s="1"/>
    </x:row>
    <x:row r="590" ht="14.5">
      <x:c r="A590" s="1"/>
      <x:c r="B590" s="1"/>
      <x:c r="C590" s="1"/>
      <x:c r="D590" s="1"/>
      <x:c r="E590" s="1"/>
      <x:c r="F590" s="1"/>
      <x:c r="G590" s="1"/>
      <x:c r="H590" s="1"/>
      <x:c r="I590" s="1"/>
      <x:c r="J590" s="1"/>
      <x:c r="K590" s="1"/>
    </x:row>
    <x:row r="591" ht="14.5">
      <x:c r="A591" s="1"/>
      <x:c r="B591" s="1"/>
      <x:c r="C591" s="1"/>
      <x:c r="D591" s="1"/>
      <x:c r="E591" s="1"/>
      <x:c r="F591" s="1"/>
      <x:c r="G591" s="1"/>
      <x:c r="H591" s="1"/>
      <x:c r="I591" s="1"/>
      <x:c r="J591" s="1"/>
      <x:c r="K591" s="1"/>
    </x:row>
    <x:row r="592" ht="14.5">
      <x:c r="A592" s="1"/>
      <x:c r="B592" s="1"/>
      <x:c r="C592" s="1"/>
      <x:c r="D592" s="1"/>
      <x:c r="E592" s="1"/>
      <x:c r="F592" s="1"/>
      <x:c r="G592" s="1"/>
      <x:c r="H592" s="1"/>
      <x:c r="I592" s="1"/>
      <x:c r="J592" s="1"/>
      <x:c r="K592" s="1"/>
    </x:row>
    <x:row r="593" ht="14.5">
      <x:c r="A593" s="1"/>
      <x:c r="B593" s="1"/>
      <x:c r="C593" s="1"/>
      <x:c r="D593" s="1"/>
      <x:c r="E593" s="1"/>
      <x:c r="F593" s="1"/>
      <x:c r="G593" s="1"/>
      <x:c r="H593" s="1"/>
      <x:c r="I593" s="1"/>
      <x:c r="J593" s="1"/>
      <x:c r="K593" s="1"/>
    </x:row>
    <x:row r="594" ht="14.5">
      <x:c r="A594" s="1"/>
      <x:c r="B594" s="1"/>
      <x:c r="C594" s="1"/>
      <x:c r="D594" s="1"/>
      <x:c r="E594" s="1"/>
      <x:c r="F594" s="1"/>
      <x:c r="G594" s="1"/>
      <x:c r="H594" s="1"/>
      <x:c r="I594" s="1"/>
      <x:c r="J594" s="1"/>
      <x:c r="K594" s="1"/>
    </x:row>
    <x:row r="595" ht="14.5">
      <x:c r="A595" s="1"/>
      <x:c r="B595" s="1"/>
      <x:c r="C595" s="1"/>
      <x:c r="D595" s="1"/>
      <x:c r="E595" s="1"/>
      <x:c r="F595" s="1"/>
      <x:c r="G595" s="1"/>
      <x:c r="H595" s="1"/>
      <x:c r="I595" s="1"/>
      <x:c r="J595" s="1"/>
      <x:c r="K595" s="1"/>
    </x:row>
    <x:row r="596" ht="14.5">
      <x:c r="A596" s="1"/>
      <x:c r="B596" s="1"/>
      <x:c r="C596" s="1"/>
      <x:c r="D596" s="1"/>
      <x:c r="E596" s="1"/>
      <x:c r="F596" s="1"/>
      <x:c r="G596" s="1"/>
      <x:c r="H596" s="1"/>
      <x:c r="I596" s="1"/>
      <x:c r="J596" s="1"/>
      <x:c r="K596" s="1"/>
    </x:row>
    <x:row r="597" ht="14.5">
      <x:c r="A597" s="1"/>
      <x:c r="B597" s="1"/>
      <x:c r="C597" s="1"/>
      <x:c r="D597" s="1"/>
      <x:c r="E597" s="1"/>
      <x:c r="F597" s="1"/>
      <x:c r="G597" s="1"/>
      <x:c r="H597" s="1"/>
      <x:c r="I597" s="1"/>
      <x:c r="J597" s="1"/>
      <x:c r="K597" s="1"/>
    </x:row>
    <x:row r="598" ht="14.5">
      <x:c r="A598" s="1"/>
      <x:c r="B598" s="1"/>
      <x:c r="C598" s="1"/>
      <x:c r="D598" s="1"/>
      <x:c r="E598" s="1"/>
      <x:c r="F598" s="1"/>
      <x:c r="G598" s="1"/>
      <x:c r="H598" s="1"/>
      <x:c r="I598" s="1"/>
      <x:c r="J598" s="1"/>
      <x:c r="K598" s="1"/>
    </x:row>
    <x:row r="599" ht="14.5">
      <x:c r="A599" s="1"/>
      <x:c r="B599" s="1"/>
      <x:c r="C599" s="1"/>
      <x:c r="D599" s="1"/>
      <x:c r="E599" s="1"/>
      <x:c r="F599" s="1"/>
      <x:c r="G599" s="1"/>
      <x:c r="H599" s="1"/>
      <x:c r="I599" s="1"/>
      <x:c r="J599" s="1"/>
      <x:c r="K599" s="1"/>
    </x:row>
    <x:row r="600" ht="14.5">
      <x:c r="A600" s="1"/>
      <x:c r="B600" s="1"/>
      <x:c r="C600" s="1"/>
      <x:c r="D600" s="1"/>
      <x:c r="E600" s="1"/>
      <x:c r="F600" s="1"/>
      <x:c r="G600" s="1"/>
      <x:c r="H600" s="1"/>
      <x:c r="I600" s="1"/>
      <x:c r="J600" s="1"/>
      <x:c r="K600" s="1"/>
    </x:row>
  </x:sheetData>
  <x:mergeCells>
    <x:mergeCell ref="A1:J1"/>
    <x:mergeCell ref="A2:J2"/>
    <x:mergeCell ref="A3:J3"/>
    <x:mergeCell ref="A4:J4"/>
  </x:mergeCells>
  <x:pageMargins left="0.7" right="0.7" top="0.75" bottom="0.75" header="0.3" footer="0.3"/>
  <x:tableParts count="1">
    <x:tablePart xmlns:r="http://schemas.openxmlformats.org/officeDocument/2006/relationships" r:id="Rc74647c96ac74d43"/>
  </x:tableParts>
</x:worksheet>
</file>

<file path=xl/worksheets/sheet4.xml><?xml version="1.0" encoding="utf-8"?>
<x:worksheet xmlns:x="http://schemas.openxmlformats.org/spreadsheetml/2006/main">
  <x:sheetViews>
    <x:sheetView showGridLines="0" workbookViewId="0">
      <x:pane ySplit="5" topLeftCell="A53" activePane="bottomLeft" state="frozen"/>
      <x:selection pane="bottomLeft" activeCell="C57" sqref="C57"/>
    </x:sheetView>
  </x:sheetViews>
  <x:sheetFormatPr defaultRowHeight="14"/>
  <x:cols>
    <x:col min="1" max="1" width="40" customWidth="1"/>
    <x:col min="2" max="3" width="95" customWidth="1"/>
  </x:cols>
  <x:sheetData>
    <x:row r="1" ht="30" customHeight="1">
      <x:c r="A1" s="11" t="s">
        <x:v>244</x:v>
      </x:c>
      <x:c r="B1" s="11"/>
      <x:c r="C1" s="11"/>
      <x:c r="D1" s="1"/>
      <x:c r="E1" s="1"/>
      <x:c r="F1" s="1"/>
      <x:c r="G1" s="1"/>
      <x:c r="H1" s="1"/>
      <x:c r="I1" s="1"/>
      <x:c r="J1" s="1"/>
      <x:c r="K1" s="1"/>
    </x:row>
    <x:row r="2" ht="14.5">
      <x:c r="A2" s="1"/>
      <x:c r="B2" s="1"/>
      <x:c r="C2" s="1"/>
      <x:c r="D2" s="1"/>
      <x:c r="E2" s="1"/>
      <x:c r="F2" s="1"/>
      <x:c r="G2" s="1"/>
      <x:c r="H2" s="1"/>
      <x:c r="I2" s="1"/>
      <x:c r="J2" s="1"/>
      <x:c r="K2" s="1"/>
    </x:row>
    <x:row r="3" ht="14.5">
      <x:c r="A3" s="1"/>
      <x:c r="B3" s="1"/>
      <x:c r="C3" s="1"/>
      <x:c r="D3" s="1"/>
      <x:c r="E3" s="1"/>
      <x:c r="F3" s="1"/>
      <x:c r="G3" s="1"/>
      <x:c r="H3" s="1"/>
      <x:c r="I3" s="1"/>
      <x:c r="J3" s="1"/>
      <x:c r="K3" s="1"/>
    </x:row>
    <x:row r="4" ht="14.5">
      <x:c r="A4" s="1"/>
      <x:c r="B4" s="1"/>
      <x:c r="C4" s="1"/>
      <x:c r="D4" s="1"/>
      <x:c r="E4" s="1"/>
      <x:c r="F4" s="1"/>
      <x:c r="G4" s="1"/>
      <x:c r="H4" s="1"/>
      <x:c r="I4" s="1"/>
      <x:c r="J4" s="1"/>
      <x:c r="K4" s="1"/>
    </x:row>
    <x:row r="5" ht="34" customHeight="1">
      <x:c r="A5" s="3" t="s">
        <x:v>245</x:v>
      </x:c>
      <x:c r="B5" s="3" t="s">
        <x:v>246</x:v>
      </x:c>
      <x:c r="C5" s="3" t="s">
        <x:v>247</x:v>
      </x:c>
      <x:c r="D5" s="1"/>
      <x:c r="E5" s="1"/>
      <x:c r="F5" s="1"/>
      <x:c r="G5" s="1"/>
      <x:c r="H5" s="1"/>
      <x:c r="I5" s="1"/>
      <x:c r="J5" s="1"/>
      <x:c r="K5" s="1"/>
    </x:row>
    <x:row r="6" ht="66" customHeight="1">
      <x:c r="A6" s="2" t="s">
        <x:v>248</x:v>
      </x:c>
      <x:c r="B6" s="2" t="s">
        <x:v>249</x:v>
      </x:c>
      <x:c r="C6" s="24" t="s">
        <x:v>250</x:v>
      </x:c>
      <x:c r="D6" s="1"/>
      <x:c r="E6" s="1"/>
      <x:c r="F6" s="1"/>
      <x:c r="G6" s="1"/>
      <x:c r="H6" s="1"/>
      <x:c r="I6" s="1"/>
      <x:c r="J6" s="1"/>
      <x:c r="K6" s="1"/>
    </x:row>
    <x:row r="7" ht="66" customHeight="1">
      <x:c r="A7" s="2" t="s">
        <x:v>251</x:v>
      </x:c>
      <x:c r="B7" s="2" t="s">
        <x:v>252</x:v>
      </x:c>
      <x:c r="C7" s="24" t="s">
        <x:v>253</x:v>
      </x:c>
      <x:c r="D7" s="1"/>
      <x:c r="E7" s="1"/>
      <x:c r="F7" s="1"/>
      <x:c r="G7" s="1"/>
      <x:c r="H7" s="1"/>
      <x:c r="I7" s="1"/>
      <x:c r="J7" s="1"/>
      <x:c r="K7" s="1"/>
    </x:row>
    <x:row r="8" ht="66" customHeight="1">
      <x:c r="A8" s="2" t="s">
        <x:v>254</x:v>
      </x:c>
      <x:c r="B8" s="2" t="s">
        <x:v>255</x:v>
      </x:c>
      <x:c r="C8" s="24" t="s">
        <x:v>256</x:v>
      </x:c>
      <x:c r="D8" s="1"/>
      <x:c r="E8" s="1"/>
      <x:c r="F8" s="1"/>
      <x:c r="G8" s="1"/>
      <x:c r="H8" s="1"/>
      <x:c r="I8" s="1"/>
      <x:c r="J8" s="1"/>
      <x:c r="K8" s="1"/>
    </x:row>
    <x:row r="9" ht="66" customHeight="1">
      <x:c r="A9" s="2" t="s">
        <x:v>257</x:v>
      </x:c>
      <x:c r="B9" s="2" t="s">
        <x:v>258</x:v>
      </x:c>
      <x:c r="C9" s="24" t="s">
        <x:v>259</x:v>
      </x:c>
      <x:c r="D9" s="1"/>
      <x:c r="E9" s="1"/>
      <x:c r="F9" s="1"/>
      <x:c r="G9" s="1"/>
      <x:c r="H9" s="1"/>
      <x:c r="I9" s="1"/>
      <x:c r="J9" s="1"/>
      <x:c r="K9" s="1"/>
    </x:row>
    <x:row r="10" ht="66" customHeight="1">
      <x:c r="A10" s="2" t="s">
        <x:v>260</x:v>
      </x:c>
      <x:c r="B10" s="2" t="s">
        <x:v>261</x:v>
      </x:c>
      <x:c r="C10" s="24" t="str">
        <x:v>../../regions/LME_036/validation_reports/36_1_South_China_Sea_SCS-2007_Northern_South_China_Sea_(2000s)/confidence_reassessment_20260930/taxon_audit_adopted.json</x:v>
      </x:c>
      <x:c r="D10" s="1"/>
      <x:c r="E10" s="1"/>
      <x:c r="F10" s="1"/>
      <x:c r="G10" s="1"/>
      <x:c r="H10" s="1"/>
      <x:c r="I10" s="1"/>
      <x:c r="J10" s="1"/>
      <x:c r="K10" s="1"/>
    </x:row>
    <x:row r="11" ht="66" customHeight="1">
      <x:c r="A11" s="2" t="s">
        <x:v>262</x:v>
      </x:c>
      <x:c r="B11" s="2" t="s">
        <x:v>263</x:v>
      </x:c>
      <x:c r="C11" s="24" t="s">
        <x:v>264</x:v>
      </x:c>
      <x:c r="D11" s="1"/>
      <x:c r="E11" s="1"/>
      <x:c r="F11" s="1"/>
      <x:c r="G11" s="1"/>
      <x:c r="H11" s="1"/>
      <x:c r="I11" s="1"/>
      <x:c r="J11" s="1"/>
      <x:c r="K11" s="1"/>
    </x:row>
    <x:row r="12" ht="66" customHeight="1">
      <x:c r="A12" s="2" t="s">
        <x:v>265</x:v>
      </x:c>
      <x:c r="B12" s="2" t="s">
        <x:v>266</x:v>
      </x:c>
      <x:c r="C12" s="24" t="s">
        <x:v>267</x:v>
      </x:c>
      <x:c r="D12" s="1"/>
      <x:c r="E12" s="1"/>
      <x:c r="F12" s="1"/>
      <x:c r="G12" s="1"/>
      <x:c r="H12" s="1"/>
      <x:c r="I12" s="1"/>
      <x:c r="J12" s="1"/>
      <x:c r="K12" s="1"/>
    </x:row>
    <x:row r="13" ht="66" customHeight="1">
      <x:c r="A13" s="2" t="s">
        <x:v>268</x:v>
      </x:c>
      <x:c r="B13" s="2" t="s">
        <x:v>269</x:v>
      </x:c>
      <x:c r="C13" s="24" t="s">
        <x:v>270</x:v>
      </x:c>
      <x:c r="D13" s="1"/>
      <x:c r="E13" s="1"/>
      <x:c r="F13" s="1"/>
      <x:c r="G13" s="1"/>
      <x:c r="H13" s="1"/>
      <x:c r="I13" s="1"/>
      <x:c r="J13" s="1"/>
      <x:c r="K13" s="1"/>
    </x:row>
    <x:row r="14" ht="66" customHeight="1">
      <x:c r="A14" s="2" t="s">
        <x:v>271</x:v>
      </x:c>
      <x:c r="B14" s="2" t="s">
        <x:v>272</x:v>
      </x:c>
      <x:c r="C14" s="24" t="s">
        <x:v>273</x:v>
      </x:c>
      <x:c r="D14" s="1"/>
      <x:c r="E14" s="1"/>
      <x:c r="F14" s="1"/>
      <x:c r="G14" s="1"/>
      <x:c r="H14" s="1"/>
      <x:c r="I14" s="1"/>
      <x:c r="J14" s="1"/>
      <x:c r="K14" s="1"/>
    </x:row>
    <x:row r="15" ht="66" customHeight="1">
      <x:c r="A15" s="2" t="s">
        <x:v>274</x:v>
      </x:c>
      <x:c r="B15" s="2" t="s">
        <x:v>275</x:v>
      </x:c>
      <x:c r="C15" s="24" t="s">
        <x:v>276</x:v>
      </x:c>
      <x:c r="D15" s="1"/>
      <x:c r="E15" s="1"/>
      <x:c r="F15" s="1"/>
      <x:c r="G15" s="1"/>
      <x:c r="H15" s="1"/>
      <x:c r="I15" s="1"/>
      <x:c r="J15" s="1"/>
      <x:c r="K15" s="1"/>
    </x:row>
    <x:row r="16" ht="66" customHeight="1">
      <x:c r="A16" s="2" t="s">
        <x:v>277</x:v>
      </x:c>
      <x:c r="B16" s="2" t="s">
        <x:v>278</x:v>
      </x:c>
      <x:c r="C16" s="24" t="s">
        <x:v>279</x:v>
      </x:c>
      <x:c r="D16" s="1"/>
      <x:c r="E16" s="1"/>
      <x:c r="F16" s="1"/>
      <x:c r="G16" s="1"/>
      <x:c r="H16" s="1"/>
      <x:c r="I16" s="1"/>
      <x:c r="J16" s="1"/>
      <x:c r="K16" s="1"/>
    </x:row>
    <x:row r="17" ht="66" customHeight="1">
      <x:c r="A17" s="2" t="str">
        <x:v>Siganus size evidence</x:v>
      </x:c>
      <x:c r="B17" s="2" t="str">
        <x:v>Reassessment confirms a maximum length above the small-species boundary; the current mapping remains Low. See the confidence sources below.</x:v>
      </x:c>
      <x:c r="C17" s="24" t="s">
        <x:v>280</x:v>
      </x:c>
      <x:c r="D17" s="1"/>
      <x:c r="E17" s="1"/>
      <x:c r="F17" s="1"/>
      <x:c r="G17" s="1"/>
      <x:c r="H17" s="1"/>
      <x:c r="I17" s="1"/>
      <x:c r="J17" s="1"/>
      <x:c r="K17" s="1"/>
    </x:row>
    <x:row r="18" ht="66" customHeight="1">
      <x:c r="A18" s="2" t="s">
        <x:v>281</x:v>
      </x:c>
      <x:c r="B18" s="2" t="s">
        <x:v>282</x:v>
      </x:c>
      <x:c r="C18" s="24" t="s">
        <x:v>283</x:v>
      </x:c>
      <x:c r="D18" s="1"/>
      <x:c r="E18" s="1"/>
      <x:c r="F18" s="1"/>
      <x:c r="G18" s="1"/>
      <x:c r="H18" s="1"/>
      <x:c r="I18" s="1"/>
      <x:c r="J18" s="1"/>
      <x:c r="K18" s="1"/>
    </x:row>
    <x:row r="19" ht="66" customHeight="1">
      <x:c r="A19" s="2" t="s">
        <x:v>284</x:v>
      </x:c>
      <x:c r="B19" s="2" t="s">
        <x:v>285</x:v>
      </x:c>
      <x:c r="C19" s="24" t="s">
        <x:v>286</x:v>
      </x:c>
      <x:c r="D19" s="1"/>
      <x:c r="E19" s="1"/>
      <x:c r="F19" s="1"/>
      <x:c r="G19" s="1"/>
      <x:c r="H19" s="1"/>
      <x:c r="I19" s="1"/>
      <x:c r="J19" s="1"/>
      <x:c r="K19" s="1"/>
    </x:row>
    <x:row r="20" ht="66" customHeight="1">
      <x:c r="A20" s="2" t="s">
        <x:v>287</x:v>
      </x:c>
      <x:c r="B20" s="2" t="s">
        <x:v>288</x:v>
      </x:c>
      <x:c r="C20" s="24" t="s">
        <x:v>289</x:v>
      </x:c>
      <x:c r="D20" s="1"/>
      <x:c r="E20" s="1"/>
      <x:c r="F20" s="1"/>
      <x:c r="G20" s="1"/>
      <x:c r="H20" s="1"/>
      <x:c r="I20" s="1"/>
      <x:c r="J20" s="1"/>
      <x:c r="K20" s="1"/>
    </x:row>
    <x:row r="21" ht="66" customHeight="1">
      <x:c r="A21" s="2" t="s">
        <x:v>290</x:v>
      </x:c>
      <x:c r="B21" s="2" t="s">
        <x:v>291</x:v>
      </x:c>
      <x:c r="C21" s="24" t="str">
        <x:v>../../regions/LME_036/validation_reports/36_1_South_China_Sea_SCS-2007_Northern_South_China_Sea_(2000s)/confidence_reassessment_20260930/taxon_audit_adopted.json</x:v>
      </x:c>
      <x:c r="D21" s="1"/>
      <x:c r="E21" s="1"/>
      <x:c r="F21" s="1"/>
      <x:c r="G21" s="1"/>
      <x:c r="H21" s="1"/>
      <x:c r="I21" s="1"/>
      <x:c r="J21" s="1"/>
      <x:c r="K21" s="1"/>
    </x:row>
    <x:row r="22" ht="14.5">
      <x:c r="A22" s="1"/>
      <x:c r="B22" s="1"/>
      <x:c r="C22" s="1"/>
      <x:c r="D22" s="1"/>
      <x:c r="E22" s="1"/>
      <x:c r="F22" s="1"/>
      <x:c r="G22" s="1"/>
      <x:c r="H22" s="1"/>
      <x:c r="I22" s="1"/>
      <x:c r="J22" s="1"/>
      <x:c r="K22" s="1"/>
    </x:row>
    <x:row r="23" ht="14.5">
      <x:c r="A23" s="1"/>
      <x:c r="B23" s="1"/>
      <x:c r="C23" s="1"/>
      <x:c r="D23" s="1"/>
      <x:c r="E23" s="1"/>
      <x:c r="F23" s="1"/>
      <x:c r="G23" s="1"/>
      <x:c r="H23" s="1"/>
      <x:c r="I23" s="1"/>
      <x:c r="J23" s="1"/>
      <x:c r="K23" s="1"/>
    </x:row>
    <x:row r="24" ht="30" customHeight="1">
      <x:c r="A24" s="11" t="s">
        <x:v>292</x:v>
      </x:c>
      <x:c r="B24" s="11"/>
      <x:c r="C24" s="11"/>
      <x:c r="D24" s="1"/>
      <x:c r="E24" s="1"/>
      <x:c r="F24" s="1"/>
      <x:c r="G24" s="1"/>
      <x:c r="H24" s="1"/>
      <x:c r="I24" s="1"/>
      <x:c r="J24" s="1"/>
      <x:c r="K24" s="1"/>
    </x:row>
    <x:row r="25" ht="34" customHeight="1">
      <x:c r="A25" s="12" t="s">
        <x:v>293</x:v>
      </x:c>
      <x:c r="B25" s="12"/>
      <x:c r="C25" s="12"/>
      <x:c r="D25" s="1"/>
      <x:c r="E25" s="1"/>
      <x:c r="F25" s="1"/>
      <x:c r="G25" s="1"/>
      <x:c r="H25" s="1"/>
      <x:c r="I25" s="1"/>
      <x:c r="J25" s="1"/>
      <x:c r="K25" s="1"/>
    </x:row>
    <x:row r="26" ht="14.5">
      <x:c r="A26" s="1"/>
      <x:c r="B26" s="1"/>
      <x:c r="C26" s="1"/>
      <x:c r="D26" s="1"/>
      <x:c r="E26" s="1"/>
      <x:c r="F26" s="1"/>
      <x:c r="G26" s="1"/>
      <x:c r="H26" s="1"/>
      <x:c r="I26" s="1"/>
      <x:c r="J26" s="1"/>
      <x:c r="K26" s="1"/>
    </x:row>
    <x:row r="27" ht="34" customHeight="1">
      <x:c r="A27" s="3" t="s">
        <x:v>25</x:v>
      </x:c>
      <x:c r="B27" s="3" t="s">
        <x:v>294</x:v>
      </x:c>
      <x:c r="C27" s="3" t="s">
        <x:v>295</x:v>
      </x:c>
      <x:c r="D27" s="1"/>
      <x:c r="E27" s="1"/>
      <x:c r="F27" s="1"/>
      <x:c r="G27" s="1"/>
      <x:c r="H27" s="1"/>
      <x:c r="I27" s="1"/>
      <x:c r="J27" s="1"/>
      <x:c r="K27" s="1"/>
    </x:row>
    <x:row r="28" ht="66" customHeight="1">
      <x:c r="A28" s="2" t="s">
        <x:v>296</x:v>
      </x:c>
      <x:c r="B28" s="2" t="s">
        <x:v>297</x:v>
      </x:c>
      <x:c r="C28" s="2" t="s">
        <x:v>298</x:v>
      </x:c>
      <x:c r="D28" s="1"/>
      <x:c r="E28" s="1"/>
      <x:c r="F28" s="1"/>
      <x:c r="G28" s="1"/>
      <x:c r="H28" s="1"/>
      <x:c r="I28" s="1"/>
      <x:c r="J28" s="1"/>
      <x:c r="K28" s="1"/>
    </x:row>
    <x:row r="29" ht="66" customHeight="1">
      <x:c r="A29" s="2" t="s">
        <x:v>299</x:v>
      </x:c>
      <x:c r="B29" s="2" t="s">
        <x:v>300</x:v>
      </x:c>
      <x:c r="C29" s="2" t="s">
        <x:v>301</x:v>
      </x:c>
      <x:c r="D29" s="1"/>
      <x:c r="E29" s="1"/>
      <x:c r="F29" s="1"/>
      <x:c r="G29" s="1"/>
      <x:c r="H29" s="1"/>
      <x:c r="I29" s="1"/>
      <x:c r="J29" s="1"/>
      <x:c r="K29" s="1"/>
    </x:row>
    <x:row r="30" ht="66" customHeight="1">
      <x:c r="A30" s="2" t="s">
        <x:v>302</x:v>
      </x:c>
      <x:c r="B30" s="2" t="s">
        <x:v>303</x:v>
      </x:c>
      <x:c r="C30" s="2" t="s">
        <x:v>304</x:v>
      </x:c>
      <x:c r="D30" s="1"/>
      <x:c r="E30" s="1"/>
      <x:c r="F30" s="1"/>
      <x:c r="G30" s="1"/>
      <x:c r="H30" s="1"/>
      <x:c r="I30" s="1"/>
      <x:c r="J30" s="1"/>
      <x:c r="K30" s="1"/>
    </x:row>
    <x:row r="31" ht="66" customHeight="1">
      <x:c r="A31" s="2" t="s">
        <x:v>305</x:v>
      </x:c>
      <x:c r="B31" s="2" t="s">
        <x:v>306</x:v>
      </x:c>
      <x:c r="C31" s="2" t="s">
        <x:v>307</x:v>
      </x:c>
      <x:c r="D31" s="1"/>
      <x:c r="E31" s="1"/>
      <x:c r="F31" s="1"/>
      <x:c r="G31" s="1"/>
      <x:c r="H31" s="1"/>
      <x:c r="I31" s="1"/>
      <x:c r="J31" s="1"/>
      <x:c r="K31" s="1"/>
    </x:row>
    <x:row r="32" ht="66" customHeight="1">
      <x:c r="A32" s="2" t="s">
        <x:v>308</x:v>
      </x:c>
      <x:c r="B32" s="2" t="s">
        <x:v>309</x:v>
      </x:c>
      <x:c r="C32" s="2" t="s">
        <x:v>310</x:v>
      </x:c>
      <x:c r="D32" s="1"/>
      <x:c r="E32" s="1"/>
      <x:c r="F32" s="1"/>
      <x:c r="G32" s="1"/>
      <x:c r="H32" s="1"/>
      <x:c r="I32" s="1"/>
      <x:c r="J32" s="1"/>
      <x:c r="K32" s="1"/>
    </x:row>
    <x:row r="33" ht="66" customHeight="1">
      <x:c r="A33" s="2" t="s">
        <x:v>311</x:v>
      </x:c>
      <x:c r="B33" s="2" t="s">
        <x:v>312</x:v>
      </x:c>
      <x:c r="C33" s="2" t="s">
        <x:v>313</x:v>
      </x:c>
      <x:c r="D33" s="1"/>
      <x:c r="E33" s="1"/>
      <x:c r="F33" s="1"/>
      <x:c r="G33" s="1"/>
      <x:c r="H33" s="1"/>
      <x:c r="I33" s="1"/>
      <x:c r="J33" s="1"/>
      <x:c r="K33" s="1"/>
    </x:row>
    <x:row r="34" ht="66" customHeight="1">
      <x:c r="A34" s="2" t="s">
        <x:v>314</x:v>
      </x:c>
      <x:c r="B34" s="2" t="s">
        <x:v>315</x:v>
      </x:c>
      <x:c r="C34" s="2" t="s">
        <x:v>316</x:v>
      </x:c>
      <x:c r="D34" s="1"/>
      <x:c r="E34" s="1"/>
      <x:c r="F34" s="1"/>
      <x:c r="G34" s="1"/>
      <x:c r="H34" s="1"/>
      <x:c r="I34" s="1"/>
      <x:c r="J34" s="1"/>
      <x:c r="K34" s="1"/>
    </x:row>
    <x:row r="35" ht="66" customHeight="1">
      <x:c r="A35" s="2" t="s">
        <x:v>317</x:v>
      </x:c>
      <x:c r="B35" s="2" t="s">
        <x:v>318</x:v>
      </x:c>
      <x:c r="C35" s="2" t="s">
        <x:v>319</x:v>
      </x:c>
      <x:c r="D35" s="1"/>
      <x:c r="E35" s="1"/>
      <x:c r="F35" s="1"/>
      <x:c r="G35" s="1"/>
      <x:c r="H35" s="1"/>
      <x:c r="I35" s="1"/>
      <x:c r="J35" s="1"/>
      <x:c r="K35" s="1"/>
    </x:row>
    <x:row r="36" ht="66" customHeight="1">
      <x:c r="A36" s="2" t="s">
        <x:v>320</x:v>
      </x:c>
      <x:c r="B36" s="2" t="s">
        <x:v>321</x:v>
      </x:c>
      <x:c r="C36" s="2" t="s">
        <x:v>322</x:v>
      </x:c>
      <x:c r="D36" s="1"/>
      <x:c r="E36" s="1"/>
      <x:c r="F36" s="1"/>
      <x:c r="G36" s="1"/>
      <x:c r="H36" s="1"/>
      <x:c r="I36" s="1"/>
      <x:c r="J36" s="1"/>
      <x:c r="K36" s="1"/>
    </x:row>
    <x:row r="37" ht="66" customHeight="1">
      <x:c r="A37" s="2" t="s">
        <x:v>323</x:v>
      </x:c>
      <x:c r="B37" s="2" t="s">
        <x:v>324</x:v>
      </x:c>
      <x:c r="C37" s="2" t="s">
        <x:v>325</x:v>
      </x:c>
      <x:c r="D37" s="1"/>
      <x:c r="E37" s="1"/>
      <x:c r="F37" s="1"/>
      <x:c r="G37" s="1"/>
      <x:c r="H37" s="1"/>
      <x:c r="I37" s="1"/>
      <x:c r="J37" s="1"/>
      <x:c r="K37" s="1"/>
    </x:row>
    <x:row r="38" ht="66" customHeight="1">
      <x:c r="A38" s="2" t="s">
        <x:v>326</x:v>
      </x:c>
      <x:c r="B38" s="2" t="s">
        <x:v>327</x:v>
      </x:c>
      <x:c r="C38" s="2" t="s">
        <x:v>328</x:v>
      </x:c>
      <x:c r="D38" s="1"/>
      <x:c r="E38" s="1"/>
      <x:c r="F38" s="1"/>
      <x:c r="G38" s="1"/>
      <x:c r="H38" s="1"/>
      <x:c r="I38" s="1"/>
      <x:c r="J38" s="1"/>
      <x:c r="K38" s="1"/>
    </x:row>
    <x:row r="39" ht="66" customHeight="1">
      <x:c r="A39" s="2" t="s">
        <x:v>329</x:v>
      </x:c>
      <x:c r="B39" s="2" t="s">
        <x:v>330</x:v>
      </x:c>
      <x:c r="C39" s="2" t="s">
        <x:v>331</x:v>
      </x:c>
      <x:c r="D39" s="1"/>
      <x:c r="E39" s="1"/>
      <x:c r="F39" s="1"/>
      <x:c r="G39" s="1"/>
      <x:c r="H39" s="1"/>
      <x:c r="I39" s="1"/>
      <x:c r="J39" s="1"/>
      <x:c r="K39" s="1"/>
    </x:row>
    <x:row r="40" ht="66" customHeight="1">
      <x:c r="A40" s="2" t="s">
        <x:v>332</x:v>
      </x:c>
      <x:c r="B40" s="2" t="s">
        <x:v>333</x:v>
      </x:c>
      <x:c r="C40" s="2" t="s">
        <x:v>334</x:v>
      </x:c>
      <x:c r="D40" s="1"/>
      <x:c r="E40" s="1"/>
      <x:c r="F40" s="1"/>
      <x:c r="G40" s="1"/>
      <x:c r="H40" s="1"/>
      <x:c r="I40" s="1"/>
      <x:c r="J40" s="1"/>
      <x:c r="K40" s="1"/>
    </x:row>
    <x:row r="41" ht="66" customHeight="1">
      <x:c r="A41" s="2" t="s">
        <x:v>335</x:v>
      </x:c>
      <x:c r="B41" s="2" t="s">
        <x:v>336</x:v>
      </x:c>
      <x:c r="C41" s="2" t="s">
        <x:v>337</x:v>
      </x:c>
      <x:c r="D41" s="1"/>
      <x:c r="E41" s="1"/>
      <x:c r="F41" s="1"/>
      <x:c r="G41" s="1"/>
      <x:c r="H41" s="1"/>
      <x:c r="I41" s="1"/>
      <x:c r="J41" s="1"/>
      <x:c r="K41" s="1"/>
    </x:row>
    <x:row r="42" ht="66" customHeight="1">
      <x:c r="A42" s="2" t="s">
        <x:v>338</x:v>
      </x:c>
      <x:c r="B42" s="2" t="s">
        <x:v>339</x:v>
      </x:c>
      <x:c r="C42" s="2" t="s">
        <x:v>340</x:v>
      </x:c>
      <x:c r="D42" s="1"/>
      <x:c r="E42" s="1"/>
      <x:c r="F42" s="1"/>
      <x:c r="G42" s="1"/>
      <x:c r="H42" s="1"/>
      <x:c r="I42" s="1"/>
      <x:c r="J42" s="1"/>
      <x:c r="K42" s="1"/>
    </x:row>
    <x:row r="43" ht="66" customHeight="1">
      <x:c r="A43" s="2" t="s">
        <x:v>341</x:v>
      </x:c>
      <x:c r="B43" s="2" t="s">
        <x:v>342</x:v>
      </x:c>
      <x:c r="C43" s="2" t="s">
        <x:v>343</x:v>
      </x:c>
      <x:c r="D43" s="1"/>
      <x:c r="E43" s="1"/>
      <x:c r="F43" s="1"/>
      <x:c r="G43" s="1"/>
      <x:c r="H43" s="1"/>
      <x:c r="I43" s="1"/>
      <x:c r="J43" s="1"/>
      <x:c r="K43" s="1"/>
    </x:row>
    <x:row r="44" ht="66" customHeight="1">
      <x:c r="A44" s="2" t="s">
        <x:v>344</x:v>
      </x:c>
      <x:c r="B44" s="2" t="s">
        <x:v>345</x:v>
      </x:c>
      <x:c r="C44" s="2" t="s">
        <x:v>346</x:v>
      </x:c>
      <x:c r="D44" s="1"/>
      <x:c r="E44" s="1"/>
      <x:c r="F44" s="1"/>
      <x:c r="G44" s="1"/>
      <x:c r="H44" s="1"/>
      <x:c r="I44" s="1"/>
      <x:c r="J44" s="1"/>
      <x:c r="K44" s="1"/>
    </x:row>
    <x:row r="45" ht="66" customHeight="1">
      <x:c r="A45" s="2" t="s">
        <x:v>347</x:v>
      </x:c>
      <x:c r="B45" s="2" t="s">
        <x:v>348</x:v>
      </x:c>
      <x:c r="C45" s="2" t="s">
        <x:v>349</x:v>
      </x:c>
      <x:c r="D45" s="1"/>
      <x:c r="E45" s="1"/>
      <x:c r="F45" s="1"/>
      <x:c r="G45" s="1"/>
      <x:c r="H45" s="1"/>
      <x:c r="I45" s="1"/>
      <x:c r="J45" s="1"/>
      <x:c r="K45" s="1"/>
    </x:row>
    <x:row r="46" ht="66" customHeight="1">
      <x:c r="A46" s="2" t="s">
        <x:v>350</x:v>
      </x:c>
      <x:c r="B46" s="2" t="s">
        <x:v>351</x:v>
      </x:c>
      <x:c r="C46" s="2" t="s">
        <x:v>352</x:v>
      </x:c>
      <x:c r="D46" s="1"/>
      <x:c r="E46" s="1"/>
      <x:c r="F46" s="1"/>
      <x:c r="G46" s="1"/>
      <x:c r="H46" s="1"/>
      <x:c r="I46" s="1"/>
      <x:c r="J46" s="1"/>
      <x:c r="K46" s="1"/>
    </x:row>
    <x:row r="47" ht="66" customHeight="1">
      <x:c r="A47" s="2" t="s">
        <x:v>353</x:v>
      </x:c>
      <x:c r="B47" s="2" t="s">
        <x:v>354</x:v>
      </x:c>
      <x:c r="C47" s="2" t="s">
        <x:v>355</x:v>
      </x:c>
      <x:c r="D47" s="1"/>
      <x:c r="E47" s="1"/>
      <x:c r="F47" s="1"/>
      <x:c r="G47" s="1"/>
      <x:c r="H47" s="1"/>
      <x:c r="I47" s="1"/>
      <x:c r="J47" s="1"/>
      <x:c r="K47" s="1"/>
    </x:row>
    <x:row r="48" ht="66" customHeight="1">
      <x:c r="A48" s="2" t="s">
        <x:v>356</x:v>
      </x:c>
      <x:c r="B48" s="2" t="s">
        <x:v>357</x:v>
      </x:c>
      <x:c r="C48" s="2" t="s">
        <x:v>358</x:v>
      </x:c>
      <x:c r="D48" s="1"/>
      <x:c r="E48" s="1"/>
      <x:c r="F48" s="1"/>
      <x:c r="G48" s="1"/>
      <x:c r="H48" s="1"/>
      <x:c r="I48" s="1"/>
      <x:c r="J48" s="1"/>
      <x:c r="K48" s="1"/>
    </x:row>
    <x:row r="49" ht="66" customHeight="1">
      <x:c r="A49" s="2" t="s">
        <x:v>359</x:v>
      </x:c>
      <x:c r="B49" s="2" t="s">
        <x:v>360</x:v>
      </x:c>
      <x:c r="C49" s="2" t="s">
        <x:v>361</x:v>
      </x:c>
      <x:c r="D49" s="1"/>
      <x:c r="E49" s="1"/>
      <x:c r="F49" s="1"/>
      <x:c r="G49" s="1"/>
      <x:c r="H49" s="1"/>
      <x:c r="I49" s="1"/>
      <x:c r="J49" s="1"/>
      <x:c r="K49" s="1"/>
    </x:row>
    <x:row r="50" ht="66" customHeight="1">
      <x:c r="A50" s="2" t="s">
        <x:v>362</x:v>
      </x:c>
      <x:c r="B50" s="2" t="s">
        <x:v>363</x:v>
      </x:c>
      <x:c r="C50" s="2" t="s">
        <x:v>364</x:v>
      </x:c>
      <x:c r="D50" s="1"/>
      <x:c r="E50" s="1"/>
      <x:c r="F50" s="1"/>
      <x:c r="G50" s="1"/>
      <x:c r="H50" s="1"/>
      <x:c r="I50" s="1"/>
      <x:c r="J50" s="1"/>
      <x:c r="K50" s="1"/>
    </x:row>
    <x:row r="51" ht="66" customHeight="1">
      <x:c r="A51" s="2" t="s">
        <x:v>365</x:v>
      </x:c>
      <x:c r="B51" s="2" t="s">
        <x:v>366</x:v>
      </x:c>
      <x:c r="C51" s="2" t="s">
        <x:v>367</x:v>
      </x:c>
      <x:c r="D51" s="1"/>
      <x:c r="E51" s="1"/>
      <x:c r="F51" s="1"/>
      <x:c r="G51" s="1"/>
      <x:c r="H51" s="1"/>
      <x:c r="I51" s="1"/>
      <x:c r="J51" s="1"/>
      <x:c r="K51" s="1"/>
    </x:row>
    <x:row r="52" ht="66" customHeight="1">
      <x:c r="A52" s="2" t="s">
        <x:v>368</x:v>
      </x:c>
      <x:c r="B52" s="2" t="s">
        <x:v>369</x:v>
      </x:c>
      <x:c r="C52" s="2" t="s">
        <x:v>370</x:v>
      </x:c>
      <x:c r="D52" s="1"/>
      <x:c r="E52" s="1"/>
      <x:c r="F52" s="1"/>
      <x:c r="G52" s="1"/>
      <x:c r="H52" s="1"/>
      <x:c r="I52" s="1"/>
      <x:c r="J52" s="1"/>
      <x:c r="K52" s="1"/>
    </x:row>
    <x:row r="53" ht="66" customHeight="1">
      <x:c r="A53" s="2" t="s">
        <x:v>371</x:v>
      </x:c>
      <x:c r="B53" s="2" t="s">
        <x:v>372</x:v>
      </x:c>
      <x:c r="C53" s="2" t="s">
        <x:v>373</x:v>
      </x:c>
      <x:c r="D53" s="1"/>
      <x:c r="E53" s="1"/>
      <x:c r="F53" s="1"/>
      <x:c r="G53" s="1"/>
      <x:c r="H53" s="1"/>
      <x:c r="I53" s="1"/>
      <x:c r="J53" s="1"/>
      <x:c r="K53" s="1"/>
    </x:row>
    <x:row r="54" ht="66" customHeight="1">
      <x:c r="A54" s="2" t="s">
        <x:v>374</x:v>
      </x:c>
      <x:c r="B54" s="2" t="s">
        <x:v>375</x:v>
      </x:c>
      <x:c r="C54" s="2" t="s">
        <x:v>376</x:v>
      </x:c>
      <x:c r="D54" s="1"/>
      <x:c r="E54" s="1"/>
      <x:c r="F54" s="1"/>
      <x:c r="G54" s="1"/>
      <x:c r="H54" s="1"/>
      <x:c r="I54" s="1"/>
      <x:c r="J54" s="1"/>
      <x:c r="K54" s="1"/>
    </x:row>
    <x:row r="55" ht="66" customHeight="1">
      <x:c r="A55" s="2" t="s">
        <x:v>377</x:v>
      </x:c>
      <x:c r="B55" s="2" t="s">
        <x:v>378</x:v>
      </x:c>
      <x:c r="C55" s="2" t="s">
        <x:v>379</x:v>
      </x:c>
      <x:c r="D55" s="1"/>
      <x:c r="E55" s="1"/>
      <x:c r="F55" s="1"/>
      <x:c r="G55" s="1"/>
      <x:c r="H55" s="1"/>
      <x:c r="I55" s="1"/>
      <x:c r="J55" s="1"/>
      <x:c r="K55" s="1"/>
    </x:row>
    <x:row r="56" ht="66" customHeight="1">
      <x:c r="A56" s="2" t="s">
        <x:v>380</x:v>
      </x:c>
      <x:c r="B56" s="2" t="s">
        <x:v>381</x:v>
      </x:c>
      <x:c r="C56" s="2" t="s">
        <x:v>382</x:v>
      </x:c>
      <x:c r="D56" s="1"/>
      <x:c r="E56" s="1"/>
      <x:c r="F56" s="1"/>
      <x:c r="G56" s="1"/>
      <x:c r="H56" s="1"/>
      <x:c r="I56" s="1"/>
      <x:c r="J56" s="1"/>
      <x:c r="K56" s="1"/>
    </x:row>
    <x:row r="57" ht="66" customHeight="1">
      <x:c r="A57" s="2" t="s">
        <x:v>383</x:v>
      </x:c>
      <x:c r="B57" s="2" t="s">
        <x:v>384</x:v>
      </x:c>
      <x:c r="C57" s="2" t="s">
        <x:v>385</x:v>
      </x:c>
      <x:c r="D57" s="1"/>
      <x:c r="E57" s="1"/>
      <x:c r="F57" s="1"/>
      <x:c r="G57" s="1"/>
      <x:c r="H57" s="1"/>
      <x:c r="I57" s="1"/>
      <x:c r="J57" s="1"/>
      <x:c r="K57" s="1"/>
    </x:row>
    <x:row r="58" ht="66" customHeight="1">
      <x:c r="A58" s="2" t="s">
        <x:v>386</x:v>
      </x:c>
      <x:c r="B58" s="2" t="s">
        <x:v>387</x:v>
      </x:c>
      <x:c r="C58" s="2" t="s">
        <x:v>388</x:v>
      </x:c>
      <x:c r="D58" s="1"/>
      <x:c r="E58" s="1"/>
      <x:c r="F58" s="1"/>
      <x:c r="G58" s="1"/>
      <x:c r="H58" s="1"/>
      <x:c r="I58" s="1"/>
      <x:c r="J58" s="1"/>
      <x:c r="K58" s="1"/>
    </x:row>
    <x:row r="59" ht="66" customHeight="1">
      <x:c r="A59" s="2" t="s">
        <x:v>389</x:v>
      </x:c>
      <x:c r="B59" s="2" t="s">
        <x:v>390</x:v>
      </x:c>
      <x:c r="C59" s="2" t="s">
        <x:v>391</x:v>
      </x:c>
      <x:c r="D59" s="1"/>
      <x:c r="E59" s="1"/>
      <x:c r="F59" s="1"/>
      <x:c r="G59" s="1"/>
      <x:c r="H59" s="1"/>
      <x:c r="I59" s="1"/>
      <x:c r="J59" s="1"/>
      <x:c r="K59" s="1"/>
    </x:row>
    <x:row r="60" ht="66" customHeight="1">
      <x:c r="A60" s="2" t="s">
        <x:v>392</x:v>
      </x:c>
      <x:c r="B60" s="2" t="s">
        <x:v>393</x:v>
      </x:c>
      <x:c r="C60" s="2" t="s">
        <x:v>394</x:v>
      </x:c>
      <x:c r="D60" s="1"/>
      <x:c r="E60" s="1"/>
      <x:c r="F60" s="1"/>
      <x:c r="G60" s="1"/>
      <x:c r="H60" s="1"/>
      <x:c r="I60" s="1"/>
      <x:c r="J60" s="1"/>
      <x:c r="K60" s="1"/>
    </x:row>
    <x:row r="61" ht="66" customHeight="1">
      <x:c r="A61" s="2" t="s">
        <x:v>395</x:v>
      </x:c>
      <x:c r="B61" s="2" t="s">
        <x:v>396</x:v>
      </x:c>
      <x:c r="C61" s="2" t="s">
        <x:v>397</x:v>
      </x:c>
      <x:c r="D61" s="1"/>
      <x:c r="E61" s="1"/>
      <x:c r="F61" s="1"/>
      <x:c r="G61" s="1"/>
      <x:c r="H61" s="1"/>
      <x:c r="I61" s="1"/>
      <x:c r="J61" s="1"/>
      <x:c r="K61" s="1"/>
    </x:row>
    <x:row r="62" ht="66" customHeight="1">
      <x:c r="A62" s="2" t="s">
        <x:v>398</x:v>
      </x:c>
      <x:c r="B62" s="2" t="s">
        <x:v>399</x:v>
      </x:c>
      <x:c r="C62" s="2" t="s">
        <x:v>400</x:v>
      </x:c>
      <x:c r="D62" s="1"/>
      <x:c r="E62" s="1"/>
      <x:c r="F62" s="1"/>
      <x:c r="G62" s="1"/>
      <x:c r="H62" s="1"/>
      <x:c r="I62" s="1"/>
      <x:c r="J62" s="1"/>
      <x:c r="K62" s="1"/>
    </x:row>
    <x:row r="63" ht="66" customHeight="1">
      <x:c r="A63" s="2" t="s">
        <x:v>401</x:v>
      </x:c>
      <x:c r="B63" s="2" t="s">
        <x:v>402</x:v>
      </x:c>
      <x:c r="C63" s="2" t="s">
        <x:v>403</x:v>
      </x:c>
      <x:c r="D63" s="1"/>
      <x:c r="E63" s="1"/>
      <x:c r="F63" s="1"/>
      <x:c r="G63" s="1"/>
      <x:c r="H63" s="1"/>
      <x:c r="I63" s="1"/>
      <x:c r="J63" s="1"/>
      <x:c r="K63" s="1"/>
    </x:row>
    <x:row r="64" ht="66" customHeight="1">
      <x:c r="A64" s="2" t="s">
        <x:v>404</x:v>
      </x:c>
      <x:c r="B64" s="2" t="s">
        <x:v>405</x:v>
      </x:c>
      <x:c r="C64" s="2" t="s">
        <x:v>406</x:v>
      </x:c>
      <x:c r="D64" s="1"/>
      <x:c r="E64" s="1"/>
      <x:c r="F64" s="1"/>
      <x:c r="G64" s="1"/>
      <x:c r="H64" s="1"/>
      <x:c r="I64" s="1"/>
      <x:c r="J64" s="1"/>
      <x:c r="K64" s="1"/>
    </x:row>
    <x:row r="65" ht="66" customHeight="1">
      <x:c r="A65" s="2" t="s">
        <x:v>407</x:v>
      </x:c>
      <x:c r="B65" s="2" t="s">
        <x:v>408</x:v>
      </x:c>
      <x:c r="C65" s="2" t="s">
        <x:v>409</x:v>
      </x:c>
      <x:c r="D65" s="1"/>
      <x:c r="E65" s="1"/>
      <x:c r="F65" s="1"/>
      <x:c r="G65" s="1"/>
      <x:c r="H65" s="1"/>
      <x:c r="I65" s="1"/>
      <x:c r="J65" s="1"/>
      <x:c r="K65" s="1"/>
    </x:row>
    <x:row r="66" ht="14.5">
      <x:c r="A66" s="1"/>
      <x:c r="B66" s="1"/>
      <x:c r="C66" s="1"/>
      <x:c r="D66" s="1"/>
      <x:c r="E66" s="1"/>
      <x:c r="F66" s="1"/>
      <x:c r="G66" s="1"/>
      <x:c r="H66" s="1"/>
      <x:c r="I66" s="1"/>
      <x:c r="J66" s="1"/>
      <x:c r="K66" s="1"/>
    </x:row>
    <x:row r="67" ht="14.5">
      <x:c r="A67" s="1"/>
      <x:c r="B67" s="1"/>
      <x:c r="C67" s="1"/>
      <x:c r="D67" s="1"/>
      <x:c r="E67" s="1"/>
      <x:c r="F67" s="1"/>
      <x:c r="G67" s="1"/>
      <x:c r="H67" s="1"/>
      <x:c r="I67" s="1"/>
      <x:c r="J67" s="1"/>
      <x:c r="K67" s="1"/>
    </x:row>
    <x:row r="68" ht="30" customHeight="1">
      <x:c r="A68" s="13" t="str">
        <x:v>Confidence reassessment sources</x:v>
      </x:c>
      <x:c r="B68" s="13"/>
      <x:c r="C68" s="13"/>
      <x:c r="D68" s="1"/>
      <x:c r="E68" s="1"/>
      <x:c r="F68" s="1"/>
      <x:c r="G68" s="1"/>
      <x:c r="H68" s="1"/>
      <x:c r="I68" s="1"/>
      <x:c r="J68" s="1"/>
      <x:c r="K68" s="1"/>
    </x:row>
    <x:row r="69" ht="48" customHeight="1">
      <x:c r="A69" s="23" t="str">
        <x:v>Sources below identify the taxa and criteria checked. The linked adopted mapping audit retains each decision, prior rating, source locators, contradictions and nonadopted group proposals.</x:v>
      </x:c>
      <x:c r="B69" s="23"/>
      <x:c r="C69" s="23"/>
      <x:c r="D69" s="1"/>
      <x:c r="E69" s="1"/>
      <x:c r="F69" s="1"/>
      <x:c r="G69" s="1"/>
      <x:c r="H69" s="1"/>
      <x:c r="I69" s="1"/>
      <x:c r="J69" s="1"/>
      <x:c r="K69" s="1"/>
    </x:row>
    <x:row r="70" ht="14.5">
      <x:c r="A70" s="1"/>
      <x:c r="B70" s="1"/>
      <x:c r="C70" s="1"/>
      <x:c r="D70" s="1"/>
      <x:c r="E70" s="1"/>
      <x:c r="F70" s="1"/>
      <x:c r="G70" s="1"/>
      <x:c r="H70" s="1"/>
      <x:c r="I70" s="1"/>
      <x:c r="J70" s="1"/>
      <x:c r="K70" s="1"/>
    </x:row>
    <x:row r="71" ht="34" customHeight="1">
      <x:c r="A71" s="19" t="str">
        <x:v>Source</x:v>
      </x:c>
      <x:c r="B71" s="19" t="str">
        <x:v>What it supports and applicable taxa</x:v>
      </x:c>
      <x:c r="C71" s="19" t="str">
        <x:v>Link or retained location</x:v>
      </x:c>
      <x:c r="D71" s="1"/>
      <x:c r="E71" s="1"/>
      <x:c r="F71" s="1"/>
      <x:c r="G71" s="1"/>
      <x:c r="H71" s="1"/>
      <x:c r="I71" s="1"/>
      <x:c r="J71" s="1"/>
      <x:c r="K71" s="1"/>
    </x:row>
    <x:row r="72" ht="66" customHeight="1">
      <x:c r="A72" s="16" t="str">
        <x:v>Cheung (2007), thesis Appendix 6.1, NSCS 2000s model</x:v>
      </x:c>
      <x:c r="B72" s="16" t="str">
        <x:v>Taxa: 246 taxa, including Trichiurus lepturus; Synodontidae; Carangidae; Nemipterus; Scyphozoa; Scomberomorus commerson (full list in the linked mapping audit). Operative membership boundary; definitions distinguished from representative parameter taxa.</x:v>
      </x:c>
      <x:c r="C72" s="25" t="str">
        <x:v>regions/LME_036/validation_reports/36_1_South_China_Sea_SCS-2007_Northern_South_China_Sea_(2000s)/confidence_reassessment_20260930/source_group_definitions.txt</x:v>
      </x:c>
      <x:c r="D72" s="1"/>
      <x:c r="E72" s="1"/>
      <x:c r="F72" s="1"/>
      <x:c r="G72" s="1"/>
      <x:c r="H72" s="1"/>
      <x:c r="I72" s="1"/>
      <x:c r="J72" s="1"/>
      <x:c r="K72" s="1"/>
    </x:row>
    <x:row r="73" ht="66" customHeight="1">
      <x:c r="A73" s="16" t="str">
        <x:v>WoRMS: Trichiurus lepturus</x:v>
      </x:c>
      <x:c r="B73" s="16" t="str">
        <x:v>Taxa: Trichiurus lepturus. {"scientificname":"Trichiurus lepturus","valid_name":"Trichiurus lepturus","status":"accepted","family":"Trichiuridae","class":"Teleostei","phylum":"Chordata"}</x:v>
      </x:c>
      <x:c r="C73" s="25" t="str">
        <x:v>https://www.marinespecies.org/aphia.php?p=taxdetails&amp;id=127089</x:v>
      </x:c>
      <x:c r="D73" s="1"/>
      <x:c r="E73" s="1"/>
      <x:c r="F73" s="1"/>
      <x:c r="G73" s="1"/>
      <x:c r="H73" s="1"/>
      <x:c r="I73" s="1"/>
      <x:c r="J73" s="1"/>
      <x:c r="K73" s="1"/>
    </x:row>
    <x:row r="74" ht="66" customHeight="1">
      <x:c r="A74" s="16" t="str">
        <x:v>WoRMS: Synodontidae</x:v>
      </x:c>
      <x:c r="B74" s="16" t="str">
        <x:v>Taxa: Synodontidae. {"scientificname":"Synodontidae","valid_name":"Synodontidae","status":"accepted","family":"Synodontidae","class":"Teleostei","phylum":"Chordata"}</x:v>
      </x:c>
      <x:c r="C74" s="25" t="str">
        <x:v>https://www.marinespecies.org/aphia.php?p=taxdetails&amp;id=125449</x:v>
      </x:c>
      <x:c r="D74" s="1"/>
      <x:c r="E74" s="1"/>
      <x:c r="F74" s="1"/>
      <x:c r="G74" s="1"/>
      <x:c r="H74" s="1"/>
      <x:c r="I74" s="1"/>
      <x:c r="J74" s="1"/>
      <x:c r="K74" s="1"/>
    </x:row>
    <x:row r="75" ht="162" customHeight="1">
      <x:c r="A75" s="16" t="str">
        <x:v>Cheung (2007), original source group definitions</x:v>
      </x:c>
      <x:c r="B75" s="16" t="str">
        <x:v>Taxa: 43 taxa, including Scomberomorus; Scombroidei; Scombridae; Marine fishes not identified; Perciformes; Alepes (full list in the linked mapping audit). Appendix 6.1.24, large pelagic fish, printed p. 339 (PDF p. 354). Operative habitat, species-maximum-size, named-group exclusions and stage definitions; source scope is the northern shelf. Appendix 6.1, represented fish/invertebrate definitions; printed pp. 323–340. Operative habitat, species-maximum-size, named-group exclusions and stage definitions; source scope is the northern shelf. Appendix 6.1, small/large benthopelagic definitions, printed pp. 337–338 (PDF pp. 352–353). Operative habitat, species-maximum-size, named-group exclusions and stage definitions; source scope is the northern shelf. Further taxon-specific findings are retained in the mapping audit.</x:v>
      </x:c>
      <x:c r="C75" s="25" t="str">
        <x:v>regions/LME_036/validation_reports/36_1_South_China_Sea_SCS-2007_Northern_South_China_Sea_(2000s)/confidence_reassessment_20260930/source_group_definitions.txt</x:v>
      </x:c>
      <x:c r="D75" s="1"/>
      <x:c r="E75" s="1"/>
      <x:c r="F75" s="1"/>
      <x:c r="G75" s="1"/>
      <x:c r="H75" s="1"/>
      <x:c r="I75" s="1"/>
      <x:c r="J75" s="1"/>
      <x:c r="K75" s="1"/>
    </x:row>
    <x:row r="76" ht="162" customHeight="1">
      <x:c r="A76" s="16" t="str">
        <x:v>Regional catch reporting metadata</x:v>
      </x:c>
      <x:c r="B76" s="16" t="str">
        <x:v>Taxa: 43 taxa, including Scomberomorus; Scombroidei; Scombridae; Marine fishes not identified; Perciformes; Alepes (full list in the linked mapping audit). Catch worksheet, @table Catch, taxon Scomberomorus. Reporting name: Spanish mackerels; saved functional class: Large pelagics (&gt;=90 cm). This contextual label is not independent proof of biological containment. Catch worksheet, @table Catch, taxon Scombroidei. Reporting name: Tunas, bonitos, billfishes; saved functional class: Large pelagics (&gt;=90 cm). This contextual label is not independent proof of biological containment. Catch worksheet, @table Catch, taxon Scombridae. Reporting name: Mackerels, tunas, bonitos; saved functional class: Medium pelagics (30 - 89 cm). This contextual label is not independent proof of biological containment. Further taxon-specific findings are retained in the mapping audit.</x:v>
      </x:c>
      <x:c r="C76" s="25" t="str">
        <x:v>regions/LME_036/LME_036.xlsx</x:v>
      </x:c>
      <x:c r="D76" s="1"/>
      <x:c r="E76" s="1"/>
      <x:c r="F76" s="1"/>
      <x:c r="G76" s="1"/>
      <x:c r="H76" s="1"/>
      <x:c r="I76" s="1"/>
      <x:c r="J76" s="1"/>
      <x:c r="K76" s="1"/>
    </x:row>
    <x:row r="77" ht="177" customHeight="1">
      <x:c r="A77" s="16" t="str">
        <x:v>Prior full audit and allocation ledger</x:v>
      </x:c>
      <x:c r="B77" s="16" t="str">
        <x:v>Taxa: 43 taxa, including Scomberomorus; Scombroidei; Scombridae; Marine fishes not identified; Perciformes; Alepes (full list in the linked mapping audit). Exact taxon Scomberomorus; membership_source, stored_mapping, allocation_ledger, candidate_selection. Documents the current adopted candidate set, original evidence trail and retained allocation assumption; old conclusions were re-evaluated. Exact taxon Scombroidei; membership_source, stored_mapping, allocation_ledger, candidate_selection. Documents the current adopted candidate set, original evidence trail and retained allocation assumption; old conclusions were re-evaluated. Exact taxon Scombridae; membership_source, stored_mapping, allocation_ledger, candidate_selection. Documents the current adopted candidate set, original evidence trail and retained allocation assumption; old conclusions were re-evaluated. Further taxon-specific findings are retained in the mapping audit.</x:v>
      </x:c>
      <x:c r="C77" s="25" t="str">
        <x:v>regions/LME_036/validation_reports/36_1_South_China_Sea_SCS-2007_Northern_South_China_Sea_(2000s)/confidence_reassessment_20260930/pelagic_and_analogues_input.json</x:v>
      </x:c>
      <x:c r="D77" s="1"/>
      <x:c r="E77" s="1"/>
      <x:c r="F77" s="1"/>
      <x:c r="G77" s="1"/>
      <x:c r="H77" s="1"/>
      <x:c r="I77" s="1"/>
      <x:c r="J77" s="1"/>
      <x:c r="K77" s="1"/>
    </x:row>
    <x:row r="78" ht="66" customHeight="1">
      <x:c r="A78" s="16" t="str">
        <x:v>Collette &amp; Nauen (1983), FAO Scombrids of the world</x:v>
      </x:c>
      <x:c r="B78" s="16" t="str">
        <x:v>Taxa: Scomberomorus. Scomberomorus accounts, pp. 63, 66–68. Regional S. commerson, guttatus, koreanus and lineolatus are epipelagic/neritic and have maxima well above 30 cm FL.</x:v>
      </x:c>
      <x:c r="C78" s="25" t="str">
        <x:v>https://www.fao.org/docrep/pdf/009/ac478e/ac478e09.pdf</x:v>
      </x:c>
      <x:c r="D78" s="1"/>
      <x:c r="E78" s="1"/>
      <x:c r="F78" s="1"/>
      <x:c r="G78" s="1"/>
      <x:c r="H78" s="1"/>
      <x:c r="I78" s="1"/>
      <x:c r="J78" s="1"/>
      <x:c r="K78" s="1"/>
    </x:row>
    <x:row r="79" ht="66" customHeight="1">
      <x:c r="A79" s="16" t="str">
        <x:v>Collette &amp; Nauen (1983), FAO Scombrids of the world</x:v>
      </x:c>
      <x:c r="B79" s="16" t="str">
        <x:v>Taxa: Scomberomorus. Scomberomorus niphonius and S. sinensis accounts, pp. 72, 78. Additional regional Spanish mackerels exceed 30 cm FL and occupy neritic pelagic habitats.</x:v>
      </x:c>
      <x:c r="C79" s="25" t="str">
        <x:v>https://www.fao.org/docrep/pdf/009/ac478e/ac478e10.pdf</x:v>
      </x:c>
      <x:c r="D79" s="1"/>
      <x:c r="E79" s="1"/>
      <x:c r="F79" s="1"/>
      <x:c r="G79" s="1"/>
      <x:c r="H79" s="1"/>
      <x:c r="I79" s="1"/>
      <x:c r="J79" s="1"/>
      <x:c r="K79" s="1"/>
    </x:row>
    <x:row r="80" ht="66" customHeight="1">
      <x:c r="A80" s="16" t="str">
        <x:v>FAO, Review of the state of world marine fishery resources</x:v>
      </x:c>
      <x:c r="B80" s="16" t="str">
        <x:v>Taxa: Scombroidei. Table D12, Western Central Pacific; ISSCAAP 36. Statistics use Scombroidei for tuna-like fishes nei, separately from hairtails and miscellaneous pelagic fishes.</x:v>
      </x:c>
      <x:c r="C80" s="25" t="str">
        <x:v>https://www.fao.org/4/y5852e/Y5852E12.htm</x:v>
      </x:c>
      <x:c r="D80" s="1"/>
      <x:c r="E80" s="1"/>
      <x:c r="F80" s="1"/>
      <x:c r="G80" s="1"/>
      <x:c r="H80" s="1"/>
      <x:c r="I80" s="1"/>
      <x:c r="J80" s="1"/>
      <x:c r="K80" s="1"/>
    </x:row>
    <x:row r="81" ht="66" customHeight="1">
      <x:c r="A81" s="16" t="str">
        <x:v>Collette &amp; Nauen (1983), FAO Scombrids of the world</x:v>
      </x:c>
      <x:c r="B81" s="16" t="str">
        <x:v>Taxa: Scombroidei; Auxis. Auxis accounts, pp. 28–30. Both Auxis species are epipelagic and exceed 30 cm maximum fork length.</x:v>
      </x:c>
      <x:c r="C81" s="25" t="str">
        <x:v>https://www.fao.org/docrep/pdf/009/ac478e/ac478e05.pdf</x:v>
      </x:c>
      <x:c r="D81" s="1"/>
      <x:c r="E81" s="1"/>
      <x:c r="F81" s="1"/>
      <x:c r="G81" s="1"/>
      <x:c r="H81" s="1"/>
      <x:c r="I81" s="1"/>
      <x:c r="J81" s="1"/>
      <x:c r="K81" s="1"/>
    </x:row>
    <x:row r="82" ht="66" customHeight="1">
      <x:c r="A82" s="16" t="str">
        <x:v>Nakamura (1985), FAO Billfishes of the world</x:v>
      </x:c>
      <x:c r="B82" s="16" t="str">
        <x:v>Taxa: Scombroidei; Istiophorus platypterus; Istiophoridae; Istiophorus. Istiophoridae and Istiophorus, pp. 20–26. Large upper-water pelagic billfishes; Indo-Pacific sailfish regularly approaches coasts, islands and reefs.</x:v>
      </x:c>
      <x:c r="C82" s="25" t="str">
        <x:v>https://www.fao.org/docrep/pdf/009/ac480e/ac480e05.pdf</x:v>
      </x:c>
      <x:c r="D82" s="1"/>
      <x:c r="E82" s="1"/>
      <x:c r="F82" s="1"/>
      <x:c r="G82" s="1"/>
      <x:c r="H82" s="1"/>
      <x:c r="I82" s="1"/>
      <x:c r="J82" s="1"/>
      <x:c r="K82" s="1"/>
    </x:row>
    <x:row r="83" ht="132" customHeight="1">
      <x:c r="A83" s="16" t="str">
        <x:v>Sea Around Us exploited-organisms response, LME 036</x:v>
      </x:c>
      <x:c r="B83" s="16" t="str">
        <x:v>Taxa: Scombroidei; Chondrichthyes; Scomber; Miscellaneous aquatic invertebrates; Makaira. data scientific_name=Scombroidei; retrieved 2026-09-03. Independent saved raw API common_name establishes the reporting-label context; sl_max_cm is not used as species maximum TL. data scientific_name=Chondrichthyes; retrieved 2026-09-03. Independent saved raw API common_name establishes the reporting-label context; sl_max_cm is not used as species maximum TL. data scientific_name=Scomber; retrieved 2026-09-03. Independent saved raw API common_name establishes the reporting-label context; sl_max_cm is not used as species maximum TL. Further taxon-specific findings are retained in the mapping audit.</x:v>
      </x:c>
      <x:c r="C83" s="25" t="str">
        <x:v>regions/LME_036/raw/LME_036-exploited.json</x:v>
      </x:c>
      <x:c r="D83" s="1"/>
      <x:c r="E83" s="1"/>
      <x:c r="F83" s="1"/>
      <x:c r="G83" s="1"/>
      <x:c r="H83" s="1"/>
      <x:c r="I83" s="1"/>
      <x:c r="J83" s="1"/>
      <x:c r="K83" s="1"/>
    </x:row>
    <x:row r="84" ht="66" customHeight="1">
      <x:c r="A84" s="16" t="str">
        <x:v>Collette &amp; Nauen (1983), FAO Scombrids of the world</x:v>
      </x:c>
      <x:c r="B84" s="16" t="str">
        <x:v>Taxa: Scombridae; Rastrelliger. Rastrelliger accounts, pp. 47–48. R. brachysoma reaches 34.5 cm FL; R. faughni is documented at 'at least 20 cm FL', an incomplete upper-size statement.</x:v>
      </x:c>
      <x:c r="C84" s="25" t="str">
        <x:v>https://www.fao.org/docrep/pdf/009/ac478e/ac478e07.pdf</x:v>
      </x:c>
      <x:c r="D84" s="1"/>
      <x:c r="E84" s="1"/>
      <x:c r="F84" s="1"/>
      <x:c r="G84" s="1"/>
      <x:c r="H84" s="1"/>
      <x:c r="I84" s="1"/>
      <x:c r="J84" s="1"/>
      <x:c r="K84" s="1"/>
    </x:row>
    <x:row r="85" ht="66" customHeight="1">
      <x:c r="A85" s="16" t="str">
        <x:v>Collette &amp; Nauen (1983), FAO Scombrids of the world</x:v>
      </x:c>
      <x:c r="B85" s="16" t="str">
        <x:v>Taxa: Scombridae; Rastrelliger; Scomber. Rastrelliger kanagurta and Scomber accounts, pp. 49, 56–57. R. kanagurta reaches 35 cm FL. Regional S. australasicus and S. japonicus are pelagic and exceed 30 cm FL.</x:v>
      </x:c>
      <x:c r="C85" s="25" t="str">
        <x:v>https://www.fao.org/4/ac478e/ac478e08.pdf</x:v>
      </x:c>
      <x:c r="D85" s="1"/>
      <x:c r="E85" s="1"/>
      <x:c r="F85" s="1"/>
      <x:c r="G85" s="1"/>
      <x:c r="H85" s="1"/>
      <x:c r="I85" s="1"/>
      <x:c r="J85" s="1"/>
      <x:c r="K85" s="1"/>
    </x:row>
    <x:row r="86" ht="66" customHeight="1">
      <x:c r="A86" s="16" t="str">
        <x:v>WoRMS: Carangidae</x:v>
      </x:c>
      <x:c r="B86" s="16" t="str">
        <x:v>Taxa: Carangidae. {"scientificname":"Carangidae","valid_name":"Carangidae","status":"accepted","family":"Carangidae","class":"Teleostei","phylum":"Chordata"}</x:v>
      </x:c>
      <x:c r="C86" s="25" t="str">
        <x:v>https://www.marinespecies.org/aphia.php?p=taxdetails&amp;id=125523</x:v>
      </x:c>
      <x:c r="D86" s="1"/>
      <x:c r="E86" s="1"/>
      <x:c r="F86" s="1"/>
      <x:c r="G86" s="1"/>
      <x:c r="H86" s="1"/>
      <x:c r="I86" s="1"/>
      <x:c r="J86" s="1"/>
      <x:c r="K86" s="1"/>
    </x:row>
    <x:row r="87" ht="66" customHeight="1">
      <x:c r="A87" s="16" t="str">
        <x:v>FishBase: Decapterus russelli</x:v>
      </x:c>
      <x:c r="B87" s="16" t="str">
        <x:v>Taxa: Carangidae; Decapterus russelli. Taxon-specific boundary evidence described in the rationale. Habitat: Marine;  benthopelagic;; first maximum: 45 cm TL. Additional biology checked where material.</x:v>
      </x:c>
      <x:c r="C87" s="25" t="str">
        <x:v>https://www.fishbase.se/summary/Decapterus-russelli.html</x:v>
      </x:c>
      <x:c r="D87" s="1"/>
      <x:c r="E87" s="1"/>
      <x:c r="F87" s="1"/>
      <x:c r="G87" s="1"/>
      <x:c r="H87" s="1"/>
      <x:c r="I87" s="1"/>
      <x:c r="J87" s="1"/>
      <x:c r="K87" s="1"/>
    </x:row>
    <x:row r="88" ht="66" customHeight="1">
      <x:c r="A88" s="16" t="str">
        <x:v>FishBase: Gnathanodon speciosus</x:v>
      </x:c>
      <x:c r="B88" s="16" t="str">
        <x:v>Taxa: Carangidae; Gnathanodon speciosus. Taxon-specific boundary evidence described in the rationale. Habitat: Marine;  reef-associated;; first maximum: 120 cm TL. Additional biology checked where material.</x:v>
      </x:c>
      <x:c r="C88" s="25" t="str">
        <x:v>https://www.fishbase.se/summary/Gnathanodon-speciosus.html</x:v>
      </x:c>
      <x:c r="D88" s="1"/>
      <x:c r="E88" s="1"/>
      <x:c r="F88" s="1"/>
      <x:c r="G88" s="1"/>
      <x:c r="H88" s="1"/>
      <x:c r="I88" s="1"/>
      <x:c r="J88" s="1"/>
      <x:c r="K88" s="1"/>
    </x:row>
    <x:row r="89" ht="72" customHeight="1">
      <x:c r="A89" s="16" t="str">
        <x:v>Cheung (2007): Chapter 6 and Appendix 6.1</x:v>
      </x:c>
      <x:c r="B89" s="16" t="str">
        <x:v>Taxa: 85 taxa, including Muraenesox cinereus; Sparidae; Leiognathidae; Lates calcarifer; Ariidae; Miichthys miiuy (full list in the linked mapping audit). pp. 333–339; Appendix 6.1.17–6.1.24. Defines dedicated Sciaenidae and residual demersal/benthopelagic/pelagic pools by taxonomy, maximum species total length and habitat.</x:v>
      </x:c>
      <x:c r="C89" s="25" t="str">
        <x:v>regions/LME_036/papers/SCS-2007/ubc_2007-317501-87ea9ea0.pdf</x:v>
      </x:c>
      <x:c r="D89" s="1"/>
      <x:c r="E89" s="1"/>
      <x:c r="F89" s="1"/>
      <x:c r="G89" s="1"/>
      <x:c r="H89" s="1"/>
      <x:c r="I89" s="1"/>
      <x:c r="J89" s="1"/>
      <x:c r="K89" s="1"/>
    </x:row>
    <x:row r="90" ht="66" customHeight="1">
      <x:c r="A90" s="16" t="str">
        <x:v>FishBase: Muraenesox cinereus</x:v>
      </x:c>
      <x:c r="B90" s="16" t="str">
        <x:v>Taxa: Muraenesox cinereus. Classification; Environment; Size; Biology. Pike conger, demersal coastal soft substrates, maximum 220 cm TL; no dedicated source family pool.</x:v>
      </x:c>
      <x:c r="C90" s="25" t="str">
        <x:v>https://www.fishbase.se/summary/Muraenesox-cinereus.html</x:v>
      </x:c>
      <x:c r="D90" s="1"/>
      <x:c r="E90" s="1"/>
      <x:c r="F90" s="1"/>
      <x:c r="G90" s="1"/>
      <x:c r="H90" s="1"/>
      <x:c r="I90" s="1"/>
      <x:c r="J90" s="1"/>
      <x:c r="K90" s="1"/>
    </x:row>
    <x:row r="91" ht="66" customHeight="1">
      <x:c r="A91" s="16" t="str">
        <x:v>FAO Kenya field guide: Muraenesocidae</x:v>
      </x:c>
      <x:c r="B91" s="16" t="str">
        <x:v>Taxa: Muraenesox cinereus; Muraenesox; Muraenesocidae; Anguilliformes. Muraenesox bagio and M. cinereus accounts. Both are large benthic species on soft substrates; supports ecological assignment without asserting source-listed membership.</x:v>
      </x:c>
      <x:c r="C91" s="25" t="str">
        <x:v>https://www.fao.org/4/i2741e/i2741e10b.pdf</x:v>
      </x:c>
      <x:c r="D91" s="1"/>
      <x:c r="E91" s="1"/>
      <x:c r="F91" s="1"/>
      <x:c r="G91" s="1"/>
      <x:c r="H91" s="1"/>
      <x:c r="I91" s="1"/>
      <x:c r="J91" s="1"/>
      <x:c r="K91" s="1"/>
    </x:row>
    <x:row r="92" ht="66" customHeight="1">
      <x:c r="A92" s="16" t="str">
        <x:v>WoRMS: Nemipterus</x:v>
      </x:c>
      <x:c r="B92" s="16" t="str">
        <x:v>Taxa: Nemipterus. {"scientificname":"Nemipterus","valid_name":"Nemipterus","status":"accepted","family":"Nemipteridae","class":"Teleostei","phylum":"Chordata"}</x:v>
      </x:c>
      <x:c r="C92" s="25" t="str">
        <x:v>https://www.marinespecies.org/aphia.php?p=taxdetails&amp;id=205457</x:v>
      </x:c>
      <x:c r="D92" s="1"/>
      <x:c r="E92" s="1"/>
      <x:c r="F92" s="1"/>
      <x:c r="G92" s="1"/>
      <x:c r="H92" s="1"/>
      <x:c r="I92" s="1"/>
      <x:c r="J92" s="1"/>
      <x:c r="K92" s="1"/>
    </x:row>
    <x:row r="93" ht="66" customHeight="1">
      <x:c r="A93" s="16" t="str">
        <x:v>WoRMS: Scyphozoa</x:v>
      </x:c>
      <x:c r="B93" s="16" t="str">
        <x:v>Taxa: Scyphozoa. {"scientificname":"Scyphozoa","valid_name":"Scyphozoa","status":"accepted","family":null,"class":"Scyphozoa","phylum":"Cnidaria"}</x:v>
      </x:c>
      <x:c r="C93" s="25" t="str">
        <x:v>https://www.marinespecies.org/aphia.php?p=taxdetails&amp;id=135220</x:v>
      </x:c>
      <x:c r="D93" s="1"/>
      <x:c r="E93" s="1"/>
      <x:c r="F93" s="1"/>
      <x:c r="G93" s="1"/>
      <x:c r="H93" s="1"/>
      <x:c r="I93" s="1"/>
      <x:c r="J93" s="1"/>
      <x:c r="K93" s="1"/>
    </x:row>
    <x:row r="94" ht="66" customHeight="1">
      <x:c r="A94" s="16" t="str">
        <x:v>WoRMS: Scomberomorus commerson</x:v>
      </x:c>
      <x:c r="B94" s="16" t="str">
        <x:v>Taxa: Scomberomorus commerson. {"scientificname":"Scomberomorus commerson","valid_name":"Scomberomorus commerson","status":"accepted","family":"Scombridae","class":"Teleostei","phylum":"Chordata"}</x:v>
      </x:c>
      <x:c r="C94" s="25" t="str">
        <x:v>https://www.marinespecies.org/aphia.php?p=taxdetails&amp;id=127024</x:v>
      </x:c>
      <x:c r="D94" s="1"/>
      <x:c r="E94" s="1"/>
      <x:c r="F94" s="1"/>
      <x:c r="G94" s="1"/>
      <x:c r="H94" s="1"/>
      <x:c r="I94" s="1"/>
      <x:c r="J94" s="1"/>
      <x:c r="K94" s="1"/>
    </x:row>
    <x:row r="95" ht="66" customHeight="1">
      <x:c r="A95" s="16" t="str">
        <x:v>FishBase: Scomberomorus commerson</x:v>
      </x:c>
      <x:c r="B95" s="16" t="str">
        <x:v>Taxa: Scomberomorus commerson. Habitat: Marine;  pelagic-neritic; oceanodromous; first maximum: 240 cm FL. Additional biology checked where material.</x:v>
      </x:c>
      <x:c r="C95" s="25" t="str">
        <x:v>https://www.fishbase.se/summary/Scomberomorus-commerson.html</x:v>
      </x:c>
      <x:c r="D95" s="1"/>
      <x:c r="E95" s="1"/>
      <x:c r="F95" s="1"/>
      <x:c r="G95" s="1"/>
      <x:c r="H95" s="1"/>
      <x:c r="I95" s="1"/>
      <x:c r="J95" s="1"/>
      <x:c r="K95" s="1"/>
    </x:row>
    <x:row r="96" ht="66" customHeight="1">
      <x:c r="A96" s="16" t="str">
        <x:v>WoRMS: Sciaenidae</x:v>
      </x:c>
      <x:c r="B96" s="16" t="str">
        <x:v>Taxa: Sciaenidae. {"scientificname":"Sciaenidae","valid_name":"Sciaenidae","status":"accepted","family":"Sciaenidae","class":"Teleostei","phylum":"Chordata"}</x:v>
      </x:c>
      <x:c r="C96" s="25" t="str">
        <x:v>https://www.marinespecies.org/aphia.php?p=taxdetails&amp;id=125558</x:v>
      </x:c>
      <x:c r="D96" s="1"/>
      <x:c r="E96" s="1"/>
      <x:c r="F96" s="1"/>
      <x:c r="G96" s="1"/>
      <x:c r="H96" s="1"/>
      <x:c r="I96" s="1"/>
      <x:c r="J96" s="1"/>
      <x:c r="K96" s="1"/>
    </x:row>
    <x:row r="97" ht="66" customHeight="1">
      <x:c r="A97" s="16" t="str">
        <x:v>WoRMS: Loliginidae</x:v>
      </x:c>
      <x:c r="B97" s="16" t="str">
        <x:v>Taxa: Loliginidae. {"scientificname":"Loliginidae","valid_name":"Loliginidae","status":"accepted","family":"Loliginidae","class":"Cephalopoda","phylum":"Mollusca"}</x:v>
      </x:c>
      <x:c r="C97" s="25" t="str">
        <x:v>https://www.marinespecies.org/aphia.php?p=taxdetails&amp;id=11734</x:v>
      </x:c>
      <x:c r="D97" s="1"/>
      <x:c r="E97" s="1"/>
      <x:c r="F97" s="1"/>
      <x:c r="G97" s="1"/>
      <x:c r="H97" s="1"/>
      <x:c r="I97" s="1"/>
      <x:c r="J97" s="1"/>
      <x:c r="K97" s="1"/>
    </x:row>
    <x:row r="98" ht="66" customHeight="1">
      <x:c r="A98" s="16" t="str">
        <x:v>WoRMS: Teuthida</x:v>
      </x:c>
      <x:c r="B98" s="16" t="str">
        <x:v>Taxa: Teuthida. {"scientificname":"Teuthida","valid_name":"Teuthida","status":"nomen dubium","family":null,"class":"Cephalopoda","phylum":"Mollusca"}</x:v>
      </x:c>
      <x:c r="C98" s="25" t="str">
        <x:v>https://www.marinespecies.org/aphia.php?p=taxdetails&amp;id=11716</x:v>
      </x:c>
      <x:c r="D98" s="1"/>
      <x:c r="E98" s="1"/>
      <x:c r="F98" s="1"/>
      <x:c r="G98" s="1"/>
      <x:c r="H98" s="1"/>
      <x:c r="I98" s="1"/>
      <x:c r="J98" s="1"/>
      <x:c r="K98" s="1"/>
    </x:row>
    <x:row r="99" ht="66" customHeight="1">
      <x:c r="A99" s="16" t="str">
        <x:v>WoRMS: Auxis thazard</x:v>
      </x:c>
      <x:c r="B99" s="16" t="str">
        <x:v>Taxa: Auxis thazard. {"scientificname":"Auxis thazard","valid_name":"Auxis thazard","status":"accepted","family":"Scombridae","class":"Teleostei","phylum":"Chordata"}</x:v>
      </x:c>
      <x:c r="C99" s="25" t="str">
        <x:v>https://www.marinespecies.org/aphia.php?p=taxdetails&amp;id=127016</x:v>
      </x:c>
      <x:c r="D99" s="1"/>
      <x:c r="E99" s="1"/>
      <x:c r="F99" s="1"/>
      <x:c r="G99" s="1"/>
      <x:c r="H99" s="1"/>
      <x:c r="I99" s="1"/>
      <x:c r="J99" s="1"/>
      <x:c r="K99" s="1"/>
    </x:row>
    <x:row r="100" ht="66" customHeight="1">
      <x:c r="A100" s="16" t="str">
        <x:v>FishBase: Auxis thazard</x:v>
      </x:c>
      <x:c r="B100" s="16" t="str">
        <x:v>Taxa: Auxis thazard. Habitat: Marine;  pelagic-neritic; oceanodromous; first maximum: 65 cm FL. Additional biology checked where material.</x:v>
      </x:c>
      <x:c r="C100" s="25" t="str">
        <x:v>https://www.fishbase.se/summary/Auxis-thazard.html</x:v>
      </x:c>
      <x:c r="D100" s="1"/>
      <x:c r="E100" s="1"/>
      <x:c r="F100" s="1"/>
      <x:c r="G100" s="1"/>
      <x:c r="H100" s="1"/>
      <x:c r="I100" s="1"/>
      <x:c r="J100" s="1"/>
      <x:c r="K100" s="1"/>
    </x:row>
    <x:row r="101" ht="66" customHeight="1">
      <x:c r="A101" s="16" t="str">
        <x:v>FAO, The marine fishery resources of Sri Lanka</x:v>
      </x:c>
      <x:c r="B101" s="16" t="str">
        <x:v>Taxa: Perciformes. Taxonomic contents, Perciformes: Percoidei and Scombroidei. Historical FAO guides group multiple presently separated fish lineages within Perciformes.</x:v>
      </x:c>
      <x:c r="C101" s="25" t="str">
        <x:v>https://www.fao.org/4/t0726e/t0726e00.htm</x:v>
      </x:c>
      <x:c r="D101" s="1"/>
      <x:c r="E101" s="1"/>
      <x:c r="F101" s="1"/>
      <x:c r="G101" s="1"/>
      <x:c r="H101" s="1"/>
      <x:c r="I101" s="1"/>
      <x:c r="J101" s="1"/>
      <x:c r="K101" s="1"/>
    </x:row>
    <x:row r="102" ht="66" customHeight="1">
      <x:c r="A102" s="16" t="str">
        <x:v>Eschmeyer's Catalog of Fishes: Classification</x:v>
      </x:c>
      <x:c r="B102" s="16" t="str">
        <x:v>Taxa: Perciformes. Order and family classification. Authority for distinguishing taxonomic rank and current family placement from historical reporting names.</x:v>
      </x:c>
      <x:c r="C102" s="25" t="str">
        <x:v>https://research.calacademy.org/research/ichthyology/catalog/classif.asp</x:v>
      </x:c>
      <x:c r="D102" s="1"/>
      <x:c r="E102" s="1"/>
      <x:c r="F102" s="1"/>
      <x:c r="G102" s="1"/>
      <x:c r="H102" s="1"/>
      <x:c r="I102" s="1"/>
      <x:c r="J102" s="1"/>
      <x:c r="K102" s="1"/>
    </x:row>
    <x:row r="103" ht="66" customHeight="1">
      <x:c r="A103" s="16" t="str">
        <x:v>WoRMS: Portunus trituberculatus</x:v>
      </x:c>
      <x:c r="B103" s="16" t="str">
        <x:v>Taxa: Portunus trituberculatus. {"scientificname":"Portunus trituberculatus","valid_name":"Portunus trituberculatus","status":"accepted","family":"Portunidae","class":"Malacostraca","phylum":"Arthropoda"}</x:v>
      </x:c>
      <x:c r="C103" s="25" t="str">
        <x:v>https://www.marinespecies.org/aphia.php?p=taxdetails&amp;id=1061762</x:v>
      </x:c>
      <x:c r="D103" s="1"/>
      <x:c r="E103" s="1"/>
      <x:c r="F103" s="1"/>
      <x:c r="G103" s="1"/>
      <x:c r="H103" s="1"/>
      <x:c r="I103" s="1"/>
      <x:c r="J103" s="1"/>
      <x:c r="K103" s="1"/>
    </x:row>
    <x:row r="104" ht="66" customHeight="1">
      <x:c r="A104" s="16" t="str">
        <x:v>WoRMS: Harpadon nehereus</x:v>
      </x:c>
      <x:c r="B104" s="16" t="str">
        <x:v>Taxa: Harpadon nehereus. {"scientificname":"Harpadon nehereus","valid_name":"Harpadon nehereus","status":"accepted","family":"Harpadontidae","class":"Teleostei","phylum":"Chordata"}</x:v>
      </x:c>
      <x:c r="C104" s="25" t="str">
        <x:v>https://www.marinespecies.org/aphia.php?p=taxdetails&amp;id=217661</x:v>
      </x:c>
      <x:c r="D104" s="1"/>
      <x:c r="E104" s="1"/>
      <x:c r="F104" s="1"/>
      <x:c r="G104" s="1"/>
      <x:c r="H104" s="1"/>
      <x:c r="I104" s="1"/>
      <x:c r="J104" s="1"/>
      <x:c r="K104" s="1"/>
    </x:row>
    <x:row r="105" ht="66" customHeight="1">
      <x:c r="A105" s="16" t="str">
        <x:v>ITIS: Harpadon nehereus</x:v>
      </x:c>
      <x:c r="B105" s="16" t="str">
        <x:v>Taxa: Harpadon nehereus. Harpadon in Synodontidae, contrasting with current WoRMS Harpadontidae.</x:v>
      </x:c>
      <x:c r="C105" s="25" t="str">
        <x:v>https://www.itis.gov/servlet/SingleRpt/SingleRpt?search_topic=TSN&amp;search_value=162425</x:v>
      </x:c>
      <x:c r="D105" s="1"/>
      <x:c r="E105" s="1"/>
      <x:c r="F105" s="1"/>
      <x:c r="G105" s="1"/>
      <x:c r="H105" s="1"/>
      <x:c r="I105" s="1"/>
      <x:c r="J105" s="1"/>
      <x:c r="K105" s="1"/>
    </x:row>
    <x:row r="106" ht="66" customHeight="1">
      <x:c r="A106" s="16" t="str">
        <x:v>Smith-Vaniz (1999), FAO Western Central Pacific, Carangidae</x:v>
      </x:c>
      <x:c r="B106" s="16" t="str">
        <x:v>Taxa: Alepes. Alepes species accounts. Alepes includes small A. kleinii and A. melanoptera, and much larger A. vari; one large-pelagic size set is not established.</x:v>
      </x:c>
      <x:c r="C106" s="25" t="str">
        <x:v>https://www.fao.org/4/x2400e/x2400e52.pdf</x:v>
      </x:c>
      <x:c r="D106" s="1"/>
      <x:c r="E106" s="1"/>
      <x:c r="F106" s="1"/>
      <x:c r="G106" s="1"/>
      <x:c r="H106" s="1"/>
      <x:c r="I106" s="1"/>
      <x:c r="J106" s="1"/>
      <x:c r="K106" s="1"/>
    </x:row>
    <x:row r="107" ht="66" customHeight="1">
      <x:c r="A107" s="16" t="str">
        <x:v>WoRMS: Katsuwonus pelamis</x:v>
      </x:c>
      <x:c r="B107" s="16" t="str">
        <x:v>Taxa: Katsuwonus pelamis. {"scientificname":"Katsuwonus pelamis","valid_name":"Katsuwonus pelamis","status":"accepted","family":"Scombridae","class":"Teleostei","phylum":"Chordata"}</x:v>
      </x:c>
      <x:c r="C107" s="25" t="str">
        <x:v>https://www.marinespecies.org/aphia.php?p=taxdetails&amp;id=127018</x:v>
      </x:c>
      <x:c r="D107" s="1"/>
      <x:c r="E107" s="1"/>
      <x:c r="F107" s="1"/>
      <x:c r="G107" s="1"/>
      <x:c r="H107" s="1"/>
      <x:c r="I107" s="1"/>
      <x:c r="J107" s="1"/>
      <x:c r="K107" s="1"/>
    </x:row>
    <x:row r="108" ht="66" customHeight="1">
      <x:c r="A108" s="16" t="str">
        <x:v>FishBase: Katsuwonus pelamis</x:v>
      </x:c>
      <x:c r="B108" s="16" t="str">
        <x:v>Taxa: Katsuwonus pelamis. Habitat: Marine;  pelagic-oceanic; oceanodromous; first maximum: 110 cm FL. Additional biology checked where material.</x:v>
      </x:c>
      <x:c r="C108" s="25" t="str">
        <x:v>https://www.fishbase.se/summary/Katsuwonus-pelamis.html</x:v>
      </x:c>
      <x:c r="D108" s="1"/>
      <x:c r="E108" s="1"/>
      <x:c r="F108" s="1"/>
      <x:c r="G108" s="1"/>
      <x:c r="H108" s="1"/>
      <x:c r="I108" s="1"/>
      <x:c r="J108" s="1"/>
      <x:c r="K108" s="1"/>
    </x:row>
    <x:row r="109" ht="66" customHeight="1">
      <x:c r="A109" s="16" t="str">
        <x:v>WoRMS: Todarodes pacificus</x:v>
      </x:c>
      <x:c r="B109" s="16" t="str">
        <x:v>Taxa: Todarodes pacificus. {"scientificname":"Todarodes pacificus","valid_name":"Todarodes pacificus","status":"accepted","family":"Ommastrephidae","class":"Cephalopoda","phylum":"Mollusca"}</x:v>
      </x:c>
      <x:c r="C109" s="25" t="str">
        <x:v>https://www.marinespecies.org/aphia.php?p=taxdetails&amp;id=342067</x:v>
      </x:c>
      <x:c r="D109" s="1"/>
      <x:c r="E109" s="1"/>
      <x:c r="F109" s="1"/>
      <x:c r="G109" s="1"/>
      <x:c r="H109" s="1"/>
      <x:c r="I109" s="1"/>
      <x:c r="J109" s="1"/>
      <x:c r="K109" s="1"/>
    </x:row>
    <x:row r="110" ht="66" customHeight="1">
      <x:c r="A110" s="16" t="str">
        <x:v>WoRMS: Engraulis japonicus</x:v>
      </x:c>
      <x:c r="B110" s="16" t="str">
        <x:v>Taxa: Engraulis japonicus. {"scientificname":"Engraulis japonicus","valid_name":"Engraulis japonicus","status":"accepted","family":"Engraulidae","class":"Teleostei","phylum":"Chordata"}</x:v>
      </x:c>
      <x:c r="C110" s="25" t="str">
        <x:v>https://www.marinespecies.org/aphia.php?p=taxdetails&amp;id=219984</x:v>
      </x:c>
      <x:c r="D110" s="1"/>
      <x:c r="E110" s="1"/>
      <x:c r="F110" s="1"/>
      <x:c r="G110" s="1"/>
      <x:c r="H110" s="1"/>
      <x:c r="I110" s="1"/>
      <x:c r="J110" s="1"/>
      <x:c r="K110" s="1"/>
    </x:row>
    <x:row r="111" ht="66" customHeight="1">
      <x:c r="A111" s="16" t="str">
        <x:v>FishBase: Engraulis japonicus</x:v>
      </x:c>
      <x:c r="B111" s="16" t="str">
        <x:v>Taxa: Engraulis japonicus. Habitat: Marine;  pelagic-neritic; oceanodromous; first maximum: 18 cm TL. Additional biology checked where material.</x:v>
      </x:c>
      <x:c r="C111" s="25" t="str">
        <x:v>https://www.fishbase.se/summary/Engraulis-japonicus.html</x:v>
      </x:c>
      <x:c r="D111" s="1"/>
      <x:c r="E111" s="1"/>
      <x:c r="F111" s="1"/>
      <x:c r="G111" s="1"/>
      <x:c r="H111" s="1"/>
      <x:c r="I111" s="1"/>
      <x:c r="J111" s="1"/>
      <x:c r="K111" s="1"/>
    </x:row>
    <x:row r="112" ht="66" customHeight="1">
      <x:c r="A112" s="16" t="str">
        <x:v>WoRMS: Sepiidae</x:v>
      </x:c>
      <x:c r="B112" s="16" t="str">
        <x:v>Taxa: Sepiidae. {"scientificname":"Sepiidae","valid_name":"Sepiidae","status":"accepted","family":"Sepiidae","class":"Cephalopoda","phylum":"Mollusca"}</x:v>
      </x:c>
      <x:c r="C112" s="25" t="str">
        <x:v>https://www.marinespecies.org/aphia.php?p=taxdetails&amp;id=11723</x:v>
      </x:c>
      <x:c r="D112" s="1"/>
      <x:c r="E112" s="1"/>
      <x:c r="F112" s="1"/>
      <x:c r="G112" s="1"/>
      <x:c r="H112" s="1"/>
      <x:c r="I112" s="1"/>
      <x:c r="J112" s="1"/>
      <x:c r="K112" s="1"/>
    </x:row>
    <x:row r="113" ht="66" customHeight="1">
      <x:c r="A113" s="16" t="str">
        <x:v>FishBase: Pagrus major</x:v>
      </x:c>
      <x:c r="B113" s="16" t="str">
        <x:v>Taxa: Sparidae; Pagrus major. Classification; Environment; Size; Biology. Sparidae; demersal, maximum 100 cm SL, bottom prey; maximum SL already exceeds the 30 cm TL boundary.</x:v>
      </x:c>
      <x:c r="C113" s="25" t="str">
        <x:v>https://www.fishbase.se/summary/Pagrus-major.html</x:v>
      </x:c>
      <x:c r="D113" s="1"/>
      <x:c r="E113" s="1"/>
      <x:c r="F113" s="1"/>
      <x:c r="G113" s="1"/>
      <x:c r="H113" s="1"/>
      <x:c r="I113" s="1"/>
      <x:c r="J113" s="1"/>
      <x:c r="K113" s="1"/>
    </x:row>
    <x:row r="114" ht="66" customHeight="1">
      <x:c r="A114" s="16" t="str">
        <x:v>FishBase: Acanthopagrus schlegelii</x:v>
      </x:c>
      <x:c r="B114" s="16" t="str">
        <x:v>Taxa: Sparidae; Acanthopagrus schlegelii. Classification; Environment; Size; Biology. Sparidae; demersal, maximum 50 cm SL; rocky bays and brackish habitats.</x:v>
      </x:c>
      <x:c r="C114" s="25" t="str">
        <x:v>https://www.fishbase.se/summary/Acanthopagrus-schlegelii.html</x:v>
      </x:c>
      <x:c r="D114" s="1"/>
      <x:c r="E114" s="1"/>
      <x:c r="F114" s="1"/>
      <x:c r="G114" s="1"/>
      <x:c r="H114" s="1"/>
      <x:c r="I114" s="1"/>
      <x:c r="J114" s="1"/>
      <x:c r="K114" s="1"/>
    </x:row>
    <x:row r="115" ht="102" customHeight="1">
      <x:c r="A115" s="16" t="str">
        <x:v>Cheung (2007): final Northern South China Sea model tables</x:v>
      </x:c>
      <x:c r="B115" s="16" t="str">
        <x:v>Taxa: 19 taxa, including Sparidae; Leiognathidae; Chirocentrus dorab; Leiognathus; Menidae; Parastromateus niger (full list in the linked mapping audit). Tables 6.1–6.2, pp.175–179; Appendix 6.1.21–6.1.22, pp.337–338. Final single benthopelagic row has 2000s PB 3.08, QB 15.42 and catch 0.603, whereas appendix small/large PB are 3.08/1.91 and catches 0.643/0.0079. Numerical similarity supports small-pool continuity but does not demonstrate a merger or exclusive size scope.</x:v>
      </x:c>
      <x:c r="C115" s="25" t="str">
        <x:v>regions/LME_036/papers/SCS-2007/ubc_2007-317501-87ea9ea0.pdf</x:v>
      </x:c>
      <x:c r="D115" s="1"/>
      <x:c r="E115" s="1"/>
      <x:c r="F115" s="1"/>
      <x:c r="G115" s="1"/>
      <x:c r="H115" s="1"/>
      <x:c r="I115" s="1"/>
      <x:c r="J115" s="1"/>
      <x:c r="K115" s="1"/>
    </x:row>
    <x:row r="116" ht="66" customHeight="1">
      <x:c r="A116" s="16" t="str">
        <x:v>Selected 2000s model, group 27</x:v>
      </x:c>
      <x:c r="B116" s="16" t="str">
        <x:v>Taxa: Sparidae; Menidae; Parastromateus niger; Mene maculata; Mugil cephalus; Lobotes surinamensis; Berycidae; Ariomma indica; Chanos chanos; Beryx. group 27 Benthopelagic fish. B 0.922, PB 3.08, QB 15.42, EE 0.479, export 0.6025; no separate large-benthopelagic group.</x:v>
      </x:c>
      <x:c r="C116" s="25" t="str">
        <x:v>regions/LME_036/models/36_1_South_China_Sea_SCS-2007_Northern_South_China_Sea_(2000s)/model.json</x:v>
      </x:c>
      <x:c r="D116" s="1"/>
      <x:c r="E116" s="1"/>
      <x:c r="F116" s="1"/>
      <x:c r="G116" s="1"/>
      <x:c r="H116" s="1"/>
      <x:c r="I116" s="1"/>
      <x:c r="J116" s="1"/>
      <x:c r="K116" s="1"/>
    </x:row>
    <x:row r="117" ht="66" customHeight="1">
      <x:c r="A117" s="16" t="str">
        <x:v>WoRMS: Priacanthus</x:v>
      </x:c>
      <x:c r="B117" s="16" t="str">
        <x:v>Taxa: Priacanthus. {"scientificname":"Priacanthus","valid_name":"Priacanthus","status":"accepted","family":"Priacanthidae","class":"Teleostei","phylum":"Chordata"}</x:v>
      </x:c>
      <x:c r="C117" s="25" t="str">
        <x:v>https://www.marinespecies.org/aphia.php?p=taxdetails&amp;id=126049</x:v>
      </x:c>
      <x:c r="D117" s="1"/>
      <x:c r="E117" s="1"/>
      <x:c r="F117" s="1"/>
      <x:c r="G117" s="1"/>
      <x:c r="H117" s="1"/>
      <x:c r="I117" s="1"/>
      <x:c r="J117" s="1"/>
      <x:c r="K117" s="1"/>
    </x:row>
    <x:row r="118" ht="66" customHeight="1">
      <x:c r="A118" s="16" t="str">
        <x:v>Nakamura &amp; Parin (1993), FAO Snake mackerels and cutlassfishes</x:v>
      </x:c>
      <x:c r="B118" s="16" t="str">
        <x:v>Taxa: Ruvettus pretiosus. Ruvettus pretiosus, p. 53. Oilfish is benthopelagic near continental slopes/searises, 100–700 m, with a maximum far above 30 cm.</x:v>
      </x:c>
      <x:c r="C118" s="25" t="str">
        <x:v>https://www.fao.org/docrep/pdf/009/t0539e/t0539e08.pdf</x:v>
      </x:c>
      <x:c r="D118" s="1"/>
      <x:c r="E118" s="1"/>
      <x:c r="F118" s="1"/>
      <x:c r="G118" s="1"/>
      <x:c r="H118" s="1"/>
      <x:c r="I118" s="1"/>
      <x:c r="J118" s="1"/>
      <x:c r="K118" s="1"/>
    </x:row>
    <x:row r="119" ht="72" customHeight="1">
      <x:c r="A119" s="16" t="str">
        <x:v>Local source model profile</x:v>
      </x:c>
      <x:c r="B119" s="16" t="str">
        <x:v>Taxa: Ruvettus pretiosus; Lampris guttatus; Lepidocybium flavobrunneum; Tetrapturus angustirostris. Northern shelf extent and functional-group limitations. Distinguishes model geography/parameter transfer from explicit habitat guild containment; documents final benthopelagic-pool ambiguity.</x:v>
      </x:c>
      <x:c r="C119" s="25" t="str">
        <x:v>regions/LME_036/models/36_1_South_China_Sea_SCS-2007_Northern_South_China_Sea_(2000s)/source_evidence/mapping/36_1_South_China_Sea_SCS-2007_Northern_South_China_Sea_(2000s).MODEL_PROFILE.md</x:v>
      </x:c>
      <x:c r="D119" s="1"/>
      <x:c r="E119" s="1"/>
      <x:c r="F119" s="1"/>
      <x:c r="G119" s="1"/>
      <x:c r="H119" s="1"/>
      <x:c r="I119" s="1"/>
      <x:c r="J119" s="1"/>
      <x:c r="K119" s="1"/>
    </x:row>
    <x:row r="120" ht="66" customHeight="1">
      <x:c r="A120" s="16" t="str">
        <x:v>WoRMS: Coryphaena hippurus</x:v>
      </x:c>
      <x:c r="B120" s="16" t="str">
        <x:v>Taxa: Coryphaena hippurus. {"scientificname":"Coryphaena hippurus","valid_name":"Coryphaena hippurus","status":"accepted","family":"Coryphaenidae","class":"Teleostei","phylum":"Chordata"}</x:v>
      </x:c>
      <x:c r="C120" s="25" t="str">
        <x:v>https://www.marinespecies.org/aphia.php?p=taxdetails&amp;id=126846</x:v>
      </x:c>
      <x:c r="D120" s="1"/>
      <x:c r="E120" s="1"/>
      <x:c r="F120" s="1"/>
      <x:c r="G120" s="1"/>
      <x:c r="H120" s="1"/>
      <x:c r="I120" s="1"/>
      <x:c r="J120" s="1"/>
      <x:c r="K120" s="1"/>
    </x:row>
    <x:row r="121" ht="66" customHeight="1">
      <x:c r="A121" s="16" t="str">
        <x:v>FishBase: Coryphaena hippurus</x:v>
      </x:c>
      <x:c r="B121" s="16" t="str">
        <x:v>Taxa: Coryphaena hippurus. Habitat: Marine; brackish;  pelagic-neritic; oceanodromous; first maximum: 210 cm TL. Additional biology checked where material.</x:v>
      </x:c>
      <x:c r="C121" s="25" t="str">
        <x:v>https://www.fishbase.se/summary/Coryphaena-hippurus.html</x:v>
      </x:c>
      <x:c r="D121" s="1"/>
      <x:c r="E121" s="1"/>
      <x:c r="F121" s="1"/>
      <x:c r="G121" s="1"/>
      <x:c r="H121" s="1"/>
      <x:c r="I121" s="1"/>
      <x:c r="J121" s="1"/>
      <x:c r="K121" s="1"/>
    </x:row>
    <x:row r="122" ht="66" customHeight="1">
      <x:c r="A122" s="16" t="str">
        <x:v>FAO WCP guide: Leiognathidae</x:v>
      </x:c>
      <x:c r="B122" s="16" t="str">
        <x:v>Taxa: Leiognathidae; Leiognathus. p.2792, Habitat, biology and fisheries. Family is bottom-living; some deeper species move into midwater at night. Demonstrates heterogeneity relevant to group 24 versus group 27.</x:v>
      </x:c>
      <x:c r="C122" s="25" t="str">
        <x:v>https://www.fao.org/4/y0770e/y0770e03.pdf</x:v>
      </x:c>
      <x:c r="D122" s="1"/>
      <x:c r="E122" s="1"/>
      <x:c r="F122" s="1"/>
      <x:c r="G122" s="1"/>
      <x:c r="H122" s="1"/>
      <x:c r="I122" s="1"/>
      <x:c r="J122" s="1"/>
      <x:c r="K122" s="1"/>
    </x:row>
    <x:row r="123" ht="66" customHeight="1">
      <x:c r="A123" s="16" t="str">
        <x:v>FishBase: Leiognathus equulus</x:v>
      </x:c>
      <x:c r="B123" s="16" t="str">
        <x:v>Taxa: Leiognathidae; Leiognathus. Classification; Environment; Size; Biology. Account currently resolves to L. equula; maximum 28 cm TL; demersal muddy inshore/soft-bottom adults. Name modernization does not prove exclusive benthopelagic membership.</x:v>
      </x:c>
      <x:c r="C123" s="25" t="str">
        <x:v>https://www.fishbase.se/summary/Leiognathus-equulus.html</x:v>
      </x:c>
      <x:c r="D123" s="1"/>
      <x:c r="E123" s="1"/>
      <x:c r="F123" s="1"/>
      <x:c r="G123" s="1"/>
      <x:c r="H123" s="1"/>
      <x:c r="I123" s="1"/>
      <x:c r="J123" s="1"/>
      <x:c r="K123" s="1"/>
    </x:row>
    <x:row r="124" ht="66" customHeight="1">
      <x:c r="A124" s="16" t="str">
        <x:v>WoRMS: Priacanthidae</x:v>
      </x:c>
      <x:c r="B124" s="16" t="str">
        <x:v>Taxa: Priacanthidae. {"scientificname":"Priacanthidae","valid_name":"Priacanthidae","status":"accepted","family":"Priacanthidae","class":"Teleostei","phylum":"Chordata"}</x:v>
      </x:c>
      <x:c r="C124" s="25" t="str">
        <x:v>https://www.marinespecies.org/aphia.php?p=taxdetails&amp;id=125555</x:v>
      </x:c>
      <x:c r="D124" s="1"/>
      <x:c r="E124" s="1"/>
      <x:c r="F124" s="1"/>
      <x:c r="G124" s="1"/>
      <x:c r="H124" s="1"/>
      <x:c r="I124" s="1"/>
      <x:c r="J124" s="1"/>
      <x:c r="K124" s="1"/>
    </x:row>
    <x:row r="125" ht="66" customHeight="1">
      <x:c r="A125" s="16" t="str">
        <x:v>Smith-Vaniz (1999), FAO Western Central Pacific, Carangidae</x:v>
      </x:c>
      <x:c r="B125" s="16" t="str">
        <x:v>Taxa: Carangoides; Caranx. Carangoides and Caranx species accounts. Carangoides includes C. praeustus (22 cm TL maximum) and coastal demersal C. hedlandensis; Caranx includes bottom-associated species.</x:v>
      </x:c>
      <x:c r="C125" s="25" t="str">
        <x:v>https://www.fao.org/4/x2400e/x2400e53.pdf</x:v>
      </x:c>
      <x:c r="D125" s="1"/>
      <x:c r="E125" s="1"/>
      <x:c r="F125" s="1"/>
      <x:c r="G125" s="1"/>
      <x:c r="H125" s="1"/>
      <x:c r="I125" s="1"/>
      <x:c r="J125" s="1"/>
      <x:c r="K125" s="1"/>
    </x:row>
    <x:row r="126" ht="66" customHeight="1">
      <x:c r="A126" s="16" t="str">
        <x:v>FishBase: Lates calcarifer</x:v>
      </x:c>
      <x:c r="B126" s="16" t="str">
        <x:v>Taxa: Lates calcarifer; Latidae. Classification; Environment; Size; Biology. Latidae; demersal coastal/estuarine fish reaching 200 cm TL.</x:v>
      </x:c>
      <x:c r="C126" s="25" t="str">
        <x:v>https://www.fishbase.se/summary/Lates-calcarifer.html</x:v>
      </x:c>
      <x:c r="D126" s="1"/>
      <x:c r="E126" s="1"/>
      <x:c r="F126" s="1"/>
      <x:c r="G126" s="1"/>
      <x:c r="H126" s="1"/>
      <x:c r="I126" s="1"/>
      <x:c r="J126" s="1"/>
      <x:c r="K126" s="1"/>
    </x:row>
    <x:row r="127" ht="66" customHeight="1">
      <x:c r="A127" s="16" t="str">
        <x:v>WoRMS: Epinephelus</x:v>
      </x:c>
      <x:c r="B127" s="16" t="str">
        <x:v>Taxa: Epinephelus. {"scientificname":"Epinephelus","valid_name":"Epinephelus","status":"accepted","family":"Epinephelidae","class":"Teleostei","phylum":"Chordata"}</x:v>
      </x:c>
      <x:c r="C127" s="25" t="str">
        <x:v>https://www.marinespecies.org/aphia.php?p=taxdetails&amp;id=126068</x:v>
      </x:c>
      <x:c r="D127" s="1"/>
      <x:c r="E127" s="1"/>
      <x:c r="F127" s="1"/>
      <x:c r="G127" s="1"/>
      <x:c r="H127" s="1"/>
      <x:c r="I127" s="1"/>
      <x:c r="J127" s="1"/>
      <x:c r="K127" s="1"/>
    </x:row>
    <x:row r="128" ht="66" customHeight="1">
      <x:c r="A128" s="16" t="str">
        <x:v>Heemstra &amp; Randall (1993), FAO Groupers of the world</x:v>
      </x:c>
      <x:c r="B128" s="16" t="str">
        <x:v>Taxa: Epinephelus; Serranidae; Cephalopholis boenak; Epinephelus coioides; Epinephelus maculatus; Epinephelus malabaricus. Epinephelus and Cephalopholis within historical Serranidae, bridging modern Epinephelidae.</x:v>
      </x:c>
      <x:c r="C128" s="25" t="str">
        <x:v>https://www.fao.org/4/t0540e/t0540e00.htm</x:v>
      </x:c>
      <x:c r="D128" s="1"/>
      <x:c r="E128" s="1"/>
      <x:c r="F128" s="1"/>
      <x:c r="G128" s="1"/>
      <x:c r="H128" s="1"/>
      <x:c r="I128" s="1"/>
      <x:c r="J128" s="1"/>
      <x:c r="K128" s="1"/>
    </x:row>
    <x:row r="129" ht="66" customHeight="1">
      <x:c r="A129" s="16" t="str">
        <x:v>WoRMS: Scomber japonicus</x:v>
      </x:c>
      <x:c r="B129" s="16" t="str">
        <x:v>Taxa: Scomber japonicus. {"scientificname":"Scomber japonicus","valid_name":"Scomber japonicus","status":"accepted","family":"Scombridae","class":"Teleostei","phylum":"Chordata"}</x:v>
      </x:c>
      <x:c r="C129" s="25" t="str">
        <x:v>https://www.marinespecies.org/aphia.php?p=taxdetails&amp;id=127022</x:v>
      </x:c>
      <x:c r="D129" s="1"/>
      <x:c r="E129" s="1"/>
      <x:c r="F129" s="1"/>
      <x:c r="G129" s="1"/>
      <x:c r="H129" s="1"/>
      <x:c r="I129" s="1"/>
      <x:c r="J129" s="1"/>
      <x:c r="K129" s="1"/>
    </x:row>
    <x:row r="130" ht="66" customHeight="1">
      <x:c r="A130" s="16" t="str">
        <x:v>FishBase: Scomber japonicus</x:v>
      </x:c>
      <x:c r="B130" s="16" t="str">
        <x:v>Taxa: Scomber japonicus. Habitat: Marine;  pelagic-neritic; oceanodromous; first maximum: 64 cm TL. Additional biology checked where material.</x:v>
      </x:c>
      <x:c r="C130" s="25" t="str">
        <x:v>https://www.fishbase.se/summary/Scomber-japonicus.html</x:v>
      </x:c>
      <x:c r="D130" s="1"/>
      <x:c r="E130" s="1"/>
      <x:c r="F130" s="1"/>
      <x:c r="G130" s="1"/>
      <x:c r="H130" s="1"/>
      <x:c r="I130" s="1"/>
      <x:c r="J130" s="1"/>
      <x:c r="K130" s="1"/>
    </x:row>
    <x:row r="131" ht="66" customHeight="1">
      <x:c r="A131" s="16" t="str">
        <x:v>WoRMS: Scomberomorus niphonius</x:v>
      </x:c>
      <x:c r="B131" s="16" t="str">
        <x:v>Taxa: Scomberomorus niphonius. {"scientificname":"Scomberomorus niphonius","valid_name":"Scomberomorus niphonius","status":"accepted","family":"Scombridae","class":"Teleostei","phylum":"Chordata"}</x:v>
      </x:c>
      <x:c r="C131" s="25" t="str">
        <x:v>https://www.marinespecies.org/aphia.php?p=taxdetails&amp;id=273817</x:v>
      </x:c>
      <x:c r="D131" s="1"/>
      <x:c r="E131" s="1"/>
      <x:c r="F131" s="1"/>
      <x:c r="G131" s="1"/>
      <x:c r="H131" s="1"/>
      <x:c r="I131" s="1"/>
      <x:c r="J131" s="1"/>
      <x:c r="K131" s="1"/>
    </x:row>
    <x:row r="132" ht="66" customHeight="1">
      <x:c r="A132" s="16" t="str">
        <x:v>FishBase: Scomberomorus niphonius</x:v>
      </x:c>
      <x:c r="B132" s="16" t="str">
        <x:v>Taxa: Scomberomorus niphonius. Habitat: Marine;  pelagic-neritic; oceanodromous; first maximum: 113 cm TL. Additional biology checked where material.</x:v>
      </x:c>
      <x:c r="C132" s="25" t="str">
        <x:v>https://www.fishbase.se/summary/Scomberomorus-niphonius.html</x:v>
      </x:c>
      <x:c r="D132" s="1"/>
      <x:c r="E132" s="1"/>
      <x:c r="F132" s="1"/>
      <x:c r="G132" s="1"/>
      <x:c r="H132" s="1"/>
      <x:c r="I132" s="1"/>
      <x:c r="J132" s="1"/>
      <x:c r="K132" s="1"/>
    </x:row>
    <x:row r="133" ht="66" customHeight="1">
      <x:c r="A133" s="16" t="str">
        <x:v>WoRMS: Lutjanus malabaricus</x:v>
      </x:c>
      <x:c r="B133" s="16" t="str">
        <x:v>Taxa: Lutjanus malabaricus. {"scientificname":"Lutjanus malabaricus","valid_name":"Lutjanus malabaricus","status":"accepted","family":"Lutjanidae","class":"Teleostei","phylum":"Chordata"}</x:v>
      </x:c>
      <x:c r="C133" s="25" t="str">
        <x:v>https://www.marinespecies.org/aphia.php?p=taxdetails&amp;id=218481</x:v>
      </x:c>
      <x:c r="D133" s="1"/>
      <x:c r="E133" s="1"/>
      <x:c r="F133" s="1"/>
      <x:c r="G133" s="1"/>
      <x:c r="H133" s="1"/>
      <x:c r="I133" s="1"/>
      <x:c r="J133" s="1"/>
      <x:c r="K133" s="1"/>
    </x:row>
    <x:row r="134" ht="66" customHeight="1">
      <x:c r="A134" s="16" t="str">
        <x:v>WoRMS: Pampus</x:v>
      </x:c>
      <x:c r="B134" s="16" t="str">
        <x:v>Taxa: Pampus. {"scientificname":"Pampus","valid_name":"Pampus","status":"accepted","family":"Stromateidae","class":"Teleostei","phylum":"Chordata"}</x:v>
      </x:c>
      <x:c r="C134" s="25" t="str">
        <x:v>https://www.marinespecies.org/aphia.php?p=taxdetails&amp;id=126089</x:v>
      </x:c>
      <x:c r="D134" s="1"/>
      <x:c r="E134" s="1"/>
      <x:c r="F134" s="1"/>
      <x:c r="G134" s="1"/>
      <x:c r="H134" s="1"/>
      <x:c r="I134" s="1"/>
      <x:c r="J134" s="1"/>
      <x:c r="K134" s="1"/>
    </x:row>
    <x:row r="135" ht="66" customHeight="1">
      <x:c r="A135" s="16" t="str">
        <x:v>WoRMS: Thunnus albacares</x:v>
      </x:c>
      <x:c r="B135" s="16" t="str">
        <x:v>Taxa: Thunnus albacares. {"scientificname":"Thunnus albacares","valid_name":"Thunnus albacares","status":"accepted","family":"Scombridae","class":"Teleostei","phylum":"Chordata"}</x:v>
      </x:c>
      <x:c r="C135" s="25" t="str">
        <x:v>https://www.marinespecies.org/aphia.php?p=taxdetails&amp;id=127027</x:v>
      </x:c>
      <x:c r="D135" s="1"/>
      <x:c r="E135" s="1"/>
      <x:c r="F135" s="1"/>
      <x:c r="G135" s="1"/>
      <x:c r="H135" s="1"/>
      <x:c r="I135" s="1"/>
      <x:c r="J135" s="1"/>
      <x:c r="K135" s="1"/>
    </x:row>
    <x:row r="136" ht="66" customHeight="1">
      <x:c r="A136" s="16" t="str">
        <x:v>FishBase: Thunnus albacares</x:v>
      </x:c>
      <x:c r="B136" s="16" t="str">
        <x:v>Taxa: Thunnus albacares. Habitat: Marine; brackish;  pelagic-oceanic; oceanodromous; first maximum: 239 cm FL. Additional biology checked where material.</x:v>
      </x:c>
      <x:c r="C136" s="25" t="str">
        <x:v>https://www.fishbase.se/summary/Thunnus-albacares.html</x:v>
      </x:c>
      <x:c r="D136" s="1"/>
      <x:c r="E136" s="1"/>
      <x:c r="F136" s="1"/>
      <x:c r="G136" s="1"/>
      <x:c r="H136" s="1"/>
      <x:c r="I136" s="1"/>
      <x:c r="J136" s="1"/>
      <x:c r="K136" s="1"/>
    </x:row>
    <x:row r="137" ht="66" customHeight="1">
      <x:c r="A137" s="16" t="str">
        <x:v>WoRMS: Elasmobranchii</x:v>
      </x:c>
      <x:c r="B137" s="16" t="str">
        <x:v>Taxa: Elasmobranchii. {"scientificname":"Elasmobranchii","valid_name":"Elasmobranchii","status":"accepted","family":null,"class":"Elasmobranchii","phylum":"Chordata"}</x:v>
      </x:c>
      <x:c r="C137" s="25" t="str">
        <x:v>https://www.marinespecies.org/aphia.php?p=taxdetails&amp;id=10193</x:v>
      </x:c>
      <x:c r="D137" s="1"/>
      <x:c r="E137" s="1"/>
      <x:c r="F137" s="1"/>
      <x:c r="G137" s="1"/>
      <x:c r="H137" s="1"/>
      <x:c r="I137" s="1"/>
      <x:c r="J137" s="1"/>
      <x:c r="K137" s="1"/>
    </x:row>
    <x:row r="138" ht="66" customHeight="1">
      <x:c r="A138" s="16" t="str">
        <x:v>Smith-Vaniz (1999), FAO Western Central Pacific, Carangidae</x:v>
      </x:c>
      <x:c r="B138" s="16" t="str">
        <x:v>Taxa: Decapterus. Decapterus accounts, pp. 2718–2723. Decapterus accounts vary in depth and include deep-water D. tabl; lengths use FL or TL, and D. maruadsi naming was historically confused with D. russelli.</x:v>
      </x:c>
      <x:c r="C138" s="25" t="str">
        <x:v>https://www.fao.org/4/x2400e/x2400e54.pdf</x:v>
      </x:c>
      <x:c r="D138" s="1"/>
      <x:c r="E138" s="1"/>
      <x:c r="F138" s="1"/>
      <x:c r="G138" s="1"/>
      <x:c r="H138" s="1"/>
      <x:c r="I138" s="1"/>
      <x:c r="J138" s="1"/>
      <x:c r="K138" s="1"/>
    </x:row>
    <x:row r="139" ht="66" customHeight="1">
      <x:c r="A139" s="16" t="str">
        <x:v>Ohshimo et al. (2006), Growth of the round scad Decapterus maruadsi in the East China Sea</x:v>
      </x:c>
      <x:c r="B139" s="16" t="str">
        <x:v>Taxa: Decapterus; Decapterus maruadsi. Abstract, von Bertalanffy growth equation. Estimated asymptotic fork length is 342 mm; this is a growth parameter, not itself an observed maximum.</x:v>
      </x:c>
      <x:c r="C139" s="25" t="str">
        <x:v>https://link.springer.com/article/10.1111/j.1444-2906.2006.01227.x</x:v>
      </x:c>
      <x:c r="D139" s="1"/>
      <x:c r="E139" s="1"/>
      <x:c r="F139" s="1"/>
      <x:c r="G139" s="1"/>
      <x:c r="H139" s="1"/>
      <x:c r="I139" s="1"/>
      <x:c r="J139" s="1"/>
      <x:c r="K139" s="1"/>
    </x:row>
    <x:row r="140" ht="66" customHeight="1">
      <x:c r="A140" s="16" t="str">
        <x:v>Kimura, Katahira &amp; Kuriiwa (2013), The red-fin Decapterus group, with description of D. smithvanizi</x:v>
      </x:c>
      <x:c r="B140" s="16" t="str">
        <x:v>Taxa: Decapterus. Abstract; primary taxonomic revision. D. smithvanizi occurs in the South China Sea; the modern regional species set extends beyond the older FAO accounts.</x:v>
      </x:c>
      <x:c r="C140" s="25" t="str">
        <x:v>https://cir.nii.ac.jp/crid/1360848656233896320</x:v>
      </x:c>
      <x:c r="D140" s="1"/>
      <x:c r="E140" s="1"/>
      <x:c r="F140" s="1"/>
      <x:c r="G140" s="1"/>
      <x:c r="H140" s="1"/>
      <x:c r="I140" s="1"/>
      <x:c r="J140" s="1"/>
      <x:c r="K140" s="1"/>
    </x:row>
    <x:row r="141" ht="66" customHeight="1">
      <x:c r="A141" s="16" t="str">
        <x:v>WoRMS: Squillidae</x:v>
      </x:c>
      <x:c r="B141" s="16" t="str">
        <x:v>Taxa: Squillidae. {"scientificname":"Squillidae","valid_name":"Squillidae","status":"accepted","family":"Squillidae","class":"Malacostraca","phylum":"Arthropoda"}</x:v>
      </x:c>
      <x:c r="C141" s="25" t="str">
        <x:v>https://www.marinespecies.org/aphia.php?p=taxdetails&amp;id=136093</x:v>
      </x:c>
      <x:c r="D141" s="1"/>
      <x:c r="E141" s="1"/>
      <x:c r="F141" s="1"/>
      <x:c r="G141" s="1"/>
      <x:c r="H141" s="1"/>
      <x:c r="I141" s="1"/>
      <x:c r="J141" s="1"/>
      <x:c r="K141" s="1"/>
    </x:row>
    <x:row r="142" ht="66" customHeight="1">
      <x:c r="A142" s="16" t="str">
        <x:v>FAO field guide, Sphyraenidae</x:v>
      </x:c>
      <x:c r="B142" s="16" t="str">
        <x:v>Taxa: Sphyraena; Sphyraenidae. Sphyraena accounts, p. 96. S. forsteri is mainly bottom-associated, whereas S. jello is near-surface; large size does not settle the habitat pool.</x:v>
      </x:c>
      <x:c r="C142" s="25" t="str">
        <x:v>https://www.fao.org/4/r7066e/r7066e20.pdf</x:v>
      </x:c>
      <x:c r="D142" s="1"/>
      <x:c r="E142" s="1"/>
      <x:c r="F142" s="1"/>
      <x:c r="G142" s="1"/>
      <x:c r="H142" s="1"/>
      <x:c r="I142" s="1"/>
      <x:c r="J142" s="1"/>
      <x:c r="K142" s="1"/>
    </x:row>
    <x:row r="143" ht="66" customHeight="1">
      <x:c r="A143" s="16" t="str">
        <x:v>WoRMS: Decapoda</x:v>
      </x:c>
      <x:c r="B143" s="16" t="str">
        <x:v>Taxa: Decapoda. {"scientificname":"Decapoda","valid_name":"Decapoda","status":"accepted","family":null,"class":"Malacostraca","phylum":"Arthropoda"}</x:v>
      </x:c>
      <x:c r="C143" s="25" t="str">
        <x:v>https://www.marinespecies.org/aphia.php?p=taxdetails&amp;id=1130</x:v>
      </x:c>
      <x:c r="D143" s="1"/>
      <x:c r="E143" s="1"/>
      <x:c r="F143" s="1"/>
      <x:c r="G143" s="1"/>
      <x:c r="H143" s="1"/>
      <x:c r="I143" s="1"/>
      <x:c r="J143" s="1"/>
      <x:c r="K143" s="1"/>
    </x:row>
    <x:row r="144" ht="66" customHeight="1">
      <x:c r="A144" s="16" t="str">
        <x:v>WoRMS: Megalaspis cordyla</x:v>
      </x:c>
      <x:c r="B144" s="16" t="str">
        <x:v>Taxa: Megalaspis cordyla. {"scientificname":"Megalaspis cordyla","valid_name":"Megalaspis cordyla","status":"accepted","family":"Carangidae","class":"Teleostei","phylum":"Chordata"}</x:v>
      </x:c>
      <x:c r="C144" s="25" t="str">
        <x:v>https://www.marinespecies.org/aphia.php?p=taxdetails&amp;id=218430</x:v>
      </x:c>
      <x:c r="D144" s="1"/>
      <x:c r="E144" s="1"/>
      <x:c r="F144" s="1"/>
      <x:c r="G144" s="1"/>
      <x:c r="H144" s="1"/>
      <x:c r="I144" s="1"/>
      <x:c r="J144" s="1"/>
      <x:c r="K144" s="1"/>
    </x:row>
    <x:row r="145" ht="66" customHeight="1">
      <x:c r="A145" s="16" t="str">
        <x:v>FishBase: Megalaspis cordyla</x:v>
      </x:c>
      <x:c r="B145" s="16" t="str">
        <x:v>Taxa: Megalaspis cordyla. Habitat: Marine; brackish;  reef-associated;; first maximum: 80 cm TL. Additional biology checked where material.</x:v>
      </x:c>
      <x:c r="C145" s="25" t="str">
        <x:v>https://www.fishbase.se/summary/Megalaspis-cordyla.html</x:v>
      </x:c>
      <x:c r="D145" s="1"/>
      <x:c r="E145" s="1"/>
      <x:c r="F145" s="1"/>
      <x:c r="G145" s="1"/>
      <x:c r="H145" s="1"/>
      <x:c r="I145" s="1"/>
      <x:c r="J145" s="1"/>
      <x:c r="K145" s="1"/>
    </x:row>
    <x:row r="146" ht="66" customHeight="1">
      <x:c r="A146" s="16" t="str">
        <x:v>World Register of Marine Species</x:v>
      </x:c>
      <x:c r="B146" s="16" t="str">
        <x:v>Taxa: Chondrichthyes. Chondrichthyes/Holocephali classification. Chondrichthyes includes chimaeras as well as elasmobranchs; the source's sharks-and-rays definition is narrower.</x:v>
      </x:c>
      <x:c r="C146" s="25" t="str">
        <x:v>https://www.marinespecies.org/aphia.php?id=10196&amp;p=taxdetails</x:v>
      </x:c>
      <x:c r="D146" s="1"/>
      <x:c r="E146" s="1"/>
      <x:c r="F146" s="1"/>
      <x:c r="G146" s="1"/>
      <x:c r="H146" s="1"/>
      <x:c r="I146" s="1"/>
      <x:c r="J146" s="1"/>
      <x:c r="K146" s="1"/>
    </x:row>
    <x:row r="147" ht="66" customHeight="1">
      <x:c r="A147" s="16" t="str">
        <x:v>WoRMS: Lutjanus</x:v>
      </x:c>
      <x:c r="B147" s="16" t="str">
        <x:v>Taxa: Lutjanus. {"scientificname":"Lutjanus","valid_name":"Lutjanus","status":"accepted","family":"Lutjanidae","class":"Teleostei","phylum":"Chordata"}</x:v>
      </x:c>
      <x:c r="C147" s="25" t="str">
        <x:v>https://www.marinespecies.org/aphia.php?p=taxdetails&amp;id=159791</x:v>
      </x:c>
      <x:c r="D147" s="1"/>
      <x:c r="E147" s="1"/>
      <x:c r="F147" s="1"/>
      <x:c r="G147" s="1"/>
      <x:c r="H147" s="1"/>
      <x:c r="I147" s="1"/>
      <x:c r="J147" s="1"/>
      <x:c r="K147" s="1"/>
    </x:row>
    <x:row r="148" ht="66" customHeight="1">
      <x:c r="A148" s="16" t="str">
        <x:v>Smith-Vaniz (1999), FAO Western Central Pacific, Carangidae</x:v>
      </x:c>
      <x:c r="B148" s="16" t="str">
        <x:v>Taxa: Seriola; Selaroides leptolepis; Scomberoides. Scomberoides pp. 2731–2734; Selaroides p. 2737; Seriola pp. 2738–2741. Queenfishes exceed 30 cm and school pelagically. Selaroides forms demersal schools. Seriola includes both epibenthic and pelagic adults.</x:v>
      </x:c>
      <x:c r="C148" s="25" t="str">
        <x:v>https://www.fao.org/4/x2400e/x2400e55.pdf</x:v>
      </x:c>
      <x:c r="D148" s="1"/>
      <x:c r="E148" s="1"/>
      <x:c r="F148" s="1"/>
      <x:c r="G148" s="1"/>
      <x:c r="H148" s="1"/>
      <x:c r="I148" s="1"/>
      <x:c r="J148" s="1"/>
      <x:c r="K148" s="1"/>
    </x:row>
    <x:row r="149" ht="66" customHeight="1">
      <x:c r="A149" s="16" t="str">
        <x:v>WoRMS: Thunnus tonggol</x:v>
      </x:c>
      <x:c r="B149" s="16" t="str">
        <x:v>Taxa: Thunnus tonggol. {"scientificname":"Thunnus tonggol","valid_name":"Thunnus tonggol","status":"accepted","family":"Scombridae","class":"Teleostei","phylum":"Chordata"}</x:v>
      </x:c>
      <x:c r="C149" s="25" t="str">
        <x:v>https://www.marinespecies.org/aphia.php?p=taxdetails&amp;id=219722</x:v>
      </x:c>
      <x:c r="D149" s="1"/>
      <x:c r="E149" s="1"/>
      <x:c r="F149" s="1"/>
      <x:c r="G149" s="1"/>
      <x:c r="H149" s="1"/>
      <x:c r="I149" s="1"/>
      <x:c r="J149" s="1"/>
      <x:c r="K149" s="1"/>
    </x:row>
    <x:row r="150" ht="66" customHeight="1">
      <x:c r="A150" s="16" t="str">
        <x:v>FishBase: Thunnus tonggol</x:v>
      </x:c>
      <x:c r="B150" s="16" t="str">
        <x:v>Taxa: Thunnus tonggol. Habitat: Marine;  pelagic-neritic; oceanodromous; first maximum: 145 cm FL. Additional biology checked where material.</x:v>
      </x:c>
      <x:c r="C150" s="25" t="str">
        <x:v>https://www.fishbase.se/summary/Thunnus-tonggol.html</x:v>
      </x:c>
      <x:c r="D150" s="1"/>
      <x:c r="E150" s="1"/>
      <x:c r="F150" s="1"/>
      <x:c r="G150" s="1"/>
      <x:c r="H150" s="1"/>
      <x:c r="I150" s="1"/>
      <x:c r="J150" s="1"/>
      <x:c r="K150" s="1"/>
    </x:row>
    <x:row r="151" ht="66" customHeight="1">
      <x:c r="A151" s="16" t="str">
        <x:v>WoRMS: Scomberomorus guttatus</x:v>
      </x:c>
      <x:c r="B151" s="16" t="str">
        <x:v>Taxa: Scomberomorus guttatus. {"scientificname":"Scomberomorus guttatus","valid_name":"Scomberomorus guttatus","status":"accepted","family":"Scombridae","class":"Teleostei","phylum":"Chordata"}</x:v>
      </x:c>
      <x:c r="C151" s="25" t="str">
        <x:v>https://www.marinespecies.org/aphia.php?p=taxdetails&amp;id=219716</x:v>
      </x:c>
      <x:c r="D151" s="1"/>
      <x:c r="E151" s="1"/>
      <x:c r="F151" s="1"/>
      <x:c r="G151" s="1"/>
      <x:c r="H151" s="1"/>
      <x:c r="I151" s="1"/>
      <x:c r="J151" s="1"/>
      <x:c r="K151" s="1"/>
    </x:row>
    <x:row r="152" ht="66" customHeight="1">
      <x:c r="A152" s="16" t="str">
        <x:v>FishBase: Scomberomorus guttatus</x:v>
      </x:c>
      <x:c r="B152" s="16" t="str">
        <x:v>Taxa: Scomberomorus guttatus. Habitat: Marine; brackish;  pelagic-neritic; oceanodromous; first maximum: 81.5 cm FL. Additional biology checked where material.</x:v>
      </x:c>
      <x:c r="C152" s="25" t="str">
        <x:v>https://www.fishbase.se/summary/Scomberomorus-guttatus.html</x:v>
      </x:c>
      <x:c r="D152" s="1"/>
      <x:c r="E152" s="1"/>
      <x:c r="F152" s="1"/>
      <x:c r="G152" s="1"/>
      <x:c r="H152" s="1"/>
      <x:c r="I152" s="1"/>
      <x:c r="J152" s="1"/>
      <x:c r="K152" s="1"/>
    </x:row>
    <x:row r="153" ht="66" customHeight="1">
      <x:c r="A153" s="16" t="str">
        <x:v>WoRMS: Cololabis saira</x:v>
      </x:c>
      <x:c r="B153" s="16" t="str">
        <x:v>Taxa: Cololabis saira. {"scientificname":"Cololabis saira","valid_name":"Cololabis saira","status":"accepted","family":"Scomberesocidae","class":"Teleostei","phylum":"Chordata"}</x:v>
      </x:c>
      <x:c r="C153" s="25" t="str">
        <x:v>https://www.marinespecies.org/aphia.php?p=taxdetails&amp;id=280366</x:v>
      </x:c>
      <x:c r="D153" s="1"/>
      <x:c r="E153" s="1"/>
      <x:c r="F153" s="1"/>
      <x:c r="G153" s="1"/>
      <x:c r="H153" s="1"/>
      <x:c r="I153" s="1"/>
      <x:c r="J153" s="1"/>
      <x:c r="K153" s="1"/>
    </x:row>
    <x:row r="154" ht="66" customHeight="1">
      <x:c r="A154" s="16" t="str">
        <x:v>FishBase: Cololabis saira</x:v>
      </x:c>
      <x:c r="B154" s="16" t="str">
        <x:v>Taxa: Cololabis saira. Habitat: Marine;  pelagic-oceanic; oceanodromous; first maximum: 40 cm SL. Additional biology checked where material.</x:v>
      </x:c>
      <x:c r="C154" s="25" t="str">
        <x:v>https://www.fishbase.se/summary/Cololabis-saira.html</x:v>
      </x:c>
      <x:c r="D154" s="1"/>
      <x:c r="E154" s="1"/>
      <x:c r="F154" s="1"/>
      <x:c r="G154" s="1"/>
      <x:c r="H154" s="1"/>
      <x:c r="I154" s="1"/>
      <x:c r="J154" s="1"/>
      <x:c r="K154" s="1"/>
    </x:row>
    <x:row r="155" ht="66" customHeight="1">
      <x:c r="A155" s="16" t="str">
        <x:v>WoRMS: Ilisha elongata</x:v>
      </x:c>
      <x:c r="B155" s="16" t="str">
        <x:v>Taxa: Ilisha elongata. {"scientificname":"Ilisha elongata","valid_name":"Ilisha elongata","status":"accepted","family":"Pristigasteridae","class":"Teleostei","phylum":"Chordata"}</x:v>
      </x:c>
      <x:c r="C155" s="25" t="str">
        <x:v>https://www.marinespecies.org/aphia.php?p=taxdetails&amp;id=281160</x:v>
      </x:c>
      <x:c r="D155" s="1"/>
      <x:c r="E155" s="1"/>
      <x:c r="F155" s="1"/>
      <x:c r="G155" s="1"/>
      <x:c r="H155" s="1"/>
      <x:c r="I155" s="1"/>
      <x:c r="J155" s="1"/>
      <x:c r="K155" s="1"/>
    </x:row>
    <x:row r="156" ht="66" customHeight="1">
      <x:c r="A156" s="16" t="str">
        <x:v>FishBase: Ilisha elongata</x:v>
      </x:c>
      <x:c r="B156" s="16" t="str">
        <x:v>Taxa: Ilisha elongata. Habitat: Marine; brackish;  pelagic-neritic;; first maximum: 60 cm TL. Additional biology checked where material.</x:v>
      </x:c>
      <x:c r="C156" s="25" t="str">
        <x:v>https://www.fishbase.se/summary/Ilisha-elongata.html</x:v>
      </x:c>
      <x:c r="D156" s="1"/>
      <x:c r="E156" s="1"/>
      <x:c r="F156" s="1"/>
      <x:c r="G156" s="1"/>
      <x:c r="H156" s="1"/>
      <x:c r="I156" s="1"/>
      <x:c r="J156" s="1"/>
      <x:c r="K156" s="1"/>
    </x:row>
    <x:row r="157" ht="66" customHeight="1">
      <x:c r="A157" s="16" t="str">
        <x:v>WoRMS: Sepiida</x:v>
      </x:c>
      <x:c r="B157" s="16" t="str">
        <x:v>Taxa: Sepiida. {"scientificname":"Sepiida","valid_name":"Sepiida","status":"accepted","family":null,"class":"Cephalopoda","phylum":"Mollusca"}</x:v>
      </x:c>
      <x:c r="C157" s="25" t="str">
        <x:v>https://www.marinespecies.org/aphia.php?p=taxdetails&amp;id=11713</x:v>
      </x:c>
      <x:c r="D157" s="1"/>
      <x:c r="E157" s="1"/>
      <x:c r="F157" s="1"/>
      <x:c r="G157" s="1"/>
      <x:c r="H157" s="1"/>
      <x:c r="I157" s="1"/>
      <x:c r="J157" s="1"/>
      <x:c r="K157" s="1"/>
    </x:row>
    <x:row r="158" ht="66" customHeight="1">
      <x:c r="A158" s="16" t="str">
        <x:v>WoRMS: Trichiuridae</x:v>
      </x:c>
      <x:c r="B158" s="16" t="str">
        <x:v>Taxa: Trichiuridae. {"scientificname":"Trichiuridae","valid_name":"Trichiuridae","status":"accepted","family":"Trichiuridae","class":"Teleostei","phylum":"Chordata"}</x:v>
      </x:c>
      <x:c r="C158" s="25" t="str">
        <x:v>https://www.marinespecies.org/aphia.php?p=taxdetails&amp;id=125571</x:v>
      </x:c>
      <x:c r="D158" s="1"/>
      <x:c r="E158" s="1"/>
      <x:c r="F158" s="1"/>
      <x:c r="G158" s="1"/>
      <x:c r="H158" s="1"/>
      <x:c r="I158" s="1"/>
      <x:c r="J158" s="1"/>
      <x:c r="K158" s="1"/>
    </x:row>
    <x:row r="159" ht="66" customHeight="1">
      <x:c r="A159" s="16" t="str">
        <x:v>WoRMS: Saurida</x:v>
      </x:c>
      <x:c r="B159" s="16" t="str">
        <x:v>Taxa: Saurida. {"scientificname":"Saurida","valid_name":"Saurida","status":"accepted","family":"Harpadontidae","class":"Teleostei","phylum":"Chordata"}</x:v>
      </x:c>
      <x:c r="C159" s="25" t="str">
        <x:v>https://www.marinespecies.org/aphia.php?p=taxdetails&amp;id=125685</x:v>
      </x:c>
      <x:c r="D159" s="1"/>
      <x:c r="E159" s="1"/>
      <x:c r="F159" s="1"/>
      <x:c r="G159" s="1"/>
      <x:c r="H159" s="1"/>
      <x:c r="I159" s="1"/>
      <x:c r="J159" s="1"/>
      <x:c r="K159" s="1"/>
    </x:row>
    <x:row r="160" ht="66" customHeight="1">
      <x:c r="A160" s="16" t="str">
        <x:v>WoRMS: Cephalopoda</x:v>
      </x:c>
      <x:c r="B160" s="16" t="str">
        <x:v>Taxa: Cephalopoda. {"scientificname":"Cephalopoda","valid_name":"Cephalopoda","status":"accepted","family":null,"class":"Cephalopoda","phylum":"Mollusca"}</x:v>
      </x:c>
      <x:c r="C160" s="25" t="str">
        <x:v>https://www.marinespecies.org/aphia.php?p=taxdetails&amp;id=11707</x:v>
      </x:c>
      <x:c r="D160" s="1"/>
      <x:c r="E160" s="1"/>
      <x:c r="F160" s="1"/>
      <x:c r="G160" s="1"/>
      <x:c r="H160" s="1"/>
      <x:c r="I160" s="1"/>
      <x:c r="J160" s="1"/>
      <x:c r="K160" s="1"/>
    </x:row>
    <x:row r="161" ht="66" customHeight="1">
      <x:c r="A161" s="16" t="str">
        <x:v>WoRMS: Larimichthys crocea</x:v>
      </x:c>
      <x:c r="B161" s="16" t="str">
        <x:v>Taxa: Larimichthys crocea. {"scientificname":"Larimichthys crocea","valid_name":"Larimichthys crocea","status":"accepted","family":"Sciaenidae","class":"Teleostei","phylum":"Chordata"}</x:v>
      </x:c>
      <x:c r="C161" s="25" t="str">
        <x:v>https://www.marinespecies.org/aphia.php?p=taxdetails&amp;id=281271</x:v>
      </x:c>
      <x:c r="D161" s="1"/>
      <x:c r="E161" s="1"/>
      <x:c r="F161" s="1"/>
      <x:c r="G161" s="1"/>
      <x:c r="H161" s="1"/>
      <x:c r="I161" s="1"/>
      <x:c r="J161" s="1"/>
      <x:c r="K161" s="1"/>
    </x:row>
    <x:row r="162" ht="66" customHeight="1">
      <x:c r="A162" s="16" t="str">
        <x:v>WoRMS: Octopodidae</x:v>
      </x:c>
      <x:c r="B162" s="16" t="str">
        <x:v>Taxa: Octopodidae. {"scientificname":"Octopodidae","valid_name":"Octopodidae","status":"accepted","family":"Octopodidae","class":"Cephalopoda","phylum":"Mollusca"}</x:v>
      </x:c>
      <x:c r="C162" s="25" t="str">
        <x:v>https://www.marinespecies.org/aphia.php?p=taxdetails&amp;id=11782</x:v>
      </x:c>
      <x:c r="D162" s="1"/>
      <x:c r="E162" s="1"/>
      <x:c r="F162" s="1"/>
      <x:c r="G162" s="1"/>
      <x:c r="H162" s="1"/>
      <x:c r="I162" s="1"/>
      <x:c r="J162" s="1"/>
      <x:c r="K162" s="1"/>
    </x:row>
    <x:row r="163" ht="66" customHeight="1">
      <x:c r="A163" s="16" t="str">
        <x:v>WoRMS: Saurida tumbil</x:v>
      </x:c>
      <x:c r="B163" s="16" t="str">
        <x:v>Taxa: Saurida tumbil. {"scientificname":"Saurida tumbil","valid_name":"Saurida tumbil","status":"accepted","family":"Harpadontidae","class":"Teleostei","phylum":"Chordata"}</x:v>
      </x:c>
      <x:c r="C163" s="25" t="str">
        <x:v>https://www.marinespecies.org/aphia.php?p=taxdetails&amp;id=217663</x:v>
      </x:c>
      <x:c r="D163" s="1"/>
      <x:c r="E163" s="1"/>
      <x:c r="F163" s="1"/>
      <x:c r="G163" s="1"/>
      <x:c r="H163" s="1"/>
      <x:c r="I163" s="1"/>
      <x:c r="J163" s="1"/>
      <x:c r="K163" s="1"/>
    </x:row>
    <x:row r="164" ht="66" customHeight="1">
      <x:c r="A164" s="16" t="str">
        <x:v>WoRMS: Euthynnus affinis</x:v>
      </x:c>
      <x:c r="B164" s="16" t="str">
        <x:v>Taxa: Euthynnus affinis. {"scientificname":"Euthynnus affinis","valid_name":"Euthynnus affinis","status":"accepted","family":"Scombridae","class":"Teleostei","phylum":"Chordata"}</x:v>
      </x:c>
      <x:c r="C164" s="25" t="str">
        <x:v>https://www.marinespecies.org/aphia.php?p=taxdetails&amp;id=219708</x:v>
      </x:c>
      <x:c r="D164" s="1"/>
      <x:c r="E164" s="1"/>
      <x:c r="F164" s="1"/>
      <x:c r="G164" s="1"/>
      <x:c r="H164" s="1"/>
      <x:c r="I164" s="1"/>
      <x:c r="J164" s="1"/>
      <x:c r="K164" s="1"/>
    </x:row>
    <x:row r="165" ht="66" customHeight="1">
      <x:c r="A165" s="16" t="str">
        <x:v>FishBase: Euthynnus affinis</x:v>
      </x:c>
      <x:c r="B165" s="16" t="str">
        <x:v>Taxa: Euthynnus affinis. Habitat: Marine;  pelagic-neritic; oceanodromous; first maximum: 100 cm FL. Additional biology checked where material.</x:v>
      </x:c>
      <x:c r="C165" s="25" t="str">
        <x:v>https://www.fishbase.se/summary/Euthynnus-affinis.html</x:v>
      </x:c>
      <x:c r="D165" s="1"/>
      <x:c r="E165" s="1"/>
      <x:c r="F165" s="1"/>
      <x:c r="G165" s="1"/>
      <x:c r="H165" s="1"/>
      <x:c r="I165" s="1"/>
      <x:c r="J165" s="1"/>
      <x:c r="K165" s="1"/>
    </x:row>
    <x:row r="166" ht="66" customHeight="1">
      <x:c r="A166" s="16" t="str">
        <x:v>FishBase: Netuma thalassina</x:v>
      </x:c>
      <x:c r="B166" s="16" t="str">
        <x:v>Taxa: Ariidae; Netuma thalassina. Classification; Environment; Size; Biology. Ariidae; demersal marine/estuarine species well above 30 cm TL.</x:v>
      </x:c>
      <x:c r="C166" s="25" t="str">
        <x:v>https://www.fishbase.se/summary/Netuma-thalassina.html</x:v>
      </x:c>
      <x:c r="D166" s="1"/>
      <x:c r="E166" s="1"/>
      <x:c r="F166" s="1"/>
      <x:c r="G166" s="1"/>
      <x:c r="H166" s="1"/>
      <x:c r="I166" s="1"/>
      <x:c r="J166" s="1"/>
      <x:c r="K166" s="1"/>
    </x:row>
    <x:row r="167" ht="66" customHeight="1">
      <x:c r="A167" s="16" t="str">
        <x:v>FishBase: Arius venosus</x:v>
      </x:c>
      <x:c r="B167" s="16" t="str">
        <x:v>Taxa: Ariidae. Classification; Environment; Size; Biology. Ariidae; demersal, maximum 30 cm TL, southern China to Indonesia and Mekong delta.</x:v>
      </x:c>
      <x:c r="C167" s="25" t="str">
        <x:v>https://www.fishbase.se/country/CountrySpeciesSummary.php?c_code=458&amp;genusname=Arius&amp;speciesname=venosus</x:v>
      </x:c>
      <x:c r="D167" s="1"/>
      <x:c r="E167" s="1"/>
      <x:c r="F167" s="1"/>
      <x:c r="G167" s="1"/>
      <x:c r="H167" s="1"/>
      <x:c r="I167" s="1"/>
      <x:c r="J167" s="1"/>
      <x:c r="K167" s="1"/>
    </x:row>
    <x:row r="168" ht="66" customHeight="1">
      <x:c r="A168" s="16" t="str">
        <x:v>WoRMS: Carcharhinus</x:v>
      </x:c>
      <x:c r="B168" s="16" t="str">
        <x:v>Taxa: Carcharhinus. {"scientificname":"Carcharhinus","valid_name":"Carcharhinus","status":"accepted","family":"Carcharhinidae","class":"Elasmobranchii","phylum":"Chordata"}</x:v>
      </x:c>
      <x:c r="C168" s="25" t="str">
        <x:v>https://www.marinespecies.org/aphia.php?p=taxdetails&amp;id=105719</x:v>
      </x:c>
      <x:c r="D168" s="1"/>
      <x:c r="E168" s="1"/>
      <x:c r="F168" s="1"/>
      <x:c r="G168" s="1"/>
      <x:c r="H168" s="1"/>
      <x:c r="I168" s="1"/>
      <x:c r="J168" s="1"/>
      <x:c r="K168" s="1"/>
    </x:row>
    <x:row r="169" ht="66" customHeight="1">
      <x:c r="A169" s="16" t="str">
        <x:v>WoRMS: Elagatis bipinnulata</x:v>
      </x:c>
      <x:c r="B169" s="16" t="str">
        <x:v>Taxa: Elagatis bipinnulata. {"scientificname":"Elagatis bipinnulata","valid_name":"Elagatis bipinnulata","status":"accepted","family":"Carangidae","class":"Teleostei","phylum":"Chordata"}</x:v>
      </x:c>
      <x:c r="C169" s="25" t="str">
        <x:v>https://www.marinespecies.org/aphia.php?p=taxdetails&amp;id=126809</x:v>
      </x:c>
      <x:c r="D169" s="1"/>
      <x:c r="E169" s="1"/>
      <x:c r="F169" s="1"/>
      <x:c r="G169" s="1"/>
      <x:c r="H169" s="1"/>
      <x:c r="I169" s="1"/>
      <x:c r="J169" s="1"/>
      <x:c r="K169" s="1"/>
    </x:row>
    <x:row r="170" ht="66" customHeight="1">
      <x:c r="A170" s="16" t="str">
        <x:v>FishBase: Elagatis bipinnulata</x:v>
      </x:c>
      <x:c r="B170" s="16" t="str">
        <x:v>Taxa: Elagatis bipinnulata. Habitat: Marine;  reef-associated;; first maximum: 180 cm TL. Additional biology checked where material.</x:v>
      </x:c>
      <x:c r="C170" s="25" t="str">
        <x:v>https://www.fishbase.se/summary/Elagatis-bipinnulata.html</x:v>
      </x:c>
      <x:c r="D170" s="1"/>
      <x:c r="E170" s="1"/>
      <x:c r="F170" s="1"/>
      <x:c r="G170" s="1"/>
      <x:c r="H170" s="1"/>
      <x:c r="I170" s="1"/>
      <x:c r="J170" s="1"/>
      <x:c r="K170" s="1"/>
    </x:row>
    <x:row r="171" ht="66" customHeight="1">
      <x:c r="A171" s="16" t="str">
        <x:v>WoRMS: Octopoda</x:v>
      </x:c>
      <x:c r="B171" s="16" t="str">
        <x:v>Taxa: Octopoda. {"scientificname":"Octopoda","valid_name":"Octopoda","status":"accepted","family":null,"class":"Cephalopoda","phylum":"Mollusca"}</x:v>
      </x:c>
      <x:c r="C171" s="25" t="str">
        <x:v>https://www.marinespecies.org/aphia.php?p=taxdetails&amp;id=11718</x:v>
      </x:c>
      <x:c r="D171" s="1"/>
      <x:c r="E171" s="1"/>
      <x:c r="F171" s="1"/>
      <x:c r="G171" s="1"/>
      <x:c r="H171" s="1"/>
      <x:c r="I171" s="1"/>
      <x:c r="J171" s="1"/>
      <x:c r="K171" s="1"/>
    </x:row>
    <x:row r="172" ht="66" customHeight="1">
      <x:c r="A172" s="16" t="str">
        <x:v>FishBase: Miichthys miiuy</x:v>
      </x:c>
      <x:c r="B172" s="16" t="str">
        <x:v>Taxa: Miichthys miiuy. Classification; Environment; Size; Biology. Sciaenidae; demersal mud-bottom species, maximum 73.8 cm SL.</x:v>
      </x:c>
      <x:c r="C172" s="25" t="str">
        <x:v>https://www.fishbase.se/summary/Miichthys-miiuy.html</x:v>
      </x:c>
      <x:c r="D172" s="1"/>
      <x:c r="E172" s="1"/>
      <x:c r="F172" s="1"/>
      <x:c r="G172" s="1"/>
      <x:c r="H172" s="1"/>
      <x:c r="I172" s="1"/>
      <x:c r="J172" s="1"/>
      <x:c r="K172" s="1"/>
    </x:row>
    <x:row r="173" ht="66" customHeight="1">
      <x:c r="A173" s="16" t="str">
        <x:v>WoRMS: Lutjanus johnii</x:v>
      </x:c>
      <x:c r="B173" s="16" t="str">
        <x:v>Taxa: Lutjanus johnii. {"scientificname":"Lutjanus johnii","valid_name":"Lutjanus johnii","status":"accepted","family":"Lutjanidae","class":"Teleostei","phylum":"Chordata"}</x:v>
      </x:c>
      <x:c r="C173" s="25" t="str">
        <x:v>https://www.marinespecies.org/aphia.php?p=taxdetails&amp;id=218496</x:v>
      </x:c>
      <x:c r="D173" s="1"/>
      <x:c r="E173" s="1"/>
      <x:c r="F173" s="1"/>
      <x:c r="G173" s="1"/>
      <x:c r="H173" s="1"/>
      <x:c r="I173" s="1"/>
      <x:c r="J173" s="1"/>
      <x:c r="K173" s="1"/>
    </x:row>
    <x:row r="174" ht="66" customHeight="1">
      <x:c r="A174" s="16" t="str">
        <x:v>WoRMS: Engraulidae</x:v>
      </x:c>
      <x:c r="B174" s="16" t="str">
        <x:v>Taxa: Engraulidae. {"scientificname":"Engraulidae","valid_name":"Engraulidae","status":"accepted","family":"Engraulidae","class":"Teleostei","phylum":"Chordata"}</x:v>
      </x:c>
      <x:c r="C174" s="25" t="str">
        <x:v>https://www.marinespecies.org/aphia.php?p=taxdetails&amp;id=125465</x:v>
      </x:c>
      <x:c r="D174" s="1"/>
      <x:c r="E174" s="1"/>
      <x:c r="F174" s="1"/>
      <x:c r="G174" s="1"/>
      <x:c r="H174" s="1"/>
      <x:c r="I174" s="1"/>
      <x:c r="J174" s="1"/>
      <x:c r="K174" s="1"/>
    </x:row>
    <x:row r="175" ht="66" customHeight="1">
      <x:c r="A175" s="16" t="str">
        <x:v>FishBase: Coilia nasus</x:v>
      </x:c>
      <x:c r="B175" s="16" t="str">
        <x:v>Taxa: Engraulidae. Taxon-specific boundary evidence described in the rationale.</x:v>
      </x:c>
      <x:c r="C175" s="25" t="str">
        <x:v>https://www.fishbase.se/summary/Coilia-nasus.html</x:v>
      </x:c>
      <x:c r="D175" s="1"/>
      <x:c r="E175" s="1"/>
      <x:c r="F175" s="1"/>
      <x:c r="G175" s="1"/>
      <x:c r="H175" s="1"/>
      <x:c r="I175" s="1"/>
      <x:c r="J175" s="1"/>
      <x:c r="K175" s="1"/>
    </x:row>
    <x:row r="176" ht="87" customHeight="1">
      <x:c r="A176" s="16" t="str">
        <x:v>Retained catch reporting metadata and current assignment</x:v>
      </x:c>
      <x:c r="B176" s="16" t="str">
        <x:v>Taxa: Engraulidae; Dasyatidae. Catch common_name = Anchovies, round herrings; functional_group = Small pelagics (&lt;30 cm); commercial_group = Anchovies. Context narrows the reporting interpretation but is not a documented species exclusion. Catch functional_group = Large rays (&gt;=90 cm); commercial_group = Sharks &amp; rays. Reporting context does not itself establish a purely demersal family subset.</x:v>
      </x:c>
      <x:c r="C176" s="25" t="str">
        <x:v>regions/LME_036/validation_reports/36_1_South_China_Sea_SCS-2007_Northern_South_China_Sea_(2000s)/confidence_reassessment_20260930/existing_high_medium_input.json</x:v>
      </x:c>
      <x:c r="D176" s="1"/>
      <x:c r="E176" s="1"/>
      <x:c r="F176" s="1"/>
      <x:c r="G176" s="1"/>
      <x:c r="H176" s="1"/>
      <x:c r="I176" s="1"/>
      <x:c r="J176" s="1"/>
      <x:c r="K176" s="1"/>
    </x:row>
    <x:row r="177" ht="66" customHeight="1">
      <x:c r="A177" s="16" t="str">
        <x:v>WoRMS: Nemipterus hexodon</x:v>
      </x:c>
      <x:c r="B177" s="16" t="str">
        <x:v>Taxa: Nemipterus hexodon. {"scientificname":"Nemipterus hexodon","valid_name":"Nemipterus hexodon","status":"accepted","family":"Nemipteridae","class":"Teleostei","phylum":"Chordata"}</x:v>
      </x:c>
      <x:c r="C177" s="25" t="str">
        <x:v>https://www.marinespecies.org/aphia.php?p=taxdetails&amp;id=278124</x:v>
      </x:c>
      <x:c r="D177" s="1"/>
      <x:c r="E177" s="1"/>
      <x:c r="F177" s="1"/>
      <x:c r="G177" s="1"/>
      <x:c r="H177" s="1"/>
      <x:c r="I177" s="1"/>
      <x:c r="J177" s="1"/>
      <x:c r="K177" s="1"/>
    </x:row>
    <x:row r="178" ht="72" customHeight="1">
      <x:c r="A178" s="16" t="str">
        <x:v>FishBase: Upeneus moluccensis</x:v>
      </x:c>
      <x:c r="B178" s="16" t="str">
        <x:v>Taxa: Mullidae; Upeneus moluccensis. Classification; Environment; Size; Biology. Mullidae; maximum 22.5 cm TL; Indo-West Pacific muddy coastal bottom species. Habitat: Marine; brackish;  reef-associated;; first maximum: 22.5 cm TL. Additional biology checked where material.</x:v>
      </x:c>
      <x:c r="C178" s="25" t="str">
        <x:v>https://www.fishbase.se/summary/Upeneus-moluccensis.html</x:v>
      </x:c>
      <x:c r="D178" s="1"/>
      <x:c r="E178" s="1"/>
      <x:c r="F178" s="1"/>
      <x:c r="G178" s="1"/>
      <x:c r="H178" s="1"/>
      <x:c r="I178" s="1"/>
      <x:c r="J178" s="1"/>
      <x:c r="K178" s="1"/>
    </x:row>
    <x:row r="179" ht="66" customHeight="1">
      <x:c r="A179" s="16" t="str">
        <x:v>FishBase: Parupeneus barberinus</x:v>
      </x:c>
      <x:c r="B179" s="16" t="str">
        <x:v>Taxa: Mullidae; Parupeneus barberinus. Classification; Environment; Size; Biology. Mullidae; maximum 60 cm TL; adults forage on sand-dwelling invertebrates.</x:v>
      </x:c>
      <x:c r="C179" s="25" t="str">
        <x:v>https://www.fishbase.se/summary/Parupeneus-barberinus.html</x:v>
      </x:c>
      <x:c r="D179" s="1"/>
      <x:c r="E179" s="1"/>
      <x:c r="F179" s="1"/>
      <x:c r="G179" s="1"/>
      <x:c r="H179" s="1"/>
      <x:c r="I179" s="1"/>
      <x:c r="J179" s="1"/>
      <x:c r="K179" s="1"/>
    </x:row>
    <x:row r="180" ht="66" customHeight="1">
      <x:c r="A180" s="16" t="str">
        <x:v>WoRMS: Nemipteridae</x:v>
      </x:c>
      <x:c r="B180" s="16" t="str">
        <x:v>Taxa: Nemipteridae. {"scientificname":"Nemipteridae","valid_name":"Nemipteridae","status":"accepted","family":"Nemipteridae","class":"Teleostei","phylum":"Chordata"}</x:v>
      </x:c>
      <x:c r="C180" s="25" t="str">
        <x:v>https://www.marinespecies.org/aphia.php?p=taxdetails&amp;id=151459</x:v>
      </x:c>
      <x:c r="D180" s="1"/>
      <x:c r="E180" s="1"/>
      <x:c r="F180" s="1"/>
      <x:c r="G180" s="1"/>
      <x:c r="H180" s="1"/>
      <x:c r="I180" s="1"/>
      <x:c r="J180" s="1"/>
      <x:c r="K180" s="1"/>
    </x:row>
    <x:row r="181" ht="66" customHeight="1">
      <x:c r="A181" s="16" t="str">
        <x:v>WoRMS: Trichiurus</x:v>
      </x:c>
      <x:c r="B181" s="16" t="str">
        <x:v>Taxa: Trichiurus. {"scientificname":"Trichiurus","valid_name":"Trichiurus","status":"accepted","family":"Trichiuridae","class":"Teleostei","phylum":"Chordata"}</x:v>
      </x:c>
      <x:c r="C181" s="25" t="str">
        <x:v>https://www.marinespecies.org/aphia.php?p=taxdetails&amp;id=126098</x:v>
      </x:c>
      <x:c r="D181" s="1"/>
      <x:c r="E181" s="1"/>
      <x:c r="F181" s="1"/>
      <x:c r="G181" s="1"/>
      <x:c r="H181" s="1"/>
      <x:c r="I181" s="1"/>
      <x:c r="J181" s="1"/>
      <x:c r="K181" s="1"/>
    </x:row>
    <x:row r="182" ht="66" customHeight="1">
      <x:c r="A182" s="16" t="str">
        <x:v>WoRMS: Serranidae</x:v>
      </x:c>
      <x:c r="B182" s="16" t="str">
        <x:v>Taxa: Serranidae. {"scientificname":"Serranidae","valid_name":"Serranidae","status":"accepted","family":"Serranidae","class":"Teleostei","phylum":"Chordata"}</x:v>
      </x:c>
      <x:c r="C182" s="25" t="str">
        <x:v>https://www.marinespecies.org/aphia.php?p=taxdetails&amp;id=125561</x:v>
      </x:c>
      <x:c r="D182" s="1"/>
      <x:c r="E182" s="1"/>
      <x:c r="F182" s="1"/>
      <x:c r="G182" s="1"/>
      <x:c r="H182" s="1"/>
      <x:c r="I182" s="1"/>
      <x:c r="J182" s="1"/>
      <x:c r="K182" s="1"/>
    </x:row>
    <x:row r="183" ht="66" customHeight="1">
      <x:c r="A183" s="16" t="str">
        <x:v>WoRMS: Carcharhinidae</x:v>
      </x:c>
      <x:c r="B183" s="16" t="str">
        <x:v>Taxa: Carcharhinidae. {"scientificname":"Carcharhinidae","valid_name":"Carcharhinidae","status":"accepted","family":"Carcharhinidae","class":"Elasmobranchii","phylum":"Chordata"}</x:v>
      </x:c>
      <x:c r="C183" s="25" t="str">
        <x:v>https://www.marinespecies.org/aphia.php?p=taxdetails&amp;id=105689</x:v>
      </x:c>
      <x:c r="D183" s="1"/>
      <x:c r="E183" s="1"/>
      <x:c r="F183" s="1"/>
      <x:c r="G183" s="1"/>
      <x:c r="H183" s="1"/>
      <x:c r="I183" s="1"/>
      <x:c r="J183" s="1"/>
      <x:c r="K183" s="1"/>
    </x:row>
    <x:row r="184" ht="66" customHeight="1">
      <x:c r="A184" s="16" t="str">
        <x:v>WoRMS: Cephalopholis boenak</x:v>
      </x:c>
      <x:c r="B184" s="16" t="str">
        <x:v>Taxa: Cephalopholis boenak. {"scientificname":"Cephalopholis boenak","valid_name":"Cephalopholis boenak","status":"accepted","family":"Epinephelidae","class":"Teleostei","phylum":"Chordata"}</x:v>
      </x:c>
      <x:c r="C184" s="25" t="str">
        <x:v>https://www.marinespecies.org/aphia.php?p=taxdetails&amp;id=218182</x:v>
      </x:c>
      <x:c r="D184" s="1"/>
      <x:c r="E184" s="1"/>
      <x:c r="F184" s="1"/>
      <x:c r="G184" s="1"/>
      <x:c r="H184" s="1"/>
      <x:c r="I184" s="1"/>
      <x:c r="J184" s="1"/>
      <x:c r="K184" s="1"/>
    </x:row>
    <x:row r="185" ht="66" customHeight="1">
      <x:c r="A185" s="16" t="str">
        <x:v>D. J. Bray, Fishes of Australia: Caranx bucculentus</x:v>
      </x:c>
      <x:c r="B185" s="16" t="str">
        <x:v>Taxa: Caranx. Habitat and biology. A regional Caranx species occupies sandy inshore/prawn-trawl habitats and feeds on benthic animals; counterexample to genus-wide pelagic-only containment.</x:v>
      </x:c>
      <x:c r="C185" s="25" t="str">
        <x:v>https://fishesofaustralia.net.au/home/species/3716</x:v>
      </x:c>
      <x:c r="D185" s="1"/>
      <x:c r="E185" s="1"/>
      <x:c r="F185" s="1"/>
      <x:c r="G185" s="1"/>
      <x:c r="H185" s="1"/>
      <x:c r="I185" s="1"/>
      <x:c r="J185" s="1"/>
      <x:c r="K185" s="1"/>
    </x:row>
    <x:row r="186" ht="66" customHeight="1">
      <x:c r="A186" s="16" t="str">
        <x:v>WoRMS: Clupeidae</x:v>
      </x:c>
      <x:c r="B186" s="16" t="str">
        <x:v>Taxa: Clupeidae. {"scientificname":"Clupeidae","valid_name":"Clupeidae","status":"accepted","family":"Clupeidae","class":"Teleostei","phylum":"Chordata"}</x:v>
      </x:c>
      <x:c r="C186" s="25" t="str">
        <x:v>https://www.marinespecies.org/aphia.php?p=taxdetails&amp;id=125464</x:v>
      </x:c>
      <x:c r="D186" s="1"/>
      <x:c r="E186" s="1"/>
      <x:c r="F186" s="1"/>
      <x:c r="G186" s="1"/>
      <x:c r="H186" s="1"/>
      <x:c r="I186" s="1"/>
      <x:c r="J186" s="1"/>
      <x:c r="K186" s="1"/>
    </x:row>
    <x:row r="187" ht="66" customHeight="1">
      <x:c r="A187" s="16" t="str">
        <x:v>FishBase: Chirocentrus dorab</x:v>
      </x:c>
      <x:c r="B187" s="16" t="str">
        <x:v>Taxa: Chirocentrus dorab. Classification; Environment; Size; Biology. Chirocentridae; maximum 100 cm SL, a large predatory coastal fish; reef-associated tag does not establish bottom feeding.</x:v>
      </x:c>
      <x:c r="C187" s="25" t="str">
        <x:v>https://www.fishbase.se/summary/Chirocentrus-dorab.html</x:v>
      </x:c>
      <x:c r="D187" s="1"/>
      <x:c r="E187" s="1"/>
      <x:c r="F187" s="1"/>
      <x:c r="G187" s="1"/>
      <x:c r="H187" s="1"/>
      <x:c r="I187" s="1"/>
      <x:c r="J187" s="1"/>
      <x:c r="K187" s="1"/>
    </x:row>
    <x:row r="188" ht="66" customHeight="1">
      <x:c r="A188" s="16" t="str">
        <x:v>FAO: Indonesian marine fish resources</x:v>
      </x:c>
      <x:c r="B188" s="16" t="str">
        <x:v>Taxa: Chirocentrus dorab. p.202, Chirocentridae. Explicitly describes Chirocentrus dorab as coastal pelagic.</x:v>
      </x:c>
      <x:c r="C188" s="25" t="str">
        <x:v>https://www.fao.org/4/an020e/an020e.pdf</x:v>
      </x:c>
      <x:c r="D188" s="1"/>
      <x:c r="E188" s="1"/>
      <x:c r="F188" s="1"/>
      <x:c r="G188" s="1"/>
      <x:c r="H188" s="1"/>
      <x:c r="I188" s="1"/>
      <x:c r="J188" s="1"/>
      <x:c r="K188" s="1"/>
    </x:row>
    <x:row r="189" ht="66" customHeight="1">
      <x:c r="A189" s="16" t="str">
        <x:v>WoRMS: Thunnus obesus</x:v>
      </x:c>
      <x:c r="B189" s="16" t="str">
        <x:v>Taxa: Thunnus obesus. {"scientificname":"Thunnus obesus","valid_name":"Thunnus obesus","status":"accepted","family":"Scombridae","class":"Teleostei","phylum":"Chordata"}</x:v>
      </x:c>
      <x:c r="C189" s="25" t="str">
        <x:v>https://www.marinespecies.org/aphia.php?p=taxdetails&amp;id=127028</x:v>
      </x:c>
      <x:c r="D189" s="1"/>
      <x:c r="E189" s="1"/>
      <x:c r="F189" s="1"/>
      <x:c r="G189" s="1"/>
      <x:c r="H189" s="1"/>
      <x:c r="I189" s="1"/>
      <x:c r="J189" s="1"/>
      <x:c r="K189" s="1"/>
    </x:row>
    <x:row r="190" ht="66" customHeight="1">
      <x:c r="A190" s="16" t="str">
        <x:v>FishBase: Thunnus obesus</x:v>
      </x:c>
      <x:c r="B190" s="16" t="str">
        <x:v>Taxa: Thunnus obesus. Habitat: Marine;  pelagic-oceanic; oceanodromous; first maximum: 250 cm TL. Additional biology checked where material.</x:v>
      </x:c>
      <x:c r="C190" s="25" t="str">
        <x:v>https://www.fishbase.se/summary/Thunnus-obesus.html</x:v>
      </x:c>
      <x:c r="D190" s="1"/>
      <x:c r="E190" s="1"/>
      <x:c r="F190" s="1"/>
      <x:c r="G190" s="1"/>
      <x:c r="H190" s="1"/>
      <x:c r="I190" s="1"/>
      <x:c r="J190" s="1"/>
      <x:c r="K190" s="1"/>
    </x:row>
    <x:row r="191" ht="66" customHeight="1">
      <x:c r="A191" s="16" t="str">
        <x:v>WoRMS: Dendrobranchiata</x:v>
      </x:c>
      <x:c r="B191" s="16" t="str">
        <x:v>Taxa: Dendrobranchiata. {"scientificname":"Dendrobranchiata","valid_name":"Dendrobranchiata","status":"accepted","family":null,"class":"Malacostraca","phylum":"Arthropoda"}</x:v>
      </x:c>
      <x:c r="C191" s="25" t="str">
        <x:v>https://www.marinespecies.org/aphia.php?p=taxdetails&amp;id=106669</x:v>
      </x:c>
      <x:c r="D191" s="1"/>
      <x:c r="E191" s="1"/>
      <x:c r="F191" s="1"/>
      <x:c r="G191" s="1"/>
      <x:c r="H191" s="1"/>
      <x:c r="I191" s="1"/>
      <x:c r="J191" s="1"/>
      <x:c r="K191" s="1"/>
    </x:row>
    <x:row r="192" ht="66" customHeight="1">
      <x:c r="A192" s="16" t="str">
        <x:v>WoRMS: Penaeus merguiensis</x:v>
      </x:c>
      <x:c r="B192" s="16" t="str">
        <x:v>Taxa: Penaeus merguiensis. {"scientificname":"Penaeus merguiensis","valid_name":"Penaeus (Fenneropenaeus) merguiensis","status":"superseded combination","family":"Penaeidae","class":"Malacostraca","phylum":"Arthropoda"}</x:v>
      </x:c>
      <x:c r="C192" s="25" t="str">
        <x:v>https://www.marinespecies.org/aphia.php?p=taxdetails&amp;id=210377</x:v>
      </x:c>
      <x:c r="D192" s="1"/>
      <x:c r="E192" s="1"/>
      <x:c r="F192" s="1"/>
      <x:c r="G192" s="1"/>
      <x:c r="H192" s="1"/>
      <x:c r="I192" s="1"/>
      <x:c r="J192" s="1"/>
      <x:c r="K192" s="1"/>
    </x:row>
    <x:row r="193" ht="66" customHeight="1">
      <x:c r="A193" s="16" t="str">
        <x:v>FAO WCP guide: Psettodidae</x:v>
      </x:c>
      <x:c r="B193" s="16" t="str">
        <x:v>Taxa: Psettodes erumei; Pleuronectiformes; Psettodidae. pp.3792–3793, Psettodes erumei. One regional psettodid species; maximum about 60 cm total length, mud/sand bottom at 1–100 m.</x:v>
      </x:c>
      <x:c r="C193" s="25" t="str">
        <x:v>https://www.fao.org/docrep/pdf/009/y0870e/y0870e43.pdf</x:v>
      </x:c>
      <x:c r="D193" s="1"/>
      <x:c r="E193" s="1"/>
      <x:c r="F193" s="1"/>
      <x:c r="G193" s="1"/>
      <x:c r="H193" s="1"/>
      <x:c r="I193" s="1"/>
      <x:c r="J193" s="1"/>
      <x:c r="K193" s="1"/>
    </x:row>
    <x:row r="194" ht="66" customHeight="1">
      <x:c r="A194" s="16" t="str">
        <x:v>WoRMS: Selar crumenophthalmus</x:v>
      </x:c>
      <x:c r="B194" s="16" t="str">
        <x:v>Taxa: Selar crumenophthalmus. {"scientificname":"Selar crumenophthalmus","valid_name":"Selar crumenophthalmus","status":"accepted","family":"Carangidae","class":"Teleostei","phylum":"Chordata"}</x:v>
      </x:c>
      <x:c r="C194" s="25" t="str">
        <x:v>https://www.marinespecies.org/aphia.php?p=taxdetails&amp;id=159646</x:v>
      </x:c>
      <x:c r="D194" s="1"/>
      <x:c r="E194" s="1"/>
      <x:c r="F194" s="1"/>
      <x:c r="G194" s="1"/>
      <x:c r="H194" s="1"/>
      <x:c r="I194" s="1"/>
      <x:c r="J194" s="1"/>
      <x:c r="K194" s="1"/>
    </x:row>
    <x:row r="195" ht="66" customHeight="1">
      <x:c r="A195" s="16" t="str">
        <x:v>FishBase: Selar crumenophthalmus</x:v>
      </x:c>
      <x:c r="B195" s="16" t="str">
        <x:v>Taxa: Selar crumenophthalmus. Habitat: Marine;  reef-associated;; first maximum: 70 cm TL. Additional biology checked where material.</x:v>
      </x:c>
      <x:c r="C195" s="25" t="str">
        <x:v>https://www.fishbase.se/summary/Selar-crumenophthalmus.html</x:v>
      </x:c>
      <x:c r="D195" s="1"/>
      <x:c r="E195" s="1"/>
      <x:c r="F195" s="1"/>
      <x:c r="G195" s="1"/>
      <x:c r="H195" s="1"/>
      <x:c r="I195" s="1"/>
      <x:c r="J195" s="1"/>
      <x:c r="K195" s="1"/>
    </x:row>
    <x:row r="196" ht="66" customHeight="1">
      <x:c r="A196" s="16" t="str">
        <x:v>WoRMS: Sardinella</x:v>
      </x:c>
      <x:c r="B196" s="16" t="str">
        <x:v>Taxa: Sardinella. {"scientificname":"Sardinella","valid_name":"Sardinella","status":"accepted","family":"Dorosomatidae","class":"Teleostei","phylum":"Chordata"}</x:v>
      </x:c>
      <x:c r="C196" s="25" t="str">
        <x:v>https://www.marinespecies.org/aphia.php?p=taxdetails&amp;id=125721</x:v>
      </x:c>
      <x:c r="D196" s="1"/>
      <x:c r="E196" s="1"/>
      <x:c r="F196" s="1"/>
      <x:c r="G196" s="1"/>
      <x:c r="H196" s="1"/>
      <x:c r="I196" s="1"/>
      <x:c r="J196" s="1"/>
      <x:c r="K196" s="1"/>
    </x:row>
    <x:row r="197" ht="66" customHeight="1">
      <x:c r="A197" s="16" t="str">
        <x:v>FishBase: Sardinella aurita</x:v>
      </x:c>
      <x:c r="B197" s="16" t="str">
        <x:v>Taxa: Sardinella. Species-level boundary evidence described in the rationale.</x:v>
      </x:c>
      <x:c r="C197" s="25" t="str">
        <x:v>https://www.fishbase.se/summary/Sardinella-aurita.html</x:v>
      </x:c>
      <x:c r="D197" s="1"/>
      <x:c r="E197" s="1"/>
      <x:c r="F197" s="1"/>
      <x:c r="G197" s="1"/>
      <x:c r="H197" s="1"/>
      <x:c r="I197" s="1"/>
      <x:c r="J197" s="1"/>
      <x:c r="K197" s="1"/>
    </x:row>
    <x:row r="198" ht="66" customHeight="1">
      <x:c r="A198" s="16" t="str">
        <x:v>WoRMS: Rhizostomeae</x:v>
      </x:c>
      <x:c r="B198" s="16" t="str">
        <x:v>Taxa: Rhizostomeae. {"scientificname":"Rhizostomeae","valid_name":"Rhizostomeae","status":"accepted","family":null,"class":"Scyphozoa","phylum":"Cnidaria"}</x:v>
      </x:c>
      <x:c r="C198" s="25" t="str">
        <x:v>https://www.marinespecies.org/aphia.php?p=taxdetails&amp;id=135224</x:v>
      </x:c>
      <x:c r="D198" s="1"/>
      <x:c r="E198" s="1"/>
      <x:c r="F198" s="1"/>
      <x:c r="G198" s="1"/>
      <x:c r="H198" s="1"/>
      <x:c r="I198" s="1"/>
      <x:c r="J198" s="1"/>
      <x:c r="K198" s="1"/>
    </x:row>
    <x:row r="199" ht="66" customHeight="1">
      <x:c r="A199" s="16" t="str">
        <x:v>WoRMS: Stolephorus</x:v>
      </x:c>
      <x:c r="B199" s="16" t="str">
        <x:v>Taxa: Stolephorus. {"scientificname":"Stolephorus","valid_name":"Stolephorus","status":"accepted","family":"Engraulidae","class":"Teleostei","phylum":"Chordata"}</x:v>
      </x:c>
      <x:c r="C199" s="25" t="str">
        <x:v>https://www.marinespecies.org/aphia.php?p=taxdetails&amp;id=206924</x:v>
      </x:c>
      <x:c r="D199" s="1"/>
      <x:c r="E199" s="1"/>
      <x:c r="F199" s="1"/>
      <x:c r="G199" s="1"/>
      <x:c r="H199" s="1"/>
      <x:c r="I199" s="1"/>
      <x:c r="J199" s="1"/>
      <x:c r="K199" s="1"/>
    </x:row>
    <x:row r="200" ht="66" customHeight="1">
      <x:c r="A200" s="16" t="str">
        <x:v>FishBase Stolephorus inventory</x:v>
      </x:c>
      <x:c r="B200" s="16" t="str">
        <x:v>Taxa: Stolephorus. Maximum size and length convention reviewed across the retrieved genus inventory.</x:v>
      </x:c>
      <x:c r="C200" s="25" t="str">
        <x:v>https://www.fishbase.se/identification/SpeciesList.php?genus=Stolephorus</x:v>
      </x:c>
      <x:c r="D200" s="1"/>
      <x:c r="E200" s="1"/>
      <x:c r="F200" s="1"/>
      <x:c r="G200" s="1"/>
      <x:c r="H200" s="1"/>
      <x:c r="I200" s="1"/>
      <x:c r="J200" s="1"/>
      <x:c r="K200" s="1"/>
    </x:row>
    <x:row r="201" ht="66" customHeight="1">
      <x:c r="A201" s="16" t="str">
        <x:v>WoRMS: Acetes japonicus</x:v>
      </x:c>
      <x:c r="B201" s="16" t="str">
        <x:v>Taxa: Acetes japonicus. {"scientificname":"Acetes japonicus","valid_name":"Acetes japonicus","status":"accepted","family":"Sergestidae","class":"Malacostraca","phylum":"Arthropoda"}</x:v>
      </x:c>
      <x:c r="C201" s="25" t="str">
        <x:v>https://www.marinespecies.org/aphia.php?p=taxdetails&amp;id=210646</x:v>
      </x:c>
      <x:c r="D201" s="1"/>
      <x:c r="E201" s="1"/>
      <x:c r="F201" s="1"/>
      <x:c r="G201" s="1"/>
      <x:c r="H201" s="1"/>
      <x:c r="I201" s="1"/>
      <x:c r="J201" s="1"/>
      <x:c r="K201" s="1"/>
    </x:row>
    <x:row r="202" ht="66" customHeight="1">
      <x:c r="A202" s="16" t="str">
        <x:v>WoRMS: Penaeidae</x:v>
      </x:c>
      <x:c r="B202" s="16" t="str">
        <x:v>Taxa: Penaeidae. {"scientificname":"Penaeidae","valid_name":"Penaeidae","status":"accepted","family":"Penaeidae","class":"Malacostraca","phylum":"Arthropoda"}</x:v>
      </x:c>
      <x:c r="C202" s="25" t="str">
        <x:v>https://www.marinespecies.org/aphia.php?p=taxdetails&amp;id=106727</x:v>
      </x:c>
      <x:c r="D202" s="1"/>
      <x:c r="E202" s="1"/>
      <x:c r="F202" s="1"/>
      <x:c r="G202" s="1"/>
      <x:c r="H202" s="1"/>
      <x:c r="I202" s="1"/>
      <x:c r="J202" s="1"/>
      <x:c r="K202" s="1"/>
    </x:row>
    <x:row r="203" ht="66" customHeight="1">
      <x:c r="A203" s="16" t="str">
        <x:v>WoRMS: Pennahia</x:v>
      </x:c>
      <x:c r="B203" s="16" t="str">
        <x:v>Taxa: Pennahia. {"scientificname":"Pennahia","valid_name":"Pennahia","status":"accepted","family":"Sciaenidae","class":"Teleostei","phylum":"Chordata"}</x:v>
      </x:c>
      <x:c r="C203" s="25" t="str">
        <x:v>https://www.marinespecies.org/aphia.php?p=taxdetails&amp;id=270328</x:v>
      </x:c>
      <x:c r="D203" s="1"/>
      <x:c r="E203" s="1"/>
      <x:c r="F203" s="1"/>
      <x:c r="G203" s="1"/>
      <x:c r="H203" s="1"/>
      <x:c r="I203" s="1"/>
      <x:c r="J203" s="1"/>
      <x:c r="K203" s="1"/>
    </x:row>
    <x:row r="204" ht="66" customHeight="1">
      <x:c r="A204" s="16" t="str">
        <x:v>WoRMS: Nemipterus virgatus</x:v>
      </x:c>
      <x:c r="B204" s="16" t="str">
        <x:v>Taxa: Nemipterus virgatus. {"scientificname":"Nemipterus virgatus","valid_name":"Nemipterus virgatus","status":"accepted","family":"Nemipteridae","class":"Teleostei","phylum":"Chordata"}</x:v>
      </x:c>
      <x:c r="C204" s="25" t="str">
        <x:v>https://www.marinespecies.org/aphia.php?p=taxdetails&amp;id=278133</x:v>
      </x:c>
      <x:c r="D204" s="1"/>
      <x:c r="E204" s="1"/>
      <x:c r="F204" s="1"/>
      <x:c r="G204" s="1"/>
      <x:c r="H204" s="1"/>
      <x:c r="I204" s="1"/>
      <x:c r="J204" s="1"/>
      <x:c r="K204" s="1"/>
    </x:row>
    <x:row r="205" ht="66" customHeight="1">
      <x:c r="A205" s="16" t="str">
        <x:v>WoRMS: Rhopilema esculentum</x:v>
      </x:c>
      <x:c r="B205" s="16" t="str">
        <x:v>Taxa: Rhopilema esculentum. {"scientificname":"Rhopilema esculentum","valid_name":"Rhopilema esculentum","status":"accepted","family":"Rhizostomatidae","class":"Scyphozoa","phylum":"Cnidaria"}</x:v>
      </x:c>
      <x:c r="C205" s="25" t="str">
        <x:v>https://www.marinespecies.org/aphia.php?p=taxdetails&amp;id=287187</x:v>
      </x:c>
      <x:c r="D205" s="1"/>
      <x:c r="E205" s="1"/>
      <x:c r="F205" s="1"/>
      <x:c r="G205" s="1"/>
      <x:c r="H205" s="1"/>
      <x:c r="I205" s="1"/>
      <x:c r="J205" s="1"/>
      <x:c r="K205" s="1"/>
    </x:row>
    <x:row r="206" ht="66" customHeight="1">
      <x:c r="A206" s="16" t="str">
        <x:v>WoRMS: Pristipomoides</x:v>
      </x:c>
      <x:c r="B206" s="16" t="str">
        <x:v>Taxa: Pristipomoides. {"scientificname":"Pristipomoides","valid_name":"Pristipomoides","status":"accepted","family":"Lutjanidae","class":"Teleostei","phylum":"Chordata"}</x:v>
      </x:c>
      <x:c r="C206" s="25" t="str">
        <x:v>https://www.marinespecies.org/aphia.php?p=taxdetails&amp;id=159804</x:v>
      </x:c>
      <x:c r="D206" s="1"/>
      <x:c r="E206" s="1"/>
      <x:c r="F206" s="1"/>
      <x:c r="G206" s="1"/>
      <x:c r="H206" s="1"/>
      <x:c r="I206" s="1"/>
      <x:c r="J206" s="1"/>
      <x:c r="K206" s="1"/>
    </x:row>
    <x:row r="207" ht="66" customHeight="1">
      <x:c r="A207" s="16" t="str">
        <x:v>FAO Western Central Pacific, Chirocentridae</x:v>
      </x:c>
      <x:c r="B207" s="16" t="str">
        <x:v>Taxa: Chirocentrus. Family and both species accounts, pp. 1771–1774. Both Chirocentrus species are coastal pelagic wolf herrings reaching approximately 100 cm SL.</x:v>
      </x:c>
      <x:c r="C207" s="25" t="str">
        <x:v>https://www.fao.org/4/x2401e/x2401e28.pdf</x:v>
      </x:c>
      <x:c r="D207" s="1"/>
      <x:c r="E207" s="1"/>
      <x:c r="F207" s="1"/>
      <x:c r="G207" s="1"/>
      <x:c r="H207" s="1"/>
      <x:c r="I207" s="1"/>
      <x:c r="J207" s="1"/>
      <x:c r="K207" s="1"/>
    </x:row>
    <x:row r="208" ht="72" customHeight="1">
      <x:c r="A208" s="16" t="str">
        <x:v>FAO species catalogue: Fusilier fishes of the world</x:v>
      </x:c>
      <x:c r="B208" s="16" t="str">
        <x:v>Taxa: Caesionidae. Caesionidae catalogue and species accounts. Fusiliers are source-era Caesionidae, schooling midwater reef planktivores, with genera/species crossing 30 cm. Source-era taxonomy must be reconciled with current Caesioninae/Lutjanidae before dedicated snapper placement.</x:v>
      </x:c>
      <x:c r="C208" s="25" t="str">
        <x:v>https://www.fao.org/4/t0046e/t0046e00.htm</x:v>
      </x:c>
      <x:c r="D208" s="1"/>
      <x:c r="E208" s="1"/>
      <x:c r="F208" s="1"/>
      <x:c r="G208" s="1"/>
      <x:c r="H208" s="1"/>
      <x:c r="I208" s="1"/>
      <x:c r="J208" s="1"/>
      <x:c r="K208" s="1"/>
    </x:row>
    <x:row r="209" ht="66" customHeight="1">
      <x:c r="A209" s="16" t="str">
        <x:v>FAO fusilier catalogue, Caesio accounts</x:v>
      </x:c>
      <x:c r="B209" s="16" t="str">
        <x:v>Taxa: Caesionidae; Caesio. Caesio accounts, around p.45. Midwater reef zooplanktivory makes exclusive bottom-demersal assignment questionable.</x:v>
      </x:c>
      <x:c r="C209" s="25" t="str">
        <x:v>https://www.fao.org/4/t0046e/T0046E06.pdf</x:v>
      </x:c>
      <x:c r="D209" s="1"/>
      <x:c r="E209" s="1"/>
      <x:c r="F209" s="1"/>
      <x:c r="G209" s="1"/>
      <x:c r="H209" s="1"/>
      <x:c r="I209" s="1"/>
      <x:c r="J209" s="1"/>
      <x:c r="K209" s="1"/>
    </x:row>
    <x:row r="210" ht="66" customHeight="1">
      <x:c r="A210" s="16" t="str">
        <x:v>FAO fusilier catalogue, Pterocaesio accounts</x:v>
      </x:c>
      <x:c r="B210" s="16" t="str">
        <x:v>Taxa: Caesionidae. Pterocaesio accounts. Includes species with maximum 25 cm, unlike large Caesio.</x:v>
      </x:c>
      <x:c r="C210" s="25" t="str">
        <x:v>https://www.fao.org/4/t0046e/T0046E09.pdf</x:v>
      </x:c>
      <x:c r="D210" s="1"/>
      <x:c r="E210" s="1"/>
      <x:c r="F210" s="1"/>
      <x:c r="G210" s="1"/>
      <x:c r="H210" s="1"/>
      <x:c r="I210" s="1"/>
      <x:c r="J210" s="1"/>
      <x:c r="K210" s="1"/>
    </x:row>
    <x:row r="211" ht="66" customHeight="1">
      <x:c r="A211" s="16" t="str">
        <x:v>FishBase: Caesio cuning</x:v>
      </x:c>
      <x:c r="B211" s="16" t="str">
        <x:v>Taxa: Caesionidae; Caesio. Classification; Environment; Size; Biology. Current taxonomy Lutjanidae/Caesioninae; maximum 60 cm TL; traditional family Caesionidae in cited 1987 revision. Modern taxonomy alone cannot silently expand Cheung's snapper definition.</x:v>
      </x:c>
      <x:c r="C211" s="25" t="str">
        <x:v>https://www.fishbase.se/summary/Caesio-cuning.html</x:v>
      </x:c>
      <x:c r="D211" s="1"/>
      <x:c r="E211" s="1"/>
      <x:c r="F211" s="1"/>
      <x:c r="G211" s="1"/>
      <x:c r="H211" s="1"/>
      <x:c r="I211" s="1"/>
      <x:c r="J211" s="1"/>
      <x:c r="K211" s="1"/>
    </x:row>
    <x:row r="212" ht="66" customHeight="1">
      <x:c r="A212" s="16" t="str">
        <x:v>WoRMS: Trachysalambria curvirostris</x:v>
      </x:c>
      <x:c r="B212" s="16" t="str">
        <x:v>Taxa: Trachysalambria curvirostris. {"scientificname":"Trachysalambria curvirostris","valid_name":"Trachysalambria curvirostris","status":"accepted","family":"Penaeidae","class":"Malacostraca","phylum":"Arthropoda"}</x:v>
      </x:c>
      <x:c r="C212" s="25" t="str">
        <x:v>https://www.marinespecies.org/aphia.php?p=taxdetails&amp;id=107113</x:v>
      </x:c>
      <x:c r="D212" s="1"/>
      <x:c r="E212" s="1"/>
      <x:c r="F212" s="1"/>
      <x:c r="G212" s="1"/>
      <x:c r="H212" s="1"/>
      <x:c r="I212" s="1"/>
      <x:c r="J212" s="1"/>
      <x:c r="K212" s="1"/>
    </x:row>
    <x:row r="213" ht="66" customHeight="1">
      <x:c r="A213" s="16" t="str">
        <x:v>FishBase: Cantherhines pardalis</x:v>
      </x:c>
      <x:c r="B213" s="16" t="str">
        <x:v>Taxa: Monacanthidae. Classification; Environment; Size; Biology. Monacanthidae; maximum 25 cm TL, Indo-West Pacific including Philippines; bottom feeding and surface-weed association.</x:v>
      </x:c>
      <x:c r="C213" s="25" t="str">
        <x:v>https://www.fishbase.se/summary/Cantherhines-pardalis.html</x:v>
      </x:c>
      <x:c r="D213" s="1"/>
      <x:c r="E213" s="1"/>
      <x:c r="F213" s="1"/>
      <x:c r="G213" s="1"/>
      <x:c r="H213" s="1"/>
      <x:c r="I213" s="1"/>
      <x:c r="J213" s="1"/>
      <x:c r="K213" s="1"/>
    </x:row>
    <x:row r="214" ht="66" customHeight="1">
      <x:c r="A214" s="16" t="str">
        <x:v>FishBase: Aluterus monoceros</x:v>
      </x:c>
      <x:c r="B214" s="16" t="str">
        <x:v>Taxa: Monacanthidae; Aluterus. Classification; Environment; Size; Biology. 76.2 cm TL, explicitly benthopelagic; pelagic juveniles and adult weed-raft schools demonstrate that benthic prey alone is insufficient for exclusively demersal placement.</x:v>
      </x:c>
      <x:c r="C214" s="25" t="str">
        <x:v>https://www.fishbase.se/summary/Aluterus-monoceros.html</x:v>
      </x:c>
      <x:c r="D214" s="1"/>
      <x:c r="E214" s="1"/>
      <x:c r="F214" s="1"/>
      <x:c r="G214" s="1"/>
      <x:c r="H214" s="1"/>
      <x:c r="I214" s="1"/>
      <x:c r="J214" s="1"/>
      <x:c r="K214" s="1"/>
    </x:row>
    <x:row r="215" ht="66" customHeight="1">
      <x:c r="A215" s="16" t="str">
        <x:v>WoRMS: Decapterus macrosoma</x:v>
      </x:c>
      <x:c r="B215" s="16" t="str">
        <x:v>Taxa: Decapterus macrosoma. {"scientificname":"Decapterus macrosoma","valid_name":"Decapterus macrosoma","status":"accepted","family":"Carangidae","class":"Teleostei","phylum":"Chordata"}</x:v>
      </x:c>
      <x:c r="C215" s="25" t="str">
        <x:v>https://www.marinespecies.org/aphia.php?p=taxdetails&amp;id=218426</x:v>
      </x:c>
      <x:c r="D215" s="1"/>
      <x:c r="E215" s="1"/>
      <x:c r="F215" s="1"/>
      <x:c r="G215" s="1"/>
      <x:c r="H215" s="1"/>
      <x:c r="I215" s="1"/>
      <x:c r="J215" s="1"/>
      <x:c r="K215" s="1"/>
    </x:row>
    <x:row r="216" ht="66" customHeight="1">
      <x:c r="A216" s="16" t="str">
        <x:v>FishBase: Decapterus macrosoma</x:v>
      </x:c>
      <x:c r="B216" s="16" t="str">
        <x:v>Taxa: Decapterus macrosoma. Habitat: Marine;  reef-associated;; first maximum: 35 cm TL. Additional biology checked where material.</x:v>
      </x:c>
      <x:c r="C216" s="25" t="str">
        <x:v>https://www.fishbase.se/summary/Decapterus-macrosoma.html</x:v>
      </x:c>
      <x:c r="D216" s="1"/>
      <x:c r="E216" s="1"/>
      <x:c r="F216" s="1"/>
      <x:c r="G216" s="1"/>
      <x:c r="H216" s="1"/>
      <x:c r="I216" s="1"/>
      <x:c r="J216" s="1"/>
      <x:c r="K216" s="1"/>
    </x:row>
    <x:row r="217" ht="66" customHeight="1">
      <x:c r="A217" s="16" t="str">
        <x:v>WoRMS: Caranx ignobilis</x:v>
      </x:c>
      <x:c r="B217" s="16" t="str">
        <x:v>Taxa: Caranx ignobilis. {"scientificname":"Caranx ignobilis","valid_name":"Caranx ignobilis","status":"accepted","family":"Carangidae","class":"Teleostei","phylum":"Chordata"}</x:v>
      </x:c>
      <x:c r="C217" s="25" t="str">
        <x:v>https://www.marinespecies.org/aphia.php?p=taxdetails&amp;id=218414</x:v>
      </x:c>
      <x:c r="D217" s="1"/>
      <x:c r="E217" s="1"/>
      <x:c r="F217" s="1"/>
      <x:c r="G217" s="1"/>
      <x:c r="H217" s="1"/>
      <x:c r="I217" s="1"/>
      <x:c r="J217" s="1"/>
      <x:c r="K217" s="1"/>
    </x:row>
    <x:row r="218" ht="66" customHeight="1">
      <x:c r="A218" s="16" t="str">
        <x:v>FishBase: Caranx ignobilis</x:v>
      </x:c>
      <x:c r="B218" s="16" t="str">
        <x:v>Taxa: Caranx ignobilis. Habitat: Marine; brackish;  reef-associated;; first maximum: 170 cm TL. Additional biology checked where material.</x:v>
      </x:c>
      <x:c r="C218" s="25" t="str">
        <x:v>https://www.fishbase.se/summary/Caranx-ignobilis.html</x:v>
      </x:c>
      <x:c r="D218" s="1"/>
      <x:c r="E218" s="1"/>
      <x:c r="F218" s="1"/>
      <x:c r="G218" s="1"/>
      <x:c r="H218" s="1"/>
      <x:c r="I218" s="1"/>
      <x:c r="J218" s="1"/>
      <x:c r="K218" s="1"/>
    </x:row>
    <x:row r="219" ht="66" customHeight="1">
      <x:c r="A219" s="16" t="str">
        <x:v>NOAA habitat review</x:v>
      </x:c>
      <x:c r="B219" s="16" t="str">
        <x:v>Taxa: Caranx ignobilis. Adult/postsettlement habitat classified benthic or benthopelagic.</x:v>
      </x:c>
      <x:c r="C219" s="25" t="str">
        <x:v>https://downloads.regulations.gov/NOAA-NMFS-2015-0056-0002/content.pdf</x:v>
      </x:c>
      <x:c r="D219" s="1"/>
      <x:c r="E219" s="1"/>
      <x:c r="F219" s="1"/>
      <x:c r="G219" s="1"/>
      <x:c r="H219" s="1"/>
      <x:c r="I219" s="1"/>
      <x:c r="J219" s="1"/>
      <x:c r="K219" s="1"/>
    </x:row>
    <x:row r="220" ht="66" customHeight="1">
      <x:c r="A220" s="16" t="str">
        <x:v>WoRMS: Dasyatis</x:v>
      </x:c>
      <x:c r="B220" s="16" t="str">
        <x:v>Taxa: Dasyatis. {"scientificname":"Dasyatis","valid_name":"Dasyatis","status":"accepted","family":"Dasyatidae","class":"Elasmobranchii","phylum":"Chordata"}</x:v>
      </x:c>
      <x:c r="C220" s="25" t="str">
        <x:v>https://www.marinespecies.org/aphia.php?p=taxdetails&amp;id=105751</x:v>
      </x:c>
      <x:c r="D220" s="1"/>
      <x:c r="E220" s="1"/>
      <x:c r="F220" s="1"/>
      <x:c r="G220" s="1"/>
      <x:c r="H220" s="1"/>
      <x:c r="I220" s="1"/>
      <x:c r="J220" s="1"/>
      <x:c r="K220" s="1"/>
    </x:row>
    <x:row r="221" ht="66" customHeight="1">
      <x:c r="A221" s="16" t="str">
        <x:v>WoRMS: Dasyatis violacea</x:v>
      </x:c>
      <x:c r="B221" s="16" t="str">
        <x:v>Taxa: Dasyatis. Historical genus included Pteroplatytrygon violacea.</x:v>
      </x:c>
      <x:c r="C221" s="25" t="str">
        <x:v>https://www.marinespecies.org/aphia.php?id=105853&amp;p=taxdetails</x:v>
      </x:c>
      <x:c r="D221" s="1"/>
      <x:c r="E221" s="1"/>
      <x:c r="F221" s="1"/>
      <x:c r="G221" s="1"/>
      <x:c r="H221" s="1"/>
      <x:c r="I221" s="1"/>
      <x:c r="J221" s="1"/>
      <x:c r="K221" s="1"/>
    </x:row>
    <x:row r="222" ht="66" customHeight="1">
      <x:c r="A222" s="16" t="str">
        <x:v>WoRMS: Himantura</x:v>
      </x:c>
      <x:c r="B222" s="16" t="str">
        <x:v>Taxa: Himantura. {"scientificname":"Himantura","valid_name":"Himantura","status":"accepted","family":"Dasyatidae","class":"Elasmobranchii","phylum":"Chordata"}</x:v>
      </x:c>
      <x:c r="C222" s="25" t="str">
        <x:v>https://www.marinespecies.org/aphia.php?p=taxdetails&amp;id=105752</x:v>
      </x:c>
      <x:c r="D222" s="1"/>
      <x:c r="E222" s="1"/>
      <x:c r="F222" s="1"/>
      <x:c r="G222" s="1"/>
      <x:c r="H222" s="1"/>
      <x:c r="I222" s="1"/>
      <x:c r="J222" s="1"/>
      <x:c r="K222" s="1"/>
    </x:row>
    <x:row r="223" ht="66" customHeight="1">
      <x:c r="A223" s="16" t="str">
        <x:v>FishBase Himantura inventory</x:v>
      </x:c>
      <x:c r="B223" s="16" t="str">
        <x:v>Taxa: Himantura. Genus composition and reported length metrics reviewed.</x:v>
      </x:c>
      <x:c r="C223" s="25" t="str">
        <x:v>https://www.fishbase.se/identification/SpeciesList.php?genus=Himantura</x:v>
      </x:c>
      <x:c r="D223" s="1"/>
      <x:c r="E223" s="1"/>
      <x:c r="F223" s="1"/>
      <x:c r="G223" s="1"/>
      <x:c r="H223" s="1"/>
      <x:c r="I223" s="1"/>
      <x:c r="J223" s="1"/>
      <x:c r="K223" s="1"/>
    </x:row>
    <x:row r="224" ht="66" customHeight="1">
      <x:c r="A224" s="16" t="str">
        <x:v>FishBase: Himantura uarnak</x:v>
      </x:c>
      <x:c r="B224" s="16" t="str">
        <x:v>Taxa: Himantura. Species-level boundary evidence described in the rationale.</x:v>
      </x:c>
      <x:c r="C224" s="25" t="str">
        <x:v>https://www.fishbase.se/summary/Himantura-uarnak.html</x:v>
      </x:c>
      <x:c r="D224" s="1"/>
      <x:c r="E224" s="1"/>
      <x:c r="F224" s="1"/>
      <x:c r="G224" s="1"/>
      <x:c r="H224" s="1"/>
      <x:c r="I224" s="1"/>
      <x:c r="J224" s="1"/>
      <x:c r="K224" s="1"/>
    </x:row>
    <x:row r="225" ht="66" customHeight="1">
      <x:c r="A225" s="16" t="str">
        <x:v>FishBase: Conger myriaster</x:v>
      </x:c>
      <x:c r="B225" s="16" t="str">
        <x:v>Taxa: Conger myriaster; Anguilliformes; Congridae. Classification; Environment; Size; Biology. Congridae; maximum 100 cm TL; bottom-associated sand/mud habitat. Bathydemersal depth field and coastal biology are not mutually exclusive.</x:v>
      </x:c>
      <x:c r="C225" s="25" t="str">
        <x:v>https://www.fishbase.se/summary/Conger-myriaster.html</x:v>
      </x:c>
      <x:c r="D225" s="1"/>
      <x:c r="E225" s="1"/>
      <x:c r="F225" s="1"/>
      <x:c r="G225" s="1"/>
      <x:c r="H225" s="1"/>
      <x:c r="I225" s="1"/>
      <x:c r="J225" s="1"/>
      <x:c r="K225" s="1"/>
    </x:row>
    <x:row r="226" ht="66" customHeight="1">
      <x:c r="A226" s="16" t="str">
        <x:v>Nakamura (1985), FAO Billfishes of the world</x:v>
      </x:c>
      <x:c r="B226" s="16" t="str">
        <x:v>Taxa: Xiphias gladius. Xiphias gladius, pp. 48–51. Swordfish is a large epi- and mesopelagic species; size is clearly above 30 cm.</x:v>
      </x:c>
      <x:c r="C226" s="25" t="str">
        <x:v>https://www.fao.org/docrep/pdf/009/ac480e/ac480e10.pdf</x:v>
      </x:c>
      <x:c r="D226" s="1"/>
      <x:c r="E226" s="1"/>
      <x:c r="F226" s="1"/>
      <x:c r="G226" s="1"/>
      <x:c r="H226" s="1"/>
      <x:c r="I226" s="1"/>
      <x:c r="J226" s="1"/>
      <x:c r="K226" s="1"/>
    </x:row>
    <x:row r="227" ht="66" customHeight="1">
      <x:c r="A227" s="16" t="str">
        <x:v>WoRMS: Larimichthys polyactis</x:v>
      </x:c>
      <x:c r="B227" s="16" t="str">
        <x:v>Taxa: Larimichthys polyactis. {"scientificname":"Larimichthys polyactis","valid_name":"Larimichthys polyactis","status":"accepted","family":"Sciaenidae","class":"Teleostei","phylum":"Chordata"}</x:v>
      </x:c>
      <x:c r="C227" s="25" t="str">
        <x:v>https://www.marinespecies.org/aphia.php?p=taxdetails&amp;id=281273</x:v>
      </x:c>
      <x:c r="D227" s="1"/>
      <x:c r="E227" s="1"/>
      <x:c r="F227" s="1"/>
      <x:c r="G227" s="1"/>
      <x:c r="H227" s="1"/>
      <x:c r="I227" s="1"/>
      <x:c r="J227" s="1"/>
      <x:c r="K227" s="1"/>
    </x:row>
    <x:row r="228" ht="66" customHeight="1">
      <x:c r="A228" s="16" t="str">
        <x:v>FishBase: Larimichthys polyactis</x:v>
      </x:c>
      <x:c r="B228" s="16" t="str">
        <x:v>Taxa: Larimichthys polyactis. Habitat: Marine;  benthopelagic; oceanodromous; first maximum: 40 cm SL. Additional biology checked where material.</x:v>
      </x:c>
      <x:c r="C228" s="25" t="str">
        <x:v>https://www.fishbase.se/summary/Larimichthys-polyactis.html</x:v>
      </x:c>
      <x:c r="D228" s="1"/>
      <x:c r="E228" s="1"/>
      <x:c r="F228" s="1"/>
      <x:c r="G228" s="1"/>
      <x:c r="H228" s="1"/>
      <x:c r="I228" s="1"/>
      <x:c r="J228" s="1"/>
      <x:c r="K228" s="1"/>
    </x:row>
    <x:row r="229" ht="66" customHeight="1">
      <x:c r="A229" s="16" t="str">
        <x:v>WoRMS: Dussumieria</x:v>
      </x:c>
      <x:c r="B229" s="16" t="str">
        <x:v>Taxa: Dussumieria. {"scientificname":"Dussumieria","valid_name":"Dussumieria","status":"accepted","family":"Dussumieriidae","class":"Teleostei","phylum":"Chordata"}</x:v>
      </x:c>
      <x:c r="C229" s="25" t="str">
        <x:v>https://www.marinespecies.org/aphia.php?p=taxdetails&amp;id=125718</x:v>
      </x:c>
      <x:c r="D229" s="1"/>
      <x:c r="E229" s="1"/>
      <x:c r="F229" s="1"/>
      <x:c r="G229" s="1"/>
      <x:c r="H229" s="1"/>
      <x:c r="I229" s="1"/>
      <x:c r="J229" s="1"/>
      <x:c r="K229" s="1"/>
    </x:row>
    <x:row r="230" ht="66" customHeight="1">
      <x:c r="A230" s="16" t="str">
        <x:v>FishBase Dussumieria inventory</x:v>
      </x:c>
      <x:c r="B230" s="16" t="str">
        <x:v>Taxa: Dussumieria. Maximum size and length convention reviewed across the retrieved genus inventory.</x:v>
      </x:c>
      <x:c r="C230" s="25" t="str">
        <x:v>https://www.fishbase.se/identification/SpeciesList.php?genus=Dussumieria</x:v>
      </x:c>
      <x:c r="D230" s="1"/>
      <x:c r="E230" s="1"/>
      <x:c r="F230" s="1"/>
      <x:c r="G230" s="1"/>
      <x:c r="H230" s="1"/>
      <x:c r="I230" s="1"/>
      <x:c r="J230" s="1"/>
      <x:c r="K230" s="1"/>
    </x:row>
    <x:row r="231" ht="66" customHeight="1">
      <x:c r="A231" s="16" t="str">
        <x:v>WoRMS: Sepia</x:v>
      </x:c>
      <x:c r="B231" s="16" t="str">
        <x:v>Taxa: Sepia. {"scientificname":"Sepia","valid_name":"Sepia","status":"accepted","family":"Sepiidae","class":"Cephalopoda","phylum":"Mollusca"}</x:v>
      </x:c>
      <x:c r="C231" s="25" t="str">
        <x:v>https://www.marinespecies.org/aphia.php?p=taxdetails&amp;id=138477</x:v>
      </x:c>
      <x:c r="D231" s="1"/>
      <x:c r="E231" s="1"/>
      <x:c r="F231" s="1"/>
      <x:c r="G231" s="1"/>
      <x:c r="H231" s="1"/>
      <x:c r="I231" s="1"/>
      <x:c r="J231" s="1"/>
      <x:c r="K231" s="1"/>
    </x:row>
    <x:row r="232" ht="66" customHeight="1">
      <x:c r="A232" s="16" t="str">
        <x:v>FishBase: Paralichthys olivaceus</x:v>
      </x:c>
      <x:c r="B232" s="16" t="str">
        <x:v>Taxa: Paralichthys olivaceus; Paralichthyidae; Pleuronectiformes. Classification; Environment; Size; Biology. Demersal flatfish reaching 103 cm TL, distributed from South China Sea to Japan.</x:v>
      </x:c>
      <x:c r="C232" s="25" t="str">
        <x:v>https://www.fishbase.se/summary/Paralichthys-olivaceus.html</x:v>
      </x:c>
      <x:c r="D232" s="1"/>
      <x:c r="E232" s="1"/>
      <x:c r="F232" s="1"/>
      <x:c r="G232" s="1"/>
      <x:c r="H232" s="1"/>
      <x:c r="I232" s="1"/>
      <x:c r="J232" s="1"/>
      <x:c r="K232" s="1"/>
    </x:row>
    <x:row r="233" ht="66" customHeight="1">
      <x:c r="A233" s="16" t="str">
        <x:v>WoRMS: Priacanthus macracanthus</x:v>
      </x:c>
      <x:c r="B233" s="16" t="str">
        <x:v>Taxa: Priacanthus macracanthus. {"scientificname":"Priacanthus macracanthus","valid_name":"Priacanthus macracanthus","status":"accepted","family":"Priacanthidae","class":"Teleostei","phylum":"Chordata"}</x:v>
      </x:c>
      <x:c r="C233" s="25" t="str">
        <x:v>https://www.marinespecies.org/aphia.php?p=taxdetails&amp;id=273765</x:v>
      </x:c>
      <x:c r="D233" s="1"/>
      <x:c r="E233" s="1"/>
      <x:c r="F233" s="1"/>
      <x:c r="G233" s="1"/>
      <x:c r="H233" s="1"/>
      <x:c r="I233" s="1"/>
      <x:c r="J233" s="1"/>
      <x:c r="K233" s="1"/>
    </x:row>
    <x:row r="234" ht="66" customHeight="1">
      <x:c r="A234" s="16" t="str">
        <x:v>WoRMS: Portunus pelagicus</x:v>
      </x:c>
      <x:c r="B234" s="16" t="str">
        <x:v>Taxa: Portunus pelagicus. {"scientificname":"Portunus pelagicus","valid_name":"Portunus pelagicus","status":"accepted","family":"Portunidae","class":"Malacostraca","phylum":"Arthropoda"}</x:v>
      </x:c>
      <x:c r="C234" s="25" t="str">
        <x:v>https://www.marinespecies.org/aphia.php?p=taxdetails&amp;id=1061754</x:v>
      </x:c>
      <x:c r="D234" s="1"/>
      <x:c r="E234" s="1"/>
      <x:c r="F234" s="1"/>
      <x:c r="G234" s="1"/>
      <x:c r="H234" s="1"/>
      <x:c r="I234" s="1"/>
      <x:c r="J234" s="1"/>
      <x:c r="K234" s="1"/>
    </x:row>
    <x:row r="235" ht="66" customHeight="1">
      <x:c r="A235" s="16" t="str">
        <x:v>FishBase: Muraenesocidae species list</x:v>
      </x:c>
      <x:c r="B235" s="16" t="str">
        <x:v>Taxa: Muraenesox; Muraenesocidae. Species length and distribution table. Regional Congresox, Muraenesox, Oxyconger and Gavialiceps reported maxima all exceed 30 cm TL; known length range includes 60–250 cm for major regional taxa.</x:v>
      </x:c>
      <x:c r="C235" s="25" t="str">
        <x:v>https://www.fishbase.se/identification/SpeciesList.php?famcode=504</x:v>
      </x:c>
      <x:c r="D235" s="1"/>
      <x:c r="E235" s="1"/>
      <x:c r="F235" s="1"/>
      <x:c r="G235" s="1"/>
      <x:c r="H235" s="1"/>
      <x:c r="I235" s="1"/>
      <x:c r="J235" s="1"/>
      <x:c r="K235" s="1"/>
    </x:row>
    <x:row r="236" ht="66" customHeight="1">
      <x:c r="A236" s="16" t="str">
        <x:v>FishBase: Lethrinus variegatus</x:v>
      </x:c>
      <x:c r="B236" s="16" t="str">
        <x:v>Taxa: Lethrinidae; Lethrinus. Classification; Environment; Size; Biology. Reported maximum 20 cm TL, sandy/weedy reef-associated bottom habitat; contrasts with L. miniatus 90 cm TL.</x:v>
      </x:c>
      <x:c r="C236" s="25" t="str">
        <x:v>https://www.fishbase.se/summary/1850</x:v>
      </x:c>
      <x:c r="D236" s="1"/>
      <x:c r="E236" s="1"/>
      <x:c r="F236" s="1"/>
      <x:c r="G236" s="1"/>
      <x:c r="H236" s="1"/>
      <x:c r="I236" s="1"/>
      <x:c r="J236" s="1"/>
      <x:c r="K236" s="1"/>
    </x:row>
    <x:row r="237" ht="66" customHeight="1">
      <x:c r="A237" s="16" t="str">
        <x:v>FishBase: Lethrinus miniatus</x:v>
      </x:c>
      <x:c r="B237" s="16" t="str">
        <x:v>Taxa: Lethrinidae; Lethrinus; Lethrinus miniatus. Classification; Environment; Size; Biology. Lethrinidae; maximum 90 cm TL; reef shelter by day and feeding over sandy seabed at night.</x:v>
      </x:c>
      <x:c r="C237" s="25" t="str">
        <x:v>https://www.fishbase.se/summary/Lethrinus-miniatus.html</x:v>
      </x:c>
      <x:c r="D237" s="1"/>
      <x:c r="E237" s="1"/>
      <x:c r="F237" s="1"/>
      <x:c r="G237" s="1"/>
      <x:c r="H237" s="1"/>
      <x:c r="I237" s="1"/>
      <x:c r="J237" s="1"/>
      <x:c r="K237" s="1"/>
    </x:row>
    <x:row r="238" ht="66" customHeight="1">
      <x:c r="A238" s="16" t="str">
        <x:v>FishBase: Lethrinus species list</x:v>
      </x:c>
      <x:c r="B238" s="16" t="str">
        <x:v>Taxa: Lethrinidae; Lethrinus. Species length/distribution table. Includes small and large emperors; family/genus cannot be assumed entirely &gt; 30 cm TL.</x:v>
      </x:c>
      <x:c r="C238" s="25" t="str">
        <x:v>https://www.fishbase.se/identification/SpeciesList.php?genus=Lethrinus</x:v>
      </x:c>
      <x:c r="D238" s="1"/>
      <x:c r="E238" s="1"/>
      <x:c r="F238" s="1"/>
      <x:c r="G238" s="1"/>
      <x:c r="H238" s="1"/>
      <x:c r="I238" s="1"/>
      <x:c r="J238" s="1"/>
      <x:c r="K238" s="1"/>
    </x:row>
    <x:row r="239" ht="66" customHeight="1">
      <x:c r="A239" s="16" t="str">
        <x:v>WoRMS: Polynemidae</x:v>
      </x:c>
      <x:c r="B239" s="16" t="str">
        <x:v>Taxa: Polynemidae. {"scientificname":"Polynemidae","valid_name":"Polynemidae","status":"accepted","family":"Polynemidae","class":"Teleostei","phylum":"Chordata"}</x:v>
      </x:c>
      <x:c r="C239" s="25" t="str">
        <x:v>https://www.marinespecies.org/aphia.php?p=taxdetails&amp;id=125551</x:v>
      </x:c>
      <x:c r="D239" s="1"/>
      <x:c r="E239" s="1"/>
      <x:c r="F239" s="1"/>
      <x:c r="G239" s="1"/>
      <x:c r="H239" s="1"/>
      <x:c r="I239" s="1"/>
      <x:c r="J239" s="1"/>
      <x:c r="K239" s="1"/>
    </x:row>
    <x:row r="240" ht="66" customHeight="1">
      <x:c r="A240" s="16" t="str">
        <x:v>FAO species catalogue, Polynemidae</x:v>
      </x:c>
      <x:c r="B240" s="16" t="str">
        <x:v>Taxa: Polynemidae. Regional family constituents exceed 30 cm; does not establish their share of the reporting category.</x:v>
      </x:c>
      <x:c r="C240" s="25" t="str">
        <x:v>https://www.fao.org/4/y5398e/y5398e03.pdf</x:v>
      </x:c>
      <x:c r="D240" s="1"/>
      <x:c r="E240" s="1"/>
      <x:c r="F240" s="1"/>
      <x:c r="G240" s="1"/>
      <x:c r="H240" s="1"/>
      <x:c r="I240" s="1"/>
      <x:c r="J240" s="1"/>
      <x:c r="K240" s="1"/>
    </x:row>
    <x:row r="241" ht="66" customHeight="1">
      <x:c r="A241" s="16" t="str">
        <x:v>WoRMS: Tylosurus crocodilus</x:v>
      </x:c>
      <x:c r="B241" s="16" t="str">
        <x:v>Taxa: Tylosurus crocodilus. {"scientificname":"Tylosurus crocodilus","valid_name":"Tylosurus crocodilus","status":"accepted","family":"Belonidae","class":"Teleostei","phylum":"Chordata"}</x:v>
      </x:c>
      <x:c r="C241" s="25" t="str">
        <x:v>https://www.marinespecies.org/aphia.php?p=taxdetails&amp;id=159259</x:v>
      </x:c>
      <x:c r="D241" s="1"/>
      <x:c r="E241" s="1"/>
      <x:c r="F241" s="1"/>
      <x:c r="G241" s="1"/>
      <x:c r="H241" s="1"/>
      <x:c r="I241" s="1"/>
      <x:c r="J241" s="1"/>
      <x:c r="K241" s="1"/>
    </x:row>
    <x:row r="242" ht="66" customHeight="1">
      <x:c r="A242" s="16" t="str">
        <x:v>FishBase: Tylosurus crocodilus</x:v>
      </x:c>
      <x:c r="B242" s="16" t="str">
        <x:v>Taxa: Tylosurus crocodilus. Habitat: Marine;  reef-associated; oceanodromous; first maximum: 150 cm TL. Additional biology checked where material.</x:v>
      </x:c>
      <x:c r="C242" s="25" t="str">
        <x:v>https://www.fishbase.se/summary/Tylosurus-crocodilus.html</x:v>
      </x:c>
      <x:c r="D242" s="1"/>
      <x:c r="E242" s="1"/>
      <x:c r="F242" s="1"/>
      <x:c r="G242" s="1"/>
      <x:c r="H242" s="1"/>
      <x:c r="I242" s="1"/>
      <x:c r="J242" s="1"/>
      <x:c r="K242" s="1"/>
    </x:row>
    <x:row r="243" ht="66" customHeight="1">
      <x:c r="A243" s="16" t="str">
        <x:v>WoRMS: Rastrelliger brachysoma</x:v>
      </x:c>
      <x:c r="B243" s="16" t="str">
        <x:v>Taxa: Rastrelliger brachysoma. {"scientificname":"Rastrelliger brachysoma","valid_name":"Rastrelliger brachysoma","status":"accepted","family":"Scombridae","class":"Teleostei","phylum":"Chordata"}</x:v>
      </x:c>
      <x:c r="C243" s="25" t="str">
        <x:v>https://www.marinespecies.org/aphia.php?p=taxdetails&amp;id=273807</x:v>
      </x:c>
      <x:c r="D243" s="1"/>
      <x:c r="E243" s="1"/>
      <x:c r="F243" s="1"/>
      <x:c r="G243" s="1"/>
      <x:c r="H243" s="1"/>
      <x:c r="I243" s="1"/>
      <x:c r="J243" s="1"/>
      <x:c r="K243" s="1"/>
    </x:row>
    <x:row r="244" ht="66" customHeight="1">
      <x:c r="A244" s="16" t="str">
        <x:v>FishBase: Rastrelliger brachysoma</x:v>
      </x:c>
      <x:c r="B244" s="16" t="str">
        <x:v>Taxa: Rastrelliger brachysoma. Habitat: Marine; brackish;  pelagic-neritic; oceanodromous; first maximum: 34.5 cm FL. Additional biology checked where material.</x:v>
      </x:c>
      <x:c r="C244" s="25" t="str">
        <x:v>https://www.fishbase.se/summary/Rastrelliger-brachysoma.html</x:v>
      </x:c>
      <x:c r="D244" s="1"/>
      <x:c r="E244" s="1"/>
      <x:c r="F244" s="1"/>
      <x:c r="G244" s="1"/>
      <x:c r="H244" s="1"/>
      <x:c r="I244" s="1"/>
      <x:c r="J244" s="1"/>
      <x:c r="K244" s="1"/>
    </x:row>
    <x:row r="245" ht="66" customHeight="1">
      <x:c r="A245" s="16" t="str">
        <x:v>WoRMS: Epinephelus coioides</x:v>
      </x:c>
      <x:c r="B245" s="16" t="str">
        <x:v>Taxa: Epinephelus coioides. {"scientificname":"Epinephelus coioides","valid_name":"Epinephelus coioides","status":"accepted","family":"Epinephelidae","class":"Teleostei","phylum":"Chordata"}</x:v>
      </x:c>
      <x:c r="C245" s="25" t="str">
        <x:v>https://www.marinespecies.org/aphia.php?p=taxdetails&amp;id=218200</x:v>
      </x:c>
      <x:c r="D245" s="1"/>
      <x:c r="E245" s="1"/>
      <x:c r="F245" s="1"/>
      <x:c r="G245" s="1"/>
      <x:c r="H245" s="1"/>
      <x:c r="I245" s="1"/>
      <x:c r="J245" s="1"/>
      <x:c r="K245" s="1"/>
    </x:row>
    <x:row r="246" ht="66" customHeight="1">
      <x:c r="A246" s="16" t="str">
        <x:v>WoRMS: Scyris indica</x:v>
      </x:c>
      <x:c r="B246" s="16" t="str">
        <x:v>Taxa: Scyris indica. {"scientificname":"Scyris indica","valid_name":"Scyris indica","status":"accepted","family":"Carangidae","class":"Teleostei","phylum":"Chordata"}</x:v>
      </x:c>
      <x:c r="C246" s="25" t="str">
        <x:v>https://www.marinespecies.org/aphia.php?p=taxdetails&amp;id=1888072</x:v>
      </x:c>
      <x:c r="D246" s="1"/>
      <x:c r="E246" s="1"/>
      <x:c r="F246" s="1"/>
      <x:c r="G246" s="1"/>
      <x:c r="H246" s="1"/>
      <x:c r="I246" s="1"/>
      <x:c r="J246" s="1"/>
      <x:c r="K246" s="1"/>
    </x:row>
    <x:row r="247" ht="66" customHeight="1">
      <x:c r="A247" s="16" t="str">
        <x:v>FishBase: Scyris indica</x:v>
      </x:c>
      <x:c r="B247" s="16" t="str">
        <x:v>Taxa: Scyris indica. Habitat: Marine; brackish;  reef-associated;; first maximum: 165 cm TL. Additional biology checked where material.</x:v>
      </x:c>
      <x:c r="C247" s="25" t="str">
        <x:v>https://www.fishbase.se/summary/Scyris-indica.html</x:v>
      </x:c>
      <x:c r="D247" s="1"/>
      <x:c r="E247" s="1"/>
      <x:c r="F247" s="1"/>
      <x:c r="G247" s="1"/>
      <x:c r="H247" s="1"/>
      <x:c r="I247" s="1"/>
      <x:c r="J247" s="1"/>
      <x:c r="K247" s="1"/>
    </x:row>
    <x:row r="248" ht="66" customHeight="1">
      <x:c r="A248" s="16" t="str">
        <x:v>WoRMS: Pampus argenteus</x:v>
      </x:c>
      <x:c r="B248" s="16" t="str">
        <x:v>Taxa: Pampus argenteus. {"scientificname":"Pampus argenteus","valid_name":"Pampus argenteus","status":"accepted","family":"Stromateidae","class":"Teleostei","phylum":"Chordata"}</x:v>
      </x:c>
      <x:c r="C248" s="25" t="str">
        <x:v>https://www.marinespecies.org/aphia.php?p=taxdetails&amp;id=127075</x:v>
      </x:c>
      <x:c r="D248" s="1"/>
      <x:c r="E248" s="1"/>
      <x:c r="F248" s="1"/>
      <x:c r="G248" s="1"/>
      <x:c r="H248" s="1"/>
      <x:c r="I248" s="1"/>
      <x:c r="J248" s="1"/>
      <x:c r="K248" s="1"/>
    </x:row>
    <x:row r="249" ht="66" customHeight="1">
      <x:c r="A249" s="16" t="str">
        <x:v>FishBase: Oxyconger leptognathus</x:v>
      </x:c>
      <x:c r="B249" s="16" t="str">
        <x:v>Taxa: Muraenesocidae. Classification; Environment; Size; Biology. Western Pacific muraenesocid; demersal, maximum 60 cm TL.</x:v>
      </x:c>
      <x:c r="C249" s="25" t="str">
        <x:v>https://www.fishbase.se/summary/Oxyconger-leptognathus.html</x:v>
      </x:c>
      <x:c r="D249" s="1"/>
      <x:c r="E249" s="1"/>
      <x:c r="F249" s="1"/>
      <x:c r="G249" s="1"/>
      <x:c r="H249" s="1"/>
      <x:c r="I249" s="1"/>
      <x:c r="J249" s="1"/>
      <x:c r="K249" s="1"/>
    </x:row>
    <x:row r="250" ht="66" customHeight="1">
      <x:c r="A250" s="16" t="str">
        <x:v>WoRMS: Isurus</x:v>
      </x:c>
      <x:c r="B250" s="16" t="str">
        <x:v>Taxa: Isurus. {"scientificname":"Isurus","valid_name":"Isurus","status":"accepted","family":"Lamnidae","class":"Elasmobranchii","phylum":"Chordata"}</x:v>
      </x:c>
      <x:c r="C250" s="25" t="str">
        <x:v>https://www.marinespecies.org/aphia.php?p=taxdetails&amp;id=105743</x:v>
      </x:c>
      <x:c r="D250" s="1"/>
      <x:c r="E250" s="1"/>
      <x:c r="F250" s="1"/>
      <x:c r="G250" s="1"/>
      <x:c r="H250" s="1"/>
      <x:c r="I250" s="1"/>
      <x:c r="J250" s="1"/>
      <x:c r="K250" s="1"/>
    </x:row>
    <x:row r="251" ht="66" customHeight="1">
      <x:c r="A251" s="16" t="str">
        <x:v>FishBase: Isurus paucus</x:v>
      </x:c>
      <x:c r="B251" s="16" t="str">
        <x:v>Taxa: Isurus. Pelagic-oceanic and epipelagic.</x:v>
      </x:c>
      <x:c r="C251" s="25" t="str">
        <x:v>https://www.fishbase.se/summary/Isurus-paucus.html</x:v>
      </x:c>
      <x:c r="D251" s="1"/>
      <x:c r="E251" s="1"/>
      <x:c r="F251" s="1"/>
      <x:c r="G251" s="1"/>
      <x:c r="H251" s="1"/>
      <x:c r="I251" s="1"/>
      <x:c r="J251" s="1"/>
      <x:c r="K251" s="1"/>
    </x:row>
    <x:row r="252" ht="66" customHeight="1">
      <x:c r="A252" s="16" t="str">
        <x:v>FishBase Isurus inventory</x:v>
      </x:c>
      <x:c r="B252" s="16" t="str">
        <x:v>Taxa: Isurus. Two species checked.</x:v>
      </x:c>
      <x:c r="C252" s="25" t="str">
        <x:v>https://www.fishbase.se/identification/SpeciesList.php?genus=Isurus</x:v>
      </x:c>
      <x:c r="D252" s="1"/>
      <x:c r="E252" s="1"/>
      <x:c r="F252" s="1"/>
      <x:c r="G252" s="1"/>
      <x:c r="H252" s="1"/>
      <x:c r="I252" s="1"/>
      <x:c r="J252" s="1"/>
      <x:c r="K252" s="1"/>
    </x:row>
    <x:row r="253" ht="66" customHeight="1">
      <x:c r="A253" s="16" t="str">
        <x:v>WoRMS: Upeneus</x:v>
      </x:c>
      <x:c r="B253" s="16" t="str">
        <x:v>Taxa: Upeneus. {"scientificname":"Upeneus","valid_name":"Upeneus","status":"accepted","family":"Mullidae","class":"Teleostei","phylum":"Chordata"}</x:v>
      </x:c>
      <x:c r="C253" s="25" t="str">
        <x:v>https://www.marinespecies.org/aphia.php?p=taxdetails&amp;id=126036</x:v>
      </x:c>
      <x:c r="D253" s="1"/>
      <x:c r="E253" s="1"/>
      <x:c r="F253" s="1"/>
      <x:c r="G253" s="1"/>
      <x:c r="H253" s="1"/>
      <x:c r="I253" s="1"/>
      <x:c r="J253" s="1"/>
      <x:c r="K253" s="1"/>
    </x:row>
    <x:row r="254" ht="66" customHeight="1">
      <x:c r="A254" s="16" t="str">
        <x:v>FishBase Upeneus inventory</x:v>
      </x:c>
      <x:c r="B254" s="16" t="str">
        <x:v>Taxa: Upeneus. Maximum sizes and length conventions checked across the retrieved inventory.</x:v>
      </x:c>
      <x:c r="C254" s="25" t="str">
        <x:v>https://www.fishbase.se/identification/SpeciesList.php?genus=Upeneus</x:v>
      </x:c>
      <x:c r="D254" s="1"/>
      <x:c r="E254" s="1"/>
      <x:c r="F254" s="1"/>
      <x:c r="G254" s="1"/>
      <x:c r="H254" s="1"/>
      <x:c r="I254" s="1"/>
      <x:c r="J254" s="1"/>
      <x:c r="K254" s="1"/>
    </x:row>
    <x:row r="255" ht="66" customHeight="1">
      <x:c r="A255" s="16" t="str">
        <x:v>FishBase: Upeneus taeniopterus</x:v>
      </x:c>
      <x:c r="B255" s="16" t="str">
        <x:v>Taxa: Upeneus. Taxon-specific boundary evidence described in the rationale.</x:v>
      </x:c>
      <x:c r="C255" s="25" t="str">
        <x:v>https://www.fishbase.se/summary/Upeneus-taeniopterus.html</x:v>
      </x:c>
      <x:c r="D255" s="1"/>
      <x:c r="E255" s="1"/>
      <x:c r="F255" s="1"/>
      <x:c r="G255" s="1"/>
      <x:c r="H255" s="1"/>
      <x:c r="I255" s="1"/>
      <x:c r="J255" s="1"/>
      <x:c r="K255" s="1"/>
    </x:row>
    <x:row r="256" ht="66" customHeight="1">
      <x:c r="A256" s="16" t="str">
        <x:v>FishBase: Pomadasys species list</x:v>
      </x:c>
      <x:c r="B256" s="16" t="str">
        <x:v>Taxa: Pomadasys; Haemulidae. Species table. Regional P. argenteus/argyreus are large, but P. quadrilineatus is a small Northwest Pacific member; small SL is not numerically equated to TL.</x:v>
      </x:c>
      <x:c r="C256" s="25" t="str">
        <x:v>https://www.fishbase.se/identification/SpeciesList.php?genus=Pomadasys</x:v>
      </x:c>
      <x:c r="D256" s="1"/>
      <x:c r="E256" s="1"/>
      <x:c r="F256" s="1"/>
      <x:c r="G256" s="1"/>
      <x:c r="H256" s="1"/>
      <x:c r="I256" s="1"/>
      <x:c r="J256" s="1"/>
      <x:c r="K256" s="1"/>
    </x:row>
    <x:row r="257" ht="66" customHeight="1">
      <x:c r="A257" s="16" t="str">
        <x:v>FishBase: Pomadasys quadrilineatus</x:v>
      </x:c>
      <x:c r="B257" s="16" t="str">
        <x:v>Taxa: Pomadasys; Haemulidae. Classification; Environment; Size; Biology. Haemulidae; East Asian shelf/Taiwan; pelagic-neritic, max 12.3 cm SL. Provides a concrete competing-habitat member; SL is not silently converted to TL.</x:v>
      </x:c>
      <x:c r="C257" s="25" t="str">
        <x:v>https://www.fishbase.se/summary/Pomadasys-quadrilineatus.html</x:v>
      </x:c>
      <x:c r="D257" s="1"/>
      <x:c r="E257" s="1"/>
      <x:c r="F257" s="1"/>
      <x:c r="G257" s="1"/>
      <x:c r="H257" s="1"/>
      <x:c r="I257" s="1"/>
      <x:c r="J257" s="1"/>
      <x:c r="K257" s="1"/>
    </x:row>
    <x:row r="258" ht="66" customHeight="1">
      <x:c r="A258" s="16" t="str">
        <x:v>FishBase: Pomadasys argenteus</x:v>
      </x:c>
      <x:c r="B258" s="16" t="str">
        <x:v>Taxa: Pomadasys; Haemulidae; Pomadasys argenteus. Classification; Environment; Size; Biology. Haemulidae; demersal coastal fish, maximum 70 cm TL; common 25 cm TL must not replace maximum.</x:v>
      </x:c>
      <x:c r="C258" s="25" t="str">
        <x:v>https://www.fishbase.se/summary/Pomadasys-argenteus.html</x:v>
      </x:c>
      <x:c r="D258" s="1"/>
      <x:c r="E258" s="1"/>
      <x:c r="F258" s="1"/>
      <x:c r="G258" s="1"/>
      <x:c r="H258" s="1"/>
      <x:c r="I258" s="1"/>
      <x:c r="J258" s="1"/>
      <x:c r="K258" s="1"/>
    </x:row>
    <x:row r="259" ht="66" customHeight="1">
      <x:c r="A259" s="16" t="str">
        <x:v>Uehara et al. (2021), bigeye scad growth study, Fisheries Oceanography Research</x:v>
      </x:c>
      <x:c r="B259" s="16" t="str">
        <x:v>Taxa: Decapterus maruadsi. Comparative Table 3, printed p. 160. Table gives an observed D. maruadsi Lmax of 35.4 cm from Ohshimo et al. (2006), whose growth analysis uses fork length; the underlying observation is cited through this comparison.</x:v>
      </x:c>
      <x:c r="C259" s="25" t="str">
        <x:v>https://www.jstage.jst.go.jp/article/jsfo/85/3/85_153/_pdf</x:v>
      </x:c>
      <x:c r="D259" s="1"/>
      <x:c r="E259" s="1"/>
      <x:c r="F259" s="1"/>
      <x:c r="G259" s="1"/>
      <x:c r="H259" s="1"/>
      <x:c r="I259" s="1"/>
      <x:c r="J259" s="1"/>
      <x:c r="K259" s="1"/>
    </x:row>
    <x:row r="260" ht="66" customHeight="1">
      <x:c r="A260" s="16" t="str">
        <x:v>WoRMS: Sardinops sagax</x:v>
      </x:c>
      <x:c r="B260" s="16" t="str">
        <x:v>Taxa: Sardinops sagax. {"scientificname":"Sardinops sagax","valid_name":"Sardinops sagax","status":"accepted","family":"Alosidae","class":"Teleostei","phylum":"Chordata"}</x:v>
      </x:c>
      <x:c r="C260" s="25" t="str">
        <x:v>https://www.marinespecies.org/aphia.php?p=taxdetails&amp;id=217452</x:v>
      </x:c>
      <x:c r="D260" s="1"/>
      <x:c r="E260" s="1"/>
      <x:c r="F260" s="1"/>
      <x:c r="G260" s="1"/>
      <x:c r="H260" s="1"/>
      <x:c r="I260" s="1"/>
      <x:c r="J260" s="1"/>
      <x:c r="K260" s="1"/>
    </x:row>
    <x:row r="261" ht="66" customHeight="1">
      <x:c r="A261" s="16" t="str">
        <x:v>FishBase: Sardinops sagax</x:v>
      </x:c>
      <x:c r="B261" s="16" t="str">
        <x:v>Taxa: Sardinops sagax. Habitat: Marine;  pelagic-neritic; oceanodromous; first maximum: 39.5 cm SL. Additional biology checked where material.</x:v>
      </x:c>
      <x:c r="C261" s="25" t="str">
        <x:v>https://www.fishbase.se/summary/Sardinops-sagax.html</x:v>
      </x:c>
      <x:c r="D261" s="1"/>
      <x:c r="E261" s="1"/>
      <x:c r="F261" s="1"/>
      <x:c r="G261" s="1"/>
      <x:c r="H261" s="1"/>
      <x:c r="I261" s="1"/>
      <x:c r="J261" s="1"/>
      <x:c r="K261" s="1"/>
    </x:row>
    <x:row r="262" ht="66" customHeight="1">
      <x:c r="A262" s="16" t="str">
        <x:v>WoRMS: Dussumieria acuta</x:v>
      </x:c>
      <x:c r="B262" s="16" t="str">
        <x:v>Taxa: Dussumieria acuta. {"scientificname":"Dussumieria acuta","valid_name":"Dussumieria acuta","status":"accepted","family":"Dussumieriidae","class":"Teleostei","phylum":"Chordata"}</x:v>
      </x:c>
      <x:c r="C262" s="25" t="str">
        <x:v>https://www.marinespecies.org/aphia.php?p=taxdetails&amp;id=126419</x:v>
      </x:c>
      <x:c r="D262" s="1"/>
      <x:c r="E262" s="1"/>
      <x:c r="F262" s="1"/>
      <x:c r="G262" s="1"/>
      <x:c r="H262" s="1"/>
      <x:c r="I262" s="1"/>
      <x:c r="J262" s="1"/>
      <x:c r="K262" s="1"/>
    </x:row>
    <x:row r="263" ht="66" customHeight="1">
      <x:c r="A263" s="16" t="str">
        <x:v>FishBase: Dussumieria acuta</x:v>
      </x:c>
      <x:c r="B263" s="16" t="str">
        <x:v>Taxa: Dussumieria acuta. Habitat: Marine; freshwater; brackish;  pelagic-neritic;; first maximum: 20 cm SL. Additional biology checked where material.</x:v>
      </x:c>
      <x:c r="C263" s="25" t="str">
        <x:v>https://www.fishbase.se/summary/Dussumieria-acuta.html</x:v>
      </x:c>
      <x:c r="D263" s="1"/>
      <x:c r="E263" s="1"/>
      <x:c r="F263" s="1"/>
      <x:c r="G263" s="1"/>
      <x:c r="H263" s="1"/>
      <x:c r="I263" s="1"/>
      <x:c r="J263" s="1"/>
      <x:c r="K263" s="1"/>
    </x:row>
    <x:row r="264" ht="66" customHeight="1">
      <x:c r="A264" s="16" t="str">
        <x:v>WoRMS: Epinephelus maculatus</x:v>
      </x:c>
      <x:c r="B264" s="16" t="str">
        <x:v>Taxa: Epinephelus maculatus. {"scientificname":"Epinephelus maculatus","valid_name":"Epinephelus maculatus","status":"accepted","family":"Epinephelidae","class":"Teleostei","phylum":"Chordata"}</x:v>
      </x:c>
      <x:c r="C264" s="25" t="str">
        <x:v>https://www.marinespecies.org/aphia.php?p=taxdetails&amp;id=273860</x:v>
      </x:c>
      <x:c r="D264" s="1"/>
      <x:c r="E264" s="1"/>
      <x:c r="F264" s="1"/>
      <x:c r="G264" s="1"/>
      <x:c r="H264" s="1"/>
      <x:c r="I264" s="1"/>
      <x:c r="J264" s="1"/>
      <x:c r="K264" s="1"/>
    </x:row>
    <x:row r="265" ht="66" customHeight="1">
      <x:c r="A265" s="16" t="str">
        <x:v>WoRMS: Apogonidae</x:v>
      </x:c>
      <x:c r="B265" s="16" t="str">
        <x:v>Taxa: Apogonidae. {"scientificname":"Apogonidae","valid_name":"Apogonidae","status":"accepted","family":"Apogonidae","class":"Teleostei","phylum":"Chordata"}</x:v>
      </x:c>
      <x:c r="C265" s="25" t="str">
        <x:v>https://www.marinespecies.org/aphia.php?p=taxdetails&amp;id=125518</x:v>
      </x:c>
      <x:c r="D265" s="1"/>
      <x:c r="E265" s="1"/>
      <x:c r="F265" s="1"/>
      <x:c r="G265" s="1"/>
      <x:c r="H265" s="1"/>
      <x:c r="I265" s="1"/>
      <x:c r="J265" s="1"/>
      <x:c r="K265" s="1"/>
    </x:row>
    <x:row r="266" ht="66" customHeight="1">
      <x:c r="A266" s="16" t="str">
        <x:v>FAO WCP guide: Menidae</x:v>
      </x:c>
      <x:c r="B266" s="16" t="str">
        <x:v>Taxa: Menidae; Mene maculata. p.2791. Single living species Mene maculata; maximum 30 cm TL; coastal schooling near-bottom fish.</x:v>
      </x:c>
      <x:c r="C266" s="25" t="str">
        <x:v>https://www.fao.org/docrep/pdf/009/y0770e/y0770e02.pdf</x:v>
      </x:c>
      <x:c r="D266" s="1"/>
      <x:c r="E266" s="1"/>
      <x:c r="F266" s="1"/>
      <x:c r="G266" s="1"/>
      <x:c r="H266" s="1"/>
      <x:c r="I266" s="1"/>
      <x:c r="J266" s="1"/>
      <x:c r="K266" s="1"/>
    </x:row>
    <x:row r="267" ht="66" customHeight="1">
      <x:c r="A267" s="16" t="str">
        <x:v>Fishes of Australia: Mene maculata</x:v>
      </x:c>
      <x:c r="B267" s="16" t="str">
        <x:v>Taxa: Menidae; Mene maculata. Habitat; Size; Distribution. Museum account explicitly includes coastal/pelagic/benthopelagic habitat and maximum size 30 cm.</x:v>
      </x:c>
      <x:c r="C267" s="25" t="str">
        <x:v>https://fishesofaustralia.net.au/home/species/580</x:v>
      </x:c>
      <x:c r="D267" s="1"/>
      <x:c r="E267" s="1"/>
      <x:c r="F267" s="1"/>
      <x:c r="G267" s="1"/>
      <x:c r="H267" s="1"/>
      <x:c r="I267" s="1"/>
      <x:c r="J267" s="1"/>
      <x:c r="K267" s="1"/>
    </x:row>
    <x:row r="268" ht="66" customHeight="1">
      <x:c r="A268" s="16" t="str">
        <x:v>WoRMS: Clupanodon thrissa</x:v>
      </x:c>
      <x:c r="B268" s="16" t="str">
        <x:v>Taxa: Clupanodon thrissa. {"scientificname":"Clupanodon thrissa","valid_name":"Clupanodon thrissa","status":"accepted","family":"Dorosomatidae","class":"Teleostei","phylum":"Chordata"}</x:v>
      </x:c>
      <x:c r="C268" s="25" t="str">
        <x:v>https://www.marinespecies.org/aphia.php?p=taxdetails&amp;id=280223</x:v>
      </x:c>
      <x:c r="D268" s="1"/>
      <x:c r="E268" s="1"/>
      <x:c r="F268" s="1"/>
      <x:c r="G268" s="1"/>
      <x:c r="H268" s="1"/>
      <x:c r="I268" s="1"/>
      <x:c r="J268" s="1"/>
      <x:c r="K268" s="1"/>
    </x:row>
    <x:row r="269" ht="66" customHeight="1">
      <x:c r="A269" s="16" t="str">
        <x:v>FishBase: Clupanodon thrissa</x:v>
      </x:c>
      <x:c r="B269" s="16" t="str">
        <x:v>Taxa: Clupanodon thrissa. Habitat: Marine; freshwater; brackish;  pelagic-neritic; anadromous; first maximum: 26 cm SL. Additional biology checked where material.</x:v>
      </x:c>
      <x:c r="C269" s="25" t="str">
        <x:v>https://www.fishbase.se/summary/Clupanodon-thrissa.html</x:v>
      </x:c>
      <x:c r="D269" s="1"/>
      <x:c r="E269" s="1"/>
      <x:c r="F269" s="1"/>
      <x:c r="G269" s="1"/>
      <x:c r="H269" s="1"/>
      <x:c r="I269" s="1"/>
      <x:c r="J269" s="1"/>
      <x:c r="K269" s="1"/>
    </x:row>
    <x:row r="270" ht="66" customHeight="1">
      <x:c r="A270" s="16" t="str">
        <x:v>WoRMS: Rastrelliger kanagurta</x:v>
      </x:c>
      <x:c r="B270" s="16" t="str">
        <x:v>Taxa: Rastrelliger kanagurta. {"scientificname":"Rastrelliger kanagurta","valid_name":"Rastrelliger kanagurta","status":"accepted","family":"Scombridae","class":"Teleostei","phylum":"Chordata"}</x:v>
      </x:c>
      <x:c r="C270" s="25" t="str">
        <x:v>https://www.marinespecies.org/aphia.php?p=taxdetails&amp;id=127020</x:v>
      </x:c>
      <x:c r="D270" s="1"/>
      <x:c r="E270" s="1"/>
      <x:c r="F270" s="1"/>
      <x:c r="G270" s="1"/>
      <x:c r="H270" s="1"/>
      <x:c r="I270" s="1"/>
      <x:c r="J270" s="1"/>
      <x:c r="K270" s="1"/>
    </x:row>
    <x:row r="271" ht="66" customHeight="1">
      <x:c r="A271" s="16" t="str">
        <x:v>FishBase: Rastrelliger kanagurta</x:v>
      </x:c>
      <x:c r="B271" s="16" t="str">
        <x:v>Taxa: Rastrelliger kanagurta. Pelagic species; first maximum 36 cm has no specified length convention, while the female maximum is explicitly 42.1 cm TL. Biology checked.</x:v>
      </x:c>
      <x:c r="C271" s="25" t="str">
        <x:v>https://www.fishbase.se/summary/Rastrelliger-kanagurta.html</x:v>
      </x:c>
      <x:c r="D271" s="1"/>
      <x:c r="E271" s="1"/>
      <x:c r="F271" s="1"/>
      <x:c r="G271" s="1"/>
      <x:c r="H271" s="1"/>
      <x:c r="I271" s="1"/>
      <x:c r="J271" s="1"/>
      <x:c r="K271" s="1"/>
    </x:row>
    <x:row r="272" ht="66" customHeight="1">
      <x:c r="A272" s="16" t="str">
        <x:v>FishBase: Parastromateus niger</x:v>
      </x:c>
      <x:c r="B272" s="16" t="str">
        <x:v>Taxa: Parastromateus niger. Classification; Environment; Size; Biology. Carangidae, not Stromateidae; maximum 75 cm TL; bottom by day and surface at night support benthopelagic ecology.</x:v>
      </x:c>
      <x:c r="C272" s="25" t="str">
        <x:v>https://www.fishbase.se/summary/Parastromateus-niger.html</x:v>
      </x:c>
      <x:c r="D272" s="1"/>
      <x:c r="E272" s="1"/>
      <x:c r="F272" s="1"/>
      <x:c r="G272" s="1"/>
      <x:c r="H272" s="1"/>
      <x:c r="I272" s="1"/>
      <x:c r="J272" s="1"/>
      <x:c r="K272" s="1"/>
    </x:row>
    <x:row r="273" ht="66" customHeight="1">
      <x:c r="A273" s="16" t="str">
        <x:v>WoRMS: Pennahia argentata</x:v>
      </x:c>
      <x:c r="B273" s="16" t="str">
        <x:v>Taxa: Pennahia argentata. {"scientificname":"Pennahia argentata","valid_name":"Pennahia argentata","status":"accepted","family":"Sciaenidae","class":"Teleostei","phylum":"Chordata"}</x:v>
      </x:c>
      <x:c r="C273" s="25" t="str">
        <x:v>https://www.marinespecies.org/aphia.php?p=taxdetails&amp;id=282196</x:v>
      </x:c>
      <x:c r="D273" s="1"/>
      <x:c r="E273" s="1"/>
      <x:c r="F273" s="1"/>
      <x:c r="G273" s="1"/>
      <x:c r="H273" s="1"/>
      <x:c r="I273" s="1"/>
      <x:c r="J273" s="1"/>
      <x:c r="K273" s="1"/>
    </x:row>
    <x:row r="274" ht="66" customHeight="1">
      <x:c r="A274" s="16" t="str">
        <x:v>Nakamura (1985), FAO Billfishes of the world</x:v>
      </x:c>
      <x:c r="B274" s="16" t="str">
        <x:v>Taxa: Istiophoridae; Makaira mazara; Istiompax indica; Makaira. Makaira indica, M. mazara and M. nigricans, pp. 27–34. Black and blue marlins exceed the model threshold and are epipelagic; black marlin often approaches land.</x:v>
      </x:c>
      <x:c r="C274" s="25" t="str">
        <x:v>https://www.fao.org/docrep/pdf/009/ac480e/ac480e06.pdf</x:v>
      </x:c>
      <x:c r="D274" s="1"/>
      <x:c r="E274" s="1"/>
      <x:c r="F274" s="1"/>
      <x:c r="G274" s="1"/>
      <x:c r="H274" s="1"/>
      <x:c r="I274" s="1"/>
      <x:c r="J274" s="1"/>
      <x:c r="K274" s="1"/>
    </x:row>
    <x:row r="275" ht="66" customHeight="1">
      <x:c r="A275" s="16" t="str">
        <x:v>Nakamura (1985), FAO Billfishes of the world</x:v>
      </x:c>
      <x:c r="B275" s="16" t="str">
        <x:v>Taxa: Istiophoridae; Tetrapturus angustirostris. Tetrapturus angustirostris, p. 39. Shortbill spearfish is a large oceanic pelagic fish rarely occurring near coasts.</x:v>
      </x:c>
      <x:c r="C275" s="25" t="str">
        <x:v>https://www.fao.org/docrep/pdf/009/ac480e/ac480e07.pdf</x:v>
      </x:c>
      <x:c r="D275" s="1"/>
      <x:c r="E275" s="1"/>
      <x:c r="F275" s="1"/>
      <x:c r="G275" s="1"/>
      <x:c r="H275" s="1"/>
      <x:c r="I275" s="1"/>
      <x:c r="J275" s="1"/>
      <x:c r="K275" s="1"/>
    </x:row>
    <x:row r="276" ht="66" customHeight="1">
      <x:c r="A276" s="16" t="str">
        <x:v>WoRMS: Stromateidae</x:v>
      </x:c>
      <x:c r="B276" s="16" t="str">
        <x:v>Taxa: Stromateidae. {"scientificname":"Stromateidae","valid_name":"Stromateidae","status":"accepted","family":"Stromateidae","class":"Teleostei","phylum":"Chordata"}</x:v>
      </x:c>
      <x:c r="C276" s="25" t="str">
        <x:v>https://www.marinespecies.org/aphia.php?p=taxdetails&amp;id=125567</x:v>
      </x:c>
      <x:c r="D276" s="1"/>
      <x:c r="E276" s="1"/>
      <x:c r="F276" s="1"/>
      <x:c r="G276" s="1"/>
      <x:c r="H276" s="1"/>
      <x:c r="I276" s="1"/>
      <x:c r="J276" s="1"/>
      <x:c r="K276" s="1"/>
    </x:row>
    <x:row r="277" ht="66" customHeight="1">
      <x:c r="A277" s="16" t="str">
        <x:v>WoRMS: Lutjanus quinquelineatus</x:v>
      </x:c>
      <x:c r="B277" s="16" t="str">
        <x:v>Taxa: Lutjanus quinquelineatus. {"scientificname":"Lutjanus quinquelineatus","valid_name":"Lutjanus quinquelineatus","status":"accepted","family":"Lutjanidae","class":"Teleostei","phylum":"Chordata"}</x:v>
      </x:c>
      <x:c r="C277" s="25" t="str">
        <x:v>https://www.marinespecies.org/aphia.php?p=taxdetails&amp;id=218497</x:v>
      </x:c>
      <x:c r="D277" s="1"/>
      <x:c r="E277" s="1"/>
      <x:c r="F277" s="1"/>
      <x:c r="G277" s="1"/>
      <x:c r="H277" s="1"/>
      <x:c r="I277" s="1"/>
      <x:c r="J277" s="1"/>
      <x:c r="K277" s="1"/>
    </x:row>
    <x:row r="278" ht="66" customHeight="1">
      <x:c r="A278" s="16" t="str">
        <x:v>WoRMS: Lutjanidae</x:v>
      </x:c>
      <x:c r="B278" s="16" t="str">
        <x:v>Taxa: Lutjanidae. {"scientificname":"Lutjanidae","valid_name":"Lutjanidae","status":"accepted","family":"Lutjanidae","class":"Teleostei","phylum":"Chordata"}</x:v>
      </x:c>
      <x:c r="C278" s="25" t="str">
        <x:v>https://www.marinespecies.org/aphia.php?p=taxdetails&amp;id=151453</x:v>
      </x:c>
      <x:c r="D278" s="1"/>
      <x:c r="E278" s="1"/>
      <x:c r="F278" s="1"/>
      <x:c r="G278" s="1"/>
      <x:c r="H278" s="1"/>
      <x:c r="I278" s="1"/>
      <x:c r="J278" s="1"/>
      <x:c r="K278" s="1"/>
    </x:row>
    <x:row r="279" ht="66" customHeight="1">
      <x:c r="A279" s="16" t="str">
        <x:v>WoRMS: Upeneus moluccensis</x:v>
      </x:c>
      <x:c r="B279" s="16" t="str">
        <x:v>Taxa: Upeneus moluccensis. {"scientificname":"Upeneus moluccensis","valid_name":"Upeneus moluccensis","status":"accepted","family":"Mullidae","class":"Teleostei","phylum":"Chordata"}</x:v>
      </x:c>
      <x:c r="C279" s="25" t="str">
        <x:v>https://www.marinespecies.org/aphia.php?p=taxdetails&amp;id=126989</x:v>
      </x:c>
      <x:c r="D279" s="1"/>
      <x:c r="E279" s="1"/>
      <x:c r="F279" s="1"/>
      <x:c r="G279" s="1"/>
      <x:c r="H279" s="1"/>
      <x:c r="I279" s="1"/>
      <x:c r="J279" s="1"/>
      <x:c r="K279" s="1"/>
    </x:row>
    <x:row r="280" ht="66" customHeight="1">
      <x:c r="A280" s="16" t="str">
        <x:v>FishBase: Canthigaster rivulata</x:v>
      </x:c>
      <x:c r="B280" s="16" t="str">
        <x:v>Taxa: Tetraodontidae. Classification; Environment; Size; Biology. Tetraodontidae; maximum 18 cm TL; reef/benthopelagic habitat in Indo-Pacific.</x:v>
      </x:c>
      <x:c r="C280" s="25" t="str">
        <x:v>https://www.fishbase.se/summary/Canthigaster-rivulata.html</x:v>
      </x:c>
      <x:c r="D280" s="1"/>
      <x:c r="E280" s="1"/>
      <x:c r="F280" s="1"/>
      <x:c r="G280" s="1"/>
      <x:c r="H280" s="1"/>
      <x:c r="I280" s="1"/>
      <x:c r="J280" s="1"/>
      <x:c r="K280" s="1"/>
    </x:row>
    <x:row r="281" ht="66" customHeight="1">
      <x:c r="A281" s="16" t="str">
        <x:v>FishBase: Mugil cephalus</x:v>
      </x:c>
      <x:c r="B281" s="16" t="str">
        <x:v>Taxa: Mugilidae; Mugil cephalus; Mugil. Classification; Environment; Size; Biology. Mugilidae; benthopelagic, maximum 100 cm SL, schooling coastal sand/mud habitat; historical species complex cautions name transfer.</x:v>
      </x:c>
      <x:c r="C281" s="25" t="str">
        <x:v>https://www.fishbase.se/summary/Mugil-cephalus.html</x:v>
      </x:c>
      <x:c r="D281" s="1"/>
      <x:c r="E281" s="1"/>
      <x:c r="F281" s="1"/>
      <x:c r="G281" s="1"/>
      <x:c r="H281" s="1"/>
      <x:c r="I281" s="1"/>
      <x:c r="J281" s="1"/>
      <x:c r="K281" s="1"/>
    </x:row>
    <x:row r="282" ht="66" customHeight="1">
      <x:c r="A282" s="16" t="str">
        <x:v>FishBase: Planiliza haematocheilus</x:v>
      </x:c>
      <x:c r="B282" s="16" t="str">
        <x:v>Taxa: Mugilidae; Planiliza haematocheilus. Classification; Environment; Size; Biology. Maximum 80 cm TL; coastal/estuarine pelagic-neritic classification competes with current exclusively demersal assignment.</x:v>
      </x:c>
      <x:c r="C282" s="25" t="str">
        <x:v>https://www.fishbase.se/summary/Planiliza-haematocheilus.html</x:v>
      </x:c>
      <x:c r="D282" s="1"/>
      <x:c r="E282" s="1"/>
      <x:c r="F282" s="1"/>
      <x:c r="G282" s="1"/>
      <x:c r="H282" s="1"/>
      <x:c r="I282" s="1"/>
      <x:c r="J282" s="1"/>
      <x:c r="K282" s="1"/>
    </x:row>
    <x:row r="283" ht="66" customHeight="1">
      <x:c r="A283" s="16" t="str">
        <x:v>FishBase: Sorsogona tuberculata</x:v>
      </x:c>
      <x:c r="B283" s="16" t="str">
        <x:v>Taxa: Platycephalidae. Classification; Environment; Size; Biology. Platycephalidae; maximum 14.5 cm TL, bottom-associated Western Pacific fish.</x:v>
      </x:c>
      <x:c r="C283" s="25" t="str">
        <x:v>https://www.fishbase.se/summary/10310</x:v>
      </x:c>
      <x:c r="D283" s="1"/>
      <x:c r="E283" s="1"/>
      <x:c r="F283" s="1"/>
      <x:c r="G283" s="1"/>
      <x:c r="H283" s="1"/>
      <x:c r="I283" s="1"/>
      <x:c r="J283" s="1"/>
      <x:c r="K283" s="1"/>
    </x:row>
    <x:row r="284" ht="66" customHeight="1">
      <x:c r="A284" s="16" t="str">
        <x:v>FishBase: Platycephalus indicus</x:v>
      </x:c>
      <x:c r="B284" s="16" t="str">
        <x:v>Taxa: Platycephalidae; Platycephalus indicus. Classification; Environment; Size; Biology. Platycephalidae; maximum 100 cm TL; sandy/muddy bottoms and estuaries despite broad reef-associated label.</x:v>
      </x:c>
      <x:c r="C284" s="25" t="str">
        <x:v>https://www.fishbase.se/summary/Platycephalus-indicus.html</x:v>
      </x:c>
      <x:c r="D284" s="1"/>
      <x:c r="E284" s="1"/>
      <x:c r="F284" s="1"/>
      <x:c r="G284" s="1"/>
      <x:c r="H284" s="1"/>
      <x:c r="I284" s="1"/>
      <x:c r="J284" s="1"/>
      <x:c r="K284" s="1"/>
    </x:row>
    <x:row r="285" ht="66" customHeight="1">
      <x:c r="A285" s="16" t="str">
        <x:v>FishBase: Pseudorhombus pentophthalmus</x:v>
      </x:c>
      <x:c r="B285" s="16" t="str">
        <x:v>Taxa: Paralichthyidae; Pleuronectiformes. Classification; Size; Biology. Paralichthyidae, demersal mud/sand shelf; maximum 26.8 cm TL.</x:v>
      </x:c>
      <x:c r="C285" s="25" t="str">
        <x:v>https://www.fishbase.se/summary/Pseudorhombus-pentophthalmus.html</x:v>
      </x:c>
      <x:c r="D285" s="1"/>
      <x:c r="E285" s="1"/>
      <x:c r="F285" s="1"/>
      <x:c r="G285" s="1"/>
      <x:c r="H285" s="1"/>
      <x:c r="I285" s="1"/>
      <x:c r="J285" s="1"/>
      <x:c r="K285" s="1"/>
    </x:row>
    <x:row r="286" ht="66" customHeight="1">
      <x:c r="A286" s="16" t="str">
        <x:v>WoRMS: Trachurus japonicus</x:v>
      </x:c>
      <x:c r="B286" s="16" t="str">
        <x:v>Taxa: Trachurus japonicus. {"scientificname":"Trachurus japonicus","valid_name":"Trachurus japonicus","status":"accepted","family":"Carangidae","class":"Teleostei","phylum":"Chordata"}</x:v>
      </x:c>
      <x:c r="C286" s="25" t="str">
        <x:v>https://www.marinespecies.org/aphia.php?p=taxdetails&amp;id=273302</x:v>
      </x:c>
      <x:c r="D286" s="1"/>
      <x:c r="E286" s="1"/>
      <x:c r="F286" s="1"/>
      <x:c r="G286" s="1"/>
      <x:c r="H286" s="1"/>
      <x:c r="I286" s="1"/>
      <x:c r="J286" s="1"/>
      <x:c r="K286" s="1"/>
    </x:row>
    <x:row r="287" ht="66" customHeight="1">
      <x:c r="A287" s="16" t="str">
        <x:v>FishBase: Trachurus japonicus</x:v>
      </x:c>
      <x:c r="B287" s="16" t="str">
        <x:v>Taxa: Trachurus japonicus. Habitat: Marine;  pelagic-neritic; oceanodromous; first maximum: 50 cm TL. Additional biology checked where material.</x:v>
      </x:c>
      <x:c r="C287" s="25" t="str">
        <x:v>https://www.fishbase.se/summary/Trachurus-japonicus.html</x:v>
      </x:c>
      <x:c r="D287" s="1"/>
      <x:c r="E287" s="1"/>
      <x:c r="F287" s="1"/>
      <x:c r="G287" s="1"/>
      <x:c r="H287" s="1"/>
      <x:c r="I287" s="1"/>
      <x:c r="J287" s="1"/>
      <x:c r="K287" s="1"/>
    </x:row>
    <x:row r="288" ht="66" customHeight="1">
      <x:c r="A288" s="16" t="str">
        <x:v>WoRMS: Penaeus indicus</x:v>
      </x:c>
      <x:c r="B288" s="16" t="str">
        <x:v>Taxa: Penaeus indicus. {"scientificname":"Penaeus indicus","valid_name":"Penaeus (Fenneropenaeus) indicus","status":"superseded combination","family":"Penaeidae","class":"Malacostraca","phylum":"Arthropoda"}</x:v>
      </x:c>
      <x:c r="C288" s="25" t="str">
        <x:v>https://www.marinespecies.org/aphia.php?p=taxdetails&amp;id=210375</x:v>
      </x:c>
      <x:c r="D288" s="1"/>
      <x:c r="E288" s="1"/>
      <x:c r="F288" s="1"/>
      <x:c r="G288" s="1"/>
      <x:c r="H288" s="1"/>
      <x:c r="I288" s="1"/>
      <x:c r="J288" s="1"/>
      <x:c r="K288" s="1"/>
    </x:row>
    <x:row r="289" ht="66" customHeight="1">
      <x:c r="A289" s="16" t="str">
        <x:v>WoRMS: Alopias</x:v>
      </x:c>
      <x:c r="B289" s="16" t="str">
        <x:v>Taxa: Alopias. {"scientificname":"Alopias","valid_name":"Alopias","status":"accepted","family":"Alopiidae","class":"Elasmobranchii","phylum":"Chordata"}</x:v>
      </x:c>
      <x:c r="C289" s="25" t="str">
        <x:v>https://www.marinespecies.org/aphia.php?p=taxdetails&amp;id=105740</x:v>
      </x:c>
      <x:c r="D289" s="1"/>
      <x:c r="E289" s="1"/>
      <x:c r="F289" s="1"/>
      <x:c r="G289" s="1"/>
      <x:c r="H289" s="1"/>
      <x:c r="I289" s="1"/>
      <x:c r="J289" s="1"/>
      <x:c r="K289" s="1"/>
    </x:row>
    <x:row r="290" ht="66" customHeight="1">
      <x:c r="A290" s="16" t="str">
        <x:v>FishBase Alopias inventory</x:v>
      </x:c>
      <x:c r="B290" s="16" t="str">
        <x:v>Taxa: Alopias. Genus composition and reported length metrics reviewed.</x:v>
      </x:c>
      <x:c r="C290" s="25" t="str">
        <x:v>https://www.fishbase.se/identification/SpeciesList.php?genus=Alopias</x:v>
      </x:c>
      <x:c r="D290" s="1"/>
      <x:c r="E290" s="1"/>
      <x:c r="F290" s="1"/>
      <x:c r="G290" s="1"/>
      <x:c r="H290" s="1"/>
      <x:c r="I290" s="1"/>
      <x:c r="J290" s="1"/>
      <x:c r="K290" s="1"/>
    </x:row>
    <x:row r="291" ht="66" customHeight="1">
      <x:c r="A291" s="16" t="str">
        <x:v>FishBase: Alopias superciliosus</x:v>
      </x:c>
      <x:c r="B291" s="16" t="str">
        <x:v>Taxa: Alopias. Species-level boundary evidence described in the rationale.</x:v>
      </x:c>
      <x:c r="C291" s="25" t="str">
        <x:v>https://www.fishbase.se/summary/Alopias-superciliosus.html</x:v>
      </x:c>
      <x:c r="D291" s="1"/>
      <x:c r="E291" s="1"/>
      <x:c r="F291" s="1"/>
      <x:c r="G291" s="1"/>
      <x:c r="H291" s="1"/>
      <x:c r="I291" s="1"/>
      <x:c r="J291" s="1"/>
      <x:c r="K291" s="1"/>
    </x:row>
    <x:row r="292" ht="66" customHeight="1">
      <x:c r="A292" s="16" t="str">
        <x:v>FishBase: Alopias pelagicus</x:v>
      </x:c>
      <x:c r="B292" s="16" t="str">
        <x:v>Taxa: Alopias. Species-level boundary evidence described in the rationale.</x:v>
      </x:c>
      <x:c r="C292" s="25" t="str">
        <x:v>https://www.fishbase.se/summary/Alopias-pelagicus.html</x:v>
      </x:c>
      <x:c r="D292" s="1"/>
      <x:c r="E292" s="1"/>
      <x:c r="F292" s="1"/>
      <x:c r="G292" s="1"/>
      <x:c r="H292" s="1"/>
      <x:c r="I292" s="1"/>
      <x:c r="J292" s="1"/>
      <x:c r="K292" s="1"/>
    </x:row>
    <x:row r="293" ht="66" customHeight="1">
      <x:c r="A293" s="16" t="str">
        <x:v>FishBase: Alopias vulpinus</x:v>
      </x:c>
      <x:c r="B293" s="16" t="str">
        <x:v>Taxa: Alopias. Species-level boundary evidence described in the rationale.</x:v>
      </x:c>
      <x:c r="C293" s="25" t="str">
        <x:v>https://www.fishbase.se/summary/Alopias-vulpinus.html</x:v>
      </x:c>
      <x:c r="D293" s="1"/>
      <x:c r="E293" s="1"/>
      <x:c r="F293" s="1"/>
      <x:c r="G293" s="1"/>
      <x:c r="H293" s="1"/>
      <x:c r="I293" s="1"/>
      <x:c r="J293" s="1"/>
      <x:c r="K293" s="1"/>
    </x:row>
    <x:row r="294" ht="66" customHeight="1">
      <x:c r="A294" s="16" t="str">
        <x:v>WoRMS: Seriola dumerili</x:v>
      </x:c>
      <x:c r="B294" s="16" t="str">
        <x:v>Taxa: Seriola dumerili. {"scientificname":"Seriola dumerili","valid_name":"Seriola dumerili","status":"accepted","family":"Carangidae","class":"Teleostei","phylum":"Chordata"}</x:v>
      </x:c>
      <x:c r="C294" s="25" t="str">
        <x:v>https://www.marinespecies.org/aphia.php?p=taxdetails&amp;id=126816</x:v>
      </x:c>
      <x:c r="D294" s="1"/>
      <x:c r="E294" s="1"/>
      <x:c r="F294" s="1"/>
      <x:c r="G294" s="1"/>
      <x:c r="H294" s="1"/>
      <x:c r="I294" s="1"/>
      <x:c r="J294" s="1"/>
      <x:c r="K294" s="1"/>
    </x:row>
    <x:row r="295" ht="66" customHeight="1">
      <x:c r="A295" s="16" t="str">
        <x:v>FishBase: Seriola dumerili</x:v>
      </x:c>
      <x:c r="B295" s="16" t="str">
        <x:v>Taxa: Seriola dumerili. Habitat: Marine;  reef-associated; oceanodromous; first maximum: 190 cm TL. Additional biology checked where material.</x:v>
      </x:c>
      <x:c r="C295" s="25" t="str">
        <x:v>https://www.fishbase.se/summary/Seriola-dumerili.html</x:v>
      </x:c>
      <x:c r="D295" s="1"/>
      <x:c r="E295" s="1"/>
      <x:c r="F295" s="1"/>
      <x:c r="G295" s="1"/>
      <x:c r="H295" s="1"/>
      <x:c r="I295" s="1"/>
      <x:c r="J295" s="1"/>
      <x:c r="K295" s="1"/>
    </x:row>
    <x:row r="296" ht="66" customHeight="1">
      <x:c r="A296" s="16" t="str">
        <x:v>WoRMS: Sardinella lemuru</x:v>
      </x:c>
      <x:c r="B296" s="16" t="str">
        <x:v>Taxa: Sardinella lemuru. {"scientificname":"Sardinella lemuru","valid_name":"Sardinella lemuru","status":"accepted","family":"Dorosomatidae","class":"Teleostei","phylum":"Chordata"}</x:v>
      </x:c>
      <x:c r="C296" s="25" t="str">
        <x:v>https://www.marinespecies.org/aphia.php?p=taxdetails&amp;id=272273</x:v>
      </x:c>
      <x:c r="D296" s="1"/>
      <x:c r="E296" s="1"/>
      <x:c r="F296" s="1"/>
      <x:c r="G296" s="1"/>
      <x:c r="H296" s="1"/>
      <x:c r="I296" s="1"/>
      <x:c r="J296" s="1"/>
      <x:c r="K296" s="1"/>
    </x:row>
    <x:row r="297" ht="66" customHeight="1">
      <x:c r="A297" s="16" t="str">
        <x:v>FishBase: Sardinella lemuru</x:v>
      </x:c>
      <x:c r="B297" s="16" t="str">
        <x:v>Taxa: Sardinella lemuru. Habitat: Marine;  pelagic-neritic; oceanodromous; first maximum: 23 cm SL. Additional biology checked where material.</x:v>
      </x:c>
      <x:c r="C297" s="25" t="str">
        <x:v>https://www.fishbase.se/summary/Sardinella-lemuru.html</x:v>
      </x:c>
      <x:c r="D297" s="1"/>
      <x:c r="E297" s="1"/>
      <x:c r="F297" s="1"/>
      <x:c r="G297" s="1"/>
      <x:c r="H297" s="1"/>
      <x:c r="I297" s="1"/>
      <x:c r="J297" s="1"/>
      <x:c r="K297" s="1"/>
    </x:row>
    <x:row r="298" ht="66" customHeight="1">
      <x:c r="A298" s="16" t="str">
        <x:v>WoRMS: Cypselurus poecilopterus</x:v>
      </x:c>
      <x:c r="B298" s="16" t="str">
        <x:v>Taxa: Cypselurus poecilopterus. {"scientificname":"Cypselurus poecilopterus","valid_name":"Cypselurus poecilopterus","status":"accepted","family":"Exocoetidae","class":"Teleostei","phylum":"Chordata"}</x:v>
      </x:c>
      <x:c r="C298" s="25" t="str">
        <x:v>https://www.marinespecies.org/aphia.php?p=taxdetails&amp;id=217864</x:v>
      </x:c>
      <x:c r="D298" s="1"/>
      <x:c r="E298" s="1"/>
      <x:c r="F298" s="1"/>
      <x:c r="G298" s="1"/>
      <x:c r="H298" s="1"/>
      <x:c r="I298" s="1"/>
      <x:c r="J298" s="1"/>
      <x:c r="K298" s="1"/>
    </x:row>
    <x:row r="299" ht="66" customHeight="1">
      <x:c r="A299" s="16" t="str">
        <x:v>FishBase: Cypselurus poecilopterus</x:v>
      </x:c>
      <x:c r="B299" s="16" t="str">
        <x:v>Taxa: Cypselurus poecilopterus. Habitat: Marine;  pelagic-neritic; oceanodromous; first maximum: 27 cm TL. Additional biology checked where material.</x:v>
      </x:c>
      <x:c r="C299" s="25" t="str">
        <x:v>https://www.fishbase.se/summary/Cypselurus-poecilopterus.html</x:v>
      </x:c>
      <x:c r="D299" s="1"/>
      <x:c r="E299" s="1"/>
      <x:c r="F299" s="1"/>
      <x:c r="G299" s="1"/>
      <x:c r="H299" s="1"/>
      <x:c r="I299" s="1"/>
      <x:c r="J299" s="1"/>
      <x:c r="K299" s="1"/>
    </x:row>
    <x:row r="300" ht="66" customHeight="1">
      <x:c r="A300" s="16" t="str">
        <x:v>WoRMS: Penaeus chinensis</x:v>
      </x:c>
      <x:c r="B300" s="16" t="str">
        <x:v>Taxa: Penaeus chinensis. {"scientificname":"Penaeus chinensis","valid_name":"Penaeus (Fenneropenaeus) chinensis","status":"superseded combination","family":"Penaeidae","class":"Malacostraca","phylum":"Arthropoda"}</x:v>
      </x:c>
      <x:c r="C300" s="25" t="str">
        <x:v>https://www.marinespecies.org/aphia.php?p=taxdetails&amp;id=762806</x:v>
      </x:c>
      <x:c r="D300" s="1"/>
      <x:c r="E300" s="1"/>
      <x:c r="F300" s="1"/>
      <x:c r="G300" s="1"/>
      <x:c r="H300" s="1"/>
      <x:c r="I300" s="1"/>
      <x:c r="J300" s="1"/>
      <x:c r="K300" s="1"/>
    </x:row>
    <x:row r="301" ht="66" customHeight="1">
      <x:c r="A301" s="16" t="str">
        <x:v>WoRMS: Charybdis</x:v>
      </x:c>
      <x:c r="B301" s="16" t="str">
        <x:v>Taxa: Charybdis. {"scientificname":"Charybdis","valid_name":"Charybdis","status":"accepted","family":"Portunidae","class":"Malacostraca","phylum":"Arthropoda"}</x:v>
      </x:c>
      <x:c r="C301" s="25" t="str">
        <x:v>https://www.marinespecies.org/aphia.php?p=taxdetails&amp;id=106923</x:v>
      </x:c>
      <x:c r="D301" s="1"/>
      <x:c r="E301" s="1"/>
      <x:c r="F301" s="1"/>
      <x:c r="G301" s="1"/>
      <x:c r="H301" s="1"/>
      <x:c r="I301" s="1"/>
      <x:c r="J301" s="1"/>
      <x:c r="K301" s="1"/>
    </x:row>
    <x:row r="302" ht="66" customHeight="1">
      <x:c r="A302" s="16" t="str">
        <x:v>FishBase: Terapon species list</x:v>
      </x:c>
      <x:c r="B302" s="16" t="str">
        <x:v>Taxa: Terapon; Terapontidae. Species length table. T. puta maximum 30 cm TL, T. jarbua 36 cm TL and T. theraps 30 cm SL; a single large-species set is incomplete.</x:v>
      </x:c>
      <x:c r="C302" s="25" t="str">
        <x:v>https://www.fishbase.se/identification/SpeciesList.php?genus=Terapon</x:v>
      </x:c>
      <x:c r="D302" s="1"/>
      <x:c r="E302" s="1"/>
      <x:c r="F302" s="1"/>
      <x:c r="G302" s="1"/>
      <x:c r="H302" s="1"/>
      <x:c r="I302" s="1"/>
      <x:c r="J302" s="1"/>
      <x:c r="K302" s="1"/>
    </x:row>
    <x:row r="303" ht="66" customHeight="1">
      <x:c r="A303" s="16" t="str">
        <x:v>WoRMS: Gastropoda</x:v>
      </x:c>
      <x:c r="B303" s="16" t="str">
        <x:v>Taxa: Gastropoda. {"scientificname":"Gastropoda","valid_name":"Gastropoda","status":"accepted","family":null,"class":"Gastropoda","phylum":"Mollusca"}</x:v>
      </x:c>
      <x:c r="C303" s="25" t="str">
        <x:v>https://www.marinespecies.org/aphia.php?p=taxdetails&amp;id=101</x:v>
      </x:c>
      <x:c r="D303" s="1"/>
      <x:c r="E303" s="1"/>
      <x:c r="F303" s="1"/>
      <x:c r="G303" s="1"/>
      <x:c r="H303" s="1"/>
      <x:c r="I303" s="1"/>
      <x:c r="J303" s="1"/>
      <x:c r="K303" s="1"/>
    </x:row>
    <x:row r="304" ht="66" customHeight="1">
      <x:c r="A304" s="16" t="str">
        <x:v>FishBase: Chelidonichthys kumu</x:v>
      </x:c>
      <x:c r="B304" s="16" t="str">
        <x:v>Taxa: Chelidonichthys kumu. Classification; Environment; Size; Biology. Triglidae; demersal sand/shell shelf species reaching 60 cm TL.</x:v>
      </x:c>
      <x:c r="C304" s="25" t="str">
        <x:v>https://www.fishbase.se/summary/Chelidonichthys-kumu.html</x:v>
      </x:c>
      <x:c r="D304" s="1"/>
      <x:c r="E304" s="1"/>
      <x:c r="F304" s="1"/>
      <x:c r="G304" s="1"/>
      <x:c r="H304" s="1"/>
      <x:c r="I304" s="1"/>
      <x:c r="J304" s="1"/>
      <x:c r="K304" s="1"/>
    </x:row>
    <x:row r="305" ht="66" customHeight="1">
      <x:c r="A305" s="16" t="str">
        <x:v>WoRMS: Sardinella fimbriata</x:v>
      </x:c>
      <x:c r="B305" s="16" t="str">
        <x:v>Taxa: Sardinella fimbriata. {"scientificname":"Sardinella fimbriata","valid_name":"Sardinella fimbriata","status":"accepted","family":"Dorosomatidae","class":"Teleostei","phylum":"Chordata"}</x:v>
      </x:c>
      <x:c r="C305" s="25" t="str">
        <x:v>https://www.marinespecies.org/aphia.php?p=taxdetails&amp;id=272269</x:v>
      </x:c>
      <x:c r="D305" s="1"/>
      <x:c r="E305" s="1"/>
      <x:c r="F305" s="1"/>
      <x:c r="G305" s="1"/>
      <x:c r="H305" s="1"/>
      <x:c r="I305" s="1"/>
      <x:c r="J305" s="1"/>
      <x:c r="K305" s="1"/>
    </x:row>
    <x:row r="306" ht="66" customHeight="1">
      <x:c r="A306" s="16" t="str">
        <x:v>FishBase: Sardinella fimbriata</x:v>
      </x:c>
      <x:c r="B306" s="16" t="str">
        <x:v>Taxa: Sardinella fimbriata. Habitat: Marine; brackish;  pelagic-neritic;; first maximum: 19 cm TL. Additional biology checked where material.</x:v>
      </x:c>
      <x:c r="C306" s="25" t="str">
        <x:v>https://www.fishbase.se/summary/Sardinella-fimbriata.html</x:v>
      </x:c>
      <x:c r="D306" s="1"/>
      <x:c r="E306" s="1"/>
      <x:c r="F306" s="1"/>
      <x:c r="G306" s="1"/>
      <x:c r="H306" s="1"/>
      <x:c r="I306" s="1"/>
      <x:c r="J306" s="1"/>
      <x:c r="K306" s="1"/>
    </x:row>
    <x:row r="307" ht="66" customHeight="1">
      <x:c r="A307" s="16" t="str">
        <x:v>WoRMS: Psenopsis anomala</x:v>
      </x:c>
      <x:c r="B307" s="16" t="str">
        <x:v>Taxa: Psenopsis anomala. {"scientificname":"Psenopsis anomala","valid_name":"Psenopsis anomala","status":"accepted","family":"Centrolophidae","class":"Teleostei","phylum":"Chordata"}</x:v>
      </x:c>
      <x:c r="C307" s="25" t="str">
        <x:v>https://www.marinespecies.org/aphia.php?p=taxdetails&amp;id=277902</x:v>
      </x:c>
      <x:c r="D307" s="1"/>
      <x:c r="E307" s="1"/>
      <x:c r="F307" s="1"/>
      <x:c r="G307" s="1"/>
      <x:c r="H307" s="1"/>
      <x:c r="I307" s="1"/>
      <x:c r="J307" s="1"/>
      <x:c r="K307" s="1"/>
    </x:row>
    <x:row r="308" ht="66" customHeight="1">
      <x:c r="A308" s="16" t="str">
        <x:v>FishBase: Plotosus species list</x:v>
      </x:c>
      <x:c r="B308" s="16" t="str">
        <x:v>Taxa: Plotosus; Plotosidae. Species length/distribution table. Western Pacific P. nhatrangensis maximum 24.3 cm TL versus P. lineatus 35.2 cm TL and P. canius 111.1 cm TL.</x:v>
      </x:c>
      <x:c r="C308" s="25" t="str">
        <x:v>https://www.fishbase.se/identification/SpeciesList.php?genus=Plotosus</x:v>
      </x:c>
      <x:c r="D308" s="1"/>
      <x:c r="E308" s="1"/>
      <x:c r="F308" s="1"/>
      <x:c r="G308" s="1"/>
      <x:c r="H308" s="1"/>
      <x:c r="I308" s="1"/>
      <x:c r="J308" s="1"/>
      <x:c r="K308" s="1"/>
    </x:row>
    <x:row r="309" ht="66" customHeight="1">
      <x:c r="A309" s="16" t="str">
        <x:v>FishBase: Plotosus nhatrangensis, citing Prokofiev (2008)</x:v>
      </x:c>
      <x:c r="B309" s="16" t="str">
        <x:v>Taxa: Plotosus; Plotosidae. Size; Distribution; Main reference, Journal of Ichthyology 48(8):671–675. Maximum 24.3 cm TL; Vietnam. Original description is from Nha Trang Bay, South China Sea, establishing regional relevance.</x:v>
      </x:c>
      <x:c r="C309" s="25" t="str">
        <x:v>https://fishbase.se/summary/65357</x:v>
      </x:c>
      <x:c r="D309" s="1"/>
      <x:c r="E309" s="1"/>
      <x:c r="F309" s="1"/>
      <x:c r="G309" s="1"/>
      <x:c r="H309" s="1"/>
      <x:c r="I309" s="1"/>
      <x:c r="J309" s="1"/>
      <x:c r="K309" s="1"/>
    </x:row>
    <x:row r="310" ht="66" customHeight="1">
      <x:c r="A310" s="16" t="str">
        <x:v>WoRMS: Scomber australasicus</x:v>
      </x:c>
      <x:c r="B310" s="16" t="str">
        <x:v>Taxa: Scomber australasicus. {"scientificname":"Scomber australasicus","valid_name":"Scomber australasicus","status":"accepted","family":"Scombridae","class":"Teleostei","phylum":"Chordata"}</x:v>
      </x:c>
      <x:c r="C310" s="25" t="str">
        <x:v>https://www.marinespecies.org/aphia.php?p=taxdetails&amp;id=219715</x:v>
      </x:c>
      <x:c r="D310" s="1"/>
      <x:c r="E310" s="1"/>
      <x:c r="F310" s="1"/>
      <x:c r="G310" s="1"/>
      <x:c r="H310" s="1"/>
      <x:c r="I310" s="1"/>
      <x:c r="J310" s="1"/>
      <x:c r="K310" s="1"/>
    </x:row>
    <x:row r="311" ht="66" customHeight="1">
      <x:c r="A311" s="16" t="str">
        <x:v>FishBase: Scomber australasicus</x:v>
      </x:c>
      <x:c r="B311" s="16" t="str">
        <x:v>Taxa: Scomber australasicus. Habitat: Marine;  pelagic-neritic; oceanodromous; first maximum: 50.2 cm SL. Additional biology checked where material.</x:v>
      </x:c>
      <x:c r="C311" s="25" t="str">
        <x:v>https://www.fishbase.se/summary/Scomber-australasicus.html</x:v>
      </x:c>
      <x:c r="D311" s="1"/>
      <x:c r="E311" s="1"/>
      <x:c r="F311" s="1"/>
      <x:c r="G311" s="1"/>
      <x:c r="H311" s="1"/>
      <x:c r="I311" s="1"/>
      <x:c r="J311" s="1"/>
      <x:c r="K311" s="1"/>
    </x:row>
    <x:row r="312" ht="66" customHeight="1">
      <x:c r="A312" s="16" t="str">
        <x:v>WoRMS: Clupeiformes</x:v>
      </x:c>
      <x:c r="B312" s="16" t="str">
        <x:v>Taxa: Clupeiformes. {"scientificname":"Clupeiformes","valid_name":"Clupeiformes","status":"accepted","family":null,"class":"Teleostei","phylum":"Chordata"}</x:v>
      </x:c>
      <x:c r="C312" s="25" t="str">
        <x:v>https://www.marinespecies.org/aphia.php?p=taxdetails&amp;id=10297</x:v>
      </x:c>
      <x:c r="D312" s="1"/>
      <x:c r="E312" s="1"/>
      <x:c r="F312" s="1"/>
      <x:c r="G312" s="1"/>
      <x:c r="H312" s="1"/>
      <x:c r="I312" s="1"/>
      <x:c r="J312" s="1"/>
      <x:c r="K312" s="1"/>
    </x:row>
    <x:row r="313" ht="66" customHeight="1">
      <x:c r="A313" s="16" t="str">
        <x:v>WoRMS: Mollusca</x:v>
      </x:c>
      <x:c r="B313" s="16" t="str">
        <x:v>Taxa: Mollusca. {"scientificname":"Mollusca","valid_name":"Mollusca","status":"accepted","family":null,"class":null,"phylum":"Mollusca"}</x:v>
      </x:c>
      <x:c r="C313" s="25" t="str">
        <x:v>https://www.marinespecies.org/aphia.php?p=taxdetails&amp;id=51</x:v>
      </x:c>
      <x:c r="D313" s="1"/>
      <x:c r="E313" s="1"/>
      <x:c r="F313" s="1"/>
      <x:c r="G313" s="1"/>
      <x:c r="H313" s="1"/>
      <x:c r="I313" s="1"/>
      <x:c r="J313" s="1"/>
      <x:c r="K313" s="1"/>
    </x:row>
    <x:row r="314" ht="66" customHeight="1">
      <x:c r="A314" s="16" t="str">
        <x:v>WoRMS: Lactarius lactarius</x:v>
      </x:c>
      <x:c r="B314" s="16" t="str">
        <x:v>Taxa: Lactarius lactarius. {"scientificname":"Lactarius lactarius","valid_name":"Lactarius lactarius","status":"accepted","family":"Lactariidae","class":"Teleostei","phylum":"Chordata"}</x:v>
      </x:c>
      <x:c r="C314" s="25" t="str">
        <x:v>https://www.marinespecies.org/aphia.php?p=taxdetails&amp;id=218381</x:v>
      </x:c>
      <x:c r="D314" s="1"/>
      <x:c r="E314" s="1"/>
      <x:c r="F314" s="1"/>
      <x:c r="G314" s="1"/>
      <x:c r="H314" s="1"/>
      <x:c r="I314" s="1"/>
      <x:c r="J314" s="1"/>
      <x:c r="K314" s="1"/>
    </x:row>
    <x:row r="315" ht="66" customHeight="1">
      <x:c r="A315" s="16" t="str">
        <x:v>FishBase: Lactarius lactarius</x:v>
      </x:c>
      <x:c r="B315" s="16" t="str">
        <x:v>Taxa: Lactarius lactarius. Habitat: Marine; brackish;  pelagic-neritic;; first maximum: 40 cm TL. Additional biology checked where material.</x:v>
      </x:c>
      <x:c r="C315" s="25" t="str">
        <x:v>https://www.fishbase.se/summary/Lactarius-lactarius.html</x:v>
      </x:c>
      <x:c r="D315" s="1"/>
      <x:c r="E315" s="1"/>
      <x:c r="F315" s="1"/>
      <x:c r="G315" s="1"/>
      <x:c r="H315" s="1"/>
      <x:c r="I315" s="1"/>
      <x:c r="J315" s="1"/>
      <x:c r="K315" s="1"/>
    </x:row>
    <x:row r="316" ht="66" customHeight="1">
      <x:c r="A316" s="16" t="str">
        <x:v>WoRMS: Metapenaeus</x:v>
      </x:c>
      <x:c r="B316" s="16" t="str">
        <x:v>Taxa: Metapenaeus. {"scientificname":"Metapenaeus","valid_name":"Metapenaeus","status":"accepted","family":"Penaeidae","class":"Malacostraca","phylum":"Arthropoda"}</x:v>
      </x:c>
      <x:c r="C316" s="25" t="str">
        <x:v>https://www.marinespecies.org/aphia.php?p=taxdetails&amp;id=106818</x:v>
      </x:c>
      <x:c r="D316" s="1"/>
      <x:c r="E316" s="1"/>
      <x:c r="F316" s="1"/>
      <x:c r="G316" s="1"/>
      <x:c r="H316" s="1"/>
      <x:c r="I316" s="1"/>
      <x:c r="J316" s="1"/>
      <x:c r="K316" s="1"/>
    </x:row>
    <x:row r="317" ht="66" customHeight="1">
      <x:c r="A317" s="16" t="str">
        <x:v>FishBase: Arnoglossus polyspilus</x:v>
      </x:c>
      <x:c r="B317" s="16" t="str">
        <x:v>Taxa: Bothidae. Classification; Size; Biology. Bothidae, demersal, Western Pacific, maximum 24 cm TL.</x:v>
      </x:c>
      <x:c r="C317" s="25" t="str">
        <x:v>https://www.fishbase.se/summary/12566</x:v>
      </x:c>
      <x:c r="D317" s="1"/>
      <x:c r="E317" s="1"/>
      <x:c r="F317" s="1"/>
      <x:c r="G317" s="1"/>
      <x:c r="H317" s="1"/>
      <x:c r="I317" s="1"/>
      <x:c r="J317" s="1"/>
      <x:c r="K317" s="1"/>
    </x:row>
    <x:row r="318" ht="66" customHeight="1">
      <x:c r="A318" s="16" t="str">
        <x:v>FishBase: Bothus mancus</x:v>
      </x:c>
      <x:c r="B318" s="16" t="str">
        <x:v>Taxa: Bothidae. Classification; Size; Biology. Bothidae; large flatfish reported 51 cm (length type NG, not relabeled TL), bottom-associated reef/sand species.</x:v>
      </x:c>
      <x:c r="C318" s="25" t="str">
        <x:v>https://www.fishbase.se/summary/bothus-mancus</x:v>
      </x:c>
      <x:c r="D318" s="1"/>
      <x:c r="E318" s="1"/>
      <x:c r="F318" s="1"/>
      <x:c r="G318" s="1"/>
      <x:c r="H318" s="1"/>
      <x:c r="I318" s="1"/>
      <x:c r="J318" s="1"/>
      <x:c r="K318" s="1"/>
    </x:row>
    <x:row r="319" ht="66" customHeight="1">
      <x:c r="A319" s="16" t="str">
        <x:v>WoRMS: Nemipterus japonicus</x:v>
      </x:c>
      <x:c r="B319" s="16" t="str">
        <x:v>Taxa: Nemipterus japonicus. {"scientificname":"Nemipterus japonicus","valid_name":"Nemipterus japonicus","status":"accepted","family":"Nemipteridae","class":"Teleostei","phylum":"Chordata"}</x:v>
      </x:c>
      <x:c r="C319" s="25" t="str">
        <x:v>https://www.marinespecies.org/aphia.php?p=taxdetails&amp;id=218515</x:v>
      </x:c>
      <x:c r="D319" s="1"/>
      <x:c r="E319" s="1"/>
      <x:c r="F319" s="1"/>
      <x:c r="G319" s="1"/>
      <x:c r="H319" s="1"/>
      <x:c r="I319" s="1"/>
      <x:c r="J319" s="1"/>
      <x:c r="K319" s="1"/>
    </x:row>
    <x:row r="320" ht="66" customHeight="1">
      <x:c r="A320" s="16" t="str">
        <x:v>WoRMS: Rachycentron canadum</x:v>
      </x:c>
      <x:c r="B320" s="16" t="str">
        <x:v>Taxa: Rachycentron canadum. {"scientificname":"Rachycentron canadum","valid_name":"Rachycentron canadum","status":"accepted","family":"Rachycentridae","class":"Teleostei","phylum":"Chordata"}</x:v>
      </x:c>
      <x:c r="C320" s="25" t="str">
        <x:v>https://www.marinespecies.org/aphia.php?p=taxdetails&amp;id=127006</x:v>
      </x:c>
      <x:c r="D320" s="1"/>
      <x:c r="E320" s="1"/>
      <x:c r="F320" s="1"/>
      <x:c r="G320" s="1"/>
      <x:c r="H320" s="1"/>
      <x:c r="I320" s="1"/>
      <x:c r="J320" s="1"/>
      <x:c r="K320" s="1"/>
    </x:row>
    <x:row r="321" ht="66" customHeight="1">
      <x:c r="A321" s="16" t="str">
        <x:v>FishBase: Rachycentron canadum</x:v>
      </x:c>
      <x:c r="B321" s="16" t="str">
        <x:v>Taxa: Rachycentron canadum. Habitat: Marine; brackish;  reef-associated; oceanodromous; first maximum: 200 cm TL. Additional biology checked where material.</x:v>
      </x:c>
      <x:c r="C321" s="25" t="str">
        <x:v>https://www.fishbase.se/summary/Rachycentron-canadum.html</x:v>
      </x:c>
      <x:c r="D321" s="1"/>
      <x:c r="E321" s="1"/>
      <x:c r="F321" s="1"/>
      <x:c r="G321" s="1"/>
      <x:c r="H321" s="1"/>
      <x:c r="I321" s="1"/>
      <x:c r="J321" s="1"/>
      <x:c r="K321" s="1"/>
    </x:row>
    <x:row r="322" ht="66" customHeight="1">
      <x:c r="A322" s="16" t="str">
        <x:v>FAO field guide, Rachycentridae</x:v>
      </x:c>
      <x:c r="B322" s="16" t="str">
        <x:v>Taxa: Rachycentridae. Rachycentron canadum, p. 92. Cobia is mainly pelagic and reaches 200 cm; reef association does not make it exclusively demersal.</x:v>
      </x:c>
      <x:c r="C322" s="25" t="str">
        <x:v>https://www.fao.org/4/t0438e/t0438e21.pdf</x:v>
      </x:c>
      <x:c r="D322" s="1"/>
      <x:c r="E322" s="1"/>
      <x:c r="F322" s="1"/>
      <x:c r="G322" s="1"/>
      <x:c r="H322" s="1"/>
      <x:c r="I322" s="1"/>
      <x:c r="J322" s="1"/>
      <x:c r="K322" s="1"/>
    </x:row>
    <x:row r="323" ht="66" customHeight="1">
      <x:c r="A323" s="16" t="str">
        <x:v>Shaffer &amp; Nakamura (1989), Synopsis of biological data on cobia; NOAA Technical Report NMFS 82</x:v>
      </x:c>
      <x:c r="B323" s="16" t="str">
        <x:v>Taxa: Rachycentridae. Taxonomy, section 1.2. Rachycentridae contains the single living species Rachycentron canadum.</x:v>
      </x:c>
      <x:c r="C323" s="25" t="str">
        <x:v>https://www.st.nmfs.noaa.gov/spo/SPO/tr82opt.pdf</x:v>
      </x:c>
      <x:c r="D323" s="1"/>
      <x:c r="E323" s="1"/>
      <x:c r="F323" s="1"/>
      <x:c r="G323" s="1"/>
      <x:c r="H323" s="1"/>
      <x:c r="I323" s="1"/>
      <x:c r="J323" s="1"/>
      <x:c r="K323" s="1"/>
    </x:row>
    <x:row r="324" ht="66" customHeight="1">
      <x:c r="A324" s="16" t="str">
        <x:v>Eschmeyer's Catalog of Fishes, Istiophoridae</x:v>
      </x:c>
      <x:c r="B324" s="16" t="str">
        <x:v>Taxa: Makaira mazara; Istiompax indica; Makaira; Kajikia audax. Species and synonym entries. Connects historical Makaira indica/Tetrapturus audax to Istiompax indica/Kajikia audax; Makaira mazara status remains contested.</x:v>
      </x:c>
      <x:c r="C324" s="25" t="str">
        <x:v>https://researcharchive.calacademy.org/research/ichthyology/catalog/fishcatget.asp?family=Istiophoridae&amp;tbl=species</x:v>
      </x:c>
      <x:c r="D324" s="1"/>
      <x:c r="E324" s="1"/>
      <x:c r="F324" s="1"/>
      <x:c r="G324" s="1"/>
      <x:c r="H324" s="1"/>
      <x:c r="I324" s="1"/>
      <x:c r="J324" s="1"/>
      <x:c r="K324" s="1"/>
    </x:row>
    <x:row r="325" ht="66" customHeight="1">
      <x:c r="A325" s="16" t="str">
        <x:v>FishBase: Sebastapistes cyanostigma</x:v>
      </x:c>
      <x:c r="B325" s="16" t="str">
        <x:v>Taxa: Scorpaenidae. Classification; Environment; Size; Biology. Scorpaenidae; maximum 10 cm TL; shallow coral-associated bottom habitat in Indo-Pacific.</x:v>
      </x:c>
      <x:c r="C325" s="25" t="str">
        <x:v>https://www.fishbase.se/summary/Sebastapistes-cyanostigma.html</x:v>
      </x:c>
      <x:c r="D325" s="1"/>
      <x:c r="E325" s="1"/>
      <x:c r="F325" s="1"/>
      <x:c r="G325" s="1"/>
      <x:c r="H325" s="1"/>
      <x:c r="I325" s="1"/>
      <x:c r="J325" s="1"/>
      <x:c r="K325" s="1"/>
    </x:row>
    <x:row r="326" ht="66" customHeight="1">
      <x:c r="A326" s="16" t="str">
        <x:v>WoRMS: Portunus</x:v>
      </x:c>
      <x:c r="B326" s="16" t="str">
        <x:v>Taxa: Portunus. {"scientificname":"Portunus","valid_name":"Portunus","status":"accepted","family":"Portunidae","class":"Malacostraca","phylum":"Arthropoda"}</x:v>
      </x:c>
      <x:c r="C326" s="25" t="str">
        <x:v>https://www.marinespecies.org/aphia.php?p=taxdetails&amp;id=106930</x:v>
      </x:c>
      <x:c r="D326" s="1"/>
      <x:c r="E326" s="1"/>
      <x:c r="F326" s="1"/>
      <x:c r="G326" s="1"/>
      <x:c r="H326" s="1"/>
      <x:c r="I326" s="1"/>
      <x:c r="J326" s="1"/>
      <x:c r="K326" s="1"/>
    </x:row>
    <x:row r="327" ht="66" customHeight="1">
      <x:c r="A327" s="16" t="str">
        <x:v>WoRMS: Gobiidae</x:v>
      </x:c>
      <x:c r="B327" s="16" t="str">
        <x:v>Taxa: Gobiidae. {"scientificname":"Gobiidae","valid_name":"Gobiidae","status":"accepted","family":"Gobiidae","class":"Teleostei","phylum":"Chordata"}</x:v>
      </x:c>
      <x:c r="C327" s="25" t="str">
        <x:v>https://www.marinespecies.org/aphia.php?p=taxdetails&amp;id=125537</x:v>
      </x:c>
      <x:c r="D327" s="1"/>
      <x:c r="E327" s="1"/>
      <x:c r="F327" s="1"/>
      <x:c r="G327" s="1"/>
      <x:c r="H327" s="1"/>
      <x:c r="I327" s="1"/>
      <x:c r="J327" s="1"/>
      <x:c r="K327" s="1"/>
    </x:row>
    <x:row r="328" ht="66" customHeight="1">
      <x:c r="A328" s="16" t="str">
        <x:v>FishBase China checklist</x:v>
      </x:c>
      <x:c r="B328" s="16" t="str">
        <x:v>Taxa: Gobiidae. 50 cm TL maximum.</x:v>
      </x:c>
      <x:c r="C328" s="25" t="str">
        <x:v>https://fishbase.se/Country/CountryChecklist.php?c_code=156&amp;cpresence=Reported&amp;ext_CL=on&amp;ext_pic=on&amp;resultPage=14&amp;sortby=alpha2&amp;trpp=50&amp;vhabitat=fresh&amp;what=list</x:v>
      </x:c>
      <x:c r="D328" s="1"/>
      <x:c r="E328" s="1"/>
      <x:c r="F328" s="1"/>
      <x:c r="G328" s="1"/>
      <x:c r="H328" s="1"/>
      <x:c r="I328" s="1"/>
      <x:c r="J328" s="1"/>
      <x:c r="K328" s="1"/>
    </x:row>
    <x:row r="329" ht="66" customHeight="1">
      <x:c r="A329" s="16" t="str">
        <x:v>Qinzhou Harbor fish assemblage study</x:v>
      </x:c>
      <x:c r="B329" s="16" t="str">
        <x:v>Taxa: Gobiidae. Acanthogobius hasta reported in Guangxi coastal mangrove assemblages; regional relevance, not catch share.</x:v>
      </x:c>
      <x:c r="C329" s="25" t="str">
        <x:v>https://agris.fao.org/search/zh/records/647481a12d3f560f80b1a875</x:v>
      </x:c>
      <x:c r="D329" s="1"/>
      <x:c r="E329" s="1"/>
      <x:c r="F329" s="1"/>
      <x:c r="G329" s="1"/>
      <x:c r="H329" s="1"/>
      <x:c r="I329" s="1"/>
      <x:c r="J329" s="1"/>
      <x:c r="K329" s="1"/>
    </x:row>
    <x:row r="330" ht="66" customHeight="1">
      <x:c r="A330" s="16" t="str">
        <x:v>WoRMS: Penaeus</x:v>
      </x:c>
      <x:c r="B330" s="16" t="str">
        <x:v>Taxa: Penaeus. {"scientificname":"Penaeus","valid_name":"Penaeus","status":"accepted","family":"Penaeidae","class":"Malacostraca","phylum":"Arthropoda"}</x:v>
      </x:c>
      <x:c r="C330" s="25" t="str">
        <x:v>https://www.marinespecies.org/aphia.php?p=taxdetails&amp;id=106822</x:v>
      </x:c>
      <x:c r="D330" s="1"/>
      <x:c r="E330" s="1"/>
      <x:c r="F330" s="1"/>
      <x:c r="G330" s="1"/>
      <x:c r="H330" s="1"/>
      <x:c r="I330" s="1"/>
      <x:c r="J330" s="1"/>
      <x:c r="K330" s="1"/>
    </x:row>
    <x:row r="331" ht="66" customHeight="1">
      <x:c r="A331" s="16" t="str">
        <x:v>FishBase: Cynoglossus species list</x:v>
      </x:c>
      <x:c r="B331" s="16" t="str">
        <x:v>Taxa: Cynoglossus. Species length/distribution table. C. interruptus 19.7 cm TL / C. lighti 22.2 cm TL versus C. arel 40 cm TL and C. lingua 45 cm TL support both small and large guilds.</x:v>
      </x:c>
      <x:c r="C331" s="25" t="str">
        <x:v>https://www.fishbase.se/identification/SpeciesList.php?genus=Cynoglossus</x:v>
      </x:c>
      <x:c r="D331" s="1"/>
      <x:c r="E331" s="1"/>
      <x:c r="F331" s="1"/>
      <x:c r="G331" s="1"/>
      <x:c r="H331" s="1"/>
      <x:c r="I331" s="1"/>
      <x:c r="J331" s="1"/>
      <x:c r="K331" s="1"/>
    </x:row>
    <x:row r="332" ht="66" customHeight="1">
      <x:c r="A332" s="16" t="str">
        <x:v>FishBase: Cynoglossus arel</x:v>
      </x:c>
      <x:c r="B332" s="16" t="str">
        <x:v>Taxa: Cynoglossus. Classification; Environment; Size; Biology. Cynoglossidae, demersal mud/sand shelf; maximum 40 cm TL, benthic invertebrate prey.</x:v>
      </x:c>
      <x:c r="C332" s="25" t="str">
        <x:v>https://www.fishbase.se/summary/Cynoglossus-arel.html</x:v>
      </x:c>
      <x:c r="D332" s="1"/>
      <x:c r="E332" s="1"/>
      <x:c r="F332" s="1"/>
      <x:c r="G332" s="1"/>
      <x:c r="H332" s="1"/>
      <x:c r="I332" s="1"/>
      <x:c r="J332" s="1"/>
      <x:c r="K332" s="1"/>
    </x:row>
    <x:row r="333" ht="66" customHeight="1">
      <x:c r="A333" s="16" t="str">
        <x:v>FAO Western Central Pacific, Hemiramphidae</x:v>
      </x:c>
      <x:c r="B333" s="16" t="str">
        <x:v>Taxa: Hemiramphus; Hemiramphidae; Hyporhamphus. Hemiramphus and Hyporhamphus accounts, pp. 2186–2191. Regional Hemiramphus maxima are 34, 44 and 40 cm TL. Hyporhamphus includes H. limbatus at 22 cm TL and H. quoyi at 31.2 cm SL.</x:v>
      </x:c>
      <x:c r="C333" s="25" t="str">
        <x:v>https://www.fao.org/4/x2400e/x2400e12.pdf</x:v>
      </x:c>
      <x:c r="D333" s="1"/>
      <x:c r="E333" s="1"/>
      <x:c r="F333" s="1"/>
      <x:c r="G333" s="1"/>
      <x:c r="H333" s="1"/>
      <x:c r="I333" s="1"/>
      <x:c r="J333" s="1"/>
      <x:c r="K333" s="1"/>
    </x:row>
    <x:row r="334" ht="66" customHeight="1">
      <x:c r="A334" s="16" t="str">
        <x:v>WoRMS: Seriolina nigrofasciata</x:v>
      </x:c>
      <x:c r="B334" s="16" t="str">
        <x:v>Taxa: Seriolina nigrofasciata. {"scientificname":"Seriolina nigrofasciata","valid_name":"Seriolina nigrofasciata","status":"accepted","family":"Carangidae","class":"Teleostei","phylum":"Chordata"}</x:v>
      </x:c>
      <x:c r="C334" s="25" t="str">
        <x:v>https://www.marinespecies.org/aphia.php?p=taxdetails&amp;id=218438</x:v>
      </x:c>
      <x:c r="D334" s="1"/>
      <x:c r="E334" s="1"/>
      <x:c r="F334" s="1"/>
      <x:c r="G334" s="1"/>
      <x:c r="H334" s="1"/>
      <x:c r="I334" s="1"/>
      <x:c r="J334" s="1"/>
      <x:c r="K334" s="1"/>
    </x:row>
    <x:row r="335" ht="66" customHeight="1">
      <x:c r="A335" s="16" t="str">
        <x:v>FishBase: Seriolina nigrofasciata</x:v>
      </x:c>
      <x:c r="B335" s="16" t="str">
        <x:v>Taxa: Seriolina nigrofasciata. Habitat: Marine; brackish;  reef-associated;; first maximum: 77.5 cm TL. Additional biology checked where material.</x:v>
      </x:c>
      <x:c r="C335" s="25" t="str">
        <x:v>https://www.fishbase.se/summary/Seriolina-nigrofasciata.html</x:v>
      </x:c>
      <x:c r="D335" s="1"/>
      <x:c r="E335" s="1"/>
      <x:c r="F335" s="1"/>
      <x:c r="G335" s="1"/>
      <x:c r="H335" s="1"/>
      <x:c r="I335" s="1"/>
      <x:c r="J335" s="1"/>
      <x:c r="K335" s="1"/>
    </x:row>
    <x:row r="336" ht="66" customHeight="1">
      <x:c r="A336" s="16" t="str">
        <x:v>FishBase: Eleutheronema tetradactylum</x:v>
      </x:c>
      <x:c r="B336" s="16" t="str">
        <x:v>Taxa: Eleutheronema tetradactylum. Classification; Environment; Size; Biology. Polynemidae; maximum 200 cm TL; pelagic-neritic summary label requires interpretation with shallow muddy-bottom adult habitat.</x:v>
      </x:c>
      <x:c r="C336" s="25" t="str">
        <x:v>https://www.fishbase.se/summary/Eleutheronema-tetradactylum.html</x:v>
      </x:c>
      <x:c r="D336" s="1"/>
      <x:c r="E336" s="1"/>
      <x:c r="F336" s="1"/>
      <x:c r="G336" s="1"/>
      <x:c r="H336" s="1"/>
      <x:c r="I336" s="1"/>
      <x:c r="J336" s="1"/>
      <x:c r="K336" s="1"/>
    </x:row>
    <x:row r="337" ht="66" customHeight="1">
      <x:c r="A337" s="16" t="str">
        <x:v>SEAFDEC: fishery resources identification guide</x:v>
      </x:c>
      <x:c r="B337" s="16" t="str">
        <x:v>Taxa: Eleutheronema tetradactylum. p.78, Eleutheronema tetradactylum. Adults use shallow muddy bottoms and coastal waters/rivers; supplies behavior supporting residual demersal assignment.</x:v>
      </x:c>
      <x:c r="C337" s="25" t="str">
        <x:v>https://repository.seafdec.or.th/bitstream/handle/20.500.12067/969/fishery-resources.pdf</x:v>
      </x:c>
      <x:c r="D337" s="1"/>
      <x:c r="E337" s="1"/>
      <x:c r="F337" s="1"/>
      <x:c r="G337" s="1"/>
      <x:c r="H337" s="1"/>
      <x:c r="I337" s="1"/>
      <x:c r="J337" s="1"/>
      <x:c r="K337" s="1"/>
    </x:row>
    <x:row r="338" ht="66" customHeight="1">
      <x:c r="A338" s="16" t="str">
        <x:v>WoRMS: Malacostraca</x:v>
      </x:c>
      <x:c r="B338" s="16" t="str">
        <x:v>Taxa: Malacostraca. {"scientificname":"Malacostraca","valid_name":"Malacostraca","status":"accepted","family":null,"class":"Malacostraca","phylum":"Arthropoda"}</x:v>
      </x:c>
      <x:c r="C338" s="25" t="str">
        <x:v>https://www.marinespecies.org/aphia.php?p=taxdetails&amp;id=1071</x:v>
      </x:c>
      <x:c r="D338" s="1"/>
      <x:c r="E338" s="1"/>
      <x:c r="F338" s="1"/>
      <x:c r="G338" s="1"/>
      <x:c r="H338" s="1"/>
      <x:c r="I338" s="1"/>
      <x:c r="J338" s="1"/>
      <x:c r="K338" s="1"/>
    </x:row>
    <x:row r="339" ht="66" customHeight="1">
      <x:c r="A339" s="16" t="str">
        <x:v>FishBase: Lateolabrax japonicus</x:v>
      </x:c>
      <x:c r="B339" s="16" t="str">
        <x:v>Taxa: Lateolabrax japonicus. Classification; Environment; Size; Biology. Maximum 102 cm TL, rocky inshore habitat; Chinese records must distinguish valid L. maculatus rather than silently synonymizing them.</x:v>
      </x:c>
      <x:c r="C339" s="25" t="str">
        <x:v>https://www.fishbase.se/summary/Lateolabrax-japonicus.html</x:v>
      </x:c>
      <x:c r="D339" s="1"/>
      <x:c r="E339" s="1"/>
      <x:c r="F339" s="1"/>
      <x:c r="G339" s="1"/>
      <x:c r="H339" s="1"/>
      <x:c r="I339" s="1"/>
      <x:c r="J339" s="1"/>
      <x:c r="K339" s="1"/>
    </x:row>
    <x:row r="340" ht="66" customHeight="1">
      <x:c r="A340" s="16" t="str">
        <x:v>FishBase: Pagrus auratus</x:v>
      </x:c>
      <x:c r="B340" s="16" t="str">
        <x:v>Taxa: Pagrus auratus. Classification; Environment; Size; Biology. Sparidae; maximum 130 cm TL, reef and mud/sand habitat, benthic prey; common-name snapper is not Lutjanidae.</x:v>
      </x:c>
      <x:c r="C340" s="25" t="str">
        <x:v>https://www.fishbase.se/summary/Pagrus-auratus.html</x:v>
      </x:c>
      <x:c r="D340" s="1"/>
      <x:c r="E340" s="1"/>
      <x:c r="F340" s="1"/>
      <x:c r="G340" s="1"/>
      <x:c r="H340" s="1"/>
      <x:c r="I340" s="1"/>
      <x:c r="J340" s="1"/>
      <x:c r="K340" s="1"/>
    </x:row>
    <x:row r="341" ht="66" customHeight="1">
      <x:c r="A341" s="16" t="str">
        <x:v>WoRMS: Thryssa</x:v>
      </x:c>
      <x:c r="B341" s="16" t="str">
        <x:v>Taxa: Thryssa. {"scientificname":"Thryssa","valid_name":"Thryssa","status":"temporary name","family":"Engraulidae","class":"Teleostei","phylum":"Chordata"}</x:v>
      </x:c>
      <x:c r="C341" s="25" t="str">
        <x:v>https://www.marinespecies.org/aphia.php?p=taxdetails&amp;id=158703</x:v>
      </x:c>
      <x:c r="D341" s="1"/>
      <x:c r="E341" s="1"/>
      <x:c r="F341" s="1"/>
      <x:c r="G341" s="1"/>
      <x:c r="H341" s="1"/>
      <x:c r="I341" s="1"/>
      <x:c r="J341" s="1"/>
      <x:c r="K341" s="1"/>
    </x:row>
    <x:row r="342" ht="66" customHeight="1">
      <x:c r="A342" s="16" t="str">
        <x:v>FishBase Thryssa inventory</x:v>
      </x:c>
      <x:c r="B342" s="16" t="str">
        <x:v>Taxa: Thryssa. Genus composition and reported length metrics reviewed.</x:v>
      </x:c>
      <x:c r="C342" s="25" t="str">
        <x:v>https://www.fishbase.se/identification/SpeciesList.php?genus=Thryssa</x:v>
      </x:c>
      <x:c r="D342" s="1"/>
      <x:c r="E342" s="1"/>
      <x:c r="F342" s="1"/>
      <x:c r="G342" s="1"/>
      <x:c r="H342" s="1"/>
      <x:c r="I342" s="1"/>
      <x:c r="J342" s="1"/>
      <x:c r="K342" s="1"/>
    </x:row>
    <x:row r="343" ht="66" customHeight="1">
      <x:c r="A343" s="16" t="str">
        <x:v>FishBase: Thryssa hamiltonii</x:v>
      </x:c>
      <x:c r="B343" s="16" t="str">
        <x:v>Taxa: Thryssa. Species-level boundary evidence described in the rationale.</x:v>
      </x:c>
      <x:c r="C343" s="25" t="str">
        <x:v>https://www.fishbase.se/summary/Thryssa-hamiltonii.html</x:v>
      </x:c>
      <x:c r="D343" s="1"/>
      <x:c r="E343" s="1"/>
      <x:c r="F343" s="1"/>
      <x:c r="G343" s="1"/>
      <x:c r="H343" s="1"/>
      <x:c r="I343" s="1"/>
      <x:c r="J343" s="1"/>
      <x:c r="K343" s="1"/>
    </x:row>
    <x:row r="344" ht="66" customHeight="1">
      <x:c r="A344" s="16" t="str">
        <x:v>FishBase: Sillago species list</x:v>
      </x:c>
      <x:c r="B344" s="16" t="str">
        <x:v>Taxa: Sillaginidae; Sillago. Species length/distribution table. Regional species span ≤ 30 cm TL (e.g. S. argentifasciata 14.9, S. japonica 30) and &gt; 30 cm (S. sihama 31 cm SL).</x:v>
      </x:c>
      <x:c r="C344" s="25" t="str">
        <x:v>https://www.fishbase.se/identification/SpeciesList.php?genus=Sillago</x:v>
      </x:c>
      <x:c r="D344" s="1"/>
      <x:c r="E344" s="1"/>
      <x:c r="F344" s="1"/>
      <x:c r="G344" s="1"/>
      <x:c r="H344" s="1"/>
      <x:c r="I344" s="1"/>
      <x:c r="J344" s="1"/>
      <x:c r="K344" s="1"/>
    </x:row>
    <x:row r="345" ht="66" customHeight="1">
      <x:c r="A345" s="16" t="str">
        <x:v>FAO WCP guide: Sillaginidae</x:v>
      </x:c>
      <x:c r="B345" s="16" t="str">
        <x:v>Taxa: Sillaginidae; Sillago; Sillago sihama. p.2614, Habitat. Family consists of inshore bottom-dwelling fishes; their size heterogeneity, not taxonomic rank, creates missing group 24 membership.</x:v>
      </x:c>
      <x:c r="C345" s="25" t="str">
        <x:v>https://www.fao.org/4/x2400e/x2400e48.pdf</x:v>
      </x:c>
      <x:c r="D345" s="1"/>
      <x:c r="E345" s="1"/>
      <x:c r="F345" s="1"/>
      <x:c r="G345" s="1"/>
      <x:c r="H345" s="1"/>
      <x:c r="I345" s="1"/>
      <x:c r="J345" s="1"/>
      <x:c r="K345" s="1"/>
    </x:row>
    <x:row r="346" ht="66" customHeight="1">
      <x:c r="A346" s="16" t="str">
        <x:v>FishBase: Sillago sihama</x:v>
      </x:c>
      <x:c r="B346" s="16" t="str">
        <x:v>Taxa: Sillaginidae; Sillago; Sillago sihama. Classification; Environment; Size; Biology. Sillaginidae; maximum 31 cm SL, already above 30 cm TL; bottom burial and benthic prey support demersal habitat.</x:v>
      </x:c>
      <x:c r="C346" s="25" t="str">
        <x:v>https://www.fishbase.se/summary/Sillago-sihama.html</x:v>
      </x:c>
      <x:c r="D346" s="1"/>
      <x:c r="E346" s="1"/>
      <x:c r="F346" s="1"/>
      <x:c r="G346" s="1"/>
      <x:c r="H346" s="1"/>
      <x:c r="I346" s="1"/>
      <x:c r="J346" s="1"/>
      <x:c r="K346" s="1"/>
    </x:row>
    <x:row r="347" ht="66" customHeight="1">
      <x:c r="A347" s="16" t="str">
        <x:v>WoRMS: Octopus vulgaris</x:v>
      </x:c>
      <x:c r="B347" s="16" t="str">
        <x:v>Taxa: Octopus vulgaris. {"scientificname":"Octopus vulgaris","valid_name":"Octopus vulgaris","status":"accepted","family":"Octopodidae","class":"Cephalopoda","phylum":"Mollusca"}</x:v>
      </x:c>
      <x:c r="C347" s="25" t="str">
        <x:v>https://www.marinespecies.org/aphia.php?p=taxdetails&amp;id=140605</x:v>
      </x:c>
      <x:c r="D347" s="1"/>
      <x:c r="E347" s="1"/>
      <x:c r="F347" s="1"/>
      <x:c r="G347" s="1"/>
      <x:c r="H347" s="1"/>
      <x:c r="I347" s="1"/>
      <x:c r="J347" s="1"/>
      <x:c r="K347" s="1"/>
    </x:row>
    <x:row r="348" ht="66" customHeight="1">
      <x:c r="A348" s="16" t="str">
        <x:v>FishBase: Plectorhinchus species list</x:v>
      </x:c>
      <x:c r="B348" s="16" t="str">
        <x:v>Taxa: Plectorhinchus. Regional species maximum lengths. Regional sweetlips maxima are &gt; 30 cm; values reported as SL are not treated as equal to TL.</x:v>
      </x:c>
      <x:c r="C348" s="25" t="str">
        <x:v>https://www.fishbase.se/identification/SpeciesList.php?genus=Plectorhinchus</x:v>
      </x:c>
      <x:c r="D348" s="1"/>
      <x:c r="E348" s="1"/>
      <x:c r="F348" s="1"/>
      <x:c r="G348" s="1"/>
      <x:c r="H348" s="1"/>
      <x:c r="I348" s="1"/>
      <x:c r="J348" s="1"/>
      <x:c r="K348" s="1"/>
    </x:row>
    <x:row r="349" ht="66" customHeight="1">
      <x:c r="A349" s="16" t="str">
        <x:v>WoRMS: Anodontostoma chacunda</x:v>
      </x:c>
      <x:c r="B349" s="16" t="str">
        <x:v>Taxa: Anodontostoma chacunda. {"scientificname":"Anodontostoma chacunda","valid_name":"Anodontostoma chacunda","status":"accepted","family":"Dorosomatidae","class":"Teleostei","phylum":"Chordata"}</x:v>
      </x:c>
      <x:c r="C349" s="25" t="str">
        <x:v>https://www.marinespecies.org/aphia.php?p=taxdetails&amp;id=279626</x:v>
      </x:c>
      <x:c r="D349" s="1"/>
      <x:c r="E349" s="1"/>
      <x:c r="F349" s="1"/>
      <x:c r="G349" s="1"/>
      <x:c r="H349" s="1"/>
      <x:c r="I349" s="1"/>
      <x:c r="J349" s="1"/>
      <x:c r="K349" s="1"/>
    </x:row>
    <x:row r="350" ht="66" customHeight="1">
      <x:c r="A350" s="16" t="str">
        <x:v>FishBase: Anodontostoma chacunda</x:v>
      </x:c>
      <x:c r="B350" s="16" t="str">
        <x:v>Taxa: Anodontostoma chacunda. Habitat: Marine; freshwater; brackish;  pelagic-neritic; anadromous; first maximum: 22 cm SL. Additional biology checked where material.</x:v>
      </x:c>
      <x:c r="C350" s="25" t="str">
        <x:v>https://www.fishbase.se/summary/Anodontostoma-chacunda.html</x:v>
      </x:c>
      <x:c r="D350" s="1"/>
      <x:c r="E350" s="1"/>
      <x:c r="F350" s="1"/>
      <x:c r="G350" s="1"/>
      <x:c r="H350" s="1"/>
      <x:c r="I350" s="1"/>
      <x:c r="J350" s="1"/>
      <x:c r="K350" s="1"/>
    </x:row>
    <x:row r="351" ht="66" customHeight="1">
      <x:c r="A351" s="16" t="str">
        <x:v>WoRMS: Pampus chinensis</x:v>
      </x:c>
      <x:c r="B351" s="16" t="str">
        <x:v>Taxa: Pampus chinensis. {"scientificname":"Pampus chinensis","valid_name":"Pampus chinensis","status":"accepted","family":"Stromateidae","class":"Teleostei","phylum":"Chordata"}</x:v>
      </x:c>
      <x:c r="C351" s="25" t="str">
        <x:v>https://www.marinespecies.org/aphia.php?p=taxdetails&amp;id=273993</x:v>
      </x:c>
      <x:c r="D351" s="1"/>
      <x:c r="E351" s="1"/>
      <x:c r="F351" s="1"/>
      <x:c r="G351" s="1"/>
      <x:c r="H351" s="1"/>
      <x:c r="I351" s="1"/>
      <x:c r="J351" s="1"/>
      <x:c r="K351" s="1"/>
    </x:row>
    <x:row r="352" ht="66" customHeight="1">
      <x:c r="A352" s="16" t="str">
        <x:v>FishBase: Lobotes surinamensis</x:v>
      </x:c>
      <x:c r="B352" s="16" t="str">
        <x:v>Taxa: Lobotes surinamensis. Classification; Environment; Size; Biology. Lobotidae; benthopelagic, maximum 110 cm TL; bay/estuary and surface-associated behavior.</x:v>
      </x:c>
      <x:c r="C352" s="25" t="str">
        <x:v>https://www.fishbase.se/summary/Lobotes-surinamensis.html</x:v>
      </x:c>
      <x:c r="D352" s="1"/>
      <x:c r="E352" s="1"/>
      <x:c r="F352" s="1"/>
      <x:c r="G352" s="1"/>
      <x:c r="H352" s="1"/>
      <x:c r="I352" s="1"/>
      <x:c r="J352" s="1"/>
      <x:c r="K352" s="1"/>
    </x:row>
    <x:row r="353" ht="66" customHeight="1">
      <x:c r="A353" s="16" t="str">
        <x:v>WoRMS: Acetes</x:v>
      </x:c>
      <x:c r="B353" s="16" t="str">
        <x:v>Taxa: Acetes. {"scientificname":"Acetes","valid_name":"Acetes","status":"accepted","family":"Sergestidae","class":"Malacostraca","phylum":"Arthropoda"}</x:v>
      </x:c>
      <x:c r="C353" s="25" t="str">
        <x:v>https://www.marinespecies.org/aphia.php?p=taxdetails&amp;id=158343</x:v>
      </x:c>
      <x:c r="D353" s="1"/>
      <x:c r="E353" s="1"/>
      <x:c r="F353" s="1"/>
      <x:c r="G353" s="1"/>
      <x:c r="H353" s="1"/>
      <x:c r="I353" s="1"/>
      <x:c r="J353" s="1"/>
      <x:c r="K353" s="1"/>
    </x:row>
    <x:row r="354" ht="66" customHeight="1">
      <x:c r="A354" s="16" t="str">
        <x:v>WoRMS: Scylla serrata</x:v>
      </x:c>
      <x:c r="B354" s="16" t="str">
        <x:v>Taxa: Scylla serrata. {"scientificname":"Scylla serrata","valid_name":"Scylla serrata","status":"accepted","family":"Portunidae","class":"Malacostraca","phylum":"Arthropoda"}</x:v>
      </x:c>
      <x:c r="C354" s="25" t="str">
        <x:v>https://www.marinespecies.org/aphia.php?p=taxdetails&amp;id=208814</x:v>
      </x:c>
      <x:c r="D354" s="1"/>
      <x:c r="E354" s="1"/>
      <x:c r="F354" s="1"/>
      <x:c r="G354" s="1"/>
      <x:c r="H354" s="1"/>
      <x:c r="I354" s="1"/>
      <x:c r="J354" s="1"/>
      <x:c r="K354" s="1"/>
    </x:row>
    <x:row r="355" ht="66" customHeight="1">
      <x:c r="A355" s="16" t="str">
        <x:v>WoRMS: Scolopsis</x:v>
      </x:c>
      <x:c r="B355" s="16" t="str">
        <x:v>Taxa: Scolopsis. {"scientificname":"Scolopsis","valid_name":"Scolopsis","status":"accepted","family":"Nemipteridae","class":"Teleostei","phylum":"Chordata"}</x:v>
      </x:c>
      <x:c r="C355" s="25" t="str">
        <x:v>https://www.marinespecies.org/aphia.php?p=taxdetails&amp;id=203906</x:v>
      </x:c>
      <x:c r="D355" s="1"/>
      <x:c r="E355" s="1"/>
      <x:c r="F355" s="1"/>
      <x:c r="G355" s="1"/>
      <x:c r="H355" s="1"/>
      <x:c r="I355" s="1"/>
      <x:c r="J355" s="1"/>
      <x:c r="K355" s="1"/>
    </x:row>
    <x:row r="356" ht="66" customHeight="1">
      <x:c r="A356" s="16" t="str">
        <x:v>WoRMS: Gazza minuta</x:v>
      </x:c>
      <x:c r="B356" s="16" t="str">
        <x:v>Taxa: Gazza minuta. {"scientificname":"Gazza minuta","valid_name":"Gazza minuta","status":"accepted","family":"Leiognathidae","class":"Teleostei","phylum":"Chordata"}</x:v>
      </x:c>
      <x:c r="C356" s="25" t="str">
        <x:v>https://www.marinespecies.org/aphia.php?p=taxdetails&amp;id=218451</x:v>
      </x:c>
      <x:c r="D356" s="1"/>
      <x:c r="E356" s="1"/>
      <x:c r="F356" s="1"/>
      <x:c r="G356" s="1"/>
      <x:c r="H356" s="1"/>
      <x:c r="I356" s="1"/>
      <x:c r="J356" s="1"/>
      <x:c r="K356" s="1"/>
    </x:row>
    <x:row r="357" ht="66" customHeight="1">
      <x:c r="A357" s="16" t="str">
        <x:v>FishBase: Gazza minuta</x:v>
      </x:c>
      <x:c r="B357" s="16" t="str">
        <x:v>Taxa: Gazza minuta. Habitat: Marine; brackish;  demersal;; first maximum: 21 cm FL. Additional biology checked where material.</x:v>
      </x:c>
      <x:c r="C357" s="25" t="str">
        <x:v>https://www.fishbase.se/summary/Gazza-minuta.html</x:v>
      </x:c>
      <x:c r="D357" s="1"/>
      <x:c r="E357" s="1"/>
      <x:c r="F357" s="1"/>
      <x:c r="G357" s="1"/>
      <x:c r="H357" s="1"/>
      <x:c r="I357" s="1"/>
      <x:c r="J357" s="1"/>
      <x:c r="K357" s="1"/>
    </x:row>
    <x:row r="358" ht="66" customHeight="1">
      <x:c r="A358" s="16" t="str">
        <x:v>WoRMS: Scyllaridae</x:v>
      </x:c>
      <x:c r="B358" s="16" t="str">
        <x:v>Taxa: Scyllaridae. {"scientificname":"Scyllaridae","valid_name":"Scyllaridae","status":"accepted","family":"Scyllaridae","class":"Malacostraca","phylum":"Arthropoda"}</x:v>
      </x:c>
      <x:c r="C358" s="25" t="str">
        <x:v>https://www.marinespecies.org/aphia.php?p=taxdetails&amp;id=106795</x:v>
      </x:c>
      <x:c r="D358" s="1"/>
      <x:c r="E358" s="1"/>
      <x:c r="F358" s="1"/>
      <x:c r="G358" s="1"/>
      <x:c r="H358" s="1"/>
      <x:c r="I358" s="1"/>
      <x:c r="J358" s="1"/>
      <x:c r="K358" s="1"/>
    </x:row>
    <x:row r="359" ht="66" customHeight="1">
      <x:c r="A359" s="16" t="str">
        <x:v>WoRMS: Mola mola</x:v>
      </x:c>
      <x:c r="B359" s="16" t="str">
        <x:v>Taxa: Mola mola. {"scientificname":"Mola mola","valid_name":"Mola mola","status":"accepted","family":"Molidae","class":"Teleostei","phylum":"Chordata"}</x:v>
      </x:c>
      <x:c r="C359" s="25" t="str">
        <x:v>https://www.marinespecies.org/aphia.php?p=taxdetails&amp;id=127405</x:v>
      </x:c>
      <x:c r="D359" s="1"/>
      <x:c r="E359" s="1"/>
      <x:c r="F359" s="1"/>
      <x:c r="G359" s="1"/>
      <x:c r="H359" s="1"/>
      <x:c r="I359" s="1"/>
      <x:c r="J359" s="1"/>
      <x:c r="K359" s="1"/>
    </x:row>
    <x:row r="360" ht="66" customHeight="1">
      <x:c r="A360" s="16" t="str">
        <x:v>FishBase: Mola mola</x:v>
      </x:c>
      <x:c r="B360" s="16" t="str">
        <x:v>Taxa: Mola mola. Habitat: Marine;  pelagic-oceanic; oceanodromous; first maximum: 333 cm TL. Additional biology checked where material.</x:v>
      </x:c>
      <x:c r="C360" s="25" t="str">
        <x:v>https://www.fishbase.se/summary/Mola-mola.html</x:v>
      </x:c>
      <x:c r="D360" s="1"/>
      <x:c r="E360" s="1"/>
      <x:c r="F360" s="1"/>
      <x:c r="G360" s="1"/>
      <x:c r="H360" s="1"/>
      <x:c r="I360" s="1"/>
      <x:c r="J360" s="1"/>
      <x:c r="K360" s="1"/>
    </x:row>
    <x:row r="361" ht="66" customHeight="1">
      <x:c r="A361" s="16" t="str">
        <x:v>FishBase: Gerres limbatus</x:v>
      </x:c>
      <x:c r="B361" s="16" t="str">
        <x:v>Taxa: Gerreidae; Gerres. Classification; Environment; Size; Biology. Gerreidae; demersal, maximum 15 cm TL, explicitly Southeast Asia and South China Sea; mud-sand estuarine habitat.</x:v>
      </x:c>
      <x:c r="C361" s="25" t="str">
        <x:v>https://www.fishbase.se/summary/Gerres-limbatus.html</x:v>
      </x:c>
      <x:c r="D361" s="1"/>
      <x:c r="E361" s="1"/>
      <x:c r="F361" s="1"/>
      <x:c r="G361" s="1"/>
      <x:c r="H361" s="1"/>
      <x:c r="I361" s="1"/>
      <x:c r="J361" s="1"/>
      <x:c r="K361" s="1"/>
    </x:row>
    <x:row r="362" ht="66" customHeight="1">
      <x:c r="A362" s="16" t="str">
        <x:v>FishBase: Gerres filamentosus</x:v>
      </x:c>
      <x:c r="B362" s="16" t="str">
        <x:v>Taxa: Gerreidae; Gerres. Classification; Environment; Size; Biology. Gerreidae; demersal, maximum 39 cm TL, soft-bottom adults.</x:v>
      </x:c>
      <x:c r="C362" s="25" t="str">
        <x:v>https://www.fishbase.se/summary/Gerres-filamentosus.html</x:v>
      </x:c>
      <x:c r="D362" s="1"/>
      <x:c r="E362" s="1"/>
      <x:c r="F362" s="1"/>
      <x:c r="G362" s="1"/>
      <x:c r="H362" s="1"/>
      <x:c r="I362" s="1"/>
      <x:c r="J362" s="1"/>
      <x:c r="K362" s="1"/>
    </x:row>
    <x:row r="363" ht="66" customHeight="1">
      <x:c r="A363" s="16" t="str">
        <x:v>WoRMS: Decapterus russelli</x:v>
      </x:c>
      <x:c r="B363" s="16" t="str">
        <x:v>Taxa: Decapterus russelli. {"scientificname":"Decapterus russelli","valid_name":"Decapterus russelli","status":"accepted","family":"Carangidae","class":"Teleostei","phylum":"Chordata"}</x:v>
      </x:c>
      <x:c r="C363" s="25" t="str">
        <x:v>https://www.marinespecies.org/aphia.php?p=taxdetails&amp;id=218427</x:v>
      </x:c>
      <x:c r="D363" s="1"/>
      <x:c r="E363" s="1"/>
      <x:c r="F363" s="1"/>
      <x:c r="G363" s="1"/>
      <x:c r="H363" s="1"/>
      <x:c r="I363" s="1"/>
      <x:c r="J363" s="1"/>
      <x:c r="K363" s="1"/>
    </x:row>
    <x:row r="364" ht="66" customHeight="1">
      <x:c r="A364" s="16" t="str">
        <x:v>WoRMS: Portunidae</x:v>
      </x:c>
      <x:c r="B364" s="16" t="str">
        <x:v>Taxa: Portunidae. {"scientificname":"Portunidae","valid_name":"Portunidae","status":"accepted","family":"Portunidae","class":"Malacostraca","phylum":"Arthropoda"}</x:v>
      </x:c>
      <x:c r="C364" s="25" t="str">
        <x:v>https://www.marinespecies.org/aphia.php?p=taxdetails&amp;id=106763</x:v>
      </x:c>
      <x:c r="D364" s="1"/>
      <x:c r="E364" s="1"/>
      <x:c r="F364" s="1"/>
      <x:c r="G364" s="1"/>
      <x:c r="H364" s="1"/>
      <x:c r="I364" s="1"/>
      <x:c r="J364" s="1"/>
      <x:c r="K364" s="1"/>
    </x:row>
    <x:row r="365" ht="66" customHeight="1">
      <x:c r="A365" s="16" t="str">
        <x:v>WoRMS: Metapenaeus joyneri</x:v>
      </x:c>
      <x:c r="B365" s="16" t="str">
        <x:v>Taxa: Metapenaeus joyneri. {"scientificname":"Metapenaeus joyneri","valid_name":"Metapenaeus joyneri","status":"accepted","family":"Penaeidae","class":"Malacostraca","phylum":"Arthropoda"}</x:v>
      </x:c>
      <x:c r="C365" s="25" t="str">
        <x:v>https://www.marinespecies.org/aphia.php?p=taxdetails&amp;id=377538</x:v>
      </x:c>
      <x:c r="D365" s="1"/>
      <x:c r="E365" s="1"/>
      <x:c r="F365" s="1"/>
      <x:c r="G365" s="1"/>
      <x:c r="H365" s="1"/>
      <x:c r="I365" s="1"/>
      <x:c r="J365" s="1"/>
      <x:c r="K365" s="1"/>
    </x:row>
    <x:row r="366" ht="66" customHeight="1">
      <x:c r="A366" s="16" t="str">
        <x:v>FishBase: Psammoperca waigiensis</x:v>
      </x:c>
      <x:c r="B366" s="16" t="str">
        <x:v>Taxa: Latidae. Classification; Environment; Size; Biology. Regional marine Latidae, maximum 47 cm TL; reef crevices and benthic-associated coastal habitat.</x:v>
      </x:c>
      <x:c r="C366" s="25" t="str">
        <x:v>https://www.fishbase.se/summary/Psammoperca-waigiensis.html</x:v>
      </x:c>
      <x:c r="D366" s="1"/>
      <x:c r="E366" s="1"/>
      <x:c r="F366" s="1"/>
      <x:c r="G366" s="1"/>
      <x:c r="H366" s="1"/>
      <x:c r="I366" s="1"/>
      <x:c r="J366" s="1"/>
      <x:c r="K366" s="1"/>
    </x:row>
    <x:row r="367" ht="66" customHeight="1">
      <x:c r="A367" s="16" t="str">
        <x:v>WoRMS: Parapenaeopsis</x:v>
      </x:c>
      <x:c r="B367" s="16" t="str">
        <x:v>Taxa: Parapenaeopsis. {"scientificname":"Parapenaeopsis","valid_name":"Parapenaeopsis","status":"accepted","family":"Penaeidae","class":"Malacostraca","phylum":"Arthropoda"}</x:v>
      </x:c>
      <x:c r="C367" s="25" t="str">
        <x:v>https://www.marinespecies.org/aphia.php?p=taxdetails&amp;id=205222</x:v>
      </x:c>
      <x:c r="D367" s="1"/>
      <x:c r="E367" s="1"/>
      <x:c r="F367" s="1"/>
      <x:c r="G367" s="1"/>
      <x:c r="H367" s="1"/>
      <x:c r="I367" s="1"/>
      <x:c r="J367" s="1"/>
      <x:c r="K367" s="1"/>
    </x:row>
    <x:row r="368" ht="66" customHeight="1">
      <x:c r="A368" s="16" t="str">
        <x:v>FishBase: Drepane punctata</x:v>
      </x:c>
      <x:c r="B368" s="16" t="str">
        <x:v>Taxa: Drepane; Drepane punctata. Classification; Environment; Size; Biology. Drepaneidae; maximum 50 cm TL; sand/mud and estuarine bottom feeding despite reef-associated label.</x:v>
      </x:c>
      <x:c r="C368" s="25" t="str">
        <x:v>https://www.fishbase.se/summary/Drepane-punctata.html</x:v>
      </x:c>
      <x:c r="D368" s="1"/>
      <x:c r="E368" s="1"/>
      <x:c r="F368" s="1"/>
      <x:c r="G368" s="1"/>
      <x:c r="H368" s="1"/>
      <x:c r="I368" s="1"/>
      <x:c r="J368" s="1"/>
      <x:c r="K368" s="1"/>
    </x:row>
    <x:row r="369" ht="66" customHeight="1">
      <x:c r="A369" s="16" t="str">
        <x:v>FishBase: Drepane longimana</x:v>
      </x:c>
      <x:c r="B369" s="16" t="str">
        <x:v>Taxa: Drepane. Size; Biology. Regional Drepane species reported 50 cm TL; reef/coastal bottom-associated ecology.</x:v>
      </x:c>
      <x:c r="C369" s="25" t="str">
        <x:v>https://www.fishbase.se/summary/7692</x:v>
      </x:c>
      <x:c r="D369" s="1"/>
      <x:c r="E369" s="1"/>
      <x:c r="F369" s="1"/>
      <x:c r="G369" s="1"/>
      <x:c r="H369" s="1"/>
      <x:c r="I369" s="1"/>
      <x:c r="J369" s="1"/>
      <x:c r="K369" s="1"/>
    </x:row>
    <x:row r="370" ht="66" customHeight="1">
      <x:c r="A370" s="16" t="str">
        <x:v>FAO: marine fish identification guide, Siganidae</x:v>
      </x:c>
      <x:c r="B370" s="16" t="str">
        <x:v>Taxa: Siganus; Siganus canaliculatus; Siganidae. p.99, Siganidae. S. spinus to 21 cm and S. javus to 45 cm; canaliculatus listed to 30 cm in this older guide. Coastal algal/seagrass grazers; size heterogeneous.</x:v>
      </x:c>
      <x:c r="C370" s="25" t="str">
        <x:v>https://www.fao.org/4/r7066e/r7066e21.pdf</x:v>
      </x:c>
      <x:c r="D370" s="1"/>
      <x:c r="E370" s="1"/>
      <x:c r="F370" s="1"/>
      <x:c r="G370" s="1"/>
      <x:c r="H370" s="1"/>
      <x:c r="I370" s="1"/>
      <x:c r="J370" s="1"/>
      <x:c r="K370" s="1"/>
    </x:row>
    <x:row r="371" ht="66" customHeight="1">
      <x:c r="A371" s="16" t="str">
        <x:v>FishBase: Siganus canaliculatus field-guide account</x:v>
      </x:c>
      <x:c r="B371" s="16" t="str">
        <x:v>Taxa: Siganus; Siganus canaliculatus; Siganidae. Size; Habitat; Distribution. Maximum 40 cm TL, reef-associated, South China Sea; contradicts sole assignment to max-TL≤ 30 residual demersal group.</x:v>
      </x:c>
      <x:c r="C371" s="25" t="str">
        <x:v>https://fishbase.se/Fieldguide/FieldGuideSummary.php?c_code=608&amp;genusname=Siganus&amp;speciesname=canaliculatus</x:v>
      </x:c>
      <x:c r="D371" s="1"/>
      <x:c r="E371" s="1"/>
      <x:c r="F371" s="1"/>
      <x:c r="G371" s="1"/>
      <x:c r="H371" s="1"/>
      <x:c r="I371" s="1"/>
      <x:c r="J371" s="1"/>
      <x:c r="K371" s="1"/>
    </x:row>
    <x:row r="372" ht="66" customHeight="1">
      <x:c r="A372" s="16" t="str">
        <x:v>FishBase: Siganus spinus</x:v>
      </x:c>
      <x:c r="B372" s="16" t="str">
        <x:v>Taxa: Siganus; Siganidae. Size; Distribution; Biology. Maximum 28 cm TL; Indo-West Pacific reef-flat algal grazer, a direct small-species total-length datum.</x:v>
      </x:c>
      <x:c r="C372" s="25" t="str">
        <x:v>https://www.fishbase.se/summary/Siganus-spinus.html</x:v>
      </x:c>
      <x:c r="D372" s="1"/>
      <x:c r="E372" s="1"/>
      <x:c r="F372" s="1"/>
      <x:c r="G372" s="1"/>
      <x:c r="H372" s="1"/>
      <x:c r="I372" s="1"/>
      <x:c r="J372" s="1"/>
      <x:c r="K372" s="1"/>
    </x:row>
    <x:row r="373" ht="66" customHeight="1">
      <x:c r="A373" s="16" t="str">
        <x:v>FishBase: Siganus javus</x:v>
      </x:c>
      <x:c r="B373" s="16" t="str">
        <x:v>Taxa: Siganus; Siganidae. Size; Distribution; Biology. Maximum 53 cm TL; Vietnam and southern China; attached and floating algae feeding, with midwater resting behavior.</x:v>
      </x:c>
      <x:c r="C373" s="25" t="str">
        <x:v>https://www.fishbase.se/summary/Siganus-javus.html</x:v>
      </x:c>
      <x:c r="D373" s="1"/>
      <x:c r="E373" s="1"/>
      <x:c r="F373" s="1"/>
      <x:c r="G373" s="1"/>
      <x:c r="H373" s="1"/>
      <x:c r="I373" s="1"/>
      <x:c r="J373" s="1"/>
      <x:c r="K373" s="1"/>
    </x:row>
    <x:row r="374" ht="66" customHeight="1">
      <x:c r="A374" s="16" t="str">
        <x:v>WoRMS: Penaeus japonicus</x:v>
      </x:c>
      <x:c r="B374" s="16" t="str">
        <x:v>Taxa: Penaeus japonicus. {"scientificname":"Penaeus japonicus","valid_name":"Penaeus (Marsupenaeus) japonicus","status":"superseded combination","family":"Penaeidae","class":"Malacostraca","phylum":"Arthropoda"}</x:v>
      </x:c>
      <x:c r="C374" s="25" t="str">
        <x:v>https://www.marinespecies.org/aphia.php?p=taxdetails&amp;id=210371</x:v>
      </x:c>
      <x:c r="D374" s="1"/>
      <x:c r="E374" s="1"/>
      <x:c r="F374" s="1"/>
      <x:c r="G374" s="1"/>
      <x:c r="H374" s="1"/>
      <x:c r="I374" s="1"/>
      <x:c r="J374" s="1"/>
      <x:c r="K374" s="1"/>
    </x:row>
    <x:row r="375" ht="66" customHeight="1">
      <x:c r="A375" s="16" t="str">
        <x:v>FishBase: Atrobucca nibe</x:v>
      </x:c>
      <x:c r="B375" s="16" t="str">
        <x:v>Taxa: Atrobucca nibe. Classification; Environment; Size; Biology. Sciaenidae; demersal, maximum 45 cm SL, therefore exceeds 30 cm TL.</x:v>
      </x:c>
      <x:c r="C375" s="25" t="str">
        <x:v>https://www.fishbase.se/summary/Atrobucca-nibe.html</x:v>
      </x:c>
      <x:c r="D375" s="1"/>
      <x:c r="E375" s="1"/>
      <x:c r="F375" s="1"/>
      <x:c r="G375" s="1"/>
      <x:c r="H375" s="1"/>
      <x:c r="I375" s="1"/>
      <x:c r="J375" s="1"/>
      <x:c r="K375" s="1"/>
    </x:row>
    <x:row r="376" ht="66" customHeight="1">
      <x:c r="A376" s="16" t="str">
        <x:v>WoRMS: Exocoetidae</x:v>
      </x:c>
      <x:c r="B376" s="16" t="str">
        <x:v>Taxa: Exocoetidae. {"scientificname":"Exocoetidae","valid_name":"Exocoetidae","status":"accepted","family":"Exocoetidae","class":"Teleostei","phylum":"Chordata"}</x:v>
      </x:c>
      <x:c r="C376" s="25" t="str">
        <x:v>https://www.marinespecies.org/aphia.php?p=taxdetails&amp;id=125452</x:v>
      </x:c>
      <x:c r="D376" s="1"/>
      <x:c r="E376" s="1"/>
      <x:c r="F376" s="1"/>
      <x:c r="G376" s="1"/>
      <x:c r="H376" s="1"/>
      <x:c r="I376" s="1"/>
      <x:c r="J376" s="1"/>
      <x:c r="K376" s="1"/>
    </x:row>
    <x:row r="377" ht="66" customHeight="1">
      <x:c r="A377" s="16" t="str">
        <x:v>FishBase: Cheilopogon unicolor</x:v>
      </x:c>
      <x:c r="B377" s="16" t="str">
        <x:v>Taxa: Exocoetidae; Cheilopogon unicolor. Taxon-specific boundary evidence described in the rationale. Habitat: Marine;  pelagic-neritic; oceanodromous;; first maximum: 38 cm TL. Additional biology checked where material.</x:v>
      </x:c>
      <x:c r="C377" s="25" t="str">
        <x:v>https://www.fishbase.se/summary/Cheilopogon-unicolor.html</x:v>
      </x:c>
      <x:c r="D377" s="1"/>
      <x:c r="E377" s="1"/>
      <x:c r="F377" s="1"/>
      <x:c r="G377" s="1"/>
      <x:c r="H377" s="1"/>
      <x:c r="I377" s="1"/>
      <x:c r="J377" s="1"/>
      <x:c r="K377" s="1"/>
    </x:row>
    <x:row r="378" ht="66" customHeight="1">
      <x:c r="A378" s="16" t="str">
        <x:v>FishBase: Rhinecanthus verrucosus</x:v>
      </x:c>
      <x:c r="B378" s="16" t="str">
        <x:v>Taxa: Balistidae. Classification; Environment; Size; Biology. Balistidae; maximum 23 cm TL; Indo-West Pacific reef-flat/rubble habitat.</x:v>
      </x:c>
      <x:c r="C378" s="25" t="str">
        <x:v>https://www.fishbase.se/summary/Rhinecanthus-verrucosus.html</x:v>
      </x:c>
      <x:c r="D378" s="1"/>
      <x:c r="E378" s="1"/>
      <x:c r="F378" s="1"/>
      <x:c r="G378" s="1"/>
      <x:c r="H378" s="1"/>
      <x:c r="I378" s="1"/>
      <x:c r="J378" s="1"/>
      <x:c r="K378" s="1"/>
    </x:row>
    <x:row r="379" ht="66" customHeight="1">
      <x:c r="A379" s="16" t="str">
        <x:v>WoRMS: Bivalvia</x:v>
      </x:c>
      <x:c r="B379" s="16" t="str">
        <x:v>Taxa: Bivalvia. {"scientificname":"Bivalvia","valid_name":"Bivalvia","status":"accepted","family":null,"class":"Bivalvia","phylum":"Mollusca"}</x:v>
      </x:c>
      <x:c r="C379" s="25" t="str">
        <x:v>https://www.marinespecies.org/aphia.php?p=taxdetails&amp;id=105</x:v>
      </x:c>
      <x:c r="D379" s="1"/>
      <x:c r="E379" s="1"/>
      <x:c r="F379" s="1"/>
      <x:c r="G379" s="1"/>
      <x:c r="H379" s="1"/>
      <x:c r="I379" s="1"/>
      <x:c r="J379" s="1"/>
      <x:c r="K379" s="1"/>
    </x:row>
    <x:row r="380" ht="66" customHeight="1">
      <x:c r="A380" s="16" t="str">
        <x:v>WoRMS: Platycaranx talamparoides</x:v>
      </x:c>
      <x:c r="B380" s="16" t="str">
        <x:v>Taxa: Platycaranx talamparoides. {"scientificname":"Platycaranx talamparoides","valid_name":"Platycaranx talamparoides","status":"accepted","family":"Carangidae","class":"Teleostei","phylum":"Chordata"}</x:v>
      </x:c>
      <x:c r="C380" s="25" t="str">
        <x:v>https://www.marinespecies.org/aphia.php?p=taxdetails&amp;id=1803656</x:v>
      </x:c>
      <x:c r="D380" s="1"/>
      <x:c r="E380" s="1"/>
      <x:c r="F380" s="1"/>
      <x:c r="G380" s="1"/>
      <x:c r="H380" s="1"/>
      <x:c r="I380" s="1"/>
      <x:c r="J380" s="1"/>
      <x:c r="K380" s="1"/>
    </x:row>
    <x:row r="381" ht="66" customHeight="1">
      <x:c r="A381" s="16" t="str">
        <x:v>FishBase: Platycaranx talamparoides</x:v>
      </x:c>
      <x:c r="B381" s="16" t="str">
        <x:v>Taxa: Platycaranx talamparoides. Habitat: Marine;  reef-associated;; first maximum: 51 cm TL. Additional biology checked where material.</x:v>
      </x:c>
      <x:c r="C381" s="25" t="str">
        <x:v>https://www.fishbase.se/summary/Platycaranx-talamparoides.html</x:v>
      </x:c>
      <x:c r="D381" s="1"/>
      <x:c r="E381" s="1"/>
      <x:c r="F381" s="1"/>
      <x:c r="G381" s="1"/>
      <x:c r="H381" s="1"/>
      <x:c r="I381" s="1"/>
      <x:c r="J381" s="1"/>
      <x:c r="K381" s="1"/>
    </x:row>
    <x:row r="382" ht="66" customHeight="1">
      <x:c r="A382" s="16" t="str">
        <x:v>WoRMS: Sergestidae</x:v>
      </x:c>
      <x:c r="B382" s="16" t="str">
        <x:v>Taxa: Sergestidae. {"scientificname":"Sergestidae","valid_name":"Sergestidae","status":"accepted","family":"Sergestidae","class":"Malacostraca","phylum":"Arthropoda"}</x:v>
      </x:c>
      <x:c r="C382" s="25" t="str">
        <x:v>https://www.marinespecies.org/aphia.php?p=taxdetails&amp;id=106731</x:v>
      </x:c>
      <x:c r="D382" s="1"/>
      <x:c r="E382" s="1"/>
      <x:c r="F382" s="1"/>
      <x:c r="G382" s="1"/>
      <x:c r="H382" s="1"/>
      <x:c r="I382" s="1"/>
      <x:c r="J382" s="1"/>
      <x:c r="K382" s="1"/>
    </x:row>
    <x:row r="383" ht="66" customHeight="1">
      <x:c r="A383" s="16" t="str">
        <x:v>WoRMS: Tegillarca granosa</x:v>
      </x:c>
      <x:c r="B383" s="16" t="str">
        <x:v>Taxa: Tegillarca granosa. {"scientificname":"Tegillarca granosa","valid_name":"Tegillarca granosa","status":"accepted","family":"Arcidae","class":"Bivalvia","phylum":"Mollusca"}</x:v>
      </x:c>
      <x:c r="C383" s="25" t="str">
        <x:v>https://www.marinespecies.org/aphia.php?p=taxdetails&amp;id=504471</x:v>
      </x:c>
      <x:c r="D383" s="1"/>
      <x:c r="E383" s="1"/>
      <x:c r="F383" s="1"/>
      <x:c r="G383" s="1"/>
      <x:c r="H383" s="1"/>
      <x:c r="I383" s="1"/>
      <x:c r="J383" s="1"/>
      <x:c r="K383" s="1"/>
    </x:row>
    <x:row r="384" ht="66" customHeight="1">
      <x:c r="A384" s="16" t="str">
        <x:v>WoRMS: Penaeus latisulcatus</x:v>
      </x:c>
      <x:c r="B384" s="16" t="str">
        <x:v>Taxa: Penaeus latisulcatus. {"scientificname":"Penaeus latisulcatus","valid_name":"Penaeus (Oleopenaeus) latisulcatus","status":"superseded combination","family":"Penaeidae","class":"Malacostraca","phylum":"Arthropoda"}</x:v>
      </x:c>
      <x:c r="C384" s="25" t="str">
        <x:v>https://www.marinespecies.org/aphia.php?p=taxdetails&amp;id=210372</x:v>
      </x:c>
      <x:c r="D384" s="1"/>
      <x:c r="E384" s="1"/>
      <x:c r="F384" s="1"/>
      <x:c r="G384" s="1"/>
      <x:c r="H384" s="1"/>
      <x:c r="I384" s="1"/>
      <x:c r="J384" s="1"/>
      <x:c r="K384" s="1"/>
    </x:row>
    <x:row r="385" ht="66" customHeight="1">
      <x:c r="A385" s="16" t="str">
        <x:v>WoRMS: Palinuridae</x:v>
      </x:c>
      <x:c r="B385" s="16" t="str">
        <x:v>Taxa: Palinuridae. {"scientificname":"Palinuridae","valid_name":"Palinuridae","status":"accepted","family":"Palinuridae","class":"Malacostraca","phylum":"Arthropoda"}</x:v>
      </x:c>
      <x:c r="C385" s="25" t="str">
        <x:v>https://www.marinespecies.org/aphia.php?p=taxdetails&amp;id=106794</x:v>
      </x:c>
      <x:c r="D385" s="1"/>
      <x:c r="E385" s="1"/>
      <x:c r="F385" s="1"/>
      <x:c r="G385" s="1"/>
      <x:c r="H385" s="1"/>
      <x:c r="I385" s="1"/>
      <x:c r="J385" s="1"/>
      <x:c r="K385" s="1"/>
    </x:row>
    <x:row r="386" ht="66" customHeight="1">
      <x:c r="A386" s="16" t="str">
        <x:v>WoRMS: Echinoidea</x:v>
      </x:c>
      <x:c r="B386" s="16" t="str">
        <x:v>Taxa: Echinoidea. {"scientificname":"Echinoidea","valid_name":"Echinoidea","status":"accepted","family":null,"class":"Echinoidea","phylum":"Echinodermata"}</x:v>
      </x:c>
      <x:c r="C386" s="25" t="str">
        <x:v>https://www.marinespecies.org/aphia.php?p=taxdetails&amp;id=123082</x:v>
      </x:c>
      <x:c r="D386" s="1"/>
      <x:c r="E386" s="1"/>
      <x:c r="F386" s="1"/>
      <x:c r="G386" s="1"/>
      <x:c r="H386" s="1"/>
      <x:c r="I386" s="1"/>
      <x:c r="J386" s="1"/>
      <x:c r="K386" s="1"/>
    </x:row>
    <x:row r="387" ht="66" customHeight="1">
      <x:c r="A387" s="16" t="str">
        <x:v>FishBase: Beryx splendens</x:v>
      </x:c>
      <x:c r="B387" s="16" t="str">
        <x:v>Taxa: Berycidae; Beryx. Classification; Environment; Size; Biology. Berycidae; benthopelagic, maximum 70 cm TL; outer shelf/slope, usual depths 400–600 m, moving farther above bottom at night.</x:v>
      </x:c>
      <x:c r="C387" s="25" t="str">
        <x:v>https://www.fishbase.se/summary/Beryx-splendens.html</x:v>
      </x:c>
      <x:c r="D387" s="1"/>
      <x:c r="E387" s="1"/>
      <x:c r="F387" s="1"/>
      <x:c r="G387" s="1"/>
      <x:c r="H387" s="1"/>
      <x:c r="I387" s="1"/>
      <x:c r="J387" s="1"/>
      <x:c r="K387" s="1"/>
    </x:row>
    <x:row r="388" ht="66" customHeight="1">
      <x:c r="A388" s="16" t="str">
        <x:v>WoRMS: Megalops cyprinoides</x:v>
      </x:c>
      <x:c r="B388" s="16" t="str">
        <x:v>Taxa: Megalops cyprinoides. {"scientificname":"Megalops cyprinoides","valid_name":"Megalops cyprinoides","status":"accepted","family":"Megalopidae","class":"Teleostei","phylum":"Chordata"}</x:v>
      </x:c>
      <x:c r="C388" s="25" t="str">
        <x:v>https://www.marinespecies.org/aphia.php?p=taxdetails&amp;id=212253</x:v>
      </x:c>
      <x:c r="D388" s="1"/>
      <x:c r="E388" s="1"/>
      <x:c r="F388" s="1"/>
      <x:c r="G388" s="1"/>
      <x:c r="H388" s="1"/>
      <x:c r="I388" s="1"/>
      <x:c r="J388" s="1"/>
      <x:c r="K388" s="1"/>
    </x:row>
    <x:row r="389" ht="66" customHeight="1">
      <x:c r="A389" s="16" t="str">
        <x:v>FishBase: Megalops cyprinoides</x:v>
      </x:c>
      <x:c r="B389" s="16" t="str">
        <x:v>Taxa: Megalops cyprinoides. Habitat: Marine; freshwater; brackish;  benthopelagic; catadromous; first maximum: 150 cm TL. Additional biology checked where material.</x:v>
      </x:c>
      <x:c r="C389" s="25" t="str">
        <x:v>https://www.fishbase.se/summary/Megalops-cyprinoides.html</x:v>
      </x:c>
      <x:c r="D389" s="1"/>
      <x:c r="E389" s="1"/>
      <x:c r="F389" s="1"/>
      <x:c r="G389" s="1"/>
      <x:c r="H389" s="1"/>
      <x:c r="I389" s="1"/>
      <x:c r="J389" s="1"/>
      <x:c r="K389" s="1"/>
    </x:row>
    <x:row r="390" ht="66" customHeight="1">
      <x:c r="A390" s="16" t="str">
        <x:v>FishBase: Gymnocranius species accounts</x:v>
      </x:c>
      <x:c r="B390" s="16" t="str">
        <x:v>Taxa: Gymnocranius. G. frenatus, Size; Biology; Distribution. 35 cm TL in South China Sea; bottom sand/mud/rubble habitat. With regional griseus/elongatus/euanus/grandoculis accounts supports a large demersal genus.</x:v>
      </x:c>
      <x:c r="C390" s="25" t="str">
        <x:v>https://www.fishbase.se/summary/Gymnocranius-frenatus</x:v>
      </x:c>
      <x:c r="D390" s="1"/>
      <x:c r="E390" s="1"/>
      <x:c r="F390" s="1"/>
      <x:c r="G390" s="1"/>
      <x:c r="H390" s="1"/>
      <x:c r="I390" s="1"/>
      <x:c r="J390" s="1"/>
      <x:c r="K390" s="1"/>
    </x:row>
    <x:row r="391" ht="66" customHeight="1">
      <x:c r="A391" s="16" t="str">
        <x:v>FishBase: Gymnocranius griseus</x:v>
      </x:c>
      <x:c r="B391" s="16" t="str">
        <x:v>Taxa: Gymnocranius. Classification; Environment; Size; Biology. 35 cm TL, coastal bottom invertebrates.</x:v>
      </x:c>
      <x:c r="C391" s="25" t="str">
        <x:v>https://www.fishbase.se/summary/1833</x:v>
      </x:c>
      <x:c r="D391" s="1"/>
      <x:c r="E391" s="1"/>
      <x:c r="F391" s="1"/>
      <x:c r="G391" s="1"/>
      <x:c r="H391" s="1"/>
      <x:c r="I391" s="1"/>
      <x:c r="J391" s="1"/>
      <x:c r="K391" s="1"/>
    </x:row>
    <x:row r="392" ht="66" customHeight="1">
      <x:c r="A392" s="16" t="str">
        <x:v>FishBase: Gymnocranius grandoculis</x:v>
      </x:c>
      <x:c r="B392" s="16" t="str">
        <x:v>Taxa: Gymnocranius. Classification; Environment; Size; Biology. 80 cm TL, regional bottom-associated emperor.</x:v>
      </x:c>
      <x:c r="C392" s="25" t="str">
        <x:v>https://www.fishbase.se/summary/Gymnocranius-grandoculis</x:v>
      </x:c>
      <x:c r="D392" s="1"/>
      <x:c r="E392" s="1"/>
      <x:c r="F392" s="1"/>
      <x:c r="G392" s="1"/>
      <x:c r="H392" s="1"/>
      <x:c r="I392" s="1"/>
      <x:c r="J392" s="1"/>
      <x:c r="K392" s="1"/>
    </x:row>
    <x:row r="393" ht="66" customHeight="1">
      <x:c r="A393" s="16" t="str">
        <x:v>WoRMS: Caranx sexfasciatus</x:v>
      </x:c>
      <x:c r="B393" s="16" t="str">
        <x:v>Taxa: Caranx sexfasciatus. {"scientificname":"Caranx sexfasciatus","valid_name":"Caranx sexfasciatus","status":"accepted","family":"Carangidae","class":"Teleostei","phylum":"Chordata"}</x:v>
      </x:c>
      <x:c r="C393" s="25" t="str">
        <x:v>https://www.marinespecies.org/aphia.php?p=taxdetails&amp;id=218404</x:v>
      </x:c>
      <x:c r="D393" s="1"/>
      <x:c r="E393" s="1"/>
      <x:c r="F393" s="1"/>
      <x:c r="G393" s="1"/>
      <x:c r="H393" s="1"/>
      <x:c r="I393" s="1"/>
      <x:c r="J393" s="1"/>
      <x:c r="K393" s="1"/>
    </x:row>
    <x:row r="394" ht="66" customHeight="1">
      <x:c r="A394" s="16" t="str">
        <x:v>FishBase: Caranx sexfasciatus</x:v>
      </x:c>
      <x:c r="B394" s="16" t="str">
        <x:v>Taxa: Caranx sexfasciatus. Habitat: Marine; freshwater; brackish;  reef-associated; amphidromous;; first maximum: 120 cm TL. Additional biology checked where material.</x:v>
      </x:c>
      <x:c r="C394" s="25" t="str">
        <x:v>https://www.fishbase.se/summary/Caranx-sexfasciatus.html</x:v>
      </x:c>
      <x:c r="D394" s="1"/>
      <x:c r="E394" s="1"/>
      <x:c r="F394" s="1"/>
      <x:c r="G394" s="1"/>
      <x:c r="H394" s="1"/>
      <x:c r="I394" s="1"/>
      <x:c r="J394" s="1"/>
      <x:c r="K394" s="1"/>
    </x:row>
    <x:row r="395" ht="66" customHeight="1">
      <x:c r="A395" s="16" t="str">
        <x:v>FAO Indonesian fishery-resources catalogue</x:v>
      </x:c>
      <x:c r="B395" s="16" t="str">
        <x:v>Taxa: Caranx sexfasciatus. Shallow reef habitat described as benthopelagic.</x:v>
      </x:c>
      <x:c r="C395" s="25" t="str">
        <x:v>https://www.fao.org/4/an020e/an020e.pdf</x:v>
      </x:c>
      <x:c r="D395" s="1"/>
      <x:c r="E395" s="1"/>
      <x:c r="F395" s="1"/>
      <x:c r="G395" s="1"/>
      <x:c r="H395" s="1"/>
      <x:c r="I395" s="1"/>
      <x:c r="J395" s="1"/>
      <x:c r="K395" s="1"/>
    </x:row>
    <x:row r="396" ht="66" customHeight="1">
      <x:c r="A396" s="16" t="str">
        <x:v>WoRMS: Sepioteuthis lessoniana</x:v>
      </x:c>
      <x:c r="B396" s="16" t="str">
        <x:v>Taxa: Sepioteuthis lessoniana. {"scientificname":"Sepioteuthis lessoniana","valid_name":"Sepioteuthis lessoniana","status":"accepted","family":"Loliginidae","class":"Cephalopoda","phylum":"Mollusca"}</x:v>
      </x:c>
      <x:c r="C396" s="25" t="str">
        <x:v>https://www.marinespecies.org/aphia.php?p=taxdetails&amp;id=220317</x:v>
      </x:c>
      <x:c r="D396" s="1"/>
      <x:c r="E396" s="1"/>
      <x:c r="F396" s="1"/>
      <x:c r="G396" s="1"/>
      <x:c r="H396" s="1"/>
      <x:c r="I396" s="1"/>
      <x:c r="J396" s="1"/>
      <x:c r="K396" s="1"/>
    </x:row>
    <x:row r="397" ht="66" customHeight="1">
      <x:c r="A397" s="16" t="str">
        <x:v>WoRMS: Dussumieria elopsoides</x:v>
      </x:c>
      <x:c r="B397" s="16" t="str">
        <x:v>Taxa: Dussumieria elopsoides. {"scientificname":"Dussumieria elopsoides","valid_name":"Dussumieria elopsoides","status":"accepted","family":"Dussumieriidae","class":"Teleostei","phylum":"Chordata"}</x:v>
      </x:c>
      <x:c r="C397" s="25" t="str">
        <x:v>https://www.marinespecies.org/aphia.php?p=taxdetails&amp;id=212259</x:v>
      </x:c>
      <x:c r="D397" s="1"/>
      <x:c r="E397" s="1"/>
      <x:c r="F397" s="1"/>
      <x:c r="G397" s="1"/>
      <x:c r="H397" s="1"/>
      <x:c r="I397" s="1"/>
      <x:c r="J397" s="1"/>
      <x:c r="K397" s="1"/>
    </x:row>
    <x:row r="398" ht="66" customHeight="1">
      <x:c r="A398" s="16" t="str">
        <x:v>FishBase: Dussumieria elopsoides</x:v>
      </x:c>
      <x:c r="B398" s="16" t="str">
        <x:v>Taxa: Dussumieria elopsoides. Habitat: Marine;  pelagic-neritic;; first maximum: 20 cm SL. Additional biology checked where material.</x:v>
      </x:c>
      <x:c r="C398" s="25" t="str">
        <x:v>https://www.fishbase.se/summary/Dussumieria-elopsoides.html</x:v>
      </x:c>
      <x:c r="D398" s="1"/>
      <x:c r="E398" s="1"/>
      <x:c r="F398" s="1"/>
      <x:c r="G398" s="1"/>
      <x:c r="H398" s="1"/>
      <x:c r="I398" s="1"/>
      <x:c r="J398" s="1"/>
      <x:c r="K398" s="1"/>
    </x:row>
    <x:row r="399" ht="66" customHeight="1">
      <x:c r="A399" s="16" t="str">
        <x:v>FishBase: Ariomma indica</x:v>
      </x:c>
      <x:c r="B399" s="16" t="str">
        <x:v>Taxa: Ariomma indica. Classification; Environment; Size; Biology. Ariommatidae; benthopelagic with demersal daytime/pelagic nighttime behavior; maximum reported 25 cm SL does not by itself establish maximum TL ≤ 30.</x:v>
      </x:c>
      <x:c r="C399" s="25" t="str">
        <x:v>https://www.fishbase.se/summary/Ariomma-indica.html</x:v>
      </x:c>
      <x:c r="D399" s="1"/>
      <x:c r="E399" s="1"/>
      <x:c r="F399" s="1"/>
      <x:c r="G399" s="1"/>
      <x:c r="H399" s="1"/>
      <x:c r="I399" s="1"/>
      <x:c r="J399" s="1"/>
      <x:c r="K399" s="1"/>
    </x:row>
    <x:row r="400" ht="66" customHeight="1">
      <x:c r="A400" s="16" t="str">
        <x:v>FAO WCP guide: Ariommatidae</x:v>
      </x:c>
      <x:c r="B400" s="16" t="str">
        <x:v>Taxa: Ariomma indica. Ariomma indicum species account. Reports maximum about 25 cm standard length and mainly demersal shelf behavior; it is not a 25 cm total-length datum.</x:v>
      </x:c>
      <x:c r="C400" s="25" t="str">
        <x:v>https://www.fao.org/4/y0870e/y0870e42.pdf</x:v>
      </x:c>
      <x:c r="D400" s="1"/>
      <x:c r="E400" s="1"/>
      <x:c r="F400" s="1"/>
      <x:c r="G400" s="1"/>
      <x:c r="H400" s="1"/>
      <x:c r="I400" s="1"/>
      <x:c r="J400" s="1"/>
      <x:c r="K400" s="1"/>
    </x:row>
    <x:row r="401" ht="66" customHeight="1">
      <x:c r="A401" s="16" t="str">
        <x:v>WoRMS: Prionace glauca</x:v>
      </x:c>
      <x:c r="B401" s="16" t="str">
        <x:v>Taxa: Prionace glauca. {"scientificname":"Prionace glauca","valid_name":"Prionace glauca","status":"accepted","family":"Carcharhinidae","class":"Elasmobranchii","phylum":"Chordata"}</x:v>
      </x:c>
      <x:c r="C401" s="25" t="str">
        <x:v>https://www.marinespecies.org/aphia.php?p=taxdetails&amp;id=105801</x:v>
      </x:c>
      <x:c r="D401" s="1"/>
      <x:c r="E401" s="1"/>
      <x:c r="F401" s="1"/>
      <x:c r="G401" s="1"/>
      <x:c r="H401" s="1"/>
      <x:c r="I401" s="1"/>
      <x:c r="J401" s="1"/>
      <x:c r="K401" s="1"/>
    </x:row>
    <x:row r="402" ht="66" customHeight="1">
      <x:c r="A402" s="16" t="str">
        <x:v>FishBase: Prionace glauca</x:v>
      </x:c>
      <x:c r="B402" s="16" t="str">
        <x:v>Taxa: Prionace glauca. Habitat: Marine; brackish;  pelagic-oceanic; oceanodromous; first maximum: 400 cm TL. Additional biology checked where material.</x:v>
      </x:c>
      <x:c r="C402" s="25" t="str">
        <x:v>https://www.fishbase.se/summary/Prionace-glauca.html</x:v>
      </x:c>
      <x:c r="D402" s="1"/>
      <x:c r="E402" s="1"/>
      <x:c r="F402" s="1"/>
      <x:c r="G402" s="1"/>
      <x:c r="H402" s="1"/>
      <x:c r="I402" s="1"/>
      <x:c r="J402" s="1"/>
      <x:c r="K402" s="1"/>
    </x:row>
    <x:row r="403" ht="66" customHeight="1">
      <x:c r="A403" s="16" t="str">
        <x:v>WoRMS: Panulirus longipes</x:v>
      </x:c>
      <x:c r="B403" s="16" t="str">
        <x:v>Taxa: Panulirus longipes. {"scientificname":"Panulirus longipes","valid_name":"Panulirus longipes","status":"accepted","family":"Palinuridae","class":"Malacostraca","phylum":"Arthropoda"}</x:v>
      </x:c>
      <x:c r="C403" s="25" t="str">
        <x:v>https://www.marinespecies.org/aphia.php?p=taxdetails&amp;id=210354</x:v>
      </x:c>
      <x:c r="D403" s="1"/>
      <x:c r="E403" s="1"/>
      <x:c r="F403" s="1"/>
      <x:c r="G403" s="1"/>
      <x:c r="H403" s="1"/>
      <x:c r="I403" s="1"/>
      <x:c r="J403" s="1"/>
      <x:c r="K403" s="1"/>
    </x:row>
    <x:row r="404" ht="66" customHeight="1">
      <x:c r="A404" s="16" t="str">
        <x:v>WoRMS: Gnathanodon speciosus</x:v>
      </x:c>
      <x:c r="B404" s="16" t="str">
        <x:v>Taxa: Gnathanodon speciosus. {"scientificname":"Gnathanodon speciosus","valid_name":"Gnathanodon speciosus","status":"accepted","family":"Carangidae","class":"Teleostei","phylum":"Chordata"}</x:v>
      </x:c>
      <x:c r="C404" s="25" t="str">
        <x:v>https://www.marinespecies.org/aphia.php?p=taxdetails&amp;id=218429</x:v>
      </x:c>
      <x:c r="D404" s="1"/>
      <x:c r="E404" s="1"/>
      <x:c r="F404" s="1"/>
      <x:c r="G404" s="1"/>
      <x:c r="H404" s="1"/>
      <x:c r="I404" s="1"/>
      <x:c r="J404" s="1"/>
      <x:c r="K404" s="1"/>
    </x:row>
    <x:row r="405" ht="66" customHeight="1">
      <x:c r="A405" s="16" t="str">
        <x:v>WoRMS: Elops machnata</x:v>
      </x:c>
      <x:c r="B405" s="16" t="str">
        <x:v>Taxa: Elops machnata. {"scientificname":"Elops machnata","valid_name":"Elops machnata","status":"accepted","family":"Elopidae","class":"Teleostei","phylum":"Chordata"}</x:v>
      </x:c>
      <x:c r="C405" s="25" t="str">
        <x:v>https://www.marinespecies.org/aphia.php?p=taxdetails&amp;id=212252</x:v>
      </x:c>
      <x:c r="D405" s="1"/>
      <x:c r="E405" s="1"/>
      <x:c r="F405" s="1"/>
      <x:c r="G405" s="1"/>
      <x:c r="H405" s="1"/>
      <x:c r="I405" s="1"/>
      <x:c r="J405" s="1"/>
      <x:c r="K405" s="1"/>
    </x:row>
    <x:row r="406" ht="66" customHeight="1">
      <x:c r="A406" s="16" t="str">
        <x:v>FishBase: Elops machnata</x:v>
      </x:c>
      <x:c r="B406" s="16" t="str">
        <x:v>Taxa: Elops machnata. Habitat: Marine; brackish;  pelagic-neritic; oceanodromous. Tropical; 38°N -   37°S, 22°E -   153°W; first maximum: 118 cm FL. Additional biology checked where material.</x:v>
      </x:c>
      <x:c r="C406" s="25" t="str">
        <x:v>https://www.fishbase.se/summary/Elops-machnata.html</x:v>
      </x:c>
      <x:c r="D406" s="1"/>
      <x:c r="E406" s="1"/>
      <x:c r="F406" s="1"/>
      <x:c r="G406" s="1"/>
      <x:c r="H406" s="1"/>
      <x:c r="I406" s="1"/>
      <x:c r="J406" s="1"/>
      <x:c r="K406" s="1"/>
    </x:row>
    <x:row r="407" ht="66" customHeight="1">
      <x:c r="A407" s="16" t="str">
        <x:v>WoRMS: Dasyatidae</x:v>
      </x:c>
      <x:c r="B407" s="16" t="str">
        <x:v>Taxa: Dasyatidae. {"scientificname":"Dasyatidae","valid_name":"Dasyatidae","status":"accepted","family":"Dasyatidae","class":"Elasmobranchii","phylum":"Chordata"}</x:v>
      </x:c>
      <x:c r="C407" s="25" t="str">
        <x:v>https://www.marinespecies.org/aphia.php?p=taxdetails&amp;id=105708</x:v>
      </x:c>
      <x:c r="D407" s="1"/>
      <x:c r="E407" s="1"/>
      <x:c r="F407" s="1"/>
      <x:c r="G407" s="1"/>
      <x:c r="H407" s="1"/>
      <x:c r="I407" s="1"/>
      <x:c r="J407" s="1"/>
      <x:c r="K407" s="1"/>
    </x:row>
    <x:row r="408" ht="66" customHeight="1">
      <x:c r="A408" s="16" t="str">
        <x:v>Zacharia et al. (2011), pelagic stingray record</x:v>
      </x:c>
      <x:c r="B408" s="16" t="str">
        <x:v>Taxa: Dasyatidae. Pteroplatytrygon is a pelagic Dasyatidae ray; distribution includes the South China Sea.</x:v>
      </x:c>
      <x:c r="C408" s="25" t="str">
        <x:v>https://eprints.cmfri.org.in/8476/1/IJF_Zacharia_95-98.pdf</x:v>
      </x:c>
      <x:c r="D408" s="1"/>
      <x:c r="E408" s="1"/>
      <x:c r="F408" s="1"/>
      <x:c r="G408" s="1"/>
      <x:c r="H408" s="1"/>
      <x:c r="I408" s="1"/>
      <x:c r="J408" s="1"/>
      <x:c r="K408" s="1"/>
    </x:row>
    <x:row r="409" ht="66" customHeight="1">
      <x:c r="A409" s="16" t="str">
        <x:v>WoRMS: Penaeus monodon</x:v>
      </x:c>
      <x:c r="B409" s="16" t="str">
        <x:v>Taxa: Penaeus monodon. {"scientificname":"Penaeus monodon","valid_name":"Penaeus (Penaeus) monodon","status":"superseded combination","family":"Penaeidae","class":"Malacostraca","phylum":"Arthropoda"}</x:v>
      </x:c>
      <x:c r="C409" s="25" t="str">
        <x:v>https://www.marinespecies.org/aphia.php?p=taxdetails&amp;id=210378</x:v>
      </x:c>
      <x:c r="D409" s="1"/>
      <x:c r="E409" s="1"/>
      <x:c r="F409" s="1"/>
      <x:c r="G409" s="1"/>
      <x:c r="H409" s="1"/>
      <x:c r="I409" s="1"/>
      <x:c r="J409" s="1"/>
      <x:c r="K409" s="1"/>
    </x:row>
    <x:row r="410" ht="66" customHeight="1">
      <x:c r="A410" s="16" t="str">
        <x:v>WoRMS: Mytilidae</x:v>
      </x:c>
      <x:c r="B410" s="16" t="str">
        <x:v>Taxa: Mytilidae. {"scientificname":"Mytilidae","valid_name":"Mytilidae","status":"accepted","family":"Mytilidae","class":"Bivalvia","phylum":"Mollusca"}</x:v>
      </x:c>
      <x:c r="C410" s="25" t="str">
        <x:v>https://www.marinespecies.org/aphia.php?p=taxdetails&amp;id=211</x:v>
      </x:c>
      <x:c r="D410" s="1"/>
      <x:c r="E410" s="1"/>
      <x:c r="F410" s="1"/>
      <x:c r="G410" s="1"/>
      <x:c r="H410" s="1"/>
      <x:c r="I410" s="1"/>
      <x:c r="J410" s="1"/>
      <x:c r="K410" s="1"/>
    </x:row>
    <x:row r="411" ht="66" customHeight="1">
      <x:c r="A411" s="16" t="str">
        <x:v>WoRMS: Octopus</x:v>
      </x:c>
      <x:c r="B411" s="16" t="str">
        <x:v>Taxa: Octopus. {"scientificname":"Octopus","valid_name":"Octopus","status":"accepted","family":"Octopodidae","class":"Cephalopoda","phylum":"Mollusca"}</x:v>
      </x:c>
      <x:c r="C411" s="25" t="str">
        <x:v>https://www.marinespecies.org/aphia.php?p=taxdetails&amp;id=138268</x:v>
      </x:c>
      <x:c r="D411" s="1"/>
      <x:c r="E411" s="1"/>
      <x:c r="F411" s="1"/>
      <x:c r="G411" s="1"/>
      <x:c r="H411" s="1"/>
      <x:c r="I411" s="1"/>
      <x:c r="J411" s="1"/>
      <x:c r="K411" s="1"/>
    </x:row>
    <x:row r="412" ht="66" customHeight="1">
      <x:c r="A412" s="16" t="str">
        <x:v>WoRMS: Platycaranx malabaricus</x:v>
      </x:c>
      <x:c r="B412" s="16" t="str">
        <x:v>Taxa: Platycaranx malabaricus. {"scientificname":"Platycaranx malabaricus","valid_name":"Platycaranx malabaricus","status":"accepted","family":"Carangidae","class":"Teleostei","phylum":"Chordata"}</x:v>
      </x:c>
      <x:c r="C412" s="25" t="str">
        <x:v>https://www.marinespecies.org/aphia.php?p=taxdetails&amp;id=1802012</x:v>
      </x:c>
      <x:c r="D412" s="1"/>
      <x:c r="E412" s="1"/>
      <x:c r="F412" s="1"/>
      <x:c r="G412" s="1"/>
      <x:c r="H412" s="1"/>
      <x:c r="I412" s="1"/>
      <x:c r="J412" s="1"/>
      <x:c r="K412" s="1"/>
    </x:row>
    <x:row r="413" ht="66" customHeight="1">
      <x:c r="A413" s="16" t="str">
        <x:v>FishBase: Platycaranx malabaricus</x:v>
      </x:c>
      <x:c r="B413" s="16" t="str">
        <x:v>Taxa: Platycaranx malabaricus. Habitat: Marine;  reef-associated; amphidromous; first maximum: 60 cm TL. Additional biology checked where material.</x:v>
      </x:c>
      <x:c r="C413" s="25" t="str">
        <x:v>https://www.fishbase.se/summary/Platycaranx-malabaricus.html</x:v>
      </x:c>
      <x:c r="D413" s="1"/>
      <x:c r="E413" s="1"/>
      <x:c r="F413" s="1"/>
      <x:c r="G413" s="1"/>
      <x:c r="H413" s="1"/>
      <x:c r="I413" s="1"/>
      <x:c r="J413" s="1"/>
      <x:c r="K413" s="1"/>
    </x:row>
    <x:row r="414" ht="66" customHeight="1">
      <x:c r="A414" s="16" t="str">
        <x:v>WoRMS: Spratelloides gracilis</x:v>
      </x:c>
      <x:c r="B414" s="16" t="str">
        <x:v>Taxa: Spratelloides gracilis. {"scientificname":"Spratelloides gracilis","valid_name":"Spratelloides gracilis","status":"accepted","family":"Spratelloididae","class":"Teleostei","phylum":"Chordata"}</x:v>
      </x:c>
      <x:c r="C414" s="25" t="str">
        <x:v>https://www.marinespecies.org/aphia.php?p=taxdetails&amp;id=212263</x:v>
      </x:c>
      <x:c r="D414" s="1"/>
      <x:c r="E414" s="1"/>
      <x:c r="F414" s="1"/>
      <x:c r="G414" s="1"/>
      <x:c r="H414" s="1"/>
      <x:c r="I414" s="1"/>
      <x:c r="J414" s="1"/>
      <x:c r="K414" s="1"/>
    </x:row>
    <x:row r="415" ht="66" customHeight="1">
      <x:c r="A415" s="16" t="str">
        <x:v>FishBase: Spratelloides gracilis</x:v>
      </x:c>
      <x:c r="B415" s="16" t="str">
        <x:v>Taxa: Spratelloides gracilis. Habitat: Marine;  pelagic-neritic;; first maximum: 10.5 cm SL. Additional biology checked where material.</x:v>
      </x:c>
      <x:c r="C415" s="25" t="str">
        <x:v>https://www.fishbase.se/summary/Spratelloides-gracilis.html</x:v>
      </x:c>
      <x:c r="D415" s="1"/>
      <x:c r="E415" s="1"/>
      <x:c r="F415" s="1"/>
      <x:c r="G415" s="1"/>
      <x:c r="H415" s="1"/>
      <x:c r="I415" s="1"/>
      <x:c r="J415" s="1"/>
      <x:c r="K415" s="1"/>
    </x:row>
    <x:row r="416" ht="66" customHeight="1">
      <x:c r="A416" s="16" t="str">
        <x:v>WoRMS: Acanthuridae</x:v>
      </x:c>
      <x:c r="B416" s="16" t="str">
        <x:v>Taxa: Acanthuridae. {"scientificname":"Acanthuridae","valid_name":"Acanthuridae","status":"accepted","family":"Acanthuridae","class":"Teleostei","phylum":"Chordata"}</x:v>
      </x:c>
      <x:c r="C416" s="25" t="str">
        <x:v>https://www.marinespecies.org/aphia.php?p=taxdetails&amp;id=125515</x:v>
      </x:c>
      <x:c r="D416" s="1"/>
      <x:c r="E416" s="1"/>
      <x:c r="F416" s="1"/>
      <x:c r="G416" s="1"/>
      <x:c r="H416" s="1"/>
      <x:c r="I416" s="1"/>
      <x:c r="J416" s="1"/>
      <x:c r="K416" s="1"/>
    </x:row>
    <x:row r="417" ht="66" customHeight="1">
      <x:c r="A417" s="16" t="str">
        <x:v>FishBase: Acanthurus xanthopterus</x:v>
      </x:c>
      <x:c r="B417" s="16" t="str">
        <x:v>Taxa: Acanthuridae; Acanthurus. 70 cm TL maximum contradicts unconditional whole-genus/family small-fish containment; actual catch composition remains unknown.</x:v>
      </x:c>
      <x:c r="C417" s="25" t="str">
        <x:v>https://www.fishbase.se/summary/Acanthurus-xanthopterus.html</x:v>
      </x:c>
      <x:c r="D417" s="1"/>
      <x:c r="E417" s="1"/>
      <x:c r="F417" s="1"/>
      <x:c r="G417" s="1"/>
      <x:c r="H417" s="1"/>
      <x:c r="I417" s="1"/>
      <x:c r="J417" s="1"/>
      <x:c r="K417" s="1"/>
    </x:row>
    <x:row r="418" ht="66" customHeight="1">
      <x:c r="A418" s="16" t="str">
        <x:v>FAO WCP guide: Scatophagidae</x:v>
      </x:c>
      <x:c r="B418" s="16" t="str">
        <x:v>Taxa: Scatophagus. p.3623, Remarks. Only Scatophagus argus recognized in the regional genus account. A globally small congener is not automatically a regional component.</x:v>
      </x:c>
      <x:c r="C418" s="25" t="str">
        <x:v>https://www.fao.org/4/y0870e/y0870e26.pdf</x:v>
      </x:c>
      <x:c r="D418" s="1"/>
      <x:c r="E418" s="1"/>
      <x:c r="F418" s="1"/>
      <x:c r="G418" s="1"/>
      <x:c r="H418" s="1"/>
      <x:c r="I418" s="1"/>
      <x:c r="J418" s="1"/>
      <x:c r="K418" s="1"/>
    </x:row>
    <x:row r="419" ht="66" customHeight="1">
      <x:c r="A419" s="16" t="str">
        <x:v>FishBase: Scatophagus argus</x:v>
      </x:c>
      <x:c r="B419" s="16" t="str">
        <x:v>Taxa: Scatophagus; Scatophagus argus. Classification; Environment; Size; Biology. Demersal coastal/estuarine species, maximum 45 cm TL, not its common length of 20 cm TL.</x:v>
      </x:c>
      <x:c r="C419" s="25" t="str">
        <x:v>https://www.fishbase.se/summary/Scatophagus-argus.html</x:v>
      </x:c>
      <x:c r="D419" s="1"/>
      <x:c r="E419" s="1"/>
      <x:c r="F419" s="1"/>
      <x:c r="G419" s="1"/>
      <x:c r="H419" s="1"/>
      <x:c r="I419" s="1"/>
      <x:c r="J419" s="1"/>
      <x:c r="K419" s="1"/>
    </x:row>
    <x:row r="420" ht="66" customHeight="1">
      <x:c r="A420" s="16" t="str">
        <x:v>WoRMS: Solenocera crassicornis</x:v>
      </x:c>
      <x:c r="B420" s="16" t="str">
        <x:v>Taxa: Solenocera crassicornis. {"scientificname":"Solenocera crassicornis","valid_name":"Solenocera crassicornis","status":"accepted","family":"Solenoceridae","class":"Malacostraca","phylum":"Arthropoda"}</x:v>
      </x:c>
      <x:c r="C420" s="25" t="str">
        <x:v>https://www.marinespecies.org/aphia.php?p=taxdetails&amp;id=107119</x:v>
      </x:c>
      <x:c r="D420" s="1"/>
      <x:c r="E420" s="1"/>
      <x:c r="F420" s="1"/>
      <x:c r="G420" s="1"/>
      <x:c r="H420" s="1"/>
      <x:c r="I420" s="1"/>
      <x:c r="J420" s="1"/>
      <x:c r="K420" s="1"/>
    </x:row>
    <x:row r="421" ht="66" customHeight="1">
      <x:c r="A421" s="16" t="str">
        <x:v>WoRMS: Ambassidae</x:v>
      </x:c>
      <x:c r="B421" s="16" t="str">
        <x:v>Taxa: Ambassidae. {"scientificname":"Ambassidae","valid_name":"Ambassidae","status":"accepted","family":"Ambassidae","class":"Teleostei","phylum":"Chordata"}</x:v>
      </x:c>
      <x:c r="C421" s="25" t="str">
        <x:v>https://www.marinespecies.org/aphia.php?p=taxdetails&amp;id=151432</x:v>
      </x:c>
      <x:c r="D421" s="1"/>
      <x:c r="E421" s="1"/>
      <x:c r="F421" s="1"/>
      <x:c r="G421" s="1"/>
      <x:c r="H421" s="1"/>
      <x:c r="I421" s="1"/>
      <x:c r="J421" s="1"/>
      <x:c r="K421" s="1"/>
    </x:row>
    <x:row r="422" ht="66" customHeight="1">
      <x:c r="A422" s="16" t="str">
        <x:v>WoRMS: Stephanolepis cirrhifer</x:v>
      </x:c>
      <x:c r="B422" s="16" t="str">
        <x:v>Taxa: Stephanolepis cirrhifer. {"scientificname":"Stephanolepis cirrhifer","valid_name":"Stephanolepis cirrhifer","status":"accepted","family":"Monacanthidae","class":"Teleostei","phylum":"Chordata"}</x:v>
      </x:c>
      <x:c r="C422" s="25" t="str">
        <x:v>https://www.marinespecies.org/aphia.php?p=taxdetails&amp;id=275247</x:v>
      </x:c>
      <x:c r="D422" s="1"/>
      <x:c r="E422" s="1"/>
      <x:c r="F422" s="1"/>
      <x:c r="G422" s="1"/>
      <x:c r="H422" s="1"/>
      <x:c r="I422" s="1"/>
      <x:c r="J422" s="1"/>
      <x:c r="K422" s="1"/>
    </x:row>
    <x:row r="423" ht="66" customHeight="1">
      <x:c r="A423" s="16" t="str">
        <x:v>FishBase: Stephanolepis cirrhifer</x:v>
      </x:c>
      <x:c r="B423" s="16" t="str">
        <x:v>Taxa: Stephanolepis cirrhifer. Habitat: Marine;  demersal; oceanodromous; first maximum: 30 cm TL. Additional biology checked where material.</x:v>
      </x:c>
      <x:c r="C423" s="25" t="str">
        <x:v>https://www.fishbase.se/summary/Stephanolepis-cirrhifer.html</x:v>
      </x:c>
      <x:c r="D423" s="1"/>
      <x:c r="E423" s="1"/>
      <x:c r="F423" s="1"/>
      <x:c r="G423" s="1"/>
      <x:c r="H423" s="1"/>
      <x:c r="I423" s="1"/>
      <x:c r="J423" s="1"/>
      <x:c r="K423" s="1"/>
    </x:row>
    <x:row r="424" ht="66" customHeight="1">
      <x:c r="A424" s="16" t="str">
        <x:v>WoRMS: Amblygaster sirm</x:v>
      </x:c>
      <x:c r="B424" s="16" t="str">
        <x:v>Taxa: Amblygaster sirm. {"scientificname":"Amblygaster sirm","valid_name":"Amblygaster sirm","status":"accepted","family":"Dorosomatidae","class":"Teleostei","phylum":"Chordata"}</x:v>
      </x:c>
      <x:c r="C424" s="25" t="str">
        <x:v>https://www.marinespecies.org/aphia.php?p=taxdetails&amp;id=217439</x:v>
      </x:c>
      <x:c r="D424" s="1"/>
      <x:c r="E424" s="1"/>
      <x:c r="F424" s="1"/>
      <x:c r="G424" s="1"/>
      <x:c r="H424" s="1"/>
      <x:c r="I424" s="1"/>
      <x:c r="J424" s="1"/>
      <x:c r="K424" s="1"/>
    </x:row>
    <x:row r="425" ht="66" customHeight="1">
      <x:c r="A425" s="16" t="str">
        <x:v>FishBase: Amblygaster sirm</x:v>
      </x:c>
      <x:c r="B425" s="16" t="str">
        <x:v>Taxa: Amblygaster sirm. Habitat: Marine; brackish;  reef-associated;; first maximum: 27 cm SL. Additional biology checked where material.</x:v>
      </x:c>
      <x:c r="C425" s="25" t="str">
        <x:v>https://www.fishbase.se/summary/Amblygaster-sirm.html</x:v>
      </x:c>
      <x:c r="D425" s="1"/>
      <x:c r="E425" s="1"/>
      <x:c r="F425" s="1"/>
      <x:c r="G425" s="1"/>
      <x:c r="H425" s="1"/>
      <x:c r="I425" s="1"/>
      <x:c r="J425" s="1"/>
      <x:c r="K425" s="1"/>
    </x:row>
    <x:row r="426" ht="66" customHeight="1">
      <x:c r="A426" s="16" t="str">
        <x:v>FAO WCP guide: Ephippidae</x:v>
      </x:c>
      <x:c r="B426" s="16" t="str">
        <x:v>Taxa: Ephippidae. pp.3611–3618, species accounts. Ephippus orbis maximum 19 cm TL versus Platax batavianus 65 and P. orbicularis 50 cm TL; family crosses 30.</x:v>
      </x:c>
      <x:c r="C426" s="25" t="str">
        <x:v>https://www.fao.org/docrep/pdf/009/y0870e/y0870e25.pdf</x:v>
      </x:c>
      <x:c r="D426" s="1"/>
      <x:c r="E426" s="1"/>
      <x:c r="F426" s="1"/>
      <x:c r="G426" s="1"/>
      <x:c r="H426" s="1"/>
      <x:c r="I426" s="1"/>
      <x:c r="J426" s="1"/>
      <x:c r="K426" s="1"/>
    </x:row>
    <x:row r="427" ht="66" customHeight="1">
      <x:c r="A427" s="16" t="str">
        <x:v>WoRMS: Hilsa kelee</x:v>
      </x:c>
      <x:c r="B427" s="16" t="str">
        <x:v>Taxa: Hilsa kelee. {"scientificname":"Hilsa kelee","valid_name":"Hilsa kelee","status":"accepted","family":"Dorosomatidae","class":"Teleostei","phylum":"Chordata"}</x:v>
      </x:c>
      <x:c r="C427" s="25" t="str">
        <x:v>https://www.marinespecies.org/aphia.php?p=taxdetails&amp;id=212278</x:v>
      </x:c>
      <x:c r="D427" s="1"/>
      <x:c r="E427" s="1"/>
      <x:c r="F427" s="1"/>
      <x:c r="G427" s="1"/>
      <x:c r="H427" s="1"/>
      <x:c r="I427" s="1"/>
      <x:c r="J427" s="1"/>
      <x:c r="K427" s="1"/>
    </x:row>
    <x:row r="428" ht="66" customHeight="1">
      <x:c r="A428" s="16" t="str">
        <x:v>FishBase: Hilsa kelee</x:v>
      </x:c>
      <x:c r="B428" s="16" t="str">
        <x:v>Taxa: Hilsa kelee. Habitat: Marine; freshwater; brackish;  pelagic-neritic; anadromous; first maximum: 35 cm TL. Additional biology checked where material.</x:v>
      </x:c>
      <x:c r="C428" s="25" t="str">
        <x:v>https://www.fishbase.se/summary/Hilsa-kelee.html</x:v>
      </x:c>
      <x:c r="D428" s="1"/>
      <x:c r="E428" s="1"/>
      <x:c r="F428" s="1"/>
      <x:c r="G428" s="1"/>
      <x:c r="H428" s="1"/>
      <x:c r="I428" s="1"/>
      <x:c r="J428" s="1"/>
      <x:c r="K428" s="1"/>
    </x:row>
    <x:row r="429" ht="66" customHeight="1">
      <x:c r="A429" s="16" t="str">
        <x:v>WoRMS: Acanthurus</x:v>
      </x:c>
      <x:c r="B429" s="16" t="str">
        <x:v>Taxa: Acanthurus. {"scientificname":"Acanthurus","valid_name":"Acanthurus","status":"accepted","family":"Acanthuridae","class":"Teleostei","phylum":"Chordata"}</x:v>
      </x:c>
      <x:c r="C429" s="25" t="str">
        <x:v>https://www.marinespecies.org/aphia.php?p=taxdetails&amp;id=125908</x:v>
      </x:c>
      <x:c r="D429" s="1"/>
      <x:c r="E429" s="1"/>
      <x:c r="F429" s="1"/>
      <x:c r="G429" s="1"/>
      <x:c r="H429" s="1"/>
      <x:c r="I429" s="1"/>
      <x:c r="J429" s="1"/>
      <x:c r="K429" s="1"/>
    </x:row>
    <x:row r="430" ht="66" customHeight="1">
      <x:c r="A430" s="16" t="str">
        <x:v>WoRMS: Cypselurus</x:v>
      </x:c>
      <x:c r="B430" s="16" t="str">
        <x:v>Taxa: Cypselurus. {"scientificname":"Cypselurus","valid_name":"Cypselurus","status":"accepted","family":"Exocoetidae","class":"Teleostei","phylum":"Chordata"}</x:v>
      </x:c>
      <x:c r="C430" s="25" t="str">
        <x:v>https://www.marinespecies.org/aphia.php?p=taxdetails&amp;id=206252</x:v>
      </x:c>
      <x:c r="D430" s="1"/>
      <x:c r="E430" s="1"/>
      <x:c r="F430" s="1"/>
      <x:c r="G430" s="1"/>
      <x:c r="H430" s="1"/>
      <x:c r="I430" s="1"/>
      <x:c r="J430" s="1"/>
      <x:c r="K430" s="1"/>
    </x:row>
    <x:row r="431" ht="66" customHeight="1">
      <x:c r="A431" s="16" t="str">
        <x:v>FishBase Cypselurus inventory</x:v>
      </x:c>
      <x:c r="B431" s="16" t="str">
        <x:v>Taxa: Cypselurus. Genus composition and reported length metrics reviewed.</x:v>
      </x:c>
      <x:c r="C431" s="25" t="str">
        <x:v>https://www.fishbase.se/identification/SpeciesList.php?genus=Cypselurus</x:v>
      </x:c>
      <x:c r="D431" s="1"/>
      <x:c r="E431" s="1"/>
      <x:c r="F431" s="1"/>
      <x:c r="G431" s="1"/>
      <x:c r="H431" s="1"/>
      <x:c r="I431" s="1"/>
      <x:c r="J431" s="1"/>
      <x:c r="K431" s="1"/>
    </x:row>
    <x:row r="432" ht="66" customHeight="1">
      <x:c r="A432" s="16" t="str">
        <x:v>WoRMS: Cephea</x:v>
      </x:c>
      <x:c r="B432" s="16" t="str">
        <x:v>Taxa: Cephea. {"scientificname":"Cephea","valid_name":"Cephea","status":"accepted","family":"Cepheidae","class":"Scyphozoa","phylum":"Cnidaria"}</x:v>
      </x:c>
      <x:c r="C432" s="25" t="str">
        <x:v>https://www.marinespecies.org/aphia.php?p=taxdetails&amp;id=206918</x:v>
      </x:c>
      <x:c r="D432" s="1"/>
      <x:c r="E432" s="1"/>
      <x:c r="F432" s="1"/>
      <x:c r="G432" s="1"/>
      <x:c r="H432" s="1"/>
      <x:c r="I432" s="1"/>
      <x:c r="J432" s="1"/>
      <x:c r="K432" s="1"/>
    </x:row>
    <x:row r="433" ht="66" customHeight="1">
      <x:c r="A433" s="16" t="str">
        <x:v>WoRMS: Hyporhamphus sajori</x:v>
      </x:c>
      <x:c r="B433" s="16" t="str">
        <x:v>Taxa: Hyporhamphus sajori. {"scientificname":"Hyporhamphus sajori","valid_name":"Hyporhamphus sajori","status":"accepted","family":"Hemiramphidae","class":"Teleostei","phylum":"Chordata"}</x:v>
      </x:c>
      <x:c r="C433" s="25" t="str">
        <x:v>https://www.marinespecies.org/aphia.php?p=taxdetails&amp;id=272196</x:v>
      </x:c>
      <x:c r="D433" s="1"/>
      <x:c r="E433" s="1"/>
      <x:c r="F433" s="1"/>
      <x:c r="G433" s="1"/>
      <x:c r="H433" s="1"/>
      <x:c r="I433" s="1"/>
      <x:c r="J433" s="1"/>
      <x:c r="K433" s="1"/>
    </x:row>
    <x:row r="434" ht="66" customHeight="1">
      <x:c r="A434" s="16" t="str">
        <x:v>FishBase: Hyporhamphus sajori</x:v>
      </x:c>
      <x:c r="B434" s="16" t="str">
        <x:v>Taxa: Hyporhamphus sajori. Habitat: Marine; freshwater; brackish;  pelagic-neritic; amphidromous;; first maximum: 40 cm TL. Additional biology checked where material.</x:v>
      </x:c>
      <x:c r="C434" s="25" t="str">
        <x:v>https://www.fishbase.se/summary/Hyporhamphus-sajori.html</x:v>
      </x:c>
      <x:c r="D434" s="1"/>
      <x:c r="E434" s="1"/>
      <x:c r="F434" s="1"/>
      <x:c r="G434" s="1"/>
      <x:c r="H434" s="1"/>
      <x:c r="I434" s="1"/>
      <x:c r="J434" s="1"/>
      <x:c r="K434" s="1"/>
    </x:row>
    <x:row r="435" ht="66" customHeight="1">
      <x:c r="A435" s="16" t="str">
        <x:v>WoRMS: Sardinella zunasi</x:v>
      </x:c>
      <x:c r="B435" s="16" t="str">
        <x:v>Taxa: Sardinella zunasi. {"scientificname":"Sardinella zunasi","valid_name":"Sardinella zunasi","status":"accepted","family":"Dorosomatidae","class":"Teleostei","phylum":"Chordata"}</x:v>
      </x:c>
      <x:c r="C435" s="25" t="str">
        <x:v>https://www.marinespecies.org/aphia.php?p=taxdetails&amp;id=272277</x:v>
      </x:c>
      <x:c r="D435" s="1"/>
      <x:c r="E435" s="1"/>
      <x:c r="F435" s="1"/>
      <x:c r="G435" s="1"/>
      <x:c r="H435" s="1"/>
      <x:c r="I435" s="1"/>
      <x:c r="J435" s="1"/>
      <x:c r="K435" s="1"/>
    </x:row>
    <x:row r="436" ht="66" customHeight="1">
      <x:c r="A436" s="16" t="str">
        <x:v>FishBase: Sardinella zunasi</x:v>
      </x:c>
      <x:c r="B436" s="16" t="str">
        <x:v>Taxa: Sardinella zunasi. Habitat: Marine;  pelagic-neritic; oceanodromous; first maximum: 18 cm TL. Additional biology checked where material.</x:v>
      </x:c>
      <x:c r="C436" s="25" t="str">
        <x:v>https://www.fishbase.se/summary/Sardinella-zunasi.html</x:v>
      </x:c>
      <x:c r="D436" s="1"/>
      <x:c r="E436" s="1"/>
      <x:c r="F436" s="1"/>
      <x:c r="G436" s="1"/>
      <x:c r="H436" s="1"/>
      <x:c r="I436" s="1"/>
      <x:c r="J436" s="1"/>
      <x:c r="K436" s="1"/>
    </x:row>
    <x:row r="437" ht="66" customHeight="1">
      <x:c r="A437" s="16" t="str">
        <x:v>WoRMS: Pellona ditchela</x:v>
      </x:c>
      <x:c r="B437" s="16" t="str">
        <x:v>Taxa: Pellona ditchela. {"scientificname":"Pellona ditchela","valid_name":"Pellona ditchela","status":"accepted","family":"Pristigasteridae","class":"Teleostei","phylum":"Chordata"}</x:v>
      </x:c>
      <x:c r="C437" s="25" t="str">
        <x:v>https://www.marinespecies.org/aphia.php?p=taxdetails&amp;id=212279</x:v>
      </x:c>
      <x:c r="D437" s="1"/>
      <x:c r="E437" s="1"/>
      <x:c r="F437" s="1"/>
      <x:c r="G437" s="1"/>
      <x:c r="H437" s="1"/>
      <x:c r="I437" s="1"/>
      <x:c r="J437" s="1"/>
      <x:c r="K437" s="1"/>
    </x:row>
    <x:row r="438" ht="66" customHeight="1">
      <x:c r="A438" s="16" t="str">
        <x:v>FishBase: Pellona ditchela</x:v>
      </x:c>
      <x:c r="B438" s="16" t="str">
        <x:v>Taxa: Pellona ditchela. Habitat: Marine; freshwater; brackish;  pelagic-neritic; anadromous; first maximum: 16 cm SL. Additional biology checked where material.</x:v>
      </x:c>
      <x:c r="C438" s="25" t="str">
        <x:v>https://www.fishbase.se/summary/Pellona-ditchela.html</x:v>
      </x:c>
      <x:c r="D438" s="1"/>
      <x:c r="E438" s="1"/>
      <x:c r="F438" s="1"/>
      <x:c r="G438" s="1"/>
      <x:c r="H438" s="1"/>
      <x:c r="I438" s="1"/>
      <x:c r="J438" s="1"/>
      <x:c r="K438" s="1"/>
    </x:row>
    <x:row r="439" ht="66" customHeight="1">
      <x:c r="A439" s="16" t="str">
        <x:v>WoRMS: Apostichopus japonicus</x:v>
      </x:c>
      <x:c r="B439" s="16" t="str">
        <x:v>Taxa: Apostichopus japonicus. {"scientificname":"Apostichopus japonicus","valid_name":"Apostichopus japonicus","status":"accepted","family":"Stichopodidae","class":"Holothuroidea","phylum":"Echinodermata"}</x:v>
      </x:c>
      <x:c r="C439" s="25" t="str">
        <x:v>https://www.marinespecies.org/aphia.php?p=taxdetails&amp;id=241776</x:v>
      </x:c>
      <x:c r="D439" s="1"/>
      <x:c r="E439" s="1"/>
      <x:c r="F439" s="1"/>
      <x:c r="G439" s="1"/>
      <x:c r="H439" s="1"/>
      <x:c r="I439" s="1"/>
      <x:c r="J439" s="1"/>
      <x:c r="K439" s="1"/>
    </x:row>
    <x:row r="440" ht="66" customHeight="1">
      <x:c r="A440" s="16" t="str">
        <x:v>WoRMS: Panulirus polyphagus</x:v>
      </x:c>
      <x:c r="B440" s="16" t="str">
        <x:v>Taxa: Panulirus polyphagus. {"scientificname":"Panulirus polyphagus","valid_name":"Panulirus polyphagus","status":"accepted","family":"Palinuridae","class":"Malacostraca","phylum":"Arthropoda"}</x:v>
      </x:c>
      <x:c r="C440" s="25" t="str">
        <x:v>https://www.marinespecies.org/aphia.php?p=taxdetails&amp;id=382902</x:v>
      </x:c>
      <x:c r="D440" s="1"/>
      <x:c r="E440" s="1"/>
      <x:c r="F440" s="1"/>
      <x:c r="G440" s="1"/>
      <x:c r="H440" s="1"/>
      <x:c r="I440" s="1"/>
      <x:c r="J440" s="1"/>
      <x:c r="K440" s="1"/>
    </x:row>
    <x:row r="441" ht="66" customHeight="1">
      <x:c r="A441" s="16" t="str">
        <x:v>WoRMS: Penaeus penicillatus</x:v>
      </x:c>
      <x:c r="B441" s="16" t="str">
        <x:v>Taxa: Penaeus penicillatus. {"scientificname":"Penaeus penicillatus","valid_name":"Penaeus (Fenneropenaeus) penicillatus","status":"superseded combination","family":"Penaeidae","class":"Malacostraca","phylum":"Arthropoda"}</x:v>
      </x:c>
      <x:c r="C441" s="25" t="str">
        <x:v>https://www.marinespecies.org/aphia.php?p=taxdetails&amp;id=210373</x:v>
      </x:c>
      <x:c r="D441" s="1"/>
      <x:c r="E441" s="1"/>
      <x:c r="F441" s="1"/>
      <x:c r="G441" s="1"/>
      <x:c r="H441" s="1"/>
      <x:c r="I441" s="1"/>
      <x:c r="J441" s="1"/>
      <x:c r="K441" s="1"/>
    </x:row>
    <x:row r="442" ht="66" customHeight="1">
      <x:c r="A442" s="16" t="str">
        <x:v>WoRMS: Sardinella albella</x:v>
      </x:c>
      <x:c r="B442" s="16" t="str">
        <x:v>Taxa: Sardinella albella. {"scientificname":"Sardinella albella","valid_name":"Sardinella albella","status":"accepted","family":"Dorosomatidae","class":"Teleostei","phylum":"Chordata"}</x:v>
      </x:c>
      <x:c r="C442" s="25" t="str">
        <x:v>https://www.marinespecies.org/aphia.php?p=taxdetails&amp;id=212268</x:v>
      </x:c>
      <x:c r="D442" s="1"/>
      <x:c r="E442" s="1"/>
      <x:c r="F442" s="1"/>
      <x:c r="G442" s="1"/>
      <x:c r="H442" s="1"/>
      <x:c r="I442" s="1"/>
      <x:c r="J442" s="1"/>
      <x:c r="K442" s="1"/>
    </x:row>
    <x:row r="443" ht="66" customHeight="1">
      <x:c r="A443" s="16" t="str">
        <x:v>FishBase: Sardinella albella</x:v>
      </x:c>
      <x:c r="B443" s="16" t="str">
        <x:v>Taxa: Sardinella albella. Habitat: Marine; brackish;  pelagic-neritic;; first maximum: 15 cm TL. Additional biology checked where material.</x:v>
      </x:c>
      <x:c r="C443" s="25" t="str">
        <x:v>https://www.fishbase.se/summary/Sardinella-albella.html</x:v>
      </x:c>
      <x:c r="D443" s="1"/>
      <x:c r="E443" s="1"/>
      <x:c r="F443" s="1"/>
      <x:c r="G443" s="1"/>
      <x:c r="H443" s="1"/>
      <x:c r="I443" s="1"/>
      <x:c r="J443" s="1"/>
      <x:c r="K443" s="1"/>
    </x:row>
    <x:row r="444" ht="66" customHeight="1">
      <x:c r="A444" s="16" t="str">
        <x:v>WoRMS: Chaetodontidae</x:v>
      </x:c>
      <x:c r="B444" s="16" t="str">
        <x:v>Taxa: Chaetodontidae. {"scientificname":"Chaetodontidae","valid_name":"Chaetodontidae","status":"accepted","family":"Chaetodontidae","class":"Teleostei","phylum":"Chordata"}</x:v>
      </x:c>
      <x:c r="C444" s="25" t="str">
        <x:v>https://www.marinespecies.org/aphia.php?p=taxdetails&amp;id=125528</x:v>
      </x:c>
      <x:c r="D444" s="1"/>
      <x:c r="E444" s="1"/>
      <x:c r="F444" s="1"/>
      <x:c r="G444" s="1"/>
      <x:c r="H444" s="1"/>
      <x:c r="I444" s="1"/>
      <x:c r="J444" s="1"/>
      <x:c r="K444" s="1"/>
    </x:row>
    <x:row r="445" ht="66" customHeight="1">
      <x:c r="A445" s="16" t="str">
        <x:v>FishBase: Halichoeres trimaculatus</x:v>
      </x:c>
      <x:c r="B445" s="16" t="str">
        <x:v>Taxa: Labridae. Classification; Environment; Size; Biology. Labridae; maximum 27 cm TL, sand/rubble-dwelling prey in Indo-Pacific shallow reefs.</x:v>
      </x:c>
      <x:c r="C445" s="25" t="str">
        <x:v>https://www.fishbase.se/summary/Halichoeres-trimaculatus.html</x:v>
      </x:c>
      <x:c r="D445" s="1"/>
      <x:c r="E445" s="1"/>
      <x:c r="F445" s="1"/>
      <x:c r="G445" s="1"/>
      <x:c r="H445" s="1"/>
      <x:c r="I445" s="1"/>
      <x:c r="J445" s="1"/>
      <x:c r="K445" s="1"/>
    </x:row>
    <x:row r="446" ht="66" customHeight="1">
      <x:c r="A446" s="16" t="str">
        <x:v>WoRMS: Batoidea</x:v>
      </x:c>
      <x:c r="B446" s="16" t="str">
        <x:v>Taxa: Batoidea. {"scientificname":"Batoidea","valid_name":"Batoidea","status":"accepted","family":null,"class":"Elasmobranchii","phylum":"Chordata"}</x:v>
      </x:c>
      <x:c r="C446" s="25" t="str">
        <x:v>https://www.marinespecies.org/aphia.php?p=taxdetails&amp;id=368409</x:v>
      </x:c>
      <x:c r="D446" s="1"/>
      <x:c r="E446" s="1"/>
      <x:c r="F446" s="1"/>
      <x:c r="G446" s="1"/>
      <x:c r="H446" s="1"/>
      <x:c r="I446" s="1"/>
      <x:c r="J446" s="1"/>
      <x:c r="K446" s="1"/>
    </x:row>
    <x:row r="447" ht="66" customHeight="1">
      <x:c r="A447" s="16" t="str">
        <x:v>WoRMS: Pteriomorphia</x:v>
      </x:c>
      <x:c r="B447" s="16" t="str">
        <x:v>Taxa: Pteriomorphia. {"scientificname":"Pteriomorphia","valid_name":"Pteriomorphia","status":"accepted","family":null,"class":"Bivalvia","phylum":"Mollusca"}</x:v>
      </x:c>
      <x:c r="C447" s="25" t="str">
        <x:v>https://www.marinespecies.org/aphia.php?p=taxdetails&amp;id=206</x:v>
      </x:c>
      <x:c r="D447" s="1"/>
      <x:c r="E447" s="1"/>
      <x:c r="F447" s="1"/>
      <x:c r="G447" s="1"/>
      <x:c r="H447" s="1"/>
      <x:c r="I447" s="1"/>
      <x:c r="J447" s="1"/>
      <x:c r="K447" s="1"/>
    </x:row>
    <x:row r="448" ht="66" customHeight="1">
      <x:c r="A448" s="16" t="str">
        <x:v>WoRMS: Macolor</x:v>
      </x:c>
      <x:c r="B448" s="16" t="str">
        <x:v>Taxa: Macolor. {"scientificname":"Macolor","valid_name":"Macolor","status":"accepted","family":"Lutjanidae","class":"Teleostei","phylum":"Chordata"}</x:v>
      </x:c>
      <x:c r="C448" s="25" t="str">
        <x:v>https://www.marinespecies.org/aphia.php?p=taxdetails&amp;id=206707</x:v>
      </x:c>
      <x:c r="D448" s="1"/>
      <x:c r="E448" s="1"/>
      <x:c r="F448" s="1"/>
      <x:c r="G448" s="1"/>
      <x:c r="H448" s="1"/>
      <x:c r="I448" s="1"/>
      <x:c r="J448" s="1"/>
      <x:c r="K448" s="1"/>
    </x:row>
    <x:row r="449" ht="66" customHeight="1">
      <x:c r="A449" s="16" t="str">
        <x:v>FishBase: Scarus fuscocaudalis</x:v>
      </x:c>
      <x:c r="B449" s="16" t="str">
        <x:v>Taxa: Scarus; Scaridae. Classification; Environment; Size; Biology. Maximum 25 cm TL; Ryukyus and Philippines. This is a regional small-species counterexample to an all-large Scarus/Scaridae assignment.</x:v>
      </x:c>
      <x:c r="C449" s="25" t="str">
        <x:v>https://www.fishbase.se/summary/Scarus-fuscocaudalis</x:v>
      </x:c>
      <x:c r="D449" s="1"/>
      <x:c r="E449" s="1"/>
      <x:c r="F449" s="1"/>
      <x:c r="G449" s="1"/>
      <x:c r="H449" s="1"/>
      <x:c r="I449" s="1"/>
      <x:c r="J449" s="1"/>
      <x:c r="K449" s="1"/>
    </x:row>
    <x:row r="450" ht="66" customHeight="1">
      <x:c r="A450" s="16" t="str">
        <x:v>FishBase: Scarus species list</x:v>
      </x:c>
      <x:c r="B450" s="16" t="str">
        <x:v>Taxa: Scarus; Scaridae. Species length/distribution table. Species span small and large body sizes.</x:v>
      </x:c>
      <x:c r="C450" s="25" t="str">
        <x:v>https://www.fishbase.se/identification/SpeciesList.php?genus=Scarus</x:v>
      </x:c>
      <x:c r="D450" s="1"/>
      <x:c r="E450" s="1"/>
      <x:c r="F450" s="1"/>
      <x:c r="G450" s="1"/>
      <x:c r="H450" s="1"/>
      <x:c r="I450" s="1"/>
      <x:c r="J450" s="1"/>
      <x:c r="K450" s="1"/>
    </x:row>
    <x:row r="451" ht="66" customHeight="1">
      <x:c r="A451" s="16" t="str">
        <x:v>FishBase: Nibea albiflora</x:v>
      </x:c>
      <x:c r="B451" s="16" t="str">
        <x:v>Taxa: Nibea albiflora. Classification; Environment; Size; Biology. Sciaenidae; maximum 43.5 cm SL; nearshore mud/benthopelagic habitat does not override dedicated croaker pool.</x:v>
      </x:c>
      <x:c r="C451" s="25" t="str">
        <x:v>https://www.fishbase.se/summary/Nibea-albiflora.html</x:v>
      </x:c>
      <x:c r="D451" s="1"/>
      <x:c r="E451" s="1"/>
      <x:c r="F451" s="1"/>
      <x:c r="G451" s="1"/>
      <x:c r="H451" s="1"/>
      <x:c r="I451" s="1"/>
      <x:c r="J451" s="1"/>
      <x:c r="K451" s="1"/>
    </x:row>
    <x:row r="452" ht="66" customHeight="1">
      <x:c r="A452" s="16" t="str">
        <x:v>WoRMS: Carcharhinus longimanus</x:v>
      </x:c>
      <x:c r="B452" s="16" t="str">
        <x:v>Taxa: Carcharhinus longimanus. {"scientificname":"Carcharhinus longimanus","valid_name":"Carcharhinus longimanus","status":"accepted","family":"Carcharhinidae","class":"Elasmobranchii","phylum":"Chordata"}</x:v>
      </x:c>
      <x:c r="C452" s="25" t="str">
        <x:v>https://www.marinespecies.org/aphia.php?p=taxdetails&amp;id=105794</x:v>
      </x:c>
      <x:c r="D452" s="1"/>
      <x:c r="E452" s="1"/>
      <x:c r="F452" s="1"/>
      <x:c r="G452" s="1"/>
      <x:c r="H452" s="1"/>
      <x:c r="I452" s="1"/>
      <x:c r="J452" s="1"/>
      <x:c r="K452" s="1"/>
    </x:row>
    <x:row r="453" ht="66" customHeight="1">
      <x:c r="A453" s="16" t="str">
        <x:v>FishBase: Carcharhinus longimanus</x:v>
      </x:c>
      <x:c r="B453" s="16" t="str">
        <x:v>Taxa: Carcharhinus longimanus. Habitat: Marine;  pelagic-oceanic; oceanodromous; first maximum: 400 cm TL. Additional biology checked where material.</x:v>
      </x:c>
      <x:c r="C453" s="25" t="str">
        <x:v>https://www.fishbase.se/summary/Carcharhinus-longimanus.html</x:v>
      </x:c>
      <x:c r="D453" s="1"/>
      <x:c r="E453" s="1"/>
      <x:c r="F453" s="1"/>
      <x:c r="G453" s="1"/>
      <x:c r="H453" s="1"/>
      <x:c r="I453" s="1"/>
      <x:c r="J453" s="1"/>
      <x:c r="K453" s="1"/>
    </x:row>
    <x:row r="454" ht="66" customHeight="1">
      <x:c r="A454" s="16" t="str">
        <x:v>WoRMS: Panulirus</x:v>
      </x:c>
      <x:c r="B454" s="16" t="str">
        <x:v>Taxa: Panulirus. {"scientificname":"Panulirus","valid_name":"Panulirus","status":"accepted","family":"Palinuridae","class":"Malacostraca","phylum":"Arthropoda"}</x:v>
      </x:c>
      <x:c r="C454" s="25" t="str">
        <x:v>https://www.marinespecies.org/aphia.php?p=taxdetails&amp;id=107060</x:v>
      </x:c>
      <x:c r="D454" s="1"/>
      <x:c r="E454" s="1"/>
      <x:c r="F454" s="1"/>
      <x:c r="G454" s="1"/>
      <x:c r="H454" s="1"/>
      <x:c r="I454" s="1"/>
      <x:c r="J454" s="1"/>
      <x:c r="K454" s="1"/>
    </x:row>
    <x:row r="455" ht="66" customHeight="1">
      <x:c r="A455" s="16" t="str">
        <x:v>Underkoffler et al. (2018), A taxonomic review of Lampris guttatus</x:v>
      </x:c>
      <x:c r="B455" s="16" t="str">
        <x:v>Taxa: Lampris guttatus. Abstract and taxonomic scope. Historical L. guttatus encompassed several species; the catch name cannot be silently reassigned to a newly split species.</x:v>
      </x:c>
      <x:c r="C455" s="25" t="str">
        <x:v>https://pubmed.ncbi.nlm.nih.gov/29690102/</x:v>
      </x:c>
      <x:c r="D455" s="1"/>
      <x:c r="E455" s="1"/>
      <x:c r="F455" s="1"/>
      <x:c r="G455" s="1"/>
      <x:c r="H455" s="1"/>
      <x:c r="I455" s="1"/>
      <x:c r="J455" s="1"/>
      <x:c r="K455" s="1"/>
    </x:row>
    <x:row r="456" ht="66" customHeight="1">
      <x:c r="A456" s="16" t="str">
        <x:v>NOAA Fisheries, Clues from a fish auction reveal several new species of opah</x:v>
      </x:c>
      <x:c r="B456" s="16" t="str">
        <x:v>Taxa: Lampris guttatus. Taxonomy and habitat discussion. Official account describes offshore, deep-living opahs and revision of historical species identification.</x:v>
      </x:c>
      <x:c r="C456" s="25" t="str">
        <x:v>https://www.fisheries.noaa.gov/feature-story/clues-fish-auction-reveal-several-new-species-opah</x:v>
      </x:c>
      <x:c r="D456" s="1"/>
      <x:c r="E456" s="1"/>
      <x:c r="F456" s="1"/>
      <x:c r="G456" s="1"/>
      <x:c r="H456" s="1"/>
      <x:c r="I456" s="1"/>
      <x:c r="J456" s="1"/>
      <x:c r="K456" s="1"/>
    </x:row>
    <x:row r="457" ht="66" customHeight="1">
      <x:c r="A457" s="16" t="str">
        <x:v>WoRMS: Perna viridis</x:v>
      </x:c>
      <x:c r="B457" s="16" t="str">
        <x:v>Taxa: Perna viridis. {"scientificname":"Perna viridis","valid_name":"Perna viridis","status":"accepted","family":"Mytilidae","class":"Bivalvia","phylum":"Mollusca"}</x:v>
      </x:c>
      <x:c r="C457" s="25" t="str">
        <x:v>https://www.marinespecies.org/aphia.php?p=taxdetails&amp;id=367822</x:v>
      </x:c>
      <x:c r="D457" s="1"/>
      <x:c r="E457" s="1"/>
      <x:c r="F457" s="1"/>
      <x:c r="G457" s="1"/>
      <x:c r="H457" s="1"/>
      <x:c r="I457" s="1"/>
      <x:c r="J457" s="1"/>
      <x:c r="K457" s="1"/>
    </x:row>
    <x:row r="458" ht="66" customHeight="1">
      <x:c r="A458" s="16" t="str">
        <x:v>WoRMS: Ruditapes philippinarum</x:v>
      </x:c>
      <x:c r="B458" s="16" t="str">
        <x:v>Taxa: Ruditapes philippinarum. {"scientificname":"Ruditapes philippinarum","valid_name":"Ruditapes philippinarum","status":"accepted","family":"Veneridae","class":"Bivalvia","phylum":"Mollusca"}</x:v>
      </x:c>
      <x:c r="C458" s="25" t="str">
        <x:v>https://www.marinespecies.org/aphia.php?p=taxdetails&amp;id=231750</x:v>
      </x:c>
      <x:c r="D458" s="1"/>
      <x:c r="E458" s="1"/>
      <x:c r="F458" s="1"/>
      <x:c r="G458" s="1"/>
      <x:c r="H458" s="1"/>
      <x:c r="I458" s="1"/>
      <x:c r="J458" s="1"/>
      <x:c r="K458" s="1"/>
    </x:row>
    <x:row r="459" ht="66" customHeight="1">
      <x:c r="A459" s="16" t="str">
        <x:v>FishBase: Aluterus scriptus</x:v>
      </x:c>
      <x:c r="B459" s="16" t="str">
        <x:v>Taxa: Aluterus. Classification; Environment; Size; Biology. 110 cm TL, reef-associated large filefish.</x:v>
      </x:c>
      <x:c r="C459" s="25" t="str">
        <x:v>https://www.fishbase.se/summary/4275</x:v>
      </x:c>
      <x:c r="D459" s="1"/>
      <x:c r="E459" s="1"/>
      <x:c r="F459" s="1"/>
      <x:c r="G459" s="1"/>
      <x:c r="H459" s="1"/>
      <x:c r="I459" s="1"/>
      <x:c r="J459" s="1"/>
      <x:c r="K459" s="1"/>
    </x:row>
    <x:row r="460" ht="66" customHeight="1">
      <x:c r="A460" s="16" t="str">
        <x:v>WoRMS: Ranina ranina</x:v>
      </x:c>
      <x:c r="B460" s="16" t="str">
        <x:v>Taxa: Ranina ranina. {"scientificname":"Ranina ranina","valid_name":"Ranina ranina","status":"accepted","family":"Raninidae","class":"Malacostraca","phylum":"Arthropoda"}</x:v>
      </x:c>
      <x:c r="C460" s="25" t="str">
        <x:v>https://www.marinespecies.org/aphia.php?p=taxdetails&amp;id=209574</x:v>
      </x:c>
      <x:c r="D460" s="1"/>
      <x:c r="E460" s="1"/>
      <x:c r="F460" s="1"/>
      <x:c r="G460" s="1"/>
      <x:c r="H460" s="1"/>
      <x:c r="I460" s="1"/>
      <x:c r="J460" s="1"/>
      <x:c r="K460" s="1"/>
    </x:row>
    <x:row r="461" ht="66" customHeight="1">
      <x:c r="A461" s="16" t="str">
        <x:v>FAO Cultured Aquatic Species Information Programme: Chanos chanos</x:v>
      </x:c>
      <x:c r="B461" s="16" t="str">
        <x:v>Taxa: Chanos chanos. Habitat and biology. Maximum 180 cm SL; uses coastal nurseries and marine waters with ontogenetic shifts, far above 30 cm and not a defined small-benthopelagic species.</x:v>
      </x:c>
      <x:c r="C461" s="25" t="str">
        <x:v>https://www.fao.org/fishery/docs/DOCUMENT/aquaculture/CulturedSpecies/file/en/en_milkfish.htm</x:v>
      </x:c>
      <x:c r="D461" s="1"/>
      <x:c r="E461" s="1"/>
      <x:c r="F461" s="1"/>
      <x:c r="G461" s="1"/>
      <x:c r="H461" s="1"/>
      <x:c r="I461" s="1"/>
      <x:c r="J461" s="1"/>
      <x:c r="K461" s="1"/>
    </x:row>
    <x:row r="462" ht="66" customHeight="1">
      <x:c r="A462" s="16" t="str">
        <x:v>FishBase: Gymnothorax melatremus</x:v>
      </x:c>
      <x:c r="B462" s="16" t="str">
        <x:v>Taxa: Anguilliformes; Muraenidae. Classification; Environment; Size; Biology. Muraenidae; maximum 30 cm TL; benthic reef crevices; Taiwan review is its main reference.</x:v>
      </x:c>
      <x:c r="C462" s="25" t="str">
        <x:v>https://www.fishbase.se/summary/Gymnothorax-melatremus.html</x:v>
      </x:c>
      <x:c r="D462" s="1"/>
      <x:c r="E462" s="1"/>
      <x:c r="F462" s="1"/>
      <x:c r="G462" s="1"/>
      <x:c r="H462" s="1"/>
      <x:c r="I462" s="1"/>
      <x:c r="J462" s="1"/>
      <x:c r="K462" s="1"/>
    </x:row>
    <x:row r="463" ht="66" customHeight="1">
      <x:c r="A463" s="16" t="str">
        <x:v>FishBase: Ariosoma megalops</x:v>
      </x:c>
      <x:c r="B463" s="16" t="str">
        <x:v>Taxa: Anguilliformes; Congridae. Classification; Environment; Size; Biology. Congridae; maximum 20.8 cm TL, demersal Western Central Pacific.</x:v>
      </x:c>
      <x:c r="C463" s="25" t="str">
        <x:v>https://www.fishbase.se/summary/Ariosoma-megalops.html</x:v>
      </x:c>
      <x:c r="D463" s="1"/>
      <x:c r="E463" s="1"/>
      <x:c r="F463" s="1"/>
      <x:c r="G463" s="1"/>
      <x:c r="H463" s="1"/>
      <x:c r="I463" s="1"/>
      <x:c r="J463" s="1"/>
      <x:c r="K463" s="1"/>
    </x:row>
    <x:row r="464" ht="66" customHeight="1">
      <x:c r="A464" s="16" t="str">
        <x:v>WoRMS: Isurus oxyrinchus</x:v>
      </x:c>
      <x:c r="B464" s="16" t="str">
        <x:v>Taxa: Isurus oxyrinchus. {"scientificname":"Isurus oxyrinchus","valid_name":"Isurus oxyrinchus","status":"accepted","family":"Lamnidae","class":"Elasmobranchii","phylum":"Chordata"}</x:v>
      </x:c>
      <x:c r="C464" s="25" t="str">
        <x:v>https://www.marinespecies.org/aphia.php?p=taxdetails&amp;id=105839</x:v>
      </x:c>
      <x:c r="D464" s="1"/>
      <x:c r="E464" s="1"/>
      <x:c r="F464" s="1"/>
      <x:c r="G464" s="1"/>
      <x:c r="H464" s="1"/>
      <x:c r="I464" s="1"/>
      <x:c r="J464" s="1"/>
      <x:c r="K464" s="1"/>
    </x:row>
    <x:row r="465" ht="66" customHeight="1">
      <x:c r="A465" s="16" t="str">
        <x:v>FishBase: Isurus oxyrinchus</x:v>
      </x:c>
      <x:c r="B465" s="16" t="str">
        <x:v>Taxa: Isurus oxyrinchus. Habitat: Marine;  pelagic-oceanic; oceanodromous; first maximum: 445 cm TL. Additional biology checked where material.</x:v>
      </x:c>
      <x:c r="C465" s="25" t="str">
        <x:v>https://www.fishbase.se/summary/Isurus-oxyrinchus.html</x:v>
      </x:c>
      <x:c r="D465" s="1"/>
      <x:c r="E465" s="1"/>
      <x:c r="F465" s="1"/>
      <x:c r="G465" s="1"/>
      <x:c r="H465" s="1"/>
      <x:c r="I465" s="1"/>
      <x:c r="J465" s="1"/>
      <x:c r="K465" s="1"/>
    </x:row>
    <x:row r="466" ht="66" customHeight="1">
      <x:c r="A466" s="16" t="str">
        <x:v>Nakamura (1985), FAO Billfishes of the world</x:v>
      </x:c>
      <x:c r="B466" s="16" t="str">
        <x:v>Taxa: Kajikia audax. Tetrapturus audax, pp. 40–42. Striped marlin is a large epipelagic fish occupying waters above the thermocline.</x:v>
      </x:c>
      <x:c r="C466" s="25" t="str">
        <x:v>https://www.fao.org/docrep/pdf/009/ac480e/ac480e08.pdf</x:v>
      </x:c>
      <x:c r="D466" s="1"/>
      <x:c r="E466" s="1"/>
      <x:c r="F466" s="1"/>
      <x:c r="G466" s="1"/>
      <x:c r="H466" s="1"/>
      <x:c r="I466" s="1"/>
      <x:c r="J466" s="1"/>
      <x:c r="K466" s="1"/>
    </x:row>
    <x:row r="467" ht="66" customHeight="1">
      <x:c r="A467" s="16" t="str">
        <x:v>WoRMS: Haliotidae</x:v>
      </x:c>
      <x:c r="B467" s="16" t="str">
        <x:v>Taxa: Haliotidae. {"scientificname":"Haliotidae","valid_name":"Haliotidae","status":"accepted","family":"Haliotidae","class":"Gastropoda","phylum":"Mollusca"}</x:v>
      </x:c>
      <x:c r="C467" s="25" t="str">
        <x:v>https://www.marinespecies.org/aphia.php?p=taxdetails&amp;id=1727</x:v>
      </x:c>
      <x:c r="D467" s="1"/>
      <x:c r="E467" s="1"/>
      <x:c r="F467" s="1"/>
      <x:c r="G467" s="1"/>
      <x:c r="H467" s="1"/>
      <x:c r="I467" s="1"/>
      <x:c r="J467" s="1"/>
      <x:c r="K467" s="1"/>
    </x:row>
    <x:row r="468" ht="66" customHeight="1">
      <x:c r="A468" s="16" t="str">
        <x:v>WoRMS: Magallana gigas</x:v>
      </x:c>
      <x:c r="B468" s="16" t="str">
        <x:v>Taxa: Magallana gigas. {"scientificname":"Magallana gigas","valid_name":"Magallana gigas","status":"accepted","family":"Ostreidae","class":"Bivalvia","phylum":"Mollusca"}</x:v>
      </x:c>
      <x:c r="C468" s="25" t="str">
        <x:v>https://www.marinespecies.org/aphia.php?p=taxdetails&amp;id=836033</x:v>
      </x:c>
      <x:c r="D468" s="1"/>
      <x:c r="E468" s="1"/>
      <x:c r="F468" s="1"/>
      <x:c r="G468" s="1"/>
      <x:c r="H468" s="1"/>
      <x:c r="I468" s="1"/>
      <x:c r="J468" s="1"/>
      <x:c r="K468" s="1"/>
    </x:row>
    <x:row r="469" ht="66" customHeight="1">
      <x:c r="A469" s="16" t="str">
        <x:v>WoRMS: Acanthocybium solandri</x:v>
      </x:c>
      <x:c r="B469" s="16" t="str">
        <x:v>Taxa: Acanthocybium solandri. {"scientificname":"Acanthocybium solandri","valid_name":"Acanthocybium solandri","status":"accepted","family":"Scombridae","class":"Teleostei","phylum":"Chordata"}</x:v>
      </x:c>
      <x:c r="C469" s="25" t="str">
        <x:v>https://www.marinespecies.org/aphia.php?p=taxdetails&amp;id=127014</x:v>
      </x:c>
      <x:c r="D469" s="1"/>
      <x:c r="E469" s="1"/>
      <x:c r="F469" s="1"/>
      <x:c r="G469" s="1"/>
      <x:c r="H469" s="1"/>
      <x:c r="I469" s="1"/>
      <x:c r="J469" s="1"/>
      <x:c r="K469" s="1"/>
    </x:row>
    <x:row r="470" ht="66" customHeight="1">
      <x:c r="A470" s="16" t="str">
        <x:v>FishBase: Acanthocybium solandri</x:v>
      </x:c>
      <x:c r="B470" s="16" t="str">
        <x:v>Taxa: Acanthocybium solandri. Habitat: Marine;  pelagic-oceanic; oceanodromous; first maximum: 250 cm TL. Additional biology checked where material.</x:v>
      </x:c>
      <x:c r="C470" s="25" t="str">
        <x:v>https://www.fishbase.se/summary/Acanthocybium-solandri.html</x:v>
      </x:c>
      <x:c r="D470" s="1"/>
      <x:c r="E470" s="1"/>
      <x:c r="F470" s="1"/>
      <x:c r="G470" s="1"/>
      <x:c r="H470" s="1"/>
      <x:c r="I470" s="1"/>
      <x:c r="J470" s="1"/>
      <x:c r="K470" s="1"/>
    </x:row>
    <x:row r="471" ht="66" customHeight="1">
      <x:c r="A471" s="16" t="str">
        <x:v>WoRMS: Gymnosarda unicolor</x:v>
      </x:c>
      <x:c r="B471" s="16" t="str">
        <x:v>Taxa: Gymnosarda unicolor. {"scientificname":"Gymnosarda unicolor","valid_name":"Gymnosarda unicolor","status":"accepted","family":"Scombridae","class":"Teleostei","phylum":"Chordata"}</x:v>
      </x:c>
      <x:c r="C471" s="25" t="str">
        <x:v>https://www.marinespecies.org/aphia.php?p=taxdetails&amp;id=219712</x:v>
      </x:c>
      <x:c r="D471" s="1"/>
      <x:c r="E471" s="1"/>
      <x:c r="F471" s="1"/>
      <x:c r="G471" s="1"/>
      <x:c r="H471" s="1"/>
      <x:c r="I471" s="1"/>
      <x:c r="J471" s="1"/>
      <x:c r="K471" s="1"/>
    </x:row>
    <x:row r="472" ht="66" customHeight="1">
      <x:c r="A472" s="16" t="str">
        <x:v>FishBase: Gymnosarda unicolor</x:v>
      </x:c>
      <x:c r="B472" s="16" t="str">
        <x:v>Taxa: Gymnosarda unicolor. Habitat: Marine;  reef-associated; oceanodromous; first maximum: 248 cm FL. Additional biology checked where material.</x:v>
      </x:c>
      <x:c r="C472" s="25" t="str">
        <x:v>https://www.fishbase.se/summary/Gymnosarda-unicolor.html</x:v>
      </x:c>
      <x:c r="D472" s="1"/>
      <x:c r="E472" s="1"/>
      <x:c r="F472" s="1"/>
      <x:c r="G472" s="1"/>
      <x:c r="H472" s="1"/>
      <x:c r="I472" s="1"/>
      <x:c r="J472" s="1"/>
      <x:c r="K472" s="1"/>
    </x:row>
    <x:row r="473" ht="66" customHeight="1">
      <x:c r="A473" s="16" t="str">
        <x:v>WoRMS: Veneridae</x:v>
      </x:c>
      <x:c r="B473" s="16" t="str">
        <x:v>Taxa: Veneridae. {"scientificname":"Veneridae","valid_name":"Veneridae","status":"accepted","family":"Veneridae","class":"Bivalvia","phylum":"Mollusca"}</x:v>
      </x:c>
      <x:c r="C473" s="25" t="str">
        <x:v>https://www.marinespecies.org/aphia.php?p=taxdetails&amp;id=243</x:v>
      </x:c>
      <x:c r="D473" s="1"/>
      <x:c r="E473" s="1"/>
      <x:c r="F473" s="1"/>
      <x:c r="G473" s="1"/>
      <x:c r="H473" s="1"/>
      <x:c r="I473" s="1"/>
      <x:c r="J473" s="1"/>
      <x:c r="K473" s="1"/>
    </x:row>
    <x:row r="474" ht="66" customHeight="1">
      <x:c r="A474" s="16" t="str">
        <x:v>WoRMS: Thunnus alalunga</x:v>
      </x:c>
      <x:c r="B474" s="16" t="str">
        <x:v>Taxa: Thunnus alalunga. {"scientificname":"Thunnus alalunga","valid_name":"Thunnus alalunga","status":"accepted","family":"Scombridae","class":"Teleostei","phylum":"Chordata"}</x:v>
      </x:c>
      <x:c r="C474" s="25" t="str">
        <x:v>https://www.marinespecies.org/aphia.php?p=taxdetails&amp;id=127026</x:v>
      </x:c>
      <x:c r="D474" s="1"/>
      <x:c r="E474" s="1"/>
      <x:c r="F474" s="1"/>
      <x:c r="G474" s="1"/>
      <x:c r="H474" s="1"/>
      <x:c r="I474" s="1"/>
      <x:c r="J474" s="1"/>
      <x:c r="K474" s="1"/>
    </x:row>
    <x:row r="475" ht="66" customHeight="1">
      <x:c r="A475" s="16" t="str">
        <x:v>FishBase: Thunnus alalunga</x:v>
      </x:c>
      <x:c r="B475" s="16" t="str">
        <x:v>Taxa: Thunnus alalunga. Habitat: Marine;  pelagic-oceanic; oceanodromous; first maximum: 140 cm FL. Additional biology checked where material.</x:v>
      </x:c>
      <x:c r="C475" s="25" t="str">
        <x:v>https://www.fishbase.se/summary/Thunnus-alalunga.html</x:v>
      </x:c>
      <x:c r="D475" s="1"/>
      <x:c r="E475" s="1"/>
      <x:c r="F475" s="1"/>
      <x:c r="G475" s="1"/>
      <x:c r="H475" s="1"/>
      <x:c r="I475" s="1"/>
      <x:c r="J475" s="1"/>
      <x:c r="K475" s="1"/>
    </x:row>
    <x:row r="476" ht="66" customHeight="1">
      <x:c r="A476" s="16" t="str">
        <x:v>WoRMS: Penaeus semisulcatus</x:v>
      </x:c>
      <x:c r="B476" s="16" t="str">
        <x:v>Taxa: Penaeus semisulcatus. {"scientificname":"Penaeus semisulcatus","valid_name":"Penaeus (Eopenaeus) semisulcatus","status":"superseded combination","family":"Penaeidae","class":"Malacostraca","phylum":"Arthropoda"}</x:v>
      </x:c>
      <x:c r="C476" s="25" t="str">
        <x:v>https://www.marinespecies.org/aphia.php?p=taxdetails&amp;id=107112</x:v>
      </x:c>
      <x:c r="D476" s="1"/>
      <x:c r="E476" s="1"/>
      <x:c r="F476" s="1"/>
      <x:c r="G476" s="1"/>
      <x:c r="H476" s="1"/>
      <x:c r="I476" s="1"/>
      <x:c r="J476" s="1"/>
      <x:c r="K476" s="1"/>
    </x:row>
    <x:row r="477" ht="66" customHeight="1">
      <x:c r="A477" s="16" t="str">
        <x:v>WoRMS: Mierspenaeopsis hardwickii</x:v>
      </x:c>
      <x:c r="B477" s="16" t="str">
        <x:v>Taxa: Mierspenaeopsis hardwickii. {"scientificname":"Mierspenaeopsis hardwickii","valid_name":"Mierspenaeopsis hardwickii","status":"accepted","family":"Penaeidae","class":"Malacostraca","phylum":"Arthropoda"}</x:v>
      </x:c>
      <x:c r="C477" s="25" t="str">
        <x:v>https://www.marinespecies.org/aphia.php?p=taxdetails&amp;id=585389</x:v>
      </x:c>
      <x:c r="D477" s="1"/>
      <x:c r="E477" s="1"/>
      <x:c r="F477" s="1"/>
      <x:c r="G477" s="1"/>
      <x:c r="H477" s="1"/>
      <x:c r="I477" s="1"/>
      <x:c r="J477" s="1"/>
      <x:c r="K477" s="1"/>
    </x:row>
    <x:row r="478" ht="66" customHeight="1">
      <x:c r="A478" s="16" t="str">
        <x:v>WoRMS: Thenus orientalis</x:v>
      </x:c>
      <x:c r="B478" s="16" t="str">
        <x:v>Taxa: Thenus orientalis. {"scientificname":"Thenus orientalis","valid_name":"Thenus orientalis","status":"accepted","family":"Scyllaridae","class":"Malacostraca","phylum":"Arthropoda"}</x:v>
      </x:c>
      <x:c r="C478" s="25" t="str">
        <x:v>https://www.marinespecies.org/aphia.php?p=taxdetails&amp;id=210362</x:v>
      </x:c>
      <x:c r="D478" s="1"/>
      <x:c r="E478" s="1"/>
      <x:c r="F478" s="1"/>
      <x:c r="G478" s="1"/>
      <x:c r="H478" s="1"/>
      <x:c r="I478" s="1"/>
      <x:c r="J478" s="1"/>
      <x:c r="K478" s="1"/>
    </x:row>
    <x:row r="479" ht="66" customHeight="1">
      <x:c r="A479" s="16" t="str">
        <x:v>WoRMS: Hippocampus</x:v>
      </x:c>
      <x:c r="B479" s="16" t="str">
        <x:v>Taxa: Hippocampus. {"scientificname":"Hippocampus","valid_name":"Hippocampus","status":"accepted","family":"Syngnathidae","class":"Teleostei","phylum":"Chordata"}</x:v>
      </x:c>
      <x:c r="C479" s="25" t="str">
        <x:v>https://www.marinespecies.org/aphia.php?p=taxdetails&amp;id=126224</x:v>
      </x:c>
      <x:c r="D479" s="1"/>
      <x:c r="E479" s="1"/>
      <x:c r="F479" s="1"/>
      <x:c r="G479" s="1"/>
      <x:c r="H479" s="1"/>
      <x:c r="I479" s="1"/>
      <x:c r="J479" s="1"/>
      <x:c r="K479" s="1"/>
    </x:row>
    <x:row r="480" ht="66" customHeight="1">
      <x:c r="A480" s="16" t="str">
        <x:v>FishBase Hippocampus inventory</x:v>
      </x:c>
      <x:c r="B480" s="16" t="str">
        <x:v>Taxa: Hippocampus. Genus composition and reported length metrics reviewed.</x:v>
      </x:c>
      <x:c r="C480" s="25" t="str">
        <x:v>https://www.fishbase.se/identification/SpeciesList.php?genus=Hippocampus</x:v>
      </x:c>
      <x:c r="D480" s="1"/>
      <x:c r="E480" s="1"/>
      <x:c r="F480" s="1"/>
      <x:c r="G480" s="1"/>
      <x:c r="H480" s="1"/>
      <x:c r="I480" s="1"/>
      <x:c r="J480" s="1"/>
      <x:c r="K480" s="1"/>
    </x:row>
    <x:row r="481" ht="66" customHeight="1">
      <x:c r="A481" s="16" t="str">
        <x:v>WoRMS: Meretrix lusoria</x:v>
      </x:c>
      <x:c r="B481" s="16" t="str">
        <x:v>Taxa: Meretrix lusoria. {"scientificname":"Meretrix lusoria","valid_name":"Meretrix lusoria","status":"accepted","family":"Veneridae","class":"Bivalvia","phylum":"Mollusca"}</x:v>
      </x:c>
      <x:c r="C481" s="25" t="str">
        <x:v>https://www.marinespecies.org/aphia.php?p=taxdetails&amp;id=397139</x:v>
      </x:c>
      <x:c r="D481" s="1"/>
      <x:c r="E481" s="1"/>
      <x:c r="F481" s="1"/>
      <x:c r="G481" s="1"/>
      <x:c r="H481" s="1"/>
      <x:c r="I481" s="1"/>
      <x:c r="J481" s="1"/>
      <x:c r="K481" s="1"/>
    </x:row>
    <x:row r="482" ht="66" customHeight="1">
      <x:c r="A482" s="16" t="str">
        <x:v>WoRMS: Thunnus orientalis</x:v>
      </x:c>
      <x:c r="B482" s="16" t="str">
        <x:v>Taxa: Thunnus orientalis. {"scientificname":"Thunnus orientalis","valid_name":"Thunnus orientalis","status":"accepted","family":"Scombridae","class":"Teleostei","phylum":"Chordata"}</x:v>
      </x:c>
      <x:c r="C482" s="25" t="str">
        <x:v>https://www.marinespecies.org/aphia.php?p=taxdetails&amp;id=273823</x:v>
      </x:c>
      <x:c r="D482" s="1"/>
      <x:c r="E482" s="1"/>
      <x:c r="F482" s="1"/>
      <x:c r="G482" s="1"/>
      <x:c r="H482" s="1"/>
      <x:c r="I482" s="1"/>
      <x:c r="J482" s="1"/>
      <x:c r="K482" s="1"/>
    </x:row>
    <x:row r="483" ht="66" customHeight="1">
      <x:c r="A483" s="16" t="str">
        <x:v>FishBase: Thunnus orientalis</x:v>
      </x:c>
      <x:c r="B483" s="16" t="str">
        <x:v>Taxa: Thunnus orientalis. Habitat: Marine; brackish;  pelagic-oceanic; oceanodromous; first maximum: 300 cm FL. Additional biology checked where material.</x:v>
      </x:c>
      <x:c r="C483" s="25" t="str">
        <x:v>https://www.fishbase.se/summary/Thunnus-orientalis.html</x:v>
      </x:c>
      <x:c r="D483" s="1"/>
      <x:c r="E483" s="1"/>
      <x:c r="F483" s="1"/>
      <x:c r="G483" s="1"/>
      <x:c r="H483" s="1"/>
      <x:c r="I483" s="1"/>
      <x:c r="J483" s="1"/>
      <x:c r="K483" s="1"/>
    </x:row>
    <x:row r="484" ht="66" customHeight="1">
      <x:c r="A484" s="16" t="str">
        <x:v>WoRMS: Pomatomus saltatrix</x:v>
      </x:c>
      <x:c r="B484" s="16" t="str">
        <x:v>Taxa: Pomatomus saltatrix. {"scientificname":"Pomatomus saltatrix","valid_name":"Pomatomus saltatrix","status":"accepted","family":"Pomatomidae","class":"Teleostei","phylum":"Chordata"}</x:v>
      </x:c>
      <x:c r="C484" s="25" t="str">
        <x:v>https://www.marinespecies.org/aphia.php?p=taxdetails&amp;id=151482</x:v>
      </x:c>
      <x:c r="D484" s="1"/>
      <x:c r="E484" s="1"/>
      <x:c r="F484" s="1"/>
      <x:c r="G484" s="1"/>
      <x:c r="H484" s="1"/>
      <x:c r="I484" s="1"/>
      <x:c r="J484" s="1"/>
      <x:c r="K484" s="1"/>
    </x:row>
    <x:row r="485" ht="66" customHeight="1">
      <x:c r="A485" s="16" t="str">
        <x:v>FishBase: Pomatomus saltatrix</x:v>
      </x:c>
      <x:c r="B485" s="16" t="str">
        <x:v>Taxa: Pomatomus saltatrix. Habitat: Marine; brackish;  pelagic-oceanic; oceanodromous; first maximum: 130 cm TL. Additional biology checked where material.</x:v>
      </x:c>
      <x:c r="C485" s="25" t="str">
        <x:v>https://www.fishbase.se/summary/Pomatomus-saltatrix.html</x:v>
      </x:c>
      <x:c r="D485" s="1"/>
      <x:c r="E485" s="1"/>
      <x:c r="F485" s="1"/>
      <x:c r="G485" s="1"/>
      <x:c r="H485" s="1"/>
      <x:c r="I485" s="1"/>
      <x:c r="J485" s="1"/>
      <x:c r="K485" s="1"/>
    </x:row>
    <x:row r="486" ht="66" customHeight="1">
      <x:c r="A486" s="16" t="str">
        <x:v>WoRMS: Spongia</x:v>
      </x:c>
      <x:c r="B486" s="16" t="str">
        <x:v>Taxa: Spongia. {"scientificname":"Spongia","valid_name":"Spongia","status":"accepted","family":"Spongiidae","class":"Demospongiae","phylum":"Porifera"}</x:v>
      </x:c>
      <x:c r="C486" s="25" t="str">
        <x:v>https://www.marinespecies.org/aphia.php?p=taxdetails&amp;id=131759</x:v>
      </x:c>
      <x:c r="D486" s="1"/>
      <x:c r="E486" s="1"/>
      <x:c r="F486" s="1"/>
      <x:c r="G486" s="1"/>
      <x:c r="H486" s="1"/>
      <x:c r="I486" s="1"/>
      <x:c r="J486" s="1"/>
      <x:c r="K486" s="1"/>
    </x:row>
    <x:row r="487" ht="66" customHeight="1">
      <x:c r="A487" s="16" t="str">
        <x:v>WoRMS: Mizuhopecten yessoensis</x:v>
      </x:c>
      <x:c r="B487" s="16" t="str">
        <x:v>Taxa: Mizuhopecten yessoensis. {"scientificname":"Mizuhopecten yessoensis","valid_name":"Mizuhopecten yessoensis","status":"accepted","family":"Pectinidae","class":"Bivalvia","phylum":"Mollusca"}</x:v>
      </x:c>
      <x:c r="C487" s="25" t="str">
        <x:v>https://www.marinespecies.org/aphia.php?p=taxdetails&amp;id=393716</x:v>
      </x:c>
      <x:c r="D487" s="1"/>
      <x:c r="E487" s="1"/>
      <x:c r="F487" s="1"/>
      <x:c r="G487" s="1"/>
      <x:c r="H487" s="1"/>
      <x:c r="I487" s="1"/>
      <x:c r="J487" s="1"/>
      <x:c r="K487" s="1"/>
    </x:row>
    <x:row r="488" ht="66" customHeight="1">
      <x:c r="A488" s="16" t="str">
        <x:v>WoRMS: Carcharhinus falciformis</x:v>
      </x:c>
      <x:c r="B488" s="16" t="str">
        <x:v>Taxa: Carcharhinus falciformis. {"scientificname":"Carcharhinus falciformis","valid_name":"Carcharhinus falciformis","status":"accepted","family":"Carcharhinidae","class":"Elasmobranchii","phylum":"Chordata"}</x:v>
      </x:c>
      <x:c r="C488" s="25" t="str">
        <x:v>https://www.marinespecies.org/aphia.php?p=taxdetails&amp;id=105789</x:v>
      </x:c>
      <x:c r="D488" s="1"/>
      <x:c r="E488" s="1"/>
      <x:c r="F488" s="1"/>
      <x:c r="G488" s="1"/>
      <x:c r="H488" s="1"/>
      <x:c r="I488" s="1"/>
      <x:c r="J488" s="1"/>
      <x:c r="K488" s="1"/>
    </x:row>
    <x:row r="489" ht="66" customHeight="1">
      <x:c r="A489" s="16" t="str">
        <x:v>FishBase: Carcharhinus falciformis</x:v>
      </x:c>
      <x:c r="B489" s="16" t="str">
        <x:v>Taxa: Carcharhinus falciformis. Habitat: Marine;  reef-associated; oceanodromous; first maximum: 350 cm TL. Additional biology checked where material.</x:v>
      </x:c>
      <x:c r="C489" s="25" t="str">
        <x:v>https://www.fishbase.se/summary/Carcharhinus-falciformis.html</x:v>
      </x:c>
      <x:c r="D489" s="1"/>
      <x:c r="E489" s="1"/>
      <x:c r="F489" s="1"/>
      <x:c r="G489" s="1"/>
      <x:c r="H489" s="1"/>
      <x:c r="I489" s="1"/>
      <x:c r="J489" s="1"/>
      <x:c r="K489" s="1"/>
    </x:row>
    <x:row r="490" ht="66" customHeight="1">
      <x:c r="A490" s="16" t="str">
        <x:v>WoRMS: Echinodermata</x:v>
      </x:c>
      <x:c r="B490" s="16" t="str">
        <x:v>Taxa: Echinodermata. {"scientificname":"Echinodermata","valid_name":"Echinodermata","status":"accepted","family":null,"class":null,"phylum":"Echinodermata"}</x:v>
      </x:c>
      <x:c r="C490" s="25" t="str">
        <x:v>https://www.marinespecies.org/aphia.php?p=taxdetails&amp;id=1806</x:v>
      </x:c>
      <x:c r="D490" s="1"/>
      <x:c r="E490" s="1"/>
      <x:c r="F490" s="1"/>
      <x:c r="G490" s="1"/>
      <x:c r="H490" s="1"/>
      <x:c r="I490" s="1"/>
      <x:c r="J490" s="1"/>
      <x:c r="K490" s="1"/>
    </x:row>
    <x:row r="491" ht="66" customHeight="1">
      <x:c r="A491" s="16" t="str">
        <x:v>WoRMS: Sphyraena jello</x:v>
      </x:c>
      <x:c r="B491" s="16" t="str">
        <x:v>Taxa: Sphyraena jello. {"scientificname":"Sphyraena jello","valid_name":"Sphyraena jello","status":"accepted","family":"Sphyraenidae","class":"Teleostei","phylum":"Chordata"}</x:v>
      </x:c>
      <x:c r="C491" s="25" t="str">
        <x:v>https://www.marinespecies.org/aphia.php?p=taxdetails&amp;id=212045</x:v>
      </x:c>
      <x:c r="D491" s="1"/>
      <x:c r="E491" s="1"/>
      <x:c r="F491" s="1"/>
      <x:c r="G491" s="1"/>
      <x:c r="H491" s="1"/>
      <x:c r="I491" s="1"/>
      <x:c r="J491" s="1"/>
      <x:c r="K491" s="1"/>
    </x:row>
    <x:row r="492" ht="66" customHeight="1">
      <x:c r="A492" s="16" t="str">
        <x:v>FishBase: Sphyraena jello</x:v>
      </x:c>
      <x:c r="B492" s="16" t="str">
        <x:v>Taxa: Sphyraena jello. Habitat: Marine; brackish;  reef-associated; oceanodromous; first maximum: 150 cm TL. Additional biology checked where material.</x:v>
      </x:c>
      <x:c r="C492" s="25" t="str">
        <x:v>https://www.fishbase.se/summary/Sphyraena-jello.html</x:v>
      </x:c>
      <x:c r="D492" s="1"/>
      <x:c r="E492" s="1"/>
      <x:c r="F492" s="1"/>
      <x:c r="G492" s="1"/>
      <x:c r="H492" s="1"/>
      <x:c r="I492" s="1"/>
      <x:c r="J492" s="1"/>
      <x:c r="K492" s="1"/>
    </x:row>
    <x:row r="493" ht="66" customHeight="1">
      <x:c r="A493" s="16" t="str">
        <x:v>WoRMS: Ibacus ciliatus</x:v>
      </x:c>
      <x:c r="B493" s="16" t="str">
        <x:v>Taxa: Ibacus ciliatus. {"scientificname":"Ibacus ciliatus","valid_name":"Ibacus ciliatus","status":"accepted","family":"Scyllaridae","class":"Malacostraca","phylum":"Arthropoda"}</x:v>
      </x:c>
      <x:c r="C493" s="25" t="str">
        <x:v>https://www.marinespecies.org/aphia.php?p=taxdetails&amp;id=382922</x:v>
      </x:c>
      <x:c r="D493" s="1"/>
      <x:c r="E493" s="1"/>
      <x:c r="F493" s="1"/>
      <x:c r="G493" s="1"/>
      <x:c r="H493" s="1"/>
      <x:c r="I493" s="1"/>
      <x:c r="J493" s="1"/>
      <x:c r="K493" s="1"/>
    </x:row>
    <x:row r="494" ht="66" customHeight="1">
      <x:c r="A494" s="16" t="str">
        <x:v>WoRMS: Ostreidae</x:v>
      </x:c>
      <x:c r="B494" s="16" t="str">
        <x:v>Taxa: Ostreidae. {"scientificname":"Ostreidae","valid_name":"Ostreidae","status":"accepted","family":"Ostreidae","class":"Bivalvia","phylum":"Mollusca"}</x:v>
      </x:c>
      <x:c r="C494" s="25" t="str">
        <x:v>https://www.marinespecies.org/aphia.php?p=taxdetails&amp;id=215</x:v>
      </x:c>
      <x:c r="D494" s="1"/>
      <x:c r="E494" s="1"/>
      <x:c r="F494" s="1"/>
      <x:c r="G494" s="1"/>
      <x:c r="H494" s="1"/>
      <x:c r="I494" s="1"/>
      <x:c r="J494" s="1"/>
      <x:c r="K494" s="1"/>
    </x:row>
    <x:row r="495" ht="66" customHeight="1">
      <x:c r="A495" s="16" t="str">
        <x:v>WoRMS: Sphyrna</x:v>
      </x:c>
      <x:c r="B495" s="16" t="str">
        <x:v>Taxa: Sphyrna. {"scientificname":"Sphyrna","valid_name":"Sphyrna","status":"accepted","family":"Sphyrnidae","class":"Elasmobranchii","phylum":"Chordata"}</x:v>
      </x:c>
      <x:c r="C495" s="25" t="str">
        <x:v>https://www.marinespecies.org/aphia.php?p=taxdetails&amp;id=105730</x:v>
      </x:c>
      <x:c r="D495" s="1"/>
      <x:c r="E495" s="1"/>
      <x:c r="F495" s="1"/>
      <x:c r="G495" s="1"/>
      <x:c r="H495" s="1"/>
      <x:c r="I495" s="1"/>
      <x:c r="J495" s="1"/>
      <x:c r="K495" s="1"/>
    </x:row>
    <x:row r="496" ht="66" customHeight="1">
      <x:c r="A496" s="16" t="str">
        <x:v>FishBase: Sphyrna mokarran</x:v>
      </x:c>
      <x:c r="B496" s="16" t="str">
        <x:v>Taxa: Sphyrna. Species-level boundary evidence described in the rationale.</x:v>
      </x:c>
      <x:c r="C496" s="25" t="str">
        <x:v>https://www.fishbase.se/summary/Sphyrna-mokarran.html</x:v>
      </x:c>
      <x:c r="D496" s="1"/>
      <x:c r="E496" s="1"/>
      <x:c r="F496" s="1"/>
      <x:c r="G496" s="1"/>
      <x:c r="H496" s="1"/>
      <x:c r="I496" s="1"/>
      <x:c r="J496" s="1"/>
      <x:c r="K496" s="1"/>
    </x:row>
    <x:row r="497" ht="66" customHeight="1">
      <x:c r="A497" s="16" t="str">
        <x:v>FishBase: Sphyrna zygaena</x:v>
      </x:c>
      <x:c r="B497" s="16" t="str">
        <x:v>Taxa: Sphyrna. Species-level boundary evidence described in the rationale.</x:v>
      </x:c>
      <x:c r="C497" s="25" t="str">
        <x:v>https://www.fishbase.se/summary/Sphyrna-zygaena.html</x:v>
      </x:c>
      <x:c r="D497" s="1"/>
      <x:c r="E497" s="1"/>
      <x:c r="F497" s="1"/>
      <x:c r="G497" s="1"/>
      <x:c r="H497" s="1"/>
      <x:c r="I497" s="1"/>
      <x:c r="J497" s="1"/>
      <x:c r="K497" s="1"/>
    </x:row>
    <x:row r="498" ht="66" customHeight="1">
      <x:c r="A498" s="16" t="str">
        <x:v>WoRMS: Placuna placenta</x:v>
      </x:c>
      <x:c r="B498" s="16" t="str">
        <x:v>Taxa: Placuna placenta. {"scientificname":"Placuna placenta","valid_name":"Placuna placenta","status":"accepted","family":"Placunidae","class":"Bivalvia","phylum":"Mollusca"}</x:v>
      </x:c>
      <x:c r="C498" s="25" t="str">
        <x:v>https://www.marinespecies.org/aphia.php?p=taxdetails&amp;id=367820</x:v>
      </x:c>
      <x:c r="D498" s="1"/>
      <x:c r="E498" s="1"/>
      <x:c r="F498" s="1"/>
      <x:c r="G498" s="1"/>
      <x:c r="H498" s="1"/>
      <x:c r="I498" s="1"/>
      <x:c r="J498" s="1"/>
      <x:c r="K498" s="1"/>
    </x:row>
    <x:row r="499" ht="66" customHeight="1">
      <x:c r="A499" s="16" t="str">
        <x:v>WoRMS: Amusium pleuronectes</x:v>
      </x:c>
      <x:c r="B499" s="16" t="str">
        <x:v>Taxa: Amusium pleuronectes. {"scientificname":"Amusium pleuronectes","valid_name":"Amusium pleuronectes","status":"accepted","family":"Pectinidae","class":"Bivalvia","phylum":"Mollusca"}</x:v>
      </x:c>
      <x:c r="C499" s="25" t="str">
        <x:v>https://www.marinespecies.org/aphia.php?p=taxdetails&amp;id=215388</x:v>
      </x:c>
      <x:c r="D499" s="1"/>
      <x:c r="E499" s="1"/>
      <x:c r="F499" s="1"/>
      <x:c r="G499" s="1"/>
      <x:c r="H499" s="1"/>
      <x:c r="I499" s="1"/>
      <x:c r="J499" s="1"/>
      <x:c r="K499" s="1"/>
    </x:row>
    <x:row r="500" ht="66" customHeight="1">
      <x:c r="A500" s="16" t="str">
        <x:v>WoRMS: Acetes sibogae</x:v>
      </x:c>
      <x:c r="B500" s="16" t="str">
        <x:v>Taxa: Acetes sibogae. {"scientificname":"Acetes sibogae","valid_name":"Acetes sibogae","status":"accepted","family":"Sergestidae","class":"Malacostraca","phylum":"Arthropoda"}</x:v>
      </x:c>
      <x:c r="C500" s="25" t="str">
        <x:v>https://www.marinespecies.org/aphia.php?p=taxdetails&amp;id=210650</x:v>
      </x:c>
      <x:c r="D500" s="1"/>
      <x:c r="E500" s="1"/>
      <x:c r="F500" s="1"/>
      <x:c r="G500" s="1"/>
      <x:c r="H500" s="1"/>
      <x:c r="I500" s="1"/>
      <x:c r="J500" s="1"/>
      <x:c r="K500" s="1"/>
    </x:row>
    <x:row r="501" ht="66" customHeight="1">
      <x:c r="A501" s="16" t="str">
        <x:v>WoRMS: Atule mate</x:v>
      </x:c>
      <x:c r="B501" s="16" t="str">
        <x:v>Taxa: Atule mate. {"scientificname":"Atule mate","valid_name":"Atule mate","status":"accepted","family":"Carangidae","class":"Teleostei","phylum":"Chordata"}</x:v>
      </x:c>
      <x:c r="C501" s="25" t="str">
        <x:v>https://www.marinespecies.org/aphia.php?p=taxdetails&amp;id=218384</x:v>
      </x:c>
      <x:c r="D501" s="1"/>
      <x:c r="E501" s="1"/>
      <x:c r="F501" s="1"/>
      <x:c r="G501" s="1"/>
      <x:c r="H501" s="1"/>
      <x:c r="I501" s="1"/>
      <x:c r="J501" s="1"/>
      <x:c r="K501" s="1"/>
    </x:row>
    <x:row r="502" ht="66" customHeight="1">
      <x:c r="A502" s="16" t="str">
        <x:v>FishBase: Atule mate</x:v>
      </x:c>
      <x:c r="B502" s="16" t="str">
        <x:v>Taxa: Atule mate. Habitat: Marine; brackish;  reef-associated;; first maximum: 30 cm TL. Additional biology checked where material.</x:v>
      </x:c>
      <x:c r="C502" s="25" t="str">
        <x:v>https://www.fishbase.se/summary/Atule-mate.html</x:v>
      </x:c>
      <x:c r="D502" s="1"/>
      <x:c r="E502" s="1"/>
      <x:c r="F502" s="1"/>
      <x:c r="G502" s="1"/>
      <x:c r="H502" s="1"/>
      <x:c r="I502" s="1"/>
      <x:c r="J502" s="1"/>
      <x:c r="K502" s="1"/>
    </x:row>
    <x:row r="503" ht="66" customHeight="1">
      <x:c r="A503" s="16" t="str">
        <x:v>WoRMS: Auxis rochei</x:v>
      </x:c>
      <x:c r="B503" s="16" t="str">
        <x:v>Taxa: Auxis rochei. {"scientificname":"Auxis rochei","valid_name":"Auxis rochei","status":"accepted","family":"Scombridae","class":"Teleostei","phylum":"Chordata"}</x:v>
      </x:c>
      <x:c r="C503" s="25" t="str">
        <x:v>https://www.marinespecies.org/aphia.php?p=taxdetails&amp;id=127015</x:v>
      </x:c>
      <x:c r="D503" s="1"/>
      <x:c r="E503" s="1"/>
      <x:c r="F503" s="1"/>
      <x:c r="G503" s="1"/>
      <x:c r="H503" s="1"/>
      <x:c r="I503" s="1"/>
      <x:c r="J503" s="1"/>
      <x:c r="K503" s="1"/>
    </x:row>
    <x:row r="504" ht="66" customHeight="1">
      <x:c r="A504" s="16" t="str">
        <x:v>FishBase: Auxis rochei</x:v>
      </x:c>
      <x:c r="B504" s="16" t="str">
        <x:v>Taxa: Auxis rochei. Habitat: Marine; brackish;  pelagic-neritic; oceanodromous; first maximum: 50 cm FL. Additional biology checked where material.</x:v>
      </x:c>
      <x:c r="C504" s="25" t="str">
        <x:v>https://www.fishbase.se/summary/Auxis-rochei.html</x:v>
      </x:c>
      <x:c r="D504" s="1"/>
      <x:c r="E504" s="1"/>
      <x:c r="F504" s="1"/>
      <x:c r="G504" s="1"/>
      <x:c r="H504" s="1"/>
      <x:c r="I504" s="1"/>
      <x:c r="J504" s="1"/>
      <x:c r="K504" s="1"/>
    </x:row>
    <x:row r="505" ht="66" customHeight="1">
      <x:c r="A505" s="16" t="str">
        <x:v>FAO, Worldwide review of bottom fisheries in the high seas</x:v>
      </x:c>
      <x:c r="B505" s="16" t="str">
        <x:v>Taxa: Bramidae. Section 3.3.1, Bramidae. Bramidae contains pelagic, benthopelagic and bathypelagic species.</x:v>
      </x:c>
      <x:c r="C505" s="25" t="str">
        <x:v>https://www.fao.org/4/a0653e/a0653e05.htm</x:v>
      </x:c>
      <x:c r="D505" s="1"/>
      <x:c r="E505" s="1"/>
      <x:c r="F505" s="1"/>
      <x:c r="G505" s="1"/>
      <x:c r="H505" s="1"/>
      <x:c r="I505" s="1"/>
      <x:c r="J505" s="1"/>
      <x:c r="K505" s="1"/>
    </x:row>
    <x:row r="506" ht="66" customHeight="1">
      <x:c r="A506" s="16" t="str">
        <x:v>WoRMS: Carcharhinus amblyrhynchos</x:v>
      </x:c>
      <x:c r="B506" s="16" t="str">
        <x:v>Taxa: Carcharhinus amblyrhynchos. {"scientificname":"Carcharhinus amblyrhynchos","valid_name":"Carcharhinus amblyrhynchos","status":"accepted","family":"Carcharhinidae","class":"Elasmobranchii","phylum":"Chordata"}</x:v>
      </x:c>
      <x:c r="C506" s="25" t="str">
        <x:v>https://www.marinespecies.org/aphia.php?p=taxdetails&amp;id=217337</x:v>
      </x:c>
      <x:c r="D506" s="1"/>
      <x:c r="E506" s="1"/>
      <x:c r="F506" s="1"/>
      <x:c r="G506" s="1"/>
      <x:c r="H506" s="1"/>
      <x:c r="I506" s="1"/>
      <x:c r="J506" s="1"/>
      <x:c r="K506" s="1"/>
    </x:row>
    <x:row r="507" ht="66" customHeight="1">
      <x:c r="A507" s="16" t="str">
        <x:v>FishBase: Carcharhinus amblyrhynchos</x:v>
      </x:c>
      <x:c r="B507" s="16" t="str">
        <x:v>Taxa: Carcharhinus amblyrhynchos. Habitat: Marine;  reef-associated; oceanodromous; first maximum: 255 cm TL. Additional biology checked where material.</x:v>
      </x:c>
      <x:c r="C507" s="25" t="str">
        <x:v>https://www.fishbase.se/summary/Carcharhinus-amblyrhynchos.html</x:v>
      </x:c>
      <x:c r="D507" s="1"/>
      <x:c r="E507" s="1"/>
      <x:c r="F507" s="1"/>
      <x:c r="G507" s="1"/>
      <x:c r="H507" s="1"/>
      <x:c r="I507" s="1"/>
      <x:c r="J507" s="1"/>
      <x:c r="K507" s="1"/>
    </x:row>
    <x:row r="508" ht="66" customHeight="1">
      <x:c r="A508" s="16" t="str">
        <x:v>WoRMS: Charybdis anisodon</x:v>
      </x:c>
      <x:c r="B508" s="16" t="str">
        <x:v>Taxa: Charybdis anisodon. {"scientificname":"Charybdis anisodon","valid_name":"Charybdis (Charybdis) anisodon","status":"superseded combination","family":"Portunidae","class":"Malacostraca","phylum":"Arthropoda"}</x:v>
      </x:c>
      <x:c r="C508" s="25" t="str">
        <x:v>https://www.marinespecies.org/aphia.php?p=taxdetails&amp;id=1671019</x:v>
      </x:c>
      <x:c r="D508" s="1"/>
      <x:c r="E508" s="1"/>
      <x:c r="F508" s="1"/>
      <x:c r="G508" s="1"/>
      <x:c r="H508" s="1"/>
      <x:c r="I508" s="1"/>
      <x:c r="J508" s="1"/>
      <x:c r="K508" s="1"/>
    </x:row>
    <x:row r="509" ht="66" customHeight="1">
      <x:c r="A509" s="16" t="str">
        <x:v>Abelló and Hispano (2006), Charybdis feriata</x:v>
      </x:c>
      <x:c r="B509" s="16" t="str">
        <x:v>Taxa: Charybdis feriatus. Charybdis feriata is explicitly a portunid brachyuran crab; supports the genus-level crab boundary while spelling reconciliation remains separate.</x:v>
      </x:c>
      <x:c r="C509" s="25" t="str">
        <x:v>https://agris.fao.org/search/en/providers/124947/records/679ba40c969e37f4376ecffc</x:v>
      </x:c>
      <x:c r="D509" s="1"/>
      <x:c r="E509" s="1"/>
      <x:c r="F509" s="1"/>
      <x:c r="G509" s="1"/>
      <x:c r="H509" s="1"/>
      <x:c r="I509" s="1"/>
      <x:c r="J509" s="1"/>
      <x:c r="K509" s="1"/>
    </x:row>
    <x:row r="510" ht="66" customHeight="1">
      <x:c r="A510" s="16" t="str">
        <x:v>WoRMS: Cheilopogon unicolor</x:v>
      </x:c>
      <x:c r="B510" s="16" t="str">
        <x:v>Taxa: Cheilopogon unicolor. {"scientificname":"Cheilopogon unicolor","valid_name":"Cheilopogon unicolor","status":"accepted","family":"Exocoetidae","class":"Teleostei","phylum":"Chordata"}</x:v>
      </x:c>
      <x:c r="C510" s="25" t="str">
        <x:v>https://www.marinespecies.org/aphia.php?p=taxdetails&amp;id=217858</x:v>
      </x:c>
      <x:c r="D510" s="1"/>
      <x:c r="E510" s="1"/>
      <x:c r="F510" s="1"/>
      <x:c r="G510" s="1"/>
      <x:c r="H510" s="1"/>
      <x:c r="I510" s="1"/>
      <x:c r="J510" s="1"/>
      <x:c r="K510" s="1"/>
    </x:row>
    <x:row r="511" ht="66" customHeight="1">
      <x:c r="A511" s="16" t="str">
        <x:v>WoRMS: Crassostrea</x:v>
      </x:c>
      <x:c r="B511" s="16" t="str">
        <x:v>Taxa: Crassostrea. {"scientificname":"Crassostrea","valid_name":"Crassostrea","status":"accepted","family":"Ostreidae","class":"Bivalvia","phylum":"Mollusca"}</x:v>
      </x:c>
      <x:c r="C511" s="25" t="str">
        <x:v>https://www.marinespecies.org/aphia.php?p=taxdetails&amp;id=138297</x:v>
      </x:c>
      <x:c r="D511" s="1"/>
      <x:c r="E511" s="1"/>
      <x:c r="F511" s="1"/>
      <x:c r="G511" s="1"/>
      <x:c r="H511" s="1"/>
      <x:c r="I511" s="1"/>
      <x:c r="J511" s="1"/>
      <x:c r="K511" s="1"/>
    </x:row>
    <x:row r="512" ht="66" customHeight="1">
      <x:c r="A512" s="16" t="str">
        <x:v>WoRMS: Echinozoa</x:v>
      </x:c>
      <x:c r="B512" s="16" t="str">
        <x:v>Taxa: Echinozoa. {"scientificname":"Echinozoa","valid_name":"Echinozoa","status":"accepted","family":null,"class":null,"phylum":"Echinodermata"}</x:v>
      </x:c>
      <x:c r="C512" s="25" t="str">
        <x:v>https://www.marinespecies.org/aphia.php?p=taxdetails&amp;id=148744</x:v>
      </x:c>
      <x:c r="D512" s="1"/>
      <x:c r="E512" s="1"/>
      <x:c r="F512" s="1"/>
      <x:c r="G512" s="1"/>
      <x:c r="H512" s="1"/>
      <x:c r="I512" s="1"/>
      <x:c r="J512" s="1"/>
      <x:c r="K512" s="1"/>
    </x:row>
    <x:row r="513" ht="66" customHeight="1">
      <x:c r="A513" s="16" t="str">
        <x:v>WoRMS: Encrasicholina punctifer</x:v>
      </x:c>
      <x:c r="B513" s="16" t="str">
        <x:v>Taxa: Encrasicholina punctifer. {"scientificname":"Encrasicholina punctifer","valid_name":"Encrasicholina punctifer","status":"accepted","family":"Engraulidae","class":"Teleostei","phylum":"Chordata"}</x:v>
      </x:c>
      <x:c r="C513" s="25" t="str">
        <x:v>https://www.marinespecies.org/aphia.php?p=taxdetails&amp;id=219982</x:v>
      </x:c>
      <x:c r="D513" s="1"/>
      <x:c r="E513" s="1"/>
      <x:c r="F513" s="1"/>
      <x:c r="G513" s="1"/>
      <x:c r="H513" s="1"/>
      <x:c r="I513" s="1"/>
      <x:c r="J513" s="1"/>
      <x:c r="K513" s="1"/>
    </x:row>
    <x:row r="514" ht="66" customHeight="1">
      <x:c r="A514" s="16" t="str">
        <x:v>FishBase: Encrasicholina punctifer</x:v>
      </x:c>
      <x:c r="B514" s="16" t="str">
        <x:v>Taxa: Encrasicholina punctifer. Habitat: Marine;  reef-associated; oceanodromous; first maximum: 13 cm TL. Additional biology checked where material.</x:v>
      </x:c>
      <x:c r="C514" s="25" t="str">
        <x:v>https://www.fishbase.se/summary/Encrasicholina-punctifer.html</x:v>
      </x:c>
      <x:c r="D514" s="1"/>
      <x:c r="E514" s="1"/>
      <x:c r="F514" s="1"/>
      <x:c r="G514" s="1"/>
      <x:c r="H514" s="1"/>
      <x:c r="I514" s="1"/>
      <x:c r="J514" s="1"/>
      <x:c r="K514" s="1"/>
    </x:row>
    <x:row r="515" ht="66" customHeight="1">
      <x:c r="A515" s="16" t="str">
        <x:v>WoRMS: Epinephelus malabaricus</x:v>
      </x:c>
      <x:c r="B515" s="16" t="str">
        <x:v>Taxa: Epinephelus malabaricus. {"scientificname":"Epinephelus malabaricus","valid_name":"Epinephelus malabaricus","status":"accepted","family":"Epinephelidae","class":"Teleostei","phylum":"Chordata"}</x:v>
      </x:c>
      <x:c r="C515" s="25" t="str">
        <x:v>https://www.marinespecies.org/aphia.php?p=taxdetails&amp;id=218206</x:v>
      </x:c>
      <x:c r="D515" s="1"/>
      <x:c r="E515" s="1"/>
      <x:c r="F515" s="1"/>
      <x:c r="G515" s="1"/>
      <x:c r="H515" s="1"/>
      <x:c r="I515" s="1"/>
      <x:c r="J515" s="1"/>
      <x:c r="K515" s="1"/>
    </x:row>
    <x:row r="516" ht="66" customHeight="1">
      <x:c r="A516" s="16" t="str">
        <x:v>FishBase: Evynnis tumifrons</x:v>
      </x:c>
      <x:c r="B516" s="16" t="str">
        <x:v>Taxa: Evynnis tumifrons. Classification; Environment; Size; Biology. Sparidae; demersal, maximum 35 cm SL, clearly above 30 cm TL.</x:v>
      </x:c>
      <x:c r="C516" s="25" t="str">
        <x:v>https://www.fishbase.se/summary/Evynnis-tumifrons.html</x:v>
      </x:c>
      <x:c r="D516" s="1"/>
      <x:c r="E516" s="1"/>
      <x:c r="F516" s="1"/>
      <x:c r="G516" s="1"/>
      <x:c r="H516" s="1"/>
      <x:c r="I516" s="1"/>
      <x:c r="J516" s="1"/>
      <x:c r="K516" s="1"/>
    </x:row>
    <x:row r="517" ht="66" customHeight="1">
      <x:c r="A517" s="16" t="str">
        <x:v>Cohen et al. (1990), FAO Gadiform fishes of the world</x:v>
      </x:c>
      <x:c r="B517" s="16" t="str">
        <x:v>Taxa: Gadiformes. Bregmacerotidae account. Gadiformes includes small epipelagic/mesopelagic codlets; order membership alone does not prove benthopelagic containment.</x:v>
      </x:c>
      <x:c r="C517" s="25" t="str">
        <x:v>https://www.fao.org/docrep/009/t0243e/T0243E04.pdf</x:v>
      </x:c>
      <x:c r="D517" s="1"/>
      <x:c r="E517" s="1"/>
      <x:c r="F517" s="1"/>
      <x:c r="G517" s="1"/>
      <x:c r="H517" s="1"/>
      <x:c r="I517" s="1"/>
      <x:c r="J517" s="1"/>
      <x:c r="K517" s="1"/>
    </x:row>
    <x:row r="518" ht="66" customHeight="1">
      <x:c r="A518" s="16" t="str">
        <x:v>FAO Western Central Atlantic guide, Moridae</x:v>
      </x:c>
      <x:c r="B518" s="16" t="str">
        <x:v>Taxa: Gadiformes. Moridae, p. 995. Morids include deep shelf/slope benthopelagic fishes; this supports one possible order component, not all Gadiformes.</x:v>
      </x:c>
      <x:c r="C518" s="25" t="str">
        <x:v>https://www.fao.org/docrep/pdf/009/y4161e/y4161e25.pdf</x:v>
      </x:c>
      <x:c r="D518" s="1"/>
      <x:c r="E518" s="1"/>
      <x:c r="F518" s="1"/>
      <x:c r="G518" s="1"/>
      <x:c r="H518" s="1"/>
      <x:c r="I518" s="1"/>
      <x:c r="J518" s="1"/>
      <x:c r="K518" s="1"/>
    </x:row>
    <x:row r="519" ht="66" customHeight="1">
      <x:c r="A519" s="16" t="str">
        <x:v>WoRMS: Haliotis</x:v>
      </x:c>
      <x:c r="B519" s="16" t="str">
        <x:v>Taxa: Haliotis. {"scientificname":"Haliotis","valid_name":"Haliotis","status":"accepted","family":"Haliotidae","class":"Gastropoda","phylum":"Mollusca"}</x:v>
      </x:c>
      <x:c r="C519" s="25" t="str">
        <x:v>https://www.marinespecies.org/aphia.php?p=taxdetails&amp;id=138050</x:v>
      </x:c>
      <x:c r="D519" s="1"/>
      <x:c r="E519" s="1"/>
      <x:c r="F519" s="1"/>
      <x:c r="G519" s="1"/>
      <x:c r="H519" s="1"/>
      <x:c r="I519" s="1"/>
      <x:c r="J519" s="1"/>
      <x:c r="K519" s="1"/>
    </x:row>
    <x:row r="520" ht="66" customHeight="1">
      <x:c r="A520" s="16" t="str">
        <x:v>WoRMS: Hemitriakis japanica</x:v>
      </x:c>
      <x:c r="B520" s="16" t="str">
        <x:v>Taxa: Hemitriakis japanica. {"scientificname":"Hemitriakis japanica","valid_name":"Hemitriakis japanica","status":"accepted","family":"Triakidae","class":"Elasmobranchii","phylum":"Chordata"}</x:v>
      </x:c>
      <x:c r="C520" s="25" t="str">
        <x:v>https://www.marinespecies.org/aphia.php?p=taxdetails&amp;id=281042</x:v>
      </x:c>
      <x:c r="D520" s="1"/>
      <x:c r="E520" s="1"/>
      <x:c r="F520" s="1"/>
      <x:c r="G520" s="1"/>
      <x:c r="H520" s="1"/>
      <x:c r="I520" s="1"/>
      <x:c r="J520" s="1"/>
      <x:c r="K520" s="1"/>
    </x:row>
    <x:row r="521" ht="66" customHeight="1">
      <x:c r="A521" s="16" t="str">
        <x:v>FishBase: Hemitriakis japanica</x:v>
      </x:c>
      <x:c r="B521" s="16" t="str">
        <x:v>Taxa: Hemitriakis japanica. Habitat: Marine;  demersal;; first maximum: 110 cm TL. Additional biology checked where material.</x:v>
      </x:c>
      <x:c r="C521" s="25" t="str">
        <x:v>https://www.fishbase.se/summary/Hemitriakis-japanica.html</x:v>
      </x:c>
      <x:c r="D521" s="1"/>
      <x:c r="E521" s="1"/>
      <x:c r="F521" s="1"/>
      <x:c r="G521" s="1"/>
      <x:c r="H521" s="1"/>
      <x:c r="I521" s="1"/>
      <x:c r="J521" s="1"/>
      <x:c r="K521" s="1"/>
    </x:row>
    <x:row r="522" ht="66" customHeight="1">
      <x:c r="A522" s="16" t="str">
        <x:v>WoRMS: Hemitrygon akajei</x:v>
      </x:c>
      <x:c r="B522" s="16" t="str">
        <x:v>Taxa: Hemitrygon akajei. {"scientificname":"Hemitrygon akajei","valid_name":"Hemitrygon akajei","status":"accepted","family":"Dasyatidae","class":"Elasmobranchii","phylum":"Chordata"}</x:v>
      </x:c>
      <x:c r="C522" s="25" t="str">
        <x:v>https://www.marinespecies.org/aphia.php?p=taxdetails&amp;id=1042845</x:v>
      </x:c>
      <x:c r="D522" s="1"/>
      <x:c r="E522" s="1"/>
      <x:c r="F522" s="1"/>
      <x:c r="G522" s="1"/>
      <x:c r="H522" s="1"/>
      <x:c r="I522" s="1"/>
      <x:c r="J522" s="1"/>
      <x:c r="K522" s="1"/>
    </x:row>
    <x:row r="523" ht="66" customHeight="1">
      <x:c r="A523" s="16" t="str">
        <x:v>FishBase: Hemitrygon akajei</x:v>
      </x:c>
      <x:c r="B523" s="16" t="str">
        <x:v>Taxa: Hemitrygon akajei. Habitat: Marine; brackish;  demersal; oceanodromous; first maximum: 200 cm TL. Additional biology checked where material.</x:v>
      </x:c>
      <x:c r="C523" s="25" t="str">
        <x:v>https://www.fishbase.se/summary/Hemitrygon-akajei.html</x:v>
      </x:c>
      <x:c r="D523" s="1"/>
      <x:c r="E523" s="1"/>
      <x:c r="F523" s="1"/>
      <x:c r="G523" s="1"/>
      <x:c r="H523" s="1"/>
      <x:c r="I523" s="1"/>
      <x:c r="J523" s="1"/>
      <x:c r="K523" s="1"/>
    </x:row>
    <x:row r="524" ht="66" customHeight="1">
      <x:c r="A524" s="16" t="str">
        <x:v>WoRMS: Holothuriidae</x:v>
      </x:c>
      <x:c r="B524" s="16" t="str">
        <x:v>Taxa: Holothuriidae. {"scientificname":"Holothuriidae","valid_name":"Holothuriidae","status":"accepted","family":"Holothuriidae","class":"Holothuroidea","phylum":"Echinodermata"}</x:v>
      </x:c>
      <x:c r="C524" s="25" t="str">
        <x:v>https://www.marinespecies.org/aphia.php?p=taxdetails&amp;id=731943</x:v>
      </x:c>
      <x:c r="D524" s="1"/>
      <x:c r="E524" s="1"/>
      <x:c r="F524" s="1"/>
      <x:c r="G524" s="1"/>
      <x:c r="H524" s="1"/>
      <x:c r="I524" s="1"/>
      <x:c r="J524" s="1"/>
      <x:c r="K524" s="1"/>
    </x:row>
    <x:row r="525" ht="66" customHeight="1">
      <x:c r="A525" s="16" t="str">
        <x:v>WoRMS: Holothuroidea</x:v>
      </x:c>
      <x:c r="B525" s="16" t="str">
        <x:v>Taxa: Holothuroidea. {"scientificname":"Holothuroidea","valid_name":"Holothuroidea","status":"accepted","family":null,"class":"Holothuroidea","phylum":"Echinodermata"}</x:v>
      </x:c>
      <x:c r="C525" s="25" t="str">
        <x:v>https://www.marinespecies.org/aphia.php?p=taxdetails&amp;id=123083</x:v>
      </x:c>
      <x:c r="D525" s="1"/>
      <x:c r="E525" s="1"/>
      <x:c r="F525" s="1"/>
      <x:c r="G525" s="1"/>
      <x:c r="H525" s="1"/>
      <x:c r="I525" s="1"/>
      <x:c r="J525" s="1"/>
      <x:c r="K525" s="1"/>
    </x:row>
    <x:row r="526" ht="66" customHeight="1">
      <x:c r="A526" s="16" t="str">
        <x:v>Nakamura &amp; Parin (1993), FAO Snake mackerels and cutlassfishes</x:v>
      </x:c>
      <x:c r="B526" s="16" t="str">
        <x:v>Taxa: Lepidocybium flavobrunneum. Lepidocybium flavobrunneum, p. 30. Escolar mostly inhabits continental slopes deeper than 200 m and moves upward at night.</x:v>
      </x:c>
      <x:c r="C526" s="25" t="str">
        <x:v>https://www.fao.org/docrep/pdf/009/t0539e/t0539e06.pdf</x:v>
      </x:c>
      <x:c r="D526" s="1"/>
      <x:c r="E526" s="1"/>
      <x:c r="F526" s="1"/>
      <x:c r="G526" s="1"/>
      <x:c r="H526" s="1"/>
      <x:c r="I526" s="1"/>
      <x:c r="J526" s="1"/>
      <x:c r="K526" s="1"/>
    </x:row>
    <x:row r="527" ht="66" customHeight="1">
      <x:c r="A527" s="16" t="str">
        <x:v>WoRMS: Lutjanus argentimaculatus</x:v>
      </x:c>
      <x:c r="B527" s="16" t="str">
        <x:v>Taxa: Lutjanus argentimaculatus. {"scientificname":"Lutjanus argentimaculatus","valid_name":"Lutjanus argentimaculatus","status":"accepted","family":"Lutjanidae","class":"Teleostei","phylum":"Chordata"}</x:v>
      </x:c>
      <x:c r="C527" s="25" t="str">
        <x:v>https://www.marinespecies.org/aphia.php?p=taxdetails&amp;id=218498</x:v>
      </x:c>
      <x:c r="D527" s="1"/>
      <x:c r="E527" s="1"/>
      <x:c r="F527" s="1"/>
      <x:c r="G527" s="1"/>
      <x:c r="H527" s="1"/>
      <x:c r="I527" s="1"/>
      <x:c r="J527" s="1"/>
      <x:c r="K527" s="1"/>
    </x:row>
    <x:row r="528" ht="66" customHeight="1">
      <x:c r="A528" s="16" t="str">
        <x:v>WoRMS: Lutjanus bohar</x:v>
      </x:c>
      <x:c r="B528" s="16" t="str">
        <x:v>Taxa: Lutjanus bohar. {"scientificname":"Lutjanus bohar","valid_name":"Lutjanus bohar","status":"accepted","family":"Lutjanidae","class":"Teleostei","phylum":"Chordata"}</x:v>
      </x:c>
      <x:c r="C528" s="25" t="str">
        <x:v>https://www.marinespecies.org/aphia.php?p=taxdetails&amp;id=218479</x:v>
      </x:c>
      <x:c r="D528" s="1"/>
      <x:c r="E528" s="1"/>
      <x:c r="F528" s="1"/>
      <x:c r="G528" s="1"/>
      <x:c r="H528" s="1"/>
      <x:c r="I528" s="1"/>
      <x:c r="J528" s="1"/>
      <x:c r="K528" s="1"/>
    </x:row>
    <x:row r="529" ht="66" customHeight="1">
      <x:c r="A529" s="16" t="str">
        <x:v>WoRMS: Melicertus canaliculatus</x:v>
      </x:c>
      <x:c r="B529" s="16" t="str">
        <x:v>Taxa: Melicertus canaliculatus. {"scientificname":"Melicertus canaliculatus","valid_name":"Penaeus (Plagosopenaeus) canaliculatus","status":"unaccepted","family":"Penaeidae","class":"Malacostraca","phylum":"Arthropoda"}</x:v>
      </x:c>
      <x:c r="C529" s="25" t="str">
        <x:v>https://www.marinespecies.org/aphia.php?p=taxdetails&amp;id=377467</x:v>
      </x:c>
      <x:c r="D529" s="1"/>
      <x:c r="E529" s="1"/>
      <x:c r="F529" s="1"/>
      <x:c r="G529" s="1"/>
      <x:c r="H529" s="1"/>
      <x:c r="I529" s="1"/>
      <x:c r="J529" s="1"/>
      <x:c r="K529" s="1"/>
    </x:row>
    <x:row r="530" ht="66" customHeight="1">
      <x:c r="A530" s="16" t="str">
        <x:v>WoRMS: Metapenaeus affinis</x:v>
      </x:c>
      <x:c r="B530" s="16" t="str">
        <x:v>Taxa: Metapenaeus affinis. {"scientificname":"Metapenaeus affinis","valid_name":"Metapenaeus affinis","status":"accepted","family":"Penaeidae","class":"Malacostraca","phylum":"Arthropoda"}</x:v>
      </x:c>
      <x:c r="C530" s="25" t="str">
        <x:v>https://www.marinespecies.org/aphia.php?p=taxdetails&amp;id=210397</x:v>
      </x:c>
      <x:c r="D530" s="1"/>
      <x:c r="E530" s="1"/>
      <x:c r="F530" s="1"/>
      <x:c r="G530" s="1"/>
      <x:c r="H530" s="1"/>
      <x:c r="I530" s="1"/>
      <x:c r="J530" s="1"/>
      <x:c r="K530" s="1"/>
    </x:row>
    <x:row r="531" ht="66" customHeight="1">
      <x:c r="A531" s="16" t="str">
        <x:v>WoRMS: Metapenaeus ensis</x:v>
      </x:c>
      <x:c r="B531" s="16" t="str">
        <x:v>Taxa: Metapenaeus ensis. {"scientificname":"Metapenaeus ensis","valid_name":"Metapenaeus ensis","status":"accepted","family":"Penaeidae","class":"Malacostraca","phylum":"Arthropoda"}</x:v>
      </x:c>
      <x:c r="C531" s="25" t="str">
        <x:v>https://www.marinespecies.org/aphia.php?p=taxdetails&amp;id=210392</x:v>
      </x:c>
      <x:c r="D531" s="1"/>
      <x:c r="E531" s="1"/>
      <x:c r="F531" s="1"/>
      <x:c r="G531" s="1"/>
      <x:c r="H531" s="1"/>
      <x:c r="I531" s="1"/>
      <x:c r="J531" s="1"/>
      <x:c r="K531" s="1"/>
    </x:row>
    <x:row r="532" ht="66" customHeight="1">
      <x:c r="A532" s="16" t="str">
        <x:v>WoRMS: Metapenaeus tenuipes</x:v>
      </x:c>
      <x:c r="B532" s="16" t="str">
        <x:v>Taxa: Metapenaeus tenuipes. {"scientificname":"Metapenaeus tenuipes","valid_name":"Metapenaeus tenuipes","status":"accepted","family":"Penaeidae","class":"Malacostraca","phylum":"Arthropoda"}</x:v>
      </x:c>
      <x:c r="C532" s="25" t="str">
        <x:v>https://www.marinespecies.org/aphia.php?p=taxdetails&amp;id=377544</x:v>
      </x:c>
      <x:c r="D532" s="1"/>
      <x:c r="E532" s="1"/>
      <x:c r="F532" s="1"/>
      <x:c r="G532" s="1"/>
      <x:c r="H532" s="1"/>
      <x:c r="I532" s="1"/>
      <x:c r="J532" s="1"/>
      <x:c r="K532" s="1"/>
    </x:row>
    <x:row r="533" ht="66" customHeight="1">
      <x:c r="A533" s="16" t="str">
        <x:v>WoRMS: Mierspenaeopsis sculptilis</x:v>
      </x:c>
      <x:c r="B533" s="16" t="str">
        <x:v>Taxa: Mierspenaeopsis sculptilis. {"scientificname":"Mierspenaeopsis sculptilis","valid_name":"Mierspenaeopsis sculptilis","status":"accepted","family":"Penaeidae","class":"Malacostraca","phylum":"Arthropoda"}</x:v>
      </x:c>
      <x:c r="C533" s="25" t="str">
        <x:v>https://www.marinespecies.org/aphia.php?p=taxdetails&amp;id=585386</x:v>
      </x:c>
      <x:c r="D533" s="1"/>
      <x:c r="E533" s="1"/>
      <x:c r="F533" s="1"/>
      <x:c r="G533" s="1"/>
      <x:c r="H533" s="1"/>
      <x:c r="I533" s="1"/>
      <x:c r="J533" s="1"/>
      <x:c r="K533" s="1"/>
    </x:row>
    <x:row r="534" ht="66" customHeight="1">
      <x:c r="A534" s="16" t="str">
        <x:v>WoRMS: Modiolus</x:v>
      </x:c>
      <x:c r="B534" s="16" t="str">
        <x:v>Taxa: Modiolus. {"scientificname":"Modiolus","valid_name":"Modiolus","status":"accepted","family":"Modiolidae","class":"Bivalvia","phylum":"Mollusca"}</x:v>
      </x:c>
      <x:c r="C534" s="25" t="str">
        <x:v>https://www.marinespecies.org/aphia.php?p=taxdetails&amp;id=138223</x:v>
      </x:c>
      <x:c r="D534" s="1"/>
      <x:c r="E534" s="1"/>
      <x:c r="F534" s="1"/>
      <x:c r="G534" s="1"/>
      <x:c r="H534" s="1"/>
      <x:c r="I534" s="1"/>
      <x:c r="J534" s="1"/>
      <x:c r="K534" s="1"/>
    </x:row>
    <x:row r="535" ht="66" customHeight="1">
      <x:c r="A535" s="16" t="str">
        <x:v>FishBase: Nibea mitsukurii</x:v>
      </x:c>
      <x:c r="B535" s="16" t="str">
        <x:v>Taxa: Nibea mitsukurii. Classification; Environment; Size; Biology. Sciaenidae; maximum 75 cm SL, sandy/muddy near-bottom habitat; Northwest Pacific/East China Sea distribution is a transfer caveat.</x:v>
      </x:c>
      <x:c r="C535" s="25" t="str">
        <x:v>https://www.fishbase.se/summary/427</x:v>
      </x:c>
      <x:c r="D535" s="1"/>
      <x:c r="E535" s="1"/>
      <x:c r="F535" s="1"/>
      <x:c r="G535" s="1"/>
      <x:c r="H535" s="1"/>
      <x:c r="I535" s="1"/>
      <x:c r="J535" s="1"/>
      <x:c r="K535" s="1"/>
    </x:row>
    <x:row r="536" ht="66" customHeight="1">
      <x:c r="A536" s="16" t="str">
        <x:v>WoRMS: Ommastrephidae</x:v>
      </x:c>
      <x:c r="B536" s="16" t="str">
        <x:v>Taxa: Ommastrephidae. {"scientificname":"Ommastrephidae","valid_name":"Ommastrephidae","status":"accepted","family":"Ommastrephidae","class":"Cephalopoda","phylum":"Mollusca"}</x:v>
      </x:c>
      <x:c r="C536" s="25" t="str">
        <x:v>https://www.marinespecies.org/aphia.php?p=taxdetails&amp;id=11760</x:v>
      </x:c>
      <x:c r="D536" s="1"/>
      <x:c r="E536" s="1"/>
      <x:c r="F536" s="1"/>
      <x:c r="G536" s="1"/>
      <x:c r="H536" s="1"/>
      <x:c r="I536" s="1"/>
      <x:c r="J536" s="1"/>
      <x:c r="K536" s="1"/>
    </x:row>
    <x:row r="537" ht="66" customHeight="1">
      <x:c r="A537" s="16" t="str">
        <x:v>WoRMS: Ozius guttatus</x:v>
      </x:c>
      <x:c r="B537" s="16" t="str">
        <x:v>Taxa: Ozius guttatus. {"scientificname":"Ozius guttatus","valid_name":"Ozius guttatus","status":"accepted","family":"Oziidae","class":"Malacostraca","phylum":"Arthropoda"}</x:v>
      </x:c>
      <x:c r="C537" s="25" t="str">
        <x:v>https://www.marinespecies.org/aphia.php?p=taxdetails&amp;id=209154</x:v>
      </x:c>
      <x:c r="D537" s="1"/>
      <x:c r="E537" s="1"/>
      <x:c r="F537" s="1"/>
      <x:c r="G537" s="1"/>
      <x:c r="H537" s="1"/>
      <x:c r="I537" s="1"/>
      <x:c r="J537" s="1"/>
      <x:c r="K537" s="1"/>
    </x:row>
    <x:row r="538" ht="66" customHeight="1">
      <x:c r="A538" s="16" t="str">
        <x:v>WoRMS: Pectinidae</x:v>
      </x:c>
      <x:c r="B538" s="16" t="str">
        <x:v>Taxa: Pectinidae. {"scientificname":"Pectinidae","valid_name":"Pectinidae","status":"accepted","family":"Pectinidae","class":"Bivalvia","phylum":"Mollusca"}</x:v>
      </x:c>
      <x:c r="C538" s="25" t="str">
        <x:v>https://www.marinespecies.org/aphia.php?p=taxdetails&amp;id=213</x:v>
      </x:c>
      <x:c r="D538" s="1"/>
      <x:c r="E538" s="1"/>
      <x:c r="F538" s="1"/>
      <x:c r="G538" s="1"/>
      <x:c r="H538" s="1"/>
      <x:c r="I538" s="1"/>
      <x:c r="J538" s="1"/>
      <x:c r="K538" s="1"/>
    </x:row>
    <x:row r="539" ht="66" customHeight="1">
      <x:c r="A539" s="16" t="str">
        <x:v>WoRMS: Pinctada</x:v>
      </x:c>
      <x:c r="B539" s="16" t="str">
        <x:v>Taxa: Pinctada. {"scientificname":"Pinctada","valid_name":"Pinctada","status":"accepted","family":"Margaritidae","class":"Bivalvia","phylum":"Mollusca"}</x:v>
      </x:c>
      <x:c r="C539" s="25" t="str">
        <x:v>https://www.marinespecies.org/aphia.php?p=taxdetails&amp;id=138396</x:v>
      </x:c>
      <x:c r="D539" s="1"/>
      <x:c r="E539" s="1"/>
      <x:c r="F539" s="1"/>
      <x:c r="G539" s="1"/>
      <x:c r="H539" s="1"/>
      <x:c r="I539" s="1"/>
      <x:c r="J539" s="1"/>
      <x:c r="K539" s="1"/>
    </x:row>
    <x:row r="540" ht="66" customHeight="1">
      <x:c r="A540" s="16" t="str">
        <x:v>WoRMS: Podophthalmus vigil</x:v>
      </x:c>
      <x:c r="B540" s="16" t="str">
        <x:v>Taxa: Podophthalmus vigil. {"scientificname":"Podophthalmus vigil","valid_name":"Podophthalmus vigil","status":"accepted","family":"Portunidae","class":"Malacostraca","phylum":"Arthropoda"}</x:v>
      </x:c>
      <x:c r="C540" s="25" t="str">
        <x:v>https://www.marinespecies.org/aphia.php?p=taxdetails&amp;id=208884</x:v>
      </x:c>
      <x:c r="D540" s="1"/>
      <x:c r="E540" s="1"/>
      <x:c r="F540" s="1"/>
      <x:c r="G540" s="1"/>
      <x:c r="H540" s="1"/>
      <x:c r="I540" s="1"/>
      <x:c r="J540" s="1"/>
      <x:c r="K540" s="1"/>
    </x:row>
    <x:row r="541" ht="66" customHeight="1">
      <x:c r="A541" s="16" t="str">
        <x:v>FishBase: Polydactylus sexfilis</x:v>
      </x:c>
      <x:c r="B541" s="16" t="str">
        <x:v>Taxa: Polydactylus sexfilis. Classification; Environment; Size; Biology. Polynemidae; maximum 61 cm TL; explicitly benthopelagic on coastal sand/rock/lagoon habitats.</x:v>
      </x:c>
      <x:c r="C541" s="25" t="str">
        <x:v>https://www.fishbase.se/summary/Polydactylus-sexfilis.html</x:v>
      </x:c>
      <x:c r="D541" s="1"/>
      <x:c r="E541" s="1"/>
      <x:c r="F541" s="1"/>
      <x:c r="G541" s="1"/>
      <x:c r="H541" s="1"/>
      <x:c r="I541" s="1"/>
      <x:c r="J541" s="1"/>
      <x:c r="K541" s="1"/>
    </x:row>
    <x:row r="542" ht="66" customHeight="1">
      <x:c r="A542" s="16" t="str">
        <x:v>WoRMS: Rhincodon typus</x:v>
      </x:c>
      <x:c r="B542" s="16" t="str">
        <x:v>Taxa: Rhincodon typus. {"scientificname":"Rhincodon typus","valid_name":"Rhincodon typus","status":"accepted","family":"Rhincodontidae","class":"Elasmobranchii","phylum":"Chordata"}</x:v>
      </x:c>
      <x:c r="C542" s="25" t="str">
        <x:v>https://www.marinespecies.org/aphia.php?p=taxdetails&amp;id=105847</x:v>
      </x:c>
      <x:c r="D542" s="1"/>
      <x:c r="E542" s="1"/>
      <x:c r="F542" s="1"/>
      <x:c r="G542" s="1"/>
      <x:c r="H542" s="1"/>
      <x:c r="I542" s="1"/>
      <x:c r="J542" s="1"/>
      <x:c r="K542" s="1"/>
    </x:row>
    <x:row r="543" ht="66" customHeight="1">
      <x:c r="A543" s="16" t="str">
        <x:v>FishBase: Rhincodon typus</x:v>
      </x:c>
      <x:c r="B543" s="16" t="str">
        <x:v>Taxa: Rhincodon typus. Habitat: Marine;  pelagic-oceanic; oceanodromous; first maximum: 1700 cm TL. Additional biology checked where material.</x:v>
      </x:c>
      <x:c r="C543" s="25" t="str">
        <x:v>https://www.fishbase.se/summary/Rhincodon-typus.html</x:v>
      </x:c>
      <x:c r="D543" s="1"/>
      <x:c r="E543" s="1"/>
      <x:c r="F543" s="1"/>
      <x:c r="G543" s="1"/>
      <x:c r="H543" s="1"/>
      <x:c r="I543" s="1"/>
      <x:c r="J543" s="1"/>
      <x:c r="K543" s="1"/>
    </x:row>
    <x:row r="544" ht="66" customHeight="1">
      <x:c r="A544" s="16" t="str">
        <x:v>WoRMS: Saurida undosquamis</x:v>
      </x:c>
      <x:c r="B544" s="16" t="str">
        <x:v>Taxa: Saurida undosquamis. {"scientificname":"Saurida undosquamis","valid_name":"Saurida undosquamis","status":"accepted","family":"Harpadontidae","class":"Teleostei","phylum":"Chordata"}</x:v>
      </x:c>
      <x:c r="C544" s="25" t="str">
        <x:v>https://www.marinespecies.org/aphia.php?p=taxdetails&amp;id=126371</x:v>
      </x:c>
      <x:c r="D544" s="1"/>
      <x:c r="E544" s="1"/>
      <x:c r="F544" s="1"/>
      <x:c r="G544" s="1"/>
      <x:c r="H544" s="1"/>
      <x:c r="I544" s="1"/>
      <x:c r="J544" s="1"/>
      <x:c r="K544" s="1"/>
    </x:row>
    <x:row r="545" ht="66" customHeight="1">
      <x:c r="A545" s="16" t="str">
        <x:v>WoRMS: Scylla</x:v>
      </x:c>
      <x:c r="B545" s="16" t="str">
        <x:v>Taxa: Scylla. {"scientificname":"Scylla","valid_name":"Scylla","status":"accepted","family":"Portunidae","class":"Malacostraca","phylum":"Arthropoda"}</x:v>
      </x:c>
      <x:c r="C545" s="25" t="str">
        <x:v>https://www.marinespecies.org/aphia.php?p=taxdetails&amp;id=205756</x:v>
      </x:c>
      <x:c r="D545" s="1"/>
      <x:c r="E545" s="1"/>
      <x:c r="F545" s="1"/>
      <x:c r="G545" s="1"/>
      <x:c r="H545" s="1"/>
      <x:c r="I545" s="1"/>
      <x:c r="J545" s="1"/>
      <x:c r="K545" s="1"/>
    </x:row>
    <x:row r="546" ht="66" customHeight="1">
      <x:c r="A546" s="16" t="str">
        <x:v>WoRMS: Sphyraena barracuda</x:v>
      </x:c>
      <x:c r="B546" s="16" t="str">
        <x:v>Taxa: Sphyraena barracuda. {"scientificname":"Sphyraena barracuda","valid_name":"Sphyraena barracuda","status":"accepted","family":"Sphyraenidae","class":"Teleostei","phylum":"Chordata"}</x:v>
      </x:c>
      <x:c r="C546" s="25" t="str">
        <x:v>https://www.marinespecies.org/aphia.php?p=taxdetails&amp;id=345843</x:v>
      </x:c>
      <x:c r="D546" s="1"/>
      <x:c r="E546" s="1"/>
      <x:c r="F546" s="1"/>
      <x:c r="G546" s="1"/>
      <x:c r="H546" s="1"/>
      <x:c r="I546" s="1"/>
      <x:c r="J546" s="1"/>
      <x:c r="K546" s="1"/>
    </x:row>
    <x:row r="547" ht="66" customHeight="1">
      <x:c r="A547" s="16" t="str">
        <x:v>FishBase: Sphyraena barracuda</x:v>
      </x:c>
      <x:c r="B547" s="16" t="str">
        <x:v>Taxa: Sphyraena barracuda. Habitat: Marine; brackish;  reef-associated;; first maximum: 200 cm TL. Additional biology checked where material.</x:v>
      </x:c>
      <x:c r="C547" s="25" t="str">
        <x:v>https://www.fishbase.se/summary/Sphyraena-barracuda.html</x:v>
      </x:c>
      <x:c r="D547" s="1"/>
      <x:c r="E547" s="1"/>
      <x:c r="F547" s="1"/>
      <x:c r="G547" s="1"/>
      <x:c r="H547" s="1"/>
      <x:c r="I547" s="1"/>
      <x:c r="J547" s="1"/>
      <x:c r="K547" s="1"/>
    </x:row>
    <x:row r="548" ht="66" customHeight="1">
      <x:c r="A548" s="16" t="str">
        <x:v>WoRMS: Sphyraena obtusata</x:v>
      </x:c>
      <x:c r="B548" s="16" t="str">
        <x:v>Taxa: Sphyraena obtusata. {"scientificname":"Sphyraena obtusata","valid_name":"Sphyraena obtusata","status":"accepted","family":"Sphyraenidae","class":"Teleostei","phylum":"Chordata"}</x:v>
      </x:c>
      <x:c r="C548" s="25" t="str">
        <x:v>https://www.marinespecies.org/aphia.php?p=taxdetails&amp;id=212056</x:v>
      </x:c>
      <x:c r="D548" s="1"/>
      <x:c r="E548" s="1"/>
      <x:c r="F548" s="1"/>
      <x:c r="G548" s="1"/>
      <x:c r="H548" s="1"/>
      <x:c r="I548" s="1"/>
      <x:c r="J548" s="1"/>
      <x:c r="K548" s="1"/>
    </x:row>
    <x:row r="549" ht="66" customHeight="1">
      <x:c r="A549" s="16" t="str">
        <x:v>FishBase: Sphyraena obtusata</x:v>
      </x:c>
      <x:c r="B549" s="16" t="str">
        <x:v>Taxa: Sphyraena obtusata. Habitat: Marine; brackish;  reef-associated;; first maximum: 55 cm TL. Additional biology checked where material.</x:v>
      </x:c>
      <x:c r="C549" s="25" t="str">
        <x:v>https://www.fishbase.se/summary/Sphyraena-obtusata.html</x:v>
      </x:c>
      <x:c r="D549" s="1"/>
      <x:c r="E549" s="1"/>
      <x:c r="F549" s="1"/>
      <x:c r="G549" s="1"/>
      <x:c r="H549" s="1"/>
      <x:c r="I549" s="1"/>
      <x:c r="J549" s="1"/>
      <x:c r="K549" s="1"/>
    </x:row>
    <x:row r="550" ht="66" customHeight="1">
      <x:c r="A550" s="16" t="str">
        <x:v>WoRMS: Sphyrna lewini</x:v>
      </x:c>
      <x:c r="B550" s="16" t="str">
        <x:v>Taxa: Sphyrna lewini. {"scientificname":"Sphyrna lewini","valid_name":"Sphyrna lewini","status":"accepted","family":"Sphyrnidae","class":"Elasmobranchii","phylum":"Chordata"}</x:v>
      </x:c>
      <x:c r="C550" s="25" t="str">
        <x:v>https://www.marinespecies.org/aphia.php?p=taxdetails&amp;id=105816</x:v>
      </x:c>
      <x:c r="D550" s="1"/>
      <x:c r="E550" s="1"/>
      <x:c r="F550" s="1"/>
      <x:c r="G550" s="1"/>
      <x:c r="H550" s="1"/>
      <x:c r="I550" s="1"/>
      <x:c r="J550" s="1"/>
      <x:c r="K550" s="1"/>
    </x:row>
    <x:row r="551" ht="66" customHeight="1">
      <x:c r="A551" s="16" t="str">
        <x:v>FishBase: Sphyrna lewini</x:v>
      </x:c>
      <x:c r="B551" s="16" t="str">
        <x:v>Taxa: Sphyrna lewini. Habitat: Marine; brackish;  pelagic-oceanic; oceanodromous; first maximum: 430 cm TL. Additional biology checked where material.</x:v>
      </x:c>
      <x:c r="C551" s="25" t="str">
        <x:v>https://www.fishbase.se/summary/Sphyrna-lewini.html</x:v>
      </x:c>
      <x:c r="D551" s="1"/>
      <x:c r="E551" s="1"/>
      <x:c r="F551" s="1"/>
      <x:c r="G551" s="1"/>
      <x:c r="H551" s="1"/>
      <x:c r="I551" s="1"/>
      <x:c r="J551" s="1"/>
      <x:c r="K551" s="1"/>
    </x:row>
    <x:row r="552" ht="66" customHeight="1">
      <x:c r="A552" s="16" t="str">
        <x:v>WoRMS: Sphyrnidae</x:v>
      </x:c>
      <x:c r="B552" s="16" t="str">
        <x:v>Taxa: Sphyrnidae. {"scientificname":"Sphyrnidae","valid_name":"Sphyrnidae","status":"accepted","family":"Sphyrnidae","class":"Elasmobranchii","phylum":"Chordata"}</x:v>
      </x:c>
      <x:c r="C552" s="25" t="str">
        <x:v>https://www.marinespecies.org/aphia.php?p=taxdetails&amp;id=105694</x:v>
      </x:c>
      <x:c r="D552" s="1"/>
      <x:c r="E552" s="1"/>
      <x:c r="F552" s="1"/>
      <x:c r="G552" s="1"/>
      <x:c r="H552" s="1"/>
      <x:c r="I552" s="1"/>
      <x:c r="J552" s="1"/>
      <x:c r="K552" s="1"/>
    </x:row>
    <x:row r="553" ht="66" customHeight="1">
      <x:c r="A553" s="16" t="str">
        <x:v>FishBase: Eusphyra blochii</x:v>
      </x:c>
      <x:c r="B553" s="16" t="str">
        <x:v>Taxa: Sphyrnidae. Taxon-specific boundary evidence described in the rationale.</x:v>
      </x:c>
      <x:c r="C553" s="25" t="str">
        <x:v>https://www.fishbase.se/summary/Eusphyra-blochii.html</x:v>
      </x:c>
      <x:c r="D553" s="1"/>
      <x:c r="E553" s="1"/>
      <x:c r="F553" s="1"/>
      <x:c r="G553" s="1"/>
      <x:c r="H553" s="1"/>
      <x:c r="I553" s="1"/>
      <x:c r="J553" s="1"/>
      <x:c r="K553" s="1"/>
    </x:row>
    <x:row r="554" ht="66" customHeight="1">
      <x:c r="A554" s="16" t="str">
        <x:v>WoRMS: Spratelloides</x:v>
      </x:c>
      <x:c r="B554" s="16" t="str">
        <x:v>Taxa: Spratelloides. {"scientificname":"Spratelloides","valid_name":"Spratelloides","status":"accepted","family":"Spratelloididae","class":"Teleostei","phylum":"Chordata"}</x:v>
      </x:c>
      <x:c r="C554" s="25" t="str">
        <x:v>https://www.marinespecies.org/aphia.php?p=taxdetails&amp;id=125722</x:v>
      </x:c>
      <x:c r="D554" s="1"/>
      <x:c r="E554" s="1"/>
      <x:c r="F554" s="1"/>
      <x:c r="G554" s="1"/>
      <x:c r="H554" s="1"/>
      <x:c r="I554" s="1"/>
      <x:c r="J554" s="1"/>
      <x:c r="K554" s="1"/>
    </x:row>
    <x:row r="555" ht="66" customHeight="1">
      <x:c r="A555" s="16" t="str">
        <x:v>FishBase Spratelloides inventory</x:v>
      </x:c>
      <x:c r="B555" s="16" t="str">
        <x:v>Taxa: Spratelloides. Maximum size and length convention reviewed across the retrieved genus inventory.</x:v>
      </x:c>
      <x:c r="C555" s="25" t="str">
        <x:v>https://www.fishbase.se/identification/SpeciesList.php?genus=Spratelloides</x:v>
      </x:c>
      <x:c r="D555" s="1"/>
      <x:c r="E555" s="1"/>
      <x:c r="F555" s="1"/>
      <x:c r="G555" s="1"/>
      <x:c r="H555" s="1"/>
      <x:c r="I555" s="1"/>
      <x:c r="J555" s="1"/>
      <x:c r="K555" s="1"/>
    </x:row>
    <x:row r="556" ht="66" customHeight="1">
      <x:c r="A556" s="16" t="str">
        <x:v>WoRMS: Tenualosa toli</x:v>
      </x:c>
      <x:c r="B556" s="16" t="str">
        <x:v>Taxa: Tenualosa toli. {"scientificname":"Tenualosa toli","valid_name":"Tenualosa toli","status":"accepted","family":"Dorosomatidae","class":"Teleostei","phylum":"Chordata"}</x:v>
      </x:c>
      <x:c r="C556" s="25" t="str">
        <x:v>https://www.marinespecies.org/aphia.php?p=taxdetails&amp;id=217454</x:v>
      </x:c>
      <x:c r="D556" s="1"/>
      <x:c r="E556" s="1"/>
      <x:c r="F556" s="1"/>
      <x:c r="G556" s="1"/>
      <x:c r="H556" s="1"/>
      <x:c r="I556" s="1"/>
      <x:c r="J556" s="1"/>
      <x:c r="K556" s="1"/>
    </x:row>
    <x:row r="557" ht="66" customHeight="1">
      <x:c r="A557" s="16" t="str">
        <x:v>FishBase: Tenualosa toli</x:v>
      </x:c>
      <x:c r="B557" s="16" t="str">
        <x:v>Taxa: Tenualosa toli. Habitat: Marine; freshwater; brackish;  pelagic-neritic; anadromous; first maximum: 60 cm TL. Additional biology checked where material.</x:v>
      </x:c>
      <x:c r="C557" s="25" t="str">
        <x:v>https://www.fishbase.se/summary/Tenualosa-toli.html</x:v>
      </x:c>
      <x:c r="D557" s="1"/>
      <x:c r="E557" s="1"/>
      <x:c r="F557" s="1"/>
      <x:c r="G557" s="1"/>
      <x:c r="H557" s="1"/>
      <x:c r="I557" s="1"/>
      <x:c r="J557" s="1"/>
      <x:c r="K557" s="1"/>
    </x:row>
    <x:row r="558" ht="66" customHeight="1">
      <x:c r="A558" s="16" t="str">
        <x:v>Collette &amp; Nauen (1983), FAO Scombrids of the world</x:v>
      </x:c>
      <x:c r="B558" s="16" t="str">
        <x:v>Taxa: Thunnus. Thunnus genus and species accounts, pp. 80–93. Regional tunas are large pelagic fishes; epipelagic/mesopelagic and neritic/oceanic distributions differ among species.</x:v>
      </x:c>
      <x:c r="C558" s="25" t="str">
        <x:v>https://www.fao.org/docrep/pdf/009/ac478e/ac478e11.pdf</x:v>
      </x:c>
      <x:c r="D558" s="1"/>
      <x:c r="E558" s="1"/>
      <x:c r="F558" s="1"/>
      <x:c r="G558" s="1"/>
      <x:c r="H558" s="1"/>
      <x:c r="I558" s="1"/>
      <x:c r="J558" s="1"/>
      <x:c r="K558" s="1"/>
    </x:row>
    <x:row r="559" ht="66" customHeight="1">
      <x:c r="A559" s="16" t="str">
        <x:v>WoRMS: Tripneustes gratilla</x:v>
      </x:c>
      <x:c r="B559" s="16" t="str">
        <x:v>Taxa: Tripneustes gratilla. {"scientificname":"Tripneustes gratilla","valid_name":"Tripneustes gratilla","status":"accepted","family":"Toxopneustidae","class":"Echinoidea","phylum":"Echinodermata"}</x:v>
      </x:c>
      <x:c r="C559" s="25" t="str">
        <x:v>https://www.marinespecies.org/aphia.php?p=taxdetails&amp;id=212453</x:v>
      </x:c>
      <x:c r="D559" s="1"/>
      <x:c r="E559" s="1"/>
      <x:c r="F559" s="1"/>
      <x:c r="G559" s="1"/>
      <x:c r="H559" s="1"/>
      <x:c r="I559" s="1"/>
      <x:c r="J559" s="1"/>
      <x:c r="K559" s="1"/>
    </x:row>
    <x:row r="560" ht="66" customHeight="1">
      <x:c r="A560" s="16" t="str">
        <x:v>WoRMS: Trochus niloticus</x:v>
      </x:c>
      <x:c r="B560" s="16" t="str">
        <x:v>Taxa: Trochus niloticus. {"scientificname":"Trochus niloticus","valid_name":"Rochia nilotica","status":"superseded combination","family":"Trochidae","class":"Gastropoda","phylum":"Mollusca"}</x:v>
      </x:c>
      <x:c r="C560" s="25" t="str">
        <x:v>https://www.marinespecies.org/aphia.php?p=taxdetails&amp;id=216345</x:v>
      </x:c>
      <x:c r="D560" s="1"/>
      <x:c r="E560" s="1"/>
      <x:c r="F560" s="1"/>
      <x:c r="G560" s="1"/>
      <x:c r="H560" s="1"/>
      <x:c r="I560" s="1"/>
      <x:c r="J560" s="1"/>
      <x:c r="K560" s="1"/>
    </x:row>
    <x:row r="561" ht="14.5">
      <x:c r="A561" s="1"/>
      <x:c r="B561" s="1"/>
      <x:c r="C561" s="1"/>
      <x:c r="D561" s="1"/>
      <x:c r="E561" s="1"/>
      <x:c r="F561" s="1"/>
      <x:c r="G561" s="1"/>
      <x:c r="H561" s="1"/>
      <x:c r="I561" s="1"/>
      <x:c r="J561" s="1"/>
      <x:c r="K561" s="1"/>
    </x:row>
    <x:row r="562" ht="14.5">
      <x:c r="A562" s="1"/>
      <x:c r="B562" s="1"/>
      <x:c r="C562" s="1"/>
      <x:c r="D562" s="1"/>
      <x:c r="E562" s="1"/>
      <x:c r="F562" s="1"/>
      <x:c r="G562" s="1"/>
      <x:c r="H562" s="1"/>
      <x:c r="I562" s="1"/>
      <x:c r="J562" s="1"/>
      <x:c r="K562" s="1"/>
    </x:row>
    <x:row r="563" ht="14.5">
      <x:c r="A563" s="1"/>
      <x:c r="B563" s="1"/>
      <x:c r="C563" s="1"/>
      <x:c r="D563" s="1"/>
      <x:c r="E563" s="1"/>
      <x:c r="F563" s="1"/>
      <x:c r="G563" s="1"/>
      <x:c r="H563" s="1"/>
      <x:c r="I563" s="1"/>
      <x:c r="J563" s="1"/>
      <x:c r="K563" s="1"/>
    </x:row>
    <x:row r="564" ht="14.5">
      <x:c r="A564" s="1"/>
      <x:c r="B564" s="1"/>
      <x:c r="C564" s="1"/>
      <x:c r="D564" s="1"/>
      <x:c r="E564" s="1"/>
      <x:c r="F564" s="1"/>
      <x:c r="G564" s="1"/>
      <x:c r="H564" s="1"/>
      <x:c r="I564" s="1"/>
      <x:c r="J564" s="1"/>
      <x:c r="K564" s="1"/>
    </x:row>
    <x:row r="565" ht="14.5">
      <x:c r="A565" s="1"/>
      <x:c r="B565" s="1"/>
      <x:c r="C565" s="1"/>
      <x:c r="D565" s="1"/>
      <x:c r="E565" s="1"/>
      <x:c r="F565" s="1"/>
      <x:c r="G565" s="1"/>
      <x:c r="H565" s="1"/>
      <x:c r="I565" s="1"/>
      <x:c r="J565" s="1"/>
      <x:c r="K565" s="1"/>
    </x:row>
    <x:row r="566" ht="14.5">
      <x:c r="A566" s="1"/>
      <x:c r="B566" s="1"/>
      <x:c r="C566" s="1"/>
      <x:c r="D566" s="1"/>
      <x:c r="E566" s="1"/>
      <x:c r="F566" s="1"/>
      <x:c r="G566" s="1"/>
      <x:c r="H566" s="1"/>
      <x:c r="I566" s="1"/>
      <x:c r="J566" s="1"/>
      <x:c r="K566" s="1"/>
    </x:row>
    <x:row r="567" ht="14.5">
      <x:c r="A567" s="1"/>
      <x:c r="B567" s="1"/>
      <x:c r="C567" s="1"/>
      <x:c r="D567" s="1"/>
      <x:c r="E567" s="1"/>
      <x:c r="F567" s="1"/>
      <x:c r="G567" s="1"/>
      <x:c r="H567" s="1"/>
      <x:c r="I567" s="1"/>
      <x:c r="J567" s="1"/>
      <x:c r="K567" s="1"/>
    </x:row>
    <x:row r="568" ht="14.5">
      <x:c r="A568" s="1"/>
      <x:c r="B568" s="1"/>
      <x:c r="C568" s="1"/>
      <x:c r="D568" s="1"/>
      <x:c r="E568" s="1"/>
      <x:c r="F568" s="1"/>
      <x:c r="G568" s="1"/>
      <x:c r="H568" s="1"/>
      <x:c r="I568" s="1"/>
      <x:c r="J568" s="1"/>
      <x:c r="K568" s="1"/>
    </x:row>
    <x:row r="569" ht="14.5">
      <x:c r="A569" s="1"/>
      <x:c r="B569" s="1"/>
      <x:c r="C569" s="1"/>
      <x:c r="D569" s="1"/>
      <x:c r="E569" s="1"/>
      <x:c r="F569" s="1"/>
      <x:c r="G569" s="1"/>
      <x:c r="H569" s="1"/>
      <x:c r="I569" s="1"/>
      <x:c r="J569" s="1"/>
      <x:c r="K569" s="1"/>
    </x:row>
    <x:row r="570" ht="14.5">
      <x:c r="A570" s="1"/>
      <x:c r="B570" s="1"/>
      <x:c r="C570" s="1"/>
      <x:c r="D570" s="1"/>
      <x:c r="E570" s="1"/>
      <x:c r="F570" s="1"/>
      <x:c r="G570" s="1"/>
      <x:c r="H570" s="1"/>
      <x:c r="I570" s="1"/>
      <x:c r="J570" s="1"/>
      <x:c r="K570" s="1"/>
    </x:row>
    <x:row r="571" ht="14.5">
      <x:c r="A571" s="1"/>
      <x:c r="B571" s="1"/>
      <x:c r="C571" s="1"/>
      <x:c r="D571" s="1"/>
      <x:c r="E571" s="1"/>
      <x:c r="F571" s="1"/>
      <x:c r="G571" s="1"/>
      <x:c r="H571" s="1"/>
      <x:c r="I571" s="1"/>
      <x:c r="J571" s="1"/>
      <x:c r="K571" s="1"/>
    </x:row>
    <x:row r="572" ht="14.5">
      <x:c r="A572" s="1"/>
      <x:c r="B572" s="1"/>
      <x:c r="C572" s="1"/>
      <x:c r="D572" s="1"/>
      <x:c r="E572" s="1"/>
      <x:c r="F572" s="1"/>
      <x:c r="G572" s="1"/>
      <x:c r="H572" s="1"/>
      <x:c r="I572" s="1"/>
      <x:c r="J572" s="1"/>
      <x:c r="K572" s="1"/>
    </x:row>
    <x:row r="573" ht="14.5">
      <x:c r="A573" s="1"/>
      <x:c r="B573" s="1"/>
      <x:c r="C573" s="1"/>
      <x:c r="D573" s="1"/>
      <x:c r="E573" s="1"/>
      <x:c r="F573" s="1"/>
      <x:c r="G573" s="1"/>
      <x:c r="H573" s="1"/>
      <x:c r="I573" s="1"/>
      <x:c r="J573" s="1"/>
      <x:c r="K573" s="1"/>
    </x:row>
    <x:row r="574" ht="14.5">
      <x:c r="A574" s="1"/>
      <x:c r="B574" s="1"/>
      <x:c r="C574" s="1"/>
      <x:c r="D574" s="1"/>
      <x:c r="E574" s="1"/>
      <x:c r="F574" s="1"/>
      <x:c r="G574" s="1"/>
      <x:c r="H574" s="1"/>
      <x:c r="I574" s="1"/>
      <x:c r="J574" s="1"/>
      <x:c r="K574" s="1"/>
    </x:row>
    <x:row r="575" ht="14.5">
      <x:c r="A575" s="1"/>
      <x:c r="B575" s="1"/>
      <x:c r="C575" s="1"/>
      <x:c r="D575" s="1"/>
      <x:c r="E575" s="1"/>
      <x:c r="F575" s="1"/>
      <x:c r="G575" s="1"/>
      <x:c r="H575" s="1"/>
      <x:c r="I575" s="1"/>
      <x:c r="J575" s="1"/>
      <x:c r="K575" s="1"/>
    </x:row>
    <x:row r="576" ht="14.5">
      <x:c r="A576" s="1"/>
      <x:c r="B576" s="1"/>
      <x:c r="C576" s="1"/>
      <x:c r="D576" s="1"/>
      <x:c r="E576" s="1"/>
      <x:c r="F576" s="1"/>
      <x:c r="G576" s="1"/>
      <x:c r="H576" s="1"/>
      <x:c r="I576" s="1"/>
      <x:c r="J576" s="1"/>
      <x:c r="K576" s="1"/>
    </x:row>
    <x:row r="577" ht="14.5">
      <x:c r="A577" s="1"/>
      <x:c r="B577" s="1"/>
      <x:c r="C577" s="1"/>
      <x:c r="D577" s="1"/>
      <x:c r="E577" s="1"/>
      <x:c r="F577" s="1"/>
      <x:c r="G577" s="1"/>
      <x:c r="H577" s="1"/>
      <x:c r="I577" s="1"/>
      <x:c r="J577" s="1"/>
      <x:c r="K577" s="1"/>
    </x:row>
    <x:row r="578" ht="14.5">
      <x:c r="A578" s="1"/>
      <x:c r="B578" s="1"/>
      <x:c r="C578" s="1"/>
      <x:c r="D578" s="1"/>
      <x:c r="E578" s="1"/>
      <x:c r="F578" s="1"/>
      <x:c r="G578" s="1"/>
      <x:c r="H578" s="1"/>
      <x:c r="I578" s="1"/>
      <x:c r="J578" s="1"/>
      <x:c r="K578" s="1"/>
    </x:row>
    <x:row r="579" ht="14.5">
      <x:c r="A579" s="1"/>
      <x:c r="B579" s="1"/>
      <x:c r="C579" s="1"/>
      <x:c r="D579" s="1"/>
      <x:c r="E579" s="1"/>
      <x:c r="F579" s="1"/>
      <x:c r="G579" s="1"/>
      <x:c r="H579" s="1"/>
      <x:c r="I579" s="1"/>
      <x:c r="J579" s="1"/>
      <x:c r="K579" s="1"/>
    </x:row>
    <x:row r="580" ht="14.5">
      <x:c r="A580" s="1"/>
      <x:c r="B580" s="1"/>
      <x:c r="C580" s="1"/>
      <x:c r="D580" s="1"/>
      <x:c r="E580" s="1"/>
      <x:c r="F580" s="1"/>
      <x:c r="G580" s="1"/>
      <x:c r="H580" s="1"/>
      <x:c r="I580" s="1"/>
      <x:c r="J580" s="1"/>
      <x:c r="K580" s="1"/>
    </x:row>
    <x:row r="581" ht="14.5">
      <x:c r="A581" s="1"/>
      <x:c r="B581" s="1"/>
      <x:c r="C581" s="1"/>
      <x:c r="D581" s="1"/>
      <x:c r="E581" s="1"/>
      <x:c r="F581" s="1"/>
      <x:c r="G581" s="1"/>
      <x:c r="H581" s="1"/>
      <x:c r="I581" s="1"/>
      <x:c r="J581" s="1"/>
      <x:c r="K581" s="1"/>
    </x:row>
    <x:row r="582" ht="14.5">
      <x:c r="A582" s="1"/>
      <x:c r="B582" s="1"/>
      <x:c r="C582" s="1"/>
      <x:c r="D582" s="1"/>
      <x:c r="E582" s="1"/>
      <x:c r="F582" s="1"/>
      <x:c r="G582" s="1"/>
      <x:c r="H582" s="1"/>
      <x:c r="I582" s="1"/>
      <x:c r="J582" s="1"/>
      <x:c r="K582" s="1"/>
    </x:row>
    <x:row r="583" ht="14.5">
      <x:c r="A583" s="1"/>
      <x:c r="B583" s="1"/>
      <x:c r="C583" s="1"/>
      <x:c r="D583" s="1"/>
      <x:c r="E583" s="1"/>
      <x:c r="F583" s="1"/>
      <x:c r="G583" s="1"/>
      <x:c r="H583" s="1"/>
      <x:c r="I583" s="1"/>
      <x:c r="J583" s="1"/>
      <x:c r="K583" s="1"/>
    </x:row>
    <x:row r="584" ht="14.5">
      <x:c r="A584" s="1"/>
      <x:c r="B584" s="1"/>
      <x:c r="C584" s="1"/>
      <x:c r="D584" s="1"/>
      <x:c r="E584" s="1"/>
      <x:c r="F584" s="1"/>
      <x:c r="G584" s="1"/>
      <x:c r="H584" s="1"/>
      <x:c r="I584" s="1"/>
      <x:c r="J584" s="1"/>
      <x:c r="K584" s="1"/>
    </x:row>
    <x:row r="585" ht="14.5">
      <x:c r="A585" s="1"/>
      <x:c r="B585" s="1"/>
      <x:c r="C585" s="1"/>
      <x:c r="D585" s="1"/>
      <x:c r="E585" s="1"/>
      <x:c r="F585" s="1"/>
      <x:c r="G585" s="1"/>
      <x:c r="H585" s="1"/>
      <x:c r="I585" s="1"/>
      <x:c r="J585" s="1"/>
      <x:c r="K585" s="1"/>
    </x:row>
    <x:row r="586" ht="14.5">
      <x:c r="A586" s="1"/>
      <x:c r="B586" s="1"/>
      <x:c r="C586" s="1"/>
      <x:c r="D586" s="1"/>
      <x:c r="E586" s="1"/>
      <x:c r="F586" s="1"/>
      <x:c r="G586" s="1"/>
      <x:c r="H586" s="1"/>
      <x:c r="I586" s="1"/>
      <x:c r="J586" s="1"/>
      <x:c r="K586" s="1"/>
    </x:row>
    <x:row r="587" ht="14.5">
      <x:c r="A587" s="1"/>
      <x:c r="B587" s="1"/>
      <x:c r="C587" s="1"/>
      <x:c r="D587" s="1"/>
      <x:c r="E587" s="1"/>
      <x:c r="F587" s="1"/>
      <x:c r="G587" s="1"/>
      <x:c r="H587" s="1"/>
      <x:c r="I587" s="1"/>
      <x:c r="J587" s="1"/>
      <x:c r="K587" s="1"/>
    </x:row>
    <x:row r="588" ht="14.5">
      <x:c r="A588" s="1"/>
      <x:c r="B588" s="1"/>
      <x:c r="C588" s="1"/>
      <x:c r="D588" s="1"/>
      <x:c r="E588" s="1"/>
      <x:c r="F588" s="1"/>
      <x:c r="G588" s="1"/>
      <x:c r="H588" s="1"/>
      <x:c r="I588" s="1"/>
      <x:c r="J588" s="1"/>
      <x:c r="K588" s="1"/>
    </x:row>
    <x:row r="589" ht="14.5">
      <x:c r="A589" s="1"/>
      <x:c r="B589" s="1"/>
      <x:c r="C589" s="1"/>
      <x:c r="D589" s="1"/>
      <x:c r="E589" s="1"/>
      <x:c r="F589" s="1"/>
      <x:c r="G589" s="1"/>
      <x:c r="H589" s="1"/>
      <x:c r="I589" s="1"/>
      <x:c r="J589" s="1"/>
      <x:c r="K589" s="1"/>
    </x:row>
    <x:row r="590" ht="14.5">
      <x:c r="A590" s="1"/>
      <x:c r="B590" s="1"/>
      <x:c r="C590" s="1"/>
      <x:c r="D590" s="1"/>
      <x:c r="E590" s="1"/>
      <x:c r="F590" s="1"/>
      <x:c r="G590" s="1"/>
      <x:c r="H590" s="1"/>
      <x:c r="I590" s="1"/>
      <x:c r="J590" s="1"/>
      <x:c r="K590" s="1"/>
    </x:row>
    <x:row r="591" ht="14.5">
      <x:c r="A591" s="1"/>
      <x:c r="B591" s="1"/>
      <x:c r="C591" s="1"/>
      <x:c r="D591" s="1"/>
      <x:c r="E591" s="1"/>
      <x:c r="F591" s="1"/>
      <x:c r="G591" s="1"/>
      <x:c r="H591" s="1"/>
      <x:c r="I591" s="1"/>
      <x:c r="J591" s="1"/>
      <x:c r="K591" s="1"/>
    </x:row>
    <x:row r="592" ht="14.5">
      <x:c r="A592" s="1"/>
      <x:c r="B592" s="1"/>
      <x:c r="C592" s="1"/>
      <x:c r="D592" s="1"/>
      <x:c r="E592" s="1"/>
      <x:c r="F592" s="1"/>
      <x:c r="G592" s="1"/>
      <x:c r="H592" s="1"/>
      <x:c r="I592" s="1"/>
      <x:c r="J592" s="1"/>
      <x:c r="K592" s="1"/>
    </x:row>
    <x:row r="593" ht="14.5">
      <x:c r="A593" s="1"/>
      <x:c r="B593" s="1"/>
      <x:c r="C593" s="1"/>
      <x:c r="D593" s="1"/>
      <x:c r="E593" s="1"/>
      <x:c r="F593" s="1"/>
      <x:c r="G593" s="1"/>
      <x:c r="H593" s="1"/>
      <x:c r="I593" s="1"/>
      <x:c r="J593" s="1"/>
      <x:c r="K593" s="1"/>
    </x:row>
    <x:row r="594" ht="14.5">
      <x:c r="A594" s="1"/>
      <x:c r="B594" s="1"/>
      <x:c r="C594" s="1"/>
      <x:c r="D594" s="1"/>
      <x:c r="E594" s="1"/>
      <x:c r="F594" s="1"/>
      <x:c r="G594" s="1"/>
      <x:c r="H594" s="1"/>
      <x:c r="I594" s="1"/>
      <x:c r="J594" s="1"/>
      <x:c r="K594" s="1"/>
    </x:row>
    <x:row r="595" ht="14.5">
      <x:c r="A595" s="1"/>
      <x:c r="B595" s="1"/>
      <x:c r="C595" s="1"/>
      <x:c r="D595" s="1"/>
      <x:c r="E595" s="1"/>
      <x:c r="F595" s="1"/>
      <x:c r="G595" s="1"/>
      <x:c r="H595" s="1"/>
      <x:c r="I595" s="1"/>
      <x:c r="J595" s="1"/>
      <x:c r="K595" s="1"/>
    </x:row>
    <x:row r="596" ht="14.5">
      <x:c r="A596" s="1"/>
      <x:c r="B596" s="1"/>
      <x:c r="C596" s="1"/>
      <x:c r="D596" s="1"/>
      <x:c r="E596" s="1"/>
      <x:c r="F596" s="1"/>
      <x:c r="G596" s="1"/>
      <x:c r="H596" s="1"/>
      <x:c r="I596" s="1"/>
      <x:c r="J596" s="1"/>
      <x:c r="K596" s="1"/>
    </x:row>
    <x:row r="597" ht="14.5">
      <x:c r="A597" s="1"/>
      <x:c r="B597" s="1"/>
      <x:c r="C597" s="1"/>
      <x:c r="D597" s="1"/>
      <x:c r="E597" s="1"/>
      <x:c r="F597" s="1"/>
      <x:c r="G597" s="1"/>
      <x:c r="H597" s="1"/>
      <x:c r="I597" s="1"/>
      <x:c r="J597" s="1"/>
      <x:c r="K597" s="1"/>
    </x:row>
    <x:row r="598" ht="14.5">
      <x:c r="A598" s="1"/>
      <x:c r="B598" s="1"/>
      <x:c r="C598" s="1"/>
      <x:c r="D598" s="1"/>
      <x:c r="E598" s="1"/>
      <x:c r="F598" s="1"/>
      <x:c r="G598" s="1"/>
      <x:c r="H598" s="1"/>
      <x:c r="I598" s="1"/>
      <x:c r="J598" s="1"/>
      <x:c r="K598" s="1"/>
    </x:row>
    <x:row r="599" ht="14.5">
      <x:c r="A599" s="1"/>
      <x:c r="B599" s="1"/>
      <x:c r="C599" s="1"/>
      <x:c r="D599" s="1"/>
      <x:c r="E599" s="1"/>
      <x:c r="F599" s="1"/>
      <x:c r="G599" s="1"/>
      <x:c r="H599" s="1"/>
      <x:c r="I599" s="1"/>
      <x:c r="J599" s="1"/>
      <x:c r="K599" s="1"/>
    </x:row>
    <x:row r="600" ht="14.5">
      <x:c r="A600" s="1"/>
      <x:c r="B600" s="1"/>
      <x:c r="C600" s="1"/>
      <x:c r="D600" s="1"/>
      <x:c r="E600" s="1"/>
      <x:c r="F600" s="1"/>
      <x:c r="G600" s="1"/>
      <x:c r="H600" s="1"/>
      <x:c r="I600" s="1"/>
      <x:c r="J600" s="1"/>
      <x:c r="K600" s="1"/>
    </x:row>
  </x:sheetData>
  <x:mergeCells>
    <x:mergeCell ref="A1:C1"/>
    <x:mergeCell ref="A24:C24"/>
    <x:mergeCell ref="A25:C25"/>
    <x:mergeCell ref="A68:C68"/>
    <x:mergeCell ref="A69:C69"/>
  </x:mergeCells>
  <x:hyperlinks>
    <x:hyperlink xmlns:r="http://schemas.openxmlformats.org/officeDocument/2006/relationships" ref="C6" r:id="R67366565818442ce"/>
    <x:hyperlink xmlns:r="http://schemas.openxmlformats.org/officeDocument/2006/relationships" ref="C7" r:id="R2050f87cc8bd4947"/>
    <x:hyperlink xmlns:r="http://schemas.openxmlformats.org/officeDocument/2006/relationships" ref="C8" r:id="R11f116abd05d47be"/>
    <x:hyperlink xmlns:r="http://schemas.openxmlformats.org/officeDocument/2006/relationships" ref="C9" r:id="R8989537fbaae46cd"/>
    <x:hyperlink xmlns:r="http://schemas.openxmlformats.org/officeDocument/2006/relationships" ref="C10" r:id="R6fbbcfc56c6e4e7d"/>
    <x:hyperlink xmlns:r="http://schemas.openxmlformats.org/officeDocument/2006/relationships" ref="C11" r:id="Rf86d47caf5a248e6"/>
    <x:hyperlink xmlns:r="http://schemas.openxmlformats.org/officeDocument/2006/relationships" ref="C12" r:id="Rf4eae972f8764482"/>
    <x:hyperlink xmlns:r="http://schemas.openxmlformats.org/officeDocument/2006/relationships" ref="C13" r:id="R9b5ccf2400cb42f0"/>
    <x:hyperlink xmlns:r="http://schemas.openxmlformats.org/officeDocument/2006/relationships" ref="C14" r:id="Rbb254c2afa924039"/>
    <x:hyperlink xmlns:r="http://schemas.openxmlformats.org/officeDocument/2006/relationships" ref="C15" r:id="R6ebbb121a565464e"/>
    <x:hyperlink xmlns:r="http://schemas.openxmlformats.org/officeDocument/2006/relationships" ref="C16" r:id="Redd377b104fd466b"/>
    <x:hyperlink xmlns:r="http://schemas.openxmlformats.org/officeDocument/2006/relationships" ref="C17" r:id="Rbac30fae7bca4f09"/>
    <x:hyperlink xmlns:r="http://schemas.openxmlformats.org/officeDocument/2006/relationships" ref="C18" r:id="Re18375119fc043c9"/>
    <x:hyperlink xmlns:r="http://schemas.openxmlformats.org/officeDocument/2006/relationships" ref="C19" r:id="Re824c9917bae4606"/>
    <x:hyperlink xmlns:r="http://schemas.openxmlformats.org/officeDocument/2006/relationships" ref="C20" r:id="Rc57e6aaeaef74782"/>
    <x:hyperlink xmlns:r="http://schemas.openxmlformats.org/officeDocument/2006/relationships" ref="C21" r:id="R280a7a622b2f4f34"/>
    <x:hyperlink xmlns:r="http://schemas.openxmlformats.org/officeDocument/2006/relationships" ref="C72" r:id="rIdConfidence72"/>
    <x:hyperlink xmlns:r="http://schemas.openxmlformats.org/officeDocument/2006/relationships" ref="C73" r:id="rIdConfidence73"/>
    <x:hyperlink xmlns:r="http://schemas.openxmlformats.org/officeDocument/2006/relationships" ref="C74" r:id="rIdConfidence74"/>
    <x:hyperlink xmlns:r="http://schemas.openxmlformats.org/officeDocument/2006/relationships" ref="C75" r:id="rIdConfidence75"/>
    <x:hyperlink xmlns:r="http://schemas.openxmlformats.org/officeDocument/2006/relationships" ref="C76" r:id="rIdConfidence76"/>
    <x:hyperlink xmlns:r="http://schemas.openxmlformats.org/officeDocument/2006/relationships" ref="C77" r:id="rIdConfidence77"/>
    <x:hyperlink xmlns:r="http://schemas.openxmlformats.org/officeDocument/2006/relationships" ref="C78" r:id="rIdConfidence78"/>
    <x:hyperlink xmlns:r="http://schemas.openxmlformats.org/officeDocument/2006/relationships" ref="C79" r:id="rIdConfidence79"/>
    <x:hyperlink xmlns:r="http://schemas.openxmlformats.org/officeDocument/2006/relationships" ref="C80" r:id="rIdConfidence80"/>
    <x:hyperlink xmlns:r="http://schemas.openxmlformats.org/officeDocument/2006/relationships" ref="C81" r:id="rIdConfidence81"/>
    <x:hyperlink xmlns:r="http://schemas.openxmlformats.org/officeDocument/2006/relationships" ref="C82" r:id="rIdConfidence82"/>
    <x:hyperlink xmlns:r="http://schemas.openxmlformats.org/officeDocument/2006/relationships" ref="C83" r:id="rIdConfidence83"/>
    <x:hyperlink xmlns:r="http://schemas.openxmlformats.org/officeDocument/2006/relationships" ref="C84" r:id="rIdConfidence84"/>
    <x:hyperlink xmlns:r="http://schemas.openxmlformats.org/officeDocument/2006/relationships" ref="C85" r:id="rIdConfidence85"/>
    <x:hyperlink xmlns:r="http://schemas.openxmlformats.org/officeDocument/2006/relationships" ref="C86" r:id="rIdConfidence86"/>
    <x:hyperlink xmlns:r="http://schemas.openxmlformats.org/officeDocument/2006/relationships" ref="C87" r:id="rIdConfidence87"/>
    <x:hyperlink xmlns:r="http://schemas.openxmlformats.org/officeDocument/2006/relationships" ref="C88" r:id="rIdConfidence88"/>
    <x:hyperlink xmlns:r="http://schemas.openxmlformats.org/officeDocument/2006/relationships" ref="C89" r:id="rIdConfidence89"/>
    <x:hyperlink xmlns:r="http://schemas.openxmlformats.org/officeDocument/2006/relationships" ref="C90" r:id="rIdConfidence90"/>
    <x:hyperlink xmlns:r="http://schemas.openxmlformats.org/officeDocument/2006/relationships" ref="C91" r:id="rIdConfidence91"/>
    <x:hyperlink xmlns:r="http://schemas.openxmlformats.org/officeDocument/2006/relationships" ref="C92" r:id="rIdConfidence92"/>
    <x:hyperlink xmlns:r="http://schemas.openxmlformats.org/officeDocument/2006/relationships" ref="C93" r:id="rIdConfidence93"/>
    <x:hyperlink xmlns:r="http://schemas.openxmlformats.org/officeDocument/2006/relationships" ref="C94" r:id="rIdConfidence94"/>
    <x:hyperlink xmlns:r="http://schemas.openxmlformats.org/officeDocument/2006/relationships" ref="C95" r:id="rIdConfidence95"/>
    <x:hyperlink xmlns:r="http://schemas.openxmlformats.org/officeDocument/2006/relationships" ref="C96" r:id="rIdConfidence96"/>
    <x:hyperlink xmlns:r="http://schemas.openxmlformats.org/officeDocument/2006/relationships" ref="C97" r:id="rIdConfidence97"/>
    <x:hyperlink xmlns:r="http://schemas.openxmlformats.org/officeDocument/2006/relationships" ref="C98" r:id="rIdConfidence98"/>
    <x:hyperlink xmlns:r="http://schemas.openxmlformats.org/officeDocument/2006/relationships" ref="C99" r:id="rIdConfidence99"/>
    <x:hyperlink xmlns:r="http://schemas.openxmlformats.org/officeDocument/2006/relationships" ref="C100" r:id="rIdConfidence100"/>
    <x:hyperlink xmlns:r="http://schemas.openxmlformats.org/officeDocument/2006/relationships" ref="C101" r:id="rIdConfidence101"/>
    <x:hyperlink xmlns:r="http://schemas.openxmlformats.org/officeDocument/2006/relationships" ref="C102" r:id="rIdConfidence102"/>
    <x:hyperlink xmlns:r="http://schemas.openxmlformats.org/officeDocument/2006/relationships" ref="C103" r:id="rIdConfidence103"/>
    <x:hyperlink xmlns:r="http://schemas.openxmlformats.org/officeDocument/2006/relationships" ref="C104" r:id="rIdConfidence104"/>
    <x:hyperlink xmlns:r="http://schemas.openxmlformats.org/officeDocument/2006/relationships" ref="C105" r:id="rIdConfidence105"/>
    <x:hyperlink xmlns:r="http://schemas.openxmlformats.org/officeDocument/2006/relationships" ref="C106" r:id="rIdConfidence106"/>
    <x:hyperlink xmlns:r="http://schemas.openxmlformats.org/officeDocument/2006/relationships" ref="C107" r:id="rIdConfidence107"/>
    <x:hyperlink xmlns:r="http://schemas.openxmlformats.org/officeDocument/2006/relationships" ref="C108" r:id="rIdConfidence108"/>
    <x:hyperlink xmlns:r="http://schemas.openxmlformats.org/officeDocument/2006/relationships" ref="C109" r:id="rIdConfidence109"/>
    <x:hyperlink xmlns:r="http://schemas.openxmlformats.org/officeDocument/2006/relationships" ref="C110" r:id="rIdConfidence110"/>
    <x:hyperlink xmlns:r="http://schemas.openxmlformats.org/officeDocument/2006/relationships" ref="C111" r:id="rIdConfidence111"/>
    <x:hyperlink xmlns:r="http://schemas.openxmlformats.org/officeDocument/2006/relationships" ref="C112" r:id="rIdConfidence112"/>
    <x:hyperlink xmlns:r="http://schemas.openxmlformats.org/officeDocument/2006/relationships" ref="C113" r:id="rIdConfidence113"/>
    <x:hyperlink xmlns:r="http://schemas.openxmlformats.org/officeDocument/2006/relationships" ref="C114" r:id="rIdConfidence114"/>
    <x:hyperlink xmlns:r="http://schemas.openxmlformats.org/officeDocument/2006/relationships" ref="C115" r:id="rIdConfidence115"/>
    <x:hyperlink xmlns:r="http://schemas.openxmlformats.org/officeDocument/2006/relationships" ref="C116" r:id="rIdConfidence116"/>
    <x:hyperlink xmlns:r="http://schemas.openxmlformats.org/officeDocument/2006/relationships" ref="C117" r:id="rIdConfidence117"/>
    <x:hyperlink xmlns:r="http://schemas.openxmlformats.org/officeDocument/2006/relationships" ref="C118" r:id="rIdConfidence118"/>
    <x:hyperlink xmlns:r="http://schemas.openxmlformats.org/officeDocument/2006/relationships" ref="C119" r:id="rIdConfidence119"/>
    <x:hyperlink xmlns:r="http://schemas.openxmlformats.org/officeDocument/2006/relationships" ref="C120" r:id="rIdConfidence120"/>
    <x:hyperlink xmlns:r="http://schemas.openxmlformats.org/officeDocument/2006/relationships" ref="C121" r:id="rIdConfidence121"/>
    <x:hyperlink xmlns:r="http://schemas.openxmlformats.org/officeDocument/2006/relationships" ref="C122" r:id="rIdConfidence122"/>
    <x:hyperlink xmlns:r="http://schemas.openxmlformats.org/officeDocument/2006/relationships" ref="C123" r:id="rIdConfidence123"/>
    <x:hyperlink xmlns:r="http://schemas.openxmlformats.org/officeDocument/2006/relationships" ref="C124" r:id="rIdConfidence124"/>
    <x:hyperlink xmlns:r="http://schemas.openxmlformats.org/officeDocument/2006/relationships" ref="C125" r:id="rIdConfidence125"/>
    <x:hyperlink xmlns:r="http://schemas.openxmlformats.org/officeDocument/2006/relationships" ref="C126" r:id="rIdConfidence126"/>
    <x:hyperlink xmlns:r="http://schemas.openxmlformats.org/officeDocument/2006/relationships" ref="C127" r:id="rIdConfidence127"/>
    <x:hyperlink xmlns:r="http://schemas.openxmlformats.org/officeDocument/2006/relationships" ref="C128" r:id="rIdConfidence128"/>
    <x:hyperlink xmlns:r="http://schemas.openxmlformats.org/officeDocument/2006/relationships" ref="C129" r:id="rIdConfidence129"/>
    <x:hyperlink xmlns:r="http://schemas.openxmlformats.org/officeDocument/2006/relationships" ref="C130" r:id="rIdConfidence130"/>
    <x:hyperlink xmlns:r="http://schemas.openxmlformats.org/officeDocument/2006/relationships" ref="C131" r:id="rIdConfidence131"/>
    <x:hyperlink xmlns:r="http://schemas.openxmlformats.org/officeDocument/2006/relationships" ref="C132" r:id="rIdConfidence132"/>
    <x:hyperlink xmlns:r="http://schemas.openxmlformats.org/officeDocument/2006/relationships" ref="C133" r:id="rIdConfidence133"/>
    <x:hyperlink xmlns:r="http://schemas.openxmlformats.org/officeDocument/2006/relationships" ref="C134" r:id="rIdConfidence134"/>
    <x:hyperlink xmlns:r="http://schemas.openxmlformats.org/officeDocument/2006/relationships" ref="C135" r:id="rIdConfidence135"/>
    <x:hyperlink xmlns:r="http://schemas.openxmlformats.org/officeDocument/2006/relationships" ref="C136" r:id="rIdConfidence136"/>
    <x:hyperlink xmlns:r="http://schemas.openxmlformats.org/officeDocument/2006/relationships" ref="C137" r:id="rIdConfidence137"/>
    <x:hyperlink xmlns:r="http://schemas.openxmlformats.org/officeDocument/2006/relationships" ref="C138" r:id="rIdConfidence138"/>
    <x:hyperlink xmlns:r="http://schemas.openxmlformats.org/officeDocument/2006/relationships" ref="C139" r:id="rIdConfidence139"/>
    <x:hyperlink xmlns:r="http://schemas.openxmlformats.org/officeDocument/2006/relationships" ref="C140" r:id="rIdConfidence140"/>
    <x:hyperlink xmlns:r="http://schemas.openxmlformats.org/officeDocument/2006/relationships" ref="C141" r:id="rIdConfidence141"/>
    <x:hyperlink xmlns:r="http://schemas.openxmlformats.org/officeDocument/2006/relationships" ref="C142" r:id="rIdConfidence142"/>
    <x:hyperlink xmlns:r="http://schemas.openxmlformats.org/officeDocument/2006/relationships" ref="C143" r:id="rIdConfidence143"/>
    <x:hyperlink xmlns:r="http://schemas.openxmlformats.org/officeDocument/2006/relationships" ref="C144" r:id="rIdConfidence144"/>
    <x:hyperlink xmlns:r="http://schemas.openxmlformats.org/officeDocument/2006/relationships" ref="C145" r:id="rIdConfidence145"/>
    <x:hyperlink xmlns:r="http://schemas.openxmlformats.org/officeDocument/2006/relationships" ref="C146" r:id="rIdConfidence146"/>
    <x:hyperlink xmlns:r="http://schemas.openxmlformats.org/officeDocument/2006/relationships" ref="C147" r:id="rIdConfidence147"/>
    <x:hyperlink xmlns:r="http://schemas.openxmlformats.org/officeDocument/2006/relationships" ref="C148" r:id="rIdConfidence148"/>
    <x:hyperlink xmlns:r="http://schemas.openxmlformats.org/officeDocument/2006/relationships" ref="C149" r:id="rIdConfidence149"/>
    <x:hyperlink xmlns:r="http://schemas.openxmlformats.org/officeDocument/2006/relationships" ref="C150" r:id="rIdConfidence150"/>
    <x:hyperlink xmlns:r="http://schemas.openxmlformats.org/officeDocument/2006/relationships" ref="C151" r:id="rIdConfidence151"/>
    <x:hyperlink xmlns:r="http://schemas.openxmlformats.org/officeDocument/2006/relationships" ref="C152" r:id="rIdConfidence152"/>
    <x:hyperlink xmlns:r="http://schemas.openxmlformats.org/officeDocument/2006/relationships" ref="C153" r:id="rIdConfidence153"/>
    <x:hyperlink xmlns:r="http://schemas.openxmlformats.org/officeDocument/2006/relationships" ref="C154" r:id="rIdConfidence154"/>
    <x:hyperlink xmlns:r="http://schemas.openxmlformats.org/officeDocument/2006/relationships" ref="C155" r:id="rIdConfidence155"/>
    <x:hyperlink xmlns:r="http://schemas.openxmlformats.org/officeDocument/2006/relationships" ref="C156" r:id="rIdConfidence156"/>
    <x:hyperlink xmlns:r="http://schemas.openxmlformats.org/officeDocument/2006/relationships" ref="C157" r:id="rIdConfidence157"/>
    <x:hyperlink xmlns:r="http://schemas.openxmlformats.org/officeDocument/2006/relationships" ref="C158" r:id="rIdConfidence158"/>
    <x:hyperlink xmlns:r="http://schemas.openxmlformats.org/officeDocument/2006/relationships" ref="C159" r:id="rIdConfidence159"/>
    <x:hyperlink xmlns:r="http://schemas.openxmlformats.org/officeDocument/2006/relationships" ref="C160" r:id="rIdConfidence160"/>
    <x:hyperlink xmlns:r="http://schemas.openxmlformats.org/officeDocument/2006/relationships" ref="C161" r:id="rIdConfidence161"/>
    <x:hyperlink xmlns:r="http://schemas.openxmlformats.org/officeDocument/2006/relationships" ref="C162" r:id="rIdConfidence162"/>
    <x:hyperlink xmlns:r="http://schemas.openxmlformats.org/officeDocument/2006/relationships" ref="C163" r:id="rIdConfidence163"/>
    <x:hyperlink xmlns:r="http://schemas.openxmlformats.org/officeDocument/2006/relationships" ref="C164" r:id="rIdConfidence164"/>
    <x:hyperlink xmlns:r="http://schemas.openxmlformats.org/officeDocument/2006/relationships" ref="C165" r:id="rIdConfidence165"/>
    <x:hyperlink xmlns:r="http://schemas.openxmlformats.org/officeDocument/2006/relationships" ref="C166" r:id="rIdConfidence166"/>
    <x:hyperlink xmlns:r="http://schemas.openxmlformats.org/officeDocument/2006/relationships" ref="C167" r:id="rIdConfidence167"/>
    <x:hyperlink xmlns:r="http://schemas.openxmlformats.org/officeDocument/2006/relationships" ref="C168" r:id="rIdConfidence168"/>
    <x:hyperlink xmlns:r="http://schemas.openxmlformats.org/officeDocument/2006/relationships" ref="C169" r:id="rIdConfidence169"/>
    <x:hyperlink xmlns:r="http://schemas.openxmlformats.org/officeDocument/2006/relationships" ref="C170" r:id="rIdConfidence170"/>
    <x:hyperlink xmlns:r="http://schemas.openxmlformats.org/officeDocument/2006/relationships" ref="C171" r:id="rIdConfidence171"/>
    <x:hyperlink xmlns:r="http://schemas.openxmlformats.org/officeDocument/2006/relationships" ref="C172" r:id="rIdConfidence172"/>
    <x:hyperlink xmlns:r="http://schemas.openxmlformats.org/officeDocument/2006/relationships" ref="C173" r:id="rIdConfidence173"/>
    <x:hyperlink xmlns:r="http://schemas.openxmlformats.org/officeDocument/2006/relationships" ref="C174" r:id="rIdConfidence174"/>
    <x:hyperlink xmlns:r="http://schemas.openxmlformats.org/officeDocument/2006/relationships" ref="C175" r:id="rIdConfidence175"/>
    <x:hyperlink xmlns:r="http://schemas.openxmlformats.org/officeDocument/2006/relationships" ref="C176" r:id="rIdConfidence176"/>
    <x:hyperlink xmlns:r="http://schemas.openxmlformats.org/officeDocument/2006/relationships" ref="C177" r:id="rIdConfidence177"/>
    <x:hyperlink xmlns:r="http://schemas.openxmlformats.org/officeDocument/2006/relationships" ref="C178" r:id="rIdConfidence178"/>
    <x:hyperlink xmlns:r="http://schemas.openxmlformats.org/officeDocument/2006/relationships" ref="C179" r:id="rIdConfidence179"/>
    <x:hyperlink xmlns:r="http://schemas.openxmlformats.org/officeDocument/2006/relationships" ref="C180" r:id="rIdConfidence180"/>
    <x:hyperlink xmlns:r="http://schemas.openxmlformats.org/officeDocument/2006/relationships" ref="C181" r:id="rIdConfidence181"/>
    <x:hyperlink xmlns:r="http://schemas.openxmlformats.org/officeDocument/2006/relationships" ref="C182" r:id="rIdConfidence182"/>
    <x:hyperlink xmlns:r="http://schemas.openxmlformats.org/officeDocument/2006/relationships" ref="C183" r:id="rIdConfidence183"/>
    <x:hyperlink xmlns:r="http://schemas.openxmlformats.org/officeDocument/2006/relationships" ref="C184" r:id="rIdConfidence184"/>
    <x:hyperlink xmlns:r="http://schemas.openxmlformats.org/officeDocument/2006/relationships" ref="C185" r:id="rIdConfidence185"/>
    <x:hyperlink xmlns:r="http://schemas.openxmlformats.org/officeDocument/2006/relationships" ref="C186" r:id="rIdConfidence186"/>
    <x:hyperlink xmlns:r="http://schemas.openxmlformats.org/officeDocument/2006/relationships" ref="C187" r:id="rIdConfidence187"/>
    <x:hyperlink xmlns:r="http://schemas.openxmlformats.org/officeDocument/2006/relationships" ref="C188" r:id="rIdConfidence188"/>
    <x:hyperlink xmlns:r="http://schemas.openxmlformats.org/officeDocument/2006/relationships" ref="C189" r:id="rIdConfidence189"/>
    <x:hyperlink xmlns:r="http://schemas.openxmlformats.org/officeDocument/2006/relationships" ref="C190" r:id="rIdConfidence190"/>
    <x:hyperlink xmlns:r="http://schemas.openxmlformats.org/officeDocument/2006/relationships" ref="C191" r:id="rIdConfidence191"/>
    <x:hyperlink xmlns:r="http://schemas.openxmlformats.org/officeDocument/2006/relationships" ref="C192" r:id="rIdConfidence192"/>
    <x:hyperlink xmlns:r="http://schemas.openxmlformats.org/officeDocument/2006/relationships" ref="C193" r:id="rIdConfidence193"/>
    <x:hyperlink xmlns:r="http://schemas.openxmlformats.org/officeDocument/2006/relationships" ref="C194" r:id="rIdConfidence194"/>
    <x:hyperlink xmlns:r="http://schemas.openxmlformats.org/officeDocument/2006/relationships" ref="C195" r:id="rIdConfidence195"/>
    <x:hyperlink xmlns:r="http://schemas.openxmlformats.org/officeDocument/2006/relationships" ref="C196" r:id="rIdConfidence196"/>
    <x:hyperlink xmlns:r="http://schemas.openxmlformats.org/officeDocument/2006/relationships" ref="C197" r:id="rIdConfidence197"/>
    <x:hyperlink xmlns:r="http://schemas.openxmlformats.org/officeDocument/2006/relationships" ref="C198" r:id="rIdConfidence198"/>
    <x:hyperlink xmlns:r="http://schemas.openxmlformats.org/officeDocument/2006/relationships" ref="C199" r:id="rIdConfidence199"/>
    <x:hyperlink xmlns:r="http://schemas.openxmlformats.org/officeDocument/2006/relationships" ref="C200" r:id="rIdConfidence200"/>
    <x:hyperlink xmlns:r="http://schemas.openxmlformats.org/officeDocument/2006/relationships" ref="C201" r:id="rIdConfidence201"/>
    <x:hyperlink xmlns:r="http://schemas.openxmlformats.org/officeDocument/2006/relationships" ref="C202" r:id="rIdConfidence202"/>
    <x:hyperlink xmlns:r="http://schemas.openxmlformats.org/officeDocument/2006/relationships" ref="C203" r:id="rIdConfidence203"/>
    <x:hyperlink xmlns:r="http://schemas.openxmlformats.org/officeDocument/2006/relationships" ref="C204" r:id="rIdConfidence204"/>
    <x:hyperlink xmlns:r="http://schemas.openxmlformats.org/officeDocument/2006/relationships" ref="C205" r:id="rIdConfidence205"/>
    <x:hyperlink xmlns:r="http://schemas.openxmlformats.org/officeDocument/2006/relationships" ref="C206" r:id="rIdConfidence206"/>
    <x:hyperlink xmlns:r="http://schemas.openxmlformats.org/officeDocument/2006/relationships" ref="C207" r:id="rIdConfidence207"/>
    <x:hyperlink xmlns:r="http://schemas.openxmlformats.org/officeDocument/2006/relationships" ref="C208" r:id="rIdConfidence208"/>
    <x:hyperlink xmlns:r="http://schemas.openxmlformats.org/officeDocument/2006/relationships" ref="C209" r:id="rIdConfidence209"/>
    <x:hyperlink xmlns:r="http://schemas.openxmlformats.org/officeDocument/2006/relationships" ref="C210" r:id="rIdConfidence210"/>
    <x:hyperlink xmlns:r="http://schemas.openxmlformats.org/officeDocument/2006/relationships" ref="C211" r:id="rIdConfidence211"/>
    <x:hyperlink xmlns:r="http://schemas.openxmlformats.org/officeDocument/2006/relationships" ref="C212" r:id="rIdConfidence212"/>
    <x:hyperlink xmlns:r="http://schemas.openxmlformats.org/officeDocument/2006/relationships" ref="C213" r:id="rIdConfidence213"/>
    <x:hyperlink xmlns:r="http://schemas.openxmlformats.org/officeDocument/2006/relationships" ref="C214" r:id="rIdConfidence214"/>
    <x:hyperlink xmlns:r="http://schemas.openxmlformats.org/officeDocument/2006/relationships" ref="C215" r:id="rIdConfidence215"/>
    <x:hyperlink xmlns:r="http://schemas.openxmlformats.org/officeDocument/2006/relationships" ref="C216" r:id="rIdConfidence216"/>
    <x:hyperlink xmlns:r="http://schemas.openxmlformats.org/officeDocument/2006/relationships" ref="C217" r:id="rIdConfidence217"/>
    <x:hyperlink xmlns:r="http://schemas.openxmlformats.org/officeDocument/2006/relationships" ref="C218" r:id="rIdConfidence218"/>
    <x:hyperlink xmlns:r="http://schemas.openxmlformats.org/officeDocument/2006/relationships" ref="C219" r:id="rIdConfidence219"/>
    <x:hyperlink xmlns:r="http://schemas.openxmlformats.org/officeDocument/2006/relationships" ref="C220" r:id="rIdConfidence220"/>
    <x:hyperlink xmlns:r="http://schemas.openxmlformats.org/officeDocument/2006/relationships" ref="C221" r:id="rIdConfidence221"/>
    <x:hyperlink xmlns:r="http://schemas.openxmlformats.org/officeDocument/2006/relationships" ref="C222" r:id="rIdConfidence222"/>
    <x:hyperlink xmlns:r="http://schemas.openxmlformats.org/officeDocument/2006/relationships" ref="C223" r:id="rIdConfidence223"/>
    <x:hyperlink xmlns:r="http://schemas.openxmlformats.org/officeDocument/2006/relationships" ref="C224" r:id="rIdConfidence224"/>
    <x:hyperlink xmlns:r="http://schemas.openxmlformats.org/officeDocument/2006/relationships" ref="C225" r:id="rIdConfidence225"/>
    <x:hyperlink xmlns:r="http://schemas.openxmlformats.org/officeDocument/2006/relationships" ref="C226" r:id="rIdConfidence226"/>
    <x:hyperlink xmlns:r="http://schemas.openxmlformats.org/officeDocument/2006/relationships" ref="C227" r:id="rIdConfidence227"/>
    <x:hyperlink xmlns:r="http://schemas.openxmlformats.org/officeDocument/2006/relationships" ref="C228" r:id="rIdConfidence228"/>
    <x:hyperlink xmlns:r="http://schemas.openxmlformats.org/officeDocument/2006/relationships" ref="C229" r:id="rIdConfidence229"/>
    <x:hyperlink xmlns:r="http://schemas.openxmlformats.org/officeDocument/2006/relationships" ref="C230" r:id="rIdConfidence230"/>
    <x:hyperlink xmlns:r="http://schemas.openxmlformats.org/officeDocument/2006/relationships" ref="C231" r:id="rIdConfidence231"/>
    <x:hyperlink xmlns:r="http://schemas.openxmlformats.org/officeDocument/2006/relationships" ref="C232" r:id="rIdConfidence232"/>
    <x:hyperlink xmlns:r="http://schemas.openxmlformats.org/officeDocument/2006/relationships" ref="C233" r:id="rIdConfidence233"/>
    <x:hyperlink xmlns:r="http://schemas.openxmlformats.org/officeDocument/2006/relationships" ref="C234" r:id="rIdConfidence234"/>
    <x:hyperlink xmlns:r="http://schemas.openxmlformats.org/officeDocument/2006/relationships" ref="C235" r:id="rIdConfidence235"/>
    <x:hyperlink xmlns:r="http://schemas.openxmlformats.org/officeDocument/2006/relationships" ref="C236" r:id="rIdConfidence236"/>
    <x:hyperlink xmlns:r="http://schemas.openxmlformats.org/officeDocument/2006/relationships" ref="C237" r:id="rIdConfidence237"/>
    <x:hyperlink xmlns:r="http://schemas.openxmlformats.org/officeDocument/2006/relationships" ref="C238" r:id="rIdConfidence238"/>
    <x:hyperlink xmlns:r="http://schemas.openxmlformats.org/officeDocument/2006/relationships" ref="C239" r:id="rIdConfidence239"/>
    <x:hyperlink xmlns:r="http://schemas.openxmlformats.org/officeDocument/2006/relationships" ref="C240" r:id="rIdConfidence240"/>
    <x:hyperlink xmlns:r="http://schemas.openxmlformats.org/officeDocument/2006/relationships" ref="C241" r:id="rIdConfidence241"/>
    <x:hyperlink xmlns:r="http://schemas.openxmlformats.org/officeDocument/2006/relationships" ref="C242" r:id="rIdConfidence242"/>
    <x:hyperlink xmlns:r="http://schemas.openxmlformats.org/officeDocument/2006/relationships" ref="C243" r:id="rIdConfidence243"/>
    <x:hyperlink xmlns:r="http://schemas.openxmlformats.org/officeDocument/2006/relationships" ref="C244" r:id="rIdConfidence244"/>
    <x:hyperlink xmlns:r="http://schemas.openxmlformats.org/officeDocument/2006/relationships" ref="C245" r:id="rIdConfidence245"/>
    <x:hyperlink xmlns:r="http://schemas.openxmlformats.org/officeDocument/2006/relationships" ref="C246" r:id="rIdConfidence246"/>
    <x:hyperlink xmlns:r="http://schemas.openxmlformats.org/officeDocument/2006/relationships" ref="C247" r:id="rIdConfidence247"/>
    <x:hyperlink xmlns:r="http://schemas.openxmlformats.org/officeDocument/2006/relationships" ref="C248" r:id="rIdConfidence248"/>
    <x:hyperlink xmlns:r="http://schemas.openxmlformats.org/officeDocument/2006/relationships" ref="C249" r:id="rIdConfidence249"/>
    <x:hyperlink xmlns:r="http://schemas.openxmlformats.org/officeDocument/2006/relationships" ref="C250" r:id="rIdConfidence250"/>
    <x:hyperlink xmlns:r="http://schemas.openxmlformats.org/officeDocument/2006/relationships" ref="C251" r:id="rIdConfidence251"/>
    <x:hyperlink xmlns:r="http://schemas.openxmlformats.org/officeDocument/2006/relationships" ref="C252" r:id="rIdConfidence252"/>
    <x:hyperlink xmlns:r="http://schemas.openxmlformats.org/officeDocument/2006/relationships" ref="C253" r:id="rIdConfidence253"/>
    <x:hyperlink xmlns:r="http://schemas.openxmlformats.org/officeDocument/2006/relationships" ref="C254" r:id="rIdConfidence254"/>
    <x:hyperlink xmlns:r="http://schemas.openxmlformats.org/officeDocument/2006/relationships" ref="C255" r:id="rIdConfidence255"/>
    <x:hyperlink xmlns:r="http://schemas.openxmlformats.org/officeDocument/2006/relationships" ref="C256" r:id="rIdConfidence256"/>
    <x:hyperlink xmlns:r="http://schemas.openxmlformats.org/officeDocument/2006/relationships" ref="C257" r:id="rIdConfidence257"/>
    <x:hyperlink xmlns:r="http://schemas.openxmlformats.org/officeDocument/2006/relationships" ref="C258" r:id="rIdConfidence258"/>
    <x:hyperlink xmlns:r="http://schemas.openxmlformats.org/officeDocument/2006/relationships" ref="C259" r:id="rIdConfidence259"/>
    <x:hyperlink xmlns:r="http://schemas.openxmlformats.org/officeDocument/2006/relationships" ref="C260" r:id="rIdConfidence260"/>
    <x:hyperlink xmlns:r="http://schemas.openxmlformats.org/officeDocument/2006/relationships" ref="C261" r:id="rIdConfidence261"/>
    <x:hyperlink xmlns:r="http://schemas.openxmlformats.org/officeDocument/2006/relationships" ref="C262" r:id="rIdConfidence262"/>
    <x:hyperlink xmlns:r="http://schemas.openxmlformats.org/officeDocument/2006/relationships" ref="C263" r:id="rIdConfidence263"/>
    <x:hyperlink xmlns:r="http://schemas.openxmlformats.org/officeDocument/2006/relationships" ref="C264" r:id="rIdConfidence264"/>
    <x:hyperlink xmlns:r="http://schemas.openxmlformats.org/officeDocument/2006/relationships" ref="C265" r:id="rIdConfidence265"/>
    <x:hyperlink xmlns:r="http://schemas.openxmlformats.org/officeDocument/2006/relationships" ref="C266" r:id="rIdConfidence266"/>
    <x:hyperlink xmlns:r="http://schemas.openxmlformats.org/officeDocument/2006/relationships" ref="C267" r:id="rIdConfidence267"/>
    <x:hyperlink xmlns:r="http://schemas.openxmlformats.org/officeDocument/2006/relationships" ref="C268" r:id="rIdConfidence268"/>
    <x:hyperlink xmlns:r="http://schemas.openxmlformats.org/officeDocument/2006/relationships" ref="C269" r:id="rIdConfidence269"/>
    <x:hyperlink xmlns:r="http://schemas.openxmlformats.org/officeDocument/2006/relationships" ref="C270" r:id="rIdConfidence270"/>
    <x:hyperlink xmlns:r="http://schemas.openxmlformats.org/officeDocument/2006/relationships" ref="C271" r:id="rIdConfidence271"/>
    <x:hyperlink xmlns:r="http://schemas.openxmlformats.org/officeDocument/2006/relationships" ref="C272" r:id="rIdConfidence272"/>
    <x:hyperlink xmlns:r="http://schemas.openxmlformats.org/officeDocument/2006/relationships" ref="C273" r:id="rIdConfidence273"/>
    <x:hyperlink xmlns:r="http://schemas.openxmlformats.org/officeDocument/2006/relationships" ref="C274" r:id="rIdConfidence274"/>
    <x:hyperlink xmlns:r="http://schemas.openxmlformats.org/officeDocument/2006/relationships" ref="C275" r:id="rIdConfidence275"/>
    <x:hyperlink xmlns:r="http://schemas.openxmlformats.org/officeDocument/2006/relationships" ref="C276" r:id="rIdConfidence276"/>
    <x:hyperlink xmlns:r="http://schemas.openxmlformats.org/officeDocument/2006/relationships" ref="C277" r:id="rIdConfidence277"/>
    <x:hyperlink xmlns:r="http://schemas.openxmlformats.org/officeDocument/2006/relationships" ref="C278" r:id="rIdConfidence278"/>
    <x:hyperlink xmlns:r="http://schemas.openxmlformats.org/officeDocument/2006/relationships" ref="C279" r:id="rIdConfidence279"/>
    <x:hyperlink xmlns:r="http://schemas.openxmlformats.org/officeDocument/2006/relationships" ref="C280" r:id="rIdConfidence280"/>
    <x:hyperlink xmlns:r="http://schemas.openxmlformats.org/officeDocument/2006/relationships" ref="C281" r:id="rIdConfidence281"/>
    <x:hyperlink xmlns:r="http://schemas.openxmlformats.org/officeDocument/2006/relationships" ref="C282" r:id="rIdConfidence282"/>
    <x:hyperlink xmlns:r="http://schemas.openxmlformats.org/officeDocument/2006/relationships" ref="C283" r:id="rIdConfidence283"/>
    <x:hyperlink xmlns:r="http://schemas.openxmlformats.org/officeDocument/2006/relationships" ref="C284" r:id="rIdConfidence284"/>
    <x:hyperlink xmlns:r="http://schemas.openxmlformats.org/officeDocument/2006/relationships" ref="C285" r:id="rIdConfidence285"/>
    <x:hyperlink xmlns:r="http://schemas.openxmlformats.org/officeDocument/2006/relationships" ref="C286" r:id="rIdConfidence286"/>
    <x:hyperlink xmlns:r="http://schemas.openxmlformats.org/officeDocument/2006/relationships" ref="C287" r:id="rIdConfidence287"/>
    <x:hyperlink xmlns:r="http://schemas.openxmlformats.org/officeDocument/2006/relationships" ref="C288" r:id="rIdConfidence288"/>
    <x:hyperlink xmlns:r="http://schemas.openxmlformats.org/officeDocument/2006/relationships" ref="C289" r:id="rIdConfidence289"/>
    <x:hyperlink xmlns:r="http://schemas.openxmlformats.org/officeDocument/2006/relationships" ref="C290" r:id="rIdConfidence290"/>
    <x:hyperlink xmlns:r="http://schemas.openxmlformats.org/officeDocument/2006/relationships" ref="C291" r:id="rIdConfidence291"/>
    <x:hyperlink xmlns:r="http://schemas.openxmlformats.org/officeDocument/2006/relationships" ref="C292" r:id="rIdConfidence292"/>
    <x:hyperlink xmlns:r="http://schemas.openxmlformats.org/officeDocument/2006/relationships" ref="C293" r:id="rIdConfidence293"/>
    <x:hyperlink xmlns:r="http://schemas.openxmlformats.org/officeDocument/2006/relationships" ref="C294" r:id="rIdConfidence294"/>
    <x:hyperlink xmlns:r="http://schemas.openxmlformats.org/officeDocument/2006/relationships" ref="C295" r:id="rIdConfidence295"/>
    <x:hyperlink xmlns:r="http://schemas.openxmlformats.org/officeDocument/2006/relationships" ref="C296" r:id="rIdConfidence296"/>
    <x:hyperlink xmlns:r="http://schemas.openxmlformats.org/officeDocument/2006/relationships" ref="C297" r:id="rIdConfidence297"/>
    <x:hyperlink xmlns:r="http://schemas.openxmlformats.org/officeDocument/2006/relationships" ref="C298" r:id="rIdConfidence298"/>
    <x:hyperlink xmlns:r="http://schemas.openxmlformats.org/officeDocument/2006/relationships" ref="C299" r:id="rIdConfidence299"/>
    <x:hyperlink xmlns:r="http://schemas.openxmlformats.org/officeDocument/2006/relationships" ref="C300" r:id="rIdConfidence300"/>
    <x:hyperlink xmlns:r="http://schemas.openxmlformats.org/officeDocument/2006/relationships" ref="C301" r:id="rIdConfidence301"/>
    <x:hyperlink xmlns:r="http://schemas.openxmlformats.org/officeDocument/2006/relationships" ref="C302" r:id="rIdConfidence302"/>
    <x:hyperlink xmlns:r="http://schemas.openxmlformats.org/officeDocument/2006/relationships" ref="C303" r:id="rIdConfidence303"/>
    <x:hyperlink xmlns:r="http://schemas.openxmlformats.org/officeDocument/2006/relationships" ref="C304" r:id="rIdConfidence304"/>
    <x:hyperlink xmlns:r="http://schemas.openxmlformats.org/officeDocument/2006/relationships" ref="C305" r:id="rIdConfidence305"/>
    <x:hyperlink xmlns:r="http://schemas.openxmlformats.org/officeDocument/2006/relationships" ref="C306" r:id="rIdConfidence306"/>
    <x:hyperlink xmlns:r="http://schemas.openxmlformats.org/officeDocument/2006/relationships" ref="C307" r:id="rIdConfidence307"/>
    <x:hyperlink xmlns:r="http://schemas.openxmlformats.org/officeDocument/2006/relationships" ref="C308" r:id="rIdConfidence308"/>
    <x:hyperlink xmlns:r="http://schemas.openxmlformats.org/officeDocument/2006/relationships" ref="C309" r:id="rIdConfidence309"/>
    <x:hyperlink xmlns:r="http://schemas.openxmlformats.org/officeDocument/2006/relationships" ref="C310" r:id="rIdConfidence310"/>
    <x:hyperlink xmlns:r="http://schemas.openxmlformats.org/officeDocument/2006/relationships" ref="C311" r:id="rIdConfidence311"/>
    <x:hyperlink xmlns:r="http://schemas.openxmlformats.org/officeDocument/2006/relationships" ref="C312" r:id="rIdConfidence312"/>
    <x:hyperlink xmlns:r="http://schemas.openxmlformats.org/officeDocument/2006/relationships" ref="C313" r:id="rIdConfidence313"/>
    <x:hyperlink xmlns:r="http://schemas.openxmlformats.org/officeDocument/2006/relationships" ref="C314" r:id="rIdConfidence314"/>
    <x:hyperlink xmlns:r="http://schemas.openxmlformats.org/officeDocument/2006/relationships" ref="C315" r:id="rIdConfidence315"/>
    <x:hyperlink xmlns:r="http://schemas.openxmlformats.org/officeDocument/2006/relationships" ref="C316" r:id="rIdConfidence316"/>
    <x:hyperlink xmlns:r="http://schemas.openxmlformats.org/officeDocument/2006/relationships" ref="C317" r:id="rIdConfidence317"/>
    <x:hyperlink xmlns:r="http://schemas.openxmlformats.org/officeDocument/2006/relationships" ref="C318" r:id="rIdConfidence318"/>
    <x:hyperlink xmlns:r="http://schemas.openxmlformats.org/officeDocument/2006/relationships" ref="C319" r:id="rIdConfidence319"/>
    <x:hyperlink xmlns:r="http://schemas.openxmlformats.org/officeDocument/2006/relationships" ref="C320" r:id="rIdConfidence320"/>
    <x:hyperlink xmlns:r="http://schemas.openxmlformats.org/officeDocument/2006/relationships" ref="C321" r:id="rIdConfidence321"/>
    <x:hyperlink xmlns:r="http://schemas.openxmlformats.org/officeDocument/2006/relationships" ref="C322" r:id="rIdConfidence322"/>
    <x:hyperlink xmlns:r="http://schemas.openxmlformats.org/officeDocument/2006/relationships" ref="C323" r:id="rIdConfidence323"/>
    <x:hyperlink xmlns:r="http://schemas.openxmlformats.org/officeDocument/2006/relationships" ref="C324" r:id="rIdConfidence324"/>
    <x:hyperlink xmlns:r="http://schemas.openxmlformats.org/officeDocument/2006/relationships" ref="C325" r:id="rIdConfidence325"/>
    <x:hyperlink xmlns:r="http://schemas.openxmlformats.org/officeDocument/2006/relationships" ref="C326" r:id="rIdConfidence326"/>
    <x:hyperlink xmlns:r="http://schemas.openxmlformats.org/officeDocument/2006/relationships" ref="C327" r:id="rIdConfidence327"/>
    <x:hyperlink xmlns:r="http://schemas.openxmlformats.org/officeDocument/2006/relationships" ref="C328" r:id="rIdConfidence328"/>
    <x:hyperlink xmlns:r="http://schemas.openxmlformats.org/officeDocument/2006/relationships" ref="C329" r:id="rIdConfidence329"/>
    <x:hyperlink xmlns:r="http://schemas.openxmlformats.org/officeDocument/2006/relationships" ref="C330" r:id="rIdConfidence330"/>
    <x:hyperlink xmlns:r="http://schemas.openxmlformats.org/officeDocument/2006/relationships" ref="C331" r:id="rIdConfidence331"/>
    <x:hyperlink xmlns:r="http://schemas.openxmlformats.org/officeDocument/2006/relationships" ref="C332" r:id="rIdConfidence332"/>
    <x:hyperlink xmlns:r="http://schemas.openxmlformats.org/officeDocument/2006/relationships" ref="C333" r:id="rIdConfidence333"/>
    <x:hyperlink xmlns:r="http://schemas.openxmlformats.org/officeDocument/2006/relationships" ref="C334" r:id="rIdConfidence334"/>
    <x:hyperlink xmlns:r="http://schemas.openxmlformats.org/officeDocument/2006/relationships" ref="C335" r:id="rIdConfidence335"/>
    <x:hyperlink xmlns:r="http://schemas.openxmlformats.org/officeDocument/2006/relationships" ref="C336" r:id="rIdConfidence336"/>
    <x:hyperlink xmlns:r="http://schemas.openxmlformats.org/officeDocument/2006/relationships" ref="C337" r:id="rIdConfidence337"/>
    <x:hyperlink xmlns:r="http://schemas.openxmlformats.org/officeDocument/2006/relationships" ref="C338" r:id="rIdConfidence338"/>
    <x:hyperlink xmlns:r="http://schemas.openxmlformats.org/officeDocument/2006/relationships" ref="C339" r:id="rIdConfidence339"/>
    <x:hyperlink xmlns:r="http://schemas.openxmlformats.org/officeDocument/2006/relationships" ref="C340" r:id="rIdConfidence340"/>
    <x:hyperlink xmlns:r="http://schemas.openxmlformats.org/officeDocument/2006/relationships" ref="C341" r:id="rIdConfidence341"/>
    <x:hyperlink xmlns:r="http://schemas.openxmlformats.org/officeDocument/2006/relationships" ref="C342" r:id="rIdConfidence342"/>
    <x:hyperlink xmlns:r="http://schemas.openxmlformats.org/officeDocument/2006/relationships" ref="C343" r:id="rIdConfidence343"/>
    <x:hyperlink xmlns:r="http://schemas.openxmlformats.org/officeDocument/2006/relationships" ref="C344" r:id="rIdConfidence344"/>
    <x:hyperlink xmlns:r="http://schemas.openxmlformats.org/officeDocument/2006/relationships" ref="C345" r:id="rIdConfidence345"/>
    <x:hyperlink xmlns:r="http://schemas.openxmlformats.org/officeDocument/2006/relationships" ref="C346" r:id="rIdConfidence346"/>
    <x:hyperlink xmlns:r="http://schemas.openxmlformats.org/officeDocument/2006/relationships" ref="C347" r:id="rIdConfidence347"/>
    <x:hyperlink xmlns:r="http://schemas.openxmlformats.org/officeDocument/2006/relationships" ref="C348" r:id="rIdConfidence348"/>
    <x:hyperlink xmlns:r="http://schemas.openxmlformats.org/officeDocument/2006/relationships" ref="C349" r:id="rIdConfidence349"/>
    <x:hyperlink xmlns:r="http://schemas.openxmlformats.org/officeDocument/2006/relationships" ref="C350" r:id="rIdConfidence350"/>
    <x:hyperlink xmlns:r="http://schemas.openxmlformats.org/officeDocument/2006/relationships" ref="C351" r:id="rIdConfidence351"/>
    <x:hyperlink xmlns:r="http://schemas.openxmlformats.org/officeDocument/2006/relationships" ref="C352" r:id="rIdConfidence352"/>
    <x:hyperlink xmlns:r="http://schemas.openxmlformats.org/officeDocument/2006/relationships" ref="C353" r:id="rIdConfidence353"/>
    <x:hyperlink xmlns:r="http://schemas.openxmlformats.org/officeDocument/2006/relationships" ref="C354" r:id="rIdConfidence354"/>
    <x:hyperlink xmlns:r="http://schemas.openxmlformats.org/officeDocument/2006/relationships" ref="C355" r:id="rIdConfidence355"/>
    <x:hyperlink xmlns:r="http://schemas.openxmlformats.org/officeDocument/2006/relationships" ref="C356" r:id="rIdConfidence356"/>
    <x:hyperlink xmlns:r="http://schemas.openxmlformats.org/officeDocument/2006/relationships" ref="C357" r:id="rIdConfidence357"/>
    <x:hyperlink xmlns:r="http://schemas.openxmlformats.org/officeDocument/2006/relationships" ref="C358" r:id="rIdConfidence358"/>
    <x:hyperlink xmlns:r="http://schemas.openxmlformats.org/officeDocument/2006/relationships" ref="C359" r:id="rIdConfidence359"/>
    <x:hyperlink xmlns:r="http://schemas.openxmlformats.org/officeDocument/2006/relationships" ref="C360" r:id="rIdConfidence360"/>
    <x:hyperlink xmlns:r="http://schemas.openxmlformats.org/officeDocument/2006/relationships" ref="C361" r:id="rIdConfidence361"/>
    <x:hyperlink xmlns:r="http://schemas.openxmlformats.org/officeDocument/2006/relationships" ref="C362" r:id="rIdConfidence362"/>
    <x:hyperlink xmlns:r="http://schemas.openxmlformats.org/officeDocument/2006/relationships" ref="C363" r:id="rIdConfidence363"/>
    <x:hyperlink xmlns:r="http://schemas.openxmlformats.org/officeDocument/2006/relationships" ref="C364" r:id="rIdConfidence364"/>
    <x:hyperlink xmlns:r="http://schemas.openxmlformats.org/officeDocument/2006/relationships" ref="C365" r:id="rIdConfidence365"/>
    <x:hyperlink xmlns:r="http://schemas.openxmlformats.org/officeDocument/2006/relationships" ref="C366" r:id="rIdConfidence366"/>
    <x:hyperlink xmlns:r="http://schemas.openxmlformats.org/officeDocument/2006/relationships" ref="C367" r:id="rIdConfidence367"/>
    <x:hyperlink xmlns:r="http://schemas.openxmlformats.org/officeDocument/2006/relationships" ref="C368" r:id="rIdConfidence368"/>
    <x:hyperlink xmlns:r="http://schemas.openxmlformats.org/officeDocument/2006/relationships" ref="C369" r:id="rIdConfidence369"/>
    <x:hyperlink xmlns:r="http://schemas.openxmlformats.org/officeDocument/2006/relationships" ref="C370" r:id="rIdConfidence370"/>
    <x:hyperlink xmlns:r="http://schemas.openxmlformats.org/officeDocument/2006/relationships" ref="C371" r:id="rIdConfidence371"/>
    <x:hyperlink xmlns:r="http://schemas.openxmlformats.org/officeDocument/2006/relationships" ref="C372" r:id="rIdConfidence372"/>
    <x:hyperlink xmlns:r="http://schemas.openxmlformats.org/officeDocument/2006/relationships" ref="C373" r:id="rIdConfidence373"/>
    <x:hyperlink xmlns:r="http://schemas.openxmlformats.org/officeDocument/2006/relationships" ref="C374" r:id="rIdConfidence374"/>
    <x:hyperlink xmlns:r="http://schemas.openxmlformats.org/officeDocument/2006/relationships" ref="C375" r:id="rIdConfidence375"/>
    <x:hyperlink xmlns:r="http://schemas.openxmlformats.org/officeDocument/2006/relationships" ref="C376" r:id="rIdConfidence376"/>
    <x:hyperlink xmlns:r="http://schemas.openxmlformats.org/officeDocument/2006/relationships" ref="C377" r:id="rIdConfidence377"/>
    <x:hyperlink xmlns:r="http://schemas.openxmlformats.org/officeDocument/2006/relationships" ref="C378" r:id="rIdConfidence378"/>
    <x:hyperlink xmlns:r="http://schemas.openxmlformats.org/officeDocument/2006/relationships" ref="C379" r:id="rIdConfidence379"/>
    <x:hyperlink xmlns:r="http://schemas.openxmlformats.org/officeDocument/2006/relationships" ref="C380" r:id="rIdConfidence380"/>
    <x:hyperlink xmlns:r="http://schemas.openxmlformats.org/officeDocument/2006/relationships" ref="C381" r:id="rIdConfidence381"/>
    <x:hyperlink xmlns:r="http://schemas.openxmlformats.org/officeDocument/2006/relationships" ref="C382" r:id="rIdConfidence382"/>
    <x:hyperlink xmlns:r="http://schemas.openxmlformats.org/officeDocument/2006/relationships" ref="C383" r:id="rIdConfidence383"/>
    <x:hyperlink xmlns:r="http://schemas.openxmlformats.org/officeDocument/2006/relationships" ref="C384" r:id="rIdConfidence384"/>
    <x:hyperlink xmlns:r="http://schemas.openxmlformats.org/officeDocument/2006/relationships" ref="C385" r:id="rIdConfidence385"/>
    <x:hyperlink xmlns:r="http://schemas.openxmlformats.org/officeDocument/2006/relationships" ref="C386" r:id="rIdConfidence386"/>
    <x:hyperlink xmlns:r="http://schemas.openxmlformats.org/officeDocument/2006/relationships" ref="C387" r:id="rIdConfidence387"/>
    <x:hyperlink xmlns:r="http://schemas.openxmlformats.org/officeDocument/2006/relationships" ref="C388" r:id="rIdConfidence388"/>
    <x:hyperlink xmlns:r="http://schemas.openxmlformats.org/officeDocument/2006/relationships" ref="C389" r:id="rIdConfidence389"/>
    <x:hyperlink xmlns:r="http://schemas.openxmlformats.org/officeDocument/2006/relationships" ref="C390" r:id="rIdConfidence390"/>
    <x:hyperlink xmlns:r="http://schemas.openxmlformats.org/officeDocument/2006/relationships" ref="C391" r:id="rIdConfidence391"/>
    <x:hyperlink xmlns:r="http://schemas.openxmlformats.org/officeDocument/2006/relationships" ref="C392" r:id="rIdConfidence392"/>
    <x:hyperlink xmlns:r="http://schemas.openxmlformats.org/officeDocument/2006/relationships" ref="C393" r:id="rIdConfidence393"/>
    <x:hyperlink xmlns:r="http://schemas.openxmlformats.org/officeDocument/2006/relationships" ref="C394" r:id="rIdConfidence394"/>
    <x:hyperlink xmlns:r="http://schemas.openxmlformats.org/officeDocument/2006/relationships" ref="C395" r:id="rIdConfidence395"/>
    <x:hyperlink xmlns:r="http://schemas.openxmlformats.org/officeDocument/2006/relationships" ref="C396" r:id="rIdConfidence396"/>
    <x:hyperlink xmlns:r="http://schemas.openxmlformats.org/officeDocument/2006/relationships" ref="C397" r:id="rIdConfidence397"/>
    <x:hyperlink xmlns:r="http://schemas.openxmlformats.org/officeDocument/2006/relationships" ref="C398" r:id="rIdConfidence398"/>
    <x:hyperlink xmlns:r="http://schemas.openxmlformats.org/officeDocument/2006/relationships" ref="C399" r:id="rIdConfidence399"/>
    <x:hyperlink xmlns:r="http://schemas.openxmlformats.org/officeDocument/2006/relationships" ref="C400" r:id="rIdConfidence400"/>
    <x:hyperlink xmlns:r="http://schemas.openxmlformats.org/officeDocument/2006/relationships" ref="C401" r:id="rIdConfidence401"/>
    <x:hyperlink xmlns:r="http://schemas.openxmlformats.org/officeDocument/2006/relationships" ref="C402" r:id="rIdConfidence402"/>
    <x:hyperlink xmlns:r="http://schemas.openxmlformats.org/officeDocument/2006/relationships" ref="C403" r:id="rIdConfidence403"/>
    <x:hyperlink xmlns:r="http://schemas.openxmlformats.org/officeDocument/2006/relationships" ref="C404" r:id="rIdConfidence404"/>
    <x:hyperlink xmlns:r="http://schemas.openxmlformats.org/officeDocument/2006/relationships" ref="C405" r:id="rIdConfidence405"/>
    <x:hyperlink xmlns:r="http://schemas.openxmlformats.org/officeDocument/2006/relationships" ref="C406" r:id="rIdConfidence406"/>
    <x:hyperlink xmlns:r="http://schemas.openxmlformats.org/officeDocument/2006/relationships" ref="C407" r:id="rIdConfidence407"/>
    <x:hyperlink xmlns:r="http://schemas.openxmlformats.org/officeDocument/2006/relationships" ref="C408" r:id="rIdConfidence408"/>
    <x:hyperlink xmlns:r="http://schemas.openxmlformats.org/officeDocument/2006/relationships" ref="C409" r:id="rIdConfidence409"/>
    <x:hyperlink xmlns:r="http://schemas.openxmlformats.org/officeDocument/2006/relationships" ref="C410" r:id="rIdConfidence410"/>
    <x:hyperlink xmlns:r="http://schemas.openxmlformats.org/officeDocument/2006/relationships" ref="C411" r:id="rIdConfidence411"/>
    <x:hyperlink xmlns:r="http://schemas.openxmlformats.org/officeDocument/2006/relationships" ref="C412" r:id="rIdConfidence412"/>
    <x:hyperlink xmlns:r="http://schemas.openxmlformats.org/officeDocument/2006/relationships" ref="C413" r:id="rIdConfidence413"/>
    <x:hyperlink xmlns:r="http://schemas.openxmlformats.org/officeDocument/2006/relationships" ref="C414" r:id="rIdConfidence414"/>
    <x:hyperlink xmlns:r="http://schemas.openxmlformats.org/officeDocument/2006/relationships" ref="C415" r:id="rIdConfidence415"/>
    <x:hyperlink xmlns:r="http://schemas.openxmlformats.org/officeDocument/2006/relationships" ref="C416" r:id="rIdConfidence416"/>
    <x:hyperlink xmlns:r="http://schemas.openxmlformats.org/officeDocument/2006/relationships" ref="C417" r:id="rIdConfidence417"/>
    <x:hyperlink xmlns:r="http://schemas.openxmlformats.org/officeDocument/2006/relationships" ref="C418" r:id="rIdConfidence418"/>
    <x:hyperlink xmlns:r="http://schemas.openxmlformats.org/officeDocument/2006/relationships" ref="C419" r:id="rIdConfidence419"/>
    <x:hyperlink xmlns:r="http://schemas.openxmlformats.org/officeDocument/2006/relationships" ref="C420" r:id="rIdConfidence420"/>
    <x:hyperlink xmlns:r="http://schemas.openxmlformats.org/officeDocument/2006/relationships" ref="C421" r:id="rIdConfidence421"/>
    <x:hyperlink xmlns:r="http://schemas.openxmlformats.org/officeDocument/2006/relationships" ref="C422" r:id="rIdConfidence422"/>
    <x:hyperlink xmlns:r="http://schemas.openxmlformats.org/officeDocument/2006/relationships" ref="C423" r:id="rIdConfidence423"/>
    <x:hyperlink xmlns:r="http://schemas.openxmlformats.org/officeDocument/2006/relationships" ref="C424" r:id="rIdConfidence424"/>
    <x:hyperlink xmlns:r="http://schemas.openxmlformats.org/officeDocument/2006/relationships" ref="C425" r:id="rIdConfidence425"/>
    <x:hyperlink xmlns:r="http://schemas.openxmlformats.org/officeDocument/2006/relationships" ref="C426" r:id="rIdConfidence426"/>
    <x:hyperlink xmlns:r="http://schemas.openxmlformats.org/officeDocument/2006/relationships" ref="C427" r:id="rIdConfidence427"/>
    <x:hyperlink xmlns:r="http://schemas.openxmlformats.org/officeDocument/2006/relationships" ref="C428" r:id="rIdConfidence428"/>
    <x:hyperlink xmlns:r="http://schemas.openxmlformats.org/officeDocument/2006/relationships" ref="C429" r:id="rIdConfidence429"/>
    <x:hyperlink xmlns:r="http://schemas.openxmlformats.org/officeDocument/2006/relationships" ref="C430" r:id="rIdConfidence430"/>
    <x:hyperlink xmlns:r="http://schemas.openxmlformats.org/officeDocument/2006/relationships" ref="C431" r:id="rIdConfidence431"/>
    <x:hyperlink xmlns:r="http://schemas.openxmlformats.org/officeDocument/2006/relationships" ref="C432" r:id="rIdConfidence432"/>
    <x:hyperlink xmlns:r="http://schemas.openxmlformats.org/officeDocument/2006/relationships" ref="C433" r:id="rIdConfidence433"/>
    <x:hyperlink xmlns:r="http://schemas.openxmlformats.org/officeDocument/2006/relationships" ref="C434" r:id="rIdConfidence434"/>
    <x:hyperlink xmlns:r="http://schemas.openxmlformats.org/officeDocument/2006/relationships" ref="C435" r:id="rIdConfidence435"/>
    <x:hyperlink xmlns:r="http://schemas.openxmlformats.org/officeDocument/2006/relationships" ref="C436" r:id="rIdConfidence436"/>
    <x:hyperlink xmlns:r="http://schemas.openxmlformats.org/officeDocument/2006/relationships" ref="C437" r:id="rIdConfidence437"/>
    <x:hyperlink xmlns:r="http://schemas.openxmlformats.org/officeDocument/2006/relationships" ref="C438" r:id="rIdConfidence438"/>
    <x:hyperlink xmlns:r="http://schemas.openxmlformats.org/officeDocument/2006/relationships" ref="C439" r:id="rIdConfidence439"/>
    <x:hyperlink xmlns:r="http://schemas.openxmlformats.org/officeDocument/2006/relationships" ref="C440" r:id="rIdConfidence440"/>
    <x:hyperlink xmlns:r="http://schemas.openxmlformats.org/officeDocument/2006/relationships" ref="C441" r:id="rIdConfidence441"/>
    <x:hyperlink xmlns:r="http://schemas.openxmlformats.org/officeDocument/2006/relationships" ref="C442" r:id="rIdConfidence442"/>
    <x:hyperlink xmlns:r="http://schemas.openxmlformats.org/officeDocument/2006/relationships" ref="C443" r:id="rIdConfidence443"/>
    <x:hyperlink xmlns:r="http://schemas.openxmlformats.org/officeDocument/2006/relationships" ref="C444" r:id="rIdConfidence444"/>
    <x:hyperlink xmlns:r="http://schemas.openxmlformats.org/officeDocument/2006/relationships" ref="C445" r:id="rIdConfidence445"/>
    <x:hyperlink xmlns:r="http://schemas.openxmlformats.org/officeDocument/2006/relationships" ref="C446" r:id="rIdConfidence446"/>
    <x:hyperlink xmlns:r="http://schemas.openxmlformats.org/officeDocument/2006/relationships" ref="C447" r:id="rIdConfidence447"/>
    <x:hyperlink xmlns:r="http://schemas.openxmlformats.org/officeDocument/2006/relationships" ref="C448" r:id="rIdConfidence448"/>
    <x:hyperlink xmlns:r="http://schemas.openxmlformats.org/officeDocument/2006/relationships" ref="C449" r:id="rIdConfidence449"/>
    <x:hyperlink xmlns:r="http://schemas.openxmlformats.org/officeDocument/2006/relationships" ref="C450" r:id="rIdConfidence450"/>
    <x:hyperlink xmlns:r="http://schemas.openxmlformats.org/officeDocument/2006/relationships" ref="C451" r:id="rIdConfidence451"/>
    <x:hyperlink xmlns:r="http://schemas.openxmlformats.org/officeDocument/2006/relationships" ref="C452" r:id="rIdConfidence452"/>
    <x:hyperlink xmlns:r="http://schemas.openxmlformats.org/officeDocument/2006/relationships" ref="C453" r:id="rIdConfidence453"/>
    <x:hyperlink xmlns:r="http://schemas.openxmlformats.org/officeDocument/2006/relationships" ref="C454" r:id="rIdConfidence454"/>
    <x:hyperlink xmlns:r="http://schemas.openxmlformats.org/officeDocument/2006/relationships" ref="C455" r:id="rIdConfidence455"/>
    <x:hyperlink xmlns:r="http://schemas.openxmlformats.org/officeDocument/2006/relationships" ref="C456" r:id="rIdConfidence456"/>
    <x:hyperlink xmlns:r="http://schemas.openxmlformats.org/officeDocument/2006/relationships" ref="C457" r:id="rIdConfidence457"/>
    <x:hyperlink xmlns:r="http://schemas.openxmlformats.org/officeDocument/2006/relationships" ref="C458" r:id="rIdConfidence458"/>
    <x:hyperlink xmlns:r="http://schemas.openxmlformats.org/officeDocument/2006/relationships" ref="C459" r:id="rIdConfidence459"/>
    <x:hyperlink xmlns:r="http://schemas.openxmlformats.org/officeDocument/2006/relationships" ref="C460" r:id="rIdConfidence460"/>
    <x:hyperlink xmlns:r="http://schemas.openxmlformats.org/officeDocument/2006/relationships" ref="C461" r:id="rIdConfidence461"/>
    <x:hyperlink xmlns:r="http://schemas.openxmlformats.org/officeDocument/2006/relationships" ref="C462" r:id="rIdConfidence462"/>
    <x:hyperlink xmlns:r="http://schemas.openxmlformats.org/officeDocument/2006/relationships" ref="C463" r:id="rIdConfidence463"/>
    <x:hyperlink xmlns:r="http://schemas.openxmlformats.org/officeDocument/2006/relationships" ref="C464" r:id="rIdConfidence464"/>
    <x:hyperlink xmlns:r="http://schemas.openxmlformats.org/officeDocument/2006/relationships" ref="C465" r:id="rIdConfidence465"/>
    <x:hyperlink xmlns:r="http://schemas.openxmlformats.org/officeDocument/2006/relationships" ref="C466" r:id="rIdConfidence466"/>
    <x:hyperlink xmlns:r="http://schemas.openxmlformats.org/officeDocument/2006/relationships" ref="C467" r:id="rIdConfidence467"/>
    <x:hyperlink xmlns:r="http://schemas.openxmlformats.org/officeDocument/2006/relationships" ref="C468" r:id="rIdConfidence468"/>
    <x:hyperlink xmlns:r="http://schemas.openxmlformats.org/officeDocument/2006/relationships" ref="C469" r:id="rIdConfidence469"/>
    <x:hyperlink xmlns:r="http://schemas.openxmlformats.org/officeDocument/2006/relationships" ref="C470" r:id="rIdConfidence470"/>
    <x:hyperlink xmlns:r="http://schemas.openxmlformats.org/officeDocument/2006/relationships" ref="C471" r:id="rIdConfidence471"/>
    <x:hyperlink xmlns:r="http://schemas.openxmlformats.org/officeDocument/2006/relationships" ref="C472" r:id="rIdConfidence472"/>
    <x:hyperlink xmlns:r="http://schemas.openxmlformats.org/officeDocument/2006/relationships" ref="C473" r:id="rIdConfidence473"/>
    <x:hyperlink xmlns:r="http://schemas.openxmlformats.org/officeDocument/2006/relationships" ref="C474" r:id="rIdConfidence474"/>
    <x:hyperlink xmlns:r="http://schemas.openxmlformats.org/officeDocument/2006/relationships" ref="C475" r:id="rIdConfidence475"/>
    <x:hyperlink xmlns:r="http://schemas.openxmlformats.org/officeDocument/2006/relationships" ref="C476" r:id="rIdConfidence476"/>
    <x:hyperlink xmlns:r="http://schemas.openxmlformats.org/officeDocument/2006/relationships" ref="C477" r:id="rIdConfidence477"/>
    <x:hyperlink xmlns:r="http://schemas.openxmlformats.org/officeDocument/2006/relationships" ref="C478" r:id="rIdConfidence478"/>
    <x:hyperlink xmlns:r="http://schemas.openxmlformats.org/officeDocument/2006/relationships" ref="C479" r:id="rIdConfidence479"/>
    <x:hyperlink xmlns:r="http://schemas.openxmlformats.org/officeDocument/2006/relationships" ref="C480" r:id="rIdConfidence480"/>
    <x:hyperlink xmlns:r="http://schemas.openxmlformats.org/officeDocument/2006/relationships" ref="C481" r:id="rIdConfidence481"/>
    <x:hyperlink xmlns:r="http://schemas.openxmlformats.org/officeDocument/2006/relationships" ref="C482" r:id="rIdConfidence482"/>
    <x:hyperlink xmlns:r="http://schemas.openxmlformats.org/officeDocument/2006/relationships" ref="C483" r:id="rIdConfidence483"/>
    <x:hyperlink xmlns:r="http://schemas.openxmlformats.org/officeDocument/2006/relationships" ref="C484" r:id="rIdConfidence484"/>
    <x:hyperlink xmlns:r="http://schemas.openxmlformats.org/officeDocument/2006/relationships" ref="C485" r:id="rIdConfidence485"/>
    <x:hyperlink xmlns:r="http://schemas.openxmlformats.org/officeDocument/2006/relationships" ref="C486" r:id="rIdConfidence486"/>
    <x:hyperlink xmlns:r="http://schemas.openxmlformats.org/officeDocument/2006/relationships" ref="C487" r:id="rIdConfidence487"/>
    <x:hyperlink xmlns:r="http://schemas.openxmlformats.org/officeDocument/2006/relationships" ref="C488" r:id="rIdConfidence488"/>
    <x:hyperlink xmlns:r="http://schemas.openxmlformats.org/officeDocument/2006/relationships" ref="C489" r:id="rIdConfidence489"/>
    <x:hyperlink xmlns:r="http://schemas.openxmlformats.org/officeDocument/2006/relationships" ref="C490" r:id="rIdConfidence490"/>
    <x:hyperlink xmlns:r="http://schemas.openxmlformats.org/officeDocument/2006/relationships" ref="C491" r:id="rIdConfidence491"/>
    <x:hyperlink xmlns:r="http://schemas.openxmlformats.org/officeDocument/2006/relationships" ref="C492" r:id="rIdConfidence492"/>
    <x:hyperlink xmlns:r="http://schemas.openxmlformats.org/officeDocument/2006/relationships" ref="C493" r:id="rIdConfidence493"/>
    <x:hyperlink xmlns:r="http://schemas.openxmlformats.org/officeDocument/2006/relationships" ref="C494" r:id="rIdConfidence494"/>
    <x:hyperlink xmlns:r="http://schemas.openxmlformats.org/officeDocument/2006/relationships" ref="C495" r:id="rIdConfidence495"/>
    <x:hyperlink xmlns:r="http://schemas.openxmlformats.org/officeDocument/2006/relationships" ref="C496" r:id="rIdConfidence496"/>
    <x:hyperlink xmlns:r="http://schemas.openxmlformats.org/officeDocument/2006/relationships" ref="C497" r:id="rIdConfidence497"/>
    <x:hyperlink xmlns:r="http://schemas.openxmlformats.org/officeDocument/2006/relationships" ref="C498" r:id="rIdConfidence498"/>
    <x:hyperlink xmlns:r="http://schemas.openxmlformats.org/officeDocument/2006/relationships" ref="C499" r:id="rIdConfidence499"/>
    <x:hyperlink xmlns:r="http://schemas.openxmlformats.org/officeDocument/2006/relationships" ref="C500" r:id="rIdConfidence500"/>
    <x:hyperlink xmlns:r="http://schemas.openxmlformats.org/officeDocument/2006/relationships" ref="C501" r:id="rIdConfidence501"/>
    <x:hyperlink xmlns:r="http://schemas.openxmlformats.org/officeDocument/2006/relationships" ref="C502" r:id="rIdConfidence502"/>
    <x:hyperlink xmlns:r="http://schemas.openxmlformats.org/officeDocument/2006/relationships" ref="C503" r:id="rIdConfidence503"/>
    <x:hyperlink xmlns:r="http://schemas.openxmlformats.org/officeDocument/2006/relationships" ref="C504" r:id="rIdConfidence504"/>
    <x:hyperlink xmlns:r="http://schemas.openxmlformats.org/officeDocument/2006/relationships" ref="C505" r:id="rIdConfidence505"/>
    <x:hyperlink xmlns:r="http://schemas.openxmlformats.org/officeDocument/2006/relationships" ref="C506" r:id="rIdConfidence506"/>
    <x:hyperlink xmlns:r="http://schemas.openxmlformats.org/officeDocument/2006/relationships" ref="C507" r:id="rIdConfidence507"/>
    <x:hyperlink xmlns:r="http://schemas.openxmlformats.org/officeDocument/2006/relationships" ref="C508" r:id="rIdConfidence508"/>
    <x:hyperlink xmlns:r="http://schemas.openxmlformats.org/officeDocument/2006/relationships" ref="C509" r:id="rIdConfidence509"/>
    <x:hyperlink xmlns:r="http://schemas.openxmlformats.org/officeDocument/2006/relationships" ref="C510" r:id="rIdConfidence510"/>
    <x:hyperlink xmlns:r="http://schemas.openxmlformats.org/officeDocument/2006/relationships" ref="C511" r:id="rIdConfidence511"/>
    <x:hyperlink xmlns:r="http://schemas.openxmlformats.org/officeDocument/2006/relationships" ref="C512" r:id="rIdConfidence512"/>
    <x:hyperlink xmlns:r="http://schemas.openxmlformats.org/officeDocument/2006/relationships" ref="C513" r:id="rIdConfidence513"/>
    <x:hyperlink xmlns:r="http://schemas.openxmlformats.org/officeDocument/2006/relationships" ref="C514" r:id="rIdConfidence514"/>
    <x:hyperlink xmlns:r="http://schemas.openxmlformats.org/officeDocument/2006/relationships" ref="C515" r:id="rIdConfidence515"/>
    <x:hyperlink xmlns:r="http://schemas.openxmlformats.org/officeDocument/2006/relationships" ref="C516" r:id="rIdConfidence516"/>
    <x:hyperlink xmlns:r="http://schemas.openxmlformats.org/officeDocument/2006/relationships" ref="C517" r:id="rIdConfidence517"/>
    <x:hyperlink xmlns:r="http://schemas.openxmlformats.org/officeDocument/2006/relationships" ref="C518" r:id="rIdConfidence518"/>
    <x:hyperlink xmlns:r="http://schemas.openxmlformats.org/officeDocument/2006/relationships" ref="C519" r:id="rIdConfidence519"/>
    <x:hyperlink xmlns:r="http://schemas.openxmlformats.org/officeDocument/2006/relationships" ref="C520" r:id="rIdConfidence520"/>
    <x:hyperlink xmlns:r="http://schemas.openxmlformats.org/officeDocument/2006/relationships" ref="C521" r:id="rIdConfidence521"/>
    <x:hyperlink xmlns:r="http://schemas.openxmlformats.org/officeDocument/2006/relationships" ref="C522" r:id="rIdConfidence522"/>
    <x:hyperlink xmlns:r="http://schemas.openxmlformats.org/officeDocument/2006/relationships" ref="C523" r:id="rIdConfidence523"/>
    <x:hyperlink xmlns:r="http://schemas.openxmlformats.org/officeDocument/2006/relationships" ref="C524" r:id="rIdConfidence524"/>
    <x:hyperlink xmlns:r="http://schemas.openxmlformats.org/officeDocument/2006/relationships" ref="C525" r:id="rIdConfidence525"/>
    <x:hyperlink xmlns:r="http://schemas.openxmlformats.org/officeDocument/2006/relationships" ref="C526" r:id="rIdConfidence526"/>
    <x:hyperlink xmlns:r="http://schemas.openxmlformats.org/officeDocument/2006/relationships" ref="C527" r:id="rIdConfidence527"/>
    <x:hyperlink xmlns:r="http://schemas.openxmlformats.org/officeDocument/2006/relationships" ref="C528" r:id="rIdConfidence528"/>
    <x:hyperlink xmlns:r="http://schemas.openxmlformats.org/officeDocument/2006/relationships" ref="C529" r:id="rIdConfidence529"/>
    <x:hyperlink xmlns:r="http://schemas.openxmlformats.org/officeDocument/2006/relationships" ref="C530" r:id="rIdConfidence530"/>
    <x:hyperlink xmlns:r="http://schemas.openxmlformats.org/officeDocument/2006/relationships" ref="C531" r:id="rIdConfidence531"/>
    <x:hyperlink xmlns:r="http://schemas.openxmlformats.org/officeDocument/2006/relationships" ref="C532" r:id="rIdConfidence532"/>
    <x:hyperlink xmlns:r="http://schemas.openxmlformats.org/officeDocument/2006/relationships" ref="C533" r:id="rIdConfidence533"/>
    <x:hyperlink xmlns:r="http://schemas.openxmlformats.org/officeDocument/2006/relationships" ref="C534" r:id="rIdConfidence534"/>
    <x:hyperlink xmlns:r="http://schemas.openxmlformats.org/officeDocument/2006/relationships" ref="C535" r:id="rIdConfidence535"/>
    <x:hyperlink xmlns:r="http://schemas.openxmlformats.org/officeDocument/2006/relationships" ref="C536" r:id="rIdConfidence536"/>
    <x:hyperlink xmlns:r="http://schemas.openxmlformats.org/officeDocument/2006/relationships" ref="C537" r:id="rIdConfidence537"/>
    <x:hyperlink xmlns:r="http://schemas.openxmlformats.org/officeDocument/2006/relationships" ref="C538" r:id="rIdConfidence538"/>
    <x:hyperlink xmlns:r="http://schemas.openxmlformats.org/officeDocument/2006/relationships" ref="C539" r:id="rIdConfidence539"/>
    <x:hyperlink xmlns:r="http://schemas.openxmlformats.org/officeDocument/2006/relationships" ref="C540" r:id="rIdConfidence540"/>
    <x:hyperlink xmlns:r="http://schemas.openxmlformats.org/officeDocument/2006/relationships" ref="C541" r:id="rIdConfidence541"/>
    <x:hyperlink xmlns:r="http://schemas.openxmlformats.org/officeDocument/2006/relationships" ref="C542" r:id="rIdConfidence542"/>
    <x:hyperlink xmlns:r="http://schemas.openxmlformats.org/officeDocument/2006/relationships" ref="C543" r:id="rIdConfidence543"/>
    <x:hyperlink xmlns:r="http://schemas.openxmlformats.org/officeDocument/2006/relationships" ref="C544" r:id="rIdConfidence544"/>
    <x:hyperlink xmlns:r="http://schemas.openxmlformats.org/officeDocument/2006/relationships" ref="C545" r:id="rIdConfidence545"/>
    <x:hyperlink xmlns:r="http://schemas.openxmlformats.org/officeDocument/2006/relationships" ref="C546" r:id="rIdConfidence546"/>
    <x:hyperlink xmlns:r="http://schemas.openxmlformats.org/officeDocument/2006/relationships" ref="C547" r:id="rIdConfidence547"/>
    <x:hyperlink xmlns:r="http://schemas.openxmlformats.org/officeDocument/2006/relationships" ref="C548" r:id="rIdConfidence548"/>
    <x:hyperlink xmlns:r="http://schemas.openxmlformats.org/officeDocument/2006/relationships" ref="C549" r:id="rIdConfidence549"/>
    <x:hyperlink xmlns:r="http://schemas.openxmlformats.org/officeDocument/2006/relationships" ref="C550" r:id="rIdConfidence550"/>
    <x:hyperlink xmlns:r="http://schemas.openxmlformats.org/officeDocument/2006/relationships" ref="C551" r:id="rIdConfidence551"/>
    <x:hyperlink xmlns:r="http://schemas.openxmlformats.org/officeDocument/2006/relationships" ref="C552" r:id="rIdConfidence552"/>
    <x:hyperlink xmlns:r="http://schemas.openxmlformats.org/officeDocument/2006/relationships" ref="C553" r:id="rIdConfidence553"/>
    <x:hyperlink xmlns:r="http://schemas.openxmlformats.org/officeDocument/2006/relationships" ref="C554" r:id="rIdConfidence554"/>
    <x:hyperlink xmlns:r="http://schemas.openxmlformats.org/officeDocument/2006/relationships" ref="C555" r:id="rIdConfidence555"/>
    <x:hyperlink xmlns:r="http://schemas.openxmlformats.org/officeDocument/2006/relationships" ref="C556" r:id="rIdConfidence556"/>
    <x:hyperlink xmlns:r="http://schemas.openxmlformats.org/officeDocument/2006/relationships" ref="C557" r:id="rIdConfidence557"/>
    <x:hyperlink xmlns:r="http://schemas.openxmlformats.org/officeDocument/2006/relationships" ref="C558" r:id="rIdConfidence558"/>
    <x:hyperlink xmlns:r="http://schemas.openxmlformats.org/officeDocument/2006/relationships" ref="C559" r:id="rIdConfidence559"/>
    <x:hyperlink xmlns:r="http://schemas.openxmlformats.org/officeDocument/2006/relationships" ref="C560" r:id="rIdConfidence560"/>
  </x:hyperlinks>
  <x:pageMargins left="0.7" right="0.7" top="0.75" bottom="0.75" header="0.3" footer="0.3"/>
  <x:tableParts count="3">
    <x:tablePart xmlns:r="http://schemas.openxmlformats.org/officeDocument/2006/relationships" r:id="Rfbf98ffbb5ca4e7c"/>
    <x:tablePart xmlns:r="http://schemas.openxmlformats.org/officeDocument/2006/relationships" r:id="Rf34b2d7c812d46eb"/>
    <x:tablePart xmlns:r="http://schemas.openxmlformats.org/officeDocument/2006/relationships" r:id="R1812fa5b0d574482"/>
  </x:tableParts>
</x:worksheet>
</file>