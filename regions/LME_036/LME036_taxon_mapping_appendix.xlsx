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d95a5a50e144426" /></Relationships>
</file>

<file path=xl/workbook.xml><?xml version="1.0" encoding="utf-8"?>
<x:workbook xmlns:x="http://schemas.openxmlformats.org/spreadsheetml/2006/main">
  <x:sheets>
    <x:sheet xmlns:r="http://schemas.openxmlformats.org/officeDocument/2006/relationships" name="Taxon appendix" sheetId="1" r:id="Rf29178b5ad424dab"/>
    <x:sheet xmlns:r="http://schemas.openxmlformats.org/officeDocument/2006/relationships" name="Coverage" sheetId="2" r:id="Rfb2c8a354767400d"/>
    <x:sheet xmlns:r="http://schemas.openxmlformats.org/officeDocument/2006/relationships" name="Allocation evidence" sheetId="3" r:id="R1bb54c86215f489c"/>
    <x:sheet xmlns:r="http://schemas.openxmlformats.org/officeDocument/2006/relationships" name="Sources" sheetId="4" r:id="Rb258fd340a1f43a4"/>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0"/>
    <x:numFmt numFmtId="202" formatCode="#,##0.000000"/>
    <x:numFmt numFmtId="203" formatCode="0.0000%"/>
    <x:numFmt numFmtId="204" formatCode="0.000000"/>
    <x:numFmt numFmtId="205" formatCode="0.000000%"/>
  </x:numFmts>
  <x:fonts count="9">
    <x:font>
      <x:sz val="11"/>
      <x:name val="Carlito"/>
    </x:font>
    <x:font>
      <x:sz val="11"/>
      <x:name val="Calibri"/>
    </x:font>
    <x:font>
      <x:b/>
      <x:sz val="11"/>
      <x:name val="Calibri"/>
    </x:font>
    <x:font>
      <x:b/>
      <x:sz val="17"/>
      <x:name val="Calibri"/>
    </x:font>
    <x:font>
      <x:b/>
      <x:sz val="17"/>
      <x:color rgb="FF153945"/>
      <x:name val="Calibri"/>
    </x:font>
    <x:font>
      <x:sz val="11"/>
      <x:color rgb="FF45545C"/>
      <x:name val="Calibri"/>
    </x:font>
    <x:font>
      <x:sz val="11"/>
      <x:color rgb="FFFFFFFF"/>
      <x:name val="Calibri"/>
    </x:font>
    <x:font>
      <x:b/>
      <x:sz val="11"/>
      <x:color rgb="FFFFFFFF"/>
      <x:name val="Calibri"/>
    </x:font>
    <x:font>
      <x:sz val="11"/>
      <x:color rgb="FF175E72"/>
      <x:name val="Calibri"/>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4" fillId="0" borderId="0" xfId="0" applyNumberFormat="1" applyFont="1" applyFill="1" applyBorder="1"/>
    <x:xf numFmtId="0" fontId="1"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0d784d851324985" /><Relationship Type="http://schemas.openxmlformats.org/officeDocument/2006/relationships/theme" Target="/xl/theme/theme1.xml" Id="Ra8115fad92a645e6" /><Relationship Type="http://schemas.openxmlformats.org/officeDocument/2006/relationships/sharedStrings" Target="/xl/sharedStrings.xml" Id="R439ca95a9baa4b1f" /><Relationship Type="http://schemas.openxmlformats.org/officeDocument/2006/relationships/worksheet" Target="/xl/worksheets/sheet1.xml" Id="Rf29178b5ad424dab" /><Relationship Type="http://schemas.openxmlformats.org/officeDocument/2006/relationships/worksheet" Target="/xl/worksheets/sheet2.xml" Id="Rfb2c8a354767400d" /><Relationship Type="http://schemas.openxmlformats.org/officeDocument/2006/relationships/worksheet" Target="/xl/worksheets/sheet3.xml" Id="R1bb54c86215f489c" /><Relationship Type="http://schemas.openxmlformats.org/officeDocument/2006/relationships/worksheet" Target="/xl/worksheets/sheet4.xml" Id="Rb258fd340a1f43a4" /></Relationships>
</file>

<file path=xl/tables/table1.xml><?xml version="1.0" encoding="utf-8"?>
<x:table xmlns:x="http://schemas.openxmlformats.org/spreadsheetml/2006/main" id="1" name="TaxonMappings" displayName="TaxonMappings" ref="A5:G379" headerRowCount="1" totalsRowCount="0" totalsRowShown="0">
  <x:autoFilter ref="A5:G379"/>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ConfidenceCoverage" displayName="ConfidenceCoverage" ref="A10:D15" headerRowCount="1" totalsRowCount="0" totalsRowShown="0">
  <x:autoFilter ref="A10:D15"/>
  <x:tableColumns count="4">
    <x:tableColumn id="1" name="Overall confidence"/>
    <x:tableColumn id="2" name="Taxa"/>
    <x:tableColumn id="3" name="Catch percentage"/>
    <x:tableColumn id="4" name="PPR percentage"/>
  </x:tableColumns>
  <x:tableStyleInfo name="TableStyleMedium2" showFirstColumn="0" showLastColumn="0" showRowStripes="1" showColumnStripes="0"/>
</x:table>
</file>

<file path=xl/tables/table3.xml><?xml version="1.0" encoding="utf-8"?>
<x:table xmlns:x="http://schemas.openxmlformats.org/spreadsheetml/2006/main" id="3" name="GroupAssignmentRules" displayName="GroupAssignmentRules" ref="A20:C28" headerRowCount="1" totalsRowCount="0" totalsRowShown="0">
  <x:autoFilter ref="A20:C28"/>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4.xml><?xml version="1.0" encoding="utf-8"?>
<x:table xmlns:x="http://schemas.openxmlformats.org/spreadsheetml/2006/main" id="4" name="AllocationWeightRules" displayName="AllocationWeightRules" ref="A33:C35" headerRowCount="1" totalsRowCount="0" totalsRowShown="0">
  <x:autoFilter ref="A33:C35"/>
  <x:tableColumns count="3">
    <x:tableColumn id="1" name="Plain-language rule"/>
    <x:tableColumn id="2" name="Confidence"/>
    <x:tableColumn id="3" name="PPR percentage"/>
  </x:tableColumns>
  <x:tableStyleInfo name="TableStyleMedium2" showFirstColumn="0" showLastColumn="0" showRowStripes="1" showColumnStripes="0"/>
</x:table>
</file>

<file path=xl/tables/table5.xml><?xml version="1.0" encoding="utf-8"?>
<x:table xmlns:x="http://schemas.openxmlformats.org/spreadsheetml/2006/main" id="5" name="AllocationEvidence" displayName="AllocationEvidence" ref="A5:J449" headerRowCount="1" totalsRowCount="0" totalsRowShown="0">
  <x:autoFilter ref="A5:J449"/>
  <x:tableColumns count="10">
    <x:tableColumn id="1" name="Taxon"/>
    <x:tableColumn id="2" name="Model group"/>
    <x:tableColumn id="3" name="Group ID"/>
    <x:tableColumn id="4" name="Model catch"/>
    <x:tableColumn id="5" name="Model biomass"/>
    <x:tableColumn id="6" name="Allocation field"/>
    <x:tableColumn id="7" name="Eligible total"/>
    <x:tableColumn id="8" name="Weight"/>
    <x:tableColumn id="9" name="Weight confidence"/>
    <x:tableColumn id="10" name="Candidate basis and assumptions"/>
  </x:tableColumns>
  <x:tableStyleInfo name="TableStyleMedium2" showFirstColumn="0" showLastColumn="0" showRowStripes="1" showColumnStripes="0"/>
</x:table>
</file>

<file path=xl/tables/table6.xml><?xml version="1.0" encoding="utf-8"?>
<x:table xmlns:x="http://schemas.openxmlformats.org/spreadsheetml/2006/main" id="6" name="DescriptiveSources" displayName="DescriptiveSources" ref="A5:C21" headerRowCount="1" totalsRowCount="0" totalsRowShown="0">
  <x:autoFilter ref="A5:C21"/>
  <x:tableColumns count="3">
    <x:tableColumn id="1" name="Source"/>
    <x:tableColumn id="2" name="What it supports"/>
    <x:tableColumn id="3" name="Link or retained location"/>
  </x:tableColumns>
  <x:tableStyleInfo name="TableStyleMedium2" showFirstColumn="0" showLastColumn="0" showRowStripes="1" showColumnStripes="0"/>
</x:table>
</file>

<file path=xl/tables/table7.xml><?xml version="1.0" encoding="utf-8"?>
<x:table xmlns:x="http://schemas.openxmlformats.org/spreadsheetml/2006/main" id="7" name="ModelGroupInputs" displayName="ModelGroupInputs" ref="A27:C65" headerRowCount="1" totalsRowCount="0" totalsRowShown="0">
  <x:autoFilter ref="A27:C65"/>
  <x:tableColumns count="3">
    <x:tableColumn id="1" name="Model group"/>
    <x:tableColumn id="2" name="Recorded values"/>
    <x:tableColumn id="3" name="Source 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657b2319be4550" /></Relationships>
</file>

<file path=xl/worksheets/_rels/sheet2.xml.rels>&#65279;<?xml version="1.0" encoding="utf-8"?><Relationships xmlns="http://schemas.openxmlformats.org/package/2006/relationships"><Relationship Type="http://schemas.openxmlformats.org/officeDocument/2006/relationships/table" Target="/xl/tables/table2.xml" Id="Rc705158541eb47f2" /><Relationship Type="http://schemas.openxmlformats.org/officeDocument/2006/relationships/table" Target="/xl/tables/table3.xml" Id="R187c331d701744a2" /><Relationship Type="http://schemas.openxmlformats.org/officeDocument/2006/relationships/table" Target="/xl/tables/table4.xml" Id="R3d68602e3633464a" /></Relationships>
</file>

<file path=xl/worksheets/_rels/sheet3.xml.rels>&#65279;<?xml version="1.0" encoding="utf-8"?><Relationships xmlns="http://schemas.openxmlformats.org/package/2006/relationships"><Relationship Type="http://schemas.openxmlformats.org/officeDocument/2006/relationships/table" Target="/xl/tables/table5.xml" Id="R79fa946f1e884513" /></Relationships>
</file>

<file path=xl/worksheets/_rels/sheet4.xml.rels><?xml version='1.0' encoding='UTF-8' standalone='yes'?>
<Relationships xmlns="http://schemas.openxmlformats.org/package/2006/relationships"><Relationship Type="http://schemas.openxmlformats.org/officeDocument/2006/relationships/table" Target="/xl/tables/table6.xml" Id="R5082c6498cff4fe8"/><Relationship Type="http://schemas.openxmlformats.org/officeDocument/2006/relationships/table" Target="/xl/tables/table7.xml" Id="Rd1bf9c8b8a994b98"/><Relationship Id="sourceLink6" Type="http://schemas.openxmlformats.org/officeDocument/2006/relationships/hyperlink" Target="https://open.library.ubc.ca/collections/ubctheses/831/items/1.0074894" TargetMode="External"/><Relationship Id="sourceLink7" Type="http://schemas.openxmlformats.org/officeDocument/2006/relationships/hyperlink" Target="../../regions/LME_036/papers/SCS-2007/ubc_2007-317501-87ea9ea0.pdf" TargetMode="External"/><Relationship Id="sourceLink8" Type="http://schemas.openxmlformats.org/officeDocument/2006/relationships/hyperlink" Target="../../regions/LME_036/LME_036.xlsx" TargetMode="External"/><Relationship Id="sourceLink9" Type="http://schemas.openxmlformats.org/officeDocument/2006/relationships/hyperlink" Target="../../regions/LME_036/models/36_1_South_China_Sea_SCS-2007_Northern_South_China_Sea_(2000s)/model.json" TargetMode="External"/><Relationship Id="sourceLink10" Type="http://schemas.openxmlformats.org/officeDocument/2006/relationships/hyperlink" Target="../../regions/LME_036/validation_reports/36_1_South_China_Sea_SCS-2007_Northern_South_China_Sea_(2000s)/adopted_revision_20260930/taxon_audit_adopted.json" TargetMode="External"/><Relationship Id="sourceLink11" Type="http://schemas.openxmlformats.org/officeDocument/2006/relationships/hyperlink" Target="../../regions/LME_036/raw/LME_036-exploited.json" TargetMode="External"/><Relationship Id="sourceLink12" Type="http://schemas.openxmlformats.org/officeDocument/2006/relationships/hyperlink" Target="https://www.itis.gov/servlet/SingleRpt/SingleRpt?search_topic=TSN&amp;search_value=646537" TargetMode="External"/><Relationship Id="sourceLink13" Type="http://schemas.openxmlformats.org/officeDocument/2006/relationships/hyperlink" Target="https://www.ncbi.nlm.nih.gov/datasets/taxonomy/6605/" TargetMode="External"/><Relationship Id="sourceLink14" Type="http://schemas.openxmlformats.org/officeDocument/2006/relationships/hyperlink" Target="https://www.fws.gov/taxonomic-tree/21322" TargetMode="External"/><Relationship Id="sourceLink15" Type="http://schemas.openxmlformats.org/officeDocument/2006/relationships/hyperlink" Target="https://fishbase.mnhn.fr/summary/selaroides-leptolepis.html" TargetMode="External"/><Relationship Id="sourceLink16" Type="http://schemas.openxmlformats.org/officeDocument/2006/relationships/hyperlink" Target="https://www.fishbase.se/summary/1939" TargetMode="External"/><Relationship Id="sourceLink17" Type="http://schemas.openxmlformats.org/officeDocument/2006/relationships/hyperlink" Target="https://www.fishbase.org/Summary/Siganus-canaliculatus" TargetMode="External"/><Relationship Id="sourceLink18" Type="http://schemas.openxmlformats.org/officeDocument/2006/relationships/hyperlink" Target="https://www.fishbase.se/summary/513" TargetMode="External"/><Relationship Id="sourceLink19" Type="http://schemas.openxmlformats.org/officeDocument/2006/relationships/hyperlink" Target="https://www.fishbase.se/summary/Paralichthys_olivaceus.html" TargetMode="External"/><Relationship Id="sourceLink20" Type="http://schemas.openxmlformats.org/officeDocument/2006/relationships/hyperlink" Target="https://www.fishbase.se/summary/416" TargetMode="External"/><Relationship Id="sourceLink21" Type="http://schemas.openxmlformats.org/officeDocument/2006/relationships/hyperlink" Target="../../regions/LME_036/validation_reports/36_1_South_China_Sea_SCS-2007_Northern_South_China_Sea_(2000s)/adopted_revision_20260930/taxon_audit_adopted.json" TargetMode="External"/></Relationships>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9" hidden="0" customWidth="1"/>
    <x:col min="2" max="2" width="9" hidden="0" customWidth="1"/>
    <x:col min="3" max="3" width="18" hidden="0" customWidth="1"/>
    <x:col min="4" max="4" width="21" hidden="0" customWidth="1"/>
    <x:col min="5" max="5" width="61" hidden="0" customWidth="1"/>
    <x:col min="6" max="6" width="15" hidden="0" customWidth="1"/>
    <x:col min="7" max="7" width="105" hidden="0" customWidth="1"/>
  </x:cols>
  <x:sheetData>
    <x:row r="1" ht="30" customHeight="1">
      <x:c r="A1" s="4" t="str">
        <x:v>South China Sea taxon mapping appendix</x:v>
      </x:c>
      <x:c r="B1" s="4"/>
      <x:c r="C1" s="4"/>
      <x:c r="D1" s="4"/>
      <x:c r="E1" s="4"/>
      <x:c r="F1" s="4"/>
      <x:c r="G1" s="4"/>
      <x:c r="H1" s="1"/>
      <x:c r="I1" s="1"/>
      <x:c r="J1" s="1"/>
      <x:c r="K1" s="1"/>
    </x:row>
    <x:row r="2" ht="34" customHeight="1">
      <x:c r="A2" s="6" t="str">
        <x:v>2019 landings · 374 exact catch labels · Independent simple trophic chain · TE 0.1 · Catch in t; PPR in t C</x:v>
      </x:c>
      <x:c r="B2" s="6"/>
      <x:c r="C2" s="6"/>
      <x:c r="D2" s="6"/>
      <x:c r="E2" s="6"/>
      <x:c r="F2" s="6"/>
      <x:c r="G2" s="6"/>
      <x:c r="H2" s="1"/>
      <x:c r="I2" s="1"/>
      <x:c r="J2" s="1"/>
      <x:c r="K2" s="1"/>
    </x:row>
    <x:row r="3" ht="34" customHeight="1">
      <x:c r="A3" s="6" t="str">
        <x:v>Sorted by unrounded simple-chain PPR, descending; unknown last. ? means unavailable. Very low flags broad-category or closest-analogue assumptions.</x:v>
      </x:c>
      <x:c r="B3" s="6"/>
      <x:c r="C3" s="6"/>
      <x:c r="D3" s="6"/>
      <x:c r="E3" s="6"/>
      <x:c r="F3" s="6"/>
      <x:c r="G3" s="6"/>
      <x:c r="H3" s="1"/>
      <x:c r="I3" s="1"/>
      <x:c r="J3" s="1"/>
      <x:c r="K3" s="1"/>
    </x:row>
    <x:row r="4" ht="34" customHeight="1">
      <x:c r="A4" s="6" t="str">
        <x:v>Known PPR 837,452,937.7894479 t C. 34 missing coefficients account for 0 t landings. Mapping weights do not generate classic PPR. See Coverage and Sources.</x:v>
      </x:c>
      <x:c r="B4" s="6"/>
      <x:c r="C4" s="6"/>
      <x:c r="D4" s="6"/>
      <x:c r="E4" s="6"/>
      <x:c r="F4" s="6"/>
      <x:c r="G4" s="6"/>
      <x:c r="H4" s="1"/>
      <x:c r="I4" s="1"/>
      <x:c r="J4" s="1"/>
      <x:c r="K4" s="1"/>
    </x:row>
    <x:row r="5" ht="34" customHeight="1">
      <x:c r="A5" s="10" t="str">
        <x:v>Taxon name</x:v>
      </x:c>
      <x:c r="B5" s="10" t="str">
        <x:v>TL</x:v>
      </x:c>
      <x:c r="C5" s="10" t="str">
        <x:v>Catch (t)</x:v>
      </x:c>
      <x:c r="D5" s="10" t="str">
        <x:v>Simple-chain PPR (t C)</x:v>
      </x:c>
      <x:c r="E5" s="10" t="str">
        <x:v>Mapped group names and weights</x:v>
      </x:c>
      <x:c r="F5" s="10" t="str">
        <x:v>Confidence level</x:v>
      </x:c>
      <x:c r="G5" s="10" t="str">
        <x:v>Reason</x:v>
      </x:c>
      <x:c r="H5" s="1"/>
      <x:c r="I5" s="1"/>
      <x:c r="J5" s="1"/>
      <x:c r="K5" s="1"/>
    </x:row>
    <x:row r="6" ht="57" customHeight="1">
      <x:c r="A6" s="7" t="str">
        <x:v>Trichiurus lepturus</x:v>
      </x:c>
      <x:c r="B6" s="11" t="n">
        <x:v>4.42</x:v>
      </x:c>
      <x:c r="C6" s="12" t="n">
        <x:v>402426.3603463139</x:v>
      </x:c>
      <x:c r="D6" s="12" t="n">
        <x:v>117609908.30154067</x:v>
      </x:c>
      <x:c r="E6" s="7" t="str">
        <x:v>Juvenile Hairtail (trichiurids) (79.545455%); Adult hairtail (trichiurids) (20.454545%)</x:v>
      </x:c>
      <x:c r="F6" s="7" t="str">
        <x:v>Medium</x:v>
      </x:c>
      <x:c r="G6" s="7" t="str">
        <x:v>Source membership; model-catch stage proxy, fixed across years. See Sources and the regional Mapping review.</x:v>
      </x:c>
      <x:c r="H6" s="1"/>
      <x:c r="I6" s="1"/>
      <x:c r="J6" s="1"/>
      <x:c r="K6" s="1"/>
    </x:row>
    <x:row r="7" ht="42" customHeight="1">
      <x:c r="A7" s="7" t="str">
        <x:v>Synodontidae</x:v>
      </x:c>
      <x:c r="B7" s="11" t="n">
        <x:v>4.3</x:v>
      </x:c>
      <x:c r="C7" s="12" t="n">
        <x:v>443991.9994723433</x:v>
      </x:c>
      <x:c r="D7" s="12" t="n">
        <x:v>98431167.18831655</x:v>
      </x:c>
      <x:c r="E7" s="7" t="str">
        <x:v>Lizard fish (synodontids) (100.000000%)</x:v>
      </x:c>
      <x:c r="F7" s="7" t="str">
        <x:v>High</x:v>
      </x:c>
      <x:c r="G7" s="7" t="str">
        <x:v>Fits the source taxonomic definition. See Sources and the regional Mapping review.</x:v>
      </x:c>
      <x:c r="H7" s="1"/>
      <x:c r="I7" s="1"/>
      <x:c r="J7" s="1"/>
      <x:c r="K7" s="1"/>
    </x:row>
    <x:row r="8" ht="57" customHeight="1">
      <x:c r="A8" s="7" t="str">
        <x:v>Scomberomorus</x:v>
      </x:c>
      <x:c r="B8" s="11" t="n">
        <x:v>4.35</x:v>
      </x:c>
      <x:c r="C8" s="12" t="n">
        <x:v>232516.2620377189</x:v>
      </x:c>
      <x:c r="D8" s="12" t="n">
        <x:v>57837674.54274846</x:v>
      </x:c>
      <x:c r="E8" s="7" t="str">
        <x:v>Juvenile large pelagic fish (89.993906%); Pelagic fish (&gt; 30 cm) (10.006094%)</x:v>
      </x:c>
      <x:c r="F8" s="7" t="str">
        <x:v>Low</x:v>
      </x:c>
      <x:c r="G8" s="7" t="str">
        <x:v>Broad lineage; size/habitat containment uncertain; historical stage proxy. See Sources and the regional Mapping review.</x:v>
      </x:c>
      <x:c r="H8" s="1"/>
      <x:c r="I8" s="1"/>
      <x:c r="J8" s="1"/>
      <x:c r="K8" s="1"/>
    </x:row>
    <x:row r="9" ht="57" customHeight="1">
      <x:c r="A9" s="7" t="str">
        <x:v>Scombroidei</x:v>
      </x:c>
      <x:c r="B9" s="11" t="n">
        <x:v>4.2</x:v>
      </x:c>
      <x:c r="C9" s="12" t="n">
        <x:v>296059.2473865282</x:v>
      </x:c>
      <x:c r="D9" s="12" t="n">
        <x:v>52135809.52756327</x:v>
      </x:c>
      <x:c r="E9" s="7" t="str">
        <x:v>Juvenile large pelagic fish (89.993906%); Pelagic fish (&gt; 30 cm) (10.006094%)</x:v>
      </x:c>
      <x:c r="F9" s="7" t="str">
        <x:v>Low</x:v>
      </x:c>
      <x:c r="G9" s="7" t="str">
        <x:v>Broad lineage; size/habitat containment uncertain; historical stage proxy. See Sources and the regional Mapping review.</x:v>
      </x:c>
      <x:c r="H9" s="1"/>
      <x:c r="I9" s="1"/>
      <x:c r="J9" s="1"/>
      <x:c r="K9" s="1"/>
    </x:row>
    <x:row r="10" ht="57" customHeight="1">
      <x:c r="A10" s="7" t="str">
        <x:v>Scombridae</x:v>
      </x:c>
      <x:c r="B10" s="11" t="n">
        <x:v>4.26</x:v>
      </x:c>
      <x:c r="C10" s="12" t="n">
        <x:v>244425.4726775679</x:v>
      </x:c>
      <x:c r="D10" s="12" t="n">
        <x:v>49420138.055280134</x:v>
      </x:c>
      <x:c r="E10" s="7" t="str">
        <x:v>Juvenile large pelagic fish (89.993906%); Pelagic fish (&gt; 30 cm) (10.006094%)</x:v>
      </x:c>
      <x:c r="F10" s="7" t="str">
        <x:v>Low</x:v>
      </x:c>
      <x:c r="G10" s="7" t="str">
        <x:v>Broad lineage; size/habitat containment uncertain; historical stage proxy. See Sources and the regional Mapping review.</x:v>
      </x:c>
      <x:c r="H10" s="1"/>
      <x:c r="I10" s="1"/>
      <x:c r="J10" s="1"/>
      <x:c r="K10" s="1"/>
    </x:row>
    <x:row r="11" ht="87" customHeight="1">
      <x:c r="A11" s="7" t="str">
        <x:v>Carangidae</x:v>
      </x:c>
      <x:c r="B11" s="11" t="n">
        <x:v>4.05</x:v>
      </x:c>
      <x:c r="C11" s="12" t="n">
        <x:v>312565.3453921805</x:v>
      </x:c>
      <x:c r="D11" s="12" t="n">
        <x:v>38967120.633921504</x:v>
      </x:c>
      <x:c r="E11" s="7" t="str">
        <x:v>Pelagic fish (≤ 30 cm) (74.079924%); Juvenile large pelagic fish (23.326489%); Pelagic fish (&gt; 30 cm) (2.593587%)</x:v>
      </x:c>
      <x:c r="F11" s="7" t="str">
        <x:v>Medium</x:v>
      </x:c>
      <x:c r="G11" s="7" t="str">
        <x:v>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H11" s="1"/>
      <x:c r="I11" s="1"/>
      <x:c r="J11" s="1"/>
      <x:c r="K11" s="1"/>
    </x:row>
    <x:row r="12" ht="57" customHeight="1">
      <x:c r="A12" s="7" t="str">
        <x:v>Muraenesox cinereus</x:v>
      </x:c>
      <x:c r="B12" s="11" t="n">
        <x:v>4.38</x:v>
      </x:c>
      <x:c r="C12" s="12" t="n">
        <x:v>136921.8739794847</x:v>
      </x:c>
      <x:c r="D12" s="12" t="n">
        <x:v>36494744.29286955</x:v>
      </x:c>
      <x:c r="E12" s="7" t="str">
        <x:v>Juvenile demersal fish (&gt; 30 cm) (89.991470%); Adult demersal fish (&gt; 30 cm) (10.008530%)</x:v>
      </x:c>
      <x:c r="F12" s="7" t="str">
        <x:v>Low</x:v>
      </x:c>
      <x:c r="G1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 s="1"/>
      <x:c r="I12" s="1"/>
      <x:c r="J12" s="1"/>
      <x:c r="K12" s="1"/>
    </x:row>
    <x:row r="13" ht="42" customHeight="1">
      <x:c r="A13" s="7" t="str">
        <x:v>Nemipterus</x:v>
      </x:c>
      <x:c r="B13" s="11" t="n">
        <x:v>3.72</x:v>
      </x:c>
      <x:c r="C13" s="12" t="n">
        <x:v>331196.1841175943</x:v>
      </x:c>
      <x:c r="D13" s="12" t="n">
        <x:v>19312692.02568565</x:v>
      </x:c>
      <x:c r="E13" s="7" t="str">
        <x:v>Threadfin bream (nemipterids) (100.000000%)</x:v>
      </x:c>
      <x:c r="F13" s="7" t="str">
        <x:v>High</x:v>
      </x:c>
      <x:c r="G13" s="7" t="str">
        <x:v>Fits the source taxonomic definition. See Sources and the regional Mapping review.</x:v>
      </x:c>
      <x:c r="H13" s="1"/>
      <x:c r="I13" s="1"/>
      <x:c r="J13" s="1"/>
      <x:c r="K13" s="1"/>
    </x:row>
    <x:row r="14" ht="42" customHeight="1">
      <x:c r="A14" s="7" t="str">
        <x:v>Scyphozoa</x:v>
      </x:c>
      <x:c r="B14" s="11" t="n">
        <x:v>3.46</x:v>
      </x:c>
      <x:c r="C14" s="12" t="n">
        <x:v>570279.5883612505</x:v>
      </x:c>
      <x:c r="D14" s="12" t="n">
        <x:v>18274492.204710215</x:v>
      </x:c>
      <x:c r="E14" s="7" t="str">
        <x:v>Jellyfish (100.000000%)</x:v>
      </x:c>
      <x:c r="F14" s="7" t="str">
        <x:v>High</x:v>
      </x:c>
      <x:c r="G14" s="7" t="str">
        <x:v>Fits the source taxonomic definition. See Sources and the regional Mapping review.</x:v>
      </x:c>
      <x:c r="H14" s="1"/>
      <x:c r="I14" s="1"/>
      <x:c r="J14" s="1"/>
      <x:c r="K14" s="1"/>
    </x:row>
    <x:row r="15" ht="57" customHeight="1">
      <x:c r="A15" s="7" t="str">
        <x:v>Scomberomorus commerson</x:v>
      </x:c>
      <x:c r="B15" s="11" t="n">
        <x:v>4.5</x:v>
      </x:c>
      <x:c r="C15" s="12" t="n">
        <x:v>46804.2934347929</x:v>
      </x:c>
      <x:c r="D15" s="12" t="n">
        <x:v>16445352.392090121</x:v>
      </x:c>
      <x:c r="E15" s="7" t="str">
        <x:v>Juvenile large pelagic fish (89.993906%); Pelagic fish (&gt; 30 cm) (10.006094%)</x:v>
      </x:c>
      <x:c r="F15" s="7" t="str">
        <x:v>Medium</x:v>
      </x:c>
      <x:c r="G15" s="7" t="str">
        <x:v>Habitat/size fit inferred; model-catch stage proxy, fixed across years. See Sources and the regional Mapping review.</x:v>
      </x:c>
      <x:c r="H15" s="1"/>
      <x:c r="I15" s="1"/>
      <x:c r="J15" s="1"/>
      <x:c r="K15" s="1"/>
    </x:row>
    <x:row r="16" ht="342" customHeight="1">
      <x:c r="A16" s="7" t="str">
        <x:v>Marine fishes not identified</x:v>
      </x:c>
      <x:c r="B16" s="11" t="n">
        <x:v>3.28</x:v>
      </x:c>
      <x:c r="C16" s="12" t="n">
        <x:v>737700.5209608545</x:v>
      </x:c>
      <x:c r="D16" s="12" t="n">
        <x:v>15618437.381243672</x:v>
      </x:c>
      <x:c r="E16" s="7" t="str">
        <x:v>Threadfin bream (nemipterids) (11.659686%); Bigeyes (priacanthids) (3.655853%); Lizard fish (synodontids) (0.415276%); Juvenile Hairtail (trichiurids) (0.496912%); Adult hairtail (trichiurids) (0.127777%); Pomfret (stromateids) (4.241499%); Snappers (0.019522%); Adult groupers (0.157947%); Croakers (≤ 30 cm) (0.622915%); Juvenile large croakers (1.260027%); Croakers (&gt; 30 cm) (0.141975%); Demesral fish (≤ 30 cm) (3.173138%); Juvenile demersal fish (&gt; 30 cm) (5.616881%); Adult demersal fish (&gt; 30 cm) (0.624689%); Benthopelagic fish (10.692482%); Melon seed (0.885568%); Pelagic fish (≤ 30 cm) (41.616384%); Juvenile large pelagic fish (13.104281%); Pelagic fish (&gt; 30 cm) (1.457017%); Demersal sharks and rays (0.017747%); Pelagic sharks and rays (0.012423%)</x:v>
      </x:c>
      <x:c r="F16" s="7" t="str">
        <x:v>Very low</x:v>
      </x:c>
      <x:c r="G16" s="7" t="str">
        <x:v>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H16" s="1"/>
      <x:c r="I16" s="1"/>
      <x:c r="J16" s="1"/>
      <x:c r="K16" s="1"/>
    </x:row>
    <x:row r="17" ht="72" customHeight="1">
      <x:c r="A17" s="7" t="str">
        <x:v>Sciaenidae</x:v>
      </x:c>
      <x:c r="B17" s="11" t="n">
        <x:v>3.76</x:v>
      </x:c>
      <x:c r="C17" s="12" t="n">
        <x:v>239872.6443073262</x:v>
      </x:c>
      <x:c r="D17" s="12" t="n">
        <x:v>15336922.156567315</x:v>
      </x:c>
      <x:c r="E17" s="7" t="str">
        <x:v>Croakers (≤ 30 cm) (30.762489%); Juvenile large croakers (62.226117%); Croakers (&gt; 30 cm) (7.011394%)</x:v>
      </x:c>
      <x:c r="F17" s="7" t="str">
        <x:v>Medium</x:v>
      </x:c>
      <x:c r="G17" s="7" t="str">
        <x:v>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H17" s="1"/>
      <x:c r="I17" s="1"/>
      <x:c r="J17" s="1"/>
      <x:c r="K17" s="1"/>
    </x:row>
    <x:row r="18" ht="42" customHeight="1">
      <x:c r="A18" s="7" t="str">
        <x:v>Loliginidae</x:v>
      </x:c>
      <x:c r="B18" s="11" t="n">
        <x:v>3.9</x:v>
      </x:c>
      <x:c r="C18" s="12" t="n">
        <x:v>164906.4501629182</x:v>
      </x:c>
      <x:c r="D18" s="12" t="n">
        <x:v>14554427.716950942</x:v>
      </x:c>
      <x:c r="E18" s="7" t="str">
        <x:v>Cephalopods (100.000000%)</x:v>
      </x:c>
      <x:c r="F18" s="7" t="str">
        <x:v>High</x:v>
      </x:c>
      <x:c r="G18" s="7" t="str">
        <x:v>Fits the source taxonomic definition. See Sources and the regional Mapping review.</x:v>
      </x:c>
      <x:c r="H18" s="1"/>
      <x:c r="I18" s="1"/>
      <x:c r="J18" s="1"/>
      <x:c r="K18" s="1"/>
    </x:row>
    <x:row r="19" ht="42" customHeight="1">
      <x:c r="A19" s="7" t="str">
        <x:v>Teuthida</x:v>
      </x:c>
      <x:c r="B19" s="11" t="n">
        <x:v>4.13</x:v>
      </x:c>
      <x:c r="C19" s="12" t="n">
        <x:v>96525.5100481142</x:v>
      </x:c>
      <x:c r="D19" s="12" t="n">
        <x:v>14467703.364237078</x:v>
      </x:c>
      <x:c r="E19" s="7" t="str">
        <x:v>Cephalopods (100.000000%)</x:v>
      </x:c>
      <x:c r="F19" s="7" t="str">
        <x:v>High</x:v>
      </x:c>
      <x:c r="G19" s="7" t="str">
        <x:v>Fits the source taxonomic definition. See Sources and the regional Mapping review.</x:v>
      </x:c>
      <x:c r="H19" s="1"/>
      <x:c r="I19" s="1"/>
      <x:c r="J19" s="1"/>
      <x:c r="K19" s="1"/>
    </x:row>
    <x:row r="20" ht="57" customHeight="1">
      <x:c r="A20" s="7" t="str">
        <x:v>Auxis thazard</x:v>
      </x:c>
      <x:c r="B20" s="11" t="n">
        <x:v>4.37</x:v>
      </x:c>
      <x:c r="C20" s="12" t="n">
        <x:v>50191.5277907398</x:v>
      </x:c>
      <x:c r="D20" s="12" t="n">
        <x:v>13073380.636886993</x:v>
      </x:c>
      <x:c r="E20" s="7" t="str">
        <x:v>Juvenile large pelagic fish (89.993906%); Pelagic fish (&gt; 30 cm) (10.006094%)</x:v>
      </x:c>
      <x:c r="F20" s="7" t="str">
        <x:v>Medium</x:v>
      </x:c>
      <x:c r="G20" s="7" t="str">
        <x:v>Habitat/size fit inferred; model-catch stage proxy, fixed across years. See Sources and the regional Mapping review.</x:v>
      </x:c>
      <x:c r="H20" s="1"/>
      <x:c r="I20" s="1"/>
      <x:c r="J20" s="1"/>
      <x:c r="K20" s="1"/>
    </x:row>
    <x:row r="21" ht="297" customHeight="1">
      <x:c r="A21" s="7" t="str">
        <x:v>Perciformes</x:v>
      </x:c>
      <x:c r="B21" s="11" t="n">
        <x:v>3.53</x:v>
      </x:c>
      <x:c r="C21" s="12" t="n">
        <x:v>324135.2639383788</x:v>
      </x:c>
      <x:c r="D21" s="12" t="n">
        <x:v>12203482.220461957</x:v>
      </x:c>
      <x:c r="E21" s="7" t="str">
        <x:v>Threadfin bream (nemipterids) (11.711856%); Bigeyes (priacanthids) (3.672211%); Juvenile Hairtail (trichiurids) (0.499135%); Adult hairtail (trichiurids) (0.128349%); Pomfret (stromateids) (4.260477%); Snappers (0.019609%); Adult groupers (0.158654%); Croakers (≤ 30 cm) (0.625702%); Juvenile large croakers (1.265665%); Croakers (&gt; 30 cm) (0.142610%); Demesral fish (≤ 30 cm) (3.187336%); Juvenile demersal fish (&gt; 30 cm) (5.642013%); Adult demersal fish (&gt; 30 cm) (0.627485%); Benthopelagic fish (10.740325%); Melon seed (0.889531%); Pelagic fish (≤ 30 cm) (41.802592%); Juvenile large pelagic fish (13.162914%); Pelagic fish (&gt; 30 cm) (1.463536%)</x:v>
      </x:c>
      <x:c r="F21" s="7" t="str">
        <x:v>Very low</x:v>
      </x:c>
      <x:c r="G21"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H21" s="1"/>
      <x:c r="I21" s="1"/>
      <x:c r="J21" s="1"/>
      <x:c r="K21" s="1"/>
    </x:row>
    <x:row r="22" ht="42" customHeight="1">
      <x:c r="A22" s="7" t="str">
        <x:v>Portunus trituberculatus</x:v>
      </x:c>
      <x:c r="B22" s="11" t="n">
        <x:v>3.73</x:v>
      </x:c>
      <x:c r="C22" s="12" t="n">
        <x:v>197873.2936457178</x:v>
      </x:c>
      <x:c r="D22" s="12" t="n">
        <x:v>11807138.92669537</x:v>
      </x:c>
      <x:c r="E22" s="7" t="str">
        <x:v>Crabs (100.000000%)</x:v>
      </x:c>
      <x:c r="F22" s="7" t="str">
        <x:v>High</x:v>
      </x:c>
      <x:c r="G22" s="7" t="str">
        <x:v>Fits the source taxonomic definition. See Sources and the regional Mapping review.</x:v>
      </x:c>
      <x:c r="H22" s="1"/>
      <x:c r="I22" s="1"/>
      <x:c r="J22" s="1"/>
      <x:c r="K22" s="1"/>
    </x:row>
    <x:row r="23" ht="42" customHeight="1">
      <x:c r="A23" s="7" t="str">
        <x:v>Harpadon nehereus</x:v>
      </x:c>
      <x:c r="B23" s="11" t="n">
        <x:v>4.2</x:v>
      </x:c>
      <x:c r="C23" s="12" t="n">
        <x:v>65885.1616222516</x:v>
      </x:c>
      <x:c r="D23" s="12" t="n">
        <x:v>11602327.126589647</x:v>
      </x:c>
      <x:c r="E23" s="7" t="str">
        <x:v>Lizard fish (synodontids) (100.000000%)</x:v>
      </x:c>
      <x:c r="F23" s="7" t="str">
        <x:v>High</x:v>
      </x:c>
      <x:c r="G23" s="7" t="str">
        <x:v>Fits the source taxonomic definition. See Sources and the regional Mapping review.</x:v>
      </x:c>
      <x:c r="H23" s="1"/>
      <x:c r="I23" s="1"/>
      <x:c r="J23" s="1"/>
      <x:c r="K23" s="1"/>
    </x:row>
    <x:row r="24" ht="57" customHeight="1">
      <x:c r="A24" s="7" t="str">
        <x:v>Alepes</x:v>
      </x:c>
      <x:c r="B24" s="11" t="n">
        <x:v>3.32</x:v>
      </x:c>
      <x:c r="C24" s="12" t="n">
        <x:v>386716.9807797957</x:v>
      </x:c>
      <x:c r="D24" s="12" t="n">
        <x:v>8977403.240875365</x:v>
      </x:c>
      <x:c r="E24" s="7" t="str">
        <x:v>Juvenile large pelagic fish (89.993906%); Pelagic fish (&gt; 30 cm) (10.006094%)</x:v>
      </x:c>
      <x:c r="F24" s="7" t="str">
        <x:v>Low</x:v>
      </x:c>
      <x:c r="G24" s="7" t="str">
        <x:v>Broad lineage; size/habitat containment uncertain; historical stage proxy. See Sources and the regional Mapping review.</x:v>
      </x:c>
      <x:c r="H24" s="1"/>
      <x:c r="I24" s="1"/>
      <x:c r="J24" s="1"/>
      <x:c r="K24" s="1"/>
    </x:row>
    <x:row r="25" ht="57" customHeight="1">
      <x:c r="A25" s="7" t="str">
        <x:v>Katsuwonus pelamis</x:v>
      </x:c>
      <x:c r="B25" s="11" t="n">
        <x:v>4.43</x:v>
      </x:c>
      <x:c r="C25" s="12" t="n">
        <x:v>28385.0476343092</x:v>
      </x:c>
      <x:c r="D25" s="12" t="n">
        <x:v>8488815.957651835</x:v>
      </x:c>
      <x:c r="E25" s="7" t="str">
        <x:v>Juvenile large pelagic fish (89.993906%); Pelagic fish (&gt; 30 cm) (10.006094%)</x:v>
      </x:c>
      <x:c r="F25" s="7" t="str">
        <x:v>Medium</x:v>
      </x:c>
      <x:c r="G25" s="7" t="str">
        <x:v>Habitat/size fit inferred; model-catch stage proxy, fixed across years. See Sources and the regional Mapping review.</x:v>
      </x:c>
      <x:c r="H25" s="1"/>
      <x:c r="I25" s="1"/>
      <x:c r="J25" s="1"/>
      <x:c r="K25" s="1"/>
    </x:row>
    <x:row r="26" ht="42" customHeight="1">
      <x:c r="A26" s="7" t="str">
        <x:v>Todarodes pacificus</x:v>
      </x:c>
      <x:c r="B26" s="11" t="n">
        <x:v>4.28</x:v>
      </x:c>
      <x:c r="C26" s="12" t="n">
        <x:v>37474.8322631409</x:v>
      </x:c>
      <x:c r="D26" s="12" t="n">
        <x:v>7934091.198852973</x:v>
      </x:c>
      <x:c r="E26" s="7" t="str">
        <x:v>Cephalopods (100.000000%)</x:v>
      </x:c>
      <x:c r="F26" s="7" t="str">
        <x:v>High</x:v>
      </x:c>
      <x:c r="G26" s="7" t="str">
        <x:v>Fits the source taxonomic definition. See Sources and the regional Mapping review.</x:v>
      </x:c>
      <x:c r="H26" s="1"/>
      <x:c r="I26" s="1"/>
      <x:c r="J26" s="1"/>
      <x:c r="K26" s="1"/>
    </x:row>
    <x:row r="27" ht="42" customHeight="1">
      <x:c r="A27" s="7" t="str">
        <x:v>Engraulis japonicus</x:v>
      </x:c>
      <x:c r="B27" s="11" t="n">
        <x:v>3.14</x:v>
      </x:c>
      <x:c r="C27" s="12" t="n">
        <x:v>439426.8747921928</x:v>
      </x:c>
      <x:c r="D27" s="12" t="n">
        <x:v>6739754.926741834</x:v>
      </x:c>
      <x:c r="E27" s="7" t="str">
        <x:v>Pelagic fish (≤ 30 cm) (100.000000%)</x:v>
      </x:c>
      <x:c r="F27" s="7" t="str">
        <x:v>Medium</x:v>
      </x:c>
      <x:c r="G27" s="7" t="str">
        <x:v>Habitat/size assignment inferred from SAU class. See Sources and the regional Mapping review.</x:v>
      </x:c>
      <x:c r="H27" s="1"/>
      <x:c r="I27" s="1"/>
      <x:c r="J27" s="1"/>
      <x:c r="K27" s="1"/>
    </x:row>
    <x:row r="28" ht="42" customHeight="1">
      <x:c r="A28" s="7" t="str">
        <x:v>Sepiidae</x:v>
      </x:c>
      <x:c r="B28" s="11" t="n">
        <x:v>3.6</x:v>
      </x:c>
      <x:c r="C28" s="12" t="n">
        <x:v>143044.2135727234</x:v>
      </x:c>
      <x:c r="D28" s="12" t="n">
        <x:v>6327436.347720789</x:v>
      </x:c>
      <x:c r="E28" s="7" t="str">
        <x:v>Cephalopods (100.000000%)</x:v>
      </x:c>
      <x:c r="F28" s="7" t="str">
        <x:v>High</x:v>
      </x:c>
      <x:c r="G28" s="7" t="str">
        <x:v>Fits the source taxonomic definition. See Sources and the regional Mapping review.</x:v>
      </x:c>
      <x:c r="H28" s="1"/>
      <x:c r="I28" s="1"/>
      <x:c r="J28" s="1"/>
      <x:c r="K28" s="1"/>
    </x:row>
    <x:row r="29" ht="42" customHeight="1">
      <x:c r="A29" s="7" t="str">
        <x:v>Sparidae</x:v>
      </x:c>
      <x:c r="B29" s="11" t="n">
        <x:v>3.31</x:v>
      </x:c>
      <x:c r="C29" s="12" t="n">
        <x:v>262232.3661970165</x:v>
      </x:c>
      <x:c r="D29" s="12" t="n">
        <x:v>5948997.4709436</x:v>
      </x:c>
      <x:c r="E29" s="7" t="str">
        <x:v>Benthopelagic fish (100.000000%)</x:v>
      </x:c>
      <x:c r="F29" s="7" t="str">
        <x:v>Low</x:v>
      </x:c>
      <x:c r="G29" s="7" t="str">
        <x:v>Ecological assignment; final benthopelagic pool is ambiguous. See Sources and the regional Mapping review.</x:v>
      </x:c>
      <x:c r="H29" s="1"/>
      <x:c r="I29" s="1"/>
      <x:c r="J29" s="1"/>
      <x:c r="K29" s="1"/>
    </x:row>
    <x:row r="30" ht="42" customHeight="1">
      <x:c r="A30" s="7" t="str">
        <x:v>Priacanthus</x:v>
      </x:c>
      <x:c r="B30" s="11" t="n">
        <x:v>3.81</x:v>
      </x:c>
      <x:c r="C30" s="12" t="n">
        <x:v>81379.45788557502</x:v>
      </x:c>
      <x:c r="D30" s="12" t="n">
        <x:v>5838110.126707684</x:v>
      </x:c>
      <x:c r="E30" s="7" t="str">
        <x:v>Bigeyes (priacanthids) (100.000000%)</x:v>
      </x:c>
      <x:c r="F30" s="7" t="str">
        <x:v>High</x:v>
      </x:c>
      <x:c r="G30" s="7" t="str">
        <x:v>Fits the source taxonomic definition. See Sources and the regional Mapping review.</x:v>
      </x:c>
      <x:c r="H30" s="1"/>
      <x:c r="I30" s="1"/>
      <x:c r="J30" s="1"/>
      <x:c r="K30" s="1"/>
    </x:row>
    <x:row r="31" ht="87" customHeight="1">
      <x:c r="A31" s="7" t="str">
        <x:v>Ruvettus pretiosus</x:v>
      </x:c>
      <x:c r="B31" s="11" t="n">
        <x:v>4.18</x:v>
      </x:c>
      <x:c r="C31" s="12" t="n">
        <x:v>34590.9379943057</x:v>
      </x:c>
      <x:c r="D31" s="12" t="n">
        <x:v>5817278.14391564</x:v>
      </x:c>
      <x:c r="E31" s="7" t="str">
        <x:v>Benthopelagic fish (100.000000%)</x:v>
      </x:c>
      <x:c r="F31" s="7" t="str">
        <x:v>Very low</x:v>
      </x:c>
      <x:c r="G31" s="7" t="str">
        <x:v>The saved catch classification is benthopelagic. Use the single represented Benthopelagic fish compartment as a whole-catch analogue. Species/depth composition and the source small/large-pool aggregation are uncertain; this is not documented exact source membership. All catch is assigned to the single analogue. Very low membership confidence; see Sources and the regional Mapping review.</x:v>
      </x:c>
      <x:c r="H31" s="1"/>
      <x:c r="I31" s="1"/>
      <x:c r="J31" s="1"/>
      <x:c r="K31" s="1"/>
    </x:row>
    <x:row r="32" ht="57" customHeight="1">
      <x:c r="A32" s="7" t="str">
        <x:v>Coryphaena hippurus</x:v>
      </x:c>
      <x:c r="B32" s="11" t="n">
        <x:v>4.37</x:v>
      </x:c>
      <x:c r="C32" s="12" t="n">
        <x:v>20786.3543786342</x:v>
      </x:c>
      <x:c r="D32" s="12" t="n">
        <x:v>5414218.9888717495</x:v>
      </x:c>
      <x:c r="E32" s="7" t="str">
        <x:v>Juvenile large pelagic fish (89.993906%); Pelagic fish (&gt; 30 cm) (10.006094%)</x:v>
      </x:c>
      <x:c r="F32" s="7" t="str">
        <x:v>Medium</x:v>
      </x:c>
      <x:c r="G32" s="7" t="str">
        <x:v>Habitat/size fit inferred; model-catch stage proxy, fixed across years. See Sources and the regional Mapping review.</x:v>
      </x:c>
      <x:c r="H32" s="1"/>
      <x:c r="I32" s="1"/>
      <x:c r="J32" s="1"/>
      <x:c r="K32" s="1"/>
    </x:row>
    <x:row r="33" ht="42" customHeight="1">
      <x:c r="A33" s="7" t="str">
        <x:v>Leiognathidae</x:v>
      </x:c>
      <x:c r="B33" s="11" t="n">
        <x:v>3.24</x:v>
      </x:c>
      <x:c r="C33" s="12" t="n">
        <x:v>277484.4665916633</x:v>
      </x:c>
      <x:c r="D33" s="12" t="n">
        <x:v>5357919.288978566</x:v>
      </x:c>
      <x:c r="E33" s="7" t="str">
        <x:v>Benthopelagic fish (100.000000%)</x:v>
      </x:c>
      <x:c r="F33" s="7" t="str">
        <x:v>Low</x:v>
      </x:c>
      <x:c r="G33" s="7" t="str">
        <x:v>Ecological assignment; final benthopelagic pool is ambiguous. See Sources and the regional Mapping review.</x:v>
      </x:c>
      <x:c r="H33" s="1"/>
      <x:c r="I33" s="1"/>
      <x:c r="J33" s="1"/>
      <x:c r="K33" s="1"/>
    </x:row>
    <x:row r="34" ht="42" customHeight="1">
      <x:c r="A34" s="7" t="str">
        <x:v>Priacanthidae</x:v>
      </x:c>
      <x:c r="B34" s="11" t="n">
        <x:v>3.79</x:v>
      </x:c>
      <x:c r="C34" s="12" t="n">
        <x:v>75891.1854551452</x:v>
      </x:c>
      <x:c r="D34" s="12" t="n">
        <x:v>5199347.292998371</x:v>
      </x:c>
      <x:c r="E34" s="7" t="str">
        <x:v>Bigeyes (priacanthids) (100.000000%)</x:v>
      </x:c>
      <x:c r="F34" s="7" t="str">
        <x:v>High</x:v>
      </x:c>
      <x:c r="G34" s="7" t="str">
        <x:v>Fits the source taxonomic definition. See Sources and the regional Mapping review.</x:v>
      </x:c>
      <x:c r="H34" s="1"/>
      <x:c r="I34" s="1"/>
      <x:c r="J34" s="1"/>
      <x:c r="K34" s="1"/>
    </x:row>
    <x:row r="35" ht="57" customHeight="1">
      <x:c r="A35" s="7" t="str">
        <x:v>Carangoides</x:v>
      </x:c>
      <x:c r="B35" s="11" t="n">
        <x:v>4.34</x:v>
      </x:c>
      <x:c r="C35" s="12" t="n">
        <x:v>18958.1394090433</x:v>
      </x:c>
      <x:c r="D35" s="12" t="n">
        <x:v>4608432.206732284</x:v>
      </x:c>
      <x:c r="E35" s="7" t="str">
        <x:v>Juvenile large pelagic fish (89.993906%); Pelagic fish (&gt; 30 cm) (10.006094%)</x:v>
      </x:c>
      <x:c r="F35" s="7" t="str">
        <x:v>Low</x:v>
      </x:c>
      <x:c r="G35" s="7" t="str">
        <x:v>Broad lineage; size/habitat containment uncertain; historical stage proxy. See Sources and the regional Mapping review.</x:v>
      </x:c>
      <x:c r="H35" s="1"/>
      <x:c r="I35" s="1"/>
      <x:c r="J35" s="1"/>
      <x:c r="K35" s="1"/>
    </x:row>
    <x:row r="36" ht="57" customHeight="1">
      <x:c r="A36" s="7" t="str">
        <x:v>Lates calcarifer</x:v>
      </x:c>
      <x:c r="B36" s="11" t="n">
        <x:v>4.35</x:v>
      </x:c>
      <x:c r="C36" s="12" t="n">
        <x:v>18404.6390743277</x:v>
      </x:c>
      <x:c r="D36" s="12" t="n">
        <x:v>4578094.949268693</x:v>
      </x:c>
      <x:c r="E36" s="7" t="str">
        <x:v>Juvenile demersal fish (&gt; 30 cm) (89.991470%); Adult demersal fish (&gt; 30 cm) (10.008530%)</x:v>
      </x:c>
      <x:c r="F36" s="7" t="str">
        <x:v>Low</x:v>
      </x:c>
      <x:c r="G3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6" s="1"/>
      <x:c r="I36" s="1"/>
      <x:c r="J36" s="1"/>
      <x:c r="K36" s="1"/>
    </x:row>
    <x:row r="37" ht="42" customHeight="1">
      <x:c r="A37" s="7" t="str">
        <x:v>Epinephelus</x:v>
      </x:c>
      <x:c r="B37" s="11" t="n">
        <x:v>3.84</x:v>
      </x:c>
      <x:c r="C37" s="12" t="n">
        <x:v>55310.4304767253</x:v>
      </x:c>
      <x:c r="D37" s="12" t="n">
        <x:v>4251718.757628576</x:v>
      </x:c>
      <x:c r="E37" s="7" t="str">
        <x:v>Adult groupers (100.000000%)</x:v>
      </x:c>
      <x:c r="F37" s="7" t="str">
        <x:v>High</x:v>
      </x:c>
      <x:c r="G37" s="7" t="str">
        <x:v>Fits the source taxonomic definition. See Sources and the regional Mapping review.</x:v>
      </x:c>
      <x:c r="H37" s="1"/>
      <x:c r="I37" s="1"/>
      <x:c r="J37" s="1"/>
      <x:c r="K37" s="1"/>
    </x:row>
    <x:row r="38" ht="57" customHeight="1">
      <x:c r="A38" s="7" t="str">
        <x:v>Scomber japonicus</x:v>
      </x:c>
      <x:c r="B38" s="11" t="n">
        <x:v>3.38</x:v>
      </x:c>
      <x:c r="C38" s="12" t="n">
        <x:v>152841.3718023047</x:v>
      </x:c>
      <x:c r="D38" s="12" t="n">
        <x:v>4073787.934082953</x:v>
      </x:c>
      <x:c r="E38" s="7" t="str">
        <x:v>Juvenile large pelagic fish (89.993906%); Pelagic fish (&gt; 30 cm) (10.006094%)</x:v>
      </x:c>
      <x:c r="F38" s="7" t="str">
        <x:v>Medium</x:v>
      </x:c>
      <x:c r="G38" s="7" t="str">
        <x:v>Habitat/size fit inferred; model-catch stage proxy, fixed across years. See Sources and the regional Mapping review.</x:v>
      </x:c>
      <x:c r="H38" s="1"/>
      <x:c r="I38" s="1"/>
      <x:c r="J38" s="1"/>
      <x:c r="K38" s="1"/>
    </x:row>
    <x:row r="39" ht="57" customHeight="1">
      <x:c r="A39" s="7" t="str">
        <x:v>Scomberomorus niphonius</x:v>
      </x:c>
      <x:c r="B39" s="11" t="n">
        <x:v>4.5</x:v>
      </x:c>
      <x:c r="C39" s="12" t="n">
        <x:v>11467.8352517486</x:v>
      </x:c>
      <x:c r="D39" s="12" t="n">
        <x:v>4029386.580788446</x:v>
      </x:c>
      <x:c r="E39" s="7" t="str">
        <x:v>Juvenile large pelagic fish (89.993906%); Pelagic fish (&gt; 30 cm) (10.006094%)</x:v>
      </x:c>
      <x:c r="F39" s="7" t="str">
        <x:v>Medium</x:v>
      </x:c>
      <x:c r="G39" s="7" t="str">
        <x:v>Habitat/size fit inferred; model-catch stage proxy, fixed across years. See Sources and the regional Mapping review.</x:v>
      </x:c>
      <x:c r="H39" s="1"/>
      <x:c r="I39" s="1"/>
      <x:c r="J39" s="1"/>
      <x:c r="K39" s="1"/>
    </x:row>
    <x:row r="40" ht="42" customHeight="1">
      <x:c r="A40" s="7" t="str">
        <x:v>Lutjanus malabaricus</x:v>
      </x:c>
      <x:c r="B40" s="11" t="n">
        <x:v>4.48</x:v>
      </x:c>
      <x:c r="C40" s="12" t="n">
        <x:v>11805.8375568092</x:v>
      </x:c>
      <x:c r="D40" s="12" t="n">
        <x:v>3961451.048941412</x:v>
      </x:c>
      <x:c r="E40" s="7" t="str">
        <x:v>Snappers (100.000000%)</x:v>
      </x:c>
      <x:c r="F40" s="7" t="str">
        <x:v>High</x:v>
      </x:c>
      <x:c r="G40" s="7" t="str">
        <x:v>Fits the source taxonomic definition. See Sources and the regional Mapping review.</x:v>
      </x:c>
      <x:c r="H40" s="1"/>
      <x:c r="I40" s="1"/>
      <x:c r="J40" s="1"/>
      <x:c r="K40" s="1"/>
    </x:row>
    <x:row r="41" ht="42" customHeight="1">
      <x:c r="A41" s="7" t="str">
        <x:v>Pampus</x:v>
      </x:c>
      <x:c r="B41" s="11" t="n">
        <x:v>3.41</x:v>
      </x:c>
      <x:c r="C41" s="12" t="n">
        <x:v>129073.1107121482</x:v>
      </x:c>
      <x:c r="D41" s="12" t="n">
        <x:v>3686321.993815162</x:v>
      </x:c>
      <x:c r="E41" s="7" t="str">
        <x:v>Pomfret (stromateids) (100.000000%)</x:v>
      </x:c>
      <x:c r="F41" s="7" t="str">
        <x:v>High</x:v>
      </x:c>
      <x:c r="G41" s="7" t="str">
        <x:v>Fits the source taxonomic definition. See Sources and the regional Mapping review.</x:v>
      </x:c>
      <x:c r="H41" s="1"/>
      <x:c r="I41" s="1"/>
      <x:c r="J41" s="1"/>
      <x:c r="K41" s="1"/>
    </x:row>
    <x:row r="42" ht="57" customHeight="1">
      <x:c r="A42" s="7" t="str">
        <x:v>Thunnus albacares</x:v>
      </x:c>
      <x:c r="B42" s="11" t="n">
        <x:v>4.41</x:v>
      </x:c>
      <x:c r="C42" s="12" t="n">
        <x:v>12859.1902555373</x:v>
      </x:c>
      <x:c r="D42" s="12" t="n">
        <x:v>3672578.711406173</x:v>
      </x:c>
      <x:c r="E42" s="7" t="str">
        <x:v>Juvenile large pelagic fish (89.993906%); Pelagic fish (&gt; 30 cm) (10.006094%)</x:v>
      </x:c>
      <x:c r="F42" s="7" t="str">
        <x:v>Medium</x:v>
      </x:c>
      <x:c r="G42" s="7" t="str">
        <x:v>Habitat/size fit inferred; model-catch stage proxy, fixed across years. See Sources and the regional Mapping review.</x:v>
      </x:c>
      <x:c r="H42" s="1"/>
      <x:c r="I42" s="1"/>
      <x:c r="J42" s="1"/>
      <x:c r="K42" s="1"/>
    </x:row>
    <x:row r="43" ht="72" customHeight="1">
      <x:c r="A43" s="7" t="str">
        <x:v>Elasmobranchii</x:v>
      </x:c>
      <x:c r="B43" s="11" t="n">
        <x:v>4.05</x:v>
      </x:c>
      <x:c r="C43" s="12" t="n">
        <x:v>27118.7674627386</x:v>
      </x:c>
      <x:c r="D43" s="12" t="n">
        <x:v>3380861.9501240365</x:v>
      </x:c>
      <x:c r="E43" s="7" t="str">
        <x:v>Demersal sharks and rays (58.823529%); Pelagic sharks and rays (41.176471%)</x:v>
      </x:c>
      <x:c r="F43" s="7" t="str">
        <x:v>Medium</x:v>
      </x:c>
      <x:c r="G43"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43" s="1"/>
      <x:c r="I43" s="1"/>
      <x:c r="J43" s="1"/>
      <x:c r="K43" s="1"/>
    </x:row>
    <x:row r="44" ht="57" customHeight="1">
      <x:c r="A44" s="7" t="str">
        <x:v>Decapterus</x:v>
      </x:c>
      <x:c r="B44" s="11" t="n">
        <x:v>3.63</x:v>
      </x:c>
      <x:c r="C44" s="12" t="n">
        <x:v>67285.0648076855</x:v>
      </x:c>
      <x:c r="D44" s="12" t="n">
        <x:v>3189158.9520218275</x:v>
      </x:c>
      <x:c r="E44" s="7" t="str">
        <x:v>Juvenile large pelagic fish (89.993906%); Pelagic fish (&gt; 30 cm) (10.006094%)</x:v>
      </x:c>
      <x:c r="F44" s="7" t="str">
        <x:v>Low</x:v>
      </x:c>
      <x:c r="G44" s="7" t="str">
        <x:v>Broad lineage; size/habitat containment uncertain; historical stage proxy. See Sources and the regional Mapping review.</x:v>
      </x:c>
      <x:c r="H44" s="1"/>
      <x:c r="I44" s="1"/>
      <x:c r="J44" s="1"/>
      <x:c r="K44" s="1"/>
    </x:row>
    <x:row r="45" ht="42" customHeight="1">
      <x:c r="A45" s="7" t="str">
        <x:v>Squillidae</x:v>
      </x:c>
      <x:c r="B45" s="11" t="n">
        <x:v>3.5</x:v>
      </x:c>
      <x:c r="C45" s="12" t="n">
        <x:v>88046.0333192449</x:v>
      </x:c>
      <x:c r="D45" s="12" t="n">
        <x:v>3093622.2692432115</x:v>
      </x:c>
      <x:c r="E45" s="7" t="str">
        <x:v>Benthic crustaceans (100.000000%)</x:v>
      </x:c>
      <x:c r="F45" s="7" t="str">
        <x:v>High</x:v>
      </x:c>
      <x:c r="G45" s="7" t="str">
        <x:v>Fits the source taxonomic definition. See Sources and the regional Mapping review.</x:v>
      </x:c>
      <x:c r="H45" s="1"/>
      <x:c r="I45" s="1"/>
      <x:c r="J45" s="1"/>
      <x:c r="K45" s="1"/>
    </x:row>
    <x:row r="46" ht="57" customHeight="1">
      <x:c r="A46" s="7" t="str">
        <x:v>Sphyraena</x:v>
      </x:c>
      <x:c r="B46" s="11" t="n">
        <x:v>4.4</x:v>
      </x:c>
      <x:c r="C46" s="12" t="n">
        <x:v>10928.9977320833</x:v>
      </x:c>
      <x:c r="D46" s="12" t="n">
        <x:v>3050266.7903576707</x:v>
      </x:c>
      <x:c r="E46" s="7" t="str">
        <x:v>Juvenile large pelagic fish (89.993906%); Pelagic fish (&gt; 30 cm) (10.006094%)</x:v>
      </x:c>
      <x:c r="F46" s="7" t="str">
        <x:v>Low</x:v>
      </x:c>
      <x:c r="G46" s="7" t="str">
        <x:v>Broad lineage; size/habitat containment uncertain; historical stage proxy. See Sources and the regional Mapping review.</x:v>
      </x:c>
      <x:c r="H46" s="1"/>
      <x:c r="I46" s="1"/>
      <x:c r="J46" s="1"/>
      <x:c r="K46" s="1"/>
    </x:row>
    <x:row r="47" ht="102" customHeight="1">
      <x:c r="A47" s="7" t="str">
        <x:v>Decapoda</x:v>
      </x:c>
      <x:c r="B47" s="11" t="n">
        <x:v>3.43</x:v>
      </x:c>
      <x:c r="C47" s="12" t="n">
        <x:v>101071.2094189076</x:v>
      </x:c>
      <x:c r="D47" s="12" t="n">
        <x:v>3022629.7536219535</x:v>
      </x:c>
      <x:c r="E47" s="7" t="str">
        <x:v>Zooplankton (9.363888%); Benthic crustaceans (3.862110%); Shrimps (67.048597%); Crabs (19.725405%)</x:v>
      </x:c>
      <x:c r="F47" s="7" t="str">
        <x:v>Medium</x:v>
      </x:c>
      <x:c r="G4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H47" s="1"/>
      <x:c r="I47" s="1"/>
      <x:c r="J47" s="1"/>
      <x:c r="K47" s="1"/>
    </x:row>
    <x:row r="48" ht="342" customHeight="1">
      <x:c r="A48" s="7" t="str">
        <x:v>Marine finfishes not identified</x:v>
      </x:c>
      <x:c r="B48" s="11" t="n">
        <x:v>3.23</x:v>
      </x:c>
      <x:c r="C48" s="12" t="n">
        <x:v>155275.5661864692</x:v>
      </x:c>
      <x:c r="D48" s="12" t="n">
        <x:v>2929952.718428608</x:v>
      </x:c>
      <x:c r="E48" s="7" t="str">
        <x:v>Threadfin bream (nemipterids) (11.659686%); Bigeyes (priacanthids) (3.655853%); Lizard fish (synodontids) (0.415276%); Juvenile Hairtail (trichiurids) (0.496912%); Adult hairtail (trichiurids) (0.127777%); Pomfret (stromateids) (4.241499%); Snappers (0.019522%); Adult groupers (0.157947%); Croakers (≤ 30 cm) (0.622915%); Juvenile large croakers (1.260027%); Croakers (&gt; 30 cm) (0.141975%); Demesral fish (≤ 30 cm) (3.173138%); Juvenile demersal fish (&gt; 30 cm) (5.616881%); Adult demersal fish (&gt; 30 cm) (0.624689%); Benthopelagic fish (10.692482%); Melon seed (0.885568%); Pelagic fish (≤ 30 cm) (41.616384%); Juvenile large pelagic fish (13.104281%); Pelagic fish (&gt; 30 cm) (1.457017%); Demersal sharks and rays (0.017747%); Pelagic sharks and rays (0.012423%)</x:v>
      </x:c>
      <x:c r="F48" s="7" t="str">
        <x:v>Very low</x:v>
      </x:c>
      <x:c r="G48" s="7" t="str">
        <x:v>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H48" s="1"/>
      <x:c r="I48" s="1"/>
      <x:c r="J48" s="1"/>
      <x:c r="K48" s="1"/>
    </x:row>
    <x:row r="49" ht="57" customHeight="1">
      <x:c r="A49" s="7" t="str">
        <x:v>Megalaspis cordyla</x:v>
      </x:c>
      <x:c r="B49" s="11" t="n">
        <x:v>4.24</x:v>
      </x:c>
      <x:c r="C49" s="12" t="n">
        <x:v>14481.3844001527</x:v>
      </x:c>
      <x:c r="D49" s="12" t="n">
        <x:v>2796195.7568915165</x:v>
      </x:c>
      <x:c r="E49" s="7" t="str">
        <x:v>Juvenile large pelagic fish (89.993906%); Pelagic fish (&gt; 30 cm) (10.006094%)</x:v>
      </x:c>
      <x:c r="F49" s="7" t="str">
        <x:v>Medium</x:v>
      </x:c>
      <x:c r="G49" s="7" t="str">
        <x:v>Habitat/size fit inferred; model-catch stage proxy, fixed across years. See Sources and the regional Mapping review.</x:v>
      </x:c>
      <x:c r="H49" s="1"/>
      <x:c r="I49" s="1"/>
      <x:c r="J49" s="1"/>
      <x:c r="K49" s="1"/>
    </x:row>
    <x:row r="50" ht="72" customHeight="1">
      <x:c r="A50" s="7" t="str">
        <x:v>Chondrichthyes</x:v>
      </x:c>
      <x:c r="B50" s="11" t="n">
        <x:v>4</x:v>
      </x:c>
      <x:c r="C50" s="12" t="n">
        <x:v>25109.8485942637</x:v>
      </x:c>
      <x:c r="D50" s="12" t="n">
        <x:v>2789983.1771404115</x:v>
      </x:c>
      <x:c r="E50" s="7" t="str">
        <x:v>Demersal sharks and rays (58.823529%); Pelagic sharks and rays (41.176471%)</x:v>
      </x:c>
      <x:c r="F50" s="7" t="str">
        <x:v>Very low</x:v>
      </x:c>
      <x:c r="G50" s="7" t="str">
        <x:v>Approximate cartilaginous fishes with the represented demersal and pelagic shark/ray pools. Any unreported chimaera catch has no dedicated compartment and is absorbed by this weak analogue; its fraction is unknown. Weights use model catch proportions, assumed fixed across years and catch bases. Very low membership confidence; see Sources and the regional Mapping review.</x:v>
      </x:c>
      <x:c r="H50" s="1"/>
      <x:c r="I50" s="1"/>
      <x:c r="J50" s="1"/>
      <x:c r="K50" s="1"/>
    </x:row>
    <x:row r="51" ht="42" customHeight="1">
      <x:c r="A51" s="7" t="str">
        <x:v>Lutjanus</x:v>
      </x:c>
      <x:c r="B51" s="11" t="n">
        <x:v>4.02</x:v>
      </x:c>
      <x:c r="C51" s="12" t="n">
        <x:v>22653.4578388041</x:v>
      </x:c>
      <x:c r="D51" s="12" t="n">
        <x:v>2635675.823897686</x:v>
      </x:c>
      <x:c r="E51" s="7" t="str">
        <x:v>Snappers (100.000000%)</x:v>
      </x:c>
      <x:c r="F51" s="7" t="str">
        <x:v>High</x:v>
      </x:c>
      <x:c r="G51" s="7" t="str">
        <x:v>Fits the source taxonomic definition. See Sources and the regional Mapping review.</x:v>
      </x:c>
      <x:c r="H51" s="1"/>
      <x:c r="I51" s="1"/>
      <x:c r="J51" s="1"/>
      <x:c r="K51" s="1"/>
    </x:row>
    <x:row r="52" ht="57" customHeight="1">
      <x:c r="A52" s="7" t="str">
        <x:v>Seriola</x:v>
      </x:c>
      <x:c r="B52" s="11" t="n">
        <x:v>4.39</x:v>
      </x:c>
      <x:c r="C52" s="12" t="n">
        <x:v>9656.8561392671</x:v>
      </x:c>
      <x:c r="D52" s="12" t="n">
        <x:v>2633863.42917185</x:v>
      </x:c>
      <x:c r="E52" s="7" t="str">
        <x:v>Juvenile large pelagic fish (89.993906%); Pelagic fish (&gt; 30 cm) (10.006094%)</x:v>
      </x:c>
      <x:c r="F52" s="7" t="str">
        <x:v>Low</x:v>
      </x:c>
      <x:c r="G52" s="7" t="str">
        <x:v>Broad lineage; size/habitat containment uncertain; historical stage proxy. See Sources and the regional Mapping review.</x:v>
      </x:c>
      <x:c r="H52" s="1"/>
      <x:c r="I52" s="1"/>
      <x:c r="J52" s="1"/>
      <x:c r="K52" s="1"/>
    </x:row>
    <x:row r="53" ht="57" customHeight="1">
      <x:c r="A53" s="7" t="str">
        <x:v>Thunnus tonggol</x:v>
      </x:c>
      <x:c r="B53" s="11" t="n">
        <x:v>4.5</x:v>
      </x:c>
      <x:c r="C53" s="12" t="n">
        <x:v>7448.6668499699</x:v>
      </x:c>
      <x:c r="D53" s="12" t="n">
        <x:v>2617194.7530773985</x:v>
      </x:c>
      <x:c r="E53" s="7" t="str">
        <x:v>Juvenile large pelagic fish (89.993906%); Pelagic fish (&gt; 30 cm) (10.006094%)</x:v>
      </x:c>
      <x:c r="F53" s="7" t="str">
        <x:v>Medium</x:v>
      </x:c>
      <x:c r="G53" s="7" t="str">
        <x:v>Habitat/size fit inferred; model-catch stage proxy, fixed across years. See Sources and the regional Mapping review.</x:v>
      </x:c>
      <x:c r="H53" s="1"/>
      <x:c r="I53" s="1"/>
      <x:c r="J53" s="1"/>
      <x:c r="K53" s="1"/>
    </x:row>
    <x:row r="54" ht="42" customHeight="1">
      <x:c r="A54" s="7" t="str">
        <x:v>Selaroides leptolepis</x:v>
      </x:c>
      <x:c r="B54" s="11" t="n">
        <x:v>3.84</x:v>
      </x:c>
      <x:c r="C54" s="12" t="n">
        <x:v>33920.5135859908</x:v>
      </x:c>
      <x:c r="D54" s="12" t="n">
        <x:v>2607473.538696109</x:v>
      </x:c>
      <x:c r="E54" s="7" t="str">
        <x:v>Pelagic fish (≤ 30 cm) (100.000000%)</x:v>
      </x:c>
      <x:c r="F54" s="7" t="str">
        <x:v>Low</x:v>
      </x:c>
      <x:c r="G54" s="7" t="str">
        <x:v>Small size supported, but demersal schooling conflicts with pelagic fit. See Sources and the regional Mapping review.</x:v>
      </x:c>
      <x:c r="H54" s="1"/>
      <x:c r="I54" s="1"/>
      <x:c r="J54" s="1"/>
      <x:c r="K54" s="1"/>
    </x:row>
    <x:row r="55" ht="57" customHeight="1">
      <x:c r="A55" s="7" t="str">
        <x:v>Scomberomorus guttatus</x:v>
      </x:c>
      <x:c r="B55" s="11" t="n">
        <x:v>4.28</x:v>
      </x:c>
      <x:c r="C55" s="12" t="n">
        <x:v>12049.6278404204</x:v>
      </x:c>
      <x:c r="D55" s="12" t="n">
        <x:v>2551121.3906663777</x:v>
      </x:c>
      <x:c r="E55" s="7" t="str">
        <x:v>Juvenile large pelagic fish (89.993906%); Pelagic fish (&gt; 30 cm) (10.006094%)</x:v>
      </x:c>
      <x:c r="F55" s="7" t="str">
        <x:v>Medium</x:v>
      </x:c>
      <x:c r="G55" s="7" t="str">
        <x:v>Habitat/size fit inferred; model-catch stage proxy, fixed across years. See Sources and the regional Mapping review.</x:v>
      </x:c>
      <x:c r="H55" s="1"/>
      <x:c r="I55" s="1"/>
      <x:c r="J55" s="1"/>
      <x:c r="K55" s="1"/>
    </x:row>
    <x:row r="56" ht="57" customHeight="1">
      <x:c r="A56" s="7" t="str">
        <x:v>Cololabis saira</x:v>
      </x:c>
      <x:c r="B56" s="11" t="n">
        <x:v>3.71</x:v>
      </x:c>
      <x:c r="C56" s="12" t="n">
        <x:v>44760.0329692707</x:v>
      </x:c>
      <x:c r="D56" s="12" t="n">
        <x:v>2550632.4951243657</x:v>
      </x:c>
      <x:c r="E56" s="7" t="str">
        <x:v>Juvenile large pelagic fish (89.993906%); Pelagic fish (&gt; 30 cm) (10.006094%)</x:v>
      </x:c>
      <x:c r="F56" s="7" t="str">
        <x:v>Medium</x:v>
      </x:c>
      <x:c r="G56" s="7" t="str">
        <x:v>Habitat/size fit inferred; model-catch stage proxy, fixed across years. See Sources and the regional Mapping review.</x:v>
      </x:c>
      <x:c r="H56" s="1"/>
      <x:c r="I56" s="1"/>
      <x:c r="J56" s="1"/>
      <x:c r="K56" s="1"/>
    </x:row>
    <x:row r="57" ht="57" customHeight="1">
      <x:c r="A57" s="7" t="str">
        <x:v>Ilisha elongata</x:v>
      </x:c>
      <x:c r="B57" s="11" t="n">
        <x:v>3.79</x:v>
      </x:c>
      <x:c r="C57" s="12" t="n">
        <x:v>36037.4422664097</x:v>
      </x:c>
      <x:c r="D57" s="12" t="n">
        <x:v>2468945.1979266605</x:v>
      </x:c>
      <x:c r="E57" s="7" t="str">
        <x:v>Juvenile large pelagic fish (89.993906%); Pelagic fish (&gt; 30 cm) (10.006094%)</x:v>
      </x:c>
      <x:c r="F57" s="7" t="str">
        <x:v>Medium</x:v>
      </x:c>
      <x:c r="G57" s="7" t="str">
        <x:v>Habitat/size fit inferred; model-catch stage proxy, fixed across years. See Sources and the regional Mapping review.</x:v>
      </x:c>
      <x:c r="H57" s="1"/>
      <x:c r="I57" s="1"/>
      <x:c r="J57" s="1"/>
      <x:c r="K57" s="1"/>
    </x:row>
    <x:row r="58" ht="42" customHeight="1">
      <x:c r="A58" s="7" t="str">
        <x:v>Sepiida</x:v>
      </x:c>
      <x:c r="B58" s="11" t="n">
        <x:v>3.7</x:v>
      </x:c>
      <x:c r="C58" s="12" t="n">
        <x:v>40234.5103552879</x:v>
      </x:c>
      <x:c r="D58" s="12" t="n">
        <x:v>2240558.1045905105</x:v>
      </x:c>
      <x:c r="E58" s="7" t="str">
        <x:v>Cephalopods (100.000000%)</x:v>
      </x:c>
      <x:c r="F58" s="7" t="str">
        <x:v>High</x:v>
      </x:c>
      <x:c r="G58" s="7" t="str">
        <x:v>Fits the source taxonomic definition. See Sources and the regional Mapping review.</x:v>
      </x:c>
      <x:c r="H58" s="1"/>
      <x:c r="I58" s="1"/>
      <x:c r="J58" s="1"/>
      <x:c r="K58" s="1"/>
    </x:row>
    <x:row r="59" ht="57" customHeight="1">
      <x:c r="A59" s="7" t="str">
        <x:v>Trichiuridae</x:v>
      </x:c>
      <x:c r="B59" s="11" t="n">
        <x:v>4.15</x:v>
      </x:c>
      <x:c r="C59" s="12" t="n">
        <x:v>14238.2531999174</x:v>
      </x:c>
      <x:c r="D59" s="12" t="n">
        <x:v>2234674.134969823</x:v>
      </x:c>
      <x:c r="E59" s="7" t="str">
        <x:v>Juvenile Hairtail (trichiurids) (79.545455%); Adult hairtail (trichiurids) (20.454545%)</x:v>
      </x:c>
      <x:c r="F59" s="7" t="str">
        <x:v>Medium</x:v>
      </x:c>
      <x:c r="G59" s="7" t="str">
        <x:v>Source membership; model-catch stage proxy, fixed across years. See Sources and the regional Mapping review.</x:v>
      </x:c>
      <x:c r="H59" s="1"/>
      <x:c r="I59" s="1"/>
      <x:c r="J59" s="1"/>
      <x:c r="K59" s="1"/>
    </x:row>
    <x:row r="60" ht="42" customHeight="1">
      <x:c r="A60" s="7" t="str">
        <x:v>Saurida</x:v>
      </x:c>
      <x:c r="B60" s="11" t="n">
        <x:v>4.35</x:v>
      </x:c>
      <x:c r="C60" s="12" t="n">
        <x:v>8432.9570714606</x:v>
      </x:c>
      <x:c r="D60" s="12" t="n">
        <x:v>2097671.0285020215</x:v>
      </x:c>
      <x:c r="E60" s="7" t="str">
        <x:v>Lizard fish (synodontids) (100.000000%)</x:v>
      </x:c>
      <x:c r="F60" s="7" t="str">
        <x:v>High</x:v>
      </x:c>
      <x:c r="G60" s="7" t="str">
        <x:v>Fits the source taxonomic definition. See Sources and the regional Mapping review.</x:v>
      </x:c>
      <x:c r="H60" s="1"/>
      <x:c r="I60" s="1"/>
      <x:c r="J60" s="1"/>
      <x:c r="K60" s="1"/>
    </x:row>
    <x:row r="61" ht="42" customHeight="1">
      <x:c r="A61" s="7" t="str">
        <x:v>Cephalopoda</x:v>
      </x:c>
      <x:c r="B61" s="11" t="n">
        <x:v>3.81</x:v>
      </x:c>
      <x:c r="C61" s="12" t="n">
        <x:v>29218.5094012472</x:v>
      </x:c>
      <x:c r="D61" s="12" t="n">
        <x:v>2096117.1290004551</x:v>
      </x:c>
      <x:c r="E61" s="7" t="str">
        <x:v>Cephalopods (100.000000%)</x:v>
      </x:c>
      <x:c r="F61" s="7" t="str">
        <x:v>High</x:v>
      </x:c>
      <x:c r="G61" s="7" t="str">
        <x:v>Fits the source taxonomic definition. See Sources and the regional Mapping review.</x:v>
      </x:c>
      <x:c r="H61" s="1"/>
      <x:c r="I61" s="1"/>
      <x:c r="J61" s="1"/>
      <x:c r="K61" s="1"/>
    </x:row>
    <x:row r="62" ht="57" customHeight="1">
      <x:c r="A62" s="7" t="str">
        <x:v>Larimichthys crocea</x:v>
      </x:c>
      <x:c r="B62" s="11" t="n">
        <x:v>3.72</x:v>
      </x:c>
      <x:c r="C62" s="12" t="n">
        <x:v>34581.1927283659</x:v>
      </x:c>
      <x:c r="D62" s="12" t="n">
        <x:v>2016496.4364646247</x:v>
      </x:c>
      <x:c r="E62" s="7" t="str">
        <x:v>Juvenile large croakers (89.873418%); Croakers (&gt; 30 cm) (10.126582%)</x:v>
      </x:c>
      <x:c r="F62" s="7" t="str">
        <x:v>Medium</x:v>
      </x:c>
      <x:c r="G62" s="7" t="str">
        <x:v>Source membership; model-catch stage proxy, fixed across years. See Sources and the regional Mapping review.</x:v>
      </x:c>
      <x:c r="H62" s="1"/>
      <x:c r="I62" s="1"/>
      <x:c r="J62" s="1"/>
      <x:c r="K62" s="1"/>
    </x:row>
    <x:row r="63" ht="42" customHeight="1">
      <x:c r="A63" s="7" t="str">
        <x:v>Octopodidae</x:v>
      </x:c>
      <x:c r="B63" s="11" t="n">
        <x:v>3.59</x:v>
      </x:c>
      <x:c r="C63" s="12" t="n">
        <x:v>45104.9351031782</x:v>
      </x:c>
      <x:c r="D63" s="12" t="n">
        <x:v>1949761.779685953</x:v>
      </x:c>
      <x:c r="E63" s="7" t="str">
        <x:v>Cephalopods (100.000000%)</x:v>
      </x:c>
      <x:c r="F63" s="7" t="str">
        <x:v>High</x:v>
      </x:c>
      <x:c r="G63" s="7" t="str">
        <x:v>Fits the source taxonomic definition. See Sources and the regional Mapping review.</x:v>
      </x:c>
      <x:c r="H63" s="1"/>
      <x:c r="I63" s="1"/>
      <x:c r="J63" s="1"/>
      <x:c r="K63" s="1"/>
    </x:row>
    <x:row r="64" ht="42" customHeight="1">
      <x:c r="A64" s="7" t="str">
        <x:v>Saurida tumbil</x:v>
      </x:c>
      <x:c r="B64" s="11" t="n">
        <x:v>4.4</x:v>
      </x:c>
      <x:c r="C64" s="12" t="n">
        <x:v>6677.3012758872</x:v>
      </x:c>
      <x:c r="D64" s="12" t="n">
        <x:v>1863624.719333631</x:v>
      </x:c>
      <x:c r="E64" s="7" t="str">
        <x:v>Lizard fish (synodontids) (100.000000%)</x:v>
      </x:c>
      <x:c r="F64" s="7" t="str">
        <x:v>High</x:v>
      </x:c>
      <x:c r="G64" s="7" t="str">
        <x:v>Explicit source member. See Sources and the regional Mapping review.</x:v>
      </x:c>
      <x:c r="H64" s="1"/>
      <x:c r="I64" s="1"/>
      <x:c r="J64" s="1"/>
      <x:c r="K64" s="1"/>
    </x:row>
    <x:row r="65" ht="57" customHeight="1">
      <x:c r="A65" s="7" t="str">
        <x:v>Euthynnus affinis</x:v>
      </x:c>
      <x:c r="B65" s="11" t="n">
        <x:v>4.5</x:v>
      </x:c>
      <x:c r="C65" s="12" t="n">
        <x:v>5112.4992114504</x:v>
      </x:c>
      <x:c r="D65" s="12" t="n">
        <x:v>1796349.1159997839</x:v>
      </x:c>
      <x:c r="E65" s="7" t="str">
        <x:v>Juvenile large pelagic fish (89.993906%); Pelagic fish (&gt; 30 cm) (10.006094%)</x:v>
      </x:c>
      <x:c r="F65" s="7" t="str">
        <x:v>Medium</x:v>
      </x:c>
      <x:c r="G65" s="7" t="str">
        <x:v>Habitat/size fit inferred; model-catch stage proxy, fixed across years. See Sources and the regional Mapping review.</x:v>
      </x:c>
      <x:c r="H65" s="1"/>
      <x:c r="I65" s="1"/>
      <x:c r="J65" s="1"/>
      <x:c r="K65" s="1"/>
    </x:row>
    <x:row r="66" ht="57" customHeight="1">
      <x:c r="A66" s="7" t="str">
        <x:v>Ariidae</x:v>
      </x:c>
      <x:c r="B66" s="11" t="n">
        <x:v>3.48</x:v>
      </x:c>
      <x:c r="C66" s="12" t="n">
        <x:v>52098.3462689772</x:v>
      </x:c>
      <x:c r="D66" s="12" t="n">
        <x:v>1748161.0049455294</x:v>
      </x:c>
      <x:c r="E66" s="7" t="str">
        <x:v>Juvenile demersal fish (&gt; 30 cm) (89.991470%); Adult demersal fish (&gt; 30 cm) (10.008530%)</x:v>
      </x:c>
      <x:c r="F66" s="7" t="str">
        <x:v>Low</x:v>
      </x:c>
      <x:c r="G6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66" s="1"/>
      <x:c r="I66" s="1"/>
      <x:c r="J66" s="1"/>
      <x:c r="K66" s="1"/>
    </x:row>
    <x:row r="67" ht="72" customHeight="1">
      <x:c r="A67" s="7" t="str">
        <x:v>Carcharhinus</x:v>
      </x:c>
      <x:c r="B67" s="11" t="n">
        <x:v>4.26</x:v>
      </x:c>
      <x:c r="C67" s="12" t="n">
        <x:v>8528.4127392832</x:v>
      </x:c>
      <x:c r="D67" s="12" t="n">
        <x:v>1724351.1093615508</x:v>
      </x:c>
      <x:c r="E67" s="7" t="str">
        <x:v>Demersal sharks and rays (58.823529%); Pelagic sharks and rays (41.176471%)</x:v>
      </x:c>
      <x:c r="F67" s="7" t="str">
        <x:v>Medium</x:v>
      </x:c>
      <x:c r="G67"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67" s="1"/>
      <x:c r="I67" s="1"/>
      <x:c r="J67" s="1"/>
      <x:c r="K67" s="1"/>
    </x:row>
    <x:row r="68" ht="57" customHeight="1">
      <x:c r="A68" s="7" t="str">
        <x:v>Scomberoides</x:v>
      </x:c>
      <x:c r="B68" s="11" t="n">
        <x:v>4.47</x:v>
      </x:c>
      <x:c r="C68" s="12" t="n">
        <x:v>4915.8189299401</x:v>
      </x:c>
      <x:c r="D68" s="12" t="n">
        <x:v>1611956.6869622772</x:v>
      </x:c>
      <x:c r="E68" s="7" t="str">
        <x:v>Juvenile large pelagic fish (89.993906%); Pelagic fish (&gt; 30 cm) (10.006094%)</x:v>
      </x:c>
      <x:c r="F68" s="7" t="str">
        <x:v>Low</x:v>
      </x:c>
      <x:c r="G68" s="7" t="str">
        <x:v>Broad lineage; size/habitat containment uncertain; historical stage proxy. See Sources and the regional Mapping review.</x:v>
      </x:c>
      <x:c r="H68" s="1"/>
      <x:c r="I68" s="1"/>
      <x:c r="J68" s="1"/>
      <x:c r="K68" s="1"/>
    </x:row>
    <x:row r="69" ht="57" customHeight="1">
      <x:c r="A69" s="7" t="str">
        <x:v>Elagatis bipinnulata</x:v>
      </x:c>
      <x:c r="B69" s="11" t="n">
        <x:v>4.27</x:v>
      </x:c>
      <x:c r="C69" s="12" t="n">
        <x:v>7658.0800287748</x:v>
      </x:c>
      <x:c r="D69" s="12" t="n">
        <x:v>1584445.812568483</x:v>
      </x:c>
      <x:c r="E69" s="7" t="str">
        <x:v>Juvenile large pelagic fish (89.993906%); Pelagic fish (&gt; 30 cm) (10.006094%)</x:v>
      </x:c>
      <x:c r="F69" s="7" t="str">
        <x:v>Medium</x:v>
      </x:c>
      <x:c r="G69" s="7" t="str">
        <x:v>Habitat/size fit inferred; model-catch stage proxy, fixed across years. See Sources and the regional Mapping review.</x:v>
      </x:c>
      <x:c r="H69" s="1"/>
      <x:c r="I69" s="1"/>
      <x:c r="J69" s="1"/>
      <x:c r="K69" s="1"/>
    </x:row>
    <x:row r="70" ht="42" customHeight="1">
      <x:c r="A70" s="7" t="str">
        <x:v>Octopoda</x:v>
      </x:c>
      <x:c r="B70" s="11" t="n">
        <x:v>3.58</x:v>
      </x:c>
      <x:c r="C70" s="12" t="n">
        <x:v>36830.0505057548</x:v>
      </x:c>
      <x:c r="D70" s="12" t="n">
        <x:v>1555821.6298043</x:v>
      </x:c>
      <x:c r="E70" s="7" t="str">
        <x:v>Cephalopods (100.000000%)</x:v>
      </x:c>
      <x:c r="F70" s="7" t="str">
        <x:v>High</x:v>
      </x:c>
      <x:c r="G70" s="7" t="str">
        <x:v>Fits the source taxonomic definition. See Sources and the regional Mapping review.</x:v>
      </x:c>
      <x:c r="H70" s="1"/>
      <x:c r="I70" s="1"/>
      <x:c r="J70" s="1"/>
      <x:c r="K70" s="1"/>
    </x:row>
    <x:row r="71" ht="57" customHeight="1">
      <x:c r="A71" s="7" t="str">
        <x:v>Miichthys miiuy</x:v>
      </x:c>
      <x:c r="B71" s="11" t="n">
        <x:v>3.5</x:v>
      </x:c>
      <x:c r="C71" s="12" t="n">
        <x:v>42680.9176965395</x:v>
      </x:c>
      <x:c r="D71" s="12" t="n">
        <x:v>1499654.583858357</x:v>
      </x:c>
      <x:c r="E71" s="7" t="str">
        <x:v>Juvenile large croakers (89.873418%); Croakers (&gt; 30 cm) (10.126582%)</x:v>
      </x:c>
      <x:c r="F71" s="7" t="str">
        <x:v>Low</x:v>
      </x:c>
      <x:c r="G71" s="7" t="str">
        <x:v>Large-croaker membership inferred; historical stage proxy. See Sources and the regional Mapping review.</x:v>
      </x:c>
      <x:c r="H71" s="1"/>
      <x:c r="I71" s="1"/>
      <x:c r="J71" s="1"/>
      <x:c r="K71" s="1"/>
    </x:row>
    <x:row r="72" ht="42" customHeight="1">
      <x:c r="A72" s="7" t="str">
        <x:v>Lutjanus johnii</x:v>
      </x:c>
      <x:c r="B72" s="11" t="n">
        <x:v>4.2</x:v>
      </x:c>
      <x:c r="C72" s="12" t="n">
        <x:v>7946.9104821734</x:v>
      </x:c>
      <x:c r="D72" s="12" t="n">
        <x:v>1399444.9249216102</x:v>
      </x:c>
      <x:c r="E72" s="7" t="str">
        <x:v>Snappers (100.000000%)</x:v>
      </x:c>
      <x:c r="F72" s="7" t="str">
        <x:v>High</x:v>
      </x:c>
      <x:c r="G72" s="7" t="str">
        <x:v>Fits the source taxonomic definition. See Sources and the regional Mapping review.</x:v>
      </x:c>
      <x:c r="H72" s="1"/>
      <x:c r="I72" s="1"/>
      <x:c r="J72" s="1"/>
      <x:c r="K72" s="1"/>
    </x:row>
    <x:row r="73" ht="42" customHeight="1">
      <x:c r="A73" s="7" t="str">
        <x:v>Engraulidae</x:v>
      </x:c>
      <x:c r="B73" s="11" t="n">
        <x:v>3.2</x:v>
      </x:c>
      <x:c r="C73" s="12" t="n">
        <x:v>76599.9412264414</x:v>
      </x:c>
      <x:c r="D73" s="12" t="n">
        <x:v>1348919.1710300935</x:v>
      </x:c>
      <x:c r="E73" s="7" t="str">
        <x:v>Pelagic fish (≤ 30 cm) (100.000000%)</x:v>
      </x:c>
      <x:c r="F73" s="7" t="str">
        <x:v>Medium</x:v>
      </x:c>
      <x:c r="G73" s="7" t="str">
        <x:v>Habitat/size assignment inferred from SAU class. See Sources and the regional Mapping review.</x:v>
      </x:c>
      <x:c r="H73" s="1"/>
      <x:c r="I73" s="1"/>
      <x:c r="J73" s="1"/>
      <x:c r="K73" s="1"/>
    </x:row>
    <x:row r="74" ht="57" customHeight="1">
      <x:c r="A74" s="7" t="str">
        <x:v>Auxis</x:v>
      </x:c>
      <x:c r="B74" s="11" t="n">
        <x:v>4.24</x:v>
      </x:c>
      <x:c r="C74" s="12" t="n">
        <x:v>6916.7899304089</x:v>
      </x:c>
      <x:c r="D74" s="12" t="n">
        <x:v>1335555.9192611026</x:v>
      </x:c>
      <x:c r="E74" s="7" t="str">
        <x:v>Juvenile large pelagic fish (89.993906%); Pelagic fish (&gt; 30 cm) (10.006094%)</x:v>
      </x:c>
      <x:c r="F74" s="7" t="str">
        <x:v>Low</x:v>
      </x:c>
      <x:c r="G74" s="7" t="str">
        <x:v>Broad lineage; size/habitat containment uncertain; historical stage proxy. See Sources and the regional Mapping review.</x:v>
      </x:c>
      <x:c r="H74" s="1"/>
      <x:c r="I74" s="1"/>
      <x:c r="J74" s="1"/>
      <x:c r="K74" s="1"/>
    </x:row>
    <x:row r="75" ht="42" customHeight="1">
      <x:c r="A75" s="7" t="str">
        <x:v>Nemipterus hexodon</x:v>
      </x:c>
      <x:c r="B75" s="11" t="n">
        <x:v>3.93</x:v>
      </x:c>
      <x:c r="C75" s="12" t="n">
        <x:v>13585.8701786107</x:v>
      </x:c>
      <x:c r="D75" s="12" t="n">
        <x:v>1284827.8767883207</x:v>
      </x:c>
      <x:c r="E75" s="7" t="str">
        <x:v>Threadfin bream (nemipterids) (100.000000%)</x:v>
      </x:c>
      <x:c r="F75" s="7" t="str">
        <x:v>High</x:v>
      </x:c>
      <x:c r="G75" s="7" t="str">
        <x:v>Fits the source taxonomic definition. See Sources and the regional Mapping review.</x:v>
      </x:c>
      <x:c r="H75" s="1"/>
      <x:c r="I75" s="1"/>
      <x:c r="J75" s="1"/>
      <x:c r="K75" s="1"/>
    </x:row>
    <x:row r="76" ht="57" customHeight="1">
      <x:c r="A76" s="7" t="str">
        <x:v>Mullidae</x:v>
      </x:c>
      <x:c r="B76" s="11" t="n">
        <x:v>3.46</x:v>
      </x:c>
      <x:c r="C76" s="12" t="n">
        <x:v>39231.4233161052</x:v>
      </x:c>
      <x:c r="D76" s="12" t="n">
        <x:v>1257162.8972904785</x:v>
      </x:c>
      <x:c r="E76" s="7" t="str">
        <x:v>Juvenile demersal fish (&gt; 30 cm) (89.991470%); Adult demersal fish (&gt; 30 cm) (10.008530%)</x:v>
      </x:c>
      <x:c r="F76" s="7" t="str">
        <x:v>Low</x:v>
      </x:c>
      <x:c r="G7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76" s="1"/>
      <x:c r="I76" s="1"/>
      <x:c r="J76" s="1"/>
      <x:c r="K76" s="1"/>
    </x:row>
    <x:row r="77" ht="42" customHeight="1">
      <x:c r="A77" s="7" t="str">
        <x:v>Nemipteridae</x:v>
      </x:c>
      <x:c r="B77" s="11" t="n">
        <x:v>3.51</x:v>
      </x:c>
      <x:c r="C77" s="12" t="n">
        <x:v>33833.8901205483</x:v>
      </x:c>
      <x:c r="D77" s="12" t="n">
        <x:v>1216492.4702514932</x:v>
      </x:c>
      <x:c r="E77" s="7" t="str">
        <x:v>Threadfin bream (nemipterids) (100.000000%)</x:v>
      </x:c>
      <x:c r="F77" s="7" t="str">
        <x:v>High</x:v>
      </x:c>
      <x:c r="G77" s="7" t="str">
        <x:v>Fits the source taxonomic definition. See Sources and the regional Mapping review.</x:v>
      </x:c>
      <x:c r="H77" s="1"/>
      <x:c r="I77" s="1"/>
      <x:c r="J77" s="1"/>
      <x:c r="K77" s="1"/>
    </x:row>
    <x:row r="78" ht="57" customHeight="1">
      <x:c r="A78" s="7" t="str">
        <x:v>Trichiurus</x:v>
      </x:c>
      <x:c r="B78" s="11" t="n">
        <x:v>4.42</x:v>
      </x:c>
      <x:c r="C78" s="12" t="n">
        <x:v>4154.2252479521</x:v>
      </x:c>
      <x:c r="D78" s="12" t="n">
        <x:v>1214080.6334235624</x:v>
      </x:c>
      <x:c r="E78" s="7" t="str">
        <x:v>Juvenile Hairtail (trichiurids) (79.545455%); Adult hairtail (trichiurids) (20.454545%)</x:v>
      </x:c>
      <x:c r="F78" s="7" t="str">
        <x:v>Medium</x:v>
      </x:c>
      <x:c r="G78" s="7" t="str">
        <x:v>Source membership; model-catch stage proxy, fixed across years. See Sources and the regional Mapping review.</x:v>
      </x:c>
      <x:c r="H78" s="1"/>
      <x:c r="I78" s="1"/>
      <x:c r="J78" s="1"/>
      <x:c r="K78" s="1"/>
    </x:row>
    <x:row r="79" ht="42" customHeight="1">
      <x:c r="A79" s="7" t="str">
        <x:v>Serranidae</x:v>
      </x:c>
      <x:c r="B79" s="11" t="n">
        <x:v>3.98</x:v>
      </x:c>
      <x:c r="C79" s="12" t="n">
        <x:v>11129.0768242422</x:v>
      </x:c>
      <x:c r="D79" s="12" t="n">
        <x:v>1180909.5396015877</x:v>
      </x:c>
      <x:c r="E79" s="7" t="str">
        <x:v>Adult groupers (100.000000%)</x:v>
      </x:c>
      <x:c r="F79" s="7" t="str">
        <x:v>High</x:v>
      </x:c>
      <x:c r="G79" s="7" t="str">
        <x:v>Fits the source taxonomic definition. See Sources and the regional Mapping review.</x:v>
      </x:c>
      <x:c r="H79" s="1"/>
      <x:c r="I79" s="1"/>
      <x:c r="J79" s="1"/>
      <x:c r="K79" s="1"/>
    </x:row>
    <x:row r="80" ht="72" customHeight="1">
      <x:c r="A80" s="7" t="str">
        <x:v>Carcharhinidae</x:v>
      </x:c>
      <x:c r="B80" s="11" t="n">
        <x:v>4.24</x:v>
      </x:c>
      <x:c r="C80" s="12" t="n">
        <x:v>5872.7986883923</x:v>
      </x:c>
      <x:c r="D80" s="12" t="n">
        <x:v>1133972.7141962654</x:v>
      </x:c>
      <x:c r="E80" s="7" t="str">
        <x:v>Demersal sharks and rays (58.823529%); Pelagic sharks and rays (41.176471%)</x:v>
      </x:c>
      <x:c r="F80" s="7" t="str">
        <x:v>Medium</x:v>
      </x:c>
      <x:c r="G80"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80" s="1"/>
      <x:c r="I80" s="1"/>
      <x:c r="J80" s="1"/>
      <x:c r="K80" s="1"/>
    </x:row>
    <x:row r="81" ht="42" customHeight="1">
      <x:c r="A81" s="7" t="str">
        <x:v>Cephalopholis boenak</x:v>
      </x:c>
      <x:c r="B81" s="11" t="n">
        <x:v>4.07</x:v>
      </x:c>
      <x:c r="C81" s="12" t="n">
        <x:v>8658.6013728768</x:v>
      </x:c>
      <x:c r="D81" s="12" t="n">
        <x:v>1130329.9535765564</x:v>
      </x:c>
      <x:c r="E81" s="7" t="str">
        <x:v>Adult groupers (100.000000%)</x:v>
      </x:c>
      <x:c r="F81" s="7" t="str">
        <x:v>High</x:v>
      </x:c>
      <x:c r="G81" s="7" t="str">
        <x:v>Fits the source taxonomic definition. See Sources and the regional Mapping review.</x:v>
      </x:c>
      <x:c r="H81" s="1"/>
      <x:c r="I81" s="1"/>
      <x:c r="J81" s="1"/>
      <x:c r="K81" s="1"/>
    </x:row>
    <x:row r="82" ht="57" customHeight="1">
      <x:c r="A82" s="7" t="str">
        <x:v>Caranx</x:v>
      </x:c>
      <x:c r="B82" s="11" t="n">
        <x:v>4.12</x:v>
      </x:c>
      <x:c r="C82" s="12" t="n">
        <x:v>7710.3341813812</x:v>
      </x:c>
      <x:c r="D82" s="12" t="n">
        <x:v>1129355.5545697303</x:v>
      </x:c>
      <x:c r="E82" s="7" t="str">
        <x:v>Juvenile large pelagic fish (89.993906%); Pelagic fish (&gt; 30 cm) (10.006094%)</x:v>
      </x:c>
      <x:c r="F82" s="7" t="str">
        <x:v>Low</x:v>
      </x:c>
      <x:c r="G82" s="7" t="str">
        <x:v>Broad lineage; size/habitat containment uncertain; historical stage proxy. See Sources and the regional Mapping review.</x:v>
      </x:c>
      <x:c r="H82" s="1"/>
      <x:c r="I82" s="1"/>
      <x:c r="J82" s="1"/>
      <x:c r="K82" s="1"/>
    </x:row>
    <x:row r="83" ht="87" customHeight="1">
      <x:c r="A83" s="7" t="str">
        <x:v>Clupeidae</x:v>
      </x:c>
      <x:c r="B83" s="11" t="n">
        <x:v>3.16</x:v>
      </x:c>
      <x:c r="C83" s="12" t="n">
        <x:v>67673.449645598</x:v>
      </x:c>
      <x:c r="D83" s="12" t="n">
        <x:v>1086865.5060146586</x:v>
      </x:c>
      <x:c r="E83" s="7" t="str">
        <x:v>Pelagic fish (≤ 30 cm) (74.079924%); Juvenile large pelagic fish (23.326489%); Pelagic fish (&gt; 30 cm) (2.593587%)</x:v>
      </x:c>
      <x:c r="F83" s="7" t="str">
        <x:v>Medium</x:v>
      </x:c>
      <x:c r="G83" s="7" t="str">
        <x:v>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H83" s="1"/>
      <x:c r="I83" s="1"/>
      <x:c r="J83" s="1"/>
      <x:c r="K83" s="1"/>
    </x:row>
    <x:row r="84" ht="57" customHeight="1">
      <x:c r="A84" s="7" t="str">
        <x:v>Netuma thalassina</x:v>
      </x:c>
      <x:c r="B84" s="11" t="n">
        <x:v>3.54</x:v>
      </x:c>
      <x:c r="C84" s="12" t="n">
        <x:v>28164.0246240651</x:v>
      </x:c>
      <x:c r="D84" s="12" t="n">
        <x:v>1085056.1326906534</x:v>
      </x:c>
      <x:c r="E84" s="7" t="str">
        <x:v>Juvenile demersal fish (&gt; 30 cm) (89.991470%); Adult demersal fish (&gt; 30 cm) (10.008530%)</x:v>
      </x:c>
      <x:c r="F84" s="7" t="str">
        <x:v>Low</x:v>
      </x:c>
      <x:c r="G8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84" s="1"/>
      <x:c r="I84" s="1"/>
      <x:c r="J84" s="1"/>
      <x:c r="K84" s="1"/>
    </x:row>
    <x:row r="85" ht="42" customHeight="1">
      <x:c r="A85" s="7" t="str">
        <x:v>Chirocentrus dorab</x:v>
      </x:c>
      <x:c r="B85" s="11" t="n">
        <x:v>4.2</x:v>
      </x:c>
      <x:c r="C85" s="12" t="n">
        <x:v>5964.151628291799</x:v>
      </x:c>
      <x:c r="D85" s="12" t="n">
        <x:v>1050282.5904983934</x:v>
      </x:c>
      <x:c r="E85" s="7" t="str">
        <x:v>Benthopelagic fish (100.000000%)</x:v>
      </x:c>
      <x:c r="F85" s="7" t="str">
        <x:v>Low</x:v>
      </x:c>
      <x:c r="G85" s="7" t="str">
        <x:v>Ecological assignment; final benthopelagic pool is ambiguous. See Sources and the regional Mapping review.</x:v>
      </x:c>
      <x:c r="H85" s="1"/>
      <x:c r="I85" s="1"/>
      <x:c r="J85" s="1"/>
      <x:c r="K85" s="1"/>
    </x:row>
    <x:row r="86" ht="57" customHeight="1">
      <x:c r="A86" s="7" t="str">
        <x:v>Thunnus obesus</x:v>
      </x:c>
      <x:c r="B86" s="11" t="n">
        <x:v>4.49</x:v>
      </x:c>
      <x:c r="C86" s="12" t="n">
        <x:v>2997.0257728214</x:v>
      </x:c>
      <x:c r="D86" s="12" t="n">
        <x:v>1029077.2285417212</x:v>
      </x:c>
      <x:c r="E86" s="7" t="str">
        <x:v>Juvenile large pelagic fish (89.993906%); Pelagic fish (&gt; 30 cm) (10.006094%)</x:v>
      </x:c>
      <x:c r="F86" s="7" t="str">
        <x:v>Medium</x:v>
      </x:c>
      <x:c r="G86" s="7" t="str">
        <x:v>Habitat/size fit inferred; model-catch stage proxy, fixed across years. See Sources and the regional Mapping review.</x:v>
      </x:c>
      <x:c r="H86" s="1"/>
      <x:c r="I86" s="1"/>
      <x:c r="J86" s="1"/>
      <x:c r="K86" s="1"/>
    </x:row>
    <x:row r="87" ht="72" customHeight="1">
      <x:c r="A87" s="7" t="str">
        <x:v>Dendrobranchiata</x:v>
      </x:c>
      <x:c r="B87" s="11" t="n">
        <x:v>3.24</x:v>
      </x:c>
      <x:c r="C87" s="12" t="n">
        <x:v>52876.4363510987</x:v>
      </x:c>
      <x:c r="D87" s="12" t="n">
        <x:v>1020985.721247255</x:v>
      </x:c>
      <x:c r="E87" s="7" t="str">
        <x:v>Zooplankton (12.254395%); Shrimps (87.745605%)</x:v>
      </x:c>
      <x:c r="F87" s="7" t="str">
        <x:v>Medium</x:v>
      </x:c>
      <x:c r="G87" s="7" t="str">
        <x:v>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H87" s="1"/>
      <x:c r="I87" s="1"/>
      <x:c r="J87" s="1"/>
      <x:c r="K87" s="1"/>
    </x:row>
    <x:row r="88" ht="42" customHeight="1">
      <x:c r="A88" s="7" t="str">
        <x:v>Penaeus merguiensis</x:v>
      </x:c>
      <x:c r="B88" s="11" t="n">
        <x:v>3.77</x:v>
      </x:c>
      <x:c r="C88" s="12" t="n">
        <x:v>15088.0945073802</x:v>
      </x:c>
      <x:c r="D88" s="12" t="n">
        <x:v>987169.8580084824</x:v>
      </x:c>
      <x:c r="E88" s="7" t="str">
        <x:v>Shrimps (100.000000%)</x:v>
      </x:c>
      <x:c r="F88" s="7" t="str">
        <x:v>High</x:v>
      </x:c>
      <x:c r="G88" s="7" t="str">
        <x:v>Fits the source taxonomic definition. See Sources and the regional Mapping review.</x:v>
      </x:c>
      <x:c r="H88" s="1"/>
      <x:c r="I88" s="1"/>
      <x:c r="J88" s="1"/>
      <x:c r="K88" s="1"/>
    </x:row>
    <x:row r="89" ht="147" customHeight="1">
      <x:c r="A89" s="7" t="str">
        <x:v>Psettodes erumei</x:v>
      </x:c>
      <x:c r="B89" s="11" t="n">
        <x:v>4.39</x:v>
      </x:c>
      <x:c r="C89" s="12" t="n">
        <x:v>3577.1770297484</x:v>
      </x:c>
      <x:c r="D89" s="12" t="n">
        <x:v>975658.7053230093</x:v>
      </x:c>
      <x:c r="E89" s="7" t="str">
        <x:v>Juvenile demersal fish (&gt; 30 cm) (89.991470%); Adult demersal fish (&gt; 30 cm) (10.008530%)</x:v>
      </x:c>
      <x:c r="F89" s="7" t="str">
        <x:v>Low</x:v>
      </x:c>
      <x:c r="G8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H89" s="1"/>
      <x:c r="I89" s="1"/>
      <x:c r="J89" s="1"/>
      <x:c r="K89" s="1"/>
    </x:row>
    <x:row r="90" ht="102" customHeight="1">
      <x:c r="A90" s="7" t="str">
        <x:v>Miscellaneous marine crustaceans</x:v>
      </x:c>
      <x:c r="B90" s="11" t="n">
        <x:v>2.7</x:v>
      </x:c>
      <x:c r="C90" s="12" t="n">
        <x:v>173426.4016760023</x:v>
      </x:c>
      <x:c r="D90" s="12" t="n">
        <x:v>965767.761043642</x:v>
      </x:c>
      <x:c r="E90" s="7" t="str">
        <x:v>Zooplankton (9.363888%); Benthic crustaceans (3.862110%); Shrimps (67.048597%); Crabs (19.725405%)</x:v>
      </x:c>
      <x:c r="F90" s="7" t="str">
        <x:v>Medium</x:v>
      </x:c>
      <x:c r="G90"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H90" s="1"/>
      <x:c r="I90" s="1"/>
      <x:c r="J90" s="1"/>
      <x:c r="K90" s="1"/>
    </x:row>
    <x:row r="91" ht="57" customHeight="1">
      <x:c r="A91" s="7" t="str">
        <x:v>Selar crumenophthalmus</x:v>
      </x:c>
      <x:c r="B91" s="11" t="n">
        <x:v>3.81</x:v>
      </x:c>
      <x:c r="C91" s="12" t="n">
        <x:v>13060.5178075145</x:v>
      </x:c>
      <x:c r="D91" s="12" t="n">
        <x:v>936953.1728671294</x:v>
      </x:c>
      <x:c r="E91" s="7" t="str">
        <x:v>Juvenile large pelagic fish (89.993906%); Pelagic fish (&gt; 30 cm) (10.006094%)</x:v>
      </x:c>
      <x:c r="F91" s="7" t="str">
        <x:v>Medium</x:v>
      </x:c>
      <x:c r="G91" s="7" t="str">
        <x:v>Habitat/size fit inferred; model-catch stage proxy, fixed across years. See Sources and the regional Mapping review.</x:v>
      </x:c>
      <x:c r="H91" s="1"/>
      <x:c r="I91" s="1"/>
      <x:c r="J91" s="1"/>
      <x:c r="K91" s="1"/>
    </x:row>
    <x:row r="92" ht="42" customHeight="1">
      <x:c r="A92" s="7" t="str">
        <x:v>Sardinella</x:v>
      </x:c>
      <x:c r="B92" s="11" t="n">
        <x:v>2.77</x:v>
      </x:c>
      <x:c r="C92" s="12" t="n">
        <x:v>142727.7340288096</x:v>
      </x:c>
      <x:c r="D92" s="12" t="n">
        <x:v>933825.7847349391</x:v>
      </x:c>
      <x:c r="E92" s="7" t="str">
        <x:v>Pelagic fish (≤ 30 cm) (100.000000%)</x:v>
      </x:c>
      <x:c r="F92" s="7" t="str">
        <x:v>Medium</x:v>
      </x:c>
      <x:c r="G92" s="7" t="str">
        <x:v>Habitat/size assignment inferred from SAU class. See Sources and the regional Mapping review.</x:v>
      </x:c>
      <x:c r="H92" s="1"/>
      <x:c r="I92" s="1"/>
      <x:c r="J92" s="1"/>
      <x:c r="K92" s="1"/>
    </x:row>
    <x:row r="93" ht="42" customHeight="1">
      <x:c r="A93" s="7" t="str">
        <x:v>Rhizostomeae</x:v>
      </x:c>
      <x:c r="B93" s="11" t="n">
        <x:v>3.46</x:v>
      </x:c>
      <x:c r="C93" s="12" t="n">
        <x:v>27768.5620784986</x:v>
      </x:c>
      <x:c r="D93" s="12" t="n">
        <x:v>889837.8647879644</x:v>
      </x:c>
      <x:c r="E93" s="7" t="str">
        <x:v>Jellyfish (100.000000%)</x:v>
      </x:c>
      <x:c r="F93" s="7" t="str">
        <x:v>High</x:v>
      </x:c>
      <x:c r="G93" s="7" t="str">
        <x:v>Fits the source taxonomic definition. See Sources and the regional Mapping review.</x:v>
      </x:c>
      <x:c r="H93" s="1"/>
      <x:c r="I93" s="1"/>
      <x:c r="J93" s="1"/>
      <x:c r="K93" s="1"/>
    </x:row>
    <x:row r="94" ht="57" customHeight="1">
      <x:c r="A94" s="7" t="str">
        <x:v>Sphyraenidae</x:v>
      </x:c>
      <x:c r="B94" s="11" t="n">
        <x:v>4.4</x:v>
      </x:c>
      <x:c r="C94" s="12" t="n">
        <x:v>3141.5423336535</x:v>
      </x:c>
      <x:c r="D94" s="12" t="n">
        <x:v>876799.7291019083</x:v>
      </x:c>
      <x:c r="E94" s="7" t="str">
        <x:v>Juvenile large pelagic fish (89.993906%); Pelagic fish (&gt; 30 cm) (10.006094%)</x:v>
      </x:c>
      <x:c r="F94" s="7" t="str">
        <x:v>Low</x:v>
      </x:c>
      <x:c r="G94" s="7" t="str">
        <x:v>Broad lineage; size/habitat containment uncertain; historical stage proxy. See Sources and the regional Mapping review.</x:v>
      </x:c>
      <x:c r="H94" s="1"/>
      <x:c r="I94" s="1"/>
      <x:c r="J94" s="1"/>
      <x:c r="K94" s="1"/>
    </x:row>
    <x:row r="95" ht="42" customHeight="1">
      <x:c r="A95" s="7" t="str">
        <x:v>Stolephorus</x:v>
      </x:c>
      <x:c r="B95" s="11" t="n">
        <x:v>3.44</x:v>
      </x:c>
      <x:c r="C95" s="12" t="n">
        <x:v>26512.2218552843</x:v>
      </x:c>
      <x:c r="D95" s="12" t="n">
        <x:v>811341.3602565941</x:v>
      </x:c>
      <x:c r="E95" s="7" t="str">
        <x:v>Pelagic fish (≤ 30 cm) (100.000000%)</x:v>
      </x:c>
      <x:c r="F95" s="7" t="str">
        <x:v>Medium</x:v>
      </x:c>
      <x:c r="G95" s="7" t="str">
        <x:v>Habitat/size assignment inferred from SAU class. See Sources and the regional Mapping review.</x:v>
      </x:c>
      <x:c r="H95" s="1"/>
      <x:c r="I95" s="1"/>
      <x:c r="J95" s="1"/>
      <x:c r="K95" s="1"/>
    </x:row>
    <x:row r="96" ht="42" customHeight="1">
      <x:c r="A96" s="7" t="str">
        <x:v>Acetes japonicus</x:v>
      </x:c>
      <x:c r="B96" s="11" t="n">
        <x:v>2.54</x:v>
      </x:c>
      <x:c r="C96" s="12" t="n">
        <x:v>209803.6342747194</x:v>
      </x:c>
      <x:c r="D96" s="12" t="n">
        <x:v>808296.1262434559</x:v>
      </x:c>
      <x:c r="E96" s="7" t="str">
        <x:v>Zooplankton (100.000000%)</x:v>
      </x:c>
      <x:c r="F96" s="7" t="str">
        <x:v>High</x:v>
      </x:c>
      <x:c r="G96" s="7" t="str">
        <x:v>Explicit source member. See Sources and the regional Mapping review.</x:v>
      </x:c>
      <x:c r="H96" s="1"/>
      <x:c r="I96" s="1"/>
      <x:c r="J96" s="1"/>
      <x:c r="K96" s="1"/>
    </x:row>
    <x:row r="97" ht="42" customHeight="1">
      <x:c r="A97" s="7" t="str">
        <x:v>Penaeidae</x:v>
      </x:c>
      <x:c r="B97" s="11" t="n">
        <x:v>3.31</x:v>
      </x:c>
      <x:c r="C97" s="12" t="n">
        <x:v>35566.546499536</x:v>
      </x:c>
      <x:c r="D97" s="12" t="n">
        <x:v>806861.8616550657</x:v>
      </x:c>
      <x:c r="E97" s="7" t="str">
        <x:v>Shrimps (100.000000%)</x:v>
      </x:c>
      <x:c r="F97" s="7" t="str">
        <x:v>High</x:v>
      </x:c>
      <x:c r="G97" s="7" t="str">
        <x:v>Fits the source taxonomic definition. See Sources and the regional Mapping review.</x:v>
      </x:c>
      <x:c r="H97" s="1"/>
      <x:c r="I97" s="1"/>
      <x:c r="J97" s="1"/>
      <x:c r="K97" s="1"/>
    </x:row>
    <x:row r="98" ht="42" customHeight="1">
      <x:c r="A98" s="7" t="str">
        <x:v>Pennahia</x:v>
      </x:c>
      <x:c r="B98" s="11" t="n">
        <x:v>3.73</x:v>
      </x:c>
      <x:c r="C98" s="12" t="n">
        <x:v>13249.6331366305</x:v>
      </x:c>
      <x:c r="D98" s="12" t="n">
        <x:v>790608.2538457225</x:v>
      </x:c>
      <x:c r="E98" s="7" t="str">
        <x:v>Croakers (≤ 30 cm) (100.000000%)</x:v>
      </x:c>
      <x:c r="F98" s="7" t="str">
        <x:v>High</x:v>
      </x:c>
      <x:c r="G98" s="7" t="str">
        <x:v>Explicit source member. See Sources and the regional Mapping review.</x:v>
      </x:c>
      <x:c r="H98" s="1"/>
      <x:c r="I98" s="1"/>
      <x:c r="J98" s="1"/>
      <x:c r="K98" s="1"/>
    </x:row>
    <x:row r="99" ht="42" customHeight="1">
      <x:c r="A99" s="7" t="str">
        <x:v>Nemipterus virgatus</x:v>
      </x:c>
      <x:c r="B99" s="11" t="n">
        <x:v>3.99</x:v>
      </x:c>
      <x:c r="C99" s="12" t="n">
        <x:v>7017.575097194001</x:v>
      </x:c>
      <x:c r="D99" s="12" t="n">
        <x:v>761981.7317589524</x:v>
      </x:c>
      <x:c r="E99" s="7" t="str">
        <x:v>Threadfin bream (nemipterids) (100.000000%)</x:v>
      </x:c>
      <x:c r="F99" s="7" t="str">
        <x:v>High</x:v>
      </x:c>
      <x:c r="G99" s="7" t="str">
        <x:v>Explicit source member. See Sources and the regional Mapping review.</x:v>
      </x:c>
      <x:c r="H99" s="1"/>
      <x:c r="I99" s="1"/>
      <x:c r="J99" s="1"/>
      <x:c r="K99" s="1"/>
    </x:row>
    <x:row r="100" ht="42" customHeight="1">
      <x:c r="A100" s="7" t="str">
        <x:v>Rhopilema esculentum</x:v>
      </x:c>
      <x:c r="B100" s="11" t="n">
        <x:v>3.01</x:v>
      </x:c>
      <x:c r="C100" s="12" t="n">
        <x:v>63412.2047284907</x:v>
      </x:c>
      <x:c r="D100" s="12" t="n">
        <x:v>720991.8302637447</x:v>
      </x:c>
      <x:c r="E100" s="7" t="str">
        <x:v>Jellyfish (100.000000%)</x:v>
      </x:c>
      <x:c r="F100" s="7" t="str">
        <x:v>High</x:v>
      </x:c>
      <x:c r="G100" s="7" t="str">
        <x:v>Fits the source taxonomic definition. See Sources and the regional Mapping review.</x:v>
      </x:c>
      <x:c r="H100" s="1"/>
      <x:c r="I100" s="1"/>
      <x:c r="J100" s="1"/>
      <x:c r="K100" s="1"/>
    </x:row>
    <x:row r="101" ht="42" customHeight="1">
      <x:c r="A101" s="7" t="str">
        <x:v>Pristipomoides</x:v>
      </x:c>
      <x:c r="B101" s="11" t="n">
        <x:v>3.91</x:v>
      </x:c>
      <x:c r="C101" s="12" t="n">
        <x:v>7826.889349014599</x:v>
      </x:c>
      <x:c r="D101" s="12" t="n">
        <x:v>706881.6121687589</x:v>
      </x:c>
      <x:c r="E101" s="7" t="str">
        <x:v>Snappers (100.000000%)</x:v>
      </x:c>
      <x:c r="F101" s="7" t="str">
        <x:v>High</x:v>
      </x:c>
      <x:c r="G101" s="7" t="str">
        <x:v>Fits the source taxonomic definition. See Sources and the regional Mapping review.</x:v>
      </x:c>
      <x:c r="H101" s="1"/>
      <x:c r="I101" s="1"/>
      <x:c r="J101" s="1"/>
      <x:c r="K101" s="1"/>
    </x:row>
    <x:row r="102" ht="57" customHeight="1">
      <x:c r="A102" s="7" t="str">
        <x:v>Chirocentrus</x:v>
      </x:c>
      <x:c r="B102" s="11" t="n">
        <x:v>4.3</x:v>
      </x:c>
      <x:c r="C102" s="12" t="n">
        <x:v>3160.4761486726</x:v>
      </x:c>
      <x:c r="D102" s="12" t="n">
        <x:v>700664.3285338244</x:v>
      </x:c>
      <x:c r="E102" s="7" t="str">
        <x:v>Juvenile large pelagic fish (89.993906%); Pelagic fish (&gt; 30 cm) (10.006094%)</x:v>
      </x:c>
      <x:c r="F102" s="7" t="str">
        <x:v>Low</x:v>
      </x:c>
      <x:c r="G102" s="7" t="str">
        <x:v>Broad lineage; size/habitat containment uncertain; historical stage proxy. See Sources and the regional Mapping review.</x:v>
      </x:c>
      <x:c r="H102" s="1"/>
      <x:c r="I102" s="1"/>
      <x:c r="J102" s="1"/>
      <x:c r="K102" s="1"/>
    </x:row>
    <x:row r="103" ht="57" customHeight="1">
      <x:c r="A103" s="7" t="str">
        <x:v>Caesionidae</x:v>
      </x:c>
      <x:c r="B103" s="11" t="n">
        <x:v>3.39</x:v>
      </x:c>
      <x:c r="C103" s="12" t="n">
        <x:v>24658.9613597869</x:v>
      </x:c>
      <x:c r="D103" s="12" t="n">
        <x:v>672561.9144600176</x:v>
      </x:c>
      <x:c r="E103" s="7" t="str">
        <x:v>Juvenile demersal fish (&gt; 30 cm) (89.991470%); Adult demersal fish (&gt; 30 cm) (10.008530%)</x:v>
      </x:c>
      <x:c r="F103" s="7" t="str">
        <x:v>Low</x:v>
      </x:c>
      <x:c r="G103"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03" s="1"/>
      <x:c r="I103" s="1"/>
      <x:c r="J103" s="1"/>
      <x:c r="K103" s="1"/>
    </x:row>
    <x:row r="104" ht="42" customHeight="1">
      <x:c r="A104" s="7" t="str">
        <x:v>Trachysalambria curvirostris</x:v>
      </x:c>
      <x:c r="B104" s="11" t="n">
        <x:v>2.7</x:v>
      </x:c>
      <x:c r="C104" s="12" t="n">
        <x:v>120511.7917739011</x:v>
      </x:c>
      <x:c r="D104" s="12" t="n">
        <x:v>671099.6837625266</x:v>
      </x:c>
      <x:c r="E104" s="7" t="str">
        <x:v>Shrimps (100.000000%)</x:v>
      </x:c>
      <x:c r="F104" s="7" t="str">
        <x:v>High</x:v>
      </x:c>
      <x:c r="G104" s="7" t="str">
        <x:v>Fits the source taxonomic definition. See Sources and the regional Mapping review.</x:v>
      </x:c>
      <x:c r="H104" s="1"/>
      <x:c r="I104" s="1"/>
      <x:c r="J104" s="1"/>
      <x:c r="K104" s="1"/>
    </x:row>
    <x:row r="105" ht="57" customHeight="1">
      <x:c r="A105" s="7" t="str">
        <x:v>Monacanthidae</x:v>
      </x:c>
      <x:c r="B105" s="11" t="n">
        <x:v>3</x:v>
      </x:c>
      <x:c r="C105" s="12" t="n">
        <x:v>56514.1750516671</x:v>
      </x:c>
      <x:c r="D105" s="12" t="n">
        <x:v>627935.2783518567</x:v>
      </x:c>
      <x:c r="E105" s="7" t="str">
        <x:v>Juvenile demersal fish (&gt; 30 cm) (89.991470%); Adult demersal fish (&gt; 30 cm) (10.008530%)</x:v>
      </x:c>
      <x:c r="F105" s="7" t="str">
        <x:v>Low</x:v>
      </x:c>
      <x:c r="G10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05" s="1"/>
      <x:c r="I105" s="1"/>
      <x:c r="J105" s="1"/>
      <x:c r="K105" s="1"/>
    </x:row>
    <x:row r="106" ht="57" customHeight="1">
      <x:c r="A106" s="7" t="str">
        <x:v>Decapterus macrosoma</x:v>
      </x:c>
      <x:c r="B106" s="11" t="n">
        <x:v>3.4</x:v>
      </x:c>
      <x:c r="C106" s="12" t="n">
        <x:v>21972.8561490285</x:v>
      </x:c>
      <x:c r="D106" s="12" t="n">
        <x:v>613259.102469517</x:v>
      </x:c>
      <x:c r="E106" s="7" t="str">
        <x:v>Juvenile large pelagic fish (89.993906%); Pelagic fish (&gt; 30 cm) (10.006094%)</x:v>
      </x:c>
      <x:c r="F106" s="7" t="str">
        <x:v>Medium</x:v>
      </x:c>
      <x:c r="G106" s="7" t="str">
        <x:v>Habitat/size fit inferred; model-catch stage proxy, fixed across years. See Sources and the regional Mapping review.</x:v>
      </x:c>
      <x:c r="H106" s="1"/>
      <x:c r="I106" s="1"/>
      <x:c r="J106" s="1"/>
      <x:c r="K106" s="1"/>
    </x:row>
    <x:row r="107" ht="57" customHeight="1">
      <x:c r="A107" s="7" t="str">
        <x:v>Caranx ignobilis</x:v>
      </x:c>
      <x:c r="B107" s="11" t="n">
        <x:v>4.22</x:v>
      </x:c>
      <x:c r="C107" s="12" t="n">
        <x:v>3145.4260218152</x:v>
      </x:c>
      <x:c r="D107" s="12" t="n">
        <x:v>580011.9826797683</x:v>
      </x:c>
      <x:c r="E107" s="7" t="str">
        <x:v>Juvenile large pelagic fish (89.993906%); Pelagic fish (&gt; 30 cm) (10.006094%)</x:v>
      </x:c>
      <x:c r="F107" s="7" t="str">
        <x:v>Medium</x:v>
      </x:c>
      <x:c r="G107" s="7" t="str">
        <x:v>Habitat/size fit inferred; model-catch stage proxy, fixed across years. See Sources and the regional Mapping review.</x:v>
      </x:c>
      <x:c r="H107" s="1"/>
      <x:c r="I107" s="1"/>
      <x:c r="J107" s="1"/>
      <x:c r="K107" s="1"/>
    </x:row>
    <x:row r="108" ht="42" customHeight="1">
      <x:c r="A108" s="7" t="str">
        <x:v>Dasyatis</x:v>
      </x:c>
      <x:c r="B108" s="11" t="n">
        <x:v>3.28</x:v>
      </x:c>
      <x:c r="C108" s="12" t="n">
        <x:v>26737.9322597945</x:v>
      </x:c>
      <x:c r="D108" s="12" t="n">
        <x:v>566089.7733400074</x:v>
      </x:c>
      <x:c r="E108" s="7" t="str">
        <x:v>Demersal sharks and rays (100.000000%)</x:v>
      </x:c>
      <x:c r="F108" s="7" t="str">
        <x:v>Medium</x:v>
      </x:c>
      <x:c r="G108" s="7" t="str">
        <x:v>Habitat/size assignment inferred from SAU class. See Sources and the regional Mapping review.</x:v>
      </x:c>
      <x:c r="H108" s="1"/>
      <x:c r="I108" s="1"/>
      <x:c r="J108" s="1"/>
      <x:c r="K108" s="1"/>
    </x:row>
    <x:row r="109" ht="42" customHeight="1">
      <x:c r="A109" s="7" t="str">
        <x:v>Himantura</x:v>
      </x:c>
      <x:c r="B109" s="11" t="n">
        <x:v>3.85</x:v>
      </x:c>
      <x:c r="C109" s="12" t="n">
        <x:v>7142.237783602201</x:v>
      </x:c>
      <x:c r="D109" s="12" t="n">
        <x:v>561813.0144411431</x:v>
      </x:c>
      <x:c r="E109" s="7" t="str">
        <x:v>Demersal sharks and rays (100.000000%)</x:v>
      </x:c>
      <x:c r="F109" s="7" t="str">
        <x:v>Medium</x:v>
      </x:c>
      <x:c r="G109" s="7" t="str">
        <x:v>Habitat/size assignment inferred from SAU class. See Sources and the regional Mapping review.</x:v>
      </x:c>
      <x:c r="H109" s="1"/>
      <x:c r="I109" s="1"/>
      <x:c r="J109" s="1"/>
      <x:c r="K109" s="1"/>
    </x:row>
    <x:row r="110" ht="57" customHeight="1">
      <x:c r="A110" s="7" t="str">
        <x:v>Conger myriaster</x:v>
      </x:c>
      <x:c r="B110" s="11" t="n">
        <x:v>3.98</x:v>
      </x:c>
      <x:c r="C110" s="12" t="n">
        <x:v>5268.3843941122</x:v>
      </x:c>
      <x:c r="D110" s="12" t="n">
        <x:v>559029.7818542429</x:v>
      </x:c>
      <x:c r="E110" s="7" t="str">
        <x:v>Juvenile demersal fish (&gt; 30 cm) (89.991470%); Adult demersal fish (&gt; 30 cm) (10.008530%)</x:v>
      </x:c>
      <x:c r="F110" s="7" t="str">
        <x:v>Low</x:v>
      </x:c>
      <x:c r="G11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10" s="1"/>
      <x:c r="I110" s="1"/>
      <x:c r="J110" s="1"/>
      <x:c r="K110" s="1"/>
    </x:row>
    <x:row r="111" ht="102" customHeight="1">
      <x:c r="A111" s="7" t="str">
        <x:v>Xiphias gladius</x:v>
      </x:c>
      <x:c r="B111" s="11" t="n">
        <x:v>4.53</x:v>
      </x:c>
      <x:c r="C111" s="12" t="n">
        <x:v>1181.9686847172</x:v>
      </x:c>
      <x:c r="D111" s="12" t="n">
        <x:v>445003.53506218106</x:v>
      </x:c>
      <x:c r="E111" s="7" t="str">
        <x:v>Juvenile large pelagic fish (89.993906%); Pelagic fish (&gt; 30 cm) (10.006094%)</x:v>
      </x:c>
      <x:c r="F111" s="7" t="str">
        <x:v>Very low</x:v>
      </x:c>
      <x:c r="G111"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111" s="1"/>
      <x:c r="I111" s="1"/>
      <x:c r="J111" s="1"/>
      <x:c r="K111" s="1"/>
    </x:row>
    <x:row r="112" ht="42" customHeight="1">
      <x:c r="A112" s="7" t="str">
        <x:v>Leiognathus</x:v>
      </x:c>
      <x:c r="B112" s="11" t="n">
        <x:v>3.22</x:v>
      </x:c>
      <x:c r="C112" s="12" t="n">
        <x:v>23872.6013613861</x:v>
      </x:c>
      <x:c r="D112" s="12" t="n">
        <x:v>440207.2962870274</x:v>
      </x:c>
      <x:c r="E112" s="7" t="str">
        <x:v>Benthopelagic fish (100.000000%)</x:v>
      </x:c>
      <x:c r="F112" s="7" t="str">
        <x:v>Low</x:v>
      </x:c>
      <x:c r="G112" s="7" t="str">
        <x:v>Ecological assignment; final benthopelagic pool is ambiguous. See Sources and the regional Mapping review.</x:v>
      </x:c>
      <x:c r="H112" s="1"/>
      <x:c r="I112" s="1"/>
      <x:c r="J112" s="1"/>
      <x:c r="K112" s="1"/>
    </x:row>
    <x:row r="113" ht="57" customHeight="1">
      <x:c r="A113" s="7" t="str">
        <x:v>Rastrelliger</x:v>
      </x:c>
      <x:c r="B113" s="11" t="n">
        <x:v>3.1</x:v>
      </x:c>
      <x:c r="C113" s="12" t="n">
        <x:v>29630.486811592</x:v>
      </x:c>
      <x:c r="D113" s="12" t="n">
        <x:v>414473.03123272356</x:v>
      </x:c>
      <x:c r="E113" s="7" t="str">
        <x:v>Juvenile large pelagic fish (89.993906%); Pelagic fish (&gt; 30 cm) (10.006094%)</x:v>
      </x:c>
      <x:c r="F113" s="7" t="str">
        <x:v>Low</x:v>
      </x:c>
      <x:c r="G113" s="7" t="str">
        <x:v>Broad lineage; size/habitat containment uncertain; historical stage proxy. See Sources and the regional Mapping review.</x:v>
      </x:c>
      <x:c r="H113" s="1"/>
      <x:c r="I113" s="1"/>
      <x:c r="J113" s="1"/>
      <x:c r="K113" s="1"/>
    </x:row>
    <x:row r="114" ht="87" customHeight="1">
      <x:c r="A114" s="7" t="str">
        <x:v>Larimichthys polyactis</x:v>
      </x:c>
      <x:c r="B114" s="11" t="n">
        <x:v>3.64</x:v>
      </x:c>
      <x:c r="C114" s="12" t="n">
        <x:v>8455.549971794</x:v>
      </x:c>
      <x:c r="D114" s="12" t="n">
        <x:v>410109.04810955236</x:v>
      </x:c>
      <x:c r="E114" s="7" t="str">
        <x:v>Juvenile large croakers (89.873418%); Croakers (&gt; 30 cm) (10.126582%)</x:v>
      </x:c>
      <x:c r="F114" s="7" t="str">
        <x:v>Medium</x:v>
      </x:c>
      <x:c r="G114" s="7" t="str">
        <x:v>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x:v>
      </x:c>
      <x:c r="H114" s="1"/>
      <x:c r="I114" s="1"/>
      <x:c r="J114" s="1"/>
      <x:c r="K114" s="1"/>
    </x:row>
    <x:row r="115" ht="42" customHeight="1">
      <x:c r="A115" s="7" t="str">
        <x:v>Dussumieria</x:v>
      </x:c>
      <x:c r="B115" s="11" t="n">
        <x:v>3.4</x:v>
      </x:c>
      <x:c r="C115" s="12" t="n">
        <x:v>13790.2968083109</x:v>
      </x:c>
      <x:c r="D115" s="12" t="n">
        <x:v>384885.10488095577</x:v>
      </x:c>
      <x:c r="E115" s="7" t="str">
        <x:v>Pelagic fish (≤ 30 cm) (100.000000%)</x:v>
      </x:c>
      <x:c r="F115" s="7" t="str">
        <x:v>Medium</x:v>
      </x:c>
      <x:c r="G115" s="7" t="str">
        <x:v>Habitat/size assignment inferred from SAU class. See Sources and the regional Mapping review.</x:v>
      </x:c>
      <x:c r="H115" s="1"/>
      <x:c r="I115" s="1"/>
      <x:c r="J115" s="1"/>
      <x:c r="K115" s="1"/>
    </x:row>
    <x:row r="116" ht="42" customHeight="1">
      <x:c r="A116" s="7" t="str">
        <x:v>Sepia</x:v>
      </x:c>
      <x:c r="B116" s="11" t="n">
        <x:v>3.69</x:v>
      </x:c>
      <x:c r="C116" s="12" t="n">
        <x:v>6929.3366971666</x:v>
      </x:c>
      <x:c r="D116" s="12" t="n">
        <x:v>377093.59406052274</x:v>
      </x:c>
      <x:c r="E116" s="7" t="str">
        <x:v>Cephalopods (100.000000%)</x:v>
      </x:c>
      <x:c r="F116" s="7" t="str">
        <x:v>High</x:v>
      </x:c>
      <x:c r="G116" s="7" t="str">
        <x:v>Fits the source taxonomic definition. See Sources and the regional Mapping review.</x:v>
      </x:c>
      <x:c r="H116" s="1"/>
      <x:c r="I116" s="1"/>
      <x:c r="J116" s="1"/>
      <x:c r="K116" s="1"/>
    </x:row>
    <x:row r="117" ht="147" customHeight="1">
      <x:c r="A117" s="7" t="str">
        <x:v>Paralichthys olivaceus</x:v>
      </x:c>
      <x:c r="B117" s="11" t="n">
        <x:v>4.25</x:v>
      </x:c>
      <x:c r="C117" s="12" t="n">
        <x:v>1886.4347656684</x:v>
      </x:c>
      <x:c r="D117" s="12" t="n">
        <x:v>372734.23357441294</x:v>
      </x:c>
      <x:c r="E117" s="7" t="str">
        <x:v>Juvenile demersal fish (&gt; 30 cm) (89.991470%); Adult demersal fish (&gt; 30 cm) (10.008530%)</x:v>
      </x:c>
      <x:c r="F117" s="7" t="str">
        <x:v>Low</x:v>
      </x:c>
      <x:c r="G11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H117" s="1"/>
      <x:c r="I117" s="1"/>
      <x:c r="J117" s="1"/>
      <x:c r="K117" s="1"/>
    </x:row>
    <x:row r="118" ht="42" customHeight="1">
      <x:c r="A118" s="7" t="str">
        <x:v>Priacanthus macracanthus</x:v>
      </x:c>
      <x:c r="B118" s="11" t="n">
        <x:v>4.11</x:v>
      </x:c>
      <x:c r="C118" s="12" t="n">
        <x:v>2500.3139298576</x:v>
      </x:c>
      <x:c r="D118" s="12" t="n">
        <x:v>357892.033247906</x:v>
      </x:c>
      <x:c r="E118" s="7" t="str">
        <x:v>Bigeyes (priacanthids) (100.000000%)</x:v>
      </x:c>
      <x:c r="F118" s="7" t="str">
        <x:v>High</x:v>
      </x:c>
      <x:c r="G118" s="7" t="str">
        <x:v>Fits the source taxonomic definition. See Sources and the regional Mapping review.</x:v>
      </x:c>
      <x:c r="H118" s="1"/>
      <x:c r="I118" s="1"/>
      <x:c r="J118" s="1"/>
      <x:c r="K118" s="1"/>
    </x:row>
    <x:row r="119" ht="42" customHeight="1">
      <x:c r="A119" s="7" t="str">
        <x:v>Portunus pelagicus</x:v>
      </x:c>
      <x:c r="B119" s="11" t="n">
        <x:v>2.48</x:v>
      </x:c>
      <x:c r="C119" s="12" t="n">
        <x:v>104778.8997727715</x:v>
      </x:c>
      <x:c r="D119" s="12" t="n">
        <x:v>351585.79847845744</x:v>
      </x:c>
      <x:c r="E119" s="7" t="str">
        <x:v>Crabs (100.000000%)</x:v>
      </x:c>
      <x:c r="F119" s="7" t="str">
        <x:v>High</x:v>
      </x:c>
      <x:c r="G119" s="7" t="str">
        <x:v>Fits the source taxonomic definition. See Sources and the regional Mapping review.</x:v>
      </x:c>
      <x:c r="H119" s="1"/>
      <x:c r="I119" s="1"/>
      <x:c r="J119" s="1"/>
      <x:c r="K119" s="1"/>
    </x:row>
    <x:row r="120" ht="57" customHeight="1">
      <x:c r="A120" s="7" t="str">
        <x:v>Muraenesox</x:v>
      </x:c>
      <x:c r="B120" s="11" t="n">
        <x:v>3.99</x:v>
      </x:c>
      <x:c r="C120" s="12" t="n">
        <x:v>3054.1788894707</x:v>
      </x:c>
      <x:c r="D120" s="12" t="n">
        <x:v>331628.58780536137</x:v>
      </x:c>
      <x:c r="E120" s="7" t="str">
        <x:v>Juvenile demersal fish (&gt; 30 cm) (89.991470%); Adult demersal fish (&gt; 30 cm) (10.008530%)</x:v>
      </x:c>
      <x:c r="F120" s="7" t="str">
        <x:v>Low</x:v>
      </x:c>
      <x:c r="G12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0" s="1"/>
      <x:c r="I120" s="1"/>
      <x:c r="J120" s="1"/>
      <x:c r="K120" s="1"/>
    </x:row>
    <x:row r="121" ht="57" customHeight="1">
      <x:c r="A121" s="7" t="str">
        <x:v>Lethrinidae</x:v>
      </x:c>
      <x:c r="B121" s="11" t="n">
        <x:v>3.59</x:v>
      </x:c>
      <x:c r="C121" s="12" t="n">
        <x:v>7365.545254115499</x:v>
      </x:c>
      <x:c r="D121" s="12" t="n">
        <x:v>318392.18014992215</x:v>
      </x:c>
      <x:c r="E121" s="7" t="str">
        <x:v>Juvenile demersal fish (&gt; 30 cm) (89.991470%); Adult demersal fish (&gt; 30 cm) (10.008530%)</x:v>
      </x:c>
      <x:c r="F121" s="7" t="str">
        <x:v>Low</x:v>
      </x:c>
      <x:c r="G12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1" s="1"/>
      <x:c r="I121" s="1"/>
      <x:c r="J121" s="1"/>
      <x:c r="K121" s="1"/>
    </x:row>
    <x:row r="122" ht="57" customHeight="1">
      <x:c r="A122" s="7" t="str">
        <x:v>Scomber</x:v>
      </x:c>
      <x:c r="B122" s="11" t="n">
        <x:v>3.65</x:v>
      </x:c>
      <x:c r="C122" s="12" t="n">
        <x:v>6352.0294663402</x:v>
      </x:c>
      <x:c r="D122" s="12" t="n">
        <x:v>315260.81549706723</x:v>
      </x:c>
      <x:c r="E122" s="7" t="str">
        <x:v>Juvenile large pelagic fish (89.993906%); Pelagic fish (&gt; 30 cm) (10.006094%)</x:v>
      </x:c>
      <x:c r="F122" s="7" t="str">
        <x:v>Low</x:v>
      </x:c>
      <x:c r="G122" s="7" t="str">
        <x:v>Broad lineage; size/habitat containment uncertain; historical stage proxy. See Sources and the regional Mapping review.</x:v>
      </x:c>
      <x:c r="H122" s="1"/>
      <x:c r="I122" s="1"/>
      <x:c r="J122" s="1"/>
      <x:c r="K122" s="1"/>
    </x:row>
    <x:row r="123" ht="42" customHeight="1">
      <x:c r="A123" s="7" t="str">
        <x:v>Polynemidae</x:v>
      </x:c>
      <x:c r="B123" s="11" t="n">
        <x:v>3.62</x:v>
      </x:c>
      <x:c r="C123" s="12" t="n">
        <x:v>6668.0174394639</x:v>
      </x:c>
      <x:c r="D123" s="12" t="n">
        <x:v>308854.70210652903</x:v>
      </x:c>
      <x:c r="E123" s="7" t="str">
        <x:v>Demesral fish (≤ 30 cm) (100.000000%)</x:v>
      </x:c>
      <x:c r="F123" s="7" t="str">
        <x:v>Medium</x:v>
      </x:c>
      <x:c r="G123" s="7" t="str">
        <x:v>Habitat/size assignment inferred from SAU class. See Sources and the regional Mapping review.</x:v>
      </x:c>
      <x:c r="H123" s="1"/>
      <x:c r="I123" s="1"/>
      <x:c r="J123" s="1"/>
      <x:c r="K123" s="1"/>
    </x:row>
    <x:row r="124" ht="57" customHeight="1">
      <x:c r="A124" s="7" t="str">
        <x:v>Tylosurus crocodilus</x:v>
      </x:c>
      <x:c r="B124" s="11" t="n">
        <x:v>4.43</x:v>
      </x:c>
      <x:c r="C124" s="12" t="n">
        <x:v>1016.6360761745</x:v>
      </x:c>
      <x:c r="D124" s="12" t="n">
        <x:v>304034.59799459553</x:v>
      </x:c>
      <x:c r="E124" s="7" t="str">
        <x:v>Juvenile large pelagic fish (89.993906%); Pelagic fish (&gt; 30 cm) (10.006094%)</x:v>
      </x:c>
      <x:c r="F124" s="7" t="str">
        <x:v>Medium</x:v>
      </x:c>
      <x:c r="G124" s="7" t="str">
        <x:v>Habitat/size fit inferred; model-catch stage proxy, fixed across years. See Sources and the regional Mapping review.</x:v>
      </x:c>
      <x:c r="H124" s="1"/>
      <x:c r="I124" s="1"/>
      <x:c r="J124" s="1"/>
      <x:c r="K124" s="1"/>
    </x:row>
    <x:row r="125" ht="57" customHeight="1">
      <x:c r="A125" s="7" t="str">
        <x:v>Rastrelliger brachysoma</x:v>
      </x:c>
      <x:c r="B125" s="11" t="n">
        <x:v>2.72</x:v>
      </x:c>
      <x:c r="C125" s="12" t="n">
        <x:v>50838.3680498361</x:v>
      </x:c>
      <x:c r="D125" s="12" t="n">
        <x:v>296448.38688308536</x:v>
      </x:c>
      <x:c r="E125" s="7" t="str">
        <x:v>Juvenile large pelagic fish (89.993906%); Pelagic fish (&gt; 30 cm) (10.006094%)</x:v>
      </x:c>
      <x:c r="F125" s="7" t="str">
        <x:v>Medium</x:v>
      </x:c>
      <x:c r="G125" s="7" t="str">
        <x:v>Habitat/size fit inferred; model-catch stage proxy, fixed across years. See Sources and the regional Mapping review.</x:v>
      </x:c>
      <x:c r="H125" s="1"/>
      <x:c r="I125" s="1"/>
      <x:c r="J125" s="1"/>
      <x:c r="K125" s="1"/>
    </x:row>
    <x:row r="126" ht="42" customHeight="1">
      <x:c r="A126" s="7" t="str">
        <x:v>Epinephelus coioides</x:v>
      </x:c>
      <x:c r="B126" s="11" t="n">
        <x:v>4</x:v>
      </x:c>
      <x:c r="C126" s="12" t="n">
        <x:v>2501.6491648462</x:v>
      </x:c>
      <x:c r="D126" s="12" t="n">
        <x:v>277961.0183162445</x:v>
      </x:c>
      <x:c r="E126" s="7" t="str">
        <x:v>Adult groupers (100.000000%)</x:v>
      </x:c>
      <x:c r="F126" s="7" t="str">
        <x:v>High</x:v>
      </x:c>
      <x:c r="G126" s="7" t="str">
        <x:v>Fits the source taxonomic definition. See Sources and the regional Mapping review.</x:v>
      </x:c>
      <x:c r="H126" s="1"/>
      <x:c r="I126" s="1"/>
      <x:c r="J126" s="1"/>
      <x:c r="K126" s="1"/>
    </x:row>
    <x:row r="127" ht="57" customHeight="1">
      <x:c r="A127" s="7" t="str">
        <x:v>Scyris indica</x:v>
      </x:c>
      <x:c r="B127" s="11" t="n">
        <x:v>4.09</x:v>
      </x:c>
      <x:c r="C127" s="12" t="n">
        <x:v>2029.7391876199</x:v>
      </x:c>
      <x:c r="D127" s="12" t="n">
        <x:v>277458.3039358728</x:v>
      </x:c>
      <x:c r="E127" s="7" t="str">
        <x:v>Juvenile large pelagic fish (89.993906%); Pelagic fish (&gt; 30 cm) (10.006094%)</x:v>
      </x:c>
      <x:c r="F127" s="7" t="str">
        <x:v>Medium</x:v>
      </x:c>
      <x:c r="G127" s="7" t="str">
        <x:v>Habitat/size fit inferred; model-catch stage proxy, fixed across years. See Sources and the regional Mapping review.</x:v>
      </x:c>
      <x:c r="H127" s="1"/>
      <x:c r="I127" s="1"/>
      <x:c r="J127" s="1"/>
      <x:c r="K127" s="1"/>
    </x:row>
    <x:row r="128" ht="42" customHeight="1">
      <x:c r="A128" s="7" t="str">
        <x:v>Pampus argenteus</x:v>
      </x:c>
      <x:c r="B128" s="11" t="n">
        <x:v>3.3</x:v>
      </x:c>
      <x:c r="C128" s="12" t="n">
        <x:v>12427.5133353598</x:v>
      </x:c>
      <x:c r="D128" s="12" t="n">
        <x:v>275512.766964629</x:v>
      </x:c>
      <x:c r="E128" s="7" t="str">
        <x:v>Pomfret (stromateids) (100.000000%)</x:v>
      </x:c>
      <x:c r="F128" s="7" t="str">
        <x:v>High</x:v>
      </x:c>
      <x:c r="G128" s="7" t="str">
        <x:v>Fits the source taxonomic definition. See Sources and the regional Mapping review.</x:v>
      </x:c>
      <x:c r="H128" s="1"/>
      <x:c r="I128" s="1"/>
      <x:c r="J128" s="1"/>
      <x:c r="K128" s="1"/>
    </x:row>
    <x:row r="129" ht="57" customHeight="1">
      <x:c r="A129" s="7" t="str">
        <x:v>Muraenesocidae</x:v>
      </x:c>
      <x:c r="B129" s="11" t="n">
        <x:v>3.9</x:v>
      </x:c>
      <x:c r="C129" s="12" t="n">
        <x:v>3084.2911248959</x:v>
      </x:c>
      <x:c r="D129" s="12" t="n">
        <x:v>272215.50273492537</x:v>
      </x:c>
      <x:c r="E129" s="7" t="str">
        <x:v>Juvenile demersal fish (&gt; 30 cm) (89.991470%); Adult demersal fish (&gt; 30 cm) (10.008530%)</x:v>
      </x:c>
      <x:c r="F129" s="7" t="str">
        <x:v>Low</x:v>
      </x:c>
      <x:c r="G12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29" s="1"/>
      <x:c r="I129" s="1"/>
      <x:c r="J129" s="1"/>
      <x:c r="K129" s="1"/>
    </x:row>
    <x:row r="130" ht="42" customHeight="1">
      <x:c r="A130" s="7" t="str">
        <x:v>Isurus</x:v>
      </x:c>
      <x:c r="B130" s="11" t="n">
        <x:v>4.5</x:v>
      </x:c>
      <x:c r="C130" s="12" t="n">
        <x:v>759.6754578951001</x:v>
      </x:c>
      <x:c r="D130" s="12" t="n">
        <x:v>266922.7477199843</x:v>
      </x:c>
      <x:c r="E130" s="7" t="str">
        <x:v>Pelagic sharks and rays (100.000000%)</x:v>
      </x:c>
      <x:c r="F130" s="7" t="str">
        <x:v>Medium</x:v>
      </x:c>
      <x:c r="G130" s="7" t="str">
        <x:v>Habitat/size assignment inferred from SAU class. See Sources and the regional Mapping review.</x:v>
      </x:c>
      <x:c r="H130" s="1"/>
      <x:c r="I130" s="1"/>
      <x:c r="J130" s="1"/>
      <x:c r="K130" s="1"/>
    </x:row>
    <x:row r="131" ht="42" customHeight="1">
      <x:c r="A131" s="7" t="str">
        <x:v>Upeneus</x:v>
      </x:c>
      <x:c r="B131" s="11" t="n">
        <x:v>3.54</x:v>
      </x:c>
      <x:c r="C131" s="12" t="n">
        <x:v>6787.0038076156</x:v>
      </x:c>
      <x:c r="D131" s="12" t="n">
        <x:v>261478.2582513304</x:v>
      </x:c>
      <x:c r="E131" s="7" t="str">
        <x:v>Demesral fish (≤ 30 cm) (100.000000%)</x:v>
      </x:c>
      <x:c r="F131" s="7" t="str">
        <x:v>Medium</x:v>
      </x:c>
      <x:c r="G131" s="7" t="str">
        <x:v>Habitat/size assignment inferred from SAU class. See Sources and the regional Mapping review.</x:v>
      </x:c>
      <x:c r="H131" s="1"/>
      <x:c r="I131" s="1"/>
      <x:c r="J131" s="1"/>
      <x:c r="K131" s="1"/>
    </x:row>
    <x:row r="132" ht="57" customHeight="1">
      <x:c r="A132" s="7" t="str">
        <x:v>Pomadasys</x:v>
      </x:c>
      <x:c r="B132" s="11" t="n">
        <x:v>3.59</x:v>
      </x:c>
      <x:c r="C132" s="12" t="n">
        <x:v>6037.8571268176</x:v>
      </x:c>
      <x:c r="D132" s="12" t="n">
        <x:v>260999.8890397226</x:v>
      </x:c>
      <x:c r="E132" s="7" t="str">
        <x:v>Juvenile demersal fish (&gt; 30 cm) (89.991470%); Adult demersal fish (&gt; 30 cm) (10.008530%)</x:v>
      </x:c>
      <x:c r="F132" s="7" t="str">
        <x:v>Low</x:v>
      </x:c>
      <x:c r="G13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32" s="1"/>
      <x:c r="I132" s="1"/>
      <x:c r="J132" s="1"/>
      <x:c r="K132" s="1"/>
    </x:row>
    <x:row r="133" ht="42" customHeight="1">
      <x:c r="A133" s="7" t="str">
        <x:v>Decapterus maruadsi</x:v>
      </x:c>
      <x:c r="B133" s="11" t="n">
        <x:v>3.4</x:v>
      </x:c>
      <x:c r="C133" s="12" t="n">
        <x:v>9102.0473028009</x:v>
      </x:c>
      <x:c r="D133" s="12" t="n">
        <x:v>254036.7679873772</x:v>
      </x:c>
      <x:c r="E133" s="7" t="str">
        <x:v>Pelagic fish (≤ 30 cm) (100.000000%)</x:v>
      </x:c>
      <x:c r="F133" s="7" t="str">
        <x:v>Low</x:v>
      </x:c>
      <x:c r="G133" s="7" t="str">
        <x:v>Recorded maximum is 30 cm FL; source uses maximum TL, so size fit is uncertain. See Sources and the regional Mapping review.</x:v>
      </x:c>
      <x:c r="H133" s="1"/>
      <x:c r="I133" s="1"/>
      <x:c r="J133" s="1"/>
      <x:c r="K133" s="1"/>
    </x:row>
    <x:row r="134" ht="57" customHeight="1">
      <x:c r="A134" s="7" t="str">
        <x:v>Sardinops sagax</x:v>
      </x:c>
      <x:c r="B134" s="11" t="n">
        <x:v>2.84</x:v>
      </x:c>
      <x:c r="C134" s="12" t="n">
        <x:v>32356.8353264112</x:v>
      </x:c>
      <x:c r="D134" s="12" t="n">
        <x:v>248727.34221927996</x:v>
      </x:c>
      <x:c r="E134" s="7" t="str">
        <x:v>Juvenile large pelagic fish (89.993906%); Pelagic fish (&gt; 30 cm) (10.006094%)</x:v>
      </x:c>
      <x:c r="F134" s="7" t="str">
        <x:v>Medium</x:v>
      </x:c>
      <x:c r="G134" s="7" t="str">
        <x:v>Habitat/size fit inferred; model-catch stage proxy, fixed across years. See Sources and the regional Mapping review.</x:v>
      </x:c>
      <x:c r="H134" s="1"/>
      <x:c r="I134" s="1"/>
      <x:c r="J134" s="1"/>
      <x:c r="K134" s="1"/>
    </x:row>
    <x:row r="135" ht="42" customHeight="1">
      <x:c r="A135" s="7" t="str">
        <x:v>Dussumieria acuta</x:v>
      </x:c>
      <x:c r="B135" s="11" t="n">
        <x:v>3.4</x:v>
      </x:c>
      <x:c r="C135" s="12" t="n">
        <x:v>8904.751677089</x:v>
      </x:c>
      <x:c r="D135" s="12" t="n">
        <x:v>248530.27681824483</x:v>
      </x:c>
      <x:c r="E135" s="7" t="str">
        <x:v>Pelagic fish (≤ 30 cm) (100.000000%)</x:v>
      </x:c>
      <x:c r="F135" s="7" t="str">
        <x:v>Medium</x:v>
      </x:c>
      <x:c r="G135" s="7" t="str">
        <x:v>Habitat/size assignment inferred from SAU class. See Sources and the regional Mapping review.</x:v>
      </x:c>
      <x:c r="H135" s="1"/>
      <x:c r="I135" s="1"/>
      <x:c r="J135" s="1"/>
      <x:c r="K135" s="1"/>
    </x:row>
    <x:row r="136" ht="42" customHeight="1">
      <x:c r="A136" s="7" t="str">
        <x:v>Epinephelus maculatus</x:v>
      </x:c>
      <x:c r="B136" s="11" t="n">
        <x:v>3.98</x:v>
      </x:c>
      <x:c r="C136" s="12" t="n">
        <x:v>2192.3362958657</x:v>
      </x:c>
      <x:c r="D136" s="12" t="n">
        <x:v>232629.43429082673</x:v>
      </x:c>
      <x:c r="E136" s="7" t="str">
        <x:v>Adult groupers (100.000000%)</x:v>
      </x:c>
      <x:c r="F136" s="7" t="str">
        <x:v>High</x:v>
      </x:c>
      <x:c r="G136" s="7" t="str">
        <x:v>Fits the source taxonomic definition. See Sources and the regional Mapping review.</x:v>
      </x:c>
      <x:c r="H136" s="1"/>
      <x:c r="I136" s="1"/>
      <x:c r="J136" s="1"/>
      <x:c r="K136" s="1"/>
    </x:row>
    <x:row r="137" ht="42" customHeight="1">
      <x:c r="A137" s="7" t="str">
        <x:v>Apogonidae</x:v>
      </x:c>
      <x:c r="B137" s="11" t="n">
        <x:v>3.54</x:v>
      </x:c>
      <x:c r="C137" s="12" t="n">
        <x:v>5885.290923792501</x:v>
      </x:c>
      <x:c r="D137" s="12" t="n">
        <x:v>226738.5821014092</x:v>
      </x:c>
      <x:c r="E137" s="7" t="str">
        <x:v>Demesral fish (≤ 30 cm) (100.000000%)</x:v>
      </x:c>
      <x:c r="F137" s="7" t="str">
        <x:v>Medium</x:v>
      </x:c>
      <x:c r="G137" s="7" t="str">
        <x:v>Habitat/size assignment inferred from SAU class. See Sources and the regional Mapping review.</x:v>
      </x:c>
      <x:c r="H137" s="1"/>
      <x:c r="I137" s="1"/>
      <x:c r="J137" s="1"/>
      <x:c r="K137" s="1"/>
    </x:row>
    <x:row r="138" ht="42" customHeight="1">
      <x:c r="A138" s="7" t="str">
        <x:v>Menidae</x:v>
      </x:c>
      <x:c r="B138" s="11" t="n">
        <x:v>3.45</x:v>
      </x:c>
      <x:c r="C138" s="12" t="n">
        <x:v>7045.520684393799</x:v>
      </x:c>
      <x:c r="D138" s="12" t="n">
        <x:v>220633.0582085127</x:v>
      </x:c>
      <x:c r="E138" s="7" t="str">
        <x:v>Benthopelagic fish (100.000000%)</x:v>
      </x:c>
      <x:c r="F138" s="7" t="str">
        <x:v>Low</x:v>
      </x:c>
      <x:c r="G138" s="7" t="str">
        <x:v>Ecological assignment; final benthopelagic pool is ambiguous. See Sources and the regional Mapping review.</x:v>
      </x:c>
      <x:c r="H138" s="1"/>
      <x:c r="I138" s="1"/>
      <x:c r="J138" s="1"/>
      <x:c r="K138" s="1"/>
    </x:row>
    <x:row r="139" ht="42" customHeight="1">
      <x:c r="A139" s="7" t="str">
        <x:v>Clupanodon thrissa</x:v>
      </x:c>
      <x:c r="B139" s="11" t="n">
        <x:v>3.01</x:v>
      </x:c>
      <x:c r="C139" s="12" t="n">
        <x:v>19399.4028131867</x:v>
      </x:c>
      <x:c r="D139" s="12" t="n">
        <x:v>220569.69947961663</x:v>
      </x:c>
      <x:c r="E139" s="7" t="str">
        <x:v>Pelagic fish (≤ 30 cm) (100.000000%)</x:v>
      </x:c>
      <x:c r="F139" s="7" t="str">
        <x:v>Medium</x:v>
      </x:c>
      <x:c r="G139" s="7" t="str">
        <x:v>Habitat/size assignment inferred from SAU class. See Sources and the regional Mapping review.</x:v>
      </x:c>
      <x:c r="H139" s="1"/>
      <x:c r="I139" s="1"/>
      <x:c r="J139" s="1"/>
      <x:c r="K139" s="1"/>
    </x:row>
    <x:row r="140" ht="102" customHeight="1">
      <x:c r="A140" s="7" t="str">
        <x:v>Istiophorus platypterus</x:v>
      </x:c>
      <x:c r="B140" s="11" t="n">
        <x:v>4.5</x:v>
      </x:c>
      <x:c r="C140" s="12" t="n">
        <x:v>595.4238962842</x:v>
      </x:c>
      <x:c r="D140" s="12" t="n">
        <x:v>209210.63172777108</x:v>
      </x:c>
      <x:c r="E140" s="7" t="str">
        <x:v>Juvenile large pelagic fish (89.993906%); Pelagic fish (&gt; 30 cm) (10.006094%)</x:v>
      </x:c>
      <x:c r="F140" s="7" t="str">
        <x:v>Very low</x:v>
      </x:c>
      <x:c r="G140"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140" s="1"/>
      <x:c r="I140" s="1"/>
      <x:c r="J140" s="1"/>
      <x:c r="K140" s="1"/>
    </x:row>
    <x:row r="141" ht="57" customHeight="1">
      <x:c r="A141" s="7" t="str">
        <x:v>Rastrelliger kanagurta</x:v>
      </x:c>
      <x:c r="B141" s="11" t="n">
        <x:v>3.19</x:v>
      </x:c>
      <x:c r="C141" s="12" t="n">
        <x:v>11987.6998530119</x:v>
      </x:c>
      <x:c r="D141" s="12" t="n">
        <x:v>206297.20838755037</x:v>
      </x:c>
      <x:c r="E141" s="7" t="str">
        <x:v>Juvenile large pelagic fish (89.993906%); Pelagic fish (&gt; 30 cm) (10.006094%)</x:v>
      </x:c>
      <x:c r="F141" s="7" t="str">
        <x:v>Medium</x:v>
      </x:c>
      <x:c r="G141" s="7" t="str">
        <x:v>Habitat/size fit inferred; model-catch stage proxy, fixed across years. See Sources and the regional Mapping review.</x:v>
      </x:c>
      <x:c r="H141" s="1"/>
      <x:c r="I141" s="1"/>
      <x:c r="J141" s="1"/>
      <x:c r="K141" s="1"/>
    </x:row>
    <x:row r="142" ht="42" customHeight="1">
      <x:c r="A142" s="7" t="str">
        <x:v>Parastromateus niger</x:v>
      </x:c>
      <x:c r="B142" s="11" t="n">
        <x:v>2.93</x:v>
      </x:c>
      <x:c r="C142" s="12" t="n">
        <x:v>21361.6439052678</x:v>
      </x:c>
      <x:c r="D142" s="12" t="n">
        <x:v>202018.97429230437</x:v>
      </x:c>
      <x:c r="E142" s="7" t="str">
        <x:v>Benthopelagic fish (100.000000%)</x:v>
      </x:c>
      <x:c r="F142" s="7" t="str">
        <x:v>Low</x:v>
      </x:c>
      <x:c r="G142" s="7" t="str">
        <x:v>Ecological assignment; final benthopelagic pool is ambiguous. See Sources and the regional Mapping review.</x:v>
      </x:c>
      <x:c r="H142" s="1"/>
      <x:c r="I142" s="1"/>
      <x:c r="J142" s="1"/>
      <x:c r="K142" s="1"/>
    </x:row>
    <x:row r="143" ht="42" customHeight="1">
      <x:c r="A143" s="7" t="str">
        <x:v>Pennahia argentata</x:v>
      </x:c>
      <x:c r="B143" s="11" t="n">
        <x:v>3.47</x:v>
      </x:c>
      <x:c r="C143" s="12" t="n">
        <x:v>5866.0905526461</x:v>
      </x:c>
      <x:c r="D143" s="12" t="n">
        <x:v>192356.2284825522</x:v>
      </x:c>
      <x:c r="E143" s="7" t="str">
        <x:v>Croakers (≤ 30 cm) (100.000000%)</x:v>
      </x:c>
      <x:c r="F143" s="7" t="str">
        <x:v>High</x:v>
      </x:c>
      <x:c r="G143" s="7" t="str">
        <x:v>Source Pennahia argentatus is a verified synonym. See Sources and the regional Mapping review.</x:v>
      </x:c>
      <x:c r="H143" s="1"/>
      <x:c r="I143" s="1"/>
      <x:c r="J143" s="1"/>
      <x:c r="K143" s="1"/>
    </x:row>
    <x:row r="144" ht="102" customHeight="1">
      <x:c r="A144" s="7" t="str">
        <x:v>Istiophoridae</x:v>
      </x:c>
      <x:c r="B144" s="11" t="n">
        <x:v>4.48</x:v>
      </x:c>
      <x:c r="C144" s="12" t="n">
        <x:v>512.1735098749</x:v>
      </x:c>
      <x:c r="D144" s="12" t="n">
        <x:v>171859.9191434494</x:v>
      </x:c>
      <x:c r="E144" s="7" t="str">
        <x:v>Juvenile large pelagic fish (89.993906%); Pelagic fish (&gt; 30 cm) (10.006094%)</x:v>
      </x:c>
      <x:c r="F144" s="7" t="str">
        <x:v>Very low</x:v>
      </x:c>
      <x:c r="G144"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144" s="1"/>
      <x:c r="I144" s="1"/>
      <x:c r="J144" s="1"/>
      <x:c r="K144" s="1"/>
    </x:row>
    <x:row r="145" ht="42" customHeight="1">
      <x:c r="A145" s="7" t="str">
        <x:v>Stromateidae</x:v>
      </x:c>
      <x:c r="B145" s="11" t="n">
        <x:v>3.62</x:v>
      </x:c>
      <x:c r="C145" s="12" t="n">
        <x:v>3432.1457195437</x:v>
      </x:c>
      <x:c r="D145" s="12" t="n">
        <x:v>158972.94112072594</x:v>
      </x:c>
      <x:c r="E145" s="7" t="str">
        <x:v>Pomfret (stromateids) (100.000000%)</x:v>
      </x:c>
      <x:c r="F145" s="7" t="str">
        <x:v>High</x:v>
      </x:c>
      <x:c r="G145" s="7" t="str">
        <x:v>Fits the source taxonomic definition. See Sources and the regional Mapping review.</x:v>
      </x:c>
      <x:c r="H145" s="1"/>
      <x:c r="I145" s="1"/>
      <x:c r="J145" s="1"/>
      <x:c r="K145" s="1"/>
    </x:row>
    <x:row r="146" ht="42" customHeight="1">
      <x:c r="A146" s="7" t="str">
        <x:v>Lutjanus quinquelineatus</x:v>
      </x:c>
      <x:c r="B146" s="11" t="n">
        <x:v>3.68</x:v>
      </x:c>
      <x:c r="C146" s="12" t="n">
        <x:v>2906.3870752297</x:v>
      </x:c>
      <x:c r="D146" s="12" t="n">
        <x:v>154564.92379361272</x:v>
      </x:c>
      <x:c r="E146" s="7" t="str">
        <x:v>Snappers (100.000000%)</x:v>
      </x:c>
      <x:c r="F146" s="7" t="str">
        <x:v>High</x:v>
      </x:c>
      <x:c r="G146" s="7" t="str">
        <x:v>Fits the source taxonomic definition. See Sources and the regional Mapping review.</x:v>
      </x:c>
      <x:c r="H146" s="1"/>
      <x:c r="I146" s="1"/>
      <x:c r="J146" s="1"/>
      <x:c r="K146" s="1"/>
    </x:row>
    <x:row r="147" ht="42" customHeight="1">
      <x:c r="A147" s="7" t="str">
        <x:v>Lutjanidae</x:v>
      </x:c>
      <x:c r="B147" s="11" t="n">
        <x:v>4.02</x:v>
      </x:c>
      <x:c r="C147" s="12" t="n">
        <x:v>1255.2861448221</x:v>
      </x:c>
      <x:c r="D147" s="12" t="n">
        <x:v>146049.55091288607</x:v>
      </x:c>
      <x:c r="E147" s="7" t="str">
        <x:v>Snappers (100.000000%)</x:v>
      </x:c>
      <x:c r="F147" s="7" t="str">
        <x:v>High</x:v>
      </x:c>
      <x:c r="G147" s="7" t="str">
        <x:v>Fits the source taxonomic definition. See Sources and the regional Mapping review.</x:v>
      </x:c>
      <x:c r="H147" s="1"/>
      <x:c r="I147" s="1"/>
      <x:c r="J147" s="1"/>
      <x:c r="K147" s="1"/>
    </x:row>
    <x:row r="148" ht="42" customHeight="1">
      <x:c r="A148" s="7" t="str">
        <x:v>Upeneus moluccensis</x:v>
      </x:c>
      <x:c r="B148" s="11" t="n">
        <x:v>3.63</x:v>
      </x:c>
      <x:c r="C148" s="12" t="n">
        <x:v>2994.4788178434</x:v>
      </x:c>
      <x:c r="D148" s="12" t="n">
        <x:v>141931.48146413325</x:v>
      </x:c>
      <x:c r="E148" s="7" t="str">
        <x:v>Demesral fish (≤ 30 cm) (100.000000%)</x:v>
      </x:c>
      <x:c r="F148" s="7" t="str">
        <x:v>Medium</x:v>
      </x:c>
      <x:c r="G148" s="7" t="str">
        <x:v>Habitat/size assignment inferred from SAU class. See Sources and the regional Mapping review.</x:v>
      </x:c>
      <x:c r="H148" s="1"/>
      <x:c r="I148" s="1"/>
      <x:c r="J148" s="1"/>
      <x:c r="K148" s="1"/>
    </x:row>
    <x:row r="149" ht="102" customHeight="1">
      <x:c r="A149" s="7" t="str">
        <x:v>Istiophorus</x:v>
      </x:c>
      <x:c r="B149" s="11" t="n">
        <x:v>4.5</x:v>
      </x:c>
      <x:c r="C149" s="12" t="n">
        <x:v>390.6314996311</x:v>
      </x:c>
      <x:c r="D149" s="12" t="n">
        <x:v>137253.91829349997</x:v>
      </x:c>
      <x:c r="E149" s="7" t="str">
        <x:v>Juvenile large pelagic fish (89.993906%); Pelagic fish (&gt; 30 cm) (10.006094%)</x:v>
      </x:c>
      <x:c r="F149" s="7" t="str">
        <x:v>Very low</x:v>
      </x:c>
      <x:c r="G149"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149" s="1"/>
      <x:c r="I149" s="1"/>
      <x:c r="J149" s="1"/>
      <x:c r="K149" s="1"/>
    </x:row>
    <x:row r="150" ht="57" customHeight="1">
      <x:c r="A150" s="7" t="str">
        <x:v>Tetraodontidae</x:v>
      </x:c>
      <x:c r="B150" s="11" t="n">
        <x:v>3.5</x:v>
      </x:c>
      <x:c r="C150" s="12" t="n">
        <x:v>3884.3444347471</x:v>
      </x:c>
      <x:c r="D150" s="12" t="n">
        <x:v>136481.95144889032</x:v>
      </x:c>
      <x:c r="E150" s="7" t="str">
        <x:v>Juvenile demersal fish (&gt; 30 cm) (89.991470%); Adult demersal fish (&gt; 30 cm) (10.008530%)</x:v>
      </x:c>
      <x:c r="F150" s="7" t="str">
        <x:v>Low</x:v>
      </x:c>
      <x:c r="G15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0" s="1"/>
      <x:c r="I150" s="1"/>
      <x:c r="J150" s="1"/>
      <x:c r="K150" s="1"/>
    </x:row>
    <x:row r="151" ht="57" customHeight="1">
      <x:c r="A151" s="7" t="str">
        <x:v>Mugilidae</x:v>
      </x:c>
      <x:c r="B151" s="11" t="n">
        <x:v>2.53</x:v>
      </x:c>
      <x:c r="C151" s="12" t="n">
        <x:v>31991.8590488781</x:v>
      </x:c>
      <x:c r="D151" s="12" t="n">
        <x:v>120447.27203046008</x:v>
      </x:c>
      <x:c r="E151" s="7" t="str">
        <x:v>Juvenile demersal fish (&gt; 30 cm) (89.991470%); Adult demersal fish (&gt; 30 cm) (10.008530%)</x:v>
      </x:c>
      <x:c r="F151" s="7" t="str">
        <x:v>Low</x:v>
      </x:c>
      <x:c r="G15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1" s="1"/>
      <x:c r="I151" s="1"/>
      <x:c r="J151" s="1"/>
      <x:c r="K151" s="1"/>
    </x:row>
    <x:row r="152" ht="57" customHeight="1">
      <x:c r="A152" s="7" t="str">
        <x:v>Platycephalidae</x:v>
      </x:c>
      <x:c r="B152" s="11" t="n">
        <x:v>3.9</x:v>
      </x:c>
      <x:c r="C152" s="12" t="n">
        <x:v>1334.1400818569</x:v>
      </x:c>
      <x:c r="D152" s="12" t="n">
        <x:v>117749.45956625551</x:v>
      </x:c>
      <x:c r="E152" s="7" t="str">
        <x:v>Juvenile demersal fish (&gt; 30 cm) (89.991470%); Adult demersal fish (&gt; 30 cm) (10.008530%)</x:v>
      </x:c>
      <x:c r="F152" s="7" t="str">
        <x:v>Low</x:v>
      </x:c>
      <x:c r="G15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2" s="1"/>
      <x:c r="I152" s="1"/>
      <x:c r="J152" s="1"/>
      <x:c r="K152" s="1"/>
    </x:row>
    <x:row r="153" ht="117" customHeight="1">
      <x:c r="A153" s="7" t="str">
        <x:v>Paralichthyidae</x:v>
      </x:c>
      <x:c r="B153" s="11" t="n">
        <x:v>4.06</x:v>
      </x:c>
      <x:c r="C153" s="12" t="n">
        <x:v>842.1088518698</x:v>
      </x:c>
      <x:c r="D153" s="12" t="n">
        <x:v>107430.03644098801</x:v>
      </x:c>
      <x:c r="E153" s="7" t="str">
        <x:v>Demesral fish (≤ 30 cm) (33.704053%); Juvenile demersal fish (&gt; 30 cm) (59.660697%); Adult demersal fish (&gt; 30 cm) (6.635250%)</x:v>
      </x:c>
      <x:c r="F153" s="7" t="str">
        <x:v>Low</x:v>
      </x:c>
      <x:c r="G153"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53" s="1"/>
      <x:c r="I153" s="1"/>
      <x:c r="J153" s="1"/>
      <x:c r="K153" s="1"/>
    </x:row>
    <x:row r="154" ht="57" customHeight="1">
      <x:c r="A154" s="7" t="str">
        <x:v>Trachurus japonicus</x:v>
      </x:c>
      <x:c r="B154" s="11" t="n">
        <x:v>3.4</x:v>
      </x:c>
      <x:c r="C154" s="12" t="n">
        <x:v>3715.657176667</x:v>
      </x:c>
      <x:c r="D154" s="12" t="n">
        <x:v>103703.43162456702</x:v>
      </x:c>
      <x:c r="E154" s="7" t="str">
        <x:v>Juvenile large pelagic fish (89.993906%); Pelagic fish (&gt; 30 cm) (10.006094%)</x:v>
      </x:c>
      <x:c r="F154" s="7" t="str">
        <x:v>Medium</x:v>
      </x:c>
      <x:c r="G154" s="7" t="str">
        <x:v>Habitat/size fit inferred; model-catch stage proxy, fixed across years. See Sources and the regional Mapping review.</x:v>
      </x:c>
      <x:c r="H154" s="1"/>
      <x:c r="I154" s="1"/>
      <x:c r="J154" s="1"/>
      <x:c r="K154" s="1"/>
    </x:row>
    <x:row r="155" ht="42" customHeight="1">
      <x:c r="A155" s="7" t="str">
        <x:v>Penaeus indicus</x:v>
      </x:c>
      <x:c r="B155" s="11" t="n">
        <x:v>2.7</x:v>
      </x:c>
      <x:c r="C155" s="12" t="n">
        <x:v>18298.3721318051</x:v>
      </x:c>
      <x:c r="D155" s="12" t="n">
        <x:v>101899.00565135306</x:v>
      </x:c>
      <x:c r="E155" s="7" t="str">
        <x:v>Shrimps (100.000000%)</x:v>
      </x:c>
      <x:c r="F155" s="7" t="str">
        <x:v>High</x:v>
      </x:c>
      <x:c r="G155" s="7" t="str">
        <x:v>Fits the source taxonomic definition. See Sources and the regional Mapping review.</x:v>
      </x:c>
      <x:c r="H155" s="1"/>
      <x:c r="I155" s="1"/>
      <x:c r="J155" s="1"/>
      <x:c r="K155" s="1"/>
    </x:row>
    <x:row r="156" ht="42" customHeight="1">
      <x:c r="A156" s="7" t="str">
        <x:v>Alopias</x:v>
      </x:c>
      <x:c r="B156" s="11" t="n">
        <x:v>4.5</x:v>
      </x:c>
      <x:c r="C156" s="12" t="n">
        <x:v>278.9576847729001</x:v>
      </x:c>
      <x:c r="D156" s="12" t="n">
        <x:v>98015.73940995942</x:v>
      </x:c>
      <x:c r="E156" s="7" t="str">
        <x:v>Pelagic sharks and rays (100.000000%)</x:v>
      </x:c>
      <x:c r="F156" s="7" t="str">
        <x:v>Medium</x:v>
      </x:c>
      <x:c r="G156" s="7" t="str">
        <x:v>Habitat/size assignment inferred from SAU class. See Sources and the regional Mapping review.</x:v>
      </x:c>
      <x:c r="H156" s="1"/>
      <x:c r="I156" s="1"/>
      <x:c r="J156" s="1"/>
      <x:c r="K156" s="1"/>
    </x:row>
    <x:row r="157" ht="57" customHeight="1">
      <x:c r="A157" s="7" t="str">
        <x:v>Pagrus major</x:v>
      </x:c>
      <x:c r="B157" s="11" t="n">
        <x:v>3.7</x:v>
      </x:c>
      <x:c r="C157" s="12" t="n">
        <x:v>1739.450954688</x:v>
      </x:c>
      <x:c r="D157" s="12" t="n">
        <x:v>96865.62355671075</x:v>
      </x:c>
      <x:c r="E157" s="7" t="str">
        <x:v>Juvenile demersal fish (&gt; 30 cm) (89.991470%); Adult demersal fish (&gt; 30 cm) (10.008530%)</x:v>
      </x:c>
      <x:c r="F157" s="7" t="str">
        <x:v>Low</x:v>
      </x:c>
      <x:c r="G15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57" s="1"/>
      <x:c r="I157" s="1"/>
      <x:c r="J157" s="1"/>
      <x:c r="K157" s="1"/>
    </x:row>
    <x:row r="158" ht="57" customHeight="1">
      <x:c r="A158" s="7" t="str">
        <x:v>Seriola dumerili</x:v>
      </x:c>
      <x:c r="B158" s="11" t="n">
        <x:v>4.5</x:v>
      </x:c>
      <x:c r="C158" s="12" t="n">
        <x:v>273.3489238528</x:v>
      </x:c>
      <x:c r="D158" s="12" t="n">
        <x:v>96045.02170341964</x:v>
      </x:c>
      <x:c r="E158" s="7" t="str">
        <x:v>Juvenile large pelagic fish (89.993906%); Pelagic fish (&gt; 30 cm) (10.006094%)</x:v>
      </x:c>
      <x:c r="F158" s="7" t="str">
        <x:v>Medium</x:v>
      </x:c>
      <x:c r="G158" s="7" t="str">
        <x:v>Habitat/size fit inferred; model-catch stage proxy, fixed across years. See Sources and the regional Mapping review.</x:v>
      </x:c>
      <x:c r="H158" s="1"/>
      <x:c r="I158" s="1"/>
      <x:c r="J158" s="1"/>
      <x:c r="K158" s="1"/>
    </x:row>
    <x:row r="159" ht="42" customHeight="1">
      <x:c r="A159" s="7" t="str">
        <x:v>Sardinella lemuru</x:v>
      </x:c>
      <x:c r="B159" s="11" t="n">
        <x:v>2.48</x:v>
      </x:c>
      <x:c r="C159" s="12" t="n">
        <x:v>27343.2381120938</x:v>
      </x:c>
      <x:c r="D159" s="12" t="n">
        <x:v>91750.28775331071</x:v>
      </x:c>
      <x:c r="E159" s="7" t="str">
        <x:v>Pelagic fish (≤ 30 cm) (100.000000%)</x:v>
      </x:c>
      <x:c r="F159" s="7" t="str">
        <x:v>Medium</x:v>
      </x:c>
      <x:c r="G159" s="7" t="str">
        <x:v>Habitat/size assignment inferred from SAU class. See Sources and the regional Mapping review.</x:v>
      </x:c>
      <x:c r="H159" s="1"/>
      <x:c r="I159" s="1"/>
      <x:c r="J159" s="1"/>
      <x:c r="K159" s="1"/>
    </x:row>
    <x:row r="160" ht="42" customHeight="1">
      <x:c r="A160" s="7" t="str">
        <x:v>Cypselurus poecilopterus</x:v>
      </x:c>
      <x:c r="B160" s="11" t="n">
        <x:v>3.4</x:v>
      </x:c>
      <x:c r="C160" s="12" t="n">
        <x:v>3133.6198220805</x:v>
      </x:c>
      <x:c r="D160" s="12" t="n">
        <x:v>87458.85680659412</x:v>
      </x:c>
      <x:c r="E160" s="7" t="str">
        <x:v>Pelagic fish (≤ 30 cm) (100.000000%)</x:v>
      </x:c>
      <x:c r="F160" s="7" t="str">
        <x:v>Medium</x:v>
      </x:c>
      <x:c r="G160" s="7" t="str">
        <x:v>Habitat/size assignment inferred from SAU class. See Sources and the regional Mapping review.</x:v>
      </x:c>
      <x:c r="H160" s="1"/>
      <x:c r="I160" s="1"/>
      <x:c r="J160" s="1"/>
      <x:c r="K160" s="1"/>
    </x:row>
    <x:row r="161" ht="42" customHeight="1">
      <x:c r="A161" s="7" t="str">
        <x:v>Penaeus chinensis</x:v>
      </x:c>
      <x:c r="B161" s="11" t="n">
        <x:v>2</x:v>
      </x:c>
      <x:c r="C161" s="12" t="n">
        <x:v>72951.8277109042</x:v>
      </x:c>
      <x:c r="D161" s="12" t="n">
        <x:v>81057.5863454491</x:v>
      </x:c>
      <x:c r="E161" s="7" t="str">
        <x:v>Shrimps (100.000000%)</x:v>
      </x:c>
      <x:c r="F161" s="7" t="str">
        <x:v>High</x:v>
      </x:c>
      <x:c r="G161" s="7" t="str">
        <x:v>Fits the source taxonomic definition. See Sources and the regional Mapping review.</x:v>
      </x:c>
      <x:c r="H161" s="1"/>
      <x:c r="I161" s="1"/>
      <x:c r="J161" s="1"/>
      <x:c r="K161" s="1"/>
    </x:row>
    <x:row r="162" ht="42" customHeight="1">
      <x:c r="A162" s="7" t="str">
        <x:v>Charybdis</x:v>
      </x:c>
      <x:c r="B162" s="11" t="n">
        <x:v>2.7</x:v>
      </x:c>
      <x:c r="C162" s="12" t="n">
        <x:v>14303.6239646456</x:v>
      </x:c>
      <x:c r="D162" s="12" t="n">
        <x:v>79653.26361872764</x:v>
      </x:c>
      <x:c r="E162" s="7" t="str">
        <x:v>Crabs (100.000000%)</x:v>
      </x:c>
      <x:c r="F162" s="7" t="str">
        <x:v>High</x:v>
      </x:c>
      <x:c r="G162" s="7" t="str">
        <x:v>Fits the source taxonomic definition. See Sources and the regional Mapping review.</x:v>
      </x:c>
      <x:c r="H162" s="1"/>
      <x:c r="I162" s="1"/>
      <x:c r="J162" s="1"/>
      <x:c r="K162" s="1"/>
    </x:row>
    <x:row r="163" ht="57" customHeight="1">
      <x:c r="A163" s="7" t="str">
        <x:v>Terapon</x:v>
      </x:c>
      <x:c r="B163" s="11" t="n">
        <x:v>3.5</x:v>
      </x:c>
      <x:c r="C163" s="12" t="n">
        <x:v>2157.2200381911</x:v>
      </x:c>
      <x:c r="D163" s="12" t="n">
        <x:v>75796.98594265882</x:v>
      </x:c>
      <x:c r="E163" s="7" t="str">
        <x:v>Juvenile demersal fish (&gt; 30 cm) (89.991470%); Adult demersal fish (&gt; 30 cm) (10.008530%)</x:v>
      </x:c>
      <x:c r="F163" s="7" t="str">
        <x:v>Low</x:v>
      </x:c>
      <x:c r="G163"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63" s="1"/>
      <x:c r="I163" s="1"/>
      <x:c r="J163" s="1"/>
      <x:c r="K163" s="1"/>
    </x:row>
    <x:row r="164" ht="117" customHeight="1">
      <x:c r="A164" s="7" t="str">
        <x:v>Pleuronectiformes</x:v>
      </x:c>
      <x:c r="B164" s="11" t="n">
        <x:v>3.57</x:v>
      </x:c>
      <x:c r="C164" s="12" t="n">
        <x:v>1789.8470157394</x:v>
      </x:c>
      <x:c r="D164" s="12" t="n">
        <x:v>73887.9134490698</x:v>
      </x:c>
      <x:c r="E164" s="7" t="str">
        <x:v>Demesral fish (≤ 30 cm) (33.704053%); Juvenile demersal fish (&gt; 30 cm) (59.660697%); Adult demersal fish (&gt; 30 cm) (6.635250%)</x:v>
      </x:c>
      <x:c r="F164" s="7" t="str">
        <x:v>Low</x:v>
      </x:c>
      <x:c r="G164"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64" s="1"/>
      <x:c r="I164" s="1"/>
      <x:c r="J164" s="1"/>
      <x:c r="K164" s="1"/>
    </x:row>
    <x:row r="165" ht="42" customHeight="1">
      <x:c r="A165" s="7" t="str">
        <x:v>Gastropoda</x:v>
      </x:c>
      <x:c r="B165" s="11" t="n">
        <x:v>3.06</x:v>
      </x:c>
      <x:c r="C165" s="12" t="n">
        <x:v>5741.678235690199</x:v>
      </x:c>
      <x:c r="D165" s="12" t="n">
        <x:v>73248.0962197504</x:v>
      </x:c>
      <x:c r="E165" s="7" t="str">
        <x:v>Non-ceph molluscs (100.000000%)</x:v>
      </x:c>
      <x:c r="F165" s="7" t="str">
        <x:v>High</x:v>
      </x:c>
      <x:c r="G165" s="7" t="str">
        <x:v>Fits the source taxonomic definition. See Sources and the regional Mapping review.</x:v>
      </x:c>
      <x:c r="H165" s="1"/>
      <x:c r="I165" s="1"/>
      <x:c r="J165" s="1"/>
      <x:c r="K165" s="1"/>
    </x:row>
    <x:row r="166" ht="57" customHeight="1">
      <x:c r="A166" s="7" t="str">
        <x:v>Platycephalus indicus</x:v>
      </x:c>
      <x:c r="B166" s="11" t="n">
        <x:v>3.6</x:v>
      </x:c>
      <x:c r="C166" s="12" t="n">
        <x:v>1591.2238953889</x:v>
      </x:c>
      <x:c r="D166" s="12" t="n">
        <x:v>70386.4047455988</x:v>
      </x:c>
      <x:c r="E166" s="7" t="str">
        <x:v>Juvenile demersal fish (&gt; 30 cm) (89.991470%); Adult demersal fish (&gt; 30 cm) (10.008530%)</x:v>
      </x:c>
      <x:c r="F166" s="7" t="str">
        <x:v>Low</x:v>
      </x:c>
      <x:c r="G16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66" s="1"/>
      <x:c r="I166" s="1"/>
      <x:c r="J166" s="1"/>
      <x:c r="K166" s="1"/>
    </x:row>
    <x:row r="167" ht="57" customHeight="1">
      <x:c r="A167" s="7" t="str">
        <x:v>Chelidonichthys kumu</x:v>
      </x:c>
      <x:c r="B167" s="11" t="n">
        <x:v>3.68</x:v>
      </x:c>
      <x:c r="C167" s="12" t="n">
        <x:v>1287.8886083428</x:v>
      </x:c>
      <x:c r="D167" s="12" t="n">
        <x:v>68491.36039026541</x:v>
      </x:c>
      <x:c r="E167" s="7" t="str">
        <x:v>Juvenile demersal fish (&gt; 30 cm) (89.991470%); Adult demersal fish (&gt; 30 cm) (10.008530%)</x:v>
      </x:c>
      <x:c r="F167" s="7" t="str">
        <x:v>Low</x:v>
      </x:c>
      <x:c r="G16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67" s="1"/>
      <x:c r="I167" s="1"/>
      <x:c r="J167" s="1"/>
      <x:c r="K167" s="1"/>
    </x:row>
    <x:row r="168" ht="42" customHeight="1">
      <x:c r="A168" s="7" t="str">
        <x:v>Sardinella fimbriata</x:v>
      </x:c>
      <x:c r="B168" s="11" t="n">
        <x:v>2.7</x:v>
      </x:c>
      <x:c r="C168" s="12" t="n">
        <x:v>12229.5418116872</x:v>
      </x:c>
      <x:c r="D168" s="12" t="n">
        <x:v>68103.22476809523</x:v>
      </x:c>
      <x:c r="E168" s="7" t="str">
        <x:v>Pelagic fish (≤ 30 cm) (100.000000%)</x:v>
      </x:c>
      <x:c r="F168" s="7" t="str">
        <x:v>Medium</x:v>
      </x:c>
      <x:c r="G168" s="7" t="str">
        <x:v>Habitat/size assignment inferred from SAU class. See Sources and the regional Mapping review.</x:v>
      </x:c>
      <x:c r="H168" s="1"/>
      <x:c r="I168" s="1"/>
      <x:c r="J168" s="1"/>
      <x:c r="K168" s="1"/>
    </x:row>
    <x:row r="169" ht="42" customHeight="1">
      <x:c r="A169" s="7" t="str">
        <x:v>Psenopsis anomala</x:v>
      </x:c>
      <x:c r="B169" s="11" t="n">
        <x:v>4</x:v>
      </x:c>
      <x:c r="C169" s="12" t="n">
        <x:v>590.617659255</x:v>
      </x:c>
      <x:c r="D169" s="12" t="n">
        <x:v>65624.18436166667</x:v>
      </x:c>
      <x:c r="E169" s="7" t="str">
        <x:v>Melon seed (100.000000%)</x:v>
      </x:c>
      <x:c r="F169" s="7" t="str">
        <x:v>High</x:v>
      </x:c>
      <x:c r="G169" s="7" t="str">
        <x:v>Explicit source member. See Sources and the regional Mapping review.</x:v>
      </x:c>
      <x:c r="H169" s="1"/>
      <x:c r="I169" s="1"/>
      <x:c r="J169" s="1"/>
      <x:c r="K169" s="1"/>
    </x:row>
    <x:row r="170" ht="57" customHeight="1">
      <x:c r="A170" s="7" t="str">
        <x:v>Plotosus</x:v>
      </x:c>
      <x:c r="B170" s="11" t="n">
        <x:v>3.49</x:v>
      </x:c>
      <x:c r="C170" s="12" t="n">
        <x:v>1797.802914928</x:v>
      </x:c>
      <x:c r="D170" s="12" t="n">
        <x:v>61730.468184018006</x:v>
      </x:c>
      <x:c r="E170" s="7" t="str">
        <x:v>Juvenile demersal fish (&gt; 30 cm) (89.991470%); Adult demersal fish (&gt; 30 cm) (10.008530%)</x:v>
      </x:c>
      <x:c r="F170" s="7" t="str">
        <x:v>Low</x:v>
      </x:c>
      <x:c r="G17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70" s="1"/>
      <x:c r="I170" s="1"/>
      <x:c r="J170" s="1"/>
      <x:c r="K170" s="1"/>
    </x:row>
    <x:row r="171" ht="57" customHeight="1">
      <x:c r="A171" s="7" t="str">
        <x:v>Scomber australasicus</x:v>
      </x:c>
      <x:c r="B171" s="11" t="n">
        <x:v>4.23</x:v>
      </x:c>
      <x:c r="C171" s="12" t="n">
        <x:v>312.8055447323</x:v>
      </x:c>
      <x:c r="D171" s="12" t="n">
        <x:v>59024.44786627413</x:v>
      </x:c>
      <x:c r="E171" s="7" t="str">
        <x:v>Juvenile large pelagic fish (89.993906%); Pelagic fish (&gt; 30 cm) (10.006094%)</x:v>
      </x:c>
      <x:c r="F171" s="7" t="str">
        <x:v>Medium</x:v>
      </x:c>
      <x:c r="G171" s="7" t="str">
        <x:v>Habitat/size fit inferred; model-catch stage proxy, fixed across years. See Sources and the regional Mapping review.</x:v>
      </x:c>
      <x:c r="H171" s="1"/>
      <x:c r="I171" s="1"/>
      <x:c r="J171" s="1"/>
      <x:c r="K171" s="1"/>
    </x:row>
    <x:row r="172" ht="87" customHeight="1">
      <x:c r="A172" s="7" t="str">
        <x:v>Clupeiformes</x:v>
      </x:c>
      <x:c r="B172" s="11" t="n">
        <x:v>3.24</x:v>
      </x:c>
      <x:c r="C172" s="12" t="n">
        <x:v>2906.7631727445</x:v>
      </x:c>
      <x:c r="D172" s="12" t="n">
        <x:v>56126.393895261754</x:v>
      </x:c>
      <x:c r="E172" s="7" t="str">
        <x:v>Pelagic fish (≤ 30 cm) (74.079924%); Juvenile large pelagic fish (23.326489%); Pelagic fish (&gt; 30 cm) (2.593587%)</x:v>
      </x:c>
      <x:c r="F172" s="7" t="str">
        <x:v>Medium</x:v>
      </x:c>
      <x:c r="G172" s="7" t="str">
        <x:v>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H172" s="1"/>
      <x:c r="I172" s="1"/>
      <x:c r="J172" s="1"/>
      <x:c r="K172" s="1"/>
    </x:row>
    <x:row r="173" ht="72" customHeight="1">
      <x:c r="A173" s="7" t="str">
        <x:v>Mollusca</x:v>
      </x:c>
      <x:c r="B173" s="11" t="n">
        <x:v>2.1</x:v>
      </x:c>
      <x:c r="C173" s="12" t="n">
        <x:v>39692.3948368138</x:v>
      </x:c>
      <x:c r="D173" s="12" t="n">
        <x:v>55521.96057225831</x:v>
      </x:c>
      <x:c r="E173" s="7" t="str">
        <x:v>Non-ceph molluscs (73.609502%); Cephalopods (26.390498%)</x:v>
      </x:c>
      <x:c r="F173" s="7" t="str">
        <x:v>Medium</x:v>
      </x:c>
      <x:c r="G173" s="7" t="str">
        <x:v>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x:v>
      </x:c>
      <x:c r="H173" s="1"/>
      <x:c r="I173" s="1"/>
      <x:c r="J173" s="1"/>
      <x:c r="K173" s="1"/>
    </x:row>
    <x:row r="174" ht="57" customHeight="1">
      <x:c r="A174" s="7" t="str">
        <x:v>Lactarius lactarius</x:v>
      </x:c>
      <x:c r="B174" s="11" t="n">
        <x:v>3.97</x:v>
      </x:c>
      <x:c r="C174" s="12" t="n">
        <x:v>528.9480463310999</x:v>
      </x:c>
      <x:c r="D174" s="12" t="n">
        <x:v>54849.2265707406</x:v>
      </x:c>
      <x:c r="E174" s="7" t="str">
        <x:v>Juvenile large pelagic fish (89.993906%); Pelagic fish (&gt; 30 cm) (10.006094%)</x:v>
      </x:c>
      <x:c r="F174" s="7" t="str">
        <x:v>Medium</x:v>
      </x:c>
      <x:c r="G174" s="7" t="str">
        <x:v>Habitat/size fit inferred; model-catch stage proxy, fixed across years. See Sources and the regional Mapping review.</x:v>
      </x:c>
      <x:c r="H174" s="1"/>
      <x:c r="I174" s="1"/>
      <x:c r="J174" s="1"/>
      <x:c r="K174" s="1"/>
    </x:row>
    <x:row r="175" ht="42" customHeight="1">
      <x:c r="A175" s="7" t="str">
        <x:v>Metapenaeus</x:v>
      </x:c>
      <x:c r="B175" s="11" t="n">
        <x:v>2.7</x:v>
      </x:c>
      <x:c r="C175" s="12" t="n">
        <x:v>9786.3348803903</x:v>
      </x:c>
      <x:c r="D175" s="12" t="n">
        <x:v>54497.62340058778</x:v>
      </x:c>
      <x:c r="E175" s="7" t="str">
        <x:v>Shrimps (100.000000%)</x:v>
      </x:c>
      <x:c r="F175" s="7" t="str">
        <x:v>High</x:v>
      </x:c>
      <x:c r="G175" s="7" t="str">
        <x:v>Fits the source taxonomic definition. See Sources and the regional Mapping review.</x:v>
      </x:c>
      <x:c r="H175" s="1"/>
      <x:c r="I175" s="1"/>
      <x:c r="J175" s="1"/>
      <x:c r="K175" s="1"/>
    </x:row>
    <x:row r="176" ht="57" customHeight="1">
      <x:c r="A176" s="7" t="str">
        <x:v>Haemulidae</x:v>
      </x:c>
      <x:c r="B176" s="11" t="n">
        <x:v>3.36</x:v>
      </x:c>
      <x:c r="C176" s="12" t="n">
        <x:v>1986.3217087851</x:v>
      </x:c>
      <x:c r="D176" s="12" t="n">
        <x:v>50560.00167384658</x:v>
      </x:c>
      <x:c r="E176" s="7" t="str">
        <x:v>Juvenile demersal fish (&gt; 30 cm) (89.991470%); Adult demersal fish (&gt; 30 cm) (10.008530%)</x:v>
      </x:c>
      <x:c r="F176" s="7" t="str">
        <x:v>Low</x:v>
      </x:c>
      <x:c r="G17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76" s="1"/>
      <x:c r="I176" s="1"/>
      <x:c r="J176" s="1"/>
      <x:c r="K176" s="1"/>
    </x:row>
    <x:row r="177" ht="42" customHeight="1">
      <x:c r="A177" s="7" t="str">
        <x:v>Mene maculata</x:v>
      </x:c>
      <x:c r="B177" s="11" t="n">
        <x:v>3.45</x:v>
      </x:c>
      <x:c r="C177" s="12" t="n">
        <x:v>1574.3400639038</x:v>
      </x:c>
      <x:c r="D177" s="12" t="n">
        <x:v>49301.0351568029</x:v>
      </x:c>
      <x:c r="E177" s="7" t="str">
        <x:v>Benthopelagic fish (100.000000%)</x:v>
      </x:c>
      <x:c r="F177" s="7" t="str">
        <x:v>Low</x:v>
      </x:c>
      <x:c r="G177" s="7" t="str">
        <x:v>Ecological assignment; final benthopelagic pool is ambiguous. See Sources and the regional Mapping review.</x:v>
      </x:c>
      <x:c r="H177" s="1"/>
      <x:c r="I177" s="1"/>
      <x:c r="J177" s="1"/>
      <x:c r="K177" s="1"/>
    </x:row>
    <x:row r="178" ht="42" customHeight="1">
      <x:c r="A178" s="7" t="str">
        <x:v>Mugil cephalus</x:v>
      </x:c>
      <x:c r="B178" s="11" t="n">
        <x:v>2.14</x:v>
      </x:c>
      <x:c r="C178" s="12" t="n">
        <x:v>31324.35848421</x:v>
      </x:c>
      <x:c r="D178" s="12" t="n">
        <x:v>48044.057278203734</x:v>
      </x:c>
      <x:c r="E178" s="7" t="str">
        <x:v>Benthopelagic fish (100.000000%)</x:v>
      </x:c>
      <x:c r="F178" s="7" t="str">
        <x:v>Low</x:v>
      </x:c>
      <x:c r="G178" s="7" t="str">
        <x:v>Ecological assignment; final benthopelagic pool is ambiguous. See Sources and the regional Mapping review.</x:v>
      </x:c>
      <x:c r="H178" s="1"/>
      <x:c r="I178" s="1"/>
      <x:c r="J178" s="1"/>
      <x:c r="K178" s="1"/>
    </x:row>
    <x:row r="179" ht="147" customHeight="1">
      <x:c r="A179" s="7" t="str">
        <x:v>Miscellaneous aquatic invertebrates</x:v>
      </x:c>
      <x:c r="B179" s="11" t="n">
        <x:v>2.43</x:v>
      </x:c>
      <x:c r="C179" s="12" t="n">
        <x:v>15610.8865788672</x:v>
      </x:c>
      <x:c r="D179" s="12" t="n">
        <x:v>46685.82727464074</x:v>
      </x:c>
      <x:c r="E179" s="7" t="str">
        <x:v>Polychaetes (0.000000%); Echinoderms (0.107236%); Benthic crustaceans (1.996630%); Non-ceph molluscs (38.926620%); Sessile/other invertebrates (0.153194%); Shrimps (34.662718%); Crabs (10.197620%); Cephalopods (13.955982%)</x:v>
      </x:c>
      <x:c r="F179" s="7" t="str">
        <x:v>Very low</x:v>
      </x:c>
      <x:c r="G179"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H179" s="1"/>
      <x:c r="I179" s="1"/>
      <x:c r="J179" s="1"/>
      <x:c r="K179" s="1"/>
    </x:row>
    <x:row r="180" ht="117" customHeight="1">
      <x:c r="A180" s="7" t="str">
        <x:v>Bothidae</x:v>
      </x:c>
      <x:c r="B180" s="11" t="n">
        <x:v>3.77</x:v>
      </x:c>
      <x:c r="C180" s="12" t="n">
        <x:v>675.2924668251001</x:v>
      </x:c>
      <x:c r="D180" s="12" t="n">
        <x:v>44182.40939993164</x:v>
      </x:c>
      <x:c r="E180" s="7" t="str">
        <x:v>Demesral fish (≤ 30 cm) (33.704053%); Juvenile demersal fish (&gt; 30 cm) (59.660697%); Adult demersal fish (&gt; 30 cm) (6.635250%)</x:v>
      </x:c>
      <x:c r="F180" s="7" t="str">
        <x:v>Low</x:v>
      </x:c>
      <x:c r="G18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80" s="1"/>
      <x:c r="I180" s="1"/>
      <x:c r="J180" s="1"/>
      <x:c r="K180" s="1"/>
    </x:row>
    <x:row r="181" ht="42" customHeight="1">
      <x:c r="A181" s="7" t="str">
        <x:v>Nemipterus japonicus</x:v>
      </x:c>
      <x:c r="B181" s="11" t="n">
        <x:v>3.77</x:v>
      </x:c>
      <x:c r="C181" s="12" t="n">
        <x:v>671.649300205</x:v>
      </x:c>
      <x:c r="D181" s="12" t="n">
        <x:v>43944.04767219284</x:v>
      </x:c>
      <x:c r="E181" s="7" t="str">
        <x:v>Threadfin bream (nemipterids) (100.000000%)</x:v>
      </x:c>
      <x:c r="F181" s="7" t="str">
        <x:v>High</x:v>
      </x:c>
      <x:c r="G181" s="7" t="str">
        <x:v>Explicit source member. See Sources and the regional Mapping review.</x:v>
      </x:c>
      <x:c r="H181" s="1"/>
      <x:c r="I181" s="1"/>
      <x:c r="J181" s="1"/>
      <x:c r="K181" s="1"/>
    </x:row>
    <x:row r="182" ht="57" customHeight="1">
      <x:c r="A182" s="7" t="str">
        <x:v>Rachycentron canadum</x:v>
      </x:c>
      <x:c r="B182" s="11" t="n">
        <x:v>3.96</x:v>
      </x:c>
      <x:c r="C182" s="12" t="n">
        <x:v>425.8810121688</x:v>
      </x:c>
      <x:c r="D182" s="12" t="n">
        <x:v>43156.45548597907</x:v>
      </x:c>
      <x:c r="E182" s="7" t="str">
        <x:v>Juvenile large pelagic fish (89.993906%); Pelagic fish (&gt; 30 cm) (10.006094%)</x:v>
      </x:c>
      <x:c r="F182" s="7" t="str">
        <x:v>Medium</x:v>
      </x:c>
      <x:c r="G182" s="7" t="str">
        <x:v>Habitat/size fit inferred; model-catch stage proxy, fixed across years. See Sources and the regional Mapping review.</x:v>
      </x:c>
      <x:c r="H182" s="1"/>
      <x:c r="I182" s="1"/>
      <x:c r="J182" s="1"/>
      <x:c r="K182" s="1"/>
    </x:row>
    <x:row r="183" ht="57" customHeight="1">
      <x:c r="A183" s="7" t="str">
        <x:v>Rachycentridae</x:v>
      </x:c>
      <x:c r="B183" s="11" t="n">
        <x:v>3.96</x:v>
      </x:c>
      <x:c r="C183" s="12" t="n">
        <x:v>364.1001649574</x:v>
      </x:c>
      <x:c r="D183" s="12" t="n">
        <x:v>36895.92189471373</x:v>
      </x:c>
      <x:c r="E183" s="7" t="str">
        <x:v>Juvenile large pelagic fish (89.993906%); Pelagic fish (&gt; 30 cm) (10.006094%)</x:v>
      </x:c>
      <x:c r="F183" s="7" t="str">
        <x:v>Low</x:v>
      </x:c>
      <x:c r="G183" s="7" t="str">
        <x:v>Broad lineage; size/habitat containment uncertain; historical stage proxy. See Sources and the regional Mapping review.</x:v>
      </x:c>
      <x:c r="H183" s="1"/>
      <x:c r="I183" s="1"/>
      <x:c r="J183" s="1"/>
      <x:c r="K183" s="1"/>
    </x:row>
    <x:row r="184" ht="102" customHeight="1">
      <x:c r="A184" s="7" t="str">
        <x:v>Makaira mazara</x:v>
      </x:c>
      <x:c r="B184" s="11" t="n">
        <x:v>4.46</x:v>
      </x:c>
      <x:c r="C184" s="12" t="n">
        <x:v>106.1592009168</x:v>
      </x:c>
      <x:c r="D184" s="12" t="n">
        <x:v>34018.49775453312</x:v>
      </x:c>
      <x:c r="E184" s="7" t="str">
        <x:v>Juvenile large pelagic fish (89.993906%); Pelagic fish (&gt; 30 cm) (10.006094%)</x:v>
      </x:c>
      <x:c r="F184" s="7" t="str">
        <x:v>Very low</x:v>
      </x:c>
      <x:c r="G184"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184" s="1"/>
      <x:c r="I184" s="1"/>
      <x:c r="J184" s="1"/>
      <x:c r="K184" s="1"/>
    </x:row>
    <x:row r="185" ht="57" customHeight="1">
      <x:c r="A185" s="7" t="str">
        <x:v>Scorpaenidae</x:v>
      </x:c>
      <x:c r="B185" s="11" t="n">
        <x:v>3.92</x:v>
      </x:c>
      <x:c r="C185" s="12" t="n">
        <x:v>347.2592603483</x:v>
      </x:c>
      <x:c r="D185" s="12" t="n">
        <x:v>32093.074659736245</x:v>
      </x:c>
      <x:c r="E185" s="7" t="str">
        <x:v>Juvenile demersal fish (&gt; 30 cm) (89.991470%); Adult demersal fish (&gt; 30 cm) (10.008530%)</x:v>
      </x:c>
      <x:c r="F185" s="7" t="str">
        <x:v>Low</x:v>
      </x:c>
      <x:c r="G18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85" s="1"/>
      <x:c r="I185" s="1"/>
      <x:c r="J185" s="1"/>
      <x:c r="K185" s="1"/>
    </x:row>
    <x:row r="186" ht="42" customHeight="1">
      <x:c r="A186" s="7" t="str">
        <x:v>Portunus</x:v>
      </x:c>
      <x:c r="B186" s="11" t="n">
        <x:v>3.26</x:v>
      </x:c>
      <x:c r="C186" s="12" t="n">
        <x:v>1523.2185319052</x:v>
      </x:c>
      <x:c r="D186" s="12" t="n">
        <x:v>30797.800781761445</x:v>
      </x:c>
      <x:c r="E186" s="7" t="str">
        <x:v>Crabs (100.000000%)</x:v>
      </x:c>
      <x:c r="F186" s="7" t="str">
        <x:v>High</x:v>
      </x:c>
      <x:c r="G186" s="7" t="str">
        <x:v>Fits the source taxonomic definition. See Sources and the regional Mapping review.</x:v>
      </x:c>
      <x:c r="H186" s="1"/>
      <x:c r="I186" s="1"/>
      <x:c r="J186" s="1"/>
      <x:c r="K186" s="1"/>
    </x:row>
    <x:row r="187" ht="42" customHeight="1">
      <x:c r="A187" s="7" t="str">
        <x:v>Gobiidae</x:v>
      </x:c>
      <x:c r="B187" s="11" t="n">
        <x:v>3.11</x:v>
      </x:c>
      <x:c r="C187" s="12" t="n">
        <x:v>2099.8582663312</x:v>
      </x:c>
      <x:c r="D187" s="12" t="n">
        <x:v>30057.127446892107</x:v>
      </x:c>
      <x:c r="E187" s="7" t="str">
        <x:v>Demesral fish (≤ 30 cm) (100.000000%)</x:v>
      </x:c>
      <x:c r="F187" s="7" t="str">
        <x:v>Medium</x:v>
      </x:c>
      <x:c r="G187" s="7" t="str">
        <x:v>Habitat/size assignment inferred from SAU class. See Sources and the regional Mapping review.</x:v>
      </x:c>
      <x:c r="H187" s="1"/>
      <x:c r="I187" s="1"/>
      <x:c r="J187" s="1"/>
      <x:c r="K187" s="1"/>
    </x:row>
    <x:row r="188" ht="42" customHeight="1">
      <x:c r="A188" s="7" t="str">
        <x:v>Penaeus</x:v>
      </x:c>
      <x:c r="B188" s="11" t="n">
        <x:v>2.7</x:v>
      </x:c>
      <x:c r="C188" s="12" t="n">
        <x:v>5318.7151246341</x:v>
      </x:c>
      <x:c r="D188" s="12" t="n">
        <x:v>29618.579108521095</x:v>
      </x:c>
      <x:c r="E188" s="7" t="str">
        <x:v>Shrimps (100.000000%)</x:v>
      </x:c>
      <x:c r="F188" s="7" t="str">
        <x:v>High</x:v>
      </x:c>
      <x:c r="G188" s="7" t="str">
        <x:v>Fits the source taxonomic definition. See Sources and the regional Mapping review.</x:v>
      </x:c>
      <x:c r="H188" s="1"/>
      <x:c r="I188" s="1"/>
      <x:c r="J188" s="1"/>
      <x:c r="K188" s="1"/>
    </x:row>
    <x:row r="189" ht="117" customHeight="1">
      <x:c r="A189" s="7" t="str">
        <x:v>Cynoglossus</x:v>
      </x:c>
      <x:c r="B189" s="11" t="n">
        <x:v>3.36</x:v>
      </x:c>
      <x:c r="C189" s="12" t="n">
        <x:v>1016.6950947229</x:v>
      </x:c>
      <x:c r="D189" s="12" t="n">
        <x:v>25879.043391426192</x:v>
      </x:c>
      <x:c r="E189" s="7" t="str">
        <x:v>Demesral fish (≤ 30 cm) (33.704053%); Juvenile demersal fish (&gt; 30 cm) (59.660697%); Adult demersal fish (&gt; 30 cm) (6.635250%)</x:v>
      </x:c>
      <x:c r="F189" s="7" t="str">
        <x:v>Low</x:v>
      </x:c>
      <x:c r="G18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189" s="1"/>
      <x:c r="I189" s="1"/>
      <x:c r="J189" s="1"/>
      <x:c r="K189" s="1"/>
    </x:row>
    <x:row r="190" ht="57" customHeight="1">
      <x:c r="A190" s="7" t="str">
        <x:v>Hemiramphus</x:v>
      </x:c>
      <x:c r="B190" s="11" t="n">
        <x:v>3.05</x:v>
      </x:c>
      <x:c r="C190" s="12" t="n">
        <x:v>2045.6713666299</x:v>
      </x:c>
      <x:c r="D190" s="12" t="n">
        <x:v>25503.12249773183</x:v>
      </x:c>
      <x:c r="E190" s="7" t="str">
        <x:v>Juvenile large pelagic fish (89.993906%); Pelagic fish (&gt; 30 cm) (10.006094%)</x:v>
      </x:c>
      <x:c r="F190" s="7" t="str">
        <x:v>Low</x:v>
      </x:c>
      <x:c r="G190" s="7" t="str">
        <x:v>Broad lineage; size/habitat containment uncertain; historical stage proxy. See Sources and the regional Mapping review.</x:v>
      </x:c>
      <x:c r="H190" s="1"/>
      <x:c r="I190" s="1"/>
      <x:c r="J190" s="1"/>
      <x:c r="K190" s="1"/>
    </x:row>
    <x:row r="191" ht="57" customHeight="1">
      <x:c r="A191" s="7" t="str">
        <x:v>Seriolina nigrofasciata</x:v>
      </x:c>
      <x:c r="B191" s="11" t="n">
        <x:v>4.17</x:v>
      </x:c>
      <x:c r="C191" s="12" t="n">
        <x:v>150.0503974073</x:v>
      </x:c>
      <x:c r="D191" s="12" t="n">
        <x:v>24660.089050345603</x:v>
      </x:c>
      <x:c r="E191" s="7" t="str">
        <x:v>Juvenile large pelagic fish (89.993906%); Pelagic fish (&gt; 30 cm) (10.006094%)</x:v>
      </x:c>
      <x:c r="F191" s="7" t="str">
        <x:v>Medium</x:v>
      </x:c>
      <x:c r="G191" s="7" t="str">
        <x:v>Habitat/size fit inferred; model-catch stage proxy, fixed across years. See Sources and the regional Mapping review.</x:v>
      </x:c>
      <x:c r="H191" s="1"/>
      <x:c r="I191" s="1"/>
      <x:c r="J191" s="1"/>
      <x:c r="K191" s="1"/>
    </x:row>
    <x:row r="192" ht="57" customHeight="1">
      <x:c r="A192" s="7" t="str">
        <x:v>Eleutheronema tetradactylum</x:v>
      </x:c>
      <x:c r="B192" s="11" t="n">
        <x:v>4.06</x:v>
      </x:c>
      <x:c r="C192" s="12" t="n">
        <x:v>192.0941078355</x:v>
      </x:c>
      <x:c r="D192" s="12" t="n">
        <x:v>24505.949508837988</x:v>
      </x:c>
      <x:c r="E192" s="7" t="str">
        <x:v>Juvenile demersal fish (&gt; 30 cm) (89.991470%); Adult demersal fish (&gt; 30 cm) (10.008530%)</x:v>
      </x:c>
      <x:c r="F192" s="7" t="str">
        <x:v>Low</x:v>
      </x:c>
      <x:c r="G19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2" s="1"/>
      <x:c r="I192" s="1"/>
      <x:c r="J192" s="1"/>
      <x:c r="K192" s="1"/>
    </x:row>
    <x:row r="193" ht="102" customHeight="1">
      <x:c r="A193" s="7" t="str">
        <x:v>Malacostraca</x:v>
      </x:c>
      <x:c r="B193" s="11" t="n">
        <x:v>3</x:v>
      </x:c>
      <x:c r="C193" s="12" t="n">
        <x:v>2163.1452382685</x:v>
      </x:c>
      <x:c r="D193" s="12" t="n">
        <x:v>24034.947091872225</x:v>
      </x:c>
      <x:c r="E193" s="7" t="str">
        <x:v>Zooplankton (9.363888%); Benthic crustaceans (3.862110%); Shrimps (67.048597%); Crabs (19.725405%)</x:v>
      </x:c>
      <x:c r="F193" s="7" t="str">
        <x:v>Medium</x:v>
      </x:c>
      <x:c r="G193"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H193" s="1"/>
      <x:c r="I193" s="1"/>
      <x:c r="J193" s="1"/>
      <x:c r="K193" s="1"/>
    </x:row>
    <x:row r="194" ht="57" customHeight="1">
      <x:c r="A194" s="7" t="str">
        <x:v>Caesio</x:v>
      </x:c>
      <x:c r="B194" s="11" t="n">
        <x:v>3.4</x:v>
      </x:c>
      <x:c r="C194" s="12" t="n">
        <x:v>853.8808256184</x:v>
      </x:c>
      <x:c r="D194" s="12" t="n">
        <x:v>23831.68511107841</x:v>
      </x:c>
      <x:c r="E194" s="7" t="str">
        <x:v>Juvenile demersal fish (&gt; 30 cm) (89.991470%); Adult demersal fish (&gt; 30 cm) (10.008530%)</x:v>
      </x:c>
      <x:c r="F194" s="7" t="str">
        <x:v>Low</x:v>
      </x:c>
      <x:c r="G19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4" s="1"/>
      <x:c r="I194" s="1"/>
      <x:c r="J194" s="1"/>
      <x:c r="K194" s="1"/>
    </x:row>
    <x:row r="195" ht="57" customHeight="1">
      <x:c r="A195" s="7" t="str">
        <x:v>Lateolabrax japonicus</x:v>
      </x:c>
      <x:c r="B195" s="11" t="n">
        <x:v>3.36</x:v>
      </x:c>
      <x:c r="C195" s="12" t="n">
        <x:v>931.8267331484</x:v>
      </x:c>
      <x:c r="D195" s="12" t="n">
        <x:v>23718.796899488178</x:v>
      </x:c>
      <x:c r="E195" s="7" t="str">
        <x:v>Juvenile demersal fish (&gt; 30 cm) (89.991470%); Adult demersal fish (&gt; 30 cm) (10.008530%)</x:v>
      </x:c>
      <x:c r="F195" s="7" t="str">
        <x:v>Low</x:v>
      </x:c>
      <x:c r="G19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5" s="1"/>
      <x:c r="I195" s="1"/>
      <x:c r="J195" s="1"/>
      <x:c r="K195" s="1"/>
    </x:row>
    <x:row r="196" ht="57" customHeight="1">
      <x:c r="A196" s="7" t="str">
        <x:v>Pagrus auratus</x:v>
      </x:c>
      <x:c r="B196" s="11" t="n">
        <x:v>3.59</x:v>
      </x:c>
      <x:c r="C196" s="12" t="n">
        <x:v>543.3389070569</x:v>
      </x:c>
      <x:c r="D196" s="12" t="n">
        <x:v>23487.040430776175</x:v>
      </x:c>
      <x:c r="E196" s="7" t="str">
        <x:v>Juvenile demersal fish (&gt; 30 cm) (89.991470%); Adult demersal fish (&gt; 30 cm) (10.008530%)</x:v>
      </x:c>
      <x:c r="F196" s="7" t="str">
        <x:v>Low</x:v>
      </x:c>
      <x:c r="G19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6" s="1"/>
      <x:c r="I196" s="1"/>
      <x:c r="J196" s="1"/>
      <x:c r="K196" s="1"/>
    </x:row>
    <x:row r="197" ht="42" customHeight="1">
      <x:c r="A197" s="7" t="str">
        <x:v>Thryssa</x:v>
      </x:c>
      <x:c r="B197" s="11" t="n">
        <x:v>3.34</x:v>
      </x:c>
      <x:c r="C197" s="12" t="n">
        <x:v>963.7641834809</x:v>
      </x:c>
      <x:c r="D197" s="12" t="n">
        <x:v>23427.625501739865</x:v>
      </x:c>
      <x:c r="E197" s="7" t="str">
        <x:v>Pelagic fish (≤ 30 cm) (100.000000%)</x:v>
      </x:c>
      <x:c r="F197" s="7" t="str">
        <x:v>Medium</x:v>
      </x:c>
      <x:c r="G197" s="7" t="str">
        <x:v>Habitat/size assignment inferred from SAU class. See Sources and the regional Mapping review.</x:v>
      </x:c>
      <x:c r="H197" s="1"/>
      <x:c r="I197" s="1"/>
      <x:c r="J197" s="1"/>
      <x:c r="K197" s="1"/>
    </x:row>
    <x:row r="198" ht="57" customHeight="1">
      <x:c r="A198" s="7" t="str">
        <x:v>Sillaginidae</x:v>
      </x:c>
      <x:c r="B198" s="11" t="n">
        <x:v>3.25</x:v>
      </x:c>
      <x:c r="C198" s="12" t="n">
        <x:v>1154.9287619261</x:v>
      </x:c>
      <x:c r="D198" s="12" t="n">
        <x:v>22819.844859943652</x:v>
      </x:c>
      <x:c r="E198" s="7" t="str">
        <x:v>Juvenile demersal fish (&gt; 30 cm) (89.991470%); Adult demersal fish (&gt; 30 cm) (10.008530%)</x:v>
      </x:c>
      <x:c r="F198" s="7" t="str">
        <x:v>Low</x:v>
      </x:c>
      <x:c r="G198"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198" s="1"/>
      <x:c r="I198" s="1"/>
      <x:c r="J198" s="1"/>
      <x:c r="K198" s="1"/>
    </x:row>
    <x:row r="199" ht="42" customHeight="1">
      <x:c r="A199" s="7" t="str">
        <x:v>Octopus vulgaris</x:v>
      </x:c>
      <x:c r="B199" s="11" t="n">
        <x:v>3.6</x:v>
      </x:c>
      <x:c r="C199" s="12" t="n">
        <x:v>458.1614631695</x:v>
      </x:c>
      <x:c r="D199" s="12" t="n">
        <x:v>20266.373751006668</x:v>
      </x:c>
      <x:c r="E199" s="7" t="str">
        <x:v>Cephalopods (100.000000%)</x:v>
      </x:c>
      <x:c r="F199" s="7" t="str">
        <x:v>High</x:v>
      </x:c>
      <x:c r="G199" s="7" t="str">
        <x:v>Fits the source taxonomic definition. See Sources and the regional Mapping review.</x:v>
      </x:c>
      <x:c r="H199" s="1"/>
      <x:c r="I199" s="1"/>
      <x:c r="J199" s="1"/>
      <x:c r="K199" s="1"/>
    </x:row>
    <x:row r="200" ht="57" customHeight="1">
      <x:c r="A200" s="7" t="str">
        <x:v>Plectorhinchus</x:v>
      </x:c>
      <x:c r="B200" s="11" t="n">
        <x:v>3.43</x:v>
      </x:c>
      <x:c r="C200" s="12" t="n">
        <x:v>650.2650741865</x:v>
      </x:c>
      <x:c r="D200" s="12" t="n">
        <x:v>19446.789766123147</x:v>
      </x:c>
      <x:c r="E200" s="7" t="str">
        <x:v>Juvenile demersal fish (&gt; 30 cm) (89.991470%); Adult demersal fish (&gt; 30 cm) (10.008530%)</x:v>
      </x:c>
      <x:c r="F200" s="7" t="str">
        <x:v>Low</x:v>
      </x:c>
      <x:c r="G20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00" s="1"/>
      <x:c r="I200" s="1"/>
      <x:c r="J200" s="1"/>
      <x:c r="K200" s="1"/>
    </x:row>
    <x:row r="201" ht="42" customHeight="1">
      <x:c r="A201" s="7" t="str">
        <x:v>Anodontostoma chacunda</x:v>
      </x:c>
      <x:c r="B201" s="11" t="n">
        <x:v>2.84</x:v>
      </x:c>
      <x:c r="C201" s="12" t="n">
        <x:v>2475.2906287401</x:v>
      </x:c>
      <x:c r="D201" s="12" t="n">
        <x:v>19027.585766531196</x:v>
      </x:c>
      <x:c r="E201" s="7" t="str">
        <x:v>Pelagic fish (≤ 30 cm) (100.000000%)</x:v>
      </x:c>
      <x:c r="F201" s="7" t="str">
        <x:v>Medium</x:v>
      </x:c>
      <x:c r="G201" s="7" t="str">
        <x:v>Habitat/size assignment inferred from SAU class. See Sources and the regional Mapping review.</x:v>
      </x:c>
      <x:c r="H201" s="1"/>
      <x:c r="I201" s="1"/>
      <x:c r="J201" s="1"/>
      <x:c r="K201" s="1"/>
    </x:row>
    <x:row r="202" ht="42" customHeight="1">
      <x:c r="A202" s="7" t="str">
        <x:v>Pampus chinensis</x:v>
      </x:c>
      <x:c r="B202" s="11" t="n">
        <x:v>3.6</x:v>
      </x:c>
      <x:c r="C202" s="12" t="n">
        <x:v>407.0651029811</x:v>
      </x:c>
      <x:c r="D202" s="12" t="n">
        <x:v>18006.170708763748</x:v>
      </x:c>
      <x:c r="E202" s="7" t="str">
        <x:v>Pomfret (stromateids) (100.000000%)</x:v>
      </x:c>
      <x:c r="F202" s="7" t="str">
        <x:v>High</x:v>
      </x:c>
      <x:c r="G202" s="7" t="str">
        <x:v>Fits the source taxonomic definition. See Sources and the regional Mapping review.</x:v>
      </x:c>
      <x:c r="H202" s="1"/>
      <x:c r="I202" s="1"/>
      <x:c r="J202" s="1"/>
      <x:c r="K202" s="1"/>
    </x:row>
    <x:row r="203" ht="42" customHeight="1">
      <x:c r="A203" s="7" t="str">
        <x:v>Lobotes surinamensis</x:v>
      </x:c>
      <x:c r="B203" s="11" t="n">
        <x:v>4.04</x:v>
      </x:c>
      <x:c r="C203" s="12" t="n">
        <x:v>135.1686029848</x:v>
      </x:c>
      <x:c r="D203" s="12" t="n">
        <x:v>16467.71399732976</x:v>
      </x:c>
      <x:c r="E203" s="7" t="str">
        <x:v>Benthopelagic fish (100.000000%)</x:v>
      </x:c>
      <x:c r="F203" s="7" t="str">
        <x:v>Low</x:v>
      </x:c>
      <x:c r="G203" s="7" t="str">
        <x:v>Ecological assignment; final benthopelagic pool is ambiguous. See Sources and the regional Mapping review.</x:v>
      </x:c>
      <x:c r="H203" s="1"/>
      <x:c r="I203" s="1"/>
      <x:c r="J203" s="1"/>
      <x:c r="K203" s="1"/>
    </x:row>
    <x:row r="204" ht="57" customHeight="1">
      <x:c r="A204" s="7" t="str">
        <x:v>Sillago</x:v>
      </x:c>
      <x:c r="B204" s="11" t="n">
        <x:v>3.33</x:v>
      </x:c>
      <x:c r="C204" s="12" t="n">
        <x:v>688.4261976386</x:v>
      </x:c>
      <x:c r="D204" s="12" t="n">
        <x:v>16353.65679968331</x:v>
      </x:c>
      <x:c r="E204" s="7" t="str">
        <x:v>Juvenile demersal fish (&gt; 30 cm) (89.991470%); Adult demersal fish (&gt; 30 cm) (10.008530%)</x:v>
      </x:c>
      <x:c r="F204" s="7" t="str">
        <x:v>Low</x:v>
      </x:c>
      <x:c r="G20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04" s="1"/>
      <x:c r="I204" s="1"/>
      <x:c r="J204" s="1"/>
      <x:c r="K204" s="1"/>
    </x:row>
    <x:row r="205" ht="42" customHeight="1">
      <x:c r="A205" s="7" t="str">
        <x:v>Acetes</x:v>
      </x:c>
      <x:c r="B205" s="11" t="n">
        <x:v>2.7</x:v>
      </x:c>
      <x:c r="C205" s="12" t="n">
        <x:v>2936.5363392761</x:v>
      </x:c>
      <x:c r="D205" s="12" t="n">
        <x:v>16352.828048086072</x:v>
      </x:c>
      <x:c r="E205" s="7" t="str">
        <x:v>Zooplankton (100.000000%)</x:v>
      </x:c>
      <x:c r="F205" s="7" t="str">
        <x:v>High</x:v>
      </x:c>
      <x:c r="G205" s="7" t="str">
        <x:v>Explicit source member. See Sources and the regional Mapping review.</x:v>
      </x:c>
      <x:c r="H205" s="1"/>
      <x:c r="I205" s="1"/>
      <x:c r="J205" s="1"/>
      <x:c r="K205" s="1"/>
    </x:row>
    <x:row r="206" ht="42" customHeight="1">
      <x:c r="A206" s="7" t="str">
        <x:v>Scylla serrata</x:v>
      </x:c>
      <x:c r="B206" s="11" t="n">
        <x:v>3.17</x:v>
      </x:c>
      <x:c r="C206" s="12" t="n">
        <x:v>971.3526684794999</x:v>
      </x:c>
      <x:c r="D206" s="12" t="n">
        <x:v>15963.731997973331</x:v>
      </x:c>
      <x:c r="E206" s="7" t="str">
        <x:v>Crabs (100.000000%)</x:v>
      </x:c>
      <x:c r="F206" s="7" t="str">
        <x:v>High</x:v>
      </x:c>
      <x:c r="G206" s="7" t="str">
        <x:v>Fits the source taxonomic definition. See Sources and the regional Mapping review.</x:v>
      </x:c>
      <x:c r="H206" s="1"/>
      <x:c r="I206" s="1"/>
      <x:c r="J206" s="1"/>
      <x:c r="K206" s="1"/>
    </x:row>
    <x:row r="207" ht="42" customHeight="1">
      <x:c r="A207" s="7" t="str">
        <x:v>Scolopsis</x:v>
      </x:c>
      <x:c r="B207" s="11" t="n">
        <x:v>3.3</x:v>
      </x:c>
      <x:c r="C207" s="12" t="n">
        <x:v>710.3281141269</x:v>
      </x:c>
      <x:c r="D207" s="12" t="n">
        <x:v>15747.676859781295</x:v>
      </x:c>
      <x:c r="E207" s="7" t="str">
        <x:v>Threadfin bream (nemipterids) (100.000000%)</x:v>
      </x:c>
      <x:c r="F207" s="7" t="str">
        <x:v>High</x:v>
      </x:c>
      <x:c r="G207" s="7" t="str">
        <x:v>Fits the source taxonomic definition. See Sources and the regional Mapping review.</x:v>
      </x:c>
      <x:c r="H207" s="1"/>
      <x:c r="I207" s="1"/>
      <x:c r="J207" s="1"/>
      <x:c r="K207" s="1"/>
    </x:row>
    <x:row r="208" ht="42" customHeight="1">
      <x:c r="A208" s="7" t="str">
        <x:v>Gazza minuta</x:v>
      </x:c>
      <x:c r="B208" s="11" t="n">
        <x:v>4.19</x:v>
      </x:c>
      <x:c r="C208" s="12" t="n">
        <x:v>91.3387588591</x:v>
      </x:c>
      <x:c r="D208" s="12" t="n">
        <x:v>15718.554185757093</x:v>
      </x:c>
      <x:c r="E208" s="7" t="str">
        <x:v>Demesral fish (≤ 30 cm) (100.000000%)</x:v>
      </x:c>
      <x:c r="F208" s="7" t="str">
        <x:v>Medium</x:v>
      </x:c>
      <x:c r="G208" s="7" t="str">
        <x:v>Habitat/size assignment inferred from SAU class. See Sources and the regional Mapping review.</x:v>
      </x:c>
      <x:c r="H208" s="1"/>
      <x:c r="I208" s="1"/>
      <x:c r="J208" s="1"/>
      <x:c r="K208" s="1"/>
    </x:row>
    <x:row r="209" ht="42" customHeight="1">
      <x:c r="A209" s="7" t="str">
        <x:v>Scyllaridae</x:v>
      </x:c>
      <x:c r="B209" s="11" t="n">
        <x:v>2.87</x:v>
      </x:c>
      <x:c r="C209" s="12" t="n">
        <x:v>1853.66647751</x:v>
      </x:c>
      <x:c r="D209" s="12" t="n">
        <x:v>15268.24381927067</x:v>
      </x:c>
      <x:c r="E209" s="7" t="str">
        <x:v>Benthic crustaceans (100.000000%)</x:v>
      </x:c>
      <x:c r="F209" s="7" t="str">
        <x:v>High</x:v>
      </x:c>
      <x:c r="G209" s="7" t="str">
        <x:v>Fits the source taxonomic definition. See Sources and the regional Mapping review.</x:v>
      </x:c>
      <x:c r="H209" s="1"/>
      <x:c r="I209" s="1"/>
      <x:c r="J209" s="1"/>
      <x:c r="K209" s="1"/>
    </x:row>
    <x:row r="210" ht="57" customHeight="1">
      <x:c r="A210" s="7" t="str">
        <x:v>Planiliza haematocheilus</x:v>
      </x:c>
      <x:c r="B210" s="11" t="n">
        <x:v>2.5</x:v>
      </x:c>
      <x:c r="C210" s="12" t="n">
        <x:v>4211.064677519</x:v>
      </x:c>
      <x:c r="D210" s="12" t="n">
        <x:v>14796.173061380548</x:v>
      </x:c>
      <x:c r="E210" s="7" t="str">
        <x:v>Juvenile demersal fish (&gt; 30 cm) (89.991470%); Adult demersal fish (&gt; 30 cm) (10.008530%)</x:v>
      </x:c>
      <x:c r="F210" s="7" t="str">
        <x:v>Low</x:v>
      </x:c>
      <x:c r="G21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10" s="1"/>
      <x:c r="I210" s="1"/>
      <x:c r="J210" s="1"/>
      <x:c r="K210" s="1"/>
    </x:row>
    <x:row r="211" ht="57" customHeight="1">
      <x:c r="A211" s="7" t="str">
        <x:v>Mola mola</x:v>
      </x:c>
      <x:c r="B211" s="11" t="n">
        <x:v>3.68</x:v>
      </x:c>
      <x:c r="C211" s="12" t="n">
        <x:v>277.1696717644</x:v>
      </x:c>
      <x:c r="D211" s="12" t="n">
        <x:v>14740.19395395891</x:v>
      </x:c>
      <x:c r="E211" s="7" t="str">
        <x:v>Juvenile large pelagic fish (89.993906%); Pelagic fish (&gt; 30 cm) (10.006094%)</x:v>
      </x:c>
      <x:c r="F211" s="7" t="str">
        <x:v>Medium</x:v>
      </x:c>
      <x:c r="G211" s="7" t="str">
        <x:v>Habitat/size fit inferred; model-catch stage proxy, fixed across years. See Sources and the regional Mapping review.</x:v>
      </x:c>
      <x:c r="H211" s="1"/>
      <x:c r="I211" s="1"/>
      <x:c r="J211" s="1"/>
      <x:c r="K211" s="1"/>
    </x:row>
    <x:row r="212" ht="42" customHeight="1">
      <x:c r="A212" s="7" t="str">
        <x:v>Gerreidae</x:v>
      </x:c>
      <x:c r="B212" s="11" t="n">
        <x:v>3.03</x:v>
      </x:c>
      <x:c r="C212" s="12" t="n">
        <x:v>1109.2610217807</x:v>
      </x:c>
      <x:c r="D212" s="12" t="n">
        <x:v>13206.606659840141</x:v>
      </x:c>
      <x:c r="E212" s="7" t="str">
        <x:v>Benthopelagic fish (100.000000%)</x:v>
      </x:c>
      <x:c r="F212" s="7" t="str">
        <x:v>Low</x:v>
      </x:c>
      <x:c r="G212" s="7" t="str">
        <x:v>Ecological assignment; final benthopelagic pool is ambiguous. See Sources and the regional Mapping review.</x:v>
      </x:c>
      <x:c r="H212" s="1"/>
      <x:c r="I212" s="1"/>
      <x:c r="J212" s="1"/>
      <x:c r="K212" s="1"/>
    </x:row>
    <x:row r="213" ht="57" customHeight="1">
      <x:c r="A213" s="7" t="str">
        <x:v>Decapterus russelli</x:v>
      </x:c>
      <x:c r="B213" s="11" t="n">
        <x:v>3.68</x:v>
      </x:c>
      <x:c r="C213" s="12" t="n">
        <x:v>247.487864934</x:v>
      </x:c>
      <x:c r="D213" s="12" t="n">
        <x:v>13161.68218245479</x:v>
      </x:c>
      <x:c r="E213" s="7" t="str">
        <x:v>Juvenile large pelagic fish (89.993906%); Pelagic fish (&gt; 30 cm) (10.006094%)</x:v>
      </x:c>
      <x:c r="F213" s="7" t="str">
        <x:v>Medium</x:v>
      </x:c>
      <x:c r="G213" s="7" t="str">
        <x:v>Habitat/size fit inferred; model-catch stage proxy, fixed across years. See Sources and the regional Mapping review.</x:v>
      </x:c>
      <x:c r="H213" s="1"/>
      <x:c r="I213" s="1"/>
      <x:c r="J213" s="1"/>
      <x:c r="K213" s="1"/>
    </x:row>
    <x:row r="214" ht="57" customHeight="1">
      <x:c r="A214" s="7" t="str">
        <x:v>Terapontidae</x:v>
      </x:c>
      <x:c r="B214" s="11" t="n">
        <x:v>3.64</x:v>
      </x:c>
      <x:c r="C214" s="12" t="n">
        <x:v>269.2911869916</x:v>
      </x:c>
      <x:c r="D214" s="12" t="n">
        <x:v>13061.09628939783</x:v>
      </x:c>
      <x:c r="E214" s="7" t="str">
        <x:v>Juvenile demersal fish (&gt; 30 cm) (89.991470%); Adult demersal fish (&gt; 30 cm) (10.008530%)</x:v>
      </x:c>
      <x:c r="F214" s="7" t="str">
        <x:v>Low</x:v>
      </x:c>
      <x:c r="G21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14" s="1"/>
      <x:c r="I214" s="1"/>
      <x:c r="J214" s="1"/>
      <x:c r="K214" s="1"/>
    </x:row>
    <x:row r="215" ht="42" customHeight="1">
      <x:c r="A215" s="7" t="str">
        <x:v>Portunidae</x:v>
      </x:c>
      <x:c r="B215" s="11" t="n">
        <x:v>3.56</x:v>
      </x:c>
      <x:c r="C215" s="12" t="n">
        <x:v>316.8668768144</x:v>
      </x:c>
      <x:c r="D215" s="12" t="n">
        <x:v>12783.045472761076</x:v>
      </x:c>
      <x:c r="E215" s="7" t="str">
        <x:v>Crabs (100.000000%)</x:v>
      </x:c>
      <x:c r="F215" s="7" t="str">
        <x:v>High</x:v>
      </x:c>
      <x:c r="G215" s="7" t="str">
        <x:v>Fits the source taxonomic definition. See Sources and the regional Mapping review.</x:v>
      </x:c>
      <x:c r="H215" s="1"/>
      <x:c r="I215" s="1"/>
      <x:c r="J215" s="1"/>
      <x:c r="K215" s="1"/>
    </x:row>
    <x:row r="216" ht="42" customHeight="1">
      <x:c r="A216" s="7" t="str">
        <x:v>Metapenaeus joyneri</x:v>
      </x:c>
      <x:c r="B216" s="11" t="n">
        <x:v>3.2</x:v>
      </x:c>
      <x:c r="C216" s="12" t="n">
        <x:v>707.2507652774</x:v>
      </x:c>
      <x:c r="D216" s="12" t="n">
        <x:v>12454.632480567383</x:v>
      </x:c>
      <x:c r="E216" s="7" t="str">
        <x:v>Shrimps (100.000000%)</x:v>
      </x:c>
      <x:c r="F216" s="7" t="str">
        <x:v>High</x:v>
      </x:c>
      <x:c r="G216" s="7" t="str">
        <x:v>Fits the source taxonomic definition. See Sources and the regional Mapping review.</x:v>
      </x:c>
      <x:c r="H216" s="1"/>
      <x:c r="I216" s="1"/>
      <x:c r="J216" s="1"/>
      <x:c r="K216" s="1"/>
    </x:row>
    <x:row r="217" ht="57" customHeight="1">
      <x:c r="A217" s="7" t="str">
        <x:v>Latidae</x:v>
      </x:c>
      <x:c r="B217" s="11" t="n">
        <x:v>4.35</x:v>
      </x:c>
      <x:c r="C217" s="12" t="n">
        <x:v>48.8266225651</x:v>
      </x:c>
      <x:c r="D217" s="12" t="n">
        <x:v>12145.465784598577</x:v>
      </x:c>
      <x:c r="E217" s="7" t="str">
        <x:v>Juvenile demersal fish (&gt; 30 cm) (89.991470%); Adult demersal fish (&gt; 30 cm) (10.008530%)</x:v>
      </x:c>
      <x:c r="F217" s="7" t="str">
        <x:v>Low</x:v>
      </x:c>
      <x:c r="G21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17" s="1"/>
      <x:c r="I217" s="1"/>
      <x:c r="J217" s="1"/>
      <x:c r="K217" s="1"/>
    </x:row>
    <x:row r="218" ht="42" customHeight="1">
      <x:c r="A218" s="7" t="str">
        <x:v>Parapenaeopsis</x:v>
      </x:c>
      <x:c r="B218" s="11" t="n">
        <x:v>2.72</x:v>
      </x:c>
      <x:c r="C218" s="12" t="n">
        <x:v>2051.0014812198</x:v>
      </x:c>
      <x:c r="D218" s="12" t="n">
        <x:v>11959.787536972064</x:v>
      </x:c>
      <x:c r="E218" s="7" t="str">
        <x:v>Shrimps (100.000000%)</x:v>
      </x:c>
      <x:c r="F218" s="7" t="str">
        <x:v>High</x:v>
      </x:c>
      <x:c r="G218" s="7" t="str">
        <x:v>Fits the source taxonomic definition. See Sources and the regional Mapping review.</x:v>
      </x:c>
      <x:c r="H218" s="1"/>
      <x:c r="I218" s="1"/>
      <x:c r="J218" s="1"/>
      <x:c r="K218" s="1"/>
    </x:row>
    <x:row r="219" ht="42" customHeight="1">
      <x:c r="A219" s="7" t="str">
        <x:v>Drepane</x:v>
      </x:c>
      <x:c r="B219" s="11" t="n">
        <x:v>3.32</x:v>
      </x:c>
      <x:c r="C219" s="12" t="n">
        <x:v>510.0612503553</x:v>
      </x:c>
      <x:c r="D219" s="12" t="n">
        <x:v>11840.766631843351</x:v>
      </x:c>
      <x:c r="E219" s="7" t="str">
        <x:v>Benthopelagic fish (100.000000%)</x:v>
      </x:c>
      <x:c r="F219" s="7" t="str">
        <x:v>Low</x:v>
      </x:c>
      <x:c r="G219" s="7" t="str">
        <x:v>Ecological assignment; final benthopelagic pool is ambiguous. See Sources and the regional Mapping review.</x:v>
      </x:c>
      <x:c r="H219" s="1"/>
      <x:c r="I219" s="1"/>
      <x:c r="J219" s="1"/>
      <x:c r="K219" s="1"/>
    </x:row>
    <x:row r="220" ht="57" customHeight="1">
      <x:c r="A220" s="7" t="str">
        <x:v>Siganus</x:v>
      </x:c>
      <x:c r="B220" s="11" t="n">
        <x:v>2.11</x:v>
      </x:c>
      <x:c r="C220" s="12" t="n">
        <x:v>8030.5915137059</x:v>
      </x:c>
      <x:c r="D220" s="12" t="n">
        <x:v>11494.895463735904</x:v>
      </x:c>
      <x:c r="E220" s="7" t="str">
        <x:v>Juvenile demersal fish (&gt; 30 cm) (89.991470%); Adult demersal fish (&gt; 30 cm) (10.008530%)</x:v>
      </x:c>
      <x:c r="F220" s="7" t="str">
        <x:v>Low</x:v>
      </x:c>
      <x:c r="G22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0" s="1"/>
      <x:c r="I220" s="1"/>
      <x:c r="J220" s="1"/>
      <x:c r="K220" s="1"/>
    </x:row>
    <x:row r="221" ht="57" customHeight="1">
      <x:c r="A221" s="7" t="str">
        <x:v>Mugil</x:v>
      </x:c>
      <x:c r="B221" s="11" t="n">
        <x:v>2.26</x:v>
      </x:c>
      <x:c r="C221" s="12" t="n">
        <x:v>5637.6636376472</x:v>
      </x:c>
      <x:c r="D221" s="12" t="n">
        <x:v>11398.734846645433</x:v>
      </x:c>
      <x:c r="E221" s="7" t="str">
        <x:v>Juvenile demersal fish (&gt; 30 cm) (89.991470%); Adult demersal fish (&gt; 30 cm) (10.008530%)</x:v>
      </x:c>
      <x:c r="F221" s="7" t="str">
        <x:v>Low</x:v>
      </x:c>
      <x:c r="G22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1" s="1"/>
      <x:c r="I221" s="1"/>
      <x:c r="J221" s="1"/>
      <x:c r="K221" s="1"/>
    </x:row>
    <x:row r="222" ht="42" customHeight="1">
      <x:c r="A222" s="7" t="str">
        <x:v>Penaeus japonicus</x:v>
      </x:c>
      <x:c r="B222" s="11" t="n">
        <x:v>2.7</x:v>
      </x:c>
      <x:c r="C222" s="12" t="n">
        <x:v>2034.866287207</x:v>
      </x:c>
      <x:c r="D222" s="12" t="n">
        <x:v>11331.655614296391</x:v>
      </x:c>
      <x:c r="E222" s="7" t="str">
        <x:v>Shrimps (100.000000%)</x:v>
      </x:c>
      <x:c r="F222" s="7" t="str">
        <x:v>High</x:v>
      </x:c>
      <x:c r="G222" s="7" t="str">
        <x:v>Fits the source taxonomic definition. See Sources and the regional Mapping review.</x:v>
      </x:c>
      <x:c r="H222" s="1"/>
      <x:c r="I222" s="1"/>
      <x:c r="J222" s="1"/>
      <x:c r="K222" s="1"/>
    </x:row>
    <x:row r="223" ht="57" customHeight="1">
      <x:c r="A223" s="7" t="str">
        <x:v>Atrobucca nibe</x:v>
      </x:c>
      <x:c r="B223" s="11" t="n">
        <x:v>3.03</x:v>
      </x:c>
      <x:c r="C223" s="12" t="n">
        <x:v>901.7723487351</x:v>
      </x:c>
      <x:c r="D223" s="12" t="n">
        <x:v>10736.294228879095</x:v>
      </x:c>
      <x:c r="E223" s="7" t="str">
        <x:v>Juvenile large croakers (89.873418%); Croakers (&gt; 30 cm) (10.126582%)</x:v>
      </x:c>
      <x:c r="F223" s="7" t="str">
        <x:v>Low</x:v>
      </x:c>
      <x:c r="G223" s="7" t="str">
        <x:v>Large-croaker membership inferred; historical stage proxy. See Sources and the regional Mapping review.</x:v>
      </x:c>
      <x:c r="H223" s="1"/>
      <x:c r="I223" s="1"/>
      <x:c r="J223" s="1"/>
      <x:c r="K223" s="1"/>
    </x:row>
    <x:row r="224" ht="42" customHeight="1">
      <x:c r="A224" s="7" t="str">
        <x:v>Exocoetidae</x:v>
      </x:c>
      <x:c r="B224" s="11" t="n">
        <x:v>3.57</x:v>
      </x:c>
      <x:c r="C224" s="12" t="n">
        <x:v>251.6172091557</x:v>
      </x:c>
      <x:c r="D224" s="12" t="n">
        <x:v>10387.18416093935</x:v>
      </x:c>
      <x:c r="E224" s="7" t="str">
        <x:v>Pelagic fish (≤ 30 cm) (100.000000%)</x:v>
      </x:c>
      <x:c r="F224" s="7" t="str">
        <x:v>Medium</x:v>
      </x:c>
      <x:c r="G224" s="7" t="str">
        <x:v>Habitat/size assignment inferred from SAU class. See Sources and the regional Mapping review.</x:v>
      </x:c>
      <x:c r="H224" s="1"/>
      <x:c r="I224" s="1"/>
      <x:c r="J224" s="1"/>
      <x:c r="K224" s="1"/>
    </x:row>
    <x:row r="225" ht="57" customHeight="1">
      <x:c r="A225" s="7" t="str">
        <x:v>Balistidae</x:v>
      </x:c>
      <x:c r="B225" s="11" t="n">
        <x:v>3.25</x:v>
      </x:c>
      <x:c r="C225" s="12" t="n">
        <x:v>521.2657552092</x:v>
      </x:c>
      <x:c r="D225" s="12" t="n">
        <x:v>10299.512884965667</x:v>
      </x:c>
      <x:c r="E225" s="7" t="str">
        <x:v>Juvenile demersal fish (&gt; 30 cm) (89.991470%); Adult demersal fish (&gt; 30 cm) (10.008530%)</x:v>
      </x:c>
      <x:c r="F225" s="7" t="str">
        <x:v>Low</x:v>
      </x:c>
      <x:c r="G22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5" s="1"/>
      <x:c r="I225" s="1"/>
      <x:c r="J225" s="1"/>
      <x:c r="K225" s="1"/>
    </x:row>
    <x:row r="226" ht="42" customHeight="1">
      <x:c r="A226" s="7" t="str">
        <x:v>Bivalvia</x:v>
      </x:c>
      <x:c r="B226" s="11" t="n">
        <x:v>2.23</x:v>
      </x:c>
      <x:c r="C226" s="12" t="n">
        <x:v>5397.986096821201</x:v>
      </x:c>
      <x:c r="D226" s="12" t="n">
        <x:v>10185.661805559277</x:v>
      </x:c>
      <x:c r="E226" s="7" t="str">
        <x:v>Non-ceph molluscs (100.000000%)</x:v>
      </x:c>
      <x:c r="F226" s="7" t="str">
        <x:v>High</x:v>
      </x:c>
      <x:c r="G226" s="7" t="str">
        <x:v>Fits the source taxonomic definition. See Sources and the regional Mapping review.</x:v>
      </x:c>
      <x:c r="H226" s="1"/>
      <x:c r="I226" s="1"/>
      <x:c r="J226" s="1"/>
      <x:c r="K226" s="1"/>
    </x:row>
    <x:row r="227" ht="57" customHeight="1">
      <x:c r="A227" s="7" t="str">
        <x:v>Lethrinus</x:v>
      </x:c>
      <x:c r="B227" s="11" t="n">
        <x:v>3.75</x:v>
      </x:c>
      <x:c r="C227" s="12" t="n">
        <x:v>151.5231738165</x:v>
      </x:c>
      <x:c r="D227" s="12" t="n">
        <x:v>9467.526929002022</x:v>
      </x:c>
      <x:c r="E227" s="7" t="str">
        <x:v>Juvenile demersal fish (&gt; 30 cm) (89.991470%); Adult demersal fish (&gt; 30 cm) (10.008530%)</x:v>
      </x:c>
      <x:c r="F227" s="7" t="str">
        <x:v>Low</x:v>
      </x:c>
      <x:c r="G22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27" s="1"/>
      <x:c r="I227" s="1"/>
      <x:c r="J227" s="1"/>
      <x:c r="K227" s="1"/>
    </x:row>
    <x:row r="228" ht="102" customHeight="1">
      <x:c r="A228" s="7" t="str">
        <x:v>Istiompax indica</x:v>
      </x:c>
      <x:c r="B228" s="11" t="n">
        <x:v>4.5</x:v>
      </x:c>
      <x:c r="C228" s="12" t="n">
        <x:v>25.5078926537</x:v>
      </x:c>
      <x:c r="D228" s="12" t="n">
        <x:v>8962.559899640959</x:v>
      </x:c>
      <x:c r="E228" s="7" t="str">
        <x:v>Juvenile large pelagic fish (89.993906%); Pelagic fish (&gt; 30 cm) (10.006094%)</x:v>
      </x:c>
      <x:c r="F228" s="7" t="str">
        <x:v>Very low</x:v>
      </x:c>
      <x:c r="G228"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228" s="1"/>
      <x:c r="I228" s="1"/>
      <x:c r="J228" s="1"/>
      <x:c r="K228" s="1"/>
    </x:row>
    <x:row r="229" ht="57" customHeight="1">
      <x:c r="A229" s="7" t="str">
        <x:v>Platycaranx talamparoides</x:v>
      </x:c>
      <x:c r="B229" s="11" t="n">
        <x:v>4.4</x:v>
      </x:c>
      <x:c r="C229" s="12" t="n">
        <x:v>28.6435040281</x:v>
      </x:c>
      <x:c r="D229" s="12" t="n">
        <x:v>7994.3587910082715</x:v>
      </x:c>
      <x:c r="E229" s="7" t="str">
        <x:v>Juvenile large pelagic fish (89.993906%); Pelagic fish (&gt; 30 cm) (10.006094%)</x:v>
      </x:c>
      <x:c r="F229" s="7" t="str">
        <x:v>Medium</x:v>
      </x:c>
      <x:c r="G229" s="7" t="str">
        <x:v>Habitat/size fit inferred; model-catch stage proxy, fixed across years. See Sources and the regional Mapping review.</x:v>
      </x:c>
      <x:c r="H229" s="1"/>
      <x:c r="I229" s="1"/>
      <x:c r="J229" s="1"/>
      <x:c r="K229" s="1"/>
    </x:row>
    <x:row r="230" ht="72" customHeight="1">
      <x:c r="A230" s="7" t="str">
        <x:v>Sergestidae</x:v>
      </x:c>
      <x:c r="B230" s="11" t="n">
        <x:v>2.93</x:v>
      </x:c>
      <x:c r="C230" s="12" t="n">
        <x:v>825.2380457821</x:v>
      </x:c>
      <x:c r="D230" s="12" t="n">
        <x:v>7804.349903743776</x:v>
      </x:c>
      <x:c r="E230" s="7" t="str">
        <x:v>Zooplankton (12.254395%); Shrimps (87.745605%)</x:v>
      </x:c>
      <x:c r="F230" s="7" t="str">
        <x:v>Medium</x:v>
      </x:c>
      <x:c r="G230" s="7" t="str">
        <x:v>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H230" s="1"/>
      <x:c r="I230" s="1"/>
      <x:c r="J230" s="1"/>
      <x:c r="K230" s="1"/>
    </x:row>
    <x:row r="231" ht="42" customHeight="1">
      <x:c r="A231" s="7" t="str">
        <x:v>Tegillarca granosa</x:v>
      </x:c>
      <x:c r="B231" s="11" t="n">
        <x:v>2</x:v>
      </x:c>
      <x:c r="C231" s="12" t="n">
        <x:v>6996.1566210773</x:v>
      </x:c>
      <x:c r="D231" s="12" t="n">
        <x:v>7773.507356752556</x:v>
      </x:c>
      <x:c r="E231" s="7" t="str">
        <x:v>Non-ceph molluscs (100.000000%)</x:v>
      </x:c>
      <x:c r="F231" s="7" t="str">
        <x:v>High</x:v>
      </x:c>
      <x:c r="G231" s="7" t="str">
        <x:v>Fits the source taxonomic definition. See Sources and the regional Mapping review.</x:v>
      </x:c>
      <x:c r="H231" s="1"/>
      <x:c r="I231" s="1"/>
      <x:c r="J231" s="1"/>
      <x:c r="K231" s="1"/>
    </x:row>
    <x:row r="232" ht="42" customHeight="1">
      <x:c r="A232" s="7" t="str">
        <x:v>Penaeus latisulcatus</x:v>
      </x:c>
      <x:c r="B232" s="11" t="n">
        <x:v>2.7</x:v>
      </x:c>
      <x:c r="C232" s="12" t="n">
        <x:v>1395.8112079466</x:v>
      </x:c>
      <x:c r="D232" s="12" t="n">
        <x:v>7772.919533074422</x:v>
      </x:c>
      <x:c r="E232" s="7" t="str">
        <x:v>Shrimps (100.000000%)</x:v>
      </x:c>
      <x:c r="F232" s="7" t="str">
        <x:v>High</x:v>
      </x:c>
      <x:c r="G232" s="7" t="str">
        <x:v>Fits the source taxonomic definition. See Sources and the regional Mapping review.</x:v>
      </x:c>
      <x:c r="H232" s="1"/>
      <x:c r="I232" s="1"/>
      <x:c r="J232" s="1"/>
      <x:c r="K232" s="1"/>
    </x:row>
    <x:row r="233" ht="42" customHeight="1">
      <x:c r="A233" s="7" t="str">
        <x:v>Palinuridae</x:v>
      </x:c>
      <x:c r="B233" s="11" t="n">
        <x:v>3.14</x:v>
      </x:c>
      <x:c r="C233" s="12" t="n">
        <x:v>485.2535877241</x:v>
      </x:c>
      <x:c r="D233" s="12" t="n">
        <x:v>7442.626853738258</x:v>
      </x:c>
      <x:c r="E233" s="7" t="str">
        <x:v>Benthic crustaceans (100.000000%)</x:v>
      </x:c>
      <x:c r="F233" s="7" t="str">
        <x:v>High</x:v>
      </x:c>
      <x:c r="G233" s="7" t="str">
        <x:v>Fits the source taxonomic definition. See Sources and the regional Mapping review.</x:v>
      </x:c>
      <x:c r="H233" s="1"/>
      <x:c r="I233" s="1"/>
      <x:c r="J233" s="1"/>
      <x:c r="K233" s="1"/>
    </x:row>
    <x:row r="234" ht="42" customHeight="1">
      <x:c r="A234" s="7" t="str">
        <x:v>Echinoidea</x:v>
      </x:c>
      <x:c r="B234" s="11" t="n">
        <x:v>2.51</x:v>
      </x:c>
      <x:c r="C234" s="12" t="n">
        <x:v>1857.3483633202</x:v>
      </x:c>
      <x:c r="D234" s="12" t="n">
        <x:v>6678.068323100478</x:v>
      </x:c>
      <x:c r="E234" s="7" t="str">
        <x:v>Echinoderms (100.000000%)</x:v>
      </x:c>
      <x:c r="F234" s="7" t="str">
        <x:v>High</x:v>
      </x:c>
      <x:c r="G234" s="7" t="str">
        <x:v>Fits the source taxonomic definition. See Sources and the regional Mapping review.</x:v>
      </x:c>
      <x:c r="H234" s="1"/>
      <x:c r="I234" s="1"/>
      <x:c r="J234" s="1"/>
      <x:c r="K234" s="1"/>
    </x:row>
    <x:row r="235" ht="42" customHeight="1">
      <x:c r="A235" s="7" t="str">
        <x:v>Berycidae</x:v>
      </x:c>
      <x:c r="B235" s="11" t="n">
        <x:v>3.99</x:v>
      </x:c>
      <x:c r="C235" s="12" t="n">
        <x:v>57.9199066823</x:v>
      </x:c>
      <x:c r="D235" s="12" t="n">
        <x:v>6289.054293803419</x:v>
      </x:c>
      <x:c r="E235" s="7" t="str">
        <x:v>Benthopelagic fish (100.000000%)</x:v>
      </x:c>
      <x:c r="F235" s="7" t="str">
        <x:v>Low</x:v>
      </x:c>
      <x:c r="G235" s="7" t="str">
        <x:v>Ecological assignment; final benthopelagic pool is ambiguous. See Sources and the regional Mapping review.</x:v>
      </x:c>
      <x:c r="H235" s="1"/>
      <x:c r="I235" s="1"/>
      <x:c r="J235" s="1"/>
      <x:c r="K235" s="1"/>
    </x:row>
    <x:row r="236" ht="57" customHeight="1">
      <x:c r="A236" s="7" t="str">
        <x:v>Megalops cyprinoides</x:v>
      </x:c>
      <x:c r="B236" s="11" t="n">
        <x:v>3.48</x:v>
      </x:c>
      <x:c r="C236" s="12" t="n">
        <x:v>177.5356060989</x:v>
      </x:c>
      <x:c r="D236" s="12" t="n">
        <x:v>5957.210656344308</x:v>
      </x:c>
      <x:c r="E236" s="7" t="str">
        <x:v>Juvenile large pelagic fish (89.993906%); Pelagic fish (&gt; 30 cm) (10.006094%)</x:v>
      </x:c>
      <x:c r="F236" s="7" t="str">
        <x:v>Medium</x:v>
      </x:c>
      <x:c r="G236" s="7" t="str">
        <x:v>Habitat/size fit inferred; model-catch stage proxy, fixed across years. See Sources and the regional Mapping review.</x:v>
      </x:c>
      <x:c r="H236" s="1"/>
      <x:c r="I236" s="1"/>
      <x:c r="J236" s="1"/>
      <x:c r="K236" s="1"/>
    </x:row>
    <x:row r="237" ht="117" customHeight="1">
      <x:c r="A237" s="7" t="str">
        <x:v>Psettodidae</x:v>
      </x:c>
      <x:c r="B237" s="11" t="n">
        <x:v>3.83</x:v>
      </x:c>
      <x:c r="C237" s="12" t="n">
        <x:v>74.69142941770001</x:v>
      </x:c>
      <x:c r="D237" s="12" t="n">
        <x:v>5610.844870777648</x:v>
      </x:c>
      <x:c r="E237" s="7" t="str">
        <x:v>Demesral fish (≤ 30 cm) (33.704053%); Juvenile demersal fish (&gt; 30 cm) (59.660697%); Adult demersal fish (&gt; 30 cm) (6.635250%)</x:v>
      </x:c>
      <x:c r="F237" s="7" t="str">
        <x:v>Low</x:v>
      </x:c>
      <x:c r="G23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H237" s="1"/>
      <x:c r="I237" s="1"/>
      <x:c r="J237" s="1"/>
      <x:c r="K237" s="1"/>
    </x:row>
    <x:row r="238" ht="57" customHeight="1">
      <x:c r="A238" s="7" t="str">
        <x:v>Gymnocranius</x:v>
      </x:c>
      <x:c r="B238" s="11" t="n">
        <x:v>3.4</x:v>
      </x:c>
      <x:c r="C238" s="12" t="n">
        <x:v>200.9946121148</x:v>
      </x:c>
      <x:c r="D238" s="12" t="n">
        <x:v>5609.729321974413</x:v>
      </x:c>
      <x:c r="E238" s="7" t="str">
        <x:v>Juvenile demersal fish (&gt; 30 cm) (89.991470%); Adult demersal fish (&gt; 30 cm) (10.008530%)</x:v>
      </x:c>
      <x:c r="F238" s="7" t="str">
        <x:v>Low</x:v>
      </x:c>
      <x:c r="G238"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38" s="1"/>
      <x:c r="I238" s="1"/>
      <x:c r="J238" s="1"/>
      <x:c r="K238" s="1"/>
    </x:row>
    <x:row r="239" ht="57" customHeight="1">
      <x:c r="A239" s="7" t="str">
        <x:v>Caranx sexfasciatus</x:v>
      </x:c>
      <x:c r="B239" s="11" t="n">
        <x:v>4.5</x:v>
      </x:c>
      <x:c r="C239" s="12" t="n">
        <x:v>13.606269148</x:v>
      </x:c>
      <x:c r="D239" s="12" t="n">
        <x:v>4780.755662773183</x:v>
      </x:c>
      <x:c r="E239" s="7" t="str">
        <x:v>Juvenile large pelagic fish (89.993906%); Pelagic fish (&gt; 30 cm) (10.006094%)</x:v>
      </x:c>
      <x:c r="F239" s="7" t="str">
        <x:v>Medium</x:v>
      </x:c>
      <x:c r="G239" s="7" t="str">
        <x:v>Habitat/size fit inferred; model-catch stage proxy, fixed across years. See Sources and the regional Mapping review.</x:v>
      </x:c>
      <x:c r="H239" s="1"/>
      <x:c r="I239" s="1"/>
      <x:c r="J239" s="1"/>
      <x:c r="K239" s="1"/>
    </x:row>
    <x:row r="240" ht="42" customHeight="1">
      <x:c r="A240" s="7" t="str">
        <x:v>Sepioteuthis lessoniana</x:v>
      </x:c>
      <x:c r="B240" s="11" t="n">
        <x:v>3.98</x:v>
      </x:c>
      <x:c r="C240" s="12" t="n">
        <x:v>44.2482810127</x:v>
      </x:c>
      <x:c r="D240" s="12" t="n">
        <x:v>4695.197812369063</x:v>
      </x:c>
      <x:c r="E240" s="7" t="str">
        <x:v>Cephalopods (100.000000%)</x:v>
      </x:c>
      <x:c r="F240" s="7" t="str">
        <x:v>High</x:v>
      </x:c>
      <x:c r="G240" s="7" t="str">
        <x:v>Fits the source taxonomic definition. See Sources and the regional Mapping review.</x:v>
      </x:c>
      <x:c r="H240" s="1"/>
      <x:c r="I240" s="1"/>
      <x:c r="J240" s="1"/>
      <x:c r="K240" s="1"/>
    </x:row>
    <x:row r="241" ht="42" customHeight="1">
      <x:c r="A241" s="7" t="str">
        <x:v>Gerres</x:v>
      </x:c>
      <x:c r="B241" s="11" t="n">
        <x:v>3.27</x:v>
      </x:c>
      <x:c r="C241" s="12" t="n">
        <x:v>216.9204581174</x:v>
      </x:c>
      <x:c r="D241" s="12" t="n">
        <x:v>4488.053274882519</x:v>
      </x:c>
      <x:c r="E241" s="7" t="str">
        <x:v>Benthopelagic fish (100.000000%)</x:v>
      </x:c>
      <x:c r="F241" s="7" t="str">
        <x:v>Low</x:v>
      </x:c>
      <x:c r="G241" s="7" t="str">
        <x:v>Ecological assignment; final benthopelagic pool is ambiguous. See Sources and the regional Mapping review.</x:v>
      </x:c>
      <x:c r="H241" s="1"/>
      <x:c r="I241" s="1"/>
      <x:c r="J241" s="1"/>
      <x:c r="K241" s="1"/>
    </x:row>
    <x:row r="242" ht="57" customHeight="1">
      <x:c r="A242" s="7" t="str">
        <x:v>Lethrinus miniatus</x:v>
      </x:c>
      <x:c r="B242" s="11" t="n">
        <x:v>4.19</x:v>
      </x:c>
      <x:c r="C242" s="12" t="n">
        <x:v>25.405769537</x:v>
      </x:c>
      <x:c r="D242" s="12" t="n">
        <x:v>4372.097563907344</x:v>
      </x:c>
      <x:c r="E242" s="7" t="str">
        <x:v>Juvenile demersal fish (&gt; 30 cm) (89.991470%); Adult demersal fish (&gt; 30 cm) (10.008530%)</x:v>
      </x:c>
      <x:c r="F242" s="7" t="str">
        <x:v>Low</x:v>
      </x:c>
      <x:c r="G24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42" s="1"/>
      <x:c r="I242" s="1"/>
      <x:c r="J242" s="1"/>
      <x:c r="K242" s="1"/>
    </x:row>
    <x:row r="243" ht="42" customHeight="1">
      <x:c r="A243" s="7" t="str">
        <x:v>Dussumieria elopsoides</x:v>
      </x:c>
      <x:c r="B243" s="11" t="n">
        <x:v>3.4</x:v>
      </x:c>
      <x:c r="C243" s="12" t="n">
        <x:v>154.452083374</x:v>
      </x:c>
      <x:c r="D243" s="12" t="n">
        <x:v>4310.734361617078</x:v>
      </x:c>
      <x:c r="E243" s="7" t="str">
        <x:v>Pelagic fish (≤ 30 cm) (100.000000%)</x:v>
      </x:c>
      <x:c r="F243" s="7" t="str">
        <x:v>Medium</x:v>
      </x:c>
      <x:c r="G243" s="7" t="str">
        <x:v>Habitat/size assignment inferred from SAU class. See Sources and the regional Mapping review.</x:v>
      </x:c>
      <x:c r="H243" s="1"/>
      <x:c r="I243" s="1"/>
      <x:c r="J243" s="1"/>
      <x:c r="K243" s="1"/>
    </x:row>
    <x:row r="244" ht="42" customHeight="1">
      <x:c r="A244" s="7" t="str">
        <x:v>Ariomma indica</x:v>
      </x:c>
      <x:c r="B244" s="11" t="n">
        <x:v>3.63</x:v>
      </x:c>
      <x:c r="C244" s="12" t="n">
        <x:v>84.7206777473</x:v>
      </x:c>
      <x:c r="D244" s="12" t="n">
        <x:v>4015.567327332002</x:v>
      </x:c>
      <x:c r="E244" s="7" t="str">
        <x:v>Benthopelagic fish (100.000000%)</x:v>
      </x:c>
      <x:c r="F244" s="7" t="str">
        <x:v>Low</x:v>
      </x:c>
      <x:c r="G244" s="7" t="str">
        <x:v>Ecological assignment; final benthopelagic pool is ambiguous. See Sources and the regional Mapping review.</x:v>
      </x:c>
      <x:c r="H244" s="1"/>
      <x:c r="I244" s="1"/>
      <x:c r="J244" s="1"/>
      <x:c r="K244" s="1"/>
    </x:row>
    <x:row r="245" ht="57" customHeight="1">
      <x:c r="A245" s="7" t="str">
        <x:v>Acanthopagrus schlegelii</x:v>
      </x:c>
      <x:c r="B245" s="11" t="n">
        <x:v>3.24</x:v>
      </x:c>
      <x:c r="C245" s="12" t="n">
        <x:v>181.50238144</x:v>
      </x:c>
      <x:c r="D245" s="12" t="n">
        <x:v>3504.6109876268592</x:v>
      </x:c>
      <x:c r="E245" s="7" t="str">
        <x:v>Juvenile demersal fish (&gt; 30 cm) (89.991470%); Adult demersal fish (&gt; 30 cm) (10.008530%)</x:v>
      </x:c>
      <x:c r="F245" s="7" t="str">
        <x:v>Low</x:v>
      </x:c>
      <x:c r="G24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45" s="1"/>
      <x:c r="I245" s="1"/>
      <x:c r="J245" s="1"/>
      <x:c r="K245" s="1"/>
    </x:row>
    <x:row r="246" ht="42" customHeight="1">
      <x:c r="A246" s="7" t="str">
        <x:v>Prionace glauca</x:v>
      </x:c>
      <x:c r="B246" s="11" t="n">
        <x:v>4.35</x:v>
      </x:c>
      <x:c r="C246" s="12" t="n">
        <x:v>13.0939444881</x:v>
      </x:c>
      <x:c r="D246" s="12" t="n">
        <x:v>3257.07670141665</x:v>
      </x:c>
      <x:c r="E246" s="7" t="str">
        <x:v>Pelagic sharks and rays (100.000000%)</x:v>
      </x:c>
      <x:c r="F246" s="7" t="str">
        <x:v>Medium</x:v>
      </x:c>
      <x:c r="G246" s="7" t="str">
        <x:v>Habitat/size assignment inferred from SAU class. See Sources and the regional Mapping review.</x:v>
      </x:c>
      <x:c r="H246" s="1"/>
      <x:c r="I246" s="1"/>
      <x:c r="J246" s="1"/>
      <x:c r="K246" s="1"/>
    </x:row>
    <x:row r="247" ht="42" customHeight="1">
      <x:c r="A247" s="7" t="str">
        <x:v>Panulirus longipes</x:v>
      </x:c>
      <x:c r="B247" s="11" t="n">
        <x:v>2.6</x:v>
      </x:c>
      <x:c r="C247" s="12" t="n">
        <x:v>719.7378422567</x:v>
      </x:c>
      <x:c r="D247" s="12" t="n">
        <x:v>3183.697732456602</x:v>
      </x:c>
      <x:c r="E247" s="7" t="str">
        <x:v>Benthic crustaceans (100.000000%)</x:v>
      </x:c>
      <x:c r="F247" s="7" t="str">
        <x:v>High</x:v>
      </x:c>
      <x:c r="G247" s="7" t="str">
        <x:v>Fits the source taxonomic definition. See Sources and the regional Mapping review.</x:v>
      </x:c>
      <x:c r="H247" s="1"/>
      <x:c r="I247" s="1"/>
      <x:c r="J247" s="1"/>
      <x:c r="K247" s="1"/>
    </x:row>
    <x:row r="248" ht="57" customHeight="1">
      <x:c r="A248" s="7" t="str">
        <x:v>Gnathanodon speciosus</x:v>
      </x:c>
      <x:c r="B248" s="11" t="n">
        <x:v>3.84</x:v>
      </x:c>
      <x:c r="C248" s="12" t="n">
        <x:v>41.3810155573</x:v>
      </x:c>
      <x:c r="D248" s="12" t="n">
        <x:v>3180.963130068719</x:v>
      </x:c>
      <x:c r="E248" s="7" t="str">
        <x:v>Juvenile large pelagic fish (89.993906%); Pelagic fish (&gt; 30 cm) (10.006094%)</x:v>
      </x:c>
      <x:c r="F248" s="7" t="str">
        <x:v>Medium</x:v>
      </x:c>
      <x:c r="G248" s="7" t="str">
        <x:v>Habitat/size fit inferred; model-catch stage proxy, fixed across years. See Sources and the regional Mapping review.</x:v>
      </x:c>
      <x:c r="H248" s="1"/>
      <x:c r="I248" s="1"/>
      <x:c r="J248" s="1"/>
      <x:c r="K248" s="1"/>
    </x:row>
    <x:row r="249" ht="57" customHeight="1">
      <x:c r="A249" s="7" t="str">
        <x:v>Elops machnata</x:v>
      </x:c>
      <x:c r="B249" s="11" t="n">
        <x:v>3.97</x:v>
      </x:c>
      <x:c r="C249" s="12" t="n">
        <x:v>30.391788875</x:v>
      </x:c>
      <x:c r="D249" s="12" t="n">
        <x:v>3151.4741862786564</x:v>
      </x:c>
      <x:c r="E249" s="7" t="str">
        <x:v>Juvenile large pelagic fish (89.993906%); Pelagic fish (&gt; 30 cm) (10.006094%)</x:v>
      </x:c>
      <x:c r="F249" s="7" t="str">
        <x:v>Medium</x:v>
      </x:c>
      <x:c r="G249" s="7" t="str">
        <x:v>Habitat/size fit inferred; model-catch stage proxy, fixed across years. See Sources and the regional Mapping review.</x:v>
      </x:c>
      <x:c r="H249" s="1"/>
      <x:c r="I249" s="1"/>
      <x:c r="J249" s="1"/>
      <x:c r="K249" s="1"/>
    </x:row>
    <x:row r="250" ht="57" customHeight="1">
      <x:c r="A250" s="7" t="str">
        <x:v>Hemiramphidae</x:v>
      </x:c>
      <x:c r="B250" s="11" t="n">
        <x:v>2.82</x:v>
      </x:c>
      <x:c r="C250" s="12" t="n">
        <x:v>418.7189652536</x:v>
      </x:c>
      <x:c r="D250" s="12" t="n">
        <x:v>3073.8319655508185</x:v>
      </x:c>
      <x:c r="E250" s="7" t="str">
        <x:v>Juvenile large pelagic fish (89.993906%); Pelagic fish (&gt; 30 cm) (10.006094%)</x:v>
      </x:c>
      <x:c r="F250" s="7" t="str">
        <x:v>Low</x:v>
      </x:c>
      <x:c r="G250" s="7" t="str">
        <x:v>Broad lineage; size/habitat containment uncertain; historical stage proxy. See Sources and the regional Mapping review.</x:v>
      </x:c>
      <x:c r="H250" s="1"/>
      <x:c r="I250" s="1"/>
      <x:c r="J250" s="1"/>
      <x:c r="K250" s="1"/>
    </x:row>
    <x:row r="251" ht="42" customHeight="1">
      <x:c r="A251" s="7" t="str">
        <x:v>Dasyatidae</x:v>
      </x:c>
      <x:c r="B251" s="11" t="n">
        <x:v>3.38</x:v>
      </x:c>
      <x:c r="C251" s="12" t="n">
        <x:v>115.106937631</x:v>
      </x:c>
      <x:c r="D251" s="12" t="n">
        <x:v>3068.025679964068</x:v>
      </x:c>
      <x:c r="E251" s="7" t="str">
        <x:v>Demersal sharks and rays (100.000000%)</x:v>
      </x:c>
      <x:c r="F251" s="7" t="str">
        <x:v>Medium</x:v>
      </x:c>
      <x:c r="G251" s="7" t="str">
        <x:v>Habitat/size assignment inferred from SAU class. See Sources and the regional Mapping review.</x:v>
      </x:c>
      <x:c r="H251" s="1"/>
      <x:c r="I251" s="1"/>
      <x:c r="J251" s="1"/>
      <x:c r="K251" s="1"/>
    </x:row>
    <x:row r="252" ht="42" customHeight="1">
      <x:c r="A252" s="7" t="str">
        <x:v>Penaeus monodon</x:v>
      </x:c>
      <x:c r="B252" s="11" t="n">
        <x:v>2.6</x:v>
      </x:c>
      <x:c r="C252" s="12" t="n">
        <x:v>682.6803651934</x:v>
      </x:c>
      <x:c r="D252" s="12" t="n">
        <x:v>3019.777206439697</x:v>
      </x:c>
      <x:c r="E252" s="7" t="str">
        <x:v>Shrimps (100.000000%)</x:v>
      </x:c>
      <x:c r="F252" s="7" t="str">
        <x:v>High</x:v>
      </x:c>
      <x:c r="G252" s="7" t="str">
        <x:v>Fits the source taxonomic definition. See Sources and the regional Mapping review.</x:v>
      </x:c>
      <x:c r="H252" s="1"/>
      <x:c r="I252" s="1"/>
      <x:c r="J252" s="1"/>
      <x:c r="K252" s="1"/>
    </x:row>
    <x:row r="253" ht="42" customHeight="1">
      <x:c r="A253" s="7" t="str">
        <x:v>Mytilidae</x:v>
      </x:c>
      <x:c r="B253" s="11" t="n">
        <x:v>2</x:v>
      </x:c>
      <x:c r="C253" s="12" t="n">
        <x:v>2617.3351217324</x:v>
      </x:c>
      <x:c r="D253" s="12" t="n">
        <x:v>2908.150135258222</x:v>
      </x:c>
      <x:c r="E253" s="7" t="str">
        <x:v>Non-ceph molluscs (100.000000%)</x:v>
      </x:c>
      <x:c r="F253" s="7" t="str">
        <x:v>High</x:v>
      </x:c>
      <x:c r="G253" s="7" t="str">
        <x:v>Fits the source taxonomic definition. See Sources and the regional Mapping review.</x:v>
      </x:c>
      <x:c r="H253" s="1"/>
      <x:c r="I253" s="1"/>
      <x:c r="J253" s="1"/>
      <x:c r="K253" s="1"/>
    </x:row>
    <x:row r="254" ht="42" customHeight="1">
      <x:c r="A254" s="7" t="str">
        <x:v>Octopus</x:v>
      </x:c>
      <x:c r="B254" s="11" t="n">
        <x:v>3.8</x:v>
      </x:c>
      <x:c r="C254" s="12" t="n">
        <x:v>36.8469693115</x:v>
      </x:c>
      <x:c r="D254" s="12" t="n">
        <x:v>2583.207323214134</x:v>
      </x:c>
      <x:c r="E254" s="7" t="str">
        <x:v>Cephalopods (100.000000%)</x:v>
      </x:c>
      <x:c r="F254" s="7" t="str">
        <x:v>High</x:v>
      </x:c>
      <x:c r="G254" s="7" t="str">
        <x:v>Fits the source taxonomic definition. See Sources and the regional Mapping review.</x:v>
      </x:c>
      <x:c r="H254" s="1"/>
      <x:c r="I254" s="1"/>
      <x:c r="J254" s="1"/>
      <x:c r="K254" s="1"/>
    </x:row>
    <x:row r="255" ht="57" customHeight="1">
      <x:c r="A255" s="7" t="str">
        <x:v>Platycaranx malabaricus</x:v>
      </x:c>
      <x:c r="B255" s="11" t="n">
        <x:v>3.88</x:v>
      </x:c>
      <x:c r="C255" s="12" t="n">
        <x:v>30.6355451946</x:v>
      </x:c>
      <x:c r="D255" s="12" t="n">
        <x:v>2582.159731490736</x:v>
      </x:c>
      <x:c r="E255" s="7" t="str">
        <x:v>Juvenile large pelagic fish (89.993906%); Pelagic fish (&gt; 30 cm) (10.006094%)</x:v>
      </x:c>
      <x:c r="F255" s="7" t="str">
        <x:v>Medium</x:v>
      </x:c>
      <x:c r="G255" s="7" t="str">
        <x:v>Habitat/size fit inferred; model-catch stage proxy, fixed across years. See Sources and the regional Mapping review.</x:v>
      </x:c>
      <x:c r="H255" s="1"/>
      <x:c r="I255" s="1"/>
      <x:c r="J255" s="1"/>
      <x:c r="K255" s="1"/>
    </x:row>
    <x:row r="256" ht="42" customHeight="1">
      <x:c r="A256" s="7" t="str">
        <x:v>Spratelloides gracilis</x:v>
      </x:c>
      <x:c r="B256" s="11" t="n">
        <x:v>3.06</x:v>
      </x:c>
      <x:c r="C256" s="12" t="n">
        <x:v>128.1837869076</x:v>
      </x:c>
      <x:c r="D256" s="12" t="n">
        <x:v>1635.2742128349519</x:v>
      </x:c>
      <x:c r="E256" s="7" t="str">
        <x:v>Pelagic fish (≤ 30 cm) (100.000000%)</x:v>
      </x:c>
      <x:c r="F256" s="7" t="str">
        <x:v>Medium</x:v>
      </x:c>
      <x:c r="G256" s="7" t="str">
        <x:v>Habitat/size assignment inferred from SAU class. See Sources and the regional Mapping review.</x:v>
      </x:c>
      <x:c r="H256" s="1"/>
      <x:c r="I256" s="1"/>
      <x:c r="J256" s="1"/>
      <x:c r="K256" s="1"/>
    </x:row>
    <x:row r="257" ht="282" customHeight="1">
      <x:c r="A257" s="7" t="str">
        <x:v>Marine groundfishes not identified</x:v>
      </x:c>
      <x:c r="B257" s="11" t="n">
        <x:v>3.22</x:v>
      </x:c>
      <x:c r="C257" s="12" t="n">
        <x:v>87.70005119390001</x:v>
      </x:c>
      <x:c r="D257" s="12" t="n">
        <x:v>1617.1761860333365</x:v>
      </x:c>
      <x:c r="E257" s="7" t="str">
        <x:v>Threadfin bream (nemipterids) (26.614275%); Bigeyes (priacanthids) (8.344811%); Lizard fish (synodontids) (0.947906%); Juvenile Hairtail (trichiurids) (1.134246%); Adult hairtail (trichiurids) (0.291663%); Pomfret (stromateids) (9.681601%); Snappers (0.044560%); Adult groupers (0.360528%); Croakers (≤ 30 cm) (1.421859%); Juvenile large croakers (2.876124%); Croakers (&gt; 30 cm) (0.324070%); Demesral fish (≤ 30 cm) (7.242972%); Juvenile demersal fish (&gt; 30 cm) (12.821032%); Adult demersal fish (&gt; 30 cm) (1.425909%); Benthopelagic fish (24.406546%); Melon seed (2.021389%); Demersal sharks and rays (0.040509%)</x:v>
      </x:c>
      <x:c r="F257" s="7" t="str">
        <x:v>Very low</x:v>
      </x:c>
      <x:c r="G257"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H257" s="1"/>
      <x:c r="I257" s="1"/>
      <x:c r="J257" s="1"/>
      <x:c r="K257" s="1"/>
    </x:row>
    <x:row r="258" ht="42" customHeight="1">
      <x:c r="A258" s="7" t="str">
        <x:v>Acanthuridae</x:v>
      </x:c>
      <x:c r="B258" s="11" t="n">
        <x:v>2.28</x:v>
      </x:c>
      <x:c r="C258" s="12" t="n">
        <x:v>755.8920112397</x:v>
      </x:c>
      <x:c r="D258" s="12" t="n">
        <x:v>1600.358371599423</x:v>
      </x:c>
      <x:c r="E258" s="7" t="str">
        <x:v>Demesral fish (≤ 30 cm) (100.000000%)</x:v>
      </x:c>
      <x:c r="F258" s="7" t="str">
        <x:v>Medium</x:v>
      </x:c>
      <x:c r="G258" s="7" t="str">
        <x:v>Habitat/size assignment inferred from SAU class. See Sources and the regional Mapping review.</x:v>
      </x:c>
      <x:c r="H258" s="1"/>
      <x:c r="I258" s="1"/>
      <x:c r="J258" s="1"/>
      <x:c r="K258" s="1"/>
    </x:row>
    <x:row r="259" ht="57" customHeight="1">
      <x:c r="A259" s="7" t="str">
        <x:v>Scatophagus</x:v>
      </x:c>
      <x:c r="B259" s="11" t="n">
        <x:v>2.75</x:v>
      </x:c>
      <x:c r="C259" s="12" t="n">
        <x:v>253.6834256976</x:v>
      </x:c>
      <x:c r="D259" s="12" t="n">
        <x:v>1585.0741531735093</x:v>
      </x:c>
      <x:c r="E259" s="7" t="str">
        <x:v>Juvenile demersal fish (&gt; 30 cm) (89.991470%); Adult demersal fish (&gt; 30 cm) (10.008530%)</x:v>
      </x:c>
      <x:c r="F259" s="7" t="str">
        <x:v>Low</x:v>
      </x:c>
      <x:c r="G25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59" s="1"/>
      <x:c r="I259" s="1"/>
      <x:c r="J259" s="1"/>
      <x:c r="K259" s="1"/>
    </x:row>
    <x:row r="260" ht="42" customHeight="1">
      <x:c r="A260" s="7" t="str">
        <x:v>Solenocera crassicornis</x:v>
      </x:c>
      <x:c r="B260" s="11" t="n">
        <x:v>2.2</x:v>
      </x:c>
      <x:c r="C260" s="12" t="n">
        <x:v>866.9498430803</x:v>
      </x:c>
      <x:c r="D260" s="12" t="n">
        <x:v>1526.6921161146647</x:v>
      </x:c>
      <x:c r="E260" s="7" t="str">
        <x:v>Shrimps (100.000000%)</x:v>
      </x:c>
      <x:c r="F260" s="7" t="str">
        <x:v>High</x:v>
      </x:c>
      <x:c r="G260" s="7" t="str">
        <x:v>Fits the source taxonomic definition. See Sources and the regional Mapping review.</x:v>
      </x:c>
      <x:c r="H260" s="1"/>
      <x:c r="I260" s="1"/>
      <x:c r="J260" s="1"/>
      <x:c r="K260" s="1"/>
    </x:row>
    <x:row r="261" ht="42" customHeight="1">
      <x:c r="A261" s="7" t="str">
        <x:v>Ambassidae</x:v>
      </x:c>
      <x:c r="B261" s="11" t="n">
        <x:v>3.3</x:v>
      </x:c>
      <x:c r="C261" s="12" t="n">
        <x:v>66.9081986927</x:v>
      </x:c>
      <x:c r="D261" s="12" t="n">
        <x:v>1483.3267490443814</x:v>
      </x:c>
      <x:c r="E261" s="7" t="str">
        <x:v>Demesral fish (≤ 30 cm) (100.000000%)</x:v>
      </x:c>
      <x:c r="F261" s="7" t="str">
        <x:v>Medium</x:v>
      </x:c>
      <x:c r="G261" s="7" t="str">
        <x:v>Habitat/size assignment inferred from SAU class. See Sources and the regional Mapping review.</x:v>
      </x:c>
      <x:c r="H261" s="1"/>
      <x:c r="I261" s="1"/>
      <x:c r="J261" s="1"/>
      <x:c r="K261" s="1"/>
    </x:row>
    <x:row r="262" ht="42" customHeight="1">
      <x:c r="A262" s="7" t="str">
        <x:v>Stephanolepis cirrhifer</x:v>
      </x:c>
      <x:c r="B262" s="11" t="n">
        <x:v>2.84</x:v>
      </x:c>
      <x:c r="C262" s="12" t="n">
        <x:v>191.6428916267</x:v>
      </x:c>
      <x:c r="D262" s="12" t="n">
        <x:v>1473.1609753756927</x:v>
      </x:c>
      <x:c r="E262" s="7" t="str">
        <x:v>Demesral fish (≤ 30 cm) (100.000000%)</x:v>
      </x:c>
      <x:c r="F262" s="7" t="str">
        <x:v>Medium</x:v>
      </x:c>
      <x:c r="G262" s="7" t="str">
        <x:v>Habitat/size assignment inferred from SAU class. See Sources and the regional Mapping review.</x:v>
      </x:c>
      <x:c r="H262" s="1"/>
      <x:c r="I262" s="1"/>
      <x:c r="J262" s="1"/>
      <x:c r="K262" s="1"/>
    </x:row>
    <x:row r="263" ht="42" customHeight="1">
      <x:c r="A263" s="7" t="str">
        <x:v>Amblygaster sirm</x:v>
      </x:c>
      <x:c r="B263" s="11" t="n">
        <x:v>3.2</x:v>
      </x:c>
      <x:c r="C263" s="12" t="n">
        <x:v>81.2127113972</x:v>
      </x:c>
      <x:c r="D263" s="12" t="n">
        <x:v>1430.1497048303488</x:v>
      </x:c>
      <x:c r="E263" s="7" t="str">
        <x:v>Pelagic fish (≤ 30 cm) (100.000000%)</x:v>
      </x:c>
      <x:c r="F263" s="7" t="str">
        <x:v>Medium</x:v>
      </x:c>
      <x:c r="G263" s="7" t="str">
        <x:v>Habitat/size assignment inferred from SAU class. See Sources and the regional Mapping review.</x:v>
      </x:c>
      <x:c r="H263" s="1"/>
      <x:c r="I263" s="1"/>
      <x:c r="J263" s="1"/>
      <x:c r="K263" s="1"/>
    </x:row>
    <x:row r="264" ht="57" customHeight="1">
      <x:c r="A264" s="7" t="str">
        <x:v>Ephippidae</x:v>
      </x:c>
      <x:c r="B264" s="11" t="n">
        <x:v>3.57</x:v>
      </x:c>
      <x:c r="C264" s="12" t="n">
        <x:v>33.5542948905</x:v>
      </x:c>
      <x:c r="D264" s="12" t="n">
        <x:v>1385.1780710373334</x:v>
      </x:c>
      <x:c r="E264" s="7" t="str">
        <x:v>Juvenile demersal fish (&gt; 30 cm) (89.991470%); Adult demersal fish (&gt; 30 cm) (10.008530%)</x:v>
      </x:c>
      <x:c r="F264" s="7" t="str">
        <x:v>Low</x:v>
      </x:c>
      <x:c r="G264"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64" s="1"/>
      <x:c r="I264" s="1"/>
      <x:c r="J264" s="1"/>
      <x:c r="K264" s="1"/>
    </x:row>
    <x:row r="265" ht="42" customHeight="1">
      <x:c r="A265" s="7" t="str">
        <x:v>Hilsa kelee</x:v>
      </x:c>
      <x:c r="B265" s="11" t="n">
        <x:v>3.25</x:v>
      </x:c>
      <x:c r="C265" s="12" t="n">
        <x:v>69.2095534315</x:v>
      </x:c>
      <x:c r="D265" s="12" t="n">
        <x:v>1367.4880427247238</x:v>
      </x:c>
      <x:c r="E265" s="7" t="str">
        <x:v>Pelagic fish (≤ 30 cm) (100.000000%)</x:v>
      </x:c>
      <x:c r="F265" s="7" t="str">
        <x:v>Medium</x:v>
      </x:c>
      <x:c r="G265" s="7" t="str">
        <x:v>Habitat/size assignment inferred from SAU class. See Sources and the regional Mapping review.</x:v>
      </x:c>
      <x:c r="H265" s="1"/>
      <x:c r="I265" s="1"/>
      <x:c r="J265" s="1"/>
      <x:c r="K265" s="1"/>
    </x:row>
    <x:row r="266" ht="102" customHeight="1">
      <x:c r="A266" s="7" t="str">
        <x:v>Makaira</x:v>
      </x:c>
      <x:c r="B266" s="11" t="n">
        <x:v>4.47</x:v>
      </x:c>
      <x:c r="C266" s="12" t="n">
        <x:v>4.0722338833</x:v>
      </x:c>
      <x:c r="D266" s="12" t="n">
        <x:v>1335.3349121709375</x:v>
      </x:c>
      <x:c r="E266" s="7" t="str">
        <x:v>Juvenile large pelagic fish (89.993906%); Pelagic fish (&gt; 30 cm) (10.006094%)</x:v>
      </x:c>
      <x:c r="F266" s="7" t="str">
        <x:v>Very low</x:v>
      </x:c>
      <x:c r="G266"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266" s="1"/>
      <x:c r="I266" s="1"/>
      <x:c r="J266" s="1"/>
      <x:c r="K266" s="1"/>
    </x:row>
    <x:row r="267" ht="42" customHeight="1">
      <x:c r="A267" s="7" t="str">
        <x:v>Acanthurus</x:v>
      </x:c>
      <x:c r="B267" s="11" t="n">
        <x:v>2.03</x:v>
      </x:c>
      <x:c r="C267" s="12" t="n">
        <x:v>1090.3289570771</x:v>
      </x:c>
      <x:c r="D267" s="12" t="n">
        <x:v>1298.1205850752199</x:v>
      </x:c>
      <x:c r="E267" s="7" t="str">
        <x:v>Demesral fish (≤ 30 cm) (100.000000%)</x:v>
      </x:c>
      <x:c r="F267" s="7" t="str">
        <x:v>Medium</x:v>
      </x:c>
      <x:c r="G267" s="7" t="str">
        <x:v>Habitat/size assignment inferred from SAU class. See Sources and the regional Mapping review.</x:v>
      </x:c>
      <x:c r="H267" s="1"/>
      <x:c r="I267" s="1"/>
      <x:c r="J267" s="1"/>
      <x:c r="K267" s="1"/>
    </x:row>
    <x:row r="268" ht="42" customHeight="1">
      <x:c r="A268" s="7" t="str">
        <x:v>Cypselurus</x:v>
      </x:c>
      <x:c r="B268" s="11" t="n">
        <x:v>3.4</x:v>
      </x:c>
      <x:c r="C268" s="12" t="n">
        <x:v>43.7729235698</x:v>
      </x:c>
      <x:c r="D268" s="12" t="n">
        <x:v>1221.6956975831833</x:v>
      </x:c>
      <x:c r="E268" s="7" t="str">
        <x:v>Pelagic fish (≤ 30 cm) (100.000000%)</x:v>
      </x:c>
      <x:c r="F268" s="7" t="str">
        <x:v>Medium</x:v>
      </x:c>
      <x:c r="G268" s="7" t="str">
        <x:v>Habitat/size assignment inferred from SAU class. See Sources and the regional Mapping review.</x:v>
      </x:c>
      <x:c r="H268" s="1"/>
      <x:c r="I268" s="1"/>
      <x:c r="J268" s="1"/>
      <x:c r="K268" s="1"/>
    </x:row>
    <x:row r="269" ht="42" customHeight="1">
      <x:c r="A269" s="7" t="str">
        <x:v>Cephea</x:v>
      </x:c>
      <x:c r="B269" s="11" t="n">
        <x:v>3.46</x:v>
      </x:c>
      <x:c r="C269" s="12" t="n">
        <x:v>37.3734653671</x:v>
      </x:c>
      <x:c r="D269" s="12" t="n">
        <x:v>1197.6250166636398</x:v>
      </x:c>
      <x:c r="E269" s="7" t="str">
        <x:v>Jellyfish (100.000000%)</x:v>
      </x:c>
      <x:c r="F269" s="7" t="str">
        <x:v>High</x:v>
      </x:c>
      <x:c r="G269" s="7" t="str">
        <x:v>Fits the source taxonomic definition. See Sources and the regional Mapping review.</x:v>
      </x:c>
      <x:c r="H269" s="1"/>
      <x:c r="I269" s="1"/>
      <x:c r="J269" s="1"/>
      <x:c r="K269" s="1"/>
    </x:row>
    <x:row r="270" ht="42" customHeight="1">
      <x:c r="A270" s="7" t="str">
        <x:v>Siganus canaliculatus</x:v>
      </x:c>
      <x:c r="B270" s="11" t="n">
        <x:v>2.76</x:v>
      </x:c>
      <x:c r="C270" s="12" t="n">
        <x:v>184.6434858169</x:v>
      </x:c>
      <x:c r="D270" s="12" t="n">
        <x:v>1180.5692878687905</x:v>
      </x:c>
      <x:c r="E270" s="7" t="str">
        <x:v>Demesral fish (≤ 30 cm) (100.000000%)</x:v>
      </x:c>
      <x:c r="F270" s="7" t="str">
        <x:v>Low</x:v>
      </x:c>
      <x:c r="G270" s="7" t="str">
        <x:v>Reported 40 cm maximum TL conflicts with the ≤30 cm assignment. See Sources and the regional Mapping review.</x:v>
      </x:c>
      <x:c r="H270" s="1"/>
      <x:c r="I270" s="1"/>
      <x:c r="J270" s="1"/>
      <x:c r="K270" s="1"/>
    </x:row>
    <x:row r="271" ht="57" customHeight="1">
      <x:c r="A271" s="7" t="str">
        <x:v>Hyporhamphus sajori</x:v>
      </x:c>
      <x:c r="B271" s="11" t="n">
        <x:v>3.4</x:v>
      </x:c>
      <x:c r="C271" s="12" t="n">
        <x:v>39.9936485108</x:v>
      </x:c>
      <x:c r="D271" s="12" t="n">
        <x:v>1116.2167004537982</x:v>
      </x:c>
      <x:c r="E271" s="7" t="str">
        <x:v>Juvenile large pelagic fish (89.993906%); Pelagic fish (&gt; 30 cm) (10.006094%)</x:v>
      </x:c>
      <x:c r="F271" s="7" t="str">
        <x:v>Medium</x:v>
      </x:c>
      <x:c r="G271" s="7" t="str">
        <x:v>Habitat/size fit inferred; model-catch stage proxy, fixed across years. See Sources and the regional Mapping review.</x:v>
      </x:c>
      <x:c r="H271" s="1"/>
      <x:c r="I271" s="1"/>
      <x:c r="J271" s="1"/>
      <x:c r="K271" s="1"/>
    </x:row>
    <x:row r="272" ht="42" customHeight="1">
      <x:c r="A272" s="7" t="str">
        <x:v>Sardinella zunasi</x:v>
      </x:c>
      <x:c r="B272" s="11" t="n">
        <x:v>3.12</x:v>
      </x:c>
      <x:c r="C272" s="12" t="n">
        <x:v>73.2393589178</x:v>
      </x:c>
      <x:c r="D272" s="12" t="n">
        <x:v>1072.7586491215682</x:v>
      </x:c>
      <x:c r="E272" s="7" t="str">
        <x:v>Pelagic fish (≤ 30 cm) (100.000000%)</x:v>
      </x:c>
      <x:c r="F272" s="7" t="str">
        <x:v>Medium</x:v>
      </x:c>
      <x:c r="G272" s="7" t="str">
        <x:v>Habitat/size assignment inferred from SAU class. See Sources and the regional Mapping review.</x:v>
      </x:c>
      <x:c r="H272" s="1"/>
      <x:c r="I272" s="1"/>
      <x:c r="J272" s="1"/>
      <x:c r="K272" s="1"/>
    </x:row>
    <x:row r="273" ht="42" customHeight="1">
      <x:c r="A273" s="7" t="str">
        <x:v>Pellona ditchela</x:v>
      </x:c>
      <x:c r="B273" s="11" t="n">
        <x:v>3.37</x:v>
      </x:c>
      <x:c r="C273" s="12" t="n">
        <x:v>38.6001858674</x:v>
      </x:c>
      <x:c r="D273" s="12" t="n">
        <x:v>1005.4185331895993</x:v>
      </x:c>
      <x:c r="E273" s="7" t="str">
        <x:v>Pelagic fish (≤ 30 cm) (100.000000%)</x:v>
      </x:c>
      <x:c r="F273" s="7" t="str">
        <x:v>Medium</x:v>
      </x:c>
      <x:c r="G273" s="7" t="str">
        <x:v>Habitat/size assignment inferred from SAU class. See Sources and the regional Mapping review.</x:v>
      </x:c>
      <x:c r="H273" s="1"/>
      <x:c r="I273" s="1"/>
      <x:c r="J273" s="1"/>
      <x:c r="K273" s="1"/>
    </x:row>
    <x:row r="274" ht="42" customHeight="1">
      <x:c r="A274" s="7" t="str">
        <x:v>Apostichopus japonicus</x:v>
      </x:c>
      <x:c r="B274" s="11" t="n">
        <x:v>2.3</x:v>
      </x:c>
      <x:c r="C274" s="12" t="n">
        <x:v>445.9938622275999</x:v>
      </x:c>
      <x:c r="D274" s="12" t="n">
        <x:v>988.749717789058</x:v>
      </x:c>
      <x:c r="E274" s="7" t="str">
        <x:v>Echinoderms (100.000000%)</x:v>
      </x:c>
      <x:c r="F274" s="7" t="str">
        <x:v>High</x:v>
      </x:c>
      <x:c r="G274" s="7" t="str">
        <x:v>Fits the source taxonomic definition. See Sources and the regional Mapping review.</x:v>
      </x:c>
      <x:c r="H274" s="1"/>
      <x:c r="I274" s="1"/>
      <x:c r="J274" s="1"/>
      <x:c r="K274" s="1"/>
    </x:row>
    <x:row r="275" ht="57" customHeight="1">
      <x:c r="A275" s="7" t="str">
        <x:v>Pomadasys argenteus</x:v>
      </x:c>
      <x:c r="B275" s="11" t="n">
        <x:v>3.47</x:v>
      </x:c>
      <x:c r="C275" s="12" t="n">
        <x:v>24.564224811</x:v>
      </x:c>
      <x:c r="D275" s="12" t="n">
        <x:v>805.4907434236732</x:v>
      </x:c>
      <x:c r="E275" s="7" t="str">
        <x:v>Juvenile demersal fish (&gt; 30 cm) (89.991470%); Adult demersal fish (&gt; 30 cm) (10.008530%)</x:v>
      </x:c>
      <x:c r="F275" s="7" t="str">
        <x:v>Low</x:v>
      </x:c>
      <x:c r="G27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75" s="1"/>
      <x:c r="I275" s="1"/>
      <x:c r="J275" s="1"/>
      <x:c r="K275" s="1"/>
    </x:row>
    <x:row r="276" ht="42" customHeight="1">
      <x:c r="A276" s="7" t="str">
        <x:v>Panulirus polyphagus</x:v>
      </x:c>
      <x:c r="B276" s="11" t="n">
        <x:v>2.94</x:v>
      </x:c>
      <x:c r="C276" s="12" t="n">
        <x:v>76.19425859299999</x:v>
      </x:c>
      <x:c r="D276" s="12" t="n">
        <x:v>737.3602777577912</x:v>
      </x:c>
      <x:c r="E276" s="7" t="str">
        <x:v>Benthic crustaceans (100.000000%)</x:v>
      </x:c>
      <x:c r="F276" s="7" t="str">
        <x:v>High</x:v>
      </x:c>
      <x:c r="G276" s="7" t="str">
        <x:v>Fits the source taxonomic definition. See Sources and the regional Mapping review.</x:v>
      </x:c>
      <x:c r="H276" s="1"/>
      <x:c r="I276" s="1"/>
      <x:c r="J276" s="1"/>
      <x:c r="K276" s="1"/>
    </x:row>
    <x:row r="277" ht="42" customHeight="1">
      <x:c r="A277" s="7" t="str">
        <x:v>Penaeus penicillatus</x:v>
      </x:c>
      <x:c r="B277" s="11" t="n">
        <x:v>2.7</x:v>
      </x:c>
      <x:c r="C277" s="12" t="n">
        <x:v>126.8638323037</x:v>
      </x:c>
      <x:c r="D277" s="12" t="n">
        <x:v>706.472590662729</x:v>
      </x:c>
      <x:c r="E277" s="7" t="str">
        <x:v>Shrimps (100.000000%)</x:v>
      </x:c>
      <x:c r="F277" s="7" t="str">
        <x:v>High</x:v>
      </x:c>
      <x:c r="G277" s="7" t="str">
        <x:v>Fits the source taxonomic definition. See Sources and the regional Mapping review.</x:v>
      </x:c>
      <x:c r="H277" s="1"/>
      <x:c r="I277" s="1"/>
      <x:c r="J277" s="1"/>
      <x:c r="K277" s="1"/>
    </x:row>
    <x:row r="278" ht="42" customHeight="1">
      <x:c r="A278" s="7" t="str">
        <x:v>Sardinella albella</x:v>
      </x:c>
      <x:c r="B278" s="11" t="n">
        <x:v>2.68</x:v>
      </x:c>
      <x:c r="C278" s="12" t="n">
        <x:v>130.2866014486</x:v>
      </x:c>
      <x:c r="D278" s="12" t="n">
        <x:v>692.8787564416248</x:v>
      </x:c>
      <x:c r="E278" s="7" t="str">
        <x:v>Pelagic fish (≤ 30 cm) (100.000000%)</x:v>
      </x:c>
      <x:c r="F278" s="7" t="str">
        <x:v>Medium</x:v>
      </x:c>
      <x:c r="G278" s="7" t="str">
        <x:v>Habitat/size assignment inferred from SAU class. See Sources and the regional Mapping review.</x:v>
      </x:c>
      <x:c r="H278" s="1"/>
      <x:c r="I278" s="1"/>
      <x:c r="J278" s="1"/>
      <x:c r="K278" s="1"/>
    </x:row>
    <x:row r="279" ht="57" customHeight="1">
      <x:c r="A279" s="7" t="str">
        <x:v>Plotosidae</x:v>
      </x:c>
      <x:c r="B279" s="11" t="n">
        <x:v>3.49</x:v>
      </x:c>
      <x:c r="C279" s="12" t="n">
        <x:v>19.9022955015</x:v>
      </x:c>
      <x:c r="D279" s="12" t="n">
        <x:v>683.377476498014</x:v>
      </x:c>
      <x:c r="E279" s="7" t="str">
        <x:v>Juvenile demersal fish (&gt; 30 cm) (89.991470%); Adult demersal fish (&gt; 30 cm) (10.008530%)</x:v>
      </x:c>
      <x:c r="F279" s="7" t="str">
        <x:v>Low</x:v>
      </x:c>
      <x:c r="G27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79" s="1"/>
      <x:c r="I279" s="1"/>
      <x:c r="J279" s="1"/>
      <x:c r="K279" s="1"/>
    </x:row>
    <x:row r="280" ht="42" customHeight="1">
      <x:c r="A280" s="7" t="str">
        <x:v>Chaetodontidae</x:v>
      </x:c>
      <x:c r="B280" s="11" t="n">
        <x:v>3.24</x:v>
      </x:c>
      <x:c r="C280" s="12" t="n">
        <x:v>30.9373729071</x:v>
      </x:c>
      <x:c r="D280" s="12" t="n">
        <x:v>597.366580858743</x:v>
      </x:c>
      <x:c r="E280" s="7" t="str">
        <x:v>Demesral fish (≤ 30 cm) (100.000000%)</x:v>
      </x:c>
      <x:c r="F280" s="7" t="str">
        <x:v>Medium</x:v>
      </x:c>
      <x:c r="G280" s="7" t="str">
        <x:v>Habitat/size assignment inferred from SAU class. See Sources and the regional Mapping review.</x:v>
      </x:c>
      <x:c r="H280" s="1"/>
      <x:c r="I280" s="1"/>
      <x:c r="J280" s="1"/>
      <x:c r="K280" s="1"/>
    </x:row>
    <x:row r="281" ht="57" customHeight="1">
      <x:c r="A281" s="7" t="str">
        <x:v>Labridae</x:v>
      </x:c>
      <x:c r="B281" s="11" t="n">
        <x:v>3.46</x:v>
      </x:c>
      <x:c r="C281" s="12" t="n">
        <x:v>17.7866468793</x:v>
      </x:c>
      <x:c r="D281" s="12" t="n">
        <x:v>569.9694437209971</x:v>
      </x:c>
      <x:c r="E281" s="7" t="str">
        <x:v>Juvenile demersal fish (&gt; 30 cm) (89.991470%); Adult demersal fish (&gt; 30 cm) (10.008530%)</x:v>
      </x:c>
      <x:c r="F281" s="7" t="str">
        <x:v>Low</x:v>
      </x:c>
      <x:c r="G281"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1" s="1"/>
      <x:c r="I281" s="1"/>
      <x:c r="J281" s="1"/>
      <x:c r="K281" s="1"/>
    </x:row>
    <x:row r="282" ht="57" customHeight="1">
      <x:c r="A282" s="7" t="str">
        <x:v>Drepane punctata</x:v>
      </x:c>
      <x:c r="B282" s="11" t="n">
        <x:v>3.32</x:v>
      </x:c>
      <x:c r="C282" s="12" t="n">
        <x:v>24.4966207517</x:v>
      </x:c>
      <x:c r="D282" s="12" t="n">
        <x:v>568.6743883947286</x:v>
      </x:c>
      <x:c r="E282" s="7" t="str">
        <x:v>Juvenile demersal fish (&gt; 30 cm) (89.991470%); Adult demersal fish (&gt; 30 cm) (10.008530%)</x:v>
      </x:c>
      <x:c r="F282" s="7" t="str">
        <x:v>Low</x:v>
      </x:c>
      <x:c r="G28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2" s="1"/>
      <x:c r="I282" s="1"/>
      <x:c r="J282" s="1"/>
      <x:c r="K282" s="1"/>
    </x:row>
    <x:row r="283" ht="72" customHeight="1">
      <x:c r="A283" s="7" t="str">
        <x:v>Batoidea</x:v>
      </x:c>
      <x:c r="B283" s="11" t="n">
        <x:v>3.72</x:v>
      </x:c>
      <x:c r="C283" s="12" t="n">
        <x:v>8.2236930981</x:v>
      </x:c>
      <x:c r="D283" s="12" t="n">
        <x:v>479.5394987430497</x:v>
      </x:c>
      <x:c r="E283" s="7" t="str">
        <x:v>Demersal sharks and rays (58.823529%); Pelagic sharks and rays (41.176471%)</x:v>
      </x:c>
      <x:c r="F283" s="7" t="str">
        <x:v>Medium</x:v>
      </x:c>
      <x:c r="G283" s="7" t="str">
        <x:v>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H283" s="1"/>
      <x:c r="I283" s="1"/>
      <x:c r="J283" s="1"/>
      <x:c r="K283" s="1"/>
    </x:row>
    <x:row r="284" ht="42" customHeight="1">
      <x:c r="A284" s="7" t="str">
        <x:v>Pteriomorphia</x:v>
      </x:c>
      <x:c r="B284" s="11" t="n">
        <x:v>2.27</x:v>
      </x:c>
      <x:c r="C284" s="12" t="n">
        <x:v>224.326600921</x:v>
      </x:c>
      <x:c r="D284" s="12" t="n">
        <x:v>464.1285310958875</x:v>
      </x:c>
      <x:c r="E284" s="7" t="str">
        <x:v>Non-ceph molluscs (100.000000%)</x:v>
      </x:c>
      <x:c r="F284" s="7" t="str">
        <x:v>High</x:v>
      </x:c>
      <x:c r="G284" s="7" t="str">
        <x:v>Fits the source taxonomic definition. See Sources and the regional Mapping review.</x:v>
      </x:c>
      <x:c r="H284" s="1"/>
      <x:c r="I284" s="1"/>
      <x:c r="J284" s="1"/>
      <x:c r="K284" s="1"/>
    </x:row>
    <x:row r="285" ht="42" customHeight="1">
      <x:c r="A285" s="7" t="str">
        <x:v>Macolor</x:v>
      </x:c>
      <x:c r="B285" s="11" t="n">
        <x:v>3.99</x:v>
      </x:c>
      <x:c r="C285" s="12" t="n">
        <x:v>4.0339936916</x:v>
      </x:c>
      <x:c r="D285" s="12" t="n">
        <x:v>438.01875383693977</x:v>
      </x:c>
      <x:c r="E285" s="7" t="str">
        <x:v>Snappers (100.000000%)</x:v>
      </x:c>
      <x:c r="F285" s="7" t="str">
        <x:v>High</x:v>
      </x:c>
      <x:c r="G285" s="7" t="str">
        <x:v>Fits the source taxonomic definition. See Sources and the regional Mapping review.</x:v>
      </x:c>
      <x:c r="H285" s="1"/>
      <x:c r="I285" s="1"/>
      <x:c r="J285" s="1"/>
      <x:c r="K285" s="1"/>
    </x:row>
    <x:row r="286" ht="57" customHeight="1">
      <x:c r="A286" s="7" t="str">
        <x:v>Scarus</x:v>
      </x:c>
      <x:c r="B286" s="11" t="n">
        <x:v>2</x:v>
      </x:c>
      <x:c r="C286" s="12" t="n">
        <x:v>298.5620454713</x:v>
      </x:c>
      <x:c r="D286" s="12" t="n">
        <x:v>331.73560607922224</x:v>
      </x:c>
      <x:c r="E286" s="7" t="str">
        <x:v>Juvenile demersal fish (&gt; 30 cm) (89.991470%); Adult demersal fish (&gt; 30 cm) (10.008530%)</x:v>
      </x:c>
      <x:c r="F286" s="7" t="str">
        <x:v>Low</x:v>
      </x:c>
      <x:c r="G28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6" s="1"/>
      <x:c r="I286" s="1"/>
      <x:c r="J286" s="1"/>
      <x:c r="K286" s="1"/>
    </x:row>
    <x:row r="287" ht="57" customHeight="1">
      <x:c r="A287" s="7" t="str">
        <x:v>Nibea albiflora</x:v>
      </x:c>
      <x:c r="B287" s="11" t="n">
        <x:v>3.5</x:v>
      </x:c>
      <x:c r="C287" s="12" t="n">
        <x:v>8.4658808641</x:v>
      </x:c>
      <x:c r="D287" s="12" t="n">
        <x:v>297.4607325576713</x:v>
      </x:c>
      <x:c r="E287" s="7" t="str">
        <x:v>Juvenile large croakers (89.873418%); Croakers (&gt; 30 cm) (10.126582%)</x:v>
      </x:c>
      <x:c r="F287" s="7" t="str">
        <x:v>Low</x:v>
      </x:c>
      <x:c r="G287" s="7" t="str">
        <x:v>Large-croaker membership inferred; historical stage proxy. See Sources and the regional Mapping review.</x:v>
      </x:c>
      <x:c r="H287" s="1"/>
      <x:c r="I287" s="1"/>
      <x:c r="J287" s="1"/>
      <x:c r="K287" s="1"/>
    </x:row>
    <x:row r="288" ht="57" customHeight="1">
      <x:c r="A288" s="7" t="str">
        <x:v>Hyporhamphus</x:v>
      </x:c>
      <x:c r="B288" s="11" t="n">
        <x:v>3.3</x:v>
      </x:c>
      <x:c r="C288" s="12" t="n">
        <x:v>13.325941559</x:v>
      </x:c>
      <x:c r="D288" s="12" t="n">
        <x:v>295.4305444905592</x:v>
      </x:c>
      <x:c r="E288" s="7" t="str">
        <x:v>Juvenile large pelagic fish (89.993906%); Pelagic fish (&gt; 30 cm) (10.006094%)</x:v>
      </x:c>
      <x:c r="F288" s="7" t="str">
        <x:v>Low</x:v>
      </x:c>
      <x:c r="G288" s="7" t="str">
        <x:v>Broad lineage; size/habitat containment uncertain; historical stage proxy. See Sources and the regional Mapping review.</x:v>
      </x:c>
      <x:c r="H288" s="1"/>
      <x:c r="I288" s="1"/>
      <x:c r="J288" s="1"/>
      <x:c r="K288" s="1"/>
    </x:row>
    <x:row r="289" ht="57" customHeight="1">
      <x:c r="A289" s="7" t="str">
        <x:v>Scaridae</x:v>
      </x:c>
      <x:c r="B289" s="11" t="n">
        <x:v>2</x:v>
      </x:c>
      <x:c r="C289" s="12" t="n">
        <x:v>256.1387966234</x:v>
      </x:c>
      <x:c r="D289" s="12" t="n">
        <x:v>284.59866291488896</x:v>
      </x:c>
      <x:c r="E289" s="7" t="str">
        <x:v>Juvenile demersal fish (&gt; 30 cm) (89.991470%); Adult demersal fish (&gt; 30 cm) (10.008530%)</x:v>
      </x:c>
      <x:c r="F289" s="7" t="str">
        <x:v>Low</x:v>
      </x:c>
      <x:c r="G28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89" s="1"/>
      <x:c r="I289" s="1"/>
      <x:c r="J289" s="1"/>
      <x:c r="K289" s="1"/>
    </x:row>
    <x:row r="290" ht="42" customHeight="1">
      <x:c r="A290" s="7" t="str">
        <x:v>Carcharhinus longimanus</x:v>
      </x:c>
      <x:c r="B290" s="11" t="n">
        <x:v>4.16</x:v>
      </x:c>
      <x:c r="C290" s="12" t="n">
        <x:v>1.7075742361</x:v>
      </x:c>
      <x:c r="D290" s="12" t="n">
        <x:v>274.2439680400041</x:v>
      </x:c>
      <x:c r="E290" s="7" t="str">
        <x:v>Pelagic sharks and rays (100.000000%)</x:v>
      </x:c>
      <x:c r="F290" s="7" t="str">
        <x:v>Medium</x:v>
      </x:c>
      <x:c r="G290" s="7" t="str">
        <x:v>Habitat/size assignment inferred from SAU class. See Sources and the regional Mapping review.</x:v>
      </x:c>
      <x:c r="H290" s="1"/>
      <x:c r="I290" s="1"/>
      <x:c r="J290" s="1"/>
      <x:c r="K290" s="1"/>
    </x:row>
    <x:row r="291" ht="42" customHeight="1">
      <x:c r="A291" s="7" t="str">
        <x:v>Panulirus</x:v>
      </x:c>
      <x:c r="B291" s="11" t="n">
        <x:v>2.6</x:v>
      </x:c>
      <x:c r="C291" s="12" t="n">
        <x:v>54.9079295362</x:v>
      </x:c>
      <x:c r="D291" s="12" t="n">
        <x:v>242.88044965119317</x:v>
      </x:c>
      <x:c r="E291" s="7" t="str">
        <x:v>Benthic crustaceans (100.000000%)</x:v>
      </x:c>
      <x:c r="F291" s="7" t="str">
        <x:v>High</x:v>
      </x:c>
      <x:c r="G291" s="7" t="str">
        <x:v>Fits the source taxonomic definition. See Sources and the regional Mapping review.</x:v>
      </x:c>
      <x:c r="H291" s="1"/>
      <x:c r="I291" s="1"/>
      <x:c r="J291" s="1"/>
      <x:c r="K291" s="1"/>
    </x:row>
    <x:row r="292" ht="102" customHeight="1">
      <x:c r="A292" s="7" t="str">
        <x:v>Lampris guttatus</x:v>
      </x:c>
      <x:c r="B292" s="11" t="n">
        <x:v>4.22</x:v>
      </x:c>
      <x:c r="C292" s="12" t="n">
        <x:v>1.1288504099</x:v>
      </x:c>
      <x:c r="D292" s="12" t="n">
        <x:v>208.15837341395147</x:v>
      </x:c>
      <x:c r="E292" s="7" t="str">
        <x:v>Juvenile large pelagic fish (89.993906%); Pelagic fish (&gt; 30 cm) (10.006094%)</x:v>
      </x:c>
      <x:c r="F292" s="7" t="str">
        <x:v>Very low</x:v>
      </x:c>
      <x:c r="G292" s="7" t="str">
        <x:v>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x:v>
      </x:c>
      <x:c r="H292" s="1"/>
      <x:c r="I292" s="1"/>
      <x:c r="J292" s="1"/>
      <x:c r="K292" s="1"/>
    </x:row>
    <x:row r="293" ht="42" customHeight="1">
      <x:c r="A293" s="7" t="str">
        <x:v>Perna viridis</x:v>
      </x:c>
      <x:c r="B293" s="11" t="n">
        <x:v>2</x:v>
      </x:c>
      <x:c r="C293" s="12" t="n">
        <x:v>176.9553851658</x:v>
      </x:c>
      <x:c r="D293" s="12" t="n">
        <x:v>196.61709462866668</x:v>
      </x:c>
      <x:c r="E293" s="7" t="str">
        <x:v>Non-ceph molluscs (100.000000%)</x:v>
      </x:c>
      <x:c r="F293" s="7" t="str">
        <x:v>High</x:v>
      </x:c>
      <x:c r="G293" s="7" t="str">
        <x:v>Fits the source taxonomic definition. See Sources and the regional Mapping review.</x:v>
      </x:c>
      <x:c r="H293" s="1"/>
      <x:c r="I293" s="1"/>
      <x:c r="J293" s="1"/>
      <x:c r="K293" s="1"/>
    </x:row>
    <x:row r="294" ht="42" customHeight="1">
      <x:c r="A294" s="7" t="str">
        <x:v>Ruditapes philippinarum</x:v>
      </x:c>
      <x:c r="B294" s="11" t="n">
        <x:v>2</x:v>
      </x:c>
      <x:c r="C294" s="12" t="n">
        <x:v>162.2976949297</x:v>
      </x:c>
      <x:c r="D294" s="12" t="n">
        <x:v>180.3307721441111</x:v>
      </x:c>
      <x:c r="E294" s="7" t="str">
        <x:v>Non-ceph molluscs (100.000000%)</x:v>
      </x:c>
      <x:c r="F294" s="7" t="str">
        <x:v>High</x:v>
      </x:c>
      <x:c r="G294" s="7" t="str">
        <x:v>Fits the source taxonomic definition. See Sources and the regional Mapping review.</x:v>
      </x:c>
      <x:c r="H294" s="1"/>
      <x:c r="I294" s="1"/>
      <x:c r="J294" s="1"/>
      <x:c r="K294" s="1"/>
    </x:row>
    <x:row r="295" ht="57" customHeight="1">
      <x:c r="A295" s="7" t="str">
        <x:v>Aluterus</x:v>
      </x:c>
      <x:c r="B295" s="11" t="n">
        <x:v>2.81</x:v>
      </x:c>
      <x:c r="C295" s="12" t="n">
        <x:v>24.1529479837</x:v>
      </x:c>
      <x:c r="D295" s="12" t="n">
        <x:v>173.27170010366623</x:v>
      </x:c>
      <x:c r="E295" s="7" t="str">
        <x:v>Juvenile demersal fish (&gt; 30 cm) (89.991470%); Adult demersal fish (&gt; 30 cm) (10.008530%)</x:v>
      </x:c>
      <x:c r="F295" s="7" t="str">
        <x:v>Low</x:v>
      </x:c>
      <x:c r="G295"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95" s="1"/>
      <x:c r="I295" s="1"/>
      <x:c r="J295" s="1"/>
      <x:c r="K295" s="1"/>
    </x:row>
    <x:row r="296" ht="42" customHeight="1">
      <x:c r="A296" s="7" t="str">
        <x:v>Ranina ranina</x:v>
      </x:c>
      <x:c r="B296" s="11" t="n">
        <x:v>3.92</x:v>
      </x:c>
      <x:c r="C296" s="12" t="n">
        <x:v>1.7129909855</x:v>
      </x:c>
      <x:c r="D296" s="12" t="n">
        <x:v>158.31153799604007</x:v>
      </x:c>
      <x:c r="E296" s="7" t="str">
        <x:v>Crabs (100.000000%)</x:v>
      </x:c>
      <x:c r="F296" s="7" t="str">
        <x:v>High</x:v>
      </x:c>
      <x:c r="G296" s="7" t="str">
        <x:v>Fits the source taxonomic definition. See Sources and the regional Mapping review.</x:v>
      </x:c>
      <x:c r="H296" s="1"/>
      <x:c r="I296" s="1"/>
      <x:c r="J296" s="1"/>
      <x:c r="K296" s="1"/>
    </x:row>
    <x:row r="297" ht="57" customHeight="1">
      <x:c r="A297" s="7" t="str">
        <x:v>Siganidae</x:v>
      </x:c>
      <x:c r="B297" s="11" t="n">
        <x:v>2.11</x:v>
      </x:c>
      <x:c r="C297" s="12" t="n">
        <x:v>92.43054463419999</x:v>
      </x:c>
      <x:c r="D297" s="12" t="n">
        <x:v>132.30400854195597</x:v>
      </x:c>
      <x:c r="E297" s="7" t="str">
        <x:v>Juvenile demersal fish (&gt; 30 cm) (89.991470%); Adult demersal fish (&gt; 30 cm) (10.008530%)</x:v>
      </x:c>
      <x:c r="F297" s="7" t="str">
        <x:v>Low</x:v>
      </x:c>
      <x:c r="G297"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97" s="1"/>
      <x:c r="I297" s="1"/>
      <x:c r="J297" s="1"/>
      <x:c r="K297" s="1"/>
    </x:row>
    <x:row r="298" ht="42" customHeight="1">
      <x:c r="A298" s="7" t="str">
        <x:v>Chanos chanos</x:v>
      </x:c>
      <x:c r="B298" s="11" t="n">
        <x:v>2.03</x:v>
      </x:c>
      <x:c r="C298" s="12" t="n">
        <x:v>102.3092797947</x:v>
      </x:c>
      <x:c r="D298" s="12" t="n">
        <x:v>121.80707600552978</x:v>
      </x:c>
      <x:c r="E298" s="7" t="str">
        <x:v>Benthopelagic fish (100.000000%)</x:v>
      </x:c>
      <x:c r="F298" s="7" t="str">
        <x:v>Low</x:v>
      </x:c>
      <x:c r="G298" s="7" t="str">
        <x:v>Ecological assignment; final benthopelagic pool is ambiguous. See Sources and the regional Mapping review.</x:v>
      </x:c>
      <x:c r="H298" s="1"/>
      <x:c r="I298" s="1"/>
      <x:c r="J298" s="1"/>
      <x:c r="K298" s="1"/>
    </x:row>
    <x:row r="299" ht="57" customHeight="1">
      <x:c r="A299" s="7" t="str">
        <x:v>Anguilliformes</x:v>
      </x:c>
      <x:c r="B299" s="11" t="n">
        <x:v>3.89</x:v>
      </x:c>
      <x:c r="C299" s="12" t="n">
        <x:v>1.3692809169</x:v>
      </x:c>
      <x:c r="D299" s="12" t="n">
        <x:v>118.10004039981294</x:v>
      </x:c>
      <x:c r="E299" s="7" t="str">
        <x:v>Juvenile demersal fish (&gt; 30 cm) (89.991470%); Adult demersal fish (&gt; 30 cm) (10.008530%)</x:v>
      </x:c>
      <x:c r="F299" s="7" t="str">
        <x:v>Low</x:v>
      </x:c>
      <x:c r="G29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299" s="1"/>
      <x:c r="I299" s="1"/>
      <x:c r="J299" s="1"/>
      <x:c r="K299" s="1"/>
    </x:row>
    <x:row r="300" ht="42" customHeight="1">
      <x:c r="A300" s="7" t="str">
        <x:v>Isurus oxyrinchus</x:v>
      </x:c>
      <x:c r="B300" s="11" t="n">
        <x:v>4.5</x:v>
      </x:c>
      <x:c r="C300" s="12" t="n">
        <x:v>0.3033869186</x:v>
      </x:c>
      <x:c r="D300" s="12" t="n">
        <x:v>106.59929723067805</x:v>
      </x:c>
      <x:c r="E300" s="7" t="str">
        <x:v>Pelagic sharks and rays (100.000000%)</x:v>
      </x:c>
      <x:c r="F300" s="7" t="str">
        <x:v>Medium</x:v>
      </x:c>
      <x:c r="G300" s="7" t="str">
        <x:v>Habitat/size assignment inferred from SAU class. See Sources and the regional Mapping review.</x:v>
      </x:c>
      <x:c r="H300" s="1"/>
      <x:c r="I300" s="1"/>
      <x:c r="J300" s="1"/>
      <x:c r="K300" s="1"/>
    </x:row>
    <x:row r="301" ht="102" customHeight="1">
      <x:c r="A301" s="7" t="str">
        <x:v>Kajikia audax</x:v>
      </x:c>
      <x:c r="B301" s="11" t="n">
        <x:v>4.58</x:v>
      </x:c>
      <x:c r="C301" s="12" t="n">
        <x:v>0.2452607026</x:v>
      </x:c>
      <x:c r="D301" s="12" t="n">
        <x:v>103.60613162516746</x:v>
      </x:c>
      <x:c r="E301" s="7" t="str">
        <x:v>Juvenile large pelagic fish (89.993906%); Pelagic fish (&gt; 30 cm) (10.006094%)</x:v>
      </x:c>
      <x:c r="F301" s="7" t="str">
        <x:v>Very low</x:v>
      </x:c>
      <x:c r="G301"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301" s="1"/>
      <x:c r="I301" s="1"/>
      <x:c r="J301" s="1"/>
      <x:c r="K301" s="1"/>
    </x:row>
    <x:row r="302" ht="42" customHeight="1">
      <x:c r="A302" s="7" t="str">
        <x:v>Haliotidae</x:v>
      </x:c>
      <x:c r="B302" s="11" t="n">
        <x:v>2</x:v>
      </x:c>
      <x:c r="C302" s="12" t="n">
        <x:v>87.4813549519</x:v>
      </x:c>
      <x:c r="D302" s="12" t="n">
        <x:v>97.20150550211112</x:v>
      </x:c>
      <x:c r="E302" s="7" t="str">
        <x:v>Non-ceph molluscs (100.000000%)</x:v>
      </x:c>
      <x:c r="F302" s="7" t="str">
        <x:v>High</x:v>
      </x:c>
      <x:c r="G302" s="7" t="str">
        <x:v>Fits the source taxonomic definition. See Sources and the regional Mapping review.</x:v>
      </x:c>
      <x:c r="H302" s="1"/>
      <x:c r="I302" s="1"/>
      <x:c r="J302" s="1"/>
      <x:c r="K302" s="1"/>
    </x:row>
    <x:row r="303" ht="42" customHeight="1">
      <x:c r="A303" s="7" t="str">
        <x:v>Magallana gigas</x:v>
      </x:c>
      <x:c r="B303" s="11" t="n">
        <x:v>2</x:v>
      </x:c>
      <x:c r="C303" s="12" t="n">
        <x:v>65.7610990087</x:v>
      </x:c>
      <x:c r="D303" s="12" t="n">
        <x:v>73.06788778744445</x:v>
      </x:c>
      <x:c r="E303" s="7" t="str">
        <x:v>Non-ceph molluscs (100.000000%)</x:v>
      </x:c>
      <x:c r="F303" s="7" t="str">
        <x:v>High</x:v>
      </x:c>
      <x:c r="G303" s="7" t="str">
        <x:v>Fits the source taxonomic definition. See Sources and the regional Mapping review.</x:v>
      </x:c>
      <x:c r="H303" s="1"/>
      <x:c r="I303" s="1"/>
      <x:c r="J303" s="1"/>
      <x:c r="K303" s="1"/>
    </x:row>
    <x:row r="304" ht="57" customHeight="1">
      <x:c r="A304" s="7" t="str">
        <x:v>Acanthocybium solandri</x:v>
      </x:c>
      <x:c r="B304" s="11" t="n">
        <x:v>4.26</x:v>
      </x:c>
      <x:c r="C304" s="12" t="n">
        <x:v>0.2814544278</x:v>
      </x:c>
      <x:c r="D304" s="12" t="n">
        <x:v>56.90698488080461</x:v>
      </x:c>
      <x:c r="E304" s="7" t="str">
        <x:v>Juvenile large pelagic fish (89.993906%); Pelagic fish (&gt; 30 cm) (10.006094%)</x:v>
      </x:c>
      <x:c r="F304" s="7" t="str">
        <x:v>Medium</x:v>
      </x:c>
      <x:c r="G304" s="7" t="str">
        <x:v>Habitat/size fit inferred; model-catch stage proxy, fixed across years. See Sources and the regional Mapping review.</x:v>
      </x:c>
      <x:c r="H304" s="1"/>
      <x:c r="I304" s="1"/>
      <x:c r="J304" s="1"/>
      <x:c r="K304" s="1"/>
    </x:row>
    <x:row r="305" ht="57" customHeight="1">
      <x:c r="A305" s="7" t="str">
        <x:v>Gymnosarda unicolor</x:v>
      </x:c>
      <x:c r="B305" s="11" t="n">
        <x:v>4.5</x:v>
      </x:c>
      <x:c r="C305" s="12" t="n">
        <x:v>0.1382728383</x:v>
      </x:c>
      <x:c r="D305" s="12" t="n">
        <x:v>48.58412306268496</x:v>
      </x:c>
      <x:c r="E305" s="7" t="str">
        <x:v>Juvenile large pelagic fish (89.993906%); Pelagic fish (&gt; 30 cm) (10.006094%)</x:v>
      </x:c>
      <x:c r="F305" s="7" t="str">
        <x:v>Medium</x:v>
      </x:c>
      <x:c r="G305" s="7" t="str">
        <x:v>Habitat/size fit inferred; model-catch stage proxy, fixed across years. See Sources and the regional Mapping review.</x:v>
      </x:c>
      <x:c r="H305" s="1"/>
      <x:c r="I305" s="1"/>
      <x:c r="J305" s="1"/>
      <x:c r="K305" s="1"/>
    </x:row>
    <x:row r="306" ht="42" customHeight="1">
      <x:c r="A306" s="7" t="str">
        <x:v>Veneridae</x:v>
      </x:c>
      <x:c r="B306" s="11" t="n">
        <x:v>2</x:v>
      </x:c>
      <x:c r="C306" s="12" t="n">
        <x:v>42.5048785683</x:v>
      </x:c>
      <x:c r="D306" s="12" t="n">
        <x:v>47.227642853666666</x:v>
      </x:c>
      <x:c r="E306" s="7" t="str">
        <x:v>Non-ceph molluscs (100.000000%)</x:v>
      </x:c>
      <x:c r="F306" s="7" t="str">
        <x:v>High</x:v>
      </x:c>
      <x:c r="G306" s="7" t="str">
        <x:v>Fits the source taxonomic definition. See Sources and the regional Mapping review.</x:v>
      </x:c>
      <x:c r="H306" s="1"/>
      <x:c r="I306" s="1"/>
      <x:c r="J306" s="1"/>
      <x:c r="K306" s="1"/>
    </x:row>
    <x:row r="307" ht="57" customHeight="1">
      <x:c r="A307" s="7" t="str">
        <x:v>Thunnus alalunga</x:v>
      </x:c>
      <x:c r="B307" s="11" t="n">
        <x:v>4.3</x:v>
      </x:c>
      <x:c r="C307" s="12" t="n">
        <x:v>0.1687821008</x:v>
      </x:c>
      <x:c r="D307" s="12" t="n">
        <x:v>37.41828501861319</x:v>
      </x:c>
      <x:c r="E307" s="7" t="str">
        <x:v>Juvenile large pelagic fish (89.993906%); Pelagic fish (&gt; 30 cm) (10.006094%)</x:v>
      </x:c>
      <x:c r="F307" s="7" t="str">
        <x:v>Medium</x:v>
      </x:c>
      <x:c r="G307" s="7" t="str">
        <x:v>Habitat/size fit inferred; model-catch stage proxy, fixed across years. See Sources and the regional Mapping review.</x:v>
      </x:c>
      <x:c r="H307" s="1"/>
      <x:c r="I307" s="1"/>
      <x:c r="J307" s="1"/>
      <x:c r="K307" s="1"/>
    </x:row>
    <x:row r="308" ht="57" customHeight="1">
      <x:c r="A308" s="7" t="str">
        <x:v>Scatophagus argus</x:v>
      </x:c>
      <x:c r="B308" s="11" t="n">
        <x:v>2.99</x:v>
      </x:c>
      <x:c r="C308" s="12" t="n">
        <x:v>3.4158297761</x:v>
      </x:c>
      <x:c r="D308" s="12" t="n">
        <x:v>37.089733307267494</x:v>
      </x:c>
      <x:c r="E308" s="7" t="str">
        <x:v>Juvenile demersal fish (&gt; 30 cm) (89.991470%); Adult demersal fish (&gt; 30 cm) (10.008530%)</x:v>
      </x:c>
      <x:c r="F308" s="7" t="str">
        <x:v>Low</x:v>
      </x:c>
      <x:c r="G308"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08" s="1"/>
      <x:c r="I308" s="1"/>
      <x:c r="J308" s="1"/>
      <x:c r="K308" s="1"/>
    </x:row>
    <x:row r="309" ht="42" customHeight="1">
      <x:c r="A309" s="7" t="str">
        <x:v>Penaeus semisulcatus</x:v>
      </x:c>
      <x:c r="B309" s="11" t="n">
        <x:v>2</x:v>
      </x:c>
      <x:c r="C309" s="12" t="n">
        <x:v>32.1832682876</x:v>
      </x:c>
      <x:c r="D309" s="12" t="n">
        <x:v>35.759186986222225</x:v>
      </x:c>
      <x:c r="E309" s="7" t="str">
        <x:v>Shrimps (100.000000%)</x:v>
      </x:c>
      <x:c r="F309" s="7" t="str">
        <x:v>High</x:v>
      </x:c>
      <x:c r="G309" s="7" t="str">
        <x:v>Fits the source taxonomic definition. See Sources and the regional Mapping review.</x:v>
      </x:c>
      <x:c r="H309" s="1"/>
      <x:c r="I309" s="1"/>
      <x:c r="J309" s="1"/>
      <x:c r="K309" s="1"/>
    </x:row>
    <x:row r="310" ht="42" customHeight="1">
      <x:c r="A310" s="7" t="str">
        <x:v>Mierspenaeopsis hardwickii</x:v>
      </x:c>
      <x:c r="B310" s="11" t="n">
        <x:v>2.71</x:v>
      </x:c>
      <x:c r="C310" s="12" t="n">
        <x:v>5.972447527</x:v>
      </x:c>
      <x:c r="D310" s="12" t="n">
        <x:v>34.03375227236693</x:v>
      </x:c>
      <x:c r="E310" s="7" t="str">
        <x:v>Shrimps (100.000000%)</x:v>
      </x:c>
      <x:c r="F310" s="7" t="str">
        <x:v>High</x:v>
      </x:c>
      <x:c r="G310" s="7" t="str">
        <x:v>Fits the source taxonomic definition. See Sources and the regional Mapping review.</x:v>
      </x:c>
      <x:c r="H310" s="1"/>
      <x:c r="I310" s="1"/>
      <x:c r="J310" s="1"/>
      <x:c r="K310" s="1"/>
    </x:row>
    <x:row r="311" ht="102" customHeight="1">
      <x:c r="A311" s="7" t="str">
        <x:v>Marine pelagic fishes not identified</x:v>
      </x:c>
      <x:c r="B311" s="11" t="n">
        <x:v>3.35</x:v>
      </x:c>
      <x:c r="C311" s="12" t="n">
        <x:v>1.341543298</x:v>
      </x:c>
      <x:c r="D311" s="12" t="n">
        <x:v>33.37045932819206</x:v>
      </x:c>
      <x:c r="E311" s="7" t="str">
        <x:v>Pelagic fish (≤ 30 cm) (74.063546%); Juvenile large pelagic fish (23.321332%); Pelagic fish (&gt; 30 cm) (2.593014%); Pelagic sharks and rays (0.022109%)</x:v>
      </x:c>
      <x:c r="F311" s="7" t="str">
        <x:v>Very low</x:v>
      </x:c>
      <x:c r="G311" s="7" t="str">
        <x:v>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x:v>
      </x:c>
      <x:c r="H311" s="1"/>
      <x:c r="I311" s="1"/>
      <x:c r="J311" s="1"/>
      <x:c r="K311" s="1"/>
    </x:row>
    <x:row r="312" ht="42" customHeight="1">
      <x:c r="A312" s="7" t="str">
        <x:v>Thenus orientalis</x:v>
      </x:c>
      <x:c r="B312" s="11" t="n">
        <x:v>2.5</x:v>
      </x:c>
      <x:c r="C312" s="12" t="n">
        <x:v>9.3758321418</x:v>
      </x:c>
      <x:c r="D312" s="12" t="n">
        <x:v>32.94331614166976</x:v>
      </x:c>
      <x:c r="E312" s="7" t="str">
        <x:v>Benthic crustaceans (100.000000%)</x:v>
      </x:c>
      <x:c r="F312" s="7" t="str">
        <x:v>High</x:v>
      </x:c>
      <x:c r="G312" s="7" t="str">
        <x:v>Fits the source taxonomic definition. See Sources and the regional Mapping review.</x:v>
      </x:c>
      <x:c r="H312" s="1"/>
      <x:c r="I312" s="1"/>
      <x:c r="J312" s="1"/>
      <x:c r="K312" s="1"/>
    </x:row>
    <x:row r="313" ht="42" customHeight="1">
      <x:c r="A313" s="7" t="str">
        <x:v>Hippocampus</x:v>
      </x:c>
      <x:c r="B313" s="11" t="n">
        <x:v>3.33</x:v>
      </x:c>
      <x:c r="C313" s="12" t="n">
        <x:v>1.2172999906</x:v>
      </x:c>
      <x:c r="D313" s="12" t="n">
        <x:v>28.91712479393581</x:v>
      </x:c>
      <x:c r="E313" s="7" t="str">
        <x:v>Demesral fish (≤ 30 cm) (100.000000%)</x:v>
      </x:c>
      <x:c r="F313" s="7" t="str">
        <x:v>Medium</x:v>
      </x:c>
      <x:c r="G313" s="7" t="str">
        <x:v>Habitat/size assignment inferred from SAU class. See Sources and the regional Mapping review.</x:v>
      </x:c>
      <x:c r="H313" s="1"/>
      <x:c r="I313" s="1"/>
      <x:c r="J313" s="1"/>
      <x:c r="K313" s="1"/>
    </x:row>
    <x:row r="314" ht="42" customHeight="1">
      <x:c r="A314" s="7" t="str">
        <x:v>Meretrix lusoria</x:v>
      </x:c>
      <x:c r="B314" s="11" t="n">
        <x:v>2</x:v>
      </x:c>
      <x:c r="C314" s="12" t="n">
        <x:v>20.1254991649</x:v>
      </x:c>
      <x:c r="D314" s="12" t="n">
        <x:v>22.361665738777774</x:v>
      </x:c>
      <x:c r="E314" s="7" t="str">
        <x:v>Non-ceph molluscs (100.000000%)</x:v>
      </x:c>
      <x:c r="F314" s="7" t="str">
        <x:v>High</x:v>
      </x:c>
      <x:c r="G314" s="7" t="str">
        <x:v>Fits the source taxonomic definition. See Sources and the regional Mapping review.</x:v>
      </x:c>
      <x:c r="H314" s="1"/>
      <x:c r="I314" s="1"/>
      <x:c r="J314" s="1"/>
      <x:c r="K314" s="1"/>
    </x:row>
    <x:row r="315" ht="57" customHeight="1">
      <x:c r="A315" s="7" t="str">
        <x:v>Thunnus orientalis</x:v>
      </x:c>
      <x:c r="B315" s="11" t="n">
        <x:v>4.05</x:v>
      </x:c>
      <x:c r="C315" s="12" t="n">
        <x:v>0.1673015096</x:v>
      </x:c>
      <x:c r="D315" s="12" t="n">
        <x:v>20.857264578197444</x:v>
      </x:c>
      <x:c r="E315" s="7" t="str">
        <x:v>Juvenile large pelagic fish (89.993906%); Pelagic fish (&gt; 30 cm) (10.006094%)</x:v>
      </x:c>
      <x:c r="F315" s="7" t="str">
        <x:v>Medium</x:v>
      </x:c>
      <x:c r="G315" s="7" t="str">
        <x:v>Habitat/size fit inferred; model-catch stage proxy, fixed across years. See Sources and the regional Mapping review.</x:v>
      </x:c>
      <x:c r="H315" s="1"/>
      <x:c r="I315" s="1"/>
      <x:c r="J315" s="1"/>
      <x:c r="K315" s="1"/>
    </x:row>
    <x:row r="316" ht="57" customHeight="1">
      <x:c r="A316" s="7" t="str">
        <x:v>Pomatomus saltatrix</x:v>
      </x:c>
      <x:c r="B316" s="11" t="n">
        <x:v>4.53</x:v>
      </x:c>
      <x:c r="C316" s="12" t="n">
        <x:v>0.0406950571</x:v>
      </x:c>
      <x:c r="D316" s="12" t="n">
        <x:v>15.32142475787352</x:v>
      </x:c>
      <x:c r="E316" s="7" t="str">
        <x:v>Juvenile large pelagic fish (89.993906%); Pelagic fish (&gt; 30 cm) (10.006094%)</x:v>
      </x:c>
      <x:c r="F316" s="7" t="str">
        <x:v>Medium</x:v>
      </x:c>
      <x:c r="G316" s="7" t="str">
        <x:v>Habitat/size fit inferred; model-catch stage proxy, fixed across years. See Sources and the regional Mapping review.</x:v>
      </x:c>
      <x:c r="H316" s="1"/>
      <x:c r="I316" s="1"/>
      <x:c r="J316" s="1"/>
      <x:c r="K316" s="1"/>
    </x:row>
    <x:row r="317" ht="42" customHeight="1">
      <x:c r="A317" s="7" t="str">
        <x:v>Spongia</x:v>
      </x:c>
      <x:c r="B317" s="11" t="n">
        <x:v>2</x:v>
      </x:c>
      <x:c r="C317" s="12" t="n">
        <x:v>7.6837557135</x:v>
      </x:c>
      <x:c r="D317" s="12" t="n">
        <x:v>8.537506348333332</x:v>
      </x:c>
      <x:c r="E317" s="7" t="str">
        <x:v>Sessile/other invertebrates (100.000000%)</x:v>
      </x:c>
      <x:c r="F317" s="7" t="str">
        <x:v>High</x:v>
      </x:c>
      <x:c r="G317" s="7" t="str">
        <x:v>Fits the source taxonomic definition. See Sources and the regional Mapping review.</x:v>
      </x:c>
      <x:c r="H317" s="1"/>
      <x:c r="I317" s="1"/>
      <x:c r="J317" s="1"/>
      <x:c r="K317" s="1"/>
    </x:row>
    <x:row r="318" ht="42" customHeight="1">
      <x:c r="A318" s="7" t="str">
        <x:v>Mizuhopecten yessoensis</x:v>
      </x:c>
      <x:c r="B318" s="11" t="n">
        <x:v>2.1</x:v>
      </x:c>
      <x:c r="C318" s="12" t="n">
        <x:v>5.8322763773</x:v>
      </x:c>
      <x:c r="D318" s="12" t="n">
        <x:v>8.158223266655328</x:v>
      </x:c>
      <x:c r="E318" s="7" t="str">
        <x:v>Non-ceph molluscs (100.000000%)</x:v>
      </x:c>
      <x:c r="F318" s="7" t="str">
        <x:v>High</x:v>
      </x:c>
      <x:c r="G318" s="7" t="str">
        <x:v>Fits the source taxonomic definition. See Sources and the regional Mapping review.</x:v>
      </x:c>
      <x:c r="H318" s="1"/>
      <x:c r="I318" s="1"/>
      <x:c r="J318" s="1"/>
      <x:c r="K318" s="1"/>
    </x:row>
    <x:row r="319" ht="42" customHeight="1">
      <x:c r="A319" s="7" t="str">
        <x:v>Carcharhinus falciformis</x:v>
      </x:c>
      <x:c r="B319" s="11" t="n">
        <x:v>4.51</x:v>
      </x:c>
      <x:c r="C319" s="12" t="n">
        <x:v>0.0181675793</x:v>
      </x:c>
      <x:c r="D319" s="12" t="n">
        <x:v>6.532126025828904</x:v>
      </x:c>
      <x:c r="E319" s="7" t="str">
        <x:v>Pelagic sharks and rays (100.000000%)</x:v>
      </x:c>
      <x:c r="F319" s="7" t="str">
        <x:v>Medium</x:v>
      </x:c>
      <x:c r="G319" s="7" t="str">
        <x:v>Habitat/size assignment inferred from SAU class. See Sources and the regional Mapping review.</x:v>
      </x:c>
      <x:c r="H319" s="1"/>
      <x:c r="I319" s="1"/>
      <x:c r="J319" s="1"/>
      <x:c r="K319" s="1"/>
    </x:row>
    <x:row r="320" ht="42" customHeight="1">
      <x:c r="A320" s="7" t="str">
        <x:v>Echinodermata</x:v>
      </x:c>
      <x:c r="B320" s="11" t="n">
        <x:v>2.3</x:v>
      </x:c>
      <x:c r="C320" s="12" t="n">
        <x:v>2.7953624538</x:v>
      </x:c>
      <x:c r="D320" s="12" t="n">
        <x:v>6.197201511940083</x:v>
      </x:c>
      <x:c r="E320" s="7" t="str">
        <x:v>Echinoderms (100.000000%)</x:v>
      </x:c>
      <x:c r="F320" s="7" t="str">
        <x:v>High</x:v>
      </x:c>
      <x:c r="G320" s="7" t="str">
        <x:v>Fits the source taxonomic definition. See Sources and the regional Mapping review.</x:v>
      </x:c>
      <x:c r="H320" s="1"/>
      <x:c r="I320" s="1"/>
      <x:c r="J320" s="1"/>
      <x:c r="K320" s="1"/>
    </x:row>
    <x:row r="321" ht="57" customHeight="1">
      <x:c r="A321" s="7" t="str">
        <x:v>Sphyraena jello</x:v>
      </x:c>
      <x:c r="B321" s="11" t="n">
        <x:v>4.5</x:v>
      </x:c>
      <x:c r="C321" s="12" t="n">
        <x:v>0.0099506992</x:v>
      </x:c>
      <x:c r="D321" s="12" t="n">
        <x:v>3.496319309246151</x:v>
      </x:c>
      <x:c r="E321" s="7" t="str">
        <x:v>Juvenile large pelagic fish (89.993906%); Pelagic fish (&gt; 30 cm) (10.006094%)</x:v>
      </x:c>
      <x:c r="F321" s="7" t="str">
        <x:v>Medium</x:v>
      </x:c>
      <x:c r="G321" s="7" t="str">
        <x:v>Habitat/size fit inferred; model-catch stage proxy, fixed across years. See Sources and the regional Mapping review.</x:v>
      </x:c>
      <x:c r="H321" s="1"/>
      <x:c r="I321" s="1"/>
      <x:c r="J321" s="1"/>
      <x:c r="K321" s="1"/>
    </x:row>
    <x:row r="322" ht="42" customHeight="1">
      <x:c r="A322" s="7" t="str">
        <x:v>Ibacus ciliatus</x:v>
      </x:c>
      <x:c r="B322" s="11" t="n">
        <x:v>2.6</x:v>
      </x:c>
      <x:c r="C322" s="12" t="n">
        <x:v>0.7341562811</x:v>
      </x:c>
      <x:c r="D322" s="12" t="n">
        <x:v>3.247476442364433</x:v>
      </x:c>
      <x:c r="E322" s="7" t="str">
        <x:v>Benthic crustaceans (100.000000%)</x:v>
      </x:c>
      <x:c r="F322" s="7" t="str">
        <x:v>High</x:v>
      </x:c>
      <x:c r="G322" s="7" t="str">
        <x:v>Fits the source taxonomic definition. See Sources and the regional Mapping review.</x:v>
      </x:c>
      <x:c r="H322" s="1"/>
      <x:c r="I322" s="1"/>
      <x:c r="J322" s="1"/>
      <x:c r="K322" s="1"/>
    </x:row>
    <x:row r="323" ht="42" customHeight="1">
      <x:c r="A323" s="7" t="str">
        <x:v>Ostreidae</x:v>
      </x:c>
      <x:c r="B323" s="11" t="n">
        <x:v>2</x:v>
      </x:c>
      <x:c r="C323" s="12" t="n">
        <x:v>2.3453648948</x:v>
      </x:c>
      <x:c r="D323" s="12" t="n">
        <x:v>2.605960994222222</x:v>
      </x:c>
      <x:c r="E323" s="7" t="str">
        <x:v>Non-ceph molluscs (100.000000%)</x:v>
      </x:c>
      <x:c r="F323" s="7" t="str">
        <x:v>High</x:v>
      </x:c>
      <x:c r="G323" s="7" t="str">
        <x:v>Fits the source taxonomic definition. See Sources and the regional Mapping review.</x:v>
      </x:c>
      <x:c r="H323" s="1"/>
      <x:c r="I323" s="1"/>
      <x:c r="J323" s="1"/>
      <x:c r="K323" s="1"/>
    </x:row>
    <x:row r="324" ht="42" customHeight="1">
      <x:c r="A324" s="7" t="str">
        <x:v>Sphyrna</x:v>
      </x:c>
      <x:c r="B324" s="11" t="n">
        <x:v>4.2</x:v>
      </x:c>
      <x:c r="C324" s="12" t="n">
        <x:v>0.0130214732</x:v>
      </x:c>
      <x:c r="D324" s="12" t="n">
        <x:v>2.2930715811660933</x:v>
      </x:c>
      <x:c r="E324" s="7" t="str">
        <x:v>Pelagic sharks and rays (100.000000%)</x:v>
      </x:c>
      <x:c r="F324" s="7" t="str">
        <x:v>Medium</x:v>
      </x:c>
      <x:c r="G324" s="7" t="str">
        <x:v>Habitat/size assignment inferred from SAU class. See Sources and the regional Mapping review.</x:v>
      </x:c>
      <x:c r="H324" s="1"/>
      <x:c r="I324" s="1"/>
      <x:c r="J324" s="1"/>
      <x:c r="K324" s="1"/>
    </x:row>
    <x:row r="325" ht="42" customHeight="1">
      <x:c r="A325" s="7" t="str">
        <x:v>Placuna placenta</x:v>
      </x:c>
      <x:c r="B325" s="11" t="n">
        <x:v>2.41</x:v>
      </x:c>
      <x:c r="C325" s="12" t="n">
        <x:v>0.0177393287</x:v>
      </x:c>
      <x:c r="D325" s="12" t="n">
        <x:v>0.05066343964403411</x:v>
      </x:c>
      <x:c r="E325" s="7" t="str">
        <x:v>Non-ceph molluscs (100.000000%)</x:v>
      </x:c>
      <x:c r="F325" s="7" t="str">
        <x:v>High</x:v>
      </x:c>
      <x:c r="G325" s="7" t="str">
        <x:v>Fits the source taxonomic definition. See Sources and the regional Mapping review.</x:v>
      </x:c>
      <x:c r="H325" s="1"/>
      <x:c r="I325" s="1"/>
      <x:c r="J325" s="1"/>
      <x:c r="K325" s="1"/>
    </x:row>
    <x:row r="326" ht="42" customHeight="1">
      <x:c r="A326" s="7" t="str">
        <x:v>Amusium pleuronectes</x:v>
      </x:c>
      <x:c r="B326" s="11" t="n">
        <x:v>2</x:v>
      </x:c>
      <x:c r="C326" s="12" t="n">
        <x:v>0.0005964344</x:v>
      </x:c>
      <x:c r="D326" s="12" t="n">
        <x:v>0.0006627048888888889</x:v>
      </x:c>
      <x:c r="E326" s="7" t="str">
        <x:v>Non-ceph molluscs (100.000000%)</x:v>
      </x:c>
      <x:c r="F326" s="7" t="str">
        <x:v>High</x:v>
      </x:c>
      <x:c r="G326" s="7" t="str">
        <x:v>Fits the source taxonomic definition. See Sources and the regional Mapping review.</x:v>
      </x:c>
      <x:c r="H326" s="1"/>
      <x:c r="I326" s="1"/>
      <x:c r="J326" s="1"/>
      <x:c r="K326" s="1"/>
    </x:row>
    <x:row r="327" ht="57" customHeight="1">
      <x:c r="A327" s="7" t="str">
        <x:v>Auxis rochei</x:v>
      </x:c>
      <x:c r="B327" s="11" t="n">
        <x:v>4.13</x:v>
      </x:c>
      <x:c r="C327" s="12" t="n">
        <x:v>0</x:v>
      </x:c>
      <x:c r="D327" s="12" t="n">
        <x:v>0</x:v>
      </x:c>
      <x:c r="E327" s="7" t="str">
        <x:v>Juvenile large pelagic fish (89.993906%); Pelagic fish (&gt; 30 cm) (10.006094%)</x:v>
      </x:c>
      <x:c r="F327" s="7" t="str">
        <x:v>Medium</x:v>
      </x:c>
      <x:c r="G327" s="7" t="str">
        <x:v>Habitat/size fit inferred; model-catch stage proxy, fixed across years. See Sources and the regional Mapping review.</x:v>
      </x:c>
      <x:c r="H327" s="1"/>
      <x:c r="I327" s="1"/>
      <x:c r="J327" s="1"/>
      <x:c r="K327" s="1"/>
    </x:row>
    <x:row r="328" ht="57" customHeight="1">
      <x:c r="A328" s="7" t="str">
        <x:v>Bramidae</x:v>
      </x:c>
      <x:c r="B328" s="11" t="n">
        <x:v>4.14</x:v>
      </x:c>
      <x:c r="C328" s="12" t="n">
        <x:v>0</x:v>
      </x:c>
      <x:c r="D328" s="12" t="n">
        <x:v>0</x:v>
      </x:c>
      <x:c r="E328" s="7" t="str">
        <x:v>Juvenile large pelagic fish (89.993906%); Pelagic fish (&gt; 30 cm) (10.006094%)</x:v>
      </x:c>
      <x:c r="F328" s="7" t="str">
        <x:v>Low</x:v>
      </x:c>
      <x:c r="G328" s="7" t="str">
        <x:v>Broad lineage; size/habitat containment uncertain; historical stage proxy. See Sources and the regional Mapping review.</x:v>
      </x:c>
      <x:c r="H328" s="1"/>
      <x:c r="I328" s="1"/>
      <x:c r="J328" s="1"/>
      <x:c r="K328" s="1"/>
    </x:row>
    <x:row r="329" ht="57" customHeight="1">
      <x:c r="A329" s="7" t="str">
        <x:v>Cheilopogon unicolor</x:v>
      </x:c>
      <x:c r="B329" s="11" t="n">
        <x:v>3.7</x:v>
      </x:c>
      <x:c r="C329" s="12" t="n">
        <x:v>0</x:v>
      </x:c>
      <x:c r="D329" s="12" t="n">
        <x:v>0</x:v>
      </x:c>
      <x:c r="E329" s="7" t="str">
        <x:v>Juvenile large pelagic fish (89.993906%); Pelagic fish (&gt; 30 cm) (10.006094%)</x:v>
      </x:c>
      <x:c r="F329" s="7" t="str">
        <x:v>Medium</x:v>
      </x:c>
      <x:c r="G329" s="7" t="str">
        <x:v>Habitat/size fit inferred; model-catch stage proxy, fixed across years. See Sources and the regional Mapping review.</x:v>
      </x:c>
      <x:c r="H329" s="1"/>
      <x:c r="I329" s="1"/>
      <x:c r="J329" s="1"/>
      <x:c r="K329" s="1"/>
    </x:row>
    <x:row r="330" ht="42" customHeight="1">
      <x:c r="A330" s="7" t="str">
        <x:v>Encrasicholina punctifer</x:v>
      </x:c>
      <x:c r="B330" s="11" t="n">
        <x:v>3.25</x:v>
      </x:c>
      <x:c r="C330" s="12" t="n">
        <x:v>0</x:v>
      </x:c>
      <x:c r="D330" s="12" t="n">
        <x:v>0</x:v>
      </x:c>
      <x:c r="E330" s="7" t="str">
        <x:v>Pelagic fish (≤ 30 cm) (100.000000%)</x:v>
      </x:c>
      <x:c r="F330" s="7" t="str">
        <x:v>Medium</x:v>
      </x:c>
      <x:c r="G330" s="7" t="str">
        <x:v>Habitat/size assignment inferred from SAU class. See Sources and the regional Mapping review.</x:v>
      </x:c>
      <x:c r="H330" s="1"/>
      <x:c r="I330" s="1"/>
      <x:c r="J330" s="1"/>
      <x:c r="K330" s="1"/>
    </x:row>
    <x:row r="331" ht="42" customHeight="1">
      <x:c r="A331" s="7" t="str">
        <x:v>Epinephelus malabaricus</x:v>
      </x:c>
      <x:c r="B331" s="11" t="n">
        <x:v>4.16</x:v>
      </x:c>
      <x:c r="C331" s="12" t="n">
        <x:v>0</x:v>
      </x:c>
      <x:c r="D331" s="12" t="n">
        <x:v>0</x:v>
      </x:c>
      <x:c r="E331" s="7" t="str">
        <x:v>Adult groupers (100.000000%)</x:v>
      </x:c>
      <x:c r="F331" s="7" t="str">
        <x:v>High</x:v>
      </x:c>
      <x:c r="G331" s="7" t="str">
        <x:v>Fits the source taxonomic definition. See Sources and the regional Mapping review.</x:v>
      </x:c>
      <x:c r="H331" s="1"/>
      <x:c r="I331" s="1"/>
      <x:c r="J331" s="1"/>
      <x:c r="K331" s="1"/>
    </x:row>
    <x:row r="332" ht="57" customHeight="1">
      <x:c r="A332" s="7" t="str">
        <x:v>Evynnis tumifrons</x:v>
      </x:c>
      <x:c r="B332" s="11" t="n">
        <x:v>3.97</x:v>
      </x:c>
      <x:c r="C332" s="12" t="n">
        <x:v>0</x:v>
      </x:c>
      <x:c r="D332" s="12" t="n">
        <x:v>0</x:v>
      </x:c>
      <x:c r="E332" s="7" t="str">
        <x:v>Juvenile demersal fish (&gt; 30 cm) (89.991470%); Adult demersal fish (&gt; 30 cm) (10.008530%)</x:v>
      </x:c>
      <x:c r="F332" s="7" t="str">
        <x:v>Low</x:v>
      </x:c>
      <x:c r="G33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32" s="1"/>
      <x:c r="I332" s="1"/>
      <x:c r="J332" s="1"/>
      <x:c r="K332" s="1"/>
    </x:row>
    <x:row r="333" ht="42" customHeight="1">
      <x:c r="A333" s="7" t="str">
        <x:v>Hemitrygon akajei</x:v>
      </x:c>
      <x:c r="B333" s="11" t="n">
        <x:v>3.84</x:v>
      </x:c>
      <x:c r="C333" s="12" t="n">
        <x:v>0</x:v>
      </x:c>
      <x:c r="D333" s="12" t="n">
        <x:v>0</x:v>
      </x:c>
      <x:c r="E333" s="7" t="str">
        <x:v>Demersal sharks and rays (100.000000%)</x:v>
      </x:c>
      <x:c r="F333" s="7" t="str">
        <x:v>Medium</x:v>
      </x:c>
      <x:c r="G333" s="7" t="str">
        <x:v>Habitat/size assignment inferred from SAU class. See Sources and the regional Mapping review.</x:v>
      </x:c>
      <x:c r="H333" s="1"/>
      <x:c r="I333" s="1"/>
      <x:c r="J333" s="1"/>
      <x:c r="K333" s="1"/>
    </x:row>
    <x:row r="334" ht="42" customHeight="1">
      <x:c r="A334" s="7" t="str">
        <x:v>Lutjanus bohar</x:v>
      </x:c>
      <x:c r="B334" s="11" t="n">
        <x:v>4.27</x:v>
      </x:c>
      <x:c r="C334" s="12" t="n">
        <x:v>0</x:v>
      </x:c>
      <x:c r="D334" s="12" t="n">
        <x:v>0</x:v>
      </x:c>
      <x:c r="E334" s="7" t="str">
        <x:v>Snappers (100.000000%)</x:v>
      </x:c>
      <x:c r="F334" s="7" t="str">
        <x:v>High</x:v>
      </x:c>
      <x:c r="G334" s="7" t="str">
        <x:v>Fits the source taxonomic definition. See Sources and the regional Mapping review.</x:v>
      </x:c>
      <x:c r="H334" s="1"/>
      <x:c r="I334" s="1"/>
      <x:c r="J334" s="1"/>
      <x:c r="K334" s="1"/>
    </x:row>
    <x:row r="335" ht="42" customHeight="1">
      <x:c r="A335" s="7" t="str">
        <x:v>Metapenaeus ensis</x:v>
      </x:c>
      <x:c r="B335" s="11" t="n">
        <x:v>2.7</x:v>
      </x:c>
      <x:c r="C335" s="12" t="n">
        <x:v>0</x:v>
      </x:c>
      <x:c r="D335" s="12" t="n">
        <x:v>0</x:v>
      </x:c>
      <x:c r="E335" s="7" t="str">
        <x:v>Shrimps (100.000000%)</x:v>
      </x:c>
      <x:c r="F335" s="7" t="str">
        <x:v>High</x:v>
      </x:c>
      <x:c r="G335" s="7" t="str">
        <x:v>Fits the source taxonomic definition. See Sources and the regional Mapping review.</x:v>
      </x:c>
      <x:c r="H335" s="1"/>
      <x:c r="I335" s="1"/>
      <x:c r="J335" s="1"/>
      <x:c r="K335" s="1"/>
    </x:row>
    <x:row r="336" ht="57" customHeight="1">
      <x:c r="A336" s="7" t="str">
        <x:v>Muraenidae</x:v>
      </x:c>
      <x:c r="B336" s="11" t="n">
        <x:v>4.07</x:v>
      </x:c>
      <x:c r="C336" s="12" t="n">
        <x:v>0</x:v>
      </x:c>
      <x:c r="D336" s="12" t="n">
        <x:v>0</x:v>
      </x:c>
      <x:c r="E336" s="7" t="str">
        <x:v>Juvenile demersal fish (&gt; 30 cm) (89.991470%); Adult demersal fish (&gt; 30 cm) (10.008530%)</x:v>
      </x:c>
      <x:c r="F336" s="7" t="str">
        <x:v>Low</x:v>
      </x:c>
      <x:c r="G336"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36" s="1"/>
      <x:c r="I336" s="1"/>
      <x:c r="J336" s="1"/>
      <x:c r="K336" s="1"/>
    </x:row>
    <x:row r="337" ht="57" customHeight="1">
      <x:c r="A337" s="7" t="str">
        <x:v>Nibea mitsukurii</x:v>
      </x:c>
      <x:c r="B337" s="11" t="n">
        <x:v>3.5</x:v>
      </x:c>
      <x:c r="C337" s="12" t="n">
        <x:v>0</x:v>
      </x:c>
      <x:c r="D337" s="12" t="n">
        <x:v>0</x:v>
      </x:c>
      <x:c r="E337" s="7" t="str">
        <x:v>Juvenile large croakers (89.873418%); Croakers (&gt; 30 cm) (10.126582%)</x:v>
      </x:c>
      <x:c r="F337" s="7" t="str">
        <x:v>Low</x:v>
      </x:c>
      <x:c r="G337" s="7" t="str">
        <x:v>Large-croaker membership inferred; historical stage proxy. See Sources and the regional Mapping review.</x:v>
      </x:c>
      <x:c r="H337" s="1"/>
      <x:c r="I337" s="1"/>
      <x:c r="J337" s="1"/>
      <x:c r="K337" s="1"/>
    </x:row>
    <x:row r="338" ht="42" customHeight="1">
      <x:c r="A338" s="7" t="str">
        <x:v>Ommastrephidae</x:v>
      </x:c>
      <x:c r="B338" s="11" t="n">
        <x:v>4.09</x:v>
      </x:c>
      <x:c r="C338" s="12" t="n">
        <x:v>0</x:v>
      </x:c>
      <x:c r="D338" s="12" t="n">
        <x:v>0</x:v>
      </x:c>
      <x:c r="E338" s="7" t="str">
        <x:v>Cephalopods (100.000000%)</x:v>
      </x:c>
      <x:c r="F338" s="7" t="str">
        <x:v>High</x:v>
      </x:c>
      <x:c r="G338" s="7" t="str">
        <x:v>Fits the source taxonomic definition. See Sources and the regional Mapping review.</x:v>
      </x:c>
      <x:c r="H338" s="1"/>
      <x:c r="I338" s="1"/>
      <x:c r="J338" s="1"/>
      <x:c r="K338" s="1"/>
    </x:row>
    <x:row r="339" ht="57" customHeight="1">
      <x:c r="A339" s="7" t="str">
        <x:v>Parupeneus barberinus</x:v>
      </x:c>
      <x:c r="B339" s="11" t="n">
        <x:v>3.22</x:v>
      </x:c>
      <x:c r="C339" s="12" t="n">
        <x:v>0</x:v>
      </x:c>
      <x:c r="D339" s="12" t="n">
        <x:v>0</x:v>
      </x:c>
      <x:c r="E339" s="7" t="str">
        <x:v>Juvenile demersal fish (&gt; 30 cm) (89.991470%); Adult demersal fish (&gt; 30 cm) (10.008530%)</x:v>
      </x:c>
      <x:c r="F339" s="7" t="str">
        <x:v>Low</x:v>
      </x:c>
      <x:c r="G339"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39" s="1"/>
      <x:c r="I339" s="1"/>
      <x:c r="J339" s="1"/>
      <x:c r="K339" s="1"/>
    </x:row>
    <x:row r="340" ht="57" customHeight="1">
      <x:c r="A340" s="7" t="str">
        <x:v>Polydactylus sexfilis</x:v>
      </x:c>
      <x:c r="B340" s="11" t="n">
        <x:v>3.43</x:v>
      </x:c>
      <x:c r="C340" s="12" t="n">
        <x:v>0</x:v>
      </x:c>
      <x:c r="D340" s="12" t="n">
        <x:v>0</x:v>
      </x:c>
      <x:c r="E340" s="7" t="str">
        <x:v>Juvenile demersal fish (&gt; 30 cm) (89.991470%); Adult demersal fish (&gt; 30 cm) (10.008530%)</x:v>
      </x:c>
      <x:c r="F340" s="7" t="str">
        <x:v>Low</x:v>
      </x:c>
      <x:c r="G340"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40" s="1"/>
      <x:c r="I340" s="1"/>
      <x:c r="J340" s="1"/>
      <x:c r="K340" s="1"/>
    </x:row>
    <x:row r="341" ht="42" customHeight="1">
      <x:c r="A341" s="7" t="str">
        <x:v>Saurida undosquamis</x:v>
      </x:c>
      <x:c r="B341" s="11" t="n">
        <x:v>4.46</x:v>
      </x:c>
      <x:c r="C341" s="12" t="n">
        <x:v>0</x:v>
      </x:c>
      <x:c r="D341" s="12" t="n">
        <x:v>0</x:v>
      </x:c>
      <x:c r="E341" s="7" t="str">
        <x:v>Lizard fish (synodontids) (100.000000%)</x:v>
      </x:c>
      <x:c r="F341" s="7" t="str">
        <x:v>High</x:v>
      </x:c>
      <x:c r="G341" s="7" t="str">
        <x:v>Explicit source member. See Sources and the regional Mapping review.</x:v>
      </x:c>
      <x:c r="H341" s="1"/>
      <x:c r="I341" s="1"/>
      <x:c r="J341" s="1"/>
      <x:c r="K341" s="1"/>
    </x:row>
    <x:row r="342" ht="42" customHeight="1">
      <x:c r="A342" s="7" t="str">
        <x:v>Scylla</x:v>
      </x:c>
      <x:c r="B342" s="11" t="n">
        <x:v>3.17</x:v>
      </x:c>
      <x:c r="C342" s="12" t="n">
        <x:v>0</x:v>
      </x:c>
      <x:c r="D342" s="12" t="n">
        <x:v>0</x:v>
      </x:c>
      <x:c r="E342" s="7" t="str">
        <x:v>Crabs (100.000000%)</x:v>
      </x:c>
      <x:c r="F342" s="7" t="str">
        <x:v>High</x:v>
      </x:c>
      <x:c r="G342" s="7" t="str">
        <x:v>Fits the source taxonomic definition. See Sources and the regional Mapping review.</x:v>
      </x:c>
      <x:c r="H342" s="1"/>
      <x:c r="I342" s="1"/>
      <x:c r="J342" s="1"/>
      <x:c r="K342" s="1"/>
    </x:row>
    <x:row r="343" ht="57" customHeight="1">
      <x:c r="A343" s="7" t="str">
        <x:v>Sillago sihama</x:v>
      </x:c>
      <x:c r="B343" s="11" t="n">
        <x:v>3.33</x:v>
      </x:c>
      <x:c r="C343" s="12" t="n">
        <x:v>0</x:v>
      </x:c>
      <x:c r="D343" s="12" t="n">
        <x:v>0</x:v>
      </x:c>
      <x:c r="E343" s="7" t="str">
        <x:v>Juvenile demersal fish (&gt; 30 cm) (89.991470%); Adult demersal fish (&gt; 30 cm) (10.008530%)</x:v>
      </x:c>
      <x:c r="F343" s="7" t="str">
        <x:v>Low</x:v>
      </x:c>
      <x:c r="G343"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43" s="1"/>
      <x:c r="I343" s="1"/>
      <x:c r="J343" s="1"/>
      <x:c r="K343" s="1"/>
    </x:row>
    <x:row r="344" ht="57" customHeight="1">
      <x:c r="A344" s="7" t="str">
        <x:v>Sphyraena barracuda</x:v>
      </x:c>
      <x:c r="B344" s="11" t="n">
        <x:v>4.49</x:v>
      </x:c>
      <x:c r="C344" s="12" t="n">
        <x:v>0</x:v>
      </x:c>
      <x:c r="D344" s="12" t="n">
        <x:v>0</x:v>
      </x:c>
      <x:c r="E344" s="7" t="str">
        <x:v>Juvenile large pelagic fish (89.993906%); Pelagic fish (&gt; 30 cm) (10.006094%)</x:v>
      </x:c>
      <x:c r="F344" s="7" t="str">
        <x:v>Medium</x:v>
      </x:c>
      <x:c r="G344" s="7" t="str">
        <x:v>Habitat/size fit inferred; model-catch stage proxy, fixed across years. See Sources and the regional Mapping review.</x:v>
      </x:c>
      <x:c r="H344" s="1"/>
      <x:c r="I344" s="1"/>
      <x:c r="J344" s="1"/>
      <x:c r="K344" s="1"/>
    </x:row>
    <x:row r="345" ht="42" customHeight="1">
      <x:c r="A345" s="7" t="str">
        <x:v>Tripneustes gratilla</x:v>
      </x:c>
      <x:c r="B345" s="11" t="n">
        <x:v>2</x:v>
      </x:c>
      <x:c r="C345" s="12" t="n">
        <x:v>0</x:v>
      </x:c>
      <x:c r="D345" s="12" t="n">
        <x:v>0</x:v>
      </x:c>
      <x:c r="E345" s="7" t="str">
        <x:v>Echinoderms (100.000000%)</x:v>
      </x:c>
      <x:c r="F345" s="7" t="str">
        <x:v>High</x:v>
      </x:c>
      <x:c r="G345" s="7" t="str">
        <x:v>Fits the source taxonomic definition. See Sources and the regional Mapping review.</x:v>
      </x:c>
      <x:c r="H345" s="1"/>
      <x:c r="I345" s="1"/>
      <x:c r="J345" s="1"/>
      <x:c r="K345" s="1"/>
    </x:row>
    <x:row r="346" ht="42" customHeight="1">
      <x:c r="A346" s="7" t="str">
        <x:v>Acetes sibogae</x:v>
      </x:c>
      <x:c r="B346" s="11" t="str">
        <x:v>?</x:v>
      </x:c>
      <x:c r="C346" s="12" t="n">
        <x:v>0</x:v>
      </x:c>
      <x:c r="D346" s="12" t="str">
        <x:v>?</x:v>
      </x:c>
      <x:c r="E346" s="7" t="str">
        <x:v>Zooplankton (100.000000%)</x:v>
      </x:c>
      <x:c r="F346" s="7" t="str">
        <x:v>High</x:v>
      </x:c>
      <x:c r="G346" s="7" t="str">
        <x:v>Explicit source member. See Sources and the regional Mapping review.</x:v>
      </x:c>
      <x:c r="H346" s="1"/>
      <x:c r="I346" s="1"/>
      <x:c r="J346" s="1"/>
      <x:c r="K346" s="1"/>
    </x:row>
    <x:row r="347" ht="42" customHeight="1">
      <x:c r="A347" s="7" t="str">
        <x:v>Atule mate</x:v>
      </x:c>
      <x:c r="B347" s="11" t="str">
        <x:v>?</x:v>
      </x:c>
      <x:c r="C347" s="12" t="n">
        <x:v>0</x:v>
      </x:c>
      <x:c r="D347" s="12" t="str">
        <x:v>?</x:v>
      </x:c>
      <x:c r="E347" s="7" t="str">
        <x:v>Pelagic fish (≤ 30 cm) (100.000000%)</x:v>
      </x:c>
      <x:c r="F347" s="7" t="str">
        <x:v>Medium</x:v>
      </x:c>
      <x:c r="G347" s="7" t="str">
        <x:v>Habitat/size assignment inferred from SAU class. See Sources and the regional Mapping review.</x:v>
      </x:c>
      <x:c r="H347" s="1"/>
      <x:c r="I347" s="1"/>
      <x:c r="J347" s="1"/>
      <x:c r="K347" s="1"/>
    </x:row>
    <x:row r="348" ht="42" customHeight="1">
      <x:c r="A348" s="7" t="str">
        <x:v>Beryx</x:v>
      </x:c>
      <x:c r="B348" s="11" t="str">
        <x:v>?</x:v>
      </x:c>
      <x:c r="C348" s="12" t="n">
        <x:v>0</x:v>
      </x:c>
      <x:c r="D348" s="12" t="str">
        <x:v>?</x:v>
      </x:c>
      <x:c r="E348" s="7" t="str">
        <x:v>Benthopelagic fish (100.000000%)</x:v>
      </x:c>
      <x:c r="F348" s="7" t="str">
        <x:v>Low</x:v>
      </x:c>
      <x:c r="G348" s="7" t="str">
        <x:v>Ecological assignment; final benthopelagic pool is ambiguous. See Sources and the regional Mapping review.</x:v>
      </x:c>
      <x:c r="H348" s="1"/>
      <x:c r="I348" s="1"/>
      <x:c r="J348" s="1"/>
      <x:c r="K348" s="1"/>
    </x:row>
    <x:row r="349" ht="42" customHeight="1">
      <x:c r="A349" s="7" t="str">
        <x:v>Carcharhinus amblyrhynchos</x:v>
      </x:c>
      <x:c r="B349" s="11" t="str">
        <x:v>?</x:v>
      </x:c>
      <x:c r="C349" s="12" t="n">
        <x:v>0</x:v>
      </x:c>
      <x:c r="D349" s="12" t="str">
        <x:v>?</x:v>
      </x:c>
      <x:c r="E349" s="7" t="str">
        <x:v>Demersal sharks and rays (100.000000%)</x:v>
      </x:c>
      <x:c r="F349" s="7" t="str">
        <x:v>Medium</x:v>
      </x:c>
      <x:c r="G349" s="7" t="str">
        <x:v>Habitat/size assignment inferred from SAU class. See Sources and the regional Mapping review.</x:v>
      </x:c>
      <x:c r="H349" s="1"/>
      <x:c r="I349" s="1"/>
      <x:c r="J349" s="1"/>
      <x:c r="K349" s="1"/>
    </x:row>
    <x:row r="350" ht="42" customHeight="1">
      <x:c r="A350" s="7" t="str">
        <x:v>Charybdis anisodon</x:v>
      </x:c>
      <x:c r="B350" s="11" t="str">
        <x:v>?</x:v>
      </x:c>
      <x:c r="C350" s="12" t="n">
        <x:v>0</x:v>
      </x:c>
      <x:c r="D350" s="12" t="str">
        <x:v>?</x:v>
      </x:c>
      <x:c r="E350" s="7" t="str">
        <x:v>Crabs (100.000000%)</x:v>
      </x:c>
      <x:c r="F350" s="7" t="str">
        <x:v>High</x:v>
      </x:c>
      <x:c r="G350" s="7" t="str">
        <x:v>Fits the source taxonomic definition. See Sources and the regional Mapping review.</x:v>
      </x:c>
      <x:c r="H350" s="1"/>
      <x:c r="I350" s="1"/>
      <x:c r="J350" s="1"/>
      <x:c r="K350" s="1"/>
    </x:row>
    <x:row r="351" ht="42" customHeight="1">
      <x:c r="A351" s="7" t="str">
        <x:v>Charybdis feriatus</x:v>
      </x:c>
      <x:c r="B351" s="11" t="str">
        <x:v>?</x:v>
      </x:c>
      <x:c r="C351" s="12" t="n">
        <x:v>0</x:v>
      </x:c>
      <x:c r="D351" s="12" t="str">
        <x:v>?</x:v>
      </x:c>
      <x:c r="E351" s="7" t="str">
        <x:v>Crabs (100.000000%)</x:v>
      </x:c>
      <x:c r="F351" s="7" t="str">
        <x:v>High</x:v>
      </x:c>
      <x:c r="G351" s="7" t="str">
        <x:v>Fits the source taxonomic definition. See Sources and the regional Mapping review.</x:v>
      </x:c>
      <x:c r="H351" s="1"/>
      <x:c r="I351" s="1"/>
      <x:c r="J351" s="1"/>
      <x:c r="K351" s="1"/>
    </x:row>
    <x:row r="352" ht="57" customHeight="1">
      <x:c r="A352" s="7" t="str">
        <x:v>Congridae</x:v>
      </x:c>
      <x:c r="B352" s="11" t="str">
        <x:v>?</x:v>
      </x:c>
      <x:c r="C352" s="12" t="n">
        <x:v>0</x:v>
      </x:c>
      <x:c r="D352" s="12" t="str">
        <x:v>?</x:v>
      </x:c>
      <x:c r="E352" s="7" t="str">
        <x:v>Juvenile demersal fish (&gt; 30 cm) (89.991470%); Adult demersal fish (&gt; 30 cm) (10.008530%)</x:v>
      </x:c>
      <x:c r="F352" s="7" t="str">
        <x:v>Low</x:v>
      </x:c>
      <x:c r="G352" s="7" t="str">
        <x:v>Source juvenile/adult definitions conflict (18 months versus age 2), leaving stage membership uncertain. Model catch proportions supply the approved Medium allocation assumption; overall confidence remains Low because membership is uncertain. See Sources and the regional Mapping review.</x:v>
      </x:c>
      <x:c r="H352" s="1"/>
      <x:c r="I352" s="1"/>
      <x:c r="J352" s="1"/>
      <x:c r="K352" s="1"/>
    </x:row>
    <x:row r="353" ht="42" customHeight="1">
      <x:c r="A353" s="7" t="str">
        <x:v>Crassostrea</x:v>
      </x:c>
      <x:c r="B353" s="11" t="str">
        <x:v>?</x:v>
      </x:c>
      <x:c r="C353" s="12" t="n">
        <x:v>0</x:v>
      </x:c>
      <x:c r="D353" s="12" t="str">
        <x:v>?</x:v>
      </x:c>
      <x:c r="E353" s="7" t="str">
        <x:v>Non-ceph molluscs (100.000000%)</x:v>
      </x:c>
      <x:c r="F353" s="7" t="str">
        <x:v>High</x:v>
      </x:c>
      <x:c r="G353" s="7" t="str">
        <x:v>Fits the source taxonomic definition. See Sources and the regional Mapping review.</x:v>
      </x:c>
      <x:c r="H353" s="1"/>
      <x:c r="I353" s="1"/>
      <x:c r="J353" s="1"/>
      <x:c r="K353" s="1"/>
    </x:row>
    <x:row r="354" ht="42" customHeight="1">
      <x:c r="A354" s="7" t="str">
        <x:v>Echinozoa</x:v>
      </x:c>
      <x:c r="B354" s="11" t="str">
        <x:v>?</x:v>
      </x:c>
      <x:c r="C354" s="12" t="n">
        <x:v>0</x:v>
      </x:c>
      <x:c r="D354" s="12" t="str">
        <x:v>?</x:v>
      </x:c>
      <x:c r="E354" s="7" t="str">
        <x:v>Echinoderms (100.000000%)</x:v>
      </x:c>
      <x:c r="F354" s="7" t="str">
        <x:v>High</x:v>
      </x:c>
      <x:c r="G354" s="7" t="str">
        <x:v>Fits the source taxonomic definition. See Sources and the regional Mapping review.</x:v>
      </x:c>
      <x:c r="H354" s="1"/>
      <x:c r="I354" s="1"/>
      <x:c r="J354" s="1"/>
      <x:c r="K354" s="1"/>
    </x:row>
    <x:row r="355" ht="87" customHeight="1">
      <x:c r="A355" s="7" t="str">
        <x:v>Gadiformes</x:v>
      </x:c>
      <x:c r="B355" s="11" t="str">
        <x:v>?</x:v>
      </x:c>
      <x:c r="C355" s="12" t="n">
        <x:v>0</x:v>
      </x:c>
      <x:c r="D355" s="12" t="str">
        <x:v>?</x:v>
      </x:c>
      <x:c r="E355" s="7" t="str">
        <x:v>Benthopelagic fish (100.000000%)</x:v>
      </x:c>
      <x:c r="F355" s="7" t="str">
        <x:v>Very low</x:v>
      </x:c>
      <x:c r="G355" s="7" t="str">
        <x:v>The saved catch classification is benthopelagic. Use the single represented Benthopelagic fish compartment as a whole-catch analogue. Species/depth composition and the source small/large-pool aggregation are uncertain; this is not documented exact source membership. All catch is assigned to the single analogue. Very low membership confidence; see Sources and the regional Mapping review.</x:v>
      </x:c>
      <x:c r="H355" s="1"/>
      <x:c r="I355" s="1"/>
      <x:c r="J355" s="1"/>
      <x:c r="K355" s="1"/>
    </x:row>
    <x:row r="356" ht="42" customHeight="1">
      <x:c r="A356" s="7" t="str">
        <x:v>Haliotis</x:v>
      </x:c>
      <x:c r="B356" s="11" t="str">
        <x:v>?</x:v>
      </x:c>
      <x:c r="C356" s="12" t="n">
        <x:v>0</x:v>
      </x:c>
      <x:c r="D356" s="12" t="str">
        <x:v>?</x:v>
      </x:c>
      <x:c r="E356" s="7" t="str">
        <x:v>Non-ceph molluscs (100.000000%)</x:v>
      </x:c>
      <x:c r="F356" s="7" t="str">
        <x:v>High</x:v>
      </x:c>
      <x:c r="G356" s="7" t="str">
        <x:v>Fits the source taxonomic definition. See Sources and the regional Mapping review.</x:v>
      </x:c>
      <x:c r="H356" s="1"/>
      <x:c r="I356" s="1"/>
      <x:c r="J356" s="1"/>
      <x:c r="K356" s="1"/>
    </x:row>
    <x:row r="357" ht="42" customHeight="1">
      <x:c r="A357" s="7" t="str">
        <x:v>Hemitriakis japanica</x:v>
      </x:c>
      <x:c r="B357" s="11" t="str">
        <x:v>?</x:v>
      </x:c>
      <x:c r="C357" s="12" t="n">
        <x:v>0</x:v>
      </x:c>
      <x:c r="D357" s="12" t="str">
        <x:v>?</x:v>
      </x:c>
      <x:c r="E357" s="7" t="str">
        <x:v>Demersal sharks and rays (100.000000%)</x:v>
      </x:c>
      <x:c r="F357" s="7" t="str">
        <x:v>Medium</x:v>
      </x:c>
      <x:c r="G357" s="7" t="str">
        <x:v>Habitat/size assignment inferred from SAU class. See Sources and the regional Mapping review.</x:v>
      </x:c>
      <x:c r="H357" s="1"/>
      <x:c r="I357" s="1"/>
      <x:c r="J357" s="1"/>
      <x:c r="K357" s="1"/>
    </x:row>
    <x:row r="358" ht="42" customHeight="1">
      <x:c r="A358" s="7" t="str">
        <x:v>Holothuriidae</x:v>
      </x:c>
      <x:c r="B358" s="11" t="str">
        <x:v>?</x:v>
      </x:c>
      <x:c r="C358" s="12" t="n">
        <x:v>0</x:v>
      </x:c>
      <x:c r="D358" s="12" t="str">
        <x:v>?</x:v>
      </x:c>
      <x:c r="E358" s="7" t="str">
        <x:v>Echinoderms (100.000000%)</x:v>
      </x:c>
      <x:c r="F358" s="7" t="str">
        <x:v>High</x:v>
      </x:c>
      <x:c r="G358" s="7" t="str">
        <x:v>Fits the source taxonomic definition. See Sources and the regional Mapping review.</x:v>
      </x:c>
      <x:c r="H358" s="1"/>
      <x:c r="I358" s="1"/>
      <x:c r="J358" s="1"/>
      <x:c r="K358" s="1"/>
    </x:row>
    <x:row r="359" ht="42" customHeight="1">
      <x:c r="A359" s="7" t="str">
        <x:v>Holothuroidea</x:v>
      </x:c>
      <x:c r="B359" s="11" t="str">
        <x:v>?</x:v>
      </x:c>
      <x:c r="C359" s="12" t="n">
        <x:v>0</x:v>
      </x:c>
      <x:c r="D359" s="12" t="str">
        <x:v>?</x:v>
      </x:c>
      <x:c r="E359" s="7" t="str">
        <x:v>Echinoderms (100.000000%)</x:v>
      </x:c>
      <x:c r="F359" s="7" t="str">
        <x:v>High</x:v>
      </x:c>
      <x:c r="G359" s="7" t="str">
        <x:v>Fits the source taxonomic definition. See Sources and the regional Mapping review.</x:v>
      </x:c>
      <x:c r="H359" s="1"/>
      <x:c r="I359" s="1"/>
      <x:c r="J359" s="1"/>
      <x:c r="K359" s="1"/>
    </x:row>
    <x:row r="360" ht="102" customHeight="1">
      <x:c r="A360" s="7" t="str">
        <x:v>Lepidocybium flavobrunneum</x:v>
      </x:c>
      <x:c r="B360" s="11" t="str">
        <x:v>?</x:v>
      </x:c>
      <x:c r="C360" s="12" t="n">
        <x:v>0</x:v>
      </x:c>
      <x:c r="D360" s="12" t="str">
        <x:v>?</x:v>
      </x:c>
      <x:c r="E360" s="7" t="str">
        <x:v>Juvenile large pelagic fish (89.993906%); Pelagic fish (&gt; 30 cm) (10.006094%)</x:v>
      </x:c>
      <x:c r="F360" s="7" t="str">
        <x:v>Very low</x:v>
      </x:c>
      <x:c r="G360" s="7" t="str">
        <x:v>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x:v>
      </x:c>
      <x:c r="H360" s="1"/>
      <x:c r="I360" s="1"/>
      <x:c r="J360" s="1"/>
      <x:c r="K360" s="1"/>
    </x:row>
    <x:row r="361" ht="42" customHeight="1">
      <x:c r="A361" s="7" t="str">
        <x:v>Lutjanus argentimaculatus</x:v>
      </x:c>
      <x:c r="B361" s="11" t="str">
        <x:v>?</x:v>
      </x:c>
      <x:c r="C361" s="12" t="n">
        <x:v>0</x:v>
      </x:c>
      <x:c r="D361" s="12" t="str">
        <x:v>?</x:v>
      </x:c>
      <x:c r="E361" s="7" t="str">
        <x:v>Snappers (100.000000%)</x:v>
      </x:c>
      <x:c r="F361" s="7" t="str">
        <x:v>High</x:v>
      </x:c>
      <x:c r="G361" s="7" t="str">
        <x:v>Fits the source taxonomic definition. See Sources and the regional Mapping review.</x:v>
      </x:c>
      <x:c r="H361" s="1"/>
      <x:c r="I361" s="1"/>
      <x:c r="J361" s="1"/>
      <x:c r="K361" s="1"/>
    </x:row>
    <x:row r="362" ht="42" customHeight="1">
      <x:c r="A362" s="7" t="str">
        <x:v>Melicertus canaliculatus</x:v>
      </x:c>
      <x:c r="B362" s="11" t="str">
        <x:v>?</x:v>
      </x:c>
      <x:c r="C362" s="12" t="n">
        <x:v>0</x:v>
      </x:c>
      <x:c r="D362" s="12" t="str">
        <x:v>?</x:v>
      </x:c>
      <x:c r="E362" s="7" t="str">
        <x:v>Shrimps (100.000000%)</x:v>
      </x:c>
      <x:c r="F362" s="7" t="str">
        <x:v>High</x:v>
      </x:c>
      <x:c r="G362" s="7" t="str">
        <x:v>Fits the source taxonomic definition. See Sources and the regional Mapping review.</x:v>
      </x:c>
      <x:c r="H362" s="1"/>
      <x:c r="I362" s="1"/>
      <x:c r="J362" s="1"/>
      <x:c r="K362" s="1"/>
    </x:row>
    <x:row r="363" ht="42" customHeight="1">
      <x:c r="A363" s="7" t="str">
        <x:v>Metapenaeus affinis</x:v>
      </x:c>
      <x:c r="B363" s="11" t="str">
        <x:v>?</x:v>
      </x:c>
      <x:c r="C363" s="12" t="n">
        <x:v>0</x:v>
      </x:c>
      <x:c r="D363" s="12" t="str">
        <x:v>?</x:v>
      </x:c>
      <x:c r="E363" s="7" t="str">
        <x:v>Shrimps (100.000000%)</x:v>
      </x:c>
      <x:c r="F363" s="7" t="str">
        <x:v>High</x:v>
      </x:c>
      <x:c r="G363" s="7" t="str">
        <x:v>Fits the source taxonomic definition. See Sources and the regional Mapping review.</x:v>
      </x:c>
      <x:c r="H363" s="1"/>
      <x:c r="I363" s="1"/>
      <x:c r="J363" s="1"/>
      <x:c r="K363" s="1"/>
    </x:row>
    <x:row r="364" ht="42" customHeight="1">
      <x:c r="A364" s="7" t="str">
        <x:v>Metapenaeus tenuipes</x:v>
      </x:c>
      <x:c r="B364" s="11" t="str">
        <x:v>?</x:v>
      </x:c>
      <x:c r="C364" s="12" t="n">
        <x:v>0</x:v>
      </x:c>
      <x:c r="D364" s="12" t="str">
        <x:v>?</x:v>
      </x:c>
      <x:c r="E364" s="7" t="str">
        <x:v>Shrimps (100.000000%)</x:v>
      </x:c>
      <x:c r="F364" s="7" t="str">
        <x:v>High</x:v>
      </x:c>
      <x:c r="G364" s="7" t="str">
        <x:v>Fits the source taxonomic definition. See Sources and the regional Mapping review.</x:v>
      </x:c>
      <x:c r="H364" s="1"/>
      <x:c r="I364" s="1"/>
      <x:c r="J364" s="1"/>
      <x:c r="K364" s="1"/>
    </x:row>
    <x:row r="365" ht="42" customHeight="1">
      <x:c r="A365" s="7" t="str">
        <x:v>Mierspenaeopsis sculptilis</x:v>
      </x:c>
      <x:c r="B365" s="11" t="str">
        <x:v>?</x:v>
      </x:c>
      <x:c r="C365" s="12" t="n">
        <x:v>0</x:v>
      </x:c>
      <x:c r="D365" s="12" t="str">
        <x:v>?</x:v>
      </x:c>
      <x:c r="E365" s="7" t="str">
        <x:v>Shrimps (100.000000%)</x:v>
      </x:c>
      <x:c r="F365" s="7" t="str">
        <x:v>High</x:v>
      </x:c>
      <x:c r="G365" s="7" t="str">
        <x:v>Fits the source taxonomic definition. See Sources and the regional Mapping review.</x:v>
      </x:c>
      <x:c r="H365" s="1"/>
      <x:c r="I365" s="1"/>
      <x:c r="J365" s="1"/>
      <x:c r="K365" s="1"/>
    </x:row>
    <x:row r="366" ht="42" customHeight="1">
      <x:c r="A366" s="7" t="str">
        <x:v>Modiolus</x:v>
      </x:c>
      <x:c r="B366" s="11" t="str">
        <x:v>?</x:v>
      </x:c>
      <x:c r="C366" s="12" t="n">
        <x:v>0</x:v>
      </x:c>
      <x:c r="D366" s="12" t="str">
        <x:v>?</x:v>
      </x:c>
      <x:c r="E366" s="7" t="str">
        <x:v>Non-ceph molluscs (100.000000%)</x:v>
      </x:c>
      <x:c r="F366" s="7" t="str">
        <x:v>High</x:v>
      </x:c>
      <x:c r="G366" s="7" t="str">
        <x:v>Fits the source taxonomic definition. See Sources and the regional Mapping review.</x:v>
      </x:c>
      <x:c r="H366" s="1"/>
      <x:c r="I366" s="1"/>
      <x:c r="J366" s="1"/>
      <x:c r="K366" s="1"/>
    </x:row>
    <x:row r="367" ht="42" customHeight="1">
      <x:c r="A367" s="7" t="str">
        <x:v>Ozius guttatus</x:v>
      </x:c>
      <x:c r="B367" s="11" t="str">
        <x:v>?</x:v>
      </x:c>
      <x:c r="C367" s="12" t="n">
        <x:v>0</x:v>
      </x:c>
      <x:c r="D367" s="12" t="str">
        <x:v>?</x:v>
      </x:c>
      <x:c r="E367" s="7" t="str">
        <x:v>Crabs (100.000000%)</x:v>
      </x:c>
      <x:c r="F367" s="7" t="str">
        <x:v>High</x:v>
      </x:c>
      <x:c r="G367" s="7" t="str">
        <x:v>Fits the source taxonomic definition. See Sources and the regional Mapping review.</x:v>
      </x:c>
      <x:c r="H367" s="1"/>
      <x:c r="I367" s="1"/>
      <x:c r="J367" s="1"/>
      <x:c r="K367" s="1"/>
    </x:row>
    <x:row r="368" ht="42" customHeight="1">
      <x:c r="A368" s="7" t="str">
        <x:v>Pectinidae</x:v>
      </x:c>
      <x:c r="B368" s="11" t="str">
        <x:v>?</x:v>
      </x:c>
      <x:c r="C368" s="12" t="n">
        <x:v>0</x:v>
      </x:c>
      <x:c r="D368" s="12" t="str">
        <x:v>?</x:v>
      </x:c>
      <x:c r="E368" s="7" t="str">
        <x:v>Non-ceph molluscs (100.000000%)</x:v>
      </x:c>
      <x:c r="F368" s="7" t="str">
        <x:v>High</x:v>
      </x:c>
      <x:c r="G368" s="7" t="str">
        <x:v>Fits the source taxonomic definition. See Sources and the regional Mapping review.</x:v>
      </x:c>
      <x:c r="H368" s="1"/>
      <x:c r="I368" s="1"/>
      <x:c r="J368" s="1"/>
      <x:c r="K368" s="1"/>
    </x:row>
    <x:row r="369" ht="42" customHeight="1">
      <x:c r="A369" s="7" t="str">
        <x:v>Pinctada</x:v>
      </x:c>
      <x:c r="B369" s="11" t="str">
        <x:v>?</x:v>
      </x:c>
      <x:c r="C369" s="12" t="n">
        <x:v>0</x:v>
      </x:c>
      <x:c r="D369" s="12" t="str">
        <x:v>?</x:v>
      </x:c>
      <x:c r="E369" s="7" t="str">
        <x:v>Non-ceph molluscs (100.000000%)</x:v>
      </x:c>
      <x:c r="F369" s="7" t="str">
        <x:v>High</x:v>
      </x:c>
      <x:c r="G369" s="7" t="str">
        <x:v>Fits the source taxonomic definition. See Sources and the regional Mapping review.</x:v>
      </x:c>
      <x:c r="H369" s="1"/>
      <x:c r="I369" s="1"/>
      <x:c r="J369" s="1"/>
      <x:c r="K369" s="1"/>
    </x:row>
    <x:row r="370" ht="42" customHeight="1">
      <x:c r="A370" s="7" t="str">
        <x:v>Podophthalmus vigil</x:v>
      </x:c>
      <x:c r="B370" s="11" t="str">
        <x:v>?</x:v>
      </x:c>
      <x:c r="C370" s="12" t="n">
        <x:v>0</x:v>
      </x:c>
      <x:c r="D370" s="12" t="str">
        <x:v>?</x:v>
      </x:c>
      <x:c r="E370" s="7" t="str">
        <x:v>Crabs (100.000000%)</x:v>
      </x:c>
      <x:c r="F370" s="7" t="str">
        <x:v>High</x:v>
      </x:c>
      <x:c r="G370" s="7" t="str">
        <x:v>Fits the source taxonomic definition. See Sources and the regional Mapping review.</x:v>
      </x:c>
      <x:c r="H370" s="1"/>
      <x:c r="I370" s="1"/>
      <x:c r="J370" s="1"/>
      <x:c r="K370" s="1"/>
    </x:row>
    <x:row r="371" ht="42" customHeight="1">
      <x:c r="A371" s="7" t="str">
        <x:v>Rhincodon typus</x:v>
      </x:c>
      <x:c r="B371" s="11" t="str">
        <x:v>?</x:v>
      </x:c>
      <x:c r="C371" s="12" t="n">
        <x:v>0</x:v>
      </x:c>
      <x:c r="D371" s="12" t="str">
        <x:v>?</x:v>
      </x:c>
      <x:c r="E371" s="7" t="str">
        <x:v>Pelagic sharks and rays (100.000000%)</x:v>
      </x:c>
      <x:c r="F371" s="7" t="str">
        <x:v>Medium</x:v>
      </x:c>
      <x:c r="G371" s="7" t="str">
        <x:v>Habitat/size assignment inferred from SAU class. See Sources and the regional Mapping review.</x:v>
      </x:c>
      <x:c r="H371" s="1"/>
      <x:c r="I371" s="1"/>
      <x:c r="J371" s="1"/>
      <x:c r="K371" s="1"/>
    </x:row>
    <x:row r="372" ht="57" customHeight="1">
      <x:c r="A372" s="7" t="str">
        <x:v>Sphyraena obtusata</x:v>
      </x:c>
      <x:c r="B372" s="11" t="str">
        <x:v>?</x:v>
      </x:c>
      <x:c r="C372" s="12" t="n">
        <x:v>0</x:v>
      </x:c>
      <x:c r="D372" s="12" t="str">
        <x:v>?</x:v>
      </x:c>
      <x:c r="E372" s="7" t="str">
        <x:v>Juvenile large pelagic fish (89.993906%); Pelagic fish (&gt; 30 cm) (10.006094%)</x:v>
      </x:c>
      <x:c r="F372" s="7" t="str">
        <x:v>Medium</x:v>
      </x:c>
      <x:c r="G372" s="7" t="str">
        <x:v>Habitat/size fit inferred; model-catch stage proxy, fixed across years. See Sources and the regional Mapping review.</x:v>
      </x:c>
      <x:c r="H372" s="1"/>
      <x:c r="I372" s="1"/>
      <x:c r="J372" s="1"/>
      <x:c r="K372" s="1"/>
    </x:row>
    <x:row r="373" ht="42" customHeight="1">
      <x:c r="A373" s="7" t="str">
        <x:v>Sphyrna lewini</x:v>
      </x:c>
      <x:c r="B373" s="11" t="str">
        <x:v>?</x:v>
      </x:c>
      <x:c r="C373" s="12" t="n">
        <x:v>0</x:v>
      </x:c>
      <x:c r="D373" s="12" t="str">
        <x:v>?</x:v>
      </x:c>
      <x:c r="E373" s="7" t="str">
        <x:v>Pelagic sharks and rays (100.000000%)</x:v>
      </x:c>
      <x:c r="F373" s="7" t="str">
        <x:v>Medium</x:v>
      </x:c>
      <x:c r="G373" s="7" t="str">
        <x:v>Habitat/size assignment inferred from SAU class. See Sources and the regional Mapping review.</x:v>
      </x:c>
      <x:c r="H373" s="1"/>
      <x:c r="I373" s="1"/>
      <x:c r="J373" s="1"/>
      <x:c r="K373" s="1"/>
    </x:row>
    <x:row r="374" ht="42" customHeight="1">
      <x:c r="A374" s="7" t="str">
        <x:v>Sphyrnidae</x:v>
      </x:c>
      <x:c r="B374" s="11" t="str">
        <x:v>?</x:v>
      </x:c>
      <x:c r="C374" s="12" t="n">
        <x:v>0</x:v>
      </x:c>
      <x:c r="D374" s="12" t="str">
        <x:v>?</x:v>
      </x:c>
      <x:c r="E374" s="7" t="str">
        <x:v>Pelagic sharks and rays (100.000000%)</x:v>
      </x:c>
      <x:c r="F374" s="7" t="str">
        <x:v>Medium</x:v>
      </x:c>
      <x:c r="G374" s="7" t="str">
        <x:v>Habitat/size assignment inferred from SAU class. See Sources and the regional Mapping review.</x:v>
      </x:c>
      <x:c r="H374" s="1"/>
      <x:c r="I374" s="1"/>
      <x:c r="J374" s="1"/>
      <x:c r="K374" s="1"/>
    </x:row>
    <x:row r="375" ht="42" customHeight="1">
      <x:c r="A375" s="7" t="str">
        <x:v>Spratelloides</x:v>
      </x:c>
      <x:c r="B375" s="11" t="str">
        <x:v>?</x:v>
      </x:c>
      <x:c r="C375" s="12" t="n">
        <x:v>0</x:v>
      </x:c>
      <x:c r="D375" s="12" t="str">
        <x:v>?</x:v>
      </x:c>
      <x:c r="E375" s="7" t="str">
        <x:v>Pelagic fish (≤ 30 cm) (100.000000%)</x:v>
      </x:c>
      <x:c r="F375" s="7" t="str">
        <x:v>Medium</x:v>
      </x:c>
      <x:c r="G375" s="7" t="str">
        <x:v>Habitat/size assignment inferred from SAU class. See Sources and the regional Mapping review.</x:v>
      </x:c>
      <x:c r="H375" s="1"/>
      <x:c r="I375" s="1"/>
      <x:c r="J375" s="1"/>
      <x:c r="K375" s="1"/>
    </x:row>
    <x:row r="376" ht="57" customHeight="1">
      <x:c r="A376" s="7" t="str">
        <x:v>Tenualosa toli</x:v>
      </x:c>
      <x:c r="B376" s="11" t="str">
        <x:v>?</x:v>
      </x:c>
      <x:c r="C376" s="12" t="n">
        <x:v>0</x:v>
      </x:c>
      <x:c r="D376" s="12" t="str">
        <x:v>?</x:v>
      </x:c>
      <x:c r="E376" s="7" t="str">
        <x:v>Juvenile large pelagic fish (89.993906%); Pelagic fish (&gt; 30 cm) (10.006094%)</x:v>
      </x:c>
      <x:c r="F376" s="7" t="str">
        <x:v>Medium</x:v>
      </x:c>
      <x:c r="G376" s="7" t="str">
        <x:v>Habitat/size fit inferred; model-catch stage proxy, fixed across years. See Sources and the regional Mapping review.</x:v>
      </x:c>
      <x:c r="H376" s="1"/>
      <x:c r="I376" s="1"/>
      <x:c r="J376" s="1"/>
      <x:c r="K376" s="1"/>
    </x:row>
    <x:row r="377" ht="102" customHeight="1">
      <x:c r="A377" s="7" t="str">
        <x:v>Tetrapturus angustirostris</x:v>
      </x:c>
      <x:c r="B377" s="11" t="str">
        <x:v>?</x:v>
      </x:c>
      <x:c r="C377" s="12" t="n">
        <x:v>0</x:v>
      </x:c>
      <x:c r="D377" s="12" t="str">
        <x:v>?</x:v>
      </x:c>
      <x:c r="E377" s="7" t="str">
        <x:v>Juvenile large pelagic fish (89.993906%); Pelagic fish (&gt; 30 cm) (10.006094%)</x:v>
      </x:c>
      <x:c r="F377" s="7" t="str">
        <x:v>Very low</x:v>
      </x:c>
      <x:c r="G377"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H377" s="1"/>
      <x:c r="I377" s="1"/>
      <x:c r="J377" s="1"/>
      <x:c r="K377" s="1"/>
    </x:row>
    <x:row r="378" ht="57" customHeight="1">
      <x:c r="A378" s="7" t="str">
        <x:v>Thunnus</x:v>
      </x:c>
      <x:c r="B378" s="11" t="str">
        <x:v>?</x:v>
      </x:c>
      <x:c r="C378" s="12" t="n">
        <x:v>0</x:v>
      </x:c>
      <x:c r="D378" s="12" t="str">
        <x:v>?</x:v>
      </x:c>
      <x:c r="E378" s="7" t="str">
        <x:v>Juvenile large pelagic fish (89.993906%); Pelagic fish (&gt; 30 cm) (10.006094%)</x:v>
      </x:c>
      <x:c r="F378" s="7" t="str">
        <x:v>Low</x:v>
      </x:c>
      <x:c r="G378" s="7" t="str">
        <x:v>Broad lineage; size/habitat containment uncertain; historical stage proxy. See Sources and the regional Mapping review.</x:v>
      </x:c>
      <x:c r="H378" s="1"/>
      <x:c r="I378" s="1"/>
      <x:c r="J378" s="1"/>
      <x:c r="K378" s="1"/>
    </x:row>
    <x:row r="379" ht="42" customHeight="1">
      <x:c r="A379" s="7" t="str">
        <x:v>Trochus niloticus</x:v>
      </x:c>
      <x:c r="B379" s="11" t="str">
        <x:v>?</x:v>
      </x:c>
      <x:c r="C379" s="12" t="n">
        <x:v>0</x:v>
      </x:c>
      <x:c r="D379" s="12" t="str">
        <x:v>?</x:v>
      </x:c>
      <x:c r="E379" s="7" t="str">
        <x:v>Non-ceph molluscs (100.000000%)</x:v>
      </x:c>
      <x:c r="F379" s="7" t="str">
        <x:v>High</x:v>
      </x:c>
      <x:c r="G379" s="7" t="str">
        <x:v>Fits the source taxonomic definition. See Sources and the regional Mapping review.</x:v>
      </x:c>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G1"/>
    <x:mergeCell ref="A2:G2"/>
    <x:mergeCell ref="A3:G3"/>
    <x:mergeCell ref="A4:G4"/>
  </x:mergeCells>
  <x:pageMargins left="0.7" right="0.7" top="0.75" bottom="0.75" header="0.3" footer="0.3"/>
  <x:tableParts count="1">
    <x:tablePart xmlns:r="http://schemas.openxmlformats.org/officeDocument/2006/relationships" r:id="R3e657b2319be4550"/>
  </x:tableParts>
</x:worksheet>
</file>

<file path=xl/worksheets/sheet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2" hidden="0" customWidth="1"/>
    <x:col min="2" max="2" width="19" hidden="0" customWidth="1"/>
    <x:col min="3" max="3" width="23" hidden="0" customWidth="1"/>
    <x:col min="4" max="4" width="24" hidden="0" customWidth="1"/>
  </x:cols>
  <x:sheetData>
    <x:row r="1" ht="30" customHeight="1">
      <x:c r="A1" s="4" t="str">
        <x:v>Mapping and coverage</x:v>
      </x:c>
      <x:c r="B1" s="4"/>
      <x:c r="C1" s="4"/>
      <x:c r="D1" s="4"/>
      <x:c r="E1" s="1"/>
      <x:c r="F1" s="1"/>
      <x:c r="G1" s="1"/>
      <x:c r="H1" s="1"/>
      <x:c r="I1" s="1"/>
      <x:c r="J1" s="1"/>
      <x:c r="K1" s="1"/>
    </x:row>
    <x:row r="2" ht="34" customHeight="1">
      <x:c r="A2" s="6" t="str">
        <x:v>2019 landings; all sources; all taxa and groups; unidentified treatment uses each method’s own coefficients.</x:v>
      </x:c>
      <x:c r="B2" s="6"/>
      <x:c r="C2" s="6"/>
      <x:c r="D2" s="6"/>
      <x:c r="E2" s="1"/>
      <x:c r="F2" s="1"/>
      <x:c r="G2" s="1"/>
      <x:c r="H2" s="1"/>
      <x:c r="I2" s="1"/>
      <x:c r="J2" s="1"/>
      <x:c r="K2" s="1"/>
    </x:row>
    <x:row r="3">
      <x:c r="A3" s="1"/>
      <x:c r="B3" s="1"/>
      <x:c r="C3" s="1"/>
      <x:c r="D3" s="1"/>
      <x:c r="E3" s="1"/>
      <x:c r="F3" s="1"/>
      <x:c r="G3" s="1"/>
      <x:c r="H3" s="1"/>
      <x:c r="I3" s="1"/>
      <x:c r="J3" s="1"/>
      <x:c r="K3" s="1"/>
    </x:row>
    <x:row r="4">
      <x:c r="A4" s="1" t="str">
        <x:v>Metric</x:v>
      </x:c>
      <x:c r="B4" s="1" t="str">
        <x:v>Value</x:v>
      </x:c>
      <x:c r="C4" s="1"/>
      <x:c r="D4" s="1"/>
      <x:c r="E4" s="1"/>
      <x:c r="F4" s="1"/>
      <x:c r="G4" s="1"/>
      <x:c r="H4" s="1"/>
      <x:c r="I4" s="1"/>
      <x:c r="J4" s="1"/>
      <x:c r="K4" s="1"/>
    </x:row>
    <x:row r="5">
      <x:c r="A5" s="1" t="str">
        <x:v>Catch taxa</x:v>
      </x:c>
      <x:c r="B5" s="1" t="n">
        <x:v>374</x:v>
      </x:c>
      <x:c r="C5" s="1"/>
      <x:c r="D5" s="1"/>
      <x:c r="E5" s="1"/>
      <x:c r="F5" s="1"/>
      <x:c r="G5" s="1"/>
      <x:c r="H5" s="1"/>
      <x:c r="I5" s="1"/>
      <x:c r="J5" s="1"/>
      <x:c r="K5" s="1"/>
    </x:row>
    <x:row r="6">
      <x:c r="A6" s="1" t="str">
        <x:v>Landings (t)</x:v>
      </x:c>
      <x:c r="B6" s="13" t="n">
        <x:v>10308126.303982593</x:v>
      </x:c>
      <x:c r="C6" s="1"/>
      <x:c r="D6" s="1"/>
      <x:c r="E6" s="1"/>
      <x:c r="F6" s="1"/>
      <x:c r="G6" s="1"/>
      <x:c r="H6" s="1"/>
      <x:c r="I6" s="1"/>
      <x:c r="J6" s="1"/>
      <x:c r="K6" s="1"/>
    </x:row>
    <x:row r="7">
      <x:c r="A7" s="1" t="str">
        <x:v>Known simple-chain PPR (t C)</x:v>
      </x:c>
      <x:c r="B7" s="13" t="n">
        <x:v>837452937.7894479</x:v>
      </x:c>
      <x:c r="C7" s="1"/>
      <x:c r="D7" s="1"/>
      <x:c r="E7" s="1"/>
      <x:c r="F7" s="1"/>
      <x:c r="G7" s="1"/>
      <x:c r="H7" s="1"/>
      <x:c r="I7" s="1"/>
      <x:c r="J7" s="1"/>
      <x:c r="K7" s="1"/>
    </x:row>
    <x:row r="8">
      <x:c r="A8" s="1" t="str">
        <x:v>Missing-coefficient taxa (0 t landings)</x:v>
      </x:c>
      <x:c r="B8" s="1" t="n">
        <x:v>34</x:v>
      </x:c>
      <x:c r="C8" s="1"/>
      <x:c r="D8" s="1"/>
      <x:c r="E8" s="1"/>
      <x:c r="F8" s="1"/>
      <x:c r="G8" s="1"/>
      <x:c r="H8" s="1"/>
      <x:c r="I8" s="1"/>
      <x:c r="J8" s="1"/>
      <x:c r="K8" s="1"/>
    </x:row>
    <x:row r="9">
      <x:c r="A9" s="1"/>
      <x:c r="B9" s="1"/>
      <x:c r="C9" s="1"/>
      <x:c r="D9" s="1"/>
      <x:c r="E9" s="1"/>
      <x:c r="F9" s="1"/>
      <x:c r="G9" s="1"/>
      <x:c r="H9" s="1"/>
      <x:c r="I9" s="1"/>
      <x:c r="J9" s="1"/>
      <x:c r="K9" s="1"/>
    </x:row>
    <x:row r="10" ht="34" customHeight="1">
      <x:c r="A10" s="10" t="str">
        <x:v>Overall confidence</x:v>
      </x:c>
      <x:c r="B10" s="10" t="str">
        <x:v>Taxa</x:v>
      </x:c>
      <x:c r="C10" s="10" t="str">
        <x:v>Catch percentage</x:v>
      </x:c>
      <x:c r="D10" s="10" t="str">
        <x:v>PPR percentage</x:v>
      </x:c>
      <x:c r="E10" s="1"/>
      <x:c r="F10" s="1"/>
      <x:c r="G10" s="1"/>
      <x:c r="H10" s="1"/>
      <x:c r="I10" s="1"/>
      <x:c r="J10" s="1"/>
      <x:c r="K10" s="1"/>
    </x:row>
    <x:row r="11">
      <x:c r="A11" s="7" t="str">
        <x:v>High</x:v>
      </x:c>
      <x:c r="B11" s="7" t="n">
        <x:v>126</x:v>
      </x:c>
      <x:c r="C11" s="14" t="n">
        <x:v>0.3459747295701255</x:v>
      </x:c>
      <x:c r="D11" s="14" t="n">
        <x:v>0.3102688445921726</x:v>
      </x:c>
      <x:c r="E11" s="1"/>
      <x:c r="F11" s="1"/>
      <x:c r="G11" s="1"/>
      <x:c r="H11" s="1"/>
      <x:c r="I11" s="1"/>
      <x:c r="J11" s="1"/>
      <x:c r="K11" s="1"/>
    </x:row>
    <x:row r="12">
      <x:c r="A12" s="7" t="str">
        <x:v>Medium</x:v>
      </x:c>
      <x:c r="B12" s="7" t="n">
        <x:v>120</x:v>
      </x:c>
      <x:c r="C12" s="14" t="n">
        <x:v>0.28436097305075053</x:v>
      </x:c>
      <x:c r="D12" s="14" t="n">
        <x:v>0.3346494987543939</x:v>
      </x:c>
      <x:c r="E12" s="1"/>
      <x:c r="F12" s="1"/>
      <x:c r="G12" s="1"/>
      <x:c r="H12" s="1"/>
      <x:c r="I12" s="1"/>
      <x:c r="J12" s="1"/>
      <x:c r="K12" s="1"/>
    </x:row>
    <x:row r="13">
      <x:c r="A13" s="7" t="str">
        <x:v>Low</x:v>
      </x:c>
      <x:c r="B13" s="7" t="n">
        <x:v>108</x:v>
      </x:c>
      <x:c r="C13" s="14" t="n">
        <x:v>0.24400330539300052</x:v>
      </x:c>
      <x:c r="D13" s="14" t="n">
        <x:v>0.3068217194644976</x:v>
      </x:c>
      <x:c r="E13" s="1"/>
      <x:c r="F13" s="1"/>
      <x:c r="G13" s="1"/>
      <x:c r="H13" s="1"/>
      <x:c r="I13" s="1"/>
      <x:c r="J13" s="1"/>
      <x:c r="K13" s="1"/>
    </x:row>
    <x:row r="14">
      <x:c r="A14" s="7" t="str">
        <x:v>Very low</x:v>
      </x:c>
      <x:c r="B14" s="7" t="n">
        <x:v>20</x:v>
      </x:c>
      <x:c r="C14" s="14" t="n">
        <x:v>0.12566099198612343</x:v>
      </x:c>
      <x:c r="D14" s="14" t="n">
        <x:v>0.04825993718893587</x:v>
      </x:c>
      <x:c r="E14" s="1"/>
      <x:c r="F14" s="1"/>
      <x:c r="G14" s="1"/>
      <x:c r="H14" s="1"/>
      <x:c r="I14" s="1"/>
      <x:c r="J14" s="1"/>
      <x:c r="K14" s="1"/>
    </x:row>
    <x:row r="15">
      <x:c r="A15" s="7" t="str">
        <x:v>Unresolved</x:v>
      </x:c>
      <x:c r="B15" s="7" t="n">
        <x:v>0</x:v>
      </x:c>
      <x:c r="C15" s="14" t="n">
        <x:v>0</x:v>
      </x:c>
      <x:c r="D15" s="14" t="n">
        <x:v>0</x:v>
      </x:c>
      <x:c r="E15" s="1"/>
      <x:c r="F15" s="1"/>
      <x:c r="G15" s="1"/>
      <x:c r="H15" s="1"/>
      <x:c r="I15" s="1"/>
      <x:c r="J15" s="1"/>
      <x:c r="K15" s="1"/>
    </x:row>
    <x:row r="16" ht="34" customHeight="1">
      <x:c r="A16" s="6" t="str">
        <x:v>Each rule table partitions the same known simple-chain PPR universe once. Confidence below is component confidence. Do not add the two tables.</x:v>
      </x:c>
      <x:c r="B16" s="6"/>
      <x:c r="C16" s="6"/>
      <x:c r="D16" s="6"/>
      <x:c r="E16" s="1"/>
      <x:c r="F16" s="1"/>
      <x:c r="G16" s="1"/>
      <x:c r="H16" s="1"/>
      <x:c r="I16" s="1"/>
      <x:c r="J16" s="1"/>
      <x:c r="K16" s="1"/>
    </x:row>
    <x:row r="17">
      <x:c r="A17" s="1"/>
      <x:c r="B17" s="1"/>
      <x:c r="C17" s="1"/>
      <x:c r="D17" s="1"/>
      <x:c r="E17" s="1"/>
      <x:c r="F17" s="1"/>
      <x:c r="G17" s="1"/>
      <x:c r="H17" s="1"/>
      <x:c r="I17" s="1"/>
      <x:c r="J17" s="1"/>
      <x:c r="K17" s="1"/>
    </x:row>
    <x:row r="18" ht="30" customHeight="1">
      <x:c r="A18" s="4" t="str">
        <x:v>Group assignment rules</x:v>
      </x:c>
      <x:c r="B18" s="4"/>
      <x:c r="C18" s="4"/>
      <x:c r="D18" s="4"/>
      <x:c r="E18" s="1"/>
      <x:c r="F18" s="1"/>
      <x:c r="G18" s="1"/>
      <x:c r="H18" s="1"/>
      <x:c r="I18" s="1"/>
      <x:c r="J18" s="1"/>
      <x:c r="K18" s="1"/>
    </x:row>
    <x:row r="19">
      <x:c r="A19" s="1"/>
      <x:c r="B19" s="1"/>
      <x:c r="C19" s="1"/>
      <x:c r="D19" s="1"/>
      <x:c r="E19" s="1"/>
      <x:c r="F19" s="1"/>
      <x:c r="G19" s="1"/>
      <x:c r="H19" s="1"/>
      <x:c r="I19" s="1"/>
      <x:c r="J19" s="1"/>
      <x:c r="K19" s="1"/>
    </x:row>
    <x:row r="20" ht="34" customHeight="1">
      <x:c r="A20" s="10" t="str">
        <x:v>Plain-language rule</x:v>
      </x:c>
      <x:c r="B20" s="10" t="str">
        <x:v>Confidence</x:v>
      </x:c>
      <x:c r="C20" s="10" t="str">
        <x:v>PPR percentage</x:v>
      </x:c>
      <x:c r="D20" s="1"/>
      <x:c r="E20" s="1"/>
      <x:c r="F20" s="1"/>
      <x:c r="G20" s="1"/>
      <x:c r="H20" s="1"/>
      <x:c r="I20" s="1"/>
      <x:c r="J20" s="1"/>
      <x:c r="K20" s="1"/>
    </x:row>
    <x:row r="21" ht="42" customHeight="1">
      <x:c r="A21" s="7" t="str">
        <x:v>The taxon fits an unambiguous documented group definition</x:v>
      </x:c>
      <x:c r="B21" s="7" t="str">
        <x:v>High</x:v>
      </x:c>
      <x:c r="C21" s="14" t="n">
        <x:v>0.3089624627025338</x:v>
      </x:c>
      <x:c r="D21" s="1"/>
      <x:c r="E21" s="1"/>
      <x:c r="F21" s="1"/>
      <x:c r="G21" s="1"/>
      <x:c r="H21" s="1"/>
      <x:c r="I21" s="1"/>
      <x:c r="J21" s="1"/>
      <x:c r="K21" s="1"/>
    </x:row>
    <x:row r="22" ht="42" customHeight="1">
      <x:c r="A22" s="7" t="str">
        <x:v>The assignment has incomplete or conflicting size habitat or stage evidence</x:v>
      </x:c>
      <x:c r="B22" s="7" t="str">
        <x:v>Low</x:v>
      </x:c>
      <x:c r="C22" s="14" t="n">
        <x:v>0.3068217194644976</x:v>
      </x:c>
      <x:c r="D22" s="1"/>
      <x:c r="E22" s="1"/>
      <x:c r="F22" s="1"/>
      <x:c r="G22" s="1"/>
      <x:c r="H22" s="1"/>
      <x:c r="I22" s="1"/>
      <x:c r="J22" s="1"/>
      <x:c r="K22" s="1"/>
    </x:row>
    <x:row r="23" ht="42" customHeight="1">
      <x:c r="A23" s="7" t="str">
        <x:v>The source explicitly assigns the taxon to the model group</x:v>
      </x:c>
      <x:c r="B23" s="7" t="str">
        <x:v>High</x:v>
      </x:c>
      <x:c r="C23" s="14" t="n">
        <x:v>0.14804036266983545</x:v>
      </x:c>
      <x:c r="D23" s="1"/>
      <x:c r="E23" s="1"/>
      <x:c r="F23" s="1"/>
      <x:c r="G23" s="1"/>
      <x:c r="H23" s="1"/>
      <x:c r="I23" s="1"/>
      <x:c r="J23" s="1"/>
      <x:c r="K23" s="1"/>
    </x:row>
    <x:row r="24" ht="42" customHeight="1">
      <x:c r="A24" s="7" t="str">
        <x:v>Ecology and catch classification support an assumed group assignment</x:v>
      </x:c>
      <x:c r="B24" s="7" t="str">
        <x:v>Medium</x:v>
      </x:c>
      <x:c r="C24" s="14" t="n">
        <x:v>0.10745020854257124</x:v>
      </x:c>
      <x:c r="D24" s="1"/>
      <x:c r="E24" s="1"/>
      <x:c r="F24" s="1"/>
      <x:c r="G24" s="1"/>
      <x:c r="H24" s="1"/>
      <x:c r="I24" s="1"/>
      <x:c r="J24" s="1"/>
      <x:c r="K24" s="1"/>
    </x:row>
    <x:row r="25" ht="42" customHeight="1">
      <x:c r="A25" s="7" t="str">
        <x:v>Taxonomy, ecology and model definitions establish an assumed set of eligible groups</x:v>
      </x:c>
      <x:c r="B25" s="7" t="str">
        <x:v>Medium</x:v>
      </x:c>
      <x:c r="C25" s="14" t="n">
        <x:v>0.08023561744560193</x:v>
      </x:c>
      <x:c r="D25" s="1"/>
      <x:c r="E25" s="1"/>
      <x:c r="F25" s="1"/>
      <x:c r="G25" s="1"/>
      <x:c r="H25" s="1"/>
      <x:c r="I25" s="1"/>
      <x:c r="J25" s="1"/>
      <x:c r="K25" s="1"/>
    </x:row>
    <x:row r="26" ht="42" customHeight="1">
      <x:c r="A26" s="7" t="str">
        <x:v>A broad catch label is approximated by compatible named and residual groups</x:v>
      </x:c>
      <x:c r="B26" s="7" t="str">
        <x:v>Very low</x:v>
      </x:c>
      <x:c r="C26" s="14" t="n">
        <x:v>0.04010994571212536</x:v>
      </x:c>
      <x:c r="D26" s="1"/>
      <x:c r="E26" s="1"/>
      <x:c r="F26" s="1"/>
      <x:c r="G26" s="1"/>
      <x:c r="H26" s="1"/>
      <x:c r="I26" s="1"/>
      <x:c r="J26" s="1"/>
      <x:c r="K26" s="1"/>
    </x:row>
    <x:row r="27" ht="42" customHeight="1">
      <x:c r="A27" s="7" t="str">
        <x:v>The closest represented ecological group is used despite a habitat or source-definition mismatch</x:v>
      </x:c>
      <x:c r="B27" s="7" t="str">
        <x:v>Very low</x:v>
      </x:c>
      <x:c r="C27" s="14" t="n">
        <x:v>0.008149991476810513</x:v>
      </x:c>
      <x:c r="D27" s="1"/>
      <x:c r="E27" s="1"/>
      <x:c r="F27" s="1"/>
      <x:c r="G27" s="1"/>
      <x:c r="H27" s="1"/>
      <x:c r="I27" s="1"/>
      <x:c r="J27" s="1"/>
      <x:c r="K27" s="1"/>
    </x:row>
    <x:row r="28" ht="42" customHeight="1">
      <x:c r="A28" s="7" t="str">
        <x:v>A verified synonym links the catch taxon to explicit source membership</x:v>
      </x:c>
      <x:c r="B28" s="7" t="str">
        <x:v>High</x:v>
      </x:c>
      <x:c r="C28" s="14" t="n">
        <x:v>0.00022969198602407236</x:v>
      </x:c>
      <x:c r="D28" s="1"/>
      <x:c r="E28" s="1"/>
      <x:c r="F28" s="1"/>
      <x:c r="G28" s="1"/>
      <x:c r="H28" s="1"/>
      <x:c r="I28" s="1"/>
      <x:c r="J28" s="1"/>
      <x:c r="K28" s="1"/>
    </x:row>
    <x:row r="29">
      <x:c r="A29" s="1"/>
      <x:c r="B29" s="1"/>
      <x:c r="C29" s="1"/>
      <x:c r="D29" s="1"/>
      <x:c r="E29" s="1"/>
      <x:c r="F29" s="1"/>
      <x:c r="G29" s="1"/>
      <x:c r="H29" s="1"/>
      <x:c r="I29" s="1"/>
      <x:c r="J29" s="1"/>
      <x:c r="K29" s="1"/>
    </x:row>
    <x:row r="30">
      <x:c r="A30" s="1"/>
      <x:c r="B30" s="1"/>
      <x:c r="C30" s="1"/>
      <x:c r="D30" s="1"/>
      <x:c r="E30" s="1"/>
      <x:c r="F30" s="1"/>
      <x:c r="G30" s="1"/>
      <x:c r="H30" s="1"/>
      <x:c r="I30" s="1"/>
      <x:c r="J30" s="1"/>
      <x:c r="K30" s="1"/>
    </x:row>
    <x:row r="31" ht="30" customHeight="1">
      <x:c r="A31" s="4" t="str">
        <x:v>Allocation weight rules</x:v>
      </x:c>
      <x:c r="B31" s="4"/>
      <x:c r="C31" s="4"/>
      <x:c r="D31" s="4"/>
      <x:c r="E31" s="1"/>
      <x:c r="F31" s="1"/>
      <x:c r="G31" s="1"/>
      <x:c r="H31" s="1"/>
      <x:c r="I31" s="1"/>
      <x:c r="J31" s="1"/>
      <x:c r="K31" s="1"/>
    </x:row>
    <x:row r="32">
      <x:c r="A32" s="1"/>
      <x:c r="B32" s="1"/>
      <x:c r="C32" s="1"/>
      <x:c r="D32" s="1"/>
      <x:c r="E32" s="1"/>
      <x:c r="F32" s="1"/>
      <x:c r="G32" s="1"/>
      <x:c r="H32" s="1"/>
      <x:c r="I32" s="1"/>
      <x:c r="J32" s="1"/>
      <x:c r="K32" s="1"/>
    </x:row>
    <x:row r="33" ht="34" customHeight="1">
      <x:c r="A33" s="10" t="str">
        <x:v>Plain-language rule</x:v>
      </x:c>
      <x:c r="B33" s="10" t="str">
        <x:v>Confidence</x:v>
      </x:c>
      <x:c r="C33" s="10" t="str">
        <x:v>PPR percentage</x:v>
      </x:c>
      <x:c r="D33" s="1"/>
      <x:c r="E33" s="1"/>
      <x:c r="F33" s="1"/>
      <x:c r="G33" s="1"/>
      <x:c r="H33" s="1"/>
      <x:c r="I33" s="1"/>
      <x:c r="J33" s="1"/>
      <x:c r="K33" s="1"/>
    </x:row>
    <x:row r="34" ht="42" customHeight="1">
      <x:c r="A34" s="7" t="str">
        <x:v>Model catch proportions supply an assumed allocation across eligible groups</x:v>
      </x:c>
      <x:c r="B34" s="7" t="str">
        <x:v>Medium</x:v>
      </x:c>
      <x:c r="C34" s="14" t="n">
        <x:v>0.6472865782319763</x:v>
      </x:c>
      <x:c r="D34" s="1"/>
      <x:c r="E34" s="1"/>
      <x:c r="F34" s="1"/>
      <x:c r="G34" s="1"/>
      <x:c r="H34" s="1"/>
      <x:c r="I34" s="1"/>
      <x:c r="J34" s="1"/>
      <x:c r="K34" s="1"/>
    </x:row>
    <x:row r="35" ht="42" customHeight="1">
      <x:c r="A35" s="7" t="str">
        <x:v>The taxon is assigned to one group and needs no split</x:v>
      </x:c>
      <x:c r="B35" s="7" t="str">
        <x:v>High</x:v>
      </x:c>
      <x:c r="C35" s="14" t="n">
        <x:v>0.3527134217680236</x:v>
      </x:c>
      <x:c r="D35" s="1"/>
      <x:c r="E35" s="1"/>
      <x:c r="F35" s="1"/>
      <x:c r="G35" s="1"/>
      <x:c r="H35" s="1"/>
      <x:c r="I35" s="1"/>
      <x:c r="J35" s="1"/>
      <x:c r="K35" s="1"/>
    </x:row>
    <x:row r="36">
      <x:c r="A36" s="1"/>
      <x:c r="B36" s="1"/>
      <x:c r="C36" s="1"/>
      <x:c r="D36" s="1"/>
      <x:c r="E36" s="1"/>
      <x:c r="F36" s="1"/>
      <x:c r="G36" s="1"/>
      <x:c r="H36" s="1"/>
      <x:c r="I36" s="1"/>
      <x:c r="J36" s="1"/>
      <x:c r="K36" s="1"/>
    </x:row>
    <x:row r="37">
      <x:c r="A37" s="1"/>
      <x:c r="B37" s="1"/>
      <x:c r="C37" s="1"/>
      <x:c r="D37" s="1"/>
      <x:c r="E37" s="1"/>
      <x:c r="F37" s="1"/>
      <x:c r="G37" s="1"/>
      <x:c r="H37" s="1"/>
      <x:c r="I37" s="1"/>
      <x:c r="J37" s="1"/>
      <x:c r="K37" s="1"/>
    </x:row>
    <x:row r="38" ht="34" customHeight="1">
      <x:c r="A38" s="6" t="str">
        <x:v>Unresolved taxa: none. All 374 taxa are mapped. The 20 Very low assignments account for 12.5661% of landings and 4.8260% of known PPR; 108 other taxa remain Low.</x:v>
      </x:c>
      <x:c r="B38" s="6"/>
      <x:c r="C38" s="6"/>
      <x:c r="D38" s="6"/>
      <x:c r="E38" s="1"/>
      <x:c r="F38" s="1"/>
      <x:c r="G38" s="1"/>
      <x:c r="H38" s="1"/>
      <x:c r="I38" s="1"/>
      <x:c r="J38" s="1"/>
      <x:c r="K38" s="1"/>
    </x:row>
    <x:row r="39">
      <x:c r="A39" s="1"/>
      <x:c r="B39" s="1"/>
      <x:c r="C39" s="1"/>
      <x:c r="D39" s="1"/>
      <x:c r="E39" s="1"/>
      <x:c r="F39" s="1"/>
      <x:c r="G39" s="1"/>
      <x:c r="H39" s="1"/>
      <x:c r="I39" s="1"/>
      <x:c r="J39" s="1"/>
      <x:c r="K39" s="1"/>
    </x:row>
    <x:row r="40" ht="34" customHeight="1">
      <x:c r="A40" s="6" t="str">
        <x:v>Sources: Cheung 2007 Appendix 6.1; selected model group export/biomass; regional Catch, Matching and Mapping review; Sea Around Us TL snapshot. Full links and locators are on Sources.</x:v>
      </x:c>
      <x:c r="B40" s="6"/>
      <x:c r="C40" s="6"/>
      <x:c r="D40" s="6"/>
      <x:c r="E40" s="1"/>
      <x:c r="F40" s="1"/>
      <x:c r="G40" s="1"/>
      <x:c r="H40" s="1"/>
      <x:c r="I40" s="1"/>
      <x:c r="J40" s="1"/>
      <x:c r="K40" s="1"/>
    </x:row>
    <x:row r="41">
      <x:c r="A41" s="1"/>
      <x:c r="B41" s="1"/>
      <x:c r="C41" s="1"/>
      <x:c r="D41" s="1"/>
      <x:c r="E41" s="1"/>
      <x:c r="F41" s="1"/>
      <x:c r="G41" s="1"/>
      <x:c r="H41" s="1"/>
      <x:c r="I41" s="1"/>
      <x:c r="J41" s="1"/>
      <x:c r="K41" s="1"/>
    </x:row>
    <x:row r="42">
      <x:c r="A42" s="1"/>
      <x:c r="B42" s="1"/>
      <x:c r="C42" s="1"/>
      <x:c r="D42" s="1"/>
      <x:c r="E42" s="1"/>
      <x:c r="F42" s="1"/>
      <x:c r="G42" s="1"/>
      <x:c r="H42" s="1"/>
      <x:c r="I42" s="1"/>
      <x:c r="J42" s="1"/>
      <x:c r="K42" s="1"/>
    </x:row>
    <x:row r="43">
      <x:c r="A43" s="1"/>
      <x:c r="B43" s="1"/>
      <x:c r="C43" s="1"/>
      <x:c r="D43" s="1"/>
      <x:c r="E43" s="1"/>
      <x:c r="F43" s="1"/>
      <x:c r="G43" s="1"/>
      <x:c r="H43" s="1"/>
      <x:c r="I43" s="1"/>
      <x:c r="J43" s="1"/>
      <x:c r="K43" s="1"/>
    </x:row>
    <x:row r="44">
      <x:c r="A44" s="1"/>
      <x:c r="B44" s="1"/>
      <x:c r="C44" s="1"/>
      <x:c r="D44" s="1"/>
      <x:c r="E44" s="1"/>
      <x:c r="F44" s="1"/>
      <x:c r="G44" s="1"/>
      <x:c r="H44" s="1"/>
      <x:c r="I44" s="1"/>
      <x:c r="J44" s="1"/>
      <x:c r="K44" s="1"/>
    </x:row>
    <x:row r="45">
      <x:c r="A45" s="1"/>
      <x:c r="B45" s="1"/>
      <x:c r="C45" s="1"/>
      <x:c r="D45" s="1"/>
      <x:c r="E45" s="1"/>
      <x:c r="F45" s="1"/>
      <x:c r="G45" s="1"/>
      <x:c r="H45" s="1"/>
      <x:c r="I45" s="1"/>
      <x:c r="J45" s="1"/>
      <x:c r="K45" s="1"/>
    </x:row>
    <x:row r="46">
      <x:c r="A46" s="1"/>
      <x:c r="B46" s="1"/>
      <x:c r="C46" s="1"/>
      <x:c r="D46" s="1"/>
      <x:c r="E46" s="1"/>
      <x:c r="F46" s="1"/>
      <x:c r="G46" s="1"/>
      <x:c r="H46" s="1"/>
      <x:c r="I46" s="1"/>
      <x:c r="J46" s="1"/>
      <x:c r="K46" s="1"/>
    </x:row>
    <x:row r="47">
      <x:c r="A47" s="1"/>
      <x:c r="B47" s="1"/>
      <x:c r="C47" s="1"/>
      <x:c r="D47" s="1"/>
      <x:c r="E47" s="1"/>
      <x:c r="F47" s="1"/>
      <x:c r="G47" s="1"/>
      <x:c r="H47" s="1"/>
      <x:c r="I47" s="1"/>
      <x:c r="J47" s="1"/>
      <x:c r="K47" s="1"/>
    </x:row>
    <x:row r="48">
      <x:c r="A48" s="1"/>
      <x:c r="B48" s="1"/>
      <x:c r="C48" s="1"/>
      <x:c r="D48" s="1"/>
      <x:c r="E48" s="1"/>
      <x:c r="F48" s="1"/>
      <x:c r="G48" s="1"/>
      <x:c r="H48" s="1"/>
      <x:c r="I48" s="1"/>
      <x:c r="J48" s="1"/>
      <x:c r="K48" s="1"/>
    </x:row>
    <x:row r="49">
      <x:c r="A49" s="1"/>
      <x:c r="B49" s="1"/>
      <x:c r="C49" s="1"/>
      <x:c r="D49" s="1"/>
      <x:c r="E49" s="1"/>
      <x:c r="F49" s="1"/>
      <x:c r="G49" s="1"/>
      <x:c r="H49" s="1"/>
      <x:c r="I49" s="1"/>
      <x:c r="J49" s="1"/>
      <x:c r="K49" s="1"/>
    </x:row>
    <x:row r="50">
      <x:c r="A50" s="1"/>
      <x:c r="B50" s="1"/>
      <x:c r="C50" s="1"/>
      <x:c r="D50" s="1"/>
      <x:c r="E50" s="1"/>
      <x:c r="F50" s="1"/>
      <x:c r="G50" s="1"/>
      <x:c r="H50" s="1"/>
      <x:c r="I50" s="1"/>
      <x:c r="J50" s="1"/>
      <x:c r="K50" s="1"/>
    </x:row>
    <x:row r="51">
      <x:c r="A51" s="1"/>
      <x:c r="B51" s="1"/>
      <x:c r="C51" s="1"/>
      <x:c r="D51" s="1"/>
      <x:c r="E51" s="1"/>
      <x:c r="F51" s="1"/>
      <x:c r="G51" s="1"/>
      <x:c r="H51" s="1"/>
      <x:c r="I51" s="1"/>
      <x:c r="J51" s="1"/>
      <x:c r="K51" s="1"/>
    </x:row>
    <x:row r="52">
      <x:c r="A52" s="1"/>
      <x:c r="B52" s="1"/>
      <x:c r="C52" s="1"/>
      <x:c r="D52" s="1"/>
      <x:c r="E52" s="1"/>
      <x:c r="F52" s="1"/>
      <x:c r="G52" s="1"/>
      <x:c r="H52" s="1"/>
      <x:c r="I52" s="1"/>
      <x:c r="J52" s="1"/>
      <x:c r="K52" s="1"/>
    </x:row>
    <x:row r="53">
      <x:c r="A53" s="1"/>
      <x:c r="B53" s="1"/>
      <x:c r="C53" s="1"/>
      <x:c r="D53" s="1"/>
      <x:c r="E53" s="1"/>
      <x:c r="F53" s="1"/>
      <x:c r="G53" s="1"/>
      <x:c r="H53" s="1"/>
      <x:c r="I53" s="1"/>
      <x:c r="J53" s="1"/>
      <x:c r="K53" s="1"/>
    </x:row>
    <x:row r="54">
      <x:c r="A54" s="1"/>
      <x:c r="B54" s="1"/>
      <x:c r="C54" s="1"/>
      <x:c r="D54" s="1"/>
      <x:c r="E54" s="1"/>
      <x:c r="F54" s="1"/>
      <x:c r="G54" s="1"/>
      <x:c r="H54" s="1"/>
      <x:c r="I54" s="1"/>
      <x:c r="J54" s="1"/>
      <x:c r="K54" s="1"/>
    </x:row>
    <x:row r="55">
      <x:c r="A55" s="1"/>
      <x:c r="B55" s="1"/>
      <x:c r="C55" s="1"/>
      <x:c r="D55" s="1"/>
      <x:c r="E55" s="1"/>
      <x:c r="F55" s="1"/>
      <x:c r="G55" s="1"/>
      <x:c r="H55" s="1"/>
      <x:c r="I55" s="1"/>
      <x:c r="J55" s="1"/>
      <x:c r="K55" s="1"/>
    </x:row>
    <x:row r="56">
      <x:c r="A56" s="1"/>
      <x:c r="B56" s="1"/>
      <x:c r="C56" s="1"/>
      <x:c r="D56" s="1"/>
      <x:c r="E56" s="1"/>
      <x:c r="F56" s="1"/>
      <x:c r="G56" s="1"/>
      <x:c r="H56" s="1"/>
      <x:c r="I56" s="1"/>
      <x:c r="J56" s="1"/>
      <x:c r="K56" s="1"/>
    </x:row>
    <x:row r="57">
      <x:c r="A57" s="1"/>
      <x:c r="B57" s="1"/>
      <x:c r="C57" s="1"/>
      <x:c r="D57" s="1"/>
      <x:c r="E57" s="1"/>
      <x:c r="F57" s="1"/>
      <x:c r="G57" s="1"/>
      <x:c r="H57" s="1"/>
      <x:c r="I57" s="1"/>
      <x:c r="J57" s="1"/>
      <x:c r="K57" s="1"/>
    </x:row>
    <x:row r="58">
      <x:c r="A58" s="1"/>
      <x:c r="B58" s="1"/>
      <x:c r="C58" s="1"/>
      <x:c r="D58" s="1"/>
      <x:c r="E58" s="1"/>
      <x:c r="F58" s="1"/>
      <x:c r="G58" s="1"/>
      <x:c r="H58" s="1"/>
      <x:c r="I58" s="1"/>
      <x:c r="J58" s="1"/>
      <x:c r="K58" s="1"/>
    </x:row>
    <x:row r="59">
      <x:c r="A59" s="1"/>
      <x:c r="B59" s="1"/>
      <x:c r="C59" s="1"/>
      <x:c r="D59" s="1"/>
      <x:c r="E59" s="1"/>
      <x:c r="F59" s="1"/>
      <x:c r="G59" s="1"/>
      <x:c r="H59" s="1"/>
      <x:c r="I59" s="1"/>
      <x:c r="J59" s="1"/>
      <x:c r="K59" s="1"/>
    </x:row>
    <x:row r="60">
      <x:c r="A60" s="1"/>
      <x:c r="B60" s="1"/>
      <x:c r="C60" s="1"/>
      <x:c r="D60" s="1"/>
      <x:c r="E60" s="1"/>
      <x:c r="F60" s="1"/>
      <x:c r="G60" s="1"/>
      <x:c r="H60" s="1"/>
      <x:c r="I60" s="1"/>
      <x:c r="J60" s="1"/>
      <x:c r="K60" s="1"/>
    </x:row>
    <x:row r="61">
      <x:c r="A61" s="1"/>
      <x:c r="B61" s="1"/>
      <x:c r="C61" s="1"/>
      <x:c r="D61" s="1"/>
      <x:c r="E61" s="1"/>
      <x:c r="F61" s="1"/>
      <x:c r="G61" s="1"/>
      <x:c r="H61" s="1"/>
      <x:c r="I61" s="1"/>
      <x:c r="J61" s="1"/>
      <x:c r="K61" s="1"/>
    </x:row>
    <x:row r="62">
      <x:c r="A62" s="1"/>
      <x:c r="B62" s="1"/>
      <x:c r="C62" s="1"/>
      <x:c r="D62" s="1"/>
      <x:c r="E62" s="1"/>
      <x:c r="F62" s="1"/>
      <x:c r="G62" s="1"/>
      <x:c r="H62" s="1"/>
      <x:c r="I62" s="1"/>
      <x:c r="J62" s="1"/>
      <x:c r="K62" s="1"/>
    </x:row>
    <x:row r="63">
      <x:c r="A63" s="1"/>
      <x:c r="B63" s="1"/>
      <x:c r="C63" s="1"/>
      <x:c r="D63" s="1"/>
      <x:c r="E63" s="1"/>
      <x:c r="F63" s="1"/>
      <x:c r="G63" s="1"/>
      <x:c r="H63" s="1"/>
      <x:c r="I63" s="1"/>
      <x:c r="J63" s="1"/>
      <x:c r="K63" s="1"/>
    </x:row>
    <x:row r="64">
      <x:c r="A64" s="1"/>
      <x:c r="B64" s="1"/>
      <x:c r="C64" s="1"/>
      <x:c r="D64" s="1"/>
      <x:c r="E64" s="1"/>
      <x:c r="F64" s="1"/>
      <x:c r="G64" s="1"/>
      <x:c r="H64" s="1"/>
      <x:c r="I64" s="1"/>
      <x:c r="J64" s="1"/>
      <x:c r="K64" s="1"/>
    </x:row>
    <x:row r="65">
      <x:c r="A65" s="1"/>
      <x:c r="B65" s="1"/>
      <x:c r="C65" s="1"/>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row r="201">
      <x:c r="A201" s="1"/>
      <x:c r="B201" s="1"/>
      <x:c r="C201" s="1"/>
      <x:c r="D201" s="1"/>
      <x:c r="E201" s="1"/>
      <x:c r="F201" s="1"/>
      <x:c r="G201" s="1"/>
      <x:c r="H201" s="1"/>
      <x:c r="I201" s="1"/>
      <x:c r="J201" s="1"/>
      <x:c r="K201" s="1"/>
    </x:row>
    <x:row r="202">
      <x:c r="A202" s="1"/>
      <x:c r="B202" s="1"/>
      <x:c r="C202" s="1"/>
      <x:c r="D202" s="1"/>
      <x:c r="E202" s="1"/>
      <x:c r="F202" s="1"/>
      <x:c r="G202" s="1"/>
      <x:c r="H202" s="1"/>
      <x:c r="I202" s="1"/>
      <x:c r="J202" s="1"/>
      <x:c r="K202" s="1"/>
    </x:row>
    <x:row r="203">
      <x:c r="A203" s="1"/>
      <x:c r="B203" s="1"/>
      <x:c r="C203" s="1"/>
      <x:c r="D203" s="1"/>
      <x:c r="E203" s="1"/>
      <x:c r="F203" s="1"/>
      <x:c r="G203" s="1"/>
      <x:c r="H203" s="1"/>
      <x:c r="I203" s="1"/>
      <x:c r="J203" s="1"/>
      <x:c r="K203" s="1"/>
    </x:row>
    <x:row r="204">
      <x:c r="A204" s="1"/>
      <x:c r="B204" s="1"/>
      <x:c r="C204" s="1"/>
      <x:c r="D204" s="1"/>
      <x:c r="E204" s="1"/>
      <x:c r="F204" s="1"/>
      <x:c r="G204" s="1"/>
      <x:c r="H204" s="1"/>
      <x:c r="I204" s="1"/>
      <x:c r="J204" s="1"/>
      <x:c r="K204" s="1"/>
    </x:row>
    <x:row r="205">
      <x:c r="A205" s="1"/>
      <x:c r="B205" s="1"/>
      <x:c r="C205" s="1"/>
      <x:c r="D205" s="1"/>
      <x:c r="E205" s="1"/>
      <x:c r="F205" s="1"/>
      <x:c r="G205" s="1"/>
      <x:c r="H205" s="1"/>
      <x:c r="I205" s="1"/>
      <x:c r="J205" s="1"/>
      <x:c r="K205" s="1"/>
    </x:row>
    <x:row r="206">
      <x:c r="A206" s="1"/>
      <x:c r="B206" s="1"/>
      <x:c r="C206" s="1"/>
      <x:c r="D206" s="1"/>
      <x:c r="E206" s="1"/>
      <x:c r="F206" s="1"/>
      <x:c r="G206" s="1"/>
      <x:c r="H206" s="1"/>
      <x:c r="I206" s="1"/>
      <x:c r="J206" s="1"/>
      <x:c r="K206" s="1"/>
    </x:row>
    <x:row r="207">
      <x:c r="A207" s="1"/>
      <x:c r="B207" s="1"/>
      <x:c r="C207" s="1"/>
      <x:c r="D207" s="1"/>
      <x:c r="E207" s="1"/>
      <x:c r="F207" s="1"/>
      <x:c r="G207" s="1"/>
      <x:c r="H207" s="1"/>
      <x:c r="I207" s="1"/>
      <x:c r="J207" s="1"/>
      <x:c r="K207" s="1"/>
    </x:row>
    <x:row r="208">
      <x:c r="A208" s="1"/>
      <x:c r="B208" s="1"/>
      <x:c r="C208" s="1"/>
      <x:c r="D208" s="1"/>
      <x:c r="E208" s="1"/>
      <x:c r="F208" s="1"/>
      <x:c r="G208" s="1"/>
      <x:c r="H208" s="1"/>
      <x:c r="I208" s="1"/>
      <x:c r="J208" s="1"/>
      <x:c r="K208" s="1"/>
    </x:row>
    <x:row r="209">
      <x:c r="A209" s="1"/>
      <x:c r="B209" s="1"/>
      <x:c r="C209" s="1"/>
      <x:c r="D209" s="1"/>
      <x:c r="E209" s="1"/>
      <x:c r="F209" s="1"/>
      <x:c r="G209" s="1"/>
      <x:c r="H209" s="1"/>
      <x:c r="I209" s="1"/>
      <x:c r="J209" s="1"/>
      <x:c r="K209" s="1"/>
    </x:row>
    <x:row r="210">
      <x:c r="A210" s="1"/>
      <x:c r="B210" s="1"/>
      <x:c r="C210" s="1"/>
      <x:c r="D210" s="1"/>
      <x:c r="E210" s="1"/>
      <x:c r="F210" s="1"/>
      <x:c r="G210" s="1"/>
      <x:c r="H210" s="1"/>
      <x:c r="I210" s="1"/>
      <x:c r="J210" s="1"/>
      <x:c r="K210" s="1"/>
    </x:row>
    <x:row r="211">
      <x:c r="A211" s="1"/>
      <x:c r="B211" s="1"/>
      <x:c r="C211" s="1"/>
      <x:c r="D211" s="1"/>
      <x:c r="E211" s="1"/>
      <x:c r="F211" s="1"/>
      <x:c r="G211" s="1"/>
      <x:c r="H211" s="1"/>
      <x:c r="I211" s="1"/>
      <x:c r="J211" s="1"/>
      <x:c r="K211" s="1"/>
    </x:row>
    <x:row r="212">
      <x:c r="A212" s="1"/>
      <x:c r="B212" s="1"/>
      <x:c r="C212" s="1"/>
      <x:c r="D212" s="1"/>
      <x:c r="E212" s="1"/>
      <x:c r="F212" s="1"/>
      <x:c r="G212" s="1"/>
      <x:c r="H212" s="1"/>
      <x:c r="I212" s="1"/>
      <x:c r="J212" s="1"/>
      <x:c r="K212" s="1"/>
    </x:row>
    <x:row r="213">
      <x:c r="A213" s="1"/>
      <x:c r="B213" s="1"/>
      <x:c r="C213" s="1"/>
      <x:c r="D213" s="1"/>
      <x:c r="E213" s="1"/>
      <x:c r="F213" s="1"/>
      <x:c r="G213" s="1"/>
      <x:c r="H213" s="1"/>
      <x:c r="I213" s="1"/>
      <x:c r="J213" s="1"/>
      <x:c r="K213" s="1"/>
    </x:row>
    <x:row r="214">
      <x:c r="A214" s="1"/>
      <x:c r="B214" s="1"/>
      <x:c r="C214" s="1"/>
      <x:c r="D214" s="1"/>
      <x:c r="E214" s="1"/>
      <x:c r="F214" s="1"/>
      <x:c r="G214" s="1"/>
      <x:c r="H214" s="1"/>
      <x:c r="I214" s="1"/>
      <x:c r="J214" s="1"/>
      <x:c r="K214" s="1"/>
    </x:row>
    <x:row r="215">
      <x:c r="A215" s="1"/>
      <x:c r="B215" s="1"/>
      <x:c r="C215" s="1"/>
      <x:c r="D215" s="1"/>
      <x:c r="E215" s="1"/>
      <x:c r="F215" s="1"/>
      <x:c r="G215" s="1"/>
      <x:c r="H215" s="1"/>
      <x:c r="I215" s="1"/>
      <x:c r="J215" s="1"/>
      <x:c r="K215" s="1"/>
    </x:row>
    <x:row r="216">
      <x:c r="A216" s="1"/>
      <x:c r="B216" s="1"/>
      <x:c r="C216" s="1"/>
      <x:c r="D216" s="1"/>
      <x:c r="E216" s="1"/>
      <x:c r="F216" s="1"/>
      <x:c r="G216" s="1"/>
      <x:c r="H216" s="1"/>
      <x:c r="I216" s="1"/>
      <x:c r="J216" s="1"/>
      <x:c r="K216" s="1"/>
    </x:row>
    <x:row r="217">
      <x:c r="A217" s="1"/>
      <x:c r="B217" s="1"/>
      <x:c r="C217" s="1"/>
      <x:c r="D217" s="1"/>
      <x:c r="E217" s="1"/>
      <x:c r="F217" s="1"/>
      <x:c r="G217" s="1"/>
      <x:c r="H217" s="1"/>
      <x:c r="I217" s="1"/>
      <x:c r="J217" s="1"/>
      <x:c r="K217" s="1"/>
    </x:row>
    <x:row r="218">
      <x:c r="A218" s="1"/>
      <x:c r="B218" s="1"/>
      <x:c r="C218" s="1"/>
      <x:c r="D218" s="1"/>
      <x:c r="E218" s="1"/>
      <x:c r="F218" s="1"/>
      <x:c r="G218" s="1"/>
      <x:c r="H218" s="1"/>
      <x:c r="I218" s="1"/>
      <x:c r="J218" s="1"/>
      <x:c r="K218" s="1"/>
    </x:row>
    <x:row r="219">
      <x:c r="A219" s="1"/>
      <x:c r="B219" s="1"/>
      <x:c r="C219" s="1"/>
      <x:c r="D219" s="1"/>
      <x:c r="E219" s="1"/>
      <x:c r="F219" s="1"/>
      <x:c r="G219" s="1"/>
      <x:c r="H219" s="1"/>
      <x:c r="I219" s="1"/>
      <x:c r="J219" s="1"/>
      <x:c r="K219" s="1"/>
    </x:row>
    <x:row r="220">
      <x:c r="A220" s="1"/>
      <x:c r="B220" s="1"/>
      <x:c r="C220" s="1"/>
      <x:c r="D220" s="1"/>
      <x:c r="E220" s="1"/>
      <x:c r="F220" s="1"/>
      <x:c r="G220" s="1"/>
      <x:c r="H220" s="1"/>
      <x:c r="I220" s="1"/>
      <x:c r="J220" s="1"/>
      <x:c r="K220" s="1"/>
    </x:row>
    <x:row r="221">
      <x:c r="A221" s="1"/>
      <x:c r="B221" s="1"/>
      <x:c r="C221" s="1"/>
      <x:c r="D221" s="1"/>
      <x:c r="E221" s="1"/>
      <x:c r="F221" s="1"/>
      <x:c r="G221" s="1"/>
      <x:c r="H221" s="1"/>
      <x:c r="I221" s="1"/>
      <x:c r="J221" s="1"/>
      <x:c r="K221" s="1"/>
    </x:row>
    <x:row r="222">
      <x:c r="A222" s="1"/>
      <x:c r="B222" s="1"/>
      <x:c r="C222" s="1"/>
      <x:c r="D222" s="1"/>
      <x:c r="E222" s="1"/>
      <x:c r="F222" s="1"/>
      <x:c r="G222" s="1"/>
      <x:c r="H222" s="1"/>
      <x:c r="I222" s="1"/>
      <x:c r="J222" s="1"/>
      <x:c r="K222" s="1"/>
    </x:row>
    <x:row r="223">
      <x:c r="A223" s="1"/>
      <x:c r="B223" s="1"/>
      <x:c r="C223" s="1"/>
      <x:c r="D223" s="1"/>
      <x:c r="E223" s="1"/>
      <x:c r="F223" s="1"/>
      <x:c r="G223" s="1"/>
      <x:c r="H223" s="1"/>
      <x:c r="I223" s="1"/>
      <x:c r="J223" s="1"/>
      <x:c r="K223" s="1"/>
    </x:row>
    <x:row r="224">
      <x:c r="A224" s="1"/>
      <x:c r="B224" s="1"/>
      <x:c r="C224" s="1"/>
      <x:c r="D224" s="1"/>
      <x:c r="E224" s="1"/>
      <x:c r="F224" s="1"/>
      <x:c r="G224" s="1"/>
      <x:c r="H224" s="1"/>
      <x:c r="I224" s="1"/>
      <x:c r="J224" s="1"/>
      <x:c r="K224" s="1"/>
    </x:row>
    <x:row r="225">
      <x:c r="A225" s="1"/>
      <x:c r="B225" s="1"/>
      <x:c r="C225" s="1"/>
      <x:c r="D225" s="1"/>
      <x:c r="E225" s="1"/>
      <x:c r="F225" s="1"/>
      <x:c r="G225" s="1"/>
      <x:c r="H225" s="1"/>
      <x:c r="I225" s="1"/>
      <x:c r="J225" s="1"/>
      <x:c r="K225" s="1"/>
    </x:row>
    <x:row r="226">
      <x:c r="A226" s="1"/>
      <x:c r="B226" s="1"/>
      <x:c r="C226" s="1"/>
      <x:c r="D226" s="1"/>
      <x:c r="E226" s="1"/>
      <x:c r="F226" s="1"/>
      <x:c r="G226" s="1"/>
      <x:c r="H226" s="1"/>
      <x:c r="I226" s="1"/>
      <x:c r="J226" s="1"/>
      <x:c r="K226" s="1"/>
    </x:row>
    <x:row r="227">
      <x:c r="A227" s="1"/>
      <x:c r="B227" s="1"/>
      <x:c r="C227" s="1"/>
      <x:c r="D227" s="1"/>
      <x:c r="E227" s="1"/>
      <x:c r="F227" s="1"/>
      <x:c r="G227" s="1"/>
      <x:c r="H227" s="1"/>
      <x:c r="I227" s="1"/>
      <x:c r="J227" s="1"/>
      <x:c r="K227" s="1"/>
    </x:row>
    <x:row r="228">
      <x:c r="A228" s="1"/>
      <x:c r="B228" s="1"/>
      <x:c r="C228" s="1"/>
      <x:c r="D228" s="1"/>
      <x:c r="E228" s="1"/>
      <x:c r="F228" s="1"/>
      <x:c r="G228" s="1"/>
      <x:c r="H228" s="1"/>
      <x:c r="I228" s="1"/>
      <x:c r="J228" s="1"/>
      <x:c r="K228" s="1"/>
    </x:row>
    <x:row r="229">
      <x:c r="A229" s="1"/>
      <x:c r="B229" s="1"/>
      <x:c r="C229" s="1"/>
      <x:c r="D229" s="1"/>
      <x:c r="E229" s="1"/>
      <x:c r="F229" s="1"/>
      <x:c r="G229" s="1"/>
      <x:c r="H229" s="1"/>
      <x:c r="I229" s="1"/>
      <x:c r="J229" s="1"/>
      <x:c r="K229" s="1"/>
    </x:row>
    <x:row r="230">
      <x:c r="A230" s="1"/>
      <x:c r="B230" s="1"/>
      <x:c r="C230" s="1"/>
      <x:c r="D230" s="1"/>
      <x:c r="E230" s="1"/>
      <x:c r="F230" s="1"/>
      <x:c r="G230" s="1"/>
      <x:c r="H230" s="1"/>
      <x:c r="I230" s="1"/>
      <x:c r="J230" s="1"/>
      <x:c r="K230" s="1"/>
    </x:row>
    <x:row r="231">
      <x:c r="A231" s="1"/>
      <x:c r="B231" s="1"/>
      <x:c r="C231" s="1"/>
      <x:c r="D231" s="1"/>
      <x:c r="E231" s="1"/>
      <x:c r="F231" s="1"/>
      <x:c r="G231" s="1"/>
      <x:c r="H231" s="1"/>
      <x:c r="I231" s="1"/>
      <x:c r="J231" s="1"/>
      <x:c r="K231" s="1"/>
    </x:row>
    <x:row r="232">
      <x:c r="A232" s="1"/>
      <x:c r="B232" s="1"/>
      <x:c r="C232" s="1"/>
      <x:c r="D232" s="1"/>
      <x:c r="E232" s="1"/>
      <x:c r="F232" s="1"/>
      <x:c r="G232" s="1"/>
      <x:c r="H232" s="1"/>
      <x:c r="I232" s="1"/>
      <x:c r="J232" s="1"/>
      <x:c r="K232" s="1"/>
    </x:row>
    <x:row r="233">
      <x:c r="A233" s="1"/>
      <x:c r="B233" s="1"/>
      <x:c r="C233" s="1"/>
      <x:c r="D233" s="1"/>
      <x:c r="E233" s="1"/>
      <x:c r="F233" s="1"/>
      <x:c r="G233" s="1"/>
      <x:c r="H233" s="1"/>
      <x:c r="I233" s="1"/>
      <x:c r="J233" s="1"/>
      <x:c r="K233" s="1"/>
    </x:row>
    <x:row r="234">
      <x:c r="A234" s="1"/>
      <x:c r="B234" s="1"/>
      <x:c r="C234" s="1"/>
      <x:c r="D234" s="1"/>
      <x:c r="E234" s="1"/>
      <x:c r="F234" s="1"/>
      <x:c r="G234" s="1"/>
      <x:c r="H234" s="1"/>
      <x:c r="I234" s="1"/>
      <x:c r="J234" s="1"/>
      <x:c r="K234" s="1"/>
    </x:row>
    <x:row r="235">
      <x:c r="A235" s="1"/>
      <x:c r="B235" s="1"/>
      <x:c r="C235" s="1"/>
      <x:c r="D235" s="1"/>
      <x:c r="E235" s="1"/>
      <x:c r="F235" s="1"/>
      <x:c r="G235" s="1"/>
      <x:c r="H235" s="1"/>
      <x:c r="I235" s="1"/>
      <x:c r="J235" s="1"/>
      <x:c r="K235" s="1"/>
    </x:row>
    <x:row r="236">
      <x:c r="A236" s="1"/>
      <x:c r="B236" s="1"/>
      <x:c r="C236" s="1"/>
      <x:c r="D236" s="1"/>
      <x:c r="E236" s="1"/>
      <x:c r="F236" s="1"/>
      <x:c r="G236" s="1"/>
      <x:c r="H236" s="1"/>
      <x:c r="I236" s="1"/>
      <x:c r="J236" s="1"/>
      <x:c r="K236" s="1"/>
    </x:row>
    <x:row r="237">
      <x:c r="A237" s="1"/>
      <x:c r="B237" s="1"/>
      <x:c r="C237" s="1"/>
      <x:c r="D237" s="1"/>
      <x:c r="E237" s="1"/>
      <x:c r="F237" s="1"/>
      <x:c r="G237" s="1"/>
      <x:c r="H237" s="1"/>
      <x:c r="I237" s="1"/>
      <x:c r="J237" s="1"/>
      <x:c r="K237" s="1"/>
    </x:row>
    <x:row r="238">
      <x:c r="A238" s="1"/>
      <x:c r="B238" s="1"/>
      <x:c r="C238" s="1"/>
      <x:c r="D238" s="1"/>
      <x:c r="E238" s="1"/>
      <x:c r="F238" s="1"/>
      <x:c r="G238" s="1"/>
      <x:c r="H238" s="1"/>
      <x:c r="I238" s="1"/>
      <x:c r="J238" s="1"/>
      <x:c r="K238" s="1"/>
    </x:row>
    <x:row r="239">
      <x:c r="A239" s="1"/>
      <x:c r="B239" s="1"/>
      <x:c r="C239" s="1"/>
      <x:c r="D239" s="1"/>
      <x:c r="E239" s="1"/>
      <x:c r="F239" s="1"/>
      <x:c r="G239" s="1"/>
      <x:c r="H239" s="1"/>
      <x:c r="I239" s="1"/>
      <x:c r="J239" s="1"/>
      <x:c r="K239" s="1"/>
    </x:row>
    <x:row r="240">
      <x:c r="A240" s="1"/>
      <x:c r="B240" s="1"/>
      <x:c r="C240" s="1"/>
      <x:c r="D240" s="1"/>
      <x:c r="E240" s="1"/>
      <x:c r="F240" s="1"/>
      <x:c r="G240" s="1"/>
      <x:c r="H240" s="1"/>
      <x:c r="I240" s="1"/>
      <x:c r="J240" s="1"/>
      <x:c r="K240" s="1"/>
    </x:row>
    <x:row r="241">
      <x:c r="A241" s="1"/>
      <x:c r="B241" s="1"/>
      <x:c r="C241" s="1"/>
      <x:c r="D241" s="1"/>
      <x:c r="E241" s="1"/>
      <x:c r="F241" s="1"/>
      <x:c r="G241" s="1"/>
      <x:c r="H241" s="1"/>
      <x:c r="I241" s="1"/>
      <x:c r="J241" s="1"/>
      <x:c r="K241" s="1"/>
    </x:row>
    <x:row r="242">
      <x:c r="A242" s="1"/>
      <x:c r="B242" s="1"/>
      <x:c r="C242" s="1"/>
      <x:c r="D242" s="1"/>
      <x:c r="E242" s="1"/>
      <x:c r="F242" s="1"/>
      <x:c r="G242" s="1"/>
      <x:c r="H242" s="1"/>
      <x:c r="I242" s="1"/>
      <x:c r="J242" s="1"/>
      <x:c r="K242" s="1"/>
    </x:row>
    <x:row r="243">
      <x:c r="A243" s="1"/>
      <x:c r="B243" s="1"/>
      <x:c r="C243" s="1"/>
      <x:c r="D243" s="1"/>
      <x:c r="E243" s="1"/>
      <x:c r="F243" s="1"/>
      <x:c r="G243" s="1"/>
      <x:c r="H243" s="1"/>
      <x:c r="I243" s="1"/>
      <x:c r="J243" s="1"/>
      <x:c r="K243" s="1"/>
    </x:row>
    <x:row r="244">
      <x:c r="A244" s="1"/>
      <x:c r="B244" s="1"/>
      <x:c r="C244" s="1"/>
      <x:c r="D244" s="1"/>
      <x:c r="E244" s="1"/>
      <x:c r="F244" s="1"/>
      <x:c r="G244" s="1"/>
      <x:c r="H244" s="1"/>
      <x:c r="I244" s="1"/>
      <x:c r="J244" s="1"/>
      <x:c r="K244" s="1"/>
    </x:row>
    <x:row r="245">
      <x:c r="A245" s="1"/>
      <x:c r="B245" s="1"/>
      <x:c r="C245" s="1"/>
      <x:c r="D245" s="1"/>
      <x:c r="E245" s="1"/>
      <x:c r="F245" s="1"/>
      <x:c r="G245" s="1"/>
      <x:c r="H245" s="1"/>
      <x:c r="I245" s="1"/>
      <x:c r="J245" s="1"/>
      <x:c r="K245" s="1"/>
    </x:row>
    <x:row r="246">
      <x:c r="A246" s="1"/>
      <x:c r="B246" s="1"/>
      <x:c r="C246" s="1"/>
      <x:c r="D246" s="1"/>
      <x:c r="E246" s="1"/>
      <x:c r="F246" s="1"/>
      <x:c r="G246" s="1"/>
      <x:c r="H246" s="1"/>
      <x:c r="I246" s="1"/>
      <x:c r="J246" s="1"/>
      <x:c r="K246" s="1"/>
    </x:row>
    <x:row r="247">
      <x:c r="A247" s="1"/>
      <x:c r="B247" s="1"/>
      <x:c r="C247" s="1"/>
      <x:c r="D247" s="1"/>
      <x:c r="E247" s="1"/>
      <x:c r="F247" s="1"/>
      <x:c r="G247" s="1"/>
      <x:c r="H247" s="1"/>
      <x:c r="I247" s="1"/>
      <x:c r="J247" s="1"/>
      <x:c r="K247" s="1"/>
    </x:row>
    <x:row r="248">
      <x:c r="A248" s="1"/>
      <x:c r="B248" s="1"/>
      <x:c r="C248" s="1"/>
      <x:c r="D248" s="1"/>
      <x:c r="E248" s="1"/>
      <x:c r="F248" s="1"/>
      <x:c r="G248" s="1"/>
      <x:c r="H248" s="1"/>
      <x:c r="I248" s="1"/>
      <x:c r="J248" s="1"/>
      <x:c r="K248" s="1"/>
    </x:row>
    <x:row r="249">
      <x:c r="A249" s="1"/>
      <x:c r="B249" s="1"/>
      <x:c r="C249" s="1"/>
      <x:c r="D249" s="1"/>
      <x:c r="E249" s="1"/>
      <x:c r="F249" s="1"/>
      <x:c r="G249" s="1"/>
      <x:c r="H249" s="1"/>
      <x:c r="I249" s="1"/>
      <x:c r="J249" s="1"/>
      <x:c r="K249" s="1"/>
    </x:row>
    <x:row r="250">
      <x:c r="A250" s="1"/>
      <x:c r="B250" s="1"/>
      <x:c r="C250" s="1"/>
      <x:c r="D250" s="1"/>
      <x:c r="E250" s="1"/>
      <x:c r="F250" s="1"/>
      <x:c r="G250" s="1"/>
      <x:c r="H250" s="1"/>
      <x:c r="I250" s="1"/>
      <x:c r="J250" s="1"/>
      <x:c r="K250" s="1"/>
    </x:row>
    <x:row r="251">
      <x:c r="A251" s="1"/>
      <x:c r="B251" s="1"/>
      <x:c r="C251" s="1"/>
      <x:c r="D251" s="1"/>
      <x:c r="E251" s="1"/>
      <x:c r="F251" s="1"/>
      <x:c r="G251" s="1"/>
      <x:c r="H251" s="1"/>
      <x:c r="I251" s="1"/>
      <x:c r="J251" s="1"/>
      <x:c r="K251" s="1"/>
    </x:row>
    <x:row r="252">
      <x:c r="A252" s="1"/>
      <x:c r="B252" s="1"/>
      <x:c r="C252" s="1"/>
      <x:c r="D252" s="1"/>
      <x:c r="E252" s="1"/>
      <x:c r="F252" s="1"/>
      <x:c r="G252" s="1"/>
      <x:c r="H252" s="1"/>
      <x:c r="I252" s="1"/>
      <x:c r="J252" s="1"/>
      <x:c r="K252" s="1"/>
    </x:row>
    <x:row r="253">
      <x:c r="A253" s="1"/>
      <x:c r="B253" s="1"/>
      <x:c r="C253" s="1"/>
      <x:c r="D253" s="1"/>
      <x:c r="E253" s="1"/>
      <x:c r="F253" s="1"/>
      <x:c r="G253" s="1"/>
      <x:c r="H253" s="1"/>
      <x:c r="I253" s="1"/>
      <x:c r="J253" s="1"/>
      <x:c r="K253" s="1"/>
    </x:row>
    <x:row r="254">
      <x:c r="A254" s="1"/>
      <x:c r="B254" s="1"/>
      <x:c r="C254" s="1"/>
      <x:c r="D254" s="1"/>
      <x:c r="E254" s="1"/>
      <x:c r="F254" s="1"/>
      <x:c r="G254" s="1"/>
      <x:c r="H254" s="1"/>
      <x:c r="I254" s="1"/>
      <x:c r="J254" s="1"/>
      <x:c r="K254" s="1"/>
    </x:row>
    <x:row r="255">
      <x:c r="A255" s="1"/>
      <x:c r="B255" s="1"/>
      <x:c r="C255" s="1"/>
      <x:c r="D255" s="1"/>
      <x:c r="E255" s="1"/>
      <x:c r="F255" s="1"/>
      <x:c r="G255" s="1"/>
      <x:c r="H255" s="1"/>
      <x:c r="I255" s="1"/>
      <x:c r="J255" s="1"/>
      <x:c r="K255" s="1"/>
    </x:row>
    <x:row r="256">
      <x:c r="A256" s="1"/>
      <x:c r="B256" s="1"/>
      <x:c r="C256" s="1"/>
      <x:c r="D256" s="1"/>
      <x:c r="E256" s="1"/>
      <x:c r="F256" s="1"/>
      <x:c r="G256" s="1"/>
      <x:c r="H256" s="1"/>
      <x:c r="I256" s="1"/>
      <x:c r="J256" s="1"/>
      <x:c r="K256" s="1"/>
    </x:row>
    <x:row r="257">
      <x:c r="A257" s="1"/>
      <x:c r="B257" s="1"/>
      <x:c r="C257" s="1"/>
      <x:c r="D257" s="1"/>
      <x:c r="E257" s="1"/>
      <x:c r="F257" s="1"/>
      <x:c r="G257" s="1"/>
      <x:c r="H257" s="1"/>
      <x:c r="I257" s="1"/>
      <x:c r="J257" s="1"/>
      <x:c r="K257" s="1"/>
    </x:row>
    <x:row r="258">
      <x:c r="A258" s="1"/>
      <x:c r="B258" s="1"/>
      <x:c r="C258" s="1"/>
      <x:c r="D258" s="1"/>
      <x:c r="E258" s="1"/>
      <x:c r="F258" s="1"/>
      <x:c r="G258" s="1"/>
      <x:c r="H258" s="1"/>
      <x:c r="I258" s="1"/>
      <x:c r="J258" s="1"/>
      <x:c r="K258" s="1"/>
    </x:row>
    <x:row r="259">
      <x:c r="A259" s="1"/>
      <x:c r="B259" s="1"/>
      <x:c r="C259" s="1"/>
      <x:c r="D259" s="1"/>
      <x:c r="E259" s="1"/>
      <x:c r="F259" s="1"/>
      <x:c r="G259" s="1"/>
      <x:c r="H259" s="1"/>
      <x:c r="I259" s="1"/>
      <x:c r="J259" s="1"/>
      <x:c r="K259" s="1"/>
    </x:row>
    <x:row r="260">
      <x:c r="A260" s="1"/>
      <x:c r="B260" s="1"/>
      <x:c r="C260" s="1"/>
      <x:c r="D260" s="1"/>
      <x:c r="E260" s="1"/>
      <x:c r="F260" s="1"/>
      <x:c r="G260" s="1"/>
      <x:c r="H260" s="1"/>
      <x:c r="I260" s="1"/>
      <x:c r="J260" s="1"/>
      <x:c r="K260" s="1"/>
    </x:row>
    <x:row r="261">
      <x:c r="A261" s="1"/>
      <x:c r="B261" s="1"/>
      <x:c r="C261" s="1"/>
      <x:c r="D261" s="1"/>
      <x:c r="E261" s="1"/>
      <x:c r="F261" s="1"/>
      <x:c r="G261" s="1"/>
      <x:c r="H261" s="1"/>
      <x:c r="I261" s="1"/>
      <x:c r="J261" s="1"/>
      <x:c r="K261" s="1"/>
    </x:row>
    <x:row r="262">
      <x:c r="A262" s="1"/>
      <x:c r="B262" s="1"/>
      <x:c r="C262" s="1"/>
      <x:c r="D262" s="1"/>
      <x:c r="E262" s="1"/>
      <x:c r="F262" s="1"/>
      <x:c r="G262" s="1"/>
      <x:c r="H262" s="1"/>
      <x:c r="I262" s="1"/>
      <x:c r="J262" s="1"/>
      <x:c r="K262" s="1"/>
    </x:row>
    <x:row r="263">
      <x:c r="A263" s="1"/>
      <x:c r="B263" s="1"/>
      <x:c r="C263" s="1"/>
      <x:c r="D263" s="1"/>
      <x:c r="E263" s="1"/>
      <x:c r="F263" s="1"/>
      <x:c r="G263" s="1"/>
      <x:c r="H263" s="1"/>
      <x:c r="I263" s="1"/>
      <x:c r="J263" s="1"/>
      <x:c r="K263" s="1"/>
    </x:row>
    <x:row r="264">
      <x:c r="A264" s="1"/>
      <x:c r="B264" s="1"/>
      <x:c r="C264" s="1"/>
      <x:c r="D264" s="1"/>
      <x:c r="E264" s="1"/>
      <x:c r="F264" s="1"/>
      <x:c r="G264" s="1"/>
      <x:c r="H264" s="1"/>
      <x:c r="I264" s="1"/>
      <x:c r="J264" s="1"/>
      <x:c r="K264" s="1"/>
    </x:row>
    <x:row r="265">
      <x:c r="A265" s="1"/>
      <x:c r="B265" s="1"/>
      <x:c r="C265" s="1"/>
      <x:c r="D265" s="1"/>
      <x:c r="E265" s="1"/>
      <x:c r="F265" s="1"/>
      <x:c r="G265" s="1"/>
      <x:c r="H265" s="1"/>
      <x:c r="I265" s="1"/>
      <x:c r="J265" s="1"/>
      <x:c r="K265" s="1"/>
    </x:row>
    <x:row r="266">
      <x:c r="A266" s="1"/>
      <x:c r="B266" s="1"/>
      <x:c r="C266" s="1"/>
      <x:c r="D266" s="1"/>
      <x:c r="E266" s="1"/>
      <x:c r="F266" s="1"/>
      <x:c r="G266" s="1"/>
      <x:c r="H266" s="1"/>
      <x:c r="I266" s="1"/>
      <x:c r="J266" s="1"/>
      <x:c r="K266" s="1"/>
    </x:row>
    <x:row r="267">
      <x:c r="A267" s="1"/>
      <x:c r="B267" s="1"/>
      <x:c r="C267" s="1"/>
      <x:c r="D267" s="1"/>
      <x:c r="E267" s="1"/>
      <x:c r="F267" s="1"/>
      <x:c r="G267" s="1"/>
      <x:c r="H267" s="1"/>
      <x:c r="I267" s="1"/>
      <x:c r="J267" s="1"/>
      <x:c r="K267" s="1"/>
    </x:row>
    <x:row r="268">
      <x:c r="A268" s="1"/>
      <x:c r="B268" s="1"/>
      <x:c r="C268" s="1"/>
      <x:c r="D268" s="1"/>
      <x:c r="E268" s="1"/>
      <x:c r="F268" s="1"/>
      <x:c r="G268" s="1"/>
      <x:c r="H268" s="1"/>
      <x:c r="I268" s="1"/>
      <x:c r="J268" s="1"/>
      <x:c r="K268" s="1"/>
    </x:row>
    <x:row r="269">
      <x:c r="A269" s="1"/>
      <x:c r="B269" s="1"/>
      <x:c r="C269" s="1"/>
      <x:c r="D269" s="1"/>
      <x:c r="E269" s="1"/>
      <x:c r="F269" s="1"/>
      <x:c r="G269" s="1"/>
      <x:c r="H269" s="1"/>
      <x:c r="I269" s="1"/>
      <x:c r="J269" s="1"/>
      <x:c r="K269" s="1"/>
    </x:row>
    <x:row r="270">
      <x:c r="A270" s="1"/>
      <x:c r="B270" s="1"/>
      <x:c r="C270" s="1"/>
      <x:c r="D270" s="1"/>
      <x:c r="E270" s="1"/>
      <x:c r="F270" s="1"/>
      <x:c r="G270" s="1"/>
      <x:c r="H270" s="1"/>
      <x:c r="I270" s="1"/>
      <x:c r="J270" s="1"/>
      <x:c r="K270" s="1"/>
    </x:row>
    <x:row r="271">
      <x:c r="A271" s="1"/>
      <x:c r="B271" s="1"/>
      <x:c r="C271" s="1"/>
      <x:c r="D271" s="1"/>
      <x:c r="E271" s="1"/>
      <x:c r="F271" s="1"/>
      <x:c r="G271" s="1"/>
      <x:c r="H271" s="1"/>
      <x:c r="I271" s="1"/>
      <x:c r="J271" s="1"/>
      <x:c r="K271" s="1"/>
    </x:row>
    <x:row r="272">
      <x:c r="A272" s="1"/>
      <x:c r="B272" s="1"/>
      <x:c r="C272" s="1"/>
      <x:c r="D272" s="1"/>
      <x:c r="E272" s="1"/>
      <x:c r="F272" s="1"/>
      <x:c r="G272" s="1"/>
      <x:c r="H272" s="1"/>
      <x:c r="I272" s="1"/>
      <x:c r="J272" s="1"/>
      <x:c r="K272" s="1"/>
    </x:row>
    <x:row r="273">
      <x:c r="A273" s="1"/>
      <x:c r="B273" s="1"/>
      <x:c r="C273" s="1"/>
      <x:c r="D273" s="1"/>
      <x:c r="E273" s="1"/>
      <x:c r="F273" s="1"/>
      <x:c r="G273" s="1"/>
      <x:c r="H273" s="1"/>
      <x:c r="I273" s="1"/>
      <x:c r="J273" s="1"/>
      <x:c r="K273" s="1"/>
    </x:row>
    <x:row r="274">
      <x:c r="A274" s="1"/>
      <x:c r="B274" s="1"/>
      <x:c r="C274" s="1"/>
      <x:c r="D274" s="1"/>
      <x:c r="E274" s="1"/>
      <x:c r="F274" s="1"/>
      <x:c r="G274" s="1"/>
      <x:c r="H274" s="1"/>
      <x:c r="I274" s="1"/>
      <x:c r="J274" s="1"/>
      <x:c r="K274" s="1"/>
    </x:row>
    <x:row r="275">
      <x:c r="A275" s="1"/>
      <x:c r="B275" s="1"/>
      <x:c r="C275" s="1"/>
      <x:c r="D275" s="1"/>
      <x:c r="E275" s="1"/>
      <x:c r="F275" s="1"/>
      <x:c r="G275" s="1"/>
      <x:c r="H275" s="1"/>
      <x:c r="I275" s="1"/>
      <x:c r="J275" s="1"/>
      <x:c r="K275" s="1"/>
    </x:row>
    <x:row r="276">
      <x:c r="A276" s="1"/>
      <x:c r="B276" s="1"/>
      <x:c r="C276" s="1"/>
      <x:c r="D276" s="1"/>
      <x:c r="E276" s="1"/>
      <x:c r="F276" s="1"/>
      <x:c r="G276" s="1"/>
      <x:c r="H276" s="1"/>
      <x:c r="I276" s="1"/>
      <x:c r="J276" s="1"/>
      <x:c r="K276" s="1"/>
    </x:row>
    <x:row r="277">
      <x:c r="A277" s="1"/>
      <x:c r="B277" s="1"/>
      <x:c r="C277" s="1"/>
      <x:c r="D277" s="1"/>
      <x:c r="E277" s="1"/>
      <x:c r="F277" s="1"/>
      <x:c r="G277" s="1"/>
      <x:c r="H277" s="1"/>
      <x:c r="I277" s="1"/>
      <x:c r="J277" s="1"/>
      <x:c r="K277" s="1"/>
    </x:row>
    <x:row r="278">
      <x:c r="A278" s="1"/>
      <x:c r="B278" s="1"/>
      <x:c r="C278" s="1"/>
      <x:c r="D278" s="1"/>
      <x:c r="E278" s="1"/>
      <x:c r="F278" s="1"/>
      <x:c r="G278" s="1"/>
      <x:c r="H278" s="1"/>
      <x:c r="I278" s="1"/>
      <x:c r="J278" s="1"/>
      <x:c r="K278" s="1"/>
    </x:row>
    <x:row r="279">
      <x:c r="A279" s="1"/>
      <x:c r="B279" s="1"/>
      <x:c r="C279" s="1"/>
      <x:c r="D279" s="1"/>
      <x:c r="E279" s="1"/>
      <x:c r="F279" s="1"/>
      <x:c r="G279" s="1"/>
      <x:c r="H279" s="1"/>
      <x:c r="I279" s="1"/>
      <x:c r="J279" s="1"/>
      <x:c r="K279" s="1"/>
    </x:row>
    <x:row r="280">
      <x:c r="A280" s="1"/>
      <x:c r="B280" s="1"/>
      <x:c r="C280" s="1"/>
      <x:c r="D280" s="1"/>
      <x:c r="E280" s="1"/>
      <x:c r="F280" s="1"/>
      <x:c r="G280" s="1"/>
      <x:c r="H280" s="1"/>
      <x:c r="I280" s="1"/>
      <x:c r="J280" s="1"/>
      <x:c r="K280" s="1"/>
    </x:row>
    <x:row r="281">
      <x:c r="A281" s="1"/>
      <x:c r="B281" s="1"/>
      <x:c r="C281" s="1"/>
      <x:c r="D281" s="1"/>
      <x:c r="E281" s="1"/>
      <x:c r="F281" s="1"/>
      <x:c r="G281" s="1"/>
      <x:c r="H281" s="1"/>
      <x:c r="I281" s="1"/>
      <x:c r="J281" s="1"/>
      <x:c r="K281" s="1"/>
    </x:row>
    <x:row r="282">
      <x:c r="A282" s="1"/>
      <x:c r="B282" s="1"/>
      <x:c r="C282" s="1"/>
      <x:c r="D282" s="1"/>
      <x:c r="E282" s="1"/>
      <x:c r="F282" s="1"/>
      <x:c r="G282" s="1"/>
      <x:c r="H282" s="1"/>
      <x:c r="I282" s="1"/>
      <x:c r="J282" s="1"/>
      <x:c r="K282" s="1"/>
    </x:row>
    <x:row r="283">
      <x:c r="A283" s="1"/>
      <x:c r="B283" s="1"/>
      <x:c r="C283" s="1"/>
      <x:c r="D283" s="1"/>
      <x:c r="E283" s="1"/>
      <x:c r="F283" s="1"/>
      <x:c r="G283" s="1"/>
      <x:c r="H283" s="1"/>
      <x:c r="I283" s="1"/>
      <x:c r="J283" s="1"/>
      <x:c r="K283" s="1"/>
    </x:row>
    <x:row r="284">
      <x:c r="A284" s="1"/>
      <x:c r="B284" s="1"/>
      <x:c r="C284" s="1"/>
      <x:c r="D284" s="1"/>
      <x:c r="E284" s="1"/>
      <x:c r="F284" s="1"/>
      <x:c r="G284" s="1"/>
      <x:c r="H284" s="1"/>
      <x:c r="I284" s="1"/>
      <x:c r="J284" s="1"/>
      <x:c r="K284" s="1"/>
    </x:row>
    <x:row r="285">
      <x:c r="A285" s="1"/>
      <x:c r="B285" s="1"/>
      <x:c r="C285" s="1"/>
      <x:c r="D285" s="1"/>
      <x:c r="E285" s="1"/>
      <x:c r="F285" s="1"/>
      <x:c r="G285" s="1"/>
      <x:c r="H285" s="1"/>
      <x:c r="I285" s="1"/>
      <x:c r="J285" s="1"/>
      <x:c r="K285" s="1"/>
    </x:row>
    <x:row r="286">
      <x:c r="A286" s="1"/>
      <x:c r="B286" s="1"/>
      <x:c r="C286" s="1"/>
      <x:c r="D286" s="1"/>
      <x:c r="E286" s="1"/>
      <x:c r="F286" s="1"/>
      <x:c r="G286" s="1"/>
      <x:c r="H286" s="1"/>
      <x:c r="I286" s="1"/>
      <x:c r="J286" s="1"/>
      <x:c r="K286" s="1"/>
    </x:row>
    <x:row r="287">
      <x:c r="A287" s="1"/>
      <x:c r="B287" s="1"/>
      <x:c r="C287" s="1"/>
      <x:c r="D287" s="1"/>
      <x:c r="E287" s="1"/>
      <x:c r="F287" s="1"/>
      <x:c r="G287" s="1"/>
      <x:c r="H287" s="1"/>
      <x:c r="I287" s="1"/>
      <x:c r="J287" s="1"/>
      <x:c r="K287" s="1"/>
    </x:row>
    <x:row r="288">
      <x:c r="A288" s="1"/>
      <x:c r="B288" s="1"/>
      <x:c r="C288" s="1"/>
      <x:c r="D288" s="1"/>
      <x:c r="E288" s="1"/>
      <x:c r="F288" s="1"/>
      <x:c r="G288" s="1"/>
      <x:c r="H288" s="1"/>
      <x:c r="I288" s="1"/>
      <x:c r="J288" s="1"/>
      <x:c r="K288" s="1"/>
    </x:row>
    <x:row r="289">
      <x:c r="A289" s="1"/>
      <x:c r="B289" s="1"/>
      <x:c r="C289" s="1"/>
      <x:c r="D289" s="1"/>
      <x:c r="E289" s="1"/>
      <x:c r="F289" s="1"/>
      <x:c r="G289" s="1"/>
      <x:c r="H289" s="1"/>
      <x:c r="I289" s="1"/>
      <x:c r="J289" s="1"/>
      <x:c r="K289" s="1"/>
    </x:row>
    <x:row r="290">
      <x:c r="A290" s="1"/>
      <x:c r="B290" s="1"/>
      <x:c r="C290" s="1"/>
      <x:c r="D290" s="1"/>
      <x:c r="E290" s="1"/>
      <x:c r="F290" s="1"/>
      <x:c r="G290" s="1"/>
      <x:c r="H290" s="1"/>
      <x:c r="I290" s="1"/>
      <x:c r="J290" s="1"/>
      <x:c r="K290" s="1"/>
    </x:row>
    <x:row r="291">
      <x:c r="A291" s="1"/>
      <x:c r="B291" s="1"/>
      <x:c r="C291" s="1"/>
      <x:c r="D291" s="1"/>
      <x:c r="E291" s="1"/>
      <x:c r="F291" s="1"/>
      <x:c r="G291" s="1"/>
      <x:c r="H291" s="1"/>
      <x:c r="I291" s="1"/>
      <x:c r="J291" s="1"/>
      <x:c r="K291" s="1"/>
    </x:row>
    <x:row r="292">
      <x:c r="A292" s="1"/>
      <x:c r="B292" s="1"/>
      <x:c r="C292" s="1"/>
      <x:c r="D292" s="1"/>
      <x:c r="E292" s="1"/>
      <x:c r="F292" s="1"/>
      <x:c r="G292" s="1"/>
      <x:c r="H292" s="1"/>
      <x:c r="I292" s="1"/>
      <x:c r="J292" s="1"/>
      <x:c r="K292" s="1"/>
    </x:row>
    <x:row r="293">
      <x:c r="A293" s="1"/>
      <x:c r="B293" s="1"/>
      <x:c r="C293" s="1"/>
      <x:c r="D293" s="1"/>
      <x:c r="E293" s="1"/>
      <x:c r="F293" s="1"/>
      <x:c r="G293" s="1"/>
      <x:c r="H293" s="1"/>
      <x:c r="I293" s="1"/>
      <x:c r="J293" s="1"/>
      <x:c r="K293" s="1"/>
    </x:row>
    <x:row r="294">
      <x:c r="A294" s="1"/>
      <x:c r="B294" s="1"/>
      <x:c r="C294" s="1"/>
      <x:c r="D294" s="1"/>
      <x:c r="E294" s="1"/>
      <x:c r="F294" s="1"/>
      <x:c r="G294" s="1"/>
      <x:c r="H294" s="1"/>
      <x:c r="I294" s="1"/>
      <x:c r="J294" s="1"/>
      <x:c r="K294" s="1"/>
    </x:row>
    <x:row r="295">
      <x:c r="A295" s="1"/>
      <x:c r="B295" s="1"/>
      <x:c r="C295" s="1"/>
      <x:c r="D295" s="1"/>
      <x:c r="E295" s="1"/>
      <x:c r="F295" s="1"/>
      <x:c r="G295" s="1"/>
      <x:c r="H295" s="1"/>
      <x:c r="I295" s="1"/>
      <x:c r="J295" s="1"/>
      <x:c r="K295" s="1"/>
    </x:row>
    <x:row r="296">
      <x:c r="A296" s="1"/>
      <x:c r="B296" s="1"/>
      <x:c r="C296" s="1"/>
      <x:c r="D296" s="1"/>
      <x:c r="E296" s="1"/>
      <x:c r="F296" s="1"/>
      <x:c r="G296" s="1"/>
      <x:c r="H296" s="1"/>
      <x:c r="I296" s="1"/>
      <x:c r="J296" s="1"/>
      <x:c r="K296" s="1"/>
    </x:row>
    <x:row r="297">
      <x:c r="A297" s="1"/>
      <x:c r="B297" s="1"/>
      <x:c r="C297" s="1"/>
      <x:c r="D297" s="1"/>
      <x:c r="E297" s="1"/>
      <x:c r="F297" s="1"/>
      <x:c r="G297" s="1"/>
      <x:c r="H297" s="1"/>
      <x:c r="I297" s="1"/>
      <x:c r="J297" s="1"/>
      <x:c r="K297" s="1"/>
    </x:row>
    <x:row r="298">
      <x:c r="A298" s="1"/>
      <x:c r="B298" s="1"/>
      <x:c r="C298" s="1"/>
      <x:c r="D298" s="1"/>
      <x:c r="E298" s="1"/>
      <x:c r="F298" s="1"/>
      <x:c r="G298" s="1"/>
      <x:c r="H298" s="1"/>
      <x:c r="I298" s="1"/>
      <x:c r="J298" s="1"/>
      <x:c r="K298" s="1"/>
    </x:row>
    <x:row r="299">
      <x:c r="A299" s="1"/>
      <x:c r="B299" s="1"/>
      <x:c r="C299" s="1"/>
      <x:c r="D299" s="1"/>
      <x:c r="E299" s="1"/>
      <x:c r="F299" s="1"/>
      <x:c r="G299" s="1"/>
      <x:c r="H299" s="1"/>
      <x:c r="I299" s="1"/>
      <x:c r="J299" s="1"/>
      <x:c r="K299" s="1"/>
    </x:row>
    <x:row r="300">
      <x:c r="A300" s="1"/>
      <x:c r="B300" s="1"/>
      <x:c r="C300" s="1"/>
      <x:c r="D300" s="1"/>
      <x:c r="E300" s="1"/>
      <x:c r="F300" s="1"/>
      <x:c r="G300" s="1"/>
      <x:c r="H300" s="1"/>
      <x:c r="I300" s="1"/>
      <x:c r="J300" s="1"/>
      <x:c r="K300" s="1"/>
    </x:row>
    <x:row r="301">
      <x:c r="A301" s="1"/>
      <x:c r="B301" s="1"/>
      <x:c r="C301" s="1"/>
      <x:c r="D301" s="1"/>
      <x:c r="E301" s="1"/>
      <x:c r="F301" s="1"/>
      <x:c r="G301" s="1"/>
      <x:c r="H301" s="1"/>
      <x:c r="I301" s="1"/>
      <x:c r="J301" s="1"/>
      <x:c r="K301" s="1"/>
    </x:row>
    <x:row r="302">
      <x:c r="A302" s="1"/>
      <x:c r="B302" s="1"/>
      <x:c r="C302" s="1"/>
      <x:c r="D302" s="1"/>
      <x:c r="E302" s="1"/>
      <x:c r="F302" s="1"/>
      <x:c r="G302" s="1"/>
      <x:c r="H302" s="1"/>
      <x:c r="I302" s="1"/>
      <x:c r="J302" s="1"/>
      <x:c r="K302" s="1"/>
    </x:row>
    <x:row r="303">
      <x:c r="A303" s="1"/>
      <x:c r="B303" s="1"/>
      <x:c r="C303" s="1"/>
      <x:c r="D303" s="1"/>
      <x:c r="E303" s="1"/>
      <x:c r="F303" s="1"/>
      <x:c r="G303" s="1"/>
      <x:c r="H303" s="1"/>
      <x:c r="I303" s="1"/>
      <x:c r="J303" s="1"/>
      <x:c r="K303" s="1"/>
    </x:row>
    <x:row r="304">
      <x:c r="A304" s="1"/>
      <x:c r="B304" s="1"/>
      <x:c r="C304" s="1"/>
      <x:c r="D304" s="1"/>
      <x:c r="E304" s="1"/>
      <x:c r="F304" s="1"/>
      <x:c r="G304" s="1"/>
      <x:c r="H304" s="1"/>
      <x:c r="I304" s="1"/>
      <x:c r="J304" s="1"/>
      <x:c r="K304" s="1"/>
    </x:row>
    <x:row r="305">
      <x:c r="A305" s="1"/>
      <x:c r="B305" s="1"/>
      <x:c r="C305" s="1"/>
      <x:c r="D305" s="1"/>
      <x:c r="E305" s="1"/>
      <x:c r="F305" s="1"/>
      <x:c r="G305" s="1"/>
      <x:c r="H305" s="1"/>
      <x:c r="I305" s="1"/>
      <x:c r="J305" s="1"/>
      <x:c r="K305" s="1"/>
    </x:row>
    <x:row r="306">
      <x:c r="A306" s="1"/>
      <x:c r="B306" s="1"/>
      <x:c r="C306" s="1"/>
      <x:c r="D306" s="1"/>
      <x:c r="E306" s="1"/>
      <x:c r="F306" s="1"/>
      <x:c r="G306" s="1"/>
      <x:c r="H306" s="1"/>
      <x:c r="I306" s="1"/>
      <x:c r="J306" s="1"/>
      <x:c r="K306" s="1"/>
    </x:row>
    <x:row r="307">
      <x:c r="A307" s="1"/>
      <x:c r="B307" s="1"/>
      <x:c r="C307" s="1"/>
      <x:c r="D307" s="1"/>
      <x:c r="E307" s="1"/>
      <x:c r="F307" s="1"/>
      <x:c r="G307" s="1"/>
      <x:c r="H307" s="1"/>
      <x:c r="I307" s="1"/>
      <x:c r="J307" s="1"/>
      <x:c r="K307" s="1"/>
    </x:row>
    <x:row r="308">
      <x:c r="A308" s="1"/>
      <x:c r="B308" s="1"/>
      <x:c r="C308" s="1"/>
      <x:c r="D308" s="1"/>
      <x:c r="E308" s="1"/>
      <x:c r="F308" s="1"/>
      <x:c r="G308" s="1"/>
      <x:c r="H308" s="1"/>
      <x:c r="I308" s="1"/>
      <x:c r="J308" s="1"/>
      <x:c r="K308" s="1"/>
    </x:row>
    <x:row r="309">
      <x:c r="A309" s="1"/>
      <x:c r="B309" s="1"/>
      <x:c r="C309" s="1"/>
      <x:c r="D309" s="1"/>
      <x:c r="E309" s="1"/>
      <x:c r="F309" s="1"/>
      <x:c r="G309" s="1"/>
      <x:c r="H309" s="1"/>
      <x:c r="I309" s="1"/>
      <x:c r="J309" s="1"/>
      <x:c r="K309" s="1"/>
    </x:row>
    <x:row r="310">
      <x:c r="A310" s="1"/>
      <x:c r="B310" s="1"/>
      <x:c r="C310" s="1"/>
      <x:c r="D310" s="1"/>
      <x:c r="E310" s="1"/>
      <x:c r="F310" s="1"/>
      <x:c r="G310" s="1"/>
      <x:c r="H310" s="1"/>
      <x:c r="I310" s="1"/>
      <x:c r="J310" s="1"/>
      <x:c r="K310" s="1"/>
    </x:row>
    <x:row r="311">
      <x:c r="A311" s="1"/>
      <x:c r="B311" s="1"/>
      <x:c r="C311" s="1"/>
      <x:c r="D311" s="1"/>
      <x:c r="E311" s="1"/>
      <x:c r="F311" s="1"/>
      <x:c r="G311" s="1"/>
      <x:c r="H311" s="1"/>
      <x:c r="I311" s="1"/>
      <x:c r="J311" s="1"/>
      <x:c r="K311" s="1"/>
    </x:row>
    <x:row r="312">
      <x:c r="A312" s="1"/>
      <x:c r="B312" s="1"/>
      <x:c r="C312" s="1"/>
      <x:c r="D312" s="1"/>
      <x:c r="E312" s="1"/>
      <x:c r="F312" s="1"/>
      <x:c r="G312" s="1"/>
      <x:c r="H312" s="1"/>
      <x:c r="I312" s="1"/>
      <x:c r="J312" s="1"/>
      <x:c r="K312" s="1"/>
    </x:row>
    <x:row r="313">
      <x:c r="A313" s="1"/>
      <x:c r="B313" s="1"/>
      <x:c r="C313" s="1"/>
      <x:c r="D313" s="1"/>
      <x:c r="E313" s="1"/>
      <x:c r="F313" s="1"/>
      <x:c r="G313" s="1"/>
      <x:c r="H313" s="1"/>
      <x:c r="I313" s="1"/>
      <x:c r="J313" s="1"/>
      <x:c r="K313" s="1"/>
    </x:row>
    <x:row r="314">
      <x:c r="A314" s="1"/>
      <x:c r="B314" s="1"/>
      <x:c r="C314" s="1"/>
      <x:c r="D314" s="1"/>
      <x:c r="E314" s="1"/>
      <x:c r="F314" s="1"/>
      <x:c r="G314" s="1"/>
      <x:c r="H314" s="1"/>
      <x:c r="I314" s="1"/>
      <x:c r="J314" s="1"/>
      <x:c r="K314" s="1"/>
    </x:row>
    <x:row r="315">
      <x:c r="A315" s="1"/>
      <x:c r="B315" s="1"/>
      <x:c r="C315" s="1"/>
      <x:c r="D315" s="1"/>
      <x:c r="E315" s="1"/>
      <x:c r="F315" s="1"/>
      <x:c r="G315" s="1"/>
      <x:c r="H315" s="1"/>
      <x:c r="I315" s="1"/>
      <x:c r="J315" s="1"/>
      <x:c r="K315" s="1"/>
    </x:row>
    <x:row r="316">
      <x:c r="A316" s="1"/>
      <x:c r="B316" s="1"/>
      <x:c r="C316" s="1"/>
      <x:c r="D316" s="1"/>
      <x:c r="E316" s="1"/>
      <x:c r="F316" s="1"/>
      <x:c r="G316" s="1"/>
      <x:c r="H316" s="1"/>
      <x:c r="I316" s="1"/>
      <x:c r="J316" s="1"/>
      <x:c r="K316" s="1"/>
    </x:row>
    <x:row r="317">
      <x:c r="A317" s="1"/>
      <x:c r="B317" s="1"/>
      <x:c r="C317" s="1"/>
      <x:c r="D317" s="1"/>
      <x:c r="E317" s="1"/>
      <x:c r="F317" s="1"/>
      <x:c r="G317" s="1"/>
      <x:c r="H317" s="1"/>
      <x:c r="I317" s="1"/>
      <x:c r="J317" s="1"/>
      <x:c r="K317" s="1"/>
    </x:row>
    <x:row r="318">
      <x:c r="A318" s="1"/>
      <x:c r="B318" s="1"/>
      <x:c r="C318" s="1"/>
      <x:c r="D318" s="1"/>
      <x:c r="E318" s="1"/>
      <x:c r="F318" s="1"/>
      <x:c r="G318" s="1"/>
      <x:c r="H318" s="1"/>
      <x:c r="I318" s="1"/>
      <x:c r="J318" s="1"/>
      <x:c r="K318" s="1"/>
    </x:row>
    <x:row r="319">
      <x:c r="A319" s="1"/>
      <x:c r="B319" s="1"/>
      <x:c r="C319" s="1"/>
      <x:c r="D319" s="1"/>
      <x:c r="E319" s="1"/>
      <x:c r="F319" s="1"/>
      <x:c r="G319" s="1"/>
      <x:c r="H319" s="1"/>
      <x:c r="I319" s="1"/>
      <x:c r="J319" s="1"/>
      <x:c r="K319" s="1"/>
    </x:row>
    <x:row r="320">
      <x:c r="A320" s="1"/>
      <x:c r="B320" s="1"/>
      <x:c r="C320" s="1"/>
      <x:c r="D320" s="1"/>
      <x:c r="E320" s="1"/>
      <x:c r="F320" s="1"/>
      <x:c r="G320" s="1"/>
      <x:c r="H320" s="1"/>
      <x:c r="I320" s="1"/>
      <x:c r="J320" s="1"/>
      <x:c r="K320" s="1"/>
    </x:row>
    <x:row r="321">
      <x:c r="A321" s="1"/>
      <x:c r="B321" s="1"/>
      <x:c r="C321" s="1"/>
      <x:c r="D321" s="1"/>
      <x:c r="E321" s="1"/>
      <x:c r="F321" s="1"/>
      <x:c r="G321" s="1"/>
      <x:c r="H321" s="1"/>
      <x:c r="I321" s="1"/>
      <x:c r="J321" s="1"/>
      <x:c r="K321" s="1"/>
    </x:row>
    <x:row r="322">
      <x:c r="A322" s="1"/>
      <x:c r="B322" s="1"/>
      <x:c r="C322" s="1"/>
      <x:c r="D322" s="1"/>
      <x:c r="E322" s="1"/>
      <x:c r="F322" s="1"/>
      <x:c r="G322" s="1"/>
      <x:c r="H322" s="1"/>
      <x:c r="I322" s="1"/>
      <x:c r="J322" s="1"/>
      <x:c r="K322" s="1"/>
    </x:row>
    <x:row r="323">
      <x:c r="A323" s="1"/>
      <x:c r="B323" s="1"/>
      <x:c r="C323" s="1"/>
      <x:c r="D323" s="1"/>
      <x:c r="E323" s="1"/>
      <x:c r="F323" s="1"/>
      <x:c r="G323" s="1"/>
      <x:c r="H323" s="1"/>
      <x:c r="I323" s="1"/>
      <x:c r="J323" s="1"/>
      <x:c r="K323" s="1"/>
    </x:row>
    <x:row r="324">
      <x:c r="A324" s="1"/>
      <x:c r="B324" s="1"/>
      <x:c r="C324" s="1"/>
      <x:c r="D324" s="1"/>
      <x:c r="E324" s="1"/>
      <x:c r="F324" s="1"/>
      <x:c r="G324" s="1"/>
      <x:c r="H324" s="1"/>
      <x:c r="I324" s="1"/>
      <x:c r="J324" s="1"/>
      <x:c r="K324" s="1"/>
    </x:row>
    <x:row r="325">
      <x:c r="A325" s="1"/>
      <x:c r="B325" s="1"/>
      <x:c r="C325" s="1"/>
      <x:c r="D325" s="1"/>
      <x:c r="E325" s="1"/>
      <x:c r="F325" s="1"/>
      <x:c r="G325" s="1"/>
      <x:c r="H325" s="1"/>
      <x:c r="I325" s="1"/>
      <x:c r="J325" s="1"/>
      <x:c r="K325" s="1"/>
    </x:row>
    <x:row r="326">
      <x:c r="A326" s="1"/>
      <x:c r="B326" s="1"/>
      <x:c r="C326" s="1"/>
      <x:c r="D326" s="1"/>
      <x:c r="E326" s="1"/>
      <x:c r="F326" s="1"/>
      <x:c r="G326" s="1"/>
      <x:c r="H326" s="1"/>
      <x:c r="I326" s="1"/>
      <x:c r="J326" s="1"/>
      <x:c r="K326" s="1"/>
    </x:row>
    <x:row r="327">
      <x:c r="A327" s="1"/>
      <x:c r="B327" s="1"/>
      <x:c r="C327" s="1"/>
      <x:c r="D327" s="1"/>
      <x:c r="E327" s="1"/>
      <x:c r="F327" s="1"/>
      <x:c r="G327" s="1"/>
      <x:c r="H327" s="1"/>
      <x:c r="I327" s="1"/>
      <x:c r="J327" s="1"/>
      <x:c r="K327" s="1"/>
    </x:row>
    <x:row r="328">
      <x:c r="A328" s="1"/>
      <x:c r="B328" s="1"/>
      <x:c r="C328" s="1"/>
      <x:c r="D328" s="1"/>
      <x:c r="E328" s="1"/>
      <x:c r="F328" s="1"/>
      <x:c r="G328" s="1"/>
      <x:c r="H328" s="1"/>
      <x:c r="I328" s="1"/>
      <x:c r="J328" s="1"/>
      <x:c r="K328" s="1"/>
    </x:row>
    <x:row r="329">
      <x:c r="A329" s="1"/>
      <x:c r="B329" s="1"/>
      <x:c r="C329" s="1"/>
      <x:c r="D329" s="1"/>
      <x:c r="E329" s="1"/>
      <x:c r="F329" s="1"/>
      <x:c r="G329" s="1"/>
      <x:c r="H329" s="1"/>
      <x:c r="I329" s="1"/>
      <x:c r="J329" s="1"/>
      <x:c r="K329" s="1"/>
    </x:row>
    <x:row r="330">
      <x:c r="A330" s="1"/>
      <x:c r="B330" s="1"/>
      <x:c r="C330" s="1"/>
      <x:c r="D330" s="1"/>
      <x:c r="E330" s="1"/>
      <x:c r="F330" s="1"/>
      <x:c r="G330" s="1"/>
      <x:c r="H330" s="1"/>
      <x:c r="I330" s="1"/>
      <x:c r="J330" s="1"/>
      <x:c r="K330" s="1"/>
    </x:row>
    <x:row r="331">
      <x:c r="A331" s="1"/>
      <x:c r="B331" s="1"/>
      <x:c r="C331" s="1"/>
      <x:c r="D331" s="1"/>
      <x:c r="E331" s="1"/>
      <x:c r="F331" s="1"/>
      <x:c r="G331" s="1"/>
      <x:c r="H331" s="1"/>
      <x:c r="I331" s="1"/>
      <x:c r="J331" s="1"/>
      <x:c r="K331" s="1"/>
    </x:row>
    <x:row r="332">
      <x:c r="A332" s="1"/>
      <x:c r="B332" s="1"/>
      <x:c r="C332" s="1"/>
      <x:c r="D332" s="1"/>
      <x:c r="E332" s="1"/>
      <x:c r="F332" s="1"/>
      <x:c r="G332" s="1"/>
      <x:c r="H332" s="1"/>
      <x:c r="I332" s="1"/>
      <x:c r="J332" s="1"/>
      <x:c r="K332" s="1"/>
    </x:row>
    <x:row r="333">
      <x:c r="A333" s="1"/>
      <x:c r="B333" s="1"/>
      <x:c r="C333" s="1"/>
      <x:c r="D333" s="1"/>
      <x:c r="E333" s="1"/>
      <x:c r="F333" s="1"/>
      <x:c r="G333" s="1"/>
      <x:c r="H333" s="1"/>
      <x:c r="I333" s="1"/>
      <x:c r="J333" s="1"/>
      <x:c r="K333" s="1"/>
    </x:row>
    <x:row r="334">
      <x:c r="A334" s="1"/>
      <x:c r="B334" s="1"/>
      <x:c r="C334" s="1"/>
      <x:c r="D334" s="1"/>
      <x:c r="E334" s="1"/>
      <x:c r="F334" s="1"/>
      <x:c r="G334" s="1"/>
      <x:c r="H334" s="1"/>
      <x:c r="I334" s="1"/>
      <x:c r="J334" s="1"/>
      <x:c r="K334" s="1"/>
    </x:row>
    <x:row r="335">
      <x:c r="A335" s="1"/>
      <x:c r="B335" s="1"/>
      <x:c r="C335" s="1"/>
      <x:c r="D335" s="1"/>
      <x:c r="E335" s="1"/>
      <x:c r="F335" s="1"/>
      <x:c r="G335" s="1"/>
      <x:c r="H335" s="1"/>
      <x:c r="I335" s="1"/>
      <x:c r="J335" s="1"/>
      <x:c r="K335" s="1"/>
    </x:row>
    <x:row r="336">
      <x:c r="A336" s="1"/>
      <x:c r="B336" s="1"/>
      <x:c r="C336" s="1"/>
      <x:c r="D336" s="1"/>
      <x:c r="E336" s="1"/>
      <x:c r="F336" s="1"/>
      <x:c r="G336" s="1"/>
      <x:c r="H336" s="1"/>
      <x:c r="I336" s="1"/>
      <x:c r="J336" s="1"/>
      <x:c r="K336" s="1"/>
    </x:row>
    <x:row r="337">
      <x:c r="A337" s="1"/>
      <x:c r="B337" s="1"/>
      <x:c r="C337" s="1"/>
      <x:c r="D337" s="1"/>
      <x:c r="E337" s="1"/>
      <x:c r="F337" s="1"/>
      <x:c r="G337" s="1"/>
      <x:c r="H337" s="1"/>
      <x:c r="I337" s="1"/>
      <x:c r="J337" s="1"/>
      <x:c r="K337" s="1"/>
    </x:row>
    <x:row r="338">
      <x:c r="A338" s="1"/>
      <x:c r="B338" s="1"/>
      <x:c r="C338" s="1"/>
      <x:c r="D338" s="1"/>
      <x:c r="E338" s="1"/>
      <x:c r="F338" s="1"/>
      <x:c r="G338" s="1"/>
      <x:c r="H338" s="1"/>
      <x:c r="I338" s="1"/>
      <x:c r="J338" s="1"/>
      <x:c r="K338" s="1"/>
    </x:row>
    <x:row r="339">
      <x:c r="A339" s="1"/>
      <x:c r="B339" s="1"/>
      <x:c r="C339" s="1"/>
      <x:c r="D339" s="1"/>
      <x:c r="E339" s="1"/>
      <x:c r="F339" s="1"/>
      <x:c r="G339" s="1"/>
      <x:c r="H339" s="1"/>
      <x:c r="I339" s="1"/>
      <x:c r="J339" s="1"/>
      <x:c r="K339" s="1"/>
    </x:row>
    <x:row r="340">
      <x:c r="A340" s="1"/>
      <x:c r="B340" s="1"/>
      <x:c r="C340" s="1"/>
      <x:c r="D340" s="1"/>
      <x:c r="E340" s="1"/>
      <x:c r="F340" s="1"/>
      <x:c r="G340" s="1"/>
      <x:c r="H340" s="1"/>
      <x:c r="I340" s="1"/>
      <x:c r="J340" s="1"/>
      <x:c r="K340" s="1"/>
    </x:row>
    <x:row r="341">
      <x:c r="A341" s="1"/>
      <x:c r="B341" s="1"/>
      <x:c r="C341" s="1"/>
      <x:c r="D341" s="1"/>
      <x:c r="E341" s="1"/>
      <x:c r="F341" s="1"/>
      <x:c r="G341" s="1"/>
      <x:c r="H341" s="1"/>
      <x:c r="I341" s="1"/>
      <x:c r="J341" s="1"/>
      <x:c r="K341" s="1"/>
    </x:row>
    <x:row r="342">
      <x:c r="A342" s="1"/>
      <x:c r="B342" s="1"/>
      <x:c r="C342" s="1"/>
      <x:c r="D342" s="1"/>
      <x:c r="E342" s="1"/>
      <x:c r="F342" s="1"/>
      <x:c r="G342" s="1"/>
      <x:c r="H342" s="1"/>
      <x:c r="I342" s="1"/>
      <x:c r="J342" s="1"/>
      <x:c r="K342" s="1"/>
    </x:row>
    <x:row r="343">
      <x:c r="A343" s="1"/>
      <x:c r="B343" s="1"/>
      <x:c r="C343" s="1"/>
      <x:c r="D343" s="1"/>
      <x:c r="E343" s="1"/>
      <x:c r="F343" s="1"/>
      <x:c r="G343" s="1"/>
      <x:c r="H343" s="1"/>
      <x:c r="I343" s="1"/>
      <x:c r="J343" s="1"/>
      <x:c r="K343" s="1"/>
    </x:row>
    <x:row r="344">
      <x:c r="A344" s="1"/>
      <x:c r="B344" s="1"/>
      <x:c r="C344" s="1"/>
      <x:c r="D344" s="1"/>
      <x:c r="E344" s="1"/>
      <x:c r="F344" s="1"/>
      <x:c r="G344" s="1"/>
      <x:c r="H344" s="1"/>
      <x:c r="I344" s="1"/>
      <x:c r="J344" s="1"/>
      <x:c r="K344" s="1"/>
    </x:row>
    <x:row r="345">
      <x:c r="A345" s="1"/>
      <x:c r="B345" s="1"/>
      <x:c r="C345" s="1"/>
      <x:c r="D345" s="1"/>
      <x:c r="E345" s="1"/>
      <x:c r="F345" s="1"/>
      <x:c r="G345" s="1"/>
      <x:c r="H345" s="1"/>
      <x:c r="I345" s="1"/>
      <x:c r="J345" s="1"/>
      <x:c r="K345" s="1"/>
    </x:row>
    <x:row r="346">
      <x:c r="A346" s="1"/>
      <x:c r="B346" s="1"/>
      <x:c r="C346" s="1"/>
      <x:c r="D346" s="1"/>
      <x:c r="E346" s="1"/>
      <x:c r="F346" s="1"/>
      <x:c r="G346" s="1"/>
      <x:c r="H346" s="1"/>
      <x:c r="I346" s="1"/>
      <x:c r="J346" s="1"/>
      <x:c r="K346" s="1"/>
    </x:row>
    <x:row r="347">
      <x:c r="A347" s="1"/>
      <x:c r="B347" s="1"/>
      <x:c r="C347" s="1"/>
      <x:c r="D347" s="1"/>
      <x:c r="E347" s="1"/>
      <x:c r="F347" s="1"/>
      <x:c r="G347" s="1"/>
      <x:c r="H347" s="1"/>
      <x:c r="I347" s="1"/>
      <x:c r="J347" s="1"/>
      <x:c r="K347" s="1"/>
    </x:row>
    <x:row r="348">
      <x:c r="A348" s="1"/>
      <x:c r="B348" s="1"/>
      <x:c r="C348" s="1"/>
      <x:c r="D348" s="1"/>
      <x:c r="E348" s="1"/>
      <x:c r="F348" s="1"/>
      <x:c r="G348" s="1"/>
      <x:c r="H348" s="1"/>
      <x:c r="I348" s="1"/>
      <x:c r="J348" s="1"/>
      <x:c r="K348" s="1"/>
    </x:row>
    <x:row r="349">
      <x:c r="A349" s="1"/>
      <x:c r="B349" s="1"/>
      <x:c r="C349" s="1"/>
      <x:c r="D349" s="1"/>
      <x:c r="E349" s="1"/>
      <x:c r="F349" s="1"/>
      <x:c r="G349" s="1"/>
      <x:c r="H349" s="1"/>
      <x:c r="I349" s="1"/>
      <x:c r="J349" s="1"/>
      <x:c r="K349" s="1"/>
    </x:row>
    <x:row r="350">
      <x:c r="A350" s="1"/>
      <x:c r="B350" s="1"/>
      <x:c r="C350" s="1"/>
      <x:c r="D350" s="1"/>
      <x:c r="E350" s="1"/>
      <x:c r="F350" s="1"/>
      <x:c r="G350" s="1"/>
      <x:c r="H350" s="1"/>
      <x:c r="I350" s="1"/>
      <x:c r="J350" s="1"/>
      <x:c r="K350" s="1"/>
    </x:row>
    <x:row r="351">
      <x:c r="A351" s="1"/>
      <x:c r="B351" s="1"/>
      <x:c r="C351" s="1"/>
      <x:c r="D351" s="1"/>
      <x:c r="E351" s="1"/>
      <x:c r="F351" s="1"/>
      <x:c r="G351" s="1"/>
      <x:c r="H351" s="1"/>
      <x:c r="I351" s="1"/>
      <x:c r="J351" s="1"/>
      <x:c r="K351" s="1"/>
    </x:row>
    <x:row r="352">
      <x:c r="A352" s="1"/>
      <x:c r="B352" s="1"/>
      <x:c r="C352" s="1"/>
      <x:c r="D352" s="1"/>
      <x:c r="E352" s="1"/>
      <x:c r="F352" s="1"/>
      <x:c r="G352" s="1"/>
      <x:c r="H352" s="1"/>
      <x:c r="I352" s="1"/>
      <x:c r="J352" s="1"/>
      <x:c r="K352" s="1"/>
    </x:row>
    <x:row r="353">
      <x:c r="A353" s="1"/>
      <x:c r="B353" s="1"/>
      <x:c r="C353" s="1"/>
      <x:c r="D353" s="1"/>
      <x:c r="E353" s="1"/>
      <x:c r="F353" s="1"/>
      <x:c r="G353" s="1"/>
      <x:c r="H353" s="1"/>
      <x:c r="I353" s="1"/>
      <x:c r="J353" s="1"/>
      <x:c r="K353" s="1"/>
    </x:row>
    <x:row r="354">
      <x:c r="A354" s="1"/>
      <x:c r="B354" s="1"/>
      <x:c r="C354" s="1"/>
      <x:c r="D354" s="1"/>
      <x:c r="E354" s="1"/>
      <x:c r="F354" s="1"/>
      <x:c r="G354" s="1"/>
      <x:c r="H354" s="1"/>
      <x:c r="I354" s="1"/>
      <x:c r="J354" s="1"/>
      <x:c r="K354" s="1"/>
    </x:row>
    <x:row r="355">
      <x:c r="A355" s="1"/>
      <x:c r="B355" s="1"/>
      <x:c r="C355" s="1"/>
      <x:c r="D355" s="1"/>
      <x:c r="E355" s="1"/>
      <x:c r="F355" s="1"/>
      <x:c r="G355" s="1"/>
      <x:c r="H355" s="1"/>
      <x:c r="I355" s="1"/>
      <x:c r="J355" s="1"/>
      <x:c r="K355" s="1"/>
    </x:row>
    <x:row r="356">
      <x:c r="A356" s="1"/>
      <x:c r="B356" s="1"/>
      <x:c r="C356" s="1"/>
      <x:c r="D356" s="1"/>
      <x:c r="E356" s="1"/>
      <x:c r="F356" s="1"/>
      <x:c r="G356" s="1"/>
      <x:c r="H356" s="1"/>
      <x:c r="I356" s="1"/>
      <x:c r="J356" s="1"/>
      <x:c r="K356" s="1"/>
    </x:row>
    <x:row r="357">
      <x:c r="A357" s="1"/>
      <x:c r="B357" s="1"/>
      <x:c r="C357" s="1"/>
      <x:c r="D357" s="1"/>
      <x:c r="E357" s="1"/>
      <x:c r="F357" s="1"/>
      <x:c r="G357" s="1"/>
      <x:c r="H357" s="1"/>
      <x:c r="I357" s="1"/>
      <x:c r="J357" s="1"/>
      <x:c r="K357" s="1"/>
    </x:row>
    <x:row r="358">
      <x:c r="A358" s="1"/>
      <x:c r="B358" s="1"/>
      <x:c r="C358" s="1"/>
      <x:c r="D358" s="1"/>
      <x:c r="E358" s="1"/>
      <x:c r="F358" s="1"/>
      <x:c r="G358" s="1"/>
      <x:c r="H358" s="1"/>
      <x:c r="I358" s="1"/>
      <x:c r="J358" s="1"/>
      <x:c r="K358" s="1"/>
    </x:row>
    <x:row r="359">
      <x:c r="A359" s="1"/>
      <x:c r="B359" s="1"/>
      <x:c r="C359" s="1"/>
      <x:c r="D359" s="1"/>
      <x:c r="E359" s="1"/>
      <x:c r="F359" s="1"/>
      <x:c r="G359" s="1"/>
      <x:c r="H359" s="1"/>
      <x:c r="I359" s="1"/>
      <x:c r="J359" s="1"/>
      <x:c r="K359" s="1"/>
    </x:row>
    <x:row r="360">
      <x:c r="A360" s="1"/>
      <x:c r="B360" s="1"/>
      <x:c r="C360" s="1"/>
      <x:c r="D360" s="1"/>
      <x:c r="E360" s="1"/>
      <x:c r="F360" s="1"/>
      <x:c r="G360" s="1"/>
      <x:c r="H360" s="1"/>
      <x:c r="I360" s="1"/>
      <x:c r="J360" s="1"/>
      <x:c r="K360" s="1"/>
    </x:row>
    <x:row r="361">
      <x:c r="A361" s="1"/>
      <x:c r="B361" s="1"/>
      <x:c r="C361" s="1"/>
      <x:c r="D361" s="1"/>
      <x:c r="E361" s="1"/>
      <x:c r="F361" s="1"/>
      <x:c r="G361" s="1"/>
      <x:c r="H361" s="1"/>
      <x:c r="I361" s="1"/>
      <x:c r="J361" s="1"/>
      <x:c r="K361" s="1"/>
    </x:row>
    <x:row r="362">
      <x:c r="A362" s="1"/>
      <x:c r="B362" s="1"/>
      <x:c r="C362" s="1"/>
      <x:c r="D362" s="1"/>
      <x:c r="E362" s="1"/>
      <x:c r="F362" s="1"/>
      <x:c r="G362" s="1"/>
      <x:c r="H362" s="1"/>
      <x:c r="I362" s="1"/>
      <x:c r="J362" s="1"/>
      <x:c r="K362" s="1"/>
    </x:row>
    <x:row r="363">
      <x:c r="A363" s="1"/>
      <x:c r="B363" s="1"/>
      <x:c r="C363" s="1"/>
      <x:c r="D363" s="1"/>
      <x:c r="E363" s="1"/>
      <x:c r="F363" s="1"/>
      <x:c r="G363" s="1"/>
      <x:c r="H363" s="1"/>
      <x:c r="I363" s="1"/>
      <x:c r="J363" s="1"/>
      <x:c r="K363" s="1"/>
    </x:row>
    <x:row r="364">
      <x:c r="A364" s="1"/>
      <x:c r="B364" s="1"/>
      <x:c r="C364" s="1"/>
      <x:c r="D364" s="1"/>
      <x:c r="E364" s="1"/>
      <x:c r="F364" s="1"/>
      <x:c r="G364" s="1"/>
      <x:c r="H364" s="1"/>
      <x:c r="I364" s="1"/>
      <x:c r="J364" s="1"/>
      <x:c r="K364" s="1"/>
    </x:row>
    <x:row r="365">
      <x:c r="A365" s="1"/>
      <x:c r="B365" s="1"/>
      <x:c r="C365" s="1"/>
      <x:c r="D365" s="1"/>
      <x:c r="E365" s="1"/>
      <x:c r="F365" s="1"/>
      <x:c r="G365" s="1"/>
      <x:c r="H365" s="1"/>
      <x:c r="I365" s="1"/>
      <x:c r="J365" s="1"/>
      <x:c r="K365" s="1"/>
    </x:row>
    <x:row r="366">
      <x:c r="A366" s="1"/>
      <x:c r="B366" s="1"/>
      <x:c r="C366" s="1"/>
      <x:c r="D366" s="1"/>
      <x:c r="E366" s="1"/>
      <x:c r="F366" s="1"/>
      <x:c r="G366" s="1"/>
      <x:c r="H366" s="1"/>
      <x:c r="I366" s="1"/>
      <x:c r="J366" s="1"/>
      <x:c r="K366" s="1"/>
    </x:row>
    <x:row r="367">
      <x:c r="A367" s="1"/>
      <x:c r="B367" s="1"/>
      <x:c r="C367" s="1"/>
      <x:c r="D367" s="1"/>
      <x:c r="E367" s="1"/>
      <x:c r="F367" s="1"/>
      <x:c r="G367" s="1"/>
      <x:c r="H367" s="1"/>
      <x:c r="I367" s="1"/>
      <x:c r="J367" s="1"/>
      <x:c r="K367" s="1"/>
    </x:row>
    <x:row r="368">
      <x:c r="A368" s="1"/>
      <x:c r="B368" s="1"/>
      <x:c r="C368" s="1"/>
      <x:c r="D368" s="1"/>
      <x:c r="E368" s="1"/>
      <x:c r="F368" s="1"/>
      <x:c r="G368" s="1"/>
      <x:c r="H368" s="1"/>
      <x:c r="I368" s="1"/>
      <x:c r="J368" s="1"/>
      <x:c r="K368" s="1"/>
    </x:row>
    <x:row r="369">
      <x:c r="A369" s="1"/>
      <x:c r="B369" s="1"/>
      <x:c r="C369" s="1"/>
      <x:c r="D369" s="1"/>
      <x:c r="E369" s="1"/>
      <x:c r="F369" s="1"/>
      <x:c r="G369" s="1"/>
      <x:c r="H369" s="1"/>
      <x:c r="I369" s="1"/>
      <x:c r="J369" s="1"/>
      <x:c r="K369" s="1"/>
    </x:row>
    <x:row r="370">
      <x:c r="A370" s="1"/>
      <x:c r="B370" s="1"/>
      <x:c r="C370" s="1"/>
      <x:c r="D370" s="1"/>
      <x:c r="E370" s="1"/>
      <x:c r="F370" s="1"/>
      <x:c r="G370" s="1"/>
      <x:c r="H370" s="1"/>
      <x:c r="I370" s="1"/>
      <x:c r="J370" s="1"/>
      <x:c r="K370" s="1"/>
    </x:row>
    <x:row r="371">
      <x:c r="A371" s="1"/>
      <x:c r="B371" s="1"/>
      <x:c r="C371" s="1"/>
      <x:c r="D371" s="1"/>
      <x:c r="E371" s="1"/>
      <x:c r="F371" s="1"/>
      <x:c r="G371" s="1"/>
      <x:c r="H371" s="1"/>
      <x:c r="I371" s="1"/>
      <x:c r="J371" s="1"/>
      <x:c r="K371" s="1"/>
    </x:row>
    <x:row r="372">
      <x:c r="A372" s="1"/>
      <x:c r="B372" s="1"/>
      <x:c r="C372" s="1"/>
      <x:c r="D372" s="1"/>
      <x:c r="E372" s="1"/>
      <x:c r="F372" s="1"/>
      <x:c r="G372" s="1"/>
      <x:c r="H372" s="1"/>
      <x:c r="I372" s="1"/>
      <x:c r="J372" s="1"/>
      <x:c r="K372" s="1"/>
    </x:row>
    <x:row r="373">
      <x:c r="A373" s="1"/>
      <x:c r="B373" s="1"/>
      <x:c r="C373" s="1"/>
      <x:c r="D373" s="1"/>
      <x:c r="E373" s="1"/>
      <x:c r="F373" s="1"/>
      <x:c r="G373" s="1"/>
      <x:c r="H373" s="1"/>
      <x:c r="I373" s="1"/>
      <x:c r="J373" s="1"/>
      <x:c r="K373" s="1"/>
    </x:row>
    <x:row r="374">
      <x:c r="A374" s="1"/>
      <x:c r="B374" s="1"/>
      <x:c r="C374" s="1"/>
      <x:c r="D374" s="1"/>
      <x:c r="E374" s="1"/>
      <x:c r="F374" s="1"/>
      <x:c r="G374" s="1"/>
      <x:c r="H374" s="1"/>
      <x:c r="I374" s="1"/>
      <x:c r="J374" s="1"/>
      <x:c r="K374" s="1"/>
    </x:row>
    <x:row r="375">
      <x:c r="A375" s="1"/>
      <x:c r="B375" s="1"/>
      <x:c r="C375" s="1"/>
      <x:c r="D375" s="1"/>
      <x:c r="E375" s="1"/>
      <x:c r="F375" s="1"/>
      <x:c r="G375" s="1"/>
      <x:c r="H375" s="1"/>
      <x:c r="I375" s="1"/>
      <x:c r="J375" s="1"/>
      <x:c r="K375" s="1"/>
    </x:row>
    <x:row r="376">
      <x:c r="A376" s="1"/>
      <x:c r="B376" s="1"/>
      <x:c r="C376" s="1"/>
      <x:c r="D376" s="1"/>
      <x:c r="E376" s="1"/>
      <x:c r="F376" s="1"/>
      <x:c r="G376" s="1"/>
      <x:c r="H376" s="1"/>
      <x:c r="I376" s="1"/>
      <x:c r="J376" s="1"/>
      <x:c r="K376" s="1"/>
    </x:row>
    <x:row r="377">
      <x:c r="A377" s="1"/>
      <x:c r="B377" s="1"/>
      <x:c r="C377" s="1"/>
      <x:c r="D377" s="1"/>
      <x:c r="E377" s="1"/>
      <x:c r="F377" s="1"/>
      <x:c r="G377" s="1"/>
      <x:c r="H377" s="1"/>
      <x:c r="I377" s="1"/>
      <x:c r="J377" s="1"/>
      <x:c r="K377" s="1"/>
    </x:row>
    <x:row r="378">
      <x:c r="A378" s="1"/>
      <x:c r="B378" s="1"/>
      <x:c r="C378" s="1"/>
      <x:c r="D378" s="1"/>
      <x:c r="E378" s="1"/>
      <x:c r="F378" s="1"/>
      <x:c r="G378" s="1"/>
      <x:c r="H378" s="1"/>
      <x:c r="I378" s="1"/>
      <x:c r="J378" s="1"/>
      <x:c r="K378" s="1"/>
    </x:row>
    <x:row r="379">
      <x:c r="A379" s="1"/>
      <x:c r="B379" s="1"/>
      <x:c r="C379" s="1"/>
      <x:c r="D379" s="1"/>
      <x:c r="E379" s="1"/>
      <x:c r="F379" s="1"/>
      <x:c r="G379" s="1"/>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D1"/>
    <x:mergeCell ref="A2:D2"/>
    <x:mergeCell ref="A16:D16"/>
    <x:mergeCell ref="A18:D18"/>
    <x:mergeCell ref="A31:D31"/>
    <x:mergeCell ref="A38:D38"/>
    <x:mergeCell ref="A40:D40"/>
  </x:mergeCells>
  <x:pageMargins left="0.7" right="0.7" top="0.75" bottom="0.75" header="0.3" footer="0.3"/>
  <x:tableParts count="3">
    <x:tablePart xmlns:r="http://schemas.openxmlformats.org/officeDocument/2006/relationships" r:id="Rc705158541eb47f2"/>
    <x:tablePart xmlns:r="http://schemas.openxmlformats.org/officeDocument/2006/relationships" r:id="R187c331d701744a2"/>
    <x:tablePart xmlns:r="http://schemas.openxmlformats.org/officeDocument/2006/relationships" r:id="R3d68602e3633464a"/>
  </x:tableParts>
</x:worksheet>
</file>

<file path=xl/worksheets/sheet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30" hidden="0" customWidth="1"/>
    <x:col min="2" max="2" width="46" hidden="0" customWidth="1"/>
    <x:col min="3" max="3" width="20" hidden="0" customWidth="1"/>
    <x:col min="4" max="4" width="18" hidden="0" customWidth="1"/>
    <x:col min="5" max="5" width="18" hidden="0" customWidth="1"/>
    <x:col min="6" max="6" width="19" hidden="0" customWidth="1"/>
    <x:col min="7" max="7" width="20" hidden="0" customWidth="1"/>
    <x:col min="8" max="8" width="18" hidden="0" customWidth="1"/>
    <x:col min="9" max="9" width="19" hidden="0" customWidth="1"/>
    <x:col min="10" max="10" width="100" hidden="0" customWidth="1"/>
  </x:cols>
  <x:sheetData>
    <x:row r="1" ht="30" customHeight="1">
      <x:c r="A1" s="4" t="str">
        <x:v>Allocation values and assumptions</x:v>
      </x:c>
      <x:c r="B1" s="4"/>
      <x:c r="C1" s="4"/>
      <x:c r="D1" s="4"/>
      <x:c r="E1" s="4"/>
      <x:c r="F1" s="4"/>
      <x:c r="G1" s="4"/>
      <x:c r="H1" s="4"/>
      <x:c r="I1" s="4"/>
      <x:c r="J1" s="4"/>
      <x:c r="K1" s="1"/>
    </x:row>
    <x:row r="2" ht="34" customHeight="1">
      <x:c r="A2" s="6" t="str">
        <x:v>All 177 taxa with recorded allocation assumptions. Model catch is the actual field used; biomass is retained for inspection. Values use the model’s areal units; proportions are dimensionless.</x:v>
      </x:c>
      <x:c r="B2" s="6"/>
      <x:c r="C2" s="6"/>
      <x:c r="D2" s="6"/>
      <x:c r="E2" s="6"/>
      <x:c r="F2" s="6"/>
      <x:c r="G2" s="6"/>
      <x:c r="H2" s="6"/>
      <x:c r="I2" s="6"/>
      <x:c r="J2" s="6"/>
      <x:c r="K2" s="1"/>
    </x:row>
    <x:row r="3" ht="34" customHeight="1">
      <x:c r="A3" s="6" t="str">
        <x:v>Denominator and weight formulas use every candidate for each exact taxon. Model catch proportions have Medium weight confidence. The two single-group analogues require no split (High weight confidence); Very low membership stays Very low overall.</x:v>
      </x:c>
      <x:c r="B3" s="6"/>
      <x:c r="C3" s="6"/>
      <x:c r="D3" s="6"/>
      <x:c r="E3" s="6"/>
      <x:c r="F3" s="6"/>
      <x:c r="G3" s="6"/>
      <x:c r="H3" s="6"/>
      <x:c r="I3" s="6"/>
      <x:c r="J3" s="6"/>
      <x:c r="K3" s="1"/>
    </x:row>
    <x:row r="4" ht="34" customHeight="1">
      <x:c r="A4" s="6" t="str">
        <x:v>Candidate sets, source values and membership uncertainty are described in the regional Mapping review and linked mapping audit. Single-group assumptions use weight 1.</x:v>
      </x:c>
      <x:c r="B4" s="6"/>
      <x:c r="C4" s="6"/>
      <x:c r="D4" s="6"/>
      <x:c r="E4" s="6"/>
      <x:c r="F4" s="6"/>
      <x:c r="G4" s="6"/>
      <x:c r="H4" s="6"/>
      <x:c r="I4" s="6"/>
      <x:c r="J4" s="6"/>
      <x:c r="K4" s="1"/>
    </x:row>
    <x:row r="5" ht="34" customHeight="1">
      <x:c r="A5" s="10" t="str">
        <x:v>Taxon</x:v>
      </x:c>
      <x:c r="B5" s="10" t="str">
        <x:v>Model group</x:v>
      </x:c>
      <x:c r="C5" s="10" t="str">
        <x:v>Group ID</x:v>
      </x:c>
      <x:c r="D5" s="10" t="str">
        <x:v>Model catch</x:v>
      </x:c>
      <x:c r="E5" s="10" t="str">
        <x:v>Model biomass</x:v>
      </x:c>
      <x:c r="F5" s="10" t="str">
        <x:v>Allocation field</x:v>
      </x:c>
      <x:c r="G5" s="10" t="str">
        <x:v>Eligible total</x:v>
      </x:c>
      <x:c r="H5" s="10" t="str">
        <x:v>Weight</x:v>
      </x:c>
      <x:c r="I5" s="10" t="str">
        <x:v>Weight confidence</x:v>
      </x:c>
      <x:c r="J5" s="10" t="str">
        <x:v>Candidate basis and assumptions</x:v>
      </x:c>
      <x:c r="K5" s="1"/>
    </x:row>
    <x:row r="6" ht="72" customHeight="1">
      <x:c r="A6" s="7" t="str">
        <x:v>Acanthocybium solandri</x:v>
      </x:c>
      <x:c r="B6" s="7" t="str">
        <x:v>Juvenile large pelagic fish</x:v>
      </x:c>
      <x:c r="C6" s="7" t="n">
        <x:v>30</x:v>
      </x:c>
      <x:c r="D6" s="15" t="n">
        <x:v>0.7384</x:v>
      </x:c>
      <x:c r="E6" s="15" t="n">
        <x:v>0.289</x:v>
      </x:c>
      <x:c r="F6" s="15" t="str">
        <x:v>Model catch</x:v>
      </x:c>
      <x:c r="G6" s="15" t="n">
        <x:f>SUMIFS($D$6:$D$449,$A$6:$A$449,A6)</x:f>
        <x:v>0.8205</x:v>
      </x:c>
      <x:c r="H6" s="16" t="n">
        <x:f>D6/G6</x:f>
        <x:v>0.8999390615478366</x:v>
      </x:c>
      <x:c r="I6" s="7" t="str">
        <x:v>Medium</x:v>
      </x:c>
      <x:c r="J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6" s="1"/>
    </x:row>
    <x:row r="7" ht="72" customHeight="1">
      <x:c r="A7" s="7" t="str">
        <x:v>Acanthocybium solandri</x:v>
      </x:c>
      <x:c r="B7" s="7" t="str">
        <x:v>Pelagic fish (&gt; 30 cm)</x:v>
      </x:c>
      <x:c r="C7" s="7" t="n">
        <x:v>31</x:v>
      </x:c>
      <x:c r="D7" s="15" t="n">
        <x:v>0.0821</x:v>
      </x:c>
      <x:c r="E7" s="15" t="n">
        <x:v>0.079</x:v>
      </x:c>
      <x:c r="F7" s="15" t="str">
        <x:v>Model catch</x:v>
      </x:c>
      <x:c r="G7" s="15" t="n">
        <x:f>SUMIFS($D$6:$D$449,$A$6:$A$449,A7)</x:f>
        <x:v>0.8205</x:v>
      </x:c>
      <x:c r="H7" s="16" t="n">
        <x:f>D7/G7</x:f>
        <x:v>0.10006093845216332</x:v>
      </x:c>
      <x:c r="I7" s="7" t="str">
        <x:v>Medium</x:v>
      </x:c>
      <x:c r="J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7" s="1"/>
    </x:row>
    <x:row r="8" ht="87" customHeight="1">
      <x:c r="A8" s="7" t="str">
        <x:v>Acanthopagrus schlegelii</x:v>
      </x:c>
      <x:c r="B8" s="7" t="str">
        <x:v>Juvenile demersal fish (&gt; 30 cm)</x:v>
      </x:c>
      <x:c r="C8" s="7" t="n">
        <x:v>25</x:v>
      </x:c>
      <x:c r="D8" s="15" t="n">
        <x:v>0.3165</x:v>
      </x:c>
      <x:c r="E8" s="15" t="n">
        <x:v>0.143</x:v>
      </x:c>
      <x:c r="F8" s="15" t="str">
        <x:v>Model catch</x:v>
      </x:c>
      <x:c r="G8" s="15" t="n">
        <x:f>SUMIFS($D$6:$D$449,$A$6:$A$449,A8)</x:f>
        <x:v>0.3517</x:v>
      </x:c>
      <x:c r="H8" s="16" t="n">
        <x:f>D8/G8</x:f>
        <x:v>0.8999147000284333</x:v>
      </x:c>
      <x:c r="I8" s="7" t="str">
        <x:v>Medium</x:v>
      </x:c>
      <x:c r="J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8" s="1"/>
    </x:row>
    <x:row r="9" ht="87" customHeight="1">
      <x:c r="A9" s="7" t="str">
        <x:v>Acanthopagrus schlegelii</x:v>
      </x:c>
      <x:c r="B9" s="7" t="str">
        <x:v>Adult demersal fish (&gt; 30 cm)</x:v>
      </x:c>
      <x:c r="C9" s="7" t="n">
        <x:v>26</x:v>
      </x:c>
      <x:c r="D9" s="15" t="n">
        <x:v>0.0352</x:v>
      </x:c>
      <x:c r="E9" s="15" t="n">
        <x:v>0.021</x:v>
      </x:c>
      <x:c r="F9" s="15" t="str">
        <x:v>Model catch</x:v>
      </x:c>
      <x:c r="G9" s="15" t="n">
        <x:f>SUMIFS($D$6:$D$449,$A$6:$A$449,A9)</x:f>
        <x:v>0.3517</x:v>
      </x:c>
      <x:c r="H9" s="16" t="n">
        <x:f>D9/G9</x:f>
        <x:v>0.10008529997156668</x:v>
      </x:c>
      <x:c r="I9" s="7" t="str">
        <x:v>Medium</x:v>
      </x:c>
      <x:c r="J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 s="1"/>
    </x:row>
    <x:row r="10" ht="72" customHeight="1">
      <x:c r="A10" s="7" t="str">
        <x:v>Alepes</x:v>
      </x:c>
      <x:c r="B10" s="7" t="str">
        <x:v>Juvenile large pelagic fish</x:v>
      </x:c>
      <x:c r="C10" s="7" t="n">
        <x:v>30</x:v>
      </x:c>
      <x:c r="D10" s="15" t="n">
        <x:v>0.7384</x:v>
      </x:c>
      <x:c r="E10" s="15" t="n">
        <x:v>0.289</x:v>
      </x:c>
      <x:c r="F10" s="15" t="str">
        <x:v>Model catch</x:v>
      </x:c>
      <x:c r="G10" s="15" t="n">
        <x:f>SUMIFS($D$6:$D$449,$A$6:$A$449,A10)</x:f>
        <x:v>0.8205</x:v>
      </x:c>
      <x:c r="H10" s="16" t="n">
        <x:f>D10/G10</x:f>
        <x:v>0.8999390615478366</x:v>
      </x:c>
      <x:c r="I10" s="7" t="str">
        <x:v>Medium</x:v>
      </x:c>
      <x:c r="J1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 s="1"/>
    </x:row>
    <x:row r="11" ht="72" customHeight="1">
      <x:c r="A11" s="7" t="str">
        <x:v>Alepes</x:v>
      </x:c>
      <x:c r="B11" s="7" t="str">
        <x:v>Pelagic fish (&gt; 30 cm)</x:v>
      </x:c>
      <x:c r="C11" s="7" t="n">
        <x:v>31</x:v>
      </x:c>
      <x:c r="D11" s="15" t="n">
        <x:v>0.0821</x:v>
      </x:c>
      <x:c r="E11" s="15" t="n">
        <x:v>0.079</x:v>
      </x:c>
      <x:c r="F11" s="15" t="str">
        <x:v>Model catch</x:v>
      </x:c>
      <x:c r="G11" s="15" t="n">
        <x:f>SUMIFS($D$6:$D$449,$A$6:$A$449,A11)</x:f>
        <x:v>0.8205</x:v>
      </x:c>
      <x:c r="H11" s="16" t="n">
        <x:f>D11/G11</x:f>
        <x:v>0.10006093845216332</x:v>
      </x:c>
      <x:c r="I11" s="7" t="str">
        <x:v>Medium</x:v>
      </x:c>
      <x:c r="J1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 s="1"/>
    </x:row>
    <x:row r="12" ht="87" customHeight="1">
      <x:c r="A12" s="7" t="str">
        <x:v>Aluterus</x:v>
      </x:c>
      <x:c r="B12" s="7" t="str">
        <x:v>Juvenile demersal fish (&gt; 30 cm)</x:v>
      </x:c>
      <x:c r="C12" s="7" t="n">
        <x:v>25</x:v>
      </x:c>
      <x:c r="D12" s="15" t="n">
        <x:v>0.3165</x:v>
      </x:c>
      <x:c r="E12" s="15" t="n">
        <x:v>0.143</x:v>
      </x:c>
      <x:c r="F12" s="15" t="str">
        <x:v>Model catch</x:v>
      </x:c>
      <x:c r="G12" s="15" t="n">
        <x:f>SUMIFS($D$6:$D$449,$A$6:$A$449,A12)</x:f>
        <x:v>0.3517</x:v>
      </x:c>
      <x:c r="H12" s="16" t="n">
        <x:f>D12/G12</x:f>
        <x:v>0.8999147000284333</x:v>
      </x:c>
      <x:c r="I12" s="7" t="str">
        <x:v>Medium</x:v>
      </x:c>
      <x:c r="J1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2" s="1"/>
    </x:row>
    <x:row r="13" ht="87" customHeight="1">
      <x:c r="A13" s="7" t="str">
        <x:v>Aluterus</x:v>
      </x:c>
      <x:c r="B13" s="7" t="str">
        <x:v>Adult demersal fish (&gt; 30 cm)</x:v>
      </x:c>
      <x:c r="C13" s="7" t="n">
        <x:v>26</x:v>
      </x:c>
      <x:c r="D13" s="15" t="n">
        <x:v>0.0352</x:v>
      </x:c>
      <x:c r="E13" s="15" t="n">
        <x:v>0.021</x:v>
      </x:c>
      <x:c r="F13" s="15" t="str">
        <x:v>Model catch</x:v>
      </x:c>
      <x:c r="G13" s="15" t="n">
        <x:f>SUMIFS($D$6:$D$449,$A$6:$A$449,A13)</x:f>
        <x:v>0.3517</x:v>
      </x:c>
      <x:c r="H13" s="16" t="n">
        <x:f>D13/G13</x:f>
        <x:v>0.10008529997156668</x:v>
      </x:c>
      <x:c r="I13" s="7" t="str">
        <x:v>Medium</x:v>
      </x:c>
      <x:c r="J1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 s="1"/>
    </x:row>
    <x:row r="14" ht="87" customHeight="1">
      <x:c r="A14" s="7" t="str">
        <x:v>Anguilliformes</x:v>
      </x:c>
      <x:c r="B14" s="7" t="str">
        <x:v>Juvenile demersal fish (&gt; 30 cm)</x:v>
      </x:c>
      <x:c r="C14" s="7" t="n">
        <x:v>25</x:v>
      </x:c>
      <x:c r="D14" s="15" t="n">
        <x:v>0.3165</x:v>
      </x:c>
      <x:c r="E14" s="15" t="n">
        <x:v>0.143</x:v>
      </x:c>
      <x:c r="F14" s="15" t="str">
        <x:v>Model catch</x:v>
      </x:c>
      <x:c r="G14" s="15" t="n">
        <x:f>SUMIFS($D$6:$D$449,$A$6:$A$449,A14)</x:f>
        <x:v>0.3517</x:v>
      </x:c>
      <x:c r="H14" s="16" t="n">
        <x:f>D14/G14</x:f>
        <x:v>0.8999147000284333</x:v>
      </x:c>
      <x:c r="I14" s="7" t="str">
        <x:v>Medium</x:v>
      </x:c>
      <x:c r="J1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 s="1"/>
    </x:row>
    <x:row r="15" ht="87" customHeight="1">
      <x:c r="A15" s="7" t="str">
        <x:v>Anguilliformes</x:v>
      </x:c>
      <x:c r="B15" s="7" t="str">
        <x:v>Adult demersal fish (&gt; 30 cm)</x:v>
      </x:c>
      <x:c r="C15" s="7" t="n">
        <x:v>26</x:v>
      </x:c>
      <x:c r="D15" s="15" t="n">
        <x:v>0.0352</x:v>
      </x:c>
      <x:c r="E15" s="15" t="n">
        <x:v>0.021</x:v>
      </x:c>
      <x:c r="F15" s="15" t="str">
        <x:v>Model catch</x:v>
      </x:c>
      <x:c r="G15" s="15" t="n">
        <x:f>SUMIFS($D$6:$D$449,$A$6:$A$449,A15)</x:f>
        <x:v>0.3517</x:v>
      </x:c>
      <x:c r="H15" s="16" t="n">
        <x:f>D15/G15</x:f>
        <x:v>0.10008529997156668</x:v>
      </x:c>
      <x:c r="I15" s="7" t="str">
        <x:v>Medium</x:v>
      </x:c>
      <x:c r="J1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 s="1"/>
    </x:row>
    <x:row r="16" ht="87" customHeight="1">
      <x:c r="A16" s="7" t="str">
        <x:v>Ariidae</x:v>
      </x:c>
      <x:c r="B16" s="7" t="str">
        <x:v>Juvenile demersal fish (&gt; 30 cm)</x:v>
      </x:c>
      <x:c r="C16" s="7" t="n">
        <x:v>25</x:v>
      </x:c>
      <x:c r="D16" s="15" t="n">
        <x:v>0.3165</x:v>
      </x:c>
      <x:c r="E16" s="15" t="n">
        <x:v>0.143</x:v>
      </x:c>
      <x:c r="F16" s="15" t="str">
        <x:v>Model catch</x:v>
      </x:c>
      <x:c r="G16" s="15" t="n">
        <x:f>SUMIFS($D$6:$D$449,$A$6:$A$449,A16)</x:f>
        <x:v>0.3517</x:v>
      </x:c>
      <x:c r="H16" s="16" t="n">
        <x:f>D16/G16</x:f>
        <x:v>0.8999147000284333</x:v>
      </x:c>
      <x:c r="I16" s="7" t="str">
        <x:v>Medium</x:v>
      </x:c>
      <x:c r="J1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 s="1"/>
    </x:row>
    <x:row r="17" ht="87" customHeight="1">
      <x:c r="A17" s="7" t="str">
        <x:v>Ariidae</x:v>
      </x:c>
      <x:c r="B17" s="7" t="str">
        <x:v>Adult demersal fish (&gt; 30 cm)</x:v>
      </x:c>
      <x:c r="C17" s="7" t="n">
        <x:v>26</x:v>
      </x:c>
      <x:c r="D17" s="15" t="n">
        <x:v>0.0352</x:v>
      </x:c>
      <x:c r="E17" s="15" t="n">
        <x:v>0.021</x:v>
      </x:c>
      <x:c r="F17" s="15" t="str">
        <x:v>Model catch</x:v>
      </x:c>
      <x:c r="G17" s="15" t="n">
        <x:f>SUMIFS($D$6:$D$449,$A$6:$A$449,A17)</x:f>
        <x:v>0.3517</x:v>
      </x:c>
      <x:c r="H17" s="16" t="n">
        <x:f>D17/G17</x:f>
        <x:v>0.10008529997156668</x:v>
      </x:c>
      <x:c r="I17" s="7" t="str">
        <x:v>Medium</x:v>
      </x:c>
      <x:c r="J1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7" s="1"/>
    </x:row>
    <x:row r="18" ht="87" customHeight="1">
      <x:c r="A18" s="7" t="str">
        <x:v>Atrobucca nibe</x:v>
      </x:c>
      <x:c r="B18" s="7" t="str">
        <x:v>Juvenile large croakers</x:v>
      </x:c>
      <x:c r="C18" s="7" t="n">
        <x:v>22</x:v>
      </x:c>
      <x:c r="D18" s="15" t="n">
        <x:v>0.071</x:v>
      </x:c>
      <x:c r="E18" s="15" t="n">
        <x:v>0.04</x:v>
      </x:c>
      <x:c r="F18" s="15" t="str">
        <x:v>Model catch</x:v>
      </x:c>
      <x:c r="G18" s="15" t="n">
        <x:f>SUMIFS($D$6:$D$449,$A$6:$A$449,A18)</x:f>
        <x:v>0.07899999999999999</x:v>
      </x:c>
      <x:c r="H18" s="16" t="n">
        <x:f>D18/G18</x:f>
        <x:v>0.8987341772151899</x:v>
      </x:c>
      <x:c r="I18" s="7" t="str">
        <x:v>Medium</x:v>
      </x:c>
      <x:c r="J18"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8" s="1"/>
    </x:row>
    <x:row r="19" ht="87" customHeight="1">
      <x:c r="A19" s="7" t="str">
        <x:v>Atrobucca nibe</x:v>
      </x:c>
      <x:c r="B19" s="7" t="str">
        <x:v>Croakers (&gt; 30 cm)</x:v>
      </x:c>
      <x:c r="C19" s="7" t="n">
        <x:v>23</x:v>
      </x:c>
      <x:c r="D19" s="15" t="n">
        <x:v>0.008</x:v>
      </x:c>
      <x:c r="E19" s="15" t="n">
        <x:v>0.0094</x:v>
      </x:c>
      <x:c r="F19" s="15" t="str">
        <x:v>Model catch</x:v>
      </x:c>
      <x:c r="G19" s="15" t="n">
        <x:f>SUMIFS($D$6:$D$449,$A$6:$A$449,A19)</x:f>
        <x:v>0.07899999999999999</x:v>
      </x:c>
      <x:c r="H19" s="16" t="n">
        <x:f>D19/G19</x:f>
        <x:v>0.10126582278481014</x:v>
      </x:c>
      <x:c r="I19" s="7" t="str">
        <x:v>Medium</x:v>
      </x:c>
      <x:c r="J19"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9" s="1"/>
    </x:row>
    <x:row r="20" ht="72" customHeight="1">
      <x:c r="A20" s="7" t="str">
        <x:v>Auxis</x:v>
      </x:c>
      <x:c r="B20" s="7" t="str">
        <x:v>Juvenile large pelagic fish</x:v>
      </x:c>
      <x:c r="C20" s="7" t="n">
        <x:v>30</x:v>
      </x:c>
      <x:c r="D20" s="15" t="n">
        <x:v>0.7384</x:v>
      </x:c>
      <x:c r="E20" s="15" t="n">
        <x:v>0.289</x:v>
      </x:c>
      <x:c r="F20" s="15" t="str">
        <x:v>Model catch</x:v>
      </x:c>
      <x:c r="G20" s="15" t="n">
        <x:f>SUMIFS($D$6:$D$449,$A$6:$A$449,A20)</x:f>
        <x:v>0.8205</x:v>
      </x:c>
      <x:c r="H20" s="16" t="n">
        <x:f>D20/G20</x:f>
        <x:v>0.8999390615478366</x:v>
      </x:c>
      <x:c r="I20" s="7" t="str">
        <x:v>Medium</x:v>
      </x:c>
      <x:c r="J2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0" s="1"/>
    </x:row>
    <x:row r="21" ht="72" customHeight="1">
      <x:c r="A21" s="7" t="str">
        <x:v>Auxis</x:v>
      </x:c>
      <x:c r="B21" s="7" t="str">
        <x:v>Pelagic fish (&gt; 30 cm)</x:v>
      </x:c>
      <x:c r="C21" s="7" t="n">
        <x:v>31</x:v>
      </x:c>
      <x:c r="D21" s="15" t="n">
        <x:v>0.0821</x:v>
      </x:c>
      <x:c r="E21" s="15" t="n">
        <x:v>0.079</x:v>
      </x:c>
      <x:c r="F21" s="15" t="str">
        <x:v>Model catch</x:v>
      </x:c>
      <x:c r="G21" s="15" t="n">
        <x:f>SUMIFS($D$6:$D$449,$A$6:$A$449,A21)</x:f>
        <x:v>0.8205</x:v>
      </x:c>
      <x:c r="H21" s="16" t="n">
        <x:f>D21/G21</x:f>
        <x:v>0.10006093845216332</x:v>
      </x:c>
      <x:c r="I21" s="7" t="str">
        <x:v>Medium</x:v>
      </x:c>
      <x:c r="J2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1" s="1"/>
    </x:row>
    <x:row r="22" ht="72" customHeight="1">
      <x:c r="A22" s="7" t="str">
        <x:v>Auxis rochei</x:v>
      </x:c>
      <x:c r="B22" s="7" t="str">
        <x:v>Juvenile large pelagic fish</x:v>
      </x:c>
      <x:c r="C22" s="7" t="n">
        <x:v>30</x:v>
      </x:c>
      <x:c r="D22" s="15" t="n">
        <x:v>0.7384</x:v>
      </x:c>
      <x:c r="E22" s="15" t="n">
        <x:v>0.289</x:v>
      </x:c>
      <x:c r="F22" s="15" t="str">
        <x:v>Model catch</x:v>
      </x:c>
      <x:c r="G22" s="15" t="n">
        <x:f>SUMIFS($D$6:$D$449,$A$6:$A$449,A22)</x:f>
        <x:v>0.8205</x:v>
      </x:c>
      <x:c r="H22" s="16" t="n">
        <x:f>D22/G22</x:f>
        <x:v>0.8999390615478366</x:v>
      </x:c>
      <x:c r="I22" s="7" t="str">
        <x:v>Medium</x:v>
      </x:c>
      <x:c r="J2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2" s="1"/>
    </x:row>
    <x:row r="23" ht="72" customHeight="1">
      <x:c r="A23" s="7" t="str">
        <x:v>Auxis rochei</x:v>
      </x:c>
      <x:c r="B23" s="7" t="str">
        <x:v>Pelagic fish (&gt; 30 cm)</x:v>
      </x:c>
      <x:c r="C23" s="7" t="n">
        <x:v>31</x:v>
      </x:c>
      <x:c r="D23" s="15" t="n">
        <x:v>0.0821</x:v>
      </x:c>
      <x:c r="E23" s="15" t="n">
        <x:v>0.079</x:v>
      </x:c>
      <x:c r="F23" s="15" t="str">
        <x:v>Model catch</x:v>
      </x:c>
      <x:c r="G23" s="15" t="n">
        <x:f>SUMIFS($D$6:$D$449,$A$6:$A$449,A23)</x:f>
        <x:v>0.8205</x:v>
      </x:c>
      <x:c r="H23" s="16" t="n">
        <x:f>D23/G23</x:f>
        <x:v>0.10006093845216332</x:v>
      </x:c>
      <x:c r="I23" s="7" t="str">
        <x:v>Medium</x:v>
      </x:c>
      <x:c r="J2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 s="1"/>
    </x:row>
    <x:row r="24" ht="72" customHeight="1">
      <x:c r="A24" s="7" t="str">
        <x:v>Auxis thazard</x:v>
      </x:c>
      <x:c r="B24" s="7" t="str">
        <x:v>Juvenile large pelagic fish</x:v>
      </x:c>
      <x:c r="C24" s="7" t="n">
        <x:v>30</x:v>
      </x:c>
      <x:c r="D24" s="15" t="n">
        <x:v>0.7384</x:v>
      </x:c>
      <x:c r="E24" s="15" t="n">
        <x:v>0.289</x:v>
      </x:c>
      <x:c r="F24" s="15" t="str">
        <x:v>Model catch</x:v>
      </x:c>
      <x:c r="G24" s="15" t="n">
        <x:f>SUMIFS($D$6:$D$449,$A$6:$A$449,A24)</x:f>
        <x:v>0.8205</x:v>
      </x:c>
      <x:c r="H24" s="16" t="n">
        <x:f>D24/G24</x:f>
        <x:v>0.8999390615478366</x:v>
      </x:c>
      <x:c r="I24" s="7" t="str">
        <x:v>Medium</x:v>
      </x:c>
      <x:c r="J2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4" s="1"/>
    </x:row>
    <x:row r="25" ht="72" customHeight="1">
      <x:c r="A25" s="7" t="str">
        <x:v>Auxis thazard</x:v>
      </x:c>
      <x:c r="B25" s="7" t="str">
        <x:v>Pelagic fish (&gt; 30 cm)</x:v>
      </x:c>
      <x:c r="C25" s="7" t="n">
        <x:v>31</x:v>
      </x:c>
      <x:c r="D25" s="15" t="n">
        <x:v>0.0821</x:v>
      </x:c>
      <x:c r="E25" s="15" t="n">
        <x:v>0.079</x:v>
      </x:c>
      <x:c r="F25" s="15" t="str">
        <x:v>Model catch</x:v>
      </x:c>
      <x:c r="G25" s="15" t="n">
        <x:f>SUMIFS($D$6:$D$449,$A$6:$A$449,A25)</x:f>
        <x:v>0.8205</x:v>
      </x:c>
      <x:c r="H25" s="16" t="n">
        <x:f>D25/G25</x:f>
        <x:v>0.10006093845216332</x:v>
      </x:c>
      <x:c r="I25" s="7" t="str">
        <x:v>Medium</x:v>
      </x:c>
      <x:c r="J2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 s="1"/>
    </x:row>
    <x:row r="26" ht="87" customHeight="1">
      <x:c r="A26" s="7" t="str">
        <x:v>Balistidae</x:v>
      </x:c>
      <x:c r="B26" s="7" t="str">
        <x:v>Juvenile demersal fish (&gt; 30 cm)</x:v>
      </x:c>
      <x:c r="C26" s="7" t="n">
        <x:v>25</x:v>
      </x:c>
      <x:c r="D26" s="15" t="n">
        <x:v>0.3165</x:v>
      </x:c>
      <x:c r="E26" s="15" t="n">
        <x:v>0.143</x:v>
      </x:c>
      <x:c r="F26" s="15" t="str">
        <x:v>Model catch</x:v>
      </x:c>
      <x:c r="G26" s="15" t="n">
        <x:f>SUMIFS($D$6:$D$449,$A$6:$A$449,A26)</x:f>
        <x:v>0.3517</x:v>
      </x:c>
      <x:c r="H26" s="16" t="n">
        <x:f>D26/G26</x:f>
        <x:v>0.8999147000284333</x:v>
      </x:c>
      <x:c r="I26" s="7" t="str">
        <x:v>Medium</x:v>
      </x:c>
      <x:c r="J2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 s="1"/>
    </x:row>
    <x:row r="27" ht="87" customHeight="1">
      <x:c r="A27" s="7" t="str">
        <x:v>Balistidae</x:v>
      </x:c>
      <x:c r="B27" s="7" t="str">
        <x:v>Adult demersal fish (&gt; 30 cm)</x:v>
      </x:c>
      <x:c r="C27" s="7" t="n">
        <x:v>26</x:v>
      </x:c>
      <x:c r="D27" s="15" t="n">
        <x:v>0.0352</x:v>
      </x:c>
      <x:c r="E27" s="15" t="n">
        <x:v>0.021</x:v>
      </x:c>
      <x:c r="F27" s="15" t="str">
        <x:v>Model catch</x:v>
      </x:c>
      <x:c r="G27" s="15" t="n">
        <x:f>SUMIFS($D$6:$D$449,$A$6:$A$449,A27)</x:f>
        <x:v>0.3517</x:v>
      </x:c>
      <x:c r="H27" s="16" t="n">
        <x:f>D27/G27</x:f>
        <x:v>0.10008529997156668</x:v>
      </x:c>
      <x:c r="I27" s="7" t="str">
        <x:v>Medium</x:v>
      </x:c>
      <x:c r="J2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 s="1"/>
    </x:row>
    <x:row r="28" ht="102" customHeight="1">
      <x:c r="A28" s="7" t="str">
        <x:v>Batoidea</x:v>
      </x:c>
      <x:c r="B28" s="7" t="str">
        <x:v>Demersal sharks and rays</x:v>
      </x:c>
      <x:c r="C28" s="7" t="n">
        <x:v>32</x:v>
      </x:c>
      <x:c r="D28" s="15" t="n">
        <x:v>0.001</x:v>
      </x:c>
      <x:c r="E28" s="15" t="n">
        <x:v>0.001</x:v>
      </x:c>
      <x:c r="F28" s="15" t="str">
        <x:v>Model catch</x:v>
      </x:c>
      <x:c r="G28" s="15" t="n">
        <x:f>SUMIFS($D$6:$D$449,$A$6:$A$449,A28)</x:f>
        <x:v>0.0017000000000000001</x:v>
      </x:c>
      <x:c r="H28" s="16" t="n">
        <x:f>D28/G28</x:f>
        <x:v>0.5882352941176471</x:v>
      </x:c>
      <x:c r="I28" s="7" t="str">
        <x:v>Medium</x:v>
      </x:c>
      <x:c r="J28"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28" s="1"/>
    </x:row>
    <x:row r="29" ht="102" customHeight="1">
      <x:c r="A29" s="7" t="str">
        <x:v>Batoidea</x:v>
      </x:c>
      <x:c r="B29" s="7" t="str">
        <x:v>Pelagic sharks and rays</x:v>
      </x:c>
      <x:c r="C29" s="7" t="n">
        <x:v>33</x:v>
      </x:c>
      <x:c r="D29" s="15" t="n">
        <x:v>0.0007</x:v>
      </x:c>
      <x:c r="E29" s="15" t="n">
        <x:v>0.0011</x:v>
      </x:c>
      <x:c r="F29" s="15" t="str">
        <x:v>Model catch</x:v>
      </x:c>
      <x:c r="G29" s="15" t="n">
        <x:f>SUMIFS($D$6:$D$449,$A$6:$A$449,A29)</x:f>
        <x:v>0.0017000000000000001</x:v>
      </x:c>
      <x:c r="H29" s="16" t="n">
        <x:f>D29/G29</x:f>
        <x:v>0.4117647058823529</x:v>
      </x:c>
      <x:c r="I29" s="7" t="str">
        <x:v>Medium</x:v>
      </x:c>
      <x:c r="J29"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29" s="1"/>
    </x:row>
    <x:row r="30" ht="177" customHeight="1">
      <x:c r="A30" s="7" t="str">
        <x:v>Bothidae</x:v>
      </x:c>
      <x:c r="B30" s="7" t="str">
        <x:v>Demesral fish (≤ 30 cm)</x:v>
      </x:c>
      <x:c r="C30" s="7" t="n">
        <x:v>24</x:v>
      </x:c>
      <x:c r="D30" s="15" t="n">
        <x:v>0.1788</x:v>
      </x:c>
      <x:c r="E30" s="15" t="n">
        <x:v>0.316</x:v>
      </x:c>
      <x:c r="F30" s="15" t="str">
        <x:v>Model catch</x:v>
      </x:c>
      <x:c r="G30" s="15" t="n">
        <x:f>SUMIFS($D$6:$D$449,$A$6:$A$449,A30)</x:f>
        <x:v>0.5305</x:v>
      </x:c>
      <x:c r="H30" s="16" t="n">
        <x:f>D30/G30</x:f>
        <x:v>0.33704052780395855</x:v>
      </x:c>
      <x:c r="I30" s="7" t="str">
        <x:v>Medium</x:v>
      </x:c>
      <x:c r="J3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0" s="1"/>
    </x:row>
    <x:row r="31" ht="177" customHeight="1">
      <x:c r="A31" s="7" t="str">
        <x:v>Bothidae</x:v>
      </x:c>
      <x:c r="B31" s="7" t="str">
        <x:v>Juvenile demersal fish (&gt; 30 cm)</x:v>
      </x:c>
      <x:c r="C31" s="7" t="n">
        <x:v>25</x:v>
      </x:c>
      <x:c r="D31" s="15" t="n">
        <x:v>0.3165</x:v>
      </x:c>
      <x:c r="E31" s="15" t="n">
        <x:v>0.143</x:v>
      </x:c>
      <x:c r="F31" s="15" t="str">
        <x:v>Model catch</x:v>
      </x:c>
      <x:c r="G31" s="15" t="n">
        <x:f>SUMIFS($D$6:$D$449,$A$6:$A$449,A31)</x:f>
        <x:v>0.5305</x:v>
      </x:c>
      <x:c r="H31" s="16" t="n">
        <x:f>D31/G31</x:f>
        <x:v>0.5966069745523092</x:v>
      </x:c>
      <x:c r="I31" s="7" t="str">
        <x:v>Medium</x:v>
      </x:c>
      <x:c r="J31"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1" s="1"/>
    </x:row>
    <x:row r="32" ht="177" customHeight="1">
      <x:c r="A32" s="7" t="str">
        <x:v>Bothidae</x:v>
      </x:c>
      <x:c r="B32" s="7" t="str">
        <x:v>Adult demersal fish (&gt; 30 cm)</x:v>
      </x:c>
      <x:c r="C32" s="7" t="n">
        <x:v>26</x:v>
      </x:c>
      <x:c r="D32" s="15" t="n">
        <x:v>0.0352</x:v>
      </x:c>
      <x:c r="E32" s="15" t="n">
        <x:v>0.021</x:v>
      </x:c>
      <x:c r="F32" s="15" t="str">
        <x:v>Model catch</x:v>
      </x:c>
      <x:c r="G32" s="15" t="n">
        <x:f>SUMIFS($D$6:$D$449,$A$6:$A$449,A32)</x:f>
        <x:v>0.5305</x:v>
      </x:c>
      <x:c r="H32" s="16" t="n">
        <x:f>D32/G32</x:f>
        <x:v>0.06635249764373234</x:v>
      </x:c>
      <x:c r="I32" s="7" t="str">
        <x:v>Medium</x:v>
      </x:c>
      <x:c r="J32"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2" s="1"/>
    </x:row>
    <x:row r="33" ht="72" customHeight="1">
      <x:c r="A33" s="7" t="str">
        <x:v>Bramidae</x:v>
      </x:c>
      <x:c r="B33" s="7" t="str">
        <x:v>Juvenile large pelagic fish</x:v>
      </x:c>
      <x:c r="C33" s="7" t="n">
        <x:v>30</x:v>
      </x:c>
      <x:c r="D33" s="15" t="n">
        <x:v>0.7384</x:v>
      </x:c>
      <x:c r="E33" s="15" t="n">
        <x:v>0.289</x:v>
      </x:c>
      <x:c r="F33" s="15" t="str">
        <x:v>Model catch</x:v>
      </x:c>
      <x:c r="G33" s="15" t="n">
        <x:f>SUMIFS($D$6:$D$449,$A$6:$A$449,A33)</x:f>
        <x:v>0.8205</x:v>
      </x:c>
      <x:c r="H33" s="16" t="n">
        <x:f>D33/G33</x:f>
        <x:v>0.8999390615478366</x:v>
      </x:c>
      <x:c r="I33" s="7" t="str">
        <x:v>Medium</x:v>
      </x:c>
      <x:c r="J3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 s="1"/>
    </x:row>
    <x:row r="34" ht="72" customHeight="1">
      <x:c r="A34" s="7" t="str">
        <x:v>Bramidae</x:v>
      </x:c>
      <x:c r="B34" s="7" t="str">
        <x:v>Pelagic fish (&gt; 30 cm)</x:v>
      </x:c>
      <x:c r="C34" s="7" t="n">
        <x:v>31</x:v>
      </x:c>
      <x:c r="D34" s="15" t="n">
        <x:v>0.0821</x:v>
      </x:c>
      <x:c r="E34" s="15" t="n">
        <x:v>0.079</x:v>
      </x:c>
      <x:c r="F34" s="15" t="str">
        <x:v>Model catch</x:v>
      </x:c>
      <x:c r="G34" s="15" t="n">
        <x:f>SUMIFS($D$6:$D$449,$A$6:$A$449,A34)</x:f>
        <x:v>0.8205</x:v>
      </x:c>
      <x:c r="H34" s="16" t="n">
        <x:f>D34/G34</x:f>
        <x:v>0.10006093845216332</x:v>
      </x:c>
      <x:c r="I34" s="7" t="str">
        <x:v>Medium</x:v>
      </x:c>
      <x:c r="J3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 s="1"/>
    </x:row>
    <x:row r="35" ht="87" customHeight="1">
      <x:c r="A35" s="7" t="str">
        <x:v>Caesio</x:v>
      </x:c>
      <x:c r="B35" s="7" t="str">
        <x:v>Juvenile demersal fish (&gt; 30 cm)</x:v>
      </x:c>
      <x:c r="C35" s="7" t="n">
        <x:v>25</x:v>
      </x:c>
      <x:c r="D35" s="15" t="n">
        <x:v>0.3165</x:v>
      </x:c>
      <x:c r="E35" s="15" t="n">
        <x:v>0.143</x:v>
      </x:c>
      <x:c r="F35" s="15" t="str">
        <x:v>Model catch</x:v>
      </x:c>
      <x:c r="G35" s="15" t="n">
        <x:f>SUMIFS($D$6:$D$449,$A$6:$A$449,A35)</x:f>
        <x:v>0.3517</x:v>
      </x:c>
      <x:c r="H35" s="16" t="n">
        <x:f>D35/G35</x:f>
        <x:v>0.8999147000284333</x:v>
      </x:c>
      <x:c r="I35" s="7" t="str">
        <x:v>Medium</x:v>
      </x:c>
      <x:c r="J3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 s="1"/>
    </x:row>
    <x:row r="36" ht="87" customHeight="1">
      <x:c r="A36" s="7" t="str">
        <x:v>Caesio</x:v>
      </x:c>
      <x:c r="B36" s="7" t="str">
        <x:v>Adult demersal fish (&gt; 30 cm)</x:v>
      </x:c>
      <x:c r="C36" s="7" t="n">
        <x:v>26</x:v>
      </x:c>
      <x:c r="D36" s="15" t="n">
        <x:v>0.0352</x:v>
      </x:c>
      <x:c r="E36" s="15" t="n">
        <x:v>0.021</x:v>
      </x:c>
      <x:c r="F36" s="15" t="str">
        <x:v>Model catch</x:v>
      </x:c>
      <x:c r="G36" s="15" t="n">
        <x:f>SUMIFS($D$6:$D$449,$A$6:$A$449,A36)</x:f>
        <x:v>0.3517</x:v>
      </x:c>
      <x:c r="H36" s="16" t="n">
        <x:f>D36/G36</x:f>
        <x:v>0.10008529997156668</x:v>
      </x:c>
      <x:c r="I36" s="7" t="str">
        <x:v>Medium</x:v>
      </x:c>
      <x:c r="J3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6" s="1"/>
    </x:row>
    <x:row r="37" ht="87" customHeight="1">
      <x:c r="A37" s="7" t="str">
        <x:v>Caesionidae</x:v>
      </x:c>
      <x:c r="B37" s="7" t="str">
        <x:v>Juvenile demersal fish (&gt; 30 cm)</x:v>
      </x:c>
      <x:c r="C37" s="7" t="n">
        <x:v>25</x:v>
      </x:c>
      <x:c r="D37" s="15" t="n">
        <x:v>0.3165</x:v>
      </x:c>
      <x:c r="E37" s="15" t="n">
        <x:v>0.143</x:v>
      </x:c>
      <x:c r="F37" s="15" t="str">
        <x:v>Model catch</x:v>
      </x:c>
      <x:c r="G37" s="15" t="n">
        <x:f>SUMIFS($D$6:$D$449,$A$6:$A$449,A37)</x:f>
        <x:v>0.3517</x:v>
      </x:c>
      <x:c r="H37" s="16" t="n">
        <x:f>D37/G37</x:f>
        <x:v>0.8999147000284333</x:v>
      </x:c>
      <x:c r="I37" s="7" t="str">
        <x:v>Medium</x:v>
      </x:c>
      <x:c r="J3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7" s="1"/>
    </x:row>
    <x:row r="38" ht="87" customHeight="1">
      <x:c r="A38" s="7" t="str">
        <x:v>Caesionidae</x:v>
      </x:c>
      <x:c r="B38" s="7" t="str">
        <x:v>Adult demersal fish (&gt; 30 cm)</x:v>
      </x:c>
      <x:c r="C38" s="7" t="n">
        <x:v>26</x:v>
      </x:c>
      <x:c r="D38" s="15" t="n">
        <x:v>0.0352</x:v>
      </x:c>
      <x:c r="E38" s="15" t="n">
        <x:v>0.021</x:v>
      </x:c>
      <x:c r="F38" s="15" t="str">
        <x:v>Model catch</x:v>
      </x:c>
      <x:c r="G38" s="15" t="n">
        <x:f>SUMIFS($D$6:$D$449,$A$6:$A$449,A38)</x:f>
        <x:v>0.3517</x:v>
      </x:c>
      <x:c r="H38" s="16" t="n">
        <x:f>D38/G38</x:f>
        <x:v>0.10008529997156668</x:v>
      </x:c>
      <x:c r="I38" s="7" t="str">
        <x:v>Medium</x:v>
      </x:c>
      <x:c r="J3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8" s="1"/>
    </x:row>
    <x:row r="39" ht="132" customHeight="1">
      <x:c r="A39" s="7" t="str">
        <x:v>Carangidae</x:v>
      </x:c>
      <x:c r="B39" s="7" t="str">
        <x:v>Pelagic fish (≤ 30 cm)</x:v>
      </x:c>
      <x:c r="C39" s="7" t="n">
        <x:v>29</x:v>
      </x:c>
      <x:c r="D39" s="15" t="n">
        <x:v>2.345</x:v>
      </x:c>
      <x:c r="E39" s="15" t="n">
        <x:v>1.772</x:v>
      </x:c>
      <x:c r="F39" s="15" t="str">
        <x:v>Model catch</x:v>
      </x:c>
      <x:c r="G39" s="15" t="n">
        <x:f>SUMIFS($D$6:$D$449,$A$6:$A$449,A39)</x:f>
        <x:v>3.1655</x:v>
      </x:c>
      <x:c r="H39" s="16" t="n">
        <x:f>D39/G39</x:f>
        <x:v>0.7407992418259359</x:v>
      </x:c>
      <x:c r="I39" s="7" t="str">
        <x:v>Medium</x:v>
      </x:c>
      <x:c r="J39"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39" s="1"/>
    </x:row>
    <x:row r="40" ht="132" customHeight="1">
      <x:c r="A40" s="7" t="str">
        <x:v>Carangidae</x:v>
      </x:c>
      <x:c r="B40" s="7" t="str">
        <x:v>Juvenile large pelagic fish</x:v>
      </x:c>
      <x:c r="C40" s="7" t="n">
        <x:v>30</x:v>
      </x:c>
      <x:c r="D40" s="15" t="n">
        <x:v>0.7384</x:v>
      </x:c>
      <x:c r="E40" s="15" t="n">
        <x:v>0.289</x:v>
      </x:c>
      <x:c r="F40" s="15" t="str">
        <x:v>Model catch</x:v>
      </x:c>
      <x:c r="G40" s="15" t="n">
        <x:f>SUMIFS($D$6:$D$449,$A$6:$A$449,A40)</x:f>
        <x:v>3.1655</x:v>
      </x:c>
      <x:c r="H40" s="16" t="n">
        <x:f>D40/G40</x:f>
        <x:v>0.233264887063655</x:v>
      </x:c>
      <x:c r="I40" s="7" t="str">
        <x:v>Medium</x:v>
      </x:c>
      <x:c r="J40"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40" s="1"/>
    </x:row>
    <x:row r="41" ht="132" customHeight="1">
      <x:c r="A41" s="7" t="str">
        <x:v>Carangidae</x:v>
      </x:c>
      <x:c r="B41" s="7" t="str">
        <x:v>Pelagic fish (&gt; 30 cm)</x:v>
      </x:c>
      <x:c r="C41" s="7" t="n">
        <x:v>31</x:v>
      </x:c>
      <x:c r="D41" s="15" t="n">
        <x:v>0.0821</x:v>
      </x:c>
      <x:c r="E41" s="15" t="n">
        <x:v>0.079</x:v>
      </x:c>
      <x:c r="F41" s="15" t="str">
        <x:v>Model catch</x:v>
      </x:c>
      <x:c r="G41" s="15" t="n">
        <x:f>SUMIFS($D$6:$D$449,$A$6:$A$449,A41)</x:f>
        <x:v>3.1655</x:v>
      </x:c>
      <x:c r="H41" s="16" t="n">
        <x:f>D41/G41</x:f>
        <x:v>0.025935871110409098</x:v>
      </x:c>
      <x:c r="I41" s="7" t="str">
        <x:v>Medium</x:v>
      </x:c>
      <x:c r="J41"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41" s="1"/>
    </x:row>
    <x:row r="42" ht="72" customHeight="1">
      <x:c r="A42" s="7" t="str">
        <x:v>Carangoides</x:v>
      </x:c>
      <x:c r="B42" s="7" t="str">
        <x:v>Juvenile large pelagic fish</x:v>
      </x:c>
      <x:c r="C42" s="7" t="n">
        <x:v>30</x:v>
      </x:c>
      <x:c r="D42" s="15" t="n">
        <x:v>0.7384</x:v>
      </x:c>
      <x:c r="E42" s="15" t="n">
        <x:v>0.289</x:v>
      </x:c>
      <x:c r="F42" s="15" t="str">
        <x:v>Model catch</x:v>
      </x:c>
      <x:c r="G42" s="15" t="n">
        <x:f>SUMIFS($D$6:$D$449,$A$6:$A$449,A42)</x:f>
        <x:v>0.8205</x:v>
      </x:c>
      <x:c r="H42" s="16" t="n">
        <x:f>D42/G42</x:f>
        <x:v>0.8999390615478366</x:v>
      </x:c>
      <x:c r="I42" s="7" t="str">
        <x:v>Medium</x:v>
      </x:c>
      <x:c r="J4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2" s="1"/>
    </x:row>
    <x:row r="43" ht="72" customHeight="1">
      <x:c r="A43" s="7" t="str">
        <x:v>Carangoides</x:v>
      </x:c>
      <x:c r="B43" s="7" t="str">
        <x:v>Pelagic fish (&gt; 30 cm)</x:v>
      </x:c>
      <x:c r="C43" s="7" t="n">
        <x:v>31</x:v>
      </x:c>
      <x:c r="D43" s="15" t="n">
        <x:v>0.0821</x:v>
      </x:c>
      <x:c r="E43" s="15" t="n">
        <x:v>0.079</x:v>
      </x:c>
      <x:c r="F43" s="15" t="str">
        <x:v>Model catch</x:v>
      </x:c>
      <x:c r="G43" s="15" t="n">
        <x:f>SUMIFS($D$6:$D$449,$A$6:$A$449,A43)</x:f>
        <x:v>0.8205</x:v>
      </x:c>
      <x:c r="H43" s="16" t="n">
        <x:f>D43/G43</x:f>
        <x:v>0.10006093845216332</x:v>
      </x:c>
      <x:c r="I43" s="7" t="str">
        <x:v>Medium</x:v>
      </x:c>
      <x:c r="J4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 s="1"/>
    </x:row>
    <x:row r="44" ht="72" customHeight="1">
      <x:c r="A44" s="7" t="str">
        <x:v>Caranx</x:v>
      </x:c>
      <x:c r="B44" s="7" t="str">
        <x:v>Juvenile large pelagic fish</x:v>
      </x:c>
      <x:c r="C44" s="7" t="n">
        <x:v>30</x:v>
      </x:c>
      <x:c r="D44" s="15" t="n">
        <x:v>0.7384</x:v>
      </x:c>
      <x:c r="E44" s="15" t="n">
        <x:v>0.289</x:v>
      </x:c>
      <x:c r="F44" s="15" t="str">
        <x:v>Model catch</x:v>
      </x:c>
      <x:c r="G44" s="15" t="n">
        <x:f>SUMIFS($D$6:$D$449,$A$6:$A$449,A44)</x:f>
        <x:v>0.8205</x:v>
      </x:c>
      <x:c r="H44" s="16" t="n">
        <x:f>D44/G44</x:f>
        <x:v>0.8999390615478366</x:v>
      </x:c>
      <x:c r="I44" s="7" t="str">
        <x:v>Medium</x:v>
      </x:c>
      <x:c r="J4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 s="1"/>
    </x:row>
    <x:row r="45" ht="72" customHeight="1">
      <x:c r="A45" s="7" t="str">
        <x:v>Caranx</x:v>
      </x:c>
      <x:c r="B45" s="7" t="str">
        <x:v>Pelagic fish (&gt; 30 cm)</x:v>
      </x:c>
      <x:c r="C45" s="7" t="n">
        <x:v>31</x:v>
      </x:c>
      <x:c r="D45" s="15" t="n">
        <x:v>0.0821</x:v>
      </x:c>
      <x:c r="E45" s="15" t="n">
        <x:v>0.079</x:v>
      </x:c>
      <x:c r="F45" s="15" t="str">
        <x:v>Model catch</x:v>
      </x:c>
      <x:c r="G45" s="15" t="n">
        <x:f>SUMIFS($D$6:$D$449,$A$6:$A$449,A45)</x:f>
        <x:v>0.8205</x:v>
      </x:c>
      <x:c r="H45" s="16" t="n">
        <x:f>D45/G45</x:f>
        <x:v>0.10006093845216332</x:v>
      </x:c>
      <x:c r="I45" s="7" t="str">
        <x:v>Medium</x:v>
      </x:c>
      <x:c r="J4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5" s="1"/>
    </x:row>
    <x:row r="46" ht="72" customHeight="1">
      <x:c r="A46" s="7" t="str">
        <x:v>Caranx ignobilis</x:v>
      </x:c>
      <x:c r="B46" s="7" t="str">
        <x:v>Juvenile large pelagic fish</x:v>
      </x:c>
      <x:c r="C46" s="7" t="n">
        <x:v>30</x:v>
      </x:c>
      <x:c r="D46" s="15" t="n">
        <x:v>0.7384</x:v>
      </x:c>
      <x:c r="E46" s="15" t="n">
        <x:v>0.289</x:v>
      </x:c>
      <x:c r="F46" s="15" t="str">
        <x:v>Model catch</x:v>
      </x:c>
      <x:c r="G46" s="15" t="n">
        <x:f>SUMIFS($D$6:$D$449,$A$6:$A$449,A46)</x:f>
        <x:v>0.8205</x:v>
      </x:c>
      <x:c r="H46" s="16" t="n">
        <x:f>D46/G46</x:f>
        <x:v>0.8999390615478366</x:v>
      </x:c>
      <x:c r="I46" s="7" t="str">
        <x:v>Medium</x:v>
      </x:c>
      <x:c r="J4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6" s="1"/>
    </x:row>
    <x:row r="47" ht="72" customHeight="1">
      <x:c r="A47" s="7" t="str">
        <x:v>Caranx ignobilis</x:v>
      </x:c>
      <x:c r="B47" s="7" t="str">
        <x:v>Pelagic fish (&gt; 30 cm)</x:v>
      </x:c>
      <x:c r="C47" s="7" t="n">
        <x:v>31</x:v>
      </x:c>
      <x:c r="D47" s="15" t="n">
        <x:v>0.0821</x:v>
      </x:c>
      <x:c r="E47" s="15" t="n">
        <x:v>0.079</x:v>
      </x:c>
      <x:c r="F47" s="15" t="str">
        <x:v>Model catch</x:v>
      </x:c>
      <x:c r="G47" s="15" t="n">
        <x:f>SUMIFS($D$6:$D$449,$A$6:$A$449,A47)</x:f>
        <x:v>0.8205</x:v>
      </x:c>
      <x:c r="H47" s="16" t="n">
        <x:f>D47/G47</x:f>
        <x:v>0.10006093845216332</x:v>
      </x:c>
      <x:c r="I47" s="7" t="str">
        <x:v>Medium</x:v>
      </x:c>
      <x:c r="J4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7" s="1"/>
    </x:row>
    <x:row r="48" ht="72" customHeight="1">
      <x:c r="A48" s="7" t="str">
        <x:v>Caranx sexfasciatus</x:v>
      </x:c>
      <x:c r="B48" s="7" t="str">
        <x:v>Juvenile large pelagic fish</x:v>
      </x:c>
      <x:c r="C48" s="7" t="n">
        <x:v>30</x:v>
      </x:c>
      <x:c r="D48" s="15" t="n">
        <x:v>0.7384</x:v>
      </x:c>
      <x:c r="E48" s="15" t="n">
        <x:v>0.289</x:v>
      </x:c>
      <x:c r="F48" s="15" t="str">
        <x:v>Model catch</x:v>
      </x:c>
      <x:c r="G48" s="15" t="n">
        <x:f>SUMIFS($D$6:$D$449,$A$6:$A$449,A48)</x:f>
        <x:v>0.8205</x:v>
      </x:c>
      <x:c r="H48" s="16" t="n">
        <x:f>D48/G48</x:f>
        <x:v>0.8999390615478366</x:v>
      </x:c>
      <x:c r="I48" s="7" t="str">
        <x:v>Medium</x:v>
      </x:c>
      <x:c r="J4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8" s="1"/>
    </x:row>
    <x:row r="49" ht="72" customHeight="1">
      <x:c r="A49" s="7" t="str">
        <x:v>Caranx sexfasciatus</x:v>
      </x:c>
      <x:c r="B49" s="7" t="str">
        <x:v>Pelagic fish (&gt; 30 cm)</x:v>
      </x:c>
      <x:c r="C49" s="7" t="n">
        <x:v>31</x:v>
      </x:c>
      <x:c r="D49" s="15" t="n">
        <x:v>0.0821</x:v>
      </x:c>
      <x:c r="E49" s="15" t="n">
        <x:v>0.079</x:v>
      </x:c>
      <x:c r="F49" s="15" t="str">
        <x:v>Model catch</x:v>
      </x:c>
      <x:c r="G49" s="15" t="n">
        <x:f>SUMIFS($D$6:$D$449,$A$6:$A$449,A49)</x:f>
        <x:v>0.8205</x:v>
      </x:c>
      <x:c r="H49" s="16" t="n">
        <x:f>D49/G49</x:f>
        <x:v>0.10006093845216332</x:v>
      </x:c>
      <x:c r="I49" s="7" t="str">
        <x:v>Medium</x:v>
      </x:c>
      <x:c r="J4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9" s="1"/>
    </x:row>
    <x:row r="50" ht="102" customHeight="1">
      <x:c r="A50" s="7" t="str">
        <x:v>Carcharhinidae</x:v>
      </x:c>
      <x:c r="B50" s="7" t="str">
        <x:v>Demersal sharks and rays</x:v>
      </x:c>
      <x:c r="C50" s="7" t="n">
        <x:v>32</x:v>
      </x:c>
      <x:c r="D50" s="15" t="n">
        <x:v>0.001</x:v>
      </x:c>
      <x:c r="E50" s="15" t="n">
        <x:v>0.001</x:v>
      </x:c>
      <x:c r="F50" s="15" t="str">
        <x:v>Model catch</x:v>
      </x:c>
      <x:c r="G50" s="15" t="n">
        <x:f>SUMIFS($D$6:$D$449,$A$6:$A$449,A50)</x:f>
        <x:v>0.0017000000000000001</x:v>
      </x:c>
      <x:c r="H50" s="16" t="n">
        <x:f>D50/G50</x:f>
        <x:v>0.5882352941176471</x:v>
      </x:c>
      <x:c r="I50" s="7" t="str">
        <x:v>Medium</x:v>
      </x:c>
      <x:c r="J50"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0" s="1"/>
    </x:row>
    <x:row r="51" ht="102" customHeight="1">
      <x:c r="A51" s="7" t="str">
        <x:v>Carcharhinidae</x:v>
      </x:c>
      <x:c r="B51" s="7" t="str">
        <x:v>Pelagic sharks and rays</x:v>
      </x:c>
      <x:c r="C51" s="7" t="n">
        <x:v>33</x:v>
      </x:c>
      <x:c r="D51" s="15" t="n">
        <x:v>0.0007</x:v>
      </x:c>
      <x:c r="E51" s="15" t="n">
        <x:v>0.0011</x:v>
      </x:c>
      <x:c r="F51" s="15" t="str">
        <x:v>Model catch</x:v>
      </x:c>
      <x:c r="G51" s="15" t="n">
        <x:f>SUMIFS($D$6:$D$449,$A$6:$A$449,A51)</x:f>
        <x:v>0.0017000000000000001</x:v>
      </x:c>
      <x:c r="H51" s="16" t="n">
        <x:f>D51/G51</x:f>
        <x:v>0.4117647058823529</x:v>
      </x:c>
      <x:c r="I51" s="7" t="str">
        <x:v>Medium</x:v>
      </x:c>
      <x:c r="J51"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1" s="1"/>
    </x:row>
    <x:row r="52" ht="102" customHeight="1">
      <x:c r="A52" s="7" t="str">
        <x:v>Carcharhinus</x:v>
      </x:c>
      <x:c r="B52" s="7" t="str">
        <x:v>Demersal sharks and rays</x:v>
      </x:c>
      <x:c r="C52" s="7" t="n">
        <x:v>32</x:v>
      </x:c>
      <x:c r="D52" s="15" t="n">
        <x:v>0.001</x:v>
      </x:c>
      <x:c r="E52" s="15" t="n">
        <x:v>0.001</x:v>
      </x:c>
      <x:c r="F52" s="15" t="str">
        <x:v>Model catch</x:v>
      </x:c>
      <x:c r="G52" s="15" t="n">
        <x:f>SUMIFS($D$6:$D$449,$A$6:$A$449,A52)</x:f>
        <x:v>0.0017000000000000001</x:v>
      </x:c>
      <x:c r="H52" s="16" t="n">
        <x:f>D52/G52</x:f>
        <x:v>0.5882352941176471</x:v>
      </x:c>
      <x:c r="I52" s="7" t="str">
        <x:v>Medium</x:v>
      </x:c>
      <x:c r="J52"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2" s="1"/>
    </x:row>
    <x:row r="53" ht="102" customHeight="1">
      <x:c r="A53" s="7" t="str">
        <x:v>Carcharhinus</x:v>
      </x:c>
      <x:c r="B53" s="7" t="str">
        <x:v>Pelagic sharks and rays</x:v>
      </x:c>
      <x:c r="C53" s="7" t="n">
        <x:v>33</x:v>
      </x:c>
      <x:c r="D53" s="15" t="n">
        <x:v>0.0007</x:v>
      </x:c>
      <x:c r="E53" s="15" t="n">
        <x:v>0.0011</x:v>
      </x:c>
      <x:c r="F53" s="15" t="str">
        <x:v>Model catch</x:v>
      </x:c>
      <x:c r="G53" s="15" t="n">
        <x:f>SUMIFS($D$6:$D$449,$A$6:$A$449,A53)</x:f>
        <x:v>0.0017000000000000001</x:v>
      </x:c>
      <x:c r="H53" s="16" t="n">
        <x:f>D53/G53</x:f>
        <x:v>0.4117647058823529</x:v>
      </x:c>
      <x:c r="I53" s="7" t="str">
        <x:v>Medium</x:v>
      </x:c>
      <x:c r="J53"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53" s="1"/>
    </x:row>
    <x:row r="54" ht="72" customHeight="1">
      <x:c r="A54" s="7" t="str">
        <x:v>Cheilopogon unicolor</x:v>
      </x:c>
      <x:c r="B54" s="7" t="str">
        <x:v>Juvenile large pelagic fish</x:v>
      </x:c>
      <x:c r="C54" s="7" t="n">
        <x:v>30</x:v>
      </x:c>
      <x:c r="D54" s="15" t="n">
        <x:v>0.7384</x:v>
      </x:c>
      <x:c r="E54" s="15" t="n">
        <x:v>0.289</x:v>
      </x:c>
      <x:c r="F54" s="15" t="str">
        <x:v>Model catch</x:v>
      </x:c>
      <x:c r="G54" s="15" t="n">
        <x:f>SUMIFS($D$6:$D$449,$A$6:$A$449,A54)</x:f>
        <x:v>0.8205</x:v>
      </x:c>
      <x:c r="H54" s="16" t="n">
        <x:f>D54/G54</x:f>
        <x:v>0.8999390615478366</x:v>
      </x:c>
      <x:c r="I54" s="7" t="str">
        <x:v>Medium</x:v>
      </x:c>
      <x:c r="J5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4" s="1"/>
    </x:row>
    <x:row r="55" ht="72" customHeight="1">
      <x:c r="A55" s="7" t="str">
        <x:v>Cheilopogon unicolor</x:v>
      </x:c>
      <x:c r="B55" s="7" t="str">
        <x:v>Pelagic fish (&gt; 30 cm)</x:v>
      </x:c>
      <x:c r="C55" s="7" t="n">
        <x:v>31</x:v>
      </x:c>
      <x:c r="D55" s="15" t="n">
        <x:v>0.0821</x:v>
      </x:c>
      <x:c r="E55" s="15" t="n">
        <x:v>0.079</x:v>
      </x:c>
      <x:c r="F55" s="15" t="str">
        <x:v>Model catch</x:v>
      </x:c>
      <x:c r="G55" s="15" t="n">
        <x:f>SUMIFS($D$6:$D$449,$A$6:$A$449,A55)</x:f>
        <x:v>0.8205</x:v>
      </x:c>
      <x:c r="H55" s="16" t="n">
        <x:f>D55/G55</x:f>
        <x:v>0.10006093845216332</x:v>
      </x:c>
      <x:c r="I55" s="7" t="str">
        <x:v>Medium</x:v>
      </x:c>
      <x:c r="J5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5" s="1"/>
    </x:row>
    <x:row r="56" ht="87" customHeight="1">
      <x:c r="A56" s="7" t="str">
        <x:v>Chelidonichthys kumu</x:v>
      </x:c>
      <x:c r="B56" s="7" t="str">
        <x:v>Juvenile demersal fish (&gt; 30 cm)</x:v>
      </x:c>
      <x:c r="C56" s="7" t="n">
        <x:v>25</x:v>
      </x:c>
      <x:c r="D56" s="15" t="n">
        <x:v>0.3165</x:v>
      </x:c>
      <x:c r="E56" s="15" t="n">
        <x:v>0.143</x:v>
      </x:c>
      <x:c r="F56" s="15" t="str">
        <x:v>Model catch</x:v>
      </x:c>
      <x:c r="G56" s="15" t="n">
        <x:f>SUMIFS($D$6:$D$449,$A$6:$A$449,A56)</x:f>
        <x:v>0.3517</x:v>
      </x:c>
      <x:c r="H56" s="16" t="n">
        <x:f>D56/G56</x:f>
        <x:v>0.8999147000284333</x:v>
      </x:c>
      <x:c r="I56" s="7" t="str">
        <x:v>Medium</x:v>
      </x:c>
      <x:c r="J5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56" s="1"/>
    </x:row>
    <x:row r="57" ht="87" customHeight="1">
      <x:c r="A57" s="7" t="str">
        <x:v>Chelidonichthys kumu</x:v>
      </x:c>
      <x:c r="B57" s="7" t="str">
        <x:v>Adult demersal fish (&gt; 30 cm)</x:v>
      </x:c>
      <x:c r="C57" s="7" t="n">
        <x:v>26</x:v>
      </x:c>
      <x:c r="D57" s="15" t="n">
        <x:v>0.0352</x:v>
      </x:c>
      <x:c r="E57" s="15" t="n">
        <x:v>0.021</x:v>
      </x:c>
      <x:c r="F57" s="15" t="str">
        <x:v>Model catch</x:v>
      </x:c>
      <x:c r="G57" s="15" t="n">
        <x:f>SUMIFS($D$6:$D$449,$A$6:$A$449,A57)</x:f>
        <x:v>0.3517</x:v>
      </x:c>
      <x:c r="H57" s="16" t="n">
        <x:f>D57/G57</x:f>
        <x:v>0.10008529997156668</x:v>
      </x:c>
      <x:c r="I57" s="7" t="str">
        <x:v>Medium</x:v>
      </x:c>
      <x:c r="J5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57" s="1"/>
    </x:row>
    <x:row r="58" ht="72" customHeight="1">
      <x:c r="A58" s="7" t="str">
        <x:v>Chirocentrus</x:v>
      </x:c>
      <x:c r="B58" s="7" t="str">
        <x:v>Juvenile large pelagic fish</x:v>
      </x:c>
      <x:c r="C58" s="7" t="n">
        <x:v>30</x:v>
      </x:c>
      <x:c r="D58" s="15" t="n">
        <x:v>0.7384</x:v>
      </x:c>
      <x:c r="E58" s="15" t="n">
        <x:v>0.289</x:v>
      </x:c>
      <x:c r="F58" s="15" t="str">
        <x:v>Model catch</x:v>
      </x:c>
      <x:c r="G58" s="15" t="n">
        <x:f>SUMIFS($D$6:$D$449,$A$6:$A$449,A58)</x:f>
        <x:v>0.8205</x:v>
      </x:c>
      <x:c r="H58" s="16" t="n">
        <x:f>D58/G58</x:f>
        <x:v>0.8999390615478366</x:v>
      </x:c>
      <x:c r="I58" s="7" t="str">
        <x:v>Medium</x:v>
      </x:c>
      <x:c r="J5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8" s="1"/>
    </x:row>
    <x:row r="59" ht="72" customHeight="1">
      <x:c r="A59" s="7" t="str">
        <x:v>Chirocentrus</x:v>
      </x:c>
      <x:c r="B59" s="7" t="str">
        <x:v>Pelagic fish (&gt; 30 cm)</x:v>
      </x:c>
      <x:c r="C59" s="7" t="n">
        <x:v>31</x:v>
      </x:c>
      <x:c r="D59" s="15" t="n">
        <x:v>0.0821</x:v>
      </x:c>
      <x:c r="E59" s="15" t="n">
        <x:v>0.079</x:v>
      </x:c>
      <x:c r="F59" s="15" t="str">
        <x:v>Model catch</x:v>
      </x:c>
      <x:c r="G59" s="15" t="n">
        <x:f>SUMIFS($D$6:$D$449,$A$6:$A$449,A59)</x:f>
        <x:v>0.8205</x:v>
      </x:c>
      <x:c r="H59" s="16" t="n">
        <x:f>D59/G59</x:f>
        <x:v>0.10006093845216332</x:v>
      </x:c>
      <x:c r="I59" s="7" t="str">
        <x:v>Medium</x:v>
      </x:c>
      <x:c r="J5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59" s="1"/>
    </x:row>
    <x:row r="60" ht="117" customHeight="1">
      <x:c r="A60" s="7" t="str">
        <x:v>Chondrichthyes</x:v>
      </x:c>
      <x:c r="B60" s="7" t="str">
        <x:v>Demersal sharks and rays</x:v>
      </x:c>
      <x:c r="C60" s="7" t="n">
        <x:v>32</x:v>
      </x:c>
      <x:c r="D60" s="15" t="n">
        <x:v>0.001</x:v>
      </x:c>
      <x:c r="E60" s="15" t="n">
        <x:v>0.001</x:v>
      </x:c>
      <x:c r="F60" s="15" t="str">
        <x:v>Model catch</x:v>
      </x:c>
      <x:c r="G60" s="15" t="n">
        <x:f>SUMIFS($D$6:$D$449,$A$6:$A$449,A60)</x:f>
        <x:v>0.0017000000000000001</x:v>
      </x:c>
      <x:c r="H60" s="16" t="n">
        <x:f>D60/G60</x:f>
        <x:v>0.5882352941176471</x:v>
      </x:c>
      <x:c r="I60" s="7" t="str">
        <x:v>Medium</x:v>
      </x:c>
      <x:c r="J60" s="7" t="str">
        <x:v>Approximate cartilaginous fishes with the represented demersal and pelagic shark/ray pools. Any unreported chimaera catch has no dedicated compartment and is absorbed by this weak analogue; its fraction is unknown. Approximate cartilaginous fishes with the represented demersal and pelagic shark/ray pools. Any unreported chimaera catch has no dedicated compartment and is absorbed by this weak analogue; its fraction is unknown. Weights use model catch proportions, assumed fixed across years and catch bases. Very low membership confidence; see Sources and the regional Mapping review.</x:v>
      </x:c>
      <x:c r="K60" s="1"/>
    </x:row>
    <x:row r="61" ht="117" customHeight="1">
      <x:c r="A61" s="7" t="str">
        <x:v>Chondrichthyes</x:v>
      </x:c>
      <x:c r="B61" s="7" t="str">
        <x:v>Pelagic sharks and rays</x:v>
      </x:c>
      <x:c r="C61" s="7" t="n">
        <x:v>33</x:v>
      </x:c>
      <x:c r="D61" s="15" t="n">
        <x:v>0.0007</x:v>
      </x:c>
      <x:c r="E61" s="15" t="n">
        <x:v>0.0011</x:v>
      </x:c>
      <x:c r="F61" s="15" t="str">
        <x:v>Model catch</x:v>
      </x:c>
      <x:c r="G61" s="15" t="n">
        <x:f>SUMIFS($D$6:$D$449,$A$6:$A$449,A61)</x:f>
        <x:v>0.0017000000000000001</x:v>
      </x:c>
      <x:c r="H61" s="16" t="n">
        <x:f>D61/G61</x:f>
        <x:v>0.4117647058823529</x:v>
      </x:c>
      <x:c r="I61" s="7" t="str">
        <x:v>Medium</x:v>
      </x:c>
      <x:c r="J61" s="7" t="str">
        <x:v>Approximate cartilaginous fishes with the represented demersal and pelagic shark/ray pools. Any unreported chimaera catch has no dedicated compartment and is absorbed by this weak analogue; its fraction is unknown. Approximate cartilaginous fishes with the represented demersal and pelagic shark/ray pools. Any unreported chimaera catch has no dedicated compartment and is absorbed by this weak analogue; its fraction is unknown. Weights use model catch proportions, assumed fixed across years and catch bases. Very low membership confidence; see Sources and the regional Mapping review.</x:v>
      </x:c>
      <x:c r="K61" s="1"/>
    </x:row>
    <x:row r="62" ht="132" customHeight="1">
      <x:c r="A62" s="7" t="str">
        <x:v>Clupeidae</x:v>
      </x:c>
      <x:c r="B62" s="7" t="str">
        <x:v>Pelagic fish (≤ 30 cm)</x:v>
      </x:c>
      <x:c r="C62" s="7" t="n">
        <x:v>29</x:v>
      </x:c>
      <x:c r="D62" s="15" t="n">
        <x:v>2.345</x:v>
      </x:c>
      <x:c r="E62" s="15" t="n">
        <x:v>1.772</x:v>
      </x:c>
      <x:c r="F62" s="15" t="str">
        <x:v>Model catch</x:v>
      </x:c>
      <x:c r="G62" s="15" t="n">
        <x:f>SUMIFS($D$6:$D$449,$A$6:$A$449,A62)</x:f>
        <x:v>3.1655</x:v>
      </x:c>
      <x:c r="H62" s="16" t="n">
        <x:f>D62/G62</x:f>
        <x:v>0.7407992418259359</x:v>
      </x:c>
      <x:c r="I62" s="7" t="str">
        <x:v>Medium</x:v>
      </x:c>
      <x:c r="J62"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2" s="1"/>
    </x:row>
    <x:row r="63" ht="132" customHeight="1">
      <x:c r="A63" s="7" t="str">
        <x:v>Clupeidae</x:v>
      </x:c>
      <x:c r="B63" s="7" t="str">
        <x:v>Juvenile large pelagic fish</x:v>
      </x:c>
      <x:c r="C63" s="7" t="n">
        <x:v>30</x:v>
      </x:c>
      <x:c r="D63" s="15" t="n">
        <x:v>0.7384</x:v>
      </x:c>
      <x:c r="E63" s="15" t="n">
        <x:v>0.289</x:v>
      </x:c>
      <x:c r="F63" s="15" t="str">
        <x:v>Model catch</x:v>
      </x:c>
      <x:c r="G63" s="15" t="n">
        <x:f>SUMIFS($D$6:$D$449,$A$6:$A$449,A63)</x:f>
        <x:v>3.1655</x:v>
      </x:c>
      <x:c r="H63" s="16" t="n">
        <x:f>D63/G63</x:f>
        <x:v>0.233264887063655</x:v>
      </x:c>
      <x:c r="I63" s="7" t="str">
        <x:v>Medium</x:v>
      </x:c>
      <x:c r="J63"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3" s="1"/>
    </x:row>
    <x:row r="64" ht="132" customHeight="1">
      <x:c r="A64" s="7" t="str">
        <x:v>Clupeidae</x:v>
      </x:c>
      <x:c r="B64" s="7" t="str">
        <x:v>Pelagic fish (&gt; 30 cm)</x:v>
      </x:c>
      <x:c r="C64" s="7" t="n">
        <x:v>31</x:v>
      </x:c>
      <x:c r="D64" s="15" t="n">
        <x:v>0.0821</x:v>
      </x:c>
      <x:c r="E64" s="15" t="n">
        <x:v>0.079</x:v>
      </x:c>
      <x:c r="F64" s="15" t="str">
        <x:v>Model catch</x:v>
      </x:c>
      <x:c r="G64" s="15" t="n">
        <x:f>SUMIFS($D$6:$D$449,$A$6:$A$449,A64)</x:f>
        <x:v>3.1655</x:v>
      </x:c>
      <x:c r="H64" s="16" t="n">
        <x:f>D64/G64</x:f>
        <x:v>0.025935871110409098</x:v>
      </x:c>
      <x:c r="I64" s="7" t="str">
        <x:v>Medium</x:v>
      </x:c>
      <x:c r="J64"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4" s="1"/>
    </x:row>
    <x:row r="65" ht="132" customHeight="1">
      <x:c r="A65" s="7" t="str">
        <x:v>Clupeiformes</x:v>
      </x:c>
      <x:c r="B65" s="7" t="str">
        <x:v>Pelagic fish (≤ 30 cm)</x:v>
      </x:c>
      <x:c r="C65" s="7" t="n">
        <x:v>29</x:v>
      </x:c>
      <x:c r="D65" s="15" t="n">
        <x:v>2.345</x:v>
      </x:c>
      <x:c r="E65" s="15" t="n">
        <x:v>1.772</x:v>
      </x:c>
      <x:c r="F65" s="15" t="str">
        <x:v>Model catch</x:v>
      </x:c>
      <x:c r="G65" s="15" t="n">
        <x:f>SUMIFS($D$6:$D$449,$A$6:$A$449,A65)</x:f>
        <x:v>3.1655</x:v>
      </x:c>
      <x:c r="H65" s="16" t="n">
        <x:f>D65/G65</x:f>
        <x:v>0.7407992418259359</x:v>
      </x:c>
      <x:c r="I65" s="7" t="str">
        <x:v>Medium</x:v>
      </x:c>
      <x:c r="J65"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5" s="1"/>
    </x:row>
    <x:row r="66" ht="132" customHeight="1">
      <x:c r="A66" s="7" t="str">
        <x:v>Clupeiformes</x:v>
      </x:c>
      <x:c r="B66" s="7" t="str">
        <x:v>Juvenile large pelagic fish</x:v>
      </x:c>
      <x:c r="C66" s="7" t="n">
        <x:v>30</x:v>
      </x:c>
      <x:c r="D66" s="15" t="n">
        <x:v>0.7384</x:v>
      </x:c>
      <x:c r="E66" s="15" t="n">
        <x:v>0.289</x:v>
      </x:c>
      <x:c r="F66" s="15" t="str">
        <x:v>Model catch</x:v>
      </x:c>
      <x:c r="G66" s="15" t="n">
        <x:f>SUMIFS($D$6:$D$449,$A$6:$A$449,A66)</x:f>
        <x:v>3.1655</x:v>
      </x:c>
      <x:c r="H66" s="16" t="n">
        <x:f>D66/G66</x:f>
        <x:v>0.233264887063655</x:v>
      </x:c>
      <x:c r="I66" s="7" t="str">
        <x:v>Medium</x:v>
      </x:c>
      <x:c r="J66"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6" s="1"/>
    </x:row>
    <x:row r="67" ht="132" customHeight="1">
      <x:c r="A67" s="7" t="str">
        <x:v>Clupeiformes</x:v>
      </x:c>
      <x:c r="B67" s="7" t="str">
        <x:v>Pelagic fish (&gt; 30 cm)</x:v>
      </x:c>
      <x:c r="C67" s="7" t="n">
        <x:v>31</x:v>
      </x:c>
      <x:c r="D67" s="15" t="n">
        <x:v>0.0821</x:v>
      </x:c>
      <x:c r="E67" s="15" t="n">
        <x:v>0.079</x:v>
      </x:c>
      <x:c r="F67" s="15" t="str">
        <x:v>Model catch</x:v>
      </x:c>
      <x:c r="G67" s="15" t="n">
        <x:f>SUMIFS($D$6:$D$449,$A$6:$A$449,A67)</x:f>
        <x:v>3.1655</x:v>
      </x:c>
      <x:c r="H67" s="16" t="n">
        <x:f>D67/G67</x:f>
        <x:v>0.025935871110409098</x:v>
      </x:c>
      <x:c r="I67" s="7" t="str">
        <x:v>Medium</x:v>
      </x:c>
      <x:c r="J67" s="7" t="str">
        <x:v>Catch functional classification is pelagic. The source residual pelagic pools span maximum-length classes and large-fish stages. Transfer assumes the caught lineage is represented by these shelf pelagic pools; no taxon-specific composition is observed. Catch functional classification is pelagic. The source residual pelagic pools span maximum-length classes and large-fish stages. Transfer assumes the caught lineage is represented by these shelf pelagic pools; no taxon-specific composition is observed. Allocation assumes model catch proportions, fixed over 1950–2019 and landings, total catch and discards. See Model group inputs and Sources.</x:v>
      </x:c>
      <x:c r="K67" s="1"/>
    </x:row>
    <x:row r="68" ht="72" customHeight="1">
      <x:c r="A68" s="7" t="str">
        <x:v>Cololabis saira</x:v>
      </x:c>
      <x:c r="B68" s="7" t="str">
        <x:v>Juvenile large pelagic fish</x:v>
      </x:c>
      <x:c r="C68" s="7" t="n">
        <x:v>30</x:v>
      </x:c>
      <x:c r="D68" s="15" t="n">
        <x:v>0.7384</x:v>
      </x:c>
      <x:c r="E68" s="15" t="n">
        <x:v>0.289</x:v>
      </x:c>
      <x:c r="F68" s="15" t="str">
        <x:v>Model catch</x:v>
      </x:c>
      <x:c r="G68" s="15" t="n">
        <x:f>SUMIFS($D$6:$D$449,$A$6:$A$449,A68)</x:f>
        <x:v>0.8205</x:v>
      </x:c>
      <x:c r="H68" s="16" t="n">
        <x:f>D68/G68</x:f>
        <x:v>0.8999390615478366</x:v>
      </x:c>
      <x:c r="I68" s="7" t="str">
        <x:v>Medium</x:v>
      </x:c>
      <x:c r="J6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68" s="1"/>
    </x:row>
    <x:row r="69" ht="72" customHeight="1">
      <x:c r="A69" s="7" t="str">
        <x:v>Cololabis saira</x:v>
      </x:c>
      <x:c r="B69" s="7" t="str">
        <x:v>Pelagic fish (&gt; 30 cm)</x:v>
      </x:c>
      <x:c r="C69" s="7" t="n">
        <x:v>31</x:v>
      </x:c>
      <x:c r="D69" s="15" t="n">
        <x:v>0.0821</x:v>
      </x:c>
      <x:c r="E69" s="15" t="n">
        <x:v>0.079</x:v>
      </x:c>
      <x:c r="F69" s="15" t="str">
        <x:v>Model catch</x:v>
      </x:c>
      <x:c r="G69" s="15" t="n">
        <x:f>SUMIFS($D$6:$D$449,$A$6:$A$449,A69)</x:f>
        <x:v>0.8205</x:v>
      </x:c>
      <x:c r="H69" s="16" t="n">
        <x:f>D69/G69</x:f>
        <x:v>0.10006093845216332</x:v>
      </x:c>
      <x:c r="I69" s="7" t="str">
        <x:v>Medium</x:v>
      </x:c>
      <x:c r="J6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69" s="1"/>
    </x:row>
    <x:row r="70" ht="87" customHeight="1">
      <x:c r="A70" s="7" t="str">
        <x:v>Conger myriaster</x:v>
      </x:c>
      <x:c r="B70" s="7" t="str">
        <x:v>Juvenile demersal fish (&gt; 30 cm)</x:v>
      </x:c>
      <x:c r="C70" s="7" t="n">
        <x:v>25</x:v>
      </x:c>
      <x:c r="D70" s="15" t="n">
        <x:v>0.3165</x:v>
      </x:c>
      <x:c r="E70" s="15" t="n">
        <x:v>0.143</x:v>
      </x:c>
      <x:c r="F70" s="15" t="str">
        <x:v>Model catch</x:v>
      </x:c>
      <x:c r="G70" s="15" t="n">
        <x:f>SUMIFS($D$6:$D$449,$A$6:$A$449,A70)</x:f>
        <x:v>0.3517</x:v>
      </x:c>
      <x:c r="H70" s="16" t="n">
        <x:f>D70/G70</x:f>
        <x:v>0.8999147000284333</x:v>
      </x:c>
      <x:c r="I70" s="7" t="str">
        <x:v>Medium</x:v>
      </x:c>
      <x:c r="J7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70" s="1"/>
    </x:row>
    <x:row r="71" ht="87" customHeight="1">
      <x:c r="A71" s="7" t="str">
        <x:v>Conger myriaster</x:v>
      </x:c>
      <x:c r="B71" s="7" t="str">
        <x:v>Adult demersal fish (&gt; 30 cm)</x:v>
      </x:c>
      <x:c r="C71" s="7" t="n">
        <x:v>26</x:v>
      </x:c>
      <x:c r="D71" s="15" t="n">
        <x:v>0.0352</x:v>
      </x:c>
      <x:c r="E71" s="15" t="n">
        <x:v>0.021</x:v>
      </x:c>
      <x:c r="F71" s="15" t="str">
        <x:v>Model catch</x:v>
      </x:c>
      <x:c r="G71" s="15" t="n">
        <x:f>SUMIFS($D$6:$D$449,$A$6:$A$449,A71)</x:f>
        <x:v>0.3517</x:v>
      </x:c>
      <x:c r="H71" s="16" t="n">
        <x:f>D71/G71</x:f>
        <x:v>0.10008529997156668</x:v>
      </x:c>
      <x:c r="I71" s="7" t="str">
        <x:v>Medium</x:v>
      </x:c>
      <x:c r="J7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71" s="1"/>
    </x:row>
    <x:row r="72" ht="87" customHeight="1">
      <x:c r="A72" s="7" t="str">
        <x:v>Congridae</x:v>
      </x:c>
      <x:c r="B72" s="7" t="str">
        <x:v>Juvenile demersal fish (&gt; 30 cm)</x:v>
      </x:c>
      <x:c r="C72" s="7" t="n">
        <x:v>25</x:v>
      </x:c>
      <x:c r="D72" s="15" t="n">
        <x:v>0.3165</x:v>
      </x:c>
      <x:c r="E72" s="15" t="n">
        <x:v>0.143</x:v>
      </x:c>
      <x:c r="F72" s="15" t="str">
        <x:v>Model catch</x:v>
      </x:c>
      <x:c r="G72" s="15" t="n">
        <x:f>SUMIFS($D$6:$D$449,$A$6:$A$449,A72)</x:f>
        <x:v>0.3517</x:v>
      </x:c>
      <x:c r="H72" s="16" t="n">
        <x:f>D72/G72</x:f>
        <x:v>0.8999147000284333</x:v>
      </x:c>
      <x:c r="I72" s="7" t="str">
        <x:v>Medium</x:v>
      </x:c>
      <x:c r="J7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72" s="1"/>
    </x:row>
    <x:row r="73" ht="87" customHeight="1">
      <x:c r="A73" s="7" t="str">
        <x:v>Congridae</x:v>
      </x:c>
      <x:c r="B73" s="7" t="str">
        <x:v>Adult demersal fish (&gt; 30 cm)</x:v>
      </x:c>
      <x:c r="C73" s="7" t="n">
        <x:v>26</x:v>
      </x:c>
      <x:c r="D73" s="15" t="n">
        <x:v>0.0352</x:v>
      </x:c>
      <x:c r="E73" s="15" t="n">
        <x:v>0.021</x:v>
      </x:c>
      <x:c r="F73" s="15" t="str">
        <x:v>Model catch</x:v>
      </x:c>
      <x:c r="G73" s="15" t="n">
        <x:f>SUMIFS($D$6:$D$449,$A$6:$A$449,A73)</x:f>
        <x:v>0.3517</x:v>
      </x:c>
      <x:c r="H73" s="16" t="n">
        <x:f>D73/G73</x:f>
        <x:v>0.10008529997156668</x:v>
      </x:c>
      <x:c r="I73" s="7" t="str">
        <x:v>Medium</x:v>
      </x:c>
      <x:c r="J7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73" s="1"/>
    </x:row>
    <x:row r="74" ht="72" customHeight="1">
      <x:c r="A74" s="7" t="str">
        <x:v>Coryphaena hippurus</x:v>
      </x:c>
      <x:c r="B74" s="7" t="str">
        <x:v>Juvenile large pelagic fish</x:v>
      </x:c>
      <x:c r="C74" s="7" t="n">
        <x:v>30</x:v>
      </x:c>
      <x:c r="D74" s="15" t="n">
        <x:v>0.7384</x:v>
      </x:c>
      <x:c r="E74" s="15" t="n">
        <x:v>0.289</x:v>
      </x:c>
      <x:c r="F74" s="15" t="str">
        <x:v>Model catch</x:v>
      </x:c>
      <x:c r="G74" s="15" t="n">
        <x:f>SUMIFS($D$6:$D$449,$A$6:$A$449,A74)</x:f>
        <x:v>0.8205</x:v>
      </x:c>
      <x:c r="H74" s="16" t="n">
        <x:f>D74/G74</x:f>
        <x:v>0.8999390615478366</x:v>
      </x:c>
      <x:c r="I74" s="7" t="str">
        <x:v>Medium</x:v>
      </x:c>
      <x:c r="J7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74" s="1"/>
    </x:row>
    <x:row r="75" ht="72" customHeight="1">
      <x:c r="A75" s="7" t="str">
        <x:v>Coryphaena hippurus</x:v>
      </x:c>
      <x:c r="B75" s="7" t="str">
        <x:v>Pelagic fish (&gt; 30 cm)</x:v>
      </x:c>
      <x:c r="C75" s="7" t="n">
        <x:v>31</x:v>
      </x:c>
      <x:c r="D75" s="15" t="n">
        <x:v>0.0821</x:v>
      </x:c>
      <x:c r="E75" s="15" t="n">
        <x:v>0.079</x:v>
      </x:c>
      <x:c r="F75" s="15" t="str">
        <x:v>Model catch</x:v>
      </x:c>
      <x:c r="G75" s="15" t="n">
        <x:f>SUMIFS($D$6:$D$449,$A$6:$A$449,A75)</x:f>
        <x:v>0.8205</x:v>
      </x:c>
      <x:c r="H75" s="16" t="n">
        <x:f>D75/G75</x:f>
        <x:v>0.10006093845216332</x:v>
      </x:c>
      <x:c r="I75" s="7" t="str">
        <x:v>Medium</x:v>
      </x:c>
      <x:c r="J7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75" s="1"/>
    </x:row>
    <x:row r="76" ht="177" customHeight="1">
      <x:c r="A76" s="7" t="str">
        <x:v>Cynoglossus</x:v>
      </x:c>
      <x:c r="B76" s="7" t="str">
        <x:v>Demesral fish (≤ 30 cm)</x:v>
      </x:c>
      <x:c r="C76" s="7" t="n">
        <x:v>24</x:v>
      </x:c>
      <x:c r="D76" s="15" t="n">
        <x:v>0.1788</x:v>
      </x:c>
      <x:c r="E76" s="15" t="n">
        <x:v>0.316</x:v>
      </x:c>
      <x:c r="F76" s="15" t="str">
        <x:v>Model catch</x:v>
      </x:c>
      <x:c r="G76" s="15" t="n">
        <x:f>SUMIFS($D$6:$D$449,$A$6:$A$449,A76)</x:f>
        <x:v>0.5305</x:v>
      </x:c>
      <x:c r="H76" s="16" t="n">
        <x:f>D76/G76</x:f>
        <x:v>0.33704052780395855</x:v>
      </x:c>
      <x:c r="I76" s="7" t="str">
        <x:v>Medium</x:v>
      </x:c>
      <x:c r="J76"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76" s="1"/>
    </x:row>
    <x:row r="77" ht="177" customHeight="1">
      <x:c r="A77" s="7" t="str">
        <x:v>Cynoglossus</x:v>
      </x:c>
      <x:c r="B77" s="7" t="str">
        <x:v>Juvenile demersal fish (&gt; 30 cm)</x:v>
      </x:c>
      <x:c r="C77" s="7" t="n">
        <x:v>25</x:v>
      </x:c>
      <x:c r="D77" s="15" t="n">
        <x:v>0.3165</x:v>
      </x:c>
      <x:c r="E77" s="15" t="n">
        <x:v>0.143</x:v>
      </x:c>
      <x:c r="F77" s="15" t="str">
        <x:v>Model catch</x:v>
      </x:c>
      <x:c r="G77" s="15" t="n">
        <x:f>SUMIFS($D$6:$D$449,$A$6:$A$449,A77)</x:f>
        <x:v>0.5305</x:v>
      </x:c>
      <x:c r="H77" s="16" t="n">
        <x:f>D77/G77</x:f>
        <x:v>0.5966069745523092</x:v>
      </x:c>
      <x:c r="I77" s="7" t="str">
        <x:v>Medium</x:v>
      </x:c>
      <x:c r="J7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77" s="1"/>
    </x:row>
    <x:row r="78" ht="177" customHeight="1">
      <x:c r="A78" s="7" t="str">
        <x:v>Cynoglossus</x:v>
      </x:c>
      <x:c r="B78" s="7" t="str">
        <x:v>Adult demersal fish (&gt; 30 cm)</x:v>
      </x:c>
      <x:c r="C78" s="7" t="n">
        <x:v>26</x:v>
      </x:c>
      <x:c r="D78" s="15" t="n">
        <x:v>0.0352</x:v>
      </x:c>
      <x:c r="E78" s="15" t="n">
        <x:v>0.021</x:v>
      </x:c>
      <x:c r="F78" s="15" t="str">
        <x:v>Model catch</x:v>
      </x:c>
      <x:c r="G78" s="15" t="n">
        <x:f>SUMIFS($D$6:$D$449,$A$6:$A$449,A78)</x:f>
        <x:v>0.5305</x:v>
      </x:c>
      <x:c r="H78" s="16" t="n">
        <x:f>D78/G78</x:f>
        <x:v>0.06635249764373234</x:v>
      </x:c>
      <x:c r="I78" s="7" t="str">
        <x:v>Medium</x:v>
      </x:c>
      <x:c r="J78"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78" s="1"/>
    </x:row>
    <x:row r="79" ht="162" customHeight="1">
      <x:c r="A79" s="7" t="str">
        <x:v>Decapoda</x:v>
      </x:c>
      <x:c r="B79" s="7" t="str">
        <x:v>Zooplankton</x:v>
      </x:c>
      <x:c r="C79" s="7" t="n">
        <x:v>3</x:v>
      </x:c>
      <x:c r="D79" s="15" t="n">
        <x:v>0.0948</x:v>
      </x:c>
      <x:c r="E79" s="15" t="n">
        <x:v>9</x:v>
      </x:c>
      <x:c r="F79" s="15" t="str">
        <x:v>Model catch</x:v>
      </x:c>
      <x:c r="G79" s="15" t="n">
        <x:f>SUMIFS($D$6:$D$449,$A$6:$A$449,A79)</x:f>
        <x:v>1.0124</x:v>
      </x:c>
      <x:c r="H79" s="16" t="n">
        <x:f>D79/G79</x:f>
        <x:v>0.09363887791386803</x:v>
      </x:c>
      <x:c r="I79" s="7" t="str">
        <x:v>Medium</x:v>
      </x:c>
      <x:c r="J79"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79" s="1"/>
    </x:row>
    <x:row r="80" ht="162" customHeight="1">
      <x:c r="A80" s="7" t="str">
        <x:v>Decapoda</x:v>
      </x:c>
      <x:c r="B80" s="7" t="str">
        <x:v>Benthic crustaceans</x:v>
      </x:c>
      <x:c r="C80" s="7" t="n">
        <x:v>7</x:v>
      </x:c>
      <x:c r="D80" s="15" t="n">
        <x:v>0.0391</x:v>
      </x:c>
      <x:c r="E80" s="15" t="n">
        <x:v>1.43</x:v>
      </x:c>
      <x:c r="F80" s="15" t="str">
        <x:v>Model catch</x:v>
      </x:c>
      <x:c r="G80" s="15" t="n">
        <x:f>SUMIFS($D$6:$D$449,$A$6:$A$449,A80)</x:f>
        <x:v>1.0124</x:v>
      </x:c>
      <x:c r="H80" s="16" t="n">
        <x:f>D80/G80</x:f>
        <x:v>0.03862109838008693</x:v>
      </x:c>
      <x:c r="I80" s="7" t="str">
        <x:v>Medium</x:v>
      </x:c>
      <x:c r="J80"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80" s="1"/>
    </x:row>
    <x:row r="81" ht="162" customHeight="1">
      <x:c r="A81" s="7" t="str">
        <x:v>Decapoda</x:v>
      </x:c>
      <x:c r="B81" s="7" t="str">
        <x:v>Shrimps</x:v>
      </x:c>
      <x:c r="C81" s="7" t="n">
        <x:v>10</x:v>
      </x:c>
      <x:c r="D81" s="15" t="n">
        <x:v>0.6788</x:v>
      </x:c>
      <x:c r="E81" s="15" t="n">
        <x:v>0.194</x:v>
      </x:c>
      <x:c r="F81" s="15" t="str">
        <x:v>Model catch</x:v>
      </x:c>
      <x:c r="G81" s="15" t="n">
        <x:f>SUMIFS($D$6:$D$449,$A$6:$A$449,A81)</x:f>
        <x:v>1.0124</x:v>
      </x:c>
      <x:c r="H81" s="16" t="n">
        <x:f>D81/G81</x:f>
        <x:v>0.6704859739233504</x:v>
      </x:c>
      <x:c r="I81" s="7" t="str">
        <x:v>Medium</x:v>
      </x:c>
      <x:c r="J81"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81" s="1"/>
    </x:row>
    <x:row r="82" ht="162" customHeight="1">
      <x:c r="A82" s="7" t="str">
        <x:v>Decapoda</x:v>
      </x:c>
      <x:c r="B82" s="7" t="str">
        <x:v>Crabs</x:v>
      </x:c>
      <x:c r="C82" s="7" t="n">
        <x:v>11</x:v>
      </x:c>
      <x:c r="D82" s="15" t="n">
        <x:v>0.1997</x:v>
      </x:c>
      <x:c r="E82" s="15" t="n">
        <x:v>0.368</x:v>
      </x:c>
      <x:c r="F82" s="15" t="str">
        <x:v>Model catch</x:v>
      </x:c>
      <x:c r="G82" s="15" t="n">
        <x:f>SUMIFS($D$6:$D$449,$A$6:$A$449,A82)</x:f>
        <x:v>1.0124</x:v>
      </x:c>
      <x:c r="H82" s="16" t="n">
        <x:f>D82/G82</x:f>
        <x:v>0.1972540497826946</x:v>
      </x:c>
      <x:c r="I82" s="7" t="str">
        <x:v>Medium</x:v>
      </x:c>
      <x:c r="J82"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82" s="1"/>
    </x:row>
    <x:row r="83" ht="72" customHeight="1">
      <x:c r="A83" s="7" t="str">
        <x:v>Decapterus</x:v>
      </x:c>
      <x:c r="B83" s="7" t="str">
        <x:v>Juvenile large pelagic fish</x:v>
      </x:c>
      <x:c r="C83" s="7" t="n">
        <x:v>30</x:v>
      </x:c>
      <x:c r="D83" s="15" t="n">
        <x:v>0.7384</x:v>
      </x:c>
      <x:c r="E83" s="15" t="n">
        <x:v>0.289</x:v>
      </x:c>
      <x:c r="F83" s="15" t="str">
        <x:v>Model catch</x:v>
      </x:c>
      <x:c r="G83" s="15" t="n">
        <x:f>SUMIFS($D$6:$D$449,$A$6:$A$449,A83)</x:f>
        <x:v>0.8205</x:v>
      </x:c>
      <x:c r="H83" s="16" t="n">
        <x:f>D83/G83</x:f>
        <x:v>0.8999390615478366</x:v>
      </x:c>
      <x:c r="I83" s="7" t="str">
        <x:v>Medium</x:v>
      </x:c>
      <x:c r="J8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3" s="1"/>
    </x:row>
    <x:row r="84" ht="72" customHeight="1">
      <x:c r="A84" s="7" t="str">
        <x:v>Decapterus</x:v>
      </x:c>
      <x:c r="B84" s="7" t="str">
        <x:v>Pelagic fish (&gt; 30 cm)</x:v>
      </x:c>
      <x:c r="C84" s="7" t="n">
        <x:v>31</x:v>
      </x:c>
      <x:c r="D84" s="15" t="n">
        <x:v>0.0821</x:v>
      </x:c>
      <x:c r="E84" s="15" t="n">
        <x:v>0.079</x:v>
      </x:c>
      <x:c r="F84" s="15" t="str">
        <x:v>Model catch</x:v>
      </x:c>
      <x:c r="G84" s="15" t="n">
        <x:f>SUMIFS($D$6:$D$449,$A$6:$A$449,A84)</x:f>
        <x:v>0.8205</x:v>
      </x:c>
      <x:c r="H84" s="16" t="n">
        <x:f>D84/G84</x:f>
        <x:v>0.10006093845216332</x:v>
      </x:c>
      <x:c r="I84" s="7" t="str">
        <x:v>Medium</x:v>
      </x:c>
      <x:c r="J8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4" s="1"/>
    </x:row>
    <x:row r="85" ht="72" customHeight="1">
      <x:c r="A85" s="7" t="str">
        <x:v>Decapterus macrosoma</x:v>
      </x:c>
      <x:c r="B85" s="7" t="str">
        <x:v>Juvenile large pelagic fish</x:v>
      </x:c>
      <x:c r="C85" s="7" t="n">
        <x:v>30</x:v>
      </x:c>
      <x:c r="D85" s="15" t="n">
        <x:v>0.7384</x:v>
      </x:c>
      <x:c r="E85" s="15" t="n">
        <x:v>0.289</x:v>
      </x:c>
      <x:c r="F85" s="15" t="str">
        <x:v>Model catch</x:v>
      </x:c>
      <x:c r="G85" s="15" t="n">
        <x:f>SUMIFS($D$6:$D$449,$A$6:$A$449,A85)</x:f>
        <x:v>0.8205</x:v>
      </x:c>
      <x:c r="H85" s="16" t="n">
        <x:f>D85/G85</x:f>
        <x:v>0.8999390615478366</x:v>
      </x:c>
      <x:c r="I85" s="7" t="str">
        <x:v>Medium</x:v>
      </x:c>
      <x:c r="J8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5" s="1"/>
    </x:row>
    <x:row r="86" ht="72" customHeight="1">
      <x:c r="A86" s="7" t="str">
        <x:v>Decapterus macrosoma</x:v>
      </x:c>
      <x:c r="B86" s="7" t="str">
        <x:v>Pelagic fish (&gt; 30 cm)</x:v>
      </x:c>
      <x:c r="C86" s="7" t="n">
        <x:v>31</x:v>
      </x:c>
      <x:c r="D86" s="15" t="n">
        <x:v>0.0821</x:v>
      </x:c>
      <x:c r="E86" s="15" t="n">
        <x:v>0.079</x:v>
      </x:c>
      <x:c r="F86" s="15" t="str">
        <x:v>Model catch</x:v>
      </x:c>
      <x:c r="G86" s="15" t="n">
        <x:f>SUMIFS($D$6:$D$449,$A$6:$A$449,A86)</x:f>
        <x:v>0.8205</x:v>
      </x:c>
      <x:c r="H86" s="16" t="n">
        <x:f>D86/G86</x:f>
        <x:v>0.10006093845216332</x:v>
      </x:c>
      <x:c r="I86" s="7" t="str">
        <x:v>Medium</x:v>
      </x:c>
      <x:c r="J8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6" s="1"/>
    </x:row>
    <x:row r="87" ht="72" customHeight="1">
      <x:c r="A87" s="7" t="str">
        <x:v>Decapterus russelli</x:v>
      </x:c>
      <x:c r="B87" s="7" t="str">
        <x:v>Juvenile large pelagic fish</x:v>
      </x:c>
      <x:c r="C87" s="7" t="n">
        <x:v>30</x:v>
      </x:c>
      <x:c r="D87" s="15" t="n">
        <x:v>0.7384</x:v>
      </x:c>
      <x:c r="E87" s="15" t="n">
        <x:v>0.289</x:v>
      </x:c>
      <x:c r="F87" s="15" t="str">
        <x:v>Model catch</x:v>
      </x:c>
      <x:c r="G87" s="15" t="n">
        <x:f>SUMIFS($D$6:$D$449,$A$6:$A$449,A87)</x:f>
        <x:v>0.8205</x:v>
      </x:c>
      <x:c r="H87" s="16" t="n">
        <x:f>D87/G87</x:f>
        <x:v>0.8999390615478366</x:v>
      </x:c>
      <x:c r="I87" s="7" t="str">
        <x:v>Medium</x:v>
      </x:c>
      <x:c r="J8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7" s="1"/>
    </x:row>
    <x:row r="88" ht="72" customHeight="1">
      <x:c r="A88" s="7" t="str">
        <x:v>Decapterus russelli</x:v>
      </x:c>
      <x:c r="B88" s="7" t="str">
        <x:v>Pelagic fish (&gt; 30 cm)</x:v>
      </x:c>
      <x:c r="C88" s="7" t="n">
        <x:v>31</x:v>
      </x:c>
      <x:c r="D88" s="15" t="n">
        <x:v>0.0821</x:v>
      </x:c>
      <x:c r="E88" s="15" t="n">
        <x:v>0.079</x:v>
      </x:c>
      <x:c r="F88" s="15" t="str">
        <x:v>Model catch</x:v>
      </x:c>
      <x:c r="G88" s="15" t="n">
        <x:f>SUMIFS($D$6:$D$449,$A$6:$A$449,A88)</x:f>
        <x:v>0.8205</x:v>
      </x:c>
      <x:c r="H88" s="16" t="n">
        <x:f>D88/G88</x:f>
        <x:v>0.10006093845216332</x:v>
      </x:c>
      <x:c r="I88" s="7" t="str">
        <x:v>Medium</x:v>
      </x:c>
      <x:c r="J8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88" s="1"/>
    </x:row>
    <x:row r="89" ht="117" customHeight="1">
      <x:c r="A89" s="7" t="str">
        <x:v>Dendrobranchiata</x:v>
      </x:c>
      <x:c r="B89" s="7" t="str">
        <x:v>Zooplankton</x:v>
      </x:c>
      <x:c r="C89" s="7" t="n">
        <x:v>3</x:v>
      </x:c>
      <x:c r="D89" s="15" t="n">
        <x:v>0.0948</x:v>
      </x:c>
      <x:c r="E89" s="15" t="n">
        <x:v>9</x:v>
      </x:c>
      <x:c r="F89" s="15" t="str">
        <x:v>Model catch</x:v>
      </x:c>
      <x:c r="G89" s="15" t="n">
        <x:f>SUMIFS($D$6:$D$449,$A$6:$A$449,A89)</x:f>
        <x:v>0.7736</x:v>
      </x:c>
      <x:c r="H89" s="16" t="n">
        <x:f>D89/G89</x:f>
        <x:v>0.12254395036194415</x:v>
      </x:c>
      <x:c r="I89" s="7" t="str">
        <x:v>Medium</x:v>
      </x:c>
      <x:c r="J89"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89" s="1"/>
    </x:row>
    <x:row r="90" ht="117" customHeight="1">
      <x:c r="A90" s="7" t="str">
        <x:v>Dendrobranchiata</x:v>
      </x:c>
      <x:c r="B90" s="7" t="str">
        <x:v>Shrimps</x:v>
      </x:c>
      <x:c r="C90" s="7" t="n">
        <x:v>10</x:v>
      </x:c>
      <x:c r="D90" s="15" t="n">
        <x:v>0.6788</x:v>
      </x:c>
      <x:c r="E90" s="15" t="n">
        <x:v>0.194</x:v>
      </x:c>
      <x:c r="F90" s="15" t="str">
        <x:v>Model catch</x:v>
      </x:c>
      <x:c r="G90" s="15" t="n">
        <x:f>SUMIFS($D$6:$D$449,$A$6:$A$449,A90)</x:f>
        <x:v>0.7736</x:v>
      </x:c>
      <x:c r="H90" s="16" t="n">
        <x:f>D90/G90</x:f>
        <x:v>0.8774560496380558</x:v>
      </x:c>
      <x:c r="I90" s="7" t="str">
        <x:v>Medium</x:v>
      </x:c>
      <x:c r="J90"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90" s="1"/>
    </x:row>
    <x:row r="91" ht="87" customHeight="1">
      <x:c r="A91" s="7" t="str">
        <x:v>Drepane punctata</x:v>
      </x:c>
      <x:c r="B91" s="7" t="str">
        <x:v>Juvenile demersal fish (&gt; 30 cm)</x:v>
      </x:c>
      <x:c r="C91" s="7" t="n">
        <x:v>25</x:v>
      </x:c>
      <x:c r="D91" s="15" t="n">
        <x:v>0.3165</x:v>
      </x:c>
      <x:c r="E91" s="15" t="n">
        <x:v>0.143</x:v>
      </x:c>
      <x:c r="F91" s="15" t="str">
        <x:v>Model catch</x:v>
      </x:c>
      <x:c r="G91" s="15" t="n">
        <x:f>SUMIFS($D$6:$D$449,$A$6:$A$449,A91)</x:f>
        <x:v>0.3517</x:v>
      </x:c>
      <x:c r="H91" s="16" t="n">
        <x:f>D91/G91</x:f>
        <x:v>0.8999147000284333</x:v>
      </x:c>
      <x:c r="I91" s="7" t="str">
        <x:v>Medium</x:v>
      </x:c>
      <x:c r="J9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1" s="1"/>
    </x:row>
    <x:row r="92" ht="87" customHeight="1">
      <x:c r="A92" s="7" t="str">
        <x:v>Drepane punctata</x:v>
      </x:c>
      <x:c r="B92" s="7" t="str">
        <x:v>Adult demersal fish (&gt; 30 cm)</x:v>
      </x:c>
      <x:c r="C92" s="7" t="n">
        <x:v>26</x:v>
      </x:c>
      <x:c r="D92" s="15" t="n">
        <x:v>0.0352</x:v>
      </x:c>
      <x:c r="E92" s="15" t="n">
        <x:v>0.021</x:v>
      </x:c>
      <x:c r="F92" s="15" t="str">
        <x:v>Model catch</x:v>
      </x:c>
      <x:c r="G92" s="15" t="n">
        <x:f>SUMIFS($D$6:$D$449,$A$6:$A$449,A92)</x:f>
        <x:v>0.3517</x:v>
      </x:c>
      <x:c r="H92" s="16" t="n">
        <x:f>D92/G92</x:f>
        <x:v>0.10008529997156668</x:v>
      </x:c>
      <x:c r="I92" s="7" t="str">
        <x:v>Medium</x:v>
      </x:c>
      <x:c r="J9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2" s="1"/>
    </x:row>
    <x:row r="93" ht="72" customHeight="1">
      <x:c r="A93" s="7" t="str">
        <x:v>Elagatis bipinnulata</x:v>
      </x:c>
      <x:c r="B93" s="7" t="str">
        <x:v>Juvenile large pelagic fish</x:v>
      </x:c>
      <x:c r="C93" s="7" t="n">
        <x:v>30</x:v>
      </x:c>
      <x:c r="D93" s="15" t="n">
        <x:v>0.7384</x:v>
      </x:c>
      <x:c r="E93" s="15" t="n">
        <x:v>0.289</x:v>
      </x:c>
      <x:c r="F93" s="15" t="str">
        <x:v>Model catch</x:v>
      </x:c>
      <x:c r="G93" s="15" t="n">
        <x:f>SUMIFS($D$6:$D$449,$A$6:$A$449,A93)</x:f>
        <x:v>0.8205</x:v>
      </x:c>
      <x:c r="H93" s="16" t="n">
        <x:f>D93/G93</x:f>
        <x:v>0.8999390615478366</x:v>
      </x:c>
      <x:c r="I93" s="7" t="str">
        <x:v>Medium</x:v>
      </x:c>
      <x:c r="J9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3" s="1"/>
    </x:row>
    <x:row r="94" ht="72" customHeight="1">
      <x:c r="A94" s="7" t="str">
        <x:v>Elagatis bipinnulata</x:v>
      </x:c>
      <x:c r="B94" s="7" t="str">
        <x:v>Pelagic fish (&gt; 30 cm)</x:v>
      </x:c>
      <x:c r="C94" s="7" t="n">
        <x:v>31</x:v>
      </x:c>
      <x:c r="D94" s="15" t="n">
        <x:v>0.0821</x:v>
      </x:c>
      <x:c r="E94" s="15" t="n">
        <x:v>0.079</x:v>
      </x:c>
      <x:c r="F94" s="15" t="str">
        <x:v>Model catch</x:v>
      </x:c>
      <x:c r="G94" s="15" t="n">
        <x:f>SUMIFS($D$6:$D$449,$A$6:$A$449,A94)</x:f>
        <x:v>0.8205</x:v>
      </x:c>
      <x:c r="H94" s="16" t="n">
        <x:f>D94/G94</x:f>
        <x:v>0.10006093845216332</x:v>
      </x:c>
      <x:c r="I94" s="7" t="str">
        <x:v>Medium</x:v>
      </x:c>
      <x:c r="J9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4" s="1"/>
    </x:row>
    <x:row r="95" ht="102" customHeight="1">
      <x:c r="A95" s="7" t="str">
        <x:v>Elasmobranchii</x:v>
      </x:c>
      <x:c r="B95" s="7" t="str">
        <x:v>Demersal sharks and rays</x:v>
      </x:c>
      <x:c r="C95" s="7" t="n">
        <x:v>32</x:v>
      </x:c>
      <x:c r="D95" s="15" t="n">
        <x:v>0.001</x:v>
      </x:c>
      <x:c r="E95" s="15" t="n">
        <x:v>0.001</x:v>
      </x:c>
      <x:c r="F95" s="15" t="str">
        <x:v>Model catch</x:v>
      </x:c>
      <x:c r="G95" s="15" t="n">
        <x:f>SUMIFS($D$6:$D$449,$A$6:$A$449,A95)</x:f>
        <x:v>0.0017000000000000001</x:v>
      </x:c>
      <x:c r="H95" s="16" t="n">
        <x:f>D95/G95</x:f>
        <x:v>0.5882352941176471</x:v>
      </x:c>
      <x:c r="I95" s="7" t="str">
        <x:v>Medium</x:v>
      </x:c>
      <x:c r="J95"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95" s="1"/>
    </x:row>
    <x:row r="96" ht="102" customHeight="1">
      <x:c r="A96" s="7" t="str">
        <x:v>Elasmobranchii</x:v>
      </x:c>
      <x:c r="B96" s="7" t="str">
        <x:v>Pelagic sharks and rays</x:v>
      </x:c>
      <x:c r="C96" s="7" t="n">
        <x:v>33</x:v>
      </x:c>
      <x:c r="D96" s="15" t="n">
        <x:v>0.0007</x:v>
      </x:c>
      <x:c r="E96" s="15" t="n">
        <x:v>0.0011</x:v>
      </x:c>
      <x:c r="F96" s="15" t="str">
        <x:v>Model catch</x:v>
      </x:c>
      <x:c r="G96" s="15" t="n">
        <x:f>SUMIFS($D$6:$D$449,$A$6:$A$449,A96)</x:f>
        <x:v>0.0017000000000000001</x:v>
      </x:c>
      <x:c r="H96" s="16" t="n">
        <x:f>D96/G96</x:f>
        <x:v>0.4117647058823529</x:v>
      </x:c>
      <x:c r="I96" s="7" t="str">
        <x:v>Medium</x:v>
      </x:c>
      <x:c r="J96" s="7" t="str">
        <x:v>Sharks and rays fall within the two source elasmobranch compartments. Demersal versus pelagic composition is unknown. The model shelf mixture is assumed applicable to these catches. Sharks and rays fall within the two source elasmobranch compartments. Demersal versus pelagic composition is unknown. The model shelf mixture is assumed applicable to these catches. Allocation assumes model catch proportions, fixed over 1950–2019 and landings, total catch and discards. See Model group inputs and Sources.</x:v>
      </x:c>
      <x:c r="K96" s="1"/>
    </x:row>
    <x:row r="97" ht="87" customHeight="1">
      <x:c r="A97" s="7" t="str">
        <x:v>Eleutheronema tetradactylum</x:v>
      </x:c>
      <x:c r="B97" s="7" t="str">
        <x:v>Juvenile demersal fish (&gt; 30 cm)</x:v>
      </x:c>
      <x:c r="C97" s="7" t="n">
        <x:v>25</x:v>
      </x:c>
      <x:c r="D97" s="15" t="n">
        <x:v>0.3165</x:v>
      </x:c>
      <x:c r="E97" s="15" t="n">
        <x:v>0.143</x:v>
      </x:c>
      <x:c r="F97" s="15" t="str">
        <x:v>Model catch</x:v>
      </x:c>
      <x:c r="G97" s="15" t="n">
        <x:f>SUMIFS($D$6:$D$449,$A$6:$A$449,A97)</x:f>
        <x:v>0.3517</x:v>
      </x:c>
      <x:c r="H97" s="16" t="n">
        <x:f>D97/G97</x:f>
        <x:v>0.8999147000284333</x:v>
      </x:c>
      <x:c r="I97" s="7" t="str">
        <x:v>Medium</x:v>
      </x:c>
      <x:c r="J9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7" s="1"/>
    </x:row>
    <x:row r="98" ht="87" customHeight="1">
      <x:c r="A98" s="7" t="str">
        <x:v>Eleutheronema tetradactylum</x:v>
      </x:c>
      <x:c r="B98" s="7" t="str">
        <x:v>Adult demersal fish (&gt; 30 cm)</x:v>
      </x:c>
      <x:c r="C98" s="7" t="n">
        <x:v>26</x:v>
      </x:c>
      <x:c r="D98" s="15" t="n">
        <x:v>0.0352</x:v>
      </x:c>
      <x:c r="E98" s="15" t="n">
        <x:v>0.021</x:v>
      </x:c>
      <x:c r="F98" s="15" t="str">
        <x:v>Model catch</x:v>
      </x:c>
      <x:c r="G98" s="15" t="n">
        <x:f>SUMIFS($D$6:$D$449,$A$6:$A$449,A98)</x:f>
        <x:v>0.3517</x:v>
      </x:c>
      <x:c r="H98" s="16" t="n">
        <x:f>D98/G98</x:f>
        <x:v>0.10008529997156668</x:v>
      </x:c>
      <x:c r="I98" s="7" t="str">
        <x:v>Medium</x:v>
      </x:c>
      <x:c r="J9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98" s="1"/>
    </x:row>
    <x:row r="99" ht="72" customHeight="1">
      <x:c r="A99" s="7" t="str">
        <x:v>Elops machnata</x:v>
      </x:c>
      <x:c r="B99" s="7" t="str">
        <x:v>Juvenile large pelagic fish</x:v>
      </x:c>
      <x:c r="C99" s="7" t="n">
        <x:v>30</x:v>
      </x:c>
      <x:c r="D99" s="15" t="n">
        <x:v>0.7384</x:v>
      </x:c>
      <x:c r="E99" s="15" t="n">
        <x:v>0.289</x:v>
      </x:c>
      <x:c r="F99" s="15" t="str">
        <x:v>Model catch</x:v>
      </x:c>
      <x:c r="G99" s="15" t="n">
        <x:f>SUMIFS($D$6:$D$449,$A$6:$A$449,A99)</x:f>
        <x:v>0.8205</x:v>
      </x:c>
      <x:c r="H99" s="16" t="n">
        <x:f>D99/G99</x:f>
        <x:v>0.8999390615478366</x:v>
      </x:c>
      <x:c r="I99" s="7" t="str">
        <x:v>Medium</x:v>
      </x:c>
      <x:c r="J9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99" s="1"/>
    </x:row>
    <x:row r="100" ht="72" customHeight="1">
      <x:c r="A100" s="7" t="str">
        <x:v>Elops machnata</x:v>
      </x:c>
      <x:c r="B100" s="7" t="str">
        <x:v>Pelagic fish (&gt; 30 cm)</x:v>
      </x:c>
      <x:c r="C100" s="7" t="n">
        <x:v>31</x:v>
      </x:c>
      <x:c r="D100" s="15" t="n">
        <x:v>0.0821</x:v>
      </x:c>
      <x:c r="E100" s="15" t="n">
        <x:v>0.079</x:v>
      </x:c>
      <x:c r="F100" s="15" t="str">
        <x:v>Model catch</x:v>
      </x:c>
      <x:c r="G100" s="15" t="n">
        <x:f>SUMIFS($D$6:$D$449,$A$6:$A$449,A100)</x:f>
        <x:v>0.8205</x:v>
      </x:c>
      <x:c r="H100" s="16" t="n">
        <x:f>D100/G100</x:f>
        <x:v>0.10006093845216332</x:v>
      </x:c>
      <x:c r="I100" s="7" t="str">
        <x:v>Medium</x:v>
      </x:c>
      <x:c r="J10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0" s="1"/>
    </x:row>
    <x:row r="101" ht="87" customHeight="1">
      <x:c r="A101" s="7" t="str">
        <x:v>Ephippidae</x:v>
      </x:c>
      <x:c r="B101" s="7" t="str">
        <x:v>Juvenile demersal fish (&gt; 30 cm)</x:v>
      </x:c>
      <x:c r="C101" s="7" t="n">
        <x:v>25</x:v>
      </x:c>
      <x:c r="D101" s="15" t="n">
        <x:v>0.3165</x:v>
      </x:c>
      <x:c r="E101" s="15" t="n">
        <x:v>0.143</x:v>
      </x:c>
      <x:c r="F101" s="15" t="str">
        <x:v>Model catch</x:v>
      </x:c>
      <x:c r="G101" s="15" t="n">
        <x:f>SUMIFS($D$6:$D$449,$A$6:$A$449,A101)</x:f>
        <x:v>0.3517</x:v>
      </x:c>
      <x:c r="H101" s="16" t="n">
        <x:f>D101/G101</x:f>
        <x:v>0.8999147000284333</x:v>
      </x:c>
      <x:c r="I101" s="7" t="str">
        <x:v>Medium</x:v>
      </x:c>
      <x:c r="J10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1" s="1"/>
    </x:row>
    <x:row r="102" ht="87" customHeight="1">
      <x:c r="A102" s="7" t="str">
        <x:v>Ephippidae</x:v>
      </x:c>
      <x:c r="B102" s="7" t="str">
        <x:v>Adult demersal fish (&gt; 30 cm)</x:v>
      </x:c>
      <x:c r="C102" s="7" t="n">
        <x:v>26</x:v>
      </x:c>
      <x:c r="D102" s="15" t="n">
        <x:v>0.0352</x:v>
      </x:c>
      <x:c r="E102" s="15" t="n">
        <x:v>0.021</x:v>
      </x:c>
      <x:c r="F102" s="15" t="str">
        <x:v>Model catch</x:v>
      </x:c>
      <x:c r="G102" s="15" t="n">
        <x:f>SUMIFS($D$6:$D$449,$A$6:$A$449,A102)</x:f>
        <x:v>0.3517</x:v>
      </x:c>
      <x:c r="H102" s="16" t="n">
        <x:f>D102/G102</x:f>
        <x:v>0.10008529997156668</x:v>
      </x:c>
      <x:c r="I102" s="7" t="str">
        <x:v>Medium</x:v>
      </x:c>
      <x:c r="J10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2" s="1"/>
    </x:row>
    <x:row r="103" ht="72" customHeight="1">
      <x:c r="A103" s="7" t="str">
        <x:v>Euthynnus affinis</x:v>
      </x:c>
      <x:c r="B103" s="7" t="str">
        <x:v>Juvenile large pelagic fish</x:v>
      </x:c>
      <x:c r="C103" s="7" t="n">
        <x:v>30</x:v>
      </x:c>
      <x:c r="D103" s="15" t="n">
        <x:v>0.7384</x:v>
      </x:c>
      <x:c r="E103" s="15" t="n">
        <x:v>0.289</x:v>
      </x:c>
      <x:c r="F103" s="15" t="str">
        <x:v>Model catch</x:v>
      </x:c>
      <x:c r="G103" s="15" t="n">
        <x:f>SUMIFS($D$6:$D$449,$A$6:$A$449,A103)</x:f>
        <x:v>0.8205</x:v>
      </x:c>
      <x:c r="H103" s="16" t="n">
        <x:f>D103/G103</x:f>
        <x:v>0.8999390615478366</x:v>
      </x:c>
      <x:c r="I103" s="7" t="str">
        <x:v>Medium</x:v>
      </x:c>
      <x:c r="J10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3" s="1"/>
    </x:row>
    <x:row r="104" ht="72" customHeight="1">
      <x:c r="A104" s="7" t="str">
        <x:v>Euthynnus affinis</x:v>
      </x:c>
      <x:c r="B104" s="7" t="str">
        <x:v>Pelagic fish (&gt; 30 cm)</x:v>
      </x:c>
      <x:c r="C104" s="7" t="n">
        <x:v>31</x:v>
      </x:c>
      <x:c r="D104" s="15" t="n">
        <x:v>0.0821</x:v>
      </x:c>
      <x:c r="E104" s="15" t="n">
        <x:v>0.079</x:v>
      </x:c>
      <x:c r="F104" s="15" t="str">
        <x:v>Model catch</x:v>
      </x:c>
      <x:c r="G104" s="15" t="n">
        <x:f>SUMIFS($D$6:$D$449,$A$6:$A$449,A104)</x:f>
        <x:v>0.8205</x:v>
      </x:c>
      <x:c r="H104" s="16" t="n">
        <x:f>D104/G104</x:f>
        <x:v>0.10006093845216332</x:v>
      </x:c>
      <x:c r="I104" s="7" t="str">
        <x:v>Medium</x:v>
      </x:c>
      <x:c r="J10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4" s="1"/>
    </x:row>
    <x:row r="105" ht="87" customHeight="1">
      <x:c r="A105" s="7" t="str">
        <x:v>Evynnis tumifrons</x:v>
      </x:c>
      <x:c r="B105" s="7" t="str">
        <x:v>Juvenile demersal fish (&gt; 30 cm)</x:v>
      </x:c>
      <x:c r="C105" s="7" t="n">
        <x:v>25</x:v>
      </x:c>
      <x:c r="D105" s="15" t="n">
        <x:v>0.3165</x:v>
      </x:c>
      <x:c r="E105" s="15" t="n">
        <x:v>0.143</x:v>
      </x:c>
      <x:c r="F105" s="15" t="str">
        <x:v>Model catch</x:v>
      </x:c>
      <x:c r="G105" s="15" t="n">
        <x:f>SUMIFS($D$6:$D$449,$A$6:$A$449,A105)</x:f>
        <x:v>0.3517</x:v>
      </x:c>
      <x:c r="H105" s="16" t="n">
        <x:f>D105/G105</x:f>
        <x:v>0.8999147000284333</x:v>
      </x:c>
      <x:c r="I105" s="7" t="str">
        <x:v>Medium</x:v>
      </x:c>
      <x:c r="J10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5" s="1"/>
    </x:row>
    <x:row r="106" ht="87" customHeight="1">
      <x:c r="A106" s="7" t="str">
        <x:v>Evynnis tumifrons</x:v>
      </x:c>
      <x:c r="B106" s="7" t="str">
        <x:v>Adult demersal fish (&gt; 30 cm)</x:v>
      </x:c>
      <x:c r="C106" s="7" t="n">
        <x:v>26</x:v>
      </x:c>
      <x:c r="D106" s="15" t="n">
        <x:v>0.0352</x:v>
      </x:c>
      <x:c r="E106" s="15" t="n">
        <x:v>0.021</x:v>
      </x:c>
      <x:c r="F106" s="15" t="str">
        <x:v>Model catch</x:v>
      </x:c>
      <x:c r="G106" s="15" t="n">
        <x:f>SUMIFS($D$6:$D$449,$A$6:$A$449,A106)</x:f>
        <x:v>0.3517</x:v>
      </x:c>
      <x:c r="H106" s="16" t="n">
        <x:f>D106/G106</x:f>
        <x:v>0.10008529997156668</x:v>
      </x:c>
      <x:c r="I106" s="7" t="str">
        <x:v>Medium</x:v>
      </x:c>
      <x:c r="J10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06" s="1"/>
    </x:row>
    <x:row r="107" ht="132" customHeight="1">
      <x:c r="A107" s="7" t="str">
        <x:v>Gadiformes</x:v>
      </x:c>
      <x:c r="B107" s="7" t="str">
        <x:v>Benthopelagic fish</x:v>
      </x:c>
      <x:c r="C107" s="7" t="n">
        <x:v>27</x:v>
      </x:c>
      <x:c r="D107" s="15" t="n">
        <x:v>0.6025</x:v>
      </x:c>
      <x:c r="E107" s="15" t="n">
        <x:v>0.922</x:v>
      </x:c>
      <x:c r="F107" s="15" t="str">
        <x:v>No split</x:v>
      </x:c>
      <x:c r="G107" s="15" t="n">
        <x:f>SUMIFS($D$6:$D$449,$A$6:$A$449,A107)</x:f>
        <x:v>0.6025</x:v>
      </x:c>
      <x:c r="H107" s="16" t="n">
        <x:f>1</x:f>
        <x:v>1</x:v>
      </x:c>
      <x:c r="I107" s="7" t="str">
        <x:v>High</x:v>
      </x:c>
      <x:c r="J107" s="7" t="str">
        <x:v>The saved catch classification is benthopelagic. Use the single represented Benthopelagic fish compartment as a whole-catch analogue. Species/depth composition and the source small/large-pool aggregation are uncertain; this is not documented exact source membership. The saved catch classification is benthopelagic. Use the single represented Benthopelagic fish compartment as a whole-catch analogue. Species/depth composition and the source small/large-pool aggregation are uncertain; this is not documented exact source membership. All catch is assigned to the single analogue. Very low membership confidence; see Sources and the regional Mapping review.</x:v>
      </x:c>
      <x:c r="K107" s="1"/>
    </x:row>
    <x:row r="108" ht="72" customHeight="1">
      <x:c r="A108" s="7" t="str">
        <x:v>Gnathanodon speciosus</x:v>
      </x:c>
      <x:c r="B108" s="7" t="str">
        <x:v>Juvenile large pelagic fish</x:v>
      </x:c>
      <x:c r="C108" s="7" t="n">
        <x:v>30</x:v>
      </x:c>
      <x:c r="D108" s="15" t="n">
        <x:v>0.7384</x:v>
      </x:c>
      <x:c r="E108" s="15" t="n">
        <x:v>0.289</x:v>
      </x:c>
      <x:c r="F108" s="15" t="str">
        <x:v>Model catch</x:v>
      </x:c>
      <x:c r="G108" s="15" t="n">
        <x:f>SUMIFS($D$6:$D$449,$A$6:$A$449,A108)</x:f>
        <x:v>0.8205</x:v>
      </x:c>
      <x:c r="H108" s="16" t="n">
        <x:f>D108/G108</x:f>
        <x:v>0.8999390615478366</x:v>
      </x:c>
      <x:c r="I108" s="7" t="str">
        <x:v>Medium</x:v>
      </x:c>
      <x:c r="J10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8" s="1"/>
    </x:row>
    <x:row r="109" ht="72" customHeight="1">
      <x:c r="A109" s="7" t="str">
        <x:v>Gnathanodon speciosus</x:v>
      </x:c>
      <x:c r="B109" s="7" t="str">
        <x:v>Pelagic fish (&gt; 30 cm)</x:v>
      </x:c>
      <x:c r="C109" s="7" t="n">
        <x:v>31</x:v>
      </x:c>
      <x:c r="D109" s="15" t="n">
        <x:v>0.0821</x:v>
      </x:c>
      <x:c r="E109" s="15" t="n">
        <x:v>0.079</x:v>
      </x:c>
      <x:c r="F109" s="15" t="str">
        <x:v>Model catch</x:v>
      </x:c>
      <x:c r="G109" s="15" t="n">
        <x:f>SUMIFS($D$6:$D$449,$A$6:$A$449,A109)</x:f>
        <x:v>0.8205</x:v>
      </x:c>
      <x:c r="H109" s="16" t="n">
        <x:f>D109/G109</x:f>
        <x:v>0.10006093845216332</x:v>
      </x:c>
      <x:c r="I109" s="7" t="str">
        <x:v>Medium</x:v>
      </x:c>
      <x:c r="J10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09" s="1"/>
    </x:row>
    <x:row r="110" ht="87" customHeight="1">
      <x:c r="A110" s="7" t="str">
        <x:v>Gymnocranius</x:v>
      </x:c>
      <x:c r="B110" s="7" t="str">
        <x:v>Juvenile demersal fish (&gt; 30 cm)</x:v>
      </x:c>
      <x:c r="C110" s="7" t="n">
        <x:v>25</x:v>
      </x:c>
      <x:c r="D110" s="15" t="n">
        <x:v>0.3165</x:v>
      </x:c>
      <x:c r="E110" s="15" t="n">
        <x:v>0.143</x:v>
      </x:c>
      <x:c r="F110" s="15" t="str">
        <x:v>Model catch</x:v>
      </x:c>
      <x:c r="G110" s="15" t="n">
        <x:f>SUMIFS($D$6:$D$449,$A$6:$A$449,A110)</x:f>
        <x:v>0.3517</x:v>
      </x:c>
      <x:c r="H110" s="16" t="n">
        <x:f>D110/G110</x:f>
        <x:v>0.8999147000284333</x:v>
      </x:c>
      <x:c r="I110" s="7" t="str">
        <x:v>Medium</x:v>
      </x:c>
      <x:c r="J11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10" s="1"/>
    </x:row>
    <x:row r="111" ht="87" customHeight="1">
      <x:c r="A111" s="7" t="str">
        <x:v>Gymnocranius</x:v>
      </x:c>
      <x:c r="B111" s="7" t="str">
        <x:v>Adult demersal fish (&gt; 30 cm)</x:v>
      </x:c>
      <x:c r="C111" s="7" t="n">
        <x:v>26</x:v>
      </x:c>
      <x:c r="D111" s="15" t="n">
        <x:v>0.0352</x:v>
      </x:c>
      <x:c r="E111" s="15" t="n">
        <x:v>0.021</x:v>
      </x:c>
      <x:c r="F111" s="15" t="str">
        <x:v>Model catch</x:v>
      </x:c>
      <x:c r="G111" s="15" t="n">
        <x:f>SUMIFS($D$6:$D$449,$A$6:$A$449,A111)</x:f>
        <x:v>0.3517</x:v>
      </x:c>
      <x:c r="H111" s="16" t="n">
        <x:f>D111/G111</x:f>
        <x:v>0.10008529997156668</x:v>
      </x:c>
      <x:c r="I111" s="7" t="str">
        <x:v>Medium</x:v>
      </x:c>
      <x:c r="J11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11" s="1"/>
    </x:row>
    <x:row r="112" ht="72" customHeight="1">
      <x:c r="A112" s="7" t="str">
        <x:v>Gymnosarda unicolor</x:v>
      </x:c>
      <x:c r="B112" s="7" t="str">
        <x:v>Juvenile large pelagic fish</x:v>
      </x:c>
      <x:c r="C112" s="7" t="n">
        <x:v>30</x:v>
      </x:c>
      <x:c r="D112" s="15" t="n">
        <x:v>0.7384</x:v>
      </x:c>
      <x:c r="E112" s="15" t="n">
        <x:v>0.289</x:v>
      </x:c>
      <x:c r="F112" s="15" t="str">
        <x:v>Model catch</x:v>
      </x:c>
      <x:c r="G112" s="15" t="n">
        <x:f>SUMIFS($D$6:$D$449,$A$6:$A$449,A112)</x:f>
        <x:v>0.8205</x:v>
      </x:c>
      <x:c r="H112" s="16" t="n">
        <x:f>D112/G112</x:f>
        <x:v>0.8999390615478366</x:v>
      </x:c>
      <x:c r="I112" s="7" t="str">
        <x:v>Medium</x:v>
      </x:c>
      <x:c r="J11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2" s="1"/>
    </x:row>
    <x:row r="113" ht="72" customHeight="1">
      <x:c r="A113" s="7" t="str">
        <x:v>Gymnosarda unicolor</x:v>
      </x:c>
      <x:c r="B113" s="7" t="str">
        <x:v>Pelagic fish (&gt; 30 cm)</x:v>
      </x:c>
      <x:c r="C113" s="7" t="n">
        <x:v>31</x:v>
      </x:c>
      <x:c r="D113" s="15" t="n">
        <x:v>0.0821</x:v>
      </x:c>
      <x:c r="E113" s="15" t="n">
        <x:v>0.079</x:v>
      </x:c>
      <x:c r="F113" s="15" t="str">
        <x:v>Model catch</x:v>
      </x:c>
      <x:c r="G113" s="15" t="n">
        <x:f>SUMIFS($D$6:$D$449,$A$6:$A$449,A113)</x:f>
        <x:v>0.8205</x:v>
      </x:c>
      <x:c r="H113" s="16" t="n">
        <x:f>D113/G113</x:f>
        <x:v>0.10006093845216332</x:v>
      </x:c>
      <x:c r="I113" s="7" t="str">
        <x:v>Medium</x:v>
      </x:c>
      <x:c r="J11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3" s="1"/>
    </x:row>
    <x:row r="114" ht="87" customHeight="1">
      <x:c r="A114" s="7" t="str">
        <x:v>Haemulidae</x:v>
      </x:c>
      <x:c r="B114" s="7" t="str">
        <x:v>Juvenile demersal fish (&gt; 30 cm)</x:v>
      </x:c>
      <x:c r="C114" s="7" t="n">
        <x:v>25</x:v>
      </x:c>
      <x:c r="D114" s="15" t="n">
        <x:v>0.3165</x:v>
      </x:c>
      <x:c r="E114" s="15" t="n">
        <x:v>0.143</x:v>
      </x:c>
      <x:c r="F114" s="15" t="str">
        <x:v>Model catch</x:v>
      </x:c>
      <x:c r="G114" s="15" t="n">
        <x:f>SUMIFS($D$6:$D$449,$A$6:$A$449,A114)</x:f>
        <x:v>0.3517</x:v>
      </x:c>
      <x:c r="H114" s="16" t="n">
        <x:f>D114/G114</x:f>
        <x:v>0.8999147000284333</x:v>
      </x:c>
      <x:c r="I114" s="7" t="str">
        <x:v>Medium</x:v>
      </x:c>
      <x:c r="J11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14" s="1"/>
    </x:row>
    <x:row r="115" ht="87" customHeight="1">
      <x:c r="A115" s="7" t="str">
        <x:v>Haemulidae</x:v>
      </x:c>
      <x:c r="B115" s="7" t="str">
        <x:v>Adult demersal fish (&gt; 30 cm)</x:v>
      </x:c>
      <x:c r="C115" s="7" t="n">
        <x:v>26</x:v>
      </x:c>
      <x:c r="D115" s="15" t="n">
        <x:v>0.0352</x:v>
      </x:c>
      <x:c r="E115" s="15" t="n">
        <x:v>0.021</x:v>
      </x:c>
      <x:c r="F115" s="15" t="str">
        <x:v>Model catch</x:v>
      </x:c>
      <x:c r="G115" s="15" t="n">
        <x:f>SUMIFS($D$6:$D$449,$A$6:$A$449,A115)</x:f>
        <x:v>0.3517</x:v>
      </x:c>
      <x:c r="H115" s="16" t="n">
        <x:f>D115/G115</x:f>
        <x:v>0.10008529997156668</x:v>
      </x:c>
      <x:c r="I115" s="7" t="str">
        <x:v>Medium</x:v>
      </x:c>
      <x:c r="J11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15" s="1"/>
    </x:row>
    <x:row r="116" ht="72" customHeight="1">
      <x:c r="A116" s="7" t="str">
        <x:v>Hemiramphidae</x:v>
      </x:c>
      <x:c r="B116" s="7" t="str">
        <x:v>Juvenile large pelagic fish</x:v>
      </x:c>
      <x:c r="C116" s="7" t="n">
        <x:v>30</x:v>
      </x:c>
      <x:c r="D116" s="15" t="n">
        <x:v>0.7384</x:v>
      </x:c>
      <x:c r="E116" s="15" t="n">
        <x:v>0.289</x:v>
      </x:c>
      <x:c r="F116" s="15" t="str">
        <x:v>Model catch</x:v>
      </x:c>
      <x:c r="G116" s="15" t="n">
        <x:f>SUMIFS($D$6:$D$449,$A$6:$A$449,A116)</x:f>
        <x:v>0.8205</x:v>
      </x:c>
      <x:c r="H116" s="16" t="n">
        <x:f>D116/G116</x:f>
        <x:v>0.8999390615478366</x:v>
      </x:c>
      <x:c r="I116" s="7" t="str">
        <x:v>Medium</x:v>
      </x:c>
      <x:c r="J11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6" s="1"/>
    </x:row>
    <x:row r="117" ht="72" customHeight="1">
      <x:c r="A117" s="7" t="str">
        <x:v>Hemiramphidae</x:v>
      </x:c>
      <x:c r="B117" s="7" t="str">
        <x:v>Pelagic fish (&gt; 30 cm)</x:v>
      </x:c>
      <x:c r="C117" s="7" t="n">
        <x:v>31</x:v>
      </x:c>
      <x:c r="D117" s="15" t="n">
        <x:v>0.0821</x:v>
      </x:c>
      <x:c r="E117" s="15" t="n">
        <x:v>0.079</x:v>
      </x:c>
      <x:c r="F117" s="15" t="str">
        <x:v>Model catch</x:v>
      </x:c>
      <x:c r="G117" s="15" t="n">
        <x:f>SUMIFS($D$6:$D$449,$A$6:$A$449,A117)</x:f>
        <x:v>0.8205</x:v>
      </x:c>
      <x:c r="H117" s="16" t="n">
        <x:f>D117/G117</x:f>
        <x:v>0.10006093845216332</x:v>
      </x:c>
      <x:c r="I117" s="7" t="str">
        <x:v>Medium</x:v>
      </x:c>
      <x:c r="J11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7" s="1"/>
    </x:row>
    <x:row r="118" ht="72" customHeight="1">
      <x:c r="A118" s="7" t="str">
        <x:v>Hemiramphus</x:v>
      </x:c>
      <x:c r="B118" s="7" t="str">
        <x:v>Juvenile large pelagic fish</x:v>
      </x:c>
      <x:c r="C118" s="7" t="n">
        <x:v>30</x:v>
      </x:c>
      <x:c r="D118" s="15" t="n">
        <x:v>0.7384</x:v>
      </x:c>
      <x:c r="E118" s="15" t="n">
        <x:v>0.289</x:v>
      </x:c>
      <x:c r="F118" s="15" t="str">
        <x:v>Model catch</x:v>
      </x:c>
      <x:c r="G118" s="15" t="n">
        <x:f>SUMIFS($D$6:$D$449,$A$6:$A$449,A118)</x:f>
        <x:v>0.8205</x:v>
      </x:c>
      <x:c r="H118" s="16" t="n">
        <x:f>D118/G118</x:f>
        <x:v>0.8999390615478366</x:v>
      </x:c>
      <x:c r="I118" s="7" t="str">
        <x:v>Medium</x:v>
      </x:c>
      <x:c r="J11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8" s="1"/>
    </x:row>
    <x:row r="119" ht="72" customHeight="1">
      <x:c r="A119" s="7" t="str">
        <x:v>Hemiramphus</x:v>
      </x:c>
      <x:c r="B119" s="7" t="str">
        <x:v>Pelagic fish (&gt; 30 cm)</x:v>
      </x:c>
      <x:c r="C119" s="7" t="n">
        <x:v>31</x:v>
      </x:c>
      <x:c r="D119" s="15" t="n">
        <x:v>0.0821</x:v>
      </x:c>
      <x:c r="E119" s="15" t="n">
        <x:v>0.079</x:v>
      </x:c>
      <x:c r="F119" s="15" t="str">
        <x:v>Model catch</x:v>
      </x:c>
      <x:c r="G119" s="15" t="n">
        <x:f>SUMIFS($D$6:$D$449,$A$6:$A$449,A119)</x:f>
        <x:v>0.8205</x:v>
      </x:c>
      <x:c r="H119" s="16" t="n">
        <x:f>D119/G119</x:f>
        <x:v>0.10006093845216332</x:v>
      </x:c>
      <x:c r="I119" s="7" t="str">
        <x:v>Medium</x:v>
      </x:c>
      <x:c r="J11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19" s="1"/>
    </x:row>
    <x:row r="120" ht="72" customHeight="1">
      <x:c r="A120" s="7" t="str">
        <x:v>Hyporhamphus</x:v>
      </x:c>
      <x:c r="B120" s="7" t="str">
        <x:v>Juvenile large pelagic fish</x:v>
      </x:c>
      <x:c r="C120" s="7" t="n">
        <x:v>30</x:v>
      </x:c>
      <x:c r="D120" s="15" t="n">
        <x:v>0.7384</x:v>
      </x:c>
      <x:c r="E120" s="15" t="n">
        <x:v>0.289</x:v>
      </x:c>
      <x:c r="F120" s="15" t="str">
        <x:v>Model catch</x:v>
      </x:c>
      <x:c r="G120" s="15" t="n">
        <x:f>SUMIFS($D$6:$D$449,$A$6:$A$449,A120)</x:f>
        <x:v>0.8205</x:v>
      </x:c>
      <x:c r="H120" s="16" t="n">
        <x:f>D120/G120</x:f>
        <x:v>0.8999390615478366</x:v>
      </x:c>
      <x:c r="I120" s="7" t="str">
        <x:v>Medium</x:v>
      </x:c>
      <x:c r="J12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0" s="1"/>
    </x:row>
    <x:row r="121" ht="72" customHeight="1">
      <x:c r="A121" s="7" t="str">
        <x:v>Hyporhamphus</x:v>
      </x:c>
      <x:c r="B121" s="7" t="str">
        <x:v>Pelagic fish (&gt; 30 cm)</x:v>
      </x:c>
      <x:c r="C121" s="7" t="n">
        <x:v>31</x:v>
      </x:c>
      <x:c r="D121" s="15" t="n">
        <x:v>0.0821</x:v>
      </x:c>
      <x:c r="E121" s="15" t="n">
        <x:v>0.079</x:v>
      </x:c>
      <x:c r="F121" s="15" t="str">
        <x:v>Model catch</x:v>
      </x:c>
      <x:c r="G121" s="15" t="n">
        <x:f>SUMIFS($D$6:$D$449,$A$6:$A$449,A121)</x:f>
        <x:v>0.8205</x:v>
      </x:c>
      <x:c r="H121" s="16" t="n">
        <x:f>D121/G121</x:f>
        <x:v>0.10006093845216332</x:v>
      </x:c>
      <x:c r="I121" s="7" t="str">
        <x:v>Medium</x:v>
      </x:c>
      <x:c r="J12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1" s="1"/>
    </x:row>
    <x:row r="122" ht="72" customHeight="1">
      <x:c r="A122" s="7" t="str">
        <x:v>Hyporhamphus sajori</x:v>
      </x:c>
      <x:c r="B122" s="7" t="str">
        <x:v>Juvenile large pelagic fish</x:v>
      </x:c>
      <x:c r="C122" s="7" t="n">
        <x:v>30</x:v>
      </x:c>
      <x:c r="D122" s="15" t="n">
        <x:v>0.7384</x:v>
      </x:c>
      <x:c r="E122" s="15" t="n">
        <x:v>0.289</x:v>
      </x:c>
      <x:c r="F122" s="15" t="str">
        <x:v>Model catch</x:v>
      </x:c>
      <x:c r="G122" s="15" t="n">
        <x:f>SUMIFS($D$6:$D$449,$A$6:$A$449,A122)</x:f>
        <x:v>0.8205</x:v>
      </x:c>
      <x:c r="H122" s="16" t="n">
        <x:f>D122/G122</x:f>
        <x:v>0.8999390615478366</x:v>
      </x:c>
      <x:c r="I122" s="7" t="str">
        <x:v>Medium</x:v>
      </x:c>
      <x:c r="J12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2" s="1"/>
    </x:row>
    <x:row r="123" ht="72" customHeight="1">
      <x:c r="A123" s="7" t="str">
        <x:v>Hyporhamphus sajori</x:v>
      </x:c>
      <x:c r="B123" s="7" t="str">
        <x:v>Pelagic fish (&gt; 30 cm)</x:v>
      </x:c>
      <x:c r="C123" s="7" t="n">
        <x:v>31</x:v>
      </x:c>
      <x:c r="D123" s="15" t="n">
        <x:v>0.0821</x:v>
      </x:c>
      <x:c r="E123" s="15" t="n">
        <x:v>0.079</x:v>
      </x:c>
      <x:c r="F123" s="15" t="str">
        <x:v>Model catch</x:v>
      </x:c>
      <x:c r="G123" s="15" t="n">
        <x:f>SUMIFS($D$6:$D$449,$A$6:$A$449,A123)</x:f>
        <x:v>0.8205</x:v>
      </x:c>
      <x:c r="H123" s="16" t="n">
        <x:f>D123/G123</x:f>
        <x:v>0.10006093845216332</x:v>
      </x:c>
      <x:c r="I123" s="7" t="str">
        <x:v>Medium</x:v>
      </x:c>
      <x:c r="J12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3" s="1"/>
    </x:row>
    <x:row r="124" ht="72" customHeight="1">
      <x:c r="A124" s="7" t="str">
        <x:v>Ilisha elongata</x:v>
      </x:c>
      <x:c r="B124" s="7" t="str">
        <x:v>Juvenile large pelagic fish</x:v>
      </x:c>
      <x:c r="C124" s="7" t="n">
        <x:v>30</x:v>
      </x:c>
      <x:c r="D124" s="15" t="n">
        <x:v>0.7384</x:v>
      </x:c>
      <x:c r="E124" s="15" t="n">
        <x:v>0.289</x:v>
      </x:c>
      <x:c r="F124" s="15" t="str">
        <x:v>Model catch</x:v>
      </x:c>
      <x:c r="G124" s="15" t="n">
        <x:f>SUMIFS($D$6:$D$449,$A$6:$A$449,A124)</x:f>
        <x:v>0.8205</x:v>
      </x:c>
      <x:c r="H124" s="16" t="n">
        <x:f>D124/G124</x:f>
        <x:v>0.8999390615478366</x:v>
      </x:c>
      <x:c r="I124" s="7" t="str">
        <x:v>Medium</x:v>
      </x:c>
      <x:c r="J12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4" s="1"/>
    </x:row>
    <x:row r="125" ht="72" customHeight="1">
      <x:c r="A125" s="7" t="str">
        <x:v>Ilisha elongata</x:v>
      </x:c>
      <x:c r="B125" s="7" t="str">
        <x:v>Pelagic fish (&gt; 30 cm)</x:v>
      </x:c>
      <x:c r="C125" s="7" t="n">
        <x:v>31</x:v>
      </x:c>
      <x:c r="D125" s="15" t="n">
        <x:v>0.0821</x:v>
      </x:c>
      <x:c r="E125" s="15" t="n">
        <x:v>0.079</x:v>
      </x:c>
      <x:c r="F125" s="15" t="str">
        <x:v>Model catch</x:v>
      </x:c>
      <x:c r="G125" s="15" t="n">
        <x:f>SUMIFS($D$6:$D$449,$A$6:$A$449,A125)</x:f>
        <x:v>0.8205</x:v>
      </x:c>
      <x:c r="H125" s="16" t="n">
        <x:f>D125/G125</x:f>
        <x:v>0.10006093845216332</x:v>
      </x:c>
      <x:c r="I125" s="7" t="str">
        <x:v>Medium</x:v>
      </x:c>
      <x:c r="J12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25" s="1"/>
    </x:row>
    <x:row r="126" ht="162" customHeight="1">
      <x:c r="A126" s="7" t="str">
        <x:v>Istiompax indica</x:v>
      </x:c>
      <x:c r="B126" s="7" t="str">
        <x:v>Juvenile large pelagic fish</x:v>
      </x:c>
      <x:c r="C126" s="7" t="n">
        <x:v>30</x:v>
      </x:c>
      <x:c r="D126" s="15" t="n">
        <x:v>0.7384</x:v>
      </x:c>
      <x:c r="E126" s="15" t="n">
        <x:v>0.289</x:v>
      </x:c>
      <x:c r="F126" s="15" t="str">
        <x:v>Model catch</x:v>
      </x:c>
      <x:c r="G126" s="15" t="n">
        <x:f>SUMIFS($D$6:$D$449,$A$6:$A$449,A126)</x:f>
        <x:v>0.8205</x:v>
      </x:c>
      <x:c r="H126" s="16" t="n">
        <x:f>D126/G126</x:f>
        <x:v>0.8999390615478366</x:v>
      </x:c>
      <x:c r="I126" s="7" t="str">
        <x:v>Medium</x:v>
      </x:c>
      <x:c r="J126"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26" s="1"/>
    </x:row>
    <x:row r="127" ht="162" customHeight="1">
      <x:c r="A127" s="7" t="str">
        <x:v>Istiompax indica</x:v>
      </x:c>
      <x:c r="B127" s="7" t="str">
        <x:v>Pelagic fish (&gt; 30 cm)</x:v>
      </x:c>
      <x:c r="C127" s="7" t="n">
        <x:v>31</x:v>
      </x:c>
      <x:c r="D127" s="15" t="n">
        <x:v>0.0821</x:v>
      </x:c>
      <x:c r="E127" s="15" t="n">
        <x:v>0.079</x:v>
      </x:c>
      <x:c r="F127" s="15" t="str">
        <x:v>Model catch</x:v>
      </x:c>
      <x:c r="G127" s="15" t="n">
        <x:f>SUMIFS($D$6:$D$449,$A$6:$A$449,A127)</x:f>
        <x:v>0.8205</x:v>
      </x:c>
      <x:c r="H127" s="16" t="n">
        <x:f>D127/G127</x:f>
        <x:v>0.10006093845216332</x:v>
      </x:c>
      <x:c r="I127" s="7" t="str">
        <x:v>Medium</x:v>
      </x:c>
      <x:c r="J127"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27" s="1"/>
    </x:row>
    <x:row r="128" ht="162" customHeight="1">
      <x:c r="A128" s="7" t="str">
        <x:v>Istiophoridae</x:v>
      </x:c>
      <x:c r="B128" s="7" t="str">
        <x:v>Juvenile large pelagic fish</x:v>
      </x:c>
      <x:c r="C128" s="7" t="n">
        <x:v>30</x:v>
      </x:c>
      <x:c r="D128" s="15" t="n">
        <x:v>0.7384</x:v>
      </x:c>
      <x:c r="E128" s="15" t="n">
        <x:v>0.289</x:v>
      </x:c>
      <x:c r="F128" s="15" t="str">
        <x:v>Model catch</x:v>
      </x:c>
      <x:c r="G128" s="15" t="n">
        <x:f>SUMIFS($D$6:$D$449,$A$6:$A$449,A128)</x:f>
        <x:v>0.8205</x:v>
      </x:c>
      <x:c r="H128" s="16" t="n">
        <x:f>D128/G128</x:f>
        <x:v>0.8999390615478366</x:v>
      </x:c>
      <x:c r="I128" s="7" t="str">
        <x:v>Medium</x:v>
      </x:c>
      <x:c r="J128"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28" s="1"/>
    </x:row>
    <x:row r="129" ht="162" customHeight="1">
      <x:c r="A129" s="7" t="str">
        <x:v>Istiophoridae</x:v>
      </x:c>
      <x:c r="B129" s="7" t="str">
        <x:v>Pelagic fish (&gt; 30 cm)</x:v>
      </x:c>
      <x:c r="C129" s="7" t="n">
        <x:v>31</x:v>
      </x:c>
      <x:c r="D129" s="15" t="n">
        <x:v>0.0821</x:v>
      </x:c>
      <x:c r="E129" s="15" t="n">
        <x:v>0.079</x:v>
      </x:c>
      <x:c r="F129" s="15" t="str">
        <x:v>Model catch</x:v>
      </x:c>
      <x:c r="G129" s="15" t="n">
        <x:f>SUMIFS($D$6:$D$449,$A$6:$A$449,A129)</x:f>
        <x:v>0.8205</x:v>
      </x:c>
      <x:c r="H129" s="16" t="n">
        <x:f>D129/G129</x:f>
        <x:v>0.10006093845216332</x:v>
      </x:c>
      <x:c r="I129" s="7" t="str">
        <x:v>Medium</x:v>
      </x:c>
      <x:c r="J129"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29" s="1"/>
    </x:row>
    <x:row r="130" ht="162" customHeight="1">
      <x:c r="A130" s="7" t="str">
        <x:v>Istiophorus</x:v>
      </x:c>
      <x:c r="B130" s="7" t="str">
        <x:v>Juvenile large pelagic fish</x:v>
      </x:c>
      <x:c r="C130" s="7" t="n">
        <x:v>30</x:v>
      </x:c>
      <x:c r="D130" s="15" t="n">
        <x:v>0.7384</x:v>
      </x:c>
      <x:c r="E130" s="15" t="n">
        <x:v>0.289</x:v>
      </x:c>
      <x:c r="F130" s="15" t="str">
        <x:v>Model catch</x:v>
      </x:c>
      <x:c r="G130" s="15" t="n">
        <x:f>SUMIFS($D$6:$D$449,$A$6:$A$449,A130)</x:f>
        <x:v>0.8205</x:v>
      </x:c>
      <x:c r="H130" s="16" t="n">
        <x:f>D130/G130</x:f>
        <x:v>0.8999390615478366</x:v>
      </x:c>
      <x:c r="I130" s="7" t="str">
        <x:v>Medium</x:v>
      </x:c>
      <x:c r="J130"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30" s="1"/>
    </x:row>
    <x:row r="131" ht="162" customHeight="1">
      <x:c r="A131" s="7" t="str">
        <x:v>Istiophorus</x:v>
      </x:c>
      <x:c r="B131" s="7" t="str">
        <x:v>Pelagic fish (&gt; 30 cm)</x:v>
      </x:c>
      <x:c r="C131" s="7" t="n">
        <x:v>31</x:v>
      </x:c>
      <x:c r="D131" s="15" t="n">
        <x:v>0.0821</x:v>
      </x:c>
      <x:c r="E131" s="15" t="n">
        <x:v>0.079</x:v>
      </x:c>
      <x:c r="F131" s="15" t="str">
        <x:v>Model catch</x:v>
      </x:c>
      <x:c r="G131" s="15" t="n">
        <x:f>SUMIFS($D$6:$D$449,$A$6:$A$449,A131)</x:f>
        <x:v>0.8205</x:v>
      </x:c>
      <x:c r="H131" s="16" t="n">
        <x:f>D131/G131</x:f>
        <x:v>0.10006093845216332</x:v>
      </x:c>
      <x:c r="I131" s="7" t="str">
        <x:v>Medium</x:v>
      </x:c>
      <x:c r="J131"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31" s="1"/>
    </x:row>
    <x:row r="132" ht="162" customHeight="1">
      <x:c r="A132" s="7" t="str">
        <x:v>Istiophorus platypterus</x:v>
      </x:c>
      <x:c r="B132" s="7" t="str">
        <x:v>Juvenile large pelagic fish</x:v>
      </x:c>
      <x:c r="C132" s="7" t="n">
        <x:v>30</x:v>
      </x:c>
      <x:c r="D132" s="15" t="n">
        <x:v>0.7384</x:v>
      </x:c>
      <x:c r="E132" s="15" t="n">
        <x:v>0.289</x:v>
      </x:c>
      <x:c r="F132" s="15" t="str">
        <x:v>Model catch</x:v>
      </x:c>
      <x:c r="G132" s="15" t="n">
        <x:f>SUMIFS($D$6:$D$449,$A$6:$A$449,A132)</x:f>
        <x:v>0.8205</x:v>
      </x:c>
      <x:c r="H132" s="16" t="n">
        <x:f>D132/G132</x:f>
        <x:v>0.8999390615478366</x:v>
      </x:c>
      <x:c r="I132" s="7" t="str">
        <x:v>Medium</x:v>
      </x:c>
      <x:c r="J132"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32" s="1"/>
    </x:row>
    <x:row r="133" ht="162" customHeight="1">
      <x:c r="A133" s="7" t="str">
        <x:v>Istiophorus platypterus</x:v>
      </x:c>
      <x:c r="B133" s="7" t="str">
        <x:v>Pelagic fish (&gt; 30 cm)</x:v>
      </x:c>
      <x:c r="C133" s="7" t="n">
        <x:v>31</x:v>
      </x:c>
      <x:c r="D133" s="15" t="n">
        <x:v>0.0821</x:v>
      </x:c>
      <x:c r="E133" s="15" t="n">
        <x:v>0.079</x:v>
      </x:c>
      <x:c r="F133" s="15" t="str">
        <x:v>Model catch</x:v>
      </x:c>
      <x:c r="G133" s="15" t="n">
        <x:f>SUMIFS($D$6:$D$449,$A$6:$A$449,A133)</x:f>
        <x:v>0.8205</x:v>
      </x:c>
      <x:c r="H133" s="16" t="n">
        <x:f>D133/G133</x:f>
        <x:v>0.10006093845216332</x:v>
      </x:c>
      <x:c r="I133" s="7" t="str">
        <x:v>Medium</x:v>
      </x:c>
      <x:c r="J133"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33" s="1"/>
    </x:row>
    <x:row r="134" ht="162" customHeight="1">
      <x:c r="A134" s="7" t="str">
        <x:v>Kajikia audax</x:v>
      </x:c>
      <x:c r="B134" s="7" t="str">
        <x:v>Juvenile large pelagic fish</x:v>
      </x:c>
      <x:c r="C134" s="7" t="n">
        <x:v>30</x:v>
      </x:c>
      <x:c r="D134" s="15" t="n">
        <x:v>0.7384</x:v>
      </x:c>
      <x:c r="E134" s="15" t="n">
        <x:v>0.289</x:v>
      </x:c>
      <x:c r="F134" s="15" t="str">
        <x:v>Model catch</x:v>
      </x:c>
      <x:c r="G134" s="15" t="n">
        <x:f>SUMIFS($D$6:$D$449,$A$6:$A$449,A134)</x:f>
        <x:v>0.8205</x:v>
      </x:c>
      <x:c r="H134" s="16" t="n">
        <x:f>D134/G134</x:f>
        <x:v>0.8999390615478366</x:v>
      </x:c>
      <x:c r="I134" s="7" t="str">
        <x:v>Medium</x:v>
      </x:c>
      <x:c r="J134"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34" s="1"/>
    </x:row>
    <x:row r="135" ht="162" customHeight="1">
      <x:c r="A135" s="7" t="str">
        <x:v>Kajikia audax</x:v>
      </x:c>
      <x:c r="B135" s="7" t="str">
        <x:v>Pelagic fish (&gt; 30 cm)</x:v>
      </x:c>
      <x:c r="C135" s="7" t="n">
        <x:v>31</x:v>
      </x:c>
      <x:c r="D135" s="15" t="n">
        <x:v>0.0821</x:v>
      </x:c>
      <x:c r="E135" s="15" t="n">
        <x:v>0.079</x:v>
      </x:c>
      <x:c r="F135" s="15" t="str">
        <x:v>Model catch</x:v>
      </x:c>
      <x:c r="G135" s="15" t="n">
        <x:f>SUMIFS($D$6:$D$449,$A$6:$A$449,A135)</x:f>
        <x:v>0.8205</x:v>
      </x:c>
      <x:c r="H135" s="16" t="n">
        <x:f>D135/G135</x:f>
        <x:v>0.10006093845216332</x:v>
      </x:c>
      <x:c r="I135" s="7" t="str">
        <x:v>Medium</x:v>
      </x:c>
      <x:c r="J135"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35" s="1"/>
    </x:row>
    <x:row r="136" ht="72" customHeight="1">
      <x:c r="A136" s="7" t="str">
        <x:v>Katsuwonus pelamis</x:v>
      </x:c>
      <x:c r="B136" s="7" t="str">
        <x:v>Juvenile large pelagic fish</x:v>
      </x:c>
      <x:c r="C136" s="7" t="n">
        <x:v>30</x:v>
      </x:c>
      <x:c r="D136" s="15" t="n">
        <x:v>0.7384</x:v>
      </x:c>
      <x:c r="E136" s="15" t="n">
        <x:v>0.289</x:v>
      </x:c>
      <x:c r="F136" s="15" t="str">
        <x:v>Model catch</x:v>
      </x:c>
      <x:c r="G136" s="15" t="n">
        <x:f>SUMIFS($D$6:$D$449,$A$6:$A$449,A136)</x:f>
        <x:v>0.8205</x:v>
      </x:c>
      <x:c r="H136" s="16" t="n">
        <x:f>D136/G136</x:f>
        <x:v>0.8999390615478366</x:v>
      </x:c>
      <x:c r="I136" s="7" t="str">
        <x:v>Medium</x:v>
      </x:c>
      <x:c r="J13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36" s="1"/>
    </x:row>
    <x:row r="137" ht="72" customHeight="1">
      <x:c r="A137" s="7" t="str">
        <x:v>Katsuwonus pelamis</x:v>
      </x:c>
      <x:c r="B137" s="7" t="str">
        <x:v>Pelagic fish (&gt; 30 cm)</x:v>
      </x:c>
      <x:c r="C137" s="7" t="n">
        <x:v>31</x:v>
      </x:c>
      <x:c r="D137" s="15" t="n">
        <x:v>0.0821</x:v>
      </x:c>
      <x:c r="E137" s="15" t="n">
        <x:v>0.079</x:v>
      </x:c>
      <x:c r="F137" s="15" t="str">
        <x:v>Model catch</x:v>
      </x:c>
      <x:c r="G137" s="15" t="n">
        <x:f>SUMIFS($D$6:$D$449,$A$6:$A$449,A137)</x:f>
        <x:v>0.8205</x:v>
      </x:c>
      <x:c r="H137" s="16" t="n">
        <x:f>D137/G137</x:f>
        <x:v>0.10006093845216332</x:v>
      </x:c>
      <x:c r="I137" s="7" t="str">
        <x:v>Medium</x:v>
      </x:c>
      <x:c r="J13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37" s="1"/>
    </x:row>
    <x:row r="138" ht="87" customHeight="1">
      <x:c r="A138" s="7" t="str">
        <x:v>Labridae</x:v>
      </x:c>
      <x:c r="B138" s="7" t="str">
        <x:v>Juvenile demersal fish (&gt; 30 cm)</x:v>
      </x:c>
      <x:c r="C138" s="7" t="n">
        <x:v>25</x:v>
      </x:c>
      <x:c r="D138" s="15" t="n">
        <x:v>0.3165</x:v>
      </x:c>
      <x:c r="E138" s="15" t="n">
        <x:v>0.143</x:v>
      </x:c>
      <x:c r="F138" s="15" t="str">
        <x:v>Model catch</x:v>
      </x:c>
      <x:c r="G138" s="15" t="n">
        <x:f>SUMIFS($D$6:$D$449,$A$6:$A$449,A138)</x:f>
        <x:v>0.3517</x:v>
      </x:c>
      <x:c r="H138" s="16" t="n">
        <x:f>D138/G138</x:f>
        <x:v>0.8999147000284333</x:v>
      </x:c>
      <x:c r="I138" s="7" t="str">
        <x:v>Medium</x:v>
      </x:c>
      <x:c r="J13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8" s="1"/>
    </x:row>
    <x:row r="139" ht="87" customHeight="1">
      <x:c r="A139" s="7" t="str">
        <x:v>Labridae</x:v>
      </x:c>
      <x:c r="B139" s="7" t="str">
        <x:v>Adult demersal fish (&gt; 30 cm)</x:v>
      </x:c>
      <x:c r="C139" s="7" t="n">
        <x:v>26</x:v>
      </x:c>
      <x:c r="D139" s="15" t="n">
        <x:v>0.0352</x:v>
      </x:c>
      <x:c r="E139" s="15" t="n">
        <x:v>0.021</x:v>
      </x:c>
      <x:c r="F139" s="15" t="str">
        <x:v>Model catch</x:v>
      </x:c>
      <x:c r="G139" s="15" t="n">
        <x:f>SUMIFS($D$6:$D$449,$A$6:$A$449,A139)</x:f>
        <x:v>0.3517</x:v>
      </x:c>
      <x:c r="H139" s="16" t="n">
        <x:f>D139/G139</x:f>
        <x:v>0.10008529997156668</x:v>
      </x:c>
      <x:c r="I139" s="7" t="str">
        <x:v>Medium</x:v>
      </x:c>
      <x:c r="J13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39" s="1"/>
    </x:row>
    <x:row r="140" ht="72" customHeight="1">
      <x:c r="A140" s="7" t="str">
        <x:v>Lactarius lactarius</x:v>
      </x:c>
      <x:c r="B140" s="7" t="str">
        <x:v>Juvenile large pelagic fish</x:v>
      </x:c>
      <x:c r="C140" s="7" t="n">
        <x:v>30</x:v>
      </x:c>
      <x:c r="D140" s="15" t="n">
        <x:v>0.7384</x:v>
      </x:c>
      <x:c r="E140" s="15" t="n">
        <x:v>0.289</x:v>
      </x:c>
      <x:c r="F140" s="15" t="str">
        <x:v>Model catch</x:v>
      </x:c>
      <x:c r="G140" s="15" t="n">
        <x:f>SUMIFS($D$6:$D$449,$A$6:$A$449,A140)</x:f>
        <x:v>0.8205</x:v>
      </x:c>
      <x:c r="H140" s="16" t="n">
        <x:f>D140/G140</x:f>
        <x:v>0.8999390615478366</x:v>
      </x:c>
      <x:c r="I140" s="7" t="str">
        <x:v>Medium</x:v>
      </x:c>
      <x:c r="J14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40" s="1"/>
    </x:row>
    <x:row r="141" ht="72" customHeight="1">
      <x:c r="A141" s="7" t="str">
        <x:v>Lactarius lactarius</x:v>
      </x:c>
      <x:c r="B141" s="7" t="str">
        <x:v>Pelagic fish (&gt; 30 cm)</x:v>
      </x:c>
      <x:c r="C141" s="7" t="n">
        <x:v>31</x:v>
      </x:c>
      <x:c r="D141" s="15" t="n">
        <x:v>0.0821</x:v>
      </x:c>
      <x:c r="E141" s="15" t="n">
        <x:v>0.079</x:v>
      </x:c>
      <x:c r="F141" s="15" t="str">
        <x:v>Model catch</x:v>
      </x:c>
      <x:c r="G141" s="15" t="n">
        <x:f>SUMIFS($D$6:$D$449,$A$6:$A$449,A141)</x:f>
        <x:v>0.8205</x:v>
      </x:c>
      <x:c r="H141" s="16" t="n">
        <x:f>D141/G141</x:f>
        <x:v>0.10006093845216332</x:v>
      </x:c>
      <x:c r="I141" s="7" t="str">
        <x:v>Medium</x:v>
      </x:c>
      <x:c r="J14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141" s="1"/>
    </x:row>
    <x:row r="142" ht="162" customHeight="1">
      <x:c r="A142" s="7" t="str">
        <x:v>Lampris guttatus</x:v>
      </x:c>
      <x:c r="B142" s="7" t="str">
        <x:v>Juvenile large pelagic fish</x:v>
      </x:c>
      <x:c r="C142" s="7" t="n">
        <x:v>30</x:v>
      </x:c>
      <x:c r="D142" s="15" t="n">
        <x:v>0.7384</x:v>
      </x:c>
      <x:c r="E142" s="15" t="n">
        <x:v>0.289</x:v>
      </x:c>
      <x:c r="F142" s="15" t="str">
        <x:v>Model catch</x:v>
      </x:c>
      <x:c r="G142" s="15" t="n">
        <x:f>SUMIFS($D$6:$D$449,$A$6:$A$449,A142)</x:f>
        <x:v>0.8205</x:v>
      </x:c>
      <x:c r="H142" s="16" t="n">
        <x:f>D142/G142</x:f>
        <x:v>0.8999390615478366</x:v>
      </x:c>
      <x:c r="I142" s="7" t="str">
        <x:v>Medium</x:v>
      </x:c>
      <x:c r="J142" s="7" t="str">
        <x:v>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x:v>
      </x:c>
      <x:c r="K142" s="1"/>
    </x:row>
    <x:row r="143" ht="162" customHeight="1">
      <x:c r="A143" s="7" t="str">
        <x:v>Lampris guttatus</x:v>
      </x:c>
      <x:c r="B143" s="7" t="str">
        <x:v>Pelagic fish (&gt; 30 cm)</x:v>
      </x:c>
      <x:c r="C143" s="7" t="n">
        <x:v>31</x:v>
      </x:c>
      <x:c r="D143" s="15" t="n">
        <x:v>0.0821</x:v>
      </x:c>
      <x:c r="E143" s="15" t="n">
        <x:v>0.079</x:v>
      </x:c>
      <x:c r="F143" s="15" t="str">
        <x:v>Model catch</x:v>
      </x:c>
      <x:c r="G143" s="15" t="n">
        <x:f>SUMIFS($D$6:$D$449,$A$6:$A$449,A143)</x:f>
        <x:v>0.8205</x:v>
      </x:c>
      <x:c r="H143" s="16" t="n">
        <x:f>D143/G143</x:f>
        <x:v>0.10006093845216332</x:v>
      </x:c>
      <x:c r="I143" s="7" t="str">
        <x:v>Medium</x:v>
      </x:c>
      <x:c r="J143" s="7" t="str">
        <x:v>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x:v>
      </x:c>
      <x:c r="K143" s="1"/>
    </x:row>
    <x:row r="144" ht="87" customHeight="1">
      <x:c r="A144" s="7" t="str">
        <x:v>Larimichthys crocea</x:v>
      </x:c>
      <x:c r="B144" s="7" t="str">
        <x:v>Juvenile large croakers</x:v>
      </x:c>
      <x:c r="C144" s="7" t="n">
        <x:v>22</x:v>
      </x:c>
      <x:c r="D144" s="15" t="n">
        <x:v>0.071</x:v>
      </x:c>
      <x:c r="E144" s="15" t="n">
        <x:v>0.04</x:v>
      </x:c>
      <x:c r="F144" s="15" t="str">
        <x:v>Model catch</x:v>
      </x:c>
      <x:c r="G144" s="15" t="n">
        <x:f>SUMIFS($D$6:$D$449,$A$6:$A$449,A144)</x:f>
        <x:v>0.07899999999999999</x:v>
      </x:c>
      <x:c r="H144" s="16" t="n">
        <x:f>D144/G144</x:f>
        <x:v>0.8987341772151899</x:v>
      </x:c>
      <x:c r="I144" s="7" t="str">
        <x:v>Medium</x:v>
      </x:c>
      <x:c r="J144"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44" s="1"/>
    </x:row>
    <x:row r="145" ht="87" customHeight="1">
      <x:c r="A145" s="7" t="str">
        <x:v>Larimichthys crocea</x:v>
      </x:c>
      <x:c r="B145" s="7" t="str">
        <x:v>Croakers (&gt; 30 cm)</x:v>
      </x:c>
      <x:c r="C145" s="7" t="n">
        <x:v>23</x:v>
      </x:c>
      <x:c r="D145" s="15" t="n">
        <x:v>0.008</x:v>
      </x:c>
      <x:c r="E145" s="15" t="n">
        <x:v>0.0094</x:v>
      </x:c>
      <x:c r="F145" s="15" t="str">
        <x:v>Model catch</x:v>
      </x:c>
      <x:c r="G145" s="15" t="n">
        <x:f>SUMIFS($D$6:$D$449,$A$6:$A$449,A145)</x:f>
        <x:v>0.07899999999999999</x:v>
      </x:c>
      <x:c r="H145" s="16" t="n">
        <x:f>D145/G145</x:f>
        <x:v>0.10126582278481014</x:v>
      </x:c>
      <x:c r="I145" s="7" t="str">
        <x:v>Medium</x:v>
      </x:c>
      <x:c r="J145"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145" s="1"/>
    </x:row>
    <x:row r="146" ht="147" customHeight="1">
      <x:c r="A146" s="7" t="str">
        <x:v>Larimichthys polyactis</x:v>
      </x:c>
      <x:c r="B146" s="7" t="str">
        <x:v>Juvenile large croakers</x:v>
      </x:c>
      <x:c r="C146" s="7" t="n">
        <x:v>22</x:v>
      </x:c>
      <x:c r="D146" s="15" t="n">
        <x:v>0.071</x:v>
      </x:c>
      <x:c r="E146" s="15" t="n">
        <x:v>0.04</x:v>
      </x:c>
      <x:c r="F146" s="15" t="str">
        <x:v>Model catch</x:v>
      </x:c>
      <x:c r="G146" s="15" t="n">
        <x:f>SUMIFS($D$6:$D$449,$A$6:$A$449,A146)</x:f>
        <x:v>0.07899999999999999</x:v>
      </x:c>
      <x:c r="H146" s="16" t="n">
        <x:f>D146/G146</x:f>
        <x:v>0.8987341772151899</x:v>
      </x:c>
      <x:c r="I146" s="7" t="str">
        <x:v>Medium</x:v>
      </x:c>
      <x:c r="J146" s="7" t="str">
        <x:v>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x:v>
      </x:c>
      <x:c r="K146" s="1"/>
    </x:row>
    <x:row r="147" ht="147" customHeight="1">
      <x:c r="A147" s="7" t="str">
        <x:v>Larimichthys polyactis</x:v>
      </x:c>
      <x:c r="B147" s="7" t="str">
        <x:v>Croakers (&gt; 30 cm)</x:v>
      </x:c>
      <x:c r="C147" s="7" t="n">
        <x:v>23</x:v>
      </x:c>
      <x:c r="D147" s="15" t="n">
        <x:v>0.008</x:v>
      </x:c>
      <x:c r="E147" s="15" t="n">
        <x:v>0.0094</x:v>
      </x:c>
      <x:c r="F147" s="15" t="str">
        <x:v>Model catch</x:v>
      </x:c>
      <x:c r="G147" s="15" t="n">
        <x:f>SUMIFS($D$6:$D$449,$A$6:$A$449,A147)</x:f>
        <x:v>0.07899999999999999</x:v>
      </x:c>
      <x:c r="H147" s="16" t="n">
        <x:f>D147/G147</x:f>
        <x:v>0.10126582278481014</x:v>
      </x:c>
      <x:c r="I147" s="7" t="str">
        <x:v>Medium</x:v>
      </x:c>
      <x:c r="J147" s="7" t="str">
        <x:v>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Larimichthys polyactis belongs to the source-defined croaker lineage. Its maximum length exceeds 30 cm, excluding the small-species pool. Both large-fish stages remain eligible because the regional catch stage composition is unknown. Maximum length selects eligible model compartments and does not supply allocation weights. Allocation assumes model catch proportions, fixed over 1950–2019 and landings, total catch and discards. See Model group inputs and Sources.</x:v>
      </x:c>
      <x:c r="K147" s="1"/>
    </x:row>
    <x:row r="148" ht="87" customHeight="1">
      <x:c r="A148" s="7" t="str">
        <x:v>Lateolabrax japonicus</x:v>
      </x:c>
      <x:c r="B148" s="7" t="str">
        <x:v>Juvenile demersal fish (&gt; 30 cm)</x:v>
      </x:c>
      <x:c r="C148" s="7" t="n">
        <x:v>25</x:v>
      </x:c>
      <x:c r="D148" s="15" t="n">
        <x:v>0.3165</x:v>
      </x:c>
      <x:c r="E148" s="15" t="n">
        <x:v>0.143</x:v>
      </x:c>
      <x:c r="F148" s="15" t="str">
        <x:v>Model catch</x:v>
      </x:c>
      <x:c r="G148" s="15" t="n">
        <x:f>SUMIFS($D$6:$D$449,$A$6:$A$449,A148)</x:f>
        <x:v>0.3517</x:v>
      </x:c>
      <x:c r="H148" s="16" t="n">
        <x:f>D148/G148</x:f>
        <x:v>0.8999147000284333</x:v>
      </x:c>
      <x:c r="I148" s="7" t="str">
        <x:v>Medium</x:v>
      </x:c>
      <x:c r="J14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8" s="1"/>
    </x:row>
    <x:row r="149" ht="87" customHeight="1">
      <x:c r="A149" s="7" t="str">
        <x:v>Lateolabrax japonicus</x:v>
      </x:c>
      <x:c r="B149" s="7" t="str">
        <x:v>Adult demersal fish (&gt; 30 cm)</x:v>
      </x:c>
      <x:c r="C149" s="7" t="n">
        <x:v>26</x:v>
      </x:c>
      <x:c r="D149" s="15" t="n">
        <x:v>0.0352</x:v>
      </x:c>
      <x:c r="E149" s="15" t="n">
        <x:v>0.021</x:v>
      </x:c>
      <x:c r="F149" s="15" t="str">
        <x:v>Model catch</x:v>
      </x:c>
      <x:c r="G149" s="15" t="n">
        <x:f>SUMIFS($D$6:$D$449,$A$6:$A$449,A149)</x:f>
        <x:v>0.3517</x:v>
      </x:c>
      <x:c r="H149" s="16" t="n">
        <x:f>D149/G149</x:f>
        <x:v>0.10008529997156668</x:v>
      </x:c>
      <x:c r="I149" s="7" t="str">
        <x:v>Medium</x:v>
      </x:c>
      <x:c r="J14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49" s="1"/>
    </x:row>
    <x:row r="150" ht="87" customHeight="1">
      <x:c r="A150" s="7" t="str">
        <x:v>Lates calcarifer</x:v>
      </x:c>
      <x:c r="B150" s="7" t="str">
        <x:v>Juvenile demersal fish (&gt; 30 cm)</x:v>
      </x:c>
      <x:c r="C150" s="7" t="n">
        <x:v>25</x:v>
      </x:c>
      <x:c r="D150" s="15" t="n">
        <x:v>0.3165</x:v>
      </x:c>
      <x:c r="E150" s="15" t="n">
        <x:v>0.143</x:v>
      </x:c>
      <x:c r="F150" s="15" t="str">
        <x:v>Model catch</x:v>
      </x:c>
      <x:c r="G150" s="15" t="n">
        <x:f>SUMIFS($D$6:$D$449,$A$6:$A$449,A150)</x:f>
        <x:v>0.3517</x:v>
      </x:c>
      <x:c r="H150" s="16" t="n">
        <x:f>D150/G150</x:f>
        <x:v>0.8999147000284333</x:v>
      </x:c>
      <x:c r="I150" s="7" t="str">
        <x:v>Medium</x:v>
      </x:c>
      <x:c r="J15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0" s="1"/>
    </x:row>
    <x:row r="151" ht="87" customHeight="1">
      <x:c r="A151" s="7" t="str">
        <x:v>Lates calcarifer</x:v>
      </x:c>
      <x:c r="B151" s="7" t="str">
        <x:v>Adult demersal fish (&gt; 30 cm)</x:v>
      </x:c>
      <x:c r="C151" s="7" t="n">
        <x:v>26</x:v>
      </x:c>
      <x:c r="D151" s="15" t="n">
        <x:v>0.0352</x:v>
      </x:c>
      <x:c r="E151" s="15" t="n">
        <x:v>0.021</x:v>
      </x:c>
      <x:c r="F151" s="15" t="str">
        <x:v>Model catch</x:v>
      </x:c>
      <x:c r="G151" s="15" t="n">
        <x:f>SUMIFS($D$6:$D$449,$A$6:$A$449,A151)</x:f>
        <x:v>0.3517</x:v>
      </x:c>
      <x:c r="H151" s="16" t="n">
        <x:f>D151/G151</x:f>
        <x:v>0.10008529997156668</x:v>
      </x:c>
      <x:c r="I151" s="7" t="str">
        <x:v>Medium</x:v>
      </x:c>
      <x:c r="J15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1" s="1"/>
    </x:row>
    <x:row r="152" ht="87" customHeight="1">
      <x:c r="A152" s="7" t="str">
        <x:v>Latidae</x:v>
      </x:c>
      <x:c r="B152" s="7" t="str">
        <x:v>Juvenile demersal fish (&gt; 30 cm)</x:v>
      </x:c>
      <x:c r="C152" s="7" t="n">
        <x:v>25</x:v>
      </x:c>
      <x:c r="D152" s="15" t="n">
        <x:v>0.3165</x:v>
      </x:c>
      <x:c r="E152" s="15" t="n">
        <x:v>0.143</x:v>
      </x:c>
      <x:c r="F152" s="15" t="str">
        <x:v>Model catch</x:v>
      </x:c>
      <x:c r="G152" s="15" t="n">
        <x:f>SUMIFS($D$6:$D$449,$A$6:$A$449,A152)</x:f>
        <x:v>0.3517</x:v>
      </x:c>
      <x:c r="H152" s="16" t="n">
        <x:f>D152/G152</x:f>
        <x:v>0.8999147000284333</x:v>
      </x:c>
      <x:c r="I152" s="7" t="str">
        <x:v>Medium</x:v>
      </x:c>
      <x:c r="J15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2" s="1"/>
    </x:row>
    <x:row r="153" ht="87" customHeight="1">
      <x:c r="A153" s="7" t="str">
        <x:v>Latidae</x:v>
      </x:c>
      <x:c r="B153" s="7" t="str">
        <x:v>Adult demersal fish (&gt; 30 cm)</x:v>
      </x:c>
      <x:c r="C153" s="7" t="n">
        <x:v>26</x:v>
      </x:c>
      <x:c r="D153" s="15" t="n">
        <x:v>0.0352</x:v>
      </x:c>
      <x:c r="E153" s="15" t="n">
        <x:v>0.021</x:v>
      </x:c>
      <x:c r="F153" s="15" t="str">
        <x:v>Model catch</x:v>
      </x:c>
      <x:c r="G153" s="15" t="n">
        <x:f>SUMIFS($D$6:$D$449,$A$6:$A$449,A153)</x:f>
        <x:v>0.3517</x:v>
      </x:c>
      <x:c r="H153" s="16" t="n">
        <x:f>D153/G153</x:f>
        <x:v>0.10008529997156668</x:v>
      </x:c>
      <x:c r="I153" s="7" t="str">
        <x:v>Medium</x:v>
      </x:c>
      <x:c r="J15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3" s="1"/>
    </x:row>
    <x:row r="154" ht="162" customHeight="1">
      <x:c r="A154" s="7" t="str">
        <x:v>Lepidocybium flavobrunneum</x:v>
      </x:c>
      <x:c r="B154" s="7" t="str">
        <x:v>Juvenile large pelagic fish</x:v>
      </x:c>
      <x:c r="C154" s="7" t="n">
        <x:v>30</x:v>
      </x:c>
      <x:c r="D154" s="15" t="n">
        <x:v>0.7384</x:v>
      </x:c>
      <x:c r="E154" s="15" t="n">
        <x:v>0.289</x:v>
      </x:c>
      <x:c r="F154" s="15" t="str">
        <x:v>Model catch</x:v>
      </x:c>
      <x:c r="G154" s="15" t="n">
        <x:f>SUMIFS($D$6:$D$449,$A$6:$A$449,A154)</x:f>
        <x:v>0.8205</x:v>
      </x:c>
      <x:c r="H154" s="16" t="n">
        <x:f>D154/G154</x:f>
        <x:v>0.8999390615478366</x:v>
      </x:c>
      <x:c r="I154" s="7" t="str">
        <x:v>Medium</x:v>
      </x:c>
      <x:c r="J154" s="7" t="str">
        <x:v>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x:v>
      </x:c>
      <x:c r="K154" s="1"/>
    </x:row>
    <x:row r="155" ht="162" customHeight="1">
      <x:c r="A155" s="7" t="str">
        <x:v>Lepidocybium flavobrunneum</x:v>
      </x:c>
      <x:c r="B155" s="7" t="str">
        <x:v>Pelagic fish (&gt; 30 cm)</x:v>
      </x:c>
      <x:c r="C155" s="7" t="n">
        <x:v>31</x:v>
      </x:c>
      <x:c r="D155" s="15" t="n">
        <x:v>0.0821</x:v>
      </x:c>
      <x:c r="E155" s="15" t="n">
        <x:v>0.079</x:v>
      </x:c>
      <x:c r="F155" s="15" t="str">
        <x:v>Model catch</x:v>
      </x:c>
      <x:c r="G155" s="15" t="n">
        <x:f>SUMIFS($D$6:$D$449,$A$6:$A$449,A155)</x:f>
        <x:v>0.8205</x:v>
      </x:c>
      <x:c r="H155" s="16" t="n">
        <x:f>D155/G155</x:f>
        <x:v>0.10006093845216332</x:v>
      </x:c>
      <x:c r="I155" s="7" t="str">
        <x:v>Medium</x:v>
      </x:c>
      <x:c r="J155" s="7" t="str">
        <x:v>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The saved catch classification is Large bathypelagics. The model has no bathypelagic compartment; juvenile/adult large pelagic fish provide the closest represented open-water size analogue. Deep-water versus shelf-pelagic habitat and the transferred 18-month stage boundary are substantial mismatches; exact source membership is not claimed. Weights use model catch proportions, assumed fixed across years and catch bases. Very low membership confidence; see Sources and the regional Mapping review.</x:v>
      </x:c>
      <x:c r="K155" s="1"/>
    </x:row>
    <x:row r="156" ht="87" customHeight="1">
      <x:c r="A156" s="7" t="str">
        <x:v>Lethrinidae</x:v>
      </x:c>
      <x:c r="B156" s="7" t="str">
        <x:v>Juvenile demersal fish (&gt; 30 cm)</x:v>
      </x:c>
      <x:c r="C156" s="7" t="n">
        <x:v>25</x:v>
      </x:c>
      <x:c r="D156" s="15" t="n">
        <x:v>0.3165</x:v>
      </x:c>
      <x:c r="E156" s="15" t="n">
        <x:v>0.143</x:v>
      </x:c>
      <x:c r="F156" s="15" t="str">
        <x:v>Model catch</x:v>
      </x:c>
      <x:c r="G156" s="15" t="n">
        <x:f>SUMIFS($D$6:$D$449,$A$6:$A$449,A156)</x:f>
        <x:v>0.3517</x:v>
      </x:c>
      <x:c r="H156" s="16" t="n">
        <x:f>D156/G156</x:f>
        <x:v>0.8999147000284333</x:v>
      </x:c>
      <x:c r="I156" s="7" t="str">
        <x:v>Medium</x:v>
      </x:c>
      <x:c r="J15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6" s="1"/>
    </x:row>
    <x:row r="157" ht="87" customHeight="1">
      <x:c r="A157" s="7" t="str">
        <x:v>Lethrinidae</x:v>
      </x:c>
      <x:c r="B157" s="7" t="str">
        <x:v>Adult demersal fish (&gt; 30 cm)</x:v>
      </x:c>
      <x:c r="C157" s="7" t="n">
        <x:v>26</x:v>
      </x:c>
      <x:c r="D157" s="15" t="n">
        <x:v>0.0352</x:v>
      </x:c>
      <x:c r="E157" s="15" t="n">
        <x:v>0.021</x:v>
      </x:c>
      <x:c r="F157" s="15" t="str">
        <x:v>Model catch</x:v>
      </x:c>
      <x:c r="G157" s="15" t="n">
        <x:f>SUMIFS($D$6:$D$449,$A$6:$A$449,A157)</x:f>
        <x:v>0.3517</x:v>
      </x:c>
      <x:c r="H157" s="16" t="n">
        <x:f>D157/G157</x:f>
        <x:v>0.10008529997156668</x:v>
      </x:c>
      <x:c r="I157" s="7" t="str">
        <x:v>Medium</x:v>
      </x:c>
      <x:c r="J15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7" s="1"/>
    </x:row>
    <x:row r="158" ht="87" customHeight="1">
      <x:c r="A158" s="7" t="str">
        <x:v>Lethrinus</x:v>
      </x:c>
      <x:c r="B158" s="7" t="str">
        <x:v>Juvenile demersal fish (&gt; 30 cm)</x:v>
      </x:c>
      <x:c r="C158" s="7" t="n">
        <x:v>25</x:v>
      </x:c>
      <x:c r="D158" s="15" t="n">
        <x:v>0.3165</x:v>
      </x:c>
      <x:c r="E158" s="15" t="n">
        <x:v>0.143</x:v>
      </x:c>
      <x:c r="F158" s="15" t="str">
        <x:v>Model catch</x:v>
      </x:c>
      <x:c r="G158" s="15" t="n">
        <x:f>SUMIFS($D$6:$D$449,$A$6:$A$449,A158)</x:f>
        <x:v>0.3517</x:v>
      </x:c>
      <x:c r="H158" s="16" t="n">
        <x:f>D158/G158</x:f>
        <x:v>0.8999147000284333</x:v>
      </x:c>
      <x:c r="I158" s="7" t="str">
        <x:v>Medium</x:v>
      </x:c>
      <x:c r="J15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8" s="1"/>
    </x:row>
    <x:row r="159" ht="87" customHeight="1">
      <x:c r="A159" s="7" t="str">
        <x:v>Lethrinus</x:v>
      </x:c>
      <x:c r="B159" s="7" t="str">
        <x:v>Adult demersal fish (&gt; 30 cm)</x:v>
      </x:c>
      <x:c r="C159" s="7" t="n">
        <x:v>26</x:v>
      </x:c>
      <x:c r="D159" s="15" t="n">
        <x:v>0.0352</x:v>
      </x:c>
      <x:c r="E159" s="15" t="n">
        <x:v>0.021</x:v>
      </x:c>
      <x:c r="F159" s="15" t="str">
        <x:v>Model catch</x:v>
      </x:c>
      <x:c r="G159" s="15" t="n">
        <x:f>SUMIFS($D$6:$D$449,$A$6:$A$449,A159)</x:f>
        <x:v>0.3517</x:v>
      </x:c>
      <x:c r="H159" s="16" t="n">
        <x:f>D159/G159</x:f>
        <x:v>0.10008529997156668</x:v>
      </x:c>
      <x:c r="I159" s="7" t="str">
        <x:v>Medium</x:v>
      </x:c>
      <x:c r="J15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59" s="1"/>
    </x:row>
    <x:row r="160" ht="87" customHeight="1">
      <x:c r="A160" s="7" t="str">
        <x:v>Lethrinus miniatus</x:v>
      </x:c>
      <x:c r="B160" s="7" t="str">
        <x:v>Juvenile demersal fish (&gt; 30 cm)</x:v>
      </x:c>
      <x:c r="C160" s="7" t="n">
        <x:v>25</x:v>
      </x:c>
      <x:c r="D160" s="15" t="n">
        <x:v>0.3165</x:v>
      </x:c>
      <x:c r="E160" s="15" t="n">
        <x:v>0.143</x:v>
      </x:c>
      <x:c r="F160" s="15" t="str">
        <x:v>Model catch</x:v>
      </x:c>
      <x:c r="G160" s="15" t="n">
        <x:f>SUMIFS($D$6:$D$449,$A$6:$A$449,A160)</x:f>
        <x:v>0.3517</x:v>
      </x:c>
      <x:c r="H160" s="16" t="n">
        <x:f>D160/G160</x:f>
        <x:v>0.8999147000284333</x:v>
      </x:c>
      <x:c r="I160" s="7" t="str">
        <x:v>Medium</x:v>
      </x:c>
      <x:c r="J16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0" s="1"/>
    </x:row>
    <x:row r="161" ht="87" customHeight="1">
      <x:c r="A161" s="7" t="str">
        <x:v>Lethrinus miniatus</x:v>
      </x:c>
      <x:c r="B161" s="7" t="str">
        <x:v>Adult demersal fish (&gt; 30 cm)</x:v>
      </x:c>
      <x:c r="C161" s="7" t="n">
        <x:v>26</x:v>
      </x:c>
      <x:c r="D161" s="15" t="n">
        <x:v>0.0352</x:v>
      </x:c>
      <x:c r="E161" s="15" t="n">
        <x:v>0.021</x:v>
      </x:c>
      <x:c r="F161" s="15" t="str">
        <x:v>Model catch</x:v>
      </x:c>
      <x:c r="G161" s="15" t="n">
        <x:f>SUMIFS($D$6:$D$449,$A$6:$A$449,A161)</x:f>
        <x:v>0.3517</x:v>
      </x:c>
      <x:c r="H161" s="16" t="n">
        <x:f>D161/G161</x:f>
        <x:v>0.10008529997156668</x:v>
      </x:c>
      <x:c r="I161" s="7" t="str">
        <x:v>Medium</x:v>
      </x:c>
      <x:c r="J16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161" s="1"/>
    </x:row>
    <x:row r="162" ht="162" customHeight="1">
      <x:c r="A162" s="7" t="str">
        <x:v>Makaira</x:v>
      </x:c>
      <x:c r="B162" s="7" t="str">
        <x:v>Juvenile large pelagic fish</x:v>
      </x:c>
      <x:c r="C162" s="7" t="n">
        <x:v>30</x:v>
      </x:c>
      <x:c r="D162" s="15" t="n">
        <x:v>0.7384</x:v>
      </x:c>
      <x:c r="E162" s="15" t="n">
        <x:v>0.289</x:v>
      </x:c>
      <x:c r="F162" s="15" t="str">
        <x:v>Model catch</x:v>
      </x:c>
      <x:c r="G162" s="15" t="n">
        <x:f>SUMIFS($D$6:$D$449,$A$6:$A$449,A162)</x:f>
        <x:v>0.8205</x:v>
      </x:c>
      <x:c r="H162" s="16" t="n">
        <x:f>D162/G162</x:f>
        <x:v>0.8999390615478366</x:v>
      </x:c>
      <x:c r="I162" s="7" t="str">
        <x:v>Medium</x:v>
      </x:c>
      <x:c r="J162"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62" s="1"/>
    </x:row>
    <x:row r="163" ht="162" customHeight="1">
      <x:c r="A163" s="7" t="str">
        <x:v>Makaira</x:v>
      </x:c>
      <x:c r="B163" s="7" t="str">
        <x:v>Pelagic fish (&gt; 30 cm)</x:v>
      </x:c>
      <x:c r="C163" s="7" t="n">
        <x:v>31</x:v>
      </x:c>
      <x:c r="D163" s="15" t="n">
        <x:v>0.0821</x:v>
      </x:c>
      <x:c r="E163" s="15" t="n">
        <x:v>0.079</x:v>
      </x:c>
      <x:c r="F163" s="15" t="str">
        <x:v>Model catch</x:v>
      </x:c>
      <x:c r="G163" s="15" t="n">
        <x:f>SUMIFS($D$6:$D$449,$A$6:$A$449,A163)</x:f>
        <x:v>0.8205</x:v>
      </x:c>
      <x:c r="H163" s="16" t="n">
        <x:f>D163/G163</x:f>
        <x:v>0.10006093845216332</x:v>
      </x:c>
      <x:c r="I163" s="7" t="str">
        <x:v>Medium</x:v>
      </x:c>
      <x:c r="J163"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63" s="1"/>
    </x:row>
    <x:row r="164" ht="162" customHeight="1">
      <x:c r="A164" s="7" t="str">
        <x:v>Makaira mazara</x:v>
      </x:c>
      <x:c r="B164" s="7" t="str">
        <x:v>Juvenile large pelagic fish</x:v>
      </x:c>
      <x:c r="C164" s="7" t="n">
        <x:v>30</x:v>
      </x:c>
      <x:c r="D164" s="15" t="n">
        <x:v>0.7384</x:v>
      </x:c>
      <x:c r="E164" s="15" t="n">
        <x:v>0.289</x:v>
      </x:c>
      <x:c r="F164" s="15" t="str">
        <x:v>Model catch</x:v>
      </x:c>
      <x:c r="G164" s="15" t="n">
        <x:f>SUMIFS($D$6:$D$449,$A$6:$A$449,A164)</x:f>
        <x:v>0.8205</x:v>
      </x:c>
      <x:c r="H164" s="16" t="n">
        <x:f>D164/G164</x:f>
        <x:v>0.8999390615478366</x:v>
      </x:c>
      <x:c r="I164" s="7" t="str">
        <x:v>Medium</x:v>
      </x:c>
      <x:c r="J164"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64" s="1"/>
    </x:row>
    <x:row r="165" ht="162" customHeight="1">
      <x:c r="A165" s="7" t="str">
        <x:v>Makaira mazara</x:v>
      </x:c>
      <x:c r="B165" s="7" t="str">
        <x:v>Pelagic fish (&gt; 30 cm)</x:v>
      </x:c>
      <x:c r="C165" s="7" t="n">
        <x:v>31</x:v>
      </x:c>
      <x:c r="D165" s="15" t="n">
        <x:v>0.0821</x:v>
      </x:c>
      <x:c r="E165" s="15" t="n">
        <x:v>0.079</x:v>
      </x:c>
      <x:c r="F165" s="15" t="str">
        <x:v>Model catch</x:v>
      </x:c>
      <x:c r="G165" s="15" t="n">
        <x:f>SUMIFS($D$6:$D$449,$A$6:$A$449,A165)</x:f>
        <x:v>0.8205</x:v>
      </x:c>
      <x:c r="H165" s="16" t="n">
        <x:f>D165/G165</x:f>
        <x:v>0.10006093845216332</x:v>
      </x:c>
      <x:c r="I165" s="7" t="str">
        <x:v>Medium</x:v>
      </x:c>
      <x:c r="J165"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165" s="1"/>
    </x:row>
    <x:row r="166" ht="162" customHeight="1">
      <x:c r="A166" s="7" t="str">
        <x:v>Malacostraca</x:v>
      </x:c>
      <x:c r="B166" s="7" t="str">
        <x:v>Zooplankton</x:v>
      </x:c>
      <x:c r="C166" s="7" t="n">
        <x:v>3</x:v>
      </x:c>
      <x:c r="D166" s="15" t="n">
        <x:v>0.0948</x:v>
      </x:c>
      <x:c r="E166" s="15" t="n">
        <x:v>9</x:v>
      </x:c>
      <x:c r="F166" s="15" t="str">
        <x:v>Model catch</x:v>
      </x:c>
      <x:c r="G166" s="15" t="n">
        <x:f>SUMIFS($D$6:$D$449,$A$6:$A$449,A166)</x:f>
        <x:v>1.0124</x:v>
      </x:c>
      <x:c r="H166" s="16" t="n">
        <x:f>D166/G166</x:f>
        <x:v>0.09363887791386803</x:v>
      </x:c>
      <x:c r="I166" s="7" t="str">
        <x:v>Medium</x:v>
      </x:c>
      <x:c r="J166"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66" s="1"/>
    </x:row>
    <x:row r="167" ht="162" customHeight="1">
      <x:c r="A167" s="7" t="str">
        <x:v>Malacostraca</x:v>
      </x:c>
      <x:c r="B167" s="7" t="str">
        <x:v>Benthic crustaceans</x:v>
      </x:c>
      <x:c r="C167" s="7" t="n">
        <x:v>7</x:v>
      </x:c>
      <x:c r="D167" s="15" t="n">
        <x:v>0.0391</x:v>
      </x:c>
      <x:c r="E167" s="15" t="n">
        <x:v>1.43</x:v>
      </x:c>
      <x:c r="F167" s="15" t="str">
        <x:v>Model catch</x:v>
      </x:c>
      <x:c r="G167" s="15" t="n">
        <x:f>SUMIFS($D$6:$D$449,$A$6:$A$449,A167)</x:f>
        <x:v>1.0124</x:v>
      </x:c>
      <x:c r="H167" s="16" t="n">
        <x:f>D167/G167</x:f>
        <x:v>0.03862109838008693</x:v>
      </x:c>
      <x:c r="I167" s="7" t="str">
        <x:v>Medium</x:v>
      </x:c>
      <x:c r="J16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67" s="1"/>
    </x:row>
    <x:row r="168" ht="162" customHeight="1">
      <x:c r="A168" s="7" t="str">
        <x:v>Malacostraca</x:v>
      </x:c>
      <x:c r="B168" s="7" t="str">
        <x:v>Shrimps</x:v>
      </x:c>
      <x:c r="C168" s="7" t="n">
        <x:v>10</x:v>
      </x:c>
      <x:c r="D168" s="15" t="n">
        <x:v>0.6788</x:v>
      </x:c>
      <x:c r="E168" s="15" t="n">
        <x:v>0.194</x:v>
      </x:c>
      <x:c r="F168" s="15" t="str">
        <x:v>Model catch</x:v>
      </x:c>
      <x:c r="G168" s="15" t="n">
        <x:f>SUMIFS($D$6:$D$449,$A$6:$A$449,A168)</x:f>
        <x:v>1.0124</x:v>
      </x:c>
      <x:c r="H168" s="16" t="n">
        <x:f>D168/G168</x:f>
        <x:v>0.6704859739233504</x:v>
      </x:c>
      <x:c r="I168" s="7" t="str">
        <x:v>Medium</x:v>
      </x:c>
      <x:c r="J168"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68" s="1"/>
    </x:row>
    <x:row r="169" ht="162" customHeight="1">
      <x:c r="A169" s="7" t="str">
        <x:v>Malacostraca</x:v>
      </x:c>
      <x:c r="B169" s="7" t="str">
        <x:v>Crabs</x:v>
      </x:c>
      <x:c r="C169" s="7" t="n">
        <x:v>11</x:v>
      </x:c>
      <x:c r="D169" s="15" t="n">
        <x:v>0.1997</x:v>
      </x:c>
      <x:c r="E169" s="15" t="n">
        <x:v>0.368</x:v>
      </x:c>
      <x:c r="F169" s="15" t="str">
        <x:v>Model catch</x:v>
      </x:c>
      <x:c r="G169" s="15" t="n">
        <x:f>SUMIFS($D$6:$D$449,$A$6:$A$449,A169)</x:f>
        <x:v>1.0124</x:v>
      </x:c>
      <x:c r="H169" s="16" t="n">
        <x:f>D169/G169</x:f>
        <x:v>0.1972540497826946</x:v>
      </x:c>
      <x:c r="I169" s="7" t="str">
        <x:v>Medium</x:v>
      </x:c>
      <x:c r="J169"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169" s="1"/>
    </x:row>
    <x:row r="170" ht="132" customHeight="1">
      <x:c r="A170" s="7" t="str">
        <x:v>Marine finfishes not identified</x:v>
      </x:c>
      <x:c r="B170" s="7" t="str">
        <x:v>Threadfin bream (nemipterids)</x:v>
      </x:c>
      <x:c r="C170" s="7" t="n">
        <x:v>13</x:v>
      </x:c>
      <x:c r="D170" s="15" t="n">
        <x:v>0.657</x:v>
      </x:c>
      <x:c r="E170" s="15" t="n">
        <x:v>0.26</x:v>
      </x:c>
      <x:c r="F170" s="15" t="str">
        <x:v>Model catch</x:v>
      </x:c>
      <x:c r="G170" s="15" t="n">
        <x:f>SUMIFS($D$6:$D$449,$A$6:$A$449,A170)</x:f>
        <x:v>5.6348</x:v>
      </x:c>
      <x:c r="H170" s="16" t="n">
        <x:f>D170/G170</x:f>
        <x:v>0.1165968623553631</x:v>
      </x:c>
      <x:c r="I170" s="7" t="str">
        <x:v>Medium</x:v>
      </x:c>
      <x:c r="J170"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0" s="1"/>
    </x:row>
    <x:row r="171" ht="132" customHeight="1">
      <x:c r="A171" s="7" t="str">
        <x:v>Marine finfishes not identified</x:v>
      </x:c>
      <x:c r="B171" s="7" t="str">
        <x:v>Bigeyes (priacanthids)</x:v>
      </x:c>
      <x:c r="C171" s="7" t="n">
        <x:v>14</x:v>
      </x:c>
      <x:c r="D171" s="15" t="n">
        <x:v>0.206</x:v>
      </x:c>
      <x:c r="E171" s="15" t="n">
        <x:v>0.13</x:v>
      </x:c>
      <x:c r="F171" s="15" t="str">
        <x:v>Model catch</x:v>
      </x:c>
      <x:c r="G171" s="15" t="n">
        <x:f>SUMIFS($D$6:$D$449,$A$6:$A$449,A171)</x:f>
        <x:v>5.6348</x:v>
      </x:c>
      <x:c r="H171" s="16" t="n">
        <x:f>D171/G171</x:f>
        <x:v>0.036558529140342154</x:v>
      </x:c>
      <x:c r="I171" s="7" t="str">
        <x:v>Medium</x:v>
      </x:c>
      <x:c r="J171"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1" s="1"/>
    </x:row>
    <x:row r="172" ht="132" customHeight="1">
      <x:c r="A172" s="7" t="str">
        <x:v>Marine finfishes not identified</x:v>
      </x:c>
      <x:c r="B172" s="7" t="str">
        <x:v>Lizard fish (synodontids)</x:v>
      </x:c>
      <x:c r="C172" s="7" t="n">
        <x:v>15</x:v>
      </x:c>
      <x:c r="D172" s="15" t="n">
        <x:v>0.0234</x:v>
      </x:c>
      <x:c r="E172" s="15" t="n">
        <x:v>0.032</x:v>
      </x:c>
      <x:c r="F172" s="15" t="str">
        <x:v>Model catch</x:v>
      </x:c>
      <x:c r="G172" s="15" t="n">
        <x:f>SUMIFS($D$6:$D$449,$A$6:$A$449,A172)</x:f>
        <x:v>5.6348</x:v>
      </x:c>
      <x:c r="H172" s="16" t="n">
        <x:f>D172/G172</x:f>
        <x:v>0.004152764960601974</x:v>
      </x:c>
      <x:c r="I172" s="7" t="str">
        <x:v>Medium</x:v>
      </x:c>
      <x:c r="J172"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2" s="1"/>
    </x:row>
    <x:row r="173" ht="132" customHeight="1">
      <x:c r="A173" s="7" t="str">
        <x:v>Marine finfishes not identified</x:v>
      </x:c>
      <x:c r="B173" s="7" t="str">
        <x:v>Juvenile Hairtail (trichiurids)</x:v>
      </x:c>
      <x:c r="C173" s="7" t="n">
        <x:v>16</x:v>
      </x:c>
      <x:c r="D173" s="15" t="n">
        <x:v>0.028</x:v>
      </x:c>
      <x:c r="E173" s="15" t="n">
        <x:v>0.015</x:v>
      </x:c>
      <x:c r="F173" s="15" t="str">
        <x:v>Model catch</x:v>
      </x:c>
      <x:c r="G173" s="15" t="n">
        <x:f>SUMIFS($D$6:$D$449,$A$6:$A$449,A173)</x:f>
        <x:v>5.6348</x:v>
      </x:c>
      <x:c r="H173" s="16" t="n">
        <x:f>D173/G173</x:f>
        <x:v>0.004969120465677575</x:v>
      </x:c>
      <x:c r="I173" s="7" t="str">
        <x:v>Medium</x:v>
      </x:c>
      <x:c r="J173"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3" s="1"/>
    </x:row>
    <x:row r="174" ht="132" customHeight="1">
      <x:c r="A174" s="7" t="str">
        <x:v>Marine finfishes not identified</x:v>
      </x:c>
      <x:c r="B174" s="7" t="str">
        <x:v>Adult hairtail (trichiurids)</x:v>
      </x:c>
      <x:c r="C174" s="7" t="n">
        <x:v>17</x:v>
      </x:c>
      <x:c r="D174" s="15" t="n">
        <x:v>0.0072</x:v>
      </x:c>
      <x:c r="E174" s="15" t="n">
        <x:v>0.012</x:v>
      </x:c>
      <x:c r="F174" s="15" t="str">
        <x:v>Model catch</x:v>
      </x:c>
      <x:c r="G174" s="15" t="n">
        <x:f>SUMIFS($D$6:$D$449,$A$6:$A$449,A174)</x:f>
        <x:v>5.6348</x:v>
      </x:c>
      <x:c r="H174" s="16" t="n">
        <x:f>D174/G174</x:f>
        <x:v>0.0012777738340313764</x:v>
      </x:c>
      <x:c r="I174" s="7" t="str">
        <x:v>Medium</x:v>
      </x:c>
      <x:c r="J174"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4" s="1"/>
    </x:row>
    <x:row r="175" ht="132" customHeight="1">
      <x:c r="A175" s="7" t="str">
        <x:v>Marine finfishes not identified</x:v>
      </x:c>
      <x:c r="B175" s="7" t="str">
        <x:v>Pomfret (stromateids)</x:v>
      </x:c>
      <x:c r="C175" s="7" t="n">
        <x:v>18</x:v>
      </x:c>
      <x:c r="D175" s="15" t="n">
        <x:v>0.239</x:v>
      </x:c>
      <x:c r="E175" s="15" t="n">
        <x:v>0.108</x:v>
      </x:c>
      <x:c r="F175" s="15" t="str">
        <x:v>Model catch</x:v>
      </x:c>
      <x:c r="G175" s="15" t="n">
        <x:f>SUMIFS($D$6:$D$449,$A$6:$A$449,A175)</x:f>
        <x:v>5.6348</x:v>
      </x:c>
      <x:c r="H175" s="16" t="n">
        <x:f>D175/G175</x:f>
        <x:v>0.0424149925463193</x:v>
      </x:c>
      <x:c r="I175" s="7" t="str">
        <x:v>Medium</x:v>
      </x:c>
      <x:c r="J175"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5" s="1"/>
    </x:row>
    <x:row r="176" ht="132" customHeight="1">
      <x:c r="A176" s="7" t="str">
        <x:v>Marine finfishes not identified</x:v>
      </x:c>
      <x:c r="B176" s="7" t="str">
        <x:v>Snappers</x:v>
      </x:c>
      <x:c r="C176" s="7" t="n">
        <x:v>19</x:v>
      </x:c>
      <x:c r="D176" s="15" t="n">
        <x:v>0.0011</x:v>
      </x:c>
      <x:c r="E176" s="15" t="n">
        <x:v>0.0013</x:v>
      </x:c>
      <x:c r="F176" s="15" t="str">
        <x:v>Model catch</x:v>
      </x:c>
      <x:c r="G176" s="15" t="n">
        <x:f>SUMIFS($D$6:$D$449,$A$6:$A$449,A176)</x:f>
        <x:v>5.6348</x:v>
      </x:c>
      <x:c r="H176" s="16" t="n">
        <x:f>D176/G176</x:f>
        <x:v>0.00019521544686590473</x:v>
      </x:c>
      <x:c r="I176" s="7" t="str">
        <x:v>Medium</x:v>
      </x:c>
      <x:c r="J176"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6" s="1"/>
    </x:row>
    <x:row r="177" ht="132" customHeight="1">
      <x:c r="A177" s="7" t="str">
        <x:v>Marine finfishes not identified</x:v>
      </x:c>
      <x:c r="B177" s="7" t="str">
        <x:v>Adult groupers</x:v>
      </x:c>
      <x:c r="C177" s="7" t="n">
        <x:v>20</x:v>
      </x:c>
      <x:c r="D177" s="15" t="n">
        <x:v>0.0089</x:v>
      </x:c>
      <x:c r="E177" s="15" t="n">
        <x:v>0.0064</x:v>
      </x:c>
      <x:c r="F177" s="15" t="str">
        <x:v>Model catch</x:v>
      </x:c>
      <x:c r="G177" s="15" t="n">
        <x:f>SUMIFS($D$6:$D$449,$A$6:$A$449,A177)</x:f>
        <x:v>5.6348</x:v>
      </x:c>
      <x:c r="H177" s="16" t="n">
        <x:f>D177/G177</x:f>
        <x:v>0.0015794704337332292</x:v>
      </x:c>
      <x:c r="I177" s="7" t="str">
        <x:v>Medium</x:v>
      </x:c>
      <x:c r="J177"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7" s="1"/>
    </x:row>
    <x:row r="178" ht="132" customHeight="1">
      <x:c r="A178" s="7" t="str">
        <x:v>Marine finfishes not identified</x:v>
      </x:c>
      <x:c r="B178" s="7" t="str">
        <x:v>Croakers (≤ 30 cm)</x:v>
      </x:c>
      <x:c r="C178" s="7" t="n">
        <x:v>21</x:v>
      </x:c>
      <x:c r="D178" s="15" t="n">
        <x:v>0.0351</x:v>
      </x:c>
      <x:c r="E178" s="15" t="n">
        <x:v>0.07</x:v>
      </x:c>
      <x:c r="F178" s="15" t="str">
        <x:v>Model catch</x:v>
      </x:c>
      <x:c r="G178" s="15" t="n">
        <x:f>SUMIFS($D$6:$D$449,$A$6:$A$449,A178)</x:f>
        <x:v>5.6348</x:v>
      </x:c>
      <x:c r="H178" s="16" t="n">
        <x:f>D178/G178</x:f>
        <x:v>0.00622914744090296</x:v>
      </x:c>
      <x:c r="I178" s="7" t="str">
        <x:v>Medium</x:v>
      </x:c>
      <x:c r="J178"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8" s="1"/>
    </x:row>
    <x:row r="179" ht="132" customHeight="1">
      <x:c r="A179" s="7" t="str">
        <x:v>Marine finfishes not identified</x:v>
      </x:c>
      <x:c r="B179" s="7" t="str">
        <x:v>Juvenile large croakers</x:v>
      </x:c>
      <x:c r="C179" s="7" t="n">
        <x:v>22</x:v>
      </x:c>
      <x:c r="D179" s="15" t="n">
        <x:v>0.071</x:v>
      </x:c>
      <x:c r="E179" s="15" t="n">
        <x:v>0.04</x:v>
      </x:c>
      <x:c r="F179" s="15" t="str">
        <x:v>Model catch</x:v>
      </x:c>
      <x:c r="G179" s="15" t="n">
        <x:f>SUMIFS($D$6:$D$449,$A$6:$A$449,A179)</x:f>
        <x:v>5.6348</x:v>
      </x:c>
      <x:c r="H179" s="16" t="n">
        <x:f>D179/G179</x:f>
        <x:v>0.01260026975225385</x:v>
      </x:c>
      <x:c r="I179" s="7" t="str">
        <x:v>Medium</x:v>
      </x:c>
      <x:c r="J179"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79" s="1"/>
    </x:row>
    <x:row r="180" ht="132" customHeight="1">
      <x:c r="A180" s="7" t="str">
        <x:v>Marine finfishes not identified</x:v>
      </x:c>
      <x:c r="B180" s="7" t="str">
        <x:v>Croakers (&gt; 30 cm)</x:v>
      </x:c>
      <x:c r="C180" s="7" t="n">
        <x:v>23</x:v>
      </x:c>
      <x:c r="D180" s="15" t="n">
        <x:v>0.008</x:v>
      </x:c>
      <x:c r="E180" s="15" t="n">
        <x:v>0.0094</x:v>
      </x:c>
      <x:c r="F180" s="15" t="str">
        <x:v>Model catch</x:v>
      </x:c>
      <x:c r="G180" s="15" t="n">
        <x:f>SUMIFS($D$6:$D$449,$A$6:$A$449,A180)</x:f>
        <x:v>5.6348</x:v>
      </x:c>
      <x:c r="H180" s="16" t="n">
        <x:f>D180/G180</x:f>
        <x:v>0.0014197487044793071</x:v>
      </x:c>
      <x:c r="I180" s="7" t="str">
        <x:v>Medium</x:v>
      </x:c>
      <x:c r="J180"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0" s="1"/>
    </x:row>
    <x:row r="181" ht="132" customHeight="1">
      <x:c r="A181" s="7" t="str">
        <x:v>Marine finfishes not identified</x:v>
      </x:c>
      <x:c r="B181" s="7" t="str">
        <x:v>Demesral fish (≤ 30 cm)</x:v>
      </x:c>
      <x:c r="C181" s="7" t="n">
        <x:v>24</x:v>
      </x:c>
      <x:c r="D181" s="15" t="n">
        <x:v>0.1788</x:v>
      </x:c>
      <x:c r="E181" s="15" t="n">
        <x:v>0.316</x:v>
      </x:c>
      <x:c r="F181" s="15" t="str">
        <x:v>Model catch</x:v>
      </x:c>
      <x:c r="G181" s="15" t="n">
        <x:f>SUMIFS($D$6:$D$449,$A$6:$A$449,A181)</x:f>
        <x:v>5.6348</x:v>
      </x:c>
      <x:c r="H181" s="16" t="n">
        <x:f>D181/G181</x:f>
        <x:v>0.03173138354511251</x:v>
      </x:c>
      <x:c r="I181" s="7" t="str">
        <x:v>Medium</x:v>
      </x:c>
      <x:c r="J181"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1" s="1"/>
    </x:row>
    <x:row r="182" ht="132" customHeight="1">
      <x:c r="A182" s="7" t="str">
        <x:v>Marine finfishes not identified</x:v>
      </x:c>
      <x:c r="B182" s="7" t="str">
        <x:v>Juvenile demersal fish (&gt; 30 cm)</x:v>
      </x:c>
      <x:c r="C182" s="7" t="n">
        <x:v>25</x:v>
      </x:c>
      <x:c r="D182" s="15" t="n">
        <x:v>0.3165</x:v>
      </x:c>
      <x:c r="E182" s="15" t="n">
        <x:v>0.143</x:v>
      </x:c>
      <x:c r="F182" s="15" t="str">
        <x:v>Model catch</x:v>
      </x:c>
      <x:c r="G182" s="15" t="n">
        <x:f>SUMIFS($D$6:$D$449,$A$6:$A$449,A182)</x:f>
        <x:v>5.6348</x:v>
      </x:c>
      <x:c r="H182" s="16" t="n">
        <x:f>D182/G182</x:f>
        <x:v>0.05616880812096259</x:v>
      </x:c>
      <x:c r="I182" s="7" t="str">
        <x:v>Medium</x:v>
      </x:c>
      <x:c r="J182"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2" s="1"/>
    </x:row>
    <x:row r="183" ht="132" customHeight="1">
      <x:c r="A183" s="7" t="str">
        <x:v>Marine finfishes not identified</x:v>
      </x:c>
      <x:c r="B183" s="7" t="str">
        <x:v>Adult demersal fish (&gt; 30 cm)</x:v>
      </x:c>
      <x:c r="C183" s="7" t="n">
        <x:v>26</x:v>
      </x:c>
      <x:c r="D183" s="15" t="n">
        <x:v>0.0352</x:v>
      </x:c>
      <x:c r="E183" s="15" t="n">
        <x:v>0.021</x:v>
      </x:c>
      <x:c r="F183" s="15" t="str">
        <x:v>Model catch</x:v>
      </x:c>
      <x:c r="G183" s="15" t="n">
        <x:f>SUMIFS($D$6:$D$449,$A$6:$A$449,A183)</x:f>
        <x:v>5.6348</x:v>
      </x:c>
      <x:c r="H183" s="16" t="n">
        <x:f>D183/G183</x:f>
        <x:v>0.0062468942997089515</x:v>
      </x:c>
      <x:c r="I183" s="7" t="str">
        <x:v>Medium</x:v>
      </x:c>
      <x:c r="J183"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3" s="1"/>
    </x:row>
    <x:row r="184" ht="132" customHeight="1">
      <x:c r="A184" s="7" t="str">
        <x:v>Marine finfishes not identified</x:v>
      </x:c>
      <x:c r="B184" s="7" t="str">
        <x:v>Benthopelagic fish</x:v>
      </x:c>
      <x:c r="C184" s="7" t="n">
        <x:v>27</x:v>
      </x:c>
      <x:c r="D184" s="15" t="n">
        <x:v>0.6025</x:v>
      </x:c>
      <x:c r="E184" s="15" t="n">
        <x:v>0.922</x:v>
      </x:c>
      <x:c r="F184" s="15" t="str">
        <x:v>Model catch</x:v>
      </x:c>
      <x:c r="G184" s="15" t="n">
        <x:f>SUMIFS($D$6:$D$449,$A$6:$A$449,A184)</x:f>
        <x:v>5.6348</x:v>
      </x:c>
      <x:c r="H184" s="16" t="n">
        <x:f>D184/G184</x:f>
        <x:v>0.10692482430609782</x:v>
      </x:c>
      <x:c r="I184" s="7" t="str">
        <x:v>Medium</x:v>
      </x:c>
      <x:c r="J184"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4" s="1"/>
    </x:row>
    <x:row r="185" ht="132" customHeight="1">
      <x:c r="A185" s="7" t="str">
        <x:v>Marine finfishes not identified</x:v>
      </x:c>
      <x:c r="B185" s="7" t="str">
        <x:v>Melon seed</x:v>
      </x:c>
      <x:c r="C185" s="7" t="n">
        <x:v>28</x:v>
      </x:c>
      <x:c r="D185" s="15" t="n">
        <x:v>0.0499</x:v>
      </x:c>
      <x:c r="E185" s="15" t="n">
        <x:v>0.07</x:v>
      </x:c>
      <x:c r="F185" s="15" t="str">
        <x:v>Model catch</x:v>
      </x:c>
      <x:c r="G185" s="15" t="n">
        <x:f>SUMIFS($D$6:$D$449,$A$6:$A$449,A185)</x:f>
        <x:v>5.6348</x:v>
      </x:c>
      <x:c r="H185" s="16" t="n">
        <x:f>D185/G185</x:f>
        <x:v>0.008855682544189678</x:v>
      </x:c>
      <x:c r="I185" s="7" t="str">
        <x:v>Medium</x:v>
      </x:c>
      <x:c r="J185"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5" s="1"/>
    </x:row>
    <x:row r="186" ht="132" customHeight="1">
      <x:c r="A186" s="7" t="str">
        <x:v>Marine finfishes not identified</x:v>
      </x:c>
      <x:c r="B186" s="7" t="str">
        <x:v>Pelagic fish (≤ 30 cm)</x:v>
      </x:c>
      <x:c r="C186" s="7" t="n">
        <x:v>29</x:v>
      </x:c>
      <x:c r="D186" s="15" t="n">
        <x:v>2.345</x:v>
      </x:c>
      <x:c r="E186" s="15" t="n">
        <x:v>1.772</x:v>
      </x:c>
      <x:c r="F186" s="15" t="str">
        <x:v>Model catch</x:v>
      </x:c>
      <x:c r="G186" s="15" t="n">
        <x:f>SUMIFS($D$6:$D$449,$A$6:$A$449,A186)</x:f>
        <x:v>5.6348</x:v>
      </x:c>
      <x:c r="H186" s="16" t="n">
        <x:f>D186/G186</x:f>
        <x:v>0.4161638390004969</x:v>
      </x:c>
      <x:c r="I186" s="7" t="str">
        <x:v>Medium</x:v>
      </x:c>
      <x:c r="J186"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6" s="1"/>
    </x:row>
    <x:row r="187" ht="132" customHeight="1">
      <x:c r="A187" s="7" t="str">
        <x:v>Marine finfishes not identified</x:v>
      </x:c>
      <x:c r="B187" s="7" t="str">
        <x:v>Juvenile large pelagic fish</x:v>
      </x:c>
      <x:c r="C187" s="7" t="n">
        <x:v>30</x:v>
      </x:c>
      <x:c r="D187" s="15" t="n">
        <x:v>0.7384</x:v>
      </x:c>
      <x:c r="E187" s="15" t="n">
        <x:v>0.289</x:v>
      </x:c>
      <x:c r="F187" s="15" t="str">
        <x:v>Model catch</x:v>
      </x:c>
      <x:c r="G187" s="15" t="n">
        <x:f>SUMIFS($D$6:$D$449,$A$6:$A$449,A187)</x:f>
        <x:v>5.6348</x:v>
      </x:c>
      <x:c r="H187" s="16" t="n">
        <x:f>D187/G187</x:f>
        <x:v>0.13104280542344005</x:v>
      </x:c>
      <x:c r="I187" s="7" t="str">
        <x:v>Medium</x:v>
      </x:c>
      <x:c r="J187"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7" s="1"/>
    </x:row>
    <x:row r="188" ht="132" customHeight="1">
      <x:c r="A188" s="7" t="str">
        <x:v>Marine finfishes not identified</x:v>
      </x:c>
      <x:c r="B188" s="7" t="str">
        <x:v>Pelagic fish (&gt; 30 cm)</x:v>
      </x:c>
      <x:c r="C188" s="7" t="n">
        <x:v>31</x:v>
      </x:c>
      <x:c r="D188" s="15" t="n">
        <x:v>0.0821</x:v>
      </x:c>
      <x:c r="E188" s="15" t="n">
        <x:v>0.079</x:v>
      </x:c>
      <x:c r="F188" s="15" t="str">
        <x:v>Model catch</x:v>
      </x:c>
      <x:c r="G188" s="15" t="n">
        <x:f>SUMIFS($D$6:$D$449,$A$6:$A$449,A188)</x:f>
        <x:v>5.6348</x:v>
      </x:c>
      <x:c r="H188" s="16" t="n">
        <x:f>D188/G188</x:f>
        <x:v>0.014570171079718891</x:v>
      </x:c>
      <x:c r="I188" s="7" t="str">
        <x:v>Medium</x:v>
      </x:c>
      <x:c r="J188"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8" s="1"/>
    </x:row>
    <x:row r="189" ht="132" customHeight="1">
      <x:c r="A189" s="7" t="str">
        <x:v>Marine finfishes not identified</x:v>
      </x:c>
      <x:c r="B189" s="7" t="str">
        <x:v>Demersal sharks and rays</x:v>
      </x:c>
      <x:c r="C189" s="7" t="n">
        <x:v>32</x:v>
      </x:c>
      <x:c r="D189" s="15" t="n">
        <x:v>0.001</x:v>
      </x:c>
      <x:c r="E189" s="15" t="n">
        <x:v>0.001</x:v>
      </x:c>
      <x:c r="F189" s="15" t="str">
        <x:v>Model catch</x:v>
      </x:c>
      <x:c r="G189" s="15" t="n">
        <x:f>SUMIFS($D$6:$D$449,$A$6:$A$449,A189)</x:f>
        <x:v>5.6348</x:v>
      </x:c>
      <x:c r="H189" s="16" t="n">
        <x:f>D189/G189</x:f>
        <x:v>0.0001774685880599134</x:v>
      </x:c>
      <x:c r="I189" s="7" t="str">
        <x:v>Medium</x:v>
      </x:c>
      <x:c r="J189"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89" s="1"/>
    </x:row>
    <x:row r="190" ht="132" customHeight="1">
      <x:c r="A190" s="7" t="str">
        <x:v>Marine finfishes not identified</x:v>
      </x:c>
      <x:c r="B190" s="7" t="str">
        <x:v>Pelagic sharks and rays</x:v>
      </x:c>
      <x:c r="C190" s="7" t="n">
        <x:v>33</x:v>
      </x:c>
      <x:c r="D190" s="15" t="n">
        <x:v>0.0007</x:v>
      </x:c>
      <x:c r="E190" s="15" t="n">
        <x:v>0.0011</x:v>
      </x:c>
      <x:c r="F190" s="15" t="str">
        <x:v>Model catch</x:v>
      </x:c>
      <x:c r="G190" s="15" t="n">
        <x:f>SUMIFS($D$6:$D$449,$A$6:$A$449,A190)</x:f>
        <x:v>5.6348</x:v>
      </x:c>
      <x:c r="H190" s="16" t="n">
        <x:f>D190/G190</x:f>
        <x:v>0.00012422801164193938</x:v>
      </x:c>
      <x:c r="I190" s="7" t="str">
        <x:v>Medium</x:v>
      </x:c>
      <x:c r="J190"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0" s="1"/>
    </x:row>
    <x:row r="191" ht="132" customHeight="1">
      <x:c r="A191" s="7" t="str">
        <x:v>Marine fishes not identified</x:v>
      </x:c>
      <x:c r="B191" s="7" t="str">
        <x:v>Threadfin bream (nemipterids)</x:v>
      </x:c>
      <x:c r="C191" s="7" t="n">
        <x:v>13</x:v>
      </x:c>
      <x:c r="D191" s="15" t="n">
        <x:v>0.657</x:v>
      </x:c>
      <x:c r="E191" s="15" t="n">
        <x:v>0.26</x:v>
      </x:c>
      <x:c r="F191" s="15" t="str">
        <x:v>Model catch</x:v>
      </x:c>
      <x:c r="G191" s="15" t="n">
        <x:f>SUMIFS($D$6:$D$449,$A$6:$A$449,A191)</x:f>
        <x:v>5.6348</x:v>
      </x:c>
      <x:c r="H191" s="16" t="n">
        <x:f>D191/G191</x:f>
        <x:v>0.1165968623553631</x:v>
      </x:c>
      <x:c r="I191" s="7" t="str">
        <x:v>Medium</x:v>
      </x:c>
      <x:c r="J191"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1" s="1"/>
    </x:row>
    <x:row r="192" ht="132" customHeight="1">
      <x:c r="A192" s="7" t="str">
        <x:v>Marine fishes not identified</x:v>
      </x:c>
      <x:c r="B192" s="7" t="str">
        <x:v>Bigeyes (priacanthids)</x:v>
      </x:c>
      <x:c r="C192" s="7" t="n">
        <x:v>14</x:v>
      </x:c>
      <x:c r="D192" s="15" t="n">
        <x:v>0.206</x:v>
      </x:c>
      <x:c r="E192" s="15" t="n">
        <x:v>0.13</x:v>
      </x:c>
      <x:c r="F192" s="15" t="str">
        <x:v>Model catch</x:v>
      </x:c>
      <x:c r="G192" s="15" t="n">
        <x:f>SUMIFS($D$6:$D$449,$A$6:$A$449,A192)</x:f>
        <x:v>5.6348</x:v>
      </x:c>
      <x:c r="H192" s="16" t="n">
        <x:f>D192/G192</x:f>
        <x:v>0.036558529140342154</x:v>
      </x:c>
      <x:c r="I192" s="7" t="str">
        <x:v>Medium</x:v>
      </x:c>
      <x:c r="J192"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2" s="1"/>
    </x:row>
    <x:row r="193" ht="132" customHeight="1">
      <x:c r="A193" s="7" t="str">
        <x:v>Marine fishes not identified</x:v>
      </x:c>
      <x:c r="B193" s="7" t="str">
        <x:v>Lizard fish (synodontids)</x:v>
      </x:c>
      <x:c r="C193" s="7" t="n">
        <x:v>15</x:v>
      </x:c>
      <x:c r="D193" s="15" t="n">
        <x:v>0.0234</x:v>
      </x:c>
      <x:c r="E193" s="15" t="n">
        <x:v>0.032</x:v>
      </x:c>
      <x:c r="F193" s="15" t="str">
        <x:v>Model catch</x:v>
      </x:c>
      <x:c r="G193" s="15" t="n">
        <x:f>SUMIFS($D$6:$D$449,$A$6:$A$449,A193)</x:f>
        <x:v>5.6348</x:v>
      </x:c>
      <x:c r="H193" s="16" t="n">
        <x:f>D193/G193</x:f>
        <x:v>0.004152764960601974</x:v>
      </x:c>
      <x:c r="I193" s="7" t="str">
        <x:v>Medium</x:v>
      </x:c>
      <x:c r="J193"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3" s="1"/>
    </x:row>
    <x:row r="194" ht="132" customHeight="1">
      <x:c r="A194" s="7" t="str">
        <x:v>Marine fishes not identified</x:v>
      </x:c>
      <x:c r="B194" s="7" t="str">
        <x:v>Juvenile Hairtail (trichiurids)</x:v>
      </x:c>
      <x:c r="C194" s="7" t="n">
        <x:v>16</x:v>
      </x:c>
      <x:c r="D194" s="15" t="n">
        <x:v>0.028</x:v>
      </x:c>
      <x:c r="E194" s="15" t="n">
        <x:v>0.015</x:v>
      </x:c>
      <x:c r="F194" s="15" t="str">
        <x:v>Model catch</x:v>
      </x:c>
      <x:c r="G194" s="15" t="n">
        <x:f>SUMIFS($D$6:$D$449,$A$6:$A$449,A194)</x:f>
        <x:v>5.6348</x:v>
      </x:c>
      <x:c r="H194" s="16" t="n">
        <x:f>D194/G194</x:f>
        <x:v>0.004969120465677575</x:v>
      </x:c>
      <x:c r="I194" s="7" t="str">
        <x:v>Medium</x:v>
      </x:c>
      <x:c r="J194"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4" s="1"/>
    </x:row>
    <x:row r="195" ht="132" customHeight="1">
      <x:c r="A195" s="7" t="str">
        <x:v>Marine fishes not identified</x:v>
      </x:c>
      <x:c r="B195" s="7" t="str">
        <x:v>Adult hairtail (trichiurids)</x:v>
      </x:c>
      <x:c r="C195" s="7" t="n">
        <x:v>17</x:v>
      </x:c>
      <x:c r="D195" s="15" t="n">
        <x:v>0.0072</x:v>
      </x:c>
      <x:c r="E195" s="15" t="n">
        <x:v>0.012</x:v>
      </x:c>
      <x:c r="F195" s="15" t="str">
        <x:v>Model catch</x:v>
      </x:c>
      <x:c r="G195" s="15" t="n">
        <x:f>SUMIFS($D$6:$D$449,$A$6:$A$449,A195)</x:f>
        <x:v>5.6348</x:v>
      </x:c>
      <x:c r="H195" s="16" t="n">
        <x:f>D195/G195</x:f>
        <x:v>0.0012777738340313764</x:v>
      </x:c>
      <x:c r="I195" s="7" t="str">
        <x:v>Medium</x:v>
      </x:c>
      <x:c r="J195"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5" s="1"/>
    </x:row>
    <x:row r="196" ht="132" customHeight="1">
      <x:c r="A196" s="7" t="str">
        <x:v>Marine fishes not identified</x:v>
      </x:c>
      <x:c r="B196" s="7" t="str">
        <x:v>Pomfret (stromateids)</x:v>
      </x:c>
      <x:c r="C196" s="7" t="n">
        <x:v>18</x:v>
      </x:c>
      <x:c r="D196" s="15" t="n">
        <x:v>0.239</x:v>
      </x:c>
      <x:c r="E196" s="15" t="n">
        <x:v>0.108</x:v>
      </x:c>
      <x:c r="F196" s="15" t="str">
        <x:v>Model catch</x:v>
      </x:c>
      <x:c r="G196" s="15" t="n">
        <x:f>SUMIFS($D$6:$D$449,$A$6:$A$449,A196)</x:f>
        <x:v>5.6348</x:v>
      </x:c>
      <x:c r="H196" s="16" t="n">
        <x:f>D196/G196</x:f>
        <x:v>0.0424149925463193</x:v>
      </x:c>
      <x:c r="I196" s="7" t="str">
        <x:v>Medium</x:v>
      </x:c>
      <x:c r="J196"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6" s="1"/>
    </x:row>
    <x:row r="197" ht="132" customHeight="1">
      <x:c r="A197" s="7" t="str">
        <x:v>Marine fishes not identified</x:v>
      </x:c>
      <x:c r="B197" s="7" t="str">
        <x:v>Snappers</x:v>
      </x:c>
      <x:c r="C197" s="7" t="n">
        <x:v>19</x:v>
      </x:c>
      <x:c r="D197" s="15" t="n">
        <x:v>0.0011</x:v>
      </x:c>
      <x:c r="E197" s="15" t="n">
        <x:v>0.0013</x:v>
      </x:c>
      <x:c r="F197" s="15" t="str">
        <x:v>Model catch</x:v>
      </x:c>
      <x:c r="G197" s="15" t="n">
        <x:f>SUMIFS($D$6:$D$449,$A$6:$A$449,A197)</x:f>
        <x:v>5.6348</x:v>
      </x:c>
      <x:c r="H197" s="16" t="n">
        <x:f>D197/G197</x:f>
        <x:v>0.00019521544686590473</x:v>
      </x:c>
      <x:c r="I197" s="7" t="str">
        <x:v>Medium</x:v>
      </x:c>
      <x:c r="J197"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7" s="1"/>
    </x:row>
    <x:row r="198" ht="132" customHeight="1">
      <x:c r="A198" s="7" t="str">
        <x:v>Marine fishes not identified</x:v>
      </x:c>
      <x:c r="B198" s="7" t="str">
        <x:v>Adult groupers</x:v>
      </x:c>
      <x:c r="C198" s="7" t="n">
        <x:v>20</x:v>
      </x:c>
      <x:c r="D198" s="15" t="n">
        <x:v>0.0089</x:v>
      </x:c>
      <x:c r="E198" s="15" t="n">
        <x:v>0.0064</x:v>
      </x:c>
      <x:c r="F198" s="15" t="str">
        <x:v>Model catch</x:v>
      </x:c>
      <x:c r="G198" s="15" t="n">
        <x:f>SUMIFS($D$6:$D$449,$A$6:$A$449,A198)</x:f>
        <x:v>5.6348</x:v>
      </x:c>
      <x:c r="H198" s="16" t="n">
        <x:f>D198/G198</x:f>
        <x:v>0.0015794704337332292</x:v>
      </x:c>
      <x:c r="I198" s="7" t="str">
        <x:v>Medium</x:v>
      </x:c>
      <x:c r="J198"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8" s="1"/>
    </x:row>
    <x:row r="199" ht="132" customHeight="1">
      <x:c r="A199" s="7" t="str">
        <x:v>Marine fishes not identified</x:v>
      </x:c>
      <x:c r="B199" s="7" t="str">
        <x:v>Croakers (≤ 30 cm)</x:v>
      </x:c>
      <x:c r="C199" s="7" t="n">
        <x:v>21</x:v>
      </x:c>
      <x:c r="D199" s="15" t="n">
        <x:v>0.0351</x:v>
      </x:c>
      <x:c r="E199" s="15" t="n">
        <x:v>0.07</x:v>
      </x:c>
      <x:c r="F199" s="15" t="str">
        <x:v>Model catch</x:v>
      </x:c>
      <x:c r="G199" s="15" t="n">
        <x:f>SUMIFS($D$6:$D$449,$A$6:$A$449,A199)</x:f>
        <x:v>5.6348</x:v>
      </x:c>
      <x:c r="H199" s="16" t="n">
        <x:f>D199/G199</x:f>
        <x:v>0.00622914744090296</x:v>
      </x:c>
      <x:c r="I199" s="7" t="str">
        <x:v>Medium</x:v>
      </x:c>
      <x:c r="J199"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199" s="1"/>
    </x:row>
    <x:row r="200" ht="132" customHeight="1">
      <x:c r="A200" s="7" t="str">
        <x:v>Marine fishes not identified</x:v>
      </x:c>
      <x:c r="B200" s="7" t="str">
        <x:v>Juvenile large croakers</x:v>
      </x:c>
      <x:c r="C200" s="7" t="n">
        <x:v>22</x:v>
      </x:c>
      <x:c r="D200" s="15" t="n">
        <x:v>0.071</x:v>
      </x:c>
      <x:c r="E200" s="15" t="n">
        <x:v>0.04</x:v>
      </x:c>
      <x:c r="F200" s="15" t="str">
        <x:v>Model catch</x:v>
      </x:c>
      <x:c r="G200" s="15" t="n">
        <x:f>SUMIFS($D$6:$D$449,$A$6:$A$449,A200)</x:f>
        <x:v>5.6348</x:v>
      </x:c>
      <x:c r="H200" s="16" t="n">
        <x:f>D200/G200</x:f>
        <x:v>0.01260026975225385</x:v>
      </x:c>
      <x:c r="I200" s="7" t="str">
        <x:v>Medium</x:v>
      </x:c>
      <x:c r="J200"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0" s="1"/>
    </x:row>
    <x:row r="201" ht="132" customHeight="1">
      <x:c r="A201" s="7" t="str">
        <x:v>Marine fishes not identified</x:v>
      </x:c>
      <x:c r="B201" s="7" t="str">
        <x:v>Croakers (&gt; 30 cm)</x:v>
      </x:c>
      <x:c r="C201" s="7" t="n">
        <x:v>23</x:v>
      </x:c>
      <x:c r="D201" s="15" t="n">
        <x:v>0.008</x:v>
      </x:c>
      <x:c r="E201" s="15" t="n">
        <x:v>0.0094</x:v>
      </x:c>
      <x:c r="F201" s="15" t="str">
        <x:v>Model catch</x:v>
      </x:c>
      <x:c r="G201" s="15" t="n">
        <x:f>SUMIFS($D$6:$D$449,$A$6:$A$449,A201)</x:f>
        <x:v>5.6348</x:v>
      </x:c>
      <x:c r="H201" s="16" t="n">
        <x:f>D201/G201</x:f>
        <x:v>0.0014197487044793071</x:v>
      </x:c>
      <x:c r="I201" s="7" t="str">
        <x:v>Medium</x:v>
      </x:c>
      <x:c r="J201"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1" s="1"/>
    </x:row>
    <x:row r="202" ht="132" customHeight="1">
      <x:c r="A202" s="7" t="str">
        <x:v>Marine fishes not identified</x:v>
      </x:c>
      <x:c r="B202" s="7" t="str">
        <x:v>Demesral fish (≤ 30 cm)</x:v>
      </x:c>
      <x:c r="C202" s="7" t="n">
        <x:v>24</x:v>
      </x:c>
      <x:c r="D202" s="15" t="n">
        <x:v>0.1788</x:v>
      </x:c>
      <x:c r="E202" s="15" t="n">
        <x:v>0.316</x:v>
      </x:c>
      <x:c r="F202" s="15" t="str">
        <x:v>Model catch</x:v>
      </x:c>
      <x:c r="G202" s="15" t="n">
        <x:f>SUMIFS($D$6:$D$449,$A$6:$A$449,A202)</x:f>
        <x:v>5.6348</x:v>
      </x:c>
      <x:c r="H202" s="16" t="n">
        <x:f>D202/G202</x:f>
        <x:v>0.03173138354511251</x:v>
      </x:c>
      <x:c r="I202" s="7" t="str">
        <x:v>Medium</x:v>
      </x:c>
      <x:c r="J202"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2" s="1"/>
    </x:row>
    <x:row r="203" ht="132" customHeight="1">
      <x:c r="A203" s="7" t="str">
        <x:v>Marine fishes not identified</x:v>
      </x:c>
      <x:c r="B203" s="7" t="str">
        <x:v>Juvenile demersal fish (&gt; 30 cm)</x:v>
      </x:c>
      <x:c r="C203" s="7" t="n">
        <x:v>25</x:v>
      </x:c>
      <x:c r="D203" s="15" t="n">
        <x:v>0.3165</x:v>
      </x:c>
      <x:c r="E203" s="15" t="n">
        <x:v>0.143</x:v>
      </x:c>
      <x:c r="F203" s="15" t="str">
        <x:v>Model catch</x:v>
      </x:c>
      <x:c r="G203" s="15" t="n">
        <x:f>SUMIFS($D$6:$D$449,$A$6:$A$449,A203)</x:f>
        <x:v>5.6348</x:v>
      </x:c>
      <x:c r="H203" s="16" t="n">
        <x:f>D203/G203</x:f>
        <x:v>0.05616880812096259</x:v>
      </x:c>
      <x:c r="I203" s="7" t="str">
        <x:v>Medium</x:v>
      </x:c>
      <x:c r="J203"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3" s="1"/>
    </x:row>
    <x:row r="204" ht="132" customHeight="1">
      <x:c r="A204" s="7" t="str">
        <x:v>Marine fishes not identified</x:v>
      </x:c>
      <x:c r="B204" s="7" t="str">
        <x:v>Adult demersal fish (&gt; 30 cm)</x:v>
      </x:c>
      <x:c r="C204" s="7" t="n">
        <x:v>26</x:v>
      </x:c>
      <x:c r="D204" s="15" t="n">
        <x:v>0.0352</x:v>
      </x:c>
      <x:c r="E204" s="15" t="n">
        <x:v>0.021</x:v>
      </x:c>
      <x:c r="F204" s="15" t="str">
        <x:v>Model catch</x:v>
      </x:c>
      <x:c r="G204" s="15" t="n">
        <x:f>SUMIFS($D$6:$D$449,$A$6:$A$449,A204)</x:f>
        <x:v>5.6348</x:v>
      </x:c>
      <x:c r="H204" s="16" t="n">
        <x:f>D204/G204</x:f>
        <x:v>0.0062468942997089515</x:v>
      </x:c>
      <x:c r="I204" s="7" t="str">
        <x:v>Medium</x:v>
      </x:c>
      <x:c r="J204"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4" s="1"/>
    </x:row>
    <x:row r="205" ht="132" customHeight="1">
      <x:c r="A205" s="7" t="str">
        <x:v>Marine fishes not identified</x:v>
      </x:c>
      <x:c r="B205" s="7" t="str">
        <x:v>Benthopelagic fish</x:v>
      </x:c>
      <x:c r="C205" s="7" t="n">
        <x:v>27</x:v>
      </x:c>
      <x:c r="D205" s="15" t="n">
        <x:v>0.6025</x:v>
      </x:c>
      <x:c r="E205" s="15" t="n">
        <x:v>0.922</x:v>
      </x:c>
      <x:c r="F205" s="15" t="str">
        <x:v>Model catch</x:v>
      </x:c>
      <x:c r="G205" s="15" t="n">
        <x:f>SUMIFS($D$6:$D$449,$A$6:$A$449,A205)</x:f>
        <x:v>5.6348</x:v>
      </x:c>
      <x:c r="H205" s="16" t="n">
        <x:f>D205/G205</x:f>
        <x:v>0.10692482430609782</x:v>
      </x:c>
      <x:c r="I205" s="7" t="str">
        <x:v>Medium</x:v>
      </x:c>
      <x:c r="J205"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5" s="1"/>
    </x:row>
    <x:row r="206" ht="132" customHeight="1">
      <x:c r="A206" s="7" t="str">
        <x:v>Marine fishes not identified</x:v>
      </x:c>
      <x:c r="B206" s="7" t="str">
        <x:v>Melon seed</x:v>
      </x:c>
      <x:c r="C206" s="7" t="n">
        <x:v>28</x:v>
      </x:c>
      <x:c r="D206" s="15" t="n">
        <x:v>0.0499</x:v>
      </x:c>
      <x:c r="E206" s="15" t="n">
        <x:v>0.07</x:v>
      </x:c>
      <x:c r="F206" s="15" t="str">
        <x:v>Model catch</x:v>
      </x:c>
      <x:c r="G206" s="15" t="n">
        <x:f>SUMIFS($D$6:$D$449,$A$6:$A$449,A206)</x:f>
        <x:v>5.6348</x:v>
      </x:c>
      <x:c r="H206" s="16" t="n">
        <x:f>D206/G206</x:f>
        <x:v>0.008855682544189678</x:v>
      </x:c>
      <x:c r="I206" s="7" t="str">
        <x:v>Medium</x:v>
      </x:c>
      <x:c r="J206"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6" s="1"/>
    </x:row>
    <x:row r="207" ht="132" customHeight="1">
      <x:c r="A207" s="7" t="str">
        <x:v>Marine fishes not identified</x:v>
      </x:c>
      <x:c r="B207" s="7" t="str">
        <x:v>Pelagic fish (≤ 30 cm)</x:v>
      </x:c>
      <x:c r="C207" s="7" t="n">
        <x:v>29</x:v>
      </x:c>
      <x:c r="D207" s="15" t="n">
        <x:v>2.345</x:v>
      </x:c>
      <x:c r="E207" s="15" t="n">
        <x:v>1.772</x:v>
      </x:c>
      <x:c r="F207" s="15" t="str">
        <x:v>Model catch</x:v>
      </x:c>
      <x:c r="G207" s="15" t="n">
        <x:f>SUMIFS($D$6:$D$449,$A$6:$A$449,A207)</x:f>
        <x:v>5.6348</x:v>
      </x:c>
      <x:c r="H207" s="16" t="n">
        <x:f>D207/G207</x:f>
        <x:v>0.4161638390004969</x:v>
      </x:c>
      <x:c r="I207" s="7" t="str">
        <x:v>Medium</x:v>
      </x:c>
      <x:c r="J207"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7" s="1"/>
    </x:row>
    <x:row r="208" ht="132" customHeight="1">
      <x:c r="A208" s="7" t="str">
        <x:v>Marine fishes not identified</x:v>
      </x:c>
      <x:c r="B208" s="7" t="str">
        <x:v>Juvenile large pelagic fish</x:v>
      </x:c>
      <x:c r="C208" s="7" t="n">
        <x:v>30</x:v>
      </x:c>
      <x:c r="D208" s="15" t="n">
        <x:v>0.7384</x:v>
      </x:c>
      <x:c r="E208" s="15" t="n">
        <x:v>0.289</x:v>
      </x:c>
      <x:c r="F208" s="15" t="str">
        <x:v>Model catch</x:v>
      </x:c>
      <x:c r="G208" s="15" t="n">
        <x:f>SUMIFS($D$6:$D$449,$A$6:$A$449,A208)</x:f>
        <x:v>5.6348</x:v>
      </x:c>
      <x:c r="H208" s="16" t="n">
        <x:f>D208/G208</x:f>
        <x:v>0.13104280542344005</x:v>
      </x:c>
      <x:c r="I208" s="7" t="str">
        <x:v>Medium</x:v>
      </x:c>
      <x:c r="J208"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8" s="1"/>
    </x:row>
    <x:row r="209" ht="132" customHeight="1">
      <x:c r="A209" s="7" t="str">
        <x:v>Marine fishes not identified</x:v>
      </x:c>
      <x:c r="B209" s="7" t="str">
        <x:v>Pelagic fish (&gt; 30 cm)</x:v>
      </x:c>
      <x:c r="C209" s="7" t="n">
        <x:v>31</x:v>
      </x:c>
      <x:c r="D209" s="15" t="n">
        <x:v>0.0821</x:v>
      </x:c>
      <x:c r="E209" s="15" t="n">
        <x:v>0.079</x:v>
      </x:c>
      <x:c r="F209" s="15" t="str">
        <x:v>Model catch</x:v>
      </x:c>
      <x:c r="G209" s="15" t="n">
        <x:f>SUMIFS($D$6:$D$449,$A$6:$A$449,A209)</x:f>
        <x:v>5.6348</x:v>
      </x:c>
      <x:c r="H209" s="16" t="n">
        <x:f>D209/G209</x:f>
        <x:v>0.014570171079718891</x:v>
      </x:c>
      <x:c r="I209" s="7" t="str">
        <x:v>Medium</x:v>
      </x:c>
      <x:c r="J209"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09" s="1"/>
    </x:row>
    <x:row r="210" ht="132" customHeight="1">
      <x:c r="A210" s="7" t="str">
        <x:v>Marine fishes not identified</x:v>
      </x:c>
      <x:c r="B210" s="7" t="str">
        <x:v>Demersal sharks and rays</x:v>
      </x:c>
      <x:c r="C210" s="7" t="n">
        <x:v>32</x:v>
      </x:c>
      <x:c r="D210" s="15" t="n">
        <x:v>0.001</x:v>
      </x:c>
      <x:c r="E210" s="15" t="n">
        <x:v>0.001</x:v>
      </x:c>
      <x:c r="F210" s="15" t="str">
        <x:v>Model catch</x:v>
      </x:c>
      <x:c r="G210" s="15" t="n">
        <x:f>SUMIFS($D$6:$D$449,$A$6:$A$449,A210)</x:f>
        <x:v>5.6348</x:v>
      </x:c>
      <x:c r="H210" s="16" t="n">
        <x:f>D210/G210</x:f>
        <x:v>0.0001774685880599134</x:v>
      </x:c>
      <x:c r="I210" s="7" t="str">
        <x:v>Medium</x:v>
      </x:c>
      <x:c r="J210"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10" s="1"/>
    </x:row>
    <x:row r="211" ht="132" customHeight="1">
      <x:c r="A211" s="7" t="str">
        <x:v>Marine fishes not identified</x:v>
      </x:c>
      <x:c r="B211" s="7" t="str">
        <x:v>Pelagic sharks and rays</x:v>
      </x:c>
      <x:c r="C211" s="7" t="n">
        <x:v>33</x:v>
      </x:c>
      <x:c r="D211" s="15" t="n">
        <x:v>0.0007</x:v>
      </x:c>
      <x:c r="E211" s="15" t="n">
        <x:v>0.0011</x:v>
      </x:c>
      <x:c r="F211" s="15" t="str">
        <x:v>Model catch</x:v>
      </x:c>
      <x:c r="G211" s="15" t="n">
        <x:f>SUMIFS($D$6:$D$449,$A$6:$A$449,A211)</x:f>
        <x:v>5.6348</x:v>
      </x:c>
      <x:c r="H211" s="16" t="n">
        <x:f>D211/G211</x:f>
        <x:v>0.00012422801164193938</x:v>
      </x:c>
      <x:c r="I211" s="7" t="str">
        <x:v>Medium</x:v>
      </x:c>
      <x:c r="J211" s="7" t="str">
        <x:v>Unknown marine-fish composition is approximated by all named and residual fish compartments, including sharks and rays. The broad fish label does not justify a residual-only mixture; shelf-model catches are only a composition proxy for the wider region. Unknown marine-fish composition is approximated by all named and residual fish compartments, including sharks and rays. The broad fish label does not justify a residual-only mixture; shelf-model catches are only a composition proxy for the wider region. Weights use model catch proportions, assumed fixed across years and catch bases. Very low membership confidence; see Sources and the regional Mapping review.</x:v>
      </x:c>
      <x:c r="K211" s="1"/>
    </x:row>
    <x:row r="212" ht="147" customHeight="1">
      <x:c r="A212" s="7" t="str">
        <x:v>Marine groundfishes not identified</x:v>
      </x:c>
      <x:c r="B212" s="7" t="str">
        <x:v>Threadfin bream (nemipterids)</x:v>
      </x:c>
      <x:c r="C212" s="7" t="n">
        <x:v>13</x:v>
      </x:c>
      <x:c r="D212" s="15" t="n">
        <x:v>0.657</x:v>
      </x:c>
      <x:c r="E212" s="15" t="n">
        <x:v>0.26</x:v>
      </x:c>
      <x:c r="F212" s="15" t="str">
        <x:v>Model catch</x:v>
      </x:c>
      <x:c r="G212" s="15" t="n">
        <x:f>SUMIFS($D$6:$D$449,$A$6:$A$449,A212)</x:f>
        <x:v>2.4686</x:v>
      </x:c>
      <x:c r="H212" s="16" t="n">
        <x:f>D212/G212</x:f>
        <x:v>0.2661427529773961</x:v>
      </x:c>
      <x:c r="I212" s="7" t="str">
        <x:v>Medium</x:v>
      </x:c>
      <x:c r="J212"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2" s="1"/>
    </x:row>
    <x:row r="213" ht="147" customHeight="1">
      <x:c r="A213" s="7" t="str">
        <x:v>Marine groundfishes not identified</x:v>
      </x:c>
      <x:c r="B213" s="7" t="str">
        <x:v>Bigeyes (priacanthids)</x:v>
      </x:c>
      <x:c r="C213" s="7" t="n">
        <x:v>14</x:v>
      </x:c>
      <x:c r="D213" s="15" t="n">
        <x:v>0.206</x:v>
      </x:c>
      <x:c r="E213" s="15" t="n">
        <x:v>0.13</x:v>
      </x:c>
      <x:c r="F213" s="15" t="str">
        <x:v>Model catch</x:v>
      </x:c>
      <x:c r="G213" s="15" t="n">
        <x:f>SUMIFS($D$6:$D$449,$A$6:$A$449,A213)</x:f>
        <x:v>2.4686</x:v>
      </x:c>
      <x:c r="H213" s="16" t="n">
        <x:f>D213/G213</x:f>
        <x:v>0.08344810823948796</x:v>
      </x:c>
      <x:c r="I213" s="7" t="str">
        <x:v>Medium</x:v>
      </x:c>
      <x:c r="J213"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3" s="1"/>
    </x:row>
    <x:row r="214" ht="147" customHeight="1">
      <x:c r="A214" s="7" t="str">
        <x:v>Marine groundfishes not identified</x:v>
      </x:c>
      <x:c r="B214" s="7" t="str">
        <x:v>Lizard fish (synodontids)</x:v>
      </x:c>
      <x:c r="C214" s="7" t="n">
        <x:v>15</x:v>
      </x:c>
      <x:c r="D214" s="15" t="n">
        <x:v>0.0234</x:v>
      </x:c>
      <x:c r="E214" s="15" t="n">
        <x:v>0.032</x:v>
      </x:c>
      <x:c r="F214" s="15" t="str">
        <x:v>Model catch</x:v>
      </x:c>
      <x:c r="G214" s="15" t="n">
        <x:f>SUMIFS($D$6:$D$449,$A$6:$A$449,A214)</x:f>
        <x:v>2.4686</x:v>
      </x:c>
      <x:c r="H214" s="16" t="n">
        <x:f>D214/G214</x:f>
        <x:v>0.009479056955359314</x:v>
      </x:c>
      <x:c r="I214" s="7" t="str">
        <x:v>Medium</x:v>
      </x:c>
      <x:c r="J214"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4" s="1"/>
    </x:row>
    <x:row r="215" ht="147" customHeight="1">
      <x:c r="A215" s="7" t="str">
        <x:v>Marine groundfishes not identified</x:v>
      </x:c>
      <x:c r="B215" s="7" t="str">
        <x:v>Juvenile Hairtail (trichiurids)</x:v>
      </x:c>
      <x:c r="C215" s="7" t="n">
        <x:v>16</x:v>
      </x:c>
      <x:c r="D215" s="15" t="n">
        <x:v>0.028</x:v>
      </x:c>
      <x:c r="E215" s="15" t="n">
        <x:v>0.015</x:v>
      </x:c>
      <x:c r="F215" s="15" t="str">
        <x:v>Model catch</x:v>
      </x:c>
      <x:c r="G215" s="15" t="n">
        <x:f>SUMIFS($D$6:$D$449,$A$6:$A$449,A215)</x:f>
        <x:v>2.4686</x:v>
      </x:c>
      <x:c r="H215" s="16" t="n">
        <x:f>D215/G215</x:f>
        <x:v>0.011342461314105162</x:v>
      </x:c>
      <x:c r="I215" s="7" t="str">
        <x:v>Medium</x:v>
      </x:c>
      <x:c r="J215"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5" s="1"/>
    </x:row>
    <x:row r="216" ht="147" customHeight="1">
      <x:c r="A216" s="7" t="str">
        <x:v>Marine groundfishes not identified</x:v>
      </x:c>
      <x:c r="B216" s="7" t="str">
        <x:v>Adult hairtail (trichiurids)</x:v>
      </x:c>
      <x:c r="C216" s="7" t="n">
        <x:v>17</x:v>
      </x:c>
      <x:c r="D216" s="15" t="n">
        <x:v>0.0072</x:v>
      </x:c>
      <x:c r="E216" s="15" t="n">
        <x:v>0.012</x:v>
      </x:c>
      <x:c r="F216" s="15" t="str">
        <x:v>Model catch</x:v>
      </x:c>
      <x:c r="G216" s="15" t="n">
        <x:f>SUMIFS($D$6:$D$449,$A$6:$A$449,A216)</x:f>
        <x:v>2.4686</x:v>
      </x:c>
      <x:c r="H216" s="16" t="n">
        <x:f>D216/G216</x:f>
        <x:v>0.0029166329093413272</x:v>
      </x:c>
      <x:c r="I216" s="7" t="str">
        <x:v>Medium</x:v>
      </x:c>
      <x:c r="J216"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6" s="1"/>
    </x:row>
    <x:row r="217" ht="147" customHeight="1">
      <x:c r="A217" s="7" t="str">
        <x:v>Marine groundfishes not identified</x:v>
      </x:c>
      <x:c r="B217" s="7" t="str">
        <x:v>Pomfret (stromateids)</x:v>
      </x:c>
      <x:c r="C217" s="7" t="n">
        <x:v>18</x:v>
      </x:c>
      <x:c r="D217" s="15" t="n">
        <x:v>0.239</x:v>
      </x:c>
      <x:c r="E217" s="15" t="n">
        <x:v>0.108</x:v>
      </x:c>
      <x:c r="F217" s="15" t="str">
        <x:v>Model catch</x:v>
      </x:c>
      <x:c r="G217" s="15" t="n">
        <x:f>SUMIFS($D$6:$D$449,$A$6:$A$449,A217)</x:f>
        <x:v>2.4686</x:v>
      </x:c>
      <x:c r="H217" s="16" t="n">
        <x:f>D217/G217</x:f>
        <x:v>0.09681600907396905</x:v>
      </x:c>
      <x:c r="I217" s="7" t="str">
        <x:v>Medium</x:v>
      </x:c>
      <x:c r="J217"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7" s="1"/>
    </x:row>
    <x:row r="218" ht="147" customHeight="1">
      <x:c r="A218" s="7" t="str">
        <x:v>Marine groundfishes not identified</x:v>
      </x:c>
      <x:c r="B218" s="7" t="str">
        <x:v>Snappers</x:v>
      </x:c>
      <x:c r="C218" s="7" t="n">
        <x:v>19</x:v>
      </x:c>
      <x:c r="D218" s="15" t="n">
        <x:v>0.0011</x:v>
      </x:c>
      <x:c r="E218" s="15" t="n">
        <x:v>0.0013</x:v>
      </x:c>
      <x:c r="F218" s="15" t="str">
        <x:v>Model catch</x:v>
      </x:c>
      <x:c r="G218" s="15" t="n">
        <x:f>SUMIFS($D$6:$D$449,$A$6:$A$449,A218)</x:f>
        <x:v>2.4686</x:v>
      </x:c>
      <x:c r="H218" s="16" t="n">
        <x:f>D218/G218</x:f>
        <x:v>0.00044559669448270277</x:v>
      </x:c>
      <x:c r="I218" s="7" t="str">
        <x:v>Medium</x:v>
      </x:c>
      <x:c r="J218"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8" s="1"/>
    </x:row>
    <x:row r="219" ht="147" customHeight="1">
      <x:c r="A219" s="7" t="str">
        <x:v>Marine groundfishes not identified</x:v>
      </x:c>
      <x:c r="B219" s="7" t="str">
        <x:v>Adult groupers</x:v>
      </x:c>
      <x:c r="C219" s="7" t="n">
        <x:v>20</x:v>
      </x:c>
      <x:c r="D219" s="15" t="n">
        <x:v>0.0089</x:v>
      </x:c>
      <x:c r="E219" s="15" t="n">
        <x:v>0.0064</x:v>
      </x:c>
      <x:c r="F219" s="15" t="str">
        <x:v>Model catch</x:v>
      </x:c>
      <x:c r="G219" s="15" t="n">
        <x:f>SUMIFS($D$6:$D$449,$A$6:$A$449,A219)</x:f>
        <x:v>2.4686</x:v>
      </x:c>
      <x:c r="H219" s="16" t="n">
        <x:f>D219/G219</x:f>
        <x:v>0.0036052823462691405</x:v>
      </x:c>
      <x:c r="I219" s="7" t="str">
        <x:v>Medium</x:v>
      </x:c>
      <x:c r="J219"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19" s="1"/>
    </x:row>
    <x:row r="220" ht="147" customHeight="1">
      <x:c r="A220" s="7" t="str">
        <x:v>Marine groundfishes not identified</x:v>
      </x:c>
      <x:c r="B220" s="7" t="str">
        <x:v>Croakers (≤ 30 cm)</x:v>
      </x:c>
      <x:c r="C220" s="7" t="n">
        <x:v>21</x:v>
      </x:c>
      <x:c r="D220" s="15" t="n">
        <x:v>0.0351</x:v>
      </x:c>
      <x:c r="E220" s="15" t="n">
        <x:v>0.07</x:v>
      </x:c>
      <x:c r="F220" s="15" t="str">
        <x:v>Model catch</x:v>
      </x:c>
      <x:c r="G220" s="15" t="n">
        <x:f>SUMIFS($D$6:$D$449,$A$6:$A$449,A220)</x:f>
        <x:v>2.4686</x:v>
      </x:c>
      <x:c r="H220" s="16" t="n">
        <x:f>D220/G220</x:f>
        <x:v>0.01421858543303897</x:v>
      </x:c>
      <x:c r="I220" s="7" t="str">
        <x:v>Medium</x:v>
      </x:c>
      <x:c r="J220"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0" s="1"/>
    </x:row>
    <x:row r="221" ht="147" customHeight="1">
      <x:c r="A221" s="7" t="str">
        <x:v>Marine groundfishes not identified</x:v>
      </x:c>
      <x:c r="B221" s="7" t="str">
        <x:v>Juvenile large croakers</x:v>
      </x:c>
      <x:c r="C221" s="7" t="n">
        <x:v>22</x:v>
      </x:c>
      <x:c r="D221" s="15" t="n">
        <x:v>0.071</x:v>
      </x:c>
      <x:c r="E221" s="15" t="n">
        <x:v>0.04</x:v>
      </x:c>
      <x:c r="F221" s="15" t="str">
        <x:v>Model catch</x:v>
      </x:c>
      <x:c r="G221" s="15" t="n">
        <x:f>SUMIFS($D$6:$D$449,$A$6:$A$449,A221)</x:f>
        <x:v>2.4686</x:v>
      </x:c>
      <x:c r="H221" s="16" t="n">
        <x:f>D221/G221</x:f>
        <x:v>0.028761241189338083</x:v>
      </x:c>
      <x:c r="I221" s="7" t="str">
        <x:v>Medium</x:v>
      </x:c>
      <x:c r="J221"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1" s="1"/>
    </x:row>
    <x:row r="222" ht="147" customHeight="1">
      <x:c r="A222" s="7" t="str">
        <x:v>Marine groundfishes not identified</x:v>
      </x:c>
      <x:c r="B222" s="7" t="str">
        <x:v>Croakers (&gt; 30 cm)</x:v>
      </x:c>
      <x:c r="C222" s="7" t="n">
        <x:v>23</x:v>
      </x:c>
      <x:c r="D222" s="15" t="n">
        <x:v>0.008</x:v>
      </x:c>
      <x:c r="E222" s="15" t="n">
        <x:v>0.0094</x:v>
      </x:c>
      <x:c r="F222" s="15" t="str">
        <x:v>Model catch</x:v>
      </x:c>
      <x:c r="G222" s="15" t="n">
        <x:f>SUMIFS($D$6:$D$449,$A$6:$A$449,A222)</x:f>
        <x:v>2.4686</x:v>
      </x:c>
      <x:c r="H222" s="16" t="n">
        <x:f>D222/G222</x:f>
        <x:v>0.0032407032326014747</x:v>
      </x:c>
      <x:c r="I222" s="7" t="str">
        <x:v>Medium</x:v>
      </x:c>
      <x:c r="J222"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2" s="1"/>
    </x:row>
    <x:row r="223" ht="147" customHeight="1">
      <x:c r="A223" s="7" t="str">
        <x:v>Marine groundfishes not identified</x:v>
      </x:c>
      <x:c r="B223" s="7" t="str">
        <x:v>Demesral fish (≤ 30 cm)</x:v>
      </x:c>
      <x:c r="C223" s="7" t="n">
        <x:v>24</x:v>
      </x:c>
      <x:c r="D223" s="15" t="n">
        <x:v>0.1788</x:v>
      </x:c>
      <x:c r="E223" s="15" t="n">
        <x:v>0.316</x:v>
      </x:c>
      <x:c r="F223" s="15" t="str">
        <x:v>Model catch</x:v>
      </x:c>
      <x:c r="G223" s="15" t="n">
        <x:f>SUMIFS($D$6:$D$449,$A$6:$A$449,A223)</x:f>
        <x:v>2.4686</x:v>
      </x:c>
      <x:c r="H223" s="16" t="n">
        <x:f>D223/G223</x:f>
        <x:v>0.07242971724864296</x:v>
      </x:c>
      <x:c r="I223" s="7" t="str">
        <x:v>Medium</x:v>
      </x:c>
      <x:c r="J223"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3" s="1"/>
    </x:row>
    <x:row r="224" ht="147" customHeight="1">
      <x:c r="A224" s="7" t="str">
        <x:v>Marine groundfishes not identified</x:v>
      </x:c>
      <x:c r="B224" s="7" t="str">
        <x:v>Juvenile demersal fish (&gt; 30 cm)</x:v>
      </x:c>
      <x:c r="C224" s="7" t="n">
        <x:v>25</x:v>
      </x:c>
      <x:c r="D224" s="15" t="n">
        <x:v>0.3165</x:v>
      </x:c>
      <x:c r="E224" s="15" t="n">
        <x:v>0.143</x:v>
      </x:c>
      <x:c r="F224" s="15" t="str">
        <x:v>Model catch</x:v>
      </x:c>
      <x:c r="G224" s="15" t="n">
        <x:f>SUMIFS($D$6:$D$449,$A$6:$A$449,A224)</x:f>
        <x:v>2.4686</x:v>
      </x:c>
      <x:c r="H224" s="16" t="n">
        <x:f>D224/G224</x:f>
        <x:v>0.12821032163979584</x:v>
      </x:c>
      <x:c r="I224" s="7" t="str">
        <x:v>Medium</x:v>
      </x:c>
      <x:c r="J224"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4" s="1"/>
    </x:row>
    <x:row r="225" ht="147" customHeight="1">
      <x:c r="A225" s="7" t="str">
        <x:v>Marine groundfishes not identified</x:v>
      </x:c>
      <x:c r="B225" s="7" t="str">
        <x:v>Adult demersal fish (&gt; 30 cm)</x:v>
      </x:c>
      <x:c r="C225" s="7" t="n">
        <x:v>26</x:v>
      </x:c>
      <x:c r="D225" s="15" t="n">
        <x:v>0.0352</x:v>
      </x:c>
      <x:c r="E225" s="15" t="n">
        <x:v>0.021</x:v>
      </x:c>
      <x:c r="F225" s="15" t="str">
        <x:v>Model catch</x:v>
      </x:c>
      <x:c r="G225" s="15" t="n">
        <x:f>SUMIFS($D$6:$D$449,$A$6:$A$449,A225)</x:f>
        <x:v>2.4686</x:v>
      </x:c>
      <x:c r="H225" s="16" t="n">
        <x:f>D225/G225</x:f>
        <x:v>0.014259094223446489</x:v>
      </x:c>
      <x:c r="I225" s="7" t="str">
        <x:v>Medium</x:v>
      </x:c>
      <x:c r="J225"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5" s="1"/>
    </x:row>
    <x:row r="226" ht="147" customHeight="1">
      <x:c r="A226" s="7" t="str">
        <x:v>Marine groundfishes not identified</x:v>
      </x:c>
      <x:c r="B226" s="7" t="str">
        <x:v>Benthopelagic fish</x:v>
      </x:c>
      <x:c r="C226" s="7" t="n">
        <x:v>27</x:v>
      </x:c>
      <x:c r="D226" s="15" t="n">
        <x:v>0.6025</x:v>
      </x:c>
      <x:c r="E226" s="15" t="n">
        <x:v>0.922</x:v>
      </x:c>
      <x:c r="F226" s="15" t="str">
        <x:v>Model catch</x:v>
      </x:c>
      <x:c r="G226" s="15" t="n">
        <x:f>SUMIFS($D$6:$D$449,$A$6:$A$449,A226)</x:f>
        <x:v>2.4686</x:v>
      </x:c>
      <x:c r="H226" s="16" t="n">
        <x:f>D226/G226</x:f>
        <x:v>0.24406546220529857</x:v>
      </x:c>
      <x:c r="I226" s="7" t="str">
        <x:v>Medium</x:v>
      </x:c>
      <x:c r="J226"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6" s="1"/>
    </x:row>
    <x:row r="227" ht="147" customHeight="1">
      <x:c r="A227" s="7" t="str">
        <x:v>Marine groundfishes not identified</x:v>
      </x:c>
      <x:c r="B227" s="7" t="str">
        <x:v>Melon seed</x:v>
      </x:c>
      <x:c r="C227" s="7" t="n">
        <x:v>28</x:v>
      </x:c>
      <x:c r="D227" s="15" t="n">
        <x:v>0.0499</x:v>
      </x:c>
      <x:c r="E227" s="15" t="n">
        <x:v>0.07</x:v>
      </x:c>
      <x:c r="F227" s="15" t="str">
        <x:v>Model catch</x:v>
      </x:c>
      <x:c r="G227" s="15" t="n">
        <x:f>SUMIFS($D$6:$D$449,$A$6:$A$449,A227)</x:f>
        <x:v>2.4686</x:v>
      </x:c>
      <x:c r="H227" s="16" t="n">
        <x:f>D227/G227</x:f>
        <x:v>0.020213886413351697</x:v>
      </x:c>
      <x:c r="I227" s="7" t="str">
        <x:v>Medium</x:v>
      </x:c>
      <x:c r="J227"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7" s="1"/>
    </x:row>
    <x:row r="228" ht="147" customHeight="1">
      <x:c r="A228" s="7" t="str">
        <x:v>Marine groundfishes not identified</x:v>
      </x:c>
      <x:c r="B228" s="7" t="str">
        <x:v>Demersal sharks and rays</x:v>
      </x:c>
      <x:c r="C228" s="7" t="n">
        <x:v>32</x:v>
      </x:c>
      <x:c r="D228" s="15" t="n">
        <x:v>0.001</x:v>
      </x:c>
      <x:c r="E228" s="15" t="n">
        <x:v>0.001</x:v>
      </x:c>
      <x:c r="F228" s="15" t="str">
        <x:v>Model catch</x:v>
      </x:c>
      <x:c r="G228" s="15" t="n">
        <x:f>SUMIFS($D$6:$D$449,$A$6:$A$449,A228)</x:f>
        <x:v>2.4686</x:v>
      </x:c>
      <x:c r="H228" s="16" t="n">
        <x:f>D228/G228</x:f>
        <x:v>0.00040508790407518434</x:v>
      </x:c>
      <x:c r="I228" s="7" t="str">
        <x:v>Medium</x:v>
      </x:c>
      <x:c r="J228" s="7" t="str">
        <x:v>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The groundfish label is approximated by named demersal/benthopelagic fish groups, residual demersal and benthopelagic pools and demersal sharks/rays. Include pomfret and melon-seed as benthopelagic candidates under the saved catch classification; exclude the pelagic pools. Exact constituent species and habitat fractions are unknown. Weights use model catch proportions, assumed fixed across years and catch bases. Very low membership confidence; see Sources and the regional Mapping review.</x:v>
      </x:c>
      <x:c r="K228" s="1"/>
    </x:row>
    <x:row r="229" ht="162" customHeight="1">
      <x:c r="A229" s="7" t="str">
        <x:v>Marine pelagic fishes not identified</x:v>
      </x:c>
      <x:c r="B229" s="7" t="str">
        <x:v>Pelagic fish (≤ 30 cm)</x:v>
      </x:c>
      <x:c r="C229" s="7" t="n">
        <x:v>29</x:v>
      </x:c>
      <x:c r="D229" s="15" t="n">
        <x:v>2.345</x:v>
      </x:c>
      <x:c r="E229" s="15" t="n">
        <x:v>1.772</x:v>
      </x:c>
      <x:c r="F229" s="15" t="str">
        <x:v>Model catch</x:v>
      </x:c>
      <x:c r="G229" s="15" t="n">
        <x:f>SUMIFS($D$6:$D$449,$A$6:$A$449,A229)</x:f>
        <x:v>3.1662000000000003</x:v>
      </x:c>
      <x:c r="H229" s="16" t="n">
        <x:f>D229/G229</x:f>
        <x:v>0.7406354620680943</x:v>
      </x:c>
      <x:c r="I229" s="7" t="str">
        <x:v>Medium</x:v>
      </x:c>
      <x:c r="J229" s="7" t="str">
        <x:v>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x:v>
      </x:c>
      <x:c r="K229" s="1"/>
    </x:row>
    <x:row r="230" ht="162" customHeight="1">
      <x:c r="A230" s="7" t="str">
        <x:v>Marine pelagic fishes not identified</x:v>
      </x:c>
      <x:c r="B230" s="7" t="str">
        <x:v>Juvenile large pelagic fish</x:v>
      </x:c>
      <x:c r="C230" s="7" t="n">
        <x:v>30</x:v>
      </x:c>
      <x:c r="D230" s="15" t="n">
        <x:v>0.7384</x:v>
      </x:c>
      <x:c r="E230" s="15" t="n">
        <x:v>0.289</x:v>
      </x:c>
      <x:c r="F230" s="15" t="str">
        <x:v>Model catch</x:v>
      </x:c>
      <x:c r="G230" s="15" t="n">
        <x:f>SUMIFS($D$6:$D$449,$A$6:$A$449,A230)</x:f>
        <x:v>3.1662000000000003</x:v>
      </x:c>
      <x:c r="H230" s="16" t="n">
        <x:f>D230/G230</x:f>
        <x:v>0.2332133156465163</x:v>
      </x:c>
      <x:c r="I230" s="7" t="str">
        <x:v>Medium</x:v>
      </x:c>
      <x:c r="J230" s="7" t="str">
        <x:v>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x:v>
      </x:c>
      <x:c r="K230" s="1"/>
    </x:row>
    <x:row r="231" ht="162" customHeight="1">
      <x:c r="A231" s="7" t="str">
        <x:v>Marine pelagic fishes not identified</x:v>
      </x:c>
      <x:c r="B231" s="7" t="str">
        <x:v>Pelagic fish (&gt; 30 cm)</x:v>
      </x:c>
      <x:c r="C231" s="7" t="n">
        <x:v>31</x:v>
      </x:c>
      <x:c r="D231" s="15" t="n">
        <x:v>0.0821</x:v>
      </x:c>
      <x:c r="E231" s="15" t="n">
        <x:v>0.079</x:v>
      </x:c>
      <x:c r="F231" s="15" t="str">
        <x:v>Model catch</x:v>
      </x:c>
      <x:c r="G231" s="15" t="n">
        <x:f>SUMIFS($D$6:$D$449,$A$6:$A$449,A231)</x:f>
        <x:v>3.1662000000000003</x:v>
      </x:c>
      <x:c r="H231" s="16" t="n">
        <x:f>D231/G231</x:f>
        <x:v>0.025930137072831785</x:v>
      </x:c>
      <x:c r="I231" s="7" t="str">
        <x:v>Medium</x:v>
      </x:c>
      <x:c r="J231" s="7" t="str">
        <x:v>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x:v>
      </x:c>
      <x:c r="K231" s="1"/>
    </x:row>
    <x:row r="232" ht="162" customHeight="1">
      <x:c r="A232" s="7" t="str">
        <x:v>Marine pelagic fishes not identified</x:v>
      </x:c>
      <x:c r="B232" s="7" t="str">
        <x:v>Pelagic sharks and rays</x:v>
      </x:c>
      <x:c r="C232" s="7" t="n">
        <x:v>33</x:v>
      </x:c>
      <x:c r="D232" s="15" t="n">
        <x:v>0.0007</x:v>
      </x:c>
      <x:c r="E232" s="15" t="n">
        <x:v>0.0011</x:v>
      </x:c>
      <x:c r="F232" s="15" t="str">
        <x:v>Model catch</x:v>
      </x:c>
      <x:c r="G232" s="15" t="n">
        <x:f>SUMIFS($D$6:$D$449,$A$6:$A$449,A232)</x:f>
        <x:v>3.1662000000000003</x:v>
      </x:c>
      <x:c r="H232" s="16" t="n">
        <x:f>D232/G232</x:f>
        <x:v>0.00022108521255764004</x:v>
      </x:c>
      <x:c r="I232" s="7" t="str">
        <x:v>Medium</x:v>
      </x:c>
      <x:c r="J232" s="7" t="str">
        <x:v>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The pelagic label is approximated by residual pelagic fish and pelagic sharks/rays. Named hairtail, pomfret and melon-seed pools were reviewed and excluded because the saved catch classification treats them as benthopelagic. This is a weak model-composition proxy; mixed habitat boundaries and the unidentified species mixture remain uncertain. Weights use model catch proportions, assumed fixed across years and catch bases. Very low membership confidence; see Sources and the regional Mapping review.</x:v>
      </x:c>
      <x:c r="K232" s="1"/>
    </x:row>
    <x:row r="233" ht="72" customHeight="1">
      <x:c r="A233" s="7" t="str">
        <x:v>Megalaspis cordyla</x:v>
      </x:c>
      <x:c r="B233" s="7" t="str">
        <x:v>Juvenile large pelagic fish</x:v>
      </x:c>
      <x:c r="C233" s="7" t="n">
        <x:v>30</x:v>
      </x:c>
      <x:c r="D233" s="15" t="n">
        <x:v>0.7384</x:v>
      </x:c>
      <x:c r="E233" s="15" t="n">
        <x:v>0.289</x:v>
      </x:c>
      <x:c r="F233" s="15" t="str">
        <x:v>Model catch</x:v>
      </x:c>
      <x:c r="G233" s="15" t="n">
        <x:f>SUMIFS($D$6:$D$449,$A$6:$A$449,A233)</x:f>
        <x:v>0.8205</x:v>
      </x:c>
      <x:c r="H233" s="16" t="n">
        <x:f>D233/G233</x:f>
        <x:v>0.8999390615478366</x:v>
      </x:c>
      <x:c r="I233" s="7" t="str">
        <x:v>Medium</x:v>
      </x:c>
      <x:c r="J23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3" s="1"/>
    </x:row>
    <x:row r="234" ht="72" customHeight="1">
      <x:c r="A234" s="7" t="str">
        <x:v>Megalaspis cordyla</x:v>
      </x:c>
      <x:c r="B234" s="7" t="str">
        <x:v>Pelagic fish (&gt; 30 cm)</x:v>
      </x:c>
      <x:c r="C234" s="7" t="n">
        <x:v>31</x:v>
      </x:c>
      <x:c r="D234" s="15" t="n">
        <x:v>0.0821</x:v>
      </x:c>
      <x:c r="E234" s="15" t="n">
        <x:v>0.079</x:v>
      </x:c>
      <x:c r="F234" s="15" t="str">
        <x:v>Model catch</x:v>
      </x:c>
      <x:c r="G234" s="15" t="n">
        <x:f>SUMIFS($D$6:$D$449,$A$6:$A$449,A234)</x:f>
        <x:v>0.8205</x:v>
      </x:c>
      <x:c r="H234" s="16" t="n">
        <x:f>D234/G234</x:f>
        <x:v>0.10006093845216332</x:v>
      </x:c>
      <x:c r="I234" s="7" t="str">
        <x:v>Medium</x:v>
      </x:c>
      <x:c r="J23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4" s="1"/>
    </x:row>
    <x:row r="235" ht="72" customHeight="1">
      <x:c r="A235" s="7" t="str">
        <x:v>Megalops cyprinoides</x:v>
      </x:c>
      <x:c r="B235" s="7" t="str">
        <x:v>Juvenile large pelagic fish</x:v>
      </x:c>
      <x:c r="C235" s="7" t="n">
        <x:v>30</x:v>
      </x:c>
      <x:c r="D235" s="15" t="n">
        <x:v>0.7384</x:v>
      </x:c>
      <x:c r="E235" s="15" t="n">
        <x:v>0.289</x:v>
      </x:c>
      <x:c r="F235" s="15" t="str">
        <x:v>Model catch</x:v>
      </x:c>
      <x:c r="G235" s="15" t="n">
        <x:f>SUMIFS($D$6:$D$449,$A$6:$A$449,A235)</x:f>
        <x:v>0.8205</x:v>
      </x:c>
      <x:c r="H235" s="16" t="n">
        <x:f>D235/G235</x:f>
        <x:v>0.8999390615478366</x:v>
      </x:c>
      <x:c r="I235" s="7" t="str">
        <x:v>Medium</x:v>
      </x:c>
      <x:c r="J23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5" s="1"/>
    </x:row>
    <x:row r="236" ht="72" customHeight="1">
      <x:c r="A236" s="7" t="str">
        <x:v>Megalops cyprinoides</x:v>
      </x:c>
      <x:c r="B236" s="7" t="str">
        <x:v>Pelagic fish (&gt; 30 cm)</x:v>
      </x:c>
      <x:c r="C236" s="7" t="n">
        <x:v>31</x:v>
      </x:c>
      <x:c r="D236" s="15" t="n">
        <x:v>0.0821</x:v>
      </x:c>
      <x:c r="E236" s="15" t="n">
        <x:v>0.079</x:v>
      </x:c>
      <x:c r="F236" s="15" t="str">
        <x:v>Model catch</x:v>
      </x:c>
      <x:c r="G236" s="15" t="n">
        <x:f>SUMIFS($D$6:$D$449,$A$6:$A$449,A236)</x:f>
        <x:v>0.8205</x:v>
      </x:c>
      <x:c r="H236" s="16" t="n">
        <x:f>D236/G236</x:f>
        <x:v>0.10006093845216332</x:v>
      </x:c>
      <x:c r="I236" s="7" t="str">
        <x:v>Medium</x:v>
      </x:c>
      <x:c r="J23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36" s="1"/>
    </x:row>
    <x:row r="237" ht="87" customHeight="1">
      <x:c r="A237" s="7" t="str">
        <x:v>Miichthys miiuy</x:v>
      </x:c>
      <x:c r="B237" s="7" t="str">
        <x:v>Juvenile large croakers</x:v>
      </x:c>
      <x:c r="C237" s="7" t="n">
        <x:v>22</x:v>
      </x:c>
      <x:c r="D237" s="15" t="n">
        <x:v>0.071</x:v>
      </x:c>
      <x:c r="E237" s="15" t="n">
        <x:v>0.04</x:v>
      </x:c>
      <x:c r="F237" s="15" t="str">
        <x:v>Model catch</x:v>
      </x:c>
      <x:c r="G237" s="15" t="n">
        <x:f>SUMIFS($D$6:$D$449,$A$6:$A$449,A237)</x:f>
        <x:v>0.07899999999999999</x:v>
      </x:c>
      <x:c r="H237" s="16" t="n">
        <x:f>D237/G237</x:f>
        <x:v>0.8987341772151899</x:v>
      </x:c>
      <x:c r="I237" s="7" t="str">
        <x:v>Medium</x:v>
      </x:c>
      <x:c r="J237"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237" s="1"/>
    </x:row>
    <x:row r="238" ht="87" customHeight="1">
      <x:c r="A238" s="7" t="str">
        <x:v>Miichthys miiuy</x:v>
      </x:c>
      <x:c r="B238" s="7" t="str">
        <x:v>Croakers (&gt; 30 cm)</x:v>
      </x:c>
      <x:c r="C238" s="7" t="n">
        <x:v>23</x:v>
      </x:c>
      <x:c r="D238" s="15" t="n">
        <x:v>0.008</x:v>
      </x:c>
      <x:c r="E238" s="15" t="n">
        <x:v>0.0094</x:v>
      </x:c>
      <x:c r="F238" s="15" t="str">
        <x:v>Model catch</x:v>
      </x:c>
      <x:c r="G238" s="15" t="n">
        <x:f>SUMIFS($D$6:$D$449,$A$6:$A$449,A238)</x:f>
        <x:v>0.07899999999999999</x:v>
      </x:c>
      <x:c r="H238" s="16" t="n">
        <x:f>D238/G238</x:f>
        <x:v>0.10126582278481014</x:v>
      </x:c>
      <x:c r="I238" s="7" t="str">
        <x:v>Medium</x:v>
      </x:c>
      <x:c r="J238"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238" s="1"/>
    </x:row>
    <x:row r="239" ht="177" customHeight="1">
      <x:c r="A239" s="7" t="str">
        <x:v>Miscellaneous aquatic invertebrates</x:v>
      </x:c>
      <x:c r="B239" s="7" t="str">
        <x:v>Polychaetes</x:v>
      </x:c>
      <x:c r="C239" s="7" t="n">
        <x:v>5</x:v>
      </x:c>
      <x:c r="D239" s="15" t="n">
        <x:v>0</x:v>
      </x:c>
      <x:c r="E239" s="15" t="n">
        <x:v>2.24</x:v>
      </x:c>
      <x:c r="F239" s="15" t="str">
        <x:v>Model catch</x:v>
      </x:c>
      <x:c r="G239" s="15" t="n">
        <x:f>SUMIFS($D$6:$D$449,$A$6:$A$449,A239)</x:f>
        <x:v>1.9583</x:v>
      </x:c>
      <x:c r="H239" s="16" t="n">
        <x:f>D239/G239</x:f>
        <x:v>0</x:v>
      </x:c>
      <x:c r="I239" s="7" t="str">
        <x:v>Medium</x:v>
      </x:c>
      <x:c r="J239"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39" s="1"/>
    </x:row>
    <x:row r="240" ht="177" customHeight="1">
      <x:c r="A240" s="7" t="str">
        <x:v>Miscellaneous aquatic invertebrates</x:v>
      </x:c>
      <x:c r="B240" s="7" t="str">
        <x:v>Echinoderms</x:v>
      </x:c>
      <x:c r="C240" s="7" t="n">
        <x:v>6</x:v>
      </x:c>
      <x:c r="D240" s="15" t="n">
        <x:v>0.0021</x:v>
      </x:c>
      <x:c r="E240" s="15" t="n">
        <x:v>1.98</x:v>
      </x:c>
      <x:c r="F240" s="15" t="str">
        <x:v>Model catch</x:v>
      </x:c>
      <x:c r="G240" s="15" t="n">
        <x:f>SUMIFS($D$6:$D$449,$A$6:$A$449,A240)</x:f>
        <x:v>1.9583</x:v>
      </x:c>
      <x:c r="H240" s="16" t="n">
        <x:f>D240/G240</x:f>
        <x:v>0.0010723586784455905</x:v>
      </x:c>
      <x:c r="I240" s="7" t="str">
        <x:v>Medium</x:v>
      </x:c>
      <x:c r="J240"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0" s="1"/>
    </x:row>
    <x:row r="241" ht="177" customHeight="1">
      <x:c r="A241" s="7" t="str">
        <x:v>Miscellaneous aquatic invertebrates</x:v>
      </x:c>
      <x:c r="B241" s="7" t="str">
        <x:v>Benthic crustaceans</x:v>
      </x:c>
      <x:c r="C241" s="7" t="n">
        <x:v>7</x:v>
      </x:c>
      <x:c r="D241" s="15" t="n">
        <x:v>0.0391</x:v>
      </x:c>
      <x:c r="E241" s="15" t="n">
        <x:v>1.43</x:v>
      </x:c>
      <x:c r="F241" s="15" t="str">
        <x:v>Model catch</x:v>
      </x:c>
      <x:c r="G241" s="15" t="n">
        <x:f>SUMIFS($D$6:$D$449,$A$6:$A$449,A241)</x:f>
        <x:v>1.9583</x:v>
      </x:c>
      <x:c r="H241" s="16" t="n">
        <x:f>D241/G241</x:f>
        <x:v>0.019966297298677427</x:v>
      </x:c>
      <x:c r="I241" s="7" t="str">
        <x:v>Medium</x:v>
      </x:c>
      <x:c r="J241"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1" s="1"/>
    </x:row>
    <x:row r="242" ht="177" customHeight="1">
      <x:c r="A242" s="7" t="str">
        <x:v>Miscellaneous aquatic invertebrates</x:v>
      </x:c>
      <x:c r="B242" s="7" t="str">
        <x:v>Non-ceph molluscs</x:v>
      </x:c>
      <x:c r="C242" s="7" t="n">
        <x:v>8</x:v>
      </x:c>
      <x:c r="D242" s="15" t="n">
        <x:v>0.7623</x:v>
      </x:c>
      <x:c r="E242" s="15" t="n">
        <x:v>2.68</x:v>
      </x:c>
      <x:c r="F242" s="15" t="str">
        <x:v>Model catch</x:v>
      </x:c>
      <x:c r="G242" s="15" t="n">
        <x:f>SUMIFS($D$6:$D$449,$A$6:$A$449,A242)</x:f>
        <x:v>1.9583</x:v>
      </x:c>
      <x:c r="H242" s="16" t="n">
        <x:f>D242/G242</x:f>
        <x:v>0.3892662002757494</x:v>
      </x:c>
      <x:c r="I242" s="7" t="str">
        <x:v>Medium</x:v>
      </x:c>
      <x:c r="J242"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2" s="1"/>
    </x:row>
    <x:row r="243" ht="177" customHeight="1">
      <x:c r="A243" s="7" t="str">
        <x:v>Miscellaneous aquatic invertebrates</x:v>
      </x:c>
      <x:c r="B243" s="7" t="str">
        <x:v>Sessile/other invertebrates</x:v>
      </x:c>
      <x:c r="C243" s="7" t="n">
        <x:v>9</x:v>
      </x:c>
      <x:c r="D243" s="15" t="n">
        <x:v>0.003</x:v>
      </x:c>
      <x:c r="E243" s="15" t="n">
        <x:v>2.61</x:v>
      </x:c>
      <x:c r="F243" s="15" t="str">
        <x:v>Model catch</x:v>
      </x:c>
      <x:c r="G243" s="15" t="n">
        <x:f>SUMIFS($D$6:$D$449,$A$6:$A$449,A243)</x:f>
        <x:v>1.9583</x:v>
      </x:c>
      <x:c r="H243" s="16" t="n">
        <x:f>D243/G243</x:f>
        <x:v>0.0015319409692079865</x:v>
      </x:c>
      <x:c r="I243" s="7" t="str">
        <x:v>Medium</x:v>
      </x:c>
      <x:c r="J243"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3" s="1"/>
    </x:row>
    <x:row r="244" ht="177" customHeight="1">
      <x:c r="A244" s="7" t="str">
        <x:v>Miscellaneous aquatic invertebrates</x:v>
      </x:c>
      <x:c r="B244" s="7" t="str">
        <x:v>Shrimps</x:v>
      </x:c>
      <x:c r="C244" s="7" t="n">
        <x:v>10</x:v>
      </x:c>
      <x:c r="D244" s="15" t="n">
        <x:v>0.6788</x:v>
      </x:c>
      <x:c r="E244" s="15" t="n">
        <x:v>0.194</x:v>
      </x:c>
      <x:c r="F244" s="15" t="str">
        <x:v>Model catch</x:v>
      </x:c>
      <x:c r="G244" s="15" t="n">
        <x:f>SUMIFS($D$6:$D$449,$A$6:$A$449,A244)</x:f>
        <x:v>1.9583</x:v>
      </x:c>
      <x:c r="H244" s="16" t="n">
        <x:f>D244/G244</x:f>
        <x:v>0.34662717663279374</x:v>
      </x:c>
      <x:c r="I244" s="7" t="str">
        <x:v>Medium</x:v>
      </x:c>
      <x:c r="J244"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4" s="1"/>
    </x:row>
    <x:row r="245" ht="177" customHeight="1">
      <x:c r="A245" s="7" t="str">
        <x:v>Miscellaneous aquatic invertebrates</x:v>
      </x:c>
      <x:c r="B245" s="7" t="str">
        <x:v>Crabs</x:v>
      </x:c>
      <x:c r="C245" s="7" t="n">
        <x:v>11</x:v>
      </x:c>
      <x:c r="D245" s="15" t="n">
        <x:v>0.1997</x:v>
      </x:c>
      <x:c r="E245" s="15" t="n">
        <x:v>0.368</x:v>
      </x:c>
      <x:c r="F245" s="15" t="str">
        <x:v>Model catch</x:v>
      </x:c>
      <x:c r="G245" s="15" t="n">
        <x:f>SUMIFS($D$6:$D$449,$A$6:$A$449,A245)</x:f>
        <x:v>1.9583</x:v>
      </x:c>
      <x:c r="H245" s="16" t="n">
        <x:f>D245/G245</x:f>
        <x:v>0.1019762038502783</x:v>
      </x:c>
      <x:c r="I245" s="7" t="str">
        <x:v>Medium</x:v>
      </x:c>
      <x:c r="J245"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5" s="1"/>
    </x:row>
    <x:row r="246" ht="177" customHeight="1">
      <x:c r="A246" s="7" t="str">
        <x:v>Miscellaneous aquatic invertebrates</x:v>
      </x:c>
      <x:c r="B246" s="7" t="str">
        <x:v>Cephalopods</x:v>
      </x:c>
      <x:c r="C246" s="7" t="n">
        <x:v>12</x:v>
      </x:c>
      <x:c r="D246" s="15" t="n">
        <x:v>0.2733</x:v>
      </x:c>
      <x:c r="E246" s="15" t="n">
        <x:v>0.68</x:v>
      </x:c>
      <x:c r="F246" s="15" t="str">
        <x:v>Model catch</x:v>
      </x:c>
      <x:c r="G246" s="15" t="n">
        <x:f>SUMIFS($D$6:$D$449,$A$6:$A$449,A246)</x:f>
        <x:v>1.9583</x:v>
      </x:c>
      <x:c r="H246" s="16" t="n">
        <x:f>D246/G246</x:f>
        <x:v>0.13955982229484756</x:v>
      </x:c>
      <x:c r="I246" s="7" t="str">
        <x:v>Medium</x:v>
      </x:c>
      <x:c r="J246" s="7" t="str">
        <x:v>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The saved catch classification is Other demersal invertebrates. Approximate that category with benthic invertebrate, shrimp, crab and cephalopod compartments; exclude primary producers, pelagic zooplankton and jellyfish. The generic label may span a wider mixture and cephalopods have mixed habitats. Model pool catch only proxies composition; genuine zero-catch polychaetes remain a candidate. Weights use model catch proportions, assumed fixed across years and catch bases. Very low membership confidence; see Sources and the regional Mapping review.</x:v>
      </x:c>
      <x:c r="K246" s="1"/>
    </x:row>
    <x:row r="247" ht="162" customHeight="1">
      <x:c r="A247" s="7" t="str">
        <x:v>Miscellaneous marine crustaceans</x:v>
      </x:c>
      <x:c r="B247" s="7" t="str">
        <x:v>Zooplankton</x:v>
      </x:c>
      <x:c r="C247" s="7" t="n">
        <x:v>3</x:v>
      </x:c>
      <x:c r="D247" s="15" t="n">
        <x:v>0.0948</x:v>
      </x:c>
      <x:c r="E247" s="15" t="n">
        <x:v>9</x:v>
      </x:c>
      <x:c r="F247" s="15" t="str">
        <x:v>Model catch</x:v>
      </x:c>
      <x:c r="G247" s="15" t="n">
        <x:f>SUMIFS($D$6:$D$449,$A$6:$A$449,A247)</x:f>
        <x:v>1.0124</x:v>
      </x:c>
      <x:c r="H247" s="16" t="n">
        <x:f>D247/G247</x:f>
        <x:v>0.09363887791386803</x:v>
      </x:c>
      <x:c r="I247" s="7" t="str">
        <x:v>Medium</x:v>
      </x:c>
      <x:c r="J247"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247" s="1"/>
    </x:row>
    <x:row r="248" ht="162" customHeight="1">
      <x:c r="A248" s="7" t="str">
        <x:v>Miscellaneous marine crustaceans</x:v>
      </x:c>
      <x:c r="B248" s="7" t="str">
        <x:v>Benthic crustaceans</x:v>
      </x:c>
      <x:c r="C248" s="7" t="n">
        <x:v>7</x:v>
      </x:c>
      <x:c r="D248" s="15" t="n">
        <x:v>0.0391</x:v>
      </x:c>
      <x:c r="E248" s="15" t="n">
        <x:v>1.43</x:v>
      </x:c>
      <x:c r="F248" s="15" t="str">
        <x:v>Model catch</x:v>
      </x:c>
      <x:c r="G248" s="15" t="n">
        <x:f>SUMIFS($D$6:$D$449,$A$6:$A$449,A248)</x:f>
        <x:v>1.0124</x:v>
      </x:c>
      <x:c r="H248" s="16" t="n">
        <x:f>D248/G248</x:f>
        <x:v>0.03862109838008693</x:v>
      </x:c>
      <x:c r="I248" s="7" t="str">
        <x:v>Medium</x:v>
      </x:c>
      <x:c r="J248"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248" s="1"/>
    </x:row>
    <x:row r="249" ht="162" customHeight="1">
      <x:c r="A249" s="7" t="str">
        <x:v>Miscellaneous marine crustaceans</x:v>
      </x:c>
      <x:c r="B249" s="7" t="str">
        <x:v>Shrimps</x:v>
      </x:c>
      <x:c r="C249" s="7" t="n">
        <x:v>10</x:v>
      </x:c>
      <x:c r="D249" s="15" t="n">
        <x:v>0.6788</x:v>
      </x:c>
      <x:c r="E249" s="15" t="n">
        <x:v>0.194</x:v>
      </x:c>
      <x:c r="F249" s="15" t="str">
        <x:v>Model catch</x:v>
      </x:c>
      <x:c r="G249" s="15" t="n">
        <x:f>SUMIFS($D$6:$D$449,$A$6:$A$449,A249)</x:f>
        <x:v>1.0124</x:v>
      </x:c>
      <x:c r="H249" s="16" t="n">
        <x:f>D249/G249</x:f>
        <x:v>0.6704859739233504</x:v>
      </x:c>
      <x:c r="I249" s="7" t="str">
        <x:v>Medium</x:v>
      </x:c>
      <x:c r="J249"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249" s="1"/>
    </x:row>
    <x:row r="250" ht="162" customHeight="1">
      <x:c r="A250" s="7" t="str">
        <x:v>Miscellaneous marine crustaceans</x:v>
      </x:c>
      <x:c r="B250" s="7" t="str">
        <x:v>Crabs</x:v>
      </x:c>
      <x:c r="C250" s="7" t="n">
        <x:v>11</x:v>
      </x:c>
      <x:c r="D250" s="15" t="n">
        <x:v>0.1997</x:v>
      </x:c>
      <x:c r="E250" s="15" t="n">
        <x:v>0.368</x:v>
      </x:c>
      <x:c r="F250" s="15" t="str">
        <x:v>Model catch</x:v>
      </x:c>
      <x:c r="G250" s="15" t="n">
        <x:f>SUMIFS($D$6:$D$449,$A$6:$A$449,A250)</x:f>
        <x:v>1.0124</x:v>
      </x:c>
      <x:c r="H250" s="16" t="n">
        <x:f>D250/G250</x:f>
        <x:v>0.1972540497826946</x:v>
      </x:c>
      <x:c r="I250" s="7" t="str">
        <x:v>Medium</x:v>
      </x:c>
      <x:c r="J250" s="7" t="str">
        <x:v>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Crustacean taxonomy and catch functional classification intersect Acetes in Zooplankton, residual benthic crustaceans, shrimps and crabs. Whole model-pool catch is a proxy for the eligible crustacean constituents. For Decapoda the benthic pool also includes non-decapods; its full catch is an explicit composition proxy, not a taxonomic identity claim. Allocation assumes model catch proportions, fixed over 1950–2019 and landings, total catch and discards. See Model group inputs and Sources.</x:v>
      </x:c>
      <x:c r="K250" s="1"/>
    </x:row>
    <x:row r="251" ht="72" customHeight="1">
      <x:c r="A251" s="7" t="str">
        <x:v>Mola mola</x:v>
      </x:c>
      <x:c r="B251" s="7" t="str">
        <x:v>Juvenile large pelagic fish</x:v>
      </x:c>
      <x:c r="C251" s="7" t="n">
        <x:v>30</x:v>
      </x:c>
      <x:c r="D251" s="15" t="n">
        <x:v>0.7384</x:v>
      </x:c>
      <x:c r="E251" s="15" t="n">
        <x:v>0.289</x:v>
      </x:c>
      <x:c r="F251" s="15" t="str">
        <x:v>Model catch</x:v>
      </x:c>
      <x:c r="G251" s="15" t="n">
        <x:f>SUMIFS($D$6:$D$449,$A$6:$A$449,A251)</x:f>
        <x:v>0.8205</x:v>
      </x:c>
      <x:c r="H251" s="16" t="n">
        <x:f>D251/G251</x:f>
        <x:v>0.8999390615478366</x:v>
      </x:c>
      <x:c r="I251" s="7" t="str">
        <x:v>Medium</x:v>
      </x:c>
      <x:c r="J25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1" s="1"/>
    </x:row>
    <x:row r="252" ht="72" customHeight="1">
      <x:c r="A252" s="7" t="str">
        <x:v>Mola mola</x:v>
      </x:c>
      <x:c r="B252" s="7" t="str">
        <x:v>Pelagic fish (&gt; 30 cm)</x:v>
      </x:c>
      <x:c r="C252" s="7" t="n">
        <x:v>31</x:v>
      </x:c>
      <x:c r="D252" s="15" t="n">
        <x:v>0.0821</x:v>
      </x:c>
      <x:c r="E252" s="15" t="n">
        <x:v>0.079</x:v>
      </x:c>
      <x:c r="F252" s="15" t="str">
        <x:v>Model catch</x:v>
      </x:c>
      <x:c r="G252" s="15" t="n">
        <x:f>SUMIFS($D$6:$D$449,$A$6:$A$449,A252)</x:f>
        <x:v>0.8205</x:v>
      </x:c>
      <x:c r="H252" s="16" t="n">
        <x:f>D252/G252</x:f>
        <x:v>0.10006093845216332</x:v>
      </x:c>
      <x:c r="I252" s="7" t="str">
        <x:v>Medium</x:v>
      </x:c>
      <x:c r="J25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252" s="1"/>
    </x:row>
    <x:row r="253" ht="102" customHeight="1">
      <x:c r="A253" s="7" t="str">
        <x:v>Mollusca</x:v>
      </x:c>
      <x:c r="B253" s="7" t="str">
        <x:v>Non-ceph molluscs</x:v>
      </x:c>
      <x:c r="C253" s="7" t="n">
        <x:v>8</x:v>
      </x:c>
      <x:c r="D253" s="15" t="n">
        <x:v>0.7623</x:v>
      </x:c>
      <x:c r="E253" s="15" t="n">
        <x:v>2.68</x:v>
      </x:c>
      <x:c r="F253" s="15" t="str">
        <x:v>Model catch</x:v>
      </x:c>
      <x:c r="G253" s="15" t="n">
        <x:f>SUMIFS($D$6:$D$449,$A$6:$A$449,A253)</x:f>
        <x:v>1.0356</x:v>
      </x:c>
      <x:c r="H253" s="16" t="n">
        <x:f>D253/G253</x:f>
        <x:v>0.7360950173812282</x:v>
      </x:c>
      <x:c r="I253" s="7" t="str">
        <x:v>Medium</x:v>
      </x:c>
      <x:c r="J253" s="7" t="str">
        <x:v>Mollusca includes both non-cephalopod molluscs and cephalopods. Both source compartments are eligible; the former single-pool assignment omitted an eligible lineage. 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x:v>
      </x:c>
      <x:c r="K253" s="1"/>
    </x:row>
    <x:row r="254" ht="102" customHeight="1">
      <x:c r="A254" s="7" t="str">
        <x:v>Mollusca</x:v>
      </x:c>
      <x:c r="B254" s="7" t="str">
        <x:v>Cephalopods</x:v>
      </x:c>
      <x:c r="C254" s="7" t="n">
        <x:v>12</x:v>
      </x:c>
      <x:c r="D254" s="15" t="n">
        <x:v>0.2733</x:v>
      </x:c>
      <x:c r="E254" s="15" t="n">
        <x:v>0.68</x:v>
      </x:c>
      <x:c r="F254" s="15" t="str">
        <x:v>Model catch</x:v>
      </x:c>
      <x:c r="G254" s="15" t="n">
        <x:f>SUMIFS($D$6:$D$449,$A$6:$A$449,A254)</x:f>
        <x:v>1.0356</x:v>
      </x:c>
      <x:c r="H254" s="16" t="n">
        <x:f>D254/G254</x:f>
        <x:v>0.2639049826187717</x:v>
      </x:c>
      <x:c r="I254" s="7" t="str">
        <x:v>Medium</x:v>
      </x:c>
      <x:c r="J254" s="7" t="str">
        <x:v>Mollusca includes both non-cephalopod molluscs and cephalopods. Both source compartments are eligible; the former single-pool assignment omitted an eligible lineage. Mollusca includes both non-cephalopod molluscs and cephalopods. Both source compartments are eligible; the former single-pool assignment omitted an eligible lineage. Allocation assumes model catch proportions, fixed over 1950–2019 and landings, total catch and discards. See Model group inputs and Sources.</x:v>
      </x:c>
      <x:c r="K254" s="1"/>
    </x:row>
    <x:row r="255" ht="87" customHeight="1">
      <x:c r="A255" s="7" t="str">
        <x:v>Monacanthidae</x:v>
      </x:c>
      <x:c r="B255" s="7" t="str">
        <x:v>Juvenile demersal fish (&gt; 30 cm)</x:v>
      </x:c>
      <x:c r="C255" s="7" t="n">
        <x:v>25</x:v>
      </x:c>
      <x:c r="D255" s="15" t="n">
        <x:v>0.3165</x:v>
      </x:c>
      <x:c r="E255" s="15" t="n">
        <x:v>0.143</x:v>
      </x:c>
      <x:c r="F255" s="15" t="str">
        <x:v>Model catch</x:v>
      </x:c>
      <x:c r="G255" s="15" t="n">
        <x:f>SUMIFS($D$6:$D$449,$A$6:$A$449,A255)</x:f>
        <x:v>0.3517</x:v>
      </x:c>
      <x:c r="H255" s="16" t="n">
        <x:f>D255/G255</x:f>
        <x:v>0.8999147000284333</x:v>
      </x:c>
      <x:c r="I255" s="7" t="str">
        <x:v>Medium</x:v>
      </x:c>
      <x:c r="J25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55" s="1"/>
    </x:row>
    <x:row r="256" ht="87" customHeight="1">
      <x:c r="A256" s="7" t="str">
        <x:v>Monacanthidae</x:v>
      </x:c>
      <x:c r="B256" s="7" t="str">
        <x:v>Adult demersal fish (&gt; 30 cm)</x:v>
      </x:c>
      <x:c r="C256" s="7" t="n">
        <x:v>26</x:v>
      </x:c>
      <x:c r="D256" s="15" t="n">
        <x:v>0.0352</x:v>
      </x:c>
      <x:c r="E256" s="15" t="n">
        <x:v>0.021</x:v>
      </x:c>
      <x:c r="F256" s="15" t="str">
        <x:v>Model catch</x:v>
      </x:c>
      <x:c r="G256" s="15" t="n">
        <x:f>SUMIFS($D$6:$D$449,$A$6:$A$449,A256)</x:f>
        <x:v>0.3517</x:v>
      </x:c>
      <x:c r="H256" s="16" t="n">
        <x:f>D256/G256</x:f>
        <x:v>0.10008529997156668</x:v>
      </x:c>
      <x:c r="I256" s="7" t="str">
        <x:v>Medium</x:v>
      </x:c>
      <x:c r="J25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56" s="1"/>
    </x:row>
    <x:row r="257" ht="87" customHeight="1">
      <x:c r="A257" s="7" t="str">
        <x:v>Mugil</x:v>
      </x:c>
      <x:c r="B257" s="7" t="str">
        <x:v>Juvenile demersal fish (&gt; 30 cm)</x:v>
      </x:c>
      <x:c r="C257" s="7" t="n">
        <x:v>25</x:v>
      </x:c>
      <x:c r="D257" s="15" t="n">
        <x:v>0.3165</x:v>
      </x:c>
      <x:c r="E257" s="15" t="n">
        <x:v>0.143</x:v>
      </x:c>
      <x:c r="F257" s="15" t="str">
        <x:v>Model catch</x:v>
      </x:c>
      <x:c r="G257" s="15" t="n">
        <x:f>SUMIFS($D$6:$D$449,$A$6:$A$449,A257)</x:f>
        <x:v>0.3517</x:v>
      </x:c>
      <x:c r="H257" s="16" t="n">
        <x:f>D257/G257</x:f>
        <x:v>0.8999147000284333</x:v>
      </x:c>
      <x:c r="I257" s="7" t="str">
        <x:v>Medium</x:v>
      </x:c>
      <x:c r="J25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57" s="1"/>
    </x:row>
    <x:row r="258" ht="87" customHeight="1">
      <x:c r="A258" s="7" t="str">
        <x:v>Mugil</x:v>
      </x:c>
      <x:c r="B258" s="7" t="str">
        <x:v>Adult demersal fish (&gt; 30 cm)</x:v>
      </x:c>
      <x:c r="C258" s="7" t="n">
        <x:v>26</x:v>
      </x:c>
      <x:c r="D258" s="15" t="n">
        <x:v>0.0352</x:v>
      </x:c>
      <x:c r="E258" s="15" t="n">
        <x:v>0.021</x:v>
      </x:c>
      <x:c r="F258" s="15" t="str">
        <x:v>Model catch</x:v>
      </x:c>
      <x:c r="G258" s="15" t="n">
        <x:f>SUMIFS($D$6:$D$449,$A$6:$A$449,A258)</x:f>
        <x:v>0.3517</x:v>
      </x:c>
      <x:c r="H258" s="16" t="n">
        <x:f>D258/G258</x:f>
        <x:v>0.10008529997156668</x:v>
      </x:c>
      <x:c r="I258" s="7" t="str">
        <x:v>Medium</x:v>
      </x:c>
      <x:c r="J25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58" s="1"/>
    </x:row>
    <x:row r="259" ht="87" customHeight="1">
      <x:c r="A259" s="7" t="str">
        <x:v>Mugilidae</x:v>
      </x:c>
      <x:c r="B259" s="7" t="str">
        <x:v>Juvenile demersal fish (&gt; 30 cm)</x:v>
      </x:c>
      <x:c r="C259" s="7" t="n">
        <x:v>25</x:v>
      </x:c>
      <x:c r="D259" s="15" t="n">
        <x:v>0.3165</x:v>
      </x:c>
      <x:c r="E259" s="15" t="n">
        <x:v>0.143</x:v>
      </x:c>
      <x:c r="F259" s="15" t="str">
        <x:v>Model catch</x:v>
      </x:c>
      <x:c r="G259" s="15" t="n">
        <x:f>SUMIFS($D$6:$D$449,$A$6:$A$449,A259)</x:f>
        <x:v>0.3517</x:v>
      </x:c>
      <x:c r="H259" s="16" t="n">
        <x:f>D259/G259</x:f>
        <x:v>0.8999147000284333</x:v>
      </x:c>
      <x:c r="I259" s="7" t="str">
        <x:v>Medium</x:v>
      </x:c>
      <x:c r="J25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59" s="1"/>
    </x:row>
    <x:row r="260" ht="87" customHeight="1">
      <x:c r="A260" s="7" t="str">
        <x:v>Mugilidae</x:v>
      </x:c>
      <x:c r="B260" s="7" t="str">
        <x:v>Adult demersal fish (&gt; 30 cm)</x:v>
      </x:c>
      <x:c r="C260" s="7" t="n">
        <x:v>26</x:v>
      </x:c>
      <x:c r="D260" s="15" t="n">
        <x:v>0.0352</x:v>
      </x:c>
      <x:c r="E260" s="15" t="n">
        <x:v>0.021</x:v>
      </x:c>
      <x:c r="F260" s="15" t="str">
        <x:v>Model catch</x:v>
      </x:c>
      <x:c r="G260" s="15" t="n">
        <x:f>SUMIFS($D$6:$D$449,$A$6:$A$449,A260)</x:f>
        <x:v>0.3517</x:v>
      </x:c>
      <x:c r="H260" s="16" t="n">
        <x:f>D260/G260</x:f>
        <x:v>0.10008529997156668</x:v>
      </x:c>
      <x:c r="I260" s="7" t="str">
        <x:v>Medium</x:v>
      </x:c>
      <x:c r="J26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0" s="1"/>
    </x:row>
    <x:row r="261" ht="87" customHeight="1">
      <x:c r="A261" s="7" t="str">
        <x:v>Mullidae</x:v>
      </x:c>
      <x:c r="B261" s="7" t="str">
        <x:v>Juvenile demersal fish (&gt; 30 cm)</x:v>
      </x:c>
      <x:c r="C261" s="7" t="n">
        <x:v>25</x:v>
      </x:c>
      <x:c r="D261" s="15" t="n">
        <x:v>0.3165</x:v>
      </x:c>
      <x:c r="E261" s="15" t="n">
        <x:v>0.143</x:v>
      </x:c>
      <x:c r="F261" s="15" t="str">
        <x:v>Model catch</x:v>
      </x:c>
      <x:c r="G261" s="15" t="n">
        <x:f>SUMIFS($D$6:$D$449,$A$6:$A$449,A261)</x:f>
        <x:v>0.3517</x:v>
      </x:c>
      <x:c r="H261" s="16" t="n">
        <x:f>D261/G261</x:f>
        <x:v>0.8999147000284333</x:v>
      </x:c>
      <x:c r="I261" s="7" t="str">
        <x:v>Medium</x:v>
      </x:c>
      <x:c r="J26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1" s="1"/>
    </x:row>
    <x:row r="262" ht="87" customHeight="1">
      <x:c r="A262" s="7" t="str">
        <x:v>Mullidae</x:v>
      </x:c>
      <x:c r="B262" s="7" t="str">
        <x:v>Adult demersal fish (&gt; 30 cm)</x:v>
      </x:c>
      <x:c r="C262" s="7" t="n">
        <x:v>26</x:v>
      </x:c>
      <x:c r="D262" s="15" t="n">
        <x:v>0.0352</x:v>
      </x:c>
      <x:c r="E262" s="15" t="n">
        <x:v>0.021</x:v>
      </x:c>
      <x:c r="F262" s="15" t="str">
        <x:v>Model catch</x:v>
      </x:c>
      <x:c r="G262" s="15" t="n">
        <x:f>SUMIFS($D$6:$D$449,$A$6:$A$449,A262)</x:f>
        <x:v>0.3517</x:v>
      </x:c>
      <x:c r="H262" s="16" t="n">
        <x:f>D262/G262</x:f>
        <x:v>0.10008529997156668</x:v>
      </x:c>
      <x:c r="I262" s="7" t="str">
        <x:v>Medium</x:v>
      </x:c>
      <x:c r="J26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2" s="1"/>
    </x:row>
    <x:row r="263" ht="87" customHeight="1">
      <x:c r="A263" s="7" t="str">
        <x:v>Muraenesocidae</x:v>
      </x:c>
      <x:c r="B263" s="7" t="str">
        <x:v>Juvenile demersal fish (&gt; 30 cm)</x:v>
      </x:c>
      <x:c r="C263" s="7" t="n">
        <x:v>25</x:v>
      </x:c>
      <x:c r="D263" s="15" t="n">
        <x:v>0.3165</x:v>
      </x:c>
      <x:c r="E263" s="15" t="n">
        <x:v>0.143</x:v>
      </x:c>
      <x:c r="F263" s="15" t="str">
        <x:v>Model catch</x:v>
      </x:c>
      <x:c r="G263" s="15" t="n">
        <x:f>SUMIFS($D$6:$D$449,$A$6:$A$449,A263)</x:f>
        <x:v>0.3517</x:v>
      </x:c>
      <x:c r="H263" s="16" t="n">
        <x:f>D263/G263</x:f>
        <x:v>0.8999147000284333</x:v>
      </x:c>
      <x:c r="I263" s="7" t="str">
        <x:v>Medium</x:v>
      </x:c>
      <x:c r="J26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3" s="1"/>
    </x:row>
    <x:row r="264" ht="87" customHeight="1">
      <x:c r="A264" s="7" t="str">
        <x:v>Muraenesocidae</x:v>
      </x:c>
      <x:c r="B264" s="7" t="str">
        <x:v>Adult demersal fish (&gt; 30 cm)</x:v>
      </x:c>
      <x:c r="C264" s="7" t="n">
        <x:v>26</x:v>
      </x:c>
      <x:c r="D264" s="15" t="n">
        <x:v>0.0352</x:v>
      </x:c>
      <x:c r="E264" s="15" t="n">
        <x:v>0.021</x:v>
      </x:c>
      <x:c r="F264" s="15" t="str">
        <x:v>Model catch</x:v>
      </x:c>
      <x:c r="G264" s="15" t="n">
        <x:f>SUMIFS($D$6:$D$449,$A$6:$A$449,A264)</x:f>
        <x:v>0.3517</x:v>
      </x:c>
      <x:c r="H264" s="16" t="n">
        <x:f>D264/G264</x:f>
        <x:v>0.10008529997156668</x:v>
      </x:c>
      <x:c r="I264" s="7" t="str">
        <x:v>Medium</x:v>
      </x:c>
      <x:c r="J26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4" s="1"/>
    </x:row>
    <x:row r="265" ht="87" customHeight="1">
      <x:c r="A265" s="7" t="str">
        <x:v>Muraenesox</x:v>
      </x:c>
      <x:c r="B265" s="7" t="str">
        <x:v>Juvenile demersal fish (&gt; 30 cm)</x:v>
      </x:c>
      <x:c r="C265" s="7" t="n">
        <x:v>25</x:v>
      </x:c>
      <x:c r="D265" s="15" t="n">
        <x:v>0.3165</x:v>
      </x:c>
      <x:c r="E265" s="15" t="n">
        <x:v>0.143</x:v>
      </x:c>
      <x:c r="F265" s="15" t="str">
        <x:v>Model catch</x:v>
      </x:c>
      <x:c r="G265" s="15" t="n">
        <x:f>SUMIFS($D$6:$D$449,$A$6:$A$449,A265)</x:f>
        <x:v>0.3517</x:v>
      </x:c>
      <x:c r="H265" s="16" t="n">
        <x:f>D265/G265</x:f>
        <x:v>0.8999147000284333</x:v>
      </x:c>
      <x:c r="I265" s="7" t="str">
        <x:v>Medium</x:v>
      </x:c>
      <x:c r="J26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5" s="1"/>
    </x:row>
    <x:row r="266" ht="87" customHeight="1">
      <x:c r="A266" s="7" t="str">
        <x:v>Muraenesox</x:v>
      </x:c>
      <x:c r="B266" s="7" t="str">
        <x:v>Adult demersal fish (&gt; 30 cm)</x:v>
      </x:c>
      <x:c r="C266" s="7" t="n">
        <x:v>26</x:v>
      </x:c>
      <x:c r="D266" s="15" t="n">
        <x:v>0.0352</x:v>
      </x:c>
      <x:c r="E266" s="15" t="n">
        <x:v>0.021</x:v>
      </x:c>
      <x:c r="F266" s="15" t="str">
        <x:v>Model catch</x:v>
      </x:c>
      <x:c r="G266" s="15" t="n">
        <x:f>SUMIFS($D$6:$D$449,$A$6:$A$449,A266)</x:f>
        <x:v>0.3517</x:v>
      </x:c>
      <x:c r="H266" s="16" t="n">
        <x:f>D266/G266</x:f>
        <x:v>0.10008529997156668</x:v>
      </x:c>
      <x:c r="I266" s="7" t="str">
        <x:v>Medium</x:v>
      </x:c>
      <x:c r="J26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6" s="1"/>
    </x:row>
    <x:row r="267" ht="87" customHeight="1">
      <x:c r="A267" s="7" t="str">
        <x:v>Muraenesox cinereus</x:v>
      </x:c>
      <x:c r="B267" s="7" t="str">
        <x:v>Juvenile demersal fish (&gt; 30 cm)</x:v>
      </x:c>
      <x:c r="C267" s="7" t="n">
        <x:v>25</x:v>
      </x:c>
      <x:c r="D267" s="15" t="n">
        <x:v>0.3165</x:v>
      </x:c>
      <x:c r="E267" s="15" t="n">
        <x:v>0.143</x:v>
      </x:c>
      <x:c r="F267" s="15" t="str">
        <x:v>Model catch</x:v>
      </x:c>
      <x:c r="G267" s="15" t="n">
        <x:f>SUMIFS($D$6:$D$449,$A$6:$A$449,A267)</x:f>
        <x:v>0.3517</x:v>
      </x:c>
      <x:c r="H267" s="16" t="n">
        <x:f>D267/G267</x:f>
        <x:v>0.8999147000284333</x:v>
      </x:c>
      <x:c r="I267" s="7" t="str">
        <x:v>Medium</x:v>
      </x:c>
      <x:c r="J26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7" s="1"/>
    </x:row>
    <x:row r="268" ht="87" customHeight="1">
      <x:c r="A268" s="7" t="str">
        <x:v>Muraenesox cinereus</x:v>
      </x:c>
      <x:c r="B268" s="7" t="str">
        <x:v>Adult demersal fish (&gt; 30 cm)</x:v>
      </x:c>
      <x:c r="C268" s="7" t="n">
        <x:v>26</x:v>
      </x:c>
      <x:c r="D268" s="15" t="n">
        <x:v>0.0352</x:v>
      </x:c>
      <x:c r="E268" s="15" t="n">
        <x:v>0.021</x:v>
      </x:c>
      <x:c r="F268" s="15" t="str">
        <x:v>Model catch</x:v>
      </x:c>
      <x:c r="G268" s="15" t="n">
        <x:f>SUMIFS($D$6:$D$449,$A$6:$A$449,A268)</x:f>
        <x:v>0.3517</x:v>
      </x:c>
      <x:c r="H268" s="16" t="n">
        <x:f>D268/G268</x:f>
        <x:v>0.10008529997156668</x:v>
      </x:c>
      <x:c r="I268" s="7" t="str">
        <x:v>Medium</x:v>
      </x:c>
      <x:c r="J26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8" s="1"/>
    </x:row>
    <x:row r="269" ht="87" customHeight="1">
      <x:c r="A269" s="7" t="str">
        <x:v>Muraenidae</x:v>
      </x:c>
      <x:c r="B269" s="7" t="str">
        <x:v>Juvenile demersal fish (&gt; 30 cm)</x:v>
      </x:c>
      <x:c r="C269" s="7" t="n">
        <x:v>25</x:v>
      </x:c>
      <x:c r="D269" s="15" t="n">
        <x:v>0.3165</x:v>
      </x:c>
      <x:c r="E269" s="15" t="n">
        <x:v>0.143</x:v>
      </x:c>
      <x:c r="F269" s="15" t="str">
        <x:v>Model catch</x:v>
      </x:c>
      <x:c r="G269" s="15" t="n">
        <x:f>SUMIFS($D$6:$D$449,$A$6:$A$449,A269)</x:f>
        <x:v>0.3517</x:v>
      </x:c>
      <x:c r="H269" s="16" t="n">
        <x:f>D269/G269</x:f>
        <x:v>0.8999147000284333</x:v>
      </x:c>
      <x:c r="I269" s="7" t="str">
        <x:v>Medium</x:v>
      </x:c>
      <x:c r="J26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69" s="1"/>
    </x:row>
    <x:row r="270" ht="87" customHeight="1">
      <x:c r="A270" s="7" t="str">
        <x:v>Muraenidae</x:v>
      </x:c>
      <x:c r="B270" s="7" t="str">
        <x:v>Adult demersal fish (&gt; 30 cm)</x:v>
      </x:c>
      <x:c r="C270" s="7" t="n">
        <x:v>26</x:v>
      </x:c>
      <x:c r="D270" s="15" t="n">
        <x:v>0.0352</x:v>
      </x:c>
      <x:c r="E270" s="15" t="n">
        <x:v>0.021</x:v>
      </x:c>
      <x:c r="F270" s="15" t="str">
        <x:v>Model catch</x:v>
      </x:c>
      <x:c r="G270" s="15" t="n">
        <x:f>SUMIFS($D$6:$D$449,$A$6:$A$449,A270)</x:f>
        <x:v>0.3517</x:v>
      </x:c>
      <x:c r="H270" s="16" t="n">
        <x:f>D270/G270</x:f>
        <x:v>0.10008529997156668</x:v>
      </x:c>
      <x:c r="I270" s="7" t="str">
        <x:v>Medium</x:v>
      </x:c>
      <x:c r="J27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0" s="1"/>
    </x:row>
    <x:row r="271" ht="87" customHeight="1">
      <x:c r="A271" s="7" t="str">
        <x:v>Netuma thalassina</x:v>
      </x:c>
      <x:c r="B271" s="7" t="str">
        <x:v>Juvenile demersal fish (&gt; 30 cm)</x:v>
      </x:c>
      <x:c r="C271" s="7" t="n">
        <x:v>25</x:v>
      </x:c>
      <x:c r="D271" s="15" t="n">
        <x:v>0.3165</x:v>
      </x:c>
      <x:c r="E271" s="15" t="n">
        <x:v>0.143</x:v>
      </x:c>
      <x:c r="F271" s="15" t="str">
        <x:v>Model catch</x:v>
      </x:c>
      <x:c r="G271" s="15" t="n">
        <x:f>SUMIFS($D$6:$D$449,$A$6:$A$449,A271)</x:f>
        <x:v>0.3517</x:v>
      </x:c>
      <x:c r="H271" s="16" t="n">
        <x:f>D271/G271</x:f>
        <x:v>0.8999147000284333</x:v>
      </x:c>
      <x:c r="I271" s="7" t="str">
        <x:v>Medium</x:v>
      </x:c>
      <x:c r="J27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1" s="1"/>
    </x:row>
    <x:row r="272" ht="87" customHeight="1">
      <x:c r="A272" s="7" t="str">
        <x:v>Netuma thalassina</x:v>
      </x:c>
      <x:c r="B272" s="7" t="str">
        <x:v>Adult demersal fish (&gt; 30 cm)</x:v>
      </x:c>
      <x:c r="C272" s="7" t="n">
        <x:v>26</x:v>
      </x:c>
      <x:c r="D272" s="15" t="n">
        <x:v>0.0352</x:v>
      </x:c>
      <x:c r="E272" s="15" t="n">
        <x:v>0.021</x:v>
      </x:c>
      <x:c r="F272" s="15" t="str">
        <x:v>Model catch</x:v>
      </x:c>
      <x:c r="G272" s="15" t="n">
        <x:f>SUMIFS($D$6:$D$449,$A$6:$A$449,A272)</x:f>
        <x:v>0.3517</x:v>
      </x:c>
      <x:c r="H272" s="16" t="n">
        <x:f>D272/G272</x:f>
        <x:v>0.10008529997156668</x:v>
      </x:c>
      <x:c r="I272" s="7" t="str">
        <x:v>Medium</x:v>
      </x:c>
      <x:c r="J27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2" s="1"/>
    </x:row>
    <x:row r="273" ht="87" customHeight="1">
      <x:c r="A273" s="7" t="str">
        <x:v>Nibea albiflora</x:v>
      </x:c>
      <x:c r="B273" s="7" t="str">
        <x:v>Juvenile large croakers</x:v>
      </x:c>
      <x:c r="C273" s="7" t="n">
        <x:v>22</x:v>
      </x:c>
      <x:c r="D273" s="15" t="n">
        <x:v>0.071</x:v>
      </x:c>
      <x:c r="E273" s="15" t="n">
        <x:v>0.04</x:v>
      </x:c>
      <x:c r="F273" s="15" t="str">
        <x:v>Model catch</x:v>
      </x:c>
      <x:c r="G273" s="15" t="n">
        <x:f>SUMIFS($D$6:$D$449,$A$6:$A$449,A273)</x:f>
        <x:v>0.07899999999999999</x:v>
      </x:c>
      <x:c r="H273" s="16" t="n">
        <x:f>D273/G273</x:f>
        <x:v>0.8987341772151899</x:v>
      </x:c>
      <x:c r="I273" s="7" t="str">
        <x:v>Medium</x:v>
      </x:c>
      <x:c r="J273"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273" s="1"/>
    </x:row>
    <x:row r="274" ht="87" customHeight="1">
      <x:c r="A274" s="7" t="str">
        <x:v>Nibea albiflora</x:v>
      </x:c>
      <x:c r="B274" s="7" t="str">
        <x:v>Croakers (&gt; 30 cm)</x:v>
      </x:c>
      <x:c r="C274" s="7" t="n">
        <x:v>23</x:v>
      </x:c>
      <x:c r="D274" s="15" t="n">
        <x:v>0.008</x:v>
      </x:c>
      <x:c r="E274" s="15" t="n">
        <x:v>0.0094</x:v>
      </x:c>
      <x:c r="F274" s="15" t="str">
        <x:v>Model catch</x:v>
      </x:c>
      <x:c r="G274" s="15" t="n">
        <x:f>SUMIFS($D$6:$D$449,$A$6:$A$449,A274)</x:f>
        <x:v>0.07899999999999999</x:v>
      </x:c>
      <x:c r="H274" s="16" t="n">
        <x:f>D274/G274</x:f>
        <x:v>0.10126582278481014</x:v>
      </x:c>
      <x:c r="I274" s="7" t="str">
        <x:v>Medium</x:v>
      </x:c>
      <x:c r="J274"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274" s="1"/>
    </x:row>
    <x:row r="275" ht="87" customHeight="1">
      <x:c r="A275" s="7" t="str">
        <x:v>Nibea mitsukurii</x:v>
      </x:c>
      <x:c r="B275" s="7" t="str">
        <x:v>Juvenile large croakers</x:v>
      </x:c>
      <x:c r="C275" s="7" t="n">
        <x:v>22</x:v>
      </x:c>
      <x:c r="D275" s="15" t="n">
        <x:v>0.071</x:v>
      </x:c>
      <x:c r="E275" s="15" t="n">
        <x:v>0.04</x:v>
      </x:c>
      <x:c r="F275" s="15" t="str">
        <x:v>Model catch</x:v>
      </x:c>
      <x:c r="G275" s="15" t="n">
        <x:f>SUMIFS($D$6:$D$449,$A$6:$A$449,A275)</x:f>
        <x:v>0.07899999999999999</x:v>
      </x:c>
      <x:c r="H275" s="16" t="n">
        <x:f>D275/G275</x:f>
        <x:v>0.8987341772151899</x:v>
      </x:c>
      <x:c r="I275" s="7" t="str">
        <x:v>Medium</x:v>
      </x:c>
      <x:c r="J275"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275" s="1"/>
    </x:row>
    <x:row r="276" ht="87" customHeight="1">
      <x:c r="A276" s="7" t="str">
        <x:v>Nibea mitsukurii</x:v>
      </x:c>
      <x:c r="B276" s="7" t="str">
        <x:v>Croakers (&gt; 30 cm)</x:v>
      </x:c>
      <x:c r="C276" s="7" t="n">
        <x:v>23</x:v>
      </x:c>
      <x:c r="D276" s="15" t="n">
        <x:v>0.008</x:v>
      </x:c>
      <x:c r="E276" s="15" t="n">
        <x:v>0.0094</x:v>
      </x:c>
      <x:c r="F276" s="15" t="str">
        <x:v>Model catch</x:v>
      </x:c>
      <x:c r="G276" s="15" t="n">
        <x:f>SUMIFS($D$6:$D$449,$A$6:$A$449,A276)</x:f>
        <x:v>0.07899999999999999</x:v>
      </x:c>
      <x:c r="H276" s="16" t="n">
        <x:f>D276/G276</x:f>
        <x:v>0.10126582278481014</x:v>
      </x:c>
      <x:c r="I276" s="7" t="str">
        <x:v>Medium</x:v>
      </x:c>
      <x:c r="J276" s="7" t="str">
        <x:v>Large Sciaenidae including Larimichthys crocea, species maximum length &gt;30 cm; juvenile/adult split at 24 months. Small-croaker group is not same-species juvenile pool. Assumed fixed stage allocation across catch years; model-group aggregate catches need not represent species-specific, regional, annual or gear-specific size composition. No biomass weighting or SAU speciesmaxsize used. Source and numerical diagnostic limitations remain.</x:v>
      </x:c>
      <x:c r="K276" s="1"/>
    </x:row>
    <x:row r="277" ht="87" customHeight="1">
      <x:c r="A277" s="7" t="str">
        <x:v>Pagrus auratus</x:v>
      </x:c>
      <x:c r="B277" s="7" t="str">
        <x:v>Juvenile demersal fish (&gt; 30 cm)</x:v>
      </x:c>
      <x:c r="C277" s="7" t="n">
        <x:v>25</x:v>
      </x:c>
      <x:c r="D277" s="15" t="n">
        <x:v>0.3165</x:v>
      </x:c>
      <x:c r="E277" s="15" t="n">
        <x:v>0.143</x:v>
      </x:c>
      <x:c r="F277" s="15" t="str">
        <x:v>Model catch</x:v>
      </x:c>
      <x:c r="G277" s="15" t="n">
        <x:f>SUMIFS($D$6:$D$449,$A$6:$A$449,A277)</x:f>
        <x:v>0.3517</x:v>
      </x:c>
      <x:c r="H277" s="16" t="n">
        <x:f>D277/G277</x:f>
        <x:v>0.8999147000284333</x:v>
      </x:c>
      <x:c r="I277" s="7" t="str">
        <x:v>Medium</x:v>
      </x:c>
      <x:c r="J27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7" s="1"/>
    </x:row>
    <x:row r="278" ht="87" customHeight="1">
      <x:c r="A278" s="7" t="str">
        <x:v>Pagrus auratus</x:v>
      </x:c>
      <x:c r="B278" s="7" t="str">
        <x:v>Adult demersal fish (&gt; 30 cm)</x:v>
      </x:c>
      <x:c r="C278" s="7" t="n">
        <x:v>26</x:v>
      </x:c>
      <x:c r="D278" s="15" t="n">
        <x:v>0.0352</x:v>
      </x:c>
      <x:c r="E278" s="15" t="n">
        <x:v>0.021</x:v>
      </x:c>
      <x:c r="F278" s="15" t="str">
        <x:v>Model catch</x:v>
      </x:c>
      <x:c r="G278" s="15" t="n">
        <x:f>SUMIFS($D$6:$D$449,$A$6:$A$449,A278)</x:f>
        <x:v>0.3517</x:v>
      </x:c>
      <x:c r="H278" s="16" t="n">
        <x:f>D278/G278</x:f>
        <x:v>0.10008529997156668</x:v>
      </x:c>
      <x:c r="I278" s="7" t="str">
        <x:v>Medium</x:v>
      </x:c>
      <x:c r="J27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8" s="1"/>
    </x:row>
    <x:row r="279" ht="87" customHeight="1">
      <x:c r="A279" s="7" t="str">
        <x:v>Pagrus major</x:v>
      </x:c>
      <x:c r="B279" s="7" t="str">
        <x:v>Juvenile demersal fish (&gt; 30 cm)</x:v>
      </x:c>
      <x:c r="C279" s="7" t="n">
        <x:v>25</x:v>
      </x:c>
      <x:c r="D279" s="15" t="n">
        <x:v>0.3165</x:v>
      </x:c>
      <x:c r="E279" s="15" t="n">
        <x:v>0.143</x:v>
      </x:c>
      <x:c r="F279" s="15" t="str">
        <x:v>Model catch</x:v>
      </x:c>
      <x:c r="G279" s="15" t="n">
        <x:f>SUMIFS($D$6:$D$449,$A$6:$A$449,A279)</x:f>
        <x:v>0.3517</x:v>
      </x:c>
      <x:c r="H279" s="16" t="n">
        <x:f>D279/G279</x:f>
        <x:v>0.8999147000284333</x:v>
      </x:c>
      <x:c r="I279" s="7" t="str">
        <x:v>Medium</x:v>
      </x:c>
      <x:c r="J27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79" s="1"/>
    </x:row>
    <x:row r="280" ht="87" customHeight="1">
      <x:c r="A280" s="7" t="str">
        <x:v>Pagrus major</x:v>
      </x:c>
      <x:c r="B280" s="7" t="str">
        <x:v>Adult demersal fish (&gt; 30 cm)</x:v>
      </x:c>
      <x:c r="C280" s="7" t="n">
        <x:v>26</x:v>
      </x:c>
      <x:c r="D280" s="15" t="n">
        <x:v>0.0352</x:v>
      </x:c>
      <x:c r="E280" s="15" t="n">
        <x:v>0.021</x:v>
      </x:c>
      <x:c r="F280" s="15" t="str">
        <x:v>Model catch</x:v>
      </x:c>
      <x:c r="G280" s="15" t="n">
        <x:f>SUMIFS($D$6:$D$449,$A$6:$A$449,A280)</x:f>
        <x:v>0.3517</x:v>
      </x:c>
      <x:c r="H280" s="16" t="n">
        <x:f>D280/G280</x:f>
        <x:v>0.10008529997156668</x:v>
      </x:c>
      <x:c r="I280" s="7" t="str">
        <x:v>Medium</x:v>
      </x:c>
      <x:c r="J28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0" s="1"/>
    </x:row>
    <x:row r="281" ht="177" customHeight="1">
      <x:c r="A281" s="7" t="str">
        <x:v>Paralichthyidae</x:v>
      </x:c>
      <x:c r="B281" s="7" t="str">
        <x:v>Demesral fish (≤ 30 cm)</x:v>
      </x:c>
      <x:c r="C281" s="7" t="n">
        <x:v>24</x:v>
      </x:c>
      <x:c r="D281" s="15" t="n">
        <x:v>0.1788</x:v>
      </x:c>
      <x:c r="E281" s="15" t="n">
        <x:v>0.316</x:v>
      </x:c>
      <x:c r="F281" s="15" t="str">
        <x:v>Model catch</x:v>
      </x:c>
      <x:c r="G281" s="15" t="n">
        <x:f>SUMIFS($D$6:$D$449,$A$6:$A$449,A281)</x:f>
        <x:v>0.5305</x:v>
      </x:c>
      <x:c r="H281" s="16" t="n">
        <x:f>D281/G281</x:f>
        <x:v>0.33704052780395855</x:v>
      </x:c>
      <x:c r="I281" s="7" t="str">
        <x:v>Medium</x:v>
      </x:c>
      <x:c r="J281"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81" s="1"/>
    </x:row>
    <x:row r="282" ht="177" customHeight="1">
      <x:c r="A282" s="7" t="str">
        <x:v>Paralichthyidae</x:v>
      </x:c>
      <x:c r="B282" s="7" t="str">
        <x:v>Juvenile demersal fish (&gt; 30 cm)</x:v>
      </x:c>
      <x:c r="C282" s="7" t="n">
        <x:v>25</x:v>
      </x:c>
      <x:c r="D282" s="15" t="n">
        <x:v>0.3165</x:v>
      </x:c>
      <x:c r="E282" s="15" t="n">
        <x:v>0.143</x:v>
      </x:c>
      <x:c r="F282" s="15" t="str">
        <x:v>Model catch</x:v>
      </x:c>
      <x:c r="G282" s="15" t="n">
        <x:f>SUMIFS($D$6:$D$449,$A$6:$A$449,A282)</x:f>
        <x:v>0.5305</x:v>
      </x:c>
      <x:c r="H282" s="16" t="n">
        <x:f>D282/G282</x:f>
        <x:v>0.5966069745523092</x:v>
      </x:c>
      <x:c r="I282" s="7" t="str">
        <x:v>Medium</x:v>
      </x:c>
      <x:c r="J282"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82" s="1"/>
    </x:row>
    <x:row r="283" ht="177" customHeight="1">
      <x:c r="A283" s="7" t="str">
        <x:v>Paralichthyidae</x:v>
      </x:c>
      <x:c r="B283" s="7" t="str">
        <x:v>Adult demersal fish (&gt; 30 cm)</x:v>
      </x:c>
      <x:c r="C283" s="7" t="n">
        <x:v>26</x:v>
      </x:c>
      <x:c r="D283" s="15" t="n">
        <x:v>0.0352</x:v>
      </x:c>
      <x:c r="E283" s="15" t="n">
        <x:v>0.021</x:v>
      </x:c>
      <x:c r="F283" s="15" t="str">
        <x:v>Model catch</x:v>
      </x:c>
      <x:c r="G283" s="15" t="n">
        <x:f>SUMIFS($D$6:$D$449,$A$6:$A$449,A283)</x:f>
        <x:v>0.5305</x:v>
      </x:c>
      <x:c r="H283" s="16" t="n">
        <x:f>D283/G283</x:f>
        <x:v>0.06635249764373234</x:v>
      </x:c>
      <x:c r="I283" s="7" t="str">
        <x:v>Medium</x:v>
      </x:c>
      <x:c r="J283"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283" s="1"/>
    </x:row>
    <x:row r="284" ht="237" customHeight="1">
      <x:c r="A284" s="7" t="str">
        <x:v>Paralichthys olivaceus</x:v>
      </x:c>
      <x:c r="B284" s="7" t="str">
        <x:v>Juvenile demersal fish (&gt; 30 cm)</x:v>
      </x:c>
      <x:c r="C284" s="7" t="n">
        <x:v>25</x:v>
      </x:c>
      <x:c r="D284" s="15" t="n">
        <x:v>0.3165</x:v>
      </x:c>
      <x:c r="E284" s="15" t="n">
        <x:v>0.143</x:v>
      </x:c>
      <x:c r="F284" s="15" t="str">
        <x:v>Model catch</x:v>
      </x:c>
      <x:c r="G284" s="15" t="n">
        <x:f>SUMIFS($D$6:$D$449,$A$6:$A$449,A284)</x:f>
        <x:v>0.3517</x:v>
      </x:c>
      <x:c r="H284" s="16" t="n">
        <x:f>D284/G284</x:f>
        <x:v>0.8999147000284333</x:v>
      </x:c>
      <x:c r="I284" s="7" t="str">
        <x:v>Medium</x:v>
      </x:c>
      <x:c r="J284"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284" s="1"/>
    </x:row>
    <x:row r="285" ht="237" customHeight="1">
      <x:c r="A285" s="7" t="str">
        <x:v>Paralichthys olivaceus</x:v>
      </x:c>
      <x:c r="B285" s="7" t="str">
        <x:v>Adult demersal fish (&gt; 30 cm)</x:v>
      </x:c>
      <x:c r="C285" s="7" t="n">
        <x:v>26</x:v>
      </x:c>
      <x:c r="D285" s="15" t="n">
        <x:v>0.0352</x:v>
      </x:c>
      <x:c r="E285" s="15" t="n">
        <x:v>0.021</x:v>
      </x:c>
      <x:c r="F285" s="15" t="str">
        <x:v>Model catch</x:v>
      </x:c>
      <x:c r="G285" s="15" t="n">
        <x:f>SUMIFS($D$6:$D$449,$A$6:$A$449,A285)</x:f>
        <x:v>0.3517</x:v>
      </x:c>
      <x:c r="H285" s="16" t="n">
        <x:f>D285/G285</x:f>
        <x:v>0.10008529997156668</x:v>
      </x:c>
      <x:c r="I285" s="7" t="str">
        <x:v>Medium</x:v>
      </x:c>
      <x:c r="J285"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285" s="1"/>
    </x:row>
    <x:row r="286" ht="87" customHeight="1">
      <x:c r="A286" s="7" t="str">
        <x:v>Parupeneus barberinus</x:v>
      </x:c>
      <x:c r="B286" s="7" t="str">
        <x:v>Juvenile demersal fish (&gt; 30 cm)</x:v>
      </x:c>
      <x:c r="C286" s="7" t="n">
        <x:v>25</x:v>
      </x:c>
      <x:c r="D286" s="15" t="n">
        <x:v>0.3165</x:v>
      </x:c>
      <x:c r="E286" s="15" t="n">
        <x:v>0.143</x:v>
      </x:c>
      <x:c r="F286" s="15" t="str">
        <x:v>Model catch</x:v>
      </x:c>
      <x:c r="G286" s="15" t="n">
        <x:f>SUMIFS($D$6:$D$449,$A$6:$A$449,A286)</x:f>
        <x:v>0.3517</x:v>
      </x:c>
      <x:c r="H286" s="16" t="n">
        <x:f>D286/G286</x:f>
        <x:v>0.8999147000284333</x:v>
      </x:c>
      <x:c r="I286" s="7" t="str">
        <x:v>Medium</x:v>
      </x:c>
      <x:c r="J28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6" s="1"/>
    </x:row>
    <x:row r="287" ht="87" customHeight="1">
      <x:c r="A287" s="7" t="str">
        <x:v>Parupeneus barberinus</x:v>
      </x:c>
      <x:c r="B287" s="7" t="str">
        <x:v>Adult demersal fish (&gt; 30 cm)</x:v>
      </x:c>
      <x:c r="C287" s="7" t="n">
        <x:v>26</x:v>
      </x:c>
      <x:c r="D287" s="15" t="n">
        <x:v>0.0352</x:v>
      </x:c>
      <x:c r="E287" s="15" t="n">
        <x:v>0.021</x:v>
      </x:c>
      <x:c r="F287" s="15" t="str">
        <x:v>Model catch</x:v>
      </x:c>
      <x:c r="G287" s="15" t="n">
        <x:f>SUMIFS($D$6:$D$449,$A$6:$A$449,A287)</x:f>
        <x:v>0.3517</x:v>
      </x:c>
      <x:c r="H287" s="16" t="n">
        <x:f>D287/G287</x:f>
        <x:v>0.10008529997156668</x:v>
      </x:c>
      <x:c r="I287" s="7" t="str">
        <x:v>Medium</x:v>
      </x:c>
      <x:c r="J28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287" s="1"/>
    </x:row>
    <x:row r="288" ht="162" customHeight="1">
      <x:c r="A288" s="7" t="str">
        <x:v>Perciformes</x:v>
      </x:c>
      <x:c r="B288" s="7" t="str">
        <x:v>Threadfin bream (nemipterids)</x:v>
      </x:c>
      <x:c r="C288" s="7" t="n">
        <x:v>13</x:v>
      </x:c>
      <x:c r="D288" s="15" t="n">
        <x:v>0.657</x:v>
      </x:c>
      <x:c r="E288" s="15" t="n">
        <x:v>0.26</x:v>
      </x:c>
      <x:c r="F288" s="15" t="str">
        <x:v>Model catch</x:v>
      </x:c>
      <x:c r="G288" s="15" t="n">
        <x:f>SUMIFS($D$6:$D$449,$A$6:$A$449,A288)</x:f>
        <x:v>5.609699999999999</x:v>
      </x:c>
      <x:c r="H288" s="16" t="n">
        <x:f>D288/G288</x:f>
        <x:v>0.11711856248997275</x:v>
      </x:c>
      <x:c r="I288" s="7" t="str">
        <x:v>Medium</x:v>
      </x:c>
      <x:c r="J288"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88" s="1"/>
    </x:row>
    <x:row r="289" ht="162" customHeight="1">
      <x:c r="A289" s="7" t="str">
        <x:v>Perciformes</x:v>
      </x:c>
      <x:c r="B289" s="7" t="str">
        <x:v>Bigeyes (priacanthids)</x:v>
      </x:c>
      <x:c r="C289" s="7" t="n">
        <x:v>14</x:v>
      </x:c>
      <x:c r="D289" s="15" t="n">
        <x:v>0.206</x:v>
      </x:c>
      <x:c r="E289" s="15" t="n">
        <x:v>0.13</x:v>
      </x:c>
      <x:c r="F289" s="15" t="str">
        <x:v>Model catch</x:v>
      </x:c>
      <x:c r="G289" s="15" t="n">
        <x:f>SUMIFS($D$6:$D$449,$A$6:$A$449,A289)</x:f>
        <x:v>5.609699999999999</x:v>
      </x:c>
      <x:c r="H289" s="16" t="n">
        <x:f>D289/G289</x:f>
        <x:v>0.0367221063514983</x:v>
      </x:c>
      <x:c r="I289" s="7" t="str">
        <x:v>Medium</x:v>
      </x:c>
      <x:c r="J289"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89" s="1"/>
    </x:row>
    <x:row r="290" ht="162" customHeight="1">
      <x:c r="A290" s="7" t="str">
        <x:v>Perciformes</x:v>
      </x:c>
      <x:c r="B290" s="7" t="str">
        <x:v>Juvenile Hairtail (trichiurids)</x:v>
      </x:c>
      <x:c r="C290" s="7" t="n">
        <x:v>16</x:v>
      </x:c>
      <x:c r="D290" s="15" t="n">
        <x:v>0.028</x:v>
      </x:c>
      <x:c r="E290" s="15" t="n">
        <x:v>0.015</x:v>
      </x:c>
      <x:c r="F290" s="15" t="str">
        <x:v>Model catch</x:v>
      </x:c>
      <x:c r="G290" s="15" t="n">
        <x:f>SUMIFS($D$6:$D$449,$A$6:$A$449,A290)</x:f>
        <x:v>5.609699999999999</x:v>
      </x:c>
      <x:c r="H290" s="16" t="n">
        <x:f>D290/G290</x:f>
        <x:v>0.004991354261368702</x:v>
      </x:c>
      <x:c r="I290" s="7" t="str">
        <x:v>Medium</x:v>
      </x:c>
      <x:c r="J290"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0" s="1"/>
    </x:row>
    <x:row r="291" ht="162" customHeight="1">
      <x:c r="A291" s="7" t="str">
        <x:v>Perciformes</x:v>
      </x:c>
      <x:c r="B291" s="7" t="str">
        <x:v>Adult hairtail (trichiurids)</x:v>
      </x:c>
      <x:c r="C291" s="7" t="n">
        <x:v>17</x:v>
      </x:c>
      <x:c r="D291" s="15" t="n">
        <x:v>0.0072</x:v>
      </x:c>
      <x:c r="E291" s="15" t="n">
        <x:v>0.012</x:v>
      </x:c>
      <x:c r="F291" s="15" t="str">
        <x:v>Model catch</x:v>
      </x:c>
      <x:c r="G291" s="15" t="n">
        <x:f>SUMIFS($D$6:$D$449,$A$6:$A$449,A291)</x:f>
        <x:v>5.609699999999999</x:v>
      </x:c>
      <x:c r="H291" s="16" t="n">
        <x:f>D291/G291</x:f>
        <x:v>0.0012834910957805232</x:v>
      </x:c>
      <x:c r="I291" s="7" t="str">
        <x:v>Medium</x:v>
      </x:c>
      <x:c r="J291"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1" s="1"/>
    </x:row>
    <x:row r="292" ht="162" customHeight="1">
      <x:c r="A292" s="7" t="str">
        <x:v>Perciformes</x:v>
      </x:c>
      <x:c r="B292" s="7" t="str">
        <x:v>Pomfret (stromateids)</x:v>
      </x:c>
      <x:c r="C292" s="7" t="n">
        <x:v>18</x:v>
      </x:c>
      <x:c r="D292" s="15" t="n">
        <x:v>0.239</x:v>
      </x:c>
      <x:c r="E292" s="15" t="n">
        <x:v>0.108</x:v>
      </x:c>
      <x:c r="F292" s="15" t="str">
        <x:v>Model catch</x:v>
      </x:c>
      <x:c r="G292" s="15" t="n">
        <x:f>SUMIFS($D$6:$D$449,$A$6:$A$449,A292)</x:f>
        <x:v>5.609699999999999</x:v>
      </x:c>
      <x:c r="H292" s="16" t="n">
        <x:f>D292/G292</x:f>
        <x:v>0.0426047738738257</x:v>
      </x:c>
      <x:c r="I292" s="7" t="str">
        <x:v>Medium</x:v>
      </x:c>
      <x:c r="J292"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2" s="1"/>
    </x:row>
    <x:row r="293" ht="162" customHeight="1">
      <x:c r="A293" s="7" t="str">
        <x:v>Perciformes</x:v>
      </x:c>
      <x:c r="B293" s="7" t="str">
        <x:v>Snappers</x:v>
      </x:c>
      <x:c r="C293" s="7" t="n">
        <x:v>19</x:v>
      </x:c>
      <x:c r="D293" s="15" t="n">
        <x:v>0.0011</x:v>
      </x:c>
      <x:c r="E293" s="15" t="n">
        <x:v>0.0013</x:v>
      </x:c>
      <x:c r="F293" s="15" t="str">
        <x:v>Model catch</x:v>
      </x:c>
      <x:c r="G293" s="15" t="n">
        <x:f>SUMIFS($D$6:$D$449,$A$6:$A$449,A293)</x:f>
        <x:v>5.609699999999999</x:v>
      </x:c>
      <x:c r="H293" s="16" t="n">
        <x:f>D293/G293</x:f>
        <x:v>0.00019608891741091327</x:v>
      </x:c>
      <x:c r="I293" s="7" t="str">
        <x:v>Medium</x:v>
      </x:c>
      <x:c r="J293"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3" s="1"/>
    </x:row>
    <x:row r="294" ht="162" customHeight="1">
      <x:c r="A294" s="7" t="str">
        <x:v>Perciformes</x:v>
      </x:c>
      <x:c r="B294" s="7" t="str">
        <x:v>Adult groupers</x:v>
      </x:c>
      <x:c r="C294" s="7" t="n">
        <x:v>20</x:v>
      </x:c>
      <x:c r="D294" s="15" t="n">
        <x:v>0.0089</x:v>
      </x:c>
      <x:c r="E294" s="15" t="n">
        <x:v>0.0064</x:v>
      </x:c>
      <x:c r="F294" s="15" t="str">
        <x:v>Model catch</x:v>
      </x:c>
      <x:c r="G294" s="15" t="n">
        <x:f>SUMIFS($D$6:$D$449,$A$6:$A$449,A294)</x:f>
        <x:v>5.609699999999999</x:v>
      </x:c>
      <x:c r="H294" s="16" t="n">
        <x:f>D294/G294</x:f>
        <x:v>0.00158653760450648</x:v>
      </x:c>
      <x:c r="I294" s="7" t="str">
        <x:v>Medium</x:v>
      </x:c>
      <x:c r="J294"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4" s="1"/>
    </x:row>
    <x:row r="295" ht="162" customHeight="1">
      <x:c r="A295" s="7" t="str">
        <x:v>Perciformes</x:v>
      </x:c>
      <x:c r="B295" s="7" t="str">
        <x:v>Croakers (≤ 30 cm)</x:v>
      </x:c>
      <x:c r="C295" s="7" t="n">
        <x:v>21</x:v>
      </x:c>
      <x:c r="D295" s="15" t="n">
        <x:v>0.0351</x:v>
      </x:c>
      <x:c r="E295" s="15" t="n">
        <x:v>0.07</x:v>
      </x:c>
      <x:c r="F295" s="15" t="str">
        <x:v>Model catch</x:v>
      </x:c>
      <x:c r="G295" s="15" t="n">
        <x:f>SUMIFS($D$6:$D$449,$A$6:$A$449,A295)</x:f>
        <x:v>5.609699999999999</x:v>
      </x:c>
      <x:c r="H295" s="16" t="n">
        <x:f>D295/G295</x:f>
        <x:v>0.00625701909193005</x:v>
      </x:c>
      <x:c r="I295" s="7" t="str">
        <x:v>Medium</x:v>
      </x:c>
      <x:c r="J295"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5" s="1"/>
    </x:row>
    <x:row r="296" ht="162" customHeight="1">
      <x:c r="A296" s="7" t="str">
        <x:v>Perciformes</x:v>
      </x:c>
      <x:c r="B296" s="7" t="str">
        <x:v>Juvenile large croakers</x:v>
      </x:c>
      <x:c r="C296" s="7" t="n">
        <x:v>22</x:v>
      </x:c>
      <x:c r="D296" s="15" t="n">
        <x:v>0.071</x:v>
      </x:c>
      <x:c r="E296" s="15" t="n">
        <x:v>0.04</x:v>
      </x:c>
      <x:c r="F296" s="15" t="str">
        <x:v>Model catch</x:v>
      </x:c>
      <x:c r="G296" s="15" t="n">
        <x:f>SUMIFS($D$6:$D$449,$A$6:$A$449,A296)</x:f>
        <x:v>5.609699999999999</x:v>
      </x:c>
      <x:c r="H296" s="16" t="n">
        <x:f>D296/G296</x:f>
        <x:v>0.012656648305613492</x:v>
      </x:c>
      <x:c r="I296" s="7" t="str">
        <x:v>Medium</x:v>
      </x:c>
      <x:c r="J296"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6" s="1"/>
    </x:row>
    <x:row r="297" ht="162" customHeight="1">
      <x:c r="A297" s="7" t="str">
        <x:v>Perciformes</x:v>
      </x:c>
      <x:c r="B297" s="7" t="str">
        <x:v>Croakers (&gt; 30 cm)</x:v>
      </x:c>
      <x:c r="C297" s="7" t="n">
        <x:v>23</x:v>
      </x:c>
      <x:c r="D297" s="15" t="n">
        <x:v>0.008</x:v>
      </x:c>
      <x:c r="E297" s="15" t="n">
        <x:v>0.0094</x:v>
      </x:c>
      <x:c r="F297" s="15" t="str">
        <x:v>Model catch</x:v>
      </x:c>
      <x:c r="G297" s="15" t="n">
        <x:f>SUMIFS($D$6:$D$449,$A$6:$A$449,A297)</x:f>
        <x:v>5.609699999999999</x:v>
      </x:c>
      <x:c r="H297" s="16" t="n">
        <x:f>D297/G297</x:f>
        <x:v>0.0014261012175339146</x:v>
      </x:c>
      <x:c r="I297" s="7" t="str">
        <x:v>Medium</x:v>
      </x:c>
      <x:c r="J297"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7" s="1"/>
    </x:row>
    <x:row r="298" ht="162" customHeight="1">
      <x:c r="A298" s="7" t="str">
        <x:v>Perciformes</x:v>
      </x:c>
      <x:c r="B298" s="7" t="str">
        <x:v>Demesral fish (≤ 30 cm)</x:v>
      </x:c>
      <x:c r="C298" s="7" t="n">
        <x:v>24</x:v>
      </x:c>
      <x:c r="D298" s="15" t="n">
        <x:v>0.1788</x:v>
      </x:c>
      <x:c r="E298" s="15" t="n">
        <x:v>0.316</x:v>
      </x:c>
      <x:c r="F298" s="15" t="str">
        <x:v>Model catch</x:v>
      </x:c>
      <x:c r="G298" s="15" t="n">
        <x:f>SUMIFS($D$6:$D$449,$A$6:$A$449,A298)</x:f>
        <x:v>5.609699999999999</x:v>
      </x:c>
      <x:c r="H298" s="16" t="n">
        <x:f>D298/G298</x:f>
        <x:v>0.03187336221188299</x:v>
      </x:c>
      <x:c r="I298" s="7" t="str">
        <x:v>Medium</x:v>
      </x:c>
      <x:c r="J298"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8" s="1"/>
    </x:row>
    <x:row r="299" ht="162" customHeight="1">
      <x:c r="A299" s="7" t="str">
        <x:v>Perciformes</x:v>
      </x:c>
      <x:c r="B299" s="7" t="str">
        <x:v>Juvenile demersal fish (&gt; 30 cm)</x:v>
      </x:c>
      <x:c r="C299" s="7" t="n">
        <x:v>25</x:v>
      </x:c>
      <x:c r="D299" s="15" t="n">
        <x:v>0.3165</x:v>
      </x:c>
      <x:c r="E299" s="15" t="n">
        <x:v>0.143</x:v>
      </x:c>
      <x:c r="F299" s="15" t="str">
        <x:v>Model catch</x:v>
      </x:c>
      <x:c r="G299" s="15" t="n">
        <x:f>SUMIFS($D$6:$D$449,$A$6:$A$449,A299)</x:f>
        <x:v>5.609699999999999</x:v>
      </x:c>
      <x:c r="H299" s="16" t="n">
        <x:f>D299/G299</x:f>
        <x:v>0.0564201294186855</x:v>
      </x:c>
      <x:c r="I299" s="7" t="str">
        <x:v>Medium</x:v>
      </x:c>
      <x:c r="J299"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299" s="1"/>
    </x:row>
    <x:row r="300" ht="162" customHeight="1">
      <x:c r="A300" s="7" t="str">
        <x:v>Perciformes</x:v>
      </x:c>
      <x:c r="B300" s="7" t="str">
        <x:v>Adult demersal fish (&gt; 30 cm)</x:v>
      </x:c>
      <x:c r="C300" s="7" t="n">
        <x:v>26</x:v>
      </x:c>
      <x:c r="D300" s="15" t="n">
        <x:v>0.0352</x:v>
      </x:c>
      <x:c r="E300" s="15" t="n">
        <x:v>0.021</x:v>
      </x:c>
      <x:c r="F300" s="15" t="str">
        <x:v>Model catch</x:v>
      </x:c>
      <x:c r="G300" s="15" t="n">
        <x:f>SUMIFS($D$6:$D$449,$A$6:$A$449,A300)</x:f>
        <x:v>5.609699999999999</x:v>
      </x:c>
      <x:c r="H300" s="16" t="n">
        <x:f>D300/G300</x:f>
        <x:v>0.0062748453571492245</x:v>
      </x:c>
      <x:c r="I300" s="7" t="str">
        <x:v>Medium</x:v>
      </x:c>
      <x:c r="J300"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300" s="1"/>
    </x:row>
    <x:row r="301" ht="162" customHeight="1">
      <x:c r="A301" s="7" t="str">
        <x:v>Perciformes</x:v>
      </x:c>
      <x:c r="B301" s="7" t="str">
        <x:v>Benthopelagic fish</x:v>
      </x:c>
      <x:c r="C301" s="7" t="n">
        <x:v>27</x:v>
      </x:c>
      <x:c r="D301" s="15" t="n">
        <x:v>0.6025</x:v>
      </x:c>
      <x:c r="E301" s="15" t="n">
        <x:v>0.922</x:v>
      </x:c>
      <x:c r="F301" s="15" t="str">
        <x:v>Model catch</x:v>
      </x:c>
      <x:c r="G301" s="15" t="n">
        <x:f>SUMIFS($D$6:$D$449,$A$6:$A$449,A301)</x:f>
        <x:v>5.609699999999999</x:v>
      </x:c>
      <x:c r="H301" s="16" t="n">
        <x:f>D301/G301</x:f>
        <x:v>0.10740324794552296</x:v>
      </x:c>
      <x:c r="I301" s="7" t="str">
        <x:v>Medium</x:v>
      </x:c>
      <x:c r="J301"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301" s="1"/>
    </x:row>
    <x:row r="302" ht="162" customHeight="1">
      <x:c r="A302" s="7" t="str">
        <x:v>Perciformes</x:v>
      </x:c>
      <x:c r="B302" s="7" t="str">
        <x:v>Melon seed</x:v>
      </x:c>
      <x:c r="C302" s="7" t="n">
        <x:v>28</x:v>
      </x:c>
      <x:c r="D302" s="15" t="n">
        <x:v>0.0499</x:v>
      </x:c>
      <x:c r="E302" s="15" t="n">
        <x:v>0.07</x:v>
      </x:c>
      <x:c r="F302" s="15" t="str">
        <x:v>Model catch</x:v>
      </x:c>
      <x:c r="G302" s="15" t="n">
        <x:f>SUMIFS($D$6:$D$449,$A$6:$A$449,A302)</x:f>
        <x:v>5.609699999999999</x:v>
      </x:c>
      <x:c r="H302" s="16" t="n">
        <x:f>D302/G302</x:f>
        <x:v>0.008895306344367793</x:v>
      </x:c>
      <x:c r="I302" s="7" t="str">
        <x:v>Medium</x:v>
      </x:c>
      <x:c r="J302"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302" s="1"/>
    </x:row>
    <x:row r="303" ht="162" customHeight="1">
      <x:c r="A303" s="7" t="str">
        <x:v>Perciformes</x:v>
      </x:c>
      <x:c r="B303" s="7" t="str">
        <x:v>Pelagic fish (≤ 30 cm)</x:v>
      </x:c>
      <x:c r="C303" s="7" t="n">
        <x:v>29</x:v>
      </x:c>
      <x:c r="D303" s="15" t="n">
        <x:v>2.345</x:v>
      </x:c>
      <x:c r="E303" s="15" t="n">
        <x:v>1.772</x:v>
      </x:c>
      <x:c r="F303" s="15" t="str">
        <x:v>Model catch</x:v>
      </x:c>
      <x:c r="G303" s="15" t="n">
        <x:f>SUMIFS($D$6:$D$449,$A$6:$A$449,A303)</x:f>
        <x:v>5.609699999999999</x:v>
      </x:c>
      <x:c r="H303" s="16" t="n">
        <x:f>D303/G303</x:f>
        <x:v>0.4180259193896288</x:v>
      </x:c>
      <x:c r="I303" s="7" t="str">
        <x:v>Medium</x:v>
      </x:c>
      <x:c r="J303"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303" s="1"/>
    </x:row>
    <x:row r="304" ht="162" customHeight="1">
      <x:c r="A304" s="7" t="str">
        <x:v>Perciformes</x:v>
      </x:c>
      <x:c r="B304" s="7" t="str">
        <x:v>Juvenile large pelagic fish</x:v>
      </x:c>
      <x:c r="C304" s="7" t="n">
        <x:v>30</x:v>
      </x:c>
      <x:c r="D304" s="15" t="n">
        <x:v>0.7384</x:v>
      </x:c>
      <x:c r="E304" s="15" t="n">
        <x:v>0.289</x:v>
      </x:c>
      <x:c r="F304" s="15" t="str">
        <x:v>Model catch</x:v>
      </x:c>
      <x:c r="G304" s="15" t="n">
        <x:f>SUMIFS($D$6:$D$449,$A$6:$A$449,A304)</x:f>
        <x:v>5.609699999999999</x:v>
      </x:c>
      <x:c r="H304" s="16" t="n">
        <x:f>D304/G304</x:f>
        <x:v>0.1316291423783803</x:v>
      </x:c>
      <x:c r="I304" s="7" t="str">
        <x:v>Medium</x:v>
      </x:c>
      <x:c r="J304"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304" s="1"/>
    </x:row>
    <x:row r="305" ht="162" customHeight="1">
      <x:c r="A305" s="7" t="str">
        <x:v>Perciformes</x:v>
      </x:c>
      <x:c r="B305" s="7" t="str">
        <x:v>Pelagic fish (&gt; 30 cm)</x:v>
      </x:c>
      <x:c r="C305" s="7" t="n">
        <x:v>31</x:v>
      </x:c>
      <x:c r="D305" s="15" t="n">
        <x:v>0.0821</x:v>
      </x:c>
      <x:c r="E305" s="15" t="n">
        <x:v>0.079</x:v>
      </x:c>
      <x:c r="F305" s="15" t="str">
        <x:v>Model catch</x:v>
      </x:c>
      <x:c r="G305" s="15" t="n">
        <x:f>SUMIFS($D$6:$D$449,$A$6:$A$449,A305)</x:f>
        <x:v>5.609699999999999</x:v>
      </x:c>
      <x:c r="H305" s="16" t="n">
        <x:f>D305/G305</x:f>
        <x:v>0.014635363744941801</x:v>
      </x:c>
      <x:c r="I305" s="7" t="str">
        <x:v>Medium</x:v>
      </x:c>
      <x:c r="J305" s="7" t="str">
        <x:v>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The broad historical perciform label is approximated by compatible named fish families and residual demersal, benthopelagic and pelagic compartments. Lizardfish and sharks/rays are excluded. Residual pools may contain other lineages, and modern order boundaries differ; their full catches are weak composition proxies, not exact taxonomic containment. Weights use model catch proportions, assumed fixed across years and catch bases. Very low membership confidence; see Sources and the regional Mapping review.</x:v>
      </x:c>
      <x:c r="K305" s="1"/>
    </x:row>
    <x:row r="306" ht="87" customHeight="1">
      <x:c r="A306" s="7" t="str">
        <x:v>Planiliza haematocheilus</x:v>
      </x:c>
      <x:c r="B306" s="7" t="str">
        <x:v>Juvenile demersal fish (&gt; 30 cm)</x:v>
      </x:c>
      <x:c r="C306" s="7" t="n">
        <x:v>25</x:v>
      </x:c>
      <x:c r="D306" s="15" t="n">
        <x:v>0.3165</x:v>
      </x:c>
      <x:c r="E306" s="15" t="n">
        <x:v>0.143</x:v>
      </x:c>
      <x:c r="F306" s="15" t="str">
        <x:v>Model catch</x:v>
      </x:c>
      <x:c r="G306" s="15" t="n">
        <x:f>SUMIFS($D$6:$D$449,$A$6:$A$449,A306)</x:f>
        <x:v>0.3517</x:v>
      </x:c>
      <x:c r="H306" s="16" t="n">
        <x:f>D306/G306</x:f>
        <x:v>0.8999147000284333</x:v>
      </x:c>
      <x:c r="I306" s="7" t="str">
        <x:v>Medium</x:v>
      </x:c>
      <x:c r="J30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06" s="1"/>
    </x:row>
    <x:row r="307" ht="87" customHeight="1">
      <x:c r="A307" s="7" t="str">
        <x:v>Planiliza haematocheilus</x:v>
      </x:c>
      <x:c r="B307" s="7" t="str">
        <x:v>Adult demersal fish (&gt; 30 cm)</x:v>
      </x:c>
      <x:c r="C307" s="7" t="n">
        <x:v>26</x:v>
      </x:c>
      <x:c r="D307" s="15" t="n">
        <x:v>0.0352</x:v>
      </x:c>
      <x:c r="E307" s="15" t="n">
        <x:v>0.021</x:v>
      </x:c>
      <x:c r="F307" s="15" t="str">
        <x:v>Model catch</x:v>
      </x:c>
      <x:c r="G307" s="15" t="n">
        <x:f>SUMIFS($D$6:$D$449,$A$6:$A$449,A307)</x:f>
        <x:v>0.3517</x:v>
      </x:c>
      <x:c r="H307" s="16" t="n">
        <x:f>D307/G307</x:f>
        <x:v>0.10008529997156668</x:v>
      </x:c>
      <x:c r="I307" s="7" t="str">
        <x:v>Medium</x:v>
      </x:c>
      <x:c r="J30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07" s="1"/>
    </x:row>
    <x:row r="308" ht="72" customHeight="1">
      <x:c r="A308" s="7" t="str">
        <x:v>Platycaranx malabaricus</x:v>
      </x:c>
      <x:c r="B308" s="7" t="str">
        <x:v>Juvenile large pelagic fish</x:v>
      </x:c>
      <x:c r="C308" s="7" t="n">
        <x:v>30</x:v>
      </x:c>
      <x:c r="D308" s="15" t="n">
        <x:v>0.7384</x:v>
      </x:c>
      <x:c r="E308" s="15" t="n">
        <x:v>0.289</x:v>
      </x:c>
      <x:c r="F308" s="15" t="str">
        <x:v>Model catch</x:v>
      </x:c>
      <x:c r="G308" s="15" t="n">
        <x:f>SUMIFS($D$6:$D$449,$A$6:$A$449,A308)</x:f>
        <x:v>0.8205</x:v>
      </x:c>
      <x:c r="H308" s="16" t="n">
        <x:f>D308/G308</x:f>
        <x:v>0.8999390615478366</x:v>
      </x:c>
      <x:c r="I308" s="7" t="str">
        <x:v>Medium</x:v>
      </x:c>
      <x:c r="J30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8" s="1"/>
    </x:row>
    <x:row r="309" ht="72" customHeight="1">
      <x:c r="A309" s="7" t="str">
        <x:v>Platycaranx malabaricus</x:v>
      </x:c>
      <x:c r="B309" s="7" t="str">
        <x:v>Pelagic fish (&gt; 30 cm)</x:v>
      </x:c>
      <x:c r="C309" s="7" t="n">
        <x:v>31</x:v>
      </x:c>
      <x:c r="D309" s="15" t="n">
        <x:v>0.0821</x:v>
      </x:c>
      <x:c r="E309" s="15" t="n">
        <x:v>0.079</x:v>
      </x:c>
      <x:c r="F309" s="15" t="str">
        <x:v>Model catch</x:v>
      </x:c>
      <x:c r="G309" s="15" t="n">
        <x:f>SUMIFS($D$6:$D$449,$A$6:$A$449,A309)</x:f>
        <x:v>0.8205</x:v>
      </x:c>
      <x:c r="H309" s="16" t="n">
        <x:f>D309/G309</x:f>
        <x:v>0.10006093845216332</x:v>
      </x:c>
      <x:c r="I309" s="7" t="str">
        <x:v>Medium</x:v>
      </x:c>
      <x:c r="J30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09" s="1"/>
    </x:row>
    <x:row r="310" ht="72" customHeight="1">
      <x:c r="A310" s="7" t="str">
        <x:v>Platycaranx talamparoides</x:v>
      </x:c>
      <x:c r="B310" s="7" t="str">
        <x:v>Juvenile large pelagic fish</x:v>
      </x:c>
      <x:c r="C310" s="7" t="n">
        <x:v>30</x:v>
      </x:c>
      <x:c r="D310" s="15" t="n">
        <x:v>0.7384</x:v>
      </x:c>
      <x:c r="E310" s="15" t="n">
        <x:v>0.289</x:v>
      </x:c>
      <x:c r="F310" s="15" t="str">
        <x:v>Model catch</x:v>
      </x:c>
      <x:c r="G310" s="15" t="n">
        <x:f>SUMIFS($D$6:$D$449,$A$6:$A$449,A310)</x:f>
        <x:v>0.8205</x:v>
      </x:c>
      <x:c r="H310" s="16" t="n">
        <x:f>D310/G310</x:f>
        <x:v>0.8999390615478366</x:v>
      </x:c>
      <x:c r="I310" s="7" t="str">
        <x:v>Medium</x:v>
      </x:c>
      <x:c r="J31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0" s="1"/>
    </x:row>
    <x:row r="311" ht="72" customHeight="1">
      <x:c r="A311" s="7" t="str">
        <x:v>Platycaranx talamparoides</x:v>
      </x:c>
      <x:c r="B311" s="7" t="str">
        <x:v>Pelagic fish (&gt; 30 cm)</x:v>
      </x:c>
      <x:c r="C311" s="7" t="n">
        <x:v>31</x:v>
      </x:c>
      <x:c r="D311" s="15" t="n">
        <x:v>0.0821</x:v>
      </x:c>
      <x:c r="E311" s="15" t="n">
        <x:v>0.079</x:v>
      </x:c>
      <x:c r="F311" s="15" t="str">
        <x:v>Model catch</x:v>
      </x:c>
      <x:c r="G311" s="15" t="n">
        <x:f>SUMIFS($D$6:$D$449,$A$6:$A$449,A311)</x:f>
        <x:v>0.8205</x:v>
      </x:c>
      <x:c r="H311" s="16" t="n">
        <x:f>D311/G311</x:f>
        <x:v>0.10006093845216332</x:v>
      </x:c>
      <x:c r="I311" s="7" t="str">
        <x:v>Medium</x:v>
      </x:c>
      <x:c r="J31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11" s="1"/>
    </x:row>
    <x:row r="312" ht="87" customHeight="1">
      <x:c r="A312" s="7" t="str">
        <x:v>Platycephalidae</x:v>
      </x:c>
      <x:c r="B312" s="7" t="str">
        <x:v>Juvenile demersal fish (&gt; 30 cm)</x:v>
      </x:c>
      <x:c r="C312" s="7" t="n">
        <x:v>25</x:v>
      </x:c>
      <x:c r="D312" s="15" t="n">
        <x:v>0.3165</x:v>
      </x:c>
      <x:c r="E312" s="15" t="n">
        <x:v>0.143</x:v>
      </x:c>
      <x:c r="F312" s="15" t="str">
        <x:v>Model catch</x:v>
      </x:c>
      <x:c r="G312" s="15" t="n">
        <x:f>SUMIFS($D$6:$D$449,$A$6:$A$449,A312)</x:f>
        <x:v>0.3517</x:v>
      </x:c>
      <x:c r="H312" s="16" t="n">
        <x:f>D312/G312</x:f>
        <x:v>0.8999147000284333</x:v>
      </x:c>
      <x:c r="I312" s="7" t="str">
        <x:v>Medium</x:v>
      </x:c>
      <x:c r="J31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2" s="1"/>
    </x:row>
    <x:row r="313" ht="87" customHeight="1">
      <x:c r="A313" s="7" t="str">
        <x:v>Platycephalidae</x:v>
      </x:c>
      <x:c r="B313" s="7" t="str">
        <x:v>Adult demersal fish (&gt; 30 cm)</x:v>
      </x:c>
      <x:c r="C313" s="7" t="n">
        <x:v>26</x:v>
      </x:c>
      <x:c r="D313" s="15" t="n">
        <x:v>0.0352</x:v>
      </x:c>
      <x:c r="E313" s="15" t="n">
        <x:v>0.021</x:v>
      </x:c>
      <x:c r="F313" s="15" t="str">
        <x:v>Model catch</x:v>
      </x:c>
      <x:c r="G313" s="15" t="n">
        <x:f>SUMIFS($D$6:$D$449,$A$6:$A$449,A313)</x:f>
        <x:v>0.3517</x:v>
      </x:c>
      <x:c r="H313" s="16" t="n">
        <x:f>D313/G313</x:f>
        <x:v>0.10008529997156668</x:v>
      </x:c>
      <x:c r="I313" s="7" t="str">
        <x:v>Medium</x:v>
      </x:c>
      <x:c r="J31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3" s="1"/>
    </x:row>
    <x:row r="314" ht="87" customHeight="1">
      <x:c r="A314" s="7" t="str">
        <x:v>Platycephalus indicus</x:v>
      </x:c>
      <x:c r="B314" s="7" t="str">
        <x:v>Juvenile demersal fish (&gt; 30 cm)</x:v>
      </x:c>
      <x:c r="C314" s="7" t="n">
        <x:v>25</x:v>
      </x:c>
      <x:c r="D314" s="15" t="n">
        <x:v>0.3165</x:v>
      </x:c>
      <x:c r="E314" s="15" t="n">
        <x:v>0.143</x:v>
      </x:c>
      <x:c r="F314" s="15" t="str">
        <x:v>Model catch</x:v>
      </x:c>
      <x:c r="G314" s="15" t="n">
        <x:f>SUMIFS($D$6:$D$449,$A$6:$A$449,A314)</x:f>
        <x:v>0.3517</x:v>
      </x:c>
      <x:c r="H314" s="16" t="n">
        <x:f>D314/G314</x:f>
        <x:v>0.8999147000284333</x:v>
      </x:c>
      <x:c r="I314" s="7" t="str">
        <x:v>Medium</x:v>
      </x:c>
      <x:c r="J31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4" s="1"/>
    </x:row>
    <x:row r="315" ht="87" customHeight="1">
      <x:c r="A315" s="7" t="str">
        <x:v>Platycephalus indicus</x:v>
      </x:c>
      <x:c r="B315" s="7" t="str">
        <x:v>Adult demersal fish (&gt; 30 cm)</x:v>
      </x:c>
      <x:c r="C315" s="7" t="n">
        <x:v>26</x:v>
      </x:c>
      <x:c r="D315" s="15" t="n">
        <x:v>0.0352</x:v>
      </x:c>
      <x:c r="E315" s="15" t="n">
        <x:v>0.021</x:v>
      </x:c>
      <x:c r="F315" s="15" t="str">
        <x:v>Model catch</x:v>
      </x:c>
      <x:c r="G315" s="15" t="n">
        <x:f>SUMIFS($D$6:$D$449,$A$6:$A$449,A315)</x:f>
        <x:v>0.3517</x:v>
      </x:c>
      <x:c r="H315" s="16" t="n">
        <x:f>D315/G315</x:f>
        <x:v>0.10008529997156668</x:v>
      </x:c>
      <x:c r="I315" s="7" t="str">
        <x:v>Medium</x:v>
      </x:c>
      <x:c r="J31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5" s="1"/>
    </x:row>
    <x:row r="316" ht="87" customHeight="1">
      <x:c r="A316" s="7" t="str">
        <x:v>Plectorhinchus</x:v>
      </x:c>
      <x:c r="B316" s="7" t="str">
        <x:v>Juvenile demersal fish (&gt; 30 cm)</x:v>
      </x:c>
      <x:c r="C316" s="7" t="n">
        <x:v>25</x:v>
      </x:c>
      <x:c r="D316" s="15" t="n">
        <x:v>0.3165</x:v>
      </x:c>
      <x:c r="E316" s="15" t="n">
        <x:v>0.143</x:v>
      </x:c>
      <x:c r="F316" s="15" t="str">
        <x:v>Model catch</x:v>
      </x:c>
      <x:c r="G316" s="15" t="n">
        <x:f>SUMIFS($D$6:$D$449,$A$6:$A$449,A316)</x:f>
        <x:v>0.3517</x:v>
      </x:c>
      <x:c r="H316" s="16" t="n">
        <x:f>D316/G316</x:f>
        <x:v>0.8999147000284333</x:v>
      </x:c>
      <x:c r="I316" s="7" t="str">
        <x:v>Medium</x:v>
      </x:c>
      <x:c r="J31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6" s="1"/>
    </x:row>
    <x:row r="317" ht="87" customHeight="1">
      <x:c r="A317" s="7" t="str">
        <x:v>Plectorhinchus</x:v>
      </x:c>
      <x:c r="B317" s="7" t="str">
        <x:v>Adult demersal fish (&gt; 30 cm)</x:v>
      </x:c>
      <x:c r="C317" s="7" t="n">
        <x:v>26</x:v>
      </x:c>
      <x:c r="D317" s="15" t="n">
        <x:v>0.0352</x:v>
      </x:c>
      <x:c r="E317" s="15" t="n">
        <x:v>0.021</x:v>
      </x:c>
      <x:c r="F317" s="15" t="str">
        <x:v>Model catch</x:v>
      </x:c>
      <x:c r="G317" s="15" t="n">
        <x:f>SUMIFS($D$6:$D$449,$A$6:$A$449,A317)</x:f>
        <x:v>0.3517</x:v>
      </x:c>
      <x:c r="H317" s="16" t="n">
        <x:f>D317/G317</x:f>
        <x:v>0.10008529997156668</x:v>
      </x:c>
      <x:c r="I317" s="7" t="str">
        <x:v>Medium</x:v>
      </x:c>
      <x:c r="J31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17" s="1"/>
    </x:row>
    <x:row r="318" ht="177" customHeight="1">
      <x:c r="A318" s="7" t="str">
        <x:v>Pleuronectiformes</x:v>
      </x:c>
      <x:c r="B318" s="7" t="str">
        <x:v>Demesral fish (≤ 30 cm)</x:v>
      </x:c>
      <x:c r="C318" s="7" t="n">
        <x:v>24</x:v>
      </x:c>
      <x:c r="D318" s="15" t="n">
        <x:v>0.1788</x:v>
      </x:c>
      <x:c r="E318" s="15" t="n">
        <x:v>0.316</x:v>
      </x:c>
      <x:c r="F318" s="15" t="str">
        <x:v>Model catch</x:v>
      </x:c>
      <x:c r="G318" s="15" t="n">
        <x:f>SUMIFS($D$6:$D$449,$A$6:$A$449,A318)</x:f>
        <x:v>0.5305</x:v>
      </x:c>
      <x:c r="H318" s="16" t="n">
        <x:f>D318/G318</x:f>
        <x:v>0.33704052780395855</x:v>
      </x:c>
      <x:c r="I318" s="7" t="str">
        <x:v>Medium</x:v>
      </x:c>
      <x:c r="J318"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18" s="1"/>
    </x:row>
    <x:row r="319" ht="177" customHeight="1">
      <x:c r="A319" s="7" t="str">
        <x:v>Pleuronectiformes</x:v>
      </x:c>
      <x:c r="B319" s="7" t="str">
        <x:v>Juvenile demersal fish (&gt; 30 cm)</x:v>
      </x:c>
      <x:c r="C319" s="7" t="n">
        <x:v>25</x:v>
      </x:c>
      <x:c r="D319" s="15" t="n">
        <x:v>0.3165</x:v>
      </x:c>
      <x:c r="E319" s="15" t="n">
        <x:v>0.143</x:v>
      </x:c>
      <x:c r="F319" s="15" t="str">
        <x:v>Model catch</x:v>
      </x:c>
      <x:c r="G319" s="15" t="n">
        <x:f>SUMIFS($D$6:$D$449,$A$6:$A$449,A319)</x:f>
        <x:v>0.5305</x:v>
      </x:c>
      <x:c r="H319" s="16" t="n">
        <x:f>D319/G319</x:f>
        <x:v>0.5966069745523092</x:v>
      </x:c>
      <x:c r="I319" s="7" t="str">
        <x:v>Medium</x:v>
      </x:c>
      <x:c r="J319"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19" s="1"/>
    </x:row>
    <x:row r="320" ht="177" customHeight="1">
      <x:c r="A320" s="7" t="str">
        <x:v>Pleuronectiformes</x:v>
      </x:c>
      <x:c r="B320" s="7" t="str">
        <x:v>Adult demersal fish (&gt; 30 cm)</x:v>
      </x:c>
      <x:c r="C320" s="7" t="n">
        <x:v>26</x:v>
      </x:c>
      <x:c r="D320" s="15" t="n">
        <x:v>0.0352</x:v>
      </x:c>
      <x:c r="E320" s="15" t="n">
        <x:v>0.021</x:v>
      </x:c>
      <x:c r="F320" s="15" t="str">
        <x:v>Model catch</x:v>
      </x:c>
      <x:c r="G320" s="15" t="n">
        <x:f>SUMIFS($D$6:$D$449,$A$6:$A$449,A320)</x:f>
        <x:v>0.5305</x:v>
      </x:c>
      <x:c r="H320" s="16" t="n">
        <x:f>D320/G320</x:f>
        <x:v>0.06635249764373234</x:v>
      </x:c>
      <x:c r="I320" s="7" t="str">
        <x:v>Medium</x:v>
      </x:c>
      <x:c r="J320"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20" s="1"/>
    </x:row>
    <x:row r="321" ht="87" customHeight="1">
      <x:c r="A321" s="7" t="str">
        <x:v>Plotosidae</x:v>
      </x:c>
      <x:c r="B321" s="7" t="str">
        <x:v>Juvenile demersal fish (&gt; 30 cm)</x:v>
      </x:c>
      <x:c r="C321" s="7" t="n">
        <x:v>25</x:v>
      </x:c>
      <x:c r="D321" s="15" t="n">
        <x:v>0.3165</x:v>
      </x:c>
      <x:c r="E321" s="15" t="n">
        <x:v>0.143</x:v>
      </x:c>
      <x:c r="F321" s="15" t="str">
        <x:v>Model catch</x:v>
      </x:c>
      <x:c r="G321" s="15" t="n">
        <x:f>SUMIFS($D$6:$D$449,$A$6:$A$449,A321)</x:f>
        <x:v>0.3517</x:v>
      </x:c>
      <x:c r="H321" s="16" t="n">
        <x:f>D321/G321</x:f>
        <x:v>0.8999147000284333</x:v>
      </x:c>
      <x:c r="I321" s="7" t="str">
        <x:v>Medium</x:v>
      </x:c>
      <x:c r="J32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1" s="1"/>
    </x:row>
    <x:row r="322" ht="87" customHeight="1">
      <x:c r="A322" s="7" t="str">
        <x:v>Plotosidae</x:v>
      </x:c>
      <x:c r="B322" s="7" t="str">
        <x:v>Adult demersal fish (&gt; 30 cm)</x:v>
      </x:c>
      <x:c r="C322" s="7" t="n">
        <x:v>26</x:v>
      </x:c>
      <x:c r="D322" s="15" t="n">
        <x:v>0.0352</x:v>
      </x:c>
      <x:c r="E322" s="15" t="n">
        <x:v>0.021</x:v>
      </x:c>
      <x:c r="F322" s="15" t="str">
        <x:v>Model catch</x:v>
      </x:c>
      <x:c r="G322" s="15" t="n">
        <x:f>SUMIFS($D$6:$D$449,$A$6:$A$449,A322)</x:f>
        <x:v>0.3517</x:v>
      </x:c>
      <x:c r="H322" s="16" t="n">
        <x:f>D322/G322</x:f>
        <x:v>0.10008529997156668</x:v>
      </x:c>
      <x:c r="I322" s="7" t="str">
        <x:v>Medium</x:v>
      </x:c>
      <x:c r="J32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2" s="1"/>
    </x:row>
    <x:row r="323" ht="87" customHeight="1">
      <x:c r="A323" s="7" t="str">
        <x:v>Plotosus</x:v>
      </x:c>
      <x:c r="B323" s="7" t="str">
        <x:v>Juvenile demersal fish (&gt; 30 cm)</x:v>
      </x:c>
      <x:c r="C323" s="7" t="n">
        <x:v>25</x:v>
      </x:c>
      <x:c r="D323" s="15" t="n">
        <x:v>0.3165</x:v>
      </x:c>
      <x:c r="E323" s="15" t="n">
        <x:v>0.143</x:v>
      </x:c>
      <x:c r="F323" s="15" t="str">
        <x:v>Model catch</x:v>
      </x:c>
      <x:c r="G323" s="15" t="n">
        <x:f>SUMIFS($D$6:$D$449,$A$6:$A$449,A323)</x:f>
        <x:v>0.3517</x:v>
      </x:c>
      <x:c r="H323" s="16" t="n">
        <x:f>D323/G323</x:f>
        <x:v>0.8999147000284333</x:v>
      </x:c>
      <x:c r="I323" s="7" t="str">
        <x:v>Medium</x:v>
      </x:c>
      <x:c r="J32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3" s="1"/>
    </x:row>
    <x:row r="324" ht="87" customHeight="1">
      <x:c r="A324" s="7" t="str">
        <x:v>Plotosus</x:v>
      </x:c>
      <x:c r="B324" s="7" t="str">
        <x:v>Adult demersal fish (&gt; 30 cm)</x:v>
      </x:c>
      <x:c r="C324" s="7" t="n">
        <x:v>26</x:v>
      </x:c>
      <x:c r="D324" s="15" t="n">
        <x:v>0.0352</x:v>
      </x:c>
      <x:c r="E324" s="15" t="n">
        <x:v>0.021</x:v>
      </x:c>
      <x:c r="F324" s="15" t="str">
        <x:v>Model catch</x:v>
      </x:c>
      <x:c r="G324" s="15" t="n">
        <x:f>SUMIFS($D$6:$D$449,$A$6:$A$449,A324)</x:f>
        <x:v>0.3517</x:v>
      </x:c>
      <x:c r="H324" s="16" t="n">
        <x:f>D324/G324</x:f>
        <x:v>0.10008529997156668</x:v>
      </x:c>
      <x:c r="I324" s="7" t="str">
        <x:v>Medium</x:v>
      </x:c>
      <x:c r="J32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4" s="1"/>
    </x:row>
    <x:row r="325" ht="87" customHeight="1">
      <x:c r="A325" s="7" t="str">
        <x:v>Polydactylus sexfilis</x:v>
      </x:c>
      <x:c r="B325" s="7" t="str">
        <x:v>Juvenile demersal fish (&gt; 30 cm)</x:v>
      </x:c>
      <x:c r="C325" s="7" t="n">
        <x:v>25</x:v>
      </x:c>
      <x:c r="D325" s="15" t="n">
        <x:v>0.3165</x:v>
      </x:c>
      <x:c r="E325" s="15" t="n">
        <x:v>0.143</x:v>
      </x:c>
      <x:c r="F325" s="15" t="str">
        <x:v>Model catch</x:v>
      </x:c>
      <x:c r="G325" s="15" t="n">
        <x:f>SUMIFS($D$6:$D$449,$A$6:$A$449,A325)</x:f>
        <x:v>0.3517</x:v>
      </x:c>
      <x:c r="H325" s="16" t="n">
        <x:f>D325/G325</x:f>
        <x:v>0.8999147000284333</x:v>
      </x:c>
      <x:c r="I325" s="7" t="str">
        <x:v>Medium</x:v>
      </x:c>
      <x:c r="J32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5" s="1"/>
    </x:row>
    <x:row r="326" ht="87" customHeight="1">
      <x:c r="A326" s="7" t="str">
        <x:v>Polydactylus sexfilis</x:v>
      </x:c>
      <x:c r="B326" s="7" t="str">
        <x:v>Adult demersal fish (&gt; 30 cm)</x:v>
      </x:c>
      <x:c r="C326" s="7" t="n">
        <x:v>26</x:v>
      </x:c>
      <x:c r="D326" s="15" t="n">
        <x:v>0.0352</x:v>
      </x:c>
      <x:c r="E326" s="15" t="n">
        <x:v>0.021</x:v>
      </x:c>
      <x:c r="F326" s="15" t="str">
        <x:v>Model catch</x:v>
      </x:c>
      <x:c r="G326" s="15" t="n">
        <x:f>SUMIFS($D$6:$D$449,$A$6:$A$449,A326)</x:f>
        <x:v>0.3517</x:v>
      </x:c>
      <x:c r="H326" s="16" t="n">
        <x:f>D326/G326</x:f>
        <x:v>0.10008529997156668</x:v>
      </x:c>
      <x:c r="I326" s="7" t="str">
        <x:v>Medium</x:v>
      </x:c>
      <x:c r="J32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6" s="1"/>
    </x:row>
    <x:row r="327" ht="87" customHeight="1">
      <x:c r="A327" s="7" t="str">
        <x:v>Pomadasys</x:v>
      </x:c>
      <x:c r="B327" s="7" t="str">
        <x:v>Juvenile demersal fish (&gt; 30 cm)</x:v>
      </x:c>
      <x:c r="C327" s="7" t="n">
        <x:v>25</x:v>
      </x:c>
      <x:c r="D327" s="15" t="n">
        <x:v>0.3165</x:v>
      </x:c>
      <x:c r="E327" s="15" t="n">
        <x:v>0.143</x:v>
      </x:c>
      <x:c r="F327" s="15" t="str">
        <x:v>Model catch</x:v>
      </x:c>
      <x:c r="G327" s="15" t="n">
        <x:f>SUMIFS($D$6:$D$449,$A$6:$A$449,A327)</x:f>
        <x:v>0.3517</x:v>
      </x:c>
      <x:c r="H327" s="16" t="n">
        <x:f>D327/G327</x:f>
        <x:v>0.8999147000284333</x:v>
      </x:c>
      <x:c r="I327" s="7" t="str">
        <x:v>Medium</x:v>
      </x:c>
      <x:c r="J32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7" s="1"/>
    </x:row>
    <x:row r="328" ht="87" customHeight="1">
      <x:c r="A328" s="7" t="str">
        <x:v>Pomadasys</x:v>
      </x:c>
      <x:c r="B328" s="7" t="str">
        <x:v>Adult demersal fish (&gt; 30 cm)</x:v>
      </x:c>
      <x:c r="C328" s="7" t="n">
        <x:v>26</x:v>
      </x:c>
      <x:c r="D328" s="15" t="n">
        <x:v>0.0352</x:v>
      </x:c>
      <x:c r="E328" s="15" t="n">
        <x:v>0.021</x:v>
      </x:c>
      <x:c r="F328" s="15" t="str">
        <x:v>Model catch</x:v>
      </x:c>
      <x:c r="G328" s="15" t="n">
        <x:f>SUMIFS($D$6:$D$449,$A$6:$A$449,A328)</x:f>
        <x:v>0.3517</x:v>
      </x:c>
      <x:c r="H328" s="16" t="n">
        <x:f>D328/G328</x:f>
        <x:v>0.10008529997156668</x:v>
      </x:c>
      <x:c r="I328" s="7" t="str">
        <x:v>Medium</x:v>
      </x:c>
      <x:c r="J32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8" s="1"/>
    </x:row>
    <x:row r="329" ht="87" customHeight="1">
      <x:c r="A329" s="7" t="str">
        <x:v>Pomadasys argenteus</x:v>
      </x:c>
      <x:c r="B329" s="7" t="str">
        <x:v>Juvenile demersal fish (&gt; 30 cm)</x:v>
      </x:c>
      <x:c r="C329" s="7" t="n">
        <x:v>25</x:v>
      </x:c>
      <x:c r="D329" s="15" t="n">
        <x:v>0.3165</x:v>
      </x:c>
      <x:c r="E329" s="15" t="n">
        <x:v>0.143</x:v>
      </x:c>
      <x:c r="F329" s="15" t="str">
        <x:v>Model catch</x:v>
      </x:c>
      <x:c r="G329" s="15" t="n">
        <x:f>SUMIFS($D$6:$D$449,$A$6:$A$449,A329)</x:f>
        <x:v>0.3517</x:v>
      </x:c>
      <x:c r="H329" s="16" t="n">
        <x:f>D329/G329</x:f>
        <x:v>0.8999147000284333</x:v>
      </x:c>
      <x:c r="I329" s="7" t="str">
        <x:v>Medium</x:v>
      </x:c>
      <x:c r="J32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29" s="1"/>
    </x:row>
    <x:row r="330" ht="87" customHeight="1">
      <x:c r="A330" s="7" t="str">
        <x:v>Pomadasys argenteus</x:v>
      </x:c>
      <x:c r="B330" s="7" t="str">
        <x:v>Adult demersal fish (&gt; 30 cm)</x:v>
      </x:c>
      <x:c r="C330" s="7" t="n">
        <x:v>26</x:v>
      </x:c>
      <x:c r="D330" s="15" t="n">
        <x:v>0.0352</x:v>
      </x:c>
      <x:c r="E330" s="15" t="n">
        <x:v>0.021</x:v>
      </x:c>
      <x:c r="F330" s="15" t="str">
        <x:v>Model catch</x:v>
      </x:c>
      <x:c r="G330" s="15" t="n">
        <x:f>SUMIFS($D$6:$D$449,$A$6:$A$449,A330)</x:f>
        <x:v>0.3517</x:v>
      </x:c>
      <x:c r="H330" s="16" t="n">
        <x:f>D330/G330</x:f>
        <x:v>0.10008529997156668</x:v>
      </x:c>
      <x:c r="I330" s="7" t="str">
        <x:v>Medium</x:v>
      </x:c>
      <x:c r="J33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30" s="1"/>
    </x:row>
    <x:row r="331" ht="72" customHeight="1">
      <x:c r="A331" s="7" t="str">
        <x:v>Pomatomus saltatrix</x:v>
      </x:c>
      <x:c r="B331" s="7" t="str">
        <x:v>Juvenile large pelagic fish</x:v>
      </x:c>
      <x:c r="C331" s="7" t="n">
        <x:v>30</x:v>
      </x:c>
      <x:c r="D331" s="15" t="n">
        <x:v>0.7384</x:v>
      </x:c>
      <x:c r="E331" s="15" t="n">
        <x:v>0.289</x:v>
      </x:c>
      <x:c r="F331" s="15" t="str">
        <x:v>Model catch</x:v>
      </x:c>
      <x:c r="G331" s="15" t="n">
        <x:f>SUMIFS($D$6:$D$449,$A$6:$A$449,A331)</x:f>
        <x:v>0.8205</x:v>
      </x:c>
      <x:c r="H331" s="16" t="n">
        <x:f>D331/G331</x:f>
        <x:v>0.8999390615478366</x:v>
      </x:c>
      <x:c r="I331" s="7" t="str">
        <x:v>Medium</x:v>
      </x:c>
      <x:c r="J33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1" s="1"/>
    </x:row>
    <x:row r="332" ht="72" customHeight="1">
      <x:c r="A332" s="7" t="str">
        <x:v>Pomatomus saltatrix</x:v>
      </x:c>
      <x:c r="B332" s="7" t="str">
        <x:v>Pelagic fish (&gt; 30 cm)</x:v>
      </x:c>
      <x:c r="C332" s="7" t="n">
        <x:v>31</x:v>
      </x:c>
      <x:c r="D332" s="15" t="n">
        <x:v>0.0821</x:v>
      </x:c>
      <x:c r="E332" s="15" t="n">
        <x:v>0.079</x:v>
      </x:c>
      <x:c r="F332" s="15" t="str">
        <x:v>Model catch</x:v>
      </x:c>
      <x:c r="G332" s="15" t="n">
        <x:f>SUMIFS($D$6:$D$449,$A$6:$A$449,A332)</x:f>
        <x:v>0.8205</x:v>
      </x:c>
      <x:c r="H332" s="16" t="n">
        <x:f>D332/G332</x:f>
        <x:v>0.10006093845216332</x:v>
      </x:c>
      <x:c r="I332" s="7" t="str">
        <x:v>Medium</x:v>
      </x:c>
      <x:c r="J33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2" s="1"/>
    </x:row>
    <x:row r="333" ht="237" customHeight="1">
      <x:c r="A333" s="7" t="str">
        <x:v>Psettodes erumei</x:v>
      </x:c>
      <x:c r="B333" s="7" t="str">
        <x:v>Juvenile demersal fish (&gt; 30 cm)</x:v>
      </x:c>
      <x:c r="C333" s="7" t="n">
        <x:v>25</x:v>
      </x:c>
      <x:c r="D333" s="15" t="n">
        <x:v>0.3165</x:v>
      </x:c>
      <x:c r="E333" s="15" t="n">
        <x:v>0.143</x:v>
      </x:c>
      <x:c r="F333" s="15" t="str">
        <x:v>Model catch</x:v>
      </x:c>
      <x:c r="G333" s="15" t="n">
        <x:f>SUMIFS($D$6:$D$449,$A$6:$A$449,A333)</x:f>
        <x:v>0.3517</x:v>
      </x:c>
      <x:c r="H333" s="16" t="n">
        <x:f>D333/G333</x:f>
        <x:v>0.8999147000284333</x:v>
      </x:c>
      <x:c r="I333" s="7" t="str">
        <x:v>Medium</x:v>
      </x:c>
      <x:c r="J333"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333" s="1"/>
    </x:row>
    <x:row r="334" ht="237" customHeight="1">
      <x:c r="A334" s="7" t="str">
        <x:v>Psettodes erumei</x:v>
      </x:c>
      <x:c r="B334" s="7" t="str">
        <x:v>Adult demersal fish (&gt; 30 cm)</x:v>
      </x:c>
      <x:c r="C334" s="7" t="n">
        <x:v>26</x:v>
      </x:c>
      <x:c r="D334" s="15" t="n">
        <x:v>0.0352</x:v>
      </x:c>
      <x:c r="E334" s="15" t="n">
        <x:v>0.021</x:v>
      </x:c>
      <x:c r="F334" s="15" t="str">
        <x:v>Model catch</x:v>
      </x:c>
      <x:c r="G334" s="15" t="n">
        <x:f>SUMIFS($D$6:$D$449,$A$6:$A$449,A334)</x:f>
        <x:v>0.3517</x:v>
      </x:c>
      <x:c r="H334" s="16" t="n">
        <x:f>D334/G334</x:f>
        <x:v>0.10008529997156668</x:v>
      </x:c>
      <x:c r="I334" s="7" t="str">
        <x:v>Medium</x:v>
      </x:c>
      <x:c r="J334"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Species maximum length exceeds 30 cm: the small-species pool is excluded. Maximum length selects eligible model compartments and does not supply allocation weights. Material membership uncertainty from inconsistent source stage boundaries keeps overall confidence Low. Allocation assumes model catch proportions, fixed over 1950–2019 and landings, total catch and discards. See Model group inputs and Sources.</x:v>
      </x:c>
      <x:c r="K334" s="1"/>
    </x:row>
    <x:row r="335" ht="177" customHeight="1">
      <x:c r="A335" s="7" t="str">
        <x:v>Psettodidae</x:v>
      </x:c>
      <x:c r="B335" s="7" t="str">
        <x:v>Demesral fish (≤ 30 cm)</x:v>
      </x:c>
      <x:c r="C335" s="7" t="n">
        <x:v>24</x:v>
      </x:c>
      <x:c r="D335" s="15" t="n">
        <x:v>0.1788</x:v>
      </x:c>
      <x:c r="E335" s="15" t="n">
        <x:v>0.316</x:v>
      </x:c>
      <x:c r="F335" s="15" t="str">
        <x:v>Model catch</x:v>
      </x:c>
      <x:c r="G335" s="15" t="n">
        <x:f>SUMIFS($D$6:$D$449,$A$6:$A$449,A335)</x:f>
        <x:v>0.5305</x:v>
      </x:c>
      <x:c r="H335" s="16" t="n">
        <x:f>D335/G335</x:f>
        <x:v>0.33704052780395855</x:v>
      </x:c>
      <x:c r="I335" s="7" t="str">
        <x:v>Medium</x:v>
      </x:c>
      <x:c r="J335"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35" s="1"/>
    </x:row>
    <x:row r="336" ht="177" customHeight="1">
      <x:c r="A336" s="7" t="str">
        <x:v>Psettodidae</x:v>
      </x:c>
      <x:c r="B336" s="7" t="str">
        <x:v>Juvenile demersal fish (&gt; 30 cm)</x:v>
      </x:c>
      <x:c r="C336" s="7" t="n">
        <x:v>25</x:v>
      </x:c>
      <x:c r="D336" s="15" t="n">
        <x:v>0.3165</x:v>
      </x:c>
      <x:c r="E336" s="15" t="n">
        <x:v>0.143</x:v>
      </x:c>
      <x:c r="F336" s="15" t="str">
        <x:v>Model catch</x:v>
      </x:c>
      <x:c r="G336" s="15" t="n">
        <x:f>SUMIFS($D$6:$D$449,$A$6:$A$449,A336)</x:f>
        <x:v>0.5305</x:v>
      </x:c>
      <x:c r="H336" s="16" t="n">
        <x:f>D336/G336</x:f>
        <x:v>0.5966069745523092</x:v>
      </x:c>
      <x:c r="I336" s="7" t="str">
        <x:v>Medium</x:v>
      </x:c>
      <x:c r="J336"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36" s="1"/>
    </x:row>
    <x:row r="337" ht="177" customHeight="1">
      <x:c r="A337" s="7" t="str">
        <x:v>Psettodidae</x:v>
      </x:c>
      <x:c r="B337" s="7" t="str">
        <x:v>Adult demersal fish (&gt; 30 cm)</x:v>
      </x:c>
      <x:c r="C337" s="7" t="n">
        <x:v>26</x:v>
      </x:c>
      <x:c r="D337" s="15" t="n">
        <x:v>0.0352</x:v>
      </x:c>
      <x:c r="E337" s="15" t="n">
        <x:v>0.021</x:v>
      </x:c>
      <x:c r="F337" s="15" t="str">
        <x:v>Model catch</x:v>
      </x:c>
      <x:c r="G337" s="15" t="n">
        <x:f>SUMIFS($D$6:$D$449,$A$6:$A$449,A337)</x:f>
        <x:v>0.5305</x:v>
      </x:c>
      <x:c r="H337" s="16" t="n">
        <x:f>D337/G337</x:f>
        <x:v>0.06635249764373234</x:v>
      </x:c>
      <x:c r="I337" s="7" t="str">
        <x:v>Medium</x:v>
      </x:c>
      <x:c r="J337" s="7" t="str">
        <x:v>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Catch data identify demersal flatfishes, outside the source dedicated nemipterid, priacanthid, synodontid, trichiurid, stromateid, lutjanid, serranid and sciaenid pools. Residual demersal pools span length classes and stages. Model whole-pool catch is assumed representative. The source adult/juvenile age-boundary inconsistency remains a limitation of this assumed mixture. Material membership uncertainty from inconsistent source stage boundaries keeps overall confidence Low. Allocation assumes model catch proportions, fixed over 1950–2019 and landings, total catch and discards. See Model group inputs and Sources.</x:v>
      </x:c>
      <x:c r="K337" s="1"/>
    </x:row>
    <x:row r="338" ht="72" customHeight="1">
      <x:c r="A338" s="7" t="str">
        <x:v>Rachycentridae</x:v>
      </x:c>
      <x:c r="B338" s="7" t="str">
        <x:v>Juvenile large pelagic fish</x:v>
      </x:c>
      <x:c r="C338" s="7" t="n">
        <x:v>30</x:v>
      </x:c>
      <x:c r="D338" s="15" t="n">
        <x:v>0.7384</x:v>
      </x:c>
      <x:c r="E338" s="15" t="n">
        <x:v>0.289</x:v>
      </x:c>
      <x:c r="F338" s="15" t="str">
        <x:v>Model catch</x:v>
      </x:c>
      <x:c r="G338" s="15" t="n">
        <x:f>SUMIFS($D$6:$D$449,$A$6:$A$449,A338)</x:f>
        <x:v>0.8205</x:v>
      </x:c>
      <x:c r="H338" s="16" t="n">
        <x:f>D338/G338</x:f>
        <x:v>0.8999390615478366</x:v>
      </x:c>
      <x:c r="I338" s="7" t="str">
        <x:v>Medium</x:v>
      </x:c>
      <x:c r="J33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8" s="1"/>
    </x:row>
    <x:row r="339" ht="72" customHeight="1">
      <x:c r="A339" s="7" t="str">
        <x:v>Rachycentridae</x:v>
      </x:c>
      <x:c r="B339" s="7" t="str">
        <x:v>Pelagic fish (&gt; 30 cm)</x:v>
      </x:c>
      <x:c r="C339" s="7" t="n">
        <x:v>31</x:v>
      </x:c>
      <x:c r="D339" s="15" t="n">
        <x:v>0.0821</x:v>
      </x:c>
      <x:c r="E339" s="15" t="n">
        <x:v>0.079</x:v>
      </x:c>
      <x:c r="F339" s="15" t="str">
        <x:v>Model catch</x:v>
      </x:c>
      <x:c r="G339" s="15" t="n">
        <x:f>SUMIFS($D$6:$D$449,$A$6:$A$449,A339)</x:f>
        <x:v>0.8205</x:v>
      </x:c>
      <x:c r="H339" s="16" t="n">
        <x:f>D339/G339</x:f>
        <x:v>0.10006093845216332</x:v>
      </x:c>
      <x:c r="I339" s="7" t="str">
        <x:v>Medium</x:v>
      </x:c>
      <x:c r="J33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39" s="1"/>
    </x:row>
    <x:row r="340" ht="72" customHeight="1">
      <x:c r="A340" s="7" t="str">
        <x:v>Rachycentron canadum</x:v>
      </x:c>
      <x:c r="B340" s="7" t="str">
        <x:v>Juvenile large pelagic fish</x:v>
      </x:c>
      <x:c r="C340" s="7" t="n">
        <x:v>30</x:v>
      </x:c>
      <x:c r="D340" s="15" t="n">
        <x:v>0.7384</x:v>
      </x:c>
      <x:c r="E340" s="15" t="n">
        <x:v>0.289</x:v>
      </x:c>
      <x:c r="F340" s="15" t="str">
        <x:v>Model catch</x:v>
      </x:c>
      <x:c r="G340" s="15" t="n">
        <x:f>SUMIFS($D$6:$D$449,$A$6:$A$449,A340)</x:f>
        <x:v>0.8205</x:v>
      </x:c>
      <x:c r="H340" s="16" t="n">
        <x:f>D340/G340</x:f>
        <x:v>0.8999390615478366</x:v>
      </x:c>
      <x:c r="I340" s="7" t="str">
        <x:v>Medium</x:v>
      </x:c>
      <x:c r="J34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0" s="1"/>
    </x:row>
    <x:row r="341" ht="72" customHeight="1">
      <x:c r="A341" s="7" t="str">
        <x:v>Rachycentron canadum</x:v>
      </x:c>
      <x:c r="B341" s="7" t="str">
        <x:v>Pelagic fish (&gt; 30 cm)</x:v>
      </x:c>
      <x:c r="C341" s="7" t="n">
        <x:v>31</x:v>
      </x:c>
      <x:c r="D341" s="15" t="n">
        <x:v>0.0821</x:v>
      </x:c>
      <x:c r="E341" s="15" t="n">
        <x:v>0.079</x:v>
      </x:c>
      <x:c r="F341" s="15" t="str">
        <x:v>Model catch</x:v>
      </x:c>
      <x:c r="G341" s="15" t="n">
        <x:f>SUMIFS($D$6:$D$449,$A$6:$A$449,A341)</x:f>
        <x:v>0.8205</x:v>
      </x:c>
      <x:c r="H341" s="16" t="n">
        <x:f>D341/G341</x:f>
        <x:v>0.10006093845216332</x:v>
      </x:c>
      <x:c r="I341" s="7" t="str">
        <x:v>Medium</x:v>
      </x:c>
      <x:c r="J34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1" s="1"/>
    </x:row>
    <x:row r="342" ht="72" customHeight="1">
      <x:c r="A342" s="7" t="str">
        <x:v>Rastrelliger</x:v>
      </x:c>
      <x:c r="B342" s="7" t="str">
        <x:v>Juvenile large pelagic fish</x:v>
      </x:c>
      <x:c r="C342" s="7" t="n">
        <x:v>30</x:v>
      </x:c>
      <x:c r="D342" s="15" t="n">
        <x:v>0.7384</x:v>
      </x:c>
      <x:c r="E342" s="15" t="n">
        <x:v>0.289</x:v>
      </x:c>
      <x:c r="F342" s="15" t="str">
        <x:v>Model catch</x:v>
      </x:c>
      <x:c r="G342" s="15" t="n">
        <x:f>SUMIFS($D$6:$D$449,$A$6:$A$449,A342)</x:f>
        <x:v>0.8205</x:v>
      </x:c>
      <x:c r="H342" s="16" t="n">
        <x:f>D342/G342</x:f>
        <x:v>0.8999390615478366</x:v>
      </x:c>
      <x:c r="I342" s="7" t="str">
        <x:v>Medium</x:v>
      </x:c>
      <x:c r="J34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2" s="1"/>
    </x:row>
    <x:row r="343" ht="72" customHeight="1">
      <x:c r="A343" s="7" t="str">
        <x:v>Rastrelliger</x:v>
      </x:c>
      <x:c r="B343" s="7" t="str">
        <x:v>Pelagic fish (&gt; 30 cm)</x:v>
      </x:c>
      <x:c r="C343" s="7" t="n">
        <x:v>31</x:v>
      </x:c>
      <x:c r="D343" s="15" t="n">
        <x:v>0.0821</x:v>
      </x:c>
      <x:c r="E343" s="15" t="n">
        <x:v>0.079</x:v>
      </x:c>
      <x:c r="F343" s="15" t="str">
        <x:v>Model catch</x:v>
      </x:c>
      <x:c r="G343" s="15" t="n">
        <x:f>SUMIFS($D$6:$D$449,$A$6:$A$449,A343)</x:f>
        <x:v>0.8205</x:v>
      </x:c>
      <x:c r="H343" s="16" t="n">
        <x:f>D343/G343</x:f>
        <x:v>0.10006093845216332</x:v>
      </x:c>
      <x:c r="I343" s="7" t="str">
        <x:v>Medium</x:v>
      </x:c>
      <x:c r="J34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3" s="1"/>
    </x:row>
    <x:row r="344" ht="72" customHeight="1">
      <x:c r="A344" s="7" t="str">
        <x:v>Rastrelliger brachysoma</x:v>
      </x:c>
      <x:c r="B344" s="7" t="str">
        <x:v>Juvenile large pelagic fish</x:v>
      </x:c>
      <x:c r="C344" s="7" t="n">
        <x:v>30</x:v>
      </x:c>
      <x:c r="D344" s="15" t="n">
        <x:v>0.7384</x:v>
      </x:c>
      <x:c r="E344" s="15" t="n">
        <x:v>0.289</x:v>
      </x:c>
      <x:c r="F344" s="15" t="str">
        <x:v>Model catch</x:v>
      </x:c>
      <x:c r="G344" s="15" t="n">
        <x:f>SUMIFS($D$6:$D$449,$A$6:$A$449,A344)</x:f>
        <x:v>0.8205</x:v>
      </x:c>
      <x:c r="H344" s="16" t="n">
        <x:f>D344/G344</x:f>
        <x:v>0.8999390615478366</x:v>
      </x:c>
      <x:c r="I344" s="7" t="str">
        <x:v>Medium</x:v>
      </x:c>
      <x:c r="J34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4" s="1"/>
    </x:row>
    <x:row r="345" ht="72" customHeight="1">
      <x:c r="A345" s="7" t="str">
        <x:v>Rastrelliger brachysoma</x:v>
      </x:c>
      <x:c r="B345" s="7" t="str">
        <x:v>Pelagic fish (&gt; 30 cm)</x:v>
      </x:c>
      <x:c r="C345" s="7" t="n">
        <x:v>31</x:v>
      </x:c>
      <x:c r="D345" s="15" t="n">
        <x:v>0.0821</x:v>
      </x:c>
      <x:c r="E345" s="15" t="n">
        <x:v>0.079</x:v>
      </x:c>
      <x:c r="F345" s="15" t="str">
        <x:v>Model catch</x:v>
      </x:c>
      <x:c r="G345" s="15" t="n">
        <x:f>SUMIFS($D$6:$D$449,$A$6:$A$449,A345)</x:f>
        <x:v>0.8205</x:v>
      </x:c>
      <x:c r="H345" s="16" t="n">
        <x:f>D345/G345</x:f>
        <x:v>0.10006093845216332</x:v>
      </x:c>
      <x:c r="I345" s="7" t="str">
        <x:v>Medium</x:v>
      </x:c>
      <x:c r="J34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5" s="1"/>
    </x:row>
    <x:row r="346" ht="72" customHeight="1">
      <x:c r="A346" s="7" t="str">
        <x:v>Rastrelliger kanagurta</x:v>
      </x:c>
      <x:c r="B346" s="7" t="str">
        <x:v>Juvenile large pelagic fish</x:v>
      </x:c>
      <x:c r="C346" s="7" t="n">
        <x:v>30</x:v>
      </x:c>
      <x:c r="D346" s="15" t="n">
        <x:v>0.7384</x:v>
      </x:c>
      <x:c r="E346" s="15" t="n">
        <x:v>0.289</x:v>
      </x:c>
      <x:c r="F346" s="15" t="str">
        <x:v>Model catch</x:v>
      </x:c>
      <x:c r="G346" s="15" t="n">
        <x:f>SUMIFS($D$6:$D$449,$A$6:$A$449,A346)</x:f>
        <x:v>0.8205</x:v>
      </x:c>
      <x:c r="H346" s="16" t="n">
        <x:f>D346/G346</x:f>
        <x:v>0.8999390615478366</x:v>
      </x:c>
      <x:c r="I346" s="7" t="str">
        <x:v>Medium</x:v>
      </x:c>
      <x:c r="J34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6" s="1"/>
    </x:row>
    <x:row r="347" ht="72" customHeight="1">
      <x:c r="A347" s="7" t="str">
        <x:v>Rastrelliger kanagurta</x:v>
      </x:c>
      <x:c r="B347" s="7" t="str">
        <x:v>Pelagic fish (&gt; 30 cm)</x:v>
      </x:c>
      <x:c r="C347" s="7" t="n">
        <x:v>31</x:v>
      </x:c>
      <x:c r="D347" s="15" t="n">
        <x:v>0.0821</x:v>
      </x:c>
      <x:c r="E347" s="15" t="n">
        <x:v>0.079</x:v>
      </x:c>
      <x:c r="F347" s="15" t="str">
        <x:v>Model catch</x:v>
      </x:c>
      <x:c r="G347" s="15" t="n">
        <x:f>SUMIFS($D$6:$D$449,$A$6:$A$449,A347)</x:f>
        <x:v>0.8205</x:v>
      </x:c>
      <x:c r="H347" s="16" t="n">
        <x:f>D347/G347</x:f>
        <x:v>0.10006093845216332</x:v>
      </x:c>
      <x:c r="I347" s="7" t="str">
        <x:v>Medium</x:v>
      </x:c>
      <x:c r="J34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7" s="1"/>
    </x:row>
    <x:row r="348" ht="132" customHeight="1">
      <x:c r="A348" s="7" t="str">
        <x:v>Ruvettus pretiosus</x:v>
      </x:c>
      <x:c r="B348" s="7" t="str">
        <x:v>Benthopelagic fish</x:v>
      </x:c>
      <x:c r="C348" s="7" t="n">
        <x:v>27</x:v>
      </x:c>
      <x:c r="D348" s="15" t="n">
        <x:v>0.6025</x:v>
      </x:c>
      <x:c r="E348" s="15" t="n">
        <x:v>0.922</x:v>
      </x:c>
      <x:c r="F348" s="15" t="str">
        <x:v>No split</x:v>
      </x:c>
      <x:c r="G348" s="15" t="n">
        <x:f>SUMIFS($D$6:$D$449,$A$6:$A$449,A348)</x:f>
        <x:v>0.6025</x:v>
      </x:c>
      <x:c r="H348" s="16" t="n">
        <x:f>1</x:f>
        <x:v>1</x:v>
      </x:c>
      <x:c r="I348" s="7" t="str">
        <x:v>High</x:v>
      </x:c>
      <x:c r="J348" s="7" t="str">
        <x:v>The saved catch classification is benthopelagic. Use the single represented Benthopelagic fish compartment as a whole-catch analogue. Species/depth composition and the source small/large-pool aggregation are uncertain; this is not documented exact source membership. The saved catch classification is benthopelagic. Use the single represented Benthopelagic fish compartment as a whole-catch analogue. Species/depth composition and the source small/large-pool aggregation are uncertain; this is not documented exact source membership. All catch is assigned to the single analogue. Very low membership confidence; see Sources and the regional Mapping review.</x:v>
      </x:c>
      <x:c r="K348" s="1"/>
    </x:row>
    <x:row r="349" ht="72" customHeight="1">
      <x:c r="A349" s="7" t="str">
        <x:v>Sardinops sagax</x:v>
      </x:c>
      <x:c r="B349" s="7" t="str">
        <x:v>Juvenile large pelagic fish</x:v>
      </x:c>
      <x:c r="C349" s="7" t="n">
        <x:v>30</x:v>
      </x:c>
      <x:c r="D349" s="15" t="n">
        <x:v>0.7384</x:v>
      </x:c>
      <x:c r="E349" s="15" t="n">
        <x:v>0.289</x:v>
      </x:c>
      <x:c r="F349" s="15" t="str">
        <x:v>Model catch</x:v>
      </x:c>
      <x:c r="G349" s="15" t="n">
        <x:f>SUMIFS($D$6:$D$449,$A$6:$A$449,A349)</x:f>
        <x:v>0.8205</x:v>
      </x:c>
      <x:c r="H349" s="16" t="n">
        <x:f>D349/G349</x:f>
        <x:v>0.8999390615478366</x:v>
      </x:c>
      <x:c r="I349" s="7" t="str">
        <x:v>Medium</x:v>
      </x:c>
      <x:c r="J34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49" s="1"/>
    </x:row>
    <x:row r="350" ht="72" customHeight="1">
      <x:c r="A350" s="7" t="str">
        <x:v>Sardinops sagax</x:v>
      </x:c>
      <x:c r="B350" s="7" t="str">
        <x:v>Pelagic fish (&gt; 30 cm)</x:v>
      </x:c>
      <x:c r="C350" s="7" t="n">
        <x:v>31</x:v>
      </x:c>
      <x:c r="D350" s="15" t="n">
        <x:v>0.0821</x:v>
      </x:c>
      <x:c r="E350" s="15" t="n">
        <x:v>0.079</x:v>
      </x:c>
      <x:c r="F350" s="15" t="str">
        <x:v>Model catch</x:v>
      </x:c>
      <x:c r="G350" s="15" t="n">
        <x:f>SUMIFS($D$6:$D$449,$A$6:$A$449,A350)</x:f>
        <x:v>0.8205</x:v>
      </x:c>
      <x:c r="H350" s="16" t="n">
        <x:f>D350/G350</x:f>
        <x:v>0.10006093845216332</x:v>
      </x:c>
      <x:c r="I350" s="7" t="str">
        <x:v>Medium</x:v>
      </x:c>
      <x:c r="J35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50" s="1"/>
    </x:row>
    <x:row r="351" ht="87" customHeight="1">
      <x:c r="A351" s="7" t="str">
        <x:v>Scaridae</x:v>
      </x:c>
      <x:c r="B351" s="7" t="str">
        <x:v>Juvenile demersal fish (&gt; 30 cm)</x:v>
      </x:c>
      <x:c r="C351" s="7" t="n">
        <x:v>25</x:v>
      </x:c>
      <x:c r="D351" s="15" t="n">
        <x:v>0.3165</x:v>
      </x:c>
      <x:c r="E351" s="15" t="n">
        <x:v>0.143</x:v>
      </x:c>
      <x:c r="F351" s="15" t="str">
        <x:v>Model catch</x:v>
      </x:c>
      <x:c r="G351" s="15" t="n">
        <x:f>SUMIFS($D$6:$D$449,$A$6:$A$449,A351)</x:f>
        <x:v>0.3517</x:v>
      </x:c>
      <x:c r="H351" s="16" t="n">
        <x:f>D351/G351</x:f>
        <x:v>0.8999147000284333</x:v>
      </x:c>
      <x:c r="I351" s="7" t="str">
        <x:v>Medium</x:v>
      </x:c>
      <x:c r="J35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1" s="1"/>
    </x:row>
    <x:row r="352" ht="87" customHeight="1">
      <x:c r="A352" s="7" t="str">
        <x:v>Scaridae</x:v>
      </x:c>
      <x:c r="B352" s="7" t="str">
        <x:v>Adult demersal fish (&gt; 30 cm)</x:v>
      </x:c>
      <x:c r="C352" s="7" t="n">
        <x:v>26</x:v>
      </x:c>
      <x:c r="D352" s="15" t="n">
        <x:v>0.0352</x:v>
      </x:c>
      <x:c r="E352" s="15" t="n">
        <x:v>0.021</x:v>
      </x:c>
      <x:c r="F352" s="15" t="str">
        <x:v>Model catch</x:v>
      </x:c>
      <x:c r="G352" s="15" t="n">
        <x:f>SUMIFS($D$6:$D$449,$A$6:$A$449,A352)</x:f>
        <x:v>0.3517</x:v>
      </x:c>
      <x:c r="H352" s="16" t="n">
        <x:f>D352/G352</x:f>
        <x:v>0.10008529997156668</x:v>
      </x:c>
      <x:c r="I352" s="7" t="str">
        <x:v>Medium</x:v>
      </x:c>
      <x:c r="J35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2" s="1"/>
    </x:row>
    <x:row r="353" ht="87" customHeight="1">
      <x:c r="A353" s="7" t="str">
        <x:v>Scarus</x:v>
      </x:c>
      <x:c r="B353" s="7" t="str">
        <x:v>Juvenile demersal fish (&gt; 30 cm)</x:v>
      </x:c>
      <x:c r="C353" s="7" t="n">
        <x:v>25</x:v>
      </x:c>
      <x:c r="D353" s="15" t="n">
        <x:v>0.3165</x:v>
      </x:c>
      <x:c r="E353" s="15" t="n">
        <x:v>0.143</x:v>
      </x:c>
      <x:c r="F353" s="15" t="str">
        <x:v>Model catch</x:v>
      </x:c>
      <x:c r="G353" s="15" t="n">
        <x:f>SUMIFS($D$6:$D$449,$A$6:$A$449,A353)</x:f>
        <x:v>0.3517</x:v>
      </x:c>
      <x:c r="H353" s="16" t="n">
        <x:f>D353/G353</x:f>
        <x:v>0.8999147000284333</x:v>
      </x:c>
      <x:c r="I353" s="7" t="str">
        <x:v>Medium</x:v>
      </x:c>
      <x:c r="J35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3" s="1"/>
    </x:row>
    <x:row r="354" ht="87" customHeight="1">
      <x:c r="A354" s="7" t="str">
        <x:v>Scarus</x:v>
      </x:c>
      <x:c r="B354" s="7" t="str">
        <x:v>Adult demersal fish (&gt; 30 cm)</x:v>
      </x:c>
      <x:c r="C354" s="7" t="n">
        <x:v>26</x:v>
      </x:c>
      <x:c r="D354" s="15" t="n">
        <x:v>0.0352</x:v>
      </x:c>
      <x:c r="E354" s="15" t="n">
        <x:v>0.021</x:v>
      </x:c>
      <x:c r="F354" s="15" t="str">
        <x:v>Model catch</x:v>
      </x:c>
      <x:c r="G354" s="15" t="n">
        <x:f>SUMIFS($D$6:$D$449,$A$6:$A$449,A354)</x:f>
        <x:v>0.3517</x:v>
      </x:c>
      <x:c r="H354" s="16" t="n">
        <x:f>D354/G354</x:f>
        <x:v>0.10008529997156668</x:v>
      </x:c>
      <x:c r="I354" s="7" t="str">
        <x:v>Medium</x:v>
      </x:c>
      <x:c r="J35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4" s="1"/>
    </x:row>
    <x:row r="355" ht="87" customHeight="1">
      <x:c r="A355" s="7" t="str">
        <x:v>Scatophagus</x:v>
      </x:c>
      <x:c r="B355" s="7" t="str">
        <x:v>Juvenile demersal fish (&gt; 30 cm)</x:v>
      </x:c>
      <x:c r="C355" s="7" t="n">
        <x:v>25</x:v>
      </x:c>
      <x:c r="D355" s="15" t="n">
        <x:v>0.3165</x:v>
      </x:c>
      <x:c r="E355" s="15" t="n">
        <x:v>0.143</x:v>
      </x:c>
      <x:c r="F355" s="15" t="str">
        <x:v>Model catch</x:v>
      </x:c>
      <x:c r="G355" s="15" t="n">
        <x:f>SUMIFS($D$6:$D$449,$A$6:$A$449,A355)</x:f>
        <x:v>0.3517</x:v>
      </x:c>
      <x:c r="H355" s="16" t="n">
        <x:f>D355/G355</x:f>
        <x:v>0.8999147000284333</x:v>
      </x:c>
      <x:c r="I355" s="7" t="str">
        <x:v>Medium</x:v>
      </x:c>
      <x:c r="J35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5" s="1"/>
    </x:row>
    <x:row r="356" ht="87" customHeight="1">
      <x:c r="A356" s="7" t="str">
        <x:v>Scatophagus</x:v>
      </x:c>
      <x:c r="B356" s="7" t="str">
        <x:v>Adult demersal fish (&gt; 30 cm)</x:v>
      </x:c>
      <x:c r="C356" s="7" t="n">
        <x:v>26</x:v>
      </x:c>
      <x:c r="D356" s="15" t="n">
        <x:v>0.0352</x:v>
      </x:c>
      <x:c r="E356" s="15" t="n">
        <x:v>0.021</x:v>
      </x:c>
      <x:c r="F356" s="15" t="str">
        <x:v>Model catch</x:v>
      </x:c>
      <x:c r="G356" s="15" t="n">
        <x:f>SUMIFS($D$6:$D$449,$A$6:$A$449,A356)</x:f>
        <x:v>0.3517</x:v>
      </x:c>
      <x:c r="H356" s="16" t="n">
        <x:f>D356/G356</x:f>
        <x:v>0.10008529997156668</x:v>
      </x:c>
      <x:c r="I356" s="7" t="str">
        <x:v>Medium</x:v>
      </x:c>
      <x:c r="J35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6" s="1"/>
    </x:row>
    <x:row r="357" ht="87" customHeight="1">
      <x:c r="A357" s="7" t="str">
        <x:v>Scatophagus argus</x:v>
      </x:c>
      <x:c r="B357" s="7" t="str">
        <x:v>Juvenile demersal fish (&gt; 30 cm)</x:v>
      </x:c>
      <x:c r="C357" s="7" t="n">
        <x:v>25</x:v>
      </x:c>
      <x:c r="D357" s="15" t="n">
        <x:v>0.3165</x:v>
      </x:c>
      <x:c r="E357" s="15" t="n">
        <x:v>0.143</x:v>
      </x:c>
      <x:c r="F357" s="15" t="str">
        <x:v>Model catch</x:v>
      </x:c>
      <x:c r="G357" s="15" t="n">
        <x:f>SUMIFS($D$6:$D$449,$A$6:$A$449,A357)</x:f>
        <x:v>0.3517</x:v>
      </x:c>
      <x:c r="H357" s="16" t="n">
        <x:f>D357/G357</x:f>
        <x:v>0.8999147000284333</x:v>
      </x:c>
      <x:c r="I357" s="7" t="str">
        <x:v>Medium</x:v>
      </x:c>
      <x:c r="J35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7" s="1"/>
    </x:row>
    <x:row r="358" ht="87" customHeight="1">
      <x:c r="A358" s="7" t="str">
        <x:v>Scatophagus argus</x:v>
      </x:c>
      <x:c r="B358" s="7" t="str">
        <x:v>Adult demersal fish (&gt; 30 cm)</x:v>
      </x:c>
      <x:c r="C358" s="7" t="n">
        <x:v>26</x:v>
      </x:c>
      <x:c r="D358" s="15" t="n">
        <x:v>0.0352</x:v>
      </x:c>
      <x:c r="E358" s="15" t="n">
        <x:v>0.021</x:v>
      </x:c>
      <x:c r="F358" s="15" t="str">
        <x:v>Model catch</x:v>
      </x:c>
      <x:c r="G358" s="15" t="n">
        <x:f>SUMIFS($D$6:$D$449,$A$6:$A$449,A358)</x:f>
        <x:v>0.3517</x:v>
      </x:c>
      <x:c r="H358" s="16" t="n">
        <x:f>D358/G358</x:f>
        <x:v>0.10008529997156668</x:v>
      </x:c>
      <x:c r="I358" s="7" t="str">
        <x:v>Medium</x:v>
      </x:c>
      <x:c r="J35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58" s="1"/>
    </x:row>
    <x:row r="359" ht="117" customHeight="1">
      <x:c r="A359" s="7" t="str">
        <x:v>Sciaenidae</x:v>
      </x:c>
      <x:c r="B359" s="7" t="str">
        <x:v>Croakers (≤ 30 cm)</x:v>
      </x:c>
      <x:c r="C359" s="7" t="n">
        <x:v>21</x:v>
      </x:c>
      <x:c r="D359" s="15" t="n">
        <x:v>0.0351</x:v>
      </x:c>
      <x:c r="E359" s="15" t="n">
        <x:v>0.07</x:v>
      </x:c>
      <x:c r="F359" s="15" t="str">
        <x:v>Model catch</x:v>
      </x:c>
      <x:c r="G359" s="15" t="n">
        <x:f>SUMIFS($D$6:$D$449,$A$6:$A$449,A359)</x:f>
        <x:v>0.11410000000000001</x:v>
      </x:c>
      <x:c r="H359" s="16" t="n">
        <x:f>D359/G359</x:f>
        <x:v>0.30762489044697633</x:v>
      </x:c>
      <x:c r="I359" s="7" t="str">
        <x:v>Medium</x:v>
      </x:c>
      <x:c r="J359" s="7" t="str">
        <x:v>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K359" s="1"/>
    </x:row>
    <x:row r="360" ht="117" customHeight="1">
      <x:c r="A360" s="7" t="str">
        <x:v>Sciaenidae</x:v>
      </x:c>
      <x:c r="B360" s="7" t="str">
        <x:v>Juvenile large croakers</x:v>
      </x:c>
      <x:c r="C360" s="7" t="n">
        <x:v>22</x:v>
      </x:c>
      <x:c r="D360" s="15" t="n">
        <x:v>0.071</x:v>
      </x:c>
      <x:c r="E360" s="15" t="n">
        <x:v>0.04</x:v>
      </x:c>
      <x:c r="F360" s="15" t="str">
        <x:v>Model catch</x:v>
      </x:c>
      <x:c r="G360" s="15" t="n">
        <x:f>SUMIFS($D$6:$D$449,$A$6:$A$449,A360)</x:f>
        <x:v>0.11410000000000001</x:v>
      </x:c>
      <x:c r="H360" s="16" t="n">
        <x:f>D360/G360</x:f>
        <x:v>0.6222611744084136</x:v>
      </x:c>
      <x:c r="I360" s="7" t="str">
        <x:v>Medium</x:v>
      </x:c>
      <x:c r="J360" s="7" t="str">
        <x:v>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K360" s="1"/>
    </x:row>
    <x:row r="361" ht="117" customHeight="1">
      <x:c r="A361" s="7" t="str">
        <x:v>Sciaenidae</x:v>
      </x:c>
      <x:c r="B361" s="7" t="str">
        <x:v>Croakers (&gt; 30 cm)</x:v>
      </x:c>
      <x:c r="C361" s="7" t="n">
        <x:v>23</x:v>
      </x:c>
      <x:c r="D361" s="15" t="n">
        <x:v>0.008</x:v>
      </x:c>
      <x:c r="E361" s="15" t="n">
        <x:v>0.0094</x:v>
      </x:c>
      <x:c r="F361" s="15" t="str">
        <x:v>Model catch</x:v>
      </x:c>
      <x:c r="G361" s="15" t="n">
        <x:f>SUMIFS($D$6:$D$449,$A$6:$A$449,A361)</x:f>
        <x:v>0.11410000000000001</x:v>
      </x:c>
      <x:c r="H361" s="16" t="n">
        <x:f>D361/G361</x:f>
        <x:v>0.07011393514460999</x:v>
      </x:c>
      <x:c r="I361" s="7" t="str">
        <x:v>Medium</x:v>
      </x:c>
      <x:c r="J361" s="7" t="str">
        <x:v>Sciaenidae is the source-defined croaker lineage; the three croaker pools span small fish and both large-fish stages. The exact size and stage composition is unknown, so all three are retained as candidates. Sciaenidae is the source-defined croaker lineage; the three croaker pools span small fish and both large-fish stages. The exact size and stage composition is unknown, so all three are retained as candidates. Allocation assumes model catch proportions, fixed over 1950–2019 and landings, total catch and discards. See Model group inputs and Sources.</x:v>
      </x:c>
      <x:c r="K361" s="1"/>
    </x:row>
    <x:row r="362" ht="72" customHeight="1">
      <x:c r="A362" s="7" t="str">
        <x:v>Scomber</x:v>
      </x:c>
      <x:c r="B362" s="7" t="str">
        <x:v>Juvenile large pelagic fish</x:v>
      </x:c>
      <x:c r="C362" s="7" t="n">
        <x:v>30</x:v>
      </x:c>
      <x:c r="D362" s="15" t="n">
        <x:v>0.7384</x:v>
      </x:c>
      <x:c r="E362" s="15" t="n">
        <x:v>0.289</x:v>
      </x:c>
      <x:c r="F362" s="15" t="str">
        <x:v>Model catch</x:v>
      </x:c>
      <x:c r="G362" s="15" t="n">
        <x:f>SUMIFS($D$6:$D$449,$A$6:$A$449,A362)</x:f>
        <x:v>0.8205</x:v>
      </x:c>
      <x:c r="H362" s="16" t="n">
        <x:f>D362/G362</x:f>
        <x:v>0.8999390615478366</x:v>
      </x:c>
      <x:c r="I362" s="7" t="str">
        <x:v>Medium</x:v>
      </x:c>
      <x:c r="J36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2" s="1"/>
    </x:row>
    <x:row r="363" ht="72" customHeight="1">
      <x:c r="A363" s="7" t="str">
        <x:v>Scomber</x:v>
      </x:c>
      <x:c r="B363" s="7" t="str">
        <x:v>Pelagic fish (&gt; 30 cm)</x:v>
      </x:c>
      <x:c r="C363" s="7" t="n">
        <x:v>31</x:v>
      </x:c>
      <x:c r="D363" s="15" t="n">
        <x:v>0.0821</x:v>
      </x:c>
      <x:c r="E363" s="15" t="n">
        <x:v>0.079</x:v>
      </x:c>
      <x:c r="F363" s="15" t="str">
        <x:v>Model catch</x:v>
      </x:c>
      <x:c r="G363" s="15" t="n">
        <x:f>SUMIFS($D$6:$D$449,$A$6:$A$449,A363)</x:f>
        <x:v>0.8205</x:v>
      </x:c>
      <x:c r="H363" s="16" t="n">
        <x:f>D363/G363</x:f>
        <x:v>0.10006093845216332</x:v>
      </x:c>
      <x:c r="I363" s="7" t="str">
        <x:v>Medium</x:v>
      </x:c>
      <x:c r="J36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3" s="1"/>
    </x:row>
    <x:row r="364" ht="72" customHeight="1">
      <x:c r="A364" s="7" t="str">
        <x:v>Scomber australasicus</x:v>
      </x:c>
      <x:c r="B364" s="7" t="str">
        <x:v>Juvenile large pelagic fish</x:v>
      </x:c>
      <x:c r="C364" s="7" t="n">
        <x:v>30</x:v>
      </x:c>
      <x:c r="D364" s="15" t="n">
        <x:v>0.7384</x:v>
      </x:c>
      <x:c r="E364" s="15" t="n">
        <x:v>0.289</x:v>
      </x:c>
      <x:c r="F364" s="15" t="str">
        <x:v>Model catch</x:v>
      </x:c>
      <x:c r="G364" s="15" t="n">
        <x:f>SUMIFS($D$6:$D$449,$A$6:$A$449,A364)</x:f>
        <x:v>0.8205</x:v>
      </x:c>
      <x:c r="H364" s="16" t="n">
        <x:f>D364/G364</x:f>
        <x:v>0.8999390615478366</x:v>
      </x:c>
      <x:c r="I364" s="7" t="str">
        <x:v>Medium</x:v>
      </x:c>
      <x:c r="J36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4" s="1"/>
    </x:row>
    <x:row r="365" ht="72" customHeight="1">
      <x:c r="A365" s="7" t="str">
        <x:v>Scomber australasicus</x:v>
      </x:c>
      <x:c r="B365" s="7" t="str">
        <x:v>Pelagic fish (&gt; 30 cm)</x:v>
      </x:c>
      <x:c r="C365" s="7" t="n">
        <x:v>31</x:v>
      </x:c>
      <x:c r="D365" s="15" t="n">
        <x:v>0.0821</x:v>
      </x:c>
      <x:c r="E365" s="15" t="n">
        <x:v>0.079</x:v>
      </x:c>
      <x:c r="F365" s="15" t="str">
        <x:v>Model catch</x:v>
      </x:c>
      <x:c r="G365" s="15" t="n">
        <x:f>SUMIFS($D$6:$D$449,$A$6:$A$449,A365)</x:f>
        <x:v>0.8205</x:v>
      </x:c>
      <x:c r="H365" s="16" t="n">
        <x:f>D365/G365</x:f>
        <x:v>0.10006093845216332</x:v>
      </x:c>
      <x:c r="I365" s="7" t="str">
        <x:v>Medium</x:v>
      </x:c>
      <x:c r="J36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5" s="1"/>
    </x:row>
    <x:row r="366" ht="72" customHeight="1">
      <x:c r="A366" s="7" t="str">
        <x:v>Scomber japonicus</x:v>
      </x:c>
      <x:c r="B366" s="7" t="str">
        <x:v>Juvenile large pelagic fish</x:v>
      </x:c>
      <x:c r="C366" s="7" t="n">
        <x:v>30</x:v>
      </x:c>
      <x:c r="D366" s="15" t="n">
        <x:v>0.7384</x:v>
      </x:c>
      <x:c r="E366" s="15" t="n">
        <x:v>0.289</x:v>
      </x:c>
      <x:c r="F366" s="15" t="str">
        <x:v>Model catch</x:v>
      </x:c>
      <x:c r="G366" s="15" t="n">
        <x:f>SUMIFS($D$6:$D$449,$A$6:$A$449,A366)</x:f>
        <x:v>0.8205</x:v>
      </x:c>
      <x:c r="H366" s="16" t="n">
        <x:f>D366/G366</x:f>
        <x:v>0.8999390615478366</x:v>
      </x:c>
      <x:c r="I366" s="7" t="str">
        <x:v>Medium</x:v>
      </x:c>
      <x:c r="J36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6" s="1"/>
    </x:row>
    <x:row r="367" ht="72" customHeight="1">
      <x:c r="A367" s="7" t="str">
        <x:v>Scomber japonicus</x:v>
      </x:c>
      <x:c r="B367" s="7" t="str">
        <x:v>Pelagic fish (&gt; 30 cm)</x:v>
      </x:c>
      <x:c r="C367" s="7" t="n">
        <x:v>31</x:v>
      </x:c>
      <x:c r="D367" s="15" t="n">
        <x:v>0.0821</x:v>
      </x:c>
      <x:c r="E367" s="15" t="n">
        <x:v>0.079</x:v>
      </x:c>
      <x:c r="F367" s="15" t="str">
        <x:v>Model catch</x:v>
      </x:c>
      <x:c r="G367" s="15" t="n">
        <x:f>SUMIFS($D$6:$D$449,$A$6:$A$449,A367)</x:f>
        <x:v>0.8205</x:v>
      </x:c>
      <x:c r="H367" s="16" t="n">
        <x:f>D367/G367</x:f>
        <x:v>0.10006093845216332</x:v>
      </x:c>
      <x:c r="I367" s="7" t="str">
        <x:v>Medium</x:v>
      </x:c>
      <x:c r="J36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7" s="1"/>
    </x:row>
    <x:row r="368" ht="72" customHeight="1">
      <x:c r="A368" s="7" t="str">
        <x:v>Scomberoides</x:v>
      </x:c>
      <x:c r="B368" s="7" t="str">
        <x:v>Juvenile large pelagic fish</x:v>
      </x:c>
      <x:c r="C368" s="7" t="n">
        <x:v>30</x:v>
      </x:c>
      <x:c r="D368" s="15" t="n">
        <x:v>0.7384</x:v>
      </x:c>
      <x:c r="E368" s="15" t="n">
        <x:v>0.289</x:v>
      </x:c>
      <x:c r="F368" s="15" t="str">
        <x:v>Model catch</x:v>
      </x:c>
      <x:c r="G368" s="15" t="n">
        <x:f>SUMIFS($D$6:$D$449,$A$6:$A$449,A368)</x:f>
        <x:v>0.8205</x:v>
      </x:c>
      <x:c r="H368" s="16" t="n">
        <x:f>D368/G368</x:f>
        <x:v>0.8999390615478366</x:v>
      </x:c>
      <x:c r="I368" s="7" t="str">
        <x:v>Medium</x:v>
      </x:c>
      <x:c r="J36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8" s="1"/>
    </x:row>
    <x:row r="369" ht="72" customHeight="1">
      <x:c r="A369" s="7" t="str">
        <x:v>Scomberoides</x:v>
      </x:c>
      <x:c r="B369" s="7" t="str">
        <x:v>Pelagic fish (&gt; 30 cm)</x:v>
      </x:c>
      <x:c r="C369" s="7" t="n">
        <x:v>31</x:v>
      </x:c>
      <x:c r="D369" s="15" t="n">
        <x:v>0.0821</x:v>
      </x:c>
      <x:c r="E369" s="15" t="n">
        <x:v>0.079</x:v>
      </x:c>
      <x:c r="F369" s="15" t="str">
        <x:v>Model catch</x:v>
      </x:c>
      <x:c r="G369" s="15" t="n">
        <x:f>SUMIFS($D$6:$D$449,$A$6:$A$449,A369)</x:f>
        <x:v>0.8205</x:v>
      </x:c>
      <x:c r="H369" s="16" t="n">
        <x:f>D369/G369</x:f>
        <x:v>0.10006093845216332</x:v>
      </x:c>
      <x:c r="I369" s="7" t="str">
        <x:v>Medium</x:v>
      </x:c>
      <x:c r="J36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69" s="1"/>
    </x:row>
    <x:row r="370" ht="72" customHeight="1">
      <x:c r="A370" s="7" t="str">
        <x:v>Scomberomorus</x:v>
      </x:c>
      <x:c r="B370" s="7" t="str">
        <x:v>Juvenile large pelagic fish</x:v>
      </x:c>
      <x:c r="C370" s="7" t="n">
        <x:v>30</x:v>
      </x:c>
      <x:c r="D370" s="15" t="n">
        <x:v>0.7384</x:v>
      </x:c>
      <x:c r="E370" s="15" t="n">
        <x:v>0.289</x:v>
      </x:c>
      <x:c r="F370" s="15" t="str">
        <x:v>Model catch</x:v>
      </x:c>
      <x:c r="G370" s="15" t="n">
        <x:f>SUMIFS($D$6:$D$449,$A$6:$A$449,A370)</x:f>
        <x:v>0.8205</x:v>
      </x:c>
      <x:c r="H370" s="16" t="n">
        <x:f>D370/G370</x:f>
        <x:v>0.8999390615478366</x:v>
      </x:c>
      <x:c r="I370" s="7" t="str">
        <x:v>Medium</x:v>
      </x:c>
      <x:c r="J37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0" s="1"/>
    </x:row>
    <x:row r="371" ht="72" customHeight="1">
      <x:c r="A371" s="7" t="str">
        <x:v>Scomberomorus</x:v>
      </x:c>
      <x:c r="B371" s="7" t="str">
        <x:v>Pelagic fish (&gt; 30 cm)</x:v>
      </x:c>
      <x:c r="C371" s="7" t="n">
        <x:v>31</x:v>
      </x:c>
      <x:c r="D371" s="15" t="n">
        <x:v>0.0821</x:v>
      </x:c>
      <x:c r="E371" s="15" t="n">
        <x:v>0.079</x:v>
      </x:c>
      <x:c r="F371" s="15" t="str">
        <x:v>Model catch</x:v>
      </x:c>
      <x:c r="G371" s="15" t="n">
        <x:f>SUMIFS($D$6:$D$449,$A$6:$A$449,A371)</x:f>
        <x:v>0.8205</x:v>
      </x:c>
      <x:c r="H371" s="16" t="n">
        <x:f>D371/G371</x:f>
        <x:v>0.10006093845216332</x:v>
      </x:c>
      <x:c r="I371" s="7" t="str">
        <x:v>Medium</x:v>
      </x:c>
      <x:c r="J37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1" s="1"/>
    </x:row>
    <x:row r="372" ht="72" customHeight="1">
      <x:c r="A372" s="7" t="str">
        <x:v>Scomberomorus commerson</x:v>
      </x:c>
      <x:c r="B372" s="7" t="str">
        <x:v>Juvenile large pelagic fish</x:v>
      </x:c>
      <x:c r="C372" s="7" t="n">
        <x:v>30</x:v>
      </x:c>
      <x:c r="D372" s="15" t="n">
        <x:v>0.7384</x:v>
      </x:c>
      <x:c r="E372" s="15" t="n">
        <x:v>0.289</x:v>
      </x:c>
      <x:c r="F372" s="15" t="str">
        <x:v>Model catch</x:v>
      </x:c>
      <x:c r="G372" s="15" t="n">
        <x:f>SUMIFS($D$6:$D$449,$A$6:$A$449,A372)</x:f>
        <x:v>0.8205</x:v>
      </x:c>
      <x:c r="H372" s="16" t="n">
        <x:f>D372/G372</x:f>
        <x:v>0.8999390615478366</x:v>
      </x:c>
      <x:c r="I372" s="7" t="str">
        <x:v>Medium</x:v>
      </x:c>
      <x:c r="J37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2" s="1"/>
    </x:row>
    <x:row r="373" ht="72" customHeight="1">
      <x:c r="A373" s="7" t="str">
        <x:v>Scomberomorus commerson</x:v>
      </x:c>
      <x:c r="B373" s="7" t="str">
        <x:v>Pelagic fish (&gt; 30 cm)</x:v>
      </x:c>
      <x:c r="C373" s="7" t="n">
        <x:v>31</x:v>
      </x:c>
      <x:c r="D373" s="15" t="n">
        <x:v>0.0821</x:v>
      </x:c>
      <x:c r="E373" s="15" t="n">
        <x:v>0.079</x:v>
      </x:c>
      <x:c r="F373" s="15" t="str">
        <x:v>Model catch</x:v>
      </x:c>
      <x:c r="G373" s="15" t="n">
        <x:f>SUMIFS($D$6:$D$449,$A$6:$A$449,A373)</x:f>
        <x:v>0.8205</x:v>
      </x:c>
      <x:c r="H373" s="16" t="n">
        <x:f>D373/G373</x:f>
        <x:v>0.10006093845216332</x:v>
      </x:c>
      <x:c r="I373" s="7" t="str">
        <x:v>Medium</x:v>
      </x:c>
      <x:c r="J37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3" s="1"/>
    </x:row>
    <x:row r="374" ht="72" customHeight="1">
      <x:c r="A374" s="7" t="str">
        <x:v>Scomberomorus guttatus</x:v>
      </x:c>
      <x:c r="B374" s="7" t="str">
        <x:v>Juvenile large pelagic fish</x:v>
      </x:c>
      <x:c r="C374" s="7" t="n">
        <x:v>30</x:v>
      </x:c>
      <x:c r="D374" s="15" t="n">
        <x:v>0.7384</x:v>
      </x:c>
      <x:c r="E374" s="15" t="n">
        <x:v>0.289</x:v>
      </x:c>
      <x:c r="F374" s="15" t="str">
        <x:v>Model catch</x:v>
      </x:c>
      <x:c r="G374" s="15" t="n">
        <x:f>SUMIFS($D$6:$D$449,$A$6:$A$449,A374)</x:f>
        <x:v>0.8205</x:v>
      </x:c>
      <x:c r="H374" s="16" t="n">
        <x:f>D374/G374</x:f>
        <x:v>0.8999390615478366</x:v>
      </x:c>
      <x:c r="I374" s="7" t="str">
        <x:v>Medium</x:v>
      </x:c>
      <x:c r="J37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4" s="1"/>
    </x:row>
    <x:row r="375" ht="72" customHeight="1">
      <x:c r="A375" s="7" t="str">
        <x:v>Scomberomorus guttatus</x:v>
      </x:c>
      <x:c r="B375" s="7" t="str">
        <x:v>Pelagic fish (&gt; 30 cm)</x:v>
      </x:c>
      <x:c r="C375" s="7" t="n">
        <x:v>31</x:v>
      </x:c>
      <x:c r="D375" s="15" t="n">
        <x:v>0.0821</x:v>
      </x:c>
      <x:c r="E375" s="15" t="n">
        <x:v>0.079</x:v>
      </x:c>
      <x:c r="F375" s="15" t="str">
        <x:v>Model catch</x:v>
      </x:c>
      <x:c r="G375" s="15" t="n">
        <x:f>SUMIFS($D$6:$D$449,$A$6:$A$449,A375)</x:f>
        <x:v>0.8205</x:v>
      </x:c>
      <x:c r="H375" s="16" t="n">
        <x:f>D375/G375</x:f>
        <x:v>0.10006093845216332</x:v>
      </x:c>
      <x:c r="I375" s="7" t="str">
        <x:v>Medium</x:v>
      </x:c>
      <x:c r="J37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5" s="1"/>
    </x:row>
    <x:row r="376" ht="72" customHeight="1">
      <x:c r="A376" s="7" t="str">
        <x:v>Scomberomorus niphonius</x:v>
      </x:c>
      <x:c r="B376" s="7" t="str">
        <x:v>Juvenile large pelagic fish</x:v>
      </x:c>
      <x:c r="C376" s="7" t="n">
        <x:v>30</x:v>
      </x:c>
      <x:c r="D376" s="15" t="n">
        <x:v>0.7384</x:v>
      </x:c>
      <x:c r="E376" s="15" t="n">
        <x:v>0.289</x:v>
      </x:c>
      <x:c r="F376" s="15" t="str">
        <x:v>Model catch</x:v>
      </x:c>
      <x:c r="G376" s="15" t="n">
        <x:f>SUMIFS($D$6:$D$449,$A$6:$A$449,A376)</x:f>
        <x:v>0.8205</x:v>
      </x:c>
      <x:c r="H376" s="16" t="n">
        <x:f>D376/G376</x:f>
        <x:v>0.8999390615478366</x:v>
      </x:c>
      <x:c r="I376" s="7" t="str">
        <x:v>Medium</x:v>
      </x:c>
      <x:c r="J37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6" s="1"/>
    </x:row>
    <x:row r="377" ht="72" customHeight="1">
      <x:c r="A377" s="7" t="str">
        <x:v>Scomberomorus niphonius</x:v>
      </x:c>
      <x:c r="B377" s="7" t="str">
        <x:v>Pelagic fish (&gt; 30 cm)</x:v>
      </x:c>
      <x:c r="C377" s="7" t="n">
        <x:v>31</x:v>
      </x:c>
      <x:c r="D377" s="15" t="n">
        <x:v>0.0821</x:v>
      </x:c>
      <x:c r="E377" s="15" t="n">
        <x:v>0.079</x:v>
      </x:c>
      <x:c r="F377" s="15" t="str">
        <x:v>Model catch</x:v>
      </x:c>
      <x:c r="G377" s="15" t="n">
        <x:f>SUMIFS($D$6:$D$449,$A$6:$A$449,A377)</x:f>
        <x:v>0.8205</x:v>
      </x:c>
      <x:c r="H377" s="16" t="n">
        <x:f>D377/G377</x:f>
        <x:v>0.10006093845216332</x:v>
      </x:c>
      <x:c r="I377" s="7" t="str">
        <x:v>Medium</x:v>
      </x:c>
      <x:c r="J37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7" s="1"/>
    </x:row>
    <x:row r="378" ht="72" customHeight="1">
      <x:c r="A378" s="7" t="str">
        <x:v>Scombridae</x:v>
      </x:c>
      <x:c r="B378" s="7" t="str">
        <x:v>Juvenile large pelagic fish</x:v>
      </x:c>
      <x:c r="C378" s="7" t="n">
        <x:v>30</x:v>
      </x:c>
      <x:c r="D378" s="15" t="n">
        <x:v>0.7384</x:v>
      </x:c>
      <x:c r="E378" s="15" t="n">
        <x:v>0.289</x:v>
      </x:c>
      <x:c r="F378" s="15" t="str">
        <x:v>Model catch</x:v>
      </x:c>
      <x:c r="G378" s="15" t="n">
        <x:f>SUMIFS($D$6:$D$449,$A$6:$A$449,A378)</x:f>
        <x:v>0.8205</x:v>
      </x:c>
      <x:c r="H378" s="16" t="n">
        <x:f>D378/G378</x:f>
        <x:v>0.8999390615478366</x:v>
      </x:c>
      <x:c r="I378" s="7" t="str">
        <x:v>Medium</x:v>
      </x:c>
      <x:c r="J37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8" s="1"/>
    </x:row>
    <x:row r="379" ht="72" customHeight="1">
      <x:c r="A379" s="7" t="str">
        <x:v>Scombridae</x:v>
      </x:c>
      <x:c r="B379" s="7" t="str">
        <x:v>Pelagic fish (&gt; 30 cm)</x:v>
      </x:c>
      <x:c r="C379" s="7" t="n">
        <x:v>31</x:v>
      </x:c>
      <x:c r="D379" s="15" t="n">
        <x:v>0.0821</x:v>
      </x:c>
      <x:c r="E379" s="15" t="n">
        <x:v>0.079</x:v>
      </x:c>
      <x:c r="F379" s="15" t="str">
        <x:v>Model catch</x:v>
      </x:c>
      <x:c r="G379" s="15" t="n">
        <x:f>SUMIFS($D$6:$D$449,$A$6:$A$449,A379)</x:f>
        <x:v>0.8205</x:v>
      </x:c>
      <x:c r="H379" s="16" t="n">
        <x:f>D379/G379</x:f>
        <x:v>0.10006093845216332</x:v>
      </x:c>
      <x:c r="I379" s="7" t="str">
        <x:v>Medium</x:v>
      </x:c>
      <x:c r="J37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79" s="1"/>
    </x:row>
    <x:row r="380" ht="72" customHeight="1">
      <x:c r="A380" s="7" t="str">
        <x:v>Scombroidei</x:v>
      </x:c>
      <x:c r="B380" s="7" t="str">
        <x:v>Juvenile large pelagic fish</x:v>
      </x:c>
      <x:c r="C380" s="7" t="n">
        <x:v>30</x:v>
      </x:c>
      <x:c r="D380" s="15" t="n">
        <x:v>0.7384</x:v>
      </x:c>
      <x:c r="E380" s="15" t="n">
        <x:v>0.289</x:v>
      </x:c>
      <x:c r="F380" s="15" t="str">
        <x:v>Model catch</x:v>
      </x:c>
      <x:c r="G380" s="15" t="n">
        <x:f>SUMIFS($D$6:$D$449,$A$6:$A$449,A380)</x:f>
        <x:v>0.8205</x:v>
      </x:c>
      <x:c r="H380" s="16" t="n">
        <x:f>D380/G380</x:f>
        <x:v>0.8999390615478366</x:v>
      </x:c>
      <x:c r="I380" s="7" t="str">
        <x:v>Medium</x:v>
      </x:c>
      <x:c r="J38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80" s="1"/>
    </x:row>
    <x:row r="381" ht="72" customHeight="1">
      <x:c r="A381" s="7" t="str">
        <x:v>Scombroidei</x:v>
      </x:c>
      <x:c r="B381" s="7" t="str">
        <x:v>Pelagic fish (&gt; 30 cm)</x:v>
      </x:c>
      <x:c r="C381" s="7" t="n">
        <x:v>31</x:v>
      </x:c>
      <x:c r="D381" s="15" t="n">
        <x:v>0.0821</x:v>
      </x:c>
      <x:c r="E381" s="15" t="n">
        <x:v>0.079</x:v>
      </x:c>
      <x:c r="F381" s="15" t="str">
        <x:v>Model catch</x:v>
      </x:c>
      <x:c r="G381" s="15" t="n">
        <x:f>SUMIFS($D$6:$D$449,$A$6:$A$449,A381)</x:f>
        <x:v>0.8205</x:v>
      </x:c>
      <x:c r="H381" s="16" t="n">
        <x:f>D381/G381</x:f>
        <x:v>0.10006093845216332</x:v>
      </x:c>
      <x:c r="I381" s="7" t="str">
        <x:v>Medium</x:v>
      </x:c>
      <x:c r="J38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81" s="1"/>
    </x:row>
    <x:row r="382" ht="87" customHeight="1">
      <x:c r="A382" s="7" t="str">
        <x:v>Scorpaenidae</x:v>
      </x:c>
      <x:c r="B382" s="7" t="str">
        <x:v>Juvenile demersal fish (&gt; 30 cm)</x:v>
      </x:c>
      <x:c r="C382" s="7" t="n">
        <x:v>25</x:v>
      </x:c>
      <x:c r="D382" s="15" t="n">
        <x:v>0.3165</x:v>
      </x:c>
      <x:c r="E382" s="15" t="n">
        <x:v>0.143</x:v>
      </x:c>
      <x:c r="F382" s="15" t="str">
        <x:v>Model catch</x:v>
      </x:c>
      <x:c r="G382" s="15" t="n">
        <x:f>SUMIFS($D$6:$D$449,$A$6:$A$449,A382)</x:f>
        <x:v>0.3517</x:v>
      </x:c>
      <x:c r="H382" s="16" t="n">
        <x:f>D382/G382</x:f>
        <x:v>0.8999147000284333</x:v>
      </x:c>
      <x:c r="I382" s="7" t="str">
        <x:v>Medium</x:v>
      </x:c>
      <x:c r="J38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82" s="1"/>
    </x:row>
    <x:row r="383" ht="87" customHeight="1">
      <x:c r="A383" s="7" t="str">
        <x:v>Scorpaenidae</x:v>
      </x:c>
      <x:c r="B383" s="7" t="str">
        <x:v>Adult demersal fish (&gt; 30 cm)</x:v>
      </x:c>
      <x:c r="C383" s="7" t="n">
        <x:v>26</x:v>
      </x:c>
      <x:c r="D383" s="15" t="n">
        <x:v>0.0352</x:v>
      </x:c>
      <x:c r="E383" s="15" t="n">
        <x:v>0.021</x:v>
      </x:c>
      <x:c r="F383" s="15" t="str">
        <x:v>Model catch</x:v>
      </x:c>
      <x:c r="G383" s="15" t="n">
        <x:f>SUMIFS($D$6:$D$449,$A$6:$A$449,A383)</x:f>
        <x:v>0.3517</x:v>
      </x:c>
      <x:c r="H383" s="16" t="n">
        <x:f>D383/G383</x:f>
        <x:v>0.10008529997156668</x:v>
      </x:c>
      <x:c r="I383" s="7" t="str">
        <x:v>Medium</x:v>
      </x:c>
      <x:c r="J38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83" s="1"/>
    </x:row>
    <x:row r="384" ht="72" customHeight="1">
      <x:c r="A384" s="7" t="str">
        <x:v>Scyris indica</x:v>
      </x:c>
      <x:c r="B384" s="7" t="str">
        <x:v>Juvenile large pelagic fish</x:v>
      </x:c>
      <x:c r="C384" s="7" t="n">
        <x:v>30</x:v>
      </x:c>
      <x:c r="D384" s="15" t="n">
        <x:v>0.7384</x:v>
      </x:c>
      <x:c r="E384" s="15" t="n">
        <x:v>0.289</x:v>
      </x:c>
      <x:c r="F384" s="15" t="str">
        <x:v>Model catch</x:v>
      </x:c>
      <x:c r="G384" s="15" t="n">
        <x:f>SUMIFS($D$6:$D$449,$A$6:$A$449,A384)</x:f>
        <x:v>0.8205</x:v>
      </x:c>
      <x:c r="H384" s="16" t="n">
        <x:f>D384/G384</x:f>
        <x:v>0.8999390615478366</x:v>
      </x:c>
      <x:c r="I384" s="7" t="str">
        <x:v>Medium</x:v>
      </x:c>
      <x:c r="J38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84" s="1"/>
    </x:row>
    <x:row r="385" ht="72" customHeight="1">
      <x:c r="A385" s="7" t="str">
        <x:v>Scyris indica</x:v>
      </x:c>
      <x:c r="B385" s="7" t="str">
        <x:v>Pelagic fish (&gt; 30 cm)</x:v>
      </x:c>
      <x:c r="C385" s="7" t="n">
        <x:v>31</x:v>
      </x:c>
      <x:c r="D385" s="15" t="n">
        <x:v>0.0821</x:v>
      </x:c>
      <x:c r="E385" s="15" t="n">
        <x:v>0.079</x:v>
      </x:c>
      <x:c r="F385" s="15" t="str">
        <x:v>Model catch</x:v>
      </x:c>
      <x:c r="G385" s="15" t="n">
        <x:f>SUMIFS($D$6:$D$449,$A$6:$A$449,A385)</x:f>
        <x:v>0.8205</x:v>
      </x:c>
      <x:c r="H385" s="16" t="n">
        <x:f>D385/G385</x:f>
        <x:v>0.10006093845216332</x:v>
      </x:c>
      <x:c r="I385" s="7" t="str">
        <x:v>Medium</x:v>
      </x:c>
      <x:c r="J38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85" s="1"/>
    </x:row>
    <x:row r="386" ht="72" customHeight="1">
      <x:c r="A386" s="7" t="str">
        <x:v>Selar crumenophthalmus</x:v>
      </x:c>
      <x:c r="B386" s="7" t="str">
        <x:v>Juvenile large pelagic fish</x:v>
      </x:c>
      <x:c r="C386" s="7" t="n">
        <x:v>30</x:v>
      </x:c>
      <x:c r="D386" s="15" t="n">
        <x:v>0.7384</x:v>
      </x:c>
      <x:c r="E386" s="15" t="n">
        <x:v>0.289</x:v>
      </x:c>
      <x:c r="F386" s="15" t="str">
        <x:v>Model catch</x:v>
      </x:c>
      <x:c r="G386" s="15" t="n">
        <x:f>SUMIFS($D$6:$D$449,$A$6:$A$449,A386)</x:f>
        <x:v>0.8205</x:v>
      </x:c>
      <x:c r="H386" s="16" t="n">
        <x:f>D386/G386</x:f>
        <x:v>0.8999390615478366</x:v>
      </x:c>
      <x:c r="I386" s="7" t="str">
        <x:v>Medium</x:v>
      </x:c>
      <x:c r="J38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86" s="1"/>
    </x:row>
    <x:row r="387" ht="72" customHeight="1">
      <x:c r="A387" s="7" t="str">
        <x:v>Selar crumenophthalmus</x:v>
      </x:c>
      <x:c r="B387" s="7" t="str">
        <x:v>Pelagic fish (&gt; 30 cm)</x:v>
      </x:c>
      <x:c r="C387" s="7" t="n">
        <x:v>31</x:v>
      </x:c>
      <x:c r="D387" s="15" t="n">
        <x:v>0.0821</x:v>
      </x:c>
      <x:c r="E387" s="15" t="n">
        <x:v>0.079</x:v>
      </x:c>
      <x:c r="F387" s="15" t="str">
        <x:v>Model catch</x:v>
      </x:c>
      <x:c r="G387" s="15" t="n">
        <x:f>SUMIFS($D$6:$D$449,$A$6:$A$449,A387)</x:f>
        <x:v>0.8205</x:v>
      </x:c>
      <x:c r="H387" s="16" t="n">
        <x:f>D387/G387</x:f>
        <x:v>0.10006093845216332</x:v>
      </x:c>
      <x:c r="I387" s="7" t="str">
        <x:v>Medium</x:v>
      </x:c>
      <x:c r="J38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87" s="1"/>
    </x:row>
    <x:row r="388" ht="117" customHeight="1">
      <x:c r="A388" s="7" t="str">
        <x:v>Sergestidae</x:v>
      </x:c>
      <x:c r="B388" s="7" t="str">
        <x:v>Zooplankton</x:v>
      </x:c>
      <x:c r="C388" s="7" t="n">
        <x:v>3</x:v>
      </x:c>
      <x:c r="D388" s="15" t="n">
        <x:v>0.0948</x:v>
      </x:c>
      <x:c r="E388" s="15" t="n">
        <x:v>9</x:v>
      </x:c>
      <x:c r="F388" s="15" t="str">
        <x:v>Model catch</x:v>
      </x:c>
      <x:c r="G388" s="15" t="n">
        <x:f>SUMIFS($D$6:$D$449,$A$6:$A$449,A388)</x:f>
        <x:v>0.7736</x:v>
      </x:c>
      <x:c r="H388" s="16" t="n">
        <x:f>D388/G388</x:f>
        <x:v>0.12254395036194415</x:v>
      </x:c>
      <x:c r="I388" s="7" t="str">
        <x:v>Medium</x:v>
      </x:c>
      <x:c r="J388"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388" s="1"/>
    </x:row>
    <x:row r="389" ht="117" customHeight="1">
      <x:c r="A389" s="7" t="str">
        <x:v>Sergestidae</x:v>
      </x:c>
      <x:c r="B389" s="7" t="str">
        <x:v>Shrimps</x:v>
      </x:c>
      <x:c r="C389" s="7" t="n">
        <x:v>10</x:v>
      </x:c>
      <x:c r="D389" s="15" t="n">
        <x:v>0.6788</x:v>
      </x:c>
      <x:c r="E389" s="15" t="n">
        <x:v>0.194</x:v>
      </x:c>
      <x:c r="F389" s="15" t="str">
        <x:v>Model catch</x:v>
      </x:c>
      <x:c r="G389" s="15" t="n">
        <x:f>SUMIFS($D$6:$D$449,$A$6:$A$449,A389)</x:f>
        <x:v>0.7736</x:v>
      </x:c>
      <x:c r="H389" s="16" t="n">
        <x:f>D389/G389</x:f>
        <x:v>0.8774560496380558</x:v>
      </x:c>
      <x:c r="I389" s="7" t="str">
        <x:v>Medium</x:v>
      </x:c>
      <x:c r="J389" s="7" t="str">
        <x:v>The model explicitly separates Acetes into Zooplankton from other shrimps. The broad catch lineage can include both. Whole pool catches proxy the relative landed constituents, without measured genus composition. The model explicitly separates Acetes into Zooplankton from other shrimps. The broad catch lineage can include both. Whole pool catches proxy the relative landed constituents, without measured genus composition. Allocation assumes model catch proportions, fixed over 1950–2019 and landings, total catch and discards. See Model group inputs and Sources.</x:v>
      </x:c>
      <x:c r="K389" s="1"/>
    </x:row>
    <x:row r="390" ht="72" customHeight="1">
      <x:c r="A390" s="7" t="str">
        <x:v>Seriola</x:v>
      </x:c>
      <x:c r="B390" s="7" t="str">
        <x:v>Juvenile large pelagic fish</x:v>
      </x:c>
      <x:c r="C390" s="7" t="n">
        <x:v>30</x:v>
      </x:c>
      <x:c r="D390" s="15" t="n">
        <x:v>0.7384</x:v>
      </x:c>
      <x:c r="E390" s="15" t="n">
        <x:v>0.289</x:v>
      </x:c>
      <x:c r="F390" s="15" t="str">
        <x:v>Model catch</x:v>
      </x:c>
      <x:c r="G390" s="15" t="n">
        <x:f>SUMIFS($D$6:$D$449,$A$6:$A$449,A390)</x:f>
        <x:v>0.8205</x:v>
      </x:c>
      <x:c r="H390" s="16" t="n">
        <x:f>D390/G390</x:f>
        <x:v>0.8999390615478366</x:v>
      </x:c>
      <x:c r="I390" s="7" t="str">
        <x:v>Medium</x:v>
      </x:c>
      <x:c r="J39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90" s="1"/>
    </x:row>
    <x:row r="391" ht="72" customHeight="1">
      <x:c r="A391" s="7" t="str">
        <x:v>Seriola</x:v>
      </x:c>
      <x:c r="B391" s="7" t="str">
        <x:v>Pelagic fish (&gt; 30 cm)</x:v>
      </x:c>
      <x:c r="C391" s="7" t="n">
        <x:v>31</x:v>
      </x:c>
      <x:c r="D391" s="15" t="n">
        <x:v>0.0821</x:v>
      </x:c>
      <x:c r="E391" s="15" t="n">
        <x:v>0.079</x:v>
      </x:c>
      <x:c r="F391" s="15" t="str">
        <x:v>Model catch</x:v>
      </x:c>
      <x:c r="G391" s="15" t="n">
        <x:f>SUMIFS($D$6:$D$449,$A$6:$A$449,A391)</x:f>
        <x:v>0.8205</x:v>
      </x:c>
      <x:c r="H391" s="16" t="n">
        <x:f>D391/G391</x:f>
        <x:v>0.10006093845216332</x:v>
      </x:c>
      <x:c r="I391" s="7" t="str">
        <x:v>Medium</x:v>
      </x:c>
      <x:c r="J39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91" s="1"/>
    </x:row>
    <x:row r="392" ht="72" customHeight="1">
      <x:c r="A392" s="7" t="str">
        <x:v>Seriola dumerili</x:v>
      </x:c>
      <x:c r="B392" s="7" t="str">
        <x:v>Juvenile large pelagic fish</x:v>
      </x:c>
      <x:c r="C392" s="7" t="n">
        <x:v>30</x:v>
      </x:c>
      <x:c r="D392" s="15" t="n">
        <x:v>0.7384</x:v>
      </x:c>
      <x:c r="E392" s="15" t="n">
        <x:v>0.289</x:v>
      </x:c>
      <x:c r="F392" s="15" t="str">
        <x:v>Model catch</x:v>
      </x:c>
      <x:c r="G392" s="15" t="n">
        <x:f>SUMIFS($D$6:$D$449,$A$6:$A$449,A392)</x:f>
        <x:v>0.8205</x:v>
      </x:c>
      <x:c r="H392" s="16" t="n">
        <x:f>D392/G392</x:f>
        <x:v>0.8999390615478366</x:v>
      </x:c>
      <x:c r="I392" s="7" t="str">
        <x:v>Medium</x:v>
      </x:c>
      <x:c r="J39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92" s="1"/>
    </x:row>
    <x:row r="393" ht="72" customHeight="1">
      <x:c r="A393" s="7" t="str">
        <x:v>Seriola dumerili</x:v>
      </x:c>
      <x:c r="B393" s="7" t="str">
        <x:v>Pelagic fish (&gt; 30 cm)</x:v>
      </x:c>
      <x:c r="C393" s="7" t="n">
        <x:v>31</x:v>
      </x:c>
      <x:c r="D393" s="15" t="n">
        <x:v>0.0821</x:v>
      </x:c>
      <x:c r="E393" s="15" t="n">
        <x:v>0.079</x:v>
      </x:c>
      <x:c r="F393" s="15" t="str">
        <x:v>Model catch</x:v>
      </x:c>
      <x:c r="G393" s="15" t="n">
        <x:f>SUMIFS($D$6:$D$449,$A$6:$A$449,A393)</x:f>
        <x:v>0.8205</x:v>
      </x:c>
      <x:c r="H393" s="16" t="n">
        <x:f>D393/G393</x:f>
        <x:v>0.10006093845216332</x:v>
      </x:c>
      <x:c r="I393" s="7" t="str">
        <x:v>Medium</x:v>
      </x:c>
      <x:c r="J39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93" s="1"/>
    </x:row>
    <x:row r="394" ht="72" customHeight="1">
      <x:c r="A394" s="7" t="str">
        <x:v>Seriolina nigrofasciata</x:v>
      </x:c>
      <x:c r="B394" s="7" t="str">
        <x:v>Juvenile large pelagic fish</x:v>
      </x:c>
      <x:c r="C394" s="7" t="n">
        <x:v>30</x:v>
      </x:c>
      <x:c r="D394" s="15" t="n">
        <x:v>0.7384</x:v>
      </x:c>
      <x:c r="E394" s="15" t="n">
        <x:v>0.289</x:v>
      </x:c>
      <x:c r="F394" s="15" t="str">
        <x:v>Model catch</x:v>
      </x:c>
      <x:c r="G394" s="15" t="n">
        <x:f>SUMIFS($D$6:$D$449,$A$6:$A$449,A394)</x:f>
        <x:v>0.8205</x:v>
      </x:c>
      <x:c r="H394" s="16" t="n">
        <x:f>D394/G394</x:f>
        <x:v>0.8999390615478366</x:v>
      </x:c>
      <x:c r="I394" s="7" t="str">
        <x:v>Medium</x:v>
      </x:c>
      <x:c r="J39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94" s="1"/>
    </x:row>
    <x:row r="395" ht="72" customHeight="1">
      <x:c r="A395" s="7" t="str">
        <x:v>Seriolina nigrofasciata</x:v>
      </x:c>
      <x:c r="B395" s="7" t="str">
        <x:v>Pelagic fish (&gt; 30 cm)</x:v>
      </x:c>
      <x:c r="C395" s="7" t="n">
        <x:v>31</x:v>
      </x:c>
      <x:c r="D395" s="15" t="n">
        <x:v>0.0821</x:v>
      </x:c>
      <x:c r="E395" s="15" t="n">
        <x:v>0.079</x:v>
      </x:c>
      <x:c r="F395" s="15" t="str">
        <x:v>Model catch</x:v>
      </x:c>
      <x:c r="G395" s="15" t="n">
        <x:f>SUMIFS($D$6:$D$449,$A$6:$A$449,A395)</x:f>
        <x:v>0.8205</x:v>
      </x:c>
      <x:c r="H395" s="16" t="n">
        <x:f>D395/G395</x:f>
        <x:v>0.10006093845216332</x:v>
      </x:c>
      <x:c r="I395" s="7" t="str">
        <x:v>Medium</x:v>
      </x:c>
      <x:c r="J39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395" s="1"/>
    </x:row>
    <x:row r="396" ht="87" customHeight="1">
      <x:c r="A396" s="7" t="str">
        <x:v>Siganidae</x:v>
      </x:c>
      <x:c r="B396" s="7" t="str">
        <x:v>Juvenile demersal fish (&gt; 30 cm)</x:v>
      </x:c>
      <x:c r="C396" s="7" t="n">
        <x:v>25</x:v>
      </x:c>
      <x:c r="D396" s="15" t="n">
        <x:v>0.3165</x:v>
      </x:c>
      <x:c r="E396" s="15" t="n">
        <x:v>0.143</x:v>
      </x:c>
      <x:c r="F396" s="15" t="str">
        <x:v>Model catch</x:v>
      </x:c>
      <x:c r="G396" s="15" t="n">
        <x:f>SUMIFS($D$6:$D$449,$A$6:$A$449,A396)</x:f>
        <x:v>0.3517</x:v>
      </x:c>
      <x:c r="H396" s="16" t="n">
        <x:f>D396/G396</x:f>
        <x:v>0.8999147000284333</x:v>
      </x:c>
      <x:c r="I396" s="7" t="str">
        <x:v>Medium</x:v>
      </x:c>
      <x:c r="J396"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96" s="1"/>
    </x:row>
    <x:row r="397" ht="87" customHeight="1">
      <x:c r="A397" s="7" t="str">
        <x:v>Siganidae</x:v>
      </x:c>
      <x:c r="B397" s="7" t="str">
        <x:v>Adult demersal fish (&gt; 30 cm)</x:v>
      </x:c>
      <x:c r="C397" s="7" t="n">
        <x:v>26</x:v>
      </x:c>
      <x:c r="D397" s="15" t="n">
        <x:v>0.0352</x:v>
      </x:c>
      <x:c r="E397" s="15" t="n">
        <x:v>0.021</x:v>
      </x:c>
      <x:c r="F397" s="15" t="str">
        <x:v>Model catch</x:v>
      </x:c>
      <x:c r="G397" s="15" t="n">
        <x:f>SUMIFS($D$6:$D$449,$A$6:$A$449,A397)</x:f>
        <x:v>0.3517</x:v>
      </x:c>
      <x:c r="H397" s="16" t="n">
        <x:f>D397/G397</x:f>
        <x:v>0.10008529997156668</x:v>
      </x:c>
      <x:c r="I397" s="7" t="str">
        <x:v>Medium</x:v>
      </x:c>
      <x:c r="J397"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97" s="1"/>
    </x:row>
    <x:row r="398" ht="87" customHeight="1">
      <x:c r="A398" s="7" t="str">
        <x:v>Siganus</x:v>
      </x:c>
      <x:c r="B398" s="7" t="str">
        <x:v>Juvenile demersal fish (&gt; 30 cm)</x:v>
      </x:c>
      <x:c r="C398" s="7" t="n">
        <x:v>25</x:v>
      </x:c>
      <x:c r="D398" s="15" t="n">
        <x:v>0.3165</x:v>
      </x:c>
      <x:c r="E398" s="15" t="n">
        <x:v>0.143</x:v>
      </x:c>
      <x:c r="F398" s="15" t="str">
        <x:v>Model catch</x:v>
      </x:c>
      <x:c r="G398" s="15" t="n">
        <x:f>SUMIFS($D$6:$D$449,$A$6:$A$449,A398)</x:f>
        <x:v>0.3517</x:v>
      </x:c>
      <x:c r="H398" s="16" t="n">
        <x:f>D398/G398</x:f>
        <x:v>0.8999147000284333</x:v>
      </x:c>
      <x:c r="I398" s="7" t="str">
        <x:v>Medium</x:v>
      </x:c>
      <x:c r="J39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98" s="1"/>
    </x:row>
    <x:row r="399" ht="87" customHeight="1">
      <x:c r="A399" s="7" t="str">
        <x:v>Siganus</x:v>
      </x:c>
      <x:c r="B399" s="7" t="str">
        <x:v>Adult demersal fish (&gt; 30 cm)</x:v>
      </x:c>
      <x:c r="C399" s="7" t="n">
        <x:v>26</x:v>
      </x:c>
      <x:c r="D399" s="15" t="n">
        <x:v>0.0352</x:v>
      </x:c>
      <x:c r="E399" s="15" t="n">
        <x:v>0.021</x:v>
      </x:c>
      <x:c r="F399" s="15" t="str">
        <x:v>Model catch</x:v>
      </x:c>
      <x:c r="G399" s="15" t="n">
        <x:f>SUMIFS($D$6:$D$449,$A$6:$A$449,A399)</x:f>
        <x:v>0.3517</x:v>
      </x:c>
      <x:c r="H399" s="16" t="n">
        <x:f>D399/G399</x:f>
        <x:v>0.10008529997156668</x:v>
      </x:c>
      <x:c r="I399" s="7" t="str">
        <x:v>Medium</x:v>
      </x:c>
      <x:c r="J39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399" s="1"/>
    </x:row>
    <x:row r="400" ht="87" customHeight="1">
      <x:c r="A400" s="7" t="str">
        <x:v>Sillaginidae</x:v>
      </x:c>
      <x:c r="B400" s="7" t="str">
        <x:v>Juvenile demersal fish (&gt; 30 cm)</x:v>
      </x:c>
      <x:c r="C400" s="7" t="n">
        <x:v>25</x:v>
      </x:c>
      <x:c r="D400" s="15" t="n">
        <x:v>0.3165</x:v>
      </x:c>
      <x:c r="E400" s="15" t="n">
        <x:v>0.143</x:v>
      </x:c>
      <x:c r="F400" s="15" t="str">
        <x:v>Model catch</x:v>
      </x:c>
      <x:c r="G400" s="15" t="n">
        <x:f>SUMIFS($D$6:$D$449,$A$6:$A$449,A400)</x:f>
        <x:v>0.3517</x:v>
      </x:c>
      <x:c r="H400" s="16" t="n">
        <x:f>D400/G400</x:f>
        <x:v>0.8999147000284333</x:v>
      </x:c>
      <x:c r="I400" s="7" t="str">
        <x:v>Medium</x:v>
      </x:c>
      <x:c r="J40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00" s="1"/>
    </x:row>
    <x:row r="401" ht="87" customHeight="1">
      <x:c r="A401" s="7" t="str">
        <x:v>Sillaginidae</x:v>
      </x:c>
      <x:c r="B401" s="7" t="str">
        <x:v>Adult demersal fish (&gt; 30 cm)</x:v>
      </x:c>
      <x:c r="C401" s="7" t="n">
        <x:v>26</x:v>
      </x:c>
      <x:c r="D401" s="15" t="n">
        <x:v>0.0352</x:v>
      </x:c>
      <x:c r="E401" s="15" t="n">
        <x:v>0.021</x:v>
      </x:c>
      <x:c r="F401" s="15" t="str">
        <x:v>Model catch</x:v>
      </x:c>
      <x:c r="G401" s="15" t="n">
        <x:f>SUMIFS($D$6:$D$449,$A$6:$A$449,A401)</x:f>
        <x:v>0.3517</x:v>
      </x:c>
      <x:c r="H401" s="16" t="n">
        <x:f>D401/G401</x:f>
        <x:v>0.10008529997156668</x:v>
      </x:c>
      <x:c r="I401" s="7" t="str">
        <x:v>Medium</x:v>
      </x:c>
      <x:c r="J40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01" s="1"/>
    </x:row>
    <x:row r="402" ht="87" customHeight="1">
      <x:c r="A402" s="7" t="str">
        <x:v>Sillago</x:v>
      </x:c>
      <x:c r="B402" s="7" t="str">
        <x:v>Juvenile demersal fish (&gt; 30 cm)</x:v>
      </x:c>
      <x:c r="C402" s="7" t="n">
        <x:v>25</x:v>
      </x:c>
      <x:c r="D402" s="15" t="n">
        <x:v>0.3165</x:v>
      </x:c>
      <x:c r="E402" s="15" t="n">
        <x:v>0.143</x:v>
      </x:c>
      <x:c r="F402" s="15" t="str">
        <x:v>Model catch</x:v>
      </x:c>
      <x:c r="G402" s="15" t="n">
        <x:f>SUMIFS($D$6:$D$449,$A$6:$A$449,A402)</x:f>
        <x:v>0.3517</x:v>
      </x:c>
      <x:c r="H402" s="16" t="n">
        <x:f>D402/G402</x:f>
        <x:v>0.8999147000284333</x:v>
      </x:c>
      <x:c r="I402" s="7" t="str">
        <x:v>Medium</x:v>
      </x:c>
      <x:c r="J40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02" s="1"/>
    </x:row>
    <x:row r="403" ht="87" customHeight="1">
      <x:c r="A403" s="7" t="str">
        <x:v>Sillago</x:v>
      </x:c>
      <x:c r="B403" s="7" t="str">
        <x:v>Adult demersal fish (&gt; 30 cm)</x:v>
      </x:c>
      <x:c r="C403" s="7" t="n">
        <x:v>26</x:v>
      </x:c>
      <x:c r="D403" s="15" t="n">
        <x:v>0.0352</x:v>
      </x:c>
      <x:c r="E403" s="15" t="n">
        <x:v>0.021</x:v>
      </x:c>
      <x:c r="F403" s="15" t="str">
        <x:v>Model catch</x:v>
      </x:c>
      <x:c r="G403" s="15" t="n">
        <x:f>SUMIFS($D$6:$D$449,$A$6:$A$449,A403)</x:f>
        <x:v>0.3517</x:v>
      </x:c>
      <x:c r="H403" s="16" t="n">
        <x:f>D403/G403</x:f>
        <x:v>0.10008529997156668</x:v>
      </x:c>
      <x:c r="I403" s="7" t="str">
        <x:v>Medium</x:v>
      </x:c>
      <x:c r="J40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03" s="1"/>
    </x:row>
    <x:row r="404" ht="87" customHeight="1">
      <x:c r="A404" s="7" t="str">
        <x:v>Sillago sihama</x:v>
      </x:c>
      <x:c r="B404" s="7" t="str">
        <x:v>Juvenile demersal fish (&gt; 30 cm)</x:v>
      </x:c>
      <x:c r="C404" s="7" t="n">
        <x:v>25</x:v>
      </x:c>
      <x:c r="D404" s="15" t="n">
        <x:v>0.3165</x:v>
      </x:c>
      <x:c r="E404" s="15" t="n">
        <x:v>0.143</x:v>
      </x:c>
      <x:c r="F404" s="15" t="str">
        <x:v>Model catch</x:v>
      </x:c>
      <x:c r="G404" s="15" t="n">
        <x:f>SUMIFS($D$6:$D$449,$A$6:$A$449,A404)</x:f>
        <x:v>0.3517</x:v>
      </x:c>
      <x:c r="H404" s="16" t="n">
        <x:f>D404/G404</x:f>
        <x:v>0.8999147000284333</x:v>
      </x:c>
      <x:c r="I404" s="7" t="str">
        <x:v>Medium</x:v>
      </x:c>
      <x:c r="J404"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04" s="1"/>
    </x:row>
    <x:row r="405" ht="87" customHeight="1">
      <x:c r="A405" s="7" t="str">
        <x:v>Sillago sihama</x:v>
      </x:c>
      <x:c r="B405" s="7" t="str">
        <x:v>Adult demersal fish (&gt; 30 cm)</x:v>
      </x:c>
      <x:c r="C405" s="7" t="n">
        <x:v>26</x:v>
      </x:c>
      <x:c r="D405" s="15" t="n">
        <x:v>0.0352</x:v>
      </x:c>
      <x:c r="E405" s="15" t="n">
        <x:v>0.021</x:v>
      </x:c>
      <x:c r="F405" s="15" t="str">
        <x:v>Model catch</x:v>
      </x:c>
      <x:c r="G405" s="15" t="n">
        <x:f>SUMIFS($D$6:$D$449,$A$6:$A$449,A405)</x:f>
        <x:v>0.3517</x:v>
      </x:c>
      <x:c r="H405" s="16" t="n">
        <x:f>D405/G405</x:f>
        <x:v>0.10008529997156668</x:v>
      </x:c>
      <x:c r="I405" s="7" t="str">
        <x:v>Medium</x:v>
      </x:c>
      <x:c r="J405"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05" s="1"/>
    </x:row>
    <x:row r="406" ht="72" customHeight="1">
      <x:c r="A406" s="7" t="str">
        <x:v>Sphyraena</x:v>
      </x:c>
      <x:c r="B406" s="7" t="str">
        <x:v>Juvenile large pelagic fish</x:v>
      </x:c>
      <x:c r="C406" s="7" t="n">
        <x:v>30</x:v>
      </x:c>
      <x:c r="D406" s="15" t="n">
        <x:v>0.7384</x:v>
      </x:c>
      <x:c r="E406" s="15" t="n">
        <x:v>0.289</x:v>
      </x:c>
      <x:c r="F406" s="15" t="str">
        <x:v>Model catch</x:v>
      </x:c>
      <x:c r="G406" s="15" t="n">
        <x:f>SUMIFS($D$6:$D$449,$A$6:$A$449,A406)</x:f>
        <x:v>0.8205</x:v>
      </x:c>
      <x:c r="H406" s="16" t="n">
        <x:f>D406/G406</x:f>
        <x:v>0.8999390615478366</x:v>
      </x:c>
      <x:c r="I406" s="7" t="str">
        <x:v>Medium</x:v>
      </x:c>
      <x:c r="J40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06" s="1"/>
    </x:row>
    <x:row r="407" ht="72" customHeight="1">
      <x:c r="A407" s="7" t="str">
        <x:v>Sphyraena</x:v>
      </x:c>
      <x:c r="B407" s="7" t="str">
        <x:v>Pelagic fish (&gt; 30 cm)</x:v>
      </x:c>
      <x:c r="C407" s="7" t="n">
        <x:v>31</x:v>
      </x:c>
      <x:c r="D407" s="15" t="n">
        <x:v>0.0821</x:v>
      </x:c>
      <x:c r="E407" s="15" t="n">
        <x:v>0.079</x:v>
      </x:c>
      <x:c r="F407" s="15" t="str">
        <x:v>Model catch</x:v>
      </x:c>
      <x:c r="G407" s="15" t="n">
        <x:f>SUMIFS($D$6:$D$449,$A$6:$A$449,A407)</x:f>
        <x:v>0.8205</x:v>
      </x:c>
      <x:c r="H407" s="16" t="n">
        <x:f>D407/G407</x:f>
        <x:v>0.10006093845216332</x:v>
      </x:c>
      <x:c r="I407" s="7" t="str">
        <x:v>Medium</x:v>
      </x:c>
      <x:c r="J40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07" s="1"/>
    </x:row>
    <x:row r="408" ht="72" customHeight="1">
      <x:c r="A408" s="7" t="str">
        <x:v>Sphyraena barracuda</x:v>
      </x:c>
      <x:c r="B408" s="7" t="str">
        <x:v>Juvenile large pelagic fish</x:v>
      </x:c>
      <x:c r="C408" s="7" t="n">
        <x:v>30</x:v>
      </x:c>
      <x:c r="D408" s="15" t="n">
        <x:v>0.7384</x:v>
      </x:c>
      <x:c r="E408" s="15" t="n">
        <x:v>0.289</x:v>
      </x:c>
      <x:c r="F408" s="15" t="str">
        <x:v>Model catch</x:v>
      </x:c>
      <x:c r="G408" s="15" t="n">
        <x:f>SUMIFS($D$6:$D$449,$A$6:$A$449,A408)</x:f>
        <x:v>0.8205</x:v>
      </x:c>
      <x:c r="H408" s="16" t="n">
        <x:f>D408/G408</x:f>
        <x:v>0.8999390615478366</x:v>
      </x:c>
      <x:c r="I408" s="7" t="str">
        <x:v>Medium</x:v>
      </x:c>
      <x:c r="J40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08" s="1"/>
    </x:row>
    <x:row r="409" ht="72" customHeight="1">
      <x:c r="A409" s="7" t="str">
        <x:v>Sphyraena barracuda</x:v>
      </x:c>
      <x:c r="B409" s="7" t="str">
        <x:v>Pelagic fish (&gt; 30 cm)</x:v>
      </x:c>
      <x:c r="C409" s="7" t="n">
        <x:v>31</x:v>
      </x:c>
      <x:c r="D409" s="15" t="n">
        <x:v>0.0821</x:v>
      </x:c>
      <x:c r="E409" s="15" t="n">
        <x:v>0.079</x:v>
      </x:c>
      <x:c r="F409" s="15" t="str">
        <x:v>Model catch</x:v>
      </x:c>
      <x:c r="G409" s="15" t="n">
        <x:f>SUMIFS($D$6:$D$449,$A$6:$A$449,A409)</x:f>
        <x:v>0.8205</x:v>
      </x:c>
      <x:c r="H409" s="16" t="n">
        <x:f>D409/G409</x:f>
        <x:v>0.10006093845216332</x:v>
      </x:c>
      <x:c r="I409" s="7" t="str">
        <x:v>Medium</x:v>
      </x:c>
      <x:c r="J40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09" s="1"/>
    </x:row>
    <x:row r="410" ht="72" customHeight="1">
      <x:c r="A410" s="7" t="str">
        <x:v>Sphyraena jello</x:v>
      </x:c>
      <x:c r="B410" s="7" t="str">
        <x:v>Juvenile large pelagic fish</x:v>
      </x:c>
      <x:c r="C410" s="7" t="n">
        <x:v>30</x:v>
      </x:c>
      <x:c r="D410" s="15" t="n">
        <x:v>0.7384</x:v>
      </x:c>
      <x:c r="E410" s="15" t="n">
        <x:v>0.289</x:v>
      </x:c>
      <x:c r="F410" s="15" t="str">
        <x:v>Model catch</x:v>
      </x:c>
      <x:c r="G410" s="15" t="n">
        <x:f>SUMIFS($D$6:$D$449,$A$6:$A$449,A410)</x:f>
        <x:v>0.8205</x:v>
      </x:c>
      <x:c r="H410" s="16" t="n">
        <x:f>D410/G410</x:f>
        <x:v>0.8999390615478366</x:v>
      </x:c>
      <x:c r="I410" s="7" t="str">
        <x:v>Medium</x:v>
      </x:c>
      <x:c r="J41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0" s="1"/>
    </x:row>
    <x:row r="411" ht="72" customHeight="1">
      <x:c r="A411" s="7" t="str">
        <x:v>Sphyraena jello</x:v>
      </x:c>
      <x:c r="B411" s="7" t="str">
        <x:v>Pelagic fish (&gt; 30 cm)</x:v>
      </x:c>
      <x:c r="C411" s="7" t="n">
        <x:v>31</x:v>
      </x:c>
      <x:c r="D411" s="15" t="n">
        <x:v>0.0821</x:v>
      </x:c>
      <x:c r="E411" s="15" t="n">
        <x:v>0.079</x:v>
      </x:c>
      <x:c r="F411" s="15" t="str">
        <x:v>Model catch</x:v>
      </x:c>
      <x:c r="G411" s="15" t="n">
        <x:f>SUMIFS($D$6:$D$449,$A$6:$A$449,A411)</x:f>
        <x:v>0.8205</x:v>
      </x:c>
      <x:c r="H411" s="16" t="n">
        <x:f>D411/G411</x:f>
        <x:v>0.10006093845216332</x:v>
      </x:c>
      <x:c r="I411" s="7" t="str">
        <x:v>Medium</x:v>
      </x:c>
      <x:c r="J41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1" s="1"/>
    </x:row>
    <x:row r="412" ht="72" customHeight="1">
      <x:c r="A412" s="7" t="str">
        <x:v>Sphyraena obtusata</x:v>
      </x:c>
      <x:c r="B412" s="7" t="str">
        <x:v>Juvenile large pelagic fish</x:v>
      </x:c>
      <x:c r="C412" s="7" t="n">
        <x:v>30</x:v>
      </x:c>
      <x:c r="D412" s="15" t="n">
        <x:v>0.7384</x:v>
      </x:c>
      <x:c r="E412" s="15" t="n">
        <x:v>0.289</x:v>
      </x:c>
      <x:c r="F412" s="15" t="str">
        <x:v>Model catch</x:v>
      </x:c>
      <x:c r="G412" s="15" t="n">
        <x:f>SUMIFS($D$6:$D$449,$A$6:$A$449,A412)</x:f>
        <x:v>0.8205</x:v>
      </x:c>
      <x:c r="H412" s="16" t="n">
        <x:f>D412/G412</x:f>
        <x:v>0.8999390615478366</x:v>
      </x:c>
      <x:c r="I412" s="7" t="str">
        <x:v>Medium</x:v>
      </x:c>
      <x:c r="J41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2" s="1"/>
    </x:row>
    <x:row r="413" ht="72" customHeight="1">
      <x:c r="A413" s="7" t="str">
        <x:v>Sphyraena obtusata</x:v>
      </x:c>
      <x:c r="B413" s="7" t="str">
        <x:v>Pelagic fish (&gt; 30 cm)</x:v>
      </x:c>
      <x:c r="C413" s="7" t="n">
        <x:v>31</x:v>
      </x:c>
      <x:c r="D413" s="15" t="n">
        <x:v>0.0821</x:v>
      </x:c>
      <x:c r="E413" s="15" t="n">
        <x:v>0.079</x:v>
      </x:c>
      <x:c r="F413" s="15" t="str">
        <x:v>Model catch</x:v>
      </x:c>
      <x:c r="G413" s="15" t="n">
        <x:f>SUMIFS($D$6:$D$449,$A$6:$A$449,A413)</x:f>
        <x:v>0.8205</x:v>
      </x:c>
      <x:c r="H413" s="16" t="n">
        <x:f>D413/G413</x:f>
        <x:v>0.10006093845216332</x:v>
      </x:c>
      <x:c r="I413" s="7" t="str">
        <x:v>Medium</x:v>
      </x:c>
      <x:c r="J41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3" s="1"/>
    </x:row>
    <x:row r="414" ht="72" customHeight="1">
      <x:c r="A414" s="7" t="str">
        <x:v>Sphyraenidae</x:v>
      </x:c>
      <x:c r="B414" s="7" t="str">
        <x:v>Juvenile large pelagic fish</x:v>
      </x:c>
      <x:c r="C414" s="7" t="n">
        <x:v>30</x:v>
      </x:c>
      <x:c r="D414" s="15" t="n">
        <x:v>0.7384</x:v>
      </x:c>
      <x:c r="E414" s="15" t="n">
        <x:v>0.289</x:v>
      </x:c>
      <x:c r="F414" s="15" t="str">
        <x:v>Model catch</x:v>
      </x:c>
      <x:c r="G414" s="15" t="n">
        <x:f>SUMIFS($D$6:$D$449,$A$6:$A$449,A414)</x:f>
        <x:v>0.8205</x:v>
      </x:c>
      <x:c r="H414" s="16" t="n">
        <x:f>D414/G414</x:f>
        <x:v>0.8999390615478366</x:v>
      </x:c>
      <x:c r="I414" s="7" t="str">
        <x:v>Medium</x:v>
      </x:c>
      <x:c r="J41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4" s="1"/>
    </x:row>
    <x:row r="415" ht="72" customHeight="1">
      <x:c r="A415" s="7" t="str">
        <x:v>Sphyraenidae</x:v>
      </x:c>
      <x:c r="B415" s="7" t="str">
        <x:v>Pelagic fish (&gt; 30 cm)</x:v>
      </x:c>
      <x:c r="C415" s="7" t="n">
        <x:v>31</x:v>
      </x:c>
      <x:c r="D415" s="15" t="n">
        <x:v>0.0821</x:v>
      </x:c>
      <x:c r="E415" s="15" t="n">
        <x:v>0.079</x:v>
      </x:c>
      <x:c r="F415" s="15" t="str">
        <x:v>Model catch</x:v>
      </x:c>
      <x:c r="G415" s="15" t="n">
        <x:f>SUMIFS($D$6:$D$449,$A$6:$A$449,A415)</x:f>
        <x:v>0.8205</x:v>
      </x:c>
      <x:c r="H415" s="16" t="n">
        <x:f>D415/G415</x:f>
        <x:v>0.10006093845216332</x:v>
      </x:c>
      <x:c r="I415" s="7" t="str">
        <x:v>Medium</x:v>
      </x:c>
      <x:c r="J41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5" s="1"/>
    </x:row>
    <x:row r="416" ht="72" customHeight="1">
      <x:c r="A416" s="7" t="str">
        <x:v>Tenualosa toli</x:v>
      </x:c>
      <x:c r="B416" s="7" t="str">
        <x:v>Juvenile large pelagic fish</x:v>
      </x:c>
      <x:c r="C416" s="7" t="n">
        <x:v>30</x:v>
      </x:c>
      <x:c r="D416" s="15" t="n">
        <x:v>0.7384</x:v>
      </x:c>
      <x:c r="E416" s="15" t="n">
        <x:v>0.289</x:v>
      </x:c>
      <x:c r="F416" s="15" t="str">
        <x:v>Model catch</x:v>
      </x:c>
      <x:c r="G416" s="15" t="n">
        <x:f>SUMIFS($D$6:$D$449,$A$6:$A$449,A416)</x:f>
        <x:v>0.8205</x:v>
      </x:c>
      <x:c r="H416" s="16" t="n">
        <x:f>D416/G416</x:f>
        <x:v>0.8999390615478366</x:v>
      </x:c>
      <x:c r="I416" s="7" t="str">
        <x:v>Medium</x:v>
      </x:c>
      <x:c r="J41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6" s="1"/>
    </x:row>
    <x:row r="417" ht="72" customHeight="1">
      <x:c r="A417" s="7" t="str">
        <x:v>Tenualosa toli</x:v>
      </x:c>
      <x:c r="B417" s="7" t="str">
        <x:v>Pelagic fish (&gt; 30 cm)</x:v>
      </x:c>
      <x:c r="C417" s="7" t="n">
        <x:v>31</x:v>
      </x:c>
      <x:c r="D417" s="15" t="n">
        <x:v>0.0821</x:v>
      </x:c>
      <x:c r="E417" s="15" t="n">
        <x:v>0.079</x:v>
      </x:c>
      <x:c r="F417" s="15" t="str">
        <x:v>Model catch</x:v>
      </x:c>
      <x:c r="G417" s="15" t="n">
        <x:f>SUMIFS($D$6:$D$449,$A$6:$A$449,A417)</x:f>
        <x:v>0.8205</x:v>
      </x:c>
      <x:c r="H417" s="16" t="n">
        <x:f>D417/G417</x:f>
        <x:v>0.10006093845216332</x:v>
      </x:c>
      <x:c r="I417" s="7" t="str">
        <x:v>Medium</x:v>
      </x:c>
      <x:c r="J41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17" s="1"/>
    </x:row>
    <x:row r="418" ht="87" customHeight="1">
      <x:c r="A418" s="7" t="str">
        <x:v>Terapon</x:v>
      </x:c>
      <x:c r="B418" s="7" t="str">
        <x:v>Juvenile demersal fish (&gt; 30 cm)</x:v>
      </x:c>
      <x:c r="C418" s="7" t="n">
        <x:v>25</x:v>
      </x:c>
      <x:c r="D418" s="15" t="n">
        <x:v>0.3165</x:v>
      </x:c>
      <x:c r="E418" s="15" t="n">
        <x:v>0.143</x:v>
      </x:c>
      <x:c r="F418" s="15" t="str">
        <x:v>Model catch</x:v>
      </x:c>
      <x:c r="G418" s="15" t="n">
        <x:f>SUMIFS($D$6:$D$449,$A$6:$A$449,A418)</x:f>
        <x:v>0.3517</x:v>
      </x:c>
      <x:c r="H418" s="16" t="n">
        <x:f>D418/G418</x:f>
        <x:v>0.8999147000284333</x:v>
      </x:c>
      <x:c r="I418" s="7" t="str">
        <x:v>Medium</x:v>
      </x:c>
      <x:c r="J418"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18" s="1"/>
    </x:row>
    <x:row r="419" ht="87" customHeight="1">
      <x:c r="A419" s="7" t="str">
        <x:v>Terapon</x:v>
      </x:c>
      <x:c r="B419" s="7" t="str">
        <x:v>Adult demersal fish (&gt; 30 cm)</x:v>
      </x:c>
      <x:c r="C419" s="7" t="n">
        <x:v>26</x:v>
      </x:c>
      <x:c r="D419" s="15" t="n">
        <x:v>0.0352</x:v>
      </x:c>
      <x:c r="E419" s="15" t="n">
        <x:v>0.021</x:v>
      </x:c>
      <x:c r="F419" s="15" t="str">
        <x:v>Model catch</x:v>
      </x:c>
      <x:c r="G419" s="15" t="n">
        <x:f>SUMIFS($D$6:$D$449,$A$6:$A$449,A419)</x:f>
        <x:v>0.3517</x:v>
      </x:c>
      <x:c r="H419" s="16" t="n">
        <x:f>D419/G419</x:f>
        <x:v>0.10008529997156668</x:v>
      </x:c>
      <x:c r="I419" s="7" t="str">
        <x:v>Medium</x:v>
      </x:c>
      <x:c r="J419"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19" s="1"/>
    </x:row>
    <x:row r="420" ht="87" customHeight="1">
      <x:c r="A420" s="7" t="str">
        <x:v>Terapontidae</x:v>
      </x:c>
      <x:c r="B420" s="7" t="str">
        <x:v>Juvenile demersal fish (&gt; 30 cm)</x:v>
      </x:c>
      <x:c r="C420" s="7" t="n">
        <x:v>25</x:v>
      </x:c>
      <x:c r="D420" s="15" t="n">
        <x:v>0.3165</x:v>
      </x:c>
      <x:c r="E420" s="15" t="n">
        <x:v>0.143</x:v>
      </x:c>
      <x:c r="F420" s="15" t="str">
        <x:v>Model catch</x:v>
      </x:c>
      <x:c r="G420" s="15" t="n">
        <x:f>SUMIFS($D$6:$D$449,$A$6:$A$449,A420)</x:f>
        <x:v>0.3517</x:v>
      </x:c>
      <x:c r="H420" s="16" t="n">
        <x:f>D420/G420</x:f>
        <x:v>0.8999147000284333</x:v>
      </x:c>
      <x:c r="I420" s="7" t="str">
        <x:v>Medium</x:v>
      </x:c>
      <x:c r="J420"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20" s="1"/>
    </x:row>
    <x:row r="421" ht="87" customHeight="1">
      <x:c r="A421" s="7" t="str">
        <x:v>Terapontidae</x:v>
      </x:c>
      <x:c r="B421" s="7" t="str">
        <x:v>Adult demersal fish (&gt; 30 cm)</x:v>
      </x:c>
      <x:c r="C421" s="7" t="n">
        <x:v>26</x:v>
      </x:c>
      <x:c r="D421" s="15" t="n">
        <x:v>0.0352</x:v>
      </x:c>
      <x:c r="E421" s="15" t="n">
        <x:v>0.021</x:v>
      </x:c>
      <x:c r="F421" s="15" t="str">
        <x:v>Model catch</x:v>
      </x:c>
      <x:c r="G421" s="15" t="n">
        <x:f>SUMIFS($D$6:$D$449,$A$6:$A$449,A421)</x:f>
        <x:v>0.3517</x:v>
      </x:c>
      <x:c r="H421" s="16" t="n">
        <x:f>D421/G421</x:f>
        <x:v>0.10008529997156668</x:v>
      </x:c>
      <x:c r="I421" s="7" t="str">
        <x:v>Medium</x:v>
      </x:c>
      <x:c r="J421"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21" s="1"/>
    </x:row>
    <x:row r="422" ht="87" customHeight="1">
      <x:c r="A422" s="7" t="str">
        <x:v>Tetraodontidae</x:v>
      </x:c>
      <x:c r="B422" s="7" t="str">
        <x:v>Juvenile demersal fish (&gt; 30 cm)</x:v>
      </x:c>
      <x:c r="C422" s="7" t="n">
        <x:v>25</x:v>
      </x:c>
      <x:c r="D422" s="15" t="n">
        <x:v>0.3165</x:v>
      </x:c>
      <x:c r="E422" s="15" t="n">
        <x:v>0.143</x:v>
      </x:c>
      <x:c r="F422" s="15" t="str">
        <x:v>Model catch</x:v>
      </x:c>
      <x:c r="G422" s="15" t="n">
        <x:f>SUMIFS($D$6:$D$449,$A$6:$A$449,A422)</x:f>
        <x:v>0.3517</x:v>
      </x:c>
      <x:c r="H422" s="16" t="n">
        <x:f>D422/G422</x:f>
        <x:v>0.8999147000284333</x:v>
      </x:c>
      <x:c r="I422" s="7" t="str">
        <x:v>Medium</x:v>
      </x:c>
      <x:c r="J422"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22" s="1"/>
    </x:row>
    <x:row r="423" ht="87" customHeight="1">
      <x:c r="A423" s="7" t="str">
        <x:v>Tetraodontidae</x:v>
      </x:c>
      <x:c r="B423" s="7" t="str">
        <x:v>Adult demersal fish (&gt; 30 cm)</x:v>
      </x:c>
      <x:c r="C423" s="7" t="n">
        <x:v>26</x:v>
      </x:c>
      <x:c r="D423" s="15" t="n">
        <x:v>0.0352</x:v>
      </x:c>
      <x:c r="E423" s="15" t="n">
        <x:v>0.021</x:v>
      </x:c>
      <x:c r="F423" s="15" t="str">
        <x:v>Model catch</x:v>
      </x:c>
      <x:c r="G423" s="15" t="n">
        <x:f>SUMIFS($D$6:$D$449,$A$6:$A$449,A423)</x:f>
        <x:v>0.3517</x:v>
      </x:c>
      <x:c r="H423" s="16" t="n">
        <x:f>D423/G423</x:f>
        <x:v>0.10008529997156668</x:v>
      </x:c>
      <x:c r="I423" s="7" t="str">
        <x:v>Medium</x:v>
      </x:c>
      <x:c r="J423" s="7" t="str">
        <x:v>Residual large demersal species &gt;30 cm maximum length; juvenile/adult split at 18 months. Dedicated taxa excluded. Assumed fixed stage allocation across catch years; model-group aggregate catches need not represent species-specific, regional, annual or gear-specific size composition. No biomass weighting or SAU speciesmaxsize used. Source and numerical diagnostic limitations remain.</x:v>
      </x:c>
      <x:c r="K423" s="1"/>
    </x:row>
    <x:row r="424" ht="162" customHeight="1">
      <x:c r="A424" s="7" t="str">
        <x:v>Tetrapturus angustirostris</x:v>
      </x:c>
      <x:c r="B424" s="7" t="str">
        <x:v>Juvenile large pelagic fish</x:v>
      </x:c>
      <x:c r="C424" s="7" t="n">
        <x:v>30</x:v>
      </x:c>
      <x:c r="D424" s="15" t="n">
        <x:v>0.7384</x:v>
      </x:c>
      <x:c r="E424" s="15" t="n">
        <x:v>0.289</x:v>
      </x:c>
      <x:c r="F424" s="15" t="str">
        <x:v>Model catch</x:v>
      </x:c>
      <x:c r="G424" s="15" t="n">
        <x:f>SUMIFS($D$6:$D$449,$A$6:$A$449,A424)</x:f>
        <x:v>0.8205</x:v>
      </x:c>
      <x:c r="H424" s="16" t="n">
        <x:f>D424/G424</x:f>
        <x:v>0.8999390615478366</x:v>
      </x:c>
      <x:c r="I424" s="7" t="str">
        <x:v>Medium</x:v>
      </x:c>
      <x:c r="J424"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424" s="1"/>
    </x:row>
    <x:row r="425" ht="162" customHeight="1">
      <x:c r="A425" s="7" t="str">
        <x:v>Tetrapturus angustirostris</x:v>
      </x:c>
      <x:c r="B425" s="7" t="str">
        <x:v>Pelagic fish (&gt; 30 cm)</x:v>
      </x:c>
      <x:c r="C425" s="7" t="n">
        <x:v>31</x:v>
      </x:c>
      <x:c r="D425" s="15" t="n">
        <x:v>0.0821</x:v>
      </x:c>
      <x:c r="E425" s="15" t="n">
        <x:v>0.079</x:v>
      </x:c>
      <x:c r="F425" s="15" t="str">
        <x:v>Model catch</x:v>
      </x:c>
      <x:c r="G425" s="15" t="n">
        <x:f>SUMIFS($D$6:$D$449,$A$6:$A$449,A425)</x:f>
        <x:v>0.8205</x:v>
      </x:c>
      <x:c r="H425" s="16" t="n">
        <x:f>D425/G425</x:f>
        <x:v>0.10006093845216332</x:v>
      </x:c>
      <x:c r="I425" s="7" t="str">
        <x:v>Medium</x:v>
      </x:c>
      <x:c r="J425"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425" s="1"/>
    </x:row>
    <x:row r="426" ht="72" customHeight="1">
      <x:c r="A426" s="7" t="str">
        <x:v>Thunnus</x:v>
      </x:c>
      <x:c r="B426" s="7" t="str">
        <x:v>Juvenile large pelagic fish</x:v>
      </x:c>
      <x:c r="C426" s="7" t="n">
        <x:v>30</x:v>
      </x:c>
      <x:c r="D426" s="15" t="n">
        <x:v>0.7384</x:v>
      </x:c>
      <x:c r="E426" s="15" t="n">
        <x:v>0.289</x:v>
      </x:c>
      <x:c r="F426" s="15" t="str">
        <x:v>Model catch</x:v>
      </x:c>
      <x:c r="G426" s="15" t="n">
        <x:f>SUMIFS($D$6:$D$449,$A$6:$A$449,A426)</x:f>
        <x:v>0.8205</x:v>
      </x:c>
      <x:c r="H426" s="16" t="n">
        <x:f>D426/G426</x:f>
        <x:v>0.8999390615478366</x:v>
      </x:c>
      <x:c r="I426" s="7" t="str">
        <x:v>Medium</x:v>
      </x:c>
      <x:c r="J42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26" s="1"/>
    </x:row>
    <x:row r="427" ht="72" customHeight="1">
      <x:c r="A427" s="7" t="str">
        <x:v>Thunnus</x:v>
      </x:c>
      <x:c r="B427" s="7" t="str">
        <x:v>Pelagic fish (&gt; 30 cm)</x:v>
      </x:c>
      <x:c r="C427" s="7" t="n">
        <x:v>31</x:v>
      </x:c>
      <x:c r="D427" s="15" t="n">
        <x:v>0.0821</x:v>
      </x:c>
      <x:c r="E427" s="15" t="n">
        <x:v>0.079</x:v>
      </x:c>
      <x:c r="F427" s="15" t="str">
        <x:v>Model catch</x:v>
      </x:c>
      <x:c r="G427" s="15" t="n">
        <x:f>SUMIFS($D$6:$D$449,$A$6:$A$449,A427)</x:f>
        <x:v>0.8205</x:v>
      </x:c>
      <x:c r="H427" s="16" t="n">
        <x:f>D427/G427</x:f>
        <x:v>0.10006093845216332</x:v>
      </x:c>
      <x:c r="I427" s="7" t="str">
        <x:v>Medium</x:v>
      </x:c>
      <x:c r="J42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27" s="1"/>
    </x:row>
    <x:row r="428" ht="72" customHeight="1">
      <x:c r="A428" s="7" t="str">
        <x:v>Thunnus alalunga</x:v>
      </x:c>
      <x:c r="B428" s="7" t="str">
        <x:v>Juvenile large pelagic fish</x:v>
      </x:c>
      <x:c r="C428" s="7" t="n">
        <x:v>30</x:v>
      </x:c>
      <x:c r="D428" s="15" t="n">
        <x:v>0.7384</x:v>
      </x:c>
      <x:c r="E428" s="15" t="n">
        <x:v>0.289</x:v>
      </x:c>
      <x:c r="F428" s="15" t="str">
        <x:v>Model catch</x:v>
      </x:c>
      <x:c r="G428" s="15" t="n">
        <x:f>SUMIFS($D$6:$D$449,$A$6:$A$449,A428)</x:f>
        <x:v>0.8205</x:v>
      </x:c>
      <x:c r="H428" s="16" t="n">
        <x:f>D428/G428</x:f>
        <x:v>0.8999390615478366</x:v>
      </x:c>
      <x:c r="I428" s="7" t="str">
        <x:v>Medium</x:v>
      </x:c>
      <x:c r="J42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28" s="1"/>
    </x:row>
    <x:row r="429" ht="72" customHeight="1">
      <x:c r="A429" s="7" t="str">
        <x:v>Thunnus alalunga</x:v>
      </x:c>
      <x:c r="B429" s="7" t="str">
        <x:v>Pelagic fish (&gt; 30 cm)</x:v>
      </x:c>
      <x:c r="C429" s="7" t="n">
        <x:v>31</x:v>
      </x:c>
      <x:c r="D429" s="15" t="n">
        <x:v>0.0821</x:v>
      </x:c>
      <x:c r="E429" s="15" t="n">
        <x:v>0.079</x:v>
      </x:c>
      <x:c r="F429" s="15" t="str">
        <x:v>Model catch</x:v>
      </x:c>
      <x:c r="G429" s="15" t="n">
        <x:f>SUMIFS($D$6:$D$449,$A$6:$A$449,A429)</x:f>
        <x:v>0.8205</x:v>
      </x:c>
      <x:c r="H429" s="16" t="n">
        <x:f>D429/G429</x:f>
        <x:v>0.10006093845216332</x:v>
      </x:c>
      <x:c r="I429" s="7" t="str">
        <x:v>Medium</x:v>
      </x:c>
      <x:c r="J42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29" s="1"/>
    </x:row>
    <x:row r="430" ht="72" customHeight="1">
      <x:c r="A430" s="7" t="str">
        <x:v>Thunnus albacares</x:v>
      </x:c>
      <x:c r="B430" s="7" t="str">
        <x:v>Juvenile large pelagic fish</x:v>
      </x:c>
      <x:c r="C430" s="7" t="n">
        <x:v>30</x:v>
      </x:c>
      <x:c r="D430" s="15" t="n">
        <x:v>0.7384</x:v>
      </x:c>
      <x:c r="E430" s="15" t="n">
        <x:v>0.289</x:v>
      </x:c>
      <x:c r="F430" s="15" t="str">
        <x:v>Model catch</x:v>
      </x:c>
      <x:c r="G430" s="15" t="n">
        <x:f>SUMIFS($D$6:$D$449,$A$6:$A$449,A430)</x:f>
        <x:v>0.8205</x:v>
      </x:c>
      <x:c r="H430" s="16" t="n">
        <x:f>D430/G430</x:f>
        <x:v>0.8999390615478366</x:v>
      </x:c>
      <x:c r="I430" s="7" t="str">
        <x:v>Medium</x:v>
      </x:c>
      <x:c r="J430"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0" s="1"/>
    </x:row>
    <x:row r="431" ht="72" customHeight="1">
      <x:c r="A431" s="7" t="str">
        <x:v>Thunnus albacares</x:v>
      </x:c>
      <x:c r="B431" s="7" t="str">
        <x:v>Pelagic fish (&gt; 30 cm)</x:v>
      </x:c>
      <x:c r="C431" s="7" t="n">
        <x:v>31</x:v>
      </x:c>
      <x:c r="D431" s="15" t="n">
        <x:v>0.0821</x:v>
      </x:c>
      <x:c r="E431" s="15" t="n">
        <x:v>0.079</x:v>
      </x:c>
      <x:c r="F431" s="15" t="str">
        <x:v>Model catch</x:v>
      </x:c>
      <x:c r="G431" s="15" t="n">
        <x:f>SUMIFS($D$6:$D$449,$A$6:$A$449,A431)</x:f>
        <x:v>0.8205</x:v>
      </x:c>
      <x:c r="H431" s="16" t="n">
        <x:f>D431/G431</x:f>
        <x:v>0.10006093845216332</x:v>
      </x:c>
      <x:c r="I431" s="7" t="str">
        <x:v>Medium</x:v>
      </x:c>
      <x:c r="J431"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1" s="1"/>
    </x:row>
    <x:row r="432" ht="72" customHeight="1">
      <x:c r="A432" s="7" t="str">
        <x:v>Thunnus obesus</x:v>
      </x:c>
      <x:c r="B432" s="7" t="str">
        <x:v>Juvenile large pelagic fish</x:v>
      </x:c>
      <x:c r="C432" s="7" t="n">
        <x:v>30</x:v>
      </x:c>
      <x:c r="D432" s="15" t="n">
        <x:v>0.7384</x:v>
      </x:c>
      <x:c r="E432" s="15" t="n">
        <x:v>0.289</x:v>
      </x:c>
      <x:c r="F432" s="15" t="str">
        <x:v>Model catch</x:v>
      </x:c>
      <x:c r="G432" s="15" t="n">
        <x:f>SUMIFS($D$6:$D$449,$A$6:$A$449,A432)</x:f>
        <x:v>0.8205</x:v>
      </x:c>
      <x:c r="H432" s="16" t="n">
        <x:f>D432/G432</x:f>
        <x:v>0.8999390615478366</x:v>
      </x:c>
      <x:c r="I432" s="7" t="str">
        <x:v>Medium</x:v>
      </x:c>
      <x:c r="J432"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2" s="1"/>
    </x:row>
    <x:row r="433" ht="72" customHeight="1">
      <x:c r="A433" s="7" t="str">
        <x:v>Thunnus obesus</x:v>
      </x:c>
      <x:c r="B433" s="7" t="str">
        <x:v>Pelagic fish (&gt; 30 cm)</x:v>
      </x:c>
      <x:c r="C433" s="7" t="n">
        <x:v>31</x:v>
      </x:c>
      <x:c r="D433" s="15" t="n">
        <x:v>0.0821</x:v>
      </x:c>
      <x:c r="E433" s="15" t="n">
        <x:v>0.079</x:v>
      </x:c>
      <x:c r="F433" s="15" t="str">
        <x:v>Model catch</x:v>
      </x:c>
      <x:c r="G433" s="15" t="n">
        <x:f>SUMIFS($D$6:$D$449,$A$6:$A$449,A433)</x:f>
        <x:v>0.8205</x:v>
      </x:c>
      <x:c r="H433" s="16" t="n">
        <x:f>D433/G433</x:f>
        <x:v>0.10006093845216332</x:v>
      </x:c>
      <x:c r="I433" s="7" t="str">
        <x:v>Medium</x:v>
      </x:c>
      <x:c r="J433"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3" s="1"/>
    </x:row>
    <x:row r="434" ht="72" customHeight="1">
      <x:c r="A434" s="7" t="str">
        <x:v>Thunnus orientalis</x:v>
      </x:c>
      <x:c r="B434" s="7" t="str">
        <x:v>Juvenile large pelagic fish</x:v>
      </x:c>
      <x:c r="C434" s="7" t="n">
        <x:v>30</x:v>
      </x:c>
      <x:c r="D434" s="15" t="n">
        <x:v>0.7384</x:v>
      </x:c>
      <x:c r="E434" s="15" t="n">
        <x:v>0.289</x:v>
      </x:c>
      <x:c r="F434" s="15" t="str">
        <x:v>Model catch</x:v>
      </x:c>
      <x:c r="G434" s="15" t="n">
        <x:f>SUMIFS($D$6:$D$449,$A$6:$A$449,A434)</x:f>
        <x:v>0.8205</x:v>
      </x:c>
      <x:c r="H434" s="16" t="n">
        <x:f>D434/G434</x:f>
        <x:v>0.8999390615478366</x:v>
      </x:c>
      <x:c r="I434" s="7" t="str">
        <x:v>Medium</x:v>
      </x:c>
      <x:c r="J434"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4" s="1"/>
    </x:row>
    <x:row r="435" ht="72" customHeight="1">
      <x:c r="A435" s="7" t="str">
        <x:v>Thunnus orientalis</x:v>
      </x:c>
      <x:c r="B435" s="7" t="str">
        <x:v>Pelagic fish (&gt; 30 cm)</x:v>
      </x:c>
      <x:c r="C435" s="7" t="n">
        <x:v>31</x:v>
      </x:c>
      <x:c r="D435" s="15" t="n">
        <x:v>0.0821</x:v>
      </x:c>
      <x:c r="E435" s="15" t="n">
        <x:v>0.079</x:v>
      </x:c>
      <x:c r="F435" s="15" t="str">
        <x:v>Model catch</x:v>
      </x:c>
      <x:c r="G435" s="15" t="n">
        <x:f>SUMIFS($D$6:$D$449,$A$6:$A$449,A435)</x:f>
        <x:v>0.8205</x:v>
      </x:c>
      <x:c r="H435" s="16" t="n">
        <x:f>D435/G435</x:f>
        <x:v>0.10006093845216332</x:v>
      </x:c>
      <x:c r="I435" s="7" t="str">
        <x:v>Medium</x:v>
      </x:c>
      <x:c r="J435"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5" s="1"/>
    </x:row>
    <x:row r="436" ht="72" customHeight="1">
      <x:c r="A436" s="7" t="str">
        <x:v>Thunnus tonggol</x:v>
      </x:c>
      <x:c r="B436" s="7" t="str">
        <x:v>Juvenile large pelagic fish</x:v>
      </x:c>
      <x:c r="C436" s="7" t="n">
        <x:v>30</x:v>
      </x:c>
      <x:c r="D436" s="15" t="n">
        <x:v>0.7384</x:v>
      </x:c>
      <x:c r="E436" s="15" t="n">
        <x:v>0.289</x:v>
      </x:c>
      <x:c r="F436" s="15" t="str">
        <x:v>Model catch</x:v>
      </x:c>
      <x:c r="G436" s="15" t="n">
        <x:f>SUMIFS($D$6:$D$449,$A$6:$A$449,A436)</x:f>
        <x:v>0.8205</x:v>
      </x:c>
      <x:c r="H436" s="16" t="n">
        <x:f>D436/G436</x:f>
        <x:v>0.8999390615478366</x:v>
      </x:c>
      <x:c r="I436" s="7" t="str">
        <x:v>Medium</x:v>
      </x:c>
      <x:c r="J43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6" s="1"/>
    </x:row>
    <x:row r="437" ht="72" customHeight="1">
      <x:c r="A437" s="7" t="str">
        <x:v>Thunnus tonggol</x:v>
      </x:c>
      <x:c r="B437" s="7" t="str">
        <x:v>Pelagic fish (&gt; 30 cm)</x:v>
      </x:c>
      <x:c r="C437" s="7" t="n">
        <x:v>31</x:v>
      </x:c>
      <x:c r="D437" s="15" t="n">
        <x:v>0.0821</x:v>
      </x:c>
      <x:c r="E437" s="15" t="n">
        <x:v>0.079</x:v>
      </x:c>
      <x:c r="F437" s="15" t="str">
        <x:v>Model catch</x:v>
      </x:c>
      <x:c r="G437" s="15" t="n">
        <x:f>SUMIFS($D$6:$D$449,$A$6:$A$449,A437)</x:f>
        <x:v>0.8205</x:v>
      </x:c>
      <x:c r="H437" s="16" t="n">
        <x:f>D437/G437</x:f>
        <x:v>0.10006093845216332</x:v>
      </x:c>
      <x:c r="I437" s="7" t="str">
        <x:v>Medium</x:v>
      </x:c>
      <x:c r="J43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7" s="1"/>
    </x:row>
    <x:row r="438" ht="72" customHeight="1">
      <x:c r="A438" s="7" t="str">
        <x:v>Trachurus japonicus</x:v>
      </x:c>
      <x:c r="B438" s="7" t="str">
        <x:v>Juvenile large pelagic fish</x:v>
      </x:c>
      <x:c r="C438" s="7" t="n">
        <x:v>30</x:v>
      </x:c>
      <x:c r="D438" s="15" t="n">
        <x:v>0.7384</x:v>
      </x:c>
      <x:c r="E438" s="15" t="n">
        <x:v>0.289</x:v>
      </x:c>
      <x:c r="F438" s="15" t="str">
        <x:v>Model catch</x:v>
      </x:c>
      <x:c r="G438" s="15" t="n">
        <x:f>SUMIFS($D$6:$D$449,$A$6:$A$449,A438)</x:f>
        <x:v>0.8205</x:v>
      </x:c>
      <x:c r="H438" s="16" t="n">
        <x:f>D438/G438</x:f>
        <x:v>0.8999390615478366</x:v>
      </x:c>
      <x:c r="I438" s="7" t="str">
        <x:v>Medium</x:v>
      </x:c>
      <x:c r="J438"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8" s="1"/>
    </x:row>
    <x:row r="439" ht="72" customHeight="1">
      <x:c r="A439" s="7" t="str">
        <x:v>Trachurus japonicus</x:v>
      </x:c>
      <x:c r="B439" s="7" t="str">
        <x:v>Pelagic fish (&gt; 30 cm)</x:v>
      </x:c>
      <x:c r="C439" s="7" t="n">
        <x:v>31</x:v>
      </x:c>
      <x:c r="D439" s="15" t="n">
        <x:v>0.0821</x:v>
      </x:c>
      <x:c r="E439" s="15" t="n">
        <x:v>0.079</x:v>
      </x:c>
      <x:c r="F439" s="15" t="str">
        <x:v>Model catch</x:v>
      </x:c>
      <x:c r="G439" s="15" t="n">
        <x:f>SUMIFS($D$6:$D$449,$A$6:$A$449,A439)</x:f>
        <x:v>0.8205</x:v>
      </x:c>
      <x:c r="H439" s="16" t="n">
        <x:f>D439/G439</x:f>
        <x:v>0.10006093845216332</x:v>
      </x:c>
      <x:c r="I439" s="7" t="str">
        <x:v>Medium</x:v>
      </x:c>
      <x:c r="J439"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39" s="1"/>
    </x:row>
    <x:row r="440" ht="72" customHeight="1">
      <x:c r="A440" s="7" t="str">
        <x:v>Trichiuridae</x:v>
      </x:c>
      <x:c r="B440" s="7" t="str">
        <x:v>Juvenile Hairtail (trichiurids)</x:v>
      </x:c>
      <x:c r="C440" s="7" t="n">
        <x:v>16</x:v>
      </x:c>
      <x:c r="D440" s="15" t="n">
        <x:v>0.028</x:v>
      </x:c>
      <x:c r="E440" s="15" t="n">
        <x:v>0.015</x:v>
      </x:c>
      <x:c r="F440" s="15" t="str">
        <x:v>Model catch</x:v>
      </x:c>
      <x:c r="G440" s="15" t="n">
        <x:f>SUMIFS($D$6:$D$449,$A$6:$A$449,A440)</x:f>
        <x:v>0.0352</x:v>
      </x:c>
      <x:c r="H440" s="16" t="n">
        <x:f>D440/G440</x:f>
        <x:v>0.7954545454545454</x:v>
      </x:c>
      <x:c r="I440" s="7" t="str">
        <x:v>Medium</x:v>
      </x:c>
      <x:c r="J440"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0" s="1"/>
    </x:row>
    <x:row r="441" ht="72" customHeight="1">
      <x:c r="A441" s="7" t="str">
        <x:v>Trichiuridae</x:v>
      </x:c>
      <x:c r="B441" s="7" t="str">
        <x:v>Adult hairtail (trichiurids)</x:v>
      </x:c>
      <x:c r="C441" s="7" t="n">
        <x:v>17</x:v>
      </x:c>
      <x:c r="D441" s="15" t="n">
        <x:v>0.0072</x:v>
      </x:c>
      <x:c r="E441" s="15" t="n">
        <x:v>0.012</x:v>
      </x:c>
      <x:c r="F441" s="15" t="str">
        <x:v>Model catch</x:v>
      </x:c>
      <x:c r="G441" s="15" t="n">
        <x:f>SUMIFS($D$6:$D$449,$A$6:$A$449,A441)</x:f>
        <x:v>0.0352</x:v>
      </x:c>
      <x:c r="H441" s="16" t="n">
        <x:f>D441/G441</x:f>
        <x:v>0.20454545454545453</x:v>
      </x:c>
      <x:c r="I441" s="7" t="str">
        <x:v>Medium</x:v>
      </x:c>
      <x:c r="J441"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1" s="1"/>
    </x:row>
    <x:row r="442" ht="72" customHeight="1">
      <x:c r="A442" s="7" t="str">
        <x:v>Trichiurus</x:v>
      </x:c>
      <x:c r="B442" s="7" t="str">
        <x:v>Juvenile Hairtail (trichiurids)</x:v>
      </x:c>
      <x:c r="C442" s="7" t="n">
        <x:v>16</x:v>
      </x:c>
      <x:c r="D442" s="15" t="n">
        <x:v>0.028</x:v>
      </x:c>
      <x:c r="E442" s="15" t="n">
        <x:v>0.015</x:v>
      </x:c>
      <x:c r="F442" s="15" t="str">
        <x:v>Model catch</x:v>
      </x:c>
      <x:c r="G442" s="15" t="n">
        <x:f>SUMIFS($D$6:$D$449,$A$6:$A$449,A442)</x:f>
        <x:v>0.0352</x:v>
      </x:c>
      <x:c r="H442" s="16" t="n">
        <x:f>D442/G442</x:f>
        <x:v>0.7954545454545454</x:v>
      </x:c>
      <x:c r="I442" s="7" t="str">
        <x:v>Medium</x:v>
      </x:c>
      <x:c r="J442"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2" s="1"/>
    </x:row>
    <x:row r="443" ht="72" customHeight="1">
      <x:c r="A443" s="7" t="str">
        <x:v>Trichiurus</x:v>
      </x:c>
      <x:c r="B443" s="7" t="str">
        <x:v>Adult hairtail (trichiurids)</x:v>
      </x:c>
      <x:c r="C443" s="7" t="n">
        <x:v>17</x:v>
      </x:c>
      <x:c r="D443" s="15" t="n">
        <x:v>0.0072</x:v>
      </x:c>
      <x:c r="E443" s="15" t="n">
        <x:v>0.012</x:v>
      </x:c>
      <x:c r="F443" s="15" t="str">
        <x:v>Model catch</x:v>
      </x:c>
      <x:c r="G443" s="15" t="n">
        <x:f>SUMIFS($D$6:$D$449,$A$6:$A$449,A443)</x:f>
        <x:v>0.0352</x:v>
      </x:c>
      <x:c r="H443" s="16" t="n">
        <x:f>D443/G443</x:f>
        <x:v>0.20454545454545453</x:v>
      </x:c>
      <x:c r="I443" s="7" t="str">
        <x:v>Medium</x:v>
      </x:c>
      <x:c r="J443"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3" s="1"/>
    </x:row>
    <x:row r="444" ht="72" customHeight="1">
      <x:c r="A444" s="7" t="str">
        <x:v>Trichiurus lepturus</x:v>
      </x:c>
      <x:c r="B444" s="7" t="str">
        <x:v>Juvenile Hairtail (trichiurids)</x:v>
      </x:c>
      <x:c r="C444" s="7" t="n">
        <x:v>16</x:v>
      </x:c>
      <x:c r="D444" s="15" t="n">
        <x:v>0.028</x:v>
      </x:c>
      <x:c r="E444" s="15" t="n">
        <x:v>0.015</x:v>
      </x:c>
      <x:c r="F444" s="15" t="str">
        <x:v>Model catch</x:v>
      </x:c>
      <x:c r="G444" s="15" t="n">
        <x:f>SUMIFS($D$6:$D$449,$A$6:$A$449,A444)</x:f>
        <x:v>0.0352</x:v>
      </x:c>
      <x:c r="H444" s="16" t="n">
        <x:f>D444/G444</x:f>
        <x:v>0.7954545454545454</x:v>
      </x:c>
      <x:c r="I444" s="7" t="str">
        <x:v>Medium</x:v>
      </x:c>
      <x:c r="J444"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4" s="1"/>
    </x:row>
    <x:row r="445" ht="72" customHeight="1">
      <x:c r="A445" s="7" t="str">
        <x:v>Trichiurus lepturus</x:v>
      </x:c>
      <x:c r="B445" s="7" t="str">
        <x:v>Adult hairtail (trichiurids)</x:v>
      </x:c>
      <x:c r="C445" s="7" t="n">
        <x:v>17</x:v>
      </x:c>
      <x:c r="D445" s="15" t="n">
        <x:v>0.0072</x:v>
      </x:c>
      <x:c r="E445" s="15" t="n">
        <x:v>0.012</x:v>
      </x:c>
      <x:c r="F445" s="15" t="str">
        <x:v>Model catch</x:v>
      </x:c>
      <x:c r="G445" s="15" t="n">
        <x:f>SUMIFS($D$6:$D$449,$A$6:$A$449,A445)</x:f>
        <x:v>0.0352</x:v>
      </x:c>
      <x:c r="H445" s="16" t="n">
        <x:f>D445/G445</x:f>
        <x:v>0.20454545454545453</x:v>
      </x:c>
      <x:c r="I445" s="7" t="str">
        <x:v>Medium</x:v>
      </x:c>
      <x:c r="J445" s="7" t="str">
        <x:v>Trichiuridae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5" s="1"/>
    </x:row>
    <x:row r="446" ht="72" customHeight="1">
      <x:c r="A446" s="7" t="str">
        <x:v>Tylosurus crocodilus</x:v>
      </x:c>
      <x:c r="B446" s="7" t="str">
        <x:v>Juvenile large pelagic fish</x:v>
      </x:c>
      <x:c r="C446" s="7" t="n">
        <x:v>30</x:v>
      </x:c>
      <x:c r="D446" s="15" t="n">
        <x:v>0.7384</x:v>
      </x:c>
      <x:c r="E446" s="15" t="n">
        <x:v>0.289</x:v>
      </x:c>
      <x:c r="F446" s="15" t="str">
        <x:v>Model catch</x:v>
      </x:c>
      <x:c r="G446" s="15" t="n">
        <x:f>SUMIFS($D$6:$D$449,$A$6:$A$449,A446)</x:f>
        <x:v>0.8205</x:v>
      </x:c>
      <x:c r="H446" s="16" t="n">
        <x:f>D446/G446</x:f>
        <x:v>0.8999390615478366</x:v>
      </x:c>
      <x:c r="I446" s="7" t="str">
        <x:v>Medium</x:v>
      </x:c>
      <x:c r="J446"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6" s="1"/>
    </x:row>
    <x:row r="447" ht="72" customHeight="1">
      <x:c r="A447" s="7" t="str">
        <x:v>Tylosurus crocodilus</x:v>
      </x:c>
      <x:c r="B447" s="7" t="str">
        <x:v>Pelagic fish (&gt; 30 cm)</x:v>
      </x:c>
      <x:c r="C447" s="7" t="n">
        <x:v>31</x:v>
      </x:c>
      <x:c r="D447" s="15" t="n">
        <x:v>0.0821</x:v>
      </x:c>
      <x:c r="E447" s="15" t="n">
        <x:v>0.079</x:v>
      </x:c>
      <x:c r="F447" s="15" t="str">
        <x:v>Model catch</x:v>
      </x:c>
      <x:c r="G447" s="15" t="n">
        <x:f>SUMIFS($D$6:$D$449,$A$6:$A$449,A447)</x:f>
        <x:v>0.8205</x:v>
      </x:c>
      <x:c r="H447" s="16" t="n">
        <x:f>D447/G447</x:f>
        <x:v>0.10006093845216332</x:v>
      </x:c>
      <x:c r="I447" s="7" t="str">
        <x:v>Medium</x:v>
      </x:c>
      <x:c r="J447" s="7" t="str">
        <x:v>Residual large pelagic species &gt;30 cm maximum length; juvenile/adult split at 18 months. Assumed fixed stage allocation across catch years; model-group aggregate catches need not represent species-specific, regional, annual or gear-specific size composition. No biomass weighting or SAU speciesmaxsize used. Source and numerical diagnostic limitations remain.</x:v>
      </x:c>
      <x:c r="K447" s="1"/>
    </x:row>
    <x:row r="448" ht="162" customHeight="1">
      <x:c r="A448" s="7" t="str">
        <x:v>Xiphias gladius</x:v>
      </x:c>
      <x:c r="B448" s="7" t="str">
        <x:v>Juvenile large pelagic fish</x:v>
      </x:c>
      <x:c r="C448" s="7" t="n">
        <x:v>30</x:v>
      </x:c>
      <x:c r="D448" s="15" t="n">
        <x:v>0.7384</x:v>
      </x:c>
      <x:c r="E448" s="15" t="n">
        <x:v>0.289</x:v>
      </x:c>
      <x:c r="F448" s="15" t="str">
        <x:v>Model catch</x:v>
      </x:c>
      <x:c r="G448" s="15" t="n">
        <x:f>SUMIFS($D$6:$D$449,$A$6:$A$449,A448)</x:f>
        <x:v>0.8205</x:v>
      </x:c>
      <x:c r="H448" s="16" t="n">
        <x:f>D448/G448</x:f>
        <x:v>0.8999390615478366</x:v>
      </x:c>
      <x:c r="I448" s="7" t="str">
        <x:v>Medium</x:v>
      </x:c>
      <x:c r="J448"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448" s="1"/>
    </x:row>
    <x:row r="449" ht="162" customHeight="1">
      <x:c r="A449" s="7" t="str">
        <x:v>Xiphias gladius</x:v>
      </x:c>
      <x:c r="B449" s="7" t="str">
        <x:v>Pelagic fish (&gt; 30 cm)</x:v>
      </x:c>
      <x:c r="C449" s="7" t="n">
        <x:v>31</x:v>
      </x:c>
      <x:c r="D449" s="15" t="n">
        <x:v>0.0821</x:v>
      </x:c>
      <x:c r="E449" s="15" t="n">
        <x:v>0.079</x:v>
      </x:c>
      <x:c r="F449" s="15" t="str">
        <x:v>Model catch</x:v>
      </x:c>
      <x:c r="G449" s="15" t="n">
        <x:f>SUMIFS($D$6:$D$449,$A$6:$A$449,A449)</x:f>
        <x:v>0.8205</x:v>
      </x:c>
      <x:c r="H449" s="16" t="n">
        <x:f>D449/G449</x:f>
        <x:v>0.10006093845216332</x:v>
      </x:c>
      <x:c r="I449" s="7" t="str">
        <x:v>Medium</x:v>
      </x:c>
      <x:c r="J449" s="7" t="str">
        <x:v>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The saved catch class is Large pelagics. The model lacks an explicit oceanic billfish compartment, so juvenile/adult large pelagic fish are the closest represented functional analogue. Shelf/oceanic habitat and the transferred source 18-month stage boundary are substantial mismatches. Maximum-size class does not establish adult-only catch. Weights use model catch proportions, assumed fixed across years and catch bases. Very low membership confidence; see Sources and the regional Mapping review.</x:v>
      </x:c>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J1"/>
    <x:mergeCell ref="A2:J2"/>
    <x:mergeCell ref="A3:J3"/>
    <x:mergeCell ref="A4:J4"/>
  </x:mergeCells>
  <x:pageMargins left="0.7" right="0.7" top="0.75" bottom="0.75" header="0.3" footer="0.3"/>
  <x:tableParts count="1">
    <x:tablePart xmlns:r="http://schemas.openxmlformats.org/officeDocument/2006/relationships" r:id="R79fa946f1e884513"/>
  </x:tableParts>
</x:worksheet>
</file>

<file path=xl/worksheets/sheet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40" hidden="0" customWidth="1"/>
    <x:col min="2" max="2" width="95" hidden="0" customWidth="1"/>
    <x:col min="3" max="3" width="95" hidden="0" customWidth="1"/>
  </x:cols>
  <x:sheetData>
    <x:row r="1" ht="30" customHeight="1">
      <x:c r="A1" s="4" t="str">
        <x:v>Sources and model group inputs</x:v>
      </x:c>
      <x:c r="B1" s="4"/>
      <x:c r="C1" s="4"/>
      <x:c r="D1" s="1"/>
      <x:c r="E1" s="1"/>
      <x:c r="F1" s="1"/>
      <x:c r="G1" s="1"/>
      <x:c r="H1" s="1"/>
      <x:c r="I1" s="1"/>
      <x:c r="J1" s="1"/>
      <x:c r="K1" s="1"/>
    </x:row>
    <x:row r="2">
      <x:c r="A2" s="1"/>
      <x:c r="B2" s="1"/>
      <x:c r="C2" s="1"/>
      <x:c r="D2" s="1"/>
      <x:c r="E2" s="1"/>
      <x:c r="F2" s="1"/>
      <x:c r="G2" s="1"/>
      <x:c r="H2" s="1"/>
      <x:c r="I2" s="1"/>
      <x:c r="J2" s="1"/>
      <x:c r="K2" s="1"/>
    </x:row>
    <x:row r="3">
      <x:c r="A3" s="1"/>
      <x:c r="B3" s="1"/>
      <x:c r="C3" s="1"/>
      <x:c r="D3" s="1"/>
      <x:c r="E3" s="1"/>
      <x:c r="F3" s="1"/>
      <x:c r="G3" s="1"/>
      <x:c r="H3" s="1"/>
      <x:c r="I3" s="1"/>
      <x:c r="J3" s="1"/>
      <x:c r="K3" s="1"/>
    </x:row>
    <x:row r="4">
      <x:c r="A4" s="1"/>
      <x:c r="B4" s="1"/>
      <x:c r="C4" s="1"/>
      <x:c r="D4" s="1"/>
      <x:c r="E4" s="1"/>
      <x:c r="F4" s="1"/>
      <x:c r="G4" s="1"/>
      <x:c r="H4" s="1"/>
      <x:c r="I4" s="1"/>
      <x:c r="J4" s="1"/>
      <x:c r="K4" s="1"/>
    </x:row>
    <x:row r="5" ht="34" customHeight="1">
      <x:c r="A5" s="10" t="str">
        <x:v>Source</x:v>
      </x:c>
      <x:c r="B5" s="10" t="str">
        <x:v>What it supports</x:v>
      </x:c>
      <x:c r="C5" s="10" t="str">
        <x:v>Link or retained location</x:v>
      </x:c>
      <x:c r="D5" s="1"/>
      <x:c r="E5" s="1"/>
      <x:c r="F5" s="1"/>
      <x:c r="G5" s="1"/>
      <x:c r="H5" s="1"/>
      <x:c r="I5" s="1"/>
      <x:c r="J5" s="1"/>
      <x:c r="K5" s="1"/>
    </x:row>
    <x:row r="6" ht="66" customHeight="1">
      <x:c r="A6" s="7" t="str">
        <x:v>Cheung doctoral thesis</x:v>
      </x:c>
      <x:c r="B6" s="7" t="str">
        <x:v>Cheung W L (2007), Vulnerability of marine fishes to fishing. Appendix 6.1, printed pp. 322–341 (PDF pp. 337–356), defines groups. Tables 6.1–6.2, printed pp. 175–179, report parameters/catches.</x:v>
      </x:c>
      <x:c r="C6" s="17" t="str">
        <x:v>https://open.library.ubc.ca/collections/ubctheses/831/items/1.0074894</x:v>
      </x:c>
      <x:c r="D6" s="1"/>
      <x:c r="E6" s="1"/>
      <x:c r="F6" s="1"/>
      <x:c r="G6" s="1"/>
      <x:c r="H6" s="1"/>
      <x:c r="I6" s="1"/>
      <x:c r="J6" s="1"/>
      <x:c r="K6" s="1"/>
    </x:row>
    <x:row r="7" ht="66" customHeight="1">
      <x:c r="A7" s="7" t="str">
        <x:v>Retained thesis PDF</x:v>
      </x:c>
      <x:c r="B7" s="7" t="str">
        <x:v>Local source copy for exact page references.</x:v>
      </x:c>
      <x:c r="C7" s="17" t="str">
        <x:v>../../regions/LME_036/papers/SCS-2007/ubc_2007-317501-87ea9ea0.pdf</x:v>
      </x:c>
      <x:c r="D7" s="1"/>
      <x:c r="E7" s="1"/>
      <x:c r="F7" s="1"/>
      <x:c r="G7" s="1"/>
      <x:c r="H7" s="1"/>
      <x:c r="I7" s="1"/>
      <x:c r="J7" s="1"/>
      <x:c r="K7" s="1"/>
    </x:row>
    <x:row r="8" ht="66" customHeight="1">
      <x:c r="A8" s="7" t="str">
        <x:v>Adopted regional workbook</x:v>
      </x:c>
      <x:c r="B8" s="7" t="str">
        <x:v>Catch / Catch; Classic PPR / Taxa and Annual; PPR / Matching, Mapping review, Allocation assumptions.</x:v>
      </x:c>
      <x:c r="C8" s="17" t="str">
        <x:v>../../regions/LME_036/LME_036.xlsx</x:v>
      </x:c>
      <x:c r="D8" s="1"/>
      <x:c r="E8" s="1"/>
      <x:c r="F8" s="1"/>
      <x:c r="G8" s="1"/>
      <x:c r="H8" s="1"/>
      <x:c r="I8" s="1"/>
      <x:c r="J8" s="1"/>
      <x:c r="K8" s="1"/>
    </x:row>
    <x:row r="9" ht="66" customHeight="1">
      <x:c r="A9" s="7" t="str">
        <x:v>Selected source model</x:v>
      </x:c>
      <x:c r="B9" s="7" t="str">
        <x:v>Exact selected 2000s JSON. group.export supplies catches and group.biomass the fallback field. Fields retain the source-model units; their ratios are dimensionless.</x:v>
      </x:c>
      <x:c r="C9" s="17" t="str">
        <x:v>../../regions/LME_036/models/36_1_South_China_Sea_SCS-2007_Northern_South_China_Sea_(2000s)/model.json</x:v>
      </x:c>
      <x:c r="D9" s="1"/>
      <x:c r="E9" s="1"/>
      <x:c r="F9" s="1"/>
      <x:c r="G9" s="1"/>
      <x:c r="H9" s="1"/>
      <x:c r="I9" s="1"/>
      <x:c r="J9" s="1"/>
      <x:c r="K9" s="1"/>
    </x:row>
    <x:row r="10" ht="66" customHeight="1">
      <x:c r="A10" s="7" t="str">
        <x:v>Adopted mapping audit</x:v>
      </x:c>
      <x:c r="B10" s="7" t="str">
        <x:v>Candidate inclusion rationale, raw fields, calculations, confidence and prior decisions.</x:v>
      </x:c>
      <x:c r="C10" s="17" t="str">
        <x:v>../../regions/LME_036/validation_reports/36_1_South_China_Sea_SCS-2007_Northern_South_China_Sea_(2000s)/adopted_revision_20260930/taxon_audit_adopted.json</x:v>
      </x:c>
      <x:c r="D10" s="1"/>
      <x:c r="E10" s="1"/>
      <x:c r="F10" s="1"/>
      <x:c r="G10" s="1"/>
      <x:c r="H10" s="1"/>
      <x:c r="I10" s="1"/>
      <x:c r="J10" s="1"/>
      <x:c r="K10" s="1"/>
    </x:row>
    <x:row r="11" ht="66" customHeight="1">
      <x:c r="A11" s="7" t="str">
        <x:v>Sea Around Us TL snapshot</x:v>
      </x:c>
      <x:c r="B11" s="7" t="str">
        <x:v>API v88 snapshot 3 September 2026. scientific_name and trophic_level; frozen Classic PPR coefficient is multiplied by catch and divided by nine once.</x:v>
      </x:c>
      <x:c r="C11" s="17" t="str">
        <x:v>../../regions/LME_036/raw/LME_036-exploited.json</x:v>
      </x:c>
      <x:c r="D11" s="1"/>
      <x:c r="E11" s="1"/>
      <x:c r="F11" s="1"/>
      <x:c r="G11" s="1"/>
      <x:c r="H11" s="1"/>
      <x:c r="I11" s="1"/>
      <x:c r="J11" s="1"/>
      <x:c r="K11" s="1"/>
    </x:row>
    <x:row r="12" ht="66" customHeight="1">
      <x:c r="A12" s="7" t="str">
        <x:v>Pennahia synonym authority</x:v>
      </x:c>
      <x:c r="B12" s="7" t="str">
        <x:v>ITIS TSN 646537, synonym Argyrosomus argentatus; inspected in the independent review on 29 September 2026.</x:v>
      </x:c>
      <x:c r="C12" s="17" t="str">
        <x:v>https://www.itis.gov/servlet/SingleRpt/SingleRpt?search_topic=TSN&amp;search_value=646537</x:v>
      </x:c>
      <x:c r="D12" s="1"/>
      <x:c r="E12" s="1"/>
      <x:c r="F12" s="1"/>
      <x:c r="G12" s="1"/>
      <x:c r="H12" s="1"/>
      <x:c r="I12" s="1"/>
      <x:c r="J12" s="1"/>
      <x:c r="K12" s="1"/>
    </x:row>
    <x:row r="13" ht="66" customHeight="1">
      <x:c r="A13" s="7" t="str">
        <x:v>Cephalopoda within Mollusca</x:v>
      </x:c>
      <x:c r="B13" s="7" t="str">
        <x:v>NCBI taxon 6605 supports the broad Mollusca boundary; historical check 29 September 2026.</x:v>
      </x:c>
      <x:c r="C13" s="17" t="str">
        <x:v>https://www.ncbi.nlm.nih.gov/datasets/taxonomy/6605/</x:v>
      </x:c>
      <x:c r="D13" s="1"/>
      <x:c r="E13" s="1"/>
      <x:c r="F13" s="1"/>
      <x:c r="G13" s="1"/>
      <x:c r="H13" s="1"/>
      <x:c r="I13" s="1"/>
      <x:c r="J13" s="1"/>
      <x:c r="K13" s="1"/>
    </x:row>
    <x:row r="14" ht="66" customHeight="1">
      <x:c r="A14" s="7" t="str">
        <x:v>Acetes taxonomy</x:v>
      </x:c>
      <x:c r="B14" s="7" t="str">
        <x:v>US Fish and Wildlife Service tree, ITIS TSN 95888, supports Dendrobranchiata containing Acetes; historical check 29 September 2026.</x:v>
      </x:c>
      <x:c r="C14" s="17" t="str">
        <x:v>https://www.fws.gov/taxonomic-tree/21322</x:v>
      </x:c>
      <x:c r="D14" s="1"/>
      <x:c r="E14" s="1"/>
      <x:c r="F14" s="1"/>
      <x:c r="G14" s="1"/>
      <x:c r="H14" s="1"/>
      <x:c r="I14" s="1"/>
      <x:c r="J14" s="1"/>
      <x:c r="K14" s="1"/>
    </x:row>
    <x:row r="15" ht="66" customHeight="1">
      <x:c r="A15" s="7" t="str">
        <x:v>Selaroides ecological evidence</x:v>
      </x:c>
      <x:c r="B15" s="7" t="str">
        <x:v>FishBase species 388, length and habitat mismatch; retained independent review finding, not a fresh retrieval.</x:v>
      </x:c>
      <x:c r="C15" s="17" t="str">
        <x:v>https://fishbase.mnhn.fr/summary/selaroides-leptolepis.html</x:v>
      </x:c>
      <x:c r="D15" s="1"/>
      <x:c r="E15" s="1"/>
      <x:c r="F15" s="1"/>
      <x:c r="G15" s="1"/>
      <x:c r="H15" s="1"/>
      <x:c r="I15" s="1"/>
      <x:c r="J15" s="1"/>
      <x:c r="K15" s="1"/>
    </x:row>
    <x:row r="16" ht="66" customHeight="1">
      <x:c r="A16" s="7" t="str">
        <x:v>Decapterus length evidence</x:v>
      </x:c>
      <x:c r="B16" s="7" t="str">
        <x:v>FishBase species 1939, fork-length versus model total-length boundary; retained independent review finding.</x:v>
      </x:c>
      <x:c r="C16" s="17" t="str">
        <x:v>https://www.fishbase.se/summary/1939</x:v>
      </x:c>
      <x:c r="D16" s="1"/>
      <x:c r="E16" s="1"/>
      <x:c r="F16" s="1"/>
      <x:c r="G16" s="1"/>
      <x:c r="H16" s="1"/>
      <x:c r="I16" s="1"/>
      <x:c r="J16" s="1"/>
      <x:c r="K16" s="1"/>
    </x:row>
    <x:row r="17" ht="66" customHeight="1">
      <x:c r="A17" s="7" t="str">
        <x:v>Siganus flagged evidence gap</x:v>
      </x:c>
      <x:c r="B17" s="7" t="str">
        <x:v>FishBase indexed excerpt suggests length conflict; prior full-page request was blocked. This remains a flagged issue, not a fully verified new placement.</x:v>
      </x:c>
      <x:c r="C17" s="17" t="str">
        <x:v>https://www.fishbase.org/Summary/Siganus-canaliculatus</x:v>
      </x:c>
      <x:c r="D17" s="1"/>
      <x:c r="E17" s="1"/>
      <x:c r="F17" s="1"/>
      <x:c r="G17" s="1"/>
      <x:c r="H17" s="1"/>
      <x:c r="I17" s="1"/>
      <x:c r="J17" s="1"/>
      <x:c r="K17" s="1"/>
    </x:row>
    <x:row r="18" ht="66" customHeight="1">
      <x:c r="A18" s="7" t="str">
        <x:v>Psettodes maximum length</x:v>
      </x:c>
      <x:c r="B18" s="7" t="str">
        <x:v>FishBase species 513, 64 cm maximum TL; excludes the small-species demersal pool. Verified 29 September 2026.</x:v>
      </x:c>
      <x:c r="C18" s="17" t="str">
        <x:v>https://www.fishbase.se/summary/513</x:v>
      </x:c>
      <x:c r="D18" s="1"/>
      <x:c r="E18" s="1"/>
      <x:c r="F18" s="1"/>
      <x:c r="G18" s="1"/>
      <x:c r="H18" s="1"/>
      <x:c r="I18" s="1"/>
      <x:c r="J18" s="1"/>
      <x:c r="K18" s="1"/>
    </x:row>
    <x:row r="19" ht="66" customHeight="1">
      <x:c r="A19" s="7" t="str">
        <x:v>Paralichthys maximum length</x:v>
      </x:c>
      <x:c r="B19" s="7" t="str">
        <x:v>FishBase, 103 cm maximum TL; excludes the small-species demersal pool. Verified 29 September 2026.</x:v>
      </x:c>
      <x:c r="C19" s="17" t="str">
        <x:v>https://www.fishbase.se/summary/Paralichthys_olivaceus.html</x:v>
      </x:c>
      <x:c r="D19" s="1"/>
      <x:c r="E19" s="1"/>
      <x:c r="F19" s="1"/>
      <x:c r="G19" s="1"/>
      <x:c r="H19" s="1"/>
      <x:c r="I19" s="1"/>
      <x:c r="J19" s="1"/>
      <x:c r="K19" s="1"/>
    </x:row>
    <x:row r="20" ht="66" customHeight="1">
      <x:c r="A20" s="7" t="str">
        <x:v>Larimichthys maximum length</x:v>
      </x:c>
      <x:c r="B20" s="7" t="str">
        <x:v>FishBase species 416, 40 cm maximum SL, already greater than the 30 cm boundary without conversion; excludes the small-croaker pool. Verified 29 September 2026.</x:v>
      </x:c>
      <x:c r="C20" s="17" t="str">
        <x:v>https://www.fishbase.se/summary/416</x:v>
      </x:c>
      <x:c r="D20" s="1"/>
      <x:c r="E20" s="1"/>
      <x:c r="F20" s="1"/>
      <x:c r="G20" s="1"/>
      <x:c r="H20" s="1"/>
      <x:c r="I20" s="1"/>
      <x:c r="J20" s="1"/>
      <x:c r="K20" s="1"/>
    </x:row>
    <x:row r="21" ht="66" customHeight="1">
      <x:c r="A21" s="7" t="str">
        <x:v>Mapping uncertainty details</x:v>
      </x:c>
      <x:c r="B21" s="7" t="str">
        <x:v>Candidate choices, exact weights, confidence and scientific limitations.</x:v>
      </x:c>
      <x:c r="C21" s="17" t="str">
        <x:v>../../regions/LME_036/validation_reports/36_1_South_China_Sea_SCS-2007_Northern_South_China_Sea_(2000s)/adopted_revision_20260930/taxon_audit_adopted.json</x:v>
      </x:c>
      <x:c r="D21" s="1"/>
      <x:c r="E21" s="1"/>
      <x:c r="F21" s="1"/>
      <x:c r="G21" s="1"/>
      <x:c r="H21" s="1"/>
      <x:c r="I21" s="1"/>
      <x:c r="J21" s="1"/>
      <x:c r="K21" s="1"/>
    </x:row>
    <x:row r="22">
      <x:c r="A22" s="1"/>
      <x:c r="B22" s="1"/>
      <x:c r="C22" s="1"/>
      <x:c r="D22" s="1"/>
      <x:c r="E22" s="1"/>
      <x:c r="F22" s="1"/>
      <x:c r="G22" s="1"/>
      <x:c r="H22" s="1"/>
      <x:c r="I22" s="1"/>
      <x:c r="J22" s="1"/>
      <x:c r="K22" s="1"/>
    </x:row>
    <x:row r="23">
      <x:c r="A23" s="1"/>
      <x:c r="B23" s="1"/>
      <x:c r="C23" s="1"/>
      <x:c r="D23" s="1"/>
      <x:c r="E23" s="1"/>
      <x:c r="F23" s="1"/>
      <x:c r="G23" s="1"/>
      <x:c r="H23" s="1"/>
      <x:c r="I23" s="1"/>
      <x:c r="J23" s="1"/>
      <x:c r="K23" s="1"/>
    </x:row>
    <x:row r="24" ht="30" customHeight="1">
      <x:c r="A24" s="4" t="str">
        <x:v>Model group inputs</x:v>
      </x:c>
      <x:c r="B24" s="4"/>
      <x:c r="C24" s="4"/>
      <x:c r="D24" s="1"/>
      <x:c r="E24" s="1"/>
      <x:c r="F24" s="1"/>
      <x:c r="G24" s="1"/>
      <x:c r="H24" s="1"/>
      <x:c r="I24" s="1"/>
      <x:c r="J24" s="1"/>
      <x:c r="K24" s="1"/>
    </x:row>
    <x:row r="25" ht="34" customHeight="1">
      <x:c r="A25" s="6" t="str">
        <x:v>Saved selected model group fields; 38 source groups. Synthetic diet_import is excluded from eligible ecological groups. Values are not target catch observations.</x:v>
      </x:c>
      <x:c r="B25" s="6"/>
      <x:c r="C25" s="6"/>
      <x:c r="D25" s="1"/>
      <x:c r="E25" s="1"/>
      <x:c r="F25" s="1"/>
      <x:c r="G25" s="1"/>
      <x:c r="H25" s="1"/>
      <x:c r="I25" s="1"/>
      <x:c r="J25" s="1"/>
      <x:c r="K25" s="1"/>
    </x:row>
    <x:row r="26">
      <x:c r="A26" s="1"/>
      <x:c r="B26" s="1"/>
      <x:c r="C26" s="1"/>
      <x:c r="D26" s="1"/>
      <x:c r="E26" s="1"/>
      <x:c r="F26" s="1"/>
      <x:c r="G26" s="1"/>
      <x:c r="H26" s="1"/>
      <x:c r="I26" s="1"/>
      <x:c r="J26" s="1"/>
      <x:c r="K26" s="1"/>
    </x:row>
    <x:row r="27" ht="34" customHeight="1">
      <x:c r="A27" s="10" t="str">
        <x:v>Model group</x:v>
      </x:c>
      <x:c r="B27" s="10" t="str">
        <x:v>Recorded values</x:v>
      </x:c>
      <x:c r="C27" s="10" t="str">
        <x:v>Source definition</x:v>
      </x:c>
      <x:c r="D27" s="1"/>
      <x:c r="E27" s="1"/>
      <x:c r="F27" s="1"/>
      <x:c r="G27" s="1"/>
      <x:c r="H27" s="1"/>
      <x:c r="I27" s="1"/>
      <x:c r="J27" s="1"/>
      <x:c r="K27" s="1"/>
    </x:row>
    <x:row r="28" ht="66" customHeight="1">
      <x:c r="A28" s="7" t="str">
        <x:v>1 Phytoplankton</x:v>
      </x:c>
      <x:c r="B28" s="7" t="str">
        <x:v>catch = 0; biomass = 323</x:v>
      </x:c>
      <x:c r="C28" s="7" t="str">
        <x:v>Phytoplankton dominated by diatoms, followed by dinoflagellates.</x:v>
      </x:c>
      <x:c r="D28" s="1"/>
      <x:c r="E28" s="1"/>
      <x:c r="F28" s="1"/>
      <x:c r="G28" s="1"/>
      <x:c r="H28" s="1"/>
      <x:c r="I28" s="1"/>
      <x:c r="J28" s="1"/>
      <x:c r="K28" s="1"/>
    </x:row>
    <x:row r="29" ht="66" customHeight="1">
      <x:c r="A29" s="7" t="str">
        <x:v>2 Benthic producer</x:v>
      </x:c>
      <x:c r="B29" s="7" t="str">
        <x:v>catch = 0.0056; biomass = 153</x:v>
      </x:c>
      <x:c r="C29" s="7" t="str">
        <x:v>Benthic algae.</x:v>
      </x:c>
      <x:c r="D29" s="1"/>
      <x:c r="E29" s="1"/>
      <x:c r="F29" s="1"/>
      <x:c r="G29" s="1"/>
      <x:c r="H29" s="1"/>
      <x:c r="I29" s="1"/>
      <x:c r="J29" s="1"/>
      <x:c r="K29" s="1"/>
    </x:row>
    <x:row r="30" ht="66" customHeight="1">
      <x:c r="A30" s="7" t="str">
        <x:v>3 Zooplankton</x:v>
      </x:c>
      <x:c r="B30" s="7" t="str">
        <x:v>catch = 0.0948; biomass = 9</x:v>
      </x:c>
      <x:c r="C30" s="7" t="str">
        <x:v>Acetes spp.; definition: Zooplankton; explicitly includes the landed Mo shrimp Acetes spp.</x:v>
      </x:c>
      <x:c r="D30" s="1"/>
      <x:c r="E30" s="1"/>
      <x:c r="F30" s="1"/>
      <x:c r="G30" s="1"/>
      <x:c r="H30" s="1"/>
      <x:c r="I30" s="1"/>
      <x:c r="J30" s="1"/>
      <x:c r="K30" s="1"/>
    </x:row>
    <x:row r="31" ht="66" customHeight="1">
      <x:c r="A31" s="7" t="str">
        <x:v>4 Jellyfish</x:v>
      </x:c>
      <x:c r="B31" s="7" t="str">
        <x:v>catch = 0.044; biomass = 1.53</x:v>
      </x:c>
      <x:c r="C31" s="7" t="str">
        <x:v>Medusae of Cnidaria.</x:v>
      </x:c>
      <x:c r="D31" s="1"/>
      <x:c r="E31" s="1"/>
      <x:c r="F31" s="1"/>
      <x:c r="G31" s="1"/>
      <x:c r="H31" s="1"/>
      <x:c r="I31" s="1"/>
      <x:c r="J31" s="1"/>
      <x:c r="K31" s="1"/>
    </x:row>
    <x:row r="32" ht="66" customHeight="1">
      <x:c r="A32" s="7" t="str">
        <x:v>5 Polychaetes</x:v>
      </x:c>
      <x:c r="B32" s="7" t="str">
        <x:v>catch = 0; biomass = 2.24</x:v>
      </x:c>
      <x:c r="C32" s="7" t="str">
        <x:v>Polychaeta.</x:v>
      </x:c>
      <x:c r="D32" s="1"/>
      <x:c r="E32" s="1"/>
      <x:c r="F32" s="1"/>
      <x:c r="G32" s="1"/>
      <x:c r="H32" s="1"/>
      <x:c r="I32" s="1"/>
      <x:c r="J32" s="1"/>
      <x:c r="K32" s="1"/>
    </x:row>
    <x:row r="33" ht="66" customHeight="1">
      <x:c r="A33" s="7" t="str">
        <x:v>6 Echinoderms</x:v>
      </x:c>
      <x:c r="B33" s="7" t="str">
        <x:v>catch = 0.0021; biomass = 1.98</x:v>
      </x:c>
      <x:c r="C33" s="7" t="str">
        <x:v>Echinodermata.</x:v>
      </x:c>
      <x:c r="D33" s="1"/>
      <x:c r="E33" s="1"/>
      <x:c r="F33" s="1"/>
      <x:c r="G33" s="1"/>
      <x:c r="H33" s="1"/>
      <x:c r="I33" s="1"/>
      <x:c r="J33" s="1"/>
      <x:c r="K33" s="1"/>
    </x:row>
    <x:row r="34" ht="66" customHeight="1">
      <x:c r="A34" s="7" t="str">
        <x:v>7 Benthic crustaceans</x:v>
      </x:c>
      <x:c r="B34" s="7" t="str">
        <x:v>catch = 0.0391; biomass = 1.43</x:v>
      </x:c>
      <x:c r="C34" s="7" t="str">
        <x:v>Benthic crustaceans excluding shrimps and crabs; Oratosquilla spp. supplies the P/B estimate.</x:v>
      </x:c>
      <x:c r="D34" s="1"/>
      <x:c r="E34" s="1"/>
      <x:c r="F34" s="1"/>
      <x:c r="G34" s="1"/>
      <x:c r="H34" s="1"/>
      <x:c r="I34" s="1"/>
      <x:c r="J34" s="1"/>
      <x:c r="K34" s="1"/>
    </x:row>
    <x:row r="35" ht="66" customHeight="1">
      <x:c r="A35" s="7" t="str">
        <x:v>8 Non-ceph molluscs</x:v>
      </x:c>
      <x:c r="B35" s="7" t="str">
        <x:v>catch = 0.7623; biomass = 2.68</x:v>
      </x:c>
      <x:c r="C35" s="7" t="str">
        <x:v>Non-cephalopod Mollusca.</x:v>
      </x:c>
      <x:c r="D35" s="1"/>
      <x:c r="E35" s="1"/>
      <x:c r="F35" s="1"/>
      <x:c r="G35" s="1"/>
      <x:c r="H35" s="1"/>
      <x:c r="I35" s="1"/>
      <x:c r="J35" s="1"/>
      <x:c r="K35" s="1"/>
    </x:row>
    <x:row r="36" ht="66" customHeight="1">
      <x:c r="A36" s="7" t="str">
        <x:v>9 Sessile/other invertebrates</x:v>
      </x:c>
      <x:c r="B36" s="7" t="str">
        <x:v>catch = 0.003; biomass = 2.61</x:v>
      </x:c>
      <x:c r="C36" s="7" t="str">
        <x:v>Sessile and other invertebrates, separate from polychaetes, echinoderms, crustaceans and molluscs.</x:v>
      </x:c>
      <x:c r="D36" s="1"/>
      <x:c r="E36" s="1"/>
      <x:c r="F36" s="1"/>
      <x:c r="G36" s="1"/>
      <x:c r="H36" s="1"/>
      <x:c r="I36" s="1"/>
      <x:c r="J36" s="1"/>
      <x:c r="K36" s="1"/>
    </x:row>
    <x:row r="37" ht="66" customHeight="1">
      <x:c r="A37" s="7" t="str">
        <x:v>10 Shrimps</x:v>
      </x:c>
      <x:c r="B37" s="7" t="str">
        <x:v>catch = 0.6788; biomass = 0.194</x:v>
      </x:c>
      <x:c r="C37" s="7" t="str">
        <x:v>Metapenaeopsis palmensis; M. barbata; definition: Shrimps including penaeids; Acetes is explicitly in Zooplankton.</x:v>
      </x:c>
      <x:c r="D37" s="1"/>
      <x:c r="E37" s="1"/>
      <x:c r="F37" s="1"/>
      <x:c r="G37" s="1"/>
      <x:c r="H37" s="1"/>
      <x:c r="I37" s="1"/>
      <x:c r="J37" s="1"/>
      <x:c r="K37" s="1"/>
    </x:row>
    <x:row r="38" ht="66" customHeight="1">
      <x:c r="A38" s="7" t="str">
        <x:v>11 Crabs</x:v>
      </x:c>
      <x:c r="B38" s="7" t="str">
        <x:v>catch = 0.1997; biomass = 0.368</x:v>
      </x:c>
      <x:c r="C38" s="7" t="str">
        <x:v>Crabs.</x:v>
      </x:c>
      <x:c r="D38" s="1"/>
      <x:c r="E38" s="1"/>
      <x:c r="F38" s="1"/>
      <x:c r="G38" s="1"/>
      <x:c r="H38" s="1"/>
      <x:c r="I38" s="1"/>
      <x:c r="J38" s="1"/>
      <x:c r="K38" s="1"/>
    </x:row>
    <x:row r="39" ht="66" customHeight="1">
      <x:c r="A39" s="7" t="str">
        <x:v>12 Cephalopods</x:v>
      </x:c>
      <x:c r="B39" s="7" t="str">
        <x:v>catch = 0.2733; biomass = 0.68</x:v>
      </x:c>
      <x:c r="C39" s="7" t="str">
        <x:v>Loligo edulis; L. chinensis; definition: Cephalopoda, dominated by Loligo squid.</x:v>
      </x:c>
      <x:c r="D39" s="1"/>
      <x:c r="E39" s="1"/>
      <x:c r="F39" s="1"/>
      <x:c r="G39" s="1"/>
      <x:c r="H39" s="1"/>
      <x:c r="I39" s="1"/>
      <x:c r="J39" s="1"/>
      <x:c r="K39" s="1"/>
    </x:row>
    <x:row r="40" ht="66" customHeight="1">
      <x:c r="A40" s="7" t="str">
        <x:v>13 Threadfin bream (nemipterids)</x:v>
      </x:c>
      <x:c r="B40" s="7" t="str">
        <x:v>catch = 0.657; biomass = 0.26</x:v>
      </x:c>
      <x:c r="C40" s="7" t="str">
        <x:v>Nemipterus virgatus; N. bathybius; N. japonicus; definition: Family Nemipteridae.</x:v>
      </x:c>
      <x:c r="D40" s="1"/>
      <x:c r="E40" s="1"/>
      <x:c r="F40" s="1"/>
      <x:c r="G40" s="1"/>
      <x:c r="H40" s="1"/>
      <x:c r="I40" s="1"/>
      <x:c r="J40" s="1"/>
      <x:c r="K40" s="1"/>
    </x:row>
    <x:row r="41" ht="66" customHeight="1">
      <x:c r="A41" s="7" t="str">
        <x:v>14 Bigeyes (priacanthids)</x:v>
      </x:c>
      <x:c r="B41" s="7" t="str">
        <x:v>catch = 0.206; biomass = 0.13</x:v>
      </x:c>
      <x:c r="C41" s="7" t="str">
        <x:v>Family Priacanthidae.</x:v>
      </x:c>
      <x:c r="D41" s="1"/>
      <x:c r="E41" s="1"/>
      <x:c r="F41" s="1"/>
      <x:c r="G41" s="1"/>
      <x:c r="H41" s="1"/>
      <x:c r="I41" s="1"/>
      <x:c r="J41" s="1"/>
      <x:c r="K41" s="1"/>
    </x:row>
    <x:row r="42" ht="66" customHeight="1">
      <x:c r="A42" s="7" t="str">
        <x:v>15 Lizard fish (synodontids)</x:v>
      </x:c>
      <x:c r="B42" s="7" t="str">
        <x:v>catch = 0.0234; biomass = 0.032</x:v>
      </x:c>
      <x:c r="C42" s="7" t="str">
        <x:v>Saurida tumbil; S. undosquamis; definition: Family Synodontidae.</x:v>
      </x:c>
      <x:c r="D42" s="1"/>
      <x:c r="E42" s="1"/>
      <x:c r="F42" s="1"/>
      <x:c r="G42" s="1"/>
      <x:c r="H42" s="1"/>
      <x:c r="I42" s="1"/>
      <x:c r="J42" s="1"/>
      <x:c r="K42" s="1"/>
    </x:row>
    <x:row r="43" ht="66" customHeight="1">
      <x:c r="A43" s="7" t="str">
        <x:v>16 Juvenile Hairtail (trichiurids)</x:v>
      </x:c>
      <x:c r="B43" s="7" t="str">
        <x:v>catch = 0.028; biomass = 0.015</x:v>
      </x:c>
      <x:c r="C43" s="7" t="str">
        <x:v>Trichiurus lepturus; definition: Family Trichiuridae, juvenile stanza younger than 18 months.</x:v>
      </x:c>
      <x:c r="D43" s="1"/>
      <x:c r="E43" s="1"/>
      <x:c r="F43" s="1"/>
      <x:c r="G43" s="1"/>
      <x:c r="H43" s="1"/>
      <x:c r="I43" s="1"/>
      <x:c r="J43" s="1"/>
      <x:c r="K43" s="1"/>
    </x:row>
    <x:row r="44" ht="66" customHeight="1">
      <x:c r="A44" s="7" t="str">
        <x:v>17 Adult hairtail (trichiurids)</x:v>
      </x:c>
      <x:c r="B44" s="7" t="str">
        <x:v>catch = 0.0072; biomass = 0.012</x:v>
      </x:c>
      <x:c r="C44" s="7" t="str">
        <x:v>Trichiurus lepturus; definition: Family Trichiuridae, adult stanza from 18 months.</x:v>
      </x:c>
      <x:c r="D44" s="1"/>
      <x:c r="E44" s="1"/>
      <x:c r="F44" s="1"/>
      <x:c r="G44" s="1"/>
      <x:c r="H44" s="1"/>
      <x:c r="I44" s="1"/>
      <x:c r="J44" s="1"/>
      <x:c r="K44" s="1"/>
    </x:row>
    <x:row r="45" ht="66" customHeight="1">
      <x:c r="A45" s="7" t="str">
        <x:v>18 Pomfret (stromateids)</x:v>
      </x:c>
      <x:c r="B45" s="7" t="str">
        <x:v>catch = 0.239; biomass = 0.108</x:v>
      </x:c>
      <x:c r="C45" s="7" t="str">
        <x:v>Family Stromateidae. Other pomfret-like families are excluded from the stated taxonomic definition.</x:v>
      </x:c>
      <x:c r="D45" s="1"/>
      <x:c r="E45" s="1"/>
      <x:c r="F45" s="1"/>
      <x:c r="G45" s="1"/>
      <x:c r="H45" s="1"/>
      <x:c r="I45" s="1"/>
      <x:c r="J45" s="1"/>
      <x:c r="K45" s="1"/>
    </x:row>
    <x:row r="46" ht="66" customHeight="1">
      <x:c r="A46" s="7" t="str">
        <x:v>19 Snappers</x:v>
      </x:c>
      <x:c r="B46" s="7" t="str">
        <x:v>catch = 0.0011; biomass = 0.0013</x:v>
      </x:c>
      <x:c r="C46" s="7" t="str">
        <x:v>Family Lutjanidae.</x:v>
      </x:c>
      <x:c r="D46" s="1"/>
      <x:c r="E46" s="1"/>
      <x:c r="F46" s="1"/>
      <x:c r="G46" s="1"/>
      <x:c r="H46" s="1"/>
      <x:c r="I46" s="1"/>
      <x:c r="J46" s="1"/>
      <x:c r="K46" s="1"/>
    </x:row>
    <x:row r="47" ht="66" customHeight="1">
      <x:c r="A47" s="7" t="str">
        <x:v>20 Adult groupers</x:v>
      </x:c>
      <x:c r="B47" s="7" t="str">
        <x:v>catch = 0.0089; biomass = 0.0064</x:v>
      </x:c>
      <x:c r="C47" s="7" t="str">
        <x:v>Family Serranidae; the final table calls this Adult groupers but supplies no separate juvenile grouper compartment.</x:v>
      </x:c>
      <x:c r="D47" s="1"/>
      <x:c r="E47" s="1"/>
      <x:c r="F47" s="1"/>
      <x:c r="G47" s="1"/>
      <x:c r="H47" s="1"/>
      <x:c r="I47" s="1"/>
      <x:c r="J47" s="1"/>
      <x:c r="K47" s="1"/>
    </x:row>
    <x:row r="48" ht="66" customHeight="1">
      <x:c r="A48" s="7" t="str">
        <x:v>21 Croakers (≤ 30 cm)</x:v>
      </x:c>
      <x:c r="B48" s="7" t="str">
        <x:v>catch = 0.0351; biomass = 0.07</x:v>
      </x:c>
      <x:c r="C48" s="7" t="str">
        <x:v>Agyrosomus spp.; Pennahia spp.; Pennahia (Agyrosomus) argentatus; definition: Small Sciaenidae &lt;=30 cm; Pennahia is explicitly listed despite differing SAU size classes.</x:v>
      </x:c>
      <x:c r="D48" s="1"/>
      <x:c r="E48" s="1"/>
      <x:c r="F48" s="1"/>
      <x:c r="G48" s="1"/>
      <x:c r="H48" s="1"/>
      <x:c r="I48" s="1"/>
      <x:c r="J48" s="1"/>
      <x:c r="K48" s="1"/>
    </x:row>
    <x:row r="49" ht="66" customHeight="1">
      <x:c r="A49" s="7" t="str">
        <x:v>22 Juvenile large croakers</x:v>
      </x:c>
      <x:c r="B49" s="7" t="str">
        <x:v>catch = 0.071; biomass = 0.04</x:v>
      </x:c>
      <x:c r="C49" s="7" t="str">
        <x:v>Larimichthys crocea; definition: Large Sciaenidae &gt;30 cm maximum length, immature fish younger than 24 months.</x:v>
      </x:c>
      <x:c r="D49" s="1"/>
      <x:c r="E49" s="1"/>
      <x:c r="F49" s="1"/>
      <x:c r="G49" s="1"/>
      <x:c r="H49" s="1"/>
      <x:c r="I49" s="1"/>
      <x:c r="J49" s="1"/>
      <x:c r="K49" s="1"/>
    </x:row>
    <x:row r="50" ht="66" customHeight="1">
      <x:c r="A50" s="7" t="str">
        <x:v>23 Croakers (&gt; 30 cm)</x:v>
      </x:c>
      <x:c r="B50" s="7" t="str">
        <x:v>catch = 0.008; biomass = 0.0094</x:v>
      </x:c>
      <x:c r="C50" s="7" t="str">
        <x:v>Larimichthys crocea; definition: Large Sciaenidae &gt;30 cm maximum length, adult fish from 24 months.</x:v>
      </x:c>
      <x:c r="D50" s="1"/>
      <x:c r="E50" s="1"/>
      <x:c r="F50" s="1"/>
      <x:c r="G50" s="1"/>
      <x:c r="H50" s="1"/>
      <x:c r="I50" s="1"/>
      <x:c r="J50" s="1"/>
      <x:c r="K50" s="1"/>
    </x:row>
    <x:row r="51" ht="66" customHeight="1">
      <x:c r="A51" s="7" t="str">
        <x:v>24 Demesral fish (≤ 30 cm)</x:v>
      </x:c>
      <x:c r="B51" s="7" t="str">
        <x:v>catch = 0.1788; biomass = 0.316</x:v>
      </x:c>
      <x:c r="C51" s="7" t="str">
        <x:v>Demersal fish with maximum total length &lt;=30 cm, except taxa in dedicated groups.</x:v>
      </x:c>
      <x:c r="D51" s="1"/>
      <x:c r="E51" s="1"/>
      <x:c r="F51" s="1"/>
      <x:c r="G51" s="1"/>
      <x:c r="H51" s="1"/>
      <x:c r="I51" s="1"/>
      <x:c r="J51" s="1"/>
      <x:c r="K51" s="1"/>
    </x:row>
    <x:row r="52" ht="66" customHeight="1">
      <x:c r="A52" s="7" t="str">
        <x:v>25 Juvenile demersal fish (&gt; 30 cm)</x:v>
      </x:c>
      <x:c r="B52" s="7" t="str">
        <x:v>catch = 0.3165; biomass = 0.143</x:v>
      </x:c>
      <x:c r="C52" s="7" t="str">
        <x:v>Demersal fish with maximum total length &gt;30 cm, juvenile stanza; dedicated groups excluded.</x:v>
      </x:c>
      <x:c r="D52" s="1"/>
      <x:c r="E52" s="1"/>
      <x:c r="F52" s="1"/>
      <x:c r="G52" s="1"/>
      <x:c r="H52" s="1"/>
      <x:c r="I52" s="1"/>
      <x:c r="J52" s="1"/>
      <x:c r="K52" s="1"/>
    </x:row>
    <x:row r="53" ht="66" customHeight="1">
      <x:c r="A53" s="7" t="str">
        <x:v>26 Adult demersal fish (&gt; 30 cm)</x:v>
      </x:c>
      <x:c r="B53" s="7" t="str">
        <x:v>catch = 0.0352; biomass = 0.021</x:v>
      </x:c>
      <x:c r="C53" s="7" t="str">
        <x:v>Demersal fish with maximum total length &gt;30 cm, adult stanza from 18 months; dedicated groups excluded.</x:v>
      </x:c>
      <x:c r="D53" s="1"/>
      <x:c r="E53" s="1"/>
      <x:c r="F53" s="1"/>
      <x:c r="G53" s="1"/>
      <x:c r="H53" s="1"/>
      <x:c r="I53" s="1"/>
      <x:c r="J53" s="1"/>
      <x:c r="K53" s="1"/>
    </x:row>
    <x:row r="54" ht="66" customHeight="1">
      <x:c r="A54" s="7" t="str">
        <x:v>27 Benthopelagic fish</x:v>
      </x:c>
      <x:c r="B54" s="7" t="str">
        <x:v>catch = 0.6025; biomass = 0.922</x:v>
      </x:c>
      <x:c r="C54" s="7" t="str">
        <x:v>Final table has one Benthopelagic fish group. Appendix separately describes small &lt;=30 cm and large &gt;30 cm benthopelagic fish; their relationship to the final single pool is not resolved.</x:v>
      </x:c>
      <x:c r="D54" s="1"/>
      <x:c r="E54" s="1"/>
      <x:c r="F54" s="1"/>
      <x:c r="G54" s="1"/>
      <x:c r="H54" s="1"/>
      <x:c r="I54" s="1"/>
      <x:c r="J54" s="1"/>
      <x:c r="K54" s="1"/>
    </x:row>
    <x:row r="55" ht="66" customHeight="1">
      <x:c r="A55" s="7" t="str">
        <x:v>28 Melon seed</x:v>
      </x:c>
      <x:c r="B55" s="7" t="str">
        <x:v>catch = 0.0499; biomass = 0.07</x:v>
      </x:c>
      <x:c r="C55" s="7" t="str">
        <x:v>Psenopsis anomala; definition: Psenopsis anomala.</x:v>
      </x:c>
      <x:c r="D55" s="1"/>
      <x:c r="E55" s="1"/>
      <x:c r="F55" s="1"/>
      <x:c r="G55" s="1"/>
      <x:c r="H55" s="1"/>
      <x:c r="I55" s="1"/>
      <x:c r="J55" s="1"/>
      <x:c r="K55" s="1"/>
    </x:row>
    <x:row r="56" ht="66" customHeight="1">
      <x:c r="A56" s="7" t="str">
        <x:v>29 Pelagic fish (≤ 30 cm)</x:v>
      </x:c>
      <x:c r="B56" s="7" t="str">
        <x:v>catch = 2.345; biomass = 1.772</x:v>
      </x:c>
      <x:c r="C56" s="7" t="str">
        <x:v>Pelagic fish with maximum total length &lt;=30 cm, including sardines, thryssa and anchovies.</x:v>
      </x:c>
      <x:c r="D56" s="1"/>
      <x:c r="E56" s="1"/>
      <x:c r="F56" s="1"/>
      <x:c r="G56" s="1"/>
      <x:c r="H56" s="1"/>
      <x:c r="I56" s="1"/>
      <x:c r="J56" s="1"/>
      <x:c r="K56" s="1"/>
    </x:row>
    <x:row r="57" ht="66" customHeight="1">
      <x:c r="A57" s="7" t="str">
        <x:v>30 Juvenile large pelagic fish</x:v>
      </x:c>
      <x:c r="B57" s="7" t="str">
        <x:v>catch = 0.7384; biomass = 0.289</x:v>
      </x:c>
      <x:c r="C57" s="7" t="str">
        <x:v>Pelagic fish with maximum total length &gt;30 cm, juvenile stanza; source paragraph mistakenly says demersal, but heading, examples and stanza names establish pelagic.</x:v>
      </x:c>
      <x:c r="D57" s="1"/>
      <x:c r="E57" s="1"/>
      <x:c r="F57" s="1"/>
      <x:c r="G57" s="1"/>
      <x:c r="H57" s="1"/>
      <x:c r="I57" s="1"/>
      <x:c r="J57" s="1"/>
      <x:c r="K57" s="1"/>
    </x:row>
    <x:row r="58" ht="66" customHeight="1">
      <x:c r="A58" s="7" t="str">
        <x:v>31 Pelagic fish (&gt; 30 cm)</x:v>
      </x:c>
      <x:c r="B58" s="7" t="str">
        <x:v>catch = 0.0821; biomass = 0.079</x:v>
      </x:c>
      <x:c r="C58" s="7" t="str">
        <x:v>Pelagic fish with maximum total length &gt;30 cm, adult stanza from 18 months; includes scombrids.</x:v>
      </x:c>
      <x:c r="D58" s="1"/>
      <x:c r="E58" s="1"/>
      <x:c r="F58" s="1"/>
      <x:c r="G58" s="1"/>
      <x:c r="H58" s="1"/>
      <x:c r="I58" s="1"/>
      <x:c r="J58" s="1"/>
      <x:c r="K58" s="1"/>
    </x:row>
    <x:row r="59" ht="66" customHeight="1">
      <x:c r="A59" s="7" t="str">
        <x:v>32 Demersal sharks and rays</x:v>
      </x:c>
      <x:c r="B59" s="7" t="str">
        <x:v>catch = 0.001; biomass = 0.001</x:v>
      </x:c>
      <x:c r="C59" s="7" t="str">
        <x:v>Demersal elasmobranchs. No species list documented.</x:v>
      </x:c>
      <x:c r="D59" s="1"/>
      <x:c r="E59" s="1"/>
      <x:c r="F59" s="1"/>
      <x:c r="G59" s="1"/>
      <x:c r="H59" s="1"/>
      <x:c r="I59" s="1"/>
      <x:c r="J59" s="1"/>
      <x:c r="K59" s="1"/>
    </x:row>
    <x:row r="60" ht="66" customHeight="1">
      <x:c r="A60" s="7" t="str">
        <x:v>33 Pelagic sharks and rays</x:v>
      </x:c>
      <x:c r="B60" s="7" t="str">
        <x:v>catch = 0.0007; biomass = 0.0011</x:v>
      </x:c>
      <x:c r="C60" s="7" t="str">
        <x:v>Pelagic elasmobranchs. No species list documented.</x:v>
      </x:c>
      <x:c r="D60" s="1"/>
      <x:c r="E60" s="1"/>
      <x:c r="F60" s="1"/>
      <x:c r="G60" s="1"/>
      <x:c r="H60" s="1"/>
      <x:c r="I60" s="1"/>
      <x:c r="J60" s="1"/>
      <x:c r="K60" s="1"/>
    </x:row>
    <x:row r="61" ht="66" customHeight="1">
      <x:c r="A61" s="7" t="str">
        <x:v>34 Seabirds</x:v>
      </x:c>
      <x:c r="B61" s="7" t="str">
        <x:v>catch = 0; biomass = 0.0022</x:v>
      </x:c>
      <x:c r="C61" s="7" t="str">
        <x:v>Seabirds; no species list documented.</x:v>
      </x:c>
      <x:c r="D61" s="1"/>
      <x:c r="E61" s="1"/>
      <x:c r="F61" s="1"/>
      <x:c r="G61" s="1"/>
      <x:c r="H61" s="1"/>
      <x:c r="I61" s="1"/>
      <x:c r="J61" s="1"/>
      <x:c r="K61" s="1"/>
    </x:row>
    <x:row r="62" ht="66" customHeight="1">
      <x:c r="A62" s="7" t="str">
        <x:v>35 Pinnipeds</x:v>
      </x:c>
      <x:c r="B62" s="7" t="str">
        <x:v>catch = 0; biomass = 0.0046</x:v>
      </x:c>
      <x:c r="C62" s="7" t="str">
        <x:v>Pinnipeds; no species list documented.</x:v>
      </x:c>
      <x:c r="D62" s="1"/>
      <x:c r="E62" s="1"/>
      <x:c r="F62" s="1"/>
      <x:c r="G62" s="1"/>
      <x:c r="H62" s="1"/>
      <x:c r="I62" s="1"/>
      <x:c r="J62" s="1"/>
      <x:c r="K62" s="1"/>
    </x:row>
    <x:row r="63" ht="66" customHeight="1">
      <x:c r="A63" s="7" t="str">
        <x:v>36 Other mammals</x:v>
      </x:c>
      <x:c r="B63" s="7" t="str">
        <x:v>catch = 0; biomass = 0.0158</x:v>
      </x:c>
      <x:c r="C63" s="7" t="str">
        <x:v>Other marine mammals; no species list documented.</x:v>
      </x:c>
      <x:c r="D63" s="1"/>
      <x:c r="E63" s="1"/>
      <x:c r="F63" s="1"/>
      <x:c r="G63" s="1"/>
      <x:c r="H63" s="1"/>
      <x:c r="I63" s="1"/>
      <x:c r="J63" s="1"/>
      <x:c r="K63" s="1"/>
    </x:row>
    <x:row r="64" ht="66" customHeight="1">
      <x:c r="A64" s="7" t="str">
        <x:v>37 Marine turtles</x:v>
      </x:c>
      <x:c r="B64" s="7" t="str">
        <x:v>catch = 0; biomass = 0.0002</x:v>
      </x:c>
      <x:c r="C64" s="7" t="str">
        <x:v>Marine turtles; no species list documented.</x:v>
      </x:c>
      <x:c r="D64" s="1"/>
      <x:c r="E64" s="1"/>
      <x:c r="F64" s="1"/>
      <x:c r="G64" s="1"/>
      <x:c r="H64" s="1"/>
      <x:c r="I64" s="1"/>
      <x:c r="J64" s="1"/>
      <x:c r="K64" s="1"/>
    </x:row>
    <x:row r="65" ht="66" customHeight="1">
      <x:c r="A65" s="7" t="str">
        <x:v>38 Detritus</x:v>
      </x:c>
      <x:c r="B65" s="7" t="str">
        <x:v>catch = 0; biomass = 100</x:v>
      </x:c>
      <x:c r="C65" s="7" t="str">
        <x:v>Non-living detritus.</x:v>
      </x:c>
      <x:c r="D65" s="1"/>
      <x:c r="E65" s="1"/>
      <x:c r="F65" s="1"/>
      <x:c r="G65" s="1"/>
      <x:c r="H65" s="1"/>
      <x:c r="I65" s="1"/>
      <x:c r="J65" s="1"/>
      <x:c r="K65" s="1"/>
    </x:row>
    <x:row r="66">
      <x:c r="A66" s="1"/>
      <x:c r="B66" s="1"/>
      <x:c r="C66" s="1"/>
      <x:c r="D66" s="1"/>
      <x:c r="E66" s="1"/>
      <x:c r="F66" s="1"/>
      <x:c r="G66" s="1"/>
      <x:c r="H66" s="1"/>
      <x:c r="I66" s="1"/>
      <x:c r="J66" s="1"/>
      <x:c r="K66" s="1"/>
    </x:row>
    <x:row r="67">
      <x:c r="A67" s="1"/>
      <x:c r="B67" s="1"/>
      <x:c r="C67" s="1"/>
      <x:c r="D67" s="1"/>
      <x:c r="E67" s="1"/>
      <x:c r="F67" s="1"/>
      <x:c r="G67" s="1"/>
      <x:c r="H67" s="1"/>
      <x:c r="I67" s="1"/>
      <x:c r="J67" s="1"/>
      <x:c r="K67" s="1"/>
    </x:row>
    <x:row r="68">
      <x:c r="A68" s="1"/>
      <x:c r="B68" s="1"/>
      <x:c r="C68" s="1"/>
      <x:c r="D68" s="1"/>
      <x:c r="E68" s="1"/>
      <x:c r="F68" s="1"/>
      <x:c r="G68" s="1"/>
      <x:c r="H68" s="1"/>
      <x:c r="I68" s="1"/>
      <x:c r="J68" s="1"/>
      <x:c r="K68" s="1"/>
    </x:row>
    <x:row r="69">
      <x:c r="A69" s="1"/>
      <x:c r="B69" s="1"/>
      <x:c r="C69" s="1"/>
      <x:c r="D69" s="1"/>
      <x:c r="E69" s="1"/>
      <x:c r="F69" s="1"/>
      <x:c r="G69" s="1"/>
      <x:c r="H69" s="1"/>
      <x:c r="I69" s="1"/>
      <x:c r="J69" s="1"/>
      <x:c r="K69" s="1"/>
    </x:row>
    <x:row r="70">
      <x:c r="A70" s="1"/>
      <x:c r="B70" s="1"/>
      <x:c r="C70" s="1"/>
      <x:c r="D70" s="1"/>
      <x:c r="E70" s="1"/>
      <x:c r="F70" s="1"/>
      <x:c r="G70" s="1"/>
      <x:c r="H70" s="1"/>
      <x:c r="I70" s="1"/>
      <x:c r="J70" s="1"/>
      <x:c r="K70" s="1"/>
    </x:row>
    <x:row r="71">
      <x:c r="A71" s="1"/>
      <x:c r="B71" s="1"/>
      <x:c r="C71" s="1"/>
      <x:c r="D71" s="1"/>
      <x:c r="E71" s="1"/>
      <x:c r="F71" s="1"/>
      <x:c r="G71" s="1"/>
      <x:c r="H71" s="1"/>
      <x:c r="I71" s="1"/>
      <x:c r="J71" s="1"/>
      <x:c r="K71" s="1"/>
    </x:row>
    <x:row r="72">
      <x:c r="A72" s="1"/>
      <x:c r="B72" s="1"/>
      <x:c r="C72" s="1"/>
      <x:c r="D72" s="1"/>
      <x:c r="E72" s="1"/>
      <x:c r="F72" s="1"/>
      <x:c r="G72" s="1"/>
      <x:c r="H72" s="1"/>
      <x:c r="I72" s="1"/>
      <x:c r="J72" s="1"/>
      <x:c r="K72" s="1"/>
    </x:row>
    <x:row r="73">
      <x:c r="A73" s="1"/>
      <x:c r="B73" s="1"/>
      <x:c r="C73" s="1"/>
      <x:c r="D73" s="1"/>
      <x:c r="E73" s="1"/>
      <x:c r="F73" s="1"/>
      <x:c r="G73" s="1"/>
      <x:c r="H73" s="1"/>
      <x:c r="I73" s="1"/>
      <x:c r="J73" s="1"/>
      <x:c r="K73" s="1"/>
    </x:row>
    <x:row r="74">
      <x:c r="A74" s="1"/>
      <x:c r="B74" s="1"/>
      <x:c r="C74" s="1"/>
      <x:c r="D74" s="1"/>
      <x:c r="E74" s="1"/>
      <x:c r="F74" s="1"/>
      <x:c r="G74" s="1"/>
      <x:c r="H74" s="1"/>
      <x:c r="I74" s="1"/>
      <x:c r="J74" s="1"/>
      <x:c r="K74" s="1"/>
    </x:row>
    <x:row r="75">
      <x:c r="A75" s="1"/>
      <x:c r="B75" s="1"/>
      <x:c r="C75" s="1"/>
      <x:c r="D75" s="1"/>
      <x:c r="E75" s="1"/>
      <x:c r="F75" s="1"/>
      <x:c r="G75" s="1"/>
      <x:c r="H75" s="1"/>
      <x:c r="I75" s="1"/>
      <x:c r="J75" s="1"/>
      <x:c r="K75" s="1"/>
    </x:row>
    <x:row r="76">
      <x:c r="A76" s="1"/>
      <x:c r="B76" s="1"/>
      <x:c r="C76" s="1"/>
      <x:c r="D76" s="1"/>
      <x:c r="E76" s="1"/>
      <x:c r="F76" s="1"/>
      <x:c r="G76" s="1"/>
      <x:c r="H76" s="1"/>
      <x:c r="I76" s="1"/>
      <x:c r="J76" s="1"/>
      <x:c r="K76" s="1"/>
    </x:row>
    <x:row r="77">
      <x:c r="A77" s="1"/>
      <x:c r="B77" s="1"/>
      <x:c r="C77" s="1"/>
      <x:c r="D77" s="1"/>
      <x:c r="E77" s="1"/>
      <x:c r="F77" s="1"/>
      <x:c r="G77" s="1"/>
      <x:c r="H77" s="1"/>
      <x:c r="I77" s="1"/>
      <x:c r="J77" s="1"/>
      <x:c r="K77" s="1"/>
    </x:row>
    <x:row r="78">
      <x:c r="A78" s="1"/>
      <x:c r="B78" s="1"/>
      <x:c r="C78" s="1"/>
      <x:c r="D78" s="1"/>
      <x:c r="E78" s="1"/>
      <x:c r="F78" s="1"/>
      <x:c r="G78" s="1"/>
      <x:c r="H78" s="1"/>
      <x:c r="I78" s="1"/>
      <x:c r="J78" s="1"/>
      <x:c r="K78" s="1"/>
    </x:row>
    <x:row r="79">
      <x:c r="A79" s="1"/>
      <x:c r="B79" s="1"/>
      <x:c r="C79" s="1"/>
      <x:c r="D79" s="1"/>
      <x:c r="E79" s="1"/>
      <x:c r="F79" s="1"/>
      <x:c r="G79" s="1"/>
      <x:c r="H79" s="1"/>
      <x:c r="I79" s="1"/>
      <x:c r="J79" s="1"/>
      <x:c r="K79" s="1"/>
    </x:row>
    <x:row r="80">
      <x:c r="A80" s="1"/>
      <x:c r="B80" s="1"/>
      <x:c r="C80" s="1"/>
      <x:c r="D80" s="1"/>
      <x:c r="E80" s="1"/>
      <x:c r="F80" s="1"/>
      <x:c r="G80" s="1"/>
      <x:c r="H80" s="1"/>
      <x:c r="I80" s="1"/>
      <x:c r="J80" s="1"/>
      <x:c r="K80" s="1"/>
    </x:row>
    <x:row r="81">
      <x:c r="A81" s="1"/>
      <x:c r="B81" s="1"/>
      <x:c r="C81" s="1"/>
      <x:c r="D81" s="1"/>
      <x:c r="E81" s="1"/>
      <x:c r="F81" s="1"/>
      <x:c r="G81" s="1"/>
      <x:c r="H81" s="1"/>
      <x:c r="I81" s="1"/>
      <x:c r="J81" s="1"/>
      <x:c r="K81" s="1"/>
    </x:row>
    <x:row r="82">
      <x:c r="A82" s="1"/>
      <x:c r="B82" s="1"/>
      <x:c r="C82" s="1"/>
      <x:c r="D82" s="1"/>
      <x:c r="E82" s="1"/>
      <x:c r="F82" s="1"/>
      <x:c r="G82" s="1"/>
      <x:c r="H82" s="1"/>
      <x:c r="I82" s="1"/>
      <x:c r="J82" s="1"/>
      <x:c r="K82" s="1"/>
    </x:row>
    <x:row r="83">
      <x:c r="A83" s="1"/>
      <x:c r="B83" s="1"/>
      <x:c r="C83" s="1"/>
      <x:c r="D83" s="1"/>
      <x:c r="E83" s="1"/>
      <x:c r="F83" s="1"/>
      <x:c r="G83" s="1"/>
      <x:c r="H83" s="1"/>
      <x:c r="I83" s="1"/>
      <x:c r="J83" s="1"/>
      <x:c r="K83" s="1"/>
    </x:row>
    <x:row r="84">
      <x:c r="A84" s="1"/>
      <x:c r="B84" s="1"/>
      <x:c r="C84" s="1"/>
      <x:c r="D84" s="1"/>
      <x:c r="E84" s="1"/>
      <x:c r="F84" s="1"/>
      <x:c r="G84" s="1"/>
      <x:c r="H84" s="1"/>
      <x:c r="I84" s="1"/>
      <x:c r="J84" s="1"/>
      <x:c r="K84" s="1"/>
    </x:row>
    <x:row r="85">
      <x:c r="A85" s="1"/>
      <x:c r="B85" s="1"/>
      <x:c r="C85" s="1"/>
      <x:c r="D85" s="1"/>
      <x:c r="E85" s="1"/>
      <x:c r="F85" s="1"/>
      <x:c r="G85" s="1"/>
      <x:c r="H85" s="1"/>
      <x:c r="I85" s="1"/>
      <x:c r="J85" s="1"/>
      <x:c r="K85" s="1"/>
    </x:row>
    <x:row r="86">
      <x:c r="A86" s="1"/>
      <x:c r="B86" s="1"/>
      <x:c r="C86" s="1"/>
      <x:c r="D86" s="1"/>
      <x:c r="E86" s="1"/>
      <x:c r="F86" s="1"/>
      <x:c r="G86" s="1"/>
      <x:c r="H86" s="1"/>
      <x:c r="I86" s="1"/>
      <x:c r="J86" s="1"/>
      <x:c r="K86" s="1"/>
    </x:row>
    <x:row r="87">
      <x:c r="A87" s="1"/>
      <x:c r="B87" s="1"/>
      <x:c r="C87" s="1"/>
      <x:c r="D87" s="1"/>
      <x:c r="E87" s="1"/>
      <x:c r="F87" s="1"/>
      <x:c r="G87" s="1"/>
      <x:c r="H87" s="1"/>
      <x:c r="I87" s="1"/>
      <x:c r="J87" s="1"/>
      <x:c r="K87" s="1"/>
    </x:row>
    <x:row r="88">
      <x:c r="A88" s="1"/>
      <x:c r="B88" s="1"/>
      <x:c r="C88" s="1"/>
      <x:c r="D88" s="1"/>
      <x:c r="E88" s="1"/>
      <x:c r="F88" s="1"/>
      <x:c r="G88" s="1"/>
      <x:c r="H88" s="1"/>
      <x:c r="I88" s="1"/>
      <x:c r="J88" s="1"/>
      <x:c r="K88" s="1"/>
    </x:row>
    <x:row r="89">
      <x:c r="A89" s="1"/>
      <x:c r="B89" s="1"/>
      <x:c r="C89" s="1"/>
      <x:c r="D89" s="1"/>
      <x:c r="E89" s="1"/>
      <x:c r="F89" s="1"/>
      <x:c r="G89" s="1"/>
      <x:c r="H89" s="1"/>
      <x:c r="I89" s="1"/>
      <x:c r="J89" s="1"/>
      <x:c r="K89" s="1"/>
    </x:row>
    <x:row r="90">
      <x:c r="A90" s="1"/>
      <x:c r="B90" s="1"/>
      <x:c r="C90" s="1"/>
      <x:c r="D90" s="1"/>
      <x:c r="E90" s="1"/>
      <x:c r="F90" s="1"/>
      <x:c r="G90" s="1"/>
      <x:c r="H90" s="1"/>
      <x:c r="I90" s="1"/>
      <x:c r="J90" s="1"/>
      <x:c r="K90" s="1"/>
    </x:row>
    <x:row r="91">
      <x:c r="A91" s="1"/>
      <x:c r="B91" s="1"/>
      <x:c r="C91" s="1"/>
      <x:c r="D91" s="1"/>
      <x:c r="E91" s="1"/>
      <x:c r="F91" s="1"/>
      <x:c r="G91" s="1"/>
      <x:c r="H91" s="1"/>
      <x:c r="I91" s="1"/>
      <x:c r="J91" s="1"/>
      <x:c r="K91" s="1"/>
    </x:row>
    <x:row r="92">
      <x:c r="A92" s="1"/>
      <x:c r="B92" s="1"/>
      <x:c r="C92" s="1"/>
      <x:c r="D92" s="1"/>
      <x:c r="E92" s="1"/>
      <x:c r="F92" s="1"/>
      <x:c r="G92" s="1"/>
      <x:c r="H92" s="1"/>
      <x:c r="I92" s="1"/>
      <x:c r="J92" s="1"/>
      <x:c r="K92" s="1"/>
    </x:row>
    <x:row r="93">
      <x:c r="A93" s="1"/>
      <x:c r="B93" s="1"/>
      <x:c r="C93" s="1"/>
      <x:c r="D93" s="1"/>
      <x:c r="E93" s="1"/>
      <x:c r="F93" s="1"/>
      <x:c r="G93" s="1"/>
      <x:c r="H93" s="1"/>
      <x:c r="I93" s="1"/>
      <x:c r="J93" s="1"/>
      <x:c r="K93" s="1"/>
    </x:row>
    <x:row r="94">
      <x:c r="A94" s="1"/>
      <x:c r="B94" s="1"/>
      <x:c r="C94" s="1"/>
      <x:c r="D94" s="1"/>
      <x:c r="E94" s="1"/>
      <x:c r="F94" s="1"/>
      <x:c r="G94" s="1"/>
      <x:c r="H94" s="1"/>
      <x:c r="I94" s="1"/>
      <x:c r="J94" s="1"/>
      <x:c r="K94" s="1"/>
    </x:row>
    <x:row r="95">
      <x:c r="A95" s="1"/>
      <x:c r="B95" s="1"/>
      <x:c r="C95" s="1"/>
      <x:c r="D95" s="1"/>
      <x:c r="E95" s="1"/>
      <x:c r="F95" s="1"/>
      <x:c r="G95" s="1"/>
      <x:c r="H95" s="1"/>
      <x:c r="I95" s="1"/>
      <x:c r="J95" s="1"/>
      <x:c r="K95" s="1"/>
    </x:row>
    <x:row r="96">
      <x:c r="A96" s="1"/>
      <x:c r="B96" s="1"/>
      <x:c r="C96" s="1"/>
      <x:c r="D96" s="1"/>
      <x:c r="E96" s="1"/>
      <x:c r="F96" s="1"/>
      <x:c r="G96" s="1"/>
      <x:c r="H96" s="1"/>
      <x:c r="I96" s="1"/>
      <x:c r="J96" s="1"/>
      <x:c r="K96" s="1"/>
    </x:row>
    <x:row r="97">
      <x:c r="A97" s="1"/>
      <x:c r="B97" s="1"/>
      <x:c r="C97" s="1"/>
      <x:c r="D97" s="1"/>
      <x:c r="E97" s="1"/>
      <x:c r="F97" s="1"/>
      <x:c r="G97" s="1"/>
      <x:c r="H97" s="1"/>
      <x:c r="I97" s="1"/>
      <x:c r="J97" s="1"/>
      <x:c r="K97" s="1"/>
    </x:row>
    <x:row r="98">
      <x:c r="A98" s="1"/>
      <x:c r="B98" s="1"/>
      <x:c r="C98" s="1"/>
      <x:c r="D98" s="1"/>
      <x:c r="E98" s="1"/>
      <x:c r="F98" s="1"/>
      <x:c r="G98" s="1"/>
      <x:c r="H98" s="1"/>
      <x:c r="I98" s="1"/>
      <x:c r="J98" s="1"/>
      <x:c r="K98" s="1"/>
    </x:row>
    <x:row r="99">
      <x:c r="A99" s="1"/>
      <x:c r="B99" s="1"/>
      <x:c r="C99" s="1"/>
      <x:c r="D99" s="1"/>
      <x:c r="E99" s="1"/>
      <x:c r="F99" s="1"/>
      <x:c r="G99" s="1"/>
      <x:c r="H99" s="1"/>
      <x:c r="I99" s="1"/>
      <x:c r="J99" s="1"/>
      <x:c r="K99" s="1"/>
    </x:row>
    <x:row r="100">
      <x:c r="A100" s="1"/>
      <x:c r="B100" s="1"/>
      <x:c r="C100" s="1"/>
      <x:c r="D100" s="1"/>
      <x:c r="E100" s="1"/>
      <x:c r="F100" s="1"/>
      <x:c r="G100" s="1"/>
      <x:c r="H100" s="1"/>
      <x:c r="I100" s="1"/>
      <x:c r="J100" s="1"/>
      <x:c r="K100" s="1"/>
    </x:row>
    <x:row r="101">
      <x:c r="A101" s="1"/>
      <x:c r="B101" s="1"/>
      <x:c r="C101" s="1"/>
      <x:c r="D101" s="1"/>
      <x:c r="E101" s="1"/>
      <x:c r="F101" s="1"/>
      <x:c r="G101" s="1"/>
      <x:c r="H101" s="1"/>
      <x:c r="I101" s="1"/>
      <x:c r="J101" s="1"/>
      <x:c r="K101" s="1"/>
    </x:row>
    <x:row r="102">
      <x:c r="A102" s="1"/>
      <x:c r="B102" s="1"/>
      <x:c r="C102" s="1"/>
      <x:c r="D102" s="1"/>
      <x:c r="E102" s="1"/>
      <x:c r="F102" s="1"/>
      <x:c r="G102" s="1"/>
      <x:c r="H102" s="1"/>
      <x:c r="I102" s="1"/>
      <x:c r="J102" s="1"/>
      <x:c r="K102" s="1"/>
    </x:row>
    <x:row r="103">
      <x:c r="A103" s="1"/>
      <x:c r="B103" s="1"/>
      <x:c r="C103" s="1"/>
      <x:c r="D103" s="1"/>
      <x:c r="E103" s="1"/>
      <x:c r="F103" s="1"/>
      <x:c r="G103" s="1"/>
      <x:c r="H103" s="1"/>
      <x:c r="I103" s="1"/>
      <x:c r="J103" s="1"/>
      <x:c r="K103" s="1"/>
    </x:row>
    <x:row r="104">
      <x:c r="A104" s="1"/>
      <x:c r="B104" s="1"/>
      <x:c r="C104" s="1"/>
      <x:c r="D104" s="1"/>
      <x:c r="E104" s="1"/>
      <x:c r="F104" s="1"/>
      <x:c r="G104" s="1"/>
      <x:c r="H104" s="1"/>
      <x:c r="I104" s="1"/>
      <x:c r="J104" s="1"/>
      <x:c r="K104" s="1"/>
    </x:row>
    <x:row r="105">
      <x:c r="A105" s="1"/>
      <x:c r="B105" s="1"/>
      <x:c r="C105" s="1"/>
      <x:c r="D105" s="1"/>
      <x:c r="E105" s="1"/>
      <x:c r="F105" s="1"/>
      <x:c r="G105" s="1"/>
      <x:c r="H105" s="1"/>
      <x:c r="I105" s="1"/>
      <x:c r="J105" s="1"/>
      <x:c r="K105" s="1"/>
    </x:row>
    <x:row r="106">
      <x:c r="A106" s="1"/>
      <x:c r="B106" s="1"/>
      <x:c r="C106" s="1"/>
      <x:c r="D106" s="1"/>
      <x:c r="E106" s="1"/>
      <x:c r="F106" s="1"/>
      <x:c r="G106" s="1"/>
      <x:c r="H106" s="1"/>
      <x:c r="I106" s="1"/>
      <x:c r="J106" s="1"/>
      <x:c r="K106" s="1"/>
    </x:row>
    <x:row r="107">
      <x:c r="A107" s="1"/>
      <x:c r="B107" s="1"/>
      <x:c r="C107" s="1"/>
      <x:c r="D107" s="1"/>
      <x:c r="E107" s="1"/>
      <x:c r="F107" s="1"/>
      <x:c r="G107" s="1"/>
      <x:c r="H107" s="1"/>
      <x:c r="I107" s="1"/>
      <x:c r="J107" s="1"/>
      <x:c r="K107" s="1"/>
    </x:row>
    <x:row r="108">
      <x:c r="A108" s="1"/>
      <x:c r="B108" s="1"/>
      <x:c r="C108" s="1"/>
      <x:c r="D108" s="1"/>
      <x:c r="E108" s="1"/>
      <x:c r="F108" s="1"/>
      <x:c r="G108" s="1"/>
      <x:c r="H108" s="1"/>
      <x:c r="I108" s="1"/>
      <x:c r="J108" s="1"/>
      <x:c r="K108" s="1"/>
    </x:row>
    <x:row r="109">
      <x:c r="A109" s="1"/>
      <x:c r="B109" s="1"/>
      <x:c r="C109" s="1"/>
      <x:c r="D109" s="1"/>
      <x:c r="E109" s="1"/>
      <x:c r="F109" s="1"/>
      <x:c r="G109" s="1"/>
      <x:c r="H109" s="1"/>
      <x:c r="I109" s="1"/>
      <x:c r="J109" s="1"/>
      <x:c r="K109" s="1"/>
    </x:row>
    <x:row r="110">
      <x:c r="A110" s="1"/>
      <x:c r="B110" s="1"/>
      <x:c r="C110" s="1"/>
      <x:c r="D110" s="1"/>
      <x:c r="E110" s="1"/>
      <x:c r="F110" s="1"/>
      <x:c r="G110" s="1"/>
      <x:c r="H110" s="1"/>
      <x:c r="I110" s="1"/>
      <x:c r="J110" s="1"/>
      <x:c r="K110" s="1"/>
    </x:row>
    <x:row r="111">
      <x:c r="A111" s="1"/>
      <x:c r="B111" s="1"/>
      <x:c r="C111" s="1"/>
      <x:c r="D111" s="1"/>
      <x:c r="E111" s="1"/>
      <x:c r="F111" s="1"/>
      <x:c r="G111" s="1"/>
      <x:c r="H111" s="1"/>
      <x:c r="I111" s="1"/>
      <x:c r="J111" s="1"/>
      <x:c r="K111" s="1"/>
    </x:row>
    <x:row r="112">
      <x:c r="A112" s="1"/>
      <x:c r="B112" s="1"/>
      <x:c r="C112" s="1"/>
      <x:c r="D112" s="1"/>
      <x:c r="E112" s="1"/>
      <x:c r="F112" s="1"/>
      <x:c r="G112" s="1"/>
      <x:c r="H112" s="1"/>
      <x:c r="I112" s="1"/>
      <x:c r="J112" s="1"/>
      <x:c r="K112" s="1"/>
    </x:row>
    <x:row r="113">
      <x:c r="A113" s="1"/>
      <x:c r="B113" s="1"/>
      <x:c r="C113" s="1"/>
      <x:c r="D113" s="1"/>
      <x:c r="E113" s="1"/>
      <x:c r="F113" s="1"/>
      <x:c r="G113" s="1"/>
      <x:c r="H113" s="1"/>
      <x:c r="I113" s="1"/>
      <x:c r="J113" s="1"/>
      <x:c r="K113" s="1"/>
    </x:row>
    <x:row r="114">
      <x:c r="A114" s="1"/>
      <x:c r="B114" s="1"/>
      <x:c r="C114" s="1"/>
      <x:c r="D114" s="1"/>
      <x:c r="E114" s="1"/>
      <x:c r="F114" s="1"/>
      <x:c r="G114" s="1"/>
      <x:c r="H114" s="1"/>
      <x:c r="I114" s="1"/>
      <x:c r="J114" s="1"/>
      <x:c r="K114" s="1"/>
    </x:row>
    <x:row r="115">
      <x:c r="A115" s="1"/>
      <x:c r="B115" s="1"/>
      <x:c r="C115" s="1"/>
      <x:c r="D115" s="1"/>
      <x:c r="E115" s="1"/>
      <x:c r="F115" s="1"/>
      <x:c r="G115" s="1"/>
      <x:c r="H115" s="1"/>
      <x:c r="I115" s="1"/>
      <x:c r="J115" s="1"/>
      <x:c r="K115" s="1"/>
    </x:row>
    <x:row r="116">
      <x:c r="A116" s="1"/>
      <x:c r="B116" s="1"/>
      <x:c r="C116" s="1"/>
      <x:c r="D116" s="1"/>
      <x:c r="E116" s="1"/>
      <x:c r="F116" s="1"/>
      <x:c r="G116" s="1"/>
      <x:c r="H116" s="1"/>
      <x:c r="I116" s="1"/>
      <x:c r="J116" s="1"/>
      <x:c r="K116" s="1"/>
    </x:row>
    <x:row r="117">
      <x:c r="A117" s="1"/>
      <x:c r="B117" s="1"/>
      <x:c r="C117" s="1"/>
      <x:c r="D117" s="1"/>
      <x:c r="E117" s="1"/>
      <x:c r="F117" s="1"/>
      <x:c r="G117" s="1"/>
      <x:c r="H117" s="1"/>
      <x:c r="I117" s="1"/>
      <x:c r="J117" s="1"/>
      <x:c r="K117" s="1"/>
    </x:row>
    <x:row r="118">
      <x:c r="A118" s="1"/>
      <x:c r="B118" s="1"/>
      <x:c r="C118" s="1"/>
      <x:c r="D118" s="1"/>
      <x:c r="E118" s="1"/>
      <x:c r="F118" s="1"/>
      <x:c r="G118" s="1"/>
      <x:c r="H118" s="1"/>
      <x:c r="I118" s="1"/>
      <x:c r="J118" s="1"/>
      <x:c r="K118" s="1"/>
    </x:row>
    <x:row r="119">
      <x:c r="A119" s="1"/>
      <x:c r="B119" s="1"/>
      <x:c r="C119" s="1"/>
      <x:c r="D119" s="1"/>
      <x:c r="E119" s="1"/>
      <x:c r="F119" s="1"/>
      <x:c r="G119" s="1"/>
      <x:c r="H119" s="1"/>
      <x:c r="I119" s="1"/>
      <x:c r="J119" s="1"/>
      <x:c r="K119" s="1"/>
    </x:row>
    <x:row r="120">
      <x:c r="A120" s="1"/>
      <x:c r="B120" s="1"/>
      <x:c r="C120" s="1"/>
      <x:c r="D120" s="1"/>
      <x:c r="E120" s="1"/>
      <x:c r="F120" s="1"/>
      <x:c r="G120" s="1"/>
      <x:c r="H120" s="1"/>
      <x:c r="I120" s="1"/>
      <x:c r="J120" s="1"/>
      <x:c r="K120" s="1"/>
    </x:row>
    <x:row r="121">
      <x:c r="A121" s="1"/>
      <x:c r="B121" s="1"/>
      <x:c r="C121" s="1"/>
      <x:c r="D121" s="1"/>
      <x:c r="E121" s="1"/>
      <x:c r="F121" s="1"/>
      <x:c r="G121" s="1"/>
      <x:c r="H121" s="1"/>
      <x:c r="I121" s="1"/>
      <x:c r="J121" s="1"/>
      <x:c r="K121" s="1"/>
    </x:row>
    <x:row r="122">
      <x:c r="A122" s="1"/>
      <x:c r="B122" s="1"/>
      <x:c r="C122" s="1"/>
      <x:c r="D122" s="1"/>
      <x:c r="E122" s="1"/>
      <x:c r="F122" s="1"/>
      <x:c r="G122" s="1"/>
      <x:c r="H122" s="1"/>
      <x:c r="I122" s="1"/>
      <x:c r="J122" s="1"/>
      <x:c r="K122" s="1"/>
    </x:row>
    <x:row r="123">
      <x:c r="A123" s="1"/>
      <x:c r="B123" s="1"/>
      <x:c r="C123" s="1"/>
      <x:c r="D123" s="1"/>
      <x:c r="E123" s="1"/>
      <x:c r="F123" s="1"/>
      <x:c r="G123" s="1"/>
      <x:c r="H123" s="1"/>
      <x:c r="I123" s="1"/>
      <x:c r="J123" s="1"/>
      <x:c r="K123" s="1"/>
    </x:row>
    <x:row r="124">
      <x:c r="A124" s="1"/>
      <x:c r="B124" s="1"/>
      <x:c r="C124" s="1"/>
      <x:c r="D124" s="1"/>
      <x:c r="E124" s="1"/>
      <x:c r="F124" s="1"/>
      <x:c r="G124" s="1"/>
      <x:c r="H124" s="1"/>
      <x:c r="I124" s="1"/>
      <x:c r="J124" s="1"/>
      <x:c r="K124" s="1"/>
    </x:row>
    <x:row r="125">
      <x:c r="A125" s="1"/>
      <x:c r="B125" s="1"/>
      <x:c r="C125" s="1"/>
      <x:c r="D125" s="1"/>
      <x:c r="E125" s="1"/>
      <x:c r="F125" s="1"/>
      <x:c r="G125" s="1"/>
      <x:c r="H125" s="1"/>
      <x:c r="I125" s="1"/>
      <x:c r="J125" s="1"/>
      <x:c r="K125" s="1"/>
    </x:row>
    <x:row r="126">
      <x:c r="A126" s="1"/>
      <x:c r="B126" s="1"/>
      <x:c r="C126" s="1"/>
      <x:c r="D126" s="1"/>
      <x:c r="E126" s="1"/>
      <x:c r="F126" s="1"/>
      <x:c r="G126" s="1"/>
      <x:c r="H126" s="1"/>
      <x:c r="I126" s="1"/>
      <x:c r="J126" s="1"/>
      <x:c r="K126" s="1"/>
    </x:row>
    <x:row r="127">
      <x:c r="A127" s="1"/>
      <x:c r="B127" s="1"/>
      <x:c r="C127" s="1"/>
      <x:c r="D127" s="1"/>
      <x:c r="E127" s="1"/>
      <x:c r="F127" s="1"/>
      <x:c r="G127" s="1"/>
      <x:c r="H127" s="1"/>
      <x:c r="I127" s="1"/>
      <x:c r="J127" s="1"/>
      <x:c r="K127" s="1"/>
    </x:row>
    <x:row r="128">
      <x:c r="A128" s="1"/>
      <x:c r="B128" s="1"/>
      <x:c r="C128" s="1"/>
      <x:c r="D128" s="1"/>
      <x:c r="E128" s="1"/>
      <x:c r="F128" s="1"/>
      <x:c r="G128" s="1"/>
      <x:c r="H128" s="1"/>
      <x:c r="I128" s="1"/>
      <x:c r="J128" s="1"/>
      <x:c r="K128" s="1"/>
    </x:row>
    <x:row r="129">
      <x:c r="A129" s="1"/>
      <x:c r="B129" s="1"/>
      <x:c r="C129" s="1"/>
      <x:c r="D129" s="1"/>
      <x:c r="E129" s="1"/>
      <x:c r="F129" s="1"/>
      <x:c r="G129" s="1"/>
      <x:c r="H129" s="1"/>
      <x:c r="I129" s="1"/>
      <x:c r="J129" s="1"/>
      <x:c r="K129" s="1"/>
    </x:row>
    <x:row r="130">
      <x:c r="A130" s="1"/>
      <x:c r="B130" s="1"/>
      <x:c r="C130" s="1"/>
      <x:c r="D130" s="1"/>
      <x:c r="E130" s="1"/>
      <x:c r="F130" s="1"/>
      <x:c r="G130" s="1"/>
      <x:c r="H130" s="1"/>
      <x:c r="I130" s="1"/>
      <x:c r="J130" s="1"/>
      <x:c r="K130" s="1"/>
    </x:row>
    <x:row r="131">
      <x:c r="A131" s="1"/>
      <x:c r="B131" s="1"/>
      <x:c r="C131" s="1"/>
      <x:c r="D131" s="1"/>
      <x:c r="E131" s="1"/>
      <x:c r="F131" s="1"/>
      <x:c r="G131" s="1"/>
      <x:c r="H131" s="1"/>
      <x:c r="I131" s="1"/>
      <x:c r="J131" s="1"/>
      <x:c r="K131" s="1"/>
    </x:row>
    <x:row r="132">
      <x:c r="A132" s="1"/>
      <x:c r="B132" s="1"/>
      <x:c r="C132" s="1"/>
      <x:c r="D132" s="1"/>
      <x:c r="E132" s="1"/>
      <x:c r="F132" s="1"/>
      <x:c r="G132" s="1"/>
      <x:c r="H132" s="1"/>
      <x:c r="I132" s="1"/>
      <x:c r="J132" s="1"/>
      <x:c r="K132" s="1"/>
    </x:row>
    <x:row r="133">
      <x:c r="A133" s="1"/>
      <x:c r="B133" s="1"/>
      <x:c r="C133" s="1"/>
      <x:c r="D133" s="1"/>
      <x:c r="E133" s="1"/>
      <x:c r="F133" s="1"/>
      <x:c r="G133" s="1"/>
      <x:c r="H133" s="1"/>
      <x:c r="I133" s="1"/>
      <x:c r="J133" s="1"/>
      <x:c r="K133" s="1"/>
    </x:row>
    <x:row r="134">
      <x:c r="A134" s="1"/>
      <x:c r="B134" s="1"/>
      <x:c r="C134" s="1"/>
      <x:c r="D134" s="1"/>
      <x:c r="E134" s="1"/>
      <x:c r="F134" s="1"/>
      <x:c r="G134" s="1"/>
      <x:c r="H134" s="1"/>
      <x:c r="I134" s="1"/>
      <x:c r="J134" s="1"/>
      <x:c r="K134" s="1"/>
    </x:row>
    <x:row r="135">
      <x:c r="A135" s="1"/>
      <x:c r="B135" s="1"/>
      <x:c r="C135" s="1"/>
      <x:c r="D135" s="1"/>
      <x:c r="E135" s="1"/>
      <x:c r="F135" s="1"/>
      <x:c r="G135" s="1"/>
      <x:c r="H135" s="1"/>
      <x:c r="I135" s="1"/>
      <x:c r="J135" s="1"/>
      <x:c r="K135" s="1"/>
    </x:row>
    <x:row r="136">
      <x:c r="A136" s="1"/>
      <x:c r="B136" s="1"/>
      <x:c r="C136" s="1"/>
      <x:c r="D136" s="1"/>
      <x:c r="E136" s="1"/>
      <x:c r="F136" s="1"/>
      <x:c r="G136" s="1"/>
      <x:c r="H136" s="1"/>
      <x:c r="I136" s="1"/>
      <x:c r="J136" s="1"/>
      <x:c r="K136" s="1"/>
    </x:row>
    <x:row r="137">
      <x:c r="A137" s="1"/>
      <x:c r="B137" s="1"/>
      <x:c r="C137" s="1"/>
      <x:c r="D137" s="1"/>
      <x:c r="E137" s="1"/>
      <x:c r="F137" s="1"/>
      <x:c r="G137" s="1"/>
      <x:c r="H137" s="1"/>
      <x:c r="I137" s="1"/>
      <x:c r="J137" s="1"/>
      <x:c r="K137" s="1"/>
    </x:row>
    <x:row r="138">
      <x:c r="A138" s="1"/>
      <x:c r="B138" s="1"/>
      <x:c r="C138" s="1"/>
      <x:c r="D138" s="1"/>
      <x:c r="E138" s="1"/>
      <x:c r="F138" s="1"/>
      <x:c r="G138" s="1"/>
      <x:c r="H138" s="1"/>
      <x:c r="I138" s="1"/>
      <x:c r="J138" s="1"/>
      <x:c r="K138" s="1"/>
    </x:row>
    <x:row r="139">
      <x:c r="A139" s="1"/>
      <x:c r="B139" s="1"/>
      <x:c r="C139" s="1"/>
      <x:c r="D139" s="1"/>
      <x:c r="E139" s="1"/>
      <x:c r="F139" s="1"/>
      <x:c r="G139" s="1"/>
      <x:c r="H139" s="1"/>
      <x:c r="I139" s="1"/>
      <x:c r="J139" s="1"/>
      <x:c r="K139" s="1"/>
    </x:row>
    <x:row r="140">
      <x:c r="A140" s="1"/>
      <x:c r="B140" s="1"/>
      <x:c r="C140" s="1"/>
      <x:c r="D140" s="1"/>
      <x:c r="E140" s="1"/>
      <x:c r="F140" s="1"/>
      <x:c r="G140" s="1"/>
      <x:c r="H140" s="1"/>
      <x:c r="I140" s="1"/>
      <x:c r="J140" s="1"/>
      <x:c r="K140" s="1"/>
    </x:row>
    <x:row r="141">
      <x:c r="A141" s="1"/>
      <x:c r="B141" s="1"/>
      <x:c r="C141" s="1"/>
      <x:c r="D141" s="1"/>
      <x:c r="E141" s="1"/>
      <x:c r="F141" s="1"/>
      <x:c r="G141" s="1"/>
      <x:c r="H141" s="1"/>
      <x:c r="I141" s="1"/>
      <x:c r="J141" s="1"/>
      <x:c r="K141" s="1"/>
    </x:row>
    <x:row r="142">
      <x:c r="A142" s="1"/>
      <x:c r="B142" s="1"/>
      <x:c r="C142" s="1"/>
      <x:c r="D142" s="1"/>
      <x:c r="E142" s="1"/>
      <x:c r="F142" s="1"/>
      <x:c r="G142" s="1"/>
      <x:c r="H142" s="1"/>
      <x:c r="I142" s="1"/>
      <x:c r="J142" s="1"/>
      <x:c r="K142" s="1"/>
    </x:row>
    <x:row r="143">
      <x:c r="A143" s="1"/>
      <x:c r="B143" s="1"/>
      <x:c r="C143" s="1"/>
      <x:c r="D143" s="1"/>
      <x:c r="E143" s="1"/>
      <x:c r="F143" s="1"/>
      <x:c r="G143" s="1"/>
      <x:c r="H143" s="1"/>
      <x:c r="I143" s="1"/>
      <x:c r="J143" s="1"/>
      <x:c r="K143" s="1"/>
    </x:row>
    <x:row r="144">
      <x:c r="A144" s="1"/>
      <x:c r="B144" s="1"/>
      <x:c r="C144" s="1"/>
      <x:c r="D144" s="1"/>
      <x:c r="E144" s="1"/>
      <x:c r="F144" s="1"/>
      <x:c r="G144" s="1"/>
      <x:c r="H144" s="1"/>
      <x:c r="I144" s="1"/>
      <x:c r="J144" s="1"/>
      <x:c r="K144" s="1"/>
    </x:row>
    <x:row r="145">
      <x:c r="A145" s="1"/>
      <x:c r="B145" s="1"/>
      <x:c r="C145" s="1"/>
      <x:c r="D145" s="1"/>
      <x:c r="E145" s="1"/>
      <x:c r="F145" s="1"/>
      <x:c r="G145" s="1"/>
      <x:c r="H145" s="1"/>
      <x:c r="I145" s="1"/>
      <x:c r="J145" s="1"/>
      <x:c r="K145" s="1"/>
    </x:row>
    <x:row r="146">
      <x:c r="A146" s="1"/>
      <x:c r="B146" s="1"/>
      <x:c r="C146" s="1"/>
      <x:c r="D146" s="1"/>
      <x:c r="E146" s="1"/>
      <x:c r="F146" s="1"/>
      <x:c r="G146" s="1"/>
      <x:c r="H146" s="1"/>
      <x:c r="I146" s="1"/>
      <x:c r="J146" s="1"/>
      <x:c r="K146" s="1"/>
    </x:row>
    <x:row r="147">
      <x:c r="A147" s="1"/>
      <x:c r="B147" s="1"/>
      <x:c r="C147" s="1"/>
      <x:c r="D147" s="1"/>
      <x:c r="E147" s="1"/>
      <x:c r="F147" s="1"/>
      <x:c r="G147" s="1"/>
      <x:c r="H147" s="1"/>
      <x:c r="I147" s="1"/>
      <x:c r="J147" s="1"/>
      <x:c r="K147" s="1"/>
    </x:row>
    <x:row r="148">
      <x:c r="A148" s="1"/>
      <x:c r="B148" s="1"/>
      <x:c r="C148" s="1"/>
      <x:c r="D148" s="1"/>
      <x:c r="E148" s="1"/>
      <x:c r="F148" s="1"/>
      <x:c r="G148" s="1"/>
      <x:c r="H148" s="1"/>
      <x:c r="I148" s="1"/>
      <x:c r="J148" s="1"/>
      <x:c r="K148" s="1"/>
    </x:row>
    <x:row r="149">
      <x:c r="A149" s="1"/>
      <x:c r="B149" s="1"/>
      <x:c r="C149" s="1"/>
      <x:c r="D149" s="1"/>
      <x:c r="E149" s="1"/>
      <x:c r="F149" s="1"/>
      <x:c r="G149" s="1"/>
      <x:c r="H149" s="1"/>
      <x:c r="I149" s="1"/>
      <x:c r="J149" s="1"/>
      <x:c r="K149" s="1"/>
    </x:row>
    <x:row r="150">
      <x:c r="A150" s="1"/>
      <x:c r="B150" s="1"/>
      <x:c r="C150" s="1"/>
      <x:c r="D150" s="1"/>
      <x:c r="E150" s="1"/>
      <x:c r="F150" s="1"/>
      <x:c r="G150" s="1"/>
      <x:c r="H150" s="1"/>
      <x:c r="I150" s="1"/>
      <x:c r="J150" s="1"/>
      <x:c r="K150" s="1"/>
    </x:row>
    <x:row r="151">
      <x:c r="A151" s="1"/>
      <x:c r="B151" s="1"/>
      <x:c r="C151" s="1"/>
      <x:c r="D151" s="1"/>
      <x:c r="E151" s="1"/>
      <x:c r="F151" s="1"/>
      <x:c r="G151" s="1"/>
      <x:c r="H151" s="1"/>
      <x:c r="I151" s="1"/>
      <x:c r="J151" s="1"/>
      <x:c r="K151" s="1"/>
    </x:row>
    <x:row r="152">
      <x:c r="A152" s="1"/>
      <x:c r="B152" s="1"/>
      <x:c r="C152" s="1"/>
      <x:c r="D152" s="1"/>
      <x:c r="E152" s="1"/>
      <x:c r="F152" s="1"/>
      <x:c r="G152" s="1"/>
      <x:c r="H152" s="1"/>
      <x:c r="I152" s="1"/>
      <x:c r="J152" s="1"/>
      <x:c r="K152" s="1"/>
    </x:row>
    <x:row r="153">
      <x:c r="A153" s="1"/>
      <x:c r="B153" s="1"/>
      <x:c r="C153" s="1"/>
      <x:c r="D153" s="1"/>
      <x:c r="E153" s="1"/>
      <x:c r="F153" s="1"/>
      <x:c r="G153" s="1"/>
      <x:c r="H153" s="1"/>
      <x:c r="I153" s="1"/>
      <x:c r="J153" s="1"/>
      <x:c r="K153" s="1"/>
    </x:row>
    <x:row r="154">
      <x:c r="A154" s="1"/>
      <x:c r="B154" s="1"/>
      <x:c r="C154" s="1"/>
      <x:c r="D154" s="1"/>
      <x:c r="E154" s="1"/>
      <x:c r="F154" s="1"/>
      <x:c r="G154" s="1"/>
      <x:c r="H154" s="1"/>
      <x:c r="I154" s="1"/>
      <x:c r="J154" s="1"/>
      <x:c r="K154" s="1"/>
    </x:row>
    <x:row r="155">
      <x:c r="A155" s="1"/>
      <x:c r="B155" s="1"/>
      <x:c r="C155" s="1"/>
      <x:c r="D155" s="1"/>
      <x:c r="E155" s="1"/>
      <x:c r="F155" s="1"/>
      <x:c r="G155" s="1"/>
      <x:c r="H155" s="1"/>
      <x:c r="I155" s="1"/>
      <x:c r="J155" s="1"/>
      <x:c r="K155" s="1"/>
    </x:row>
    <x:row r="156">
      <x:c r="A156" s="1"/>
      <x:c r="B156" s="1"/>
      <x:c r="C156" s="1"/>
      <x:c r="D156" s="1"/>
      <x:c r="E156" s="1"/>
      <x:c r="F156" s="1"/>
      <x:c r="G156" s="1"/>
      <x:c r="H156" s="1"/>
      <x:c r="I156" s="1"/>
      <x:c r="J156" s="1"/>
      <x:c r="K156" s="1"/>
    </x:row>
    <x:row r="157">
      <x:c r="A157" s="1"/>
      <x:c r="B157" s="1"/>
      <x:c r="C157" s="1"/>
      <x:c r="D157" s="1"/>
      <x:c r="E157" s="1"/>
      <x:c r="F157" s="1"/>
      <x:c r="G157" s="1"/>
      <x:c r="H157" s="1"/>
      <x:c r="I157" s="1"/>
      <x:c r="J157" s="1"/>
      <x:c r="K157" s="1"/>
    </x:row>
    <x:row r="158">
      <x:c r="A158" s="1"/>
      <x:c r="B158" s="1"/>
      <x:c r="C158" s="1"/>
      <x:c r="D158" s="1"/>
      <x:c r="E158" s="1"/>
      <x:c r="F158" s="1"/>
      <x:c r="G158" s="1"/>
      <x:c r="H158" s="1"/>
      <x:c r="I158" s="1"/>
      <x:c r="J158" s="1"/>
      <x:c r="K158" s="1"/>
    </x:row>
    <x:row r="159">
      <x:c r="A159" s="1"/>
      <x:c r="B159" s="1"/>
      <x:c r="C159" s="1"/>
      <x:c r="D159" s="1"/>
      <x:c r="E159" s="1"/>
      <x:c r="F159" s="1"/>
      <x:c r="G159" s="1"/>
      <x:c r="H159" s="1"/>
      <x:c r="I159" s="1"/>
      <x:c r="J159" s="1"/>
      <x:c r="K159" s="1"/>
    </x:row>
    <x:row r="160">
      <x:c r="A160" s="1"/>
      <x:c r="B160" s="1"/>
      <x:c r="C160" s="1"/>
      <x:c r="D160" s="1"/>
      <x:c r="E160" s="1"/>
      <x:c r="F160" s="1"/>
      <x:c r="G160" s="1"/>
      <x:c r="H160" s="1"/>
      <x:c r="I160" s="1"/>
      <x:c r="J160" s="1"/>
      <x:c r="K160" s="1"/>
    </x:row>
    <x:row r="161">
      <x:c r="A161" s="1"/>
      <x:c r="B161" s="1"/>
      <x:c r="C161" s="1"/>
      <x:c r="D161" s="1"/>
      <x:c r="E161" s="1"/>
      <x:c r="F161" s="1"/>
      <x:c r="G161" s="1"/>
      <x:c r="H161" s="1"/>
      <x:c r="I161" s="1"/>
      <x:c r="J161" s="1"/>
      <x:c r="K161" s="1"/>
    </x:row>
    <x:row r="162">
      <x:c r="A162" s="1"/>
      <x:c r="B162" s="1"/>
      <x:c r="C162" s="1"/>
      <x:c r="D162" s="1"/>
      <x:c r="E162" s="1"/>
      <x:c r="F162" s="1"/>
      <x:c r="G162" s="1"/>
      <x:c r="H162" s="1"/>
      <x:c r="I162" s="1"/>
      <x:c r="J162" s="1"/>
      <x:c r="K162" s="1"/>
    </x:row>
    <x:row r="163">
      <x:c r="A163" s="1"/>
      <x:c r="B163" s="1"/>
      <x:c r="C163" s="1"/>
      <x:c r="D163" s="1"/>
      <x:c r="E163" s="1"/>
      <x:c r="F163" s="1"/>
      <x:c r="G163" s="1"/>
      <x:c r="H163" s="1"/>
      <x:c r="I163" s="1"/>
      <x:c r="J163" s="1"/>
      <x:c r="K163" s="1"/>
    </x:row>
    <x:row r="164">
      <x:c r="A164" s="1"/>
      <x:c r="B164" s="1"/>
      <x:c r="C164" s="1"/>
      <x:c r="D164" s="1"/>
      <x:c r="E164" s="1"/>
      <x:c r="F164" s="1"/>
      <x:c r="G164" s="1"/>
      <x:c r="H164" s="1"/>
      <x:c r="I164" s="1"/>
      <x:c r="J164" s="1"/>
      <x:c r="K164" s="1"/>
    </x:row>
    <x:row r="165">
      <x:c r="A165" s="1"/>
      <x:c r="B165" s="1"/>
      <x:c r="C165" s="1"/>
      <x:c r="D165" s="1"/>
      <x:c r="E165" s="1"/>
      <x:c r="F165" s="1"/>
      <x:c r="G165" s="1"/>
      <x:c r="H165" s="1"/>
      <x:c r="I165" s="1"/>
      <x:c r="J165" s="1"/>
      <x:c r="K165" s="1"/>
    </x:row>
    <x:row r="166">
      <x:c r="A166" s="1"/>
      <x:c r="B166" s="1"/>
      <x:c r="C166" s="1"/>
      <x:c r="D166" s="1"/>
      <x:c r="E166" s="1"/>
      <x:c r="F166" s="1"/>
      <x:c r="G166" s="1"/>
      <x:c r="H166" s="1"/>
      <x:c r="I166" s="1"/>
      <x:c r="J166" s="1"/>
      <x:c r="K166" s="1"/>
    </x:row>
    <x:row r="167">
      <x:c r="A167" s="1"/>
      <x:c r="B167" s="1"/>
      <x:c r="C167" s="1"/>
      <x:c r="D167" s="1"/>
      <x:c r="E167" s="1"/>
      <x:c r="F167" s="1"/>
      <x:c r="G167" s="1"/>
      <x:c r="H167" s="1"/>
      <x:c r="I167" s="1"/>
      <x:c r="J167" s="1"/>
      <x:c r="K167" s="1"/>
    </x:row>
    <x:row r="168">
      <x:c r="A168" s="1"/>
      <x:c r="B168" s="1"/>
      <x:c r="C168" s="1"/>
      <x:c r="D168" s="1"/>
      <x:c r="E168" s="1"/>
      <x:c r="F168" s="1"/>
      <x:c r="G168" s="1"/>
      <x:c r="H168" s="1"/>
      <x:c r="I168" s="1"/>
      <x:c r="J168" s="1"/>
      <x:c r="K168" s="1"/>
    </x:row>
    <x:row r="169">
      <x:c r="A169" s="1"/>
      <x:c r="B169" s="1"/>
      <x:c r="C169" s="1"/>
      <x:c r="D169" s="1"/>
      <x:c r="E169" s="1"/>
      <x:c r="F169" s="1"/>
      <x:c r="G169" s="1"/>
      <x:c r="H169" s="1"/>
      <x:c r="I169" s="1"/>
      <x:c r="J169" s="1"/>
      <x:c r="K169" s="1"/>
    </x:row>
    <x:row r="170">
      <x:c r="A170" s="1"/>
      <x:c r="B170" s="1"/>
      <x:c r="C170" s="1"/>
      <x:c r="D170" s="1"/>
      <x:c r="E170" s="1"/>
      <x:c r="F170" s="1"/>
      <x:c r="G170" s="1"/>
      <x:c r="H170" s="1"/>
      <x:c r="I170" s="1"/>
      <x:c r="J170" s="1"/>
      <x:c r="K170" s="1"/>
    </x:row>
    <x:row r="171">
      <x:c r="A171" s="1"/>
      <x:c r="B171" s="1"/>
      <x:c r="C171" s="1"/>
      <x:c r="D171" s="1"/>
      <x:c r="E171" s="1"/>
      <x:c r="F171" s="1"/>
      <x:c r="G171" s="1"/>
      <x:c r="H171" s="1"/>
      <x:c r="I171" s="1"/>
      <x:c r="J171" s="1"/>
      <x:c r="K171" s="1"/>
    </x:row>
    <x:row r="172">
      <x:c r="A172" s="1"/>
      <x:c r="B172" s="1"/>
      <x:c r="C172" s="1"/>
      <x:c r="D172" s="1"/>
      <x:c r="E172" s="1"/>
      <x:c r="F172" s="1"/>
      <x:c r="G172" s="1"/>
      <x:c r="H172" s="1"/>
      <x:c r="I172" s="1"/>
      <x:c r="J172" s="1"/>
      <x:c r="K172" s="1"/>
    </x:row>
    <x:row r="173">
      <x:c r="A173" s="1"/>
      <x:c r="B173" s="1"/>
      <x:c r="C173" s="1"/>
      <x:c r="D173" s="1"/>
      <x:c r="E173" s="1"/>
      <x:c r="F173" s="1"/>
      <x:c r="G173" s="1"/>
      <x:c r="H173" s="1"/>
      <x:c r="I173" s="1"/>
      <x:c r="J173" s="1"/>
      <x:c r="K173" s="1"/>
    </x:row>
    <x:row r="174">
      <x:c r="A174" s="1"/>
      <x:c r="B174" s="1"/>
      <x:c r="C174" s="1"/>
      <x:c r="D174" s="1"/>
      <x:c r="E174" s="1"/>
      <x:c r="F174" s="1"/>
      <x:c r="G174" s="1"/>
      <x:c r="H174" s="1"/>
      <x:c r="I174" s="1"/>
      <x:c r="J174" s="1"/>
      <x:c r="K174" s="1"/>
    </x:row>
    <x:row r="175">
      <x:c r="A175" s="1"/>
      <x:c r="B175" s="1"/>
      <x:c r="C175" s="1"/>
      <x:c r="D175" s="1"/>
      <x:c r="E175" s="1"/>
      <x:c r="F175" s="1"/>
      <x:c r="G175" s="1"/>
      <x:c r="H175" s="1"/>
      <x:c r="I175" s="1"/>
      <x:c r="J175" s="1"/>
      <x:c r="K175" s="1"/>
    </x:row>
    <x:row r="176">
      <x:c r="A176" s="1"/>
      <x:c r="B176" s="1"/>
      <x:c r="C176" s="1"/>
      <x:c r="D176" s="1"/>
      <x:c r="E176" s="1"/>
      <x:c r="F176" s="1"/>
      <x:c r="G176" s="1"/>
      <x:c r="H176" s="1"/>
      <x:c r="I176" s="1"/>
      <x:c r="J176" s="1"/>
      <x:c r="K176" s="1"/>
    </x:row>
    <x:row r="177">
      <x:c r="A177" s="1"/>
      <x:c r="B177" s="1"/>
      <x:c r="C177" s="1"/>
      <x:c r="D177" s="1"/>
      <x:c r="E177" s="1"/>
      <x:c r="F177" s="1"/>
      <x:c r="G177" s="1"/>
      <x:c r="H177" s="1"/>
      <x:c r="I177" s="1"/>
      <x:c r="J177" s="1"/>
      <x:c r="K177" s="1"/>
    </x:row>
    <x:row r="178">
      <x:c r="A178" s="1"/>
      <x:c r="B178" s="1"/>
      <x:c r="C178" s="1"/>
      <x:c r="D178" s="1"/>
      <x:c r="E178" s="1"/>
      <x:c r="F178" s="1"/>
      <x:c r="G178" s="1"/>
      <x:c r="H178" s="1"/>
      <x:c r="I178" s="1"/>
      <x:c r="J178" s="1"/>
      <x:c r="K178" s="1"/>
    </x:row>
    <x:row r="179">
      <x:c r="A179" s="1"/>
      <x:c r="B179" s="1"/>
      <x:c r="C179" s="1"/>
      <x:c r="D179" s="1"/>
      <x:c r="E179" s="1"/>
      <x:c r="F179" s="1"/>
      <x:c r="G179" s="1"/>
      <x:c r="H179" s="1"/>
      <x:c r="I179" s="1"/>
      <x:c r="J179" s="1"/>
      <x:c r="K179" s="1"/>
    </x:row>
    <x:row r="180">
      <x:c r="A180" s="1"/>
      <x:c r="B180" s="1"/>
      <x:c r="C180" s="1"/>
      <x:c r="D180" s="1"/>
      <x:c r="E180" s="1"/>
      <x:c r="F180" s="1"/>
      <x:c r="G180" s="1"/>
      <x:c r="H180" s="1"/>
      <x:c r="I180" s="1"/>
      <x:c r="J180" s="1"/>
      <x:c r="K180" s="1"/>
    </x:row>
    <x:row r="181">
      <x:c r="A181" s="1"/>
      <x:c r="B181" s="1"/>
      <x:c r="C181" s="1"/>
      <x:c r="D181" s="1"/>
      <x:c r="E181" s="1"/>
      <x:c r="F181" s="1"/>
      <x:c r="G181" s="1"/>
      <x:c r="H181" s="1"/>
      <x:c r="I181" s="1"/>
      <x:c r="J181" s="1"/>
      <x:c r="K181" s="1"/>
    </x:row>
    <x:row r="182">
      <x:c r="A182" s="1"/>
      <x:c r="B182" s="1"/>
      <x:c r="C182" s="1"/>
      <x:c r="D182" s="1"/>
      <x:c r="E182" s="1"/>
      <x:c r="F182" s="1"/>
      <x:c r="G182" s="1"/>
      <x:c r="H182" s="1"/>
      <x:c r="I182" s="1"/>
      <x:c r="J182" s="1"/>
      <x:c r="K182" s="1"/>
    </x:row>
    <x:row r="183">
      <x:c r="A183" s="1"/>
      <x:c r="B183" s="1"/>
      <x:c r="C183" s="1"/>
      <x:c r="D183" s="1"/>
      <x:c r="E183" s="1"/>
      <x:c r="F183" s="1"/>
      <x:c r="G183" s="1"/>
      <x:c r="H183" s="1"/>
      <x:c r="I183" s="1"/>
      <x:c r="J183" s="1"/>
      <x:c r="K183" s="1"/>
    </x:row>
    <x:row r="184">
      <x:c r="A184" s="1"/>
      <x:c r="B184" s="1"/>
      <x:c r="C184" s="1"/>
      <x:c r="D184" s="1"/>
      <x:c r="E184" s="1"/>
      <x:c r="F184" s="1"/>
      <x:c r="G184" s="1"/>
      <x:c r="H184" s="1"/>
      <x:c r="I184" s="1"/>
      <x:c r="J184" s="1"/>
      <x:c r="K184" s="1"/>
    </x:row>
    <x:row r="185">
      <x:c r="A185" s="1"/>
      <x:c r="B185" s="1"/>
      <x:c r="C185" s="1"/>
      <x:c r="D185" s="1"/>
      <x:c r="E185" s="1"/>
      <x:c r="F185" s="1"/>
      <x:c r="G185" s="1"/>
      <x:c r="H185" s="1"/>
      <x:c r="I185" s="1"/>
      <x:c r="J185" s="1"/>
      <x:c r="K185" s="1"/>
    </x:row>
    <x:row r="186">
      <x:c r="A186" s="1"/>
      <x:c r="B186" s="1"/>
      <x:c r="C186" s="1"/>
      <x:c r="D186" s="1"/>
      <x:c r="E186" s="1"/>
      <x:c r="F186" s="1"/>
      <x:c r="G186" s="1"/>
      <x:c r="H186" s="1"/>
      <x:c r="I186" s="1"/>
      <x:c r="J186" s="1"/>
      <x:c r="K186" s="1"/>
    </x:row>
    <x:row r="187">
      <x:c r="A187" s="1"/>
      <x:c r="B187" s="1"/>
      <x:c r="C187" s="1"/>
      <x:c r="D187" s="1"/>
      <x:c r="E187" s="1"/>
      <x:c r="F187" s="1"/>
      <x:c r="G187" s="1"/>
      <x:c r="H187" s="1"/>
      <x:c r="I187" s="1"/>
      <x:c r="J187" s="1"/>
      <x:c r="K187" s="1"/>
    </x:row>
    <x:row r="188">
      <x:c r="A188" s="1"/>
      <x:c r="B188" s="1"/>
      <x:c r="C188" s="1"/>
      <x:c r="D188" s="1"/>
      <x:c r="E188" s="1"/>
      <x:c r="F188" s="1"/>
      <x:c r="G188" s="1"/>
      <x:c r="H188" s="1"/>
      <x:c r="I188" s="1"/>
      <x:c r="J188" s="1"/>
      <x:c r="K188" s="1"/>
    </x:row>
    <x:row r="189">
      <x:c r="A189" s="1"/>
      <x:c r="B189" s="1"/>
      <x:c r="C189" s="1"/>
      <x:c r="D189" s="1"/>
      <x:c r="E189" s="1"/>
      <x:c r="F189" s="1"/>
      <x:c r="G189" s="1"/>
      <x:c r="H189" s="1"/>
      <x:c r="I189" s="1"/>
      <x:c r="J189" s="1"/>
      <x:c r="K189" s="1"/>
    </x:row>
    <x:row r="190">
      <x:c r="A190" s="1"/>
      <x:c r="B190" s="1"/>
      <x:c r="C190" s="1"/>
      <x:c r="D190" s="1"/>
      <x:c r="E190" s="1"/>
      <x:c r="F190" s="1"/>
      <x:c r="G190" s="1"/>
      <x:c r="H190" s="1"/>
      <x:c r="I190" s="1"/>
      <x:c r="J190" s="1"/>
      <x:c r="K190" s="1"/>
    </x:row>
    <x:row r="191">
      <x:c r="A191" s="1"/>
      <x:c r="B191" s="1"/>
      <x:c r="C191" s="1"/>
      <x:c r="D191" s="1"/>
      <x:c r="E191" s="1"/>
      <x:c r="F191" s="1"/>
      <x:c r="G191" s="1"/>
      <x:c r="H191" s="1"/>
      <x:c r="I191" s="1"/>
      <x:c r="J191" s="1"/>
      <x:c r="K191" s="1"/>
    </x:row>
    <x:row r="192">
      <x:c r="A192" s="1"/>
      <x:c r="B192" s="1"/>
      <x:c r="C192" s="1"/>
      <x:c r="D192" s="1"/>
      <x:c r="E192" s="1"/>
      <x:c r="F192" s="1"/>
      <x:c r="G192" s="1"/>
      <x:c r="H192" s="1"/>
      <x:c r="I192" s="1"/>
      <x:c r="J192" s="1"/>
      <x:c r="K192" s="1"/>
    </x:row>
    <x:row r="193">
      <x:c r="A193" s="1"/>
      <x:c r="B193" s="1"/>
      <x:c r="C193" s="1"/>
      <x:c r="D193" s="1"/>
      <x:c r="E193" s="1"/>
      <x:c r="F193" s="1"/>
      <x:c r="G193" s="1"/>
      <x:c r="H193" s="1"/>
      <x:c r="I193" s="1"/>
      <x:c r="J193" s="1"/>
      <x:c r="K193" s="1"/>
    </x:row>
    <x:row r="194">
      <x:c r="A194" s="1"/>
      <x:c r="B194" s="1"/>
      <x:c r="C194" s="1"/>
      <x:c r="D194" s="1"/>
      <x:c r="E194" s="1"/>
      <x:c r="F194" s="1"/>
      <x:c r="G194" s="1"/>
      <x:c r="H194" s="1"/>
      <x:c r="I194" s="1"/>
      <x:c r="J194" s="1"/>
      <x:c r="K194" s="1"/>
    </x:row>
    <x:row r="195">
      <x:c r="A195" s="1"/>
      <x:c r="B195" s="1"/>
      <x:c r="C195" s="1"/>
      <x:c r="D195" s="1"/>
      <x:c r="E195" s="1"/>
      <x:c r="F195" s="1"/>
      <x:c r="G195" s="1"/>
      <x:c r="H195" s="1"/>
      <x:c r="I195" s="1"/>
      <x:c r="J195" s="1"/>
      <x:c r="K195" s="1"/>
    </x:row>
    <x:row r="196">
      <x:c r="A196" s="1"/>
      <x:c r="B196" s="1"/>
      <x:c r="C196" s="1"/>
      <x:c r="D196" s="1"/>
      <x:c r="E196" s="1"/>
      <x:c r="F196" s="1"/>
      <x:c r="G196" s="1"/>
      <x:c r="H196" s="1"/>
      <x:c r="I196" s="1"/>
      <x:c r="J196" s="1"/>
      <x:c r="K196" s="1"/>
    </x:row>
    <x:row r="197">
      <x:c r="A197" s="1"/>
      <x:c r="B197" s="1"/>
      <x:c r="C197" s="1"/>
      <x:c r="D197" s="1"/>
      <x:c r="E197" s="1"/>
      <x:c r="F197" s="1"/>
      <x:c r="G197" s="1"/>
      <x:c r="H197" s="1"/>
      <x:c r="I197" s="1"/>
      <x:c r="J197" s="1"/>
      <x:c r="K197" s="1"/>
    </x:row>
    <x:row r="198">
      <x:c r="A198" s="1"/>
      <x:c r="B198" s="1"/>
      <x:c r="C198" s="1"/>
      <x:c r="D198" s="1"/>
      <x:c r="E198" s="1"/>
      <x:c r="F198" s="1"/>
      <x:c r="G198" s="1"/>
      <x:c r="H198" s="1"/>
      <x:c r="I198" s="1"/>
      <x:c r="J198" s="1"/>
      <x:c r="K198" s="1"/>
    </x:row>
    <x:row r="199">
      <x:c r="A199" s="1"/>
      <x:c r="B199" s="1"/>
      <x:c r="C199" s="1"/>
      <x:c r="D199" s="1"/>
      <x:c r="E199" s="1"/>
      <x:c r="F199" s="1"/>
      <x:c r="G199" s="1"/>
      <x:c r="H199" s="1"/>
      <x:c r="I199" s="1"/>
      <x:c r="J199" s="1"/>
      <x:c r="K199" s="1"/>
    </x:row>
    <x:row r="200">
      <x:c r="A200" s="1"/>
      <x:c r="B200" s="1"/>
      <x:c r="C200" s="1"/>
      <x:c r="D200" s="1"/>
      <x:c r="E200" s="1"/>
      <x:c r="F200" s="1"/>
      <x:c r="G200" s="1"/>
      <x:c r="H200" s="1"/>
      <x:c r="I200" s="1"/>
      <x:c r="J200" s="1"/>
      <x:c r="K200" s="1"/>
    </x:row>
    <x:row r="201">
      <x:c r="A201" s="1"/>
      <x:c r="B201" s="1"/>
      <x:c r="C201" s="1"/>
      <x:c r="D201" s="1"/>
      <x:c r="E201" s="1"/>
      <x:c r="F201" s="1"/>
      <x:c r="G201" s="1"/>
      <x:c r="H201" s="1"/>
      <x:c r="I201" s="1"/>
      <x:c r="J201" s="1"/>
      <x:c r="K201" s="1"/>
    </x:row>
    <x:row r="202">
      <x:c r="A202" s="1"/>
      <x:c r="B202" s="1"/>
      <x:c r="C202" s="1"/>
      <x:c r="D202" s="1"/>
      <x:c r="E202" s="1"/>
      <x:c r="F202" s="1"/>
      <x:c r="G202" s="1"/>
      <x:c r="H202" s="1"/>
      <x:c r="I202" s="1"/>
      <x:c r="J202" s="1"/>
      <x:c r="K202" s="1"/>
    </x:row>
    <x:row r="203">
      <x:c r="A203" s="1"/>
      <x:c r="B203" s="1"/>
      <x:c r="C203" s="1"/>
      <x:c r="D203" s="1"/>
      <x:c r="E203" s="1"/>
      <x:c r="F203" s="1"/>
      <x:c r="G203" s="1"/>
      <x:c r="H203" s="1"/>
      <x:c r="I203" s="1"/>
      <x:c r="J203" s="1"/>
      <x:c r="K203" s="1"/>
    </x:row>
    <x:row r="204">
      <x:c r="A204" s="1"/>
      <x:c r="B204" s="1"/>
      <x:c r="C204" s="1"/>
      <x:c r="D204" s="1"/>
      <x:c r="E204" s="1"/>
      <x:c r="F204" s="1"/>
      <x:c r="G204" s="1"/>
      <x:c r="H204" s="1"/>
      <x:c r="I204" s="1"/>
      <x:c r="J204" s="1"/>
      <x:c r="K204" s="1"/>
    </x:row>
    <x:row r="205">
      <x:c r="A205" s="1"/>
      <x:c r="B205" s="1"/>
      <x:c r="C205" s="1"/>
      <x:c r="D205" s="1"/>
      <x:c r="E205" s="1"/>
      <x:c r="F205" s="1"/>
      <x:c r="G205" s="1"/>
      <x:c r="H205" s="1"/>
      <x:c r="I205" s="1"/>
      <x:c r="J205" s="1"/>
      <x:c r="K205" s="1"/>
    </x:row>
    <x:row r="206">
      <x:c r="A206" s="1"/>
      <x:c r="B206" s="1"/>
      <x:c r="C206" s="1"/>
      <x:c r="D206" s="1"/>
      <x:c r="E206" s="1"/>
      <x:c r="F206" s="1"/>
      <x:c r="G206" s="1"/>
      <x:c r="H206" s="1"/>
      <x:c r="I206" s="1"/>
      <x:c r="J206" s="1"/>
      <x:c r="K206" s="1"/>
    </x:row>
    <x:row r="207">
      <x:c r="A207" s="1"/>
      <x:c r="B207" s="1"/>
      <x:c r="C207" s="1"/>
      <x:c r="D207" s="1"/>
      <x:c r="E207" s="1"/>
      <x:c r="F207" s="1"/>
      <x:c r="G207" s="1"/>
      <x:c r="H207" s="1"/>
      <x:c r="I207" s="1"/>
      <x:c r="J207" s="1"/>
      <x:c r="K207" s="1"/>
    </x:row>
    <x:row r="208">
      <x:c r="A208" s="1"/>
      <x:c r="B208" s="1"/>
      <x:c r="C208" s="1"/>
      <x:c r="D208" s="1"/>
      <x:c r="E208" s="1"/>
      <x:c r="F208" s="1"/>
      <x:c r="G208" s="1"/>
      <x:c r="H208" s="1"/>
      <x:c r="I208" s="1"/>
      <x:c r="J208" s="1"/>
      <x:c r="K208" s="1"/>
    </x:row>
    <x:row r="209">
      <x:c r="A209" s="1"/>
      <x:c r="B209" s="1"/>
      <x:c r="C209" s="1"/>
      <x:c r="D209" s="1"/>
      <x:c r="E209" s="1"/>
      <x:c r="F209" s="1"/>
      <x:c r="G209" s="1"/>
      <x:c r="H209" s="1"/>
      <x:c r="I209" s="1"/>
      <x:c r="J209" s="1"/>
      <x:c r="K209" s="1"/>
    </x:row>
    <x:row r="210">
      <x:c r="A210" s="1"/>
      <x:c r="B210" s="1"/>
      <x:c r="C210" s="1"/>
      <x:c r="D210" s="1"/>
      <x:c r="E210" s="1"/>
      <x:c r="F210" s="1"/>
      <x:c r="G210" s="1"/>
      <x:c r="H210" s="1"/>
      <x:c r="I210" s="1"/>
      <x:c r="J210" s="1"/>
      <x:c r="K210" s="1"/>
    </x:row>
    <x:row r="211">
      <x:c r="A211" s="1"/>
      <x:c r="B211" s="1"/>
      <x:c r="C211" s="1"/>
      <x:c r="D211" s="1"/>
      <x:c r="E211" s="1"/>
      <x:c r="F211" s="1"/>
      <x:c r="G211" s="1"/>
      <x:c r="H211" s="1"/>
      <x:c r="I211" s="1"/>
      <x:c r="J211" s="1"/>
      <x:c r="K211" s="1"/>
    </x:row>
    <x:row r="212">
      <x:c r="A212" s="1"/>
      <x:c r="B212" s="1"/>
      <x:c r="C212" s="1"/>
      <x:c r="D212" s="1"/>
      <x:c r="E212" s="1"/>
      <x:c r="F212" s="1"/>
      <x:c r="G212" s="1"/>
      <x:c r="H212" s="1"/>
      <x:c r="I212" s="1"/>
      <x:c r="J212" s="1"/>
      <x:c r="K212" s="1"/>
    </x:row>
    <x:row r="213">
      <x:c r="A213" s="1"/>
      <x:c r="B213" s="1"/>
      <x:c r="C213" s="1"/>
      <x:c r="D213" s="1"/>
      <x:c r="E213" s="1"/>
      <x:c r="F213" s="1"/>
      <x:c r="G213" s="1"/>
      <x:c r="H213" s="1"/>
      <x:c r="I213" s="1"/>
      <x:c r="J213" s="1"/>
      <x:c r="K213" s="1"/>
    </x:row>
    <x:row r="214">
      <x:c r="A214" s="1"/>
      <x:c r="B214" s="1"/>
      <x:c r="C214" s="1"/>
      <x:c r="D214" s="1"/>
      <x:c r="E214" s="1"/>
      <x:c r="F214" s="1"/>
      <x:c r="G214" s="1"/>
      <x:c r="H214" s="1"/>
      <x:c r="I214" s="1"/>
      <x:c r="J214" s="1"/>
      <x:c r="K214" s="1"/>
    </x:row>
    <x:row r="215">
      <x:c r="A215" s="1"/>
      <x:c r="B215" s="1"/>
      <x:c r="C215" s="1"/>
      <x:c r="D215" s="1"/>
      <x:c r="E215" s="1"/>
      <x:c r="F215" s="1"/>
      <x:c r="G215" s="1"/>
      <x:c r="H215" s="1"/>
      <x:c r="I215" s="1"/>
      <x:c r="J215" s="1"/>
      <x:c r="K215" s="1"/>
    </x:row>
    <x:row r="216">
      <x:c r="A216" s="1"/>
      <x:c r="B216" s="1"/>
      <x:c r="C216" s="1"/>
      <x:c r="D216" s="1"/>
      <x:c r="E216" s="1"/>
      <x:c r="F216" s="1"/>
      <x:c r="G216" s="1"/>
      <x:c r="H216" s="1"/>
      <x:c r="I216" s="1"/>
      <x:c r="J216" s="1"/>
      <x:c r="K216" s="1"/>
    </x:row>
    <x:row r="217">
      <x:c r="A217" s="1"/>
      <x:c r="B217" s="1"/>
      <x:c r="C217" s="1"/>
      <x:c r="D217" s="1"/>
      <x:c r="E217" s="1"/>
      <x:c r="F217" s="1"/>
      <x:c r="G217" s="1"/>
      <x:c r="H217" s="1"/>
      <x:c r="I217" s="1"/>
      <x:c r="J217" s="1"/>
      <x:c r="K217" s="1"/>
    </x:row>
    <x:row r="218">
      <x:c r="A218" s="1"/>
      <x:c r="B218" s="1"/>
      <x:c r="C218" s="1"/>
      <x:c r="D218" s="1"/>
      <x:c r="E218" s="1"/>
      <x:c r="F218" s="1"/>
      <x:c r="G218" s="1"/>
      <x:c r="H218" s="1"/>
      <x:c r="I218" s="1"/>
      <x:c r="J218" s="1"/>
      <x:c r="K218" s="1"/>
    </x:row>
    <x:row r="219">
      <x:c r="A219" s="1"/>
      <x:c r="B219" s="1"/>
      <x:c r="C219" s="1"/>
      <x:c r="D219" s="1"/>
      <x:c r="E219" s="1"/>
      <x:c r="F219" s="1"/>
      <x:c r="G219" s="1"/>
      <x:c r="H219" s="1"/>
      <x:c r="I219" s="1"/>
      <x:c r="J219" s="1"/>
      <x:c r="K219" s="1"/>
    </x:row>
    <x:row r="220">
      <x:c r="A220" s="1"/>
      <x:c r="B220" s="1"/>
      <x:c r="C220" s="1"/>
      <x:c r="D220" s="1"/>
      <x:c r="E220" s="1"/>
      <x:c r="F220" s="1"/>
      <x:c r="G220" s="1"/>
      <x:c r="H220" s="1"/>
      <x:c r="I220" s="1"/>
      <x:c r="J220" s="1"/>
      <x:c r="K220" s="1"/>
    </x:row>
    <x:row r="221">
      <x:c r="A221" s="1"/>
      <x:c r="B221" s="1"/>
      <x:c r="C221" s="1"/>
      <x:c r="D221" s="1"/>
      <x:c r="E221" s="1"/>
      <x:c r="F221" s="1"/>
      <x:c r="G221" s="1"/>
      <x:c r="H221" s="1"/>
      <x:c r="I221" s="1"/>
      <x:c r="J221" s="1"/>
      <x:c r="K221" s="1"/>
    </x:row>
    <x:row r="222">
      <x:c r="A222" s="1"/>
      <x:c r="B222" s="1"/>
      <x:c r="C222" s="1"/>
      <x:c r="D222" s="1"/>
      <x:c r="E222" s="1"/>
      <x:c r="F222" s="1"/>
      <x:c r="G222" s="1"/>
      <x:c r="H222" s="1"/>
      <x:c r="I222" s="1"/>
      <x:c r="J222" s="1"/>
      <x:c r="K222" s="1"/>
    </x:row>
    <x:row r="223">
      <x:c r="A223" s="1"/>
      <x:c r="B223" s="1"/>
      <x:c r="C223" s="1"/>
      <x:c r="D223" s="1"/>
      <x:c r="E223" s="1"/>
      <x:c r="F223" s="1"/>
      <x:c r="G223" s="1"/>
      <x:c r="H223" s="1"/>
      <x:c r="I223" s="1"/>
      <x:c r="J223" s="1"/>
      <x:c r="K223" s="1"/>
    </x:row>
    <x:row r="224">
      <x:c r="A224" s="1"/>
      <x:c r="B224" s="1"/>
      <x:c r="C224" s="1"/>
      <x:c r="D224" s="1"/>
      <x:c r="E224" s="1"/>
      <x:c r="F224" s="1"/>
      <x:c r="G224" s="1"/>
      <x:c r="H224" s="1"/>
      <x:c r="I224" s="1"/>
      <x:c r="J224" s="1"/>
      <x:c r="K224" s="1"/>
    </x:row>
    <x:row r="225">
      <x:c r="A225" s="1"/>
      <x:c r="B225" s="1"/>
      <x:c r="C225" s="1"/>
      <x:c r="D225" s="1"/>
      <x:c r="E225" s="1"/>
      <x:c r="F225" s="1"/>
      <x:c r="G225" s="1"/>
      <x:c r="H225" s="1"/>
      <x:c r="I225" s="1"/>
      <x:c r="J225" s="1"/>
      <x:c r="K225" s="1"/>
    </x:row>
    <x:row r="226">
      <x:c r="A226" s="1"/>
      <x:c r="B226" s="1"/>
      <x:c r="C226" s="1"/>
      <x:c r="D226" s="1"/>
      <x:c r="E226" s="1"/>
      <x:c r="F226" s="1"/>
      <x:c r="G226" s="1"/>
      <x:c r="H226" s="1"/>
      <x:c r="I226" s="1"/>
      <x:c r="J226" s="1"/>
      <x:c r="K226" s="1"/>
    </x:row>
    <x:row r="227">
      <x:c r="A227" s="1"/>
      <x:c r="B227" s="1"/>
      <x:c r="C227" s="1"/>
      <x:c r="D227" s="1"/>
      <x:c r="E227" s="1"/>
      <x:c r="F227" s="1"/>
      <x:c r="G227" s="1"/>
      <x:c r="H227" s="1"/>
      <x:c r="I227" s="1"/>
      <x:c r="J227" s="1"/>
      <x:c r="K227" s="1"/>
    </x:row>
    <x:row r="228">
      <x:c r="A228" s="1"/>
      <x:c r="B228" s="1"/>
      <x:c r="C228" s="1"/>
      <x:c r="D228" s="1"/>
      <x:c r="E228" s="1"/>
      <x:c r="F228" s="1"/>
      <x:c r="G228" s="1"/>
      <x:c r="H228" s="1"/>
      <x:c r="I228" s="1"/>
      <x:c r="J228" s="1"/>
      <x:c r="K228" s="1"/>
    </x:row>
    <x:row r="229">
      <x:c r="A229" s="1"/>
      <x:c r="B229" s="1"/>
      <x:c r="C229" s="1"/>
      <x:c r="D229" s="1"/>
      <x:c r="E229" s="1"/>
      <x:c r="F229" s="1"/>
      <x:c r="G229" s="1"/>
      <x:c r="H229" s="1"/>
      <x:c r="I229" s="1"/>
      <x:c r="J229" s="1"/>
      <x:c r="K229" s="1"/>
    </x:row>
    <x:row r="230">
      <x:c r="A230" s="1"/>
      <x:c r="B230" s="1"/>
      <x:c r="C230" s="1"/>
      <x:c r="D230" s="1"/>
      <x:c r="E230" s="1"/>
      <x:c r="F230" s="1"/>
      <x:c r="G230" s="1"/>
      <x:c r="H230" s="1"/>
      <x:c r="I230" s="1"/>
      <x:c r="J230" s="1"/>
      <x:c r="K230" s="1"/>
    </x:row>
    <x:row r="231">
      <x:c r="A231" s="1"/>
      <x:c r="B231" s="1"/>
      <x:c r="C231" s="1"/>
      <x:c r="D231" s="1"/>
      <x:c r="E231" s="1"/>
      <x:c r="F231" s="1"/>
      <x:c r="G231" s="1"/>
      <x:c r="H231" s="1"/>
      <x:c r="I231" s="1"/>
      <x:c r="J231" s="1"/>
      <x:c r="K231" s="1"/>
    </x:row>
    <x:row r="232">
      <x:c r="A232" s="1"/>
      <x:c r="B232" s="1"/>
      <x:c r="C232" s="1"/>
      <x:c r="D232" s="1"/>
      <x:c r="E232" s="1"/>
      <x:c r="F232" s="1"/>
      <x:c r="G232" s="1"/>
      <x:c r="H232" s="1"/>
      <x:c r="I232" s="1"/>
      <x:c r="J232" s="1"/>
      <x:c r="K232" s="1"/>
    </x:row>
    <x:row r="233">
      <x:c r="A233" s="1"/>
      <x:c r="B233" s="1"/>
      <x:c r="C233" s="1"/>
      <x:c r="D233" s="1"/>
      <x:c r="E233" s="1"/>
      <x:c r="F233" s="1"/>
      <x:c r="G233" s="1"/>
      <x:c r="H233" s="1"/>
      <x:c r="I233" s="1"/>
      <x:c r="J233" s="1"/>
      <x:c r="K233" s="1"/>
    </x:row>
    <x:row r="234">
      <x:c r="A234" s="1"/>
      <x:c r="B234" s="1"/>
      <x:c r="C234" s="1"/>
      <x:c r="D234" s="1"/>
      <x:c r="E234" s="1"/>
      <x:c r="F234" s="1"/>
      <x:c r="G234" s="1"/>
      <x:c r="H234" s="1"/>
      <x:c r="I234" s="1"/>
      <x:c r="J234" s="1"/>
      <x:c r="K234" s="1"/>
    </x:row>
    <x:row r="235">
      <x:c r="A235" s="1"/>
      <x:c r="B235" s="1"/>
      <x:c r="C235" s="1"/>
      <x:c r="D235" s="1"/>
      <x:c r="E235" s="1"/>
      <x:c r="F235" s="1"/>
      <x:c r="G235" s="1"/>
      <x:c r="H235" s="1"/>
      <x:c r="I235" s="1"/>
      <x:c r="J235" s="1"/>
      <x:c r="K235" s="1"/>
    </x:row>
    <x:row r="236">
      <x:c r="A236" s="1"/>
      <x:c r="B236" s="1"/>
      <x:c r="C236" s="1"/>
      <x:c r="D236" s="1"/>
      <x:c r="E236" s="1"/>
      <x:c r="F236" s="1"/>
      <x:c r="G236" s="1"/>
      <x:c r="H236" s="1"/>
      <x:c r="I236" s="1"/>
      <x:c r="J236" s="1"/>
      <x:c r="K236" s="1"/>
    </x:row>
    <x:row r="237">
      <x:c r="A237" s="1"/>
      <x:c r="B237" s="1"/>
      <x:c r="C237" s="1"/>
      <x:c r="D237" s="1"/>
      <x:c r="E237" s="1"/>
      <x:c r="F237" s="1"/>
      <x:c r="G237" s="1"/>
      <x:c r="H237" s="1"/>
      <x:c r="I237" s="1"/>
      <x:c r="J237" s="1"/>
      <x:c r="K237" s="1"/>
    </x:row>
    <x:row r="238">
      <x:c r="A238" s="1"/>
      <x:c r="B238" s="1"/>
      <x:c r="C238" s="1"/>
      <x:c r="D238" s="1"/>
      <x:c r="E238" s="1"/>
      <x:c r="F238" s="1"/>
      <x:c r="G238" s="1"/>
      <x:c r="H238" s="1"/>
      <x:c r="I238" s="1"/>
      <x:c r="J238" s="1"/>
      <x:c r="K238" s="1"/>
    </x:row>
    <x:row r="239">
      <x:c r="A239" s="1"/>
      <x:c r="B239" s="1"/>
      <x:c r="C239" s="1"/>
      <x:c r="D239" s="1"/>
      <x:c r="E239" s="1"/>
      <x:c r="F239" s="1"/>
      <x:c r="G239" s="1"/>
      <x:c r="H239" s="1"/>
      <x:c r="I239" s="1"/>
      <x:c r="J239" s="1"/>
      <x:c r="K239" s="1"/>
    </x:row>
    <x:row r="240">
      <x:c r="A240" s="1"/>
      <x:c r="B240" s="1"/>
      <x:c r="C240" s="1"/>
      <x:c r="D240" s="1"/>
      <x:c r="E240" s="1"/>
      <x:c r="F240" s="1"/>
      <x:c r="G240" s="1"/>
      <x:c r="H240" s="1"/>
      <x:c r="I240" s="1"/>
      <x:c r="J240" s="1"/>
      <x:c r="K240" s="1"/>
    </x:row>
    <x:row r="241">
      <x:c r="A241" s="1"/>
      <x:c r="B241" s="1"/>
      <x:c r="C241" s="1"/>
      <x:c r="D241" s="1"/>
      <x:c r="E241" s="1"/>
      <x:c r="F241" s="1"/>
      <x:c r="G241" s="1"/>
      <x:c r="H241" s="1"/>
      <x:c r="I241" s="1"/>
      <x:c r="J241" s="1"/>
      <x:c r="K241" s="1"/>
    </x:row>
    <x:row r="242">
      <x:c r="A242" s="1"/>
      <x:c r="B242" s="1"/>
      <x:c r="C242" s="1"/>
      <x:c r="D242" s="1"/>
      <x:c r="E242" s="1"/>
      <x:c r="F242" s="1"/>
      <x:c r="G242" s="1"/>
      <x:c r="H242" s="1"/>
      <x:c r="I242" s="1"/>
      <x:c r="J242" s="1"/>
      <x:c r="K242" s="1"/>
    </x:row>
    <x:row r="243">
      <x:c r="A243" s="1"/>
      <x:c r="B243" s="1"/>
      <x:c r="C243" s="1"/>
      <x:c r="D243" s="1"/>
      <x:c r="E243" s="1"/>
      <x:c r="F243" s="1"/>
      <x:c r="G243" s="1"/>
      <x:c r="H243" s="1"/>
      <x:c r="I243" s="1"/>
      <x:c r="J243" s="1"/>
      <x:c r="K243" s="1"/>
    </x:row>
    <x:row r="244">
      <x:c r="A244" s="1"/>
      <x:c r="B244" s="1"/>
      <x:c r="C244" s="1"/>
      <x:c r="D244" s="1"/>
      <x:c r="E244" s="1"/>
      <x:c r="F244" s="1"/>
      <x:c r="G244" s="1"/>
      <x:c r="H244" s="1"/>
      <x:c r="I244" s="1"/>
      <x:c r="J244" s="1"/>
      <x:c r="K244" s="1"/>
    </x:row>
    <x:row r="245">
      <x:c r="A245" s="1"/>
      <x:c r="B245" s="1"/>
      <x:c r="C245" s="1"/>
      <x:c r="D245" s="1"/>
      <x:c r="E245" s="1"/>
      <x:c r="F245" s="1"/>
      <x:c r="G245" s="1"/>
      <x:c r="H245" s="1"/>
      <x:c r="I245" s="1"/>
      <x:c r="J245" s="1"/>
      <x:c r="K245" s="1"/>
    </x:row>
    <x:row r="246">
      <x:c r="A246" s="1"/>
      <x:c r="B246" s="1"/>
      <x:c r="C246" s="1"/>
      <x:c r="D246" s="1"/>
      <x:c r="E246" s="1"/>
      <x:c r="F246" s="1"/>
      <x:c r="G246" s="1"/>
      <x:c r="H246" s="1"/>
      <x:c r="I246" s="1"/>
      <x:c r="J246" s="1"/>
      <x:c r="K246" s="1"/>
    </x:row>
    <x:row r="247">
      <x:c r="A247" s="1"/>
      <x:c r="B247" s="1"/>
      <x:c r="C247" s="1"/>
      <x:c r="D247" s="1"/>
      <x:c r="E247" s="1"/>
      <x:c r="F247" s="1"/>
      <x:c r="G247" s="1"/>
      <x:c r="H247" s="1"/>
      <x:c r="I247" s="1"/>
      <x:c r="J247" s="1"/>
      <x:c r="K247" s="1"/>
    </x:row>
    <x:row r="248">
      <x:c r="A248" s="1"/>
      <x:c r="B248" s="1"/>
      <x:c r="C248" s="1"/>
      <x:c r="D248" s="1"/>
      <x:c r="E248" s="1"/>
      <x:c r="F248" s="1"/>
      <x:c r="G248" s="1"/>
      <x:c r="H248" s="1"/>
      <x:c r="I248" s="1"/>
      <x:c r="J248" s="1"/>
      <x:c r="K248" s="1"/>
    </x:row>
    <x:row r="249">
      <x:c r="A249" s="1"/>
      <x:c r="B249" s="1"/>
      <x:c r="C249" s="1"/>
      <x:c r="D249" s="1"/>
      <x:c r="E249" s="1"/>
      <x:c r="F249" s="1"/>
      <x:c r="G249" s="1"/>
      <x:c r="H249" s="1"/>
      <x:c r="I249" s="1"/>
      <x:c r="J249" s="1"/>
      <x:c r="K249" s="1"/>
    </x:row>
    <x:row r="250">
      <x:c r="A250" s="1"/>
      <x:c r="B250" s="1"/>
      <x:c r="C250" s="1"/>
      <x:c r="D250" s="1"/>
      <x:c r="E250" s="1"/>
      <x:c r="F250" s="1"/>
      <x:c r="G250" s="1"/>
      <x:c r="H250" s="1"/>
      <x:c r="I250" s="1"/>
      <x:c r="J250" s="1"/>
      <x:c r="K250" s="1"/>
    </x:row>
    <x:row r="251">
      <x:c r="A251" s="1"/>
      <x:c r="B251" s="1"/>
      <x:c r="C251" s="1"/>
      <x:c r="D251" s="1"/>
      <x:c r="E251" s="1"/>
      <x:c r="F251" s="1"/>
      <x:c r="G251" s="1"/>
      <x:c r="H251" s="1"/>
      <x:c r="I251" s="1"/>
      <x:c r="J251" s="1"/>
      <x:c r="K251" s="1"/>
    </x:row>
    <x:row r="252">
      <x:c r="A252" s="1"/>
      <x:c r="B252" s="1"/>
      <x:c r="C252" s="1"/>
      <x:c r="D252" s="1"/>
      <x:c r="E252" s="1"/>
      <x:c r="F252" s="1"/>
      <x:c r="G252" s="1"/>
      <x:c r="H252" s="1"/>
      <x:c r="I252" s="1"/>
      <x:c r="J252" s="1"/>
      <x:c r="K252" s="1"/>
    </x:row>
    <x:row r="253">
      <x:c r="A253" s="1"/>
      <x:c r="B253" s="1"/>
      <x:c r="C253" s="1"/>
      <x:c r="D253" s="1"/>
      <x:c r="E253" s="1"/>
      <x:c r="F253" s="1"/>
      <x:c r="G253" s="1"/>
      <x:c r="H253" s="1"/>
      <x:c r="I253" s="1"/>
      <x:c r="J253" s="1"/>
      <x:c r="K253" s="1"/>
    </x:row>
    <x:row r="254">
      <x:c r="A254" s="1"/>
      <x:c r="B254" s="1"/>
      <x:c r="C254" s="1"/>
      <x:c r="D254" s="1"/>
      <x:c r="E254" s="1"/>
      <x:c r="F254" s="1"/>
      <x:c r="G254" s="1"/>
      <x:c r="H254" s="1"/>
      <x:c r="I254" s="1"/>
      <x:c r="J254" s="1"/>
      <x:c r="K254" s="1"/>
    </x:row>
    <x:row r="255">
      <x:c r="A255" s="1"/>
      <x:c r="B255" s="1"/>
      <x:c r="C255" s="1"/>
      <x:c r="D255" s="1"/>
      <x:c r="E255" s="1"/>
      <x:c r="F255" s="1"/>
      <x:c r="G255" s="1"/>
      <x:c r="H255" s="1"/>
      <x:c r="I255" s="1"/>
      <x:c r="J255" s="1"/>
      <x:c r="K255" s="1"/>
    </x:row>
    <x:row r="256">
      <x:c r="A256" s="1"/>
      <x:c r="B256" s="1"/>
      <x:c r="C256" s="1"/>
      <x:c r="D256" s="1"/>
      <x:c r="E256" s="1"/>
      <x:c r="F256" s="1"/>
      <x:c r="G256" s="1"/>
      <x:c r="H256" s="1"/>
      <x:c r="I256" s="1"/>
      <x:c r="J256" s="1"/>
      <x:c r="K256" s="1"/>
    </x:row>
    <x:row r="257">
      <x:c r="A257" s="1"/>
      <x:c r="B257" s="1"/>
      <x:c r="C257" s="1"/>
      <x:c r="D257" s="1"/>
      <x:c r="E257" s="1"/>
      <x:c r="F257" s="1"/>
      <x:c r="G257" s="1"/>
      <x:c r="H257" s="1"/>
      <x:c r="I257" s="1"/>
      <x:c r="J257" s="1"/>
      <x:c r="K257" s="1"/>
    </x:row>
    <x:row r="258">
      <x:c r="A258" s="1"/>
      <x:c r="B258" s="1"/>
      <x:c r="C258" s="1"/>
      <x:c r="D258" s="1"/>
      <x:c r="E258" s="1"/>
      <x:c r="F258" s="1"/>
      <x:c r="G258" s="1"/>
      <x:c r="H258" s="1"/>
      <x:c r="I258" s="1"/>
      <x:c r="J258" s="1"/>
      <x:c r="K258" s="1"/>
    </x:row>
    <x:row r="259">
      <x:c r="A259" s="1"/>
      <x:c r="B259" s="1"/>
      <x:c r="C259" s="1"/>
      <x:c r="D259" s="1"/>
      <x:c r="E259" s="1"/>
      <x:c r="F259" s="1"/>
      <x:c r="G259" s="1"/>
      <x:c r="H259" s="1"/>
      <x:c r="I259" s="1"/>
      <x:c r="J259" s="1"/>
      <x:c r="K259" s="1"/>
    </x:row>
    <x:row r="260">
      <x:c r="A260" s="1"/>
      <x:c r="B260" s="1"/>
      <x:c r="C260" s="1"/>
      <x:c r="D260" s="1"/>
      <x:c r="E260" s="1"/>
      <x:c r="F260" s="1"/>
      <x:c r="G260" s="1"/>
      <x:c r="H260" s="1"/>
      <x:c r="I260" s="1"/>
      <x:c r="J260" s="1"/>
      <x:c r="K260" s="1"/>
    </x:row>
    <x:row r="261">
      <x:c r="A261" s="1"/>
      <x:c r="B261" s="1"/>
      <x:c r="C261" s="1"/>
      <x:c r="D261" s="1"/>
      <x:c r="E261" s="1"/>
      <x:c r="F261" s="1"/>
      <x:c r="G261" s="1"/>
      <x:c r="H261" s="1"/>
      <x:c r="I261" s="1"/>
      <x:c r="J261" s="1"/>
      <x:c r="K261" s="1"/>
    </x:row>
    <x:row r="262">
      <x:c r="A262" s="1"/>
      <x:c r="B262" s="1"/>
      <x:c r="C262" s="1"/>
      <x:c r="D262" s="1"/>
      <x:c r="E262" s="1"/>
      <x:c r="F262" s="1"/>
      <x:c r="G262" s="1"/>
      <x:c r="H262" s="1"/>
      <x:c r="I262" s="1"/>
      <x:c r="J262" s="1"/>
      <x:c r="K262" s="1"/>
    </x:row>
    <x:row r="263">
      <x:c r="A263" s="1"/>
      <x:c r="B263" s="1"/>
      <x:c r="C263" s="1"/>
      <x:c r="D263" s="1"/>
      <x:c r="E263" s="1"/>
      <x:c r="F263" s="1"/>
      <x:c r="G263" s="1"/>
      <x:c r="H263" s="1"/>
      <x:c r="I263" s="1"/>
      <x:c r="J263" s="1"/>
      <x:c r="K263" s="1"/>
    </x:row>
    <x:row r="264">
      <x:c r="A264" s="1"/>
      <x:c r="B264" s="1"/>
      <x:c r="C264" s="1"/>
      <x:c r="D264" s="1"/>
      <x:c r="E264" s="1"/>
      <x:c r="F264" s="1"/>
      <x:c r="G264" s="1"/>
      <x:c r="H264" s="1"/>
      <x:c r="I264" s="1"/>
      <x:c r="J264" s="1"/>
      <x:c r="K264" s="1"/>
    </x:row>
    <x:row r="265">
      <x:c r="A265" s="1"/>
      <x:c r="B265" s="1"/>
      <x:c r="C265" s="1"/>
      <x:c r="D265" s="1"/>
      <x:c r="E265" s="1"/>
      <x:c r="F265" s="1"/>
      <x:c r="G265" s="1"/>
      <x:c r="H265" s="1"/>
      <x:c r="I265" s="1"/>
      <x:c r="J265" s="1"/>
      <x:c r="K265" s="1"/>
    </x:row>
    <x:row r="266">
      <x:c r="A266" s="1"/>
      <x:c r="B266" s="1"/>
      <x:c r="C266" s="1"/>
      <x:c r="D266" s="1"/>
      <x:c r="E266" s="1"/>
      <x:c r="F266" s="1"/>
      <x:c r="G266" s="1"/>
      <x:c r="H266" s="1"/>
      <x:c r="I266" s="1"/>
      <x:c r="J266" s="1"/>
      <x:c r="K266" s="1"/>
    </x:row>
    <x:row r="267">
      <x:c r="A267" s="1"/>
      <x:c r="B267" s="1"/>
      <x:c r="C267" s="1"/>
      <x:c r="D267" s="1"/>
      <x:c r="E267" s="1"/>
      <x:c r="F267" s="1"/>
      <x:c r="G267" s="1"/>
      <x:c r="H267" s="1"/>
      <x:c r="I267" s="1"/>
      <x:c r="J267" s="1"/>
      <x:c r="K267" s="1"/>
    </x:row>
    <x:row r="268">
      <x:c r="A268" s="1"/>
      <x:c r="B268" s="1"/>
      <x:c r="C268" s="1"/>
      <x:c r="D268" s="1"/>
      <x:c r="E268" s="1"/>
      <x:c r="F268" s="1"/>
      <x:c r="G268" s="1"/>
      <x:c r="H268" s="1"/>
      <x:c r="I268" s="1"/>
      <x:c r="J268" s="1"/>
      <x:c r="K268" s="1"/>
    </x:row>
    <x:row r="269">
      <x:c r="A269" s="1"/>
      <x:c r="B269" s="1"/>
      <x:c r="C269" s="1"/>
      <x:c r="D269" s="1"/>
      <x:c r="E269" s="1"/>
      <x:c r="F269" s="1"/>
      <x:c r="G269" s="1"/>
      <x:c r="H269" s="1"/>
      <x:c r="I269" s="1"/>
      <x:c r="J269" s="1"/>
      <x:c r="K269" s="1"/>
    </x:row>
    <x:row r="270">
      <x:c r="A270" s="1"/>
      <x:c r="B270" s="1"/>
      <x:c r="C270" s="1"/>
      <x:c r="D270" s="1"/>
      <x:c r="E270" s="1"/>
      <x:c r="F270" s="1"/>
      <x:c r="G270" s="1"/>
      <x:c r="H270" s="1"/>
      <x:c r="I270" s="1"/>
      <x:c r="J270" s="1"/>
      <x:c r="K270" s="1"/>
    </x:row>
    <x:row r="271">
      <x:c r="A271" s="1"/>
      <x:c r="B271" s="1"/>
      <x:c r="C271" s="1"/>
      <x:c r="D271" s="1"/>
      <x:c r="E271" s="1"/>
      <x:c r="F271" s="1"/>
      <x:c r="G271" s="1"/>
      <x:c r="H271" s="1"/>
      <x:c r="I271" s="1"/>
      <x:c r="J271" s="1"/>
      <x:c r="K271" s="1"/>
    </x:row>
    <x:row r="272">
      <x:c r="A272" s="1"/>
      <x:c r="B272" s="1"/>
      <x:c r="C272" s="1"/>
      <x:c r="D272" s="1"/>
      <x:c r="E272" s="1"/>
      <x:c r="F272" s="1"/>
      <x:c r="G272" s="1"/>
      <x:c r="H272" s="1"/>
      <x:c r="I272" s="1"/>
      <x:c r="J272" s="1"/>
      <x:c r="K272" s="1"/>
    </x:row>
    <x:row r="273">
      <x:c r="A273" s="1"/>
      <x:c r="B273" s="1"/>
      <x:c r="C273" s="1"/>
      <x:c r="D273" s="1"/>
      <x:c r="E273" s="1"/>
      <x:c r="F273" s="1"/>
      <x:c r="G273" s="1"/>
      <x:c r="H273" s="1"/>
      <x:c r="I273" s="1"/>
      <x:c r="J273" s="1"/>
      <x:c r="K273" s="1"/>
    </x:row>
    <x:row r="274">
      <x:c r="A274" s="1"/>
      <x:c r="B274" s="1"/>
      <x:c r="C274" s="1"/>
      <x:c r="D274" s="1"/>
      <x:c r="E274" s="1"/>
      <x:c r="F274" s="1"/>
      <x:c r="G274" s="1"/>
      <x:c r="H274" s="1"/>
      <x:c r="I274" s="1"/>
      <x:c r="J274" s="1"/>
      <x:c r="K274" s="1"/>
    </x:row>
    <x:row r="275">
      <x:c r="A275" s="1"/>
      <x:c r="B275" s="1"/>
      <x:c r="C275" s="1"/>
      <x:c r="D275" s="1"/>
      <x:c r="E275" s="1"/>
      <x:c r="F275" s="1"/>
      <x:c r="G275" s="1"/>
      <x:c r="H275" s="1"/>
      <x:c r="I275" s="1"/>
      <x:c r="J275" s="1"/>
      <x:c r="K275" s="1"/>
    </x:row>
    <x:row r="276">
      <x:c r="A276" s="1"/>
      <x:c r="B276" s="1"/>
      <x:c r="C276" s="1"/>
      <x:c r="D276" s="1"/>
      <x:c r="E276" s="1"/>
      <x:c r="F276" s="1"/>
      <x:c r="G276" s="1"/>
      <x:c r="H276" s="1"/>
      <x:c r="I276" s="1"/>
      <x:c r="J276" s="1"/>
      <x:c r="K276" s="1"/>
    </x:row>
    <x:row r="277">
      <x:c r="A277" s="1"/>
      <x:c r="B277" s="1"/>
      <x:c r="C277" s="1"/>
      <x:c r="D277" s="1"/>
      <x:c r="E277" s="1"/>
      <x:c r="F277" s="1"/>
      <x:c r="G277" s="1"/>
      <x:c r="H277" s="1"/>
      <x:c r="I277" s="1"/>
      <x:c r="J277" s="1"/>
      <x:c r="K277" s="1"/>
    </x:row>
    <x:row r="278">
      <x:c r="A278" s="1"/>
      <x:c r="B278" s="1"/>
      <x:c r="C278" s="1"/>
      <x:c r="D278" s="1"/>
      <x:c r="E278" s="1"/>
      <x:c r="F278" s="1"/>
      <x:c r="G278" s="1"/>
      <x:c r="H278" s="1"/>
      <x:c r="I278" s="1"/>
      <x:c r="J278" s="1"/>
      <x:c r="K278" s="1"/>
    </x:row>
    <x:row r="279">
      <x:c r="A279" s="1"/>
      <x:c r="B279" s="1"/>
      <x:c r="C279" s="1"/>
      <x:c r="D279" s="1"/>
      <x:c r="E279" s="1"/>
      <x:c r="F279" s="1"/>
      <x:c r="G279" s="1"/>
      <x:c r="H279" s="1"/>
      <x:c r="I279" s="1"/>
      <x:c r="J279" s="1"/>
      <x:c r="K279" s="1"/>
    </x:row>
    <x:row r="280">
      <x:c r="A280" s="1"/>
      <x:c r="B280" s="1"/>
      <x:c r="C280" s="1"/>
      <x:c r="D280" s="1"/>
      <x:c r="E280" s="1"/>
      <x:c r="F280" s="1"/>
      <x:c r="G280" s="1"/>
      <x:c r="H280" s="1"/>
      <x:c r="I280" s="1"/>
      <x:c r="J280" s="1"/>
      <x:c r="K280" s="1"/>
    </x:row>
    <x:row r="281">
      <x:c r="A281" s="1"/>
      <x:c r="B281" s="1"/>
      <x:c r="C281" s="1"/>
      <x:c r="D281" s="1"/>
      <x:c r="E281" s="1"/>
      <x:c r="F281" s="1"/>
      <x:c r="G281" s="1"/>
      <x:c r="H281" s="1"/>
      <x:c r="I281" s="1"/>
      <x:c r="J281" s="1"/>
      <x:c r="K281" s="1"/>
    </x:row>
    <x:row r="282">
      <x:c r="A282" s="1"/>
      <x:c r="B282" s="1"/>
      <x:c r="C282" s="1"/>
      <x:c r="D282" s="1"/>
      <x:c r="E282" s="1"/>
      <x:c r="F282" s="1"/>
      <x:c r="G282" s="1"/>
      <x:c r="H282" s="1"/>
      <x:c r="I282" s="1"/>
      <x:c r="J282" s="1"/>
      <x:c r="K282" s="1"/>
    </x:row>
    <x:row r="283">
      <x:c r="A283" s="1"/>
      <x:c r="B283" s="1"/>
      <x:c r="C283" s="1"/>
      <x:c r="D283" s="1"/>
      <x:c r="E283" s="1"/>
      <x:c r="F283" s="1"/>
      <x:c r="G283" s="1"/>
      <x:c r="H283" s="1"/>
      <x:c r="I283" s="1"/>
      <x:c r="J283" s="1"/>
      <x:c r="K283" s="1"/>
    </x:row>
    <x:row r="284">
      <x:c r="A284" s="1"/>
      <x:c r="B284" s="1"/>
      <x:c r="C284" s="1"/>
      <x:c r="D284" s="1"/>
      <x:c r="E284" s="1"/>
      <x:c r="F284" s="1"/>
      <x:c r="G284" s="1"/>
      <x:c r="H284" s="1"/>
      <x:c r="I284" s="1"/>
      <x:c r="J284" s="1"/>
      <x:c r="K284" s="1"/>
    </x:row>
    <x:row r="285">
      <x:c r="A285" s="1"/>
      <x:c r="B285" s="1"/>
      <x:c r="C285" s="1"/>
      <x:c r="D285" s="1"/>
      <x:c r="E285" s="1"/>
      <x:c r="F285" s="1"/>
      <x:c r="G285" s="1"/>
      <x:c r="H285" s="1"/>
      <x:c r="I285" s="1"/>
      <x:c r="J285" s="1"/>
      <x:c r="K285" s="1"/>
    </x:row>
    <x:row r="286">
      <x:c r="A286" s="1"/>
      <x:c r="B286" s="1"/>
      <x:c r="C286" s="1"/>
      <x:c r="D286" s="1"/>
      <x:c r="E286" s="1"/>
      <x:c r="F286" s="1"/>
      <x:c r="G286" s="1"/>
      <x:c r="H286" s="1"/>
      <x:c r="I286" s="1"/>
      <x:c r="J286" s="1"/>
      <x:c r="K286" s="1"/>
    </x:row>
    <x:row r="287">
      <x:c r="A287" s="1"/>
      <x:c r="B287" s="1"/>
      <x:c r="C287" s="1"/>
      <x:c r="D287" s="1"/>
      <x:c r="E287" s="1"/>
      <x:c r="F287" s="1"/>
      <x:c r="G287" s="1"/>
      <x:c r="H287" s="1"/>
      <x:c r="I287" s="1"/>
      <x:c r="J287" s="1"/>
      <x:c r="K287" s="1"/>
    </x:row>
    <x:row r="288">
      <x:c r="A288" s="1"/>
      <x:c r="B288" s="1"/>
      <x:c r="C288" s="1"/>
      <x:c r="D288" s="1"/>
      <x:c r="E288" s="1"/>
      <x:c r="F288" s="1"/>
      <x:c r="G288" s="1"/>
      <x:c r="H288" s="1"/>
      <x:c r="I288" s="1"/>
      <x:c r="J288" s="1"/>
      <x:c r="K288" s="1"/>
    </x:row>
    <x:row r="289">
      <x:c r="A289" s="1"/>
      <x:c r="B289" s="1"/>
      <x:c r="C289" s="1"/>
      <x:c r="D289" s="1"/>
      <x:c r="E289" s="1"/>
      <x:c r="F289" s="1"/>
      <x:c r="G289" s="1"/>
      <x:c r="H289" s="1"/>
      <x:c r="I289" s="1"/>
      <x:c r="J289" s="1"/>
      <x:c r="K289" s="1"/>
    </x:row>
    <x:row r="290">
      <x:c r="A290" s="1"/>
      <x:c r="B290" s="1"/>
      <x:c r="C290" s="1"/>
      <x:c r="D290" s="1"/>
      <x:c r="E290" s="1"/>
      <x:c r="F290" s="1"/>
      <x:c r="G290" s="1"/>
      <x:c r="H290" s="1"/>
      <x:c r="I290" s="1"/>
      <x:c r="J290" s="1"/>
      <x:c r="K290" s="1"/>
    </x:row>
    <x:row r="291">
      <x:c r="A291" s="1"/>
      <x:c r="B291" s="1"/>
      <x:c r="C291" s="1"/>
      <x:c r="D291" s="1"/>
      <x:c r="E291" s="1"/>
      <x:c r="F291" s="1"/>
      <x:c r="G291" s="1"/>
      <x:c r="H291" s="1"/>
      <x:c r="I291" s="1"/>
      <x:c r="J291" s="1"/>
      <x:c r="K291" s="1"/>
    </x:row>
    <x:row r="292">
      <x:c r="A292" s="1"/>
      <x:c r="B292" s="1"/>
      <x:c r="C292" s="1"/>
      <x:c r="D292" s="1"/>
      <x:c r="E292" s="1"/>
      <x:c r="F292" s="1"/>
      <x:c r="G292" s="1"/>
      <x:c r="H292" s="1"/>
      <x:c r="I292" s="1"/>
      <x:c r="J292" s="1"/>
      <x:c r="K292" s="1"/>
    </x:row>
    <x:row r="293">
      <x:c r="A293" s="1"/>
      <x:c r="B293" s="1"/>
      <x:c r="C293" s="1"/>
      <x:c r="D293" s="1"/>
      <x:c r="E293" s="1"/>
      <x:c r="F293" s="1"/>
      <x:c r="G293" s="1"/>
      <x:c r="H293" s="1"/>
      <x:c r="I293" s="1"/>
      <x:c r="J293" s="1"/>
      <x:c r="K293" s="1"/>
    </x:row>
    <x:row r="294">
      <x:c r="A294" s="1"/>
      <x:c r="B294" s="1"/>
      <x:c r="C294" s="1"/>
      <x:c r="D294" s="1"/>
      <x:c r="E294" s="1"/>
      <x:c r="F294" s="1"/>
      <x:c r="G294" s="1"/>
      <x:c r="H294" s="1"/>
      <x:c r="I294" s="1"/>
      <x:c r="J294" s="1"/>
      <x:c r="K294" s="1"/>
    </x:row>
    <x:row r="295">
      <x:c r="A295" s="1"/>
      <x:c r="B295" s="1"/>
      <x:c r="C295" s="1"/>
      <x:c r="D295" s="1"/>
      <x:c r="E295" s="1"/>
      <x:c r="F295" s="1"/>
      <x:c r="G295" s="1"/>
      <x:c r="H295" s="1"/>
      <x:c r="I295" s="1"/>
      <x:c r="J295" s="1"/>
      <x:c r="K295" s="1"/>
    </x:row>
    <x:row r="296">
      <x:c r="A296" s="1"/>
      <x:c r="B296" s="1"/>
      <x:c r="C296" s="1"/>
      <x:c r="D296" s="1"/>
      <x:c r="E296" s="1"/>
      <x:c r="F296" s="1"/>
      <x:c r="G296" s="1"/>
      <x:c r="H296" s="1"/>
      <x:c r="I296" s="1"/>
      <x:c r="J296" s="1"/>
      <x:c r="K296" s="1"/>
    </x:row>
    <x:row r="297">
      <x:c r="A297" s="1"/>
      <x:c r="B297" s="1"/>
      <x:c r="C297" s="1"/>
      <x:c r="D297" s="1"/>
      <x:c r="E297" s="1"/>
      <x:c r="F297" s="1"/>
      <x:c r="G297" s="1"/>
      <x:c r="H297" s="1"/>
      <x:c r="I297" s="1"/>
      <x:c r="J297" s="1"/>
      <x:c r="K297" s="1"/>
    </x:row>
    <x:row r="298">
      <x:c r="A298" s="1"/>
      <x:c r="B298" s="1"/>
      <x:c r="C298" s="1"/>
      <x:c r="D298" s="1"/>
      <x:c r="E298" s="1"/>
      <x:c r="F298" s="1"/>
      <x:c r="G298" s="1"/>
      <x:c r="H298" s="1"/>
      <x:c r="I298" s="1"/>
      <x:c r="J298" s="1"/>
      <x:c r="K298" s="1"/>
    </x:row>
    <x:row r="299">
      <x:c r="A299" s="1"/>
      <x:c r="B299" s="1"/>
      <x:c r="C299" s="1"/>
      <x:c r="D299" s="1"/>
      <x:c r="E299" s="1"/>
      <x:c r="F299" s="1"/>
      <x:c r="G299" s="1"/>
      <x:c r="H299" s="1"/>
      <x:c r="I299" s="1"/>
      <x:c r="J299" s="1"/>
      <x:c r="K299" s="1"/>
    </x:row>
    <x:row r="300">
      <x:c r="A300" s="1"/>
      <x:c r="B300" s="1"/>
      <x:c r="C300" s="1"/>
      <x:c r="D300" s="1"/>
      <x:c r="E300" s="1"/>
      <x:c r="F300" s="1"/>
      <x:c r="G300" s="1"/>
      <x:c r="H300" s="1"/>
      <x:c r="I300" s="1"/>
      <x:c r="J300" s="1"/>
      <x:c r="K300" s="1"/>
    </x:row>
    <x:row r="301">
      <x:c r="A301" s="1"/>
      <x:c r="B301" s="1"/>
      <x:c r="C301" s="1"/>
      <x:c r="D301" s="1"/>
      <x:c r="E301" s="1"/>
      <x:c r="F301" s="1"/>
      <x:c r="G301" s="1"/>
      <x:c r="H301" s="1"/>
      <x:c r="I301" s="1"/>
      <x:c r="J301" s="1"/>
      <x:c r="K301" s="1"/>
    </x:row>
    <x:row r="302">
      <x:c r="A302" s="1"/>
      <x:c r="B302" s="1"/>
      <x:c r="C302" s="1"/>
      <x:c r="D302" s="1"/>
      <x:c r="E302" s="1"/>
      <x:c r="F302" s="1"/>
      <x:c r="G302" s="1"/>
      <x:c r="H302" s="1"/>
      <x:c r="I302" s="1"/>
      <x:c r="J302" s="1"/>
      <x:c r="K302" s="1"/>
    </x:row>
    <x:row r="303">
      <x:c r="A303" s="1"/>
      <x:c r="B303" s="1"/>
      <x:c r="C303" s="1"/>
      <x:c r="D303" s="1"/>
      <x:c r="E303" s="1"/>
      <x:c r="F303" s="1"/>
      <x:c r="G303" s="1"/>
      <x:c r="H303" s="1"/>
      <x:c r="I303" s="1"/>
      <x:c r="J303" s="1"/>
      <x:c r="K303" s="1"/>
    </x:row>
    <x:row r="304">
      <x:c r="A304" s="1"/>
      <x:c r="B304" s="1"/>
      <x:c r="C304" s="1"/>
      <x:c r="D304" s="1"/>
      <x:c r="E304" s="1"/>
      <x:c r="F304" s="1"/>
      <x:c r="G304" s="1"/>
      <x:c r="H304" s="1"/>
      <x:c r="I304" s="1"/>
      <x:c r="J304" s="1"/>
      <x:c r="K304" s="1"/>
    </x:row>
    <x:row r="305">
      <x:c r="A305" s="1"/>
      <x:c r="B305" s="1"/>
      <x:c r="C305" s="1"/>
      <x:c r="D305" s="1"/>
      <x:c r="E305" s="1"/>
      <x:c r="F305" s="1"/>
      <x:c r="G305" s="1"/>
      <x:c r="H305" s="1"/>
      <x:c r="I305" s="1"/>
      <x:c r="J305" s="1"/>
      <x:c r="K305" s="1"/>
    </x:row>
    <x:row r="306">
      <x:c r="A306" s="1"/>
      <x:c r="B306" s="1"/>
      <x:c r="C306" s="1"/>
      <x:c r="D306" s="1"/>
      <x:c r="E306" s="1"/>
      <x:c r="F306" s="1"/>
      <x:c r="G306" s="1"/>
      <x:c r="H306" s="1"/>
      <x:c r="I306" s="1"/>
      <x:c r="J306" s="1"/>
      <x:c r="K306" s="1"/>
    </x:row>
    <x:row r="307">
      <x:c r="A307" s="1"/>
      <x:c r="B307" s="1"/>
      <x:c r="C307" s="1"/>
      <x:c r="D307" s="1"/>
      <x:c r="E307" s="1"/>
      <x:c r="F307" s="1"/>
      <x:c r="G307" s="1"/>
      <x:c r="H307" s="1"/>
      <x:c r="I307" s="1"/>
      <x:c r="J307" s="1"/>
      <x:c r="K307" s="1"/>
    </x:row>
    <x:row r="308">
      <x:c r="A308" s="1"/>
      <x:c r="B308" s="1"/>
      <x:c r="C308" s="1"/>
      <x:c r="D308" s="1"/>
      <x:c r="E308" s="1"/>
      <x:c r="F308" s="1"/>
      <x:c r="G308" s="1"/>
      <x:c r="H308" s="1"/>
      <x:c r="I308" s="1"/>
      <x:c r="J308" s="1"/>
      <x:c r="K308" s="1"/>
    </x:row>
    <x:row r="309">
      <x:c r="A309" s="1"/>
      <x:c r="B309" s="1"/>
      <x:c r="C309" s="1"/>
      <x:c r="D309" s="1"/>
      <x:c r="E309" s="1"/>
      <x:c r="F309" s="1"/>
      <x:c r="G309" s="1"/>
      <x:c r="H309" s="1"/>
      <x:c r="I309" s="1"/>
      <x:c r="J309" s="1"/>
      <x:c r="K309" s="1"/>
    </x:row>
    <x:row r="310">
      <x:c r="A310" s="1"/>
      <x:c r="B310" s="1"/>
      <x:c r="C310" s="1"/>
      <x:c r="D310" s="1"/>
      <x:c r="E310" s="1"/>
      <x:c r="F310" s="1"/>
      <x:c r="G310" s="1"/>
      <x:c r="H310" s="1"/>
      <x:c r="I310" s="1"/>
      <x:c r="J310" s="1"/>
      <x:c r="K310" s="1"/>
    </x:row>
    <x:row r="311">
      <x:c r="A311" s="1"/>
      <x:c r="B311" s="1"/>
      <x:c r="C311" s="1"/>
      <x:c r="D311" s="1"/>
      <x:c r="E311" s="1"/>
      <x:c r="F311" s="1"/>
      <x:c r="G311" s="1"/>
      <x:c r="H311" s="1"/>
      <x:c r="I311" s="1"/>
      <x:c r="J311" s="1"/>
      <x:c r="K311" s="1"/>
    </x:row>
    <x:row r="312">
      <x:c r="A312" s="1"/>
      <x:c r="B312" s="1"/>
      <x:c r="C312" s="1"/>
      <x:c r="D312" s="1"/>
      <x:c r="E312" s="1"/>
      <x:c r="F312" s="1"/>
      <x:c r="G312" s="1"/>
      <x:c r="H312" s="1"/>
      <x:c r="I312" s="1"/>
      <x:c r="J312" s="1"/>
      <x:c r="K312" s="1"/>
    </x:row>
    <x:row r="313">
      <x:c r="A313" s="1"/>
      <x:c r="B313" s="1"/>
      <x:c r="C313" s="1"/>
      <x:c r="D313" s="1"/>
      <x:c r="E313" s="1"/>
      <x:c r="F313" s="1"/>
      <x:c r="G313" s="1"/>
      <x:c r="H313" s="1"/>
      <x:c r="I313" s="1"/>
      <x:c r="J313" s="1"/>
      <x:c r="K313" s="1"/>
    </x:row>
    <x:row r="314">
      <x:c r="A314" s="1"/>
      <x:c r="B314" s="1"/>
      <x:c r="C314" s="1"/>
      <x:c r="D314" s="1"/>
      <x:c r="E314" s="1"/>
      <x:c r="F314" s="1"/>
      <x:c r="G314" s="1"/>
      <x:c r="H314" s="1"/>
      <x:c r="I314" s="1"/>
      <x:c r="J314" s="1"/>
      <x:c r="K314" s="1"/>
    </x:row>
    <x:row r="315">
      <x:c r="A315" s="1"/>
      <x:c r="B315" s="1"/>
      <x:c r="C315" s="1"/>
      <x:c r="D315" s="1"/>
      <x:c r="E315" s="1"/>
      <x:c r="F315" s="1"/>
      <x:c r="G315" s="1"/>
      <x:c r="H315" s="1"/>
      <x:c r="I315" s="1"/>
      <x:c r="J315" s="1"/>
      <x:c r="K315" s="1"/>
    </x:row>
    <x:row r="316">
      <x:c r="A316" s="1"/>
      <x:c r="B316" s="1"/>
      <x:c r="C316" s="1"/>
      <x:c r="D316" s="1"/>
      <x:c r="E316" s="1"/>
      <x:c r="F316" s="1"/>
      <x:c r="G316" s="1"/>
      <x:c r="H316" s="1"/>
      <x:c r="I316" s="1"/>
      <x:c r="J316" s="1"/>
      <x:c r="K316" s="1"/>
    </x:row>
    <x:row r="317">
      <x:c r="A317" s="1"/>
      <x:c r="B317" s="1"/>
      <x:c r="C317" s="1"/>
      <x:c r="D317" s="1"/>
      <x:c r="E317" s="1"/>
      <x:c r="F317" s="1"/>
      <x:c r="G317" s="1"/>
      <x:c r="H317" s="1"/>
      <x:c r="I317" s="1"/>
      <x:c r="J317" s="1"/>
      <x:c r="K317" s="1"/>
    </x:row>
    <x:row r="318">
      <x:c r="A318" s="1"/>
      <x:c r="B318" s="1"/>
      <x:c r="C318" s="1"/>
      <x:c r="D318" s="1"/>
      <x:c r="E318" s="1"/>
      <x:c r="F318" s="1"/>
      <x:c r="G318" s="1"/>
      <x:c r="H318" s="1"/>
      <x:c r="I318" s="1"/>
      <x:c r="J318" s="1"/>
      <x:c r="K318" s="1"/>
    </x:row>
    <x:row r="319">
      <x:c r="A319" s="1"/>
      <x:c r="B319" s="1"/>
      <x:c r="C319" s="1"/>
      <x:c r="D319" s="1"/>
      <x:c r="E319" s="1"/>
      <x:c r="F319" s="1"/>
      <x:c r="G319" s="1"/>
      <x:c r="H319" s="1"/>
      <x:c r="I319" s="1"/>
      <x:c r="J319" s="1"/>
      <x:c r="K319" s="1"/>
    </x:row>
    <x:row r="320">
      <x:c r="A320" s="1"/>
      <x:c r="B320" s="1"/>
      <x:c r="C320" s="1"/>
      <x:c r="D320" s="1"/>
      <x:c r="E320" s="1"/>
      <x:c r="F320" s="1"/>
      <x:c r="G320" s="1"/>
      <x:c r="H320" s="1"/>
      <x:c r="I320" s="1"/>
      <x:c r="J320" s="1"/>
      <x:c r="K320" s="1"/>
    </x:row>
    <x:row r="321">
      <x:c r="A321" s="1"/>
      <x:c r="B321" s="1"/>
      <x:c r="C321" s="1"/>
      <x:c r="D321" s="1"/>
      <x:c r="E321" s="1"/>
      <x:c r="F321" s="1"/>
      <x:c r="G321" s="1"/>
      <x:c r="H321" s="1"/>
      <x:c r="I321" s="1"/>
      <x:c r="J321" s="1"/>
      <x:c r="K321" s="1"/>
    </x:row>
    <x:row r="322">
      <x:c r="A322" s="1"/>
      <x:c r="B322" s="1"/>
      <x:c r="C322" s="1"/>
      <x:c r="D322" s="1"/>
      <x:c r="E322" s="1"/>
      <x:c r="F322" s="1"/>
      <x:c r="G322" s="1"/>
      <x:c r="H322" s="1"/>
      <x:c r="I322" s="1"/>
      <x:c r="J322" s="1"/>
      <x:c r="K322" s="1"/>
    </x:row>
    <x:row r="323">
      <x:c r="A323" s="1"/>
      <x:c r="B323" s="1"/>
      <x:c r="C323" s="1"/>
      <x:c r="D323" s="1"/>
      <x:c r="E323" s="1"/>
      <x:c r="F323" s="1"/>
      <x:c r="G323" s="1"/>
      <x:c r="H323" s="1"/>
      <x:c r="I323" s="1"/>
      <x:c r="J323" s="1"/>
      <x:c r="K323" s="1"/>
    </x:row>
    <x:row r="324">
      <x:c r="A324" s="1"/>
      <x:c r="B324" s="1"/>
      <x:c r="C324" s="1"/>
      <x:c r="D324" s="1"/>
      <x:c r="E324" s="1"/>
      <x:c r="F324" s="1"/>
      <x:c r="G324" s="1"/>
      <x:c r="H324" s="1"/>
      <x:c r="I324" s="1"/>
      <x:c r="J324" s="1"/>
      <x:c r="K324" s="1"/>
    </x:row>
    <x:row r="325">
      <x:c r="A325" s="1"/>
      <x:c r="B325" s="1"/>
      <x:c r="C325" s="1"/>
      <x:c r="D325" s="1"/>
      <x:c r="E325" s="1"/>
      <x:c r="F325" s="1"/>
      <x:c r="G325" s="1"/>
      <x:c r="H325" s="1"/>
      <x:c r="I325" s="1"/>
      <x:c r="J325" s="1"/>
      <x:c r="K325" s="1"/>
    </x:row>
    <x:row r="326">
      <x:c r="A326" s="1"/>
      <x:c r="B326" s="1"/>
      <x:c r="C326" s="1"/>
      <x:c r="D326" s="1"/>
      <x:c r="E326" s="1"/>
      <x:c r="F326" s="1"/>
      <x:c r="G326" s="1"/>
      <x:c r="H326" s="1"/>
      <x:c r="I326" s="1"/>
      <x:c r="J326" s="1"/>
      <x:c r="K326" s="1"/>
    </x:row>
    <x:row r="327">
      <x:c r="A327" s="1"/>
      <x:c r="B327" s="1"/>
      <x:c r="C327" s="1"/>
      <x:c r="D327" s="1"/>
      <x:c r="E327" s="1"/>
      <x:c r="F327" s="1"/>
      <x:c r="G327" s="1"/>
      <x:c r="H327" s="1"/>
      <x:c r="I327" s="1"/>
      <x:c r="J327" s="1"/>
      <x:c r="K327" s="1"/>
    </x:row>
    <x:row r="328">
      <x:c r="A328" s="1"/>
      <x:c r="B328" s="1"/>
      <x:c r="C328" s="1"/>
      <x:c r="D328" s="1"/>
      <x:c r="E328" s="1"/>
      <x:c r="F328" s="1"/>
      <x:c r="G328" s="1"/>
      <x:c r="H328" s="1"/>
      <x:c r="I328" s="1"/>
      <x:c r="J328" s="1"/>
      <x:c r="K328" s="1"/>
    </x:row>
    <x:row r="329">
      <x:c r="A329" s="1"/>
      <x:c r="B329" s="1"/>
      <x:c r="C329" s="1"/>
      <x:c r="D329" s="1"/>
      <x:c r="E329" s="1"/>
      <x:c r="F329" s="1"/>
      <x:c r="G329" s="1"/>
      <x:c r="H329" s="1"/>
      <x:c r="I329" s="1"/>
      <x:c r="J329" s="1"/>
      <x:c r="K329" s="1"/>
    </x:row>
    <x:row r="330">
      <x:c r="A330" s="1"/>
      <x:c r="B330" s="1"/>
      <x:c r="C330" s="1"/>
      <x:c r="D330" s="1"/>
      <x:c r="E330" s="1"/>
      <x:c r="F330" s="1"/>
      <x:c r="G330" s="1"/>
      <x:c r="H330" s="1"/>
      <x:c r="I330" s="1"/>
      <x:c r="J330" s="1"/>
      <x:c r="K330" s="1"/>
    </x:row>
    <x:row r="331">
      <x:c r="A331" s="1"/>
      <x:c r="B331" s="1"/>
      <x:c r="C331" s="1"/>
      <x:c r="D331" s="1"/>
      <x:c r="E331" s="1"/>
      <x:c r="F331" s="1"/>
      <x:c r="G331" s="1"/>
      <x:c r="H331" s="1"/>
      <x:c r="I331" s="1"/>
      <x:c r="J331" s="1"/>
      <x:c r="K331" s="1"/>
    </x:row>
    <x:row r="332">
      <x:c r="A332" s="1"/>
      <x:c r="B332" s="1"/>
      <x:c r="C332" s="1"/>
      <x:c r="D332" s="1"/>
      <x:c r="E332" s="1"/>
      <x:c r="F332" s="1"/>
      <x:c r="G332" s="1"/>
      <x:c r="H332" s="1"/>
      <x:c r="I332" s="1"/>
      <x:c r="J332" s="1"/>
      <x:c r="K332" s="1"/>
    </x:row>
    <x:row r="333">
      <x:c r="A333" s="1"/>
      <x:c r="B333" s="1"/>
      <x:c r="C333" s="1"/>
      <x:c r="D333" s="1"/>
      <x:c r="E333" s="1"/>
      <x:c r="F333" s="1"/>
      <x:c r="G333" s="1"/>
      <x:c r="H333" s="1"/>
      <x:c r="I333" s="1"/>
      <x:c r="J333" s="1"/>
      <x:c r="K333" s="1"/>
    </x:row>
    <x:row r="334">
      <x:c r="A334" s="1"/>
      <x:c r="B334" s="1"/>
      <x:c r="C334" s="1"/>
      <x:c r="D334" s="1"/>
      <x:c r="E334" s="1"/>
      <x:c r="F334" s="1"/>
      <x:c r="G334" s="1"/>
      <x:c r="H334" s="1"/>
      <x:c r="I334" s="1"/>
      <x:c r="J334" s="1"/>
      <x:c r="K334" s="1"/>
    </x:row>
    <x:row r="335">
      <x:c r="A335" s="1"/>
      <x:c r="B335" s="1"/>
      <x:c r="C335" s="1"/>
      <x:c r="D335" s="1"/>
      <x:c r="E335" s="1"/>
      <x:c r="F335" s="1"/>
      <x:c r="G335" s="1"/>
      <x:c r="H335" s="1"/>
      <x:c r="I335" s="1"/>
      <x:c r="J335" s="1"/>
      <x:c r="K335" s="1"/>
    </x:row>
    <x:row r="336">
      <x:c r="A336" s="1"/>
      <x:c r="B336" s="1"/>
      <x:c r="C336" s="1"/>
      <x:c r="D336" s="1"/>
      <x:c r="E336" s="1"/>
      <x:c r="F336" s="1"/>
      <x:c r="G336" s="1"/>
      <x:c r="H336" s="1"/>
      <x:c r="I336" s="1"/>
      <x:c r="J336" s="1"/>
      <x:c r="K336" s="1"/>
    </x:row>
    <x:row r="337">
      <x:c r="A337" s="1"/>
      <x:c r="B337" s="1"/>
      <x:c r="C337" s="1"/>
      <x:c r="D337" s="1"/>
      <x:c r="E337" s="1"/>
      <x:c r="F337" s="1"/>
      <x:c r="G337" s="1"/>
      <x:c r="H337" s="1"/>
      <x:c r="I337" s="1"/>
      <x:c r="J337" s="1"/>
      <x:c r="K337" s="1"/>
    </x:row>
    <x:row r="338">
      <x:c r="A338" s="1"/>
      <x:c r="B338" s="1"/>
      <x:c r="C338" s="1"/>
      <x:c r="D338" s="1"/>
      <x:c r="E338" s="1"/>
      <x:c r="F338" s="1"/>
      <x:c r="G338" s="1"/>
      <x:c r="H338" s="1"/>
      <x:c r="I338" s="1"/>
      <x:c r="J338" s="1"/>
      <x:c r="K338" s="1"/>
    </x:row>
    <x:row r="339">
      <x:c r="A339" s="1"/>
      <x:c r="B339" s="1"/>
      <x:c r="C339" s="1"/>
      <x:c r="D339" s="1"/>
      <x:c r="E339" s="1"/>
      <x:c r="F339" s="1"/>
      <x:c r="G339" s="1"/>
      <x:c r="H339" s="1"/>
      <x:c r="I339" s="1"/>
      <x:c r="J339" s="1"/>
      <x:c r="K339" s="1"/>
    </x:row>
    <x:row r="340">
      <x:c r="A340" s="1"/>
      <x:c r="B340" s="1"/>
      <x:c r="C340" s="1"/>
      <x:c r="D340" s="1"/>
      <x:c r="E340" s="1"/>
      <x:c r="F340" s="1"/>
      <x:c r="G340" s="1"/>
      <x:c r="H340" s="1"/>
      <x:c r="I340" s="1"/>
      <x:c r="J340" s="1"/>
      <x:c r="K340" s="1"/>
    </x:row>
    <x:row r="341">
      <x:c r="A341" s="1"/>
      <x:c r="B341" s="1"/>
      <x:c r="C341" s="1"/>
      <x:c r="D341" s="1"/>
      <x:c r="E341" s="1"/>
      <x:c r="F341" s="1"/>
      <x:c r="G341" s="1"/>
      <x:c r="H341" s="1"/>
      <x:c r="I341" s="1"/>
      <x:c r="J341" s="1"/>
      <x:c r="K341" s="1"/>
    </x:row>
    <x:row r="342">
      <x:c r="A342" s="1"/>
      <x:c r="B342" s="1"/>
      <x:c r="C342" s="1"/>
      <x:c r="D342" s="1"/>
      <x:c r="E342" s="1"/>
      <x:c r="F342" s="1"/>
      <x:c r="G342" s="1"/>
      <x:c r="H342" s="1"/>
      <x:c r="I342" s="1"/>
      <x:c r="J342" s="1"/>
      <x:c r="K342" s="1"/>
    </x:row>
    <x:row r="343">
      <x:c r="A343" s="1"/>
      <x:c r="B343" s="1"/>
      <x:c r="C343" s="1"/>
      <x:c r="D343" s="1"/>
      <x:c r="E343" s="1"/>
      <x:c r="F343" s="1"/>
      <x:c r="G343" s="1"/>
      <x:c r="H343" s="1"/>
      <x:c r="I343" s="1"/>
      <x:c r="J343" s="1"/>
      <x:c r="K343" s="1"/>
    </x:row>
    <x:row r="344">
      <x:c r="A344" s="1"/>
      <x:c r="B344" s="1"/>
      <x:c r="C344" s="1"/>
      <x:c r="D344" s="1"/>
      <x:c r="E344" s="1"/>
      <x:c r="F344" s="1"/>
      <x:c r="G344" s="1"/>
      <x:c r="H344" s="1"/>
      <x:c r="I344" s="1"/>
      <x:c r="J344" s="1"/>
      <x:c r="K344" s="1"/>
    </x:row>
    <x:row r="345">
      <x:c r="A345" s="1"/>
      <x:c r="B345" s="1"/>
      <x:c r="C345" s="1"/>
      <x:c r="D345" s="1"/>
      <x:c r="E345" s="1"/>
      <x:c r="F345" s="1"/>
      <x:c r="G345" s="1"/>
      <x:c r="H345" s="1"/>
      <x:c r="I345" s="1"/>
      <x:c r="J345" s="1"/>
      <x:c r="K345" s="1"/>
    </x:row>
    <x:row r="346">
      <x:c r="A346" s="1"/>
      <x:c r="B346" s="1"/>
      <x:c r="C346" s="1"/>
      <x:c r="D346" s="1"/>
      <x:c r="E346" s="1"/>
      <x:c r="F346" s="1"/>
      <x:c r="G346" s="1"/>
      <x:c r="H346" s="1"/>
      <x:c r="I346" s="1"/>
      <x:c r="J346" s="1"/>
      <x:c r="K346" s="1"/>
    </x:row>
    <x:row r="347">
      <x:c r="A347" s="1"/>
      <x:c r="B347" s="1"/>
      <x:c r="C347" s="1"/>
      <x:c r="D347" s="1"/>
      <x:c r="E347" s="1"/>
      <x:c r="F347" s="1"/>
      <x:c r="G347" s="1"/>
      <x:c r="H347" s="1"/>
      <x:c r="I347" s="1"/>
      <x:c r="J347" s="1"/>
      <x:c r="K347" s="1"/>
    </x:row>
    <x:row r="348">
      <x:c r="A348" s="1"/>
      <x:c r="B348" s="1"/>
      <x:c r="C348" s="1"/>
      <x:c r="D348" s="1"/>
      <x:c r="E348" s="1"/>
      <x:c r="F348" s="1"/>
      <x:c r="G348" s="1"/>
      <x:c r="H348" s="1"/>
      <x:c r="I348" s="1"/>
      <x:c r="J348" s="1"/>
      <x:c r="K348" s="1"/>
    </x:row>
    <x:row r="349">
      <x:c r="A349" s="1"/>
      <x:c r="B349" s="1"/>
      <x:c r="C349" s="1"/>
      <x:c r="D349" s="1"/>
      <x:c r="E349" s="1"/>
      <x:c r="F349" s="1"/>
      <x:c r="G349" s="1"/>
      <x:c r="H349" s="1"/>
      <x:c r="I349" s="1"/>
      <x:c r="J349" s="1"/>
      <x:c r="K349" s="1"/>
    </x:row>
    <x:row r="350">
      <x:c r="A350" s="1"/>
      <x:c r="B350" s="1"/>
      <x:c r="C350" s="1"/>
      <x:c r="D350" s="1"/>
      <x:c r="E350" s="1"/>
      <x:c r="F350" s="1"/>
      <x:c r="G350" s="1"/>
      <x:c r="H350" s="1"/>
      <x:c r="I350" s="1"/>
      <x:c r="J350" s="1"/>
      <x:c r="K350" s="1"/>
    </x:row>
    <x:row r="351">
      <x:c r="A351" s="1"/>
      <x:c r="B351" s="1"/>
      <x:c r="C351" s="1"/>
      <x:c r="D351" s="1"/>
      <x:c r="E351" s="1"/>
      <x:c r="F351" s="1"/>
      <x:c r="G351" s="1"/>
      <x:c r="H351" s="1"/>
      <x:c r="I351" s="1"/>
      <x:c r="J351" s="1"/>
      <x:c r="K351" s="1"/>
    </x:row>
    <x:row r="352">
      <x:c r="A352" s="1"/>
      <x:c r="B352" s="1"/>
      <x:c r="C352" s="1"/>
      <x:c r="D352" s="1"/>
      <x:c r="E352" s="1"/>
      <x:c r="F352" s="1"/>
      <x:c r="G352" s="1"/>
      <x:c r="H352" s="1"/>
      <x:c r="I352" s="1"/>
      <x:c r="J352" s="1"/>
      <x:c r="K352" s="1"/>
    </x:row>
    <x:row r="353">
      <x:c r="A353" s="1"/>
      <x:c r="B353" s="1"/>
      <x:c r="C353" s="1"/>
      <x:c r="D353" s="1"/>
      <x:c r="E353" s="1"/>
      <x:c r="F353" s="1"/>
      <x:c r="G353" s="1"/>
      <x:c r="H353" s="1"/>
      <x:c r="I353" s="1"/>
      <x:c r="J353" s="1"/>
      <x:c r="K353" s="1"/>
    </x:row>
    <x:row r="354">
      <x:c r="A354" s="1"/>
      <x:c r="B354" s="1"/>
      <x:c r="C354" s="1"/>
      <x:c r="D354" s="1"/>
      <x:c r="E354" s="1"/>
      <x:c r="F354" s="1"/>
      <x:c r="G354" s="1"/>
      <x:c r="H354" s="1"/>
      <x:c r="I354" s="1"/>
      <x:c r="J354" s="1"/>
      <x:c r="K354" s="1"/>
    </x:row>
    <x:row r="355">
      <x:c r="A355" s="1"/>
      <x:c r="B355" s="1"/>
      <x:c r="C355" s="1"/>
      <x:c r="D355" s="1"/>
      <x:c r="E355" s="1"/>
      <x:c r="F355" s="1"/>
      <x:c r="G355" s="1"/>
      <x:c r="H355" s="1"/>
      <x:c r="I355" s="1"/>
      <x:c r="J355" s="1"/>
      <x:c r="K355" s="1"/>
    </x:row>
    <x:row r="356">
      <x:c r="A356" s="1"/>
      <x:c r="B356" s="1"/>
      <x:c r="C356" s="1"/>
      <x:c r="D356" s="1"/>
      <x:c r="E356" s="1"/>
      <x:c r="F356" s="1"/>
      <x:c r="G356" s="1"/>
      <x:c r="H356" s="1"/>
      <x:c r="I356" s="1"/>
      <x:c r="J356" s="1"/>
      <x:c r="K356" s="1"/>
    </x:row>
    <x:row r="357">
      <x:c r="A357" s="1"/>
      <x:c r="B357" s="1"/>
      <x:c r="C357" s="1"/>
      <x:c r="D357" s="1"/>
      <x:c r="E357" s="1"/>
      <x:c r="F357" s="1"/>
      <x:c r="G357" s="1"/>
      <x:c r="H357" s="1"/>
      <x:c r="I357" s="1"/>
      <x:c r="J357" s="1"/>
      <x:c r="K357" s="1"/>
    </x:row>
    <x:row r="358">
      <x:c r="A358" s="1"/>
      <x:c r="B358" s="1"/>
      <x:c r="C358" s="1"/>
      <x:c r="D358" s="1"/>
      <x:c r="E358" s="1"/>
      <x:c r="F358" s="1"/>
      <x:c r="G358" s="1"/>
      <x:c r="H358" s="1"/>
      <x:c r="I358" s="1"/>
      <x:c r="J358" s="1"/>
      <x:c r="K358" s="1"/>
    </x:row>
    <x:row r="359">
      <x:c r="A359" s="1"/>
      <x:c r="B359" s="1"/>
      <x:c r="C359" s="1"/>
      <x:c r="D359" s="1"/>
      <x:c r="E359" s="1"/>
      <x:c r="F359" s="1"/>
      <x:c r="G359" s="1"/>
      <x:c r="H359" s="1"/>
      <x:c r="I359" s="1"/>
      <x:c r="J359" s="1"/>
      <x:c r="K359" s="1"/>
    </x:row>
    <x:row r="360">
      <x:c r="A360" s="1"/>
      <x:c r="B360" s="1"/>
      <x:c r="C360" s="1"/>
      <x:c r="D360" s="1"/>
      <x:c r="E360" s="1"/>
      <x:c r="F360" s="1"/>
      <x:c r="G360" s="1"/>
      <x:c r="H360" s="1"/>
      <x:c r="I360" s="1"/>
      <x:c r="J360" s="1"/>
      <x:c r="K360" s="1"/>
    </x:row>
    <x:row r="361">
      <x:c r="A361" s="1"/>
      <x:c r="B361" s="1"/>
      <x:c r="C361" s="1"/>
      <x:c r="D361" s="1"/>
      <x:c r="E361" s="1"/>
      <x:c r="F361" s="1"/>
      <x:c r="G361" s="1"/>
      <x:c r="H361" s="1"/>
      <x:c r="I361" s="1"/>
      <x:c r="J361" s="1"/>
      <x:c r="K361" s="1"/>
    </x:row>
    <x:row r="362">
      <x:c r="A362" s="1"/>
      <x:c r="B362" s="1"/>
      <x:c r="C362" s="1"/>
      <x:c r="D362" s="1"/>
      <x:c r="E362" s="1"/>
      <x:c r="F362" s="1"/>
      <x:c r="G362" s="1"/>
      <x:c r="H362" s="1"/>
      <x:c r="I362" s="1"/>
      <x:c r="J362" s="1"/>
      <x:c r="K362" s="1"/>
    </x:row>
    <x:row r="363">
      <x:c r="A363" s="1"/>
      <x:c r="B363" s="1"/>
      <x:c r="C363" s="1"/>
      <x:c r="D363" s="1"/>
      <x:c r="E363" s="1"/>
      <x:c r="F363" s="1"/>
      <x:c r="G363" s="1"/>
      <x:c r="H363" s="1"/>
      <x:c r="I363" s="1"/>
      <x:c r="J363" s="1"/>
      <x:c r="K363" s="1"/>
    </x:row>
    <x:row r="364">
      <x:c r="A364" s="1"/>
      <x:c r="B364" s="1"/>
      <x:c r="C364" s="1"/>
      <x:c r="D364" s="1"/>
      <x:c r="E364" s="1"/>
      <x:c r="F364" s="1"/>
      <x:c r="G364" s="1"/>
      <x:c r="H364" s="1"/>
      <x:c r="I364" s="1"/>
      <x:c r="J364" s="1"/>
      <x:c r="K364" s="1"/>
    </x:row>
    <x:row r="365">
      <x:c r="A365" s="1"/>
      <x:c r="B365" s="1"/>
      <x:c r="C365" s="1"/>
      <x:c r="D365" s="1"/>
      <x:c r="E365" s="1"/>
      <x:c r="F365" s="1"/>
      <x:c r="G365" s="1"/>
      <x:c r="H365" s="1"/>
      <x:c r="I365" s="1"/>
      <x:c r="J365" s="1"/>
      <x:c r="K365" s="1"/>
    </x:row>
    <x:row r="366">
      <x:c r="A366" s="1"/>
      <x:c r="B366" s="1"/>
      <x:c r="C366" s="1"/>
      <x:c r="D366" s="1"/>
      <x:c r="E366" s="1"/>
      <x:c r="F366" s="1"/>
      <x:c r="G366" s="1"/>
      <x:c r="H366" s="1"/>
      <x:c r="I366" s="1"/>
      <x:c r="J366" s="1"/>
      <x:c r="K366" s="1"/>
    </x:row>
    <x:row r="367">
      <x:c r="A367" s="1"/>
      <x:c r="B367" s="1"/>
      <x:c r="C367" s="1"/>
      <x:c r="D367" s="1"/>
      <x:c r="E367" s="1"/>
      <x:c r="F367" s="1"/>
      <x:c r="G367" s="1"/>
      <x:c r="H367" s="1"/>
      <x:c r="I367" s="1"/>
      <x:c r="J367" s="1"/>
      <x:c r="K367" s="1"/>
    </x:row>
    <x:row r="368">
      <x:c r="A368" s="1"/>
      <x:c r="B368" s="1"/>
      <x:c r="C368" s="1"/>
      <x:c r="D368" s="1"/>
      <x:c r="E368" s="1"/>
      <x:c r="F368" s="1"/>
      <x:c r="G368" s="1"/>
      <x:c r="H368" s="1"/>
      <x:c r="I368" s="1"/>
      <x:c r="J368" s="1"/>
      <x:c r="K368" s="1"/>
    </x:row>
    <x:row r="369">
      <x:c r="A369" s="1"/>
      <x:c r="B369" s="1"/>
      <x:c r="C369" s="1"/>
      <x:c r="D369" s="1"/>
      <x:c r="E369" s="1"/>
      <x:c r="F369" s="1"/>
      <x:c r="G369" s="1"/>
      <x:c r="H369" s="1"/>
      <x:c r="I369" s="1"/>
      <x:c r="J369" s="1"/>
      <x:c r="K369" s="1"/>
    </x:row>
    <x:row r="370">
      <x:c r="A370" s="1"/>
      <x:c r="B370" s="1"/>
      <x:c r="C370" s="1"/>
      <x:c r="D370" s="1"/>
      <x:c r="E370" s="1"/>
      <x:c r="F370" s="1"/>
      <x:c r="G370" s="1"/>
      <x:c r="H370" s="1"/>
      <x:c r="I370" s="1"/>
      <x:c r="J370" s="1"/>
      <x:c r="K370" s="1"/>
    </x:row>
    <x:row r="371">
      <x:c r="A371" s="1"/>
      <x:c r="B371" s="1"/>
      <x:c r="C371" s="1"/>
      <x:c r="D371" s="1"/>
      <x:c r="E371" s="1"/>
      <x:c r="F371" s="1"/>
      <x:c r="G371" s="1"/>
      <x:c r="H371" s="1"/>
      <x:c r="I371" s="1"/>
      <x:c r="J371" s="1"/>
      <x:c r="K371" s="1"/>
    </x:row>
    <x:row r="372">
      <x:c r="A372" s="1"/>
      <x:c r="B372" s="1"/>
      <x:c r="C372" s="1"/>
      <x:c r="D372" s="1"/>
      <x:c r="E372" s="1"/>
      <x:c r="F372" s="1"/>
      <x:c r="G372" s="1"/>
      <x:c r="H372" s="1"/>
      <x:c r="I372" s="1"/>
      <x:c r="J372" s="1"/>
      <x:c r="K372" s="1"/>
    </x:row>
    <x:row r="373">
      <x:c r="A373" s="1"/>
      <x:c r="B373" s="1"/>
      <x:c r="C373" s="1"/>
      <x:c r="D373" s="1"/>
      <x:c r="E373" s="1"/>
      <x:c r="F373" s="1"/>
      <x:c r="G373" s="1"/>
      <x:c r="H373" s="1"/>
      <x:c r="I373" s="1"/>
      <x:c r="J373" s="1"/>
      <x:c r="K373" s="1"/>
    </x:row>
    <x:row r="374">
      <x:c r="A374" s="1"/>
      <x:c r="B374" s="1"/>
      <x:c r="C374" s="1"/>
      <x:c r="D374" s="1"/>
      <x:c r="E374" s="1"/>
      <x:c r="F374" s="1"/>
      <x:c r="G374" s="1"/>
      <x:c r="H374" s="1"/>
      <x:c r="I374" s="1"/>
      <x:c r="J374" s="1"/>
      <x:c r="K374" s="1"/>
    </x:row>
    <x:row r="375">
      <x:c r="A375" s="1"/>
      <x:c r="B375" s="1"/>
      <x:c r="C375" s="1"/>
      <x:c r="D375" s="1"/>
      <x:c r="E375" s="1"/>
      <x:c r="F375" s="1"/>
      <x:c r="G375" s="1"/>
      <x:c r="H375" s="1"/>
      <x:c r="I375" s="1"/>
      <x:c r="J375" s="1"/>
      <x:c r="K375" s="1"/>
    </x:row>
    <x:row r="376">
      <x:c r="A376" s="1"/>
      <x:c r="B376" s="1"/>
      <x:c r="C376" s="1"/>
      <x:c r="D376" s="1"/>
      <x:c r="E376" s="1"/>
      <x:c r="F376" s="1"/>
      <x:c r="G376" s="1"/>
      <x:c r="H376" s="1"/>
      <x:c r="I376" s="1"/>
      <x:c r="J376" s="1"/>
      <x:c r="K376" s="1"/>
    </x:row>
    <x:row r="377">
      <x:c r="A377" s="1"/>
      <x:c r="B377" s="1"/>
      <x:c r="C377" s="1"/>
      <x:c r="D377" s="1"/>
      <x:c r="E377" s="1"/>
      <x:c r="F377" s="1"/>
      <x:c r="G377" s="1"/>
      <x:c r="H377" s="1"/>
      <x:c r="I377" s="1"/>
      <x:c r="J377" s="1"/>
      <x:c r="K377" s="1"/>
    </x:row>
    <x:row r="378">
      <x:c r="A378" s="1"/>
      <x:c r="B378" s="1"/>
      <x:c r="C378" s="1"/>
      <x:c r="D378" s="1"/>
      <x:c r="E378" s="1"/>
      <x:c r="F378" s="1"/>
      <x:c r="G378" s="1"/>
      <x:c r="H378" s="1"/>
      <x:c r="I378" s="1"/>
      <x:c r="J378" s="1"/>
      <x:c r="K378" s="1"/>
    </x:row>
    <x:row r="379">
      <x:c r="A379" s="1"/>
      <x:c r="B379" s="1"/>
      <x:c r="C379" s="1"/>
      <x:c r="D379" s="1"/>
      <x:c r="E379" s="1"/>
      <x:c r="F379" s="1"/>
      <x:c r="G379" s="1"/>
      <x:c r="H379" s="1"/>
      <x:c r="I379" s="1"/>
      <x:c r="J379" s="1"/>
      <x:c r="K379" s="1"/>
    </x:row>
    <x:row r="380">
      <x:c r="A380" s="1"/>
      <x:c r="B380" s="1"/>
      <x:c r="C380" s="1"/>
      <x:c r="D380" s="1"/>
      <x:c r="E380" s="1"/>
      <x:c r="F380" s="1"/>
      <x:c r="G380" s="1"/>
      <x:c r="H380" s="1"/>
      <x:c r="I380" s="1"/>
      <x:c r="J380" s="1"/>
      <x:c r="K380" s="1"/>
    </x:row>
    <x:row r="381">
      <x:c r="A381" s="1"/>
      <x:c r="B381" s="1"/>
      <x:c r="C381" s="1"/>
      <x:c r="D381" s="1"/>
      <x:c r="E381" s="1"/>
      <x:c r="F381" s="1"/>
      <x:c r="G381" s="1"/>
      <x:c r="H381" s="1"/>
      <x:c r="I381" s="1"/>
      <x:c r="J381" s="1"/>
      <x:c r="K381" s="1"/>
    </x:row>
    <x:row r="382">
      <x:c r="A382" s="1"/>
      <x:c r="B382" s="1"/>
      <x:c r="C382" s="1"/>
      <x:c r="D382" s="1"/>
      <x:c r="E382" s="1"/>
      <x:c r="F382" s="1"/>
      <x:c r="G382" s="1"/>
      <x:c r="H382" s="1"/>
      <x:c r="I382" s="1"/>
      <x:c r="J382" s="1"/>
      <x:c r="K382" s="1"/>
    </x:row>
    <x:row r="383">
      <x:c r="A383" s="1"/>
      <x:c r="B383" s="1"/>
      <x:c r="C383" s="1"/>
      <x:c r="D383" s="1"/>
      <x:c r="E383" s="1"/>
      <x:c r="F383" s="1"/>
      <x:c r="G383" s="1"/>
      <x:c r="H383" s="1"/>
      <x:c r="I383" s="1"/>
      <x:c r="J383" s="1"/>
      <x:c r="K383" s="1"/>
    </x:row>
    <x:row r="384">
      <x:c r="A384" s="1"/>
      <x:c r="B384" s="1"/>
      <x:c r="C384" s="1"/>
      <x:c r="D384" s="1"/>
      <x:c r="E384" s="1"/>
      <x:c r="F384" s="1"/>
      <x:c r="G384" s="1"/>
      <x:c r="H384" s="1"/>
      <x:c r="I384" s="1"/>
      <x:c r="J384" s="1"/>
      <x:c r="K384" s="1"/>
    </x:row>
    <x:row r="385">
      <x:c r="A385" s="1"/>
      <x:c r="B385" s="1"/>
      <x:c r="C385" s="1"/>
      <x:c r="D385" s="1"/>
      <x:c r="E385" s="1"/>
      <x:c r="F385" s="1"/>
      <x:c r="G385" s="1"/>
      <x:c r="H385" s="1"/>
      <x:c r="I385" s="1"/>
      <x:c r="J385" s="1"/>
      <x:c r="K385" s="1"/>
    </x:row>
    <x:row r="386">
      <x:c r="A386" s="1"/>
      <x:c r="B386" s="1"/>
      <x:c r="C386" s="1"/>
      <x:c r="D386" s="1"/>
      <x:c r="E386" s="1"/>
      <x:c r="F386" s="1"/>
      <x:c r="G386" s="1"/>
      <x:c r="H386" s="1"/>
      <x:c r="I386" s="1"/>
      <x:c r="J386" s="1"/>
      <x:c r="K386" s="1"/>
    </x:row>
    <x:row r="387">
      <x:c r="A387" s="1"/>
      <x:c r="B387" s="1"/>
      <x:c r="C387" s="1"/>
      <x:c r="D387" s="1"/>
      <x:c r="E387" s="1"/>
      <x:c r="F387" s="1"/>
      <x:c r="G387" s="1"/>
      <x:c r="H387" s="1"/>
      <x:c r="I387" s="1"/>
      <x:c r="J387" s="1"/>
      <x:c r="K387" s="1"/>
    </x:row>
    <x:row r="388">
      <x:c r="A388" s="1"/>
      <x:c r="B388" s="1"/>
      <x:c r="C388" s="1"/>
      <x:c r="D388" s="1"/>
      <x:c r="E388" s="1"/>
      <x:c r="F388" s="1"/>
      <x:c r="G388" s="1"/>
      <x:c r="H388" s="1"/>
      <x:c r="I388" s="1"/>
      <x:c r="J388" s="1"/>
      <x:c r="K388" s="1"/>
    </x:row>
    <x:row r="389">
      <x:c r="A389" s="1"/>
      <x:c r="B389" s="1"/>
      <x:c r="C389" s="1"/>
      <x:c r="D389" s="1"/>
      <x:c r="E389" s="1"/>
      <x:c r="F389" s="1"/>
      <x:c r="G389" s="1"/>
      <x:c r="H389" s="1"/>
      <x:c r="I389" s="1"/>
      <x:c r="J389" s="1"/>
      <x:c r="K389" s="1"/>
    </x:row>
    <x:row r="390">
      <x:c r="A390" s="1"/>
      <x:c r="B390" s="1"/>
      <x:c r="C390" s="1"/>
      <x:c r="D390" s="1"/>
      <x:c r="E390" s="1"/>
      <x:c r="F390" s="1"/>
      <x:c r="G390" s="1"/>
      <x:c r="H390" s="1"/>
      <x:c r="I390" s="1"/>
      <x:c r="J390" s="1"/>
      <x:c r="K390" s="1"/>
    </x:row>
    <x:row r="391">
      <x:c r="A391" s="1"/>
      <x:c r="B391" s="1"/>
      <x:c r="C391" s="1"/>
      <x:c r="D391" s="1"/>
      <x:c r="E391" s="1"/>
      <x:c r="F391" s="1"/>
      <x:c r="G391" s="1"/>
      <x:c r="H391" s="1"/>
      <x:c r="I391" s="1"/>
      <x:c r="J391" s="1"/>
      <x:c r="K391" s="1"/>
    </x:row>
    <x:row r="392">
      <x:c r="A392" s="1"/>
      <x:c r="B392" s="1"/>
      <x:c r="C392" s="1"/>
      <x:c r="D392" s="1"/>
      <x:c r="E392" s="1"/>
      <x:c r="F392" s="1"/>
      <x:c r="G392" s="1"/>
      <x:c r="H392" s="1"/>
      <x:c r="I392" s="1"/>
      <x:c r="J392" s="1"/>
      <x:c r="K392" s="1"/>
    </x:row>
    <x:row r="393">
      <x:c r="A393" s="1"/>
      <x:c r="B393" s="1"/>
      <x:c r="C393" s="1"/>
      <x:c r="D393" s="1"/>
      <x:c r="E393" s="1"/>
      <x:c r="F393" s="1"/>
      <x:c r="G393" s="1"/>
      <x:c r="H393" s="1"/>
      <x:c r="I393" s="1"/>
      <x:c r="J393" s="1"/>
      <x:c r="K393" s="1"/>
    </x:row>
    <x:row r="394">
      <x:c r="A394" s="1"/>
      <x:c r="B394" s="1"/>
      <x:c r="C394" s="1"/>
      <x:c r="D394" s="1"/>
      <x:c r="E394" s="1"/>
      <x:c r="F394" s="1"/>
      <x:c r="G394" s="1"/>
      <x:c r="H394" s="1"/>
      <x:c r="I394" s="1"/>
      <x:c r="J394" s="1"/>
      <x:c r="K394" s="1"/>
    </x:row>
    <x:row r="395">
      <x:c r="A395" s="1"/>
      <x:c r="B395" s="1"/>
      <x:c r="C395" s="1"/>
      <x:c r="D395" s="1"/>
      <x:c r="E395" s="1"/>
      <x:c r="F395" s="1"/>
      <x:c r="G395" s="1"/>
      <x:c r="H395" s="1"/>
      <x:c r="I395" s="1"/>
      <x:c r="J395" s="1"/>
      <x:c r="K395" s="1"/>
    </x:row>
    <x:row r="396">
      <x:c r="A396" s="1"/>
      <x:c r="B396" s="1"/>
      <x:c r="C396" s="1"/>
      <x:c r="D396" s="1"/>
      <x:c r="E396" s="1"/>
      <x:c r="F396" s="1"/>
      <x:c r="G396" s="1"/>
      <x:c r="H396" s="1"/>
      <x:c r="I396" s="1"/>
      <x:c r="J396" s="1"/>
      <x:c r="K396" s="1"/>
    </x:row>
    <x:row r="397">
      <x:c r="A397" s="1"/>
      <x:c r="B397" s="1"/>
      <x:c r="C397" s="1"/>
      <x:c r="D397" s="1"/>
      <x:c r="E397" s="1"/>
      <x:c r="F397" s="1"/>
      <x:c r="G397" s="1"/>
      <x:c r="H397" s="1"/>
      <x:c r="I397" s="1"/>
      <x:c r="J397" s="1"/>
      <x:c r="K397" s="1"/>
    </x:row>
    <x:row r="398">
      <x:c r="A398" s="1"/>
      <x:c r="B398" s="1"/>
      <x:c r="C398" s="1"/>
      <x:c r="D398" s="1"/>
      <x:c r="E398" s="1"/>
      <x:c r="F398" s="1"/>
      <x:c r="G398" s="1"/>
      <x:c r="H398" s="1"/>
      <x:c r="I398" s="1"/>
      <x:c r="J398" s="1"/>
      <x:c r="K398" s="1"/>
    </x:row>
    <x:row r="399">
      <x:c r="A399" s="1"/>
      <x:c r="B399" s="1"/>
      <x:c r="C399" s="1"/>
      <x:c r="D399" s="1"/>
      <x:c r="E399" s="1"/>
      <x:c r="F399" s="1"/>
      <x:c r="G399" s="1"/>
      <x:c r="H399" s="1"/>
      <x:c r="I399" s="1"/>
      <x:c r="J399" s="1"/>
      <x:c r="K399" s="1"/>
    </x:row>
    <x:row r="400">
      <x:c r="A400" s="1"/>
      <x:c r="B400" s="1"/>
      <x:c r="C400" s="1"/>
      <x:c r="D400" s="1"/>
      <x:c r="E400" s="1"/>
      <x:c r="F400" s="1"/>
      <x:c r="G400" s="1"/>
      <x:c r="H400" s="1"/>
      <x:c r="I400" s="1"/>
      <x:c r="J400" s="1"/>
      <x:c r="K400" s="1"/>
    </x:row>
    <x:row r="401">
      <x:c r="A401" s="1"/>
      <x:c r="B401" s="1"/>
      <x:c r="C401" s="1"/>
      <x:c r="D401" s="1"/>
      <x:c r="E401" s="1"/>
      <x:c r="F401" s="1"/>
      <x:c r="G401" s="1"/>
      <x:c r="H401" s="1"/>
      <x:c r="I401" s="1"/>
      <x:c r="J401" s="1"/>
      <x:c r="K401" s="1"/>
    </x:row>
    <x:row r="402">
      <x:c r="A402" s="1"/>
      <x:c r="B402" s="1"/>
      <x:c r="C402" s="1"/>
      <x:c r="D402" s="1"/>
      <x:c r="E402" s="1"/>
      <x:c r="F402" s="1"/>
      <x:c r="G402" s="1"/>
      <x:c r="H402" s="1"/>
      <x:c r="I402" s="1"/>
      <x:c r="J402" s="1"/>
      <x:c r="K402" s="1"/>
    </x:row>
    <x:row r="403">
      <x:c r="A403" s="1"/>
      <x:c r="B403" s="1"/>
      <x:c r="C403" s="1"/>
      <x:c r="D403" s="1"/>
      <x:c r="E403" s="1"/>
      <x:c r="F403" s="1"/>
      <x:c r="G403" s="1"/>
      <x:c r="H403" s="1"/>
      <x:c r="I403" s="1"/>
      <x:c r="J403" s="1"/>
      <x:c r="K403" s="1"/>
    </x:row>
    <x:row r="404">
      <x:c r="A404" s="1"/>
      <x:c r="B404" s="1"/>
      <x:c r="C404" s="1"/>
      <x:c r="D404" s="1"/>
      <x:c r="E404" s="1"/>
      <x:c r="F404" s="1"/>
      <x:c r="G404" s="1"/>
      <x:c r="H404" s="1"/>
      <x:c r="I404" s="1"/>
      <x:c r="J404" s="1"/>
      <x:c r="K404" s="1"/>
    </x:row>
    <x:row r="405">
      <x:c r="A405" s="1"/>
      <x:c r="B405" s="1"/>
      <x:c r="C405" s="1"/>
      <x:c r="D405" s="1"/>
      <x:c r="E405" s="1"/>
      <x:c r="F405" s="1"/>
      <x:c r="G405" s="1"/>
      <x:c r="H405" s="1"/>
      <x:c r="I405" s="1"/>
      <x:c r="J405" s="1"/>
      <x:c r="K405" s="1"/>
    </x:row>
    <x:row r="406">
      <x:c r="A406" s="1"/>
      <x:c r="B406" s="1"/>
      <x:c r="C406" s="1"/>
      <x:c r="D406" s="1"/>
      <x:c r="E406" s="1"/>
      <x:c r="F406" s="1"/>
      <x:c r="G406" s="1"/>
      <x:c r="H406" s="1"/>
      <x:c r="I406" s="1"/>
      <x:c r="J406" s="1"/>
      <x:c r="K406" s="1"/>
    </x:row>
    <x:row r="407">
      <x:c r="A407" s="1"/>
      <x:c r="B407" s="1"/>
      <x:c r="C407" s="1"/>
      <x:c r="D407" s="1"/>
      <x:c r="E407" s="1"/>
      <x:c r="F407" s="1"/>
      <x:c r="G407" s="1"/>
      <x:c r="H407" s="1"/>
      <x:c r="I407" s="1"/>
      <x:c r="J407" s="1"/>
      <x:c r="K407" s="1"/>
    </x:row>
    <x:row r="408">
      <x:c r="A408" s="1"/>
      <x:c r="B408" s="1"/>
      <x:c r="C408" s="1"/>
      <x:c r="D408" s="1"/>
      <x:c r="E408" s="1"/>
      <x:c r="F408" s="1"/>
      <x:c r="G408" s="1"/>
      <x:c r="H408" s="1"/>
      <x:c r="I408" s="1"/>
      <x:c r="J408" s="1"/>
      <x:c r="K408" s="1"/>
    </x:row>
    <x:row r="409">
      <x:c r="A409" s="1"/>
      <x:c r="B409" s="1"/>
      <x:c r="C409" s="1"/>
      <x:c r="D409" s="1"/>
      <x:c r="E409" s="1"/>
      <x:c r="F409" s="1"/>
      <x:c r="G409" s="1"/>
      <x:c r="H409" s="1"/>
      <x:c r="I409" s="1"/>
      <x:c r="J409" s="1"/>
      <x:c r="K409" s="1"/>
    </x:row>
    <x:row r="410">
      <x:c r="A410" s="1"/>
      <x:c r="B410" s="1"/>
      <x:c r="C410" s="1"/>
      <x:c r="D410" s="1"/>
      <x:c r="E410" s="1"/>
      <x:c r="F410" s="1"/>
      <x:c r="G410" s="1"/>
      <x:c r="H410" s="1"/>
      <x:c r="I410" s="1"/>
      <x:c r="J410" s="1"/>
      <x:c r="K410" s="1"/>
    </x:row>
    <x:row r="411">
      <x:c r="A411" s="1"/>
      <x:c r="B411" s="1"/>
      <x:c r="C411" s="1"/>
      <x:c r="D411" s="1"/>
      <x:c r="E411" s="1"/>
      <x:c r="F411" s="1"/>
      <x:c r="G411" s="1"/>
      <x:c r="H411" s="1"/>
      <x:c r="I411" s="1"/>
      <x:c r="J411" s="1"/>
      <x:c r="K411" s="1"/>
    </x:row>
    <x:row r="412">
      <x:c r="A412" s="1"/>
      <x:c r="B412" s="1"/>
      <x:c r="C412" s="1"/>
      <x:c r="D412" s="1"/>
      <x:c r="E412" s="1"/>
      <x:c r="F412" s="1"/>
      <x:c r="G412" s="1"/>
      <x:c r="H412" s="1"/>
      <x:c r="I412" s="1"/>
      <x:c r="J412" s="1"/>
      <x:c r="K412" s="1"/>
    </x:row>
    <x:row r="413">
      <x:c r="A413" s="1"/>
      <x:c r="B413" s="1"/>
      <x:c r="C413" s="1"/>
      <x:c r="D413" s="1"/>
      <x:c r="E413" s="1"/>
      <x:c r="F413" s="1"/>
      <x:c r="G413" s="1"/>
      <x:c r="H413" s="1"/>
      <x:c r="I413" s="1"/>
      <x:c r="J413" s="1"/>
      <x:c r="K413" s="1"/>
    </x:row>
    <x:row r="414">
      <x:c r="A414" s="1"/>
      <x:c r="B414" s="1"/>
      <x:c r="C414" s="1"/>
      <x:c r="D414" s="1"/>
      <x:c r="E414" s="1"/>
      <x:c r="F414" s="1"/>
      <x:c r="G414" s="1"/>
      <x:c r="H414" s="1"/>
      <x:c r="I414" s="1"/>
      <x:c r="J414" s="1"/>
      <x:c r="K414" s="1"/>
    </x:row>
    <x:row r="415">
      <x:c r="A415" s="1"/>
      <x:c r="B415" s="1"/>
      <x:c r="C415" s="1"/>
      <x:c r="D415" s="1"/>
      <x:c r="E415" s="1"/>
      <x:c r="F415" s="1"/>
      <x:c r="G415" s="1"/>
      <x:c r="H415" s="1"/>
      <x:c r="I415" s="1"/>
      <x:c r="J415" s="1"/>
      <x:c r="K415" s="1"/>
    </x:row>
    <x:row r="416">
      <x:c r="A416" s="1"/>
      <x:c r="B416" s="1"/>
      <x:c r="C416" s="1"/>
      <x:c r="D416" s="1"/>
      <x:c r="E416" s="1"/>
      <x:c r="F416" s="1"/>
      <x:c r="G416" s="1"/>
      <x:c r="H416" s="1"/>
      <x:c r="I416" s="1"/>
      <x:c r="J416" s="1"/>
      <x:c r="K416" s="1"/>
    </x:row>
    <x:row r="417">
      <x:c r="A417" s="1"/>
      <x:c r="B417" s="1"/>
      <x:c r="C417" s="1"/>
      <x:c r="D417" s="1"/>
      <x:c r="E417" s="1"/>
      <x:c r="F417" s="1"/>
      <x:c r="G417" s="1"/>
      <x:c r="H417" s="1"/>
      <x:c r="I417" s="1"/>
      <x:c r="J417" s="1"/>
      <x:c r="K417" s="1"/>
    </x:row>
    <x:row r="418">
      <x:c r="A418" s="1"/>
      <x:c r="B418" s="1"/>
      <x:c r="C418" s="1"/>
      <x:c r="D418" s="1"/>
      <x:c r="E418" s="1"/>
      <x:c r="F418" s="1"/>
      <x:c r="G418" s="1"/>
      <x:c r="H418" s="1"/>
      <x:c r="I418" s="1"/>
      <x:c r="J418" s="1"/>
      <x:c r="K418" s="1"/>
    </x:row>
    <x:row r="419">
      <x:c r="A419" s="1"/>
      <x:c r="B419" s="1"/>
      <x:c r="C419" s="1"/>
      <x:c r="D419" s="1"/>
      <x:c r="E419" s="1"/>
      <x:c r="F419" s="1"/>
      <x:c r="G419" s="1"/>
      <x:c r="H419" s="1"/>
      <x:c r="I419" s="1"/>
      <x:c r="J419" s="1"/>
      <x:c r="K419" s="1"/>
    </x:row>
    <x:row r="420">
      <x:c r="A420" s="1"/>
      <x:c r="B420" s="1"/>
      <x:c r="C420" s="1"/>
      <x:c r="D420" s="1"/>
      <x:c r="E420" s="1"/>
      <x:c r="F420" s="1"/>
      <x:c r="G420" s="1"/>
      <x:c r="H420" s="1"/>
      <x:c r="I420" s="1"/>
      <x:c r="J420" s="1"/>
      <x:c r="K420" s="1"/>
    </x:row>
    <x:row r="421">
      <x:c r="A421" s="1"/>
      <x:c r="B421" s="1"/>
      <x:c r="C421" s="1"/>
      <x:c r="D421" s="1"/>
      <x:c r="E421" s="1"/>
      <x:c r="F421" s="1"/>
      <x:c r="G421" s="1"/>
      <x:c r="H421" s="1"/>
      <x:c r="I421" s="1"/>
      <x:c r="J421" s="1"/>
      <x:c r="K421" s="1"/>
    </x:row>
    <x:row r="422">
      <x:c r="A422" s="1"/>
      <x:c r="B422" s="1"/>
      <x:c r="C422" s="1"/>
      <x:c r="D422" s="1"/>
      <x:c r="E422" s="1"/>
      <x:c r="F422" s="1"/>
      <x:c r="G422" s="1"/>
      <x:c r="H422" s="1"/>
      <x:c r="I422" s="1"/>
      <x:c r="J422" s="1"/>
      <x:c r="K422" s="1"/>
    </x:row>
    <x:row r="423">
      <x:c r="A423" s="1"/>
      <x:c r="B423" s="1"/>
      <x:c r="C423" s="1"/>
      <x:c r="D423" s="1"/>
      <x:c r="E423" s="1"/>
      <x:c r="F423" s="1"/>
      <x:c r="G423" s="1"/>
      <x:c r="H423" s="1"/>
      <x:c r="I423" s="1"/>
      <x:c r="J423" s="1"/>
      <x:c r="K423" s="1"/>
    </x:row>
    <x:row r="424">
      <x:c r="A424" s="1"/>
      <x:c r="B424" s="1"/>
      <x:c r="C424" s="1"/>
      <x:c r="D424" s="1"/>
      <x:c r="E424" s="1"/>
      <x:c r="F424" s="1"/>
      <x:c r="G424" s="1"/>
      <x:c r="H424" s="1"/>
      <x:c r="I424" s="1"/>
      <x:c r="J424" s="1"/>
      <x:c r="K424" s="1"/>
    </x:row>
    <x:row r="425">
      <x:c r="A425" s="1"/>
      <x:c r="B425" s="1"/>
      <x:c r="C425" s="1"/>
      <x:c r="D425" s="1"/>
      <x:c r="E425" s="1"/>
      <x:c r="F425" s="1"/>
      <x:c r="G425" s="1"/>
      <x:c r="H425" s="1"/>
      <x:c r="I425" s="1"/>
      <x:c r="J425" s="1"/>
      <x:c r="K425" s="1"/>
    </x:row>
    <x:row r="426">
      <x:c r="A426" s="1"/>
      <x:c r="B426" s="1"/>
      <x:c r="C426" s="1"/>
      <x:c r="D426" s="1"/>
      <x:c r="E426" s="1"/>
      <x:c r="F426" s="1"/>
      <x:c r="G426" s="1"/>
      <x:c r="H426" s="1"/>
      <x:c r="I426" s="1"/>
      <x:c r="J426" s="1"/>
      <x:c r="K426" s="1"/>
    </x:row>
    <x:row r="427">
      <x:c r="A427" s="1"/>
      <x:c r="B427" s="1"/>
      <x:c r="C427" s="1"/>
      <x:c r="D427" s="1"/>
      <x:c r="E427" s="1"/>
      <x:c r="F427" s="1"/>
      <x:c r="G427" s="1"/>
      <x:c r="H427" s="1"/>
      <x:c r="I427" s="1"/>
      <x:c r="J427" s="1"/>
      <x:c r="K427" s="1"/>
    </x:row>
    <x:row r="428">
      <x:c r="A428" s="1"/>
      <x:c r="B428" s="1"/>
      <x:c r="C428" s="1"/>
      <x:c r="D428" s="1"/>
      <x:c r="E428" s="1"/>
      <x:c r="F428" s="1"/>
      <x:c r="G428" s="1"/>
      <x:c r="H428" s="1"/>
      <x:c r="I428" s="1"/>
      <x:c r="J428" s="1"/>
      <x:c r="K428" s="1"/>
    </x:row>
    <x:row r="429">
      <x:c r="A429" s="1"/>
      <x:c r="B429" s="1"/>
      <x:c r="C429" s="1"/>
      <x:c r="D429" s="1"/>
      <x:c r="E429" s="1"/>
      <x:c r="F429" s="1"/>
      <x:c r="G429" s="1"/>
      <x:c r="H429" s="1"/>
      <x:c r="I429" s="1"/>
      <x:c r="J429" s="1"/>
      <x:c r="K429" s="1"/>
    </x:row>
    <x:row r="430">
      <x:c r="A430" s="1"/>
      <x:c r="B430" s="1"/>
      <x:c r="C430" s="1"/>
      <x:c r="D430" s="1"/>
      <x:c r="E430" s="1"/>
      <x:c r="F430" s="1"/>
      <x:c r="G430" s="1"/>
      <x:c r="H430" s="1"/>
      <x:c r="I430" s="1"/>
      <x:c r="J430" s="1"/>
      <x:c r="K430" s="1"/>
    </x:row>
    <x:row r="431">
      <x:c r="A431" s="1"/>
      <x:c r="B431" s="1"/>
      <x:c r="C431" s="1"/>
      <x:c r="D431" s="1"/>
      <x:c r="E431" s="1"/>
      <x:c r="F431" s="1"/>
      <x:c r="G431" s="1"/>
      <x:c r="H431" s="1"/>
      <x:c r="I431" s="1"/>
      <x:c r="J431" s="1"/>
      <x:c r="K431" s="1"/>
    </x:row>
    <x:row r="432">
      <x:c r="A432" s="1"/>
      <x:c r="B432" s="1"/>
      <x:c r="C432" s="1"/>
      <x:c r="D432" s="1"/>
      <x:c r="E432" s="1"/>
      <x:c r="F432" s="1"/>
      <x:c r="G432" s="1"/>
      <x:c r="H432" s="1"/>
      <x:c r="I432" s="1"/>
      <x:c r="J432" s="1"/>
      <x:c r="K432" s="1"/>
    </x:row>
    <x:row r="433">
      <x:c r="A433" s="1"/>
      <x:c r="B433" s="1"/>
      <x:c r="C433" s="1"/>
      <x:c r="D433" s="1"/>
      <x:c r="E433" s="1"/>
      <x:c r="F433" s="1"/>
      <x:c r="G433" s="1"/>
      <x:c r="H433" s="1"/>
      <x:c r="I433" s="1"/>
      <x:c r="J433" s="1"/>
      <x:c r="K433" s="1"/>
    </x:row>
    <x:row r="434">
      <x:c r="A434" s="1"/>
      <x:c r="B434" s="1"/>
      <x:c r="C434" s="1"/>
      <x:c r="D434" s="1"/>
      <x:c r="E434" s="1"/>
      <x:c r="F434" s="1"/>
      <x:c r="G434" s="1"/>
      <x:c r="H434" s="1"/>
      <x:c r="I434" s="1"/>
      <x:c r="J434" s="1"/>
      <x:c r="K434" s="1"/>
    </x:row>
    <x:row r="435">
      <x:c r="A435" s="1"/>
      <x:c r="B435" s="1"/>
      <x:c r="C435" s="1"/>
      <x:c r="D435" s="1"/>
      <x:c r="E435" s="1"/>
      <x:c r="F435" s="1"/>
      <x:c r="G435" s="1"/>
      <x:c r="H435" s="1"/>
      <x:c r="I435" s="1"/>
      <x:c r="J435" s="1"/>
      <x:c r="K435" s="1"/>
    </x:row>
    <x:row r="436">
      <x:c r="A436" s="1"/>
      <x:c r="B436" s="1"/>
      <x:c r="C436" s="1"/>
      <x:c r="D436" s="1"/>
      <x:c r="E436" s="1"/>
      <x:c r="F436" s="1"/>
      <x:c r="G436" s="1"/>
      <x:c r="H436" s="1"/>
      <x:c r="I436" s="1"/>
      <x:c r="J436" s="1"/>
      <x:c r="K436" s="1"/>
    </x:row>
    <x:row r="437">
      <x:c r="A437" s="1"/>
      <x:c r="B437" s="1"/>
      <x:c r="C437" s="1"/>
      <x:c r="D437" s="1"/>
      <x:c r="E437" s="1"/>
      <x:c r="F437" s="1"/>
      <x:c r="G437" s="1"/>
      <x:c r="H437" s="1"/>
      <x:c r="I437" s="1"/>
      <x:c r="J437" s="1"/>
      <x:c r="K437" s="1"/>
    </x:row>
    <x:row r="438">
      <x:c r="A438" s="1"/>
      <x:c r="B438" s="1"/>
      <x:c r="C438" s="1"/>
      <x:c r="D438" s="1"/>
      <x:c r="E438" s="1"/>
      <x:c r="F438" s="1"/>
      <x:c r="G438" s="1"/>
      <x:c r="H438" s="1"/>
      <x:c r="I438" s="1"/>
      <x:c r="J438" s="1"/>
      <x:c r="K438" s="1"/>
    </x:row>
    <x:row r="439">
      <x:c r="A439" s="1"/>
      <x:c r="B439" s="1"/>
      <x:c r="C439" s="1"/>
      <x:c r="D439" s="1"/>
      <x:c r="E439" s="1"/>
      <x:c r="F439" s="1"/>
      <x:c r="G439" s="1"/>
      <x:c r="H439" s="1"/>
      <x:c r="I439" s="1"/>
      <x:c r="J439" s="1"/>
      <x:c r="K439" s="1"/>
    </x:row>
    <x:row r="440">
      <x:c r="A440" s="1"/>
      <x:c r="B440" s="1"/>
      <x:c r="C440" s="1"/>
      <x:c r="D440" s="1"/>
      <x:c r="E440" s="1"/>
      <x:c r="F440" s="1"/>
      <x:c r="G440" s="1"/>
      <x:c r="H440" s="1"/>
      <x:c r="I440" s="1"/>
      <x:c r="J440" s="1"/>
      <x:c r="K440" s="1"/>
    </x:row>
    <x:row r="441">
      <x:c r="A441" s="1"/>
      <x:c r="B441" s="1"/>
      <x:c r="C441" s="1"/>
      <x:c r="D441" s="1"/>
      <x:c r="E441" s="1"/>
      <x:c r="F441" s="1"/>
      <x:c r="G441" s="1"/>
      <x:c r="H441" s="1"/>
      <x:c r="I441" s="1"/>
      <x:c r="J441" s="1"/>
      <x:c r="K441" s="1"/>
    </x:row>
    <x:row r="442">
      <x:c r="A442" s="1"/>
      <x:c r="B442" s="1"/>
      <x:c r="C442" s="1"/>
      <x:c r="D442" s="1"/>
      <x:c r="E442" s="1"/>
      <x:c r="F442" s="1"/>
      <x:c r="G442" s="1"/>
      <x:c r="H442" s="1"/>
      <x:c r="I442" s="1"/>
      <x:c r="J442" s="1"/>
      <x:c r="K442" s="1"/>
    </x:row>
    <x:row r="443">
      <x:c r="A443" s="1"/>
      <x:c r="B443" s="1"/>
      <x:c r="C443" s="1"/>
      <x:c r="D443" s="1"/>
      <x:c r="E443" s="1"/>
      <x:c r="F443" s="1"/>
      <x:c r="G443" s="1"/>
      <x:c r="H443" s="1"/>
      <x:c r="I443" s="1"/>
      <x:c r="J443" s="1"/>
      <x:c r="K443" s="1"/>
    </x:row>
    <x:row r="444">
      <x:c r="A444" s="1"/>
      <x:c r="B444" s="1"/>
      <x:c r="C444" s="1"/>
      <x:c r="D444" s="1"/>
      <x:c r="E444" s="1"/>
      <x:c r="F444" s="1"/>
      <x:c r="G444" s="1"/>
      <x:c r="H444" s="1"/>
      <x:c r="I444" s="1"/>
      <x:c r="J444" s="1"/>
      <x:c r="K444" s="1"/>
    </x:row>
    <x:row r="445">
      <x:c r="A445" s="1"/>
      <x:c r="B445" s="1"/>
      <x:c r="C445" s="1"/>
      <x:c r="D445" s="1"/>
      <x:c r="E445" s="1"/>
      <x:c r="F445" s="1"/>
      <x:c r="G445" s="1"/>
      <x:c r="H445" s="1"/>
      <x:c r="I445" s="1"/>
      <x:c r="J445" s="1"/>
      <x:c r="K445" s="1"/>
    </x:row>
    <x:row r="446">
      <x:c r="A446" s="1"/>
      <x:c r="B446" s="1"/>
      <x:c r="C446" s="1"/>
      <x:c r="D446" s="1"/>
      <x:c r="E446" s="1"/>
      <x:c r="F446" s="1"/>
      <x:c r="G446" s="1"/>
      <x:c r="H446" s="1"/>
      <x:c r="I446" s="1"/>
      <x:c r="J446" s="1"/>
      <x:c r="K446" s="1"/>
    </x:row>
    <x:row r="447">
      <x:c r="A447" s="1"/>
      <x:c r="B447" s="1"/>
      <x:c r="C447" s="1"/>
      <x:c r="D447" s="1"/>
      <x:c r="E447" s="1"/>
      <x:c r="F447" s="1"/>
      <x:c r="G447" s="1"/>
      <x:c r="H447" s="1"/>
      <x:c r="I447" s="1"/>
      <x:c r="J447" s="1"/>
      <x:c r="K447" s="1"/>
    </x:row>
    <x:row r="448">
      <x:c r="A448" s="1"/>
      <x:c r="B448" s="1"/>
      <x:c r="C448" s="1"/>
      <x:c r="D448" s="1"/>
      <x:c r="E448" s="1"/>
      <x:c r="F448" s="1"/>
      <x:c r="G448" s="1"/>
      <x:c r="H448" s="1"/>
      <x:c r="I448" s="1"/>
      <x:c r="J448" s="1"/>
      <x:c r="K448" s="1"/>
    </x:row>
    <x:row r="449">
      <x:c r="A449" s="1"/>
      <x:c r="B449" s="1"/>
      <x:c r="C449" s="1"/>
      <x:c r="D449" s="1"/>
      <x:c r="E449" s="1"/>
      <x:c r="F449" s="1"/>
      <x:c r="G449" s="1"/>
      <x:c r="H449" s="1"/>
      <x:c r="I449" s="1"/>
      <x:c r="J449" s="1"/>
      <x:c r="K449" s="1"/>
    </x:row>
    <x:row r="450">
      <x:c r="A450" s="1"/>
      <x:c r="B450" s="1"/>
      <x:c r="C450" s="1"/>
      <x:c r="D450" s="1"/>
      <x:c r="E450" s="1"/>
      <x:c r="F450" s="1"/>
      <x:c r="G450" s="1"/>
      <x:c r="H450" s="1"/>
      <x:c r="I450" s="1"/>
      <x:c r="J450" s="1"/>
      <x:c r="K450" s="1"/>
    </x:row>
    <x:row r="451">
      <x:c r="A451" s="1"/>
      <x:c r="B451" s="1"/>
      <x:c r="C451" s="1"/>
      <x:c r="D451" s="1"/>
      <x:c r="E451" s="1"/>
      <x:c r="F451" s="1"/>
      <x:c r="G451" s="1"/>
      <x:c r="H451" s="1"/>
      <x:c r="I451" s="1"/>
      <x:c r="J451" s="1"/>
      <x:c r="K451" s="1"/>
    </x:row>
    <x:row r="452">
      <x:c r="A452" s="1"/>
      <x:c r="B452" s="1"/>
      <x:c r="C452" s="1"/>
      <x:c r="D452" s="1"/>
      <x:c r="E452" s="1"/>
      <x:c r="F452" s="1"/>
      <x:c r="G452" s="1"/>
      <x:c r="H452" s="1"/>
      <x:c r="I452" s="1"/>
      <x:c r="J452" s="1"/>
      <x:c r="K452" s="1"/>
    </x:row>
    <x:row r="453">
      <x:c r="A453" s="1"/>
      <x:c r="B453" s="1"/>
      <x:c r="C453" s="1"/>
      <x:c r="D453" s="1"/>
      <x:c r="E453" s="1"/>
      <x:c r="F453" s="1"/>
      <x:c r="G453" s="1"/>
      <x:c r="H453" s="1"/>
      <x:c r="I453" s="1"/>
      <x:c r="J453" s="1"/>
      <x:c r="K453" s="1"/>
    </x:row>
    <x:row r="454">
      <x:c r="A454" s="1"/>
      <x:c r="B454" s="1"/>
      <x:c r="C454" s="1"/>
      <x:c r="D454" s="1"/>
      <x:c r="E454" s="1"/>
      <x:c r="F454" s="1"/>
      <x:c r="G454" s="1"/>
      <x:c r="H454" s="1"/>
      <x:c r="I454" s="1"/>
      <x:c r="J454" s="1"/>
      <x:c r="K454" s="1"/>
    </x:row>
    <x:row r="455">
      <x:c r="A455" s="1"/>
      <x:c r="B455" s="1"/>
      <x:c r="C455" s="1"/>
      <x:c r="D455" s="1"/>
      <x:c r="E455" s="1"/>
      <x:c r="F455" s="1"/>
      <x:c r="G455" s="1"/>
      <x:c r="H455" s="1"/>
      <x:c r="I455" s="1"/>
      <x:c r="J455" s="1"/>
      <x:c r="K455" s="1"/>
    </x:row>
    <x:row r="456">
      <x:c r="A456" s="1"/>
      <x:c r="B456" s="1"/>
      <x:c r="C456" s="1"/>
      <x:c r="D456" s="1"/>
      <x:c r="E456" s="1"/>
      <x:c r="F456" s="1"/>
      <x:c r="G456" s="1"/>
      <x:c r="H456" s="1"/>
      <x:c r="I456" s="1"/>
      <x:c r="J456" s="1"/>
      <x:c r="K456" s="1"/>
    </x:row>
    <x:row r="457">
      <x:c r="A457" s="1"/>
      <x:c r="B457" s="1"/>
      <x:c r="C457" s="1"/>
      <x:c r="D457" s="1"/>
      <x:c r="E457" s="1"/>
      <x:c r="F457" s="1"/>
      <x:c r="G457" s="1"/>
      <x:c r="H457" s="1"/>
      <x:c r="I457" s="1"/>
      <x:c r="J457" s="1"/>
      <x:c r="K457" s="1"/>
    </x:row>
    <x:row r="458">
      <x:c r="A458" s="1"/>
      <x:c r="B458" s="1"/>
      <x:c r="C458" s="1"/>
      <x:c r="D458" s="1"/>
      <x:c r="E458" s="1"/>
      <x:c r="F458" s="1"/>
      <x:c r="G458" s="1"/>
      <x:c r="H458" s="1"/>
      <x:c r="I458" s="1"/>
      <x:c r="J458" s="1"/>
      <x:c r="K458" s="1"/>
    </x:row>
    <x:row r="459">
      <x:c r="A459" s="1"/>
      <x:c r="B459" s="1"/>
      <x:c r="C459" s="1"/>
      <x:c r="D459" s="1"/>
      <x:c r="E459" s="1"/>
      <x:c r="F459" s="1"/>
      <x:c r="G459" s="1"/>
      <x:c r="H459" s="1"/>
      <x:c r="I459" s="1"/>
      <x:c r="J459" s="1"/>
      <x:c r="K459" s="1"/>
    </x:row>
    <x:row r="460">
      <x:c r="A460" s="1"/>
      <x:c r="B460" s="1"/>
      <x:c r="C460" s="1"/>
      <x:c r="D460" s="1"/>
      <x:c r="E460" s="1"/>
      <x:c r="F460" s="1"/>
      <x:c r="G460" s="1"/>
      <x:c r="H460" s="1"/>
      <x:c r="I460" s="1"/>
      <x:c r="J460" s="1"/>
      <x:c r="K460" s="1"/>
    </x:row>
    <x:row r="461">
      <x:c r="A461" s="1"/>
      <x:c r="B461" s="1"/>
      <x:c r="C461" s="1"/>
      <x:c r="D461" s="1"/>
      <x:c r="E461" s="1"/>
      <x:c r="F461" s="1"/>
      <x:c r="G461" s="1"/>
      <x:c r="H461" s="1"/>
      <x:c r="I461" s="1"/>
      <x:c r="J461" s="1"/>
      <x:c r="K461" s="1"/>
    </x:row>
    <x:row r="462">
      <x:c r="A462" s="1"/>
      <x:c r="B462" s="1"/>
      <x:c r="C462" s="1"/>
      <x:c r="D462" s="1"/>
      <x:c r="E462" s="1"/>
      <x:c r="F462" s="1"/>
      <x:c r="G462" s="1"/>
      <x:c r="H462" s="1"/>
      <x:c r="I462" s="1"/>
      <x:c r="J462" s="1"/>
      <x:c r="K462" s="1"/>
    </x:row>
    <x:row r="463">
      <x:c r="A463" s="1"/>
      <x:c r="B463" s="1"/>
      <x:c r="C463" s="1"/>
      <x:c r="D463" s="1"/>
      <x:c r="E463" s="1"/>
      <x:c r="F463" s="1"/>
      <x:c r="G463" s="1"/>
      <x:c r="H463" s="1"/>
      <x:c r="I463" s="1"/>
      <x:c r="J463" s="1"/>
      <x:c r="K463" s="1"/>
    </x:row>
    <x:row r="464">
      <x:c r="A464" s="1"/>
      <x:c r="B464" s="1"/>
      <x:c r="C464" s="1"/>
      <x:c r="D464" s="1"/>
      <x:c r="E464" s="1"/>
      <x:c r="F464" s="1"/>
      <x:c r="G464" s="1"/>
      <x:c r="H464" s="1"/>
      <x:c r="I464" s="1"/>
      <x:c r="J464" s="1"/>
      <x:c r="K464" s="1"/>
    </x:row>
    <x:row r="465">
      <x:c r="A465" s="1"/>
      <x:c r="B465" s="1"/>
      <x:c r="C465" s="1"/>
      <x:c r="D465" s="1"/>
      <x:c r="E465" s="1"/>
      <x:c r="F465" s="1"/>
      <x:c r="G465" s="1"/>
      <x:c r="H465" s="1"/>
      <x:c r="I465" s="1"/>
      <x:c r="J465" s="1"/>
      <x:c r="K465" s="1"/>
    </x:row>
    <x:row r="466">
      <x:c r="A466" s="1"/>
      <x:c r="B466" s="1"/>
      <x:c r="C466" s="1"/>
      <x:c r="D466" s="1"/>
      <x:c r="E466" s="1"/>
      <x:c r="F466" s="1"/>
      <x:c r="G466" s="1"/>
      <x:c r="H466" s="1"/>
      <x:c r="I466" s="1"/>
      <x:c r="J466" s="1"/>
      <x:c r="K466" s="1"/>
    </x:row>
    <x:row r="467">
      <x:c r="A467" s="1"/>
      <x:c r="B467" s="1"/>
      <x:c r="C467" s="1"/>
      <x:c r="D467" s="1"/>
      <x:c r="E467" s="1"/>
      <x:c r="F467" s="1"/>
      <x:c r="G467" s="1"/>
      <x:c r="H467" s="1"/>
      <x:c r="I467" s="1"/>
      <x:c r="J467" s="1"/>
      <x:c r="K467" s="1"/>
    </x:row>
    <x:row r="468">
      <x:c r="A468" s="1"/>
      <x:c r="B468" s="1"/>
      <x:c r="C468" s="1"/>
      <x:c r="D468" s="1"/>
      <x:c r="E468" s="1"/>
      <x:c r="F468" s="1"/>
      <x:c r="G468" s="1"/>
      <x:c r="H468" s="1"/>
      <x:c r="I468" s="1"/>
      <x:c r="J468" s="1"/>
      <x:c r="K468" s="1"/>
    </x:row>
    <x:row r="469">
      <x:c r="A469" s="1"/>
      <x:c r="B469" s="1"/>
      <x:c r="C469" s="1"/>
      <x:c r="D469" s="1"/>
      <x:c r="E469" s="1"/>
      <x:c r="F469" s="1"/>
      <x:c r="G469" s="1"/>
      <x:c r="H469" s="1"/>
      <x:c r="I469" s="1"/>
      <x:c r="J469" s="1"/>
      <x:c r="K469" s="1"/>
    </x:row>
    <x:row r="470">
      <x:c r="A470" s="1"/>
      <x:c r="B470" s="1"/>
      <x:c r="C470" s="1"/>
      <x:c r="D470" s="1"/>
      <x:c r="E470" s="1"/>
      <x:c r="F470" s="1"/>
      <x:c r="G470" s="1"/>
      <x:c r="H470" s="1"/>
      <x:c r="I470" s="1"/>
      <x:c r="J470" s="1"/>
      <x:c r="K470" s="1"/>
    </x:row>
    <x:row r="471">
      <x:c r="A471" s="1"/>
      <x:c r="B471" s="1"/>
      <x:c r="C471" s="1"/>
      <x:c r="D471" s="1"/>
      <x:c r="E471" s="1"/>
      <x:c r="F471" s="1"/>
      <x:c r="G471" s="1"/>
      <x:c r="H471" s="1"/>
      <x:c r="I471" s="1"/>
      <x:c r="J471" s="1"/>
      <x:c r="K471" s="1"/>
    </x:row>
    <x:row r="472">
      <x:c r="A472" s="1"/>
      <x:c r="B472" s="1"/>
      <x:c r="C472" s="1"/>
      <x:c r="D472" s="1"/>
      <x:c r="E472" s="1"/>
      <x:c r="F472" s="1"/>
      <x:c r="G472" s="1"/>
      <x:c r="H472" s="1"/>
      <x:c r="I472" s="1"/>
      <x:c r="J472" s="1"/>
      <x:c r="K472" s="1"/>
    </x:row>
    <x:row r="473">
      <x:c r="A473" s="1"/>
      <x:c r="B473" s="1"/>
      <x:c r="C473" s="1"/>
      <x:c r="D473" s="1"/>
      <x:c r="E473" s="1"/>
      <x:c r="F473" s="1"/>
      <x:c r="G473" s="1"/>
      <x:c r="H473" s="1"/>
      <x:c r="I473" s="1"/>
      <x:c r="J473" s="1"/>
      <x:c r="K473" s="1"/>
    </x:row>
    <x:row r="474">
      <x:c r="A474" s="1"/>
      <x:c r="B474" s="1"/>
      <x:c r="C474" s="1"/>
      <x:c r="D474" s="1"/>
      <x:c r="E474" s="1"/>
      <x:c r="F474" s="1"/>
      <x:c r="G474" s="1"/>
      <x:c r="H474" s="1"/>
      <x:c r="I474" s="1"/>
      <x:c r="J474" s="1"/>
      <x:c r="K474" s="1"/>
    </x:row>
    <x:row r="475">
      <x:c r="A475" s="1"/>
      <x:c r="B475" s="1"/>
      <x:c r="C475" s="1"/>
      <x:c r="D475" s="1"/>
      <x:c r="E475" s="1"/>
      <x:c r="F475" s="1"/>
      <x:c r="G475" s="1"/>
      <x:c r="H475" s="1"/>
      <x:c r="I475" s="1"/>
      <x:c r="J475" s="1"/>
      <x:c r="K475" s="1"/>
    </x:row>
    <x:row r="476">
      <x:c r="A476" s="1"/>
      <x:c r="B476" s="1"/>
      <x:c r="C476" s="1"/>
      <x:c r="D476" s="1"/>
      <x:c r="E476" s="1"/>
      <x:c r="F476" s="1"/>
      <x:c r="G476" s="1"/>
      <x:c r="H476" s="1"/>
      <x:c r="I476" s="1"/>
      <x:c r="J476" s="1"/>
      <x:c r="K476" s="1"/>
    </x:row>
    <x:row r="477">
      <x:c r="A477" s="1"/>
      <x:c r="B477" s="1"/>
      <x:c r="C477" s="1"/>
      <x:c r="D477" s="1"/>
      <x:c r="E477" s="1"/>
      <x:c r="F477" s="1"/>
      <x:c r="G477" s="1"/>
      <x:c r="H477" s="1"/>
      <x:c r="I477" s="1"/>
      <x:c r="J477" s="1"/>
      <x:c r="K477" s="1"/>
    </x:row>
    <x:row r="478">
      <x:c r="A478" s="1"/>
      <x:c r="B478" s="1"/>
      <x:c r="C478" s="1"/>
      <x:c r="D478" s="1"/>
      <x:c r="E478" s="1"/>
      <x:c r="F478" s="1"/>
      <x:c r="G478" s="1"/>
      <x:c r="H478" s="1"/>
      <x:c r="I478" s="1"/>
      <x:c r="J478" s="1"/>
      <x:c r="K478" s="1"/>
    </x:row>
    <x:row r="479">
      <x:c r="A479" s="1"/>
      <x:c r="B479" s="1"/>
      <x:c r="C479" s="1"/>
      <x:c r="D479" s="1"/>
      <x:c r="E479" s="1"/>
      <x:c r="F479" s="1"/>
      <x:c r="G479" s="1"/>
      <x:c r="H479" s="1"/>
      <x:c r="I479" s="1"/>
      <x:c r="J479" s="1"/>
      <x:c r="K479" s="1"/>
    </x:row>
    <x:row r="480">
      <x:c r="A480" s="1"/>
      <x:c r="B480" s="1"/>
      <x:c r="C480" s="1"/>
      <x:c r="D480" s="1"/>
      <x:c r="E480" s="1"/>
      <x:c r="F480" s="1"/>
      <x:c r="G480" s="1"/>
      <x:c r="H480" s="1"/>
      <x:c r="I480" s="1"/>
      <x:c r="J480" s="1"/>
      <x:c r="K480" s="1"/>
    </x:row>
    <x:row r="481">
      <x:c r="A481" s="1"/>
      <x:c r="B481" s="1"/>
      <x:c r="C481" s="1"/>
      <x:c r="D481" s="1"/>
      <x:c r="E481" s="1"/>
      <x:c r="F481" s="1"/>
      <x:c r="G481" s="1"/>
      <x:c r="H481" s="1"/>
      <x:c r="I481" s="1"/>
      <x:c r="J481" s="1"/>
      <x:c r="K481" s="1"/>
    </x:row>
    <x:row r="482">
      <x:c r="A482" s="1"/>
      <x:c r="B482" s="1"/>
      <x:c r="C482" s="1"/>
      <x:c r="D482" s="1"/>
      <x:c r="E482" s="1"/>
      <x:c r="F482" s="1"/>
      <x:c r="G482" s="1"/>
      <x:c r="H482" s="1"/>
      <x:c r="I482" s="1"/>
      <x:c r="J482" s="1"/>
      <x:c r="K482" s="1"/>
    </x:row>
    <x:row r="483">
      <x:c r="A483" s="1"/>
      <x:c r="B483" s="1"/>
      <x:c r="C483" s="1"/>
      <x:c r="D483" s="1"/>
      <x:c r="E483" s="1"/>
      <x:c r="F483" s="1"/>
      <x:c r="G483" s="1"/>
      <x:c r="H483" s="1"/>
      <x:c r="I483" s="1"/>
      <x:c r="J483" s="1"/>
      <x:c r="K483" s="1"/>
    </x:row>
    <x:row r="484">
      <x:c r="A484" s="1"/>
      <x:c r="B484" s="1"/>
      <x:c r="C484" s="1"/>
      <x:c r="D484" s="1"/>
      <x:c r="E484" s="1"/>
      <x:c r="F484" s="1"/>
      <x:c r="G484" s="1"/>
      <x:c r="H484" s="1"/>
      <x:c r="I484" s="1"/>
      <x:c r="J484" s="1"/>
      <x:c r="K484" s="1"/>
    </x:row>
    <x:row r="485">
      <x:c r="A485" s="1"/>
      <x:c r="B485" s="1"/>
      <x:c r="C485" s="1"/>
      <x:c r="D485" s="1"/>
      <x:c r="E485" s="1"/>
      <x:c r="F485" s="1"/>
      <x:c r="G485" s="1"/>
      <x:c r="H485" s="1"/>
      <x:c r="I485" s="1"/>
      <x:c r="J485" s="1"/>
      <x:c r="K485" s="1"/>
    </x:row>
    <x:row r="486">
      <x:c r="A486" s="1"/>
      <x:c r="B486" s="1"/>
      <x:c r="C486" s="1"/>
      <x:c r="D486" s="1"/>
      <x:c r="E486" s="1"/>
      <x:c r="F486" s="1"/>
      <x:c r="G486" s="1"/>
      <x:c r="H486" s="1"/>
      <x:c r="I486" s="1"/>
      <x:c r="J486" s="1"/>
      <x:c r="K486" s="1"/>
    </x:row>
    <x:row r="487">
      <x:c r="A487" s="1"/>
      <x:c r="B487" s="1"/>
      <x:c r="C487" s="1"/>
      <x:c r="D487" s="1"/>
      <x:c r="E487" s="1"/>
      <x:c r="F487" s="1"/>
      <x:c r="G487" s="1"/>
      <x:c r="H487" s="1"/>
      <x:c r="I487" s="1"/>
      <x:c r="J487" s="1"/>
      <x:c r="K487" s="1"/>
    </x:row>
    <x:row r="488">
      <x:c r="A488" s="1"/>
      <x:c r="B488" s="1"/>
      <x:c r="C488" s="1"/>
      <x:c r="D488" s="1"/>
      <x:c r="E488" s="1"/>
      <x:c r="F488" s="1"/>
      <x:c r="G488" s="1"/>
      <x:c r="H488" s="1"/>
      <x:c r="I488" s="1"/>
      <x:c r="J488" s="1"/>
      <x:c r="K488" s="1"/>
    </x:row>
    <x:row r="489">
      <x:c r="A489" s="1"/>
      <x:c r="B489" s="1"/>
      <x:c r="C489" s="1"/>
      <x:c r="D489" s="1"/>
      <x:c r="E489" s="1"/>
      <x:c r="F489" s="1"/>
      <x:c r="G489" s="1"/>
      <x:c r="H489" s="1"/>
      <x:c r="I489" s="1"/>
      <x:c r="J489" s="1"/>
      <x:c r="K489" s="1"/>
    </x:row>
    <x:row r="490">
      <x:c r="A490" s="1"/>
      <x:c r="B490" s="1"/>
      <x:c r="C490" s="1"/>
      <x:c r="D490" s="1"/>
      <x:c r="E490" s="1"/>
      <x:c r="F490" s="1"/>
      <x:c r="G490" s="1"/>
      <x:c r="H490" s="1"/>
      <x:c r="I490" s="1"/>
      <x:c r="J490" s="1"/>
      <x:c r="K490" s="1"/>
    </x:row>
    <x:row r="491">
      <x:c r="A491" s="1"/>
      <x:c r="B491" s="1"/>
      <x:c r="C491" s="1"/>
      <x:c r="D491" s="1"/>
      <x:c r="E491" s="1"/>
      <x:c r="F491" s="1"/>
      <x:c r="G491" s="1"/>
      <x:c r="H491" s="1"/>
      <x:c r="I491" s="1"/>
      <x:c r="J491" s="1"/>
      <x:c r="K491" s="1"/>
    </x:row>
    <x:row r="492">
      <x:c r="A492" s="1"/>
      <x:c r="B492" s="1"/>
      <x:c r="C492" s="1"/>
      <x:c r="D492" s="1"/>
      <x:c r="E492" s="1"/>
      <x:c r="F492" s="1"/>
      <x:c r="G492" s="1"/>
      <x:c r="H492" s="1"/>
      <x:c r="I492" s="1"/>
      <x:c r="J492" s="1"/>
      <x:c r="K492" s="1"/>
    </x:row>
    <x:row r="493">
      <x:c r="A493" s="1"/>
      <x:c r="B493" s="1"/>
      <x:c r="C493" s="1"/>
      <x:c r="D493" s="1"/>
      <x:c r="E493" s="1"/>
      <x:c r="F493" s="1"/>
      <x:c r="G493" s="1"/>
      <x:c r="H493" s="1"/>
      <x:c r="I493" s="1"/>
      <x:c r="J493" s="1"/>
      <x:c r="K493" s="1"/>
    </x:row>
    <x:row r="494">
      <x:c r="A494" s="1"/>
      <x:c r="B494" s="1"/>
      <x:c r="C494" s="1"/>
      <x:c r="D494" s="1"/>
      <x:c r="E494" s="1"/>
      <x:c r="F494" s="1"/>
      <x:c r="G494" s="1"/>
      <x:c r="H494" s="1"/>
      <x:c r="I494" s="1"/>
      <x:c r="J494" s="1"/>
      <x:c r="K494" s="1"/>
    </x:row>
    <x:row r="495">
      <x:c r="A495" s="1"/>
      <x:c r="B495" s="1"/>
      <x:c r="C495" s="1"/>
      <x:c r="D495" s="1"/>
      <x:c r="E495" s="1"/>
      <x:c r="F495" s="1"/>
      <x:c r="G495" s="1"/>
      <x:c r="H495" s="1"/>
      <x:c r="I495" s="1"/>
      <x:c r="J495" s="1"/>
      <x:c r="K495" s="1"/>
    </x:row>
    <x:row r="496">
      <x:c r="A496" s="1"/>
      <x:c r="B496" s="1"/>
      <x:c r="C496" s="1"/>
      <x:c r="D496" s="1"/>
      <x:c r="E496" s="1"/>
      <x:c r="F496" s="1"/>
      <x:c r="G496" s="1"/>
      <x:c r="H496" s="1"/>
      <x:c r="I496" s="1"/>
      <x:c r="J496" s="1"/>
      <x:c r="K496" s="1"/>
    </x:row>
    <x:row r="497">
      <x:c r="A497" s="1"/>
      <x:c r="B497" s="1"/>
      <x:c r="C497" s="1"/>
      <x:c r="D497" s="1"/>
      <x:c r="E497" s="1"/>
      <x:c r="F497" s="1"/>
      <x:c r="G497" s="1"/>
      <x:c r="H497" s="1"/>
      <x:c r="I497" s="1"/>
      <x:c r="J497" s="1"/>
      <x:c r="K497" s="1"/>
    </x:row>
    <x:row r="498">
      <x:c r="A498" s="1"/>
      <x:c r="B498" s="1"/>
      <x:c r="C498" s="1"/>
      <x:c r="D498" s="1"/>
      <x:c r="E498" s="1"/>
      <x:c r="F498" s="1"/>
      <x:c r="G498" s="1"/>
      <x:c r="H498" s="1"/>
      <x:c r="I498" s="1"/>
      <x:c r="J498" s="1"/>
      <x:c r="K498" s="1"/>
    </x:row>
    <x:row r="499">
      <x:c r="A499" s="1"/>
      <x:c r="B499" s="1"/>
      <x:c r="C499" s="1"/>
      <x:c r="D499" s="1"/>
      <x:c r="E499" s="1"/>
      <x:c r="F499" s="1"/>
      <x:c r="G499" s="1"/>
      <x:c r="H499" s="1"/>
      <x:c r="I499" s="1"/>
      <x:c r="J499" s="1"/>
      <x:c r="K499" s="1"/>
    </x:row>
    <x:row r="500">
      <x:c r="A500" s="1"/>
      <x:c r="B500" s="1"/>
      <x:c r="C500" s="1"/>
      <x:c r="D500" s="1"/>
      <x:c r="E500" s="1"/>
      <x:c r="F500" s="1"/>
      <x:c r="G500" s="1"/>
      <x:c r="H500" s="1"/>
      <x:c r="I500" s="1"/>
      <x:c r="J500" s="1"/>
      <x:c r="K500" s="1"/>
    </x:row>
    <x:row r="501">
      <x:c r="A501" s="1"/>
      <x:c r="B501" s="1"/>
      <x:c r="C501" s="1"/>
      <x:c r="D501" s="1"/>
      <x:c r="E501" s="1"/>
      <x:c r="F501" s="1"/>
      <x:c r="G501" s="1"/>
      <x:c r="H501" s="1"/>
      <x:c r="I501" s="1"/>
      <x:c r="J501" s="1"/>
      <x:c r="K501" s="1"/>
    </x:row>
    <x:row r="502">
      <x:c r="A502" s="1"/>
      <x:c r="B502" s="1"/>
      <x:c r="C502" s="1"/>
      <x:c r="D502" s="1"/>
      <x:c r="E502" s="1"/>
      <x:c r="F502" s="1"/>
      <x:c r="G502" s="1"/>
      <x:c r="H502" s="1"/>
      <x:c r="I502" s="1"/>
      <x:c r="J502" s="1"/>
      <x:c r="K502" s="1"/>
    </x:row>
    <x:row r="503">
      <x:c r="A503" s="1"/>
      <x:c r="B503" s="1"/>
      <x:c r="C503" s="1"/>
      <x:c r="D503" s="1"/>
      <x:c r="E503" s="1"/>
      <x:c r="F503" s="1"/>
      <x:c r="G503" s="1"/>
      <x:c r="H503" s="1"/>
      <x:c r="I503" s="1"/>
      <x:c r="J503" s="1"/>
      <x:c r="K503" s="1"/>
    </x:row>
    <x:row r="504">
      <x:c r="A504" s="1"/>
      <x:c r="B504" s="1"/>
      <x:c r="C504" s="1"/>
      <x:c r="D504" s="1"/>
      <x:c r="E504" s="1"/>
      <x:c r="F504" s="1"/>
      <x:c r="G504" s="1"/>
      <x:c r="H504" s="1"/>
      <x:c r="I504" s="1"/>
      <x:c r="J504" s="1"/>
      <x:c r="K504" s="1"/>
    </x:row>
    <x:row r="505">
      <x:c r="A505" s="1"/>
      <x:c r="B505" s="1"/>
      <x:c r="C505" s="1"/>
      <x:c r="D505" s="1"/>
      <x:c r="E505" s="1"/>
      <x:c r="F505" s="1"/>
      <x:c r="G505" s="1"/>
      <x:c r="H505" s="1"/>
      <x:c r="I505" s="1"/>
      <x:c r="J505" s="1"/>
      <x:c r="K505" s="1"/>
    </x:row>
    <x:row r="506">
      <x:c r="A506" s="1"/>
      <x:c r="B506" s="1"/>
      <x:c r="C506" s="1"/>
      <x:c r="D506" s="1"/>
      <x:c r="E506" s="1"/>
      <x:c r="F506" s="1"/>
      <x:c r="G506" s="1"/>
      <x:c r="H506" s="1"/>
      <x:c r="I506" s="1"/>
      <x:c r="J506" s="1"/>
      <x:c r="K506" s="1"/>
    </x:row>
    <x:row r="507">
      <x:c r="A507" s="1"/>
      <x:c r="B507" s="1"/>
      <x:c r="C507" s="1"/>
      <x:c r="D507" s="1"/>
      <x:c r="E507" s="1"/>
      <x:c r="F507" s="1"/>
      <x:c r="G507" s="1"/>
      <x:c r="H507" s="1"/>
      <x:c r="I507" s="1"/>
      <x:c r="J507" s="1"/>
      <x:c r="K507" s="1"/>
    </x:row>
    <x:row r="508">
      <x:c r="A508" s="1"/>
      <x:c r="B508" s="1"/>
      <x:c r="C508" s="1"/>
      <x:c r="D508" s="1"/>
      <x:c r="E508" s="1"/>
      <x:c r="F508" s="1"/>
      <x:c r="G508" s="1"/>
      <x:c r="H508" s="1"/>
      <x:c r="I508" s="1"/>
      <x:c r="J508" s="1"/>
      <x:c r="K508" s="1"/>
    </x:row>
    <x:row r="509">
      <x:c r="A509" s="1"/>
      <x:c r="B509" s="1"/>
      <x:c r="C509" s="1"/>
      <x:c r="D509" s="1"/>
      <x:c r="E509" s="1"/>
      <x:c r="F509" s="1"/>
      <x:c r="G509" s="1"/>
      <x:c r="H509" s="1"/>
      <x:c r="I509" s="1"/>
      <x:c r="J509" s="1"/>
      <x:c r="K509" s="1"/>
    </x:row>
    <x:row r="510">
      <x:c r="A510" s="1"/>
      <x:c r="B510" s="1"/>
      <x:c r="C510" s="1"/>
      <x:c r="D510" s="1"/>
      <x:c r="E510" s="1"/>
      <x:c r="F510" s="1"/>
      <x:c r="G510" s="1"/>
      <x:c r="H510" s="1"/>
      <x:c r="I510" s="1"/>
      <x:c r="J510" s="1"/>
      <x:c r="K510" s="1"/>
    </x:row>
    <x:row r="511">
      <x:c r="A511" s="1"/>
      <x:c r="B511" s="1"/>
      <x:c r="C511" s="1"/>
      <x:c r="D511" s="1"/>
      <x:c r="E511" s="1"/>
      <x:c r="F511" s="1"/>
      <x:c r="G511" s="1"/>
      <x:c r="H511" s="1"/>
      <x:c r="I511" s="1"/>
      <x:c r="J511" s="1"/>
      <x:c r="K511" s="1"/>
    </x:row>
    <x:row r="512">
      <x:c r="A512" s="1"/>
      <x:c r="B512" s="1"/>
      <x:c r="C512" s="1"/>
      <x:c r="D512" s="1"/>
      <x:c r="E512" s="1"/>
      <x:c r="F512" s="1"/>
      <x:c r="G512" s="1"/>
      <x:c r="H512" s="1"/>
      <x:c r="I512" s="1"/>
      <x:c r="J512" s="1"/>
      <x:c r="K512" s="1"/>
    </x:row>
    <x:row r="513">
      <x:c r="A513" s="1"/>
      <x:c r="B513" s="1"/>
      <x:c r="C513" s="1"/>
      <x:c r="D513" s="1"/>
      <x:c r="E513" s="1"/>
      <x:c r="F513" s="1"/>
      <x:c r="G513" s="1"/>
      <x:c r="H513" s="1"/>
      <x:c r="I513" s="1"/>
      <x:c r="J513" s="1"/>
      <x:c r="K513" s="1"/>
    </x:row>
    <x:row r="514">
      <x:c r="A514" s="1"/>
      <x:c r="B514" s="1"/>
      <x:c r="C514" s="1"/>
      <x:c r="D514" s="1"/>
      <x:c r="E514" s="1"/>
      <x:c r="F514" s="1"/>
      <x:c r="G514" s="1"/>
      <x:c r="H514" s="1"/>
      <x:c r="I514" s="1"/>
      <x:c r="J514" s="1"/>
      <x:c r="K514" s="1"/>
    </x:row>
    <x:row r="515">
      <x:c r="A515" s="1"/>
      <x:c r="B515" s="1"/>
      <x:c r="C515" s="1"/>
      <x:c r="D515" s="1"/>
      <x:c r="E515" s="1"/>
      <x:c r="F515" s="1"/>
      <x:c r="G515" s="1"/>
      <x:c r="H515" s="1"/>
      <x:c r="I515" s="1"/>
      <x:c r="J515" s="1"/>
      <x:c r="K515" s="1"/>
    </x:row>
    <x:row r="516">
      <x:c r="A516" s="1"/>
      <x:c r="B516" s="1"/>
      <x:c r="C516" s="1"/>
      <x:c r="D516" s="1"/>
      <x:c r="E516" s="1"/>
      <x:c r="F516" s="1"/>
      <x:c r="G516" s="1"/>
      <x:c r="H516" s="1"/>
      <x:c r="I516" s="1"/>
      <x:c r="J516" s="1"/>
      <x:c r="K516" s="1"/>
    </x:row>
    <x:row r="517">
      <x:c r="A517" s="1"/>
      <x:c r="B517" s="1"/>
      <x:c r="C517" s="1"/>
      <x:c r="D517" s="1"/>
      <x:c r="E517" s="1"/>
      <x:c r="F517" s="1"/>
      <x:c r="G517" s="1"/>
      <x:c r="H517" s="1"/>
      <x:c r="I517" s="1"/>
      <x:c r="J517" s="1"/>
      <x:c r="K517" s="1"/>
    </x:row>
    <x:row r="518">
      <x:c r="A518" s="1"/>
      <x:c r="B518" s="1"/>
      <x:c r="C518" s="1"/>
      <x:c r="D518" s="1"/>
      <x:c r="E518" s="1"/>
      <x:c r="F518" s="1"/>
      <x:c r="G518" s="1"/>
      <x:c r="H518" s="1"/>
      <x:c r="I518" s="1"/>
      <x:c r="J518" s="1"/>
      <x:c r="K518" s="1"/>
    </x:row>
    <x:row r="519">
      <x:c r="A519" s="1"/>
      <x:c r="B519" s="1"/>
      <x:c r="C519" s="1"/>
      <x:c r="D519" s="1"/>
      <x:c r="E519" s="1"/>
      <x:c r="F519" s="1"/>
      <x:c r="G519" s="1"/>
      <x:c r="H519" s="1"/>
      <x:c r="I519" s="1"/>
      <x:c r="J519" s="1"/>
      <x:c r="K519" s="1"/>
    </x:row>
    <x:row r="520">
      <x:c r="A520" s="1"/>
      <x:c r="B520" s="1"/>
      <x:c r="C520" s="1"/>
      <x:c r="D520" s="1"/>
      <x:c r="E520" s="1"/>
      <x:c r="F520" s="1"/>
      <x:c r="G520" s="1"/>
      <x:c r="H520" s="1"/>
      <x:c r="I520" s="1"/>
      <x:c r="J520" s="1"/>
      <x:c r="K520" s="1"/>
    </x:row>
    <x:row r="521">
      <x:c r="A521" s="1"/>
      <x:c r="B521" s="1"/>
      <x:c r="C521" s="1"/>
      <x:c r="D521" s="1"/>
      <x:c r="E521" s="1"/>
      <x:c r="F521" s="1"/>
      <x:c r="G521" s="1"/>
      <x:c r="H521" s="1"/>
      <x:c r="I521" s="1"/>
      <x:c r="J521" s="1"/>
      <x:c r="K521" s="1"/>
    </x:row>
    <x:row r="522">
      <x:c r="A522" s="1"/>
      <x:c r="B522" s="1"/>
      <x:c r="C522" s="1"/>
      <x:c r="D522" s="1"/>
      <x:c r="E522" s="1"/>
      <x:c r="F522" s="1"/>
      <x:c r="G522" s="1"/>
      <x:c r="H522" s="1"/>
      <x:c r="I522" s="1"/>
      <x:c r="J522" s="1"/>
      <x:c r="K522" s="1"/>
    </x:row>
    <x:row r="523">
      <x:c r="A523" s="1"/>
      <x:c r="B523" s="1"/>
      <x:c r="C523" s="1"/>
      <x:c r="D523" s="1"/>
      <x:c r="E523" s="1"/>
      <x:c r="F523" s="1"/>
      <x:c r="G523" s="1"/>
      <x:c r="H523" s="1"/>
      <x:c r="I523" s="1"/>
      <x:c r="J523" s="1"/>
      <x:c r="K523" s="1"/>
    </x:row>
    <x:row r="524">
      <x:c r="A524" s="1"/>
      <x:c r="B524" s="1"/>
      <x:c r="C524" s="1"/>
      <x:c r="D524" s="1"/>
      <x:c r="E524" s="1"/>
      <x:c r="F524" s="1"/>
      <x:c r="G524" s="1"/>
      <x:c r="H524" s="1"/>
      <x:c r="I524" s="1"/>
      <x:c r="J524" s="1"/>
      <x:c r="K524" s="1"/>
    </x:row>
    <x:row r="525">
      <x:c r="A525" s="1"/>
      <x:c r="B525" s="1"/>
      <x:c r="C525" s="1"/>
      <x:c r="D525" s="1"/>
      <x:c r="E525" s="1"/>
      <x:c r="F525" s="1"/>
      <x:c r="G525" s="1"/>
      <x:c r="H525" s="1"/>
      <x:c r="I525" s="1"/>
      <x:c r="J525" s="1"/>
      <x:c r="K525" s="1"/>
    </x:row>
    <x:row r="526">
      <x:c r="A526" s="1"/>
      <x:c r="B526" s="1"/>
      <x:c r="C526" s="1"/>
      <x:c r="D526" s="1"/>
      <x:c r="E526" s="1"/>
      <x:c r="F526" s="1"/>
      <x:c r="G526" s="1"/>
      <x:c r="H526" s="1"/>
      <x:c r="I526" s="1"/>
      <x:c r="J526" s="1"/>
      <x:c r="K526" s="1"/>
    </x:row>
    <x:row r="527">
      <x:c r="A527" s="1"/>
      <x:c r="B527" s="1"/>
      <x:c r="C527" s="1"/>
      <x:c r="D527" s="1"/>
      <x:c r="E527" s="1"/>
      <x:c r="F527" s="1"/>
      <x:c r="G527" s="1"/>
      <x:c r="H527" s="1"/>
      <x:c r="I527" s="1"/>
      <x:c r="J527" s="1"/>
      <x:c r="K527" s="1"/>
    </x:row>
    <x:row r="528">
      <x:c r="A528" s="1"/>
      <x:c r="B528" s="1"/>
      <x:c r="C528" s="1"/>
      <x:c r="D528" s="1"/>
      <x:c r="E528" s="1"/>
      <x:c r="F528" s="1"/>
      <x:c r="G528" s="1"/>
      <x:c r="H528" s="1"/>
      <x:c r="I528" s="1"/>
      <x:c r="J528" s="1"/>
      <x:c r="K528" s="1"/>
    </x:row>
    <x:row r="529">
      <x:c r="A529" s="1"/>
      <x:c r="B529" s="1"/>
      <x:c r="C529" s="1"/>
      <x:c r="D529" s="1"/>
      <x:c r="E529" s="1"/>
      <x:c r="F529" s="1"/>
      <x:c r="G529" s="1"/>
      <x:c r="H529" s="1"/>
      <x:c r="I529" s="1"/>
      <x:c r="J529" s="1"/>
      <x:c r="K529" s="1"/>
    </x:row>
    <x:row r="530">
      <x:c r="A530" s="1"/>
      <x:c r="B530" s="1"/>
      <x:c r="C530" s="1"/>
      <x:c r="D530" s="1"/>
      <x:c r="E530" s="1"/>
      <x:c r="F530" s="1"/>
      <x:c r="G530" s="1"/>
      <x:c r="H530" s="1"/>
      <x:c r="I530" s="1"/>
      <x:c r="J530" s="1"/>
      <x:c r="K530" s="1"/>
    </x:row>
    <x:row r="531">
      <x:c r="A531" s="1"/>
      <x:c r="B531" s="1"/>
      <x:c r="C531" s="1"/>
      <x:c r="D531" s="1"/>
      <x:c r="E531" s="1"/>
      <x:c r="F531" s="1"/>
      <x:c r="G531" s="1"/>
      <x:c r="H531" s="1"/>
      <x:c r="I531" s="1"/>
      <x:c r="J531" s="1"/>
      <x:c r="K531" s="1"/>
    </x:row>
    <x:row r="532">
      <x:c r="A532" s="1"/>
      <x:c r="B532" s="1"/>
      <x:c r="C532" s="1"/>
      <x:c r="D532" s="1"/>
      <x:c r="E532" s="1"/>
      <x:c r="F532" s="1"/>
      <x:c r="G532" s="1"/>
      <x:c r="H532" s="1"/>
      <x:c r="I532" s="1"/>
      <x:c r="J532" s="1"/>
      <x:c r="K532" s="1"/>
    </x:row>
    <x:row r="533">
      <x:c r="A533" s="1"/>
      <x:c r="B533" s="1"/>
      <x:c r="C533" s="1"/>
      <x:c r="D533" s="1"/>
      <x:c r="E533" s="1"/>
      <x:c r="F533" s="1"/>
      <x:c r="G533" s="1"/>
      <x:c r="H533" s="1"/>
      <x:c r="I533" s="1"/>
      <x:c r="J533" s="1"/>
      <x:c r="K533" s="1"/>
    </x:row>
    <x:row r="534">
      <x:c r="A534" s="1"/>
      <x:c r="B534" s="1"/>
      <x:c r="C534" s="1"/>
      <x:c r="D534" s="1"/>
      <x:c r="E534" s="1"/>
      <x:c r="F534" s="1"/>
      <x:c r="G534" s="1"/>
      <x:c r="H534" s="1"/>
      <x:c r="I534" s="1"/>
      <x:c r="J534" s="1"/>
      <x:c r="K534" s="1"/>
    </x:row>
    <x:row r="535">
      <x:c r="A535" s="1"/>
      <x:c r="B535" s="1"/>
      <x:c r="C535" s="1"/>
      <x:c r="D535" s="1"/>
      <x:c r="E535" s="1"/>
      <x:c r="F535" s="1"/>
      <x:c r="G535" s="1"/>
      <x:c r="H535" s="1"/>
      <x:c r="I535" s="1"/>
      <x:c r="J535" s="1"/>
      <x:c r="K535" s="1"/>
    </x:row>
    <x:row r="536">
      <x:c r="A536" s="1"/>
      <x:c r="B536" s="1"/>
      <x:c r="C536" s="1"/>
      <x:c r="D536" s="1"/>
      <x:c r="E536" s="1"/>
      <x:c r="F536" s="1"/>
      <x:c r="G536" s="1"/>
      <x:c r="H536" s="1"/>
      <x:c r="I536" s="1"/>
      <x:c r="J536" s="1"/>
      <x:c r="K536" s="1"/>
    </x:row>
    <x:row r="537">
      <x:c r="A537" s="1"/>
      <x:c r="B537" s="1"/>
      <x:c r="C537" s="1"/>
      <x:c r="D537" s="1"/>
      <x:c r="E537" s="1"/>
      <x:c r="F537" s="1"/>
      <x:c r="G537" s="1"/>
      <x:c r="H537" s="1"/>
      <x:c r="I537" s="1"/>
      <x:c r="J537" s="1"/>
      <x:c r="K537" s="1"/>
    </x:row>
    <x:row r="538">
      <x:c r="A538" s="1"/>
      <x:c r="B538" s="1"/>
      <x:c r="C538" s="1"/>
      <x:c r="D538" s="1"/>
      <x:c r="E538" s="1"/>
      <x:c r="F538" s="1"/>
      <x:c r="G538" s="1"/>
      <x:c r="H538" s="1"/>
      <x:c r="I538" s="1"/>
      <x:c r="J538" s="1"/>
      <x:c r="K538" s="1"/>
    </x:row>
    <x:row r="539">
      <x:c r="A539" s="1"/>
      <x:c r="B539" s="1"/>
      <x:c r="C539" s="1"/>
      <x:c r="D539" s="1"/>
      <x:c r="E539" s="1"/>
      <x:c r="F539" s="1"/>
      <x:c r="G539" s="1"/>
      <x:c r="H539" s="1"/>
      <x:c r="I539" s="1"/>
      <x:c r="J539" s="1"/>
      <x:c r="K539" s="1"/>
    </x:row>
    <x:row r="540">
      <x:c r="A540" s="1"/>
      <x:c r="B540" s="1"/>
      <x:c r="C540" s="1"/>
      <x:c r="D540" s="1"/>
      <x:c r="E540" s="1"/>
      <x:c r="F540" s="1"/>
      <x:c r="G540" s="1"/>
      <x:c r="H540" s="1"/>
      <x:c r="I540" s="1"/>
      <x:c r="J540" s="1"/>
      <x:c r="K540" s="1"/>
    </x:row>
    <x:row r="541">
      <x:c r="A541" s="1"/>
      <x:c r="B541" s="1"/>
      <x:c r="C541" s="1"/>
      <x:c r="D541" s="1"/>
      <x:c r="E541" s="1"/>
      <x:c r="F541" s="1"/>
      <x:c r="G541" s="1"/>
      <x:c r="H541" s="1"/>
      <x:c r="I541" s="1"/>
      <x:c r="J541" s="1"/>
      <x:c r="K541" s="1"/>
    </x:row>
    <x:row r="542">
      <x:c r="A542" s="1"/>
      <x:c r="B542" s="1"/>
      <x:c r="C542" s="1"/>
      <x:c r="D542" s="1"/>
      <x:c r="E542" s="1"/>
      <x:c r="F542" s="1"/>
      <x:c r="G542" s="1"/>
      <x:c r="H542" s="1"/>
      <x:c r="I542" s="1"/>
      <x:c r="J542" s="1"/>
      <x:c r="K542" s="1"/>
    </x:row>
    <x:row r="543">
      <x:c r="A543" s="1"/>
      <x:c r="B543" s="1"/>
      <x:c r="C543" s="1"/>
      <x:c r="D543" s="1"/>
      <x:c r="E543" s="1"/>
      <x:c r="F543" s="1"/>
      <x:c r="G543" s="1"/>
      <x:c r="H543" s="1"/>
      <x:c r="I543" s="1"/>
      <x:c r="J543" s="1"/>
      <x:c r="K543" s="1"/>
    </x:row>
    <x:row r="544">
      <x:c r="A544" s="1"/>
      <x:c r="B544" s="1"/>
      <x:c r="C544" s="1"/>
      <x:c r="D544" s="1"/>
      <x:c r="E544" s="1"/>
      <x:c r="F544" s="1"/>
      <x:c r="G544" s="1"/>
      <x:c r="H544" s="1"/>
      <x:c r="I544" s="1"/>
      <x:c r="J544" s="1"/>
      <x:c r="K544" s="1"/>
    </x:row>
    <x:row r="545">
      <x:c r="A545" s="1"/>
      <x:c r="B545" s="1"/>
      <x:c r="C545" s="1"/>
      <x:c r="D545" s="1"/>
      <x:c r="E545" s="1"/>
      <x:c r="F545" s="1"/>
      <x:c r="G545" s="1"/>
      <x:c r="H545" s="1"/>
      <x:c r="I545" s="1"/>
      <x:c r="J545" s="1"/>
      <x:c r="K545" s="1"/>
    </x:row>
    <x:row r="546">
      <x:c r="A546" s="1"/>
      <x:c r="B546" s="1"/>
      <x:c r="C546" s="1"/>
      <x:c r="D546" s="1"/>
      <x:c r="E546" s="1"/>
      <x:c r="F546" s="1"/>
      <x:c r="G546" s="1"/>
      <x:c r="H546" s="1"/>
      <x:c r="I546" s="1"/>
      <x:c r="J546" s="1"/>
      <x:c r="K546" s="1"/>
    </x:row>
    <x:row r="547">
      <x:c r="A547" s="1"/>
      <x:c r="B547" s="1"/>
      <x:c r="C547" s="1"/>
      <x:c r="D547" s="1"/>
      <x:c r="E547" s="1"/>
      <x:c r="F547" s="1"/>
      <x:c r="G547" s="1"/>
      <x:c r="H547" s="1"/>
      <x:c r="I547" s="1"/>
      <x:c r="J547" s="1"/>
      <x:c r="K547" s="1"/>
    </x:row>
    <x:row r="548">
      <x:c r="A548" s="1"/>
      <x:c r="B548" s="1"/>
      <x:c r="C548" s="1"/>
      <x:c r="D548" s="1"/>
      <x:c r="E548" s="1"/>
      <x:c r="F548" s="1"/>
      <x:c r="G548" s="1"/>
      <x:c r="H548" s="1"/>
      <x:c r="I548" s="1"/>
      <x:c r="J548" s="1"/>
      <x:c r="K548" s="1"/>
    </x:row>
    <x:row r="549">
      <x:c r="A549" s="1"/>
      <x:c r="B549" s="1"/>
      <x:c r="C549" s="1"/>
      <x:c r="D549" s="1"/>
      <x:c r="E549" s="1"/>
      <x:c r="F549" s="1"/>
      <x:c r="G549" s="1"/>
      <x:c r="H549" s="1"/>
      <x:c r="I549" s="1"/>
      <x:c r="J549" s="1"/>
      <x:c r="K549" s="1"/>
    </x:row>
    <x:row r="550">
      <x:c r="A550" s="1"/>
      <x:c r="B550" s="1"/>
      <x:c r="C550" s="1"/>
      <x:c r="D550" s="1"/>
      <x:c r="E550" s="1"/>
      <x:c r="F550" s="1"/>
      <x:c r="G550" s="1"/>
      <x:c r="H550" s="1"/>
      <x:c r="I550" s="1"/>
      <x:c r="J550" s="1"/>
      <x:c r="K550" s="1"/>
    </x:row>
    <x:row r="551">
      <x:c r="A551" s="1"/>
      <x:c r="B551" s="1"/>
      <x:c r="C551" s="1"/>
      <x:c r="D551" s="1"/>
      <x:c r="E551" s="1"/>
      <x:c r="F551" s="1"/>
      <x:c r="G551" s="1"/>
      <x:c r="H551" s="1"/>
      <x:c r="I551" s="1"/>
      <x:c r="J551" s="1"/>
      <x:c r="K551" s="1"/>
    </x:row>
    <x:row r="552">
      <x:c r="A552" s="1"/>
      <x:c r="B552" s="1"/>
      <x:c r="C552" s="1"/>
      <x:c r="D552" s="1"/>
      <x:c r="E552" s="1"/>
      <x:c r="F552" s="1"/>
      <x:c r="G552" s="1"/>
      <x:c r="H552" s="1"/>
      <x:c r="I552" s="1"/>
      <x:c r="J552" s="1"/>
      <x:c r="K552" s="1"/>
    </x:row>
    <x:row r="553">
      <x:c r="A553" s="1"/>
      <x:c r="B553" s="1"/>
      <x:c r="C553" s="1"/>
      <x:c r="D553" s="1"/>
      <x:c r="E553" s="1"/>
      <x:c r="F553" s="1"/>
      <x:c r="G553" s="1"/>
      <x:c r="H553" s="1"/>
      <x:c r="I553" s="1"/>
      <x:c r="J553" s="1"/>
      <x:c r="K553" s="1"/>
    </x:row>
    <x:row r="554">
      <x:c r="A554" s="1"/>
      <x:c r="B554" s="1"/>
      <x:c r="C554" s="1"/>
      <x:c r="D554" s="1"/>
      <x:c r="E554" s="1"/>
      <x:c r="F554" s="1"/>
      <x:c r="G554" s="1"/>
      <x:c r="H554" s="1"/>
      <x:c r="I554" s="1"/>
      <x:c r="J554" s="1"/>
      <x:c r="K554" s="1"/>
    </x:row>
    <x:row r="555">
      <x:c r="A555" s="1"/>
      <x:c r="B555" s="1"/>
      <x:c r="C555" s="1"/>
      <x:c r="D555" s="1"/>
      <x:c r="E555" s="1"/>
      <x:c r="F555" s="1"/>
      <x:c r="G555" s="1"/>
      <x:c r="H555" s="1"/>
      <x:c r="I555" s="1"/>
      <x:c r="J555" s="1"/>
      <x:c r="K555" s="1"/>
    </x:row>
    <x:row r="556">
      <x:c r="A556" s="1"/>
      <x:c r="B556" s="1"/>
      <x:c r="C556" s="1"/>
      <x:c r="D556" s="1"/>
      <x:c r="E556" s="1"/>
      <x:c r="F556" s="1"/>
      <x:c r="G556" s="1"/>
      <x:c r="H556" s="1"/>
      <x:c r="I556" s="1"/>
      <x:c r="J556" s="1"/>
      <x:c r="K556" s="1"/>
    </x:row>
    <x:row r="557">
      <x:c r="A557" s="1"/>
      <x:c r="B557" s="1"/>
      <x:c r="C557" s="1"/>
      <x:c r="D557" s="1"/>
      <x:c r="E557" s="1"/>
      <x:c r="F557" s="1"/>
      <x:c r="G557" s="1"/>
      <x:c r="H557" s="1"/>
      <x:c r="I557" s="1"/>
      <x:c r="J557" s="1"/>
      <x:c r="K557" s="1"/>
    </x:row>
    <x:row r="558">
      <x:c r="A558" s="1"/>
      <x:c r="B558" s="1"/>
      <x:c r="C558" s="1"/>
      <x:c r="D558" s="1"/>
      <x:c r="E558" s="1"/>
      <x:c r="F558" s="1"/>
      <x:c r="G558" s="1"/>
      <x:c r="H558" s="1"/>
      <x:c r="I558" s="1"/>
      <x:c r="J558" s="1"/>
      <x:c r="K558" s="1"/>
    </x:row>
    <x:row r="559">
      <x:c r="A559" s="1"/>
      <x:c r="B559" s="1"/>
      <x:c r="C559" s="1"/>
      <x:c r="D559" s="1"/>
      <x:c r="E559" s="1"/>
      <x:c r="F559" s="1"/>
      <x:c r="G559" s="1"/>
      <x:c r="H559" s="1"/>
      <x:c r="I559" s="1"/>
      <x:c r="J559" s="1"/>
      <x:c r="K559" s="1"/>
    </x:row>
    <x:row r="560">
      <x:c r="A560" s="1"/>
      <x:c r="B560" s="1"/>
      <x:c r="C560" s="1"/>
      <x:c r="D560" s="1"/>
      <x:c r="E560" s="1"/>
      <x:c r="F560" s="1"/>
      <x:c r="G560" s="1"/>
      <x:c r="H560" s="1"/>
      <x:c r="I560" s="1"/>
      <x:c r="J560" s="1"/>
      <x:c r="K560" s="1"/>
    </x:row>
    <x:row r="561">
      <x:c r="A561" s="1"/>
      <x:c r="B561" s="1"/>
      <x:c r="C561" s="1"/>
      <x:c r="D561" s="1"/>
      <x:c r="E561" s="1"/>
      <x:c r="F561" s="1"/>
      <x:c r="G561" s="1"/>
      <x:c r="H561" s="1"/>
      <x:c r="I561" s="1"/>
      <x:c r="J561" s="1"/>
      <x:c r="K561" s="1"/>
    </x:row>
    <x:row r="562">
      <x:c r="A562" s="1"/>
      <x:c r="B562" s="1"/>
      <x:c r="C562" s="1"/>
      <x:c r="D562" s="1"/>
      <x:c r="E562" s="1"/>
      <x:c r="F562" s="1"/>
      <x:c r="G562" s="1"/>
      <x:c r="H562" s="1"/>
      <x:c r="I562" s="1"/>
      <x:c r="J562" s="1"/>
      <x:c r="K562" s="1"/>
    </x:row>
    <x:row r="563">
      <x:c r="A563" s="1"/>
      <x:c r="B563" s="1"/>
      <x:c r="C563" s="1"/>
      <x:c r="D563" s="1"/>
      <x:c r="E563" s="1"/>
      <x:c r="F563" s="1"/>
      <x:c r="G563" s="1"/>
      <x:c r="H563" s="1"/>
      <x:c r="I563" s="1"/>
      <x:c r="J563" s="1"/>
      <x:c r="K563" s="1"/>
    </x:row>
    <x:row r="564">
      <x:c r="A564" s="1"/>
      <x:c r="B564" s="1"/>
      <x:c r="C564" s="1"/>
      <x:c r="D564" s="1"/>
      <x:c r="E564" s="1"/>
      <x:c r="F564" s="1"/>
      <x:c r="G564" s="1"/>
      <x:c r="H564" s="1"/>
      <x:c r="I564" s="1"/>
      <x:c r="J564" s="1"/>
      <x:c r="K564" s="1"/>
    </x:row>
    <x:row r="565">
      <x:c r="A565" s="1"/>
      <x:c r="B565" s="1"/>
      <x:c r="C565" s="1"/>
      <x:c r="D565" s="1"/>
      <x:c r="E565" s="1"/>
      <x:c r="F565" s="1"/>
      <x:c r="G565" s="1"/>
      <x:c r="H565" s="1"/>
      <x:c r="I565" s="1"/>
      <x:c r="J565" s="1"/>
      <x:c r="K565" s="1"/>
    </x:row>
    <x:row r="566">
      <x:c r="A566" s="1"/>
      <x:c r="B566" s="1"/>
      <x:c r="C566" s="1"/>
      <x:c r="D566" s="1"/>
      <x:c r="E566" s="1"/>
      <x:c r="F566" s="1"/>
      <x:c r="G566" s="1"/>
      <x:c r="H566" s="1"/>
      <x:c r="I566" s="1"/>
      <x:c r="J566" s="1"/>
      <x:c r="K566" s="1"/>
    </x:row>
    <x:row r="567">
      <x:c r="A567" s="1"/>
      <x:c r="B567" s="1"/>
      <x:c r="C567" s="1"/>
      <x:c r="D567" s="1"/>
      <x:c r="E567" s="1"/>
      <x:c r="F567" s="1"/>
      <x:c r="G567" s="1"/>
      <x:c r="H567" s="1"/>
      <x:c r="I567" s="1"/>
      <x:c r="J567" s="1"/>
      <x:c r="K567" s="1"/>
    </x:row>
    <x:row r="568">
      <x:c r="A568" s="1"/>
      <x:c r="B568" s="1"/>
      <x:c r="C568" s="1"/>
      <x:c r="D568" s="1"/>
      <x:c r="E568" s="1"/>
      <x:c r="F568" s="1"/>
      <x:c r="G568" s="1"/>
      <x:c r="H568" s="1"/>
      <x:c r="I568" s="1"/>
      <x:c r="J568" s="1"/>
      <x:c r="K568" s="1"/>
    </x:row>
    <x:row r="569">
      <x:c r="A569" s="1"/>
      <x:c r="B569" s="1"/>
      <x:c r="C569" s="1"/>
      <x:c r="D569" s="1"/>
      <x:c r="E569" s="1"/>
      <x:c r="F569" s="1"/>
      <x:c r="G569" s="1"/>
      <x:c r="H569" s="1"/>
      <x:c r="I569" s="1"/>
      <x:c r="J569" s="1"/>
      <x:c r="K569" s="1"/>
    </x:row>
    <x:row r="570">
      <x:c r="A570" s="1"/>
      <x:c r="B570" s="1"/>
      <x:c r="C570" s="1"/>
      <x:c r="D570" s="1"/>
      <x:c r="E570" s="1"/>
      <x:c r="F570" s="1"/>
      <x:c r="G570" s="1"/>
      <x:c r="H570" s="1"/>
      <x:c r="I570" s="1"/>
      <x:c r="J570" s="1"/>
      <x:c r="K570" s="1"/>
    </x:row>
    <x:row r="571">
      <x:c r="A571" s="1"/>
      <x:c r="B571" s="1"/>
      <x:c r="C571" s="1"/>
      <x:c r="D571" s="1"/>
      <x:c r="E571" s="1"/>
      <x:c r="F571" s="1"/>
      <x:c r="G571" s="1"/>
      <x:c r="H571" s="1"/>
      <x:c r="I571" s="1"/>
      <x:c r="J571" s="1"/>
      <x:c r="K571" s="1"/>
    </x:row>
    <x:row r="572">
      <x:c r="A572" s="1"/>
      <x:c r="B572" s="1"/>
      <x:c r="C572" s="1"/>
      <x:c r="D572" s="1"/>
      <x:c r="E572" s="1"/>
      <x:c r="F572" s="1"/>
      <x:c r="G572" s="1"/>
      <x:c r="H572" s="1"/>
      <x:c r="I572" s="1"/>
      <x:c r="J572" s="1"/>
      <x:c r="K572" s="1"/>
    </x:row>
    <x:row r="573">
      <x:c r="A573" s="1"/>
      <x:c r="B573" s="1"/>
      <x:c r="C573" s="1"/>
      <x:c r="D573" s="1"/>
      <x:c r="E573" s="1"/>
      <x:c r="F573" s="1"/>
      <x:c r="G573" s="1"/>
      <x:c r="H573" s="1"/>
      <x:c r="I573" s="1"/>
      <x:c r="J573" s="1"/>
      <x:c r="K573" s="1"/>
    </x:row>
    <x:row r="574">
      <x:c r="A574" s="1"/>
      <x:c r="B574" s="1"/>
      <x:c r="C574" s="1"/>
      <x:c r="D574" s="1"/>
      <x:c r="E574" s="1"/>
      <x:c r="F574" s="1"/>
      <x:c r="G574" s="1"/>
      <x:c r="H574" s="1"/>
      <x:c r="I574" s="1"/>
      <x:c r="J574" s="1"/>
      <x:c r="K574" s="1"/>
    </x:row>
    <x:row r="575">
      <x:c r="A575" s="1"/>
      <x:c r="B575" s="1"/>
      <x:c r="C575" s="1"/>
      <x:c r="D575" s="1"/>
      <x:c r="E575" s="1"/>
      <x:c r="F575" s="1"/>
      <x:c r="G575" s="1"/>
      <x:c r="H575" s="1"/>
      <x:c r="I575" s="1"/>
      <x:c r="J575" s="1"/>
      <x:c r="K575" s="1"/>
    </x:row>
    <x:row r="576">
      <x:c r="A576" s="1"/>
      <x:c r="B576" s="1"/>
      <x:c r="C576" s="1"/>
      <x:c r="D576" s="1"/>
      <x:c r="E576" s="1"/>
      <x:c r="F576" s="1"/>
      <x:c r="G576" s="1"/>
      <x:c r="H576" s="1"/>
      <x:c r="I576" s="1"/>
      <x:c r="J576" s="1"/>
      <x:c r="K576" s="1"/>
    </x:row>
    <x:row r="577">
      <x:c r="A577" s="1"/>
      <x:c r="B577" s="1"/>
      <x:c r="C577" s="1"/>
      <x:c r="D577" s="1"/>
      <x:c r="E577" s="1"/>
      <x:c r="F577" s="1"/>
      <x:c r="G577" s="1"/>
      <x:c r="H577" s="1"/>
      <x:c r="I577" s="1"/>
      <x:c r="J577" s="1"/>
      <x:c r="K577" s="1"/>
    </x:row>
    <x:row r="578">
      <x:c r="A578" s="1"/>
      <x:c r="B578" s="1"/>
      <x:c r="C578" s="1"/>
      <x:c r="D578" s="1"/>
      <x:c r="E578" s="1"/>
      <x:c r="F578" s="1"/>
      <x:c r="G578" s="1"/>
      <x:c r="H578" s="1"/>
      <x:c r="I578" s="1"/>
      <x:c r="J578" s="1"/>
      <x:c r="K578" s="1"/>
    </x:row>
    <x:row r="579">
      <x:c r="A579" s="1"/>
      <x:c r="B579" s="1"/>
      <x:c r="C579" s="1"/>
      <x:c r="D579" s="1"/>
      <x:c r="E579" s="1"/>
      <x:c r="F579" s="1"/>
      <x:c r="G579" s="1"/>
      <x:c r="H579" s="1"/>
      <x:c r="I579" s="1"/>
      <x:c r="J579" s="1"/>
      <x:c r="K579" s="1"/>
    </x:row>
    <x:row r="580">
      <x:c r="A580" s="1"/>
      <x:c r="B580" s="1"/>
      <x:c r="C580" s="1"/>
      <x:c r="D580" s="1"/>
      <x:c r="E580" s="1"/>
      <x:c r="F580" s="1"/>
      <x:c r="G580" s="1"/>
      <x:c r="H580" s="1"/>
      <x:c r="I580" s="1"/>
      <x:c r="J580" s="1"/>
      <x:c r="K580" s="1"/>
    </x:row>
    <x:row r="581">
      <x:c r="A581" s="1"/>
      <x:c r="B581" s="1"/>
      <x:c r="C581" s="1"/>
      <x:c r="D581" s="1"/>
      <x:c r="E581" s="1"/>
      <x:c r="F581" s="1"/>
      <x:c r="G581" s="1"/>
      <x:c r="H581" s="1"/>
      <x:c r="I581" s="1"/>
      <x:c r="J581" s="1"/>
      <x:c r="K581" s="1"/>
    </x:row>
    <x:row r="582">
      <x:c r="A582" s="1"/>
      <x:c r="B582" s="1"/>
      <x:c r="C582" s="1"/>
      <x:c r="D582" s="1"/>
      <x:c r="E582" s="1"/>
      <x:c r="F582" s="1"/>
      <x:c r="G582" s="1"/>
      <x:c r="H582" s="1"/>
      <x:c r="I582" s="1"/>
      <x:c r="J582" s="1"/>
      <x:c r="K582" s="1"/>
    </x:row>
    <x:row r="583">
      <x:c r="A583" s="1"/>
      <x:c r="B583" s="1"/>
      <x:c r="C583" s="1"/>
      <x:c r="D583" s="1"/>
      <x:c r="E583" s="1"/>
      <x:c r="F583" s="1"/>
      <x:c r="G583" s="1"/>
      <x:c r="H583" s="1"/>
      <x:c r="I583" s="1"/>
      <x:c r="J583" s="1"/>
      <x:c r="K583" s="1"/>
    </x:row>
    <x:row r="584">
      <x:c r="A584" s="1"/>
      <x:c r="B584" s="1"/>
      <x:c r="C584" s="1"/>
      <x:c r="D584" s="1"/>
      <x:c r="E584" s="1"/>
      <x:c r="F584" s="1"/>
      <x:c r="G584" s="1"/>
      <x:c r="H584" s="1"/>
      <x:c r="I584" s="1"/>
      <x:c r="J584" s="1"/>
      <x:c r="K584" s="1"/>
    </x:row>
    <x:row r="585">
      <x:c r="A585" s="1"/>
      <x:c r="B585" s="1"/>
      <x:c r="C585" s="1"/>
      <x:c r="D585" s="1"/>
      <x:c r="E585" s="1"/>
      <x:c r="F585" s="1"/>
      <x:c r="G585" s="1"/>
      <x:c r="H585" s="1"/>
      <x:c r="I585" s="1"/>
      <x:c r="J585" s="1"/>
      <x:c r="K585" s="1"/>
    </x:row>
    <x:row r="586">
      <x:c r="A586" s="1"/>
      <x:c r="B586" s="1"/>
      <x:c r="C586" s="1"/>
      <x:c r="D586" s="1"/>
      <x:c r="E586" s="1"/>
      <x:c r="F586" s="1"/>
      <x:c r="G586" s="1"/>
      <x:c r="H586" s="1"/>
      <x:c r="I586" s="1"/>
      <x:c r="J586" s="1"/>
      <x:c r="K586" s="1"/>
    </x:row>
    <x:row r="587">
      <x:c r="A587" s="1"/>
      <x:c r="B587" s="1"/>
      <x:c r="C587" s="1"/>
      <x:c r="D587" s="1"/>
      <x:c r="E587" s="1"/>
      <x:c r="F587" s="1"/>
      <x:c r="G587" s="1"/>
      <x:c r="H587" s="1"/>
      <x:c r="I587" s="1"/>
      <x:c r="J587" s="1"/>
      <x:c r="K587" s="1"/>
    </x:row>
    <x:row r="588">
      <x:c r="A588" s="1"/>
      <x:c r="B588" s="1"/>
      <x:c r="C588" s="1"/>
      <x:c r="D588" s="1"/>
      <x:c r="E588" s="1"/>
      <x:c r="F588" s="1"/>
      <x:c r="G588" s="1"/>
      <x:c r="H588" s="1"/>
      <x:c r="I588" s="1"/>
      <x:c r="J588" s="1"/>
      <x:c r="K588" s="1"/>
    </x:row>
    <x:row r="589">
      <x:c r="A589" s="1"/>
      <x:c r="B589" s="1"/>
      <x:c r="C589" s="1"/>
      <x:c r="D589" s="1"/>
      <x:c r="E589" s="1"/>
      <x:c r="F589" s="1"/>
      <x:c r="G589" s="1"/>
      <x:c r="H589" s="1"/>
      <x:c r="I589" s="1"/>
      <x:c r="J589" s="1"/>
      <x:c r="K589" s="1"/>
    </x:row>
    <x:row r="590">
      <x:c r="A590" s="1"/>
      <x:c r="B590" s="1"/>
      <x:c r="C590" s="1"/>
      <x:c r="D590" s="1"/>
      <x:c r="E590" s="1"/>
      <x:c r="F590" s="1"/>
      <x:c r="G590" s="1"/>
      <x:c r="H590" s="1"/>
      <x:c r="I590" s="1"/>
      <x:c r="J590" s="1"/>
      <x:c r="K590" s="1"/>
    </x:row>
    <x:row r="591">
      <x:c r="A591" s="1"/>
      <x:c r="B591" s="1"/>
      <x:c r="C591" s="1"/>
      <x:c r="D591" s="1"/>
      <x:c r="E591" s="1"/>
      <x:c r="F591" s="1"/>
      <x:c r="G591" s="1"/>
      <x:c r="H591" s="1"/>
      <x:c r="I591" s="1"/>
      <x:c r="J591" s="1"/>
      <x:c r="K591" s="1"/>
    </x:row>
    <x:row r="592">
      <x:c r="A592" s="1"/>
      <x:c r="B592" s="1"/>
      <x:c r="C592" s="1"/>
      <x:c r="D592" s="1"/>
      <x:c r="E592" s="1"/>
      <x:c r="F592" s="1"/>
      <x:c r="G592" s="1"/>
      <x:c r="H592" s="1"/>
      <x:c r="I592" s="1"/>
      <x:c r="J592" s="1"/>
      <x:c r="K592" s="1"/>
    </x:row>
    <x:row r="593">
      <x:c r="A593" s="1"/>
      <x:c r="B593" s="1"/>
      <x:c r="C593" s="1"/>
      <x:c r="D593" s="1"/>
      <x:c r="E593" s="1"/>
      <x:c r="F593" s="1"/>
      <x:c r="G593" s="1"/>
      <x:c r="H593" s="1"/>
      <x:c r="I593" s="1"/>
      <x:c r="J593" s="1"/>
      <x:c r="K593" s="1"/>
    </x:row>
    <x:row r="594">
      <x:c r="A594" s="1"/>
      <x:c r="B594" s="1"/>
      <x:c r="C594" s="1"/>
      <x:c r="D594" s="1"/>
      <x:c r="E594" s="1"/>
      <x:c r="F594" s="1"/>
      <x:c r="G594" s="1"/>
      <x:c r="H594" s="1"/>
      <x:c r="I594" s="1"/>
      <x:c r="J594" s="1"/>
      <x:c r="K594" s="1"/>
    </x:row>
    <x:row r="595">
      <x:c r="A595" s="1"/>
      <x:c r="B595" s="1"/>
      <x:c r="C595" s="1"/>
      <x:c r="D595" s="1"/>
      <x:c r="E595" s="1"/>
      <x:c r="F595" s="1"/>
      <x:c r="G595" s="1"/>
      <x:c r="H595" s="1"/>
      <x:c r="I595" s="1"/>
      <x:c r="J595" s="1"/>
      <x:c r="K595" s="1"/>
    </x:row>
    <x:row r="596">
      <x:c r="A596" s="1"/>
      <x:c r="B596" s="1"/>
      <x:c r="C596" s="1"/>
      <x:c r="D596" s="1"/>
      <x:c r="E596" s="1"/>
      <x:c r="F596" s="1"/>
      <x:c r="G596" s="1"/>
      <x:c r="H596" s="1"/>
      <x:c r="I596" s="1"/>
      <x:c r="J596" s="1"/>
      <x:c r="K596" s="1"/>
    </x:row>
    <x:row r="597">
      <x:c r="A597" s="1"/>
      <x:c r="B597" s="1"/>
      <x:c r="C597" s="1"/>
      <x:c r="D597" s="1"/>
      <x:c r="E597" s="1"/>
      <x:c r="F597" s="1"/>
      <x:c r="G597" s="1"/>
      <x:c r="H597" s="1"/>
      <x:c r="I597" s="1"/>
      <x:c r="J597" s="1"/>
      <x:c r="K597" s="1"/>
    </x:row>
    <x:row r="598">
      <x:c r="A598" s="1"/>
      <x:c r="B598" s="1"/>
      <x:c r="C598" s="1"/>
      <x:c r="D598" s="1"/>
      <x:c r="E598" s="1"/>
      <x:c r="F598" s="1"/>
      <x:c r="G598" s="1"/>
      <x:c r="H598" s="1"/>
      <x:c r="I598" s="1"/>
      <x:c r="J598" s="1"/>
      <x:c r="K598" s="1"/>
    </x:row>
    <x:row r="599">
      <x:c r="A599" s="1"/>
      <x:c r="B599" s="1"/>
      <x:c r="C599" s="1"/>
      <x:c r="D599" s="1"/>
      <x:c r="E599" s="1"/>
      <x:c r="F599" s="1"/>
      <x:c r="G599" s="1"/>
      <x:c r="H599" s="1"/>
      <x:c r="I599" s="1"/>
      <x:c r="J599" s="1"/>
      <x:c r="K599" s="1"/>
    </x:row>
    <x:row r="600">
      <x:c r="A600" s="1"/>
      <x:c r="B600" s="1"/>
      <x:c r="C600" s="1"/>
      <x:c r="D600" s="1"/>
      <x:c r="E600" s="1"/>
      <x:c r="F600" s="1"/>
      <x:c r="G600" s="1"/>
      <x:c r="H600" s="1"/>
      <x:c r="I600" s="1"/>
      <x:c r="J600" s="1"/>
      <x:c r="K600" s="1"/>
    </x:row>
  </x:sheetData>
  <x:mergeCells>
    <x:mergeCell ref="A1:C1"/>
    <x:mergeCell ref="A24:C24"/>
    <x:mergeCell ref="A25:C25"/>
  </x:mergeCells>
  <x:hyperlinks>
    <x:hyperlink xmlns:ns1="http://schemas.openxmlformats.org/officeDocument/2006/relationships" ref="C6" ns1:id="sourceLink6" tooltip="Cheung doctoral thesis"/>
    <x:hyperlink xmlns:ns2="http://schemas.openxmlformats.org/officeDocument/2006/relationships" ref="C7" ns2:id="sourceLink7" tooltip="Retained thesis PDF"/>
    <x:hyperlink xmlns:ns3="http://schemas.openxmlformats.org/officeDocument/2006/relationships" ref="C8" ns3:id="sourceLink8" tooltip="Adopted regional workbook"/>
    <x:hyperlink xmlns:ns4="http://schemas.openxmlformats.org/officeDocument/2006/relationships" ref="C9" ns4:id="sourceLink9" tooltip="Selected source model"/>
    <x:hyperlink xmlns:ns5="http://schemas.openxmlformats.org/officeDocument/2006/relationships" ref="C10" ns5:id="sourceLink10" tooltip="Adopted mapping audit"/>
    <x:hyperlink xmlns:ns6="http://schemas.openxmlformats.org/officeDocument/2006/relationships" ref="C11" ns6:id="sourceLink11" tooltip="Sea Around Us TL snapshot"/>
    <x:hyperlink xmlns:ns7="http://schemas.openxmlformats.org/officeDocument/2006/relationships" ref="C12" ns7:id="sourceLink12" tooltip="Pennahia synonym authority"/>
    <x:hyperlink xmlns:ns8="http://schemas.openxmlformats.org/officeDocument/2006/relationships" ref="C13" ns8:id="sourceLink13" tooltip="Cephalopoda within Mollusca"/>
    <x:hyperlink xmlns:ns9="http://schemas.openxmlformats.org/officeDocument/2006/relationships" ref="C14" ns9:id="sourceLink14" tooltip="Acetes taxonomy"/>
    <x:hyperlink xmlns:ns10="http://schemas.openxmlformats.org/officeDocument/2006/relationships" ref="C15" ns10:id="sourceLink15" tooltip="Selaroides ecological evidence"/>
    <x:hyperlink xmlns:ns11="http://schemas.openxmlformats.org/officeDocument/2006/relationships" ref="C16" ns11:id="sourceLink16" tooltip="Decapterus length evidence"/>
    <x:hyperlink xmlns:ns12="http://schemas.openxmlformats.org/officeDocument/2006/relationships" ref="C17" ns12:id="sourceLink17" tooltip="Siganus flagged evidence gap"/>
    <x:hyperlink xmlns:ns13="http://schemas.openxmlformats.org/officeDocument/2006/relationships" ref="C18" ns13:id="sourceLink18" tooltip="Psettodes maximum length"/>
    <x:hyperlink xmlns:ns14="http://schemas.openxmlformats.org/officeDocument/2006/relationships" ref="C19" ns14:id="sourceLink19" tooltip="Paralichthys maximum length"/>
    <x:hyperlink xmlns:ns15="http://schemas.openxmlformats.org/officeDocument/2006/relationships" ref="C20" ns15:id="sourceLink20" tooltip="Larimichthys maximum length"/>
    <x:hyperlink xmlns:ns16="http://schemas.openxmlformats.org/officeDocument/2006/relationships" ref="C21" ns16:id="sourceLink21" tooltip="Mapping uncertainty details"/>
  </x:hyperlinks>
  <x:pageMargins left="0.7" right="0.7" top="0.75" bottom="0.75" header="0.3" footer="0.3"/>
  <x:tableParts count="2">
    <x:tablePart xmlns:r="http://schemas.openxmlformats.org/officeDocument/2006/relationships" r:id="R5082c6498cff4fe8"/>
    <x:tablePart xmlns:r="http://schemas.openxmlformats.org/officeDocument/2006/relationships" r:id="Rd1bf9c8b8a994b98"/>
  </x:tableParts>
</x:worksheet>
</file>