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worksheets/sheet4.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Types>
</file>

<file path=_rels/.rels><Relationships xmlns="http://schemas.openxmlformats.org/package/2006/relationships"><Relationship Type="http://schemas.openxmlformats.org/officeDocument/2006/relationships/officeDocument" Target="/xl/workbook.xml" Id="R3739fe783e224218"/></Relationships>
</file>

<file path=xl/workbook.xml><?xml version="1.0" encoding="utf-8"?>
<x:workbook xmlns:x="http://schemas.openxmlformats.org/spreadsheetml/2006/main">
  <x:sheets>
    <x:sheet xmlns:r="http://schemas.openxmlformats.org/officeDocument/2006/relationships" name="Taxon appendix" sheetId="1" r:id="Rc01d1aefb4ad4054"/>
    <x:sheet xmlns:r="http://schemas.openxmlformats.org/officeDocument/2006/relationships" name="Coverage" sheetId="2" r:id="Rdd188897289b4a58"/>
    <x:sheet xmlns:r="http://schemas.openxmlformats.org/officeDocument/2006/relationships" name="Allocation evidence" sheetId="3" r:id="Rd24402d44ba44d28"/>
    <x:sheet xmlns:r="http://schemas.openxmlformats.org/officeDocument/2006/relationships" name="Sources" sheetId="4" r:id="R15ed6d7d5769450e"/>
  </x:sheets>
</x:workbook>
</file>

<file path=xl/sharedStrings.xml><?xml version="1.0" encoding="utf-8"?>
<x:sst xmlns:x="http://schemas.openxmlformats.org/spreadsheetml/2006/main">
  <x:si>
    <x:t xml:space="preserve">South China Sea taxon mapping appendix</x:t>
  </x:si>
  <x:si>
    <x:t xml:space="preserve">2019 landings · 374 exact catch labels · Independent simple trophic chain · TE 0.1 · Catch in t; PPR in t C</x:t>
  </x:si>
  <x:si>
    <x:t xml:space="preserve">Sorted by unrounded simple-chain PPR, descending; unknown last. ? means unavailable. Very low flags broad-category or closest-analogue assumptions.</x:t>
  </x:si>
  <x:si>
    <x:t xml:space="preserve">Taxon name</x:t>
  </x:si>
  <x:si>
    <x:t xml:space="preserve">TL</x:t>
  </x:si>
  <x:si>
    <x:t xml:space="preserve">Catch (t)</x:t>
  </x:si>
  <x:si>
    <x:t xml:space="preserve">Simple-chain PPR (t C)</x:t>
  </x:si>
  <x:si>
    <x:t xml:space="preserve">Mapped group names and weights</x:t>
  </x:si>
  <x:si>
    <x:t xml:space="preserve">Confidence level</x:t>
  </x:si>
  <x:si>
    <x:t xml:space="preserve">Reason</x:t>
  </x:si>
  <x:si>
    <x:t xml:space="preserve">Mapping and coverage</x:t>
  </x:si>
  <x:si>
    <x:t xml:space="preserve">2019 landings; all sources; all taxa and groups; unidentified treatment uses each method’s own coefficients.</x:t>
  </x:si>
  <x:si>
    <x:t xml:space="preserve">Metric</x:t>
  </x:si>
  <x:si>
    <x:t xml:space="preserve">Value</x:t>
  </x:si>
  <x:si>
    <x:t xml:space="preserve">Catch taxa</x:t>
  </x:si>
  <x:si>
    <x:t xml:space="preserve">Landings (t)</x:t>
  </x:si>
  <x:si>
    <x:t xml:space="preserve">Missing-coefficient taxa (0 t landings)</x:t>
  </x:si>
  <x:si>
    <x:t xml:space="preserve">Overall confidence</x:t>
  </x:si>
  <x:si>
    <x:t xml:space="preserve">Taxa</x:t>
  </x:si>
  <x:si>
    <x:t xml:space="preserve">Catch percentage</x:t>
  </x:si>
  <x:si>
    <x:t xml:space="preserve">PPR percentage</x:t>
  </x:si>
  <x:si>
    <x:t xml:space="preserve">Allocation values and assumptions</x:t>
  </x:si>
  <x:si>
    <x:t xml:space="preserve">All 177 taxa with recorded allocation assumptions. Model catch is the actual field used; biomass is retained for inspection. Values use the model’s areal units; proportions are dimensionless.</x:t>
  </x:si>
  <x:si>
    <x:t xml:space="preserve">Candidate sets, source values and membership uncertainty are described in the regional Mapping review and linked mapping audit. Single-group assumptions use weight 1.</x:t>
  </x:si>
  <x:si>
    <x:t xml:space="preserve">Taxon</x:t>
  </x:si>
  <x:si>
    <x:t xml:space="preserve">Model group</x:t>
  </x:si>
  <x:si>
    <x:t xml:space="preserve">Group ID</x:t>
  </x:si>
  <x:si>
    <x:t xml:space="preserve">Model catch</x:t>
  </x:si>
  <x:si>
    <x:t xml:space="preserve">Model biomass</x:t>
  </x:si>
  <x:si>
    <x:t xml:space="preserve">Allocation field</x:t>
  </x:si>
  <x:si>
    <x:t xml:space="preserve">Eligible total</x:t>
  </x:si>
  <x:si>
    <x:t xml:space="preserve">Weight</x:t>
  </x:si>
  <x:si>
    <x:t xml:space="preserve">Weight confidence</x:t>
  </x:si>
  <x:si>
    <x:t xml:space="preserve">Candidate basis and assumptions</x:t>
  </x:si>
  <x:si>
    <x:t xml:space="preserve">Acanthocybium solandri</x:t>
  </x:si>
  <x:si>
    <x:t xml:space="preserve">Juvenile large pelagic fish</x:t>
  </x:si>
  <x:si>
    <x:t xml:space="preserve">Medium</x:t>
  </x:si>
  <x:si>
    <x:t xml:space="preserve">Pelagic fish (&gt; 30 cm)</x:t>
  </x:si>
  <x:si>
    <x:t xml:space="preserve">Acanthopagrus schlegelii</x:t>
  </x:si>
  <x:si>
    <x:t xml:space="preserve">Juvenile demersal fish (&gt; 30 cm)</x:t>
  </x:si>
  <x:si>
    <x:t xml:space="preserve">Adult demersal fish (&gt; 30 cm)</x:t>
  </x:si>
  <x:si>
    <x:t xml:space="preserve">Alepes</x:t>
  </x:si>
  <x:si>
    <x:t xml:space="preserve">Aluterus</x:t>
  </x:si>
  <x:si>
    <x:t xml:space="preserve">Anguilliformes</x:t>
  </x:si>
  <x:si>
    <x:t xml:space="preserve">Ariidae</x:t>
  </x:si>
  <x:si>
    <x:t xml:space="preserve">Atrobucca nibe</x:t>
  </x:si>
  <x:si>
    <x:t xml:space="preserve">Juvenile large croakers</x:t>
  </x:si>
  <x:si>
    <x:t xml:space="preserve">Croakers (&gt; 30 cm)</x:t>
  </x:si>
  <x:si>
    <x:t xml:space="preserve">Auxis</x:t>
  </x:si>
  <x:si>
    <x:t xml:space="preserve">Auxis rochei</x:t>
  </x:si>
  <x:si>
    <x:t xml:space="preserve">Auxis thazard</x:t>
  </x:si>
  <x:si>
    <x:t xml:space="preserve">Balistidae</x:t>
  </x:si>
  <x:si>
    <x:t xml:space="preserve">Batoidea</x:t>
  </x:si>
  <x:si>
    <x:t xml:space="preserve">Demersal sharks and rays</x:t>
  </x:si>
  <x:si>
    <x:t xml:space="preserve">Pelagic sharks and rays</x:t>
  </x:si>
  <x:si>
    <x:t xml:space="preserve">Bothidae</x:t>
  </x:si>
  <x:si>
    <x:t xml:space="preserve">Demesral fish (≤ 30 cm)</x:t>
  </x:si>
  <x:si>
    <x:t xml:space="preserve">Bramidae</x:t>
  </x:si>
  <x:si>
    <x:t xml:space="preserve">Caesio</x:t>
  </x:si>
  <x:si>
    <x:t xml:space="preserve">Caesionidae</x:t>
  </x:si>
  <x:si>
    <x:t xml:space="preserve">Carangidae</x:t>
  </x:si>
  <x:si>
    <x:t xml:space="preserve">Pelagic fish (≤ 30 cm)</x:t>
  </x:si>
  <x:si>
    <x:t xml:space="preserve">Carangoides</x:t>
  </x:si>
  <x:si>
    <x:t xml:space="preserve">Caranx</x:t>
  </x:si>
  <x:si>
    <x:t xml:space="preserve">Caranx ignobilis</x:t>
  </x:si>
  <x:si>
    <x:t xml:space="preserve">Caranx sexfasciatus</x:t>
  </x:si>
  <x:si>
    <x:t xml:space="preserve">Carcharhinidae</x:t>
  </x:si>
  <x:si>
    <x:t xml:space="preserve">Carcharhinus</x:t>
  </x:si>
  <x:si>
    <x:t xml:space="preserve">Cheilopogon unicolor</x:t>
  </x:si>
  <x:si>
    <x:t xml:space="preserve">Chelidonichthys kumu</x:t>
  </x:si>
  <x:si>
    <x:t xml:space="preserve">Chirocentrus</x:t>
  </x:si>
  <x:si>
    <x:t xml:space="preserve">Chondrichthyes</x:t>
  </x:si>
  <x:si>
    <x:t xml:space="preserve">Clupeidae</x:t>
  </x:si>
  <x:si>
    <x:t xml:space="preserve">Clupeiformes</x:t>
  </x:si>
  <x:si>
    <x:t xml:space="preserve">Cololabis saira</x:t>
  </x:si>
  <x:si>
    <x:t xml:space="preserve">Conger myriaster</x:t>
  </x:si>
  <x:si>
    <x:t xml:space="preserve">Congridae</x:t>
  </x:si>
  <x:si>
    <x:t xml:space="preserve">Coryphaena hippurus</x:t>
  </x:si>
  <x:si>
    <x:t xml:space="preserve">Cynoglossus</x:t>
  </x:si>
  <x:si>
    <x:t xml:space="preserve">Decapoda</x:t>
  </x:si>
  <x:si>
    <x:t xml:space="preserve">Zooplankton</x:t>
  </x:si>
  <x:si>
    <x:t xml:space="preserve">Benthic crustaceans</x:t>
  </x:si>
  <x:si>
    <x:t xml:space="preserve">Shrimps</x:t>
  </x:si>
  <x:si>
    <x:t xml:space="preserve">Crabs</x:t>
  </x:si>
  <x:si>
    <x:t xml:space="preserve">Decapterus</x:t>
  </x:si>
  <x:si>
    <x:t xml:space="preserve">Decapterus macrosoma</x:t>
  </x:si>
  <x:si>
    <x:t xml:space="preserve">Decapterus russelli</x:t>
  </x:si>
  <x:si>
    <x:t xml:space="preserve">Dendrobranchiata</x:t>
  </x:si>
  <x:si>
    <x:t xml:space="preserve">Drepane punctata</x:t>
  </x:si>
  <x:si>
    <x:t xml:space="preserve">Elagatis bipinnulata</x:t>
  </x:si>
  <x:si>
    <x:t xml:space="preserve">Elasmobranchii</x:t>
  </x:si>
  <x:si>
    <x:t xml:space="preserve">Eleutheronema tetradactylum</x:t>
  </x:si>
  <x:si>
    <x:t xml:space="preserve">Elops machnata</x:t>
  </x:si>
  <x:si>
    <x:t xml:space="preserve">Ephippidae</x:t>
  </x:si>
  <x:si>
    <x:t xml:space="preserve">Euthynnus affinis</x:t>
  </x:si>
  <x:si>
    <x:t xml:space="preserve">Evynnis tumifrons</x:t>
  </x:si>
  <x:si>
    <x:t xml:space="preserve">Gadiformes</x:t>
  </x:si>
  <x:si>
    <x:t xml:space="preserve">Benthopelagic fish</x:t>
  </x:si>
  <x:si>
    <x:t xml:space="preserve">No split</x:t>
  </x:si>
  <x:si>
    <x:t xml:space="preserve">High</x:t>
  </x:si>
  <x:si>
    <x:t xml:space="preserve">Gnathanodon speciosus</x:t>
  </x:si>
  <x:si>
    <x:t xml:space="preserve">Gymnocranius</x:t>
  </x:si>
  <x:si>
    <x:t xml:space="preserve">Gymnosarda unicolor</x:t>
  </x:si>
  <x:si>
    <x:t xml:space="preserve">Haemulidae</x:t>
  </x:si>
  <x:si>
    <x:t xml:space="preserve">Hemiramphidae</x:t>
  </x:si>
  <x:si>
    <x:t xml:space="preserve">Hemiramphus</x:t>
  </x:si>
  <x:si>
    <x:t xml:space="preserve">Hyporhamphus</x:t>
  </x:si>
  <x:si>
    <x:t xml:space="preserve">Hyporhamphus sajori</x:t>
  </x:si>
  <x:si>
    <x:t xml:space="preserve">Ilisha elongata</x:t>
  </x:si>
  <x:si>
    <x:t xml:space="preserve">Istiompax indica</x:t>
  </x:si>
  <x:si>
    <x:t xml:space="preserve">Istiophoridae</x:t>
  </x:si>
  <x:si>
    <x:t xml:space="preserve">Istiophorus</x:t>
  </x:si>
  <x:si>
    <x:t xml:space="preserve">Istiophorus platypterus</x:t>
  </x:si>
  <x:si>
    <x:t xml:space="preserve">Kajikia audax</x:t>
  </x:si>
  <x:si>
    <x:t xml:space="preserve">Katsuwonus pelamis</x:t>
  </x:si>
  <x:si>
    <x:t xml:space="preserve">Labridae</x:t>
  </x:si>
  <x:si>
    <x:t xml:space="preserve">Lactarius lactarius</x:t>
  </x:si>
  <x:si>
    <x:t xml:space="preserve">Lampris guttatus</x:t>
  </x:si>
  <x:si>
    <x:t xml:space="preserve">Larimichthys crocea</x:t>
  </x:si>
  <x:si>
    <x:t xml:space="preserve">Larimichthys polyactis</x:t>
  </x:si>
  <x:si>
    <x:t xml:space="preserve">Lateolabrax japonicus</x:t>
  </x:si>
  <x:si>
    <x:t xml:space="preserve">Lates calcarifer</x:t>
  </x:si>
  <x:si>
    <x:t xml:space="preserve">Latidae</x:t>
  </x:si>
  <x:si>
    <x:t xml:space="preserve">Lepidocybium flavobrunneum</x:t>
  </x:si>
  <x:si>
    <x:t xml:space="preserve">Lethrinidae</x:t>
  </x:si>
  <x:si>
    <x:t xml:space="preserve">Lethrinus</x:t>
  </x:si>
  <x:si>
    <x:t xml:space="preserve">Lethrinus miniatus</x:t>
  </x:si>
  <x:si>
    <x:t xml:space="preserve">Makaira</x:t>
  </x:si>
  <x:si>
    <x:t xml:space="preserve">Makaira mazara</x:t>
  </x:si>
  <x:si>
    <x:t xml:space="preserve">Malacostraca</x:t>
  </x:si>
  <x:si>
    <x:t xml:space="preserve">Marine finfishes not identified</x:t>
  </x:si>
  <x:si>
    <x:t xml:space="preserve">Threadfin bream (nemipterids)</x:t>
  </x:si>
  <x:si>
    <x:t xml:space="preserve">Bigeyes (priacanthids)</x:t>
  </x:si>
  <x:si>
    <x:t xml:space="preserve">Lizard fish (synodontids)</x:t>
  </x:si>
  <x:si>
    <x:t xml:space="preserve">Juvenile Hairtail (trichiurids)</x:t>
  </x:si>
  <x:si>
    <x:t xml:space="preserve">Adult hairtail (trichiurids)</x:t>
  </x:si>
  <x:si>
    <x:t xml:space="preserve">Pomfret (stromateids)</x:t>
  </x:si>
  <x:si>
    <x:t xml:space="preserve">Snappers</x:t>
  </x:si>
  <x:si>
    <x:t xml:space="preserve">Adult groupers</x:t>
  </x:si>
  <x:si>
    <x:t xml:space="preserve">Croakers (≤ 30 cm)</x:t>
  </x:si>
  <x:si>
    <x:t xml:space="preserve">Melon seed</x:t>
  </x:si>
  <x:si>
    <x:t xml:space="preserve">Marine fishes not identified</x:t>
  </x:si>
  <x:si>
    <x:t xml:space="preserve">Marine groundfishes not identified</x:t>
  </x:si>
  <x:si>
    <x:t xml:space="preserve">Marine pelagic fishes not identified</x:t>
  </x:si>
  <x:si>
    <x:t xml:space="preserve">Megalaspis cordyla</x:t>
  </x:si>
  <x:si>
    <x:t xml:space="preserve">Megalops cyprinoides</x:t>
  </x:si>
  <x:si>
    <x:t xml:space="preserve">Miichthys miiuy</x:t>
  </x:si>
  <x:si>
    <x:t xml:space="preserve">Miscellaneous aquatic invertebrates</x:t>
  </x:si>
  <x:si>
    <x:t xml:space="preserve">Polychaetes</x:t>
  </x:si>
  <x:si>
    <x:t xml:space="preserve">Echinoderms</x:t>
  </x:si>
  <x:si>
    <x:t xml:space="preserve">Non-ceph molluscs</x:t>
  </x:si>
  <x:si>
    <x:t xml:space="preserve">Sessile/other invertebrates</x:t>
  </x:si>
  <x:si>
    <x:t xml:space="preserve">Cephalopods</x:t>
  </x:si>
  <x:si>
    <x:t xml:space="preserve">Miscellaneous marine crustaceans</x:t>
  </x:si>
  <x:si>
    <x:t xml:space="preserve">Mola mola</x:t>
  </x:si>
  <x:si>
    <x:t xml:space="preserve">Mollusca</x:t>
  </x:si>
  <x:si>
    <x:t xml:space="preserve">Monacanthidae</x:t>
  </x:si>
  <x:si>
    <x:t xml:space="preserve">Mugil</x:t>
  </x:si>
  <x:si>
    <x:t xml:space="preserve">Mugilidae</x:t>
  </x:si>
  <x:si>
    <x:t xml:space="preserve">Mullidae</x:t>
  </x:si>
  <x:si>
    <x:t xml:space="preserve">Muraenesocidae</x:t>
  </x:si>
  <x:si>
    <x:t xml:space="preserve">Muraenesox</x:t>
  </x:si>
  <x:si>
    <x:t xml:space="preserve">Muraenesox cinereus</x:t>
  </x:si>
  <x:si>
    <x:t xml:space="preserve">Muraenidae</x:t>
  </x:si>
  <x:si>
    <x:t xml:space="preserve">Netuma thalassina</x:t>
  </x:si>
  <x:si>
    <x:t xml:space="preserve">Nibea albiflora</x:t>
  </x:si>
  <x:si>
    <x:t xml:space="preserve">Nibea mitsukurii</x:t>
  </x:si>
  <x:si>
    <x:t xml:space="preserve">Pagrus auratus</x:t>
  </x:si>
  <x:si>
    <x:t xml:space="preserve">Pagrus major</x:t>
  </x:si>
  <x:si>
    <x:t xml:space="preserve">Paralichthyidae</x:t>
  </x:si>
  <x:si>
    <x:t xml:space="preserve">Paralichthys olivaceus</x:t>
  </x:si>
  <x:si>
    <x:t xml:space="preserve">Parupeneus barberinus</x:t>
  </x:si>
  <x:si>
    <x:t xml:space="preserve">Perciformes</x:t>
  </x:si>
  <x:si>
    <x:t xml:space="preserve">Planiliza haematocheilus</x:t>
  </x:si>
  <x:si>
    <x:t xml:space="preserve">Platycaranx malabaricus</x:t>
  </x:si>
  <x:si>
    <x:t xml:space="preserve">Platycaranx talamparoides</x:t>
  </x:si>
  <x:si>
    <x:t xml:space="preserve">Platycephalidae</x:t>
  </x:si>
  <x:si>
    <x:t xml:space="preserve">Platycephalus indicus</x:t>
  </x:si>
  <x:si>
    <x:t xml:space="preserve">Plectorhinchus</x:t>
  </x:si>
  <x:si>
    <x:t xml:space="preserve">Pleuronectiformes</x:t>
  </x:si>
  <x:si>
    <x:t xml:space="preserve">Plotosidae</x:t>
  </x:si>
  <x:si>
    <x:t xml:space="preserve">Plotosus</x:t>
  </x:si>
  <x:si>
    <x:t xml:space="preserve">Polydactylus sexfilis</x:t>
  </x:si>
  <x:si>
    <x:t xml:space="preserve">Pomadasys</x:t>
  </x:si>
  <x:si>
    <x:t xml:space="preserve">Pomadasys argenteus</x:t>
  </x:si>
  <x:si>
    <x:t xml:space="preserve">Pomatomus saltatrix</x:t>
  </x:si>
  <x:si>
    <x:t xml:space="preserve">Psettodes erumei</x:t>
  </x:si>
  <x:si>
    <x:t xml:space="preserve">Psettodidae</x:t>
  </x:si>
  <x:si>
    <x:t xml:space="preserve">Rachycentridae</x:t>
  </x:si>
  <x:si>
    <x:t xml:space="preserve">Rachycentron canadum</x:t>
  </x:si>
  <x:si>
    <x:t xml:space="preserve">Rastrelliger</x:t>
  </x:si>
  <x:si>
    <x:t xml:space="preserve">Rastrelliger brachysoma</x:t>
  </x:si>
  <x:si>
    <x:t xml:space="preserve">Rastrelliger kanagurta</x:t>
  </x:si>
  <x:si>
    <x:t xml:space="preserve">Ruvettus pretiosus</x:t>
  </x:si>
  <x:si>
    <x:t xml:space="preserve">Sardinops sagax</x:t>
  </x:si>
  <x:si>
    <x:t xml:space="preserve">Scaridae</x:t>
  </x:si>
  <x:si>
    <x:t xml:space="preserve">Scarus</x:t>
  </x:si>
  <x:si>
    <x:t xml:space="preserve">Scatophagus</x:t>
  </x:si>
  <x:si>
    <x:t xml:space="preserve">Scatophagus argus</x:t>
  </x:si>
  <x:si>
    <x:t xml:space="preserve">Sciaenidae</x:t>
  </x:si>
  <x:si>
    <x:t xml:space="preserve">Scomber</x:t>
  </x:si>
  <x:si>
    <x:t xml:space="preserve">Scomber australasicus</x:t>
  </x:si>
  <x:si>
    <x:t xml:space="preserve">Scomber japonicus</x:t>
  </x:si>
  <x:si>
    <x:t xml:space="preserve">Scomberoides</x:t>
  </x:si>
  <x:si>
    <x:t xml:space="preserve">Scomberomorus</x:t>
  </x:si>
  <x:si>
    <x:t xml:space="preserve">Scomberomorus commerson</x:t>
  </x:si>
  <x:si>
    <x:t xml:space="preserve">Scomberomorus guttatus</x:t>
  </x:si>
  <x:si>
    <x:t xml:space="preserve">Scomberomorus niphonius</x:t>
  </x:si>
  <x:si>
    <x:t xml:space="preserve">Scombridae</x:t>
  </x:si>
  <x:si>
    <x:t xml:space="preserve">Scombroidei</x:t>
  </x:si>
  <x:si>
    <x:t xml:space="preserve">Scorpaenidae</x:t>
  </x:si>
  <x:si>
    <x:t xml:space="preserve">Scyris indica</x:t>
  </x:si>
  <x:si>
    <x:t xml:space="preserve">Selar crumenophthalmus</x:t>
  </x:si>
  <x:si>
    <x:t xml:space="preserve">Sergestidae</x:t>
  </x:si>
  <x:si>
    <x:t xml:space="preserve">Seriola</x:t>
  </x:si>
  <x:si>
    <x:t xml:space="preserve">Seriola dumerili</x:t>
  </x:si>
  <x:si>
    <x:t xml:space="preserve">Seriolina nigrofasciata</x:t>
  </x:si>
  <x:si>
    <x:t xml:space="preserve">Siganidae</x:t>
  </x:si>
  <x:si>
    <x:t xml:space="preserve">Siganus</x:t>
  </x:si>
  <x:si>
    <x:t xml:space="preserve">Sillaginidae</x:t>
  </x:si>
  <x:si>
    <x:t xml:space="preserve">Sillago</x:t>
  </x:si>
  <x:si>
    <x:t xml:space="preserve">Sillago sihama</x:t>
  </x:si>
  <x:si>
    <x:t xml:space="preserve">Sphyraena</x:t>
  </x:si>
  <x:si>
    <x:t xml:space="preserve">Sphyraena barracuda</x:t>
  </x:si>
  <x:si>
    <x:t xml:space="preserve">Sphyraena jello</x:t>
  </x:si>
  <x:si>
    <x:t xml:space="preserve">Sphyraena obtusata</x:t>
  </x:si>
  <x:si>
    <x:t xml:space="preserve">Sphyraenidae</x:t>
  </x:si>
  <x:si>
    <x:t xml:space="preserve">Tenualosa toli</x:t>
  </x:si>
  <x:si>
    <x:t xml:space="preserve">Terapon</x:t>
  </x:si>
  <x:si>
    <x:t xml:space="preserve">Terapontidae</x:t>
  </x:si>
  <x:si>
    <x:t xml:space="preserve">Tetraodontidae</x:t>
  </x:si>
  <x:si>
    <x:t xml:space="preserve">Tetrapturus angustirostris</x:t>
  </x:si>
  <x:si>
    <x:t xml:space="preserve">Thunnus</x:t>
  </x:si>
  <x:si>
    <x:t xml:space="preserve">Thunnus alalunga</x:t>
  </x:si>
  <x:si>
    <x:t xml:space="preserve">Thunnus albacares</x:t>
  </x:si>
  <x:si>
    <x:t xml:space="preserve">Thunnus obesus</x:t>
  </x:si>
  <x:si>
    <x:t xml:space="preserve">Thunnus orientalis</x:t>
  </x:si>
  <x:si>
    <x:t xml:space="preserve">Thunnus tonggol</x:t>
  </x:si>
  <x:si>
    <x:t xml:space="preserve">Trachurus japonicus</x:t>
  </x:si>
  <x:si>
    <x:t xml:space="preserve">Trichiuridae</x:t>
  </x:si>
  <x:si>
    <x:t xml:space="preserve">Trichiurus</x:t>
  </x:si>
  <x:si>
    <x:t xml:space="preserve">Trichiurus lepturus</x:t>
  </x:si>
  <x:si>
    <x:t xml:space="preserve">Tylosurus crocodilus</x:t>
  </x:si>
  <x:si>
    <x:t xml:space="preserve">Xiphias gladius</x:t>
  </x:si>
  <x:si>
    <x:t xml:space="preserve">Sources and model group inputs</x:t>
  </x:si>
  <x:si>
    <x:t xml:space="preserve">Source</x:t>
  </x:si>
  <x:si>
    <x:t xml:space="preserve">What it supports</x:t>
  </x:si>
  <x:si>
    <x:t xml:space="preserve">Link or retained location</x:t>
  </x:si>
  <x:si>
    <x:t xml:space="preserve">Cheung doctoral thesis</x:t>
  </x:si>
  <x:si>
    <x:t xml:space="preserve">Cheung W L (2007), Vulnerability of marine fishes to fishing. Appendix 6.1, printed pp. 322–341 (PDF pp. 337–356), defines groups. Tables 6.1–6.2, printed pp. 175–179, report parameters/catches.</x:t>
  </x:si>
  <x:si>
    <x:t xml:space="preserve">https://open.library.ubc.ca/collections/ubctheses/831/items/1.0074894</x:t>
  </x:si>
  <x:si>
    <x:t xml:space="preserve">Retained thesis PDF</x:t>
  </x:si>
  <x:si>
    <x:t xml:space="preserve">Local source copy for exact page references.</x:t>
  </x:si>
  <x:si>
    <x:t xml:space="preserve">../../regions/LME_036/papers/SCS-2007/ubc_2007-317501-87ea9ea0.pdf</x:t>
  </x:si>
  <x:si>
    <x:t xml:space="preserve">Adopted regional workbook</x:t>
  </x:si>
  <x:si>
    <x:t xml:space="preserve">Catch / Catch; Classic PPR / Taxa and Annual; PPR / Matching, Mapping review, Allocation assumptions.</x:t>
  </x:si>
  <x:si>
    <x:t xml:space="preserve">../../regions/LME_036/LME_036.xlsx</x:t>
  </x:si>
  <x:si>
    <x:t xml:space="preserve">Selected source model</x:t>
  </x:si>
  <x:si>
    <x:t xml:space="preserve">Exact selected 2000s JSON. group.export supplies catches and group.biomass the fallback field. Fields retain the source-model units; their ratios are dimensionless.</x:t>
  </x:si>
  <x:si>
    <x:t xml:space="preserve">../../regions/LME_036/models/36_1_South_China_Sea_SCS-2007_Northern_South_China_Sea_(2000s)/model.json</x:t>
  </x:si>
  <x:si>
    <x:t xml:space="preserve">Adopted mapping audit</x:t>
  </x:si>
  <x:si>
    <x:t xml:space="preserve">Candidate inclusion rationale, raw fields, calculations, confidence and prior decisions.</x:t>
  </x:si>
  <x:si>
    <x:t xml:space="preserve">Sea Around Us TL snapshot</x:t>
  </x:si>
  <x:si>
    <x:t xml:space="preserve">API v88 snapshot 3 September 2026. scientific_name and trophic_level; frozen Classic PPR coefficient is multiplied by catch and divided by nine once.</x:t>
  </x:si>
  <x:si>
    <x:t xml:space="preserve">../../regions/LME_036/raw/LME_036-exploited.json</x:t>
  </x:si>
  <x:si>
    <x:t xml:space="preserve">Pennahia synonym authority</x:t>
  </x:si>
  <x:si>
    <x:t xml:space="preserve">ITIS TSN 646537, synonym Argyrosomus argentatus; inspected in the independent review on 29 September 2026.</x:t>
  </x:si>
  <x:si>
    <x:t xml:space="preserve">https://www.itis.gov/servlet/SingleRpt/SingleRpt?search_topic=TSN&amp;search_value=646537</x:t>
  </x:si>
  <x:si>
    <x:t xml:space="preserve">Cephalopoda within Mollusca</x:t>
  </x:si>
  <x:si>
    <x:t xml:space="preserve">NCBI taxon 6605 supports the broad Mollusca boundary; historical check 29 September 2026.</x:t>
  </x:si>
  <x:si>
    <x:t xml:space="preserve">https://www.ncbi.nlm.nih.gov/datasets/taxonomy/6605/</x:t>
  </x:si>
  <x:si>
    <x:t xml:space="preserve">Acetes taxonomy</x:t>
  </x:si>
  <x:si>
    <x:t xml:space="preserve">US Fish and Wildlife Service tree, ITIS TSN 95888, supports Dendrobranchiata containing Acetes; historical check 29 September 2026.</x:t>
  </x:si>
  <x:si>
    <x:t xml:space="preserve">https://www.fws.gov/taxonomic-tree/21322</x:t>
  </x:si>
  <x:si>
    <x:t xml:space="preserve">Selaroides ecological evidence</x:t>
  </x:si>
  <x:si>
    <x:t xml:space="preserve">FishBase species 388, length and habitat mismatch; retained independent review finding, not a fresh retrieval.</x:t>
  </x:si>
  <x:si>
    <x:t xml:space="preserve">https://fishbase.mnhn.fr/summary/selaroides-leptolepis.html</x:t>
  </x:si>
  <x:si>
    <x:t xml:space="preserve">Decapterus length evidence</x:t>
  </x:si>
  <x:si>
    <x:t xml:space="preserve">FishBase species 1939, fork-length versus model total-length boundary; retained independent review finding.</x:t>
  </x:si>
  <x:si>
    <x:t xml:space="preserve">https://www.fishbase.se/summary/1939</x:t>
  </x:si>
  <x:si>
    <x:t xml:space="preserve">https://www.fishbase.org/Summary/Siganus-canaliculatus</x:t>
  </x:si>
  <x:si>
    <x:t xml:space="preserve">Psettodes maximum length</x:t>
  </x:si>
  <x:si>
    <x:t xml:space="preserve">FishBase species 513, 64 cm maximum TL; excludes the small-species demersal pool. Verified 29 September 2026.</x:t>
  </x:si>
  <x:si>
    <x:t xml:space="preserve">https://www.fishbase.se/summary/513</x:t>
  </x:si>
  <x:si>
    <x:t xml:space="preserve">Paralichthys maximum length</x:t>
  </x:si>
  <x:si>
    <x:t xml:space="preserve">FishBase, 103 cm maximum TL; excludes the small-species demersal pool. Verified 29 September 2026.</x:t>
  </x:si>
  <x:si>
    <x:t xml:space="preserve">https://www.fishbase.se/summary/Paralichthys_olivaceus.html</x:t>
  </x:si>
  <x:si>
    <x:t xml:space="preserve">Larimichthys maximum length</x:t>
  </x:si>
  <x:si>
    <x:t xml:space="preserve">FishBase species 416, 40 cm maximum SL, already greater than the 30 cm boundary without conversion; excludes the small-croaker pool. Verified 29 September 2026.</x:t>
  </x:si>
  <x:si>
    <x:t xml:space="preserve">https://www.fishbase.se/summary/416</x:t>
  </x:si>
  <x:si>
    <x:t xml:space="preserve">Mapping uncertainty details</x:t>
  </x:si>
  <x:si>
    <x:t xml:space="preserve">Candidate choices, exact weights, confidence and scientific limitations.</x:t>
  </x:si>
  <x:si>
    <x:t xml:space="preserve">Model group inputs</x:t>
  </x:si>
  <x:si>
    <x:t xml:space="preserve">Saved selected model group fields; 38 source groups. Synthetic diet_import is excluded from eligible ecological groups. Values are not target catch observations.</x:t>
  </x:si>
  <x:si>
    <x:t xml:space="preserve">Recorded values</x:t>
  </x:si>
  <x:si>
    <x:t xml:space="preserve">Source definition</x:t>
  </x:si>
  <x:si>
    <x:t xml:space="preserve">1 Phytoplankton</x:t>
  </x:si>
  <x:si>
    <x:t xml:space="preserve">catch = 0; biomass = 323</x:t>
  </x:si>
  <x:si>
    <x:t xml:space="preserve">Phytoplankton dominated by diatoms, followed by dinoflagellates.</x:t>
  </x:si>
  <x:si>
    <x:t xml:space="preserve">2 Benthic producer</x:t>
  </x:si>
  <x:si>
    <x:t xml:space="preserve">catch = 0.0056; biomass = 153</x:t>
  </x:si>
  <x:si>
    <x:t xml:space="preserve">Benthic algae.</x:t>
  </x:si>
  <x:si>
    <x:t xml:space="preserve">3 Zooplankton</x:t>
  </x:si>
  <x:si>
    <x:t xml:space="preserve">catch = 0.0948; biomass = 9</x:t>
  </x:si>
  <x:si>
    <x:t xml:space="preserve">Acetes spp.; definition: Zooplankton; explicitly includes the landed Mo shrimp Acetes spp.</x:t>
  </x:si>
  <x:si>
    <x:t xml:space="preserve">4 Jellyfish</x:t>
  </x:si>
  <x:si>
    <x:t xml:space="preserve">catch = 0.044; biomass = 1.53</x:t>
  </x:si>
  <x:si>
    <x:t xml:space="preserve">Medusae of Cnidaria.</x:t>
  </x:si>
  <x:si>
    <x:t xml:space="preserve">5 Polychaetes</x:t>
  </x:si>
  <x:si>
    <x:t xml:space="preserve">catch = 0; biomass = 2.24</x:t>
  </x:si>
  <x:si>
    <x:t xml:space="preserve">Polychaeta.</x:t>
  </x:si>
  <x:si>
    <x:t xml:space="preserve">6 Echinoderms</x:t>
  </x:si>
  <x:si>
    <x:t xml:space="preserve">catch = 0.0021; biomass = 1.98</x:t>
  </x:si>
  <x:si>
    <x:t xml:space="preserve">Echinodermata.</x:t>
  </x:si>
  <x:si>
    <x:t xml:space="preserve">7 Benthic crustaceans</x:t>
  </x:si>
  <x:si>
    <x:t xml:space="preserve">catch = 0.0391; biomass = 1.43</x:t>
  </x:si>
  <x:si>
    <x:t xml:space="preserve">Benthic crustaceans excluding shrimps and crabs; Oratosquilla spp. supplies the P/B estimate.</x:t>
  </x:si>
  <x:si>
    <x:t xml:space="preserve">8 Non-ceph molluscs</x:t>
  </x:si>
  <x:si>
    <x:t xml:space="preserve">catch = 0.7623; biomass = 2.68</x:t>
  </x:si>
  <x:si>
    <x:t xml:space="preserve">Non-cephalopod Mollusca.</x:t>
  </x:si>
  <x:si>
    <x:t xml:space="preserve">9 Sessile/other invertebrates</x:t>
  </x:si>
  <x:si>
    <x:t xml:space="preserve">catch = 0.003; biomass = 2.61</x:t>
  </x:si>
  <x:si>
    <x:t xml:space="preserve">Sessile and other invertebrates, separate from polychaetes, echinoderms, crustaceans and molluscs.</x:t>
  </x:si>
  <x:si>
    <x:t xml:space="preserve">10 Shrimps</x:t>
  </x:si>
  <x:si>
    <x:t xml:space="preserve">catch = 0.6788; biomass = 0.194</x:t>
  </x:si>
  <x:si>
    <x:t xml:space="preserve">Metapenaeopsis palmensis; M. barbata; definition: Shrimps including penaeids; Acetes is explicitly in Zooplankton.</x:t>
  </x:si>
  <x:si>
    <x:t xml:space="preserve">11 Crabs</x:t>
  </x:si>
  <x:si>
    <x:t xml:space="preserve">catch = 0.1997; biomass = 0.368</x:t>
  </x:si>
  <x:si>
    <x:t xml:space="preserve">Crabs.</x:t>
  </x:si>
  <x:si>
    <x:t xml:space="preserve">12 Cephalopods</x:t>
  </x:si>
  <x:si>
    <x:t xml:space="preserve">catch = 0.2733; biomass = 0.68</x:t>
  </x:si>
  <x:si>
    <x:t xml:space="preserve">Loligo edulis; L. chinensis; definition: Cephalopoda, dominated by Loligo squid.</x:t>
  </x:si>
  <x:si>
    <x:t xml:space="preserve">13 Threadfin bream (nemipterids)</x:t>
  </x:si>
  <x:si>
    <x:t xml:space="preserve">catch = 0.657; biomass = 0.26</x:t>
  </x:si>
  <x:si>
    <x:t xml:space="preserve">Nemipterus virgatus; N. bathybius; N. japonicus; definition: Family Nemipteridae.</x:t>
  </x:si>
  <x:si>
    <x:t xml:space="preserve">14 Bigeyes (priacanthids)</x:t>
  </x:si>
  <x:si>
    <x:t xml:space="preserve">catch = 0.206; biomass = 0.13</x:t>
  </x:si>
  <x:si>
    <x:t xml:space="preserve">Family Priacanthidae.</x:t>
  </x:si>
  <x:si>
    <x:t xml:space="preserve">15 Lizard fish (synodontids)</x:t>
  </x:si>
  <x:si>
    <x:t xml:space="preserve">catch = 0.0234; biomass = 0.032</x:t>
  </x:si>
  <x:si>
    <x:t xml:space="preserve">Saurida tumbil; S. undosquamis; definition: Family Synodontidae.</x:t>
  </x:si>
  <x:si>
    <x:t xml:space="preserve">16 Juvenile Hairtail (trichiurids)</x:t>
  </x:si>
  <x:si>
    <x:t xml:space="preserve">catch = 0.028; biomass = 0.015</x:t>
  </x:si>
  <x:si>
    <x:t xml:space="preserve">Trichiurus lepturus; definition: Family Trichiuridae, juvenile stanza younger than 18 months.</x:t>
  </x:si>
  <x:si>
    <x:t xml:space="preserve">17 Adult hairtail (trichiurids)</x:t>
  </x:si>
  <x:si>
    <x:t xml:space="preserve">catch = 0.0072; biomass = 0.012</x:t>
  </x:si>
  <x:si>
    <x:t xml:space="preserve">Trichiurus lepturus; definition: Family Trichiuridae, adult stanza from 18 months.</x:t>
  </x:si>
  <x:si>
    <x:t xml:space="preserve">18 Pomfret (stromateids)</x:t>
  </x:si>
  <x:si>
    <x:t xml:space="preserve">catch = 0.239; biomass = 0.108</x:t>
  </x:si>
  <x:si>
    <x:t xml:space="preserve">Family Stromateidae. Other pomfret-like families are excluded from the stated taxonomic definition.</x:t>
  </x:si>
  <x:si>
    <x:t xml:space="preserve">19 Snappers</x:t>
  </x:si>
  <x:si>
    <x:t xml:space="preserve">catch = 0.0011; biomass = 0.0013</x:t>
  </x:si>
  <x:si>
    <x:t xml:space="preserve">Family Lutjanidae.</x:t>
  </x:si>
  <x:si>
    <x:t xml:space="preserve">20 Adult groupers</x:t>
  </x:si>
  <x:si>
    <x:t xml:space="preserve">catch = 0.0089; biomass = 0.0064</x:t>
  </x:si>
  <x:si>
    <x:t xml:space="preserve">Family Serranidae; the final table calls this Adult groupers but supplies no separate juvenile grouper compartment.</x:t>
  </x:si>
  <x:si>
    <x:t xml:space="preserve">21 Croakers (≤ 30 cm)</x:t>
  </x:si>
  <x:si>
    <x:t xml:space="preserve">catch = 0.0351; biomass = 0.07</x:t>
  </x:si>
  <x:si>
    <x:t xml:space="preserve">Agyrosomus spp.; Pennahia spp.; Pennahia (Agyrosomus) argentatus; definition: Small Sciaenidae &lt;=30 cm; Pennahia is explicitly listed despite differing SAU size classes.</x:t>
  </x:si>
  <x:si>
    <x:t xml:space="preserve">22 Juvenile large croakers</x:t>
  </x:si>
  <x:si>
    <x:t xml:space="preserve">catch = 0.071; biomass = 0.04</x:t>
  </x:si>
  <x:si>
    <x:t xml:space="preserve">Larimichthys crocea; definition: Large Sciaenidae &gt;30 cm maximum length, immature fish younger than 24 months.</x:t>
  </x:si>
  <x:si>
    <x:t xml:space="preserve">23 Croakers (&gt; 30 cm)</x:t>
  </x:si>
  <x:si>
    <x:t xml:space="preserve">catch = 0.008; biomass = 0.0094</x:t>
  </x:si>
  <x:si>
    <x:t xml:space="preserve">Larimichthys crocea; definition: Large Sciaenidae &gt;30 cm maximum length, adult fish from 24 months.</x:t>
  </x:si>
  <x:si>
    <x:t xml:space="preserve">24 Demesral fish (≤ 30 cm)</x:t>
  </x:si>
  <x:si>
    <x:t xml:space="preserve">catch = 0.1788; biomass = 0.316</x:t>
  </x:si>
  <x:si>
    <x:t xml:space="preserve">Demersal fish with maximum total length &lt;=30 cm, except taxa in dedicated groups.</x:t>
  </x:si>
  <x:si>
    <x:t xml:space="preserve">25 Juvenile demersal fish (&gt; 30 cm)</x:t>
  </x:si>
  <x:si>
    <x:t xml:space="preserve">catch = 0.3165; biomass = 0.143</x:t>
  </x:si>
  <x:si>
    <x:t xml:space="preserve">Demersal fish with maximum total length &gt;30 cm, juvenile stanza; dedicated groups excluded.</x:t>
  </x:si>
  <x:si>
    <x:t xml:space="preserve">26 Adult demersal fish (&gt; 30 cm)</x:t>
  </x:si>
  <x:si>
    <x:t xml:space="preserve">catch = 0.0352; biomass = 0.021</x:t>
  </x:si>
  <x:si>
    <x:t xml:space="preserve">Demersal fish with maximum total length &gt;30 cm, adult stanza from 18 months; dedicated groups excluded.</x:t>
  </x:si>
  <x:si>
    <x:t xml:space="preserve">27 Benthopelagic fish</x:t>
  </x:si>
  <x:si>
    <x:t xml:space="preserve">catch = 0.6025; biomass = 0.922</x:t>
  </x:si>
  <x:si>
    <x:t xml:space="preserve">Final table has one Benthopelagic fish group. Appendix separately describes small &lt;=30 cm and large &gt;30 cm benthopelagic fish; their relationship to the final single pool is not resolved.</x:t>
  </x:si>
  <x:si>
    <x:t xml:space="preserve">28 Melon seed</x:t>
  </x:si>
  <x:si>
    <x:t xml:space="preserve">catch = 0.0499; biomass = 0.07</x:t>
  </x:si>
  <x:si>
    <x:t xml:space="preserve">Psenopsis anomala; definition: Psenopsis anomala.</x:t>
  </x:si>
  <x:si>
    <x:t xml:space="preserve">29 Pelagic fish (≤ 30 cm)</x:t>
  </x:si>
  <x:si>
    <x:t xml:space="preserve">catch = 2.345; biomass = 1.772</x:t>
  </x:si>
  <x:si>
    <x:t xml:space="preserve">Pelagic fish with maximum total length &lt;=30 cm, including sardines, thryssa and anchovies.</x:t>
  </x:si>
  <x:si>
    <x:t xml:space="preserve">30 Juvenile large pelagic fish</x:t>
  </x:si>
  <x:si>
    <x:t xml:space="preserve">catch = 0.7384; biomass = 0.289</x:t>
  </x:si>
  <x:si>
    <x:t xml:space="preserve">Pelagic fish with maximum total length &gt;30 cm, juvenile stanza; source paragraph mistakenly says demersal, but heading, examples and stanza names establish pelagic.</x:t>
  </x:si>
  <x:si>
    <x:t xml:space="preserve">31 Pelagic fish (&gt; 30 cm)</x:t>
  </x:si>
  <x:si>
    <x:t xml:space="preserve">catch = 0.0821; biomass = 0.079</x:t>
  </x:si>
  <x:si>
    <x:t xml:space="preserve">Pelagic fish with maximum total length &gt;30 cm, adult stanza from 18 months; includes scombrids.</x:t>
  </x:si>
  <x:si>
    <x:t xml:space="preserve">32 Demersal sharks and rays</x:t>
  </x:si>
  <x:si>
    <x:t xml:space="preserve">catch = 0.001; biomass = 0.001</x:t>
  </x:si>
  <x:si>
    <x:t xml:space="preserve">Demersal elasmobranchs. No species list documented.</x:t>
  </x:si>
  <x:si>
    <x:t xml:space="preserve">33 Pelagic sharks and rays</x:t>
  </x:si>
  <x:si>
    <x:t xml:space="preserve">catch = 0.0007; biomass = 0.0011</x:t>
  </x:si>
  <x:si>
    <x:t xml:space="preserve">Pelagic elasmobranchs. No species list documented.</x:t>
  </x:si>
  <x:si>
    <x:t xml:space="preserve">34 Seabirds</x:t>
  </x:si>
  <x:si>
    <x:t xml:space="preserve">catch = 0; biomass = 0.0022</x:t>
  </x:si>
  <x:si>
    <x:t xml:space="preserve">Seabirds; no species list documented.</x:t>
  </x:si>
  <x:si>
    <x:t xml:space="preserve">35 Pinnipeds</x:t>
  </x:si>
  <x:si>
    <x:t xml:space="preserve">catch = 0; biomass = 0.0046</x:t>
  </x:si>
  <x:si>
    <x:t xml:space="preserve">Pinnipeds; no species list documented.</x:t>
  </x:si>
  <x:si>
    <x:t xml:space="preserve">36 Other mammals</x:t>
  </x:si>
  <x:si>
    <x:t xml:space="preserve">catch = 0; biomass = 0.0158</x:t>
  </x:si>
  <x:si>
    <x:t xml:space="preserve">Other marine mammals; no species list documented.</x:t>
  </x:si>
  <x:si>
    <x:t xml:space="preserve">37 Marine turtles</x:t>
  </x:si>
  <x:si>
    <x:t xml:space="preserve">catch = 0; biomass = 0.0002</x:t>
  </x:si>
  <x:si>
    <x:t xml:space="preserve">Marine turtles; no species list documented.</x:t>
  </x:si>
  <x:si>
    <x:t xml:space="preserve">38 Detritus</x:t>
  </x:si>
  <x:si>
    <x:t xml:space="preserve">catch = 0; biomass = 100</x:t>
  </x:si>
  <x:si>
    <x:t xml:space="preserve">Non-living detritus.</x:t>
  </x:si>
</x:sst>
</file>

<file path=xl/styles.xml><?xml version="1.0" encoding="utf-8"?>
<x:styleSheet xmlns:x="http://schemas.openxmlformats.org/spreadsheetml/2006/main">
  <x:numFmts count="4">
    <x:numFmt numFmtId="164" formatCode="#,##0.000000"/>
    <x:numFmt numFmtId="165" formatCode="0.0000%"/>
    <x:numFmt numFmtId="166" formatCode="0.000000"/>
    <x:numFmt numFmtId="167" formatCode="0.000000%"/>
  </x:numFmts>
  <x:fonts count="9">
    <x:font>
      <x:sz val="11"/>
      <x:name val="Carlito"/>
    </x:font>
    <x:font>
      <x:sz val="11"/>
      <x:name val="Calibri"/>
    </x:font>
    <x:font>
      <x:b/>
      <x:sz val="17"/>
      <x:color rgb="FF153945"/>
      <x:name val="Calibri"/>
    </x:font>
    <x:font>
      <x:sz val="11"/>
      <x:color rgb="FF45545C"/>
      <x:name val="Calibri"/>
    </x:font>
    <x:font>
      <x:b/>
      <x:sz val="11"/>
      <x:color rgb="FFFFFFFF"/>
      <x:name val="Calibri"/>
    </x:font>
    <x:font>
      <x:sz val="11"/>
      <x:color rgb="FF175E72"/>
      <x:name val="Calibri"/>
    </x:font>
    <x:font>
      <x:sz val="11"/>
      <x:color rgb="FFFFFFFF"/>
      <x:name val="Calibri"/>
    </x:font>
    <x:font>
      <x:sz val="11"/>
      <x:color rgb="FF0563C1"/>
      <x:name val="Calibri"/>
      <x:u val="single"/>
    </x:font>
    <x:font>
      <x:sz val="11"/>
      <x:name val="Calibri"/>
      <x:color rgb="FF0563C1"/>
      <x:u val="single"/>
    </x:font>
  </x:fonts>
  <x:fills count="4">
    <x:fill>
      <x:patternFill patternType="none"/>
    </x:fill>
    <x:fill>
      <x:patternFill patternType="gray125"/>
    </x:fill>
    <x:fill>
      <x:patternFill patternType="solid">
        <x:fgColor rgb="FF174C58"/>
      </x:patternFill>
    </x:fill>
    <x:fill>
      <x:patternFill patternType="solid">
        <x:fgColor rgb="FF174C58"/>
      </x:patternFill>
    </x:fill>
  </x:fills>
  <x:borders count="1">
    <x:border/>
  </x:borders>
  <x:cellStyleXfs count="1">
    <x:xf numFmtId="0" fontId="0" fillId="0" borderId="0"/>
  </x:cellStyleXfs>
  <x:cellXfs count="26">
    <x:xf numFmtId="0" fontId="0" fillId="0" borderId="0" xfId="0"/>
    <x:xf numFmtId="0" fontId="1" fillId="0" borderId="0" xfId="0" applyFont="1"/>
    <x:xf numFmtId="0" fontId="1" fillId="0" borderId="0" xfId="0" applyFont="1" applyAlignment="1">
      <x:alignment vertical="top" wrapText="1"/>
    </x:xf>
    <x:xf numFmtId="0" fontId="4" fillId="2" borderId="0" xfId="0" applyFont="1" applyFill="1" applyAlignment="1">
      <x:alignment vertical="top" wrapText="1"/>
    </x:xf>
    <x:xf numFmtId="2" fontId="1" fillId="0" borderId="0" xfId="0" applyNumberFormat="1" applyFont="1" applyAlignment="1">
      <x:alignment vertical="top" wrapText="1"/>
    </x:xf>
    <x:xf numFmtId="4" fontId="1" fillId="0" borderId="0" xfId="0" applyNumberFormat="1" applyFont="1" applyAlignment="1">
      <x:alignment vertical="top" wrapText="1"/>
    </x:xf>
    <x:xf numFmtId="164" fontId="1" fillId="0" borderId="0" xfId="0" applyNumberFormat="1" applyFont="1"/>
    <x:xf numFmtId="165" fontId="1" fillId="0" borderId="0" xfId="0" applyNumberFormat="1" applyFont="1" applyAlignment="1">
      <x:alignment vertical="top" wrapText="1"/>
    </x:xf>
    <x:xf numFmtId="166" fontId="1" fillId="0" borderId="0" xfId="0" applyNumberFormat="1" applyFont="1" applyAlignment="1">
      <x:alignment vertical="top" wrapText="1"/>
    </x:xf>
    <x:xf numFmtId="167" fontId="1" fillId="0" borderId="0" xfId="0" applyNumberFormat="1" applyFont="1" applyAlignment="1">
      <x:alignment vertical="top" wrapText="1"/>
    </x:xf>
    <x:xf numFmtId="0" fontId="5" fillId="0" borderId="0" xfId="0" applyFont="1" applyAlignment="1">
      <x:alignment vertical="top" wrapText="1"/>
    </x:xf>
    <x:xf numFmtId="0" fontId="2" fillId="0" borderId="0" xfId="0" applyFont="1"/>
    <x:xf numFmtId="0" fontId="3" fillId="0" borderId="0" xfId="0" applyFont="1" applyAlignment="1">
      <x:alignment wrapText="1"/>
    </x:xf>
    <x:xf numFmtId="0" fontId="2" fillId="0" borderId="0" xfId="0" applyNumberFormat="1" applyFont="1" applyFill="1" applyBorder="1"/>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165" fontId="1" fillId="0" borderId="0" xfId="0" applyNumberFormat="1" applyFont="1" applyFill="1" applyBorder="1" applyAlignment="1">
      <x:alignment vertical="top" wrapText="1"/>
    </x:xf>
    <x:xf numFmtId="167" fontId="1" fillId="0"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xf numFmtId="0" fontId="7" fillId="0" borderId="0" xfId="0" applyFont="1" applyAlignment="1">
      <x:alignment vertical="top" wrapText="1"/>
    </x:xf>
    <x:xf numFmtId="0" fontId="8" fillId="0" borderId="0" xfId="0" applyNumberFormat="1" applyFont="1" applyFill="1" applyBorder="1" applyAlignment="1">
      <x:alignment vertical="top" wrapText="1"/>
    </x:xf>
  </x:cellXfs>
  <x:cellStyles count="1">
    <x:cellStyle name="Normal" xfId="0"/>
  </x:cellStyles>
</x:styleSheet>
</file>

<file path=xl/_rels/workbook.xml.rels><Relationships xmlns="http://schemas.openxmlformats.org/package/2006/relationships"><Relationship Type="http://schemas.openxmlformats.org/officeDocument/2006/relationships/styles" Target="/xl/styles.xml" Id="Reb32112ff53f4006"/><Relationship Type="http://schemas.openxmlformats.org/officeDocument/2006/relationships/theme" Target="/xl/theme/theme1.xml" Id="R0fa8634d0e014a1a"/><Relationship Type="http://schemas.openxmlformats.org/officeDocument/2006/relationships/sharedStrings" Target="/xl/sharedStrings.xml" Id="Rcaf089050d094d90"/><Relationship Type="http://schemas.openxmlformats.org/officeDocument/2006/relationships/worksheet" Target="/xl/worksheets/sheet1.xml" Id="Rc01d1aefb4ad4054"/><Relationship Type="http://schemas.openxmlformats.org/officeDocument/2006/relationships/worksheet" Target="/xl/worksheets/sheet2.xml" Id="Rdd188897289b4a58"/><Relationship Type="http://schemas.openxmlformats.org/officeDocument/2006/relationships/worksheet" Target="/xl/worksheets/sheet3.xml" Id="Rd24402d44ba44d28"/><Relationship Type="http://schemas.openxmlformats.org/officeDocument/2006/relationships/worksheet" Target="/xl/worksheets/sheet4.xml" Id="R15ed6d7d5769450e"/></Relationships>
</file>

<file path=xl/tables/table1.xml><?xml version="1.0" encoding="utf-8"?>
<x:table xmlns:x="http://schemas.openxmlformats.org/spreadsheetml/2006/main" id="1" name="TaxonMappings" displayName="TaxonMappings" ref="A5:G379" totalsRowShown="0">
  <x:autoFilter ref="A5:G379">
    <x:filterColumn xmlns:mc="http://schemas.openxmlformats.org/markup-compatibility/2006" xmlns:xr="http://schemas.microsoft.com/office/spreadsheetml/2014/revision" xmlns:xr3="http://schemas.microsoft.com/office/spreadsheetml/2016/revision3" colId="5">
      <x:filters>
        <x:filter val="Low"/>
      </x:filters>
    </x:filterColumn>
  </x:autoFilter>
  <x:tableColumns count="7">
    <x:tableColumn id="1" name="Taxon name"/>
    <x:tableColumn id="2" name="TL"/>
    <x:tableColumn id="3" name="Catch (t)"/>
    <x:tableColumn id="4" name="Simple-chain PPR (t C)"/>
    <x:tableColumn id="5" name="Mapped group names and weights"/>
    <x:tableColumn id="6" name="Confidence level"/>
    <x:tableColumn id="7" name="Reason"/>
  </x:tableColumns>
  <x:tableStyleInfo name="TableStyleMedium2" showFirstColumn="0" showLastColumn="0" showRowStripes="1" showColumnStripes="0"/>
</x:table>
</file>

<file path=xl/tables/table2.xml><?xml version="1.0" encoding="utf-8"?>
<x:table xmlns:x="http://schemas.openxmlformats.org/spreadsheetml/2006/main" id="2" name="ConfidenceCoverage" displayName="ConfidenceCoverage" ref="A10:D15" totalsRowShown="0">
  <x:autoFilter ref="A10:D15"/>
  <x:tableColumns count="4">
    <x:tableColumn id="1" name="Overall confidence"/>
    <x:tableColumn id="2" name="Taxa"/>
    <x:tableColumn id="3" name="Catch percentage"/>
    <x:tableColumn id="4" name="PPR percentage"/>
  </x:tableColumns>
  <x:tableStyleInfo name="TableStyleMedium2" showFirstColumn="0" showLastColumn="0" showRowStripes="1" showColumnStripes="0"/>
</x:table>
</file>

<file path=xl/tables/table3.xml><?xml version="1.0" encoding="utf-8"?>
<x:table xmlns:x="http://schemas.openxmlformats.org/spreadsheetml/2006/main" id="8" name="GroupAssignmentRules" displayName="GroupAssignmentRules" ref="A20:C27" headerRowCount="1" totalsRowCount="0" totalsRowShown="0">
  <x:autoFilter ref="A20:C27"/>
  <x:tableColumns count="3">
    <x:tableColumn id="1" name="Plain-language rule"/>
    <x:tableColumn id="2" name="Confidence"/>
    <x:tableColumn id="3" name="PPR percentage"/>
  </x:tableColumns>
  <x:tableStyleInfo name="TableStyleMedium2" showFirstColumn="0" showLastColumn="0" showRowStripes="1" showColumnStripes="0"/>
</x:table>
</file>

<file path=xl/tables/table4.xml><?xml version="1.0" encoding="utf-8"?>
<x:table xmlns:x="http://schemas.openxmlformats.org/spreadsheetml/2006/main" id="9" name="AllocationWeightRules" displayName="AllocationWeightRules" ref="A32:C34" headerRowCount="1" totalsRowCount="0" totalsRowShown="0">
  <x:autoFilter ref="A32:C34"/>
  <x:tableColumns count="3">
    <x:tableColumn id="1" name="Plain-language rule"/>
    <x:tableColumn id="2" name="Confidence"/>
    <x:tableColumn id="3" name="PPR percentage"/>
  </x:tableColumns>
  <x:tableStyleInfo name="TableStyleMedium2" showFirstColumn="0" showLastColumn="0" showRowStripes="1" showColumnStripes="0"/>
</x:table>
</file>

<file path=xl/tables/table5.xml><?xml version="1.0" encoding="utf-8"?>
<x:table xmlns:x="http://schemas.openxmlformats.org/spreadsheetml/2006/main" id="5" name="AllocationEvidence" displayName="AllocationEvidence" ref="A5:J681" totalsRowShown="0">
  <x:autoFilter ref="A5:J681"/>
  <x:tableColumns count="10">
    <x:tableColumn id="1" name="Taxon"/>
    <x:tableColumn id="2" name="Model group"/>
    <x:tableColumn id="3" name="Group ID"/>
    <x:tableColumn id="4" name="Model catch"/>
    <x:tableColumn id="5" name="Model biomass"/>
    <x:tableColumn id="6" name="Allocation field"/>
    <x:tableColumn id="7" name="Eligible total"/>
    <x:tableColumn id="8" name="Weight"/>
    <x:tableColumn id="9" name="Weight confidence"/>
    <x:tableColumn id="10" name="Candidate basis and assumptions"/>
  </x:tableColumns>
  <x:tableStyleInfo name="TableStyleMedium2" showFirstColumn="0" showLastColumn="0" showRowStripes="1" showColumnStripes="0"/>
</x:table>
</file>

<file path=xl/tables/table6.xml><?xml version="1.0" encoding="utf-8"?>
<x:table xmlns:x="http://schemas.openxmlformats.org/spreadsheetml/2006/main" id="6" name="DescriptiveSources" displayName="DescriptiveSources" ref="A5:C21" totalsRowShown="0">
  <x:autoFilter ref="A5:C21"/>
  <x:tableColumns count="3">
    <x:tableColumn id="1" name="Source"/>
    <x:tableColumn id="2" name="What it supports"/>
    <x:tableColumn id="3" name="Link or retained location"/>
  </x:tableColumns>
  <x:tableStyleInfo name="TableStyleMedium2" showFirstColumn="0" showLastColumn="0" showRowStripes="1" showColumnStripes="0"/>
</x:table>
</file>

<file path=xl/tables/table7.xml><?xml version="1.0" encoding="utf-8"?>
<x:table xmlns:x="http://schemas.openxmlformats.org/spreadsheetml/2006/main" id="7" name="ModelGroupInputs" displayName="ModelGroupInputs" ref="A27:C65" totalsRowShown="0">
  <x:autoFilter ref="A27:C65"/>
  <x:tableColumns count="3">
    <x:tableColumn id="1" name="Model group"/>
    <x:tableColumn id="2" name="Recorded values"/>
    <x:tableColumn id="3" name="Source definition"/>
  </x:tableColumns>
  <x:tableStyleInfo name="TableStyleMedium2" showFirstColumn="0" showLastColumn="0" showRowStripes="1" showColumnStripes="0"/>
</x:table>
</file>

<file path=xl/tables/table8.xml><?xml version="1.0" encoding="utf-8"?>
<x:table xmlns:x="http://schemas.openxmlformats.org/spreadsheetml/2006/main" id="10" name="ConfidenceReviewSources" displayName="ConfidenceReviewSources" ref="A71:C567" headerRowCount="1" totalsRowCount="0" totalsRowShown="0">
  <x:autoFilter ref="A71:C567"/>
  <x:tableColumns count="3">
    <x:tableColumn id="1" name="Source"/>
    <x:tableColumn id="2" name="What it supports and applicable taxa"/>
    <x:tableColumn id="3" name="Link or retained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cecb4376151c4a2c"/></Relationships>
</file>

<file path=xl/worksheets/_rels/sheet2.xml.rels><Relationships xmlns="http://schemas.openxmlformats.org/package/2006/relationships"><Relationship Type="http://schemas.openxmlformats.org/officeDocument/2006/relationships/table" Target="/xl/tables/table2.xml" Id="R05a32a9ceb0e4065"/><Relationship Type="http://schemas.openxmlformats.org/officeDocument/2006/relationships/table" Target="/xl/tables/table3.xml" Id="R25f493f330d246e9"/><Relationship Type="http://schemas.openxmlformats.org/officeDocument/2006/relationships/table" Target="/xl/tables/table4.xml" Id="R6d9392eea3c148ec"/></Relationships>
</file>

<file path=xl/worksheets/_rels/sheet3.xml.rels><Relationships xmlns="http://schemas.openxmlformats.org/package/2006/relationships"><Relationship Type="http://schemas.openxmlformats.org/officeDocument/2006/relationships/table" Target="/xl/tables/table5.xml" Id="Rc74647c96ac74d43"/></Relationships>
</file>

<file path=xl/worksheets/_rels/sheet4.xml.rels><?xml version='1.0' encoding='utf-8'?>
<Relationships xmlns="http://schemas.openxmlformats.org/package/2006/relationships"><Relationship Type="http://schemas.openxmlformats.org/officeDocument/2006/relationships/hyperlink" Target="https://open.library.ubc.ca/collections/ubctheses/831/items/1.0074894" TargetMode="External" Id="R67366565818442ce"/><Relationship Type="http://schemas.openxmlformats.org/officeDocument/2006/relationships/hyperlink" Target="papers/SCS-2007/ubc_2007-317501-87ea9ea0.pdf" TargetMode="External" Id="R2050f87cc8bd4947"/><Relationship Type="http://schemas.openxmlformats.org/officeDocument/2006/relationships/hyperlink" Target="LME_036.xlsx" TargetMode="External" Id="R11f116abd05d47be"/><Relationship Type="http://schemas.openxmlformats.org/officeDocument/2006/relationships/hyperlink" Target="models/36_1_South_China_Sea_SCS-2007_Northern_South_China_Sea_(2000s)/model.json" TargetMode="External" Id="R8989537fbaae46cd"/><Relationship Type="http://schemas.openxmlformats.org/officeDocument/2006/relationships/hyperlink" Target="validation_reports/36_1_South_China_Sea_SCS-2007_Northern_South_China_Sea_(2000s)/selected_regions_review_20260930/taxon_audit_adopted.json" TargetMode="External" Id="R6fbbcfc56c6e4e7d"/><Relationship Type="http://schemas.openxmlformats.org/officeDocument/2006/relationships/hyperlink" Target="raw/LME_036-exploited.json" TargetMode="External" Id="Rf86d47caf5a248e6"/><Relationship Type="http://schemas.openxmlformats.org/officeDocument/2006/relationships/hyperlink" Target="https://www.itis.gov/servlet/SingleRpt/SingleRpt?search_topic=TSN&amp;search_value=646537" TargetMode="External" Id="Rf4eae972f8764482"/><Relationship Type="http://schemas.openxmlformats.org/officeDocument/2006/relationships/hyperlink" Target="https://www.ncbi.nlm.nih.gov/datasets/taxonomy/6605/" TargetMode="External" Id="R9b5ccf2400cb42f0"/><Relationship Type="http://schemas.openxmlformats.org/officeDocument/2006/relationships/hyperlink" Target="https://www.fws.gov/taxonomic-tree/21322" TargetMode="External" Id="Rbb254c2afa924039"/><Relationship Type="http://schemas.openxmlformats.org/officeDocument/2006/relationships/hyperlink" Target="https://fishbase.mnhn.fr/summary/selaroides-leptolepis.html" TargetMode="External" Id="R6ebbb121a565464e"/><Relationship Type="http://schemas.openxmlformats.org/officeDocument/2006/relationships/hyperlink" Target="https://www.fishbase.se/summary/1939" TargetMode="External" Id="Redd377b104fd466b"/><Relationship Type="http://schemas.openxmlformats.org/officeDocument/2006/relationships/hyperlink" Target="https://www.fishbase.org/Summary/Siganus-canaliculatus" TargetMode="External" Id="Rbac30fae7bca4f09"/><Relationship Type="http://schemas.openxmlformats.org/officeDocument/2006/relationships/hyperlink" Target="https://www.fishbase.se/summary/513" TargetMode="External" Id="Re18375119fc043c9"/><Relationship Type="http://schemas.openxmlformats.org/officeDocument/2006/relationships/hyperlink" Target="https://www.fishbase.se/summary/Paralichthys_olivaceus.html" TargetMode="External" Id="Re824c9917bae4606"/><Relationship Type="http://schemas.openxmlformats.org/officeDocument/2006/relationships/hyperlink" Target="https://www.fishbase.se/summary/416" TargetMode="External" Id="Rc57e6aaeaef74782"/><Relationship Type="http://schemas.openxmlformats.org/officeDocument/2006/relationships/hyperlink" Target="validation_reports/36_1_South_China_Sea_SCS-2007_Northern_South_China_Sea_(2000s)/confidence_reassessment_20260930/taxon_audit_adopted.json" TargetMode="External" Id="R280a7a622b2f4f34"/><Relationship Type="http://schemas.openxmlformats.org/officeDocument/2006/relationships/table" Target="/xl/tables/table6.xml" Id="Rfbf98ffbb5ca4e7c"/><Relationship Type="http://schemas.openxmlformats.org/officeDocument/2006/relationships/table" Target="/xl/tables/table7.xml" Id="Rf34b2d7c812d46eb"/><Relationship Type="http://schemas.openxmlformats.org/officeDocument/2006/relationships/table" Target="/xl/tables/table8.xml" Id="R1812fa5b0d574482"/><Relationship Id="rIdConfidence72" Type="http://schemas.openxmlformats.org/officeDocument/2006/relationships/hyperlink" Target="validation_reports/36_1_South_China_Sea_SCS-2007_Northern_South_China_Sea_(2000s)/confidence_reassessment_20260930/source_group_definitions.txt" TargetMode="External"/><Relationship Id="rIdConfidence73" Type="http://schemas.openxmlformats.org/officeDocument/2006/relationships/hyperlink" Target="https://www.marinespecies.org/aphia.php?p=taxdetails&amp;id=127089" TargetMode="External"/><Relationship Id="rIdConfidence74" Type="http://schemas.openxmlformats.org/officeDocument/2006/relationships/hyperlink" Target="https://www.marinespecies.org/aphia.php?p=taxdetails&amp;id=125449" TargetMode="External"/><Relationship Id="rIdConfidence75" Type="http://schemas.openxmlformats.org/officeDocument/2006/relationships/hyperlink" Target="validation_reports/36_1_South_China_Sea_SCS-2007_Northern_South_China_Sea_(2000s)/confidence_reassessment_20260930/source_group_definitions.txt" TargetMode="External"/><Relationship Id="rIdConfidence76" Type="http://schemas.openxmlformats.org/officeDocument/2006/relationships/hyperlink" Target="LME_036.xlsx" TargetMode="External"/><Relationship Id="rIdConfidence77" Type="http://schemas.openxmlformats.org/officeDocument/2006/relationships/hyperlink" Target="validation_reports/36_1_South_China_Sea_SCS-2007_Northern_South_China_Sea_(2000s)/confidence_reassessment_20260930/pelagic_and_analogues_input.json" TargetMode="External"/><Relationship Id="rIdConfidence78" Type="http://schemas.openxmlformats.org/officeDocument/2006/relationships/hyperlink" Target="https://www.fao.org/docrep/pdf/009/ac478e/ac478e09.pdf" TargetMode="External"/><Relationship Id="rIdConfidence79" Type="http://schemas.openxmlformats.org/officeDocument/2006/relationships/hyperlink" Target="https://www.fao.org/docrep/pdf/009/ac478e/ac478e10.pdf" TargetMode="External"/><Relationship Id="rIdConfidence80" Type="http://schemas.openxmlformats.org/officeDocument/2006/relationships/hyperlink" Target="https://www.fao.org/4/y5852e/Y5852E12.htm" TargetMode="External"/><Relationship Id="rIdConfidence81" Type="http://schemas.openxmlformats.org/officeDocument/2006/relationships/hyperlink" Target="https://www.fao.org/docrep/pdf/009/ac478e/ac478e05.pdf" TargetMode="External"/><Relationship Id="rIdConfidence82" Type="http://schemas.openxmlformats.org/officeDocument/2006/relationships/hyperlink" Target="https://www.fao.org/docrep/pdf/009/ac480e/ac480e05.pdf" TargetMode="External"/><Relationship Id="rIdConfidence83" Type="http://schemas.openxmlformats.org/officeDocument/2006/relationships/hyperlink" Target="raw/LME_036-exploited.json" TargetMode="External"/><Relationship Id="rIdConfidence84" Type="http://schemas.openxmlformats.org/officeDocument/2006/relationships/hyperlink" Target="https://www.fao.org/docrep/pdf/009/ac478e/ac478e07.pdf" TargetMode="External"/><Relationship Id="rIdConfidence85" Type="http://schemas.openxmlformats.org/officeDocument/2006/relationships/hyperlink" Target="https://www.fao.org/4/ac478e/ac478e08.pdf" TargetMode="External"/><Relationship Id="rIdConfidence86" Type="http://schemas.openxmlformats.org/officeDocument/2006/relationships/hyperlink" Target="https://www.marinespecies.org/aphia.php?p=taxdetails&amp;id=125523" TargetMode="External"/><Relationship Id="rIdConfidence87" Type="http://schemas.openxmlformats.org/officeDocument/2006/relationships/hyperlink" Target="https://www.fishbase.se/summary/Decapterus-russelli.html" TargetMode="External"/><Relationship Id="rIdConfidence88" Type="http://schemas.openxmlformats.org/officeDocument/2006/relationships/hyperlink" Target="https://www.fishbase.se/summary/Gnathanodon-speciosus.html" TargetMode="External"/><Relationship Id="rIdConfidence89" Type="http://schemas.openxmlformats.org/officeDocument/2006/relationships/hyperlink" Target="papers/SCS-2007/ubc_2007-317501-87ea9ea0.pdf" TargetMode="External"/><Relationship Id="rIdConfidence90" Type="http://schemas.openxmlformats.org/officeDocument/2006/relationships/hyperlink" Target="https://www.fishbase.se/summary/Muraenesox-cinereus.html" TargetMode="External"/><Relationship Id="rIdConfidence91" Type="http://schemas.openxmlformats.org/officeDocument/2006/relationships/hyperlink" Target="https://www.fao.org/4/i2741e/i2741e10b.pdf" TargetMode="External"/><Relationship Id="rIdConfidence92" Type="http://schemas.openxmlformats.org/officeDocument/2006/relationships/hyperlink" Target="https://www.marinespecies.org/aphia.php?p=taxdetails&amp;id=205457" TargetMode="External"/><Relationship Id="rIdConfidence93" Type="http://schemas.openxmlformats.org/officeDocument/2006/relationships/hyperlink" Target="https://www.marinespecies.org/aphia.php?p=taxdetails&amp;id=135220" TargetMode="External"/><Relationship Id="rIdConfidence94" Type="http://schemas.openxmlformats.org/officeDocument/2006/relationships/hyperlink" Target="https://www.marinespecies.org/aphia.php?p=taxdetails&amp;id=127024" TargetMode="External"/><Relationship Id="rIdConfidence95" Type="http://schemas.openxmlformats.org/officeDocument/2006/relationships/hyperlink" Target="https://www.fishbase.se/summary/Scomberomorus-commerson.html" TargetMode="External"/><Relationship Id="rIdConfidence96" Type="http://schemas.openxmlformats.org/officeDocument/2006/relationships/hyperlink" Target="https://www.marinespecies.org/aphia.php?p=taxdetails&amp;id=125558" TargetMode="External"/><Relationship Id="rIdConfidence97" Type="http://schemas.openxmlformats.org/officeDocument/2006/relationships/hyperlink" Target="https://www.marinespecies.org/aphia.php?p=taxdetails&amp;id=11734" TargetMode="External"/><Relationship Id="rIdConfidence98" Type="http://schemas.openxmlformats.org/officeDocument/2006/relationships/hyperlink" Target="https://www.marinespecies.org/aphia.php?p=taxdetails&amp;id=11716" TargetMode="External"/><Relationship Id="rIdConfidence99" Type="http://schemas.openxmlformats.org/officeDocument/2006/relationships/hyperlink" Target="https://www.marinespecies.org/aphia.php?p=taxdetails&amp;id=127016" TargetMode="External"/><Relationship Id="rIdConfidence100" Type="http://schemas.openxmlformats.org/officeDocument/2006/relationships/hyperlink" Target="https://www.fishbase.se/summary/Auxis-thazard.html" TargetMode="External"/><Relationship Id="rIdConfidence101" Type="http://schemas.openxmlformats.org/officeDocument/2006/relationships/hyperlink" Target="https://www.fao.org/4/t0726e/t0726e00.htm" TargetMode="External"/><Relationship Id="rIdConfidence102" Type="http://schemas.openxmlformats.org/officeDocument/2006/relationships/hyperlink" Target="https://research.calacademy.org/research/ichthyology/catalog/classif.asp" TargetMode="External"/><Relationship Id="rIdConfidence103" Type="http://schemas.openxmlformats.org/officeDocument/2006/relationships/hyperlink" Target="https://www.marinespecies.org/aphia.php?p=taxdetails&amp;id=1061762" TargetMode="External"/><Relationship Id="rIdConfidence104" Type="http://schemas.openxmlformats.org/officeDocument/2006/relationships/hyperlink" Target="https://www.marinespecies.org/aphia.php?p=taxdetails&amp;id=217661" TargetMode="External"/><Relationship Id="rIdConfidence105" Type="http://schemas.openxmlformats.org/officeDocument/2006/relationships/hyperlink" Target="https://www.itis.gov/servlet/SingleRpt/SingleRpt?search_topic=TSN&amp;search_value=162425" TargetMode="External"/><Relationship Id="rIdConfidence106" Type="http://schemas.openxmlformats.org/officeDocument/2006/relationships/hyperlink" Target="https://www.fao.org/4/x2400e/x2400e52.pdf" TargetMode="External"/><Relationship Id="rIdConfidence107" Type="http://schemas.openxmlformats.org/officeDocument/2006/relationships/hyperlink" Target="https://www.marinespecies.org/aphia.php?p=taxdetails&amp;id=127018" TargetMode="External"/><Relationship Id="rIdConfidence108" Type="http://schemas.openxmlformats.org/officeDocument/2006/relationships/hyperlink" Target="https://www.fishbase.se/summary/Katsuwonus-pelamis.html" TargetMode="External"/><Relationship Id="rIdConfidence109" Type="http://schemas.openxmlformats.org/officeDocument/2006/relationships/hyperlink" Target="https://www.marinespecies.org/aphia.php?p=taxdetails&amp;id=342067" TargetMode="External"/><Relationship Id="rIdConfidence110" Type="http://schemas.openxmlformats.org/officeDocument/2006/relationships/hyperlink" Target="https://www.marinespecies.org/aphia.php?p=taxdetails&amp;id=219984" TargetMode="External"/><Relationship Id="rIdConfidence111" Type="http://schemas.openxmlformats.org/officeDocument/2006/relationships/hyperlink" Target="https://www.fishbase.se/summary/Engraulis-japonicus.html" TargetMode="External"/><Relationship Id="rIdConfidence112" Type="http://schemas.openxmlformats.org/officeDocument/2006/relationships/hyperlink" Target="https://www.marinespecies.org/aphia.php?p=taxdetails&amp;id=11723" TargetMode="External"/><Relationship Id="rIdConfidence113" Type="http://schemas.openxmlformats.org/officeDocument/2006/relationships/hyperlink" Target="https://www.fishbase.se/summary/Pagrus-major.html" TargetMode="External"/><Relationship Id="rIdConfidence114" Type="http://schemas.openxmlformats.org/officeDocument/2006/relationships/hyperlink" Target="https://www.fishbase.se/summary/Acanthopagrus-schlegelii.html" TargetMode="External"/><Relationship Id="rIdConfidence115" Type="http://schemas.openxmlformats.org/officeDocument/2006/relationships/hyperlink" Target="papers/SCS-2007/ubc_2007-317501-87ea9ea0.pdf" TargetMode="External"/><Relationship Id="rIdConfidence116" Type="http://schemas.openxmlformats.org/officeDocument/2006/relationships/hyperlink" Target="models/36_1_South_China_Sea_SCS-2007_Northern_South_China_Sea_(2000s)/model.json" TargetMode="External"/><Relationship Id="rIdConfidence117" Type="http://schemas.openxmlformats.org/officeDocument/2006/relationships/hyperlink" Target="https://www.marinespecies.org/aphia.php?p=taxdetails&amp;id=126049" TargetMode="External"/><Relationship Id="rIdConfidence118" Type="http://schemas.openxmlformats.org/officeDocument/2006/relationships/hyperlink" Target="https://www.fao.org/docrep/pdf/009/t0539e/t0539e08.pdf" TargetMode="External"/><Relationship Id="rIdConfidence119" Type="http://schemas.openxmlformats.org/officeDocument/2006/relationships/hyperlink" Target="models/36_1_South_China_Sea_SCS-2007_Northern_South_China_Sea_(2000s)/source_evidence/mapping/36_1_South_China_Sea_SCS-2007_Northern_South_China_Sea_(2000s).MODEL_PROFILE.md" TargetMode="External"/><Relationship Id="rIdConfidence120" Type="http://schemas.openxmlformats.org/officeDocument/2006/relationships/hyperlink" Target="https://www.marinespecies.org/aphia.php?p=taxdetails&amp;id=126846" TargetMode="External"/><Relationship Id="rIdConfidence121" Type="http://schemas.openxmlformats.org/officeDocument/2006/relationships/hyperlink" Target="https://www.fishbase.se/summary/Coryphaena-hippurus.html" TargetMode="External"/><Relationship Id="rIdConfidence122" Type="http://schemas.openxmlformats.org/officeDocument/2006/relationships/hyperlink" Target="https://www.fao.org/4/y0770e/y0770e03.pdf" TargetMode="External"/><Relationship Id="rIdConfidence123" Type="http://schemas.openxmlformats.org/officeDocument/2006/relationships/hyperlink" Target="https://www.fishbase.se/summary/Leiognathus-equulus.html" TargetMode="External"/><Relationship Id="rIdConfidence124" Type="http://schemas.openxmlformats.org/officeDocument/2006/relationships/hyperlink" Target="https://www.marinespecies.org/aphia.php?p=taxdetails&amp;id=125555" TargetMode="External"/><Relationship Id="rIdConfidence125" Type="http://schemas.openxmlformats.org/officeDocument/2006/relationships/hyperlink" Target="https://www.fao.org/4/x2400e/x2400e53.pdf" TargetMode="External"/><Relationship Id="rIdConfidence126" Type="http://schemas.openxmlformats.org/officeDocument/2006/relationships/hyperlink" Target="https://www.fishbase.se/summary/Lates-calcarifer.html" TargetMode="External"/><Relationship Id="rIdConfidence127" Type="http://schemas.openxmlformats.org/officeDocument/2006/relationships/hyperlink" Target="https://www.marinespecies.org/aphia.php?p=taxdetails&amp;id=126068" TargetMode="External"/><Relationship Id="rIdConfidence128" Type="http://schemas.openxmlformats.org/officeDocument/2006/relationships/hyperlink" Target="https://www.fao.org/4/t0540e/t0540e00.htm" TargetMode="External"/><Relationship Id="rIdConfidence129" Type="http://schemas.openxmlformats.org/officeDocument/2006/relationships/hyperlink" Target="https://www.marinespecies.org/aphia.php?p=taxdetails&amp;id=127022" TargetMode="External"/><Relationship Id="rIdConfidence130" Type="http://schemas.openxmlformats.org/officeDocument/2006/relationships/hyperlink" Target="https://www.fishbase.se/summary/Scomber-japonicus.html" TargetMode="External"/><Relationship Id="rIdConfidence131" Type="http://schemas.openxmlformats.org/officeDocument/2006/relationships/hyperlink" Target="https://www.marinespecies.org/aphia.php?p=taxdetails&amp;id=273817" TargetMode="External"/><Relationship Id="rIdConfidence132" Type="http://schemas.openxmlformats.org/officeDocument/2006/relationships/hyperlink" Target="https://www.fishbase.se/summary/Scomberomorus-niphonius.html" TargetMode="External"/><Relationship Id="rIdConfidence133" Type="http://schemas.openxmlformats.org/officeDocument/2006/relationships/hyperlink" Target="https://www.marinespecies.org/aphia.php?p=taxdetails&amp;id=218481" TargetMode="External"/><Relationship Id="rIdConfidence134" Type="http://schemas.openxmlformats.org/officeDocument/2006/relationships/hyperlink" Target="https://www.marinespecies.org/aphia.php?p=taxdetails&amp;id=126089" TargetMode="External"/><Relationship Id="rIdConfidence135" Type="http://schemas.openxmlformats.org/officeDocument/2006/relationships/hyperlink" Target="https://www.marinespecies.org/aphia.php?p=taxdetails&amp;id=127027" TargetMode="External"/><Relationship Id="rIdConfidence136" Type="http://schemas.openxmlformats.org/officeDocument/2006/relationships/hyperlink" Target="https://www.fishbase.se/summary/Thunnus-albacares.html" TargetMode="External"/><Relationship Id="rIdConfidence137" Type="http://schemas.openxmlformats.org/officeDocument/2006/relationships/hyperlink" Target="https://www.marinespecies.org/aphia.php?p=taxdetails&amp;id=10193" TargetMode="External"/><Relationship Id="rIdConfidence138" Type="http://schemas.openxmlformats.org/officeDocument/2006/relationships/hyperlink" Target="https://www.fao.org/4/x2400e/x2400e54.pdf" TargetMode="External"/><Relationship Id="rIdConfidence139" Type="http://schemas.openxmlformats.org/officeDocument/2006/relationships/hyperlink" Target="https://link.springer.com/article/10.1111/j.1444-2906.2006.01227.x" TargetMode="External"/><Relationship Id="rIdConfidence140" Type="http://schemas.openxmlformats.org/officeDocument/2006/relationships/hyperlink" Target="https://cir.nii.ac.jp/crid/1360848656233896320" TargetMode="External"/><Relationship Id="rIdConfidence141" Type="http://schemas.openxmlformats.org/officeDocument/2006/relationships/hyperlink" Target="https://www.marinespecies.org/aphia.php?p=taxdetails&amp;id=136093" TargetMode="External"/><Relationship Id="rIdConfidence142" Type="http://schemas.openxmlformats.org/officeDocument/2006/relationships/hyperlink" Target="https://www.fao.org/4/r7066e/r7066e20.pdf" TargetMode="External"/><Relationship Id="rIdConfidence143" Type="http://schemas.openxmlformats.org/officeDocument/2006/relationships/hyperlink" Target="https://www.marinespecies.org/aphia.php?p=taxdetails&amp;id=1130" TargetMode="External"/><Relationship Id="rIdConfidence144" Type="http://schemas.openxmlformats.org/officeDocument/2006/relationships/hyperlink" Target="https://www.marinespecies.org/aphia.php?p=taxdetails&amp;id=218430" TargetMode="External"/><Relationship Id="rIdConfidence145" Type="http://schemas.openxmlformats.org/officeDocument/2006/relationships/hyperlink" Target="https://www.fishbase.se/summary/Megalaspis-cordyla.html" TargetMode="External"/><Relationship Id="rIdConfidence146" Type="http://schemas.openxmlformats.org/officeDocument/2006/relationships/hyperlink" Target="https://www.marinespecies.org/aphia.php?id=10196&amp;p=taxdetails" TargetMode="External"/><Relationship Id="rIdConfidence147" Type="http://schemas.openxmlformats.org/officeDocument/2006/relationships/hyperlink" Target="https://www.marinespecies.org/aphia.php?p=taxdetails&amp;id=159791" TargetMode="External"/><Relationship Id="rIdConfidence148" Type="http://schemas.openxmlformats.org/officeDocument/2006/relationships/hyperlink" Target="https://www.fao.org/4/x2400e/x2400e55.pdf" TargetMode="External"/><Relationship Id="rIdConfidence149" Type="http://schemas.openxmlformats.org/officeDocument/2006/relationships/hyperlink" Target="https://www.marinespecies.org/aphia.php?p=taxdetails&amp;id=219722" TargetMode="External"/><Relationship Id="rIdConfidence150" Type="http://schemas.openxmlformats.org/officeDocument/2006/relationships/hyperlink" Target="https://www.fishbase.se/summary/Thunnus-tonggol.html" TargetMode="External"/><Relationship Id="rIdConfidence151" Type="http://schemas.openxmlformats.org/officeDocument/2006/relationships/hyperlink" Target="https://www.marinespecies.org/aphia.php?p=taxdetails&amp;id=219716" TargetMode="External"/><Relationship Id="rIdConfidence152" Type="http://schemas.openxmlformats.org/officeDocument/2006/relationships/hyperlink" Target="https://www.fishbase.se/summary/Scomberomorus-guttatus.html" TargetMode="External"/><Relationship Id="rIdConfidence153" Type="http://schemas.openxmlformats.org/officeDocument/2006/relationships/hyperlink" Target="https://www.marinespecies.org/aphia.php?p=taxdetails&amp;id=280366" TargetMode="External"/><Relationship Id="rIdConfidence154" Type="http://schemas.openxmlformats.org/officeDocument/2006/relationships/hyperlink" Target="https://www.fishbase.se/summary/Cololabis-saira.html" TargetMode="External"/><Relationship Id="rIdConfidence155" Type="http://schemas.openxmlformats.org/officeDocument/2006/relationships/hyperlink" Target="https://www.marinespecies.org/aphia.php?p=taxdetails&amp;id=281160" TargetMode="External"/><Relationship Id="rIdConfidence156" Type="http://schemas.openxmlformats.org/officeDocument/2006/relationships/hyperlink" Target="https://www.fishbase.se/summary/Ilisha-elongata.html" TargetMode="External"/><Relationship Id="rIdConfidence157" Type="http://schemas.openxmlformats.org/officeDocument/2006/relationships/hyperlink" Target="https://www.marinespecies.org/aphia.php?p=taxdetails&amp;id=11713" TargetMode="External"/><Relationship Id="rIdConfidence158" Type="http://schemas.openxmlformats.org/officeDocument/2006/relationships/hyperlink" Target="https://www.marinespecies.org/aphia.php?p=taxdetails&amp;id=125571" TargetMode="External"/><Relationship Id="rIdConfidence159" Type="http://schemas.openxmlformats.org/officeDocument/2006/relationships/hyperlink" Target="https://www.marinespecies.org/aphia.php?p=taxdetails&amp;id=125685" TargetMode="External"/><Relationship Id="rIdConfidence160" Type="http://schemas.openxmlformats.org/officeDocument/2006/relationships/hyperlink" Target="https://www.marinespecies.org/aphia.php?p=taxdetails&amp;id=11707" TargetMode="External"/><Relationship Id="rIdConfidence161" Type="http://schemas.openxmlformats.org/officeDocument/2006/relationships/hyperlink" Target="https://www.marinespecies.org/aphia.php?p=taxdetails&amp;id=281271" TargetMode="External"/><Relationship Id="rIdConfidence162" Type="http://schemas.openxmlformats.org/officeDocument/2006/relationships/hyperlink" Target="https://www.marinespecies.org/aphia.php?p=taxdetails&amp;id=11782" TargetMode="External"/><Relationship Id="rIdConfidence163" Type="http://schemas.openxmlformats.org/officeDocument/2006/relationships/hyperlink" Target="https://www.marinespecies.org/aphia.php?p=taxdetails&amp;id=217663" TargetMode="External"/><Relationship Id="rIdConfidence164" Type="http://schemas.openxmlformats.org/officeDocument/2006/relationships/hyperlink" Target="https://www.marinespecies.org/aphia.php?p=taxdetails&amp;id=219708" TargetMode="External"/><Relationship Id="rIdConfidence165" Type="http://schemas.openxmlformats.org/officeDocument/2006/relationships/hyperlink" Target="https://www.fishbase.se/summary/Euthynnus-affinis.html" TargetMode="External"/><Relationship Id="rIdConfidence166" Type="http://schemas.openxmlformats.org/officeDocument/2006/relationships/hyperlink" Target="https://www.fishbase.se/summary/Netuma-thalassina.html" TargetMode="External"/><Relationship Id="rIdConfidence167" Type="http://schemas.openxmlformats.org/officeDocument/2006/relationships/hyperlink" Target="https://www.fishbase.se/country/CountrySpeciesSummary.php?c_code=458&amp;genusname=Arius&amp;speciesname=venosus" TargetMode="External"/><Relationship Id="rIdConfidence168" Type="http://schemas.openxmlformats.org/officeDocument/2006/relationships/hyperlink" Target="https://www.marinespecies.org/aphia.php?p=taxdetails&amp;id=105719" TargetMode="External"/><Relationship Id="rIdConfidence169" Type="http://schemas.openxmlformats.org/officeDocument/2006/relationships/hyperlink" Target="https://www.marinespecies.org/aphia.php?p=taxdetails&amp;id=126809" TargetMode="External"/><Relationship Id="rIdConfidence170" Type="http://schemas.openxmlformats.org/officeDocument/2006/relationships/hyperlink" Target="https://www.fishbase.se/summary/Elagatis-bipinnulata.html" TargetMode="External"/><Relationship Id="rIdConfidence171" Type="http://schemas.openxmlformats.org/officeDocument/2006/relationships/hyperlink" Target="https://www.marinespecies.org/aphia.php?p=taxdetails&amp;id=11718" TargetMode="External"/><Relationship Id="rIdConfidence172" Type="http://schemas.openxmlformats.org/officeDocument/2006/relationships/hyperlink" Target="https://www.fishbase.se/summary/Miichthys-miiuy.html" TargetMode="External"/><Relationship Id="rIdConfidence173" Type="http://schemas.openxmlformats.org/officeDocument/2006/relationships/hyperlink" Target="https://www.marinespecies.org/aphia.php?p=taxdetails&amp;id=218496" TargetMode="External"/><Relationship Id="rIdConfidence174" Type="http://schemas.openxmlformats.org/officeDocument/2006/relationships/hyperlink" Target="https://www.marinespecies.org/aphia.php?p=taxdetails&amp;id=125465" TargetMode="External"/><Relationship Id="rIdConfidence175" Type="http://schemas.openxmlformats.org/officeDocument/2006/relationships/hyperlink" Target="https://www.fishbase.se/summary/Coilia-nasus.html" TargetMode="External"/><Relationship Id="rIdConfidence176" Type="http://schemas.openxmlformats.org/officeDocument/2006/relationships/hyperlink" Target="validation_reports/36_1_South_China_Sea_SCS-2007_Northern_South_China_Sea_(2000s)/confidence_reassessment_20260930/existing_high_medium_input.json" TargetMode="External"/><Relationship Id="rIdConfidence177" Type="http://schemas.openxmlformats.org/officeDocument/2006/relationships/hyperlink" Target="https://www.marinespecies.org/aphia.php?p=taxdetails&amp;id=278124" TargetMode="External"/><Relationship Id="rIdConfidence178" Type="http://schemas.openxmlformats.org/officeDocument/2006/relationships/hyperlink" Target="https://www.fishbase.se/summary/Upeneus-moluccensis.html" TargetMode="External"/><Relationship Id="rIdConfidence179" Type="http://schemas.openxmlformats.org/officeDocument/2006/relationships/hyperlink" Target="https://www.fishbase.se/summary/Parupeneus-barberinus.html" TargetMode="External"/><Relationship Id="rIdConfidence180" Type="http://schemas.openxmlformats.org/officeDocument/2006/relationships/hyperlink" Target="https://www.marinespecies.org/aphia.php?p=taxdetails&amp;id=151459" TargetMode="External"/><Relationship Id="rIdConfidence181" Type="http://schemas.openxmlformats.org/officeDocument/2006/relationships/hyperlink" Target="https://www.marinespecies.org/aphia.php?p=taxdetails&amp;id=126098" TargetMode="External"/><Relationship Id="rIdConfidence182" Type="http://schemas.openxmlformats.org/officeDocument/2006/relationships/hyperlink" Target="https://www.marinespecies.org/aphia.php?p=taxdetails&amp;id=125561" TargetMode="External"/><Relationship Id="rIdConfidence183" Type="http://schemas.openxmlformats.org/officeDocument/2006/relationships/hyperlink" Target="https://www.marinespecies.org/aphia.php?p=taxdetails&amp;id=105689" TargetMode="External"/><Relationship Id="rIdConfidence184" Type="http://schemas.openxmlformats.org/officeDocument/2006/relationships/hyperlink" Target="https://www.marinespecies.org/aphia.php?p=taxdetails&amp;id=218182" TargetMode="External"/><Relationship Id="rIdConfidence185" Type="http://schemas.openxmlformats.org/officeDocument/2006/relationships/hyperlink" Target="https://fishesofaustralia.net.au/home/species/3716" TargetMode="External"/><Relationship Id="rIdConfidence186" Type="http://schemas.openxmlformats.org/officeDocument/2006/relationships/hyperlink" Target="https://www.marinespecies.org/aphia.php?p=taxdetails&amp;id=125464" TargetMode="External"/><Relationship Id="rIdConfidence187" Type="http://schemas.openxmlformats.org/officeDocument/2006/relationships/hyperlink" Target="https://www.fishbase.se/summary/Chirocentrus-dorab.html" TargetMode="External"/><Relationship Id="rIdConfidence188" Type="http://schemas.openxmlformats.org/officeDocument/2006/relationships/hyperlink" Target="https://www.fao.org/4/an020e/an020e.pdf" TargetMode="External"/><Relationship Id="rIdConfidence189" Type="http://schemas.openxmlformats.org/officeDocument/2006/relationships/hyperlink" Target="https://www.marinespecies.org/aphia.php?p=taxdetails&amp;id=127028" TargetMode="External"/><Relationship Id="rIdConfidence190" Type="http://schemas.openxmlformats.org/officeDocument/2006/relationships/hyperlink" Target="https://www.fishbase.se/summary/Thunnus-obesus.html" TargetMode="External"/><Relationship Id="rIdConfidence191" Type="http://schemas.openxmlformats.org/officeDocument/2006/relationships/hyperlink" Target="https://www.marinespecies.org/aphia.php?p=taxdetails&amp;id=106669" TargetMode="External"/><Relationship Id="rIdConfidence192" Type="http://schemas.openxmlformats.org/officeDocument/2006/relationships/hyperlink" Target="https://www.marinespecies.org/aphia.php?p=taxdetails&amp;id=210377" TargetMode="External"/><Relationship Id="rIdConfidence193" Type="http://schemas.openxmlformats.org/officeDocument/2006/relationships/hyperlink" Target="https://www.fao.org/docrep/pdf/009/y0870e/y0870e43.pdf" TargetMode="External"/><Relationship Id="rIdConfidence194" Type="http://schemas.openxmlformats.org/officeDocument/2006/relationships/hyperlink" Target="https://www.marinespecies.org/aphia.php?p=taxdetails&amp;id=159646" TargetMode="External"/><Relationship Id="rIdConfidence195" Type="http://schemas.openxmlformats.org/officeDocument/2006/relationships/hyperlink" Target="https://www.fishbase.se/summary/Selar-crumenophthalmus.html" TargetMode="External"/><Relationship Id="rIdConfidence196" Type="http://schemas.openxmlformats.org/officeDocument/2006/relationships/hyperlink" Target="https://www.marinespecies.org/aphia.php?p=taxdetails&amp;id=125721" TargetMode="External"/><Relationship Id="rIdConfidence197" Type="http://schemas.openxmlformats.org/officeDocument/2006/relationships/hyperlink" Target="https://www.fishbase.se/summary/Sardinella-aurita.html" TargetMode="External"/><Relationship Id="rIdConfidence198" Type="http://schemas.openxmlformats.org/officeDocument/2006/relationships/hyperlink" Target="https://www.marinespecies.org/aphia.php?p=taxdetails&amp;id=135224" TargetMode="External"/><Relationship Id="rIdConfidence199" Type="http://schemas.openxmlformats.org/officeDocument/2006/relationships/hyperlink" Target="https://www.marinespecies.org/aphia.php?p=taxdetails&amp;id=206924" TargetMode="External"/><Relationship Id="rIdConfidence200" Type="http://schemas.openxmlformats.org/officeDocument/2006/relationships/hyperlink" Target="https://www.fishbase.se/identification/SpeciesList.php?genus=Stolephorus" TargetMode="External"/><Relationship Id="rIdConfidence201" Type="http://schemas.openxmlformats.org/officeDocument/2006/relationships/hyperlink" Target="https://www.marinespecies.org/aphia.php?p=taxdetails&amp;id=210646" TargetMode="External"/><Relationship Id="rIdConfidence202" Type="http://schemas.openxmlformats.org/officeDocument/2006/relationships/hyperlink" Target="https://www.marinespecies.org/aphia.php?p=taxdetails&amp;id=106727" TargetMode="External"/><Relationship Id="rIdConfidence203" Type="http://schemas.openxmlformats.org/officeDocument/2006/relationships/hyperlink" Target="https://www.marinespecies.org/aphia.php?p=taxdetails&amp;id=270328" TargetMode="External"/><Relationship Id="rIdConfidence204" Type="http://schemas.openxmlformats.org/officeDocument/2006/relationships/hyperlink" Target="https://www.marinespecies.org/aphia.php?p=taxdetails&amp;id=278133" TargetMode="External"/><Relationship Id="rIdConfidence205" Type="http://schemas.openxmlformats.org/officeDocument/2006/relationships/hyperlink" Target="https://www.marinespecies.org/aphia.php?p=taxdetails&amp;id=287187" TargetMode="External"/><Relationship Id="rIdConfidence206" Type="http://schemas.openxmlformats.org/officeDocument/2006/relationships/hyperlink" Target="https://www.marinespecies.org/aphia.php?p=taxdetails&amp;id=159804" TargetMode="External"/><Relationship Id="rIdConfidence207" Type="http://schemas.openxmlformats.org/officeDocument/2006/relationships/hyperlink" Target="https://www.fao.org/4/x2401e/x2401e28.pdf" TargetMode="External"/><Relationship Id="rIdConfidence208" Type="http://schemas.openxmlformats.org/officeDocument/2006/relationships/hyperlink" Target="https://www.fao.org/4/t0046e/t0046e00.htm" TargetMode="External"/><Relationship Id="rIdConfidence209" Type="http://schemas.openxmlformats.org/officeDocument/2006/relationships/hyperlink" Target="https://www.fao.org/4/t0046e/T0046E06.pdf" TargetMode="External"/><Relationship Id="rIdConfidence210" Type="http://schemas.openxmlformats.org/officeDocument/2006/relationships/hyperlink" Target="https://www.fao.org/4/t0046e/T0046E09.pdf" TargetMode="External"/><Relationship Id="rIdConfidence211" Type="http://schemas.openxmlformats.org/officeDocument/2006/relationships/hyperlink" Target="https://www.fishbase.se/summary/Caesio-cuning.html" TargetMode="External"/><Relationship Id="rIdConfidence212" Type="http://schemas.openxmlformats.org/officeDocument/2006/relationships/hyperlink" Target="https://www.marinespecies.org/aphia.php?p=taxdetails&amp;id=107113" TargetMode="External"/><Relationship Id="rIdConfidence213" Type="http://schemas.openxmlformats.org/officeDocument/2006/relationships/hyperlink" Target="https://www.fishbase.se/summary/Cantherhines-pardalis.html" TargetMode="External"/><Relationship Id="rIdConfidence214" Type="http://schemas.openxmlformats.org/officeDocument/2006/relationships/hyperlink" Target="https://www.fishbase.se/summary/Aluterus-monoceros.html" TargetMode="External"/><Relationship Id="rIdConfidence215" Type="http://schemas.openxmlformats.org/officeDocument/2006/relationships/hyperlink" Target="https://www.marinespecies.org/aphia.php?p=taxdetails&amp;id=218426" TargetMode="External"/><Relationship Id="rIdConfidence216" Type="http://schemas.openxmlformats.org/officeDocument/2006/relationships/hyperlink" Target="https://www.fishbase.se/summary/Decapterus-macrosoma.html" TargetMode="External"/><Relationship Id="rIdConfidence217" Type="http://schemas.openxmlformats.org/officeDocument/2006/relationships/hyperlink" Target="https://www.marinespecies.org/aphia.php?p=taxdetails&amp;id=218414" TargetMode="External"/><Relationship Id="rIdConfidence218" Type="http://schemas.openxmlformats.org/officeDocument/2006/relationships/hyperlink" Target="https://www.fishbase.se/summary/Caranx-ignobilis.html" TargetMode="External"/><Relationship Id="rIdConfidence219" Type="http://schemas.openxmlformats.org/officeDocument/2006/relationships/hyperlink" Target="https://downloads.regulations.gov/NOAA-NMFS-2015-0056-0002/content.pdf" TargetMode="External"/><Relationship Id="rIdConfidence220" Type="http://schemas.openxmlformats.org/officeDocument/2006/relationships/hyperlink" Target="https://www.marinespecies.org/aphia.php?p=taxdetails&amp;id=105751" TargetMode="External"/><Relationship Id="rIdConfidence221" Type="http://schemas.openxmlformats.org/officeDocument/2006/relationships/hyperlink" Target="https://www.marinespecies.org/aphia.php?id=105853&amp;p=taxdetails" TargetMode="External"/><Relationship Id="rIdConfidence222" Type="http://schemas.openxmlformats.org/officeDocument/2006/relationships/hyperlink" Target="https://www.marinespecies.org/aphia.php?p=taxdetails&amp;id=105752" TargetMode="External"/><Relationship Id="rIdConfidence223" Type="http://schemas.openxmlformats.org/officeDocument/2006/relationships/hyperlink" Target="https://www.fishbase.se/identification/SpeciesList.php?genus=Himantura" TargetMode="External"/><Relationship Id="rIdConfidence224" Type="http://schemas.openxmlformats.org/officeDocument/2006/relationships/hyperlink" Target="https://www.fishbase.se/summary/Himantura-uarnak.html" TargetMode="External"/><Relationship Id="rIdConfidence225" Type="http://schemas.openxmlformats.org/officeDocument/2006/relationships/hyperlink" Target="https://www.fishbase.se/summary/Conger-myriaster.html" TargetMode="External"/><Relationship Id="rIdConfidence226" Type="http://schemas.openxmlformats.org/officeDocument/2006/relationships/hyperlink" Target="https://www.fao.org/docrep/pdf/009/ac480e/ac480e10.pdf" TargetMode="External"/><Relationship Id="rIdConfidence227" Type="http://schemas.openxmlformats.org/officeDocument/2006/relationships/hyperlink" Target="https://www.marinespecies.org/aphia.php?p=taxdetails&amp;id=281273" TargetMode="External"/><Relationship Id="rIdConfidence228" Type="http://schemas.openxmlformats.org/officeDocument/2006/relationships/hyperlink" Target="https://www.fishbase.se/summary/Larimichthys-polyactis.html" TargetMode="External"/><Relationship Id="rIdConfidence229" Type="http://schemas.openxmlformats.org/officeDocument/2006/relationships/hyperlink" Target="https://www.marinespecies.org/aphia.php?p=taxdetails&amp;id=125718" TargetMode="External"/><Relationship Id="rIdConfidence230" Type="http://schemas.openxmlformats.org/officeDocument/2006/relationships/hyperlink" Target="https://www.fishbase.se/identification/SpeciesList.php?genus=Dussumieria" TargetMode="External"/><Relationship Id="rIdConfidence231" Type="http://schemas.openxmlformats.org/officeDocument/2006/relationships/hyperlink" Target="https://www.marinespecies.org/aphia.php?p=taxdetails&amp;id=138477" TargetMode="External"/><Relationship Id="rIdConfidence232" Type="http://schemas.openxmlformats.org/officeDocument/2006/relationships/hyperlink" Target="https://www.fishbase.se/summary/Paralichthys-olivaceus.html" TargetMode="External"/><Relationship Id="rIdConfidence233" Type="http://schemas.openxmlformats.org/officeDocument/2006/relationships/hyperlink" Target="https://www.marinespecies.org/aphia.php?p=taxdetails&amp;id=273765" TargetMode="External"/><Relationship Id="rIdConfidence234" Type="http://schemas.openxmlformats.org/officeDocument/2006/relationships/hyperlink" Target="https://www.marinespecies.org/aphia.php?p=taxdetails&amp;id=1061754" TargetMode="External"/><Relationship Id="rIdConfidence235" Type="http://schemas.openxmlformats.org/officeDocument/2006/relationships/hyperlink" Target="https://www.fishbase.se/identification/SpeciesList.php?famcode=504" TargetMode="External"/><Relationship Id="rIdConfidence236" Type="http://schemas.openxmlformats.org/officeDocument/2006/relationships/hyperlink" Target="https://www.fishbase.se/summary/1850" TargetMode="External"/><Relationship Id="rIdConfidence237" Type="http://schemas.openxmlformats.org/officeDocument/2006/relationships/hyperlink" Target="https://www.fishbase.se/summary/Lethrinus-miniatus.html" TargetMode="External"/><Relationship Id="rIdConfidence238" Type="http://schemas.openxmlformats.org/officeDocument/2006/relationships/hyperlink" Target="https://www.fishbase.se/identification/SpeciesList.php?genus=Lethrinus" TargetMode="External"/><Relationship Id="rIdConfidence239" Type="http://schemas.openxmlformats.org/officeDocument/2006/relationships/hyperlink" Target="https://www.marinespecies.org/aphia.php?p=taxdetails&amp;id=125551" TargetMode="External"/><Relationship Id="rIdConfidence240" Type="http://schemas.openxmlformats.org/officeDocument/2006/relationships/hyperlink" Target="https://www.fao.org/4/y5398e/y5398e03.pdf" TargetMode="External"/><Relationship Id="rIdConfidence241" Type="http://schemas.openxmlformats.org/officeDocument/2006/relationships/hyperlink" Target="https://www.marinespecies.org/aphia.php?p=taxdetails&amp;id=159259" TargetMode="External"/><Relationship Id="rIdConfidence242" Type="http://schemas.openxmlformats.org/officeDocument/2006/relationships/hyperlink" Target="https://www.fishbase.se/summary/Tylosurus-crocodilus.html" TargetMode="External"/><Relationship Id="rIdConfidence243" Type="http://schemas.openxmlformats.org/officeDocument/2006/relationships/hyperlink" Target="https://www.marinespecies.org/aphia.php?p=taxdetails&amp;id=273807" TargetMode="External"/><Relationship Id="rIdConfidence244" Type="http://schemas.openxmlformats.org/officeDocument/2006/relationships/hyperlink" Target="https://www.fishbase.se/summary/Rastrelliger-brachysoma.html" TargetMode="External"/><Relationship Id="rIdConfidence245" Type="http://schemas.openxmlformats.org/officeDocument/2006/relationships/hyperlink" Target="https://www.marinespecies.org/aphia.php?p=taxdetails&amp;id=218200" TargetMode="External"/><Relationship Id="rIdConfidence246" Type="http://schemas.openxmlformats.org/officeDocument/2006/relationships/hyperlink" Target="https://www.marinespecies.org/aphia.php?p=taxdetails&amp;id=1888072" TargetMode="External"/><Relationship Id="rIdConfidence247" Type="http://schemas.openxmlformats.org/officeDocument/2006/relationships/hyperlink" Target="https://www.fishbase.se/summary/Scyris-indica.html" TargetMode="External"/><Relationship Id="rIdConfidence248" Type="http://schemas.openxmlformats.org/officeDocument/2006/relationships/hyperlink" Target="https://www.marinespecies.org/aphia.php?p=taxdetails&amp;id=127075" TargetMode="External"/><Relationship Id="rIdConfidence249" Type="http://schemas.openxmlformats.org/officeDocument/2006/relationships/hyperlink" Target="https://www.fishbase.se/summary/Oxyconger-leptognathus.html" TargetMode="External"/><Relationship Id="rIdConfidence250" Type="http://schemas.openxmlformats.org/officeDocument/2006/relationships/hyperlink" Target="https://www.marinespecies.org/aphia.php?p=taxdetails&amp;id=105743" TargetMode="External"/><Relationship Id="rIdConfidence251" Type="http://schemas.openxmlformats.org/officeDocument/2006/relationships/hyperlink" Target="https://www.fishbase.se/summary/Isurus-paucus.html" TargetMode="External"/><Relationship Id="rIdConfidence252" Type="http://schemas.openxmlformats.org/officeDocument/2006/relationships/hyperlink" Target="https://www.fishbase.se/identification/SpeciesList.php?genus=Isurus" TargetMode="External"/><Relationship Id="rIdConfidence253" Type="http://schemas.openxmlformats.org/officeDocument/2006/relationships/hyperlink" Target="https://www.marinespecies.org/aphia.php?p=taxdetails&amp;id=126036" TargetMode="External"/><Relationship Id="rIdConfidence254" Type="http://schemas.openxmlformats.org/officeDocument/2006/relationships/hyperlink" Target="https://www.fishbase.se/identification/SpeciesList.php?genus=Upeneus" TargetMode="External"/><Relationship Id="rIdConfidence255" Type="http://schemas.openxmlformats.org/officeDocument/2006/relationships/hyperlink" Target="https://www.fishbase.se/summary/Upeneus-taeniopterus.html" TargetMode="External"/><Relationship Id="rIdConfidence256" Type="http://schemas.openxmlformats.org/officeDocument/2006/relationships/hyperlink" Target="https://www.fishbase.se/identification/SpeciesList.php?genus=Pomadasys" TargetMode="External"/><Relationship Id="rIdConfidence257" Type="http://schemas.openxmlformats.org/officeDocument/2006/relationships/hyperlink" Target="https://www.fishbase.se/summary/Pomadasys-quadrilineatus.html" TargetMode="External"/><Relationship Id="rIdConfidence258" Type="http://schemas.openxmlformats.org/officeDocument/2006/relationships/hyperlink" Target="https://www.fishbase.se/summary/Pomadasys-argenteus.html" TargetMode="External"/><Relationship Id="rIdConfidence259" Type="http://schemas.openxmlformats.org/officeDocument/2006/relationships/hyperlink" Target="https://www.jstage.jst.go.jp/article/jsfo/85/3/85_153/_pdf" TargetMode="External"/><Relationship Id="rIdConfidence260" Type="http://schemas.openxmlformats.org/officeDocument/2006/relationships/hyperlink" Target="https://www.marinespecies.org/aphia.php?p=taxdetails&amp;id=217452" TargetMode="External"/><Relationship Id="rIdConfidence261" Type="http://schemas.openxmlformats.org/officeDocument/2006/relationships/hyperlink" Target="https://www.fishbase.se/summary/Sardinops-sagax.html" TargetMode="External"/><Relationship Id="rIdConfidence262" Type="http://schemas.openxmlformats.org/officeDocument/2006/relationships/hyperlink" Target="https://www.marinespecies.org/aphia.php?p=taxdetails&amp;id=126419" TargetMode="External"/><Relationship Id="rIdConfidence263" Type="http://schemas.openxmlformats.org/officeDocument/2006/relationships/hyperlink" Target="https://www.fishbase.se/summary/Dussumieria-acuta.html" TargetMode="External"/><Relationship Id="rIdConfidence264" Type="http://schemas.openxmlformats.org/officeDocument/2006/relationships/hyperlink" Target="https://www.marinespecies.org/aphia.php?p=taxdetails&amp;id=273860" TargetMode="External"/><Relationship Id="rIdConfidence265" Type="http://schemas.openxmlformats.org/officeDocument/2006/relationships/hyperlink" Target="https://www.marinespecies.org/aphia.php?p=taxdetails&amp;id=125518" TargetMode="External"/><Relationship Id="rIdConfidence266" Type="http://schemas.openxmlformats.org/officeDocument/2006/relationships/hyperlink" Target="https://www.fao.org/docrep/pdf/009/y0770e/y0770e02.pdf" TargetMode="External"/><Relationship Id="rIdConfidence267" Type="http://schemas.openxmlformats.org/officeDocument/2006/relationships/hyperlink" Target="https://fishesofaustralia.net.au/home/species/580" TargetMode="External"/><Relationship Id="rIdConfidence268" Type="http://schemas.openxmlformats.org/officeDocument/2006/relationships/hyperlink" Target="https://www.marinespecies.org/aphia.php?p=taxdetails&amp;id=280223" TargetMode="External"/><Relationship Id="rIdConfidence269" Type="http://schemas.openxmlformats.org/officeDocument/2006/relationships/hyperlink" Target="https://www.fishbase.se/summary/Clupanodon-thrissa.html" TargetMode="External"/><Relationship Id="rIdConfidence270" Type="http://schemas.openxmlformats.org/officeDocument/2006/relationships/hyperlink" Target="https://www.marinespecies.org/aphia.php?p=taxdetails&amp;id=127020" TargetMode="External"/><Relationship Id="rIdConfidence271" Type="http://schemas.openxmlformats.org/officeDocument/2006/relationships/hyperlink" Target="https://www.fishbase.se/summary/Rastrelliger-kanagurta.html" TargetMode="External"/><Relationship Id="rIdConfidence272" Type="http://schemas.openxmlformats.org/officeDocument/2006/relationships/hyperlink" Target="https://www.fishbase.se/summary/Parastromateus-niger.html" TargetMode="External"/><Relationship Id="rIdConfidence273" Type="http://schemas.openxmlformats.org/officeDocument/2006/relationships/hyperlink" Target="https://www.marinespecies.org/aphia.php?p=taxdetails&amp;id=282196" TargetMode="External"/><Relationship Id="rIdConfidence274" Type="http://schemas.openxmlformats.org/officeDocument/2006/relationships/hyperlink" Target="https://www.fao.org/docrep/pdf/009/ac480e/ac480e06.pdf" TargetMode="External"/><Relationship Id="rIdConfidence275" Type="http://schemas.openxmlformats.org/officeDocument/2006/relationships/hyperlink" Target="https://www.fao.org/docrep/pdf/009/ac480e/ac480e07.pdf" TargetMode="External"/><Relationship Id="rIdConfidence276" Type="http://schemas.openxmlformats.org/officeDocument/2006/relationships/hyperlink" Target="https://www.marinespecies.org/aphia.php?p=taxdetails&amp;id=125567" TargetMode="External"/><Relationship Id="rIdConfidence277" Type="http://schemas.openxmlformats.org/officeDocument/2006/relationships/hyperlink" Target="https://www.marinespecies.org/aphia.php?p=taxdetails&amp;id=218497" TargetMode="External"/><Relationship Id="rIdConfidence278" Type="http://schemas.openxmlformats.org/officeDocument/2006/relationships/hyperlink" Target="https://www.marinespecies.org/aphia.php?p=taxdetails&amp;id=151453" TargetMode="External"/><Relationship Id="rIdConfidence279" Type="http://schemas.openxmlformats.org/officeDocument/2006/relationships/hyperlink" Target="https://www.marinespecies.org/aphia.php?p=taxdetails&amp;id=126989" TargetMode="External"/><Relationship Id="rIdConfidence280" Type="http://schemas.openxmlformats.org/officeDocument/2006/relationships/hyperlink" Target="https://www.fishbase.se/summary/Canthigaster-rivulata.html" TargetMode="External"/><Relationship Id="rIdConfidence281" Type="http://schemas.openxmlformats.org/officeDocument/2006/relationships/hyperlink" Target="https://www.fishbase.se/summary/Mugil-cephalus.html" TargetMode="External"/><Relationship Id="rIdConfidence282" Type="http://schemas.openxmlformats.org/officeDocument/2006/relationships/hyperlink" Target="https://www.fishbase.se/summary/Planiliza-haematocheilus.html" TargetMode="External"/><Relationship Id="rIdConfidence283" Type="http://schemas.openxmlformats.org/officeDocument/2006/relationships/hyperlink" Target="https://www.fishbase.se/summary/10310" TargetMode="External"/><Relationship Id="rIdConfidence284" Type="http://schemas.openxmlformats.org/officeDocument/2006/relationships/hyperlink" Target="https://www.fishbase.se/summary/Platycephalus-indicus.html" TargetMode="External"/><Relationship Id="rIdConfidence285" Type="http://schemas.openxmlformats.org/officeDocument/2006/relationships/hyperlink" Target="https://www.fishbase.se/summary/Pseudorhombus-pentophthalmus.html" TargetMode="External"/><Relationship Id="rIdConfidence286" Type="http://schemas.openxmlformats.org/officeDocument/2006/relationships/hyperlink" Target="https://www.marinespecies.org/aphia.php?p=taxdetails&amp;id=273302" TargetMode="External"/><Relationship Id="rIdConfidence287" Type="http://schemas.openxmlformats.org/officeDocument/2006/relationships/hyperlink" Target="https://www.fishbase.se/summary/Trachurus-japonicus.html" TargetMode="External"/><Relationship Id="rIdConfidence288" Type="http://schemas.openxmlformats.org/officeDocument/2006/relationships/hyperlink" Target="https://www.marinespecies.org/aphia.php?p=taxdetails&amp;id=210375" TargetMode="External"/><Relationship Id="rIdConfidence289" Type="http://schemas.openxmlformats.org/officeDocument/2006/relationships/hyperlink" Target="https://www.marinespecies.org/aphia.php?p=taxdetails&amp;id=105740" TargetMode="External"/><Relationship Id="rIdConfidence290" Type="http://schemas.openxmlformats.org/officeDocument/2006/relationships/hyperlink" Target="https://www.fishbase.se/identification/SpeciesList.php?genus=Alopias" TargetMode="External"/><Relationship Id="rIdConfidence291" Type="http://schemas.openxmlformats.org/officeDocument/2006/relationships/hyperlink" Target="https://www.fishbase.se/summary/Alopias-superciliosus.html" TargetMode="External"/><Relationship Id="rIdConfidence292" Type="http://schemas.openxmlformats.org/officeDocument/2006/relationships/hyperlink" Target="https://www.fishbase.se/summary/Alopias-pelagicus.html" TargetMode="External"/><Relationship Id="rIdConfidence293" Type="http://schemas.openxmlformats.org/officeDocument/2006/relationships/hyperlink" Target="https://www.fishbase.se/summary/Alopias-vulpinus.html" TargetMode="External"/><Relationship Id="rIdConfidence294" Type="http://schemas.openxmlformats.org/officeDocument/2006/relationships/hyperlink" Target="https://www.marinespecies.org/aphia.php?p=taxdetails&amp;id=126816" TargetMode="External"/><Relationship Id="rIdConfidence295" Type="http://schemas.openxmlformats.org/officeDocument/2006/relationships/hyperlink" Target="https://www.fishbase.se/summary/Seriola-dumerili.html" TargetMode="External"/><Relationship Id="rIdConfidence296" Type="http://schemas.openxmlformats.org/officeDocument/2006/relationships/hyperlink" Target="https://www.marinespecies.org/aphia.php?p=taxdetails&amp;id=272273" TargetMode="External"/><Relationship Id="rIdConfidence297" Type="http://schemas.openxmlformats.org/officeDocument/2006/relationships/hyperlink" Target="https://www.fishbase.se/summary/Sardinella-lemuru.html" TargetMode="External"/><Relationship Id="rIdConfidence298" Type="http://schemas.openxmlformats.org/officeDocument/2006/relationships/hyperlink" Target="https://www.marinespecies.org/aphia.php?p=taxdetails&amp;id=217864" TargetMode="External"/><Relationship Id="rIdConfidence299" Type="http://schemas.openxmlformats.org/officeDocument/2006/relationships/hyperlink" Target="https://www.fishbase.se/summary/Cypselurus-poecilopterus.html" TargetMode="External"/><Relationship Id="rIdConfidence300" Type="http://schemas.openxmlformats.org/officeDocument/2006/relationships/hyperlink" Target="https://www.marinespecies.org/aphia.php?p=taxdetails&amp;id=762806" TargetMode="External"/><Relationship Id="rIdConfidence301" Type="http://schemas.openxmlformats.org/officeDocument/2006/relationships/hyperlink" Target="https://www.marinespecies.org/aphia.php?p=taxdetails&amp;id=106923" TargetMode="External"/><Relationship Id="rIdConfidence302" Type="http://schemas.openxmlformats.org/officeDocument/2006/relationships/hyperlink" Target="https://www.fishbase.se/identification/SpeciesList.php?genus=Terapon" TargetMode="External"/><Relationship Id="rIdConfidence303" Type="http://schemas.openxmlformats.org/officeDocument/2006/relationships/hyperlink" Target="https://www.marinespecies.org/aphia.php?p=taxdetails&amp;id=101" TargetMode="External"/><Relationship Id="rIdConfidence304" Type="http://schemas.openxmlformats.org/officeDocument/2006/relationships/hyperlink" Target="https://www.fishbase.se/summary/Chelidonichthys-kumu.html" TargetMode="External"/><Relationship Id="rIdConfidence305" Type="http://schemas.openxmlformats.org/officeDocument/2006/relationships/hyperlink" Target="https://www.marinespecies.org/aphia.php?p=taxdetails&amp;id=272269" TargetMode="External"/><Relationship Id="rIdConfidence306" Type="http://schemas.openxmlformats.org/officeDocument/2006/relationships/hyperlink" Target="https://www.fishbase.se/summary/Sardinella-fimbriata.html" TargetMode="External"/><Relationship Id="rIdConfidence307" Type="http://schemas.openxmlformats.org/officeDocument/2006/relationships/hyperlink" Target="https://www.marinespecies.org/aphia.php?p=taxdetails&amp;id=277902" TargetMode="External"/><Relationship Id="rIdConfidence308" Type="http://schemas.openxmlformats.org/officeDocument/2006/relationships/hyperlink" Target="https://www.fishbase.se/identification/SpeciesList.php?genus=Plotosus" TargetMode="External"/><Relationship Id="rIdConfidence309" Type="http://schemas.openxmlformats.org/officeDocument/2006/relationships/hyperlink" Target="https://fishbase.se/summary/65357" TargetMode="External"/><Relationship Id="rIdConfidence310" Type="http://schemas.openxmlformats.org/officeDocument/2006/relationships/hyperlink" Target="https://www.marinespecies.org/aphia.php?p=taxdetails&amp;id=219715" TargetMode="External"/><Relationship Id="rIdConfidence311" Type="http://schemas.openxmlformats.org/officeDocument/2006/relationships/hyperlink" Target="https://www.fishbase.se/summary/Scomber-australasicus.html" TargetMode="External"/><Relationship Id="rIdConfidence312" Type="http://schemas.openxmlformats.org/officeDocument/2006/relationships/hyperlink" Target="https://www.marinespecies.org/aphia.php?p=taxdetails&amp;id=10297" TargetMode="External"/><Relationship Id="rIdConfidence313" Type="http://schemas.openxmlformats.org/officeDocument/2006/relationships/hyperlink" Target="https://www.marinespecies.org/aphia.php?p=taxdetails&amp;id=51" TargetMode="External"/><Relationship Id="rIdConfidence314" Type="http://schemas.openxmlformats.org/officeDocument/2006/relationships/hyperlink" Target="https://www.marinespecies.org/aphia.php?p=taxdetails&amp;id=218381" TargetMode="External"/><Relationship Id="rIdConfidence315" Type="http://schemas.openxmlformats.org/officeDocument/2006/relationships/hyperlink" Target="https://www.fishbase.se/summary/Lactarius-lactarius.html" TargetMode="External"/><Relationship Id="rIdConfidence316" Type="http://schemas.openxmlformats.org/officeDocument/2006/relationships/hyperlink" Target="https://www.marinespecies.org/aphia.php?p=taxdetails&amp;id=106818" TargetMode="External"/><Relationship Id="rIdConfidence317" Type="http://schemas.openxmlformats.org/officeDocument/2006/relationships/hyperlink" Target="https://www.fishbase.se/summary/12566" TargetMode="External"/><Relationship Id="rIdConfidence318" Type="http://schemas.openxmlformats.org/officeDocument/2006/relationships/hyperlink" Target="https://www.fishbase.se/summary/bothus-mancus" TargetMode="External"/><Relationship Id="rIdConfidence319" Type="http://schemas.openxmlformats.org/officeDocument/2006/relationships/hyperlink" Target="https://www.marinespecies.org/aphia.php?p=taxdetails&amp;id=218515" TargetMode="External"/><Relationship Id="rIdConfidence320" Type="http://schemas.openxmlformats.org/officeDocument/2006/relationships/hyperlink" Target="https://www.marinespecies.org/aphia.php?p=taxdetails&amp;id=127006" TargetMode="External"/><Relationship Id="rIdConfidence321" Type="http://schemas.openxmlformats.org/officeDocument/2006/relationships/hyperlink" Target="https://www.fishbase.se/summary/Rachycentron-canadum.html" TargetMode="External"/><Relationship Id="rIdConfidence322" Type="http://schemas.openxmlformats.org/officeDocument/2006/relationships/hyperlink" Target="https://www.fao.org/4/t0438e/t0438e21.pdf" TargetMode="External"/><Relationship Id="rIdConfidence323" Type="http://schemas.openxmlformats.org/officeDocument/2006/relationships/hyperlink" Target="https://www.st.nmfs.noaa.gov/spo/SPO/tr82opt.pdf" TargetMode="External"/><Relationship Id="rIdConfidence324" Type="http://schemas.openxmlformats.org/officeDocument/2006/relationships/hyperlink" Target="https://researcharchive.calacademy.org/research/ichthyology/catalog/fishcatget.asp?family=Istiophoridae&amp;tbl=species" TargetMode="External"/><Relationship Id="rIdConfidence325" Type="http://schemas.openxmlformats.org/officeDocument/2006/relationships/hyperlink" Target="https://www.fishbase.se/summary/Sebastapistes-cyanostigma.html" TargetMode="External"/><Relationship Id="rIdConfidence326" Type="http://schemas.openxmlformats.org/officeDocument/2006/relationships/hyperlink" Target="https://www.marinespecies.org/aphia.php?p=taxdetails&amp;id=106930" TargetMode="External"/><Relationship Id="rIdConfidence327" Type="http://schemas.openxmlformats.org/officeDocument/2006/relationships/hyperlink" Target="https://www.marinespecies.org/aphia.php?p=taxdetails&amp;id=125537" TargetMode="External"/><Relationship Id="rIdConfidence328" Type="http://schemas.openxmlformats.org/officeDocument/2006/relationships/hyperlink" Target="https://fishbase.se/Country/CountryChecklist.php?c_code=156&amp;cpresence=Reported&amp;ext_CL=on&amp;ext_pic=on&amp;resultPage=14&amp;sortby=alpha2&amp;trpp=50&amp;vhabitat=fresh&amp;what=list" TargetMode="External"/><Relationship Id="rIdConfidence329" Type="http://schemas.openxmlformats.org/officeDocument/2006/relationships/hyperlink" Target="https://agris.fao.org/search/zh/records/647481a12d3f560f80b1a875" TargetMode="External"/><Relationship Id="rIdConfidence330" Type="http://schemas.openxmlformats.org/officeDocument/2006/relationships/hyperlink" Target="https://www.marinespecies.org/aphia.php?p=taxdetails&amp;id=106822" TargetMode="External"/><Relationship Id="rIdConfidence331" Type="http://schemas.openxmlformats.org/officeDocument/2006/relationships/hyperlink" Target="https://www.fishbase.se/identification/SpeciesList.php?genus=Cynoglossus" TargetMode="External"/><Relationship Id="rIdConfidence332" Type="http://schemas.openxmlformats.org/officeDocument/2006/relationships/hyperlink" Target="https://www.fishbase.se/summary/Cynoglossus-arel.html" TargetMode="External"/><Relationship Id="rIdConfidence333" Type="http://schemas.openxmlformats.org/officeDocument/2006/relationships/hyperlink" Target="https://www.fao.org/4/x2400e/x2400e12.pdf" TargetMode="External"/><Relationship Id="rIdConfidence334" Type="http://schemas.openxmlformats.org/officeDocument/2006/relationships/hyperlink" Target="https://www.marinespecies.org/aphia.php?p=taxdetails&amp;id=218438" TargetMode="External"/><Relationship Id="rIdConfidence335" Type="http://schemas.openxmlformats.org/officeDocument/2006/relationships/hyperlink" Target="https://www.fishbase.se/summary/Seriolina-nigrofasciata.html" TargetMode="External"/><Relationship Id="rIdConfidence336" Type="http://schemas.openxmlformats.org/officeDocument/2006/relationships/hyperlink" Target="https://www.fishbase.se/summary/Eleutheronema-tetradactylum.html" TargetMode="External"/><Relationship Id="rIdConfidence337" Type="http://schemas.openxmlformats.org/officeDocument/2006/relationships/hyperlink" Target="https://repository.seafdec.or.th/bitstream/handle/20.500.12067/969/fishery-resources.pdf" TargetMode="External"/><Relationship Id="rIdConfidence338" Type="http://schemas.openxmlformats.org/officeDocument/2006/relationships/hyperlink" Target="https://www.marinespecies.org/aphia.php?p=taxdetails&amp;id=1071" TargetMode="External"/><Relationship Id="rIdConfidence339" Type="http://schemas.openxmlformats.org/officeDocument/2006/relationships/hyperlink" Target="https://www.fishbase.se/summary/Lateolabrax-japonicus.html" TargetMode="External"/><Relationship Id="rIdConfidence340" Type="http://schemas.openxmlformats.org/officeDocument/2006/relationships/hyperlink" Target="https://www.fishbase.se/summary/Pagrus-auratus.html" TargetMode="External"/><Relationship Id="rIdConfidence341" Type="http://schemas.openxmlformats.org/officeDocument/2006/relationships/hyperlink" Target="https://www.marinespecies.org/aphia.php?p=taxdetails&amp;id=158703" TargetMode="External"/><Relationship Id="rIdConfidence342" Type="http://schemas.openxmlformats.org/officeDocument/2006/relationships/hyperlink" Target="https://www.fishbase.se/identification/SpeciesList.php?genus=Thryssa" TargetMode="External"/><Relationship Id="rIdConfidence343" Type="http://schemas.openxmlformats.org/officeDocument/2006/relationships/hyperlink" Target="https://www.fishbase.se/summary/Thryssa-hamiltonii.html" TargetMode="External"/><Relationship Id="rIdConfidence344" Type="http://schemas.openxmlformats.org/officeDocument/2006/relationships/hyperlink" Target="https://www.fishbase.se/identification/SpeciesList.php?genus=Sillago" TargetMode="External"/><Relationship Id="rIdConfidence345" Type="http://schemas.openxmlformats.org/officeDocument/2006/relationships/hyperlink" Target="https://www.fao.org/4/x2400e/x2400e48.pdf" TargetMode="External"/><Relationship Id="rIdConfidence346" Type="http://schemas.openxmlformats.org/officeDocument/2006/relationships/hyperlink" Target="https://www.fishbase.se/summary/Sillago-sihama.html" TargetMode="External"/><Relationship Id="rIdConfidence347" Type="http://schemas.openxmlformats.org/officeDocument/2006/relationships/hyperlink" Target="https://www.marinespecies.org/aphia.php?p=taxdetails&amp;id=140605" TargetMode="External"/><Relationship Id="rIdConfidence348" Type="http://schemas.openxmlformats.org/officeDocument/2006/relationships/hyperlink" Target="https://www.fishbase.se/identification/SpeciesList.php?genus=Plectorhinchus" TargetMode="External"/><Relationship Id="rIdConfidence349" Type="http://schemas.openxmlformats.org/officeDocument/2006/relationships/hyperlink" Target="https://www.marinespecies.org/aphia.php?p=taxdetails&amp;id=279626" TargetMode="External"/><Relationship Id="rIdConfidence350" Type="http://schemas.openxmlformats.org/officeDocument/2006/relationships/hyperlink" Target="https://www.fishbase.se/summary/Anodontostoma-chacunda.html" TargetMode="External"/><Relationship Id="rIdConfidence351" Type="http://schemas.openxmlformats.org/officeDocument/2006/relationships/hyperlink" Target="https://www.marinespecies.org/aphia.php?p=taxdetails&amp;id=273993" TargetMode="External"/><Relationship Id="rIdConfidence352" Type="http://schemas.openxmlformats.org/officeDocument/2006/relationships/hyperlink" Target="https://www.fishbase.se/summary/Lobotes-surinamensis.html" TargetMode="External"/><Relationship Id="rIdConfidence353" Type="http://schemas.openxmlformats.org/officeDocument/2006/relationships/hyperlink" Target="https://www.marinespecies.org/aphia.php?p=taxdetails&amp;id=158343" TargetMode="External"/><Relationship Id="rIdConfidence354" Type="http://schemas.openxmlformats.org/officeDocument/2006/relationships/hyperlink" Target="https://www.marinespecies.org/aphia.php?p=taxdetails&amp;id=208814" TargetMode="External"/><Relationship Id="rIdConfidence355" Type="http://schemas.openxmlformats.org/officeDocument/2006/relationships/hyperlink" Target="https://www.marinespecies.org/aphia.php?p=taxdetails&amp;id=203906" TargetMode="External"/><Relationship Id="rIdConfidence356" Type="http://schemas.openxmlformats.org/officeDocument/2006/relationships/hyperlink" Target="https://www.marinespecies.org/aphia.php?p=taxdetails&amp;id=218451" TargetMode="External"/><Relationship Id="rIdConfidence357" Type="http://schemas.openxmlformats.org/officeDocument/2006/relationships/hyperlink" Target="https://www.fishbase.se/summary/Gazza-minuta.html" TargetMode="External"/><Relationship Id="rIdConfidence358" Type="http://schemas.openxmlformats.org/officeDocument/2006/relationships/hyperlink" Target="https://www.marinespecies.org/aphia.php?p=taxdetails&amp;id=106795" TargetMode="External"/><Relationship Id="rIdConfidence359" Type="http://schemas.openxmlformats.org/officeDocument/2006/relationships/hyperlink" Target="https://www.marinespecies.org/aphia.php?p=taxdetails&amp;id=127405" TargetMode="External"/><Relationship Id="rIdConfidence360" Type="http://schemas.openxmlformats.org/officeDocument/2006/relationships/hyperlink" Target="https://www.fishbase.se/summary/Mola-mola.html" TargetMode="External"/><Relationship Id="rIdConfidence361" Type="http://schemas.openxmlformats.org/officeDocument/2006/relationships/hyperlink" Target="https://www.fishbase.se/summary/Gerres-limbatus.html" TargetMode="External"/><Relationship Id="rIdConfidence362" Type="http://schemas.openxmlformats.org/officeDocument/2006/relationships/hyperlink" Target="https://www.fishbase.se/summary/Gerres-filamentosus.html" TargetMode="External"/><Relationship Id="rIdConfidence363" Type="http://schemas.openxmlformats.org/officeDocument/2006/relationships/hyperlink" Target="https://www.marinespecies.org/aphia.php?p=taxdetails&amp;id=218427" TargetMode="External"/><Relationship Id="rIdConfidence364" Type="http://schemas.openxmlformats.org/officeDocument/2006/relationships/hyperlink" Target="https://www.marinespecies.org/aphia.php?p=taxdetails&amp;id=106763" TargetMode="External"/><Relationship Id="rIdConfidence365" Type="http://schemas.openxmlformats.org/officeDocument/2006/relationships/hyperlink" Target="https://www.marinespecies.org/aphia.php?p=taxdetails&amp;id=377538" TargetMode="External"/><Relationship Id="rIdConfidence366" Type="http://schemas.openxmlformats.org/officeDocument/2006/relationships/hyperlink" Target="https://www.fishbase.se/summary/Psammoperca-waigiensis.html" TargetMode="External"/><Relationship Id="rIdConfidence367" Type="http://schemas.openxmlformats.org/officeDocument/2006/relationships/hyperlink" Target="https://www.marinespecies.org/aphia.php?p=taxdetails&amp;id=205222" TargetMode="External"/><Relationship Id="rIdConfidence368" Type="http://schemas.openxmlformats.org/officeDocument/2006/relationships/hyperlink" Target="https://www.fishbase.se/summary/Drepane-punctata.html" TargetMode="External"/><Relationship Id="rIdConfidence369" Type="http://schemas.openxmlformats.org/officeDocument/2006/relationships/hyperlink" Target="https://www.fishbase.se/summary/7692" TargetMode="External"/><Relationship Id="rIdConfidence370" Type="http://schemas.openxmlformats.org/officeDocument/2006/relationships/hyperlink" Target="https://www.fao.org/4/r7066e/r7066e21.pdf" TargetMode="External"/><Relationship Id="rIdConfidence371" Type="http://schemas.openxmlformats.org/officeDocument/2006/relationships/hyperlink" Target="https://fishbase.se/Fieldguide/FieldGuideSummary.php?c_code=608&amp;genusname=Siganus&amp;speciesname=canaliculatus" TargetMode="External"/><Relationship Id="rIdConfidence372" Type="http://schemas.openxmlformats.org/officeDocument/2006/relationships/hyperlink" Target="https://www.fishbase.se/summary/Siganus-spinus.html" TargetMode="External"/><Relationship Id="rIdConfidence373" Type="http://schemas.openxmlformats.org/officeDocument/2006/relationships/hyperlink" Target="https://www.fishbase.se/summary/Siganus-javus.html" TargetMode="External"/><Relationship Id="rIdConfidence374" Type="http://schemas.openxmlformats.org/officeDocument/2006/relationships/hyperlink" Target="https://www.marinespecies.org/aphia.php?p=taxdetails&amp;id=210371" TargetMode="External"/><Relationship Id="rIdConfidence375" Type="http://schemas.openxmlformats.org/officeDocument/2006/relationships/hyperlink" Target="https://www.fishbase.se/summary/Atrobucca-nibe.html" TargetMode="External"/><Relationship Id="rIdConfidence376" Type="http://schemas.openxmlformats.org/officeDocument/2006/relationships/hyperlink" Target="https://www.marinespecies.org/aphia.php?p=taxdetails&amp;id=125452" TargetMode="External"/><Relationship Id="rIdConfidence377" Type="http://schemas.openxmlformats.org/officeDocument/2006/relationships/hyperlink" Target="https://www.fishbase.se/summary/Cheilopogon-unicolor.html" TargetMode="External"/><Relationship Id="rIdConfidence378" Type="http://schemas.openxmlformats.org/officeDocument/2006/relationships/hyperlink" Target="https://www.fishbase.se/summary/Rhinecanthus-verrucosus.html" TargetMode="External"/><Relationship Id="rIdConfidence379" Type="http://schemas.openxmlformats.org/officeDocument/2006/relationships/hyperlink" Target="https://www.marinespecies.org/aphia.php?p=taxdetails&amp;id=105" TargetMode="External"/><Relationship Id="rIdConfidence380" Type="http://schemas.openxmlformats.org/officeDocument/2006/relationships/hyperlink" Target="https://www.marinespecies.org/aphia.php?p=taxdetails&amp;id=1803656" TargetMode="External"/><Relationship Id="rIdConfidence381" Type="http://schemas.openxmlformats.org/officeDocument/2006/relationships/hyperlink" Target="https://www.fishbase.se/summary/Platycaranx-talamparoides.html" TargetMode="External"/><Relationship Id="rIdConfidence382" Type="http://schemas.openxmlformats.org/officeDocument/2006/relationships/hyperlink" Target="https://www.marinespecies.org/aphia.php?p=taxdetails&amp;id=106731" TargetMode="External"/><Relationship Id="rIdConfidence383" Type="http://schemas.openxmlformats.org/officeDocument/2006/relationships/hyperlink" Target="https://www.marinespecies.org/aphia.php?p=taxdetails&amp;id=504471" TargetMode="External"/><Relationship Id="rIdConfidence384" Type="http://schemas.openxmlformats.org/officeDocument/2006/relationships/hyperlink" Target="https://www.marinespecies.org/aphia.php?p=taxdetails&amp;id=210372" TargetMode="External"/><Relationship Id="rIdConfidence385" Type="http://schemas.openxmlformats.org/officeDocument/2006/relationships/hyperlink" Target="https://www.marinespecies.org/aphia.php?p=taxdetails&amp;id=106794" TargetMode="External"/><Relationship Id="rIdConfidence386" Type="http://schemas.openxmlformats.org/officeDocument/2006/relationships/hyperlink" Target="https://www.marinespecies.org/aphia.php?p=taxdetails&amp;id=123082" TargetMode="External"/><Relationship Id="rIdConfidence387" Type="http://schemas.openxmlformats.org/officeDocument/2006/relationships/hyperlink" Target="https://www.fishbase.se/summary/Beryx-splendens.html" TargetMode="External"/><Relationship Id="rIdConfidence388" Type="http://schemas.openxmlformats.org/officeDocument/2006/relationships/hyperlink" Target="https://www.marinespecies.org/aphia.php?p=taxdetails&amp;id=212253" TargetMode="External"/><Relationship Id="rIdConfidence389" Type="http://schemas.openxmlformats.org/officeDocument/2006/relationships/hyperlink" Target="https://www.fishbase.se/summary/Megalops-cyprinoides.html" TargetMode="External"/><Relationship Id="rIdConfidence390" Type="http://schemas.openxmlformats.org/officeDocument/2006/relationships/hyperlink" Target="https://www.fishbase.se/summary/Gymnocranius-frenatus" TargetMode="External"/><Relationship Id="rIdConfidence391" Type="http://schemas.openxmlformats.org/officeDocument/2006/relationships/hyperlink" Target="https://www.fishbase.se/summary/1833" TargetMode="External"/><Relationship Id="rIdConfidence392" Type="http://schemas.openxmlformats.org/officeDocument/2006/relationships/hyperlink" Target="https://www.fishbase.se/summary/Gymnocranius-grandoculis" TargetMode="External"/><Relationship Id="rIdConfidence393" Type="http://schemas.openxmlformats.org/officeDocument/2006/relationships/hyperlink" Target="https://www.marinespecies.org/aphia.php?p=taxdetails&amp;id=218404" TargetMode="External"/><Relationship Id="rIdConfidence394" Type="http://schemas.openxmlformats.org/officeDocument/2006/relationships/hyperlink" Target="https://www.fishbase.se/summary/Caranx-sexfasciatus.html" TargetMode="External"/><Relationship Id="rIdConfidence395" Type="http://schemas.openxmlformats.org/officeDocument/2006/relationships/hyperlink" Target="https://www.fao.org/4/an020e/an020e.pdf" TargetMode="External"/><Relationship Id="rIdConfidence396" Type="http://schemas.openxmlformats.org/officeDocument/2006/relationships/hyperlink" Target="https://www.marinespecies.org/aphia.php?p=taxdetails&amp;id=220317" TargetMode="External"/><Relationship Id="rIdConfidence397" Type="http://schemas.openxmlformats.org/officeDocument/2006/relationships/hyperlink" Target="https://www.marinespecies.org/aphia.php?p=taxdetails&amp;id=212259" TargetMode="External"/><Relationship Id="rIdConfidence398" Type="http://schemas.openxmlformats.org/officeDocument/2006/relationships/hyperlink" Target="https://www.fishbase.se/summary/Dussumieria-elopsoides.html" TargetMode="External"/><Relationship Id="rIdConfidence399" Type="http://schemas.openxmlformats.org/officeDocument/2006/relationships/hyperlink" Target="https://www.fishbase.se/summary/Ariomma-indica.html" TargetMode="External"/><Relationship Id="rIdConfidence400" Type="http://schemas.openxmlformats.org/officeDocument/2006/relationships/hyperlink" Target="https://www.fao.org/4/y0870e/y0870e42.pdf" TargetMode="External"/><Relationship Id="rIdConfidence401" Type="http://schemas.openxmlformats.org/officeDocument/2006/relationships/hyperlink" Target="https://www.marinespecies.org/aphia.php?p=taxdetails&amp;id=105801" TargetMode="External"/><Relationship Id="rIdConfidence402" Type="http://schemas.openxmlformats.org/officeDocument/2006/relationships/hyperlink" Target="https://www.fishbase.se/summary/Prionace-glauca.html" TargetMode="External"/><Relationship Id="rIdConfidence403" Type="http://schemas.openxmlformats.org/officeDocument/2006/relationships/hyperlink" Target="https://www.marinespecies.org/aphia.php?p=taxdetails&amp;id=210354" TargetMode="External"/><Relationship Id="rIdConfidence404" Type="http://schemas.openxmlformats.org/officeDocument/2006/relationships/hyperlink" Target="https://www.marinespecies.org/aphia.php?p=taxdetails&amp;id=218429" TargetMode="External"/><Relationship Id="rIdConfidence405" Type="http://schemas.openxmlformats.org/officeDocument/2006/relationships/hyperlink" Target="https://www.marinespecies.org/aphia.php?p=taxdetails&amp;id=212252" TargetMode="External"/><Relationship Id="rIdConfidence406" Type="http://schemas.openxmlformats.org/officeDocument/2006/relationships/hyperlink" Target="https://www.fishbase.se/summary/Elops-machnata.html" TargetMode="External"/><Relationship Id="rIdConfidence407" Type="http://schemas.openxmlformats.org/officeDocument/2006/relationships/hyperlink" Target="https://www.marinespecies.org/aphia.php?p=taxdetails&amp;id=105708" TargetMode="External"/><Relationship Id="rIdConfidence408" Type="http://schemas.openxmlformats.org/officeDocument/2006/relationships/hyperlink" Target="https://eprints.cmfri.org.in/8476/1/IJF_Zacharia_95-98.pdf" TargetMode="External"/><Relationship Id="rIdConfidence409" Type="http://schemas.openxmlformats.org/officeDocument/2006/relationships/hyperlink" Target="https://www.marinespecies.org/aphia.php?p=taxdetails&amp;id=210378" TargetMode="External"/><Relationship Id="rIdConfidence410" Type="http://schemas.openxmlformats.org/officeDocument/2006/relationships/hyperlink" Target="https://www.marinespecies.org/aphia.php?p=taxdetails&amp;id=211" TargetMode="External"/><Relationship Id="rIdConfidence411" Type="http://schemas.openxmlformats.org/officeDocument/2006/relationships/hyperlink" Target="https://www.marinespecies.org/aphia.php?p=taxdetails&amp;id=138268" TargetMode="External"/><Relationship Id="rIdConfidence412" Type="http://schemas.openxmlformats.org/officeDocument/2006/relationships/hyperlink" Target="https://www.marinespecies.org/aphia.php?p=taxdetails&amp;id=1802012" TargetMode="External"/><Relationship Id="rIdConfidence413" Type="http://schemas.openxmlformats.org/officeDocument/2006/relationships/hyperlink" Target="https://www.fishbase.se/summary/Platycaranx-malabaricus.html" TargetMode="External"/><Relationship Id="rIdConfidence414" Type="http://schemas.openxmlformats.org/officeDocument/2006/relationships/hyperlink" Target="https://www.marinespecies.org/aphia.php?p=taxdetails&amp;id=212263" TargetMode="External"/><Relationship Id="rIdConfidence415" Type="http://schemas.openxmlformats.org/officeDocument/2006/relationships/hyperlink" Target="https://www.fishbase.se/summary/Spratelloides-gracilis.html" TargetMode="External"/><Relationship Id="rIdConfidence416" Type="http://schemas.openxmlformats.org/officeDocument/2006/relationships/hyperlink" Target="https://www.marinespecies.org/aphia.php?p=taxdetails&amp;id=125515" TargetMode="External"/><Relationship Id="rIdConfidence417" Type="http://schemas.openxmlformats.org/officeDocument/2006/relationships/hyperlink" Target="https://www.fishbase.se/summary/Acanthurus-xanthopterus.html" TargetMode="External"/><Relationship Id="rIdConfidence418" Type="http://schemas.openxmlformats.org/officeDocument/2006/relationships/hyperlink" Target="https://www.fao.org/4/y0870e/y0870e26.pdf" TargetMode="External"/><Relationship Id="rIdConfidence419" Type="http://schemas.openxmlformats.org/officeDocument/2006/relationships/hyperlink" Target="https://www.fishbase.se/summary/Scatophagus-argus.html" TargetMode="External"/><Relationship Id="rIdConfidence420" Type="http://schemas.openxmlformats.org/officeDocument/2006/relationships/hyperlink" Target="https://www.marinespecies.org/aphia.php?p=taxdetails&amp;id=107119" TargetMode="External"/><Relationship Id="rIdConfidence421" Type="http://schemas.openxmlformats.org/officeDocument/2006/relationships/hyperlink" Target="https://www.marinespecies.org/aphia.php?p=taxdetails&amp;id=151432" TargetMode="External"/><Relationship Id="rIdConfidence422" Type="http://schemas.openxmlformats.org/officeDocument/2006/relationships/hyperlink" Target="https://www.marinespecies.org/aphia.php?p=taxdetails&amp;id=275247" TargetMode="External"/><Relationship Id="rIdConfidence423" Type="http://schemas.openxmlformats.org/officeDocument/2006/relationships/hyperlink" Target="https://www.fishbase.se/summary/Stephanolepis-cirrhifer.html" TargetMode="External"/><Relationship Id="rIdConfidence424" Type="http://schemas.openxmlformats.org/officeDocument/2006/relationships/hyperlink" Target="https://www.marinespecies.org/aphia.php?p=taxdetails&amp;id=217439" TargetMode="External"/><Relationship Id="rIdConfidence425" Type="http://schemas.openxmlformats.org/officeDocument/2006/relationships/hyperlink" Target="https://www.fishbase.se/summary/Amblygaster-sirm.html" TargetMode="External"/><Relationship Id="rIdConfidence426" Type="http://schemas.openxmlformats.org/officeDocument/2006/relationships/hyperlink" Target="https://www.fao.org/docrep/pdf/009/y0870e/y0870e25.pdf" TargetMode="External"/><Relationship Id="rIdConfidence427" Type="http://schemas.openxmlformats.org/officeDocument/2006/relationships/hyperlink" Target="https://www.marinespecies.org/aphia.php?p=taxdetails&amp;id=212278" TargetMode="External"/><Relationship Id="rIdConfidence428" Type="http://schemas.openxmlformats.org/officeDocument/2006/relationships/hyperlink" Target="https://www.fishbase.se/summary/Hilsa-kelee.html" TargetMode="External"/><Relationship Id="rIdConfidence429" Type="http://schemas.openxmlformats.org/officeDocument/2006/relationships/hyperlink" Target="https://www.marinespecies.org/aphia.php?p=taxdetails&amp;id=125908" TargetMode="External"/><Relationship Id="rIdConfidence430" Type="http://schemas.openxmlformats.org/officeDocument/2006/relationships/hyperlink" Target="https://www.marinespecies.org/aphia.php?p=taxdetails&amp;id=206252" TargetMode="External"/><Relationship Id="rIdConfidence431" Type="http://schemas.openxmlformats.org/officeDocument/2006/relationships/hyperlink" Target="https://www.fishbase.se/identification/SpeciesList.php?genus=Cypselurus" TargetMode="External"/><Relationship Id="rIdConfidence432" Type="http://schemas.openxmlformats.org/officeDocument/2006/relationships/hyperlink" Target="https://www.marinespecies.org/aphia.php?p=taxdetails&amp;id=206918" TargetMode="External"/><Relationship Id="rIdConfidence433" Type="http://schemas.openxmlformats.org/officeDocument/2006/relationships/hyperlink" Target="https://www.marinespecies.org/aphia.php?p=taxdetails&amp;id=272196" TargetMode="External"/><Relationship Id="rIdConfidence434" Type="http://schemas.openxmlformats.org/officeDocument/2006/relationships/hyperlink" Target="https://www.fishbase.se/summary/Hyporhamphus-sajori.html" TargetMode="External"/><Relationship Id="rIdConfidence435" Type="http://schemas.openxmlformats.org/officeDocument/2006/relationships/hyperlink" Target="https://www.marinespecies.org/aphia.php?p=taxdetails&amp;id=272277" TargetMode="External"/><Relationship Id="rIdConfidence436" Type="http://schemas.openxmlformats.org/officeDocument/2006/relationships/hyperlink" Target="https://www.fishbase.se/summary/Sardinella-zunasi.html" TargetMode="External"/><Relationship Id="rIdConfidence437" Type="http://schemas.openxmlformats.org/officeDocument/2006/relationships/hyperlink" Target="https://www.marinespecies.org/aphia.php?p=taxdetails&amp;id=212279" TargetMode="External"/><Relationship Id="rIdConfidence438" Type="http://schemas.openxmlformats.org/officeDocument/2006/relationships/hyperlink" Target="https://www.fishbase.se/summary/Pellona-ditchela.html" TargetMode="External"/><Relationship Id="rIdConfidence439" Type="http://schemas.openxmlformats.org/officeDocument/2006/relationships/hyperlink" Target="https://www.marinespecies.org/aphia.php?p=taxdetails&amp;id=241776" TargetMode="External"/><Relationship Id="rIdConfidence440" Type="http://schemas.openxmlformats.org/officeDocument/2006/relationships/hyperlink" Target="https://www.marinespecies.org/aphia.php?p=taxdetails&amp;id=382902" TargetMode="External"/><Relationship Id="rIdConfidence441" Type="http://schemas.openxmlformats.org/officeDocument/2006/relationships/hyperlink" Target="https://www.marinespecies.org/aphia.php?p=taxdetails&amp;id=210373" TargetMode="External"/><Relationship Id="rIdConfidence442" Type="http://schemas.openxmlformats.org/officeDocument/2006/relationships/hyperlink" Target="https://www.marinespecies.org/aphia.php?p=taxdetails&amp;id=212268" TargetMode="External"/><Relationship Id="rIdConfidence443" Type="http://schemas.openxmlformats.org/officeDocument/2006/relationships/hyperlink" Target="https://www.fishbase.se/summary/Sardinella-albella.html" TargetMode="External"/><Relationship Id="rIdConfidence444" Type="http://schemas.openxmlformats.org/officeDocument/2006/relationships/hyperlink" Target="https://www.marinespecies.org/aphia.php?p=taxdetails&amp;id=125528" TargetMode="External"/><Relationship Id="rIdConfidence445" Type="http://schemas.openxmlformats.org/officeDocument/2006/relationships/hyperlink" Target="https://www.fishbase.se/summary/Halichoeres-trimaculatus.html" TargetMode="External"/><Relationship Id="rIdConfidence446" Type="http://schemas.openxmlformats.org/officeDocument/2006/relationships/hyperlink" Target="https://www.marinespecies.org/aphia.php?p=taxdetails&amp;id=368409" TargetMode="External"/><Relationship Id="rIdConfidence447" Type="http://schemas.openxmlformats.org/officeDocument/2006/relationships/hyperlink" Target="https://www.marinespecies.org/aphia.php?p=taxdetails&amp;id=206" TargetMode="External"/><Relationship Id="rIdConfidence448" Type="http://schemas.openxmlformats.org/officeDocument/2006/relationships/hyperlink" Target="https://www.marinespecies.org/aphia.php?p=taxdetails&amp;id=206707" TargetMode="External"/><Relationship Id="rIdConfidence449" Type="http://schemas.openxmlformats.org/officeDocument/2006/relationships/hyperlink" Target="https://www.fishbase.se/summary/Scarus-fuscocaudalis" TargetMode="External"/><Relationship Id="rIdConfidence450" Type="http://schemas.openxmlformats.org/officeDocument/2006/relationships/hyperlink" Target="https://www.fishbase.se/identification/SpeciesList.php?genus=Scarus" TargetMode="External"/><Relationship Id="rIdConfidence451" Type="http://schemas.openxmlformats.org/officeDocument/2006/relationships/hyperlink" Target="https://www.fishbase.se/summary/Nibea-albiflora.html" TargetMode="External"/><Relationship Id="rIdConfidence452" Type="http://schemas.openxmlformats.org/officeDocument/2006/relationships/hyperlink" Target="https://www.marinespecies.org/aphia.php?p=taxdetails&amp;id=105794" TargetMode="External"/><Relationship Id="rIdConfidence453" Type="http://schemas.openxmlformats.org/officeDocument/2006/relationships/hyperlink" Target="https://www.fishbase.se/summary/Carcharhinus-longimanus.html" TargetMode="External"/><Relationship Id="rIdConfidence454" Type="http://schemas.openxmlformats.org/officeDocument/2006/relationships/hyperlink" Target="https://www.marinespecies.org/aphia.php?p=taxdetails&amp;id=107060" TargetMode="External"/><Relationship Id="rIdConfidence455" Type="http://schemas.openxmlformats.org/officeDocument/2006/relationships/hyperlink" Target="https://pubmed.ncbi.nlm.nih.gov/29690102/" TargetMode="External"/><Relationship Id="rIdConfidence456" Type="http://schemas.openxmlformats.org/officeDocument/2006/relationships/hyperlink" Target="https://www.fisheries.noaa.gov/feature-story/clues-fish-auction-reveal-several-new-species-opah" TargetMode="External"/><Relationship Id="rIdConfidence457" Type="http://schemas.openxmlformats.org/officeDocument/2006/relationships/hyperlink" Target="https://www.marinespecies.org/aphia.php?p=taxdetails&amp;id=367822" TargetMode="External"/><Relationship Id="rIdConfidence458" Type="http://schemas.openxmlformats.org/officeDocument/2006/relationships/hyperlink" Target="https://www.marinespecies.org/aphia.php?p=taxdetails&amp;id=231750" TargetMode="External"/><Relationship Id="rIdConfidence459" Type="http://schemas.openxmlformats.org/officeDocument/2006/relationships/hyperlink" Target="https://www.fishbase.se/summary/4275" TargetMode="External"/><Relationship Id="rIdConfidence460" Type="http://schemas.openxmlformats.org/officeDocument/2006/relationships/hyperlink" Target="https://www.marinespecies.org/aphia.php?p=taxdetails&amp;id=209574" TargetMode="External"/><Relationship Id="rIdConfidence461" Type="http://schemas.openxmlformats.org/officeDocument/2006/relationships/hyperlink" Target="https://www.fao.org/fishery/docs/DOCUMENT/aquaculture/CulturedSpecies/file/en/en_milkfish.htm" TargetMode="External"/><Relationship Id="rIdConfidence462" Type="http://schemas.openxmlformats.org/officeDocument/2006/relationships/hyperlink" Target="https://www.fishbase.se/summary/Gymnothorax-melatremus.html" TargetMode="External"/><Relationship Id="rIdConfidence463" Type="http://schemas.openxmlformats.org/officeDocument/2006/relationships/hyperlink" Target="https://www.fishbase.se/summary/Ariosoma-megalops.html" TargetMode="External"/><Relationship Id="rIdConfidence464" Type="http://schemas.openxmlformats.org/officeDocument/2006/relationships/hyperlink" Target="https://www.marinespecies.org/aphia.php?p=taxdetails&amp;id=105839" TargetMode="External"/><Relationship Id="rIdConfidence465" Type="http://schemas.openxmlformats.org/officeDocument/2006/relationships/hyperlink" Target="https://www.fishbase.se/summary/Isurus-oxyrinchus.html" TargetMode="External"/><Relationship Id="rIdConfidence466" Type="http://schemas.openxmlformats.org/officeDocument/2006/relationships/hyperlink" Target="https://www.fao.org/docrep/pdf/009/ac480e/ac480e08.pdf" TargetMode="External"/><Relationship Id="rIdConfidence467" Type="http://schemas.openxmlformats.org/officeDocument/2006/relationships/hyperlink" Target="https://www.marinespecies.org/aphia.php?p=taxdetails&amp;id=1727" TargetMode="External"/><Relationship Id="rIdConfidence468" Type="http://schemas.openxmlformats.org/officeDocument/2006/relationships/hyperlink" Target="https://www.marinespecies.org/aphia.php?p=taxdetails&amp;id=836033" TargetMode="External"/><Relationship Id="rIdConfidence469" Type="http://schemas.openxmlformats.org/officeDocument/2006/relationships/hyperlink" Target="https://www.marinespecies.org/aphia.php?p=taxdetails&amp;id=127014" TargetMode="External"/><Relationship Id="rIdConfidence470" Type="http://schemas.openxmlformats.org/officeDocument/2006/relationships/hyperlink" Target="https://www.fishbase.se/summary/Acanthocybium-solandri.html" TargetMode="External"/><Relationship Id="rIdConfidence471" Type="http://schemas.openxmlformats.org/officeDocument/2006/relationships/hyperlink" Target="https://www.marinespecies.org/aphia.php?p=taxdetails&amp;id=219712" TargetMode="External"/><Relationship Id="rIdConfidence472" Type="http://schemas.openxmlformats.org/officeDocument/2006/relationships/hyperlink" Target="https://www.fishbase.se/summary/Gymnosarda-unicolor.html" TargetMode="External"/><Relationship Id="rIdConfidence473" Type="http://schemas.openxmlformats.org/officeDocument/2006/relationships/hyperlink" Target="https://www.marinespecies.org/aphia.php?p=taxdetails&amp;id=243" TargetMode="External"/><Relationship Id="rIdConfidence474" Type="http://schemas.openxmlformats.org/officeDocument/2006/relationships/hyperlink" Target="https://www.marinespecies.org/aphia.php?p=taxdetails&amp;id=127026" TargetMode="External"/><Relationship Id="rIdConfidence475" Type="http://schemas.openxmlformats.org/officeDocument/2006/relationships/hyperlink" Target="https://www.fishbase.se/summary/Thunnus-alalunga.html" TargetMode="External"/><Relationship Id="rIdConfidence476" Type="http://schemas.openxmlformats.org/officeDocument/2006/relationships/hyperlink" Target="https://www.marinespecies.org/aphia.php?p=taxdetails&amp;id=107112" TargetMode="External"/><Relationship Id="rIdConfidence477" Type="http://schemas.openxmlformats.org/officeDocument/2006/relationships/hyperlink" Target="https://www.marinespecies.org/aphia.php?p=taxdetails&amp;id=585389" TargetMode="External"/><Relationship Id="rIdConfidence478" Type="http://schemas.openxmlformats.org/officeDocument/2006/relationships/hyperlink" Target="https://www.marinespecies.org/aphia.php?p=taxdetails&amp;id=210362" TargetMode="External"/><Relationship Id="rIdConfidence479" Type="http://schemas.openxmlformats.org/officeDocument/2006/relationships/hyperlink" Target="https://www.marinespecies.org/aphia.php?p=taxdetails&amp;id=126224" TargetMode="External"/><Relationship Id="rIdConfidence480" Type="http://schemas.openxmlformats.org/officeDocument/2006/relationships/hyperlink" Target="https://www.fishbase.se/identification/SpeciesList.php?genus=Hippocampus" TargetMode="External"/><Relationship Id="rIdConfidence481" Type="http://schemas.openxmlformats.org/officeDocument/2006/relationships/hyperlink" Target="https://www.marinespecies.org/aphia.php?p=taxdetails&amp;id=397139" TargetMode="External"/><Relationship Id="rIdConfidence482" Type="http://schemas.openxmlformats.org/officeDocument/2006/relationships/hyperlink" Target="https://www.marinespecies.org/aphia.php?p=taxdetails&amp;id=273823" TargetMode="External"/><Relationship Id="rIdConfidence483" Type="http://schemas.openxmlformats.org/officeDocument/2006/relationships/hyperlink" Target="https://www.fishbase.se/summary/Thunnus-orientalis.html" TargetMode="External"/><Relationship Id="rIdConfidence484" Type="http://schemas.openxmlformats.org/officeDocument/2006/relationships/hyperlink" Target="https://www.marinespecies.org/aphia.php?p=taxdetails&amp;id=151482" TargetMode="External"/><Relationship Id="rIdConfidence485" Type="http://schemas.openxmlformats.org/officeDocument/2006/relationships/hyperlink" Target="https://www.fishbase.se/summary/Pomatomus-saltatrix.html" TargetMode="External"/><Relationship Id="rIdConfidence486" Type="http://schemas.openxmlformats.org/officeDocument/2006/relationships/hyperlink" Target="https://www.marinespecies.org/aphia.php?p=taxdetails&amp;id=131759" TargetMode="External"/><Relationship Id="rIdConfidence487" Type="http://schemas.openxmlformats.org/officeDocument/2006/relationships/hyperlink" Target="https://www.marinespecies.org/aphia.php?p=taxdetails&amp;id=393716" TargetMode="External"/><Relationship Id="rIdConfidence488" Type="http://schemas.openxmlformats.org/officeDocument/2006/relationships/hyperlink" Target="https://www.marinespecies.org/aphia.php?p=taxdetails&amp;id=105789" TargetMode="External"/><Relationship Id="rIdConfidence489" Type="http://schemas.openxmlformats.org/officeDocument/2006/relationships/hyperlink" Target="https://www.fishbase.se/summary/Carcharhinus-falciformis.html" TargetMode="External"/><Relationship Id="rIdConfidence490" Type="http://schemas.openxmlformats.org/officeDocument/2006/relationships/hyperlink" Target="https://www.marinespecies.org/aphia.php?p=taxdetails&amp;id=1806" TargetMode="External"/><Relationship Id="rIdConfidence491" Type="http://schemas.openxmlformats.org/officeDocument/2006/relationships/hyperlink" Target="https://www.marinespecies.org/aphia.php?p=taxdetails&amp;id=212045" TargetMode="External"/><Relationship Id="rIdConfidence492" Type="http://schemas.openxmlformats.org/officeDocument/2006/relationships/hyperlink" Target="https://www.fishbase.se/summary/Sphyraena-jello.html" TargetMode="External"/><Relationship Id="rIdConfidence493" Type="http://schemas.openxmlformats.org/officeDocument/2006/relationships/hyperlink" Target="https://www.marinespecies.org/aphia.php?p=taxdetails&amp;id=382922" TargetMode="External"/><Relationship Id="rIdConfidence494" Type="http://schemas.openxmlformats.org/officeDocument/2006/relationships/hyperlink" Target="https://www.marinespecies.org/aphia.php?p=taxdetails&amp;id=215" TargetMode="External"/><Relationship Id="rIdConfidence495" Type="http://schemas.openxmlformats.org/officeDocument/2006/relationships/hyperlink" Target="https://www.marinespecies.org/aphia.php?p=taxdetails&amp;id=105730" TargetMode="External"/><Relationship Id="rIdConfidence496" Type="http://schemas.openxmlformats.org/officeDocument/2006/relationships/hyperlink" Target="https://www.fishbase.se/summary/Sphyrna-mokarran.html" TargetMode="External"/><Relationship Id="rIdConfidence497" Type="http://schemas.openxmlformats.org/officeDocument/2006/relationships/hyperlink" Target="https://www.fishbase.se/summary/Sphyrna-zygaena.html" TargetMode="External"/><Relationship Id="rIdConfidence498" Type="http://schemas.openxmlformats.org/officeDocument/2006/relationships/hyperlink" Target="https://www.marinespecies.org/aphia.php?p=taxdetails&amp;id=367820" TargetMode="External"/><Relationship Id="rIdConfidence499" Type="http://schemas.openxmlformats.org/officeDocument/2006/relationships/hyperlink" Target="https://www.marinespecies.org/aphia.php?p=taxdetails&amp;id=215388" TargetMode="External"/><Relationship Id="rIdConfidence500" Type="http://schemas.openxmlformats.org/officeDocument/2006/relationships/hyperlink" Target="https://www.marinespecies.org/aphia.php?p=taxdetails&amp;id=210650" TargetMode="External"/><Relationship Id="rIdConfidence501" Type="http://schemas.openxmlformats.org/officeDocument/2006/relationships/hyperlink" Target="https://www.marinespecies.org/aphia.php?p=taxdetails&amp;id=218384" TargetMode="External"/><Relationship Id="rIdConfidence502" Type="http://schemas.openxmlformats.org/officeDocument/2006/relationships/hyperlink" Target="https://www.fishbase.se/summary/Atule-mate.html" TargetMode="External"/><Relationship Id="rIdConfidence503" Type="http://schemas.openxmlformats.org/officeDocument/2006/relationships/hyperlink" Target="https://www.marinespecies.org/aphia.php?p=taxdetails&amp;id=127015" TargetMode="External"/><Relationship Id="rIdConfidence504" Type="http://schemas.openxmlformats.org/officeDocument/2006/relationships/hyperlink" Target="https://www.fishbase.se/summary/Auxis-rochei.html" TargetMode="External"/><Relationship Id="rIdConfidence505" Type="http://schemas.openxmlformats.org/officeDocument/2006/relationships/hyperlink" Target="https://www.fao.org/4/a0653e/a0653e05.htm" TargetMode="External"/><Relationship Id="rIdConfidence506" Type="http://schemas.openxmlformats.org/officeDocument/2006/relationships/hyperlink" Target="https://www.marinespecies.org/aphia.php?p=taxdetails&amp;id=217337" TargetMode="External"/><Relationship Id="rIdConfidence507" Type="http://schemas.openxmlformats.org/officeDocument/2006/relationships/hyperlink" Target="https://www.fishbase.se/summary/Carcharhinus-amblyrhynchos.html" TargetMode="External"/><Relationship Id="rIdConfidence508" Type="http://schemas.openxmlformats.org/officeDocument/2006/relationships/hyperlink" Target="https://www.marinespecies.org/aphia.php?p=taxdetails&amp;id=1671019" TargetMode="External"/><Relationship Id="rIdConfidence509" Type="http://schemas.openxmlformats.org/officeDocument/2006/relationships/hyperlink" Target="https://agris.fao.org/search/en/providers/124947/records/679ba40c969e37f4376ecffc" TargetMode="External"/><Relationship Id="rIdConfidence510" Type="http://schemas.openxmlformats.org/officeDocument/2006/relationships/hyperlink" Target="https://www.marinespecies.org/aphia.php?p=taxdetails&amp;id=217858" TargetMode="External"/><Relationship Id="rIdConfidence511" Type="http://schemas.openxmlformats.org/officeDocument/2006/relationships/hyperlink" Target="https://www.marinespecies.org/aphia.php?p=taxdetails&amp;id=138297" TargetMode="External"/><Relationship Id="rIdConfidence512" Type="http://schemas.openxmlformats.org/officeDocument/2006/relationships/hyperlink" Target="https://www.marinespecies.org/aphia.php?p=taxdetails&amp;id=148744" TargetMode="External"/><Relationship Id="rIdConfidence513" Type="http://schemas.openxmlformats.org/officeDocument/2006/relationships/hyperlink" Target="https://www.marinespecies.org/aphia.php?p=taxdetails&amp;id=219982" TargetMode="External"/><Relationship Id="rIdConfidence514" Type="http://schemas.openxmlformats.org/officeDocument/2006/relationships/hyperlink" Target="https://www.fishbase.se/summary/Encrasicholina-punctifer.html" TargetMode="External"/><Relationship Id="rIdConfidence515" Type="http://schemas.openxmlformats.org/officeDocument/2006/relationships/hyperlink" Target="https://www.marinespecies.org/aphia.php?p=taxdetails&amp;id=218206" TargetMode="External"/><Relationship Id="rIdConfidence516" Type="http://schemas.openxmlformats.org/officeDocument/2006/relationships/hyperlink" Target="https://www.fishbase.se/summary/Evynnis-tumifrons.html" TargetMode="External"/><Relationship Id="rIdConfidence517" Type="http://schemas.openxmlformats.org/officeDocument/2006/relationships/hyperlink" Target="https://www.fao.org/docrep/009/t0243e/T0243E04.pdf" TargetMode="External"/><Relationship Id="rIdConfidence518" Type="http://schemas.openxmlformats.org/officeDocument/2006/relationships/hyperlink" Target="https://www.fao.org/docrep/pdf/009/y4161e/y4161e25.pdf" TargetMode="External"/><Relationship Id="rIdConfidence519" Type="http://schemas.openxmlformats.org/officeDocument/2006/relationships/hyperlink" Target="https://www.marinespecies.org/aphia.php?p=taxdetails&amp;id=138050" TargetMode="External"/><Relationship Id="rIdConfidence520" Type="http://schemas.openxmlformats.org/officeDocument/2006/relationships/hyperlink" Target="https://www.marinespecies.org/aphia.php?p=taxdetails&amp;id=281042" TargetMode="External"/><Relationship Id="rIdConfidence521" Type="http://schemas.openxmlformats.org/officeDocument/2006/relationships/hyperlink" Target="https://www.fishbase.se/summary/Hemitriakis-japanica.html" TargetMode="External"/><Relationship Id="rIdConfidence522" Type="http://schemas.openxmlformats.org/officeDocument/2006/relationships/hyperlink" Target="https://www.marinespecies.org/aphia.php?p=taxdetails&amp;id=1042845" TargetMode="External"/><Relationship Id="rIdConfidence523" Type="http://schemas.openxmlformats.org/officeDocument/2006/relationships/hyperlink" Target="https://www.fishbase.se/summary/Hemitrygon-akajei.html" TargetMode="External"/><Relationship Id="rIdConfidence524" Type="http://schemas.openxmlformats.org/officeDocument/2006/relationships/hyperlink" Target="https://www.marinespecies.org/aphia.php?p=taxdetails&amp;id=731943" TargetMode="External"/><Relationship Id="rIdConfidence525" Type="http://schemas.openxmlformats.org/officeDocument/2006/relationships/hyperlink" Target="https://www.marinespecies.org/aphia.php?p=taxdetails&amp;id=123083" TargetMode="External"/><Relationship Id="rIdConfidence526" Type="http://schemas.openxmlformats.org/officeDocument/2006/relationships/hyperlink" Target="https://www.fao.org/docrep/pdf/009/t0539e/t0539e06.pdf" TargetMode="External"/><Relationship Id="rIdConfidence527" Type="http://schemas.openxmlformats.org/officeDocument/2006/relationships/hyperlink" Target="https://www.marinespecies.org/aphia.php?p=taxdetails&amp;id=218498" TargetMode="External"/><Relationship Id="rIdConfidence528" Type="http://schemas.openxmlformats.org/officeDocument/2006/relationships/hyperlink" Target="https://www.marinespecies.org/aphia.php?p=taxdetails&amp;id=218479" TargetMode="External"/><Relationship Id="rIdConfidence529" Type="http://schemas.openxmlformats.org/officeDocument/2006/relationships/hyperlink" Target="https://www.marinespecies.org/aphia.php?p=taxdetails&amp;id=377467" TargetMode="External"/><Relationship Id="rIdConfidence530" Type="http://schemas.openxmlformats.org/officeDocument/2006/relationships/hyperlink" Target="https://www.marinespecies.org/aphia.php?p=taxdetails&amp;id=210397" TargetMode="External"/><Relationship Id="rIdConfidence531" Type="http://schemas.openxmlformats.org/officeDocument/2006/relationships/hyperlink" Target="https://www.marinespecies.org/aphia.php?p=taxdetails&amp;id=210392" TargetMode="External"/><Relationship Id="rIdConfidence532" Type="http://schemas.openxmlformats.org/officeDocument/2006/relationships/hyperlink" Target="https://www.marinespecies.org/aphia.php?p=taxdetails&amp;id=377544" TargetMode="External"/><Relationship Id="rIdConfidence533" Type="http://schemas.openxmlformats.org/officeDocument/2006/relationships/hyperlink" Target="https://www.marinespecies.org/aphia.php?p=taxdetails&amp;id=585386" TargetMode="External"/><Relationship Id="rIdConfidence534" Type="http://schemas.openxmlformats.org/officeDocument/2006/relationships/hyperlink" Target="https://www.marinespecies.org/aphia.php?p=taxdetails&amp;id=138223" TargetMode="External"/><Relationship Id="rIdConfidence535" Type="http://schemas.openxmlformats.org/officeDocument/2006/relationships/hyperlink" Target="https://www.fishbase.se/summary/427" TargetMode="External"/><Relationship Id="rIdConfidence536" Type="http://schemas.openxmlformats.org/officeDocument/2006/relationships/hyperlink" Target="https://www.marinespecies.org/aphia.php?p=taxdetails&amp;id=11760" TargetMode="External"/><Relationship Id="rIdConfidence537" Type="http://schemas.openxmlformats.org/officeDocument/2006/relationships/hyperlink" Target="https://www.marinespecies.org/aphia.php?p=taxdetails&amp;id=209154" TargetMode="External"/><Relationship Id="rIdConfidence538" Type="http://schemas.openxmlformats.org/officeDocument/2006/relationships/hyperlink" Target="https://www.marinespecies.org/aphia.php?p=taxdetails&amp;id=213" TargetMode="External"/><Relationship Id="rIdConfidence539" Type="http://schemas.openxmlformats.org/officeDocument/2006/relationships/hyperlink" Target="https://www.marinespecies.org/aphia.php?p=taxdetails&amp;id=138396" TargetMode="External"/><Relationship Id="rIdConfidence540" Type="http://schemas.openxmlformats.org/officeDocument/2006/relationships/hyperlink" Target="https://www.marinespecies.org/aphia.php?p=taxdetails&amp;id=208884" TargetMode="External"/><Relationship Id="rIdConfidence541" Type="http://schemas.openxmlformats.org/officeDocument/2006/relationships/hyperlink" Target="https://www.fishbase.se/summary/Polydactylus-sexfilis.html" TargetMode="External"/><Relationship Id="rIdConfidence542" Type="http://schemas.openxmlformats.org/officeDocument/2006/relationships/hyperlink" Target="https://www.marinespecies.org/aphia.php?p=taxdetails&amp;id=105847" TargetMode="External"/><Relationship Id="rIdConfidence543" Type="http://schemas.openxmlformats.org/officeDocument/2006/relationships/hyperlink" Target="https://www.fishbase.se/summary/Rhincodon-typus.html" TargetMode="External"/><Relationship Id="rIdConfidence544" Type="http://schemas.openxmlformats.org/officeDocument/2006/relationships/hyperlink" Target="https://www.marinespecies.org/aphia.php?p=taxdetails&amp;id=126371" TargetMode="External"/><Relationship Id="rIdConfidence545" Type="http://schemas.openxmlformats.org/officeDocument/2006/relationships/hyperlink" Target="https://www.marinespecies.org/aphia.php?p=taxdetails&amp;id=205756" TargetMode="External"/><Relationship Id="rIdConfidence546" Type="http://schemas.openxmlformats.org/officeDocument/2006/relationships/hyperlink" Target="https://www.marinespecies.org/aphia.php?p=taxdetails&amp;id=345843" TargetMode="External"/><Relationship Id="rIdConfidence547" Type="http://schemas.openxmlformats.org/officeDocument/2006/relationships/hyperlink" Target="https://www.fishbase.se/summary/Sphyraena-barracuda.html" TargetMode="External"/><Relationship Id="rIdConfidence548" Type="http://schemas.openxmlformats.org/officeDocument/2006/relationships/hyperlink" Target="https://www.marinespecies.org/aphia.php?p=taxdetails&amp;id=212056" TargetMode="External"/><Relationship Id="rIdConfidence549" Type="http://schemas.openxmlformats.org/officeDocument/2006/relationships/hyperlink" Target="https://www.fishbase.se/summary/Sphyraena-obtusata.html" TargetMode="External"/><Relationship Id="rIdConfidence550" Type="http://schemas.openxmlformats.org/officeDocument/2006/relationships/hyperlink" Target="https://www.marinespecies.org/aphia.php?p=taxdetails&amp;id=105816" TargetMode="External"/><Relationship Id="rIdConfidence551" Type="http://schemas.openxmlformats.org/officeDocument/2006/relationships/hyperlink" Target="https://www.fishbase.se/summary/Sphyrna-lewini.html" TargetMode="External"/><Relationship Id="rIdConfidence552" Type="http://schemas.openxmlformats.org/officeDocument/2006/relationships/hyperlink" Target="https://www.marinespecies.org/aphia.php?p=taxdetails&amp;id=105694" TargetMode="External"/><Relationship Id="rIdConfidence553" Type="http://schemas.openxmlformats.org/officeDocument/2006/relationships/hyperlink" Target="https://www.fishbase.se/summary/Eusphyra-blochii.html" TargetMode="External"/><Relationship Id="rIdConfidence554" Type="http://schemas.openxmlformats.org/officeDocument/2006/relationships/hyperlink" Target="https://www.marinespecies.org/aphia.php?p=taxdetails&amp;id=125722" TargetMode="External"/><Relationship Id="rIdConfidence555" Type="http://schemas.openxmlformats.org/officeDocument/2006/relationships/hyperlink" Target="https://www.fishbase.se/identification/SpeciesList.php?genus=Spratelloides" TargetMode="External"/><Relationship Id="rIdConfidence556" Type="http://schemas.openxmlformats.org/officeDocument/2006/relationships/hyperlink" Target="https://www.marinespecies.org/aphia.php?p=taxdetails&amp;id=217454" TargetMode="External"/><Relationship Id="rIdConfidence557" Type="http://schemas.openxmlformats.org/officeDocument/2006/relationships/hyperlink" Target="https://www.fishbase.se/summary/Tenualosa-toli.html" TargetMode="External"/><Relationship Id="rIdConfidence558" Type="http://schemas.openxmlformats.org/officeDocument/2006/relationships/hyperlink" Target="https://www.fao.org/docrep/pdf/009/ac478e/ac478e11.pdf" TargetMode="External"/><Relationship Id="rIdConfidence559" Type="http://schemas.openxmlformats.org/officeDocument/2006/relationships/hyperlink" Target="https://www.marinespecies.org/aphia.php?p=taxdetails&amp;id=212453" TargetMode="External"/><Relationship Id="rIdConfidence560" Type="http://schemas.openxmlformats.org/officeDocument/2006/relationships/hyperlink" Target="https://www.marinespecies.org/aphia.php?p=taxdetails&amp;id=216345" TargetMode="External"/><Relationship Id="rIdCurrentReview561" Type="http://schemas.openxmlformats.org/officeDocument/2006/relationships/hyperlink" Target="validation_reports/36_1_South_China_Sea_SCS-2007_Northern_South_China_Sea_(2000s)/selected_regions_review_20260930/proposal_dispositions.json" TargetMode="External"/><Relationship Id="rIdCurrentReview562" Type="http://schemas.openxmlformats.org/officeDocument/2006/relationships/hyperlink" Target="validation_reports/36_1_South_China_Sea_SCS-2007_Northern_South_China_Sea_(2000s)/selected_regions_review_20260930/mapping_changes.json" TargetMode="External"/><Relationship Id="rIdCurrentReview563" Type="http://schemas.openxmlformats.org/officeDocument/2006/relationships/hyperlink" Target="validation_reports/36_1_South_China_Sea_SCS-2007_Northern_South_China_Sea_(2000s)/source/reconstruction_2000s/SOURCE_CATCH_TOTALS.json" TargetMode="External"/><Relationship Id="rIdCurrentReview564" Type="http://schemas.openxmlformats.org/officeDocument/2006/relationships/hyperlink" Target="validation_reports/36_1_South_China_Sea_SCS-2007_Northern_South_China_Sea_(2000s)/selected_regions_review_20260930/direct_diagnostics/lossless_matrix_checks.json" TargetMode="External"/><Relationship Id="rIdCurrentReview565" Type="http://schemas.openxmlformats.org/officeDocument/2006/relationships/hyperlink" Target="validation_reports/36_1_South_China_Sea_SCS-2007_Northern_South_China_Sea_(2000s)/selected_regions_review_20260930/direct_diagnostics/coefficient_comparison.json" TargetMode="External"/><Relationship Id="rIdCurrentReview566" Type="http://schemas.openxmlformats.org/officeDocument/2006/relationships/hyperlink" Target="validation_reports/36_1_South_China_Sea_SCS-2007_Northern_South_China_Sea_(2000s)/selected_regions_review_20260930/dependent_result_changes.json" TargetMode="External"/><Relationship Id="rIdCurrentReview567" Type="http://schemas.openxmlformats.org/officeDocument/2006/relationships/hyperlink" Target="https://www.jstage.jst.go.jp/article/jsfo/85/3/85_153/_pdf" TargetMode="External"/><Relationship Id="rIdBonyScope568" Type="http://schemas.openxmlformats.org/officeDocument/2006/relationships/hyperlink" Target="validation_reports/36_1_South_China_Sea_SCS-2007_Northern_South_China_Sea_(2000s)/residual_fish_scope_followup.json" TargetMode="External"/><Relationship Id="rIdBonyScope569" Type="http://schemas.openxmlformats.org/officeDocument/2006/relationships/hyperlink" Target="../../original_research_archive/research/selected_regions_validation_20260930/verification/reporting_scope_sources/FAO_2001_Area27_capture.pdf#page=3" TargetMode="External"/></Relationships>
</file>

<file path=xl/worksheets/sheet1.xml><?xml version="1.0" encoding="utf-8"?>
<x:worksheet xmlns:x="http://schemas.openxmlformats.org/spreadsheetml/2006/main">
  <x:sheetViews>
    <x:sheetView showGridLines="0" zoomScale="85" zoomScaleNormal="85" workbookViewId="0">
      <x:pane ySplit="5" topLeftCell="A6" activePane="bottomLeft" state="frozen"/>
      <x:selection pane="bottomLeft" activeCell="E8" sqref="E8"/>
    </x:sheetView>
  </x:sheetViews>
  <x:sheetFormatPr defaultRowHeight="14"/>
  <x:cols>
    <x:col min="1" max="1" width="29" customWidth="1"/>
    <x:col min="2" max="2" width="9" customWidth="1"/>
    <x:col min="3" max="3" width="18" customWidth="1"/>
    <x:col min="4" max="4" width="21" customWidth="1"/>
    <x:col min="5" max="5" width="61" customWidth="1"/>
    <x:col min="6" max="6" width="15" customWidth="1"/>
    <x:col min="7" max="7" width="105" customWidth="1"/>
  </x:cols>
  <x:sheetData>
    <x:row r="1" ht="30" customHeight="1">
      <x:c r="A1" s="11" t="s">
        <x:v>0</x:v>
      </x:c>
      <x:c r="B1" s="11"/>
      <x:c r="C1" s="11"/>
      <x:c r="D1" s="11"/>
      <x:c r="E1" s="11"/>
      <x:c r="F1" s="11"/>
      <x:c r="G1" s="11"/>
      <x:c r="H1" s="1"/>
      <x:c r="I1" s="1"/>
      <x:c r="J1" s="1"/>
      <x:c r="K1" s="1"/>
    </x:row>
    <x:row r="2" ht="34" customHeight="1">
      <x:c r="A2" s="12" t="s">
        <x:v>1</x:v>
      </x:c>
      <x:c r="B2" s="12"/>
      <x:c r="C2" s="12"/>
      <x:c r="D2" s="12"/>
      <x:c r="E2" s="12"/>
      <x:c r="F2" s="12"/>
      <x:c r="G2" s="12"/>
      <x:c r="H2" s="1"/>
      <x:c r="I2" s="1"/>
      <x:c r="J2" s="1"/>
      <x:c r="K2" s="1"/>
    </x:row>
    <x:row r="3" ht="34" customHeight="1">
      <x:c r="A3" s="12" t="s">
        <x:v>2</x:v>
      </x:c>
      <x:c r="B3" s="12"/>
      <x:c r="C3" s="12"/>
      <x:c r="D3" s="12"/>
      <x:c r="E3" s="12"/>
      <x:c r="F3" s="12"/>
      <x:c r="G3" s="12"/>
      <x:c r="H3" s="1"/>
      <x:c r="I3" s="1"/>
      <x:c r="J3" s="1"/>
      <x:c r="K3" s="1"/>
    </x:row>
    <x:row r="4" ht="34" customHeight="1">
      <x:c r="A4" s="12" t="str">
        <x:v>Simple-chain PPR 837,452,937.7894479 t C. 34 missing TL/coefficient inputs belong to zero-landings taxa, whose 2019 PPR is zero. Full evidence is on Sources.</x:v>
      </x:c>
      <x:c r="B4" s="12"/>
      <x:c r="C4" s="12"/>
      <x:c r="D4" s="12"/>
      <x:c r="E4" s="12"/>
      <x:c r="F4" s="12"/>
      <x:c r="G4" s="12"/>
      <x:c r="H4" s="1"/>
      <x:c r="I4" s="1"/>
      <x:c r="J4" s="1"/>
      <x:c r="K4" s="1"/>
    </x:row>
    <x:row r="5" ht="34" customHeight="1">
      <x:c r="A5" s="3" t="s">
        <x:v>3</x:v>
      </x:c>
      <x:c r="B5" s="3" t="s">
        <x:v>4</x:v>
      </x:c>
      <x:c r="C5" s="3" t="s">
        <x:v>5</x:v>
      </x:c>
      <x:c r="D5" s="3" t="s">
        <x:v>6</x:v>
      </x:c>
      <x:c r="E5" s="3" t="s">
        <x:v>7</x:v>
      </x:c>
      <x:c r="F5" s="3" t="s">
        <x:v>8</x:v>
      </x:c>
      <x:c r="G5" s="3" t="s">
        <x:v>9</x:v>
      </x:c>
      <x:c r="H5" s="1"/>
      <x:c r="I5" s="1"/>
      <x:c r="J5" s="1"/>
      <x:c r="K5" s="1"/>
    </x:row>
    <x:row r="6" ht="64" customHeight="1" hidden="1">
      <x:c r="A6" s="2" t="str">
        <x:v>Trichiurus lepturus</x:v>
      </x:c>
      <x:c r="B6" s="4" t="n">
        <x:v>4.42</x:v>
      </x:c>
      <x:c r="C6" s="5" t="n">
        <x:v>402426.3603463139</x:v>
      </x:c>
      <x:c r="D6" s="5" t="n">
        <x:v>117609908.30154067</x:v>
      </x:c>
      <x:c r="E6" s="2" t="inlineStr">
        <x:is>
          <x:t xml:space="preserve">Juvenile Hairtail (trichiurids) (79.545455%); Adult hairtail (trichiurids) (20.454545%)</x:t>
        </x:is>
      </x:c>
      <x:c r="F6" s="2" t="inlineStr">
        <x:is>
          <x:t xml:space="preserve">Medium</x:t>
        </x:is>
      </x:c>
      <x:c r="G6" s="2" t="inlineStr">
        <x:is>
          <x:t xml:space="preserve">Trichiurus lepturus is a trichiurid covered by the source juvenile/adult hairtail pair. The 18-month boundary affects allocation, not membership in that pair. Model catch proportions provide the split; allocation confidence remains Medium.</x:t>
        </x:is>
      </x:c>
      <x:c r="H6" s="1"/>
      <x:c r="I6" s="1"/>
      <x:c r="J6" s="1"/>
      <x:c r="K6" s="1"/>
    </x:row>
    <x:row r="7" ht="64" customHeight="1" hidden="1">
      <x:c r="A7" s="2" t="str">
        <x:v>Synodontidae</x:v>
      </x:c>
      <x:c r="B7" s="4" t="n">
        <x:v>4.3</x:v>
      </x:c>
      <x:c r="C7" s="5" t="n">
        <x:v>443991.9994723433</x:v>
      </x:c>
      <x:c r="D7" s="5" t="n">
        <x:v>98431167.18831655</x:v>
      </x:c>
      <x:c r="E7" s="2" t="inlineStr">
        <x:is>
          <x:t xml:space="preserve">Lizard fish (synodontids) (100.000000%)</x:t>
        </x:is>
      </x:c>
      <x:c r="F7" s="2" t="inlineStr">
        <x:is>
          <x:t xml:space="preserve">High</x:t>
        </x:is>
      </x:c>
      <x:c r="G7" s="2" t="inlineStr">
        <x:is>
          <x:t xml:space="preserve">Synodontidae fits the source Synodontidae concept. Explicit inclusion of Saurida tumbil and S. undosquamis anchors the historical boundary despite modern Harpadontidae placement. No split is required.</x:t>
        </x:is>
      </x:c>
      <x:c r="H7" s="1"/>
      <x:c r="I7" s="1"/>
      <x:c r="J7" s="1"/>
      <x:c r="K7" s="1"/>
    </x:row>
    <x:row r="8" ht="80" customHeight="1" hidden="1">
      <x:c r="A8" s="2" t="str">
        <x:v>Scomberomorus</x:v>
      </x:c>
      <x:c r="B8" s="4" t="n">
        <x:v>4.35</x:v>
      </x:c>
      <x:c r="C8" s="5" t="n">
        <x:v>232516.2620377189</x:v>
      </x:c>
      <x:c r="D8" s="5" t="n">
        <x:v>57837674.54274846</x:v>
      </x:c>
      <x:c r="E8" s="2" t="inlineStr">
        <x:is>
          <x:t xml:space="preserve">Juvenile large pelagic fish (89.993906%); Pelagic fish (&gt; 30 cm) (10.006094%)</x:t>
        </x:is>
      </x:c>
      <x:c r="F8" s="2" t="inlineStr">
        <x:is>
          <x:t xml:space="preserve">Medium</x:t>
        </x:is>
      </x:c>
      <x:c r="G8" s="2" t="inlineStr">
        <x:is>
          <x:t xml:space="preserve">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x:t>
        </x:is>
      </x:c>
      <x:c r="H8" s="1"/>
      <x:c r="I8" s="1"/>
      <x:c r="J8" s="1"/>
      <x:c r="K8" s="1"/>
    </x:row>
    <x:row r="9" ht="80" customHeight="1" hidden="1">
      <x:c r="A9" s="2" t="str">
        <x:v>Scombroidei</x:v>
      </x:c>
      <x:c r="B9" s="4" t="n">
        <x:v>4.2</x:v>
      </x:c>
      <x:c r="C9" s="5" t="n">
        <x:v>296059.2473865282</x:v>
      </x:c>
      <x:c r="D9" s="5" t="n">
        <x:v>52135809.52756327</x:v>
      </x:c>
      <x:c r="E9" s="2" t="inlineStr">
        <x:is>
          <x:t xml:space="preserve">Juvenile large pelagic fish (89.993906%); Pelagic fish (&gt; 30 cm) (10.006094%)</x:t>
        </x:is>
      </x:c>
      <x:c r="F9" s="2" t="inlineStr">
        <x:is>
          <x:t xml:space="preserve">Medium</x:t>
        </x:is>
      </x:c>
      <x:c r="G9" s="2" t="inlineStr">
        <x:is>
          <x:t xml:space="preserve">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x:t>
        </x:is>
      </x:c>
      <x:c r="H9" s="1"/>
      <x:c r="I9" s="1"/>
      <x:c r="J9" s="1"/>
      <x:c r="K9" s="1"/>
    </x:row>
    <x:row r="10" ht="80" customHeight="1">
      <x:c r="A10" s="2" t="str">
        <x:v>Scombridae</x:v>
      </x:c>
      <x:c r="B10" s="4" t="n">
        <x:v>4.26</x:v>
      </x:c>
      <x:c r="C10" s="5" t="n">
        <x:v>244425.4726775679</x:v>
      </x:c>
      <x:c r="D10" s="5" t="n">
        <x:v>49420138.055280134</x:v>
      </x:c>
      <x:c r="E10" s="2" t="inlineStr">
        <x:is>
          <x:t xml:space="preserve">Juvenile large pelagic fish (89.993906%); Pelagic fish (&gt; 30 cm) (10.006094%)</x:t>
        </x:is>
      </x:c>
      <x:c r="F10" s="2" t="inlineStr">
        <x:is>
          <x:t xml:space="preserve">Low</x:t>
        </x:is>
      </x:c>
      <x:c r="G10" s="2" t="inlineStr">
        <x:is>
          <x:t xml:space="preserve">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x:t>
        </x:is>
      </x:c>
      <x:c r="H10" s="1"/>
      <x:c r="I10" s="1"/>
      <x:c r="J10" s="1"/>
      <x:c r="K10" s="1"/>
    </x:row>
    <x:row r="11" ht="80" customHeight="1">
      <x:c r="A11" s="2" t="str">
        <x:v>Carangidae</x:v>
      </x:c>
      <x:c r="B11" s="4" t="n">
        <x:v>4.05</x:v>
      </x:c>
      <x:c r="C11" s="5" t="n">
        <x:v>312565.3453921805</x:v>
      </x:c>
      <x:c r="D11" s="5" t="n">
        <x:v>38967120.633921504</x:v>
      </x:c>
      <x:c r="E11" s="2" t="inlineStr">
        <x:is>
          <x:t xml:space="preserve">Pelagic fish (≤ 30 cm) (74.079924%); Juvenile large pelagic fish (23.326489%); Pelagic fish (&gt; 30 cm) (2.593587%)</x:t>
        </x:is>
      </x:c>
      <x:c r="F11" s="2" t="inlineStr">
        <x:is>
          <x:t xml:space="preserve">Low</x:t>
        </x:is>
      </x:c>
      <x:c r="G11" s="2" t="inlineStr">
        <x:is>
          <x:t xml:space="preserve">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x:t>
        </x:is>
      </x:c>
      <x:c r="H11" s="1"/>
      <x:c r="I11" s="1"/>
      <x:c r="J11" s="1"/>
      <x:c r="K11" s="1"/>
    </x:row>
    <x:row r="12" ht="80" customHeight="1" hidden="1">
      <x:c r="A12" s="2" t="str">
        <x:v>Muraenesox cinereus</x:v>
      </x:c>
      <x:c r="B12" s="4" t="n">
        <x:v>4.38</x:v>
      </x:c>
      <x:c r="C12" s="5" t="n">
        <x:v>136921.8739794847</x:v>
      </x:c>
      <x:c r="D12" s="5" t="n">
        <x:v>36494744.29286955</x:v>
      </x:c>
      <x:c r="E12" s="2" t="inlineStr">
        <x:is>
          <x:t xml:space="preserve">Juvenile demersal fish (&gt; 30 cm) (89.991470%); Adult demersal fish (&gt; 30 cm) (10.008530%)</x:t>
        </x:is>
      </x:c>
      <x:c r="F12" s="2" t="inlineStr">
        <x:is>
          <x:t xml:space="preserve">Medium</x:t>
        </x:is>
      </x:c>
      <x:c r="G12" s="2" t="inlineStr">
        <x:is>
          <x:t xml:space="preserve">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x:t>
        </x:is>
      </x:c>
      <x:c r="H12" s="1"/>
      <x:c r="I12" s="1"/>
      <x:c r="J12" s="1"/>
      <x:c r="K12" s="1"/>
    </x:row>
    <x:row r="13" ht="64" customHeight="1" hidden="1">
      <x:c r="A13" s="2" t="str">
        <x:v>Nemipterus</x:v>
      </x:c>
      <x:c r="B13" s="4" t="n">
        <x:v>3.72</x:v>
      </x:c>
      <x:c r="C13" s="5" t="n">
        <x:v>331196.1841175943</x:v>
      </x:c>
      <x:c r="D13" s="5" t="n">
        <x:v>19312692.02568565</x:v>
      </x:c>
      <x:c r="E13" s="2" t="inlineStr">
        <x:is>
          <x:t xml:space="preserve">Threadfin bream (nemipterids) (100.000000%)</x:t>
        </x:is>
      </x:c>
      <x:c r="F13" s="2" t="inlineStr">
        <x:is>
          <x:t xml:space="preserve">High</x:t>
        </x:is>
      </x:c>
      <x:c r="G13" s="2" t="inlineStr">
        <x:is>
          <x:t xml:space="preserve">Nemipterus is within Nemipteridae, expressly used as the source group boundary. Parameter species are examples, not a closed list; residual size/habitat pools do not compete. No split is required.</x:t>
        </x:is>
      </x:c>
      <x:c r="H13" s="1"/>
      <x:c r="I13" s="1"/>
      <x:c r="J13" s="1"/>
      <x:c r="K13" s="1"/>
    </x:row>
    <x:row r="14" ht="48" customHeight="1" hidden="1">
      <x:c r="A14" s="2" t="str">
        <x:v>Scyphozoa</x:v>
      </x:c>
      <x:c r="B14" s="4" t="n">
        <x:v>3.46</x:v>
      </x:c>
      <x:c r="C14" s="5" t="n">
        <x:v>570279.5883612505</x:v>
      </x:c>
      <x:c r="D14" s="5" t="n">
        <x:v>18274492.204710215</x:v>
      </x:c>
      <x:c r="E14" s="2" t="inlineStr">
        <x:is>
          <x:t xml:space="preserve">Jellyfish (100.000000%)</x:t>
        </x:is>
      </x:c>
      <x:c r="F14" s="2" t="inlineStr">
        <x:is>
          <x:t xml:space="preserve">High</x:t>
        </x:is>
      </x:c>
      <x:c r="G14" s="2" t="inlineStr">
        <x:is>
          <x:t xml:space="preserve">Scyphozoa is a scyphozoan jellyfish lineage fitting the source Cnidaria-medusae and landed-jellyfish concept, rather than all Cnidaria. No split is required.</x:t>
        </x:is>
      </x:c>
      <x:c r="H14" s="1"/>
      <x:c r="I14" s="1"/>
      <x:c r="J14" s="1"/>
      <x:c r="K14" s="1"/>
    </x:row>
    <x:row r="15" ht="112" customHeight="1" hidden="1">
      <x:c r="A15" s="2" t="str">
        <x:v>Scomberomorus commerson</x:v>
      </x:c>
      <x:c r="B15" s="4" t="n">
        <x:v>4.5</x:v>
      </x:c>
      <x:c r="C15" s="5" t="n">
        <x:v>46804.2934347929</x:v>
      </x:c>
      <x:c r="D15" s="5" t="n">
        <x:v>16445352.392090121</x:v>
      </x:c>
      <x:c r="E15" s="2" t="inlineStr">
        <x:is>
          <x:t xml:space="preserve">Juvenile large pelagic fish (89.993906%); Pelagic fish (&gt; 30 cm) (10.006094%)</x:t>
        </x:is>
      </x:c>
      <x:c r="F15" s="2" t="inlineStr">
        <x:is>
          <x:t xml:space="preserve">Medium</x:t>
        </x:is>
      </x:c>
      <x:c r="G1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x:t>
        </x:is>
      </x:c>
      <x:c r="H15" s="1"/>
      <x:c r="I15" s="1"/>
      <x:c r="J15" s="1"/>
      <x:c r="K15" s="1"/>
    </x:row>
    <x:row r="16" ht="342.0" customHeight="1" hidden="1">
      <x:c r="A16" s="2" t="str">
        <x:v>Marine fishes not identified</x:v>
      </x:c>
      <x:c r="B16" s="4" t="n">
        <x:v>3.28</x:v>
      </x:c>
      <x:c r="C16" s="5" t="n">
        <x:v>737700.5209608545</x:v>
      </x:c>
      <x:c r="D16" s="5" t="n">
        <x:v>15618437.381243672</x:v>
      </x:c>
      <x:c r="E16" s="2" t="inlineStr">
        <x:is>
          <x:t xml:space="preserve">Threadfin bream (nemipterids) (11.663205%); Bigeyes (priacanthids) (3.656956%); Lizard fish (synodontids) (0.415402%); Juvenile Hairtail (trichiurids) (0.497062%); Adult hairtail (trichiurids) (0.127816%); Pomfret (stromateids) (4.242779%); Snappers (0.019527%); Adult groupers (0.157995%); Croakers (≤ 30 cm) (0.623103%); Juvenile large croakers (1.260407%); Croakers (&gt; 30 cm) (0.142018%); Demesral fish (≤ 30 cm) (3.174096%); Juvenile demersal fish (&gt; 30 cm) (5.618576%); Adult demersal fish (&gt; 30 cm) (0.624878%); Benthopelagic fish (10.695709%); Melon seed (0.885836%); Pelagic fish (≤ 30 cm) (41.628943%); Juvenile large pelagic fish (13.108235%); Pelagic fish (&gt; 30 cm) (1.457457%)</x:t>
        </x:is>
      </x:c>
      <x:c r="F16" s="2" t="inlineStr">
        <x:is>
          <x:t xml:space="preserve">Very low</x:t>
        </x:is>
      </x:c>
      <x:c r="G16" s="2" t="inlineStr">
        <x:is>
          <x:t xml:space="preserve">Bony-fish reporting scope is verified for exact SAU key 100039 (ISSCAAP 39; FAO Osteichthyes), rather than inferred from the English label. Named and residual bony fish groups 13–31 are retained; dedicated Demersal sharks and rays 32 and Pelagic sharks and rays 33 are excluded. Residual taxonomic composition, unrepresented taxa and wider-region transfer remain unobserved; membership and overall confidence remain Very low. Assumed composition is fixed across 1950–2019 and landings, total catch and discards; source model is a 2000s northern shelf representation. Complete six-fleet source-model landings+discards proportions supply an assumed whole-pool composition proxy(W4,Medium), not observed residual-label caught composition. Fixed across1950–2019 and all catch bases. Sources: canonical_source_export.json and Allocation evidence/Sources sheets; allocation_audit.json.</x:t>
        </x:is>
      </x:c>
      <x:c r="H16" s="1"/>
      <x:c r="I16" s="1"/>
      <x:c r="J16" s="1"/>
      <x:c r="K16" s="1"/>
    </x:row>
    <x:row r="17" ht="80" customHeight="1" hidden="1">
      <x:c r="A17" s="2" t="str">
        <x:v>Sciaenidae</x:v>
      </x:c>
      <x:c r="B17" s="4" t="n">
        <x:v>3.76</x:v>
      </x:c>
      <x:c r="C17" s="5" t="n">
        <x:v>239872.6443073262</x:v>
      </x:c>
      <x:c r="D17" s="5" t="n">
        <x:v>15336922.156567315</x:v>
      </x:c>
      <x:c r="E17" s="2" t="inlineStr">
        <x:is>
          <x:t xml:space="preserve">Croakers (≤ 30 cm) (30.762489%); Juvenile large croakers (62.226117%); Croakers (&gt; 30 cm) (7.011394%)</x:t>
        </x:is>
      </x:c>
      <x:c r="F17" s="2" t="inlineStr">
        <x:is>
          <x:t xml:space="preserve">Medium</x:t>
        </x:is>
      </x:c>
      <x:c r="G17" s="2" t="inlineStr">
        <x:is>
          <x:t xml:space="preserve">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x:t>
        </x:is>
      </x:c>
      <x:c r="H17" s="1"/>
      <x:c r="I17" s="1"/>
      <x:c r="J17" s="1"/>
      <x:c r="K17" s="1"/>
    </x:row>
    <x:row r="18" ht="48" customHeight="1" hidden="1">
      <x:c r="A18" s="2" t="str">
        <x:v>Loliginidae</x:v>
      </x:c>
      <x:c r="B18" s="4" t="n">
        <x:v>3.9</x:v>
      </x:c>
      <x:c r="C18" s="5" t="n">
        <x:v>164906.4501629182</x:v>
      </x:c>
      <x:c r="D18" s="5" t="n">
        <x:v>14554427.716950942</x:v>
      </x:c>
      <x:c r="E18" s="2" t="inlineStr">
        <x:is>
          <x:t xml:space="preserve">Cephalopods (100.000000%)</x:t>
        </x:is>
      </x:c>
      <x:c r="F18" s="2" t="inlineStr">
        <x:is>
          <x:t xml:space="preserve">High</x:t>
        </x:is>
      </x:c>
      <x:c r="G18" s="2" t="inlineStr">
        <x:is>
          <x:t xml:space="preserve">Loliginidae is within Cephalopoda. Biomass estimation from two dominant Loligo species does not restrict the source group to those species or to squid. No split is required.</x:t>
        </x:is>
      </x:c>
      <x:c r="H18" s="1"/>
      <x:c r="I18" s="1"/>
      <x:c r="J18" s="1"/>
      <x:c r="K18" s="1"/>
    </x:row>
    <x:row r="19" ht="64" customHeight="1" hidden="1">
      <x:c r="A19" s="2" t="str">
        <x:v>Teuthida</x:v>
      </x:c>
      <x:c r="B19" s="4" t="n">
        <x:v>4.13</x:v>
      </x:c>
      <x:c r="C19" s="5" t="n">
        <x:v>96525.5100481142</x:v>
      </x:c>
      <x:c r="D19" s="5" t="n">
        <x:v>14467703.364237078</x:v>
      </x:c>
      <x:c r="E19" s="2" t="inlineStr">
        <x:is>
          <x:t xml:space="preserve">Cephalopods (100.000000%)</x:t>
        </x:is>
      </x:c>
      <x:c r="F19" s="2" t="inlineStr">
        <x:is>
          <x:t xml:space="preserve">High</x:t>
        </x:is>
      </x:c>
      <x:c r="G19" s="2" t="inlineStr">
        <x:is>
          <x:t xml:space="preserve">Teuthida is within Cephalopoda. Biomass estimation from two dominant Loligo species does not restrict the source group to those species or to squid. The questioned ordinal name remains inside Cephalopoda; uncertainty is group-invariant. No split is required.</x:t>
        </x:is>
      </x:c>
      <x:c r="H19" s="1"/>
      <x:c r="I19" s="1"/>
      <x:c r="J19" s="1"/>
      <x:c r="K19" s="1"/>
    </x:row>
    <x:row r="20" ht="112" customHeight="1" hidden="1">
      <x:c r="A20" s="2" t="str">
        <x:v>Auxis thazard</x:v>
      </x:c>
      <x:c r="B20" s="4" t="n">
        <x:v>4.37</x:v>
      </x:c>
      <x:c r="C20" s="5" t="n">
        <x:v>50191.5277907398</x:v>
      </x:c>
      <x:c r="D20" s="5" t="n">
        <x:v>13073380.636886993</x:v>
      </x:c>
      <x:c r="E20" s="2" t="inlineStr">
        <x:is>
          <x:t xml:space="preserve">Juvenile large pelagic fish (89.993906%); Pelagic fish (&gt; 30 cm) (10.006094%)</x:t>
        </x:is>
      </x:c>
      <x:c r="F20" s="2" t="inlineStr">
        <x:is>
          <x:t xml:space="preserve">Medium</x:t>
        </x:is>
      </x:c>
      <x:c r="G20"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x:t>
        </x:is>
      </x:c>
      <x:c r="H20" s="1"/>
      <x:c r="I20" s="1"/>
      <x:c r="J20" s="1"/>
      <x:c r="K20" s="1"/>
    </x:row>
    <x:row r="21" ht="297.0" customHeight="1" hidden="1">
      <x:c r="A21" s="2" t="str">
        <x:v>Perciformes</x:v>
      </x:c>
      <x:c r="B21" s="4" t="n">
        <x:v>3.53</x:v>
      </x:c>
      <x:c r="C21" s="5" t="n">
        <x:v>324135.2639383788</x:v>
      </x:c>
      <x:c r="D21" s="5" t="n">
        <x:v>12203482.220461957</x:v>
      </x:c>
      <x:c r="E21" s="2" t="inlineStr">
        <x:is>
          <x:t xml:space="preserve">Threadfin bream (nemipterids) (11.711856%); Bigeyes (priacanthids) (3.672211%); Juvenile Hairtail (trichiurids) (0.499135%); Adult hairtail (trichiurids) (0.128349%); Pomfret (stromateids) (4.260477%); Snappers (0.019609%); Adult groupers (0.158654%); Croakers (≤ 30 cm) (0.625702%); Juvenile large croakers (1.265665%); Croakers (&gt; 30 cm) (0.142610%); Demesral fish (≤ 30 cm) (3.187336%); Juvenile demersal fish (&gt; 30 cm) (5.642013%); Adult demersal fish (&gt; 30 cm) (0.627485%); Benthopelagic fish (10.740325%); Melon seed (0.889531%); Pelagic fish (≤ 30 cm) (41.802592%); Juvenile large pelagic fish (13.162914%); Pelagic fish (&gt; 30 cm) (1.463536%)</x:t>
        </x:is>
      </x:c>
      <x:c r="F21" s="2" t="inlineStr">
        <x:is>
          <x:t xml:space="preserve">Very low</x:t>
        </x:is>
      </x:c>
      <x:c r="G21"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H21" s="1"/>
      <x:c r="I21" s="1"/>
      <x:c r="J21" s="1"/>
      <x:c r="K21" s="1"/>
    </x:row>
    <x:row r="22" ht="48" customHeight="1" hidden="1">
      <x:c r="A22" s="2" t="str">
        <x:v>Portunus trituberculatus</x:v>
      </x:c>
      <x:c r="B22" s="4" t="n">
        <x:v>3.73</x:v>
      </x:c>
      <x:c r="C22" s="5" t="n">
        <x:v>197873.2936457178</x:v>
      </x:c>
      <x:c r="D22" s="5" t="n">
        <x:v>11807138.92669537</x:v>
      </x:c>
      <x:c r="E22" s="2" t="inlineStr">
        <x:is>
          <x:t xml:space="preserve">Crabs (100.000000%)</x:t>
        </x:is>
      </x:c>
      <x:c r="F22" s="2" t="inlineStr">
        <x:is>
          <x:t xml:space="preserve">High</x:t>
        </x:is>
      </x:c>
      <x:c r="G22" s="2" t="inlineStr">
        <x:is>
          <x:t xml:space="preserve">Portunus trituberculatus is a true-crab lineage within Crabs. The residual benthic-crustacean group expressly excludes crabs, so is not a competing placement. No split is required.</x:t>
        </x:is>
      </x:c>
      <x:c r="H22" s="1"/>
      <x:c r="I22" s="1"/>
      <x:c r="J22" s="1"/>
      <x:c r="K22" s="1"/>
    </x:row>
    <x:row r="23" ht="64" customHeight="1" hidden="1">
      <x:c r="A23" s="2" t="str">
        <x:v>Harpadon nehereus</x:v>
      </x:c>
      <x:c r="B23" s="4" t="n">
        <x:v>4.2</x:v>
      </x:c>
      <x:c r="C23" s="5" t="n">
        <x:v>65885.1616222516</x:v>
      </x:c>
      <x:c r="D23" s="5" t="n">
        <x:v>11602327.126589647</x:v>
      </x:c>
      <x:c r="E23" s="2" t="inlineStr">
        <x:is>
          <x:t xml:space="preserve">Lizard fish (synodontids) (100.000000%)</x:t>
        </x:is>
      </x:c>
      <x:c r="F23" s="2" t="inlineStr">
        <x:is>
          <x:t xml:space="preserve">High</x:t>
        </x:is>
      </x:c>
      <x:c r="G23" s="2" t="inlineStr">
        <x:is>
          <x:t xml:space="preserve">Harpadon nehereus fits the source Synodontidae concept. Explicit inclusion of Saurida tumbil and S. undosquamis anchors the historical boundary despite modern Harpadontidae placement. ITIS places Harpadon in the broader Synodontidae concept. No split is required.</x:t>
        </x:is>
      </x:c>
      <x:c r="H23" s="1"/>
      <x:c r="I23" s="1"/>
      <x:c r="J23" s="1"/>
      <x:c r="K23" s="1"/>
    </x:row>
    <x:row r="24" ht="64" customHeight="1">
      <x:c r="A24" s="2" t="str">
        <x:v>Alepes</x:v>
      </x:c>
      <x:c r="B24" s="4" t="n">
        <x:v>3.32</x:v>
      </x:c>
      <x:c r="C24" s="5" t="n">
        <x:v>386716.9807797957</x:v>
      </x:c>
      <x:c r="D24" s="5" t="n">
        <x:v>8977403.240875365</x:v>
      </x:c>
      <x:c r="E24" s="2" t="inlineStr">
        <x:is>
          <x:t xml:space="preserve">Juvenile large pelagic fish (89.993906%); Pelagic fish (&gt; 30 cm) (10.006094%)</x:t>
        </x:is>
      </x:c>
      <x:c r="F24" s="2" t="inlineStr">
        <x:is>
          <x:t xml:space="preserve">Low</x:t>
        </x:is>
      </x:c>
      <x:c r="G24" s="2" t="inlineStr">
        <x:is>
          <x:t xml:space="preserve">Alepes spans small species and larger A. vari; the catch label supplies no species composition. The adopted large-pelagic pair therefore does not establish containment of the whole genus. Model catch proportions provide the split; allocation confidence remains Medium.</x:t>
        </x:is>
      </x:c>
      <x:c r="H24" s="1"/>
      <x:c r="I24" s="1"/>
      <x:c r="J24" s="1"/>
      <x:c r="K24" s="1"/>
    </x:row>
    <x:row r="25" ht="112" customHeight="1" hidden="1">
      <x:c r="A25" s="2" t="str">
        <x:v>Katsuwonus pelamis</x:v>
      </x:c>
      <x:c r="B25" s="4" t="n">
        <x:v>4.43</x:v>
      </x:c>
      <x:c r="C25" s="5" t="n">
        <x:v>28385.0476343092</x:v>
      </x:c>
      <x:c r="D25" s="5" t="n">
        <x:v>8488815.957651835</x:v>
      </x:c>
      <x:c r="E25" s="2" t="inlineStr">
        <x:is>
          <x:t xml:space="preserve">Juvenile large pelagic fish (89.993906%); Pelagic fish (&gt; 30 cm) (10.006094%)</x:t>
        </x:is>
      </x:c>
      <x:c r="F25" s="2" t="inlineStr">
        <x:is>
          <x:t xml:space="preserve">Medium</x:t>
        </x:is>
      </x:c>
      <x:c r="G2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x:t>
        </x:is>
      </x:c>
      <x:c r="H25" s="1"/>
      <x:c r="I25" s="1"/>
      <x:c r="J25" s="1"/>
      <x:c r="K25" s="1"/>
    </x:row>
    <x:row r="26" ht="48" customHeight="1" hidden="1">
      <x:c r="A26" s="2" t="str">
        <x:v>Todarodes pacificus</x:v>
      </x:c>
      <x:c r="B26" s="4" t="n">
        <x:v>4.28</x:v>
      </x:c>
      <x:c r="C26" s="5" t="n">
        <x:v>37474.8322631409</x:v>
      </x:c>
      <x:c r="D26" s="5" t="n">
        <x:v>7934091.198852973</x:v>
      </x:c>
      <x:c r="E26" s="2" t="inlineStr">
        <x:is>
          <x:t xml:space="preserve">Cephalopods (100.000000%)</x:t>
        </x:is>
      </x:c>
      <x:c r="F26" s="2" t="inlineStr">
        <x:is>
          <x:t xml:space="preserve">High</x:t>
        </x:is>
      </x:c>
      <x:c r="G26" s="2" t="inlineStr">
        <x:is>
          <x:t xml:space="preserve">Todarodes pacificus is within Cephalopoda. Biomass estimation from two dominant Loligo species does not restrict the source group to those species or to squid. No split is required.</x:t>
        </x:is>
      </x:c>
      <x:c r="H26" s="1"/>
      <x:c r="I26" s="1"/>
      <x:c r="J26" s="1"/>
      <x:c r="K26" s="1"/>
    </x:row>
    <x:row r="27" ht="80" customHeight="1" hidden="1">
      <x:c r="A27" s="2" t="str">
        <x:v>Engraulis japonicus</x:v>
      </x:c>
      <x:c r="B27" s="4" t="n">
        <x:v>3.14</x:v>
      </x:c>
      <x:c r="C27" s="5" t="n">
        <x:v>439426.8747921928</x:v>
      </x:c>
      <x:c r="D27" s="5" t="n">
        <x:v>6739754.926741834</x:v>
      </x:c>
      <x:c r="E27" s="2" t="inlineStr">
        <x:is>
          <x:t xml:space="preserve">Pelagic fish (≤ 30 cm) (100.000000%)</x:t>
        </x:is>
      </x:c>
      <x:c r="F27" s="2" t="inlineStr">
        <x:is>
          <x:t xml:space="preserve">High</x:t>
        </x:is>
      </x:c>
      <x:c r="G27" s="2" t="inlineStr">
        <x:is>
          <x:t xml:space="preserve">Species evidence establishes pelagic habitat and maximum TL &lt;=30 cm. The source defines the small-pelagic pool by these criteria; its named examples are not a closed species list. No dedicated group competes. Checked species record: 18 cm TL; Marine;  pelagic-neritic; oceanodromous. No split is required.</x:t>
        </x:is>
      </x:c>
      <x:c r="H27" s="1"/>
      <x:c r="I27" s="1"/>
      <x:c r="J27" s="1"/>
      <x:c r="K27" s="1"/>
    </x:row>
    <x:row r="28" ht="48" customHeight="1" hidden="1">
      <x:c r="A28" s="2" t="str">
        <x:v>Sepiidae</x:v>
      </x:c>
      <x:c r="B28" s="4" t="n">
        <x:v>3.6</x:v>
      </x:c>
      <x:c r="C28" s="5" t="n">
        <x:v>143044.2135727234</x:v>
      </x:c>
      <x:c r="D28" s="5" t="n">
        <x:v>6327436.347720789</x:v>
      </x:c>
      <x:c r="E28" s="2" t="inlineStr">
        <x:is>
          <x:t xml:space="preserve">Cephalopods (100.000000%)</x:t>
        </x:is>
      </x:c>
      <x:c r="F28" s="2" t="inlineStr">
        <x:is>
          <x:t xml:space="preserve">High</x:t>
        </x:is>
      </x:c>
      <x:c r="G28" s="2" t="inlineStr">
        <x:is>
          <x:t xml:space="preserve">Sepiidae is within Cephalopoda. Biomass estimation from two dominant Loligo species does not restrict the source group to those species or to squid. No split is required.</x:t>
        </x:is>
      </x:c>
      <x:c r="H28" s="1"/>
      <x:c r="I28" s="1"/>
      <x:c r="J28" s="1"/>
      <x:c r="K28" s="1"/>
    </x:row>
    <x:row r="29" ht="64" customHeight="1">
      <x:c r="A29" s="2" t="str">
        <x:v>Sparidae</x:v>
      </x:c>
      <x:c r="B29" s="4" t="n">
        <x:v>3.31</x:v>
      </x:c>
      <x:c r="C29" s="5" t="n">
        <x:v>262232.3661970165</x:v>
      </x:c>
      <x:c r="D29" s="5" t="n">
        <x:v>5948997.4709436</x:v>
      </x:c>
      <x:c r="E29" s="2" t="inlineStr">
        <x:is>
          <x:t xml:space="preserve">Benthopelagic fish (100.000000%)</x:t>
        </x:is>
      </x:c>
      <x:c r="F29" s="2" t="inlineStr">
        <x:is>
          <x:t xml:space="preserve">Low</x:t>
        </x:is>
      </x:c>
      <x:c r="G29" s="2" t="inlineStr">
        <x:is>
          <x:t xml:space="preserve">Current group 27 alone is not established for the family: regional Pagrus major and Acanthopagrus schlegelii are documented large demersal sparids. 'Bream' does not make them Nemipteridae, and the final benthopelagic size scope is unresolved. No split is required.</x:t>
        </x:is>
      </x:c>
      <x:c r="H29" s="1"/>
      <x:c r="I29" s="1"/>
      <x:c r="J29" s="1"/>
      <x:c r="K29" s="1"/>
    </x:row>
    <x:row r="30" ht="64" customHeight="1" hidden="1">
      <x:c r="A30" s="2" t="str">
        <x:v>Priacanthus</x:v>
      </x:c>
      <x:c r="B30" s="4" t="n">
        <x:v>3.81</x:v>
      </x:c>
      <x:c r="C30" s="5" t="n">
        <x:v>81379.45788557502</x:v>
      </x:c>
      <x:c r="D30" s="5" t="n">
        <x:v>5838110.126707684</x:v>
      </x:c>
      <x:c r="E30" s="2" t="inlineStr">
        <x:is>
          <x:t xml:space="preserve">Bigeyes (priacanthids) (100.000000%)</x:t>
        </x:is>
      </x:c>
      <x:c r="F30" s="2" t="inlineStr">
        <x:is>
          <x:t xml:space="preserve">High</x:t>
        </x:is>
      </x:c>
      <x:c r="G30" s="2" t="inlineStr">
        <x:is>
          <x:t xml:space="preserve">Priacanthus is within Priacanthidae, expressly used as the source group boundary. Parameter species are examples, not a closed list; residual size/habitat pools do not compete. No split is required.</x:t>
        </x:is>
      </x:c>
      <x:c r="H30" s="1"/>
      <x:c r="I30" s="1"/>
      <x:c r="J30" s="1"/>
      <x:c r="K30" s="1"/>
    </x:row>
    <x:row r="31" ht="80" customHeight="1">
      <x:c r="A31" s="2" t="str">
        <x:v>Ruvettus pretiosus</x:v>
      </x:c>
      <x:c r="B31" s="4" t="n">
        <x:v>4.18</x:v>
      </x:c>
      <x:c r="C31" s="5" t="n">
        <x:v>34590.9379943057</x:v>
      </x:c>
      <x:c r="D31" s="5" t="n">
        <x:v>5817278.14391564</x:v>
      </x:c>
      <x:c r="E31" s="2" t="inlineStr">
        <x:is>
          <x:t xml:space="preserve">Benthopelagic fish (100.000000%)</x:t>
        </x:is>
      </x:c>
      <x:c r="F31" s="2" t="inlineStr">
        <x:is>
          <x:t xml:space="preserve">Low</x:t>
        </x:is>
      </x:c>
      <x:c r="G31" s="2" t="inlineStr">
        <x:is>
          <x:t xml:space="preserve">FAO explicitly describes oilfish as benthopelagic, with a 100–700 m range that overlaps the shelf edge. This supports group 27 better than a habitat-free analogue, but its deep distribution and the unresolved final small/large benthopelagic aggregation prevent stronger confidence. No split is required.</x:t>
        </x:is>
      </x:c>
      <x:c r="H31" s="1"/>
      <x:c r="I31" s="1"/>
      <x:c r="J31" s="1"/>
      <x:c r="K31" s="1"/>
    </x:row>
    <x:row r="32" ht="112" customHeight="1" hidden="1">
      <x:c r="A32" s="2" t="str">
        <x:v>Coryphaena hippurus</x:v>
      </x:c>
      <x:c r="B32" s="4" t="n">
        <x:v>4.37</x:v>
      </x:c>
      <x:c r="C32" s="5" t="n">
        <x:v>20786.3543786342</x:v>
      </x:c>
      <x:c r="D32" s="5" t="n">
        <x:v>5414218.9888717495</x:v>
      </x:c>
      <x:c r="E32" s="2" t="inlineStr">
        <x:is>
          <x:t xml:space="preserve">Juvenile large pelagic fish (89.993906%); Pelagic fish (&gt; 30 cm) (10.006094%)</x:t>
        </x:is>
      </x:c>
      <x:c r="F32" s="2" t="inlineStr">
        <x:is>
          <x:t xml:space="preserve">Medium</x:t>
        </x:is>
      </x:c>
      <x:c r="G32"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x:t>
        </x:is>
      </x:c>
      <x:c r="H32" s="1"/>
      <x:c r="I32" s="1"/>
      <x:c r="J32" s="1"/>
      <x:c r="K32" s="1"/>
    </x:row>
    <x:row r="33" ht="80" customHeight="1">
      <x:c r="A33" s="2" t="str">
        <x:v>Leiognathidae</x:v>
      </x:c>
      <x:c r="B33" s="4" t="n">
        <x:v>3.24</x:v>
      </x:c>
      <x:c r="C33" s="5" t="n">
        <x:v>277484.4665916633</x:v>
      </x:c>
      <x:c r="D33" s="5" t="n">
        <x:v>5357919.288978566</x:v>
      </x:c>
      <x:c r="E33" s="2" t="inlineStr">
        <x:is>
          <x:t xml:space="preserve">Benthopelagic fish (100.000000%)</x:t>
        </x:is>
      </x:c>
      <x:c r="F33" s="2" t="inlineStr">
        <x:is>
          <x:t xml:space="preserve">Low</x:t>
        </x:is>
      </x:c>
      <x:c r="G33" s="2" t="inlineStr">
        <x:is>
          <x:t xml:space="preserve">FAO describes bottom-living ponyfishes but nocturnal midwater movement only for some deeper members; L. equula is demersal and reaches 28 cm TL. Thus group 24 competes with current group 27 for an unresolved family composition, even though the final group 27 parameters resemble the small-benthopelagic appendix. No split is required.</x:t>
        </x:is>
      </x:c>
      <x:c r="H33" s="1"/>
      <x:c r="I33" s="1"/>
      <x:c r="J33" s="1"/>
      <x:c r="K33" s="1"/>
    </x:row>
    <x:row r="34" ht="64" customHeight="1" hidden="1">
      <x:c r="A34" s="2" t="str">
        <x:v>Priacanthidae</x:v>
      </x:c>
      <x:c r="B34" s="4" t="n">
        <x:v>3.79</x:v>
      </x:c>
      <x:c r="C34" s="5" t="n">
        <x:v>75891.1854551452</x:v>
      </x:c>
      <x:c r="D34" s="5" t="n">
        <x:v>5199347.292998371</x:v>
      </x:c>
      <x:c r="E34" s="2" t="inlineStr">
        <x:is>
          <x:t xml:space="preserve">Bigeyes (priacanthids) (100.000000%)</x:t>
        </x:is>
      </x:c>
      <x:c r="F34" s="2" t="inlineStr">
        <x:is>
          <x:t xml:space="preserve">High</x:t>
        </x:is>
      </x:c>
      <x:c r="G34" s="2" t="inlineStr">
        <x:is>
          <x:t xml:space="preserve">Priacanthidae is within Priacanthidae, expressly used as the source group boundary. Parameter species are examples, not a closed list; residual size/habitat pools do not compete. No split is required.</x:t>
        </x:is>
      </x:c>
      <x:c r="H34" s="1"/>
      <x:c r="I34" s="1"/>
      <x:c r="J34" s="1"/>
      <x:c r="K34" s="1"/>
    </x:row>
    <x:row r="35" ht="80" customHeight="1">
      <x:c r="A35" s="2" t="str">
        <x:v>Carangoides</x:v>
      </x:c>
      <x:c r="B35" s="4" t="n">
        <x:v>4.34</x:v>
      </x:c>
      <x:c r="C35" s="5" t="n">
        <x:v>18958.1394090433</x:v>
      </x:c>
      <x:c r="D35" s="5" t="n">
        <x:v>4608432.206732284</x:v>
      </x:c>
      <x:c r="E35" s="2" t="inlineStr">
        <x:is>
          <x:t xml:space="preserve">Juvenile large pelagic fish (89.993906%); Pelagic fish (&gt; 30 cm) (10.006094%)</x:t>
        </x:is>
      </x:c>
      <x:c r="F35" s="2" t="inlineStr">
        <x:is>
          <x:t xml:space="preserve">Low</x:t>
        </x:is>
      </x:c>
      <x:c r="G35" s="2" t="inlineStr">
        <x:is>
          <x:t xml:space="preserve">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x:t>
        </x:is>
      </x:c>
      <x:c r="H35" s="1"/>
      <x:c r="I35" s="1"/>
      <x:c r="J35" s="1"/>
      <x:c r="K35" s="1"/>
    </x:row>
    <x:row r="36" ht="80" customHeight="1" hidden="1">
      <x:c r="A36" s="2" t="str">
        <x:v>Lates calcarifer</x:v>
      </x:c>
      <x:c r="B36" s="4" t="n">
        <x:v>4.35</x:v>
      </x:c>
      <x:c r="C36" s="5" t="n">
        <x:v>18404.6390743277</x:v>
      </x:c>
      <x:c r="D36" s="5" t="n">
        <x:v>4578094.949268693</x:v>
      </x:c>
      <x:c r="E36" s="2" t="inlineStr">
        <x:is>
          <x:t xml:space="preserve">Juvenile demersal fish (&gt; 30 cm) (89.991470%); Adult demersal fish (&gt; 30 cm) (10.008530%)</x:t>
        </x:is>
      </x:c>
      <x:c r="F36" s="2" t="inlineStr">
        <x:is>
          <x:t xml:space="preserve">Medium</x:t>
        </x:is>
      </x:c>
      <x:c r="G36" s="2" t="inlineStr">
        <x:is>
          <x:t xml:space="preserve">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x:t>
        </x:is>
      </x:c>
      <x:c r="H36" s="1"/>
      <x:c r="I36" s="1"/>
      <x:c r="J36" s="1"/>
      <x:c r="K36" s="1"/>
    </x:row>
    <x:row r="37" ht="64" customHeight="1" hidden="1">
      <x:c r="A37" s="2" t="str">
        <x:v>Epinephelus</x:v>
      </x:c>
      <x:c r="B37" s="4" t="n">
        <x:v>3.84</x:v>
      </x:c>
      <x:c r="C37" s="5" t="n">
        <x:v>55310.4304767253</x:v>
      </x:c>
      <x:c r="D37" s="5" t="n">
        <x:v>4251718.757628576</x:v>
      </x:c>
      <x:c r="E37" s="2" t="inlineStr">
        <x:is>
          <x:t xml:space="preserve">Adult groupers (100.000000%)</x:t>
        </x:is>
      </x:c>
      <x:c r="F37" s="2" t="inlineStr">
        <x:is>
          <x:t xml:space="preserve">High</x:t>
        </x:is>
      </x:c>
      <x:c r="G37" s="2" t="inlineStr">
        <x:is>
          <x:t xml:space="preserve">Epinephelus fits the source Serranidae concept. The thesis defines one family pool and no juvenile grouper stanza; the stored word Adult does not by itself establish an age restriction. No split is required.</x:t>
        </x:is>
      </x:c>
      <x:c r="H37" s="1"/>
      <x:c r="I37" s="1"/>
      <x:c r="J37" s="1"/>
      <x:c r="K37" s="1"/>
    </x:row>
    <x:row r="38" ht="80" customHeight="1" hidden="1">
      <x:c r="A38" s="2" t="str">
        <x:v>Scomber japonicus</x:v>
      </x:c>
      <x:c r="B38" s="4" t="n">
        <x:v>3.38</x:v>
      </x:c>
      <x:c r="C38" s="5" t="n">
        <x:v>152841.3718023047</x:v>
      </x:c>
      <x:c r="D38" s="5" t="n">
        <x:v>4073787.934082953</x:v>
      </x:c>
      <x:c r="E38" s="2" t="inlineStr">
        <x:is>
          <x:t xml:space="preserve">Juvenile large pelagic fish (89.993906%); Pelagic fish (&gt; 30 cm) (10.006094%)</x:t>
        </x:is>
      </x:c>
      <x:c r="F38" s="2" t="inlineStr">
        <x:is>
          <x:t xml:space="preserve">Medium</x:t>
        </x:is>
      </x:c>
      <x:c r="G38" s="2" t="inlineStr">
        <x:is>
          <x:t xml:space="preserve">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x:t>
        </x:is>
      </x:c>
      <x:c r="H38" s="1"/>
      <x:c r="I38" s="1"/>
      <x:c r="J38" s="1"/>
      <x:c r="K38" s="1"/>
    </x:row>
    <x:row r="39" ht="112" customHeight="1" hidden="1">
      <x:c r="A39" s="2" t="str">
        <x:v>Scomberomorus niphonius</x:v>
      </x:c>
      <x:c r="B39" s="4" t="n">
        <x:v>4.5</x:v>
      </x:c>
      <x:c r="C39" s="5" t="n">
        <x:v>11467.8352517486</x:v>
      </x:c>
      <x:c r="D39" s="5" t="n">
        <x:v>4029386.580788446</x:v>
      </x:c>
      <x:c r="E39" s="2" t="inlineStr">
        <x:is>
          <x:t xml:space="preserve">Juvenile large pelagic fish (89.993906%); Pelagic fish (&gt; 30 cm) (10.006094%)</x:t>
        </x:is>
      </x:c>
      <x:c r="F39" s="2" t="inlineStr">
        <x:is>
          <x:t xml:space="preserve">Medium</x:t>
        </x:is>
      </x:c>
      <x:c r="G39"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x:t>
        </x:is>
      </x:c>
      <x:c r="H39" s="1"/>
      <x:c r="I39" s="1"/>
      <x:c r="J39" s="1"/>
      <x:c r="K39" s="1"/>
    </x:row>
    <x:row r="40" ht="64" customHeight="1" hidden="1">
      <x:c r="A40" s="2" t="str">
        <x:v>Lutjanus malabaricus</x:v>
      </x:c>
      <x:c r="B40" s="4" t="n">
        <x:v>4.48</x:v>
      </x:c>
      <x:c r="C40" s="5" t="n">
        <x:v>11805.8375568092</x:v>
      </x:c>
      <x:c r="D40" s="5" t="n">
        <x:v>3961451.048941412</x:v>
      </x:c>
      <x:c r="E40" s="2" t="inlineStr">
        <x:is>
          <x:t xml:space="preserve">Snappers (100.000000%)</x:t>
        </x:is>
      </x:c>
      <x:c r="F40" s="2" t="inlineStr">
        <x:is>
          <x:t xml:space="preserve">High</x:t>
        </x:is>
      </x:c>
      <x:c r="G40" s="2" t="inlineStr">
        <x:is>
          <x:t xml:space="preserve">Lutjanus malabaricus is within Lutjanidae, expressly used as the source group boundary. Parameter species are examples, not a closed list; residual size/habitat pools do not compete. No split is required.</x:t>
        </x:is>
      </x:c>
      <x:c r="H40" s="1"/>
      <x:c r="I40" s="1"/>
      <x:c r="J40" s="1"/>
      <x:c r="K40" s="1"/>
    </x:row>
    <x:row r="41" ht="64" customHeight="1" hidden="1">
      <x:c r="A41" s="2" t="str">
        <x:v>Pampus</x:v>
      </x:c>
      <x:c r="B41" s="4" t="n">
        <x:v>3.41</x:v>
      </x:c>
      <x:c r="C41" s="5" t="n">
        <x:v>129073.1107121482</x:v>
      </x:c>
      <x:c r="D41" s="5" t="n">
        <x:v>3686321.993815162</x:v>
      </x:c>
      <x:c r="E41" s="2" t="inlineStr">
        <x:is>
          <x:t xml:space="preserve">Pomfret (stromateids) (100.000000%)</x:t>
        </x:is>
      </x:c>
      <x:c r="F41" s="2" t="inlineStr">
        <x:is>
          <x:t xml:space="preserve">High</x:t>
        </x:is>
      </x:c>
      <x:c r="G41" s="2" t="inlineStr">
        <x:is>
          <x:t xml:space="preserve">Pampus is within Stromateidae, expressly used as the source group boundary. Parameter species are examples, not a closed list; residual size/habitat pools do not compete. The broader biomass-survey assemblage does not expand membership beyond Stromateidae. No split is required.</x:t>
        </x:is>
      </x:c>
      <x:c r="H41" s="1"/>
      <x:c r="I41" s="1"/>
      <x:c r="J41" s="1"/>
      <x:c r="K41" s="1"/>
    </x:row>
    <x:row r="42" ht="112" customHeight="1" hidden="1">
      <x:c r="A42" s="2" t="str">
        <x:v>Thunnus albacares</x:v>
      </x:c>
      <x:c r="B42" s="4" t="n">
        <x:v>4.41</x:v>
      </x:c>
      <x:c r="C42" s="5" t="n">
        <x:v>12859.1902555373</x:v>
      </x:c>
      <x:c r="D42" s="5" t="n">
        <x:v>3672578.711406173</x:v>
      </x:c>
      <x:c r="E42" s="2" t="inlineStr">
        <x:is>
          <x:t xml:space="preserve">Juvenile large pelagic fish (89.993906%); Pelagic fish (&gt; 30 cm) (10.006094%)</x:t>
        </x:is>
      </x:c>
      <x:c r="F42" s="2" t="inlineStr">
        <x:is>
          <x:t xml:space="preserve">Medium</x:t>
        </x:is>
      </x:c>
      <x:c r="G42"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x:t>
        </x:is>
      </x:c>
      <x:c r="H42" s="1"/>
      <x:c r="I42" s="1"/>
      <x:c r="J42" s="1"/>
      <x:c r="K42" s="1"/>
    </x:row>
    <x:row r="43" ht="64" customHeight="1" hidden="1">
      <x:c r="A43" s="2" t="str">
        <x:v>Elasmobranchii</x:v>
      </x:c>
      <x:c r="B43" s="4" t="n">
        <x:v>4.05</x:v>
      </x:c>
      <x:c r="C43" s="5" t="n">
        <x:v>27118.7674627386</x:v>
      </x:c>
      <x:c r="D43" s="5" t="n">
        <x:v>3380861.9501240365</x:v>
      </x:c>
      <x:c r="E43" s="2" t="inlineStr">
        <x:is>
          <x:t xml:space="preserve">Demersal sharks and rays (58.823529%); Pelagic sharks and rays (41.176471%)</x:t>
        </x:is>
      </x:c>
      <x:c r="F43" s="2" t="inlineStr">
        <x:is>
          <x:t xml:space="preserve">Medium</x:t>
        </x:is>
      </x:c>
      <x:c r="G43" s="2" t="inlineStr">
        <x:is>
          <x:t xml:space="preserve">The source expressly divides elasmobranchs into demersal and pelagic groups, both included in the current mapping. Membership in that complete partition is documented; relative composition is unknown. Model catch proportions provide the split; allocation confidence remains Medium.</x:t>
        </x:is>
      </x:c>
      <x:c r="H43" s="1"/>
      <x:c r="I43" s="1"/>
      <x:c r="J43" s="1"/>
      <x:c r="K43" s="1"/>
    </x:row>
    <x:row r="44" ht="80" customHeight="1">
      <x:c r="A44" s="2" t="str">
        <x:v>Decapterus</x:v>
      </x:c>
      <x:c r="B44" s="4" t="n">
        <x:v>3.63</x:v>
      </x:c>
      <x:c r="C44" s="5" t="n">
        <x:v>67285.0648076855</x:v>
      </x:c>
      <x:c r="D44" s="5" t="n">
        <x:v>3189158.9520218275</x:v>
      </x:c>
      <x:c r="E44" s="2" t="inlineStr">
        <x:is>
          <x:t xml:space="preserve">Juvenile large pelagic fish (89.993906%); Pelagic fish (&gt; 30 cm) (10.006094%)</x:t>
        </x:is>
      </x:c>
      <x:c r="F44" s="2" t="inlineStr">
        <x:is>
          <x:t xml:space="preserve">Low</x:t>
        </x:is>
      </x:c>
      <x:c r="G44" s="2" t="inlineStr">
        <x:is>
          <x:t xml:space="preserve">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x:t>
        </x:is>
      </x:c>
      <x:c r="H44" s="1"/>
      <x:c r="I44" s="1"/>
      <x:c r="J44" s="1"/>
      <x:c r="K44" s="1"/>
    </x:row>
    <x:row r="45" ht="57.0" customHeight="1" hidden="1">
      <x:c r="A45" s="2" t="str">
        <x:v>Squillidae</x:v>
      </x:c>
      <x:c r="B45" s="4" t="n">
        <x:v>3.5</x:v>
      </x:c>
      <x:c r="C45" s="5" t="n">
        <x:v>88046.0333192449</x:v>
      </x:c>
      <x:c r="D45" s="5" t="n">
        <x:v>3093622.2692432115</x:v>
      </x:c>
      <x:c r="E45" s="2" t="inlineStr">
        <x:is>
          <x:t xml:space="preserve">Benthic crustaceans (100.000000%)</x:t>
        </x:is>
      </x:c>
      <x:c r="F45" s="2" t="inlineStr">
        <x:is>
          <x:t xml:space="preserve">High</x:t>
        </x:is>
      </x:c>
      <x:c r="G45" s="2" t="inlineStr">
        <x:is>
          <x:t xml:space="preserve">Squillidae is a benthic stomatopod lineage in the residual crustacean pool after shrimp/crab exclusions. Oratosquilla is a parameter example, not the complete membership. No split is required.</x:t>
        </x:is>
      </x:c>
      <x:c r="H45" s="1"/>
      <x:c r="I45" s="1"/>
      <x:c r="J45" s="1"/>
      <x:c r="K45" s="1"/>
    </x:row>
    <x:row r="46" ht="80" customHeight="1">
      <x:c r="A46" s="2" t="str">
        <x:v>Sphyraena</x:v>
      </x:c>
      <x:c r="B46" s="4" t="n">
        <x:v>4.4</x:v>
      </x:c>
      <x:c r="C46" s="5" t="n">
        <x:v>10928.9977320833</x:v>
      </x:c>
      <x:c r="D46" s="5" t="n">
        <x:v>3050266.7903576707</x:v>
      </x:c>
      <x:c r="E46" s="2" t="inlineStr">
        <x:is>
          <x:t xml:space="preserve">Juvenile large pelagic fish (89.993906%); Pelagic fish (&gt; 30 cm) (10.006094%)</x:t>
        </x:is>
      </x:c>
      <x:c r="F46" s="2" t="inlineStr">
        <x:is>
          <x:t xml:space="preserve">Low</x:t>
        </x:is>
      </x:c>
      <x:c r="G46" s="2" t="inlineStr">
        <x:is>
          <x:t xml:space="preserve">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x:t>
        </x:is>
      </x:c>
      <x:c r="H46" s="1"/>
      <x:c r="I46" s="1"/>
      <x:c r="J46" s="1"/>
      <x:c r="K46" s="1"/>
    </x:row>
    <x:row r="47" ht="87.0" customHeight="1" hidden="1">
      <x:c r="A47" s="2" t="str">
        <x:v>Decapoda</x:v>
      </x:c>
      <x:c r="B47" s="4" t="n">
        <x:v>3.43</x:v>
      </x:c>
      <x:c r="C47" s="5" t="n">
        <x:v>101071.2094189076</x:v>
      </x:c>
      <x:c r="D47" s="5" t="n">
        <x:v>3022629.7536219535</x:v>
      </x:c>
      <x:c r="E47" s="2" t="inlineStr">
        <x:is>
          <x:t xml:space="preserve">Zooplankton (9.363888%); Benthic crustaceans (3.862110%); Shrimps (67.048597%); Crabs (19.725405%)</x:t>
        </x:is>
      </x:c>
      <x:c r="F47" s="2" t="inlineStr">
        <x:is>
          <x:t xml:space="preserve">Medium</x:t>
        </x:is>
      </x:c>
      <x:c r="G47"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H47" s="1"/>
      <x:c r="I47" s="1"/>
      <x:c r="J47" s="1"/>
      <x:c r="K47" s="1"/>
    </x:row>
    <x:row r="48" ht="342.0" customHeight="1" hidden="1">
      <x:c r="A48" s="2" t="str">
        <x:v>Marine finfishes not identified</x:v>
      </x:c>
      <x:c r="B48" s="4" t="n">
        <x:v>3.23</x:v>
      </x:c>
      <x:c r="C48" s="5" t="n">
        <x:v>155275.5661864692</x:v>
      </x:c>
      <x:c r="D48" s="5" t="n">
        <x:v>2929952.718428608</x:v>
      </x:c>
      <x:c r="E48" s="2" t="inlineStr">
        <x:is>
          <x:t xml:space="preserve">Threadfin bream (nemipterids) (11.663205%); Bigeyes (priacanthids) (3.656956%); Lizard fish (synodontids) (0.415402%); Juvenile Hairtail (trichiurids) (0.497062%); Adult hairtail (trichiurids) (0.127816%); Pomfret (stromateids) (4.242779%); Snappers (0.019527%); Adult groupers (0.157995%); Croakers (≤ 30 cm) (0.623103%); Juvenile large croakers (1.260407%); Croakers (&gt; 30 cm) (0.142018%); Demesral fish (≤ 30 cm) (3.174096%); Juvenile demersal fish (&gt; 30 cm) (5.618576%); Adult demersal fish (&gt; 30 cm) (0.624878%); Benthopelagic fish (10.695709%); Melon seed (0.885836%); Pelagic fish (≤ 30 cm) (41.628943%); Juvenile large pelagic fish (13.108235%); Pelagic fish (&gt; 30 cm) (1.457457%)</x:t>
        </x:is>
      </x:c>
      <x:c r="F48" s="2" t="inlineStr">
        <x:is>
          <x:t xml:space="preserve">Very low</x:t>
        </x:is>
      </x:c>
      <x:c r="G48" s="2" t="inlineStr">
        <x:is>
          <x:t xml:space="preserve">Bony-fish reporting scope is verified for exact SAU key 100139 (ISSCAAP 39; FAO Osteichthyes), rather than inferred from the English label. Named and residual bony fish groups 13–31 are retained; dedicated Demersal sharks and rays 32 and Pelagic sharks and rays 33 are excluded. Residual taxonomic composition, unrepresented taxa and wider-region transfer remain unobserved; membership and overall confidence remain Very low. Assumed composition is fixed across 1950–2019 and landings, total catch and discards; source model is a 2000s northern shelf representation. Complete six-fleet source-model landings+discards proportions supply an assumed whole-pool composition proxy(W4,Medium), not observed residual-label caught composition. Fixed across1950–2019 and all catch bases. Sources: canonical_source_export.json and Allocation evidence/Sources sheets; allocation_audit.json.</x:t>
        </x:is>
      </x:c>
      <x:c r="H48" s="1"/>
      <x:c r="I48" s="1"/>
      <x:c r="J48" s="1"/>
      <x:c r="K48" s="1"/>
    </x:row>
    <x:row r="49" ht="96" customHeight="1" hidden="1">
      <x:c r="A49" s="2" t="str">
        <x:v>Megalaspis cordyla</x:v>
      </x:c>
      <x:c r="B49" s="4" t="n">
        <x:v>4.24</x:v>
      </x:c>
      <x:c r="C49" s="5" t="n">
        <x:v>14481.3844001527</x:v>
      </x:c>
      <x:c r="D49" s="5" t="n">
        <x:v>2796195.7568915165</x:v>
      </x:c>
      <x:c r="E49" s="2" t="inlineStr">
        <x:is>
          <x:t xml:space="preserve">Juvenile large pelagic fish (89.993906%); Pelagic fish (&gt; 30 cm) (10.006094%)</x:t>
        </x:is>
      </x:c>
      <x:c r="F49" s="2" t="inlineStr">
        <x:is>
          <x:t xml:space="preserve">Medium</x:t>
        </x:is>
      </x:c>
      <x:c r="G49"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x:t>
        </x:is>
      </x:c>
      <x:c r="H49" s="1"/>
      <x:c r="I49" s="1"/>
      <x:c r="J49" s="1"/>
      <x:c r="K49" s="1"/>
    </x:row>
    <x:row r="50" ht="80" customHeight="1" hidden="1">
      <x:c r="A50" s="2" t="str">
        <x:v>Chondrichthyes</x:v>
      </x:c>
      <x:c r="B50" s="4" t="n">
        <x:v>4</x:v>
      </x:c>
      <x:c r="C50" s="5" t="n">
        <x:v>25109.8485942637</x:v>
      </x:c>
      <x:c r="D50" s="5" t="n">
        <x:v>2789983.1771404115</x:v>
      </x:c>
      <x:c r="E50" s="2" t="inlineStr">
        <x:is>
          <x:t xml:space="preserve">Demersal sharks and rays (58.823529%); Pelagic sharks and rays (41.176471%)</x:t>
        </x:is>
      </x:c>
      <x:c r="F50" s="2" t="inlineStr">
        <x:is>
          <x:t xml:space="preserve">Very low</x:t>
        </x:is>
      </x:c>
      <x:c r="G50" s="2" t="inlineStr">
        <x:is>
          <x:t xml:space="preserve">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x:t>
        </x:is>
      </x:c>
      <x:c r="H50" s="1"/>
      <x:c r="I50" s="1"/>
      <x:c r="J50" s="1"/>
      <x:c r="K50" s="1"/>
    </x:row>
    <x:row r="51" ht="57.0" customHeight="1" hidden="1">
      <x:c r="A51" s="2" t="str">
        <x:v>Lutjanus</x:v>
      </x:c>
      <x:c r="B51" s="4" t="n">
        <x:v>4.02</x:v>
      </x:c>
      <x:c r="C51" s="5" t="n">
        <x:v>22653.4578388041</x:v>
      </x:c>
      <x:c r="D51" s="5" t="n">
        <x:v>2635675.823897686</x:v>
      </x:c>
      <x:c r="E51" s="2" t="inlineStr">
        <x:is>
          <x:t xml:space="preserve">Snappers (100.000000%)</x:t>
        </x:is>
      </x:c>
      <x:c r="F51" s="2" t="inlineStr">
        <x:is>
          <x:t xml:space="preserve">High</x:t>
        </x:is>
      </x:c>
      <x:c r="G51" s="2" t="inlineStr">
        <x:is>
          <x:t xml:space="preserve">Lutjanus is within Lutjanidae, expressly used as the source group boundary. Parameter species are examples, not a closed list; residual size/habitat pools do not compete. No split is required.</x:t>
        </x:is>
      </x:c>
      <x:c r="H51" s="1"/>
      <x:c r="I51" s="1"/>
      <x:c r="J51" s="1"/>
      <x:c r="K51" s="1"/>
    </x:row>
    <x:row r="52" ht="80" customHeight="1">
      <x:c r="A52" s="2" t="str">
        <x:v>Seriola</x:v>
      </x:c>
      <x:c r="B52" s="4" t="n">
        <x:v>4.39</x:v>
      </x:c>
      <x:c r="C52" s="5" t="n">
        <x:v>9656.8561392671</x:v>
      </x:c>
      <x:c r="D52" s="5" t="n">
        <x:v>2633863.42917185</x:v>
      </x:c>
      <x:c r="E52" s="2" t="inlineStr">
        <x:is>
          <x:t xml:space="preserve">Juvenile large pelagic fish (89.993906%); Pelagic fish (&gt; 30 cm) (10.006094%)</x:t>
        </x:is>
      </x:c>
      <x:c r="F52" s="2" t="inlineStr">
        <x:is>
          <x:t xml:space="preserve">Low</x:t>
        </x:is>
      </x:c>
      <x:c r="G52" s="2" t="inlineStr">
        <x:is>
          <x:t xml:space="preserve">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x:t>
        </x:is>
      </x:c>
      <x:c r="H52" s="1"/>
      <x:c r="I52" s="1"/>
      <x:c r="J52" s="1"/>
      <x:c r="K52" s="1"/>
    </x:row>
    <x:row r="53" ht="112" customHeight="1" hidden="1">
      <x:c r="A53" s="2" t="str">
        <x:v>Thunnus tonggol</x:v>
      </x:c>
      <x:c r="B53" s="4" t="n">
        <x:v>4.5</x:v>
      </x:c>
      <x:c r="C53" s="5" t="n">
        <x:v>7448.6668499699</x:v>
      </x:c>
      <x:c r="D53" s="5" t="n">
        <x:v>2617194.7530773985</x:v>
      </x:c>
      <x:c r="E53" s="2" t="inlineStr">
        <x:is>
          <x:t xml:space="preserve">Juvenile large pelagic fish (89.993906%); Pelagic fish (&gt; 30 cm) (10.006094%)</x:t>
        </x:is>
      </x:c>
      <x:c r="F53" s="2" t="inlineStr">
        <x:is>
          <x:t xml:space="preserve">Medium</x:t>
        </x:is>
      </x:c>
      <x:c r="G53"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x:t>
        </x:is>
      </x:c>
      <x:c r="H53" s="1"/>
      <x:c r="I53" s="1"/>
      <x:c r="J53" s="1"/>
      <x:c r="K53" s="1"/>
    </x:row>
    <x:row r="54" ht="64" customHeight="1">
      <x:c r="A54" s="2" t="str">
        <x:v>Selaroides leptolepis</x:v>
      </x:c>
      <x:c r="B54" s="4" t="n">
        <x:v>3.84</x:v>
      </x:c>
      <x:c r="C54" s="5" t="n">
        <x:v>33920.5135859908</x:v>
      </x:c>
      <x:c r="D54" s="5" t="n">
        <x:v>2607473.538696109</x:v>
      </x:c>
      <x:c r="E54" s="2" t="inlineStr">
        <x:is>
          <x:t xml:space="preserve">Pelagic fish (≤ 30 cm) (100.000000%)</x:t>
        </x:is>
      </x:c>
      <x:c r="F54" s="2" t="inlineStr">
        <x:is>
          <x:t xml:space="preserve">Low</x:t>
        </x:is>
      </x:c>
      <x:c r="G54" s="2" t="inlineStr">
        <x:is>
          <x:t xml:space="preserve">Small size is compatible with group 29, but FAO describes large demersal schools over soft bottoms. The existing small-pelagic mapping therefore retains a specific habitat conflict. No split is required.</x:t>
        </x:is>
      </x:c>
      <x:c r="H54" s="1"/>
      <x:c r="I54" s="1"/>
      <x:c r="J54" s="1"/>
      <x:c r="K54" s="1"/>
    </x:row>
    <x:row r="55" ht="112" customHeight="1" hidden="1">
      <x:c r="A55" s="2" t="str">
        <x:v>Scomberomorus guttatus</x:v>
      </x:c>
      <x:c r="B55" s="4" t="n">
        <x:v>4.28</x:v>
      </x:c>
      <x:c r="C55" s="5" t="n">
        <x:v>12049.6278404204</x:v>
      </x:c>
      <x:c r="D55" s="5" t="n">
        <x:v>2551121.3906663777</x:v>
      </x:c>
      <x:c r="E55" s="2" t="inlineStr">
        <x:is>
          <x:t xml:space="preserve">Juvenile large pelagic fish (89.993906%); Pelagic fish (&gt; 30 cm) (10.006094%)</x:t>
        </x:is>
      </x:c>
      <x:c r="F55" s="2" t="inlineStr">
        <x:is>
          <x:t xml:space="preserve">Medium</x:t>
        </x:is>
      </x:c>
      <x:c r="G5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x:t>
        </x:is>
      </x:c>
      <x:c r="H55" s="1"/>
      <x:c r="I55" s="1"/>
      <x:c r="J55" s="1"/>
      <x:c r="K55" s="1"/>
    </x:row>
    <x:row r="56" ht="112" customHeight="1" hidden="1">
      <x:c r="A56" s="2" t="str">
        <x:v>Cololabis saira</x:v>
      </x:c>
      <x:c r="B56" s="4" t="n">
        <x:v>3.71</x:v>
      </x:c>
      <x:c r="C56" s="5" t="n">
        <x:v>44760.0329692707</x:v>
      </x:c>
      <x:c r="D56" s="5" t="n">
        <x:v>2550632.4951243657</x:v>
      </x:c>
      <x:c r="E56" s="2" t="inlineStr">
        <x:is>
          <x:t xml:space="preserve">Juvenile large pelagic fish (89.993906%); Pelagic fish (&gt; 30 cm) (10.006094%)</x:t>
        </x:is>
      </x:c>
      <x:c r="F56" s="2" t="inlineStr">
        <x:is>
          <x:t xml:space="preserve">Medium</x:t>
        </x:is>
      </x:c>
      <x:c r="G56"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x:t>
        </x:is>
      </x:c>
      <x:c r="H56" s="1"/>
      <x:c r="I56" s="1"/>
      <x:c r="J56" s="1"/>
      <x:c r="K56" s="1"/>
    </x:row>
    <x:row r="57" ht="112" customHeight="1" hidden="1">
      <x:c r="A57" s="2" t="str">
        <x:v>Ilisha elongata</x:v>
      </x:c>
      <x:c r="B57" s="4" t="n">
        <x:v>3.79</x:v>
      </x:c>
      <x:c r="C57" s="5" t="n">
        <x:v>36037.4422664097</x:v>
      </x:c>
      <x:c r="D57" s="5" t="n">
        <x:v>2468945.1979266605</x:v>
      </x:c>
      <x:c r="E57" s="2" t="inlineStr">
        <x:is>
          <x:t xml:space="preserve">Juvenile large pelagic fish (89.993906%); Pelagic fish (&gt; 30 cm) (10.006094%)</x:t>
        </x:is>
      </x:c>
      <x:c r="F57" s="2" t="inlineStr">
        <x:is>
          <x:t xml:space="preserve">Medium</x:t>
        </x:is>
      </x:c>
      <x:c r="G5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x:t>
        </x:is>
      </x:c>
      <x:c r="H57" s="1"/>
      <x:c r="I57" s="1"/>
      <x:c r="J57" s="1"/>
      <x:c r="K57" s="1"/>
    </x:row>
    <x:row r="58" ht="48" customHeight="1" hidden="1">
      <x:c r="A58" s="2" t="str">
        <x:v>Sepiida</x:v>
      </x:c>
      <x:c r="B58" s="4" t="n">
        <x:v>3.7</x:v>
      </x:c>
      <x:c r="C58" s="5" t="n">
        <x:v>40234.5103552879</x:v>
      </x:c>
      <x:c r="D58" s="5" t="n">
        <x:v>2240558.1045905105</x:v>
      </x:c>
      <x:c r="E58" s="2" t="inlineStr">
        <x:is>
          <x:t xml:space="preserve">Cephalopods (100.000000%)</x:t>
        </x:is>
      </x:c>
      <x:c r="F58" s="2" t="inlineStr">
        <x:is>
          <x:t xml:space="preserve">High</x:t>
        </x:is>
      </x:c>
      <x:c r="G58" s="2" t="inlineStr">
        <x:is>
          <x:t xml:space="preserve">Sepiida is within Cephalopoda. Biomass estimation from two dominant Loligo species does not restrict the source group to those species or to squid. No split is required.</x:t>
        </x:is>
      </x:c>
      <x:c r="H58" s="1"/>
      <x:c r="I58" s="1"/>
      <x:c r="J58" s="1"/>
      <x:c r="K58" s="1"/>
    </x:row>
    <x:row r="59" ht="64" customHeight="1" hidden="1">
      <x:c r="A59" s="2" t="str">
        <x:v>Trichiuridae</x:v>
      </x:c>
      <x:c r="B59" s="4" t="n">
        <x:v>4.15</x:v>
      </x:c>
      <x:c r="C59" s="5" t="n">
        <x:v>14238.2531999174</x:v>
      </x:c>
      <x:c r="D59" s="5" t="n">
        <x:v>2234674.134969823</x:v>
      </x:c>
      <x:c r="E59" s="2" t="inlineStr">
        <x:is>
          <x:t xml:space="preserve">Juvenile Hairtail (trichiurids) (79.545455%); Adult hairtail (trichiurids) (20.454545%)</x:t>
        </x:is>
      </x:c>
      <x:c r="F59" s="2" t="inlineStr">
        <x:is>
          <x:t xml:space="preserve">Medium</x:t>
        </x:is>
      </x:c>
      <x:c r="G59" s="2" t="inlineStr">
        <x:is>
          <x:t xml:space="preserve">Trichiuridae is a trichiurid covered by the source juvenile/adult hairtail pair. The 18-month boundary affects allocation, not membership in that pair. Model catch proportions provide the split; allocation confidence remains Medium.</x:t>
        </x:is>
      </x:c>
      <x:c r="H59" s="1"/>
      <x:c r="I59" s="1"/>
      <x:c r="J59" s="1"/>
      <x:c r="K59" s="1"/>
    </x:row>
    <x:row r="60" ht="64" customHeight="1" hidden="1">
      <x:c r="A60" s="2" t="str">
        <x:v>Saurida</x:v>
      </x:c>
      <x:c r="B60" s="4" t="n">
        <x:v>4.35</x:v>
      </x:c>
      <x:c r="C60" s="5" t="n">
        <x:v>8432.9570714606</x:v>
      </x:c>
      <x:c r="D60" s="5" t="n">
        <x:v>2097671.0285020215</x:v>
      </x:c>
      <x:c r="E60" s="2" t="inlineStr">
        <x:is>
          <x:t xml:space="preserve">Lizard fish (synodontids) (100.000000%)</x:t>
        </x:is>
      </x:c>
      <x:c r="F60" s="2" t="inlineStr">
        <x:is>
          <x:t xml:space="preserve">High</x:t>
        </x:is>
      </x:c>
      <x:c r="G60" s="2" t="inlineStr">
        <x:is>
          <x:t xml:space="preserve">Saurida fits the source Synodontidae concept. Explicit inclusion of Saurida tumbil and S. undosquamis anchors the historical boundary despite modern Harpadontidae placement. No split is required.</x:t>
        </x:is>
      </x:c>
      <x:c r="H60" s="1"/>
      <x:c r="I60" s="1"/>
      <x:c r="J60" s="1"/>
      <x:c r="K60" s="1"/>
    </x:row>
    <x:row r="61" ht="48" customHeight="1" hidden="1">
      <x:c r="A61" s="2" t="str">
        <x:v>Cephalopoda</x:v>
      </x:c>
      <x:c r="B61" s="4" t="n">
        <x:v>3.81</x:v>
      </x:c>
      <x:c r="C61" s="5" t="n">
        <x:v>29218.5094012472</x:v>
      </x:c>
      <x:c r="D61" s="5" t="n">
        <x:v>2096117.1290004551</x:v>
      </x:c>
      <x:c r="E61" s="2" t="inlineStr">
        <x:is>
          <x:t xml:space="preserve">Cephalopods (100.000000%)</x:t>
        </x:is>
      </x:c>
      <x:c r="F61" s="2" t="inlineStr">
        <x:is>
          <x:t xml:space="preserve">High</x:t>
        </x:is>
      </x:c>
      <x:c r="G61" s="2" t="inlineStr">
        <x:is>
          <x:t xml:space="preserve">Cephalopoda is within Cephalopoda. Biomass estimation from two dominant Loligo species does not restrict the source group to those species or to squid. No split is required.</x:t>
        </x:is>
      </x:c>
      <x:c r="H61" s="1"/>
      <x:c r="I61" s="1"/>
      <x:c r="J61" s="1"/>
      <x:c r="K61" s="1"/>
    </x:row>
    <x:row r="62" ht="64" customHeight="1" hidden="1">
      <x:c r="A62" s="2" t="str">
        <x:v>Larimichthys crocea</x:v>
      </x:c>
      <x:c r="B62" s="4" t="n">
        <x:v>3.72</x:v>
      </x:c>
      <x:c r="C62" s="5" t="n">
        <x:v>34581.1927283659</x:v>
      </x:c>
      <x:c r="D62" s="5" t="n">
        <x:v>2016496.4364646247</x:v>
      </x:c>
      <x:c r="E62" s="2" t="inlineStr">
        <x:is>
          <x:t xml:space="preserve">Juvenile large croakers (89.873418%); Croakers (&gt; 30 cm) (10.126582%)</x:t>
        </x:is>
      </x:c>
      <x:c r="F62" s="2" t="inlineStr">
        <x:is>
          <x:t xml:space="preserve">Medium</x:t>
        </x:is>
      </x:c>
      <x:c r="G62" s="2" t="inlineStr">
        <x:is>
          <x:t xml:space="preserve">Larimichthys crocea is explicitly a large croaker in the source. Both 24-month stanzas are eligible; unknown catch ages limit allocation separately. Model catch proportions provide the split; allocation confidence remains Medium.</x:t>
        </x:is>
      </x:c>
      <x:c r="H62" s="1"/>
      <x:c r="I62" s="1"/>
      <x:c r="J62" s="1"/>
      <x:c r="K62" s="1"/>
    </x:row>
    <x:row r="63" ht="48" customHeight="1" hidden="1">
      <x:c r="A63" s="2" t="str">
        <x:v>Octopodidae</x:v>
      </x:c>
      <x:c r="B63" s="4" t="n">
        <x:v>3.59</x:v>
      </x:c>
      <x:c r="C63" s="5" t="n">
        <x:v>45104.9351031782</x:v>
      </x:c>
      <x:c r="D63" s="5" t="n">
        <x:v>1949761.779685953</x:v>
      </x:c>
      <x:c r="E63" s="2" t="inlineStr">
        <x:is>
          <x:t xml:space="preserve">Cephalopods (100.000000%)</x:t>
        </x:is>
      </x:c>
      <x:c r="F63" s="2" t="inlineStr">
        <x:is>
          <x:t xml:space="preserve">High</x:t>
        </x:is>
      </x:c>
      <x:c r="G63" s="2" t="inlineStr">
        <x:is>
          <x:t xml:space="preserve">Octopodidae is within Cephalopoda. Biomass estimation from two dominant Loligo species does not restrict the source group to those species or to squid. No split is required.</x:t>
        </x:is>
      </x:c>
      <x:c r="H63" s="1"/>
      <x:c r="I63" s="1"/>
      <x:c r="J63" s="1"/>
      <x:c r="K63" s="1"/>
    </x:row>
    <x:row r="64" ht="64" customHeight="1" hidden="1">
      <x:c r="A64" s="2" t="str">
        <x:v>Saurida tumbil</x:v>
      </x:c>
      <x:c r="B64" s="4" t="n">
        <x:v>4.4</x:v>
      </x:c>
      <x:c r="C64" s="5" t="n">
        <x:v>6677.3012758872</x:v>
      </x:c>
      <x:c r="D64" s="5" t="n">
        <x:v>1863624.719333631</x:v>
      </x:c>
      <x:c r="E64" s="2" t="inlineStr">
        <x:is>
          <x:t xml:space="preserve">Lizard fish (synodontids) (100.000000%)</x:t>
        </x:is>
      </x:c>
      <x:c r="F64" s="2" t="inlineStr">
        <x:is>
          <x:t xml:space="preserve">High</x:t>
        </x:is>
      </x:c>
      <x:c r="G64" s="2" t="inlineStr">
        <x:is>
          <x:t xml:space="preserve">Saurida tumbil fits the source Synodontidae concept. Explicit inclusion of Saurida tumbil and S. undosquamis anchors the historical boundary despite modern Harpadontidae placement. No split is required.</x:t>
        </x:is>
      </x:c>
      <x:c r="H64" s="1"/>
      <x:c r="I64" s="1"/>
      <x:c r="J64" s="1"/>
      <x:c r="K64" s="1"/>
    </x:row>
    <x:row r="65" ht="112" customHeight="1" hidden="1">
      <x:c r="A65" s="2" t="str">
        <x:v>Euthynnus affinis</x:v>
      </x:c>
      <x:c r="B65" s="4" t="n">
        <x:v>4.5</x:v>
      </x:c>
      <x:c r="C65" s="5" t="n">
        <x:v>5112.4992114504</x:v>
      </x:c>
      <x:c r="D65" s="5" t="n">
        <x:v>1796349.1159997839</x:v>
      </x:c>
      <x:c r="E65" s="2" t="inlineStr">
        <x:is>
          <x:t xml:space="preserve">Juvenile large pelagic fish (89.993906%); Pelagic fish (&gt; 30 cm) (10.006094%)</x:t>
        </x:is>
      </x:c>
      <x:c r="F65" s="2" t="inlineStr">
        <x:is>
          <x:t xml:space="preserve">Medium</x:t>
        </x:is>
      </x:c>
      <x:c r="G6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x:t>
        </x:is>
      </x:c>
      <x:c r="H65" s="1"/>
      <x:c r="I65" s="1"/>
      <x:c r="J65" s="1"/>
      <x:c r="K65" s="1"/>
    </x:row>
    <x:row r="66" ht="96" customHeight="1" hidden="1">
      <x:c r="A66" s="2" t="str">
        <x:v>Ariidae</x:v>
      </x:c>
      <x:c r="B66" s="4" t="n">
        <x:v>3.48</x:v>
      </x:c>
      <x:c r="C66" s="5" t="n">
        <x:v>52098.3462689772</x:v>
      </x:c>
      <x:c r="D66" s="5" t="n">
        <x:v>1748161.0049455294</x:v>
      </x:c>
      <x:c r="E66" s="2" t="inlineStr">
        <x:is>
          <x:t xml:space="preserve">Demesral fish (≤ 30 cm) (33.704053%); Juvenile demersal fish (&gt; 30 cm) (59.660697%); Adult demersal fish (&gt; 30 cm) (6.635250%)</x:t>
        </x:is>
      </x:c>
      <x:c r="F66" s="2" t="inlineStr">
        <x:is>
          <x:t xml:space="preserve">Medium</x:t>
        </x:is>
      </x:c>
      <x:c r="G66" s="2" t="inlineStr">
        <x:is>
          <x:t xml:space="preserve">Regional demersal Arius venosus (30 cm TL) and Netuma thalassina (&gt;30 cm TL) establish both species-size classes. The eligible regional marine set is inferred from these representative taxa; the provider label does not document exclusion of the small member. Source-model catch proportions supply an assumed fixed 1950–2019/all-bases mixture; they are not observed taxon-specific catches.</x:t>
        </x:is>
      </x:c>
      <x:c r="H66" s="1"/>
      <x:c r="I66" s="1"/>
      <x:c r="J66" s="1"/>
      <x:c r="K66" s="1"/>
    </x:row>
    <x:row r="67" ht="80" customHeight="1" hidden="1">
      <x:c r="A67" s="2" t="str">
        <x:v>Carcharhinus</x:v>
      </x:c>
      <x:c r="B67" s="4" t="n">
        <x:v>4.26</x:v>
      </x:c>
      <x:c r="C67" s="5" t="n">
        <x:v>8528.4127392832</x:v>
      </x:c>
      <x:c r="D67" s="5" t="n">
        <x:v>1724351.1093615508</x:v>
      </x:c>
      <x:c r="E67" s="2" t="inlineStr">
        <x:is>
          <x:t xml:space="preserve">Demersal sharks and rays (58.823529%); Pelagic sharks and rays (41.176471%)</x:t>
        </x:is>
      </x:c>
      <x:c r="F67" s="2" t="inlineStr">
        <x:is>
          <x:t xml:space="preserve">Medium</x:t>
        </x:is>
      </x:c>
      <x:c r="G67"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H67" s="1"/>
      <x:c r="I67" s="1"/>
      <x:c r="J67" s="1"/>
      <x:c r="K67" s="1"/>
    </x:row>
    <x:row r="68" ht="72.0" customHeight="1" hidden="1">
      <x:c r="A68" s="2" t="str">
        <x:v>Scomberoides</x:v>
      </x:c>
      <x:c r="B68" s="4" t="n">
        <x:v>4.47</x:v>
      </x:c>
      <x:c r="C68" s="5" t="n">
        <x:v>4915.8189299401</x:v>
      </x:c>
      <x:c r="D68" s="5" t="n">
        <x:v>1611956.6869622772</x:v>
      </x:c>
      <x:c r="E68" s="2" t="inlineStr">
        <x:is>
          <x:t xml:space="preserve">Juvenile large pelagic fish (89.993906%); Pelagic fish (&gt; 30 cm) (10.006094%)</x:t>
        </x:is>
      </x:c>
      <x:c r="F68" s="2" t="inlineStr">
        <x:is>
          <x:t xml:space="preserve">Medium</x:t>
        </x:is>
      </x:c>
      <x:c r="G68" s="2" t="inlineStr">
        <x:is>
          <x:t xml:space="preserve">All four regional queenfishes in the FAO guide exceed 30 cm and school in surface/coastal pelagic waters. This coherent regional genus supports the large-pelagic pair; juvenile/adult shares remain assumed. Model catch proportions provide the split; allocation confidence remains Medium.</x:t>
        </x:is>
      </x:c>
      <x:c r="H68" s="1"/>
      <x:c r="I68" s="1"/>
      <x:c r="J68" s="1"/>
      <x:c r="K68" s="1"/>
    </x:row>
    <x:row r="69" ht="96" customHeight="1" hidden="1">
      <x:c r="A69" s="2" t="str">
        <x:v>Elagatis bipinnulata</x:v>
      </x:c>
      <x:c r="B69" s="4" t="n">
        <x:v>4.27</x:v>
      </x:c>
      <x:c r="C69" s="5" t="n">
        <x:v>7658.0800287748</x:v>
      </x:c>
      <x:c r="D69" s="5" t="n">
        <x:v>1584445.812568483</x:v>
      </x:c>
      <x:c r="E69" s="2" t="inlineStr">
        <x:is>
          <x:t xml:space="preserve">Juvenile large pelagic fish (89.993906%); Pelagic fish (&gt; 30 cm) (10.006094%)</x:t>
        </x:is>
      </x:c>
      <x:c r="F69" s="2" t="inlineStr">
        <x:is>
          <x:t xml:space="preserve">Medium</x:t>
        </x:is>
      </x:c>
      <x:c r="G69"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x:t>
        </x:is>
      </x:c>
      <x:c r="H69" s="1"/>
      <x:c r="I69" s="1"/>
      <x:c r="J69" s="1"/>
      <x:c r="K69" s="1"/>
    </x:row>
    <x:row r="70" ht="48" customHeight="1" hidden="1">
      <x:c r="A70" s="2" t="str">
        <x:v>Octopoda</x:v>
      </x:c>
      <x:c r="B70" s="4" t="n">
        <x:v>3.58</x:v>
      </x:c>
      <x:c r="C70" s="5" t="n">
        <x:v>36830.0505057548</x:v>
      </x:c>
      <x:c r="D70" s="5" t="n">
        <x:v>1555821.6298043</x:v>
      </x:c>
      <x:c r="E70" s="2" t="inlineStr">
        <x:is>
          <x:t xml:space="preserve">Cephalopods (100.000000%)</x:t>
        </x:is>
      </x:c>
      <x:c r="F70" s="2" t="inlineStr">
        <x:is>
          <x:t xml:space="preserve">High</x:t>
        </x:is>
      </x:c>
      <x:c r="G70" s="2" t="inlineStr">
        <x:is>
          <x:t xml:space="preserve">Octopoda is within Cephalopoda. Biomass estimation from two dominant Loligo species does not restrict the source group to those species or to squid. No split is required.</x:t>
        </x:is>
      </x:c>
      <x:c r="H70" s="1"/>
      <x:c r="I70" s="1"/>
      <x:c r="J70" s="1"/>
      <x:c r="K70" s="1"/>
    </x:row>
    <x:row r="71" ht="80" customHeight="1" hidden="1">
      <x:c r="A71" s="2" t="str">
        <x:v>Miichthys miiuy</x:v>
      </x:c>
      <x:c r="B71" s="4" t="n">
        <x:v>3.5</x:v>
      </x:c>
      <x:c r="C71" s="5" t="n">
        <x:v>42680.9176965395</x:v>
      </x:c>
      <x:c r="D71" s="5" t="n">
        <x:v>1499654.583858357</x:v>
      </x:c>
      <x:c r="E71" s="2" t="inlineStr">
        <x:is>
          <x:t xml:space="preserve">Juvenile large croakers (89.873418%); Croakers (&gt; 30 cm) (10.126582%)</x:t>
        </x:is>
      </x:c>
      <x:c r="F71" s="2" t="inlineStr">
        <x:is>
          <x:t xml:space="preserve">Medium</x:t>
        </x:is>
      </x:c>
      <x:c r="G71" s="2" t="inlineStr">
        <x:is>
          <x:t xml:space="preserve">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x:t>
        </x:is>
      </x:c>
      <x:c r="H71" s="1"/>
      <x:c r="I71" s="1"/>
      <x:c r="J71" s="1"/>
      <x:c r="K71" s="1"/>
    </x:row>
    <x:row r="72" ht="64" customHeight="1" hidden="1">
      <x:c r="A72" s="2" t="str">
        <x:v>Lutjanus johnii</x:v>
      </x:c>
      <x:c r="B72" s="4" t="n">
        <x:v>4.2</x:v>
      </x:c>
      <x:c r="C72" s="5" t="n">
        <x:v>7946.9104821734</x:v>
      </x:c>
      <x:c r="D72" s="5" t="n">
        <x:v>1399444.9249216102</x:v>
      </x:c>
      <x:c r="E72" s="2" t="inlineStr">
        <x:is>
          <x:t xml:space="preserve">Snappers (100.000000%)</x:t>
        </x:is>
      </x:c>
      <x:c r="F72" s="2" t="inlineStr">
        <x:is>
          <x:t xml:space="preserve">High</x:t>
        </x:is>
      </x:c>
      <x:c r="G72" s="2" t="inlineStr">
        <x:is>
          <x:t xml:space="preserve">Lutjanus johnii is within Lutjanidae, expressly used as the source group boundary. Parameter species are examples, not a closed list; residual size/habitat pools do not compete. No split is required.</x:t>
        </x:is>
      </x:c>
      <x:c r="H72" s="1"/>
      <x:c r="I72" s="1"/>
      <x:c r="J72" s="1"/>
      <x:c r="K72" s="1"/>
    </x:row>
    <x:row r="73" ht="80" customHeight="1" hidden="1">
      <x:c r="A73" s="2" t="str">
        <x:v>Engraulidae</x:v>
      </x:c>
      <x:c r="B73" s="4" t="n">
        <x:v>3.2</x:v>
      </x:c>
      <x:c r="C73" s="5" t="n">
        <x:v>76599.9412264414</x:v>
      </x:c>
      <x:c r="D73" s="5" t="n">
        <x:v>1348919.1710300935</x:v>
      </x:c>
      <x:c r="E73" s="2" t="inlineStr">
        <x:is>
          <x:t xml:space="preserve">Pelagic fish (≤ 30 cm) (74.079924%); Juvenile large pelagic fish (23.326489%); Pelagic fish (&gt; 30 cm) (2.593587%)</x:t>
        </x:is>
      </x:c>
      <x:c r="F73" s="2" t="inlineStr">
        <x:is>
          <x:t xml:space="preserve">Medium</x:t>
        </x:is>
      </x:c>
      <x:c r="G73" s="2" t="inlineStr">
        <x:is>
          <x:t xml:space="preserve">Small anchovies and larger regional Coilia support both pelagic species-size classes. The reported Anchovies, round herrings label does not establish a species-level exclusion of Coilia; within-family composition is assumed. Source-model catch proportions supply an assumed fixed 1950–2019/all-bases mixture; they are not observed taxon-specific catches.</x:t>
        </x:is>
      </x:c>
      <x:c r="H73" s="1"/>
      <x:c r="I73" s="1"/>
      <x:c r="J73" s="1"/>
      <x:c r="K73" s="1"/>
    </x:row>
    <x:row r="74" ht="64" customHeight="1" hidden="1">
      <x:c r="A74" s="2" t="str">
        <x:v>Auxis</x:v>
      </x:c>
      <x:c r="B74" s="4" t="n">
        <x:v>4.24</x:v>
      </x:c>
      <x:c r="C74" s="5" t="n">
        <x:v>6916.7899304089</x:v>
      </x:c>
      <x:c r="D74" s="5" t="n">
        <x:v>1335555.9192611026</x:v>
      </x:c>
      <x:c r="E74" s="2" t="inlineStr">
        <x:is>
          <x:t xml:space="preserve">Juvenile large pelagic fish (89.993906%); Pelagic fish (&gt; 30 cm) (10.006094%)</x:t>
        </x:is>
      </x:c>
      <x:c r="F74" s="2" t="inlineStr">
        <x:is>
          <x:t xml:space="preserve">Medium</x:t>
        </x:is>
      </x:c>
      <x:c r="G74" s="2" t="inlineStr">
        <x:is>
          <x:t xml:space="preserve">Both regional Auxis species are epipelagic and have maxima above 30 cm. Their combined juvenile/adult large-pelagic eligibility is supported even though the catch age mixture is unknown. Model catch proportions provide the split; allocation confidence remains Medium.</x:t>
        </x:is>
      </x:c>
      <x:c r="H74" s="1"/>
      <x:c r="I74" s="1"/>
      <x:c r="J74" s="1"/>
      <x:c r="K74" s="1"/>
    </x:row>
    <x:row r="75" ht="64" customHeight="1" hidden="1">
      <x:c r="A75" s="2" t="str">
        <x:v>Nemipterus hexodon</x:v>
      </x:c>
      <x:c r="B75" s="4" t="n">
        <x:v>3.93</x:v>
      </x:c>
      <x:c r="C75" s="5" t="n">
        <x:v>13585.8701786107</x:v>
      </x:c>
      <x:c r="D75" s="5" t="n">
        <x:v>1284827.8767883207</x:v>
      </x:c>
      <x:c r="E75" s="2" t="inlineStr">
        <x:is>
          <x:t xml:space="preserve">Threadfin bream (nemipterids) (100.000000%)</x:t>
        </x:is>
      </x:c>
      <x:c r="F75" s="2" t="inlineStr">
        <x:is>
          <x:t xml:space="preserve">High</x:t>
        </x:is>
      </x:c>
      <x:c r="G75" s="2" t="inlineStr">
        <x:is>
          <x:t xml:space="preserve">Nemipterus hexodon is within Nemipteridae, expressly used as the source group boundary. Parameter species are examples, not a closed list; residual size/habitat pools do not compete. No split is required.</x:t>
        </x:is>
      </x:c>
      <x:c r="H75" s="1"/>
      <x:c r="I75" s="1"/>
      <x:c r="J75" s="1"/>
      <x:c r="K75" s="1"/>
    </x:row>
    <x:row r="76" ht="80" customHeight="1" hidden="1">
      <x:c r="A76" s="2" t="str">
        <x:v>Mullidae</x:v>
      </x:c>
      <x:c r="B76" s="4" t="n">
        <x:v>3.46</x:v>
      </x:c>
      <x:c r="C76" s="5" t="n">
        <x:v>39231.4233161052</x:v>
      </x:c>
      <x:c r="D76" s="5" t="n">
        <x:v>1257162.8972904785</x:v>
      </x:c>
      <x:c r="E76" s="2" t="inlineStr">
        <x:is>
          <x:t xml:space="preserve">Demesral fish (≤ 30 cm) (33.704053%); Juvenile demersal fish (&gt; 30 cm) (59.660697%); Adult demersal fish (&gt; 30 cm) (6.635250%)</x:t>
        </x:is>
      </x:c>
      <x:c r="F76" s="2" t="inlineStr">
        <x:is>
          <x:t xml:space="preserve">Medium</x:t>
        </x:is>
      </x:c>
      <x:c r="G76" s="2" t="inlineStr">
        <x:is>
          <x:t xml:space="preserve">Bottom-foraging Upeneus moluccensis (22.5 cm TL) and Parupeneus barberinus (60 cm TL) support both residual demersal size classes. Extension to the regional family reporting category is an explicit assumption. Source-model catch proportions supply an assumed fixed 1950–2019/all-bases mixture; they are not observed taxon-specific catches.</x:t>
        </x:is>
      </x:c>
      <x:c r="H76" s="1"/>
      <x:c r="I76" s="1"/>
      <x:c r="J76" s="1"/>
      <x:c r="K76" s="1"/>
    </x:row>
    <x:row r="77" ht="64" customHeight="1" hidden="1">
      <x:c r="A77" s="2" t="str">
        <x:v>Nemipteridae</x:v>
      </x:c>
      <x:c r="B77" s="4" t="n">
        <x:v>3.51</x:v>
      </x:c>
      <x:c r="C77" s="5" t="n">
        <x:v>33833.8901205483</x:v>
      </x:c>
      <x:c r="D77" s="5" t="n">
        <x:v>1216492.4702514932</x:v>
      </x:c>
      <x:c r="E77" s="2" t="inlineStr">
        <x:is>
          <x:t xml:space="preserve">Threadfin bream (nemipterids) (100.000000%)</x:t>
        </x:is>
      </x:c>
      <x:c r="F77" s="2" t="inlineStr">
        <x:is>
          <x:t xml:space="preserve">High</x:t>
        </x:is>
      </x:c>
      <x:c r="G77" s="2" t="inlineStr">
        <x:is>
          <x:t xml:space="preserve">Nemipteridae is within Nemipteridae, expressly used as the source group boundary. Parameter species are examples, not a closed list; residual size/habitat pools do not compete. No split is required.</x:t>
        </x:is>
      </x:c>
      <x:c r="H77" s="1"/>
      <x:c r="I77" s="1"/>
      <x:c r="J77" s="1"/>
      <x:c r="K77" s="1"/>
    </x:row>
    <x:row r="78" ht="64" customHeight="1" hidden="1">
      <x:c r="A78" s="2" t="str">
        <x:v>Trichiurus</x:v>
      </x:c>
      <x:c r="B78" s="4" t="n">
        <x:v>4.42</x:v>
      </x:c>
      <x:c r="C78" s="5" t="n">
        <x:v>4154.2252479521</x:v>
      </x:c>
      <x:c r="D78" s="5" t="n">
        <x:v>1214080.6334235624</x:v>
      </x:c>
      <x:c r="E78" s="2" t="inlineStr">
        <x:is>
          <x:t xml:space="preserve">Juvenile Hairtail (trichiurids) (79.545455%); Adult hairtail (trichiurids) (20.454545%)</x:t>
        </x:is>
      </x:c>
      <x:c r="F78" s="2" t="inlineStr">
        <x:is>
          <x:t xml:space="preserve">Medium</x:t>
        </x:is>
      </x:c>
      <x:c r="G78" s="2" t="inlineStr">
        <x:is>
          <x:t xml:space="preserve">Trichiurus is a trichiurid covered by the source juvenile/adult hairtail pair. The 18-month boundary affects allocation, not membership in that pair. Model catch proportions provide the split; allocation confidence remains Medium.</x:t>
        </x:is>
      </x:c>
      <x:c r="H78" s="1"/>
      <x:c r="I78" s="1"/>
      <x:c r="J78" s="1"/>
      <x:c r="K78" s="1"/>
    </x:row>
    <x:row r="79" ht="64" customHeight="1" hidden="1">
      <x:c r="A79" s="2" t="str">
        <x:v>Serranidae</x:v>
      </x:c>
      <x:c r="B79" s="4" t="n">
        <x:v>3.98</x:v>
      </x:c>
      <x:c r="C79" s="5" t="n">
        <x:v>11129.0768242422</x:v>
      </x:c>
      <x:c r="D79" s="5" t="n">
        <x:v>1180909.5396015877</x:v>
      </x:c>
      <x:c r="E79" s="2" t="inlineStr">
        <x:is>
          <x:t xml:space="preserve">Adult groupers (100.000000%)</x:t>
        </x:is>
      </x:c>
      <x:c r="F79" s="2" t="inlineStr">
        <x:is>
          <x:t xml:space="preserve">High</x:t>
        </x:is>
      </x:c>
      <x:c r="G79" s="2" t="inlineStr">
        <x:is>
          <x:t xml:space="preserve">Serranidae fits the source Serranidae concept. The thesis defines one family pool and no juvenile grouper stanza; the stored word Adult does not by itself establish an age restriction. No split is required.</x:t>
        </x:is>
      </x:c>
      <x:c r="H79" s="1"/>
      <x:c r="I79" s="1"/>
      <x:c r="J79" s="1"/>
      <x:c r="K79" s="1"/>
    </x:row>
    <x:row r="80" ht="80" customHeight="1" hidden="1">
      <x:c r="A80" s="2" t="str">
        <x:v>Carcharhinidae</x:v>
      </x:c>
      <x:c r="B80" s="4" t="n">
        <x:v>4.24</x:v>
      </x:c>
      <x:c r="C80" s="5" t="n">
        <x:v>5872.7986883923</x:v>
      </x:c>
      <x:c r="D80" s="5" t="n">
        <x:v>1133972.7141962654</x:v>
      </x:c>
      <x:c r="E80" s="2" t="inlineStr">
        <x:is>
          <x:t xml:space="preserve">Demersal sharks and rays (58.823529%); Pelagic sharks and rays (41.176471%)</x:t>
        </x:is>
      </x:c>
      <x:c r="F80" s="2" t="inlineStr">
        <x:is>
          <x:t xml:space="preserve">Medium</x:t>
        </x:is>
      </x:c>
      <x:c r="G80"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H80" s="1"/>
      <x:c r="I80" s="1"/>
      <x:c r="J80" s="1"/>
      <x:c r="K80" s="1"/>
    </x:row>
    <x:row r="81" ht="64" customHeight="1" hidden="1">
      <x:c r="A81" s="2" t="str">
        <x:v>Cephalopholis boenak</x:v>
      </x:c>
      <x:c r="B81" s="4" t="n">
        <x:v>4.07</x:v>
      </x:c>
      <x:c r="C81" s="5" t="n">
        <x:v>8658.6013728768</x:v>
      </x:c>
      <x:c r="D81" s="5" t="n">
        <x:v>1130329.9535765564</x:v>
      </x:c>
      <x:c r="E81" s="2" t="inlineStr">
        <x:is>
          <x:t xml:space="preserve">Adult groupers (100.000000%)</x:t>
        </x:is>
      </x:c>
      <x:c r="F81" s="2" t="inlineStr">
        <x:is>
          <x:t xml:space="preserve">High</x:t>
        </x:is>
      </x:c>
      <x:c r="G81" s="2" t="inlineStr">
        <x:is>
          <x:t xml:space="preserve">Cephalopholis boenak fits the source Serranidae concept. The thesis defines one family pool and no juvenile grouper stanza; the stored word Adult does not by itself establish an age restriction. No split is required.</x:t>
        </x:is>
      </x:c>
      <x:c r="H81" s="1"/>
      <x:c r="I81" s="1"/>
      <x:c r="J81" s="1"/>
      <x:c r="K81" s="1"/>
    </x:row>
    <x:row r="82" ht="64" customHeight="1">
      <x:c r="A82" s="2" t="str">
        <x:v>Caranx</x:v>
      </x:c>
      <x:c r="B82" s="4" t="n">
        <x:v>4.12</x:v>
      </x:c>
      <x:c r="C82" s="5" t="n">
        <x:v>7710.3341813812</x:v>
      </x:c>
      <x:c r="D82" s="5" t="n">
        <x:v>1129355.5545697303</x:v>
      </x:c>
      <x:c r="E82" s="2" t="inlineStr">
        <x:is>
          <x:t xml:space="preserve">Juvenile large pelagic fish (89.993906%); Pelagic fish (&gt; 30 cm) (10.006094%)</x:t>
        </x:is>
      </x:c>
      <x:c r="F82" s="2" t="inlineStr">
        <x:is>
          <x:t xml:space="preserve">Low</x:t>
        </x:is>
      </x:c>
      <x:c r="G82" s="2" t="inlineStr">
        <x:is>
          <x:t xml:space="preserve">Regional Caranx includes bottom-associated inshore jacks as well as pelagic forms. Large size alone does not establish whole-genus membership in the adopted pelagic pair. Model catch proportions provide the split; allocation confidence remains Medium.</x:t>
        </x:is>
      </x:c>
      <x:c r="H82" s="1"/>
      <x:c r="I82" s="1"/>
      <x:c r="J82" s="1"/>
      <x:c r="K82" s="1"/>
    </x:row>
    <x:row r="83" ht="80" customHeight="1" hidden="1">
      <x:c r="A83" s="2" t="str">
        <x:v>Clupeidae</x:v>
      </x:c>
      <x:c r="B83" s="4" t="n">
        <x:v>3.16</x:v>
      </x:c>
      <x:c r="C83" s="5" t="n">
        <x:v>67673.449645598</x:v>
      </x:c>
      <x:c r="D83" s="5" t="n">
        <x:v>1086865.5060146586</x:v>
      </x:c>
      <x:c r="E83" s="2" t="inlineStr">
        <x:is>
          <x:t xml:space="preserve">Pelagic fish (≤ 30 cm) (74.079924%); Juvenile large pelagic fish (23.326489%); Pelagic fish (&gt; 30 cm) (2.593587%)</x:t>
        </x:is>
      </x:c>
      <x:c r="F83" s="2" t="inlineStr">
        <x:is>
          <x:t xml:space="preserve">Medium</x:t>
        </x:is>
      </x:c>
      <x:c r="G83" s="2" t="inlineStr">
        <x:is>
          <x:t xml:space="preserve">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t>
        </x:is>
      </x:c>
      <x:c r="H83" s="1"/>
      <x:c r="I83" s="1"/>
      <x:c r="J83" s="1"/>
      <x:c r="K83" s="1"/>
    </x:row>
    <x:row r="84" ht="80" customHeight="1" hidden="1">
      <x:c r="A84" s="2" t="str">
        <x:v>Netuma thalassina</x:v>
      </x:c>
      <x:c r="B84" s="4" t="n">
        <x:v>3.54</x:v>
      </x:c>
      <x:c r="C84" s="5" t="n">
        <x:v>28164.0246240651</x:v>
      </x:c>
      <x:c r="D84" s="5" t="n">
        <x:v>1085056.1326906534</x:v>
      </x:c>
      <x:c r="E84" s="2" t="inlineStr">
        <x:is>
          <x:t xml:space="preserve">Juvenile demersal fish (&gt; 30 cm) (89.991470%); Adult demersal fish (&gt; 30 cm) (10.008530%)</x:t>
        </x:is>
      </x:c>
      <x:c r="F84" s="2" t="inlineStr">
        <x:is>
          <x:t xml:space="preserve">Medium</x:t>
        </x:is>
      </x:c>
      <x:c r="G84" s="2" t="inlineStr">
        <x:is>
          <x:t xml:space="preserve">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x:t>
        </x:is>
      </x:c>
      <x:c r="H84" s="1"/>
      <x:c r="I84" s="1"/>
      <x:c r="J84" s="1"/>
      <x:c r="K84" s="1"/>
    </x:row>
    <x:row r="85" ht="80" customHeight="1" hidden="1">
      <x:c r="A85" s="2" t="str">
        <x:v>Chirocentrus dorab</x:v>
      </x:c>
      <x:c r="B85" s="4" t="n">
        <x:v>4.2</x:v>
      </x:c>
      <x:c r="C85" s="5" t="n">
        <x:v>5964.151628291799</x:v>
      </x:c>
      <x:c r="D85" s="5" t="n">
        <x:v>1050282.5904983934</x:v>
      </x:c>
      <x:c r="E85" s="2" t="inlineStr">
        <x:is>
          <x:t xml:space="preserve">Juvenile large pelagic fish (89.993906%); Pelagic fish (&gt; 30 cm) (10.006094%)</x:t>
        </x:is>
      </x:c>
      <x:c r="F85" s="2" t="inlineStr">
        <x:is>
          <x:t xml:space="preserve">Medium</x:t>
        </x:is>
      </x:c>
      <x:c r="G85" s="2" t="inlineStr">
        <x:is>
          <x:t xml:space="preserve">FAO identifies a coastal pelagic wolf-herring with maximum 100 cm SL, securely above 30 cm TL. The large pelagic pair replaces group 27; neither a reef tag nor common-name herring makes this a benthopelagic or small species. Source-model catch proportions supply an assumed fixed 1950–2019/all-bases mixture; they are not observed taxon-specific catches.</x:t>
        </x:is>
      </x:c>
      <x:c r="H85" s="1"/>
      <x:c r="I85" s="1"/>
      <x:c r="J85" s="1"/>
      <x:c r="K85" s="1"/>
    </x:row>
    <x:row r="86" ht="112" customHeight="1" hidden="1">
      <x:c r="A86" s="2" t="str">
        <x:v>Thunnus obesus</x:v>
      </x:c>
      <x:c r="B86" s="4" t="n">
        <x:v>4.49</x:v>
      </x:c>
      <x:c r="C86" s="5" t="n">
        <x:v>2997.0257728214</x:v>
      </x:c>
      <x:c r="D86" s="5" t="n">
        <x:v>1029077.2285417212</x:v>
      </x:c>
      <x:c r="E86" s="2" t="inlineStr">
        <x:is>
          <x:t xml:space="preserve">Juvenile large pelagic fish (89.993906%); Pelagic fish (&gt; 30 cm) (10.006094%)</x:t>
        </x:is>
      </x:c>
      <x:c r="F86" s="2" t="inlineStr">
        <x:is>
          <x:t xml:space="preserve">Medium</x:t>
        </x:is>
      </x:c>
      <x:c r="G86"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t>
        </x:is>
      </x:c>
      <x:c r="H86" s="1"/>
      <x:c r="I86" s="1"/>
      <x:c r="J86" s="1"/>
      <x:c r="K86" s="1"/>
    </x:row>
    <x:row r="87" ht="80" customHeight="1" hidden="1">
      <x:c r="A87" s="2" t="str">
        <x:v>Dendrobranchiata</x:v>
      </x:c>
      <x:c r="B87" s="4" t="n">
        <x:v>3.24</x:v>
      </x:c>
      <x:c r="C87" s="5" t="n">
        <x:v>52876.4363510987</x:v>
      </x:c>
      <x:c r="D87" s="5" t="n">
        <x:v>1020985.721247255</x:v>
      </x:c>
      <x:c r="E87" s="2" t="inlineStr">
        <x:is>
          <x:t xml:space="preserve">Zooplankton (12.254395%); Shrimps (87.745605%)</x:t>
        </x:is>
      </x:c>
      <x:c r="F87" s="2" t="inlineStr">
        <x:is>
          <x:t xml:space="preserve">Medium</x:t>
        </x:is>
      </x:c>
      <x:c r="G87" s="2" t="inlineStr">
        <x:is>
          <x:t xml:space="preserve">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t>
        </x:is>
      </x:c>
      <x:c r="H87" s="1"/>
      <x:c r="I87" s="1"/>
      <x:c r="J87" s="1"/>
      <x:c r="K87" s="1"/>
    </x:row>
    <x:row r="88" ht="57.0" customHeight="1" hidden="1">
      <x:c r="A88" s="2" t="str">
        <x:v>Penaeus merguiensis</x:v>
      </x:c>
      <x:c r="B88" s="4" t="n">
        <x:v>3.77</x:v>
      </x:c>
      <x:c r="C88" s="5" t="n">
        <x:v>15088.0945073802</x:v>
      </x:c>
      <x:c r="D88" s="5" t="n">
        <x:v>987169.8580084824</x:v>
      </x:c>
      <x:c r="E88" s="2" t="inlineStr">
        <x:is>
          <x:t xml:space="preserve">Shrimps (100.000000%)</x:t>
        </x:is>
      </x:c>
      <x:c r="F88" s="2" t="inlineStr">
        <x:is>
          <x:t xml:space="preserve">High</x:t>
        </x:is>
      </x:c>
      <x:c r="G88" s="2" t="inlineStr">
        <x:is>
          <x:t xml:space="preserve">Penaeus merguiensis is a non-Acetes shrimp lineage. Shrimps is broader than the Metapenaeopsis mortality examples; the explicit Acetes/Zooplankton exception is excluded. No split is required.</x:t>
        </x:is>
      </x:c>
      <x:c r="H88" s="1"/>
      <x:c r="I88" s="1"/>
      <x:c r="J88" s="1"/>
      <x:c r="K88" s="1"/>
    </x:row>
    <x:row r="89" ht="80" customHeight="1" hidden="1">
      <x:c r="A89" s="2" t="str">
        <x:v>Psettodes erumei</x:v>
      </x:c>
      <x:c r="B89" s="4" t="n">
        <x:v>4.39</x:v>
      </x:c>
      <x:c r="C89" s="5" t="n">
        <x:v>3577.1770297484</x:v>
      </x:c>
      <x:c r="D89" s="5" t="n">
        <x:v>975658.7053230093</x:v>
      </x:c>
      <x:c r="E89" s="2" t="inlineStr">
        <x:is>
          <x:t xml:space="preserve">Juvenile demersal fish (&gt; 30 cm) (89.991470%); Adult demersal fish (&gt; 30 cm) (10.008530%)</x:t>
        </x:is>
      </x:c>
      <x:c r="F89" s="2" t="inlineStr">
        <x:is>
          <x:t xml:space="preserve">Medium</x:t>
        </x:is>
      </x:c>
      <x:c r="G89" s="2" t="inlineStr">
        <x:is>
          <x:t xml:space="preserve">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x:t>
        </x:is>
      </x:c>
      <x:c r="H89" s="1"/>
      <x:c r="I89" s="1"/>
      <x:c r="J89" s="1"/>
      <x:c r="K89" s="1"/>
    </x:row>
    <x:row r="90" ht="87.0" customHeight="1" hidden="1">
      <x:c r="A90" s="2" t="str">
        <x:v>Miscellaneous marine crustaceans</x:v>
      </x:c>
      <x:c r="B90" s="4" t="n">
        <x:v>2.7</x:v>
      </x:c>
      <x:c r="C90" s="5" t="n">
        <x:v>173426.4016760023</x:v>
      </x:c>
      <x:c r="D90" s="5" t="n">
        <x:v>965767.761043642</x:v>
      </x:c>
      <x:c r="E90" s="2" t="inlineStr">
        <x:is>
          <x:t xml:space="preserve">Zooplankton (9.363888%); Benthic crustaceans (3.862110%); Shrimps (67.048597%); Crabs (19.725405%)</x:t>
        </x:is>
      </x:c>
      <x:c r="F90" s="2" t="inlineStr">
        <x:is>
          <x:t xml:space="preserve">Medium</x:t>
        </x:is>
      </x:c>
      <x:c r="G90"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H90" s="1"/>
      <x:c r="I90" s="1"/>
      <x:c r="J90" s="1"/>
      <x:c r="K90" s="1"/>
    </x:row>
    <x:row r="91" ht="96" customHeight="1" hidden="1">
      <x:c r="A91" s="2" t="str">
        <x:v>Selar crumenophthalmus</x:v>
      </x:c>
      <x:c r="B91" s="4" t="n">
        <x:v>3.81</x:v>
      </x:c>
      <x:c r="C91" s="5" t="n">
        <x:v>13060.5178075145</x:v>
      </x:c>
      <x:c r="D91" s="5" t="n">
        <x:v>936953.1728671294</x:v>
      </x:c>
      <x:c r="E91" s="2" t="inlineStr">
        <x:is>
          <x:t xml:space="preserve">Juvenile large pelagic fish (89.993906%); Pelagic fish (&gt; 30 cm) (10.006094%)</x:t>
        </x:is>
      </x:c>
      <x:c r="F91" s="2" t="inlineStr">
        <x:is>
          <x:t xml:space="preserve">Medium</x:t>
        </x:is>
      </x:c>
      <x:c r="G91"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x:t>
        </x:is>
      </x:c>
      <x:c r="H91" s="1"/>
      <x:c r="I91" s="1"/>
      <x:c r="J91" s="1"/>
      <x:c r="K91" s="1"/>
    </x:row>
    <x:row r="92" ht="64" customHeight="1" hidden="1">
      <x:c r="A92" s="2" t="str">
        <x:v>Sardinella</x:v>
      </x:c>
      <x:c r="B92" s="4" t="n">
        <x:v>2.77</x:v>
      </x:c>
      <x:c r="C92" s="5" t="n">
        <x:v>142727.7340288096</x:v>
      </x:c>
      <x:c r="D92" s="5" t="n">
        <x:v>933825.7847349391</x:v>
      </x:c>
      <x:c r="E92" s="2" t="inlineStr">
        <x:is>
          <x:t xml:space="preserve">Pelagic fish (≤ 30 cm) (100.000000%)</x:t>
        </x:is>
      </x:c>
      <x:c r="F92" s="2" t="inlineStr">
        <x:is>
          <x:t xml:space="preserve">Medium</x:t>
        </x:is>
      </x:c>
      <x:c r="G92" s="2" t="inlineStr">
        <x:is>
          <x:t xml:space="preserve">Source sardine examples and the regional small-pelagic reporting category support placement. A large global member such as S. aurita does not prove regional misplacement. A complete regional species composition and TL boundary remain unverified. No split is required.</x:t>
        </x:is>
      </x:c>
      <x:c r="H92" s="1"/>
      <x:c r="I92" s="1"/>
      <x:c r="J92" s="1"/>
      <x:c r="K92" s="1"/>
    </x:row>
    <x:row r="93" ht="48" customHeight="1" hidden="1">
      <x:c r="A93" s="2" t="str">
        <x:v>Rhizostomeae</x:v>
      </x:c>
      <x:c r="B93" s="4" t="n">
        <x:v>3.46</x:v>
      </x:c>
      <x:c r="C93" s="5" t="n">
        <x:v>27768.5620784986</x:v>
      </x:c>
      <x:c r="D93" s="5" t="n">
        <x:v>889837.8647879644</x:v>
      </x:c>
      <x:c r="E93" s="2" t="inlineStr">
        <x:is>
          <x:t xml:space="preserve">Jellyfish (100.000000%)</x:t>
        </x:is>
      </x:c>
      <x:c r="F93" s="2" t="inlineStr">
        <x:is>
          <x:t xml:space="preserve">High</x:t>
        </x:is>
      </x:c>
      <x:c r="G93" s="2" t="inlineStr">
        <x:is>
          <x:t xml:space="preserve">Rhizostomeae is a scyphozoan jellyfish lineage fitting the source Cnidaria-medusae and landed-jellyfish concept, rather than all Cnidaria. No split is required.</x:t>
        </x:is>
      </x:c>
      <x:c r="H93" s="1"/>
      <x:c r="I93" s="1"/>
      <x:c r="J93" s="1"/>
      <x:c r="K93" s="1"/>
    </x:row>
    <x:row r="94" ht="80" customHeight="1">
      <x:c r="A94" s="2" t="str">
        <x:v>Sphyraenidae</x:v>
      </x:c>
      <x:c r="B94" s="4" t="n">
        <x:v>4.4</x:v>
      </x:c>
      <x:c r="C94" s="5" t="n">
        <x:v>3141.5423336535</x:v>
      </x:c>
      <x:c r="D94" s="5" t="n">
        <x:v>876799.7291019083</x:v>
      </x:c>
      <x:c r="E94" s="2" t="inlineStr">
        <x:is>
          <x:t xml:space="preserve">Juvenile large pelagic fish (89.993906%); Pelagic fish (&gt; 30 cm) (10.006094%)</x:t>
        </x:is>
      </x:c>
      <x:c r="F94" s="2" t="inlineStr">
        <x:is>
          <x:t xml:space="preserve">Low</x:t>
        </x:is>
      </x:c>
      <x:c r="G94" s="2" t="inlineStr">
        <x:is>
          <x:t xml:space="preserve">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x:t>
        </x:is>
      </x:c>
      <x:c r="H94" s="1"/>
      <x:c r="I94" s="1"/>
      <x:c r="J94" s="1"/>
      <x:c r="K94" s="1"/>
    </x:row>
    <x:row r="95" ht="64" customHeight="1" hidden="1">
      <x:c r="A95" s="2" t="str">
        <x:v>Stolephorus</x:v>
      </x:c>
      <x:c r="B95" s="4" t="n">
        <x:v>3.44</x:v>
      </x:c>
      <x:c r="C95" s="5" t="n">
        <x:v>26512.2218552843</x:v>
      </x:c>
      <x:c r="D95" s="5" t="n">
        <x:v>811341.3602565941</x:v>
      </x:c>
      <x:c r="E95" s="2" t="inlineStr">
        <x:is>
          <x:t xml:space="preserve">Pelagic fish (≤ 30 cm) (100.000000%)</x:t>
        </x:is>
      </x:c>
      <x:c r="F95" s="2" t="inlineStr">
        <x:is>
          <x:t xml:space="preserve">Medium</x:t>
        </x:is>
      </x:c>
      <x:c r="G95" s="2" t="inlineStr">
        <x:is>
          <x:t xml:space="preserve">The genus inventory supports a small-bodied pelagic lineage without a dedicated competing group. Most maxima are SL or unspecified; the full regional catch concept and TL boundary remain inferred. No split is required.</x:t>
        </x:is>
      </x:c>
      <x:c r="H95" s="1"/>
      <x:c r="I95" s="1"/>
      <x:c r="J95" s="1"/>
      <x:c r="K95" s="1"/>
    </x:row>
    <x:row r="96" ht="48" customHeight="1" hidden="1">
      <x:c r="A96" s="2" t="str">
        <x:v>Acetes japonicus</x:v>
      </x:c>
      <x:c r="B96" s="4" t="n">
        <x:v>2.54</x:v>
      </x:c>
      <x:c r="C96" s="5" t="n">
        <x:v>209803.6342747194</x:v>
      </x:c>
      <x:c r="D96" s="5" t="n">
        <x:v>808296.1262434559</x:v>
      </x:c>
      <x:c r="E96" s="2" t="inlineStr">
        <x:is>
          <x:t xml:space="preserve">Zooplankton (100.000000%)</x:t>
        </x:is>
      </x:c>
      <x:c r="F96" s="2" t="inlineStr">
        <x:is>
          <x:t xml:space="preserve">High</x:t>
        </x:is>
      </x:c>
      <x:c r="G96" s="2" t="inlineStr">
        <x:is>
          <x:t xml:space="preserve">Acetes spp. catch is explicitly assigned to Zooplankton. Acetes japonicus belongs to that genus, overriding the shrimp-like common name. No split is required.</x:t>
        </x:is>
      </x:c>
      <x:c r="H96" s="1"/>
      <x:c r="I96" s="1"/>
      <x:c r="J96" s="1"/>
      <x:c r="K96" s="1"/>
    </x:row>
    <x:row r="97" ht="48" customHeight="1" hidden="1">
      <x:c r="A97" s="2" t="str">
        <x:v>Penaeidae</x:v>
      </x:c>
      <x:c r="B97" s="4" t="n">
        <x:v>3.31</x:v>
      </x:c>
      <x:c r="C97" s="5" t="n">
        <x:v>35566.546499536</x:v>
      </x:c>
      <x:c r="D97" s="5" t="n">
        <x:v>806861.8616550657</x:v>
      </x:c>
      <x:c r="E97" s="2" t="inlineStr">
        <x:is>
          <x:t xml:space="preserve">Shrimps (100.000000%)</x:t>
        </x:is>
      </x:c>
      <x:c r="F97" s="2" t="inlineStr">
        <x:is>
          <x:t xml:space="preserve">High</x:t>
        </x:is>
      </x:c>
      <x:c r="G97" s="2" t="inlineStr">
        <x:is>
          <x:t xml:space="preserve">Penaeidae is a non-Acetes shrimp lineage. Shrimps is broader than the Metapenaeopsis mortality examples; the explicit Acetes/Zooplankton exception is excluded. No split is required.</x:t>
        </x:is>
      </x:c>
      <x:c r="H97" s="1"/>
      <x:c r="I97" s="1"/>
      <x:c r="J97" s="1"/>
      <x:c r="K97" s="1"/>
    </x:row>
    <x:row r="98" ht="64" customHeight="1" hidden="1">
      <x:c r="A98" s="2" t="str">
        <x:v>Pennahia</x:v>
      </x:c>
      <x:c r="B98" s="4" t="n">
        <x:v>3.73</x:v>
      </x:c>
      <x:c r="C98" s="5" t="n">
        <x:v>13249.6331366305</x:v>
      </x:c>
      <x:c r="D98" s="5" t="n">
        <x:v>790608.2538457225</x:v>
      </x:c>
      <x:c r="E98" s="2" t="inlineStr">
        <x:is>
          <x:t xml:space="preserve">Croakers (≤ 30 cm) (100.000000%)</x:t>
        </x:is>
      </x:c>
      <x:c r="F98" s="2" t="inlineStr">
        <x:is>
          <x:t xml:space="preserve">High</x:t>
        </x:is>
      </x:c>
      <x:c r="G98" s="2" t="inlineStr">
        <x:is>
          <x:t xml:space="preserve">Pennahia spp. and the argentatus spelling are explicitly assigned to small croakers. Pennahia is covered by the genus assignment; generic modern size classes do not override the source exception. No split is required.</x:t>
        </x:is>
      </x:c>
      <x:c r="H98" s="1"/>
      <x:c r="I98" s="1"/>
      <x:c r="J98" s="1"/>
      <x:c r="K98" s="1"/>
    </x:row>
    <x:row r="99" ht="64" customHeight="1" hidden="1">
      <x:c r="A99" s="2" t="str">
        <x:v>Nemipterus virgatus</x:v>
      </x:c>
      <x:c r="B99" s="4" t="n">
        <x:v>3.99</x:v>
      </x:c>
      <x:c r="C99" s="5" t="n">
        <x:v>7017.575097194001</x:v>
      </x:c>
      <x:c r="D99" s="5" t="n">
        <x:v>761981.7317589524</x:v>
      </x:c>
      <x:c r="E99" s="2" t="inlineStr">
        <x:is>
          <x:t xml:space="preserve">Threadfin bream (nemipterids) (100.000000%)</x:t>
        </x:is>
      </x:c>
      <x:c r="F99" s="2" t="inlineStr">
        <x:is>
          <x:t xml:space="preserve">High</x:t>
        </x:is>
      </x:c>
      <x:c r="G99" s="2" t="inlineStr">
        <x:is>
          <x:t xml:space="preserve">Nemipterus virgatus is within Nemipteridae, expressly used as the source group boundary. Parameter species are examples, not a closed list; residual size/habitat pools do not compete. No split is required.</x:t>
        </x:is>
      </x:c>
      <x:c r="H99" s="1"/>
      <x:c r="I99" s="1"/>
      <x:c r="J99" s="1"/>
      <x:c r="K99" s="1"/>
    </x:row>
    <x:row r="100" ht="48" customHeight="1" hidden="1">
      <x:c r="A100" s="2" t="str">
        <x:v>Rhopilema esculentum</x:v>
      </x:c>
      <x:c r="B100" s="4" t="n">
        <x:v>3.01</x:v>
      </x:c>
      <x:c r="C100" s="5" t="n">
        <x:v>63412.2047284907</x:v>
      </x:c>
      <x:c r="D100" s="5" t="n">
        <x:v>720991.8302637447</x:v>
      </x:c>
      <x:c r="E100" s="2" t="inlineStr">
        <x:is>
          <x:t xml:space="preserve">Jellyfish (100.000000%)</x:t>
        </x:is>
      </x:c>
      <x:c r="F100" s="2" t="inlineStr">
        <x:is>
          <x:t xml:space="preserve">High</x:t>
        </x:is>
      </x:c>
      <x:c r="G100" s="2" t="inlineStr">
        <x:is>
          <x:t xml:space="preserve">Rhopilema esculentum is a scyphozoan jellyfish lineage fitting the source Cnidaria-medusae and landed-jellyfish concept, rather than all Cnidaria. No split is required.</x:t>
        </x:is>
      </x:c>
      <x:c r="H100" s="1"/>
      <x:c r="I100" s="1"/>
      <x:c r="J100" s="1"/>
      <x:c r="K100" s="1"/>
    </x:row>
    <x:row r="101" ht="64" customHeight="1" hidden="1">
      <x:c r="A101" s="2" t="str">
        <x:v>Pristipomoides</x:v>
      </x:c>
      <x:c r="B101" s="4" t="n">
        <x:v>3.91</x:v>
      </x:c>
      <x:c r="C101" s="5" t="n">
        <x:v>7826.889349014599</x:v>
      </x:c>
      <x:c r="D101" s="5" t="n">
        <x:v>706881.6121687589</x:v>
      </x:c>
      <x:c r="E101" s="2" t="inlineStr">
        <x:is>
          <x:t xml:space="preserve">Snappers (100.000000%)</x:t>
        </x:is>
      </x:c>
      <x:c r="F101" s="2" t="inlineStr">
        <x:is>
          <x:t xml:space="preserve">High</x:t>
        </x:is>
      </x:c>
      <x:c r="G101" s="2" t="inlineStr">
        <x:is>
          <x:t xml:space="preserve">Pristipomoides is within Lutjanidae, expressly used as the source group boundary. Parameter species are examples, not a closed list; residual size/habitat pools do not compete. No split is required.</x:t>
        </x:is>
      </x:c>
      <x:c r="H101" s="1"/>
      <x:c r="I101" s="1"/>
      <x:c r="J101" s="1"/>
      <x:c r="K101" s="1"/>
    </x:row>
    <x:row r="102" ht="80" customHeight="1" hidden="1">
      <x:c r="A102" s="2" t="str">
        <x:v>Chirocentrus</x:v>
      </x:c>
      <x:c r="B102" s="4" t="n">
        <x:v>4.3</x:v>
      </x:c>
      <x:c r="C102" s="5" t="n">
        <x:v>3160.4761486726</x:v>
      </x:c>
      <x:c r="D102" s="5" t="n">
        <x:v>700664.3285338244</x:v>
      </x:c>
      <x:c r="E102" s="2" t="inlineStr">
        <x:is>
          <x:t xml:space="preserve">Juvenile large pelagic fish (89.993906%); Pelagic fish (&gt; 30 cm) (10.006094%)</x:t>
        </x:is>
      </x:c>
      <x:c r="F102" s="2" t="inlineStr">
        <x:is>
          <x:t xml:space="preserve">Medium</x:t>
        </x:is>
      </x:c>
      <x:c r="G102" s="2" t="inlineStr">
        <x:is>
          <x:t xml:space="preserve">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x:t>
        </x:is>
      </x:c>
      <x:c r="H102" s="1"/>
      <x:c r="I102" s="1"/>
      <x:c r="J102" s="1"/>
      <x:c r="K102" s="1"/>
    </x:row>
    <x:row r="103" ht="112" customHeight="1">
      <x:c r="A103" s="2" t="str">
        <x:v>Caesionidae</x:v>
      </x:c>
      <x:c r="B103" s="4" t="n">
        <x:v>3.39</x:v>
      </x:c>
      <x:c r="C103" s="5" t="n">
        <x:v>24658.9613597869</x:v>
      </x:c>
      <x:c r="D103" s="5" t="n">
        <x:v>672561.9144600176</x:v>
      </x:c>
      <x:c r="E103" s="2" t="inlineStr">
        <x:is>
          <x:t xml:space="preserve">Benthopelagic fish (15.989915%); Pelagic fish (≤ 30 cm) (62.234607%); Juvenile large pelagic fish (19.596603%); Pelagic fish (&gt; 30 cm) (2.178875%)</x:t>
        </x:is>
      </x:c>
      <x:c r="F103" s="2" t="inlineStr">
        <x:is>
          <x:t xml:space="preserve">Low</x:t>
        </x:is>
      </x:c>
      <x:c r="G103" s="2" t="inlineStr">
        <x:is>
          <x:t xml:space="preserve">FAO regional fusiliers are reef-associated midwater planktivores with small Pterocaesio and large Caesio. Benthopelagic and both pelagic size classes replace the exclusive large-demersal pair as a disclosed habitat approximation. Group 27 size scope is unresolved; modern Lutjanidae classification does not authorize dedicated source-era snapper group 19. Source-model catch proportions supply an assumed fixed 1950–2019/all-bases mixture; they are not observed taxon-specific catches.</x:t>
        </x:is>
      </x:c>
      <x:c r="H103" s="1"/>
      <x:c r="I103" s="1"/>
      <x:c r="J103" s="1"/>
      <x:c r="K103" s="1"/>
    </x:row>
    <x:row r="104" ht="64" customHeight="1" hidden="1">
      <x:c r="A104" s="2" t="str">
        <x:v>Trachysalambria curvirostris</x:v>
      </x:c>
      <x:c r="B104" s="4" t="n">
        <x:v>2.7</x:v>
      </x:c>
      <x:c r="C104" s="5" t="n">
        <x:v>120511.7917739011</x:v>
      </x:c>
      <x:c r="D104" s="5" t="n">
        <x:v>671099.6837625266</x:v>
      </x:c>
      <x:c r="E104" s="2" t="inlineStr">
        <x:is>
          <x:t xml:space="preserve">Shrimps (100.000000%)</x:t>
        </x:is>
      </x:c>
      <x:c r="F104" s="2" t="inlineStr">
        <x:is>
          <x:t xml:space="preserve">High</x:t>
        </x:is>
      </x:c>
      <x:c r="G104" s="2" t="inlineStr">
        <x:is>
          <x:t xml:space="preserve">Trachysalambria curvirostris is a non-Acetes shrimp lineage. Shrimps is broader than the Metapenaeopsis mortality examples; the explicit Acetes/Zooplankton exception is excluded. No split is required.</x:t>
        </x:is>
      </x:c>
      <x:c r="H104" s="1"/>
      <x:c r="I104" s="1"/>
      <x:c r="J104" s="1"/>
      <x:c r="K104" s="1"/>
    </x:row>
    <x:row r="105" ht="80" customHeight="1">
      <x:c r="A105" s="2" t="str">
        <x:v>Monacanthidae</x:v>
      </x:c>
      <x:c r="B105" s="4" t="n">
        <x:v>3</x:v>
      </x:c>
      <x:c r="C105" s="5" t="n">
        <x:v>56514.1750516671</x:v>
      </x:c>
      <x:c r="D105" s="5" t="n">
        <x:v>627935.2783518567</x:v>
      </x:c>
      <x:c r="E105" s="2" t="inlineStr">
        <x:is>
          <x:t xml:space="preserve">Juvenile demersal fish (&gt; 30 cm) (89.991470%); Adult demersal fish (&gt; 30 cm) (10.008530%)</x:t>
        </x:is>
      </x:c>
      <x:c r="F105" s="2" t="inlineStr">
        <x:is>
          <x:t xml:space="preserve">Low</x:t>
        </x:is>
      </x:c>
      <x:c r="G105" s="2" t="inlineStr">
        <x:is>
          <x:t xml:space="preserve">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x:t>
        </x:is>
      </x:c>
      <x:c r="H105" s="1"/>
      <x:c r="I105" s="1"/>
      <x:c r="J105" s="1"/>
      <x:c r="K105" s="1"/>
    </x:row>
    <x:row r="106" ht="96" customHeight="1" hidden="1">
      <x:c r="A106" s="2" t="str">
        <x:v>Decapterus macrosoma</x:v>
      </x:c>
      <x:c r="B106" s="4" t="n">
        <x:v>3.4</x:v>
      </x:c>
      <x:c r="C106" s="5" t="n">
        <x:v>21972.8561490285</x:v>
      </x:c>
      <x:c r="D106" s="5" t="n">
        <x:v>613259.102469517</x:v>
      </x:c>
      <x:c r="E106" s="2" t="inlineStr">
        <x:is>
          <x:t xml:space="preserve">Juvenile large pelagic fish (89.993906%); Pelagic fish (&gt; 30 cm) (10.006094%)</x:t>
        </x:is>
      </x:c>
      <x:c r="F106" s="2" t="inlineStr">
        <x:is>
          <x:t xml:space="preserve">Medium</x:t>
        </x:is>
      </x:c>
      <x:c r="G106"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x:t>
        </x:is>
      </x:c>
      <x:c r="H106" s="1"/>
      <x:c r="I106" s="1"/>
      <x:c r="J106" s="1"/>
      <x:c r="K106" s="1"/>
    </x:row>
    <x:row r="107" ht="96" customHeight="1">
      <x:c r="A107" s="2" t="str">
        <x:v>Caranx ignobilis</x:v>
      </x:c>
      <x:c r="B107" s="4" t="n">
        <x:v>4.22</x:v>
      </x:c>
      <x:c r="C107" s="5" t="n">
        <x:v>3145.4260218152</x:v>
      </x:c>
      <x:c r="D107" s="5" t="n">
        <x:v>580011.9826797683</x:v>
      </x:c>
      <x:c r="E107" s="2" t="inlineStr">
        <x:is>
          <x:t xml:space="preserve">Juvenile large pelagic fish (89.993906%); Pelagic fish (&gt; 30 cm) (10.006094%)</x:t>
        </x:is>
      </x:c>
      <x:c r="F107" s="2" t="inlineStr">
        <x:is>
          <x:t xml:space="preserve">Low</x:t>
        </x:is>
      </x:c>
      <x:c r="G107" s="2" t="inlineStr">
        <x:is>
          <x:t xml:space="preserve">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x:t>
        </x:is>
      </x:c>
      <x:c r="H107" s="1"/>
      <x:c r="I107" s="1"/>
      <x:c r="J107" s="1"/>
      <x:c r="K107" s="1"/>
    </x:row>
    <x:row r="108" ht="80" customHeight="1" hidden="1">
      <x:c r="A108" s="2" t="str">
        <x:v>Dasyatis</x:v>
      </x:c>
      <x:c r="B108" s="4" t="n">
        <x:v>3.28</x:v>
      </x:c>
      <x:c r="C108" s="5" t="n">
        <x:v>26737.9322597945</x:v>
      </x:c>
      <x:c r="D108" s="5" t="n">
        <x:v>566089.7733400074</x:v>
      </x:c>
      <x:c r="E108" s="2" t="inlineStr">
        <x:is>
          <x:t xml:space="preserve">Demersal sharks and rays (100.000000%)</x:t>
        </x:is>
      </x:c>
      <x:c r="F108" s="2" t="inlineStr">
        <x:is>
          <x:t xml:space="preserve">Medium</x:t>
        </x:is>
      </x:c>
      <x:c r="G108" s="2" t="inlineStr">
        <x:is>
          <x:t xml:space="preserve">Demersal stingrays support the catch-genus interpretation. Historical Dasyatis also included D. violacea, while the modern genus is narrower. The reporting taxonomic concept is not dated precisely enough for whole-genus High. This uncertainty does not establish actual pelagic catch composition. No split is required.</x:t>
        </x:is>
      </x:c>
      <x:c r="H108" s="1"/>
      <x:c r="I108" s="1"/>
      <x:c r="J108" s="1"/>
      <x:c r="K108" s="1"/>
    </x:row>
    <x:row r="109" ht="64" customHeight="1" hidden="1">
      <x:c r="A109" s="2" t="str">
        <x:v>Himantura</x:v>
      </x:c>
      <x:c r="B109" s="4" t="n">
        <x:v>3.85</x:v>
      </x:c>
      <x:c r="C109" s="5" t="n">
        <x:v>7142.237783602201</x:v>
      </x:c>
      <x:c r="D109" s="5" t="n">
        <x:v>561813.0144411431</x:v>
      </x:c>
      <x:c r="E109" s="2" t="inlineStr">
        <x:is>
          <x:t xml:space="preserve">Demersal sharks and rays (100.000000%)</x:t>
        </x:is>
      </x:c>
      <x:c r="F109" s="2" t="inlineStr">
        <x:is>
          <x:t xml:space="preserve">Medium</x:t>
        </x:is>
      </x:c>
      <x:c r="G109" s="2" t="inlineStr">
        <x:is>
          <x:t xml:space="preserve">Whipray lineages support demersal placement, exemplified by H. uarnak. No contrary pelagic member was established, but the full historical catch-genus concept was not verified; one exemplar does not prove all membership. No split is required.</x:t>
        </x:is>
      </x:c>
      <x:c r="H109" s="1"/>
      <x:c r="I109" s="1"/>
      <x:c r="J109" s="1"/>
      <x:c r="K109" s="1"/>
    </x:row>
    <x:row r="110" ht="80" customHeight="1" hidden="1">
      <x:c r="A110" s="2" t="str">
        <x:v>Conger myriaster</x:v>
      </x:c>
      <x:c r="B110" s="4" t="n">
        <x:v>3.98</x:v>
      </x:c>
      <x:c r="C110" s="5" t="n">
        <x:v>5268.3843941122</x:v>
      </x:c>
      <x:c r="D110" s="5" t="n">
        <x:v>559029.7818542429</x:v>
      </x:c>
      <x:c r="E110" s="2" t="inlineStr">
        <x:is>
          <x:t xml:space="preserve">Juvenile demersal fish (&gt; 30 cm) (89.991470%); Adult demersal fish (&gt; 30 cm) (10.008530%)</x:t>
        </x:is>
      </x:c>
      <x:c r="F110" s="2" t="inlineStr">
        <x:is>
          <x:t xml:space="preserve">Medium</x:t>
        </x:is>
      </x:c>
      <x:c r="G110" s="2" t="inlineStr">
        <x:is>
          <x:t xml:space="preserve">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x:t>
        </x:is>
      </x:c>
      <x:c r="H110" s="1"/>
      <x:c r="I110" s="1"/>
      <x:c r="J110" s="1"/>
      <x:c r="K110" s="1"/>
    </x:row>
    <x:row r="111" ht="80" customHeight="1" hidden="1">
      <x:c r="A111" s="2" t="str">
        <x:v>Xiphias gladius</x:v>
      </x:c>
      <x:c r="B111" s="4" t="n">
        <x:v>4.53</x:v>
      </x:c>
      <x:c r="C111" s="5" t="n">
        <x:v>1181.9686847172</x:v>
      </x:c>
      <x:c r="D111" s="5" t="n">
        <x:v>445003.53506218106</x:v>
      </x:c>
      <x:c r="E111" s="2" t="inlineStr">
        <x:is>
          <x:t xml:space="preserve">Juvenile large pelagic fish (89.993906%); Pelagic fish (&gt; 30 cm) (10.006094%)</x:t>
        </x:is>
      </x:c>
      <x:c r="F111" s="2" t="inlineStr">
        <x:is>
          <x:t xml:space="preserve">Medium</x:t>
        </x:is>
      </x:c>
      <x:c r="G111" s="2" t="inlineStr">
        <x:is>
          <x:t xml:space="preserve">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x:t>
        </x:is>
      </x:c>
      <x:c r="H111" s="1"/>
      <x:c r="I111" s="1"/>
      <x:c r="J111" s="1"/>
      <x:c r="K111" s="1"/>
    </x:row>
    <x:row r="112" ht="64" customHeight="1">
      <x:c r="A112" s="2" t="str">
        <x:v>Leiognathus</x:v>
      </x:c>
      <x:c r="B112" s="4" t="n">
        <x:v>3.22</x:v>
      </x:c>
      <x:c r="C112" s="5" t="n">
        <x:v>23872.6013613861</x:v>
      </x:c>
      <x:c r="D112" s="5" t="n">
        <x:v>440207.2962870274</x:v>
      </x:c>
      <x:c r="E112" s="2" t="inlineStr">
        <x:is>
          <x:t xml:space="preserve">Benthopelagic fish (100.000000%)</x:t>
        </x:is>
      </x:c>
      <x:c r="F112" s="2" t="inlineStr">
        <x:is>
          <x:t xml:space="preserve">Low</x:t>
        </x:is>
      </x:c>
      <x:c r="G112" s="2" t="inlineStr">
        <x:is>
          <x:t xml:space="preserve">The named genus includes demersal L. equula (28 cm TL), while the historical ponyfish assemblage includes some nocturnal midwater migrants. Exclusive 27 is not established without resolving genus usage and species composition;24 is a concrete competing pool. No split is required.</x:t>
        </x:is>
      </x:c>
      <x:c r="H112" s="1"/>
      <x:c r="I112" s="1"/>
      <x:c r="J112" s="1"/>
      <x:c r="K112" s="1"/>
    </x:row>
    <x:row r="113" ht="80" customHeight="1">
      <x:c r="A113" s="2" t="str">
        <x:v>Rastrelliger</x:v>
      </x:c>
      <x:c r="B113" s="4" t="n">
        <x:v>3.1</x:v>
      </x:c>
      <x:c r="C113" s="5" t="n">
        <x:v>29630.486811592</x:v>
      </x:c>
      <x:c r="D113" s="5" t="n">
        <x:v>414473.03123272356</x:v>
      </x:c>
      <x:c r="E113" s="2" t="inlineStr">
        <x:is>
          <x:t xml:space="preserve">Juvenile large pelagic fish (89.993906%); Pelagic fish (&gt; 30 cm) (10.006094%)</x:t>
        </x:is>
      </x:c>
      <x:c r="F113" s="2" t="inlineStr">
        <x:is>
          <x:t xml:space="preserve">Low</x:t>
        </x:is>
      </x:c>
      <x:c r="G113" s="2" t="inlineStr">
        <x:is>
          <x:t xml:space="preserve">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x:t>
        </x:is>
      </x:c>
      <x:c r="H113" s="1"/>
      <x:c r="I113" s="1"/>
      <x:c r="J113" s="1"/>
      <x:c r="K113" s="1"/>
    </x:row>
    <x:row r="114" ht="80" customHeight="1" hidden="1">
      <x:c r="A114" s="2" t="str">
        <x:v>Larimichthys polyactis</x:v>
      </x:c>
      <x:c r="B114" s="4" t="n">
        <x:v>3.64</x:v>
      </x:c>
      <x:c r="C114" s="5" t="n">
        <x:v>8455.549971794</x:v>
      </x:c>
      <x:c r="D114" s="5" t="n">
        <x:v>410109.04810955236</x:v>
      </x:c>
      <x:c r="E114" s="2" t="inlineStr">
        <x:is>
          <x:t xml:space="preserve">Juvenile large croakers (89.873418%); Croakers (&gt; 30 cm) (10.126582%)</x:t>
        </x:is>
      </x:c>
      <x:c r="F114" s="2" t="inlineStr">
        <x:is>
          <x:t xml:space="preserve">Medium</x:t>
        </x:is>
      </x:c>
      <x:c r="G114" s="2" t="inlineStr">
        <x:is>
          <x:t xml:space="preserve">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x:t>
        </x:is>
      </x:c>
      <x:c r="H114" s="1"/>
      <x:c r="I114" s="1"/>
      <x:c r="J114" s="1"/>
      <x:c r="K114" s="1"/>
    </x:row>
    <x:row r="115" ht="64" customHeight="1" hidden="1">
      <x:c r="A115" s="2" t="str">
        <x:v>Dussumieria</x:v>
      </x:c>
      <x:c r="B115" s="4" t="n">
        <x:v>3.4</x:v>
      </x:c>
      <x:c r="C115" s="5" t="n">
        <x:v>13790.2968083109</x:v>
      </x:c>
      <x:c r="D115" s="5" t="n">
        <x:v>384885.10488095577</x:v>
      </x:c>
      <x:c r="E115" s="2" t="inlineStr">
        <x:is>
          <x:t xml:space="preserve">Pelagic fish (≤ 30 cm) (100.000000%)</x:t>
        </x:is>
      </x:c>
      <x:c r="F115" s="2" t="inlineStr">
        <x:is>
          <x:t xml:space="preserve">Medium</x:t>
        </x:is>
      </x:c>
      <x:c r="G115" s="2" t="inlineStr">
        <x:is>
          <x:t xml:space="preserve">The genus inventory supports a small-bodied pelagic lineage without a dedicated competing group. Most maxima are SL or unspecified; the full regional catch concept and TL boundary remain inferred. No split is required.</x:t>
        </x:is>
      </x:c>
      <x:c r="H115" s="1"/>
      <x:c r="I115" s="1"/>
      <x:c r="J115" s="1"/>
      <x:c r="K115" s="1"/>
    </x:row>
    <x:row r="116" ht="48" customHeight="1" hidden="1">
      <x:c r="A116" s="2" t="str">
        <x:v>Sepia</x:v>
      </x:c>
      <x:c r="B116" s="4" t="n">
        <x:v>3.69</x:v>
      </x:c>
      <x:c r="C116" s="5" t="n">
        <x:v>6929.3366971666</x:v>
      </x:c>
      <x:c r="D116" s="5" t="n">
        <x:v>377093.59406052274</x:v>
      </x:c>
      <x:c r="E116" s="2" t="inlineStr">
        <x:is>
          <x:t xml:space="preserve">Cephalopods (100.000000%)</x:t>
        </x:is>
      </x:c>
      <x:c r="F116" s="2" t="inlineStr">
        <x:is>
          <x:t xml:space="preserve">High</x:t>
        </x:is>
      </x:c>
      <x:c r="G116" s="2" t="inlineStr">
        <x:is>
          <x:t xml:space="preserve">Sepia is within Cephalopoda. Biomass estimation from two dominant Loligo species does not restrict the source group to those species or to squid. No split is required.</x:t>
        </x:is>
      </x:c>
      <x:c r="H116" s="1"/>
      <x:c r="I116" s="1"/>
      <x:c r="J116" s="1"/>
      <x:c r="K116" s="1"/>
    </x:row>
    <x:row r="117" ht="80" customHeight="1" hidden="1">
      <x:c r="A117" s="2" t="str">
        <x:v>Paralichthys olivaceus</x:v>
      </x:c>
      <x:c r="B117" s="4" t="n">
        <x:v>4.25</x:v>
      </x:c>
      <x:c r="C117" s="5" t="n">
        <x:v>1886.4347656684</x:v>
      </x:c>
      <x:c r="D117" s="5" t="n">
        <x:v>372734.23357441294</x:v>
      </x:c>
      <x:c r="E117" s="2" t="inlineStr">
        <x:is>
          <x:t xml:space="preserve">Juvenile demersal fish (&gt; 30 cm) (89.991470%); Adult demersal fish (&gt; 30 cm) (10.008530%)</x:t>
        </x:is>
      </x:c>
      <x:c r="F117" s="2" t="inlineStr">
        <x:is>
          <x:t xml:space="preserve">Medium</x:t>
        </x:is>
      </x:c>
      <x:c r="G117" s="2" t="inlineStr">
        <x:is>
          <x:t xml:space="preserve">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x:t>
        </x:is>
      </x:c>
      <x:c r="H117" s="1"/>
      <x:c r="I117" s="1"/>
      <x:c r="J117" s="1"/>
      <x:c r="K117" s="1"/>
    </x:row>
    <x:row r="118" ht="64" customHeight="1" hidden="1">
      <x:c r="A118" s="2" t="str">
        <x:v>Priacanthus macracanthus</x:v>
      </x:c>
      <x:c r="B118" s="4" t="n">
        <x:v>4.11</x:v>
      </x:c>
      <x:c r="C118" s="5" t="n">
        <x:v>2500.3139298576</x:v>
      </x:c>
      <x:c r="D118" s="5" t="n">
        <x:v>357892.033247906</x:v>
      </x:c>
      <x:c r="E118" s="2" t="inlineStr">
        <x:is>
          <x:t xml:space="preserve">Bigeyes (priacanthids) (100.000000%)</x:t>
        </x:is>
      </x:c>
      <x:c r="F118" s="2" t="inlineStr">
        <x:is>
          <x:t xml:space="preserve">High</x:t>
        </x:is>
      </x:c>
      <x:c r="G118" s="2" t="inlineStr">
        <x:is>
          <x:t xml:space="preserve">Priacanthus macracanthus is within Priacanthidae, expressly used as the source group boundary. Parameter species are examples, not a closed list; residual size/habitat pools do not compete. No split is required.</x:t>
        </x:is>
      </x:c>
      <x:c r="H118" s="1"/>
      <x:c r="I118" s="1"/>
      <x:c r="J118" s="1"/>
      <x:c r="K118" s="1"/>
    </x:row>
    <x:row r="119" ht="48" customHeight="1" hidden="1">
      <x:c r="A119" s="2" t="str">
        <x:v>Portunus pelagicus</x:v>
      </x:c>
      <x:c r="B119" s="4" t="n">
        <x:v>2.48</x:v>
      </x:c>
      <x:c r="C119" s="5" t="n">
        <x:v>104778.8997727715</x:v>
      </x:c>
      <x:c r="D119" s="5" t="n">
        <x:v>351585.79847845744</x:v>
      </x:c>
      <x:c r="E119" s="2" t="inlineStr">
        <x:is>
          <x:t xml:space="preserve">Crabs (100.000000%)</x:t>
        </x:is>
      </x:c>
      <x:c r="F119" s="2" t="inlineStr">
        <x:is>
          <x:t xml:space="preserve">High</x:t>
        </x:is>
      </x:c>
      <x:c r="G119" s="2" t="inlineStr">
        <x:is>
          <x:t xml:space="preserve">Portunus pelagicus is a true-crab lineage within Crabs. The residual benthic-crustacean group expressly excludes crabs, so is not a competing placement. No split is required.</x:t>
        </x:is>
      </x:c>
      <x:c r="H119" s="1"/>
      <x:c r="I119" s="1"/>
      <x:c r="J119" s="1"/>
      <x:c r="K119" s="1"/>
    </x:row>
    <x:row r="120" ht="80" customHeight="1" hidden="1">
      <x:c r="A120" s="2" t="str">
        <x:v>Muraenesox</x:v>
      </x:c>
      <x:c r="B120" s="4" t="n">
        <x:v>3.99</x:v>
      </x:c>
      <x:c r="C120" s="5" t="n">
        <x:v>3054.1788894707</x:v>
      </x:c>
      <x:c r="D120" s="5" t="n">
        <x:v>331628.58780536137</x:v>
      </x:c>
      <x:c r="E120" s="2" t="inlineStr">
        <x:is>
          <x:t xml:space="preserve">Juvenile demersal fish (&gt; 30 cm) (89.991470%); Adult demersal fish (&gt; 30 cm) (10.008530%)</x:t>
        </x:is>
      </x:c>
      <x:c r="F120" s="2" t="inlineStr">
        <x:is>
          <x:t xml:space="preserve">Medium</x:t>
        </x:is>
      </x:c>
      <x:c r="G120" s="2" t="inlineStr">
        <x:is>
          <x:t xml:space="preserve">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x:t>
        </x:is>
      </x:c>
      <x:c r="H120" s="1"/>
      <x:c r="I120" s="1"/>
      <x:c r="J120" s="1"/>
      <x:c r="K120" s="1"/>
    </x:row>
    <x:row r="121" ht="80" customHeight="1" hidden="1">
      <x:c r="A121" s="2" t="str">
        <x:v>Lethrinidae</x:v>
      </x:c>
      <x:c r="B121" s="4" t="n">
        <x:v>3.59</x:v>
      </x:c>
      <x:c r="C121" s="5" t="n">
        <x:v>7365.545254115499</x:v>
      </x:c>
      <x:c r="D121" s="5" t="n">
        <x:v>318392.18014992215</x:v>
      </x:c>
      <x:c r="E121" s="2" t="inlineStr">
        <x:is>
          <x:t xml:space="preserve">Demesral fish (≤ 30 cm) (33.704053%); Juvenile demersal fish (&gt; 30 cm) (59.660697%); Adult demersal fish (&gt; 30 cm) (6.635250%)</x:t>
        </x:is>
      </x:c>
      <x:c r="F121" s="2" t="inlineStr">
        <x:is>
          <x:t xml:space="preserve">Medium</x:t>
        </x:is>
      </x:c>
      <x:c r="G121" s="2" t="inlineStr">
        <x:is>
          <x:t xml:space="preserve">Regional bottom-associated Lethrinus variegatus (20 cm TL) and L. miniatus (90 cm TL) require small plus large demersal pools. Emperors are excluded from source-era Lutjanidae snappers; species composition remains assumed. Source-model catch proportions supply an assumed fixed 1950–2019/all-bases mixture; they are not observed taxon-specific catches.</x:t>
        </x:is>
      </x:c>
      <x:c r="H121" s="1"/>
      <x:c r="I121" s="1"/>
      <x:c r="J121" s="1"/>
      <x:c r="K121" s="1"/>
    </x:row>
    <x:row r="122" ht="80" customHeight="1" hidden="1">
      <x:c r="A122" s="2" t="str">
        <x:v>Scomber</x:v>
      </x:c>
      <x:c r="B122" s="4" t="n">
        <x:v>3.65</x:v>
      </x:c>
      <x:c r="C122" s="5" t="n">
        <x:v>6352.0294663402</x:v>
      </x:c>
      <x:c r="D122" s="5" t="n">
        <x:v>315260.81549706723</x:v>
      </x:c>
      <x:c r="E122" s="2" t="inlineStr">
        <x:is>
          <x:t xml:space="preserve">Juvenile large pelagic fish (89.993906%); Pelagic fish (&gt; 30 cm) (10.006094%)</x:t>
        </x:is>
      </x:c>
      <x:c r="F122" s="2" t="inlineStr">
        <x:is>
          <x:t xml:space="preserve">Medium</x:t>
        </x:is>
      </x:c>
      <x:c r="G122" s="2" t="inlineStr">
        <x:is>
          <x:t xml:space="preserve">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x:t>
        </x:is>
      </x:c>
      <x:c r="H122" s="1"/>
      <x:c r="I122" s="1"/>
      <x:c r="J122" s="1"/>
      <x:c r="K122" s="1"/>
    </x:row>
    <x:row r="123" ht="80" customHeight="1">
      <x:c r="A123" s="2" t="str">
        <x:v>Polynemidae</x:v>
      </x:c>
      <x:c r="B123" s="4" t="n">
        <x:v>3.62</x:v>
      </x:c>
      <x:c r="C123" s="5" t="n">
        <x:v>6668.0174394639</x:v>
      </x:c>
      <x:c r="D123" s="5" t="n">
        <x:v>308854.70210652903</x:v>
      </x:c>
      <x:c r="E123" s="2" t="inlineStr">
        <x:is>
          <x:t xml:space="preserve">Demesral fish (≤ 30 cm) (100.000000%)</x:t>
        </x:is>
      </x:c>
      <x:c r="F123" s="2" t="inlineStr">
        <x:is>
          <x:t xml:space="preserve">Low</x:t>
        </x:is>
      </x:c>
      <x:c r="G123" s="2" t="inlineStr">
        <x:is>
          <x:t xml:space="preserve">Regional threadfins include large Eleutheronema species. The broad taxon includes regional large-bodied fish and does not itself establish maximum TL &lt;=30 cm. The small-demersal classifier is reporting context, but an exclusion of larger members was not independently documented. No split is required.</x:t>
        </x:is>
      </x:c>
      <x:c r="H123" s="1"/>
      <x:c r="I123" s="1"/>
      <x:c r="J123" s="1"/>
      <x:c r="K123" s="1"/>
    </x:row>
    <x:row r="124" ht="96" customHeight="1" hidden="1">
      <x:c r="A124" s="2" t="str">
        <x:v>Tylosurus crocodilus</x:v>
      </x:c>
      <x:c r="B124" s="4" t="n">
        <x:v>4.43</x:v>
      </x:c>
      <x:c r="C124" s="5" t="n">
        <x:v>1016.6360761745</x:v>
      </x:c>
      <x:c r="D124" s="5" t="n">
        <x:v>304034.59799459553</x:v>
      </x:c>
      <x:c r="E124" s="2" t="inlineStr">
        <x:is>
          <x:t xml:space="preserve">Juvenile large pelagic fish (89.993906%); Pelagic fish (&gt; 30 cm) (10.006094%)</x:t>
        </x:is>
      </x:c>
      <x:c r="F124" s="2" t="inlineStr">
        <x:is>
          <x:t xml:space="preserve">Medium</x:t>
        </x:is>
      </x:c>
      <x:c r="G124"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x:t>
        </x:is>
      </x:c>
      <x:c r="H124" s="1"/>
      <x:c r="I124" s="1"/>
      <x:c r="J124" s="1"/>
      <x:c r="K124" s="1"/>
    </x:row>
    <x:row r="125" ht="112" customHeight="1" hidden="1">
      <x:c r="A125" s="2" t="str">
        <x:v>Rastrelliger brachysoma</x:v>
      </x:c>
      <x:c r="B125" s="4" t="n">
        <x:v>2.72</x:v>
      </x:c>
      <x:c r="C125" s="5" t="n">
        <x:v>50838.3680498361</x:v>
      </x:c>
      <x:c r="D125" s="5" t="n">
        <x:v>296448.38688308536</x:v>
      </x:c>
      <x:c r="E125" s="2" t="inlineStr">
        <x:is>
          <x:t xml:space="preserve">Juvenile large pelagic fish (89.993906%); Pelagic fish (&gt; 30 cm) (10.006094%)</x:t>
        </x:is>
      </x:c>
      <x:c r="F125" s="2" t="inlineStr">
        <x:is>
          <x:t xml:space="preserve">Medium</x:t>
        </x:is>
      </x:c>
      <x:c r="G12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x:t>
        </x:is>
      </x:c>
      <x:c r="H125" s="1"/>
      <x:c r="I125" s="1"/>
      <x:c r="J125" s="1"/>
      <x:c r="K125" s="1"/>
    </x:row>
    <x:row r="126" ht="64" customHeight="1" hidden="1">
      <x:c r="A126" s="2" t="str">
        <x:v>Epinephelus coioides</x:v>
      </x:c>
      <x:c r="B126" s="4" t="n">
        <x:v>4</x:v>
      </x:c>
      <x:c r="C126" s="5" t="n">
        <x:v>2501.6491648462</x:v>
      </x:c>
      <x:c r="D126" s="5" t="n">
        <x:v>277961.0183162445</x:v>
      </x:c>
      <x:c r="E126" s="2" t="inlineStr">
        <x:is>
          <x:t xml:space="preserve">Adult groupers (100.000000%)</x:t>
        </x:is>
      </x:c>
      <x:c r="F126" s="2" t="inlineStr">
        <x:is>
          <x:t xml:space="preserve">High</x:t>
        </x:is>
      </x:c>
      <x:c r="G126" s="2" t="inlineStr">
        <x:is>
          <x:t xml:space="preserve">Epinephelus coioides fits the source Serranidae concept. The thesis defines one family pool and no juvenile grouper stanza; the stored word Adult does not by itself establish an age restriction. No split is required.</x:t>
        </x:is>
      </x:c>
      <x:c r="H126" s="1"/>
      <x:c r="I126" s="1"/>
      <x:c r="J126" s="1"/>
      <x:c r="K126" s="1"/>
    </x:row>
    <x:row r="127" ht="96" customHeight="1">
      <x:c r="A127" s="2" t="str">
        <x:v>Scyris indica</x:v>
      </x:c>
      <x:c r="B127" s="4" t="n">
        <x:v>4.09</x:v>
      </x:c>
      <x:c r="C127" s="5" t="n">
        <x:v>2029.7391876199</x:v>
      </x:c>
      <x:c r="D127" s="5" t="n">
        <x:v>277458.3039358728</x:v>
      </x:c>
      <x:c r="E127" s="2" t="inlineStr">
        <x:is>
          <x:t xml:space="preserve">Juvenile large pelagic fish (89.993906%); Pelagic fish (&gt; 30 cm) (10.006094%)</x:t>
        </x:is>
      </x:c>
      <x:c r="F127" s="2" t="inlineStr">
        <x:is>
          <x:t xml:space="preserve">Low</x:t>
        </x:is>
      </x:c>
      <x:c r="G127" s="2" t="inlineStr">
        <x:is>
          <x:t xml:space="preserve">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x:t>
        </x:is>
      </x:c>
      <x:c r="H127" s="1"/>
      <x:c r="I127" s="1"/>
      <x:c r="J127" s="1"/>
      <x:c r="K127" s="1"/>
    </x:row>
    <x:row r="128" ht="72.0" customHeight="1" hidden="1">
      <x:c r="A128" s="2" t="str">
        <x:v>Pampus argenteus</x:v>
      </x:c>
      <x:c r="B128" s="4" t="n">
        <x:v>3.3</x:v>
      </x:c>
      <x:c r="C128" s="5" t="n">
        <x:v>12427.5133353598</x:v>
      </x:c>
      <x:c r="D128" s="5" t="n">
        <x:v>275512.766964629</x:v>
      </x:c>
      <x:c r="E128" s="2" t="inlineStr">
        <x:is>
          <x:t xml:space="preserve">Pomfret (stromateids) (100.000000%)</x:t>
        </x:is>
      </x:c>
      <x:c r="F128" s="2" t="inlineStr">
        <x:is>
          <x:t xml:space="preserve">High</x:t>
        </x:is>
      </x:c>
      <x:c r="G128" s="2" t="inlineStr">
        <x:is>
          <x:t xml:space="preserve">Pampus argenteus is within Stromateidae, expressly used as the source group boundary. Parameter species are examples, not a closed list; residual size/habitat pools do not compete. The broader biomass-survey assemblage does not expand membership beyond Stromateidae. No split is required.</x:t>
        </x:is>
      </x:c>
      <x:c r="H128" s="1"/>
      <x:c r="I128" s="1"/>
      <x:c r="J128" s="1"/>
      <x:c r="K128" s="1"/>
    </x:row>
    <x:row r="129" ht="96" customHeight="1" hidden="1">
      <x:c r="A129" s="2" t="str">
        <x:v>Muraenesocidae</x:v>
      </x:c>
      <x:c r="B129" s="4" t="n">
        <x:v>3.9</x:v>
      </x:c>
      <x:c r="C129" s="5" t="n">
        <x:v>3084.2911248959</x:v>
      </x:c>
      <x:c r="D129" s="5" t="n">
        <x:v>272215.50273492537</x:v>
      </x:c>
      <x:c r="E129" s="2" t="inlineStr">
        <x:is>
          <x:t xml:space="preserve">Juvenile demersal fish (&gt; 30 cm) (89.991470%); Adult demersal fish (&gt; 30 cm) (10.008530%)</x:t>
        </x:is>
      </x:c>
      <x:c r="F129" s="2" t="inlineStr">
        <x:is>
          <x:t xml:space="preserve">Medium</x:t>
        </x:is>
      </x:c>
      <x:c r="G129" s="2" t="inlineStr">
        <x:is>
          <x:t xml:space="preserve">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x:t>
        </x:is>
      </x:c>
      <x:c r="H129" s="1"/>
      <x:c r="I129" s="1"/>
      <x:c r="J129" s="1"/>
      <x:c r="K129" s="1"/>
    </x:row>
    <x:row r="130" ht="64" customHeight="1" hidden="1">
      <x:c r="A130" s="2" t="str">
        <x:v>Isurus</x:v>
      </x:c>
      <x:c r="B130" s="4" t="n">
        <x:v>4.5</x:v>
      </x:c>
      <x:c r="C130" s="5" t="n">
        <x:v>759.6754578951001</x:v>
      </x:c>
      <x:c r="D130" s="5" t="n">
        <x:v>266922.7477199843</x:v>
      </x:c>
      <x:c r="E130" s="2" t="inlineStr">
        <x:is>
          <x:t xml:space="preserve">Pelagic sharks and rays (100.000000%)</x:t>
        </x:is>
      </x:c>
      <x:c r="F130" s="2" t="inlineStr">
        <x:is>
          <x:t xml:space="preserve">High</x:t>
        </x:is>
      </x:c>
      <x:c r="G130" s="2" t="inlineStr">
        <x:is>
          <x:t xml:space="preserve">The complete current genus inventory has I. oxyrinchus and I. paucus; both species accounts document pelagic-oceanic ecology. This closes genus-level membership in Pelagic sharks and rays. No split is required.</x:t>
        </x:is>
      </x:c>
      <x:c r="H130" s="1"/>
      <x:c r="I130" s="1"/>
      <x:c r="J130" s="1"/>
      <x:c r="K130" s="1"/>
    </x:row>
    <x:row r="131" ht="80" customHeight="1" hidden="1">
      <x:c r="A131" s="2" t="str">
        <x:v>Upeneus</x:v>
      </x:c>
      <x:c r="B131" s="4" t="n">
        <x:v>3.54</x:v>
      </x:c>
      <x:c r="C131" s="5" t="n">
        <x:v>6787.0038076156</x:v>
      </x:c>
      <x:c r="D131" s="5" t="n">
        <x:v>261478.2582513304</x:v>
      </x:c>
      <x:c r="E131" s="2" t="inlineStr">
        <x:is>
          <x:t xml:space="preserve">Demesral fish (≤ 30 cm) (33.704053%); Juvenile demersal fish (&gt; 30 cm) (59.660697%); Adult demersal fish (&gt; 30 cm) (6.635250%)</x:t>
        </x:is>
      </x:c>
      <x:c r="F131" s="2" t="inlineStr">
        <x:is>
          <x:t xml:space="preserve">Medium</x:t>
        </x:is>
      </x:c>
      <x:c r="G131" s="2" t="inlineStr">
        <x:is>
          <x:t xml:space="preserve">Small demersal U. moluccensis and the genus inventory member U. taeniopterus (33 cm TL) span the source species-maximum threshold. Regional genus composition and the extension to both demersal classes are assumed; 28 cm SL is not treated as 28 cm TL. Source-model catch proportions supply an assumed fixed 1950–2019/all-bases mixture; they are not observed taxon-specific catches.</x:t>
        </x:is>
      </x:c>
      <x:c r="H131" s="1"/>
      <x:c r="I131" s="1"/>
      <x:c r="J131" s="1"/>
      <x:c r="K131" s="1"/>
    </x:row>
    <x:row r="132" ht="80" customHeight="1">
      <x:c r="A132" s="2" t="str">
        <x:v>Pomadasys</x:v>
      </x:c>
      <x:c r="B132" s="4" t="n">
        <x:v>3.59</x:v>
      </x:c>
      <x:c r="C132" s="5" t="n">
        <x:v>6037.8571268176</x:v>
      </x:c>
      <x:c r="D132" s="5" t="n">
        <x:v>260999.8890397226</x:v>
      </x:c>
      <x:c r="E132" s="2" t="inlineStr">
        <x:is>
          <x:t xml:space="preserve">Juvenile demersal fish (&gt; 30 cm) (89.991470%); Adult demersal fish (&gt; 30 cm) (10.008530%)</x:t>
        </x:is>
      </x:c>
      <x:c r="F132" s="2" t="inlineStr">
        <x:is>
          <x:t xml:space="preserve">Low</x:t>
        </x:is>
      </x:c>
      <x:c r="G132" s="2" t="inlineStr">
        <x:is>
          <x:t xml:space="preserve">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x:t>
        </x:is>
      </x:c>
      <x:c r="H132" s="1"/>
      <x:c r="I132" s="1"/>
      <x:c r="J132" s="1"/>
      <x:c r="K132" s="1"/>
    </x:row>
    <x:row r="133" ht="112" customHeight="1" hidden="1">
      <x:c r="A133" s="2" t="str">
        <x:v>Decapterus maruadsi</x:v>
      </x:c>
      <x:c r="B133" s="4" t="n">
        <x:v>3.4</x:v>
      </x:c>
      <x:c r="C133" s="5" t="n">
        <x:v>9102.0473028009</x:v>
      </x:c>
      <x:c r="D133" s="5" t="n">
        <x:v>254036.7679873772</x:v>
      </x:c>
      <x:c r="E133" s="2" t="inlineStr">
        <x:is>
          <x:t xml:space="preserve">Juvenile large pelagic fish (89.993906%); Pelagic fish (&gt; 30 cm) (10.006094%)</x:t>
        </x:is>
      </x:c>
      <x:c r="F133" s="2" t="inlineStr">
        <x:is>
          <x:t xml:space="preserve">Medium</x:t>
        </x:is>
      </x:c>
      <x:c r="G133" s="2" t="inlineStr">
        <x:is>
          <x:t xml:space="preserve">Uehara et al. (2021), Table 3 p.160, gives D. maruadsi observed maximum 35.4 cm from the fork-length study Ohshimo et al. (2006); its 34.2 cm FL asymptote is separately retained. A reported observed FL above 30 excludes the small TL class. Large-pelagic membership uses the documented pelagic ecology; the original observed maximum is cited through the primary comparison table. Source-model catch proportions supply an assumed fixed 1950–2019/all-bases mixture; they are not observed taxon-specific catches.</x:t>
        </x:is>
      </x:c>
      <x:c r="H133" s="1"/>
      <x:c r="I133" s="1"/>
      <x:c r="J133" s="1"/>
      <x:c r="K133" s="1"/>
    </x:row>
    <x:row r="134" ht="112" customHeight="1" hidden="1">
      <x:c r="A134" s="2" t="str">
        <x:v>Sardinops sagax</x:v>
      </x:c>
      <x:c r="B134" s="4" t="n">
        <x:v>2.84</x:v>
      </x:c>
      <x:c r="C134" s="5" t="n">
        <x:v>32356.8353264112</x:v>
      </x:c>
      <x:c r="D134" s="5" t="n">
        <x:v>248727.34221927996</x:v>
      </x:c>
      <x:c r="E134" s="2" t="inlineStr">
        <x:is>
          <x:t xml:space="preserve">Juvenile large pelagic fish (89.993906%); Pelagic fish (&gt; 30 cm) (10.006094%)</x:t>
        </x:is>
      </x:c>
      <x:c r="F134" s="2" t="inlineStr">
        <x:is>
          <x:t xml:space="preserve">Medium</x:t>
        </x:is>
      </x:c>
      <x:c r="G13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x:t>
        </x:is>
      </x:c>
      <x:c r="H134" s="1"/>
      <x:c r="I134" s="1"/>
      <x:c r="J134" s="1"/>
      <x:c r="K134" s="1"/>
    </x:row>
    <x:row r="135" ht="80" customHeight="1" hidden="1">
      <x:c r="A135" s="2" t="str">
        <x:v>Dussumieria acuta</x:v>
      </x:c>
      <x:c r="B135" s="4" t="n">
        <x:v>3.4</x:v>
      </x:c>
      <x:c r="C135" s="5" t="n">
        <x:v>8904.751677089</x:v>
      </x:c>
      <x:c r="D135" s="5" t="n">
        <x:v>248530.27681824483</x:v>
      </x:c>
      <x:c r="E135" s="2" t="inlineStr">
        <x:is>
          <x:t xml:space="preserve">Pelagic fish (≤ 30 cm) (100.000000%)</x:t>
        </x:is>
      </x:c>
      <x:c r="F135" s="2" t="inlineStr">
        <x:is>
          <x:t xml:space="preserve">Medium</x:t>
        </x:is>
      </x:c>
      <x:c r="G135" s="2" t="inlineStr">
        <x:is>
          <x:t xml:space="preserve">Coastal-pelagic ecology and small size support the current pool. Retrieved maximum length is SL, not TL; no independent total-length bound/conversion was recovered, so the model TL criterion remains a supported inference. Checked species record: 20 cm SL; Marine; freshwater; brackish;  pelagic-neritic;. No split is required.</x:t>
        </x:is>
      </x:c>
      <x:c r="H135" s="1"/>
      <x:c r="I135" s="1"/>
      <x:c r="J135" s="1"/>
      <x:c r="K135" s="1"/>
    </x:row>
    <x:row r="136" ht="64" customHeight="1" hidden="1">
      <x:c r="A136" s="2" t="str">
        <x:v>Epinephelus maculatus</x:v>
      </x:c>
      <x:c r="B136" s="4" t="n">
        <x:v>3.98</x:v>
      </x:c>
      <x:c r="C136" s="5" t="n">
        <x:v>2192.3362958657</x:v>
      </x:c>
      <x:c r="D136" s="5" t="n">
        <x:v>232629.43429082673</x:v>
      </x:c>
      <x:c r="E136" s="2" t="inlineStr">
        <x:is>
          <x:t xml:space="preserve">Adult groupers (100.000000%)</x:t>
        </x:is>
      </x:c>
      <x:c r="F136" s="2" t="inlineStr">
        <x:is>
          <x:t xml:space="preserve">High</x:t>
        </x:is>
      </x:c>
      <x:c r="G136" s="2" t="inlineStr">
        <x:is>
          <x:t xml:space="preserve">Epinephelus maculatus fits the source Serranidae concept. The thesis defines one family pool and no juvenile grouper stanza; the stored word Adult does not by itself establish an age restriction. No split is required.</x:t>
        </x:is>
      </x:c>
      <x:c r="H136" s="1"/>
      <x:c r="I136" s="1"/>
      <x:c r="J136" s="1"/>
      <x:c r="K136" s="1"/>
    </x:row>
    <x:row r="137" ht="64" customHeight="1" hidden="1">
      <x:c r="A137" s="2" t="str">
        <x:v>Apogonidae</x:v>
      </x:c>
      <x:c r="B137" s="4" t="n">
        <x:v>3.54</x:v>
      </x:c>
      <x:c r="C137" s="5" t="n">
        <x:v>5885.290923792501</x:v>
      </x:c>
      <x:c r="D137" s="5" t="n">
        <x:v>226738.5821014092</x:v>
      </x:c>
      <x:c r="E137" s="2" t="inlineStr">
        <x:is>
          <x:t xml:space="preserve">Demesral fish (≤ 30 cm) (100.000000%)</x:t>
        </x:is>
      </x:c>
      <x:c r="F137" s="2" t="inlineStr">
        <x:is>
          <x:t xml:space="preserve">Medium</x:t>
        </x:is>
      </x:c>
      <x:c r="G137" s="2" t="inlineStr">
        <x:is>
          <x:t xml:space="preserve">The catch classifier and family ecology support a small reef/demersal interpretation after dedicated pools are excluded. No source reef compartment or complete regional family-by-size boundary was established; the ecological interpretation remains an assumption. No split is required.</x:t>
        </x:is>
      </x:c>
      <x:c r="H137" s="1"/>
      <x:c r="I137" s="1"/>
      <x:c r="J137" s="1"/>
      <x:c r="K137" s="1"/>
    </x:row>
    <x:row r="138" ht="80" customHeight="1" hidden="1">
      <x:c r="A138" s="2" t="str">
        <x:v>Menidae</x:v>
      </x:c>
      <x:c r="B138" s="4" t="n">
        <x:v>3.45</x:v>
      </x:c>
      <x:c r="C138" s="5" t="n">
        <x:v>7045.520684393799</x:v>
      </x:c>
      <x:c r="D138" s="5" t="n">
        <x:v>220633.0582085127</x:v>
      </x:c>
      <x:c r="E138" s="2" t="inlineStr">
        <x:is>
          <x:t xml:space="preserve">Benthopelagic fish (100.000000%)</x:t>
        </x:is>
      </x:c>
      <x:c r="F138" s="2" t="inlineStr">
        <x:is>
          <x:t xml:space="preserve">Medium</x:t>
        </x:is>
      </x:c>
      <x:c r="G138" s="2" t="inlineStr">
        <x:is>
          <x:t xml:space="preserve">FAO recognizes one living species, Mene maculata, reaching 30 cm TL with documented benthopelagic habitat. It fits the appendix small component, whose P/B and Q/B closely match final group 27. This supports Medium membership; the final consolidation is still unexplained. No split is required.</x:t>
        </x:is>
      </x:c>
      <x:c r="H138" s="1"/>
      <x:c r="I138" s="1"/>
      <x:c r="J138" s="1"/>
      <x:c r="K138" s="1"/>
    </x:row>
    <x:row r="139" ht="80" customHeight="1">
      <x:c r="A139" s="2" t="str">
        <x:v>Clupanodon thrissa</x:v>
      </x:c>
      <x:c r="B139" s="4" t="n">
        <x:v>3.01</x:v>
      </x:c>
      <x:c r="C139" s="5" t="n">
        <x:v>19399.4028131867</x:v>
      </x:c>
      <x:c r="D139" s="5" t="n">
        <x:v>220569.69947961663</x:v>
      </x:c>
      <x:c r="E139" s="2" t="inlineStr">
        <x:is>
          <x:t xml:space="preserve">Pelagic fish (≤ 30 cm) (100.000000%)</x:t>
        </x:is>
      </x:c>
      <x:c r="F139" s="2" t="inlineStr">
        <x:is>
          <x:t xml:space="preserve">Low</x:t>
        </x:is>
      </x:c>
      <x:c r="G139" s="2" t="inlineStr">
        <x:is>
          <x:t xml:space="preserve">Pelagic ecology is supported, but maximum 26 cm SL lies near the model 30 cm TL boundary. A verified conversion or same-metric maximum is needed before excluding the large-pelagic pair. Checked species record: 26 cm SL; Marine; freshwater; brackish;  pelagic-neritic; anadromous. No split is required.</x:t>
        </x:is>
      </x:c>
      <x:c r="H139" s="1"/>
      <x:c r="I139" s="1"/>
      <x:c r="J139" s="1"/>
      <x:c r="K139" s="1"/>
    </x:row>
    <x:row r="140" ht="80" customHeight="1" hidden="1">
      <x:c r="A140" s="2" t="str">
        <x:v>Istiophorus platypterus</x:v>
      </x:c>
      <x:c r="B140" s="4" t="n">
        <x:v>4.5</x:v>
      </x:c>
      <x:c r="C140" s="5" t="n">
        <x:v>595.4238962842</x:v>
      </x:c>
      <x:c r="D140" s="5" t="n">
        <x:v>209210.63172777108</x:v>
      </x:c>
      <x:c r="E140" s="2" t="inlineStr">
        <x:is>
          <x:t xml:space="preserve">Juvenile large pelagic fish (89.993906%); Pelagic fish (&gt; 30 cm) (10.006094%)</x:t>
        </x:is>
      </x:c>
      <x:c r="F140" s="2" t="inlineStr">
        <x:is>
          <x:t xml:space="preserve">Medium</x:t>
        </x:is>
      </x:c>
      <x:c r="G140" s="2" t="inlineStr">
        <x:is>
          <x:t xml:space="preserve">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x:t>
        </x:is>
      </x:c>
      <x:c r="H140" s="1"/>
      <x:c r="I140" s="1"/>
      <x:c r="J140" s="1"/>
      <x:c r="K140" s="1"/>
    </x:row>
    <x:row r="141" ht="117.0" customHeight="1" hidden="1">
      <x:c r="A141" s="2" t="str">
        <x:v>Rastrelliger kanagurta</x:v>
      </x:c>
      <x:c r="B141" s="4" t="n">
        <x:v>3.19</x:v>
      </x:c>
      <x:c r="C141" s="5" t="n">
        <x:v>11987.6998530119</x:v>
      </x:c>
      <x:c r="D141" s="5" t="n">
        <x:v>206297.20838755037</x:v>
      </x:c>
      <x:c r="E141" s="2" t="inlineStr">
        <x:is>
          <x:t xml:space="preserve">Juvenile large pelagic fish (89.993906%); Pelagic fish (&gt; 30 cm) (10.006094%)</x:t>
        </x:is>
      </x:c>
      <x:c r="F141" s="2" t="inlineStr">
        <x:is>
          <x:t xml:space="preserve">Medium</x:t>
        </x:is>
      </x:c>
      <x:c r="G141"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x:t>
        </x:is>
      </x:c>
      <x:c r="H141" s="1"/>
      <x:c r="I141" s="1"/>
      <x:c r="J141" s="1"/>
      <x:c r="K141" s="1"/>
    </x:row>
    <x:row r="142" ht="64" customHeight="1">
      <x:c r="A142" s="2" t="str">
        <x:v>Parastromateus niger</x:v>
      </x:c>
      <x:c r="B142" s="4" t="n">
        <x:v>2.93</x:v>
      </x:c>
      <x:c r="C142" s="5" t="n">
        <x:v>21361.6439052678</x:v>
      </x:c>
      <x:c r="D142" s="5" t="n">
        <x:v>202018.97429230437</x:v>
      </x:c>
      <x:c r="E142" s="2" t="inlineStr">
        <x:is>
          <x:t xml:space="preserve">Benthopelagic fish (100.000000%)</x:t>
        </x:is>
      </x:c>
      <x:c r="F142" s="2" t="inlineStr">
        <x:is>
          <x:t xml:space="preserve">Low</x:t>
        </x:is>
      </x:c>
      <x:c r="G142" s="2" t="inlineStr">
        <x:is>
          <x:t xml:space="preserve">Bottom-by-day and surface-at-night behavior strongly supports benthopelagic ecology, and it is Carangidae rather than source Stromateidae. However, its 75 cm TL maximum places it in the appendix large component whose inclusion in final 27 is not demonstrated. No split is required.</x:t>
        </x:is>
      </x:c>
      <x:c r="H142" s="1"/>
      <x:c r="I142" s="1"/>
      <x:c r="J142" s="1"/>
      <x:c r="K142" s="1"/>
    </x:row>
    <x:row r="143" ht="64" customHeight="1" hidden="1">
      <x:c r="A143" s="2" t="str">
        <x:v>Pennahia argentata</x:v>
      </x:c>
      <x:c r="B143" s="4" t="n">
        <x:v>3.47</x:v>
      </x:c>
      <x:c r="C143" s="5" t="n">
        <x:v>5866.0905526461</x:v>
      </x:c>
      <x:c r="D143" s="5" t="n">
        <x:v>192356.2284825522</x:v>
      </x:c>
      <x:c r="E143" s="2" t="inlineStr">
        <x:is>
          <x:t xml:space="preserve">Croakers (≤ 30 cm) (100.000000%)</x:t>
        </x:is>
      </x:c>
      <x:c r="F143" s="2" t="inlineStr">
        <x:is>
          <x:t xml:space="preserve">High</x:t>
        </x:is>
      </x:c>
      <x:c r="G143" s="2" t="inlineStr">
        <x:is>
          <x:t xml:space="preserve">Pennahia spp. and the argentatus spelling are explicitly assigned to small croakers. Pennahia argentata is covered by the genus assignment; generic modern size classes do not override the source exception. No split is required.</x:t>
        </x:is>
      </x:c>
      <x:c r="H143" s="1"/>
      <x:c r="I143" s="1"/>
      <x:c r="J143" s="1"/>
      <x:c r="K143" s="1"/>
    </x:row>
    <x:row r="144" ht="80" customHeight="1" hidden="1">
      <x:c r="A144" s="2" t="str">
        <x:v>Istiophoridae</x:v>
      </x:c>
      <x:c r="B144" s="4" t="n">
        <x:v>4.48</x:v>
      </x:c>
      <x:c r="C144" s="5" t="n">
        <x:v>512.1735098749</x:v>
      </x:c>
      <x:c r="D144" s="5" t="n">
        <x:v>171859.9191434494</x:v>
      </x:c>
      <x:c r="E144" s="2" t="inlineStr">
        <x:is>
          <x:t xml:space="preserve">Juvenile large pelagic fish (89.993906%); Pelagic fish (&gt; 30 cm) (10.006094%)</x:t>
        </x:is>
      </x:c>
      <x:c r="F144" s="2" t="inlineStr">
        <x:is>
          <x:t xml:space="preserve">Medium</x:t>
        </x:is>
      </x:c>
      <x:c r="G144" s="2" t="inlineStr">
        <x:is>
          <x:t xml:space="preserve">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x:t>
        </x:is>
      </x:c>
      <x:c r="H144" s="1"/>
      <x:c r="I144" s="1"/>
      <x:c r="J144" s="1"/>
      <x:c r="K144" s="1"/>
    </x:row>
    <x:row r="145" ht="64" customHeight="1" hidden="1">
      <x:c r="A145" s="2" t="str">
        <x:v>Stromateidae</x:v>
      </x:c>
      <x:c r="B145" s="4" t="n">
        <x:v>3.62</x:v>
      </x:c>
      <x:c r="C145" s="5" t="n">
        <x:v>3432.1457195437</x:v>
      </x:c>
      <x:c r="D145" s="5" t="n">
        <x:v>158972.94112072594</x:v>
      </x:c>
      <x:c r="E145" s="2" t="inlineStr">
        <x:is>
          <x:t xml:space="preserve">Pomfret (stromateids) (100.000000%)</x:t>
        </x:is>
      </x:c>
      <x:c r="F145" s="2" t="inlineStr">
        <x:is>
          <x:t xml:space="preserve">High</x:t>
        </x:is>
      </x:c>
      <x:c r="G145" s="2" t="inlineStr">
        <x:is>
          <x:t xml:space="preserve">Stromateidae is within Stromateidae, expressly used as the source group boundary. Parameter species are examples, not a closed list; residual size/habitat pools do not compete. The broader biomass-survey assemblage does not expand membership beyond Stromateidae. No split is required.</x:t>
        </x:is>
      </x:c>
      <x:c r="H145" s="1"/>
      <x:c r="I145" s="1"/>
      <x:c r="J145" s="1"/>
      <x:c r="K145" s="1"/>
    </x:row>
    <x:row r="146" ht="64" customHeight="1" hidden="1">
      <x:c r="A146" s="2" t="str">
        <x:v>Lutjanus quinquelineatus</x:v>
      </x:c>
      <x:c r="B146" s="4" t="n">
        <x:v>3.68</x:v>
      </x:c>
      <x:c r="C146" s="5" t="n">
        <x:v>2906.3870752297</x:v>
      </x:c>
      <x:c r="D146" s="5" t="n">
        <x:v>154564.92379361272</x:v>
      </x:c>
      <x:c r="E146" s="2" t="inlineStr">
        <x:is>
          <x:t xml:space="preserve">Snappers (100.000000%)</x:t>
        </x:is>
      </x:c>
      <x:c r="F146" s="2" t="inlineStr">
        <x:is>
          <x:t xml:space="preserve">High</x:t>
        </x:is>
      </x:c>
      <x:c r="G146" s="2" t="inlineStr">
        <x:is>
          <x:t xml:space="preserve">Lutjanus quinquelineatus is within Lutjanidae, expressly used as the source group boundary. Parameter species are examples, not a closed list; residual size/habitat pools do not compete. No split is required.</x:t>
        </x:is>
      </x:c>
      <x:c r="H146" s="1"/>
      <x:c r="I146" s="1"/>
      <x:c r="J146" s="1"/>
      <x:c r="K146" s="1"/>
    </x:row>
    <x:row r="147" ht="64" customHeight="1" hidden="1">
      <x:c r="A147" s="2" t="str">
        <x:v>Lutjanidae</x:v>
      </x:c>
      <x:c r="B147" s="4" t="n">
        <x:v>4.02</x:v>
      </x:c>
      <x:c r="C147" s="5" t="n">
        <x:v>1255.2861448221</x:v>
      </x:c>
      <x:c r="D147" s="5" t="n">
        <x:v>146049.55091288607</x:v>
      </x:c>
      <x:c r="E147" s="2" t="inlineStr">
        <x:is>
          <x:t xml:space="preserve">Snappers (100.000000%)</x:t>
        </x:is>
      </x:c>
      <x:c r="F147" s="2" t="inlineStr">
        <x:is>
          <x:t xml:space="preserve">High</x:t>
        </x:is>
      </x:c>
      <x:c r="G147" s="2" t="inlineStr">
        <x:is>
          <x:t xml:space="preserve">Lutjanidae is within Lutjanidae, expressly used as the source group boundary. Parameter species are examples, not a closed list; residual size/habitat pools do not compete. No split is required.</x:t>
        </x:is>
      </x:c>
      <x:c r="H147" s="1"/>
      <x:c r="I147" s="1"/>
      <x:c r="J147" s="1"/>
      <x:c r="K147" s="1"/>
    </x:row>
    <x:row r="148" ht="80" customHeight="1" hidden="1">
      <x:c r="A148" s="2" t="str">
        <x:v>Upeneus moluccensis</x:v>
      </x:c>
      <x:c r="B148" s="4" t="n">
        <x:v>3.63</x:v>
      </x:c>
      <x:c r="C148" s="5" t="n">
        <x:v>2994.4788178434</x:v>
      </x:c>
      <x:c r="D148" s="5" t="n">
        <x:v>141931.48146413325</x:v>
      </x:c>
      <x:c r="E148" s="2" t="inlineStr">
        <x:is>
          <x:t xml:space="preserve">Demesral fish (≤ 30 cm) (100.000000%)</x:t>
        </x:is>
      </x:c>
      <x:c r="F148" s="2" t="inlineStr">
        <x:is>
          <x:t xml:space="preserve">Medium</x:t>
        </x:is>
      </x:c>
      <x:c r="G148" s="2" t="inlineStr">
        <x:is>
          <x:t xml:space="preserve">Maximum 22.5 cm TL and muddy coastal habitat support small demersals. Schooling/swimming behavior and the coarse reef-associated tag leave the model's demersal versus small-benthopelagic boundary interpreted rather than fully verified. Checked species record: 22.5 cm TL; Marine; brackish;  reef-associated;. No split is required.</x:t>
        </x:is>
      </x:c>
      <x:c r="H148" s="1"/>
      <x:c r="I148" s="1"/>
      <x:c r="J148" s="1"/>
      <x:c r="K148" s="1"/>
    </x:row>
    <x:row r="149" ht="80" customHeight="1" hidden="1">
      <x:c r="A149" s="2" t="str">
        <x:v>Istiophorus</x:v>
      </x:c>
      <x:c r="B149" s="4" t="n">
        <x:v>4.5</x:v>
      </x:c>
      <x:c r="C149" s="5" t="n">
        <x:v>390.6314996311</x:v>
      </x:c>
      <x:c r="D149" s="5" t="n">
        <x:v>137253.91829349997</x:v>
      </x:c>
      <x:c r="E149" s="2" t="inlineStr">
        <x:is>
          <x:t xml:space="preserve">Juvenile large pelagic fish (89.993906%); Pelagic fish (&gt; 30 cm) (10.006094%)</x:t>
        </x:is>
      </x:c>
      <x:c r="F149" s="2" t="inlineStr">
        <x:is>
          <x:t xml:space="preserve">Medium</x:t>
        </x:is>
      </x:c>
      <x:c r="G149" s="2" t="inlineStr">
        <x:is>
          <x:t xml:space="preserve">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x:t>
        </x:is>
      </x:c>
      <x:c r="H149" s="1"/>
      <x:c r="I149" s="1"/>
      <x:c r="J149" s="1"/>
      <x:c r="K149" s="1"/>
    </x:row>
    <x:row r="150" ht="80" customHeight="1">
      <x:c r="A150" s="2" t="str">
        <x:v>Tetraodontidae</x:v>
      </x:c>
      <x:c r="B150" s="4" t="n">
        <x:v>3.5</x:v>
      </x:c>
      <x:c r="C150" s="5" t="n">
        <x:v>3884.3444347471</x:v>
      </x:c>
      <x:c r="D150" s="5" t="n">
        <x:v>136481.95144889032</x:v>
      </x:c>
      <x:c r="E150" s="2" t="inlineStr">
        <x:is>
          <x:t xml:space="preserve">Juvenile demersal fish (&gt; 30 cm) (89.991470%); Adult demersal fish (&gt; 30 cm) (10.008530%)</x:t>
        </x:is>
      </x:c>
      <x:c r="F150" s="2" t="inlineStr">
        <x:is>
          <x:t xml:space="preserve">Low</x:t>
        </x:is>
      </x:c>
      <x:c r="G150" s="2" t="inlineStr">
        <x:is>
          <x:t xml:space="preserve">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x:t>
        </x:is>
      </x:c>
      <x:c r="H150" s="1"/>
      <x:c r="I150" s="1"/>
      <x:c r="J150" s="1"/>
      <x:c r="K150" s="1"/>
    </x:row>
    <x:row r="151" ht="80" customHeight="1">
      <x:c r="A151" s="2" t="str">
        <x:v>Mugilidae</x:v>
      </x:c>
      <x:c r="B151" s="4" t="n">
        <x:v>2.53</x:v>
      </x:c>
      <x:c r="C151" s="5" t="n">
        <x:v>31991.8590488781</x:v>
      </x:c>
      <x:c r="D151" s="5" t="n">
        <x:v>120447.27203046008</x:v>
      </x:c>
      <x:c r="E151" s="2" t="inlineStr">
        <x:is>
          <x:t xml:space="preserve">Juvenile demersal fish (&gt; 30 cm) (89.991470%); Adult demersal fish (&gt; 30 cm) (10.008530%)</x:t>
        </x:is>
      </x:c>
      <x:c r="F151" s="2" t="inlineStr">
        <x:is>
          <x:t xml:space="preserve">Low</x:t>
        </x:is>
      </x:c>
      <x:c r="G151" s="2" t="inlineStr">
        <x:is>
          <x:t xml:space="preserve">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x:t>
        </x:is>
      </x:c>
      <x:c r="H151" s="1"/>
      <x:c r="I151" s="1"/>
      <x:c r="J151" s="1"/>
      <x:c r="K151" s="1"/>
    </x:row>
    <x:row r="152" ht="80" customHeight="1" hidden="1">
      <x:c r="A152" s="2" t="str">
        <x:v>Platycephalidae</x:v>
      </x:c>
      <x:c r="B152" s="4" t="n">
        <x:v>3.9</x:v>
      </x:c>
      <x:c r="C152" s="5" t="n">
        <x:v>1334.1400818569</x:v>
      </x:c>
      <x:c r="D152" s="5" t="n">
        <x:v>117749.45956625551</x:v>
      </x:c>
      <x:c r="E152" s="2" t="inlineStr">
        <x:is>
          <x:t xml:space="preserve">Demesral fish (≤ 30 cm) (33.704053%); Juvenile demersal fish (&gt; 30 cm) (59.660697%); Adult demersal fish (&gt; 30 cm) (6.635250%)</x:t>
        </x:is>
      </x:c>
      <x:c r="F152" s="2" t="inlineStr">
        <x:is>
          <x:t xml:space="preserve">Medium</x:t>
        </x:is>
      </x:c>
      <x:c r="G152" s="2" t="inlineStr">
        <x:is>
          <x:t xml:space="preserve">Regional demersal Sorsogona tuberculata (14.5 cm TL) and Platycephalus indicus (100 cm TL) span both species-size classes. The family reporting category is assumed to contain these bottom-associated components. Source-model catch proportions supply an assumed fixed 1950–2019/all-bases mixture; they are not observed taxon-specific catches.</x:t>
        </x:is>
      </x:c>
      <x:c r="H152" s="1"/>
      <x:c r="I152" s="1"/>
      <x:c r="J152" s="1"/>
      <x:c r="K152" s="1"/>
    </x:row>
    <x:row r="153" ht="80" customHeight="1" hidden="1">
      <x:c r="A153" s="2" t="str">
        <x:v>Paralichthyidae</x:v>
      </x:c>
      <x:c r="B153" s="4" t="n">
        <x:v>4.06</x:v>
      </x:c>
      <x:c r="C153" s="5" t="n">
        <x:v>842.1088518698</x:v>
      </x:c>
      <x:c r="D153" s="5" t="n">
        <x:v>107430.03644098801</x:v>
      </x:c>
      <x:c r="E153" s="2" t="inlineStr">
        <x:is>
          <x:t xml:space="preserve">Demesral fish (≤ 30 cm) (33.704053%); Juvenile demersal fish (&gt; 30 cm) (59.660697%); Adult demersal fish (&gt; 30 cm) (6.635250%)</x:t>
        </x:is>
      </x:c>
      <x:c r="F153" s="2" t="inlineStr">
        <x:is>
          <x:t xml:space="preserve">Medium</x:t>
        </x:is>
      </x:c>
      <x:c r="G153" s="2" t="inlineStr">
        <x:is>
          <x:t xml:space="preserve">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x:t>
        </x:is>
      </x:c>
      <x:c r="H153" s="1"/>
      <x:c r="I153" s="1"/>
      <x:c r="J153" s="1"/>
      <x:c r="K153" s="1"/>
    </x:row>
    <x:row r="154" ht="112" customHeight="1" hidden="1">
      <x:c r="A154" s="2" t="str">
        <x:v>Trachurus japonicus</x:v>
      </x:c>
      <x:c r="B154" s="4" t="n">
        <x:v>3.4</x:v>
      </x:c>
      <x:c r="C154" s="5" t="n">
        <x:v>3715.657176667</x:v>
      </x:c>
      <x:c r="D154" s="5" t="n">
        <x:v>103703.43162456702</x:v>
      </x:c>
      <x:c r="E154" s="2" t="inlineStr">
        <x:is>
          <x:t xml:space="preserve">Juvenile large pelagic fish (89.993906%); Pelagic fish (&gt; 30 cm) (10.006094%)</x:t>
        </x:is>
      </x:c>
      <x:c r="F154" s="2" t="inlineStr">
        <x:is>
          <x:t xml:space="preserve">Medium</x:t>
        </x:is>
      </x:c>
      <x:c r="G15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x:t>
        </x:is>
      </x:c>
      <x:c r="H154" s="1"/>
      <x:c r="I154" s="1"/>
      <x:c r="J154" s="1"/>
      <x:c r="K154" s="1"/>
    </x:row>
    <x:row r="155" ht="48" customHeight="1" hidden="1">
      <x:c r="A155" s="2" t="str">
        <x:v>Penaeus indicus</x:v>
      </x:c>
      <x:c r="B155" s="4" t="n">
        <x:v>2.7</x:v>
      </x:c>
      <x:c r="C155" s="5" t="n">
        <x:v>18298.3721318051</x:v>
      </x:c>
      <x:c r="D155" s="5" t="n">
        <x:v>101899.00565135306</x:v>
      </x:c>
      <x:c r="E155" s="2" t="inlineStr">
        <x:is>
          <x:t xml:space="preserve">Shrimps (100.000000%)</x:t>
        </x:is>
      </x:c>
      <x:c r="F155" s="2" t="inlineStr">
        <x:is>
          <x:t xml:space="preserve">High</x:t>
        </x:is>
      </x:c>
      <x:c r="G155" s="2" t="inlineStr">
        <x:is>
          <x:t xml:space="preserve">Penaeus indicus is a non-Acetes shrimp lineage. Shrimps is broader than the Metapenaeopsis mortality examples; the explicit Acetes/Zooplankton exception is excluded. No split is required.</x:t>
        </x:is>
      </x:c>
      <x:c r="H155" s="1"/>
      <x:c r="I155" s="1"/>
      <x:c r="J155" s="1"/>
      <x:c r="K155" s="1"/>
    </x:row>
    <x:row r="156" ht="64" customHeight="1" hidden="1">
      <x:c r="A156" s="2" t="str">
        <x:v>Alopias</x:v>
      </x:c>
      <x:c r="B156" s="4" t="n">
        <x:v>4.5</x:v>
      </x:c>
      <x:c r="C156" s="5" t="n">
        <x:v>278.9576847729001</x:v>
      </x:c>
      <x:c r="D156" s="5" t="n">
        <x:v>98015.73940995942</x:v>
      </x:c>
      <x:c r="E156" s="2" t="inlineStr">
        <x:is>
          <x:t xml:space="preserve">Pelagic sharks and rays (100.000000%)</x:t>
        </x:is>
      </x:c>
      <x:c r="F156" s="2" t="inlineStr">
        <x:is>
          <x:t xml:space="preserve">Medium</x:t>
        </x:is>
      </x:c>
      <x:c r="G156" s="2" t="inlineStr">
        <x:is>
          <x:t xml:space="preserve">All three inventory species are predominantly pelagic, supporting the current shark pool. A. superciliosus also uses near-bottom water; the source does not define an operational mixed-habitat boundary, so whole-genus exclusivity is not promoted to High. No split is required.</x:t>
        </x:is>
      </x:c>
      <x:c r="H156" s="1"/>
      <x:c r="I156" s="1"/>
      <x:c r="J156" s="1"/>
      <x:c r="K156" s="1"/>
    </x:row>
    <x:row r="157" ht="80" customHeight="1" hidden="1">
      <x:c r="A157" s="2" t="str">
        <x:v>Pagrus major</x:v>
      </x:c>
      <x:c r="B157" s="4" t="n">
        <x:v>3.7</x:v>
      </x:c>
      <x:c r="C157" s="5" t="n">
        <x:v>1739.450954688</x:v>
      </x:c>
      <x:c r="D157" s="5" t="n">
        <x:v>96865.62355671075</x:v>
      </x:c>
      <x:c r="E157" s="2" t="inlineStr">
        <x:is>
          <x:t xml:space="preserve">Juvenile demersal fish (&gt; 30 cm) (89.991470%); Adult demersal fish (&gt; 30 cm) (10.008530%)</x:t>
        </x:is>
      </x:c>
      <x:c r="F157" s="2" t="inlineStr">
        <x:is>
          <x:t xml:space="preserve">Medium</x:t>
        </x:is>
      </x:c>
      <x:c r="G157" s="2" t="inlineStr">
        <x:is>
          <x:t xml:space="preserve">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x:t>
        </x:is>
      </x:c>
      <x:c r="H157" s="1"/>
      <x:c r="I157" s="1"/>
      <x:c r="J157" s="1"/>
      <x:c r="K157" s="1"/>
    </x:row>
    <x:row r="158" ht="96" customHeight="1">
      <x:c r="A158" s="2" t="str">
        <x:v>Seriola dumerili</x:v>
      </x:c>
      <x:c r="B158" s="4" t="n">
        <x:v>4.5</x:v>
      </x:c>
      <x:c r="C158" s="5" t="n">
        <x:v>273.3489238528</x:v>
      </x:c>
      <x:c r="D158" s="5" t="n">
        <x:v>96045.02170341964</x:v>
      </x:c>
      <x:c r="E158" s="2" t="inlineStr">
        <x:is>
          <x:t xml:space="preserve">Juvenile large pelagic fish (89.993906%); Pelagic fish (&gt; 30 cm) (10.006094%)</x:t>
        </x:is>
      </x:c>
      <x:c r="F158" s="2" t="inlineStr">
        <x:is>
          <x:t xml:space="preserve">Low</x:t>
        </x:is>
      </x:c>
      <x:c r="G158" s="2" t="inlineStr">
        <x:is>
          <x:t xml:space="preserve">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x:t>
        </x:is>
      </x:c>
      <x:c r="H158" s="1"/>
      <x:c r="I158" s="1"/>
      <x:c r="J158" s="1"/>
      <x:c r="K158" s="1"/>
    </x:row>
    <x:row r="159" ht="80" customHeight="1" hidden="1">
      <x:c r="A159" s="2" t="str">
        <x:v>Sardinella lemuru</x:v>
      </x:c>
      <x:c r="B159" s="4" t="n">
        <x:v>2.48</x:v>
      </x:c>
      <x:c r="C159" s="5" t="n">
        <x:v>27343.2381120938</x:v>
      </x:c>
      <x:c r="D159" s="5" t="n">
        <x:v>91750.28775331071</x:v>
      </x:c>
      <x:c r="E159" s="2" t="inlineStr">
        <x:is>
          <x:t xml:space="preserve">Pelagic fish (≤ 30 cm) (100.000000%)</x:t>
        </x:is>
      </x:c>
      <x:c r="F159" s="2" t="inlineStr">
        <x:is>
          <x:t xml:space="preserve">Medium</x:t>
        </x:is>
      </x:c>
      <x:c r="G159" s="2" t="inlineStr">
        <x:is>
          <x:t xml:space="preserve">Coastal-pelagic ecology and small size support the current pool. Retrieved maximum length is SL, not TL; no independent total-length bound/conversion was recovered, so the model TL criterion remains a supported inference. Checked species record: 23 cm SL; Marine;  pelagic-neritic; oceanodromous. No split is required.</x:t>
        </x:is>
      </x:c>
      <x:c r="H159" s="1"/>
      <x:c r="I159" s="1"/>
      <x:c r="J159" s="1"/>
      <x:c r="K159" s="1"/>
    </x:row>
    <x:row r="160" ht="80" customHeight="1" hidden="1">
      <x:c r="A160" s="2" t="str">
        <x:v>Cypselurus poecilopterus</x:v>
      </x:c>
      <x:c r="B160" s="4" t="n">
        <x:v>3.4</x:v>
      </x:c>
      <x:c r="C160" s="5" t="n">
        <x:v>3133.6198220805</x:v>
      </x:c>
      <x:c r="D160" s="5" t="n">
        <x:v>87458.85680659412</x:v>
      </x:c>
      <x:c r="E160" s="2" t="inlineStr">
        <x:is>
          <x:t xml:space="preserve">Pelagic fish (≤ 30 cm) (100.000000%)</x:t>
        </x:is>
      </x:c>
      <x:c r="F160" s="2" t="inlineStr">
        <x:is>
          <x:t xml:space="preserve">High</x:t>
        </x:is>
      </x:c>
      <x:c r="G160" s="2" t="inlineStr">
        <x:is>
          <x:t xml:space="preserve">Species evidence establishes pelagic habitat and maximum TL &lt;=30 cm. The source defines the small-pelagic pool by these criteria; its named examples are not a closed species list. No dedicated group competes. Checked species record: 27 cm TL; Marine;  pelagic-neritic; oceanodromous. No split is required.</x:t>
        </x:is>
      </x:c>
      <x:c r="H160" s="1"/>
      <x:c r="I160" s="1"/>
      <x:c r="J160" s="1"/>
      <x:c r="K160" s="1"/>
    </x:row>
    <x:row r="161" ht="48" customHeight="1" hidden="1">
      <x:c r="A161" s="2" t="str">
        <x:v>Penaeus chinensis</x:v>
      </x:c>
      <x:c r="B161" s="4" t="n">
        <x:v>2</x:v>
      </x:c>
      <x:c r="C161" s="5" t="n">
        <x:v>72951.8277109042</x:v>
      </x:c>
      <x:c r="D161" s="5" t="n">
        <x:v>81057.5863454491</x:v>
      </x:c>
      <x:c r="E161" s="2" t="inlineStr">
        <x:is>
          <x:t xml:space="preserve">Shrimps (100.000000%)</x:t>
        </x:is>
      </x:c>
      <x:c r="F161" s="2" t="inlineStr">
        <x:is>
          <x:t xml:space="preserve">High</x:t>
        </x:is>
      </x:c>
      <x:c r="G161" s="2" t="inlineStr">
        <x:is>
          <x:t xml:space="preserve">Penaeus chinensis is a non-Acetes shrimp lineage. Shrimps is broader than the Metapenaeopsis mortality examples; the explicit Acetes/Zooplankton exception is excluded. No split is required.</x:t>
        </x:is>
      </x:c>
      <x:c r="H161" s="1"/>
      <x:c r="I161" s="1"/>
      <x:c r="J161" s="1"/>
      <x:c r="K161" s="1"/>
    </x:row>
    <x:row r="162" ht="48" customHeight="1" hidden="1">
      <x:c r="A162" s="2" t="str">
        <x:v>Charybdis</x:v>
      </x:c>
      <x:c r="B162" s="4" t="n">
        <x:v>2.7</x:v>
      </x:c>
      <x:c r="C162" s="5" t="n">
        <x:v>14303.6239646456</x:v>
      </x:c>
      <x:c r="D162" s="5" t="n">
        <x:v>79653.26361872764</x:v>
      </x:c>
      <x:c r="E162" s="2" t="inlineStr">
        <x:is>
          <x:t xml:space="preserve">Crabs (100.000000%)</x:t>
        </x:is>
      </x:c>
      <x:c r="F162" s="2" t="inlineStr">
        <x:is>
          <x:t xml:space="preserve">High</x:t>
        </x:is>
      </x:c>
      <x:c r="G162" s="2" t="inlineStr">
        <x:is>
          <x:t xml:space="preserve">Charybdis is a true-crab lineage within Crabs. The residual benthic-crustacean group expressly excludes crabs, so is not a competing placement. No split is required.</x:t>
        </x:is>
      </x:c>
      <x:c r="H162" s="1"/>
      <x:c r="I162" s="1"/>
      <x:c r="J162" s="1"/>
      <x:c r="K162" s="1"/>
    </x:row>
    <x:row r="163" ht="80" customHeight="1" hidden="1">
      <x:c r="A163" s="2" t="str">
        <x:v>Terapon</x:v>
      </x:c>
      <x:c r="B163" s="4" t="n">
        <x:v>3.5</x:v>
      </x:c>
      <x:c r="C163" s="5" t="n">
        <x:v>2157.2200381911</x:v>
      </x:c>
      <x:c r="D163" s="5" t="n">
        <x:v>75796.98594265882</x:v>
      </x:c>
      <x:c r="E163" s="2" t="inlineStr">
        <x:is>
          <x:t xml:space="preserve">Demesral fish (≤ 30 cm) (33.704053%); Juvenile demersal fish (&gt; 30 cm) (59.660697%); Adult demersal fish (&gt; 30 cm) (6.635250%)</x:t>
        </x:is>
      </x:c>
      <x:c r="F163" s="2" t="inlineStr">
        <x:is>
          <x:t xml:space="preserve">Medium</x:t>
        </x:is>
      </x:c>
      <x:c r="G163" s="2" t="inlineStr">
        <x:is>
          <x:t xml:space="preserve">Terapon puta has maximum 30 cm TL, on the inclusive small side; T. jarbua reaches 36 cm TL and T. theraps 30 cm SL excludes a secure small assignment. Both demersal size classes are retained under a regional genus-composition assumption. Source-model catch proportions supply an assumed fixed 1950–2019/all-bases mixture; they are not observed taxon-specific catches.</x:t>
        </x:is>
      </x:c>
      <x:c r="H163" s="1"/>
      <x:c r="I163" s="1"/>
      <x:c r="J163" s="1"/>
      <x:c r="K163" s="1"/>
    </x:row>
    <x:row r="164" ht="80" customHeight="1" hidden="1">
      <x:c r="A164" s="2" t="str">
        <x:v>Pleuronectiformes</x:v>
      </x:c>
      <x:c r="B164" s="4" t="n">
        <x:v>3.57</x:v>
      </x:c>
      <x:c r="C164" s="5" t="n">
        <x:v>1789.8470157394</x:v>
      </x:c>
      <x:c r="D164" s="5" t="n">
        <x:v>73887.9134490698</x:v>
      </x:c>
      <x:c r="E164" s="2" t="inlineStr">
        <x:is>
          <x:t xml:space="preserve">Demesral fish (≤ 30 cm) (33.704053%); Juvenile demersal fish (&gt; 30 cm) (59.660697%); Adult demersal fish (&gt; 30 cm) (6.635250%)</x:t>
        </x:is>
      </x:c>
      <x:c r="F164" s="2" t="inlineStr">
        <x:is>
          <x:t xml:space="preserve">Medium</x:t>
        </x:is>
      </x:c>
      <x:c r="G164" s="2" t="inlineStr">
        <x:is>
          <x:t xml:space="preserve">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x:t>
        </x:is>
      </x:c>
      <x:c r="H164" s="1"/>
      <x:c r="I164" s="1"/>
      <x:c r="J164" s="1"/>
      <x:c r="K164" s="1"/>
    </x:row>
    <x:row r="165" ht="57.0" customHeight="1" hidden="1">
      <x:c r="A165" s="2" t="str">
        <x:v>Gastropoda</x:v>
      </x:c>
      <x:c r="B165" s="4" t="n">
        <x:v>3.06</x:v>
      </x:c>
      <x:c r="C165" s="5" t="n">
        <x:v>5741.678235690199</x:v>
      </x:c>
      <x:c r="D165" s="5" t="n">
        <x:v>73248.0962197504</x:v>
      </x:c>
      <x:c r="E165" s="2" t="inlineStr">
        <x:is>
          <x:t xml:space="preserve">Non-ceph molluscs (100.000000%)</x:t>
        </x:is>
      </x:c>
      <x:c r="F165" s="2" t="inlineStr">
        <x:is>
          <x:t xml:space="preserve">High</x:t>
        </x:is>
      </x:c>
      <x:c r="G165" s="2" t="inlineStr">
        <x:is>
          <x:t xml:space="preserve">Gastropoda is a non-cephalopod mollusc. The source derives this catch by removing Cephalopoda from mollusc catch; no competing mollusc compartment contains this lineage. No split is required.</x:t>
        </x:is>
      </x:c>
      <x:c r="H165" s="1"/>
      <x:c r="I165" s="1"/>
      <x:c r="J165" s="1"/>
      <x:c r="K165" s="1"/>
    </x:row>
    <x:row r="166" ht="96" customHeight="1" hidden="1">
      <x:c r="A166" s="2" t="str">
        <x:v>Platycephalus indicus</x:v>
      </x:c>
      <x:c r="B166" s="4" t="n">
        <x:v>3.6</x:v>
      </x:c>
      <x:c r="C166" s="5" t="n">
        <x:v>1591.2238953889</x:v>
      </x:c>
      <x:c r="D166" s="5" t="n">
        <x:v>70386.4047455988</x:v>
      </x:c>
      <x:c r="E166" s="2" t="inlineStr">
        <x:is>
          <x:t xml:space="preserve">Juvenile demersal fish (&gt; 30 cm) (89.991470%); Adult demersal fish (&gt; 30 cm) (10.008530%)</x:t>
        </x:is>
      </x:c>
      <x:c r="F166" s="2" t="inlineStr">
        <x:is>
          <x:t xml:space="preserve">Medium</x:t>
        </x:is>
      </x:c>
      <x:c r="G166" s="2" t="inlineStr">
        <x:is>
          <x:t xml:space="preserve">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x:t>
        </x:is>
      </x:c>
      <x:c r="H166" s="1"/>
      <x:c r="I166" s="1"/>
      <x:c r="J166" s="1"/>
      <x:c r="K166" s="1"/>
    </x:row>
    <x:row r="167" ht="80" customHeight="1" hidden="1">
      <x:c r="A167" s="2" t="str">
        <x:v>Chelidonichthys kumu</x:v>
      </x:c>
      <x:c r="B167" s="4" t="n">
        <x:v>3.68</x:v>
      </x:c>
      <x:c r="C167" s="5" t="n">
        <x:v>1287.8886083428</x:v>
      </x:c>
      <x:c r="D167" s="5" t="n">
        <x:v>68491.36039026541</x:v>
      </x:c>
      <x:c r="E167" s="2" t="inlineStr">
        <x:is>
          <x:t xml:space="preserve">Juvenile demersal fish (&gt; 30 cm) (89.991470%); Adult demersal fish (&gt; 30 cm) (10.008530%)</x:t>
        </x:is>
      </x:c>
      <x:c r="F167" s="2" t="inlineStr">
        <x:is>
          <x:t xml:space="preserve">Medium</x:t>
        </x:is>
      </x:c>
      <x:c r="G167" s="2" t="inlineStr">
        <x:is>
          <x:t xml:space="preserve">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x:t>
        </x:is>
      </x:c>
      <x:c r="H167" s="1"/>
      <x:c r="I167" s="1"/>
      <x:c r="J167" s="1"/>
      <x:c r="K167" s="1"/>
    </x:row>
    <x:row r="168" ht="80" customHeight="1" hidden="1">
      <x:c r="A168" s="2" t="str">
        <x:v>Sardinella fimbriata</x:v>
      </x:c>
      <x:c r="B168" s="4" t="n">
        <x:v>2.7</x:v>
      </x:c>
      <x:c r="C168" s="5" t="n">
        <x:v>12229.5418116872</x:v>
      </x:c>
      <x:c r="D168" s="5" t="n">
        <x:v>68103.22476809523</x:v>
      </x:c>
      <x:c r="E168" s="2" t="inlineStr">
        <x:is>
          <x:t xml:space="preserve">Pelagic fish (≤ 30 cm) (100.000000%)</x:t>
        </x:is>
      </x:c>
      <x:c r="F168" s="2" t="inlineStr">
        <x:is>
          <x:t xml:space="preserve">High</x:t>
        </x:is>
      </x:c>
      <x:c r="G168" s="2" t="inlineStr">
        <x:is>
          <x:t xml:space="preserve">Species evidence establishes pelagic habitat and maximum TL &lt;=30 cm. The source defines the small-pelagic pool by these criteria; its named examples are not a closed species list. No dedicated group competes. Checked species record: 19 cm TL; Marine; brackish;  pelagic-neritic;. No split is required.</x:t>
        </x:is>
      </x:c>
      <x:c r="H168" s="1"/>
      <x:c r="I168" s="1"/>
      <x:c r="J168" s="1"/>
      <x:c r="K168" s="1"/>
    </x:row>
    <x:row r="169" ht="48" customHeight="1" hidden="1">
      <x:c r="A169" s="2" t="str">
        <x:v>Psenopsis anomala</x:v>
      </x:c>
      <x:c r="B169" s="4" t="n">
        <x:v>4</x:v>
      </x:c>
      <x:c r="C169" s="5" t="n">
        <x:v>590.617659255</x:v>
      </x:c>
      <x:c r="D169" s="5" t="n">
        <x:v>65624.18436166667</x:v>
      </x:c>
      <x:c r="E169" s="2" t="inlineStr">
        <x:is>
          <x:t xml:space="preserve">Melon seed (100.000000%)</x:t>
        </x:is>
      </x:c>
      <x:c r="F169" s="2" t="inlineStr">
        <x:is>
          <x:t xml:space="preserve">High</x:t>
        </x:is>
      </x:c>
      <x:c r="G169" s="2" t="inlineStr">
        <x:is>
          <x:t xml:space="preserve">The source defines Melon seed as Psenopsis anomala. This dedicated identity overrides generic benthopelagic placement and the unrelated Stromateidae pomfret group. No split is required.</x:t>
        </x:is>
      </x:c>
      <x:c r="H169" s="1"/>
      <x:c r="I169" s="1"/>
      <x:c r="J169" s="1"/>
      <x:c r="K169" s="1"/>
    </x:row>
    <x:row r="170" ht="80" customHeight="1" hidden="1">
      <x:c r="A170" s="2" t="str">
        <x:v>Plotosus</x:v>
      </x:c>
      <x:c r="B170" s="4" t="n">
        <x:v>3.49</x:v>
      </x:c>
      <x:c r="C170" s="5" t="n">
        <x:v>1797.802914928</x:v>
      </x:c>
      <x:c r="D170" s="5" t="n">
        <x:v>61730.468184018006</x:v>
      </x:c>
      <x:c r="E170" s="2" t="inlineStr">
        <x:is>
          <x:t xml:space="preserve">Demesral fish (≤ 30 cm) (33.704053%); Juvenile demersal fish (&gt; 30 cm) (59.660697%); Adult demersal fish (&gt; 30 cm) (6.635250%)</x:t>
        </x:is>
      </x:c>
      <x:c r="F170" s="2" t="inlineStr">
        <x:is>
          <x:t xml:space="preserve">Medium</x:t>
        </x:is>
      </x:c>
      <x:c r="G170" s="2" t="inlineStr">
        <x:is>
          <x:t xml:space="preserve">Western Pacific demersal P. nhatrangensis (24.3 cm TL), P. lineatus (35.2 cm TL) and P. canius (111.1 cm TL) support both size classes. Inclusion of relevant marine/estuarine genus components is assumed. Source-model catch proportions supply an assumed fixed 1950–2019/all-bases mixture; they are not observed taxon-specific catches.</x:t>
        </x:is>
      </x:c>
      <x:c r="H170" s="1"/>
      <x:c r="I170" s="1"/>
      <x:c r="J170" s="1"/>
      <x:c r="K170" s="1"/>
    </x:row>
    <x:row r="171" ht="87.0" customHeight="1" hidden="1">
      <x:c r="A171" s="2" t="str">
        <x:v>Scomber australasicus</x:v>
      </x:c>
      <x:c r="B171" s="4" t="n">
        <x:v>4.23</x:v>
      </x:c>
      <x:c r="C171" s="5" t="n">
        <x:v>312.8055447323</x:v>
      </x:c>
      <x:c r="D171" s="5" t="n">
        <x:v>59024.44786627413</x:v>
      </x:c>
      <x:c r="E171" s="2" t="inlineStr">
        <x:is>
          <x:t xml:space="preserve">Juvenile large pelagic fish (89.993906%); Pelagic fish (&gt; 30 cm) (10.006094%)</x:t>
        </x:is>
      </x:c>
      <x:c r="F171" s="2" t="inlineStr">
        <x:is>
          <x:t xml:space="preserve">Medium</x:t>
        </x:is>
      </x:c>
      <x:c r="G171" s="2" t="inlineStr">
        <x:is>
          <x:t xml:space="preserve">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x:t>
        </x:is>
      </x:c>
      <x:c r="H171" s="1"/>
      <x:c r="I171" s="1"/>
      <x:c r="J171" s="1"/>
      <x:c r="K171" s="1"/>
    </x:row>
    <x:row r="172" ht="80" customHeight="1" hidden="1">
      <x:c r="A172" s="2" t="str">
        <x:v>Clupeiformes</x:v>
      </x:c>
      <x:c r="B172" s="4" t="n">
        <x:v>3.24</x:v>
      </x:c>
      <x:c r="C172" s="5" t="n">
        <x:v>2906.7631727445</x:v>
      </x:c>
      <x:c r="D172" s="5" t="n">
        <x:v>56126.393895261754</x:v>
      </x:c>
      <x:c r="E172" s="2" t="inlineStr">
        <x:is>
          <x:t xml:space="preserve">Pelagic fish (≤ 30 cm) (74.079924%); Juvenile large pelagic fish (23.326489%); Pelagic fish (&gt; 30 cm) (2.593587%)</x:t>
        </x:is>
      </x:c>
      <x:c r="F172" s="2" t="inlineStr">
        <x:is>
          <x:t xml:space="preserve">Medium</x:t>
        </x:is>
      </x:c>
      <x:c r="G172" s="2" t="inlineStr">
        <x:is>
          <x:t xml:space="preserve">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t>
        </x:is>
      </x:c>
      <x:c r="H172" s="1"/>
      <x:c r="I172" s="1"/>
      <x:c r="J172" s="1"/>
      <x:c r="K172" s="1"/>
    </x:row>
    <x:row r="173" ht="80" customHeight="1" hidden="1">
      <x:c r="A173" s="2" t="str">
        <x:v>Mollusca</x:v>
      </x:c>
      <x:c r="B173" s="4" t="n">
        <x:v>2.1</x:v>
      </x:c>
      <x:c r="C173" s="5" t="n">
        <x:v>39692.3948368138</x:v>
      </x:c>
      <x:c r="D173" s="5" t="n">
        <x:v>55521.96057225831</x:v>
      </x:c>
      <x:c r="E173" s="2" t="inlineStr">
        <x:is>
          <x:t xml:space="preserve">Non-ceph molluscs (73.609502%); Cephalopods (26.390498%)</x:t>
        </x:is>
      </x:c>
      <x:c r="F173" s="2" t="inlineStr">
        <x:is>
          <x:t xml:space="preserve">Medium</x:t>
        </x:is>
      </x:c>
      <x:c r="G173" s="2" t="inlineStr">
        <x:is>
          <x:t xml:space="preserve">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x:t>
        </x:is>
      </x:c>
      <x:c r="H173" s="1"/>
      <x:c r="I173" s="1"/>
      <x:c r="J173" s="1"/>
      <x:c r="K173" s="1"/>
    </x:row>
    <x:row r="174" ht="80" customHeight="1" hidden="1">
      <x:c r="A174" s="2" t="str">
        <x:v>Lactarius lactarius</x:v>
      </x:c>
      <x:c r="B174" s="4" t="n">
        <x:v>3.97</x:v>
      </x:c>
      <x:c r="C174" s="5" t="n">
        <x:v>528.9480463310999</x:v>
      </x:c>
      <x:c r="D174" s="5" t="n">
        <x:v>54849.2265707406</x:v>
      </x:c>
      <x:c r="E174" s="2" t="inlineStr">
        <x:is>
          <x:t xml:space="preserve">Juvenile large pelagic fish (89.993906%); Pelagic fish (&gt; 30 cm) (10.006094%)</x:t>
        </x:is>
      </x:c>
      <x:c r="F174" s="2" t="inlineStr">
        <x:is>
          <x:t xml:space="preserve">Medium</x:t>
        </x:is>
      </x:c>
      <x:c r="G174" s="2" t="inlineStr">
        <x:is>
          <x:t xml:space="preserve">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x:t>
        </x:is>
      </x:c>
      <x:c r="H174" s="1"/>
      <x:c r="I174" s="1"/>
      <x:c r="J174" s="1"/>
      <x:c r="K174" s="1"/>
    </x:row>
    <x:row r="175" ht="48" customHeight="1" hidden="1">
      <x:c r="A175" s="2" t="str">
        <x:v>Metapenaeus</x:v>
      </x:c>
      <x:c r="B175" s="4" t="n">
        <x:v>2.7</x:v>
      </x:c>
      <x:c r="C175" s="5" t="n">
        <x:v>9786.3348803903</x:v>
      </x:c>
      <x:c r="D175" s="5" t="n">
        <x:v>54497.62340058778</x:v>
      </x:c>
      <x:c r="E175" s="2" t="inlineStr">
        <x:is>
          <x:t xml:space="preserve">Shrimps (100.000000%)</x:t>
        </x:is>
      </x:c>
      <x:c r="F175" s="2" t="inlineStr">
        <x:is>
          <x:t xml:space="preserve">High</x:t>
        </x:is>
      </x:c>
      <x:c r="G175" s="2" t="inlineStr">
        <x:is>
          <x:t xml:space="preserve">Metapenaeus is a non-Acetes shrimp lineage. Shrimps is broader than the Metapenaeopsis mortality examples; the explicit Acetes/Zooplankton exception is excluded. No split is required.</x:t>
        </x:is>
      </x:c>
      <x:c r="H175" s="1"/>
      <x:c r="I175" s="1"/>
      <x:c r="J175" s="1"/>
      <x:c r="K175" s="1"/>
    </x:row>
    <x:row r="176" ht="80" customHeight="1">
      <x:c r="A176" s="2" t="str">
        <x:v>Haemulidae</x:v>
      </x:c>
      <x:c r="B176" s="4" t="n">
        <x:v>3.36</x:v>
      </x:c>
      <x:c r="C176" s="5" t="n">
        <x:v>1986.3217087851</x:v>
      </x:c>
      <x:c r="D176" s="5" t="n">
        <x:v>50560.00167384658</x:v>
      </x:c>
      <x:c r="E176" s="2" t="inlineStr">
        <x:is>
          <x:t xml:space="preserve">Juvenile demersal fish (&gt; 30 cm) (89.991470%); Adult demersal fish (&gt; 30 cm) (10.008530%)</x:t>
        </x:is>
      </x:c>
      <x:c r="F176" s="2" t="inlineStr">
        <x:is>
          <x:t xml:space="preserve">Low</x:t>
        </x:is>
      </x:c>
      <x:c r="G176" s="2" t="inlineStr">
        <x:is>
          <x:t xml:space="preserve">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x:t>
        </x:is>
      </x:c>
      <x:c r="H176" s="1"/>
      <x:c r="I176" s="1"/>
      <x:c r="J176" s="1"/>
      <x:c r="K176" s="1"/>
    </x:row>
    <x:row r="177" ht="64" customHeight="1" hidden="1">
      <x:c r="A177" s="2" t="str">
        <x:v>Mene maculata</x:v>
      </x:c>
      <x:c r="B177" s="4" t="n">
        <x:v>3.45</x:v>
      </x:c>
      <x:c r="C177" s="5" t="n">
        <x:v>1574.3400639038</x:v>
      </x:c>
      <x:c r="D177" s="5" t="n">
        <x:v>49301.0351568029</x:v>
      </x:c>
      <x:c r="E177" s="2" t="inlineStr">
        <x:is>
          <x:t xml:space="preserve">Benthopelagic fish (100.000000%)</x:t>
        </x:is>
      </x:c>
      <x:c r="F177" s="2" t="inlineStr">
        <x:is>
          <x:t xml:space="preserve">Medium</x:t>
        </x:is>
      </x:c>
      <x:c r="G177" s="2" t="inlineStr">
        <x:is>
          <x:t xml:space="preserve">Maximum 30 cm TL and independently documented benthopelagic habitat support the appendix small component, whose PB/QB closely match final 27. This is a supported ecological assignment, with the unexplained final group consolidation still documented. No split is required.</x:t>
        </x:is>
      </x:c>
      <x:c r="H177" s="1"/>
      <x:c r="I177" s="1"/>
      <x:c r="J177" s="1"/>
      <x:c r="K177" s="1"/>
    </x:row>
    <x:row r="178" ht="64" customHeight="1">
      <x:c r="A178" s="2" t="str">
        <x:v>Mugil cephalus</x:v>
      </x:c>
      <x:c r="B178" s="4" t="n">
        <x:v>2.14</x:v>
      </x:c>
      <x:c r="C178" s="5" t="n">
        <x:v>31324.35848421</x:v>
      </x:c>
      <x:c r="D178" s="5" t="n">
        <x:v>48044.057278203734</x:v>
      </x:c>
      <x:c r="E178" s="2" t="inlineStr">
        <x:is>
          <x:t xml:space="preserve">Benthopelagic fish (100.000000%)</x:t>
        </x:is>
      </x:c>
      <x:c r="F178" s="2" t="inlineStr">
        <x:is>
          <x:t xml:space="preserve">Low</x:t>
        </x:is>
      </x:c>
      <x:c r="G178" s="2" t="inlineStr">
        <x:is>
          <x:t xml:space="preserve">The species is explicitly benthopelagic and far above 30 cm (100 cm SL), so its biology supports the appendix large-benthopelagic component. The unresolved issue is whether final 27 represents that component: its PB/QB instead track the small component. No split is required.</x:t>
        </x:is>
      </x:c>
      <x:c r="H178" s="1"/>
      <x:c r="I178" s="1"/>
      <x:c r="J178" s="1"/>
      <x:c r="K178" s="1"/>
    </x:row>
    <x:row r="179" ht="147.0" customHeight="1" hidden="1">
      <x:c r="A179" s="2" t="str">
        <x:v>Miscellaneous aquatic invertebrates</x:v>
      </x:c>
      <x:c r="B179" s="4" t="n">
        <x:v>2.43</x:v>
      </x:c>
      <x:c r="C179" s="5" t="n">
        <x:v>15610.8865788672</x:v>
      </x:c>
      <x:c r="D179" s="5" t="n">
        <x:v>46685.82727464074</x:v>
      </x:c>
      <x:c r="E179" s="2" t="inlineStr">
        <x:is>
          <x:t xml:space="preserve">Polychaetes (0.000000%); Echinoderms (0.107236%); Benthic crustaceans (1.996630%); Non-ceph molluscs (38.926620%); Sessile/other invertebrates (0.153194%); Shrimps (34.662718%); Crabs (10.197620%); Cephalopods (13.955982%)</x:t>
        </x:is>
      </x:c>
      <x:c r="F179" s="2" t="inlineStr">
        <x:is>
          <x:t xml:space="preserve">Very low</x:t>
        </x:is>
      </x:c>
      <x:c r="G179"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H179" s="1"/>
      <x:c r="I179" s="1"/>
      <x:c r="J179" s="1"/>
      <x:c r="K179" s="1"/>
    </x:row>
    <x:row r="180" ht="80" customHeight="1" hidden="1">
      <x:c r="A180" s="2" t="str">
        <x:v>Bothidae</x:v>
      </x:c>
      <x:c r="B180" s="4" t="n">
        <x:v>3.77</x:v>
      </x:c>
      <x:c r="C180" s="5" t="n">
        <x:v>675.2924668251001</x:v>
      </x:c>
      <x:c r="D180" s="5" t="n">
        <x:v>44182.40939993164</x:v>
      </x:c>
      <x:c r="E180" s="2" t="inlineStr">
        <x:is>
          <x:t xml:space="preserve">Demesral fish (≤ 30 cm) (33.704053%); Juvenile demersal fish (&gt; 30 cm) (59.660697%); Adult demersal fish (&gt; 30 cm) (6.635250%)</x:t>
        </x:is>
      </x:c>
      <x:c r="F180" s="2" t="inlineStr">
        <x:is>
          <x:t xml:space="preserve">Medium</x:t>
        </x:is>
      </x:c>
      <x:c r="G180" s="2" t="inlineStr">
        <x:is>
          <x:t xml:space="preserve">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x:t>
        </x:is>
      </x:c>
      <x:c r="H180" s="1"/>
      <x:c r="I180" s="1"/>
      <x:c r="J180" s="1"/>
      <x:c r="K180" s="1"/>
    </x:row>
    <x:row r="181" ht="64" customHeight="1" hidden="1">
      <x:c r="A181" s="2" t="str">
        <x:v>Nemipterus japonicus</x:v>
      </x:c>
      <x:c r="B181" s="4" t="n">
        <x:v>3.77</x:v>
      </x:c>
      <x:c r="C181" s="5" t="n">
        <x:v>671.649300205</x:v>
      </x:c>
      <x:c r="D181" s="5" t="n">
        <x:v>43944.04767219284</x:v>
      </x:c>
      <x:c r="E181" s="2" t="inlineStr">
        <x:is>
          <x:t xml:space="preserve">Threadfin bream (nemipterids) (100.000000%)</x:t>
        </x:is>
      </x:c>
      <x:c r="F181" s="2" t="inlineStr">
        <x:is>
          <x:t xml:space="preserve">High</x:t>
        </x:is>
      </x:c>
      <x:c r="G181" s="2" t="inlineStr">
        <x:is>
          <x:t xml:space="preserve">Nemipterus japonicus is within Nemipteridae, expressly used as the source group boundary. Parameter species are examples, not a closed list; residual size/habitat pools do not compete. No split is required.</x:t>
        </x:is>
      </x:c>
      <x:c r="H181" s="1"/>
      <x:c r="I181" s="1"/>
      <x:c r="J181" s="1"/>
      <x:c r="K181" s="1"/>
    </x:row>
    <x:row r="182" ht="96" customHeight="1" hidden="1">
      <x:c r="A182" s="2" t="str">
        <x:v>Rachycentron canadum</x:v>
      </x:c>
      <x:c r="B182" s="4" t="n">
        <x:v>3.96</x:v>
      </x:c>
      <x:c r="C182" s="5" t="n">
        <x:v>425.8810121688</x:v>
      </x:c>
      <x:c r="D182" s="5" t="n">
        <x:v>43156.45548597907</x:v>
      </x:c>
      <x:c r="E182" s="2" t="inlineStr">
        <x:is>
          <x:t xml:space="preserve">Juvenile large pelagic fish (89.993906%); Pelagic fish (&gt; 30 cm) (10.006094%)</x:t>
        </x:is>
      </x:c>
      <x:c r="F182" s="2" t="inlineStr">
        <x:is>
          <x:t xml:space="preserve">Medium</x:t>
        </x:is>
      </x:c>
      <x:c r="G182"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x:t>
        </x:is>
      </x:c>
      <x:c r="H182" s="1"/>
      <x:c r="I182" s="1"/>
      <x:c r="J182" s="1"/>
      <x:c r="K182" s="1"/>
    </x:row>
    <x:row r="183" ht="80" customHeight="1" hidden="1">
      <x:c r="A183" s="2" t="str">
        <x:v>Rachycentridae</x:v>
      </x:c>
      <x:c r="B183" s="4" t="n">
        <x:v>3.96</x:v>
      </x:c>
      <x:c r="C183" s="5" t="n">
        <x:v>364.1001649574</x:v>
      </x:c>
      <x:c r="D183" s="5" t="n">
        <x:v>36895.92189471373</x:v>
      </x:c>
      <x:c r="E183" s="2" t="inlineStr">
        <x:is>
          <x:t xml:space="preserve">Juvenile large pelagic fish (89.993906%); Pelagic fish (&gt; 30 cm) (10.006094%)</x:t>
        </x:is>
      </x:c>
      <x:c r="F183" s="2" t="inlineStr">
        <x:is>
          <x:t xml:space="preserve">Medium</x:t>
        </x:is>
      </x:c>
      <x:c r="G183" s="2" t="inlineStr">
        <x:is>
          <x:t xml:space="preserve">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x:t>
        </x:is>
      </x:c>
      <x:c r="H183" s="1"/>
      <x:c r="I183" s="1"/>
      <x:c r="J183" s="1"/>
      <x:c r="K183" s="1"/>
    </x:row>
    <x:row r="184" ht="80" customHeight="1" hidden="1">
      <x:c r="A184" s="2" t="str">
        <x:v>Makaira mazara</x:v>
      </x:c>
      <x:c r="B184" s="4" t="n">
        <x:v>4.46</x:v>
      </x:c>
      <x:c r="C184" s="5" t="n">
        <x:v>106.1592009168</x:v>
      </x:c>
      <x:c r="D184" s="5" t="n">
        <x:v>34018.49775453312</x:v>
      </x:c>
      <x:c r="E184" s="2" t="inlineStr">
        <x:is>
          <x:t xml:space="preserve">Juvenile large pelagic fish (89.993906%); Pelagic fish (&gt; 30 cm) (10.006094%)</x:t>
        </x:is>
      </x:c>
      <x:c r="F184" s="2" t="inlineStr">
        <x:is>
          <x:t xml:space="preserve">Medium</x:t>
        </x:is>
      </x:c>
      <x:c r="G184" s="2" t="inlineStr">
        <x:is>
          <x:t xml:space="preserve">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x:t>
        </x:is>
      </x:c>
      <x:c r="H184" s="1"/>
      <x:c r="I184" s="1"/>
      <x:c r="J184" s="1"/>
      <x:c r="K184" s="1"/>
    </x:row>
    <x:row r="185" ht="96" customHeight="1" hidden="1">
      <x:c r="A185" s="2" t="str">
        <x:v>Scorpaenidae</x:v>
      </x:c>
      <x:c r="B185" s="4" t="n">
        <x:v>3.92</x:v>
      </x:c>
      <x:c r="C185" s="5" t="n">
        <x:v>347.2592603483</x:v>
      </x:c>
      <x:c r="D185" s="5" t="n">
        <x:v>32093.074659736245</x:v>
      </x:c>
      <x:c r="E185" s="2" t="inlineStr">
        <x:is>
          <x:t xml:space="preserve">Demesral fish (≤ 30 cm) (33.704053%); Juvenile demersal fish (&gt; 30 cm) (59.660697%); Adult demersal fish (&gt; 30 cm) (6.635250%)</x:t>
        </x:is>
      </x:c>
      <x:c r="F185" s="2" t="inlineStr">
        <x:is>
          <x:t xml:space="preserve">Medium</x:t>
        </x:is>
      </x:c>
      <x:c r="G185" s="2" t="inlineStr">
        <x:is>
          <x:t xml:space="preserve">Small regional bottom-associated Sebastapistes cyanostigma (10 cm TL) complements the documented larger scorpionfishes. Residual demersal membership across both size classes is a regional family inference; reef association alone is not the size criterion. Source-model catch proportions supply an assumed fixed 1950–2019/all-bases mixture; they are not observed taxon-specific catches.</x:t>
        </x:is>
      </x:c>
      <x:c r="H185" s="1"/>
      <x:c r="I185" s="1"/>
      <x:c r="J185" s="1"/>
      <x:c r="K185" s="1"/>
    </x:row>
    <x:row r="186" ht="48" customHeight="1" hidden="1">
      <x:c r="A186" s="2" t="str">
        <x:v>Portunus</x:v>
      </x:c>
      <x:c r="B186" s="4" t="n">
        <x:v>3.26</x:v>
      </x:c>
      <x:c r="C186" s="5" t="n">
        <x:v>1523.2185319052</x:v>
      </x:c>
      <x:c r="D186" s="5" t="n">
        <x:v>30797.800781761445</x:v>
      </x:c>
      <x:c r="E186" s="2" t="inlineStr">
        <x:is>
          <x:t xml:space="preserve">Crabs (100.000000%)</x:t>
        </x:is>
      </x:c>
      <x:c r="F186" s="2" t="inlineStr">
        <x:is>
          <x:t xml:space="preserve">High</x:t>
        </x:is>
      </x:c>
      <x:c r="G186" s="2" t="inlineStr">
        <x:is>
          <x:t xml:space="preserve">Portunus is a true-crab lineage within Crabs. The residual benthic-crustacean group expressly excludes crabs, so is not a competing placement. No split is required.</x:t>
        </x:is>
      </x:c>
      <x:c r="H186" s="1"/>
      <x:c r="I186" s="1"/>
      <x:c r="J186" s="1"/>
      <x:c r="K186" s="1"/>
    </x:row>
    <x:row r="187" ht="64" customHeight="1">
      <x:c r="A187" s="2" t="str">
        <x:v>Gobiidae</x:v>
      </x:c>
      <x:c r="B187" s="4" t="n">
        <x:v>3.11</x:v>
      </x:c>
      <x:c r="C187" s="5" t="n">
        <x:v>2099.8582663312</x:v>
      </x:c>
      <x:c r="D187" s="5" t="n">
        <x:v>30057.127446892107</x:v>
      </x:c>
      <x:c r="E187" s="2" t="inlineStr">
        <x:is>
          <x:t xml:space="preserve">Demesral fish (≤ 30 cm) (100.000000%)</x:t>
        </x:is>
      </x:c>
      <x:c r="F187" s="2" t="inlineStr">
        <x:is>
          <x:t xml:space="preserve">Low</x:t>
        </x:is>
      </x:c>
      <x:c r="G187" s="2" t="inlineStr">
        <x:is>
          <x:t xml:space="preserve">The family includes regional gobies above the source &lt;=30 cm TL threshold. The small-demersal classifier does not document a taxonomic/reporting exclusion of larger gobies; the current single size class has incomplete support. No split is required.</x:t>
        </x:is>
      </x:c>
      <x:c r="H187" s="1"/>
      <x:c r="I187" s="1"/>
      <x:c r="J187" s="1"/>
      <x:c r="K187" s="1"/>
    </x:row>
    <x:row r="188" ht="48" customHeight="1" hidden="1">
      <x:c r="A188" s="2" t="str">
        <x:v>Penaeus</x:v>
      </x:c>
      <x:c r="B188" s="4" t="n">
        <x:v>2.7</x:v>
      </x:c>
      <x:c r="C188" s="5" t="n">
        <x:v>5318.7151246341</x:v>
      </x:c>
      <x:c r="D188" s="5" t="n">
        <x:v>29618.579108521095</x:v>
      </x:c>
      <x:c r="E188" s="2" t="inlineStr">
        <x:is>
          <x:t xml:space="preserve">Shrimps (100.000000%)</x:t>
        </x:is>
      </x:c>
      <x:c r="F188" s="2" t="inlineStr">
        <x:is>
          <x:t xml:space="preserve">High</x:t>
        </x:is>
      </x:c>
      <x:c r="G188" s="2" t="inlineStr">
        <x:is>
          <x:t xml:space="preserve">Penaeus is a non-Acetes shrimp lineage. Shrimps is broader than the Metapenaeopsis mortality examples; the explicit Acetes/Zooplankton exception is excluded. No split is required.</x:t>
        </x:is>
      </x:c>
      <x:c r="H188" s="1"/>
      <x:c r="I188" s="1"/>
      <x:c r="J188" s="1"/>
      <x:c r="K188" s="1"/>
    </x:row>
    <x:row r="189" ht="80" customHeight="1" hidden="1">
      <x:c r="A189" s="2" t="str">
        <x:v>Cynoglossus</x:v>
      </x:c>
      <x:c r="B189" s="4" t="n">
        <x:v>3.36</x:v>
      </x:c>
      <x:c r="C189" s="5" t="n">
        <x:v>1016.6950947229</x:v>
      </x:c>
      <x:c r="D189" s="5" t="n">
        <x:v>25879.043391426192</x:v>
      </x:c>
      <x:c r="E189" s="2" t="inlineStr">
        <x:is>
          <x:t xml:space="preserve">Demesral fish (≤ 30 cm) (33.704053%); Juvenile demersal fish (&gt; 30 cm) (59.660697%); Adult demersal fish (&gt; 30 cm) (6.635250%)</x:t>
        </x:is>
      </x:c>
      <x:c r="F189" s="2" t="inlineStr">
        <x:is>
          <x:t xml:space="preserve">Medium</x:t>
        </x:is>
      </x:c>
      <x:c r="G189" s="2" t="inlineStr">
        <x:is>
          <x:t xml:space="preserve">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x:t>
        </x:is>
      </x:c>
      <x:c r="H189" s="1"/>
      <x:c r="I189" s="1"/>
      <x:c r="J189" s="1"/>
      <x:c r="K189" s="1"/>
    </x:row>
    <x:row r="190" ht="80" customHeight="1" hidden="1">
      <x:c r="A190" s="2" t="str">
        <x:v>Hemiramphus</x:v>
      </x:c>
      <x:c r="B190" s="4" t="n">
        <x:v>3.05</x:v>
      </x:c>
      <x:c r="C190" s="5" t="n">
        <x:v>2045.6713666299</x:v>
      </x:c>
      <x:c r="D190" s="5" t="n">
        <x:v>25503.12249773183</x:v>
      </x:c>
      <x:c r="E190" s="2" t="inlineStr">
        <x:is>
          <x:t xml:space="preserve">Juvenile large pelagic fish (89.993906%); Pelagic fish (&gt; 30 cm) (10.006094%)</x:t>
        </x:is>
      </x:c>
      <x:c r="F190" s="2" t="inlineStr">
        <x:is>
          <x:t xml:space="preserve">Medium</x:t>
        </x:is>
      </x:c>
      <x:c r="G190" s="2" t="inlineStr">
        <x:is>
          <x:t xml:space="preserve">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x:t>
        </x:is>
      </x:c>
      <x:c r="H190" s="1"/>
      <x:c r="I190" s="1"/>
      <x:c r="J190" s="1"/>
      <x:c r="K190" s="1"/>
    </x:row>
    <x:row r="191" ht="96" customHeight="1">
      <x:c r="A191" s="2" t="str">
        <x:v>Seriolina nigrofasciata</x:v>
      </x:c>
      <x:c r="B191" s="4" t="n">
        <x:v>4.17</x:v>
      </x:c>
      <x:c r="C191" s="5" t="n">
        <x:v>150.0503974073</x:v>
      </x:c>
      <x:c r="D191" s="5" t="n">
        <x:v>24660.089050345603</x:v>
      </x:c>
      <x:c r="E191" s="2" t="inlineStr">
        <x:is>
          <x:t xml:space="preserve">Juvenile large pelagic fish (89.993906%); Pelagic fish (&gt; 30 cm) (10.006094%)</x:t>
        </x:is>
      </x:c>
      <x:c r="F191" s="2" t="inlineStr">
        <x:is>
          <x:t xml:space="preserve">Low</x:t>
        </x:is>
      </x:c>
      <x:c r="G191" s="2" t="inlineStr">
        <x:is>
          <x:t xml:space="preserve">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x:t>
        </x:is>
      </x:c>
      <x:c r="H191" s="1"/>
      <x:c r="I191" s="1"/>
      <x:c r="J191" s="1"/>
      <x:c r="K191" s="1"/>
    </x:row>
    <x:row r="192" ht="80" customHeight="1" hidden="1">
      <x:c r="A192" s="2" t="str">
        <x:v>Eleutheronema tetradactylum</x:v>
      </x:c>
      <x:c r="B192" s="4" t="n">
        <x:v>4.06</x:v>
      </x:c>
      <x:c r="C192" s="5" t="n">
        <x:v>192.0941078355</x:v>
      </x:c>
      <x:c r="D192" s="5" t="n">
        <x:v>24505.949508837988</x:v>
      </x:c>
      <x:c r="E192" s="2" t="inlineStr">
        <x:is>
          <x:t xml:space="preserve">Juvenile demersal fish (&gt; 30 cm) (89.991470%); Adult demersal fish (&gt; 30 cm) (10.008530%)</x:t>
        </x:is>
      </x:c>
      <x:c r="F192" s="2" t="inlineStr">
        <x:is>
          <x:t xml:space="preserve">Medium</x:t>
        </x:is>
      </x:c>
      <x:c r="G192" s="2" t="inlineStr">
        <x:is>
          <x:t xml:space="preserve">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x:t>
        </x:is>
      </x:c>
      <x:c r="H192" s="1"/>
      <x:c r="I192" s="1"/>
      <x:c r="J192" s="1"/>
      <x:c r="K192" s="1"/>
    </x:row>
    <x:row r="193" ht="87.0" customHeight="1" hidden="1">
      <x:c r="A193" s="2" t="str">
        <x:v>Malacostraca</x:v>
      </x:c>
      <x:c r="B193" s="4" t="n">
        <x:v>3</x:v>
      </x:c>
      <x:c r="C193" s="5" t="n">
        <x:v>2163.1452382685</x:v>
      </x:c>
      <x:c r="D193" s="5" t="n">
        <x:v>24034.947091872225</x:v>
      </x:c>
      <x:c r="E193" s="2" t="inlineStr">
        <x:is>
          <x:t xml:space="preserve">Zooplankton (9.363888%); Benthic crustaceans (3.862110%); Shrimps (67.048597%); Crabs (19.725405%)</x:t>
        </x:is>
      </x:c>
      <x:c r="F193" s="2" t="inlineStr">
        <x:is>
          <x:t xml:space="preserve">Medium</x:t>
        </x:is>
      </x:c>
      <x:c r="G193"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H193" s="1"/>
      <x:c r="I193" s="1"/>
      <x:c r="J193" s="1"/>
      <x:c r="K193" s="1"/>
    </x:row>
    <x:row r="194" ht="96" customHeight="1">
      <x:c r="A194" s="2" t="str">
        <x:v>Caesio</x:v>
      </x:c>
      <x:c r="B194" s="4" t="n">
        <x:v>3.4</x:v>
      </x:c>
      <x:c r="C194" s="5" t="n">
        <x:v>853.8808256184</x:v>
      </x:c>
      <x:c r="D194" s="5" t="n">
        <x:v>23831.68511107841</x:v>
      </x:c>
      <x:c r="E194" s="2" t="inlineStr">
        <x:is>
          <x:t xml:space="preserve">Benthopelagic fish (42.340126%); Juvenile large pelagic fish (51.890372%); Pelagic fish (&gt; 30 cm) (5.769501%)</x:t>
        </x:is>
      </x:c>
      <x:c r="F194" s="2" t="inlineStr">
        <x:is>
          <x:t xml:space="preserve">Low</x:t>
        </x:is>
      </x:c>
      <x:c r="G194" s="2" t="inlineStr">
        <x:is>
          <x:t xml:space="preserve">Large regional Caesio, including C. cuning (60 cm TL), are reef-associated midwater planktivores. Group 27 and the large-pelagic pair form an explicit habitat approximation replacing demersal-only membership. Final group 27 scope and source-era Caesionidae versus Lutjanidae remain unresolved; no snapper membership or merger is asserted. Source-model catch proportions supply an assumed fixed 1950–2019/all-bases mixture; they are not observed taxon-specific catches.</x:t>
        </x:is>
      </x:c>
      <x:c r="H194" s="1"/>
      <x:c r="I194" s="1"/>
      <x:c r="J194" s="1"/>
      <x:c r="K194" s="1"/>
    </x:row>
    <x:row r="195" ht="102.0" customHeight="1" hidden="1">
      <x:c r="A195" s="2" t="str">
        <x:v>Lateolabrax japonicus</x:v>
      </x:c>
      <x:c r="B195" s="4" t="n">
        <x:v>3.36</x:v>
      </x:c>
      <x:c r="C195" s="5" t="n">
        <x:v>931.8267331484</x:v>
      </x:c>
      <x:c r="D195" s="5" t="n">
        <x:v>23718.796899488178</x:v>
      </x:c>
      <x:c r="E195" s="2" t="inlineStr">
        <x:is>
          <x:t xml:space="preserve">Juvenile demersal fish (&gt; 30 cm) (89.991470%); Adult demersal fish (&gt; 30 cm) (10.008530%)</x:t>
        </x:is>
      </x:c>
      <x:c r="F195" s="2" t="inlineStr">
        <x:is>
          <x:t xml:space="preserve">Medium</x:t>
        </x:is>
      </x:c>
      <x:c r="G195" s="2" t="inlineStr">
        <x:is>
          <x:t xml:space="preserve">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x:t>
        </x:is>
      </x:c>
      <x:c r="H195" s="1"/>
      <x:c r="I195" s="1"/>
      <x:c r="J195" s="1"/>
      <x:c r="K195" s="1"/>
    </x:row>
    <x:row r="196" ht="96" customHeight="1" hidden="1">
      <x:c r="A196" s="2" t="str">
        <x:v>Pagrus auratus</x:v>
      </x:c>
      <x:c r="B196" s="4" t="n">
        <x:v>3.59</x:v>
      </x:c>
      <x:c r="C196" s="5" t="n">
        <x:v>543.3389070569</x:v>
      </x:c>
      <x:c r="D196" s="5" t="n">
        <x:v>23487.040430776175</x:v>
      </x:c>
      <x:c r="E196" s="2" t="inlineStr">
        <x:is>
          <x:t xml:space="preserve">Juvenile demersal fish (&gt; 30 cm) (89.991470%); Adult demersal fish (&gt; 30 cm) (10.008530%)</x:t>
        </x:is>
      </x:c>
      <x:c r="F196" s="2" t="inlineStr">
        <x:is>
          <x:t xml:space="preserve">Medium</x:t>
        </x:is>
      </x:c>
      <x:c r="G196" s="2" t="inlineStr">
        <x:is>
          <x:t xml:space="preserve">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x:t>
        </x:is>
      </x:c>
      <x:c r="H196" s="1"/>
      <x:c r="I196" s="1"/>
      <x:c r="J196" s="1"/>
      <x:c r="K196" s="1"/>
    </x:row>
    <x:row r="197" ht="80" customHeight="1" hidden="1">
      <x:c r="A197" s="2" t="str">
        <x:v>Thryssa</x:v>
      </x:c>
      <x:c r="B197" s="4" t="n">
        <x:v>3.34</x:v>
      </x:c>
      <x:c r="C197" s="5" t="n">
        <x:v>963.7641834809</x:v>
      </x:c>
      <x:c r="D197" s="5" t="n">
        <x:v>23427.625501739865</x:v>
      </x:c>
      <x:c r="E197" s="2" t="inlineStr">
        <x:is>
          <x:t xml:space="preserve">Pelagic fish (≤ 30 cm) (100.000000%)</x:t>
        </x:is>
      </x:c>
      <x:c r="F197" s="2" t="inlineStr">
        <x:is>
          <x:t xml:space="preserve">Medium</x:t>
        </x:is>
      </x:c>
      <x:c r="G197" s="2" t="inlineStr">
        <x:is>
          <x:t xml:space="preserve">Source thryssa examples support regional small-pelagic placement. The genus inventory includes near-boundary SL records and a large New Guinea freshwater exception. That distant exception does not prove regional misplacement, but an unconditional whole-genus High claim is not established. No split is required.</x:t>
        </x:is>
      </x:c>
      <x:c r="H197" s="1"/>
      <x:c r="I197" s="1"/>
      <x:c r="J197" s="1"/>
      <x:c r="K197" s="1"/>
    </x:row>
    <x:row r="198" ht="80" customHeight="1" hidden="1">
      <x:c r="A198" s="2" t="str">
        <x:v>Sillaginidae</x:v>
      </x:c>
      <x:c r="B198" s="4" t="n">
        <x:v>3.25</x:v>
      </x:c>
      <x:c r="C198" s="5" t="n">
        <x:v>1154.9287619261</x:v>
      </x:c>
      <x:c r="D198" s="5" t="n">
        <x:v>22819.844859943652</x:v>
      </x:c>
      <x:c r="E198" s="2" t="inlineStr">
        <x:is>
          <x:t xml:space="preserve">Demesral fish (≤ 30 cm) (33.704053%); Juvenile demersal fish (&gt; 30 cm) (59.660697%); Adult demersal fish (&gt; 30 cm) (6.635250%)</x:t>
        </x:is>
      </x:c>
      <x:c r="F198" s="2" t="inlineStr">
        <x:is>
          <x:t xml:space="preserve">Medium</x:t>
        </x:is>
      </x:c>
      <x:c r="G198" s="2" t="inlineStr">
        <x:is>
          <x:t xml:space="preserve">FAO bottom-dwelling regional sillaginids include small Sillago argentifasciata and S. japonica and large S. sihama. Both species-size classes are necessary; actual family mixture is not measured. Source-model catch proportions supply an assumed fixed 1950–2019/all-bases mixture; they are not observed taxon-specific catches.</x:t>
        </x:is>
      </x:c>
      <x:c r="H198" s="1"/>
      <x:c r="I198" s="1"/>
      <x:c r="J198" s="1"/>
      <x:c r="K198" s="1"/>
    </x:row>
    <x:row r="199" ht="48" customHeight="1" hidden="1">
      <x:c r="A199" s="2" t="str">
        <x:v>Octopus vulgaris</x:v>
      </x:c>
      <x:c r="B199" s="4" t="n">
        <x:v>3.6</x:v>
      </x:c>
      <x:c r="C199" s="5" t="n">
        <x:v>458.1614631695</x:v>
      </x:c>
      <x:c r="D199" s="5" t="n">
        <x:v>20266.373751006668</x:v>
      </x:c>
      <x:c r="E199" s="2" t="inlineStr">
        <x:is>
          <x:t xml:space="preserve">Cephalopods (100.000000%)</x:t>
        </x:is>
      </x:c>
      <x:c r="F199" s="2" t="inlineStr">
        <x:is>
          <x:t xml:space="preserve">High</x:t>
        </x:is>
      </x:c>
      <x:c r="G199" s="2" t="inlineStr">
        <x:is>
          <x:t xml:space="preserve">Octopus vulgaris is within Cephalopoda. Biomass estimation from two dominant Loligo species does not restrict the source group to those species or to squid. No split is required.</x:t>
        </x:is>
      </x:c>
      <x:c r="H199" s="1"/>
      <x:c r="I199" s="1"/>
      <x:c r="J199" s="1"/>
      <x:c r="K199" s="1"/>
    </x:row>
    <x:row r="200" ht="80" customHeight="1" hidden="1">
      <x:c r="A200" s="2" t="str">
        <x:v>Plectorhinchus</x:v>
      </x:c>
      <x:c r="B200" s="4" t="n">
        <x:v>3.43</x:v>
      </x:c>
      <x:c r="C200" s="5" t="n">
        <x:v>650.2650741865</x:v>
      </x:c>
      <x:c r="D200" s="5" t="n">
        <x:v>19446.789766123147</x:v>
      </x:c>
      <x:c r="E200" s="2" t="inlineStr">
        <x:is>
          <x:t xml:space="preserve">Juvenile demersal fish (&gt; 30 cm) (89.991470%); Adult demersal fish (&gt; 30 cm) (10.008530%)</x:t>
        </x:is>
      </x:c>
      <x:c r="F200" s="2" t="inlineStr">
        <x:is>
          <x:t xml:space="preserve">Medium</x:t>
        </x:is>
      </x:c>
      <x:c r="G200" s="2" t="inlineStr">
        <x:is>
          <x:t xml:space="preserve">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x:t>
        </x:is>
      </x:c>
      <x:c r="H200" s="1"/>
      <x:c r="I200" s="1"/>
      <x:c r="J200" s="1"/>
      <x:c r="K200" s="1"/>
    </x:row>
    <x:row r="201" ht="80" customHeight="1" hidden="1">
      <x:c r="A201" s="2" t="str">
        <x:v>Anodontostoma chacunda</x:v>
      </x:c>
      <x:c r="B201" s="4" t="n">
        <x:v>2.84</x:v>
      </x:c>
      <x:c r="C201" s="5" t="n">
        <x:v>2475.2906287401</x:v>
      </x:c>
      <x:c r="D201" s="5" t="n">
        <x:v>19027.585766531196</x:v>
      </x:c>
      <x:c r="E201" s="2" t="inlineStr">
        <x:is>
          <x:t xml:space="preserve">Pelagic fish (≤ 30 cm) (100.000000%)</x:t>
        </x:is>
      </x:c>
      <x:c r="F201" s="2" t="inlineStr">
        <x:is>
          <x:t xml:space="preserve">Medium</x:t>
        </x:is>
      </x:c>
      <x:c r="G201" s="2" t="inlineStr">
        <x:is>
          <x:t xml:space="preserve">Coastal-pelagic ecology and small size support the current pool. Retrieved maximum length is SL, not TL; no independent total-length bound/conversion was recovered, so the model TL criterion remains a supported inference. Checked species record: 22 cm SL; Marine; freshwater; brackish;  pelagic-neritic; anadromous. No split is required.</x:t>
        </x:is>
      </x:c>
      <x:c r="H201" s="1"/>
      <x:c r="I201" s="1"/>
      <x:c r="J201" s="1"/>
      <x:c r="K201" s="1"/>
    </x:row>
    <x:row r="202" ht="72.0" customHeight="1" hidden="1">
      <x:c r="A202" s="2" t="str">
        <x:v>Pampus chinensis</x:v>
      </x:c>
      <x:c r="B202" s="4" t="n">
        <x:v>3.6</x:v>
      </x:c>
      <x:c r="C202" s="5" t="n">
        <x:v>407.0651029811</x:v>
      </x:c>
      <x:c r="D202" s="5" t="n">
        <x:v>18006.170708763748</x:v>
      </x:c>
      <x:c r="E202" s="2" t="inlineStr">
        <x:is>
          <x:t xml:space="preserve">Pomfret (stromateids) (100.000000%)</x:t>
        </x:is>
      </x:c>
      <x:c r="F202" s="2" t="inlineStr">
        <x:is>
          <x:t xml:space="preserve">High</x:t>
        </x:is>
      </x:c>
      <x:c r="G202" s="2" t="inlineStr">
        <x:is>
          <x:t xml:space="preserve">Pampus chinensis is within Stromateidae, expressly used as the source group boundary. Parameter species are examples, not a closed list; residual size/habitat pools do not compete. The broader biomass-survey assemblage does not expand membership beyond Stromateidae. No split is required.</x:t>
        </x:is>
      </x:c>
      <x:c r="H202" s="1"/>
      <x:c r="I202" s="1"/>
      <x:c r="J202" s="1"/>
      <x:c r="K202" s="1"/>
    </x:row>
    <x:row r="203" ht="64" customHeight="1">
      <x:c r="A203" s="2" t="str">
        <x:v>Lobotes surinamensis</x:v>
      </x:c>
      <x:c r="B203" s="4" t="n">
        <x:v>4.04</x:v>
      </x:c>
      <x:c r="C203" s="5" t="n">
        <x:v>135.1686029848</x:v>
      </x:c>
      <x:c r="D203" s="5" t="n">
        <x:v>16467.71399732976</x:v>
      </x:c>
      <x:c r="E203" s="2" t="inlineStr">
        <x:is>
          <x:t xml:space="preserve">Benthopelagic fish (100.000000%)</x:t>
        </x:is>
      </x:c>
      <x:c r="F203" s="2" t="inlineStr">
        <x:is>
          <x:t xml:space="preserve">Low</x:t>
        </x:is>
      </x:c>
      <x:c r="G203" s="2" t="inlineStr">
        <x:is>
          <x:t xml:space="preserve">The 110 cm TL tripletail is documented benthopelagic with estuarine and surface-associated behavior. Biology supports the appendix large component, but final 27's parameters track the small component and do not independently establish large-species inclusion. No split is required.</x:t>
        </x:is>
      </x:c>
      <x:c r="H203" s="1"/>
      <x:c r="I203" s="1"/>
      <x:c r="J203" s="1"/>
      <x:c r="K203" s="1"/>
    </x:row>
    <x:row r="204" ht="80" customHeight="1" hidden="1">
      <x:c r="A204" s="2" t="str">
        <x:v>Sillago</x:v>
      </x:c>
      <x:c r="B204" s="4" t="n">
        <x:v>3.33</x:v>
      </x:c>
      <x:c r="C204" s="5" t="n">
        <x:v>688.4261976386</x:v>
      </x:c>
      <x:c r="D204" s="5" t="n">
        <x:v>16353.65679968331</x:v>
      </x:c>
      <x:c r="E204" s="2" t="inlineStr">
        <x:is>
          <x:t xml:space="preserve">Demesral fish (≤ 30 cm) (33.704053%); Juvenile demersal fish (&gt; 30 cm) (59.660697%); Adult demersal fish (&gt; 30 cm) (6.635250%)</x:t>
        </x:is>
      </x:c>
      <x:c r="F204" s="2" t="inlineStr">
        <x:is>
          <x:t xml:space="preserve">Medium</x:t>
        </x:is>
      </x:c>
      <x:c r="G204" s="2" t="inlineStr">
        <x:is>
          <x:t xml:space="preserve">Regional bottom-associated S. argentifasciata (14.9 cm TL), S. japonica (30 cm TL), and S. sihama (31 cm SL) span the inclusive small and large species classes. Genus proportions remain assumed. Source-model catch proportions supply an assumed fixed 1950–2019/all-bases mixture; they are not observed taxon-specific catches.</x:t>
        </x:is>
      </x:c>
      <x:c r="H204" s="1"/>
      <x:c r="I204" s="1"/>
      <x:c r="J204" s="1"/>
      <x:c r="K204" s="1"/>
    </x:row>
    <x:row r="205" ht="48" customHeight="1" hidden="1">
      <x:c r="A205" s="2" t="str">
        <x:v>Acetes</x:v>
      </x:c>
      <x:c r="B205" s="4" t="n">
        <x:v>2.7</x:v>
      </x:c>
      <x:c r="C205" s="5" t="n">
        <x:v>2936.5363392761</x:v>
      </x:c>
      <x:c r="D205" s="5" t="n">
        <x:v>16352.828048086072</x:v>
      </x:c>
      <x:c r="E205" s="2" t="inlineStr">
        <x:is>
          <x:t xml:space="preserve">Zooplankton (100.000000%)</x:t>
        </x:is>
      </x:c>
      <x:c r="F205" s="2" t="inlineStr">
        <x:is>
          <x:t xml:space="preserve">High</x:t>
        </x:is>
      </x:c>
      <x:c r="G205" s="2" t="inlineStr">
        <x:is>
          <x:t xml:space="preserve">Acetes spp. catch is explicitly assigned to Zooplankton. Acetes belongs to that genus, overriding the shrimp-like common name. No split is required.</x:t>
        </x:is>
      </x:c>
      <x:c r="H205" s="1"/>
      <x:c r="I205" s="1"/>
      <x:c r="J205" s="1"/>
      <x:c r="K205" s="1"/>
    </x:row>
    <x:row r="206" ht="48" customHeight="1" hidden="1">
      <x:c r="A206" s="2" t="str">
        <x:v>Scylla serrata</x:v>
      </x:c>
      <x:c r="B206" s="4" t="n">
        <x:v>3.17</x:v>
      </x:c>
      <x:c r="C206" s="5" t="n">
        <x:v>971.3526684794999</x:v>
      </x:c>
      <x:c r="D206" s="5" t="n">
        <x:v>15963.731997973331</x:v>
      </x:c>
      <x:c r="E206" s="2" t="inlineStr">
        <x:is>
          <x:t xml:space="preserve">Crabs (100.000000%)</x:t>
        </x:is>
      </x:c>
      <x:c r="F206" s="2" t="inlineStr">
        <x:is>
          <x:t xml:space="preserve">High</x:t>
        </x:is>
      </x:c>
      <x:c r="G206" s="2" t="inlineStr">
        <x:is>
          <x:t xml:space="preserve">Scylla serrata is a true-crab lineage within Crabs. The residual benthic-crustacean group expressly excludes crabs, so is not a competing placement. No split is required.</x:t>
        </x:is>
      </x:c>
      <x:c r="H206" s="1"/>
      <x:c r="I206" s="1"/>
      <x:c r="J206" s="1"/>
      <x:c r="K206" s="1"/>
    </x:row>
    <x:row r="207" ht="64" customHeight="1" hidden="1">
      <x:c r="A207" s="2" t="str">
        <x:v>Scolopsis</x:v>
      </x:c>
      <x:c r="B207" s="4" t="n">
        <x:v>3.3</x:v>
      </x:c>
      <x:c r="C207" s="5" t="n">
        <x:v>710.3281141269</x:v>
      </x:c>
      <x:c r="D207" s="5" t="n">
        <x:v>15747.676859781295</x:v>
      </x:c>
      <x:c r="E207" s="2" t="inlineStr">
        <x:is>
          <x:t xml:space="preserve">Threadfin bream (nemipterids) (100.000000%)</x:t>
        </x:is>
      </x:c>
      <x:c r="F207" s="2" t="inlineStr">
        <x:is>
          <x:t xml:space="preserve">High</x:t>
        </x:is>
      </x:c>
      <x:c r="G207" s="2" t="inlineStr">
        <x:is>
          <x:t xml:space="preserve">Scolopsis is within Nemipteridae, expressly used as the source group boundary. Parameter species are examples, not a closed list; residual size/habitat pools do not compete. No split is required.</x:t>
        </x:is>
      </x:c>
      <x:c r="H207" s="1"/>
      <x:c r="I207" s="1"/>
      <x:c r="J207" s="1"/>
      <x:c r="K207" s="1"/>
    </x:row>
    <x:row r="208" ht="64" customHeight="1" hidden="1">
      <x:c r="A208" s="2" t="str">
        <x:v>Gazza minuta</x:v>
      </x:c>
      <x:c r="B208" s="4" t="n">
        <x:v>4.19</x:v>
      </x:c>
      <x:c r="C208" s="5" t="n">
        <x:v>91.3387588591</x:v>
      </x:c>
      <x:c r="D208" s="5" t="n">
        <x:v>15718.554185757093</x:v>
      </x:c>
      <x:c r="E208" s="2" t="inlineStr">
        <x:is>
          <x:t xml:space="preserve">Demesral fish (≤ 30 cm) (100.000000%)</x:t>
        </x:is>
      </x:c>
      <x:c r="F208" s="2" t="inlineStr">
        <x:is>
          <x:t xml:space="preserve">Medium</x:t>
        </x:is>
      </x:c>
      <x:c r="G208" s="2" t="inlineStr">
        <x:is>
          <x:t xml:space="preserve">Demersal ecology supports placement, but the retrieved maximum is 21 cm FL rather than TL. Retain the small-demersal inference without claiming an independently verified total-length boundary. Checked species record: 21 cm FL; Marine; brackish;  demersal;. No split is required.</x:t>
        </x:is>
      </x:c>
      <x:c r="H208" s="1"/>
      <x:c r="I208" s="1"/>
      <x:c r="J208" s="1"/>
      <x:c r="K208" s="1"/>
    </x:row>
    <x:row r="209" ht="48" customHeight="1" hidden="1">
      <x:c r="A209" s="2" t="str">
        <x:v>Scyllaridae</x:v>
      </x:c>
      <x:c r="B209" s="4" t="n">
        <x:v>2.87</x:v>
      </x:c>
      <x:c r="C209" s="5" t="n">
        <x:v>1853.66647751</x:v>
      </x:c>
      <x:c r="D209" s="5" t="n">
        <x:v>15268.24381927067</x:v>
      </x:c>
      <x:c r="E209" s="2" t="inlineStr">
        <x:is>
          <x:t xml:space="preserve">Benthic crustaceans (100.000000%)</x:t>
        </x:is>
      </x:c>
      <x:c r="F209" s="2" t="inlineStr">
        <x:is>
          <x:t xml:space="preserve">High</x:t>
        </x:is>
      </x:c>
      <x:c r="G209" s="2" t="inlineStr">
        <x:is>
          <x:t xml:space="preserve">Scyllaridae is a benthic lobster lineage in the residual crustacean pool after shrimp/crab exclusions. Oratosquilla is a parameter example, not the complete membership. No split is required.</x:t>
        </x:is>
      </x:c>
      <x:c r="H209" s="1"/>
      <x:c r="I209" s="1"/>
      <x:c r="J209" s="1"/>
      <x:c r="K209" s="1"/>
    </x:row>
    <x:row r="210" ht="96" customHeight="1" hidden="1">
      <x:c r="A210" s="2" t="str">
        <x:v>Planiliza haematocheilus</x:v>
      </x:c>
      <x:c r="B210" s="4" t="n">
        <x:v>2.5</x:v>
      </x:c>
      <x:c r="C210" s="5" t="n">
        <x:v>4211.064677519</x:v>
      </x:c>
      <x:c r="D210" s="5" t="n">
        <x:v>14796.173061380548</x:v>
      </x:c>
      <x:c r="E210" s="2" t="inlineStr">
        <x:is>
          <x:t xml:space="preserve">Juvenile large pelagic fish (89.993906%); Pelagic fish (&gt; 30 cm) (10.006094%)</x:t>
        </x:is>
      </x:c>
      <x:c r="F210" s="2" t="inlineStr">
        <x:is>
          <x:t xml:space="preserve">Medium</x:t>
        </x:is>
      </x:c>
      <x:c r="G210" s="2" t="inlineStr">
        <x:is>
          <x:t xml:space="preserve">The species account explicitly describes pelagic-neritic coastal/estuarine residence and maximum 80 cm TL. The large pelagic pair replaces an unsupported exclusive demersal assignment; translation of the habitat tag to this source guild remains an ecological assumption. Source-model catch proportions supply an assumed fixed 1950–2019/all-bases mixture; they are not observed taxon-specific catches.</x:t>
        </x:is>
      </x:c>
      <x:c r="H210" s="1"/>
      <x:c r="I210" s="1"/>
      <x:c r="J210" s="1"/>
      <x:c r="K210" s="1"/>
    </x:row>
    <x:row r="211" ht="112" customHeight="1" hidden="1">
      <x:c r="A211" s="2" t="str">
        <x:v>Mola mola</x:v>
      </x:c>
      <x:c r="B211" s="4" t="n">
        <x:v>3.68</x:v>
      </x:c>
      <x:c r="C211" s="5" t="n">
        <x:v>277.1696717644</x:v>
      </x:c>
      <x:c r="D211" s="5" t="n">
        <x:v>14740.19395395891</x:v>
      </x:c>
      <x:c r="E211" s="2" t="inlineStr">
        <x:is>
          <x:t xml:space="preserve">Juvenile large pelagic fish (89.993906%); Pelagic fish (&gt; 30 cm) (10.006094%)</x:t>
        </x:is>
      </x:c>
      <x:c r="F211" s="2" t="inlineStr">
        <x:is>
          <x:t xml:space="preserve">Medium</x:t>
        </x:is>
      </x:c>
      <x:c r="G211"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x:t>
        </x:is>
      </x:c>
      <x:c r="H211" s="1"/>
      <x:c r="I211" s="1"/>
      <x:c r="J211" s="1"/>
      <x:c r="K211" s="1"/>
    </x:row>
    <x:row r="212" ht="80" customHeight="1" hidden="1">
      <x:c r="A212" s="2" t="str">
        <x:v>Gerreidae</x:v>
      </x:c>
      <x:c r="B212" s="4" t="n">
        <x:v>3.03</x:v>
      </x:c>
      <x:c r="C212" s="5" t="n">
        <x:v>1109.2610217807</x:v>
      </x:c>
      <x:c r="D212" s="5" t="n">
        <x:v>13206.606659840141</x:v>
      </x:c>
      <x:c r="E212" s="2" t="inlineStr">
        <x:is>
          <x:t xml:space="preserve">Demesral fish (≤ 30 cm) (33.704053%); Juvenile demersal fish (&gt; 30 cm) (59.660697%); Adult demersal fish (&gt; 30 cm) (6.635250%)</x:t>
        </x:is>
      </x:c>
      <x:c r="F212" s="2" t="inlineStr">
        <x:is>
          <x:t xml:space="preserve">Medium</x:t>
        </x:is>
      </x:c>
      <x:c r="G212" s="2" t="inlineStr">
        <x:is>
          <x:t xml:space="preserve">Regional demersal Gerres limbatus (15 cm TL) and G. filamentosus (39 cm TL) on mud/sand bottoms establish both size classes. These directly supported pools replace exclusive group 27; family mixture remains inferred. Source-model catch proportions supply an assumed fixed 1950–2019/all-bases mixture; they are not observed taxon-specific catches.</x:t>
        </x:is>
      </x:c>
      <x:c r="H212" s="1"/>
      <x:c r="I212" s="1"/>
      <x:c r="J212" s="1"/>
      <x:c r="K212" s="1"/>
    </x:row>
    <x:row r="213" ht="87.0" customHeight="1">
      <x:c r="A213" s="2" t="str">
        <x:v>Decapterus russelli</x:v>
      </x:c>
      <x:c r="B213" s="4" t="n">
        <x:v>3.68</x:v>
      </x:c>
      <x:c r="C213" s="5" t="n">
        <x:v>247.487864934</x:v>
      </x:c>
      <x:c r="D213" s="5" t="n">
        <x:v>13161.68218245479</x:v>
      </x:c>
      <x:c r="E213" s="2" t="inlineStr">
        <x:is>
          <x:t xml:space="preserve">Benthopelagic fish (100.000000%)</x:t>
        </x:is>
      </x:c>
      <x:c r="F213" s="2" t="inlineStr">
        <x:is>
          <x:t xml:space="preserve">Low</x:t>
        </x:is>
      </x:c>
      <x:c r="G213" s="2" t="inlineStr">
        <x:is>
          <x:t xml:space="preserve">Explicit benthopelagic ecology and maximum 45 cm TL support final group 27 more closely than the exclusively pelagic pair. Inclusion of the appendix large component in final 27 is an explicit unresolved extension; no source merger is asserted.</x:t>
        </x:is>
      </x:c>
      <x:c r="H213" s="1"/>
      <x:c r="I213" s="1"/>
      <x:c r="J213" s="1"/>
      <x:c r="K213" s="1"/>
    </x:row>
    <x:row r="214" ht="96" customHeight="1" hidden="1">
      <x:c r="A214" s="2" t="str">
        <x:v>Terapontidae</x:v>
      </x:c>
      <x:c r="B214" s="4" t="n">
        <x:v>3.64</x:v>
      </x:c>
      <x:c r="C214" s="5" t="n">
        <x:v>269.2911869916</x:v>
      </x:c>
      <x:c r="D214" s="5" t="n">
        <x:v>13061.09628939783</x:v>
      </x:c>
      <x:c r="E214" s="2" t="inlineStr">
        <x:is>
          <x:t xml:space="preserve">Demesral fish (≤ 30 cm) (33.704053%); Juvenile demersal fish (&gt; 30 cm) (59.660697%); Adult demersal fish (&gt; 30 cm) (6.635250%)</x:t>
        </x:is>
      </x:c>
      <x:c r="F214" s="2" t="inlineStr">
        <x:is>
          <x:t xml:space="preserve">Medium</x:t>
        </x:is>
      </x:c>
      <x:c r="G214" s="2" t="inlineStr">
        <x:is>
          <x:t xml:space="preserve">The relevant marine/estuarine Terapon components include T. puta (30 cm TL) and larger T. jarbua. Their two species-size classes are inferred for marine family catch; unrelated freshwater family components are not asserted to occur in this marine catch category. Source-model catch proportions supply an assumed fixed 1950–2019/all-bases mixture; they are not observed taxon-specific catches.</x:t>
        </x:is>
      </x:c>
      <x:c r="H214" s="1"/>
      <x:c r="I214" s="1"/>
      <x:c r="J214" s="1"/>
      <x:c r="K214" s="1"/>
    </x:row>
    <x:row r="215" ht="48" customHeight="1" hidden="1">
      <x:c r="A215" s="2" t="str">
        <x:v>Portunidae</x:v>
      </x:c>
      <x:c r="B215" s="4" t="n">
        <x:v>3.56</x:v>
      </x:c>
      <x:c r="C215" s="5" t="n">
        <x:v>316.8668768144</x:v>
      </x:c>
      <x:c r="D215" s="5" t="n">
        <x:v>12783.045472761076</x:v>
      </x:c>
      <x:c r="E215" s="2" t="inlineStr">
        <x:is>
          <x:t xml:space="preserve">Crabs (100.000000%)</x:t>
        </x:is>
      </x:c>
      <x:c r="F215" s="2" t="inlineStr">
        <x:is>
          <x:t xml:space="preserve">High</x:t>
        </x:is>
      </x:c>
      <x:c r="G215" s="2" t="inlineStr">
        <x:is>
          <x:t xml:space="preserve">Portunidae is a true-crab lineage within Crabs. The residual benthic-crustacean group expressly excludes crabs, so is not a competing placement. No split is required.</x:t>
        </x:is>
      </x:c>
      <x:c r="H215" s="1"/>
      <x:c r="I215" s="1"/>
      <x:c r="J215" s="1"/>
      <x:c r="K215" s="1"/>
    </x:row>
    <x:row r="216" ht="57.0" customHeight="1" hidden="1">
      <x:c r="A216" s="2" t="str">
        <x:v>Metapenaeus joyneri</x:v>
      </x:c>
      <x:c r="B216" s="4" t="n">
        <x:v>3.2</x:v>
      </x:c>
      <x:c r="C216" s="5" t="n">
        <x:v>707.2507652774</x:v>
      </x:c>
      <x:c r="D216" s="5" t="n">
        <x:v>12454.632480567383</x:v>
      </x:c>
      <x:c r="E216" s="2" t="inlineStr">
        <x:is>
          <x:t xml:space="preserve">Shrimps (100.000000%)</x:t>
        </x:is>
      </x:c>
      <x:c r="F216" s="2" t="inlineStr">
        <x:is>
          <x:t xml:space="preserve">High</x:t>
        </x:is>
      </x:c>
      <x:c r="G216" s="2" t="inlineStr">
        <x:is>
          <x:t xml:space="preserve">Metapenaeus joyneri is a non-Acetes shrimp lineage. Shrimps is broader than the Metapenaeopsis mortality examples; the explicit Acetes/Zooplankton exception is excluded. No split is required.</x:t>
        </x:is>
      </x:c>
      <x:c r="H216" s="1"/>
      <x:c r="I216" s="1"/>
      <x:c r="J216" s="1"/>
      <x:c r="K216" s="1"/>
    </x:row>
    <x:row r="217" ht="80" customHeight="1" hidden="1">
      <x:c r="A217" s="2" t="str">
        <x:v>Latidae</x:v>
      </x:c>
      <x:c r="B217" s="4" t="n">
        <x:v>4.35</x:v>
      </x:c>
      <x:c r="C217" s="5" t="n">
        <x:v>48.8266225651</x:v>
      </x:c>
      <x:c r="D217" s="5" t="n">
        <x:v>12145.465784598577</x:v>
      </x:c>
      <x:c r="E217" s="2" t="inlineStr">
        <x:is>
          <x:t xml:space="preserve">Juvenile demersal fish (&gt; 30 cm) (89.991470%); Adult demersal fish (&gt; 30 cm) (10.008530%)</x:t>
        </x:is>
      </x:c>
      <x:c r="F217" s="2" t="inlineStr">
        <x:is>
          <x:t xml:space="preserve">Medium</x:t>
        </x:is>
      </x:c>
      <x:c r="G217" s="2" t="inlineStr">
        <x:is>
          <x:t xml:space="preserve">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x:t>
        </x:is>
      </x:c>
      <x:c r="H217" s="1"/>
      <x:c r="I217" s="1"/>
      <x:c r="J217" s="1"/>
      <x:c r="K217" s="1"/>
    </x:row>
    <x:row r="218" ht="48" customHeight="1" hidden="1">
      <x:c r="A218" s="2" t="str">
        <x:v>Parapenaeopsis</x:v>
      </x:c>
      <x:c r="B218" s="4" t="n">
        <x:v>2.72</x:v>
      </x:c>
      <x:c r="C218" s="5" t="n">
        <x:v>2051.0014812198</x:v>
      </x:c>
      <x:c r="D218" s="5" t="n">
        <x:v>11959.787536972064</x:v>
      </x:c>
      <x:c r="E218" s="2" t="inlineStr">
        <x:is>
          <x:t xml:space="preserve">Shrimps (100.000000%)</x:t>
        </x:is>
      </x:c>
      <x:c r="F218" s="2" t="inlineStr">
        <x:is>
          <x:t xml:space="preserve">High</x:t>
        </x:is>
      </x:c>
      <x:c r="G218" s="2" t="inlineStr">
        <x:is>
          <x:t xml:space="preserve">Parapenaeopsis is a non-Acetes shrimp lineage. Shrimps is broader than the Metapenaeopsis mortality examples; the explicit Acetes/Zooplankton exception is excluded. No split is required.</x:t>
        </x:is>
      </x:c>
      <x:c r="H218" s="1"/>
      <x:c r="I218" s="1"/>
      <x:c r="J218" s="1"/>
      <x:c r="K218" s="1"/>
    </x:row>
    <x:row r="219" ht="80" customHeight="1" hidden="1">
      <x:c r="A219" s="2" t="str">
        <x:v>Drepane</x:v>
      </x:c>
      <x:c r="B219" s="4" t="n">
        <x:v>3.32</x:v>
      </x:c>
      <x:c r="C219" s="5" t="n">
        <x:v>510.0612503553</x:v>
      </x:c>
      <x:c r="D219" s="5" t="n">
        <x:v>11840.766631843351</x:v>
      </x:c>
      <x:c r="E219" s="2" t="inlineStr">
        <x:is>
          <x:t xml:space="preserve">Juvenile demersal fish (&gt; 30 cm) (89.991470%); Adult demersal fish (&gt; 30 cm) (10.008530%)</x:t>
        </x:is>
      </x:c>
      <x:c r="F219" s="2" t="inlineStr">
        <x:is>
          <x:t xml:space="preserve">Medium</x:t>
        </x:is>
      </x:c>
      <x:c r="G219" s="2" t="inlineStr">
        <x:is>
          <x:t xml:space="preserve">FAO regional D. punctata and D. longimana are large coastal bottom-associated sicklefishes (50 cm TL). The large demersal pair resolves the genus/species inconsistency; extension to the reported regional genus remains explicit. Source-model catch proportions supply an assumed fixed 1950–2019/all-bases mixture; they are not observed taxon-specific catches.</x:t>
        </x:is>
      </x:c>
      <x:c r="H219" s="1"/>
      <x:c r="I219" s="1"/>
      <x:c r="J219" s="1"/>
      <x:c r="K219" s="1"/>
    </x:row>
    <x:row r="220" ht="80" customHeight="1">
      <x:c r="A220" s="2" t="str">
        <x:v>Siganus</x:v>
      </x:c>
      <x:c r="B220" s="4" t="n">
        <x:v>2.11</x:v>
      </x:c>
      <x:c r="C220" s="5" t="n">
        <x:v>8030.5915137059</x:v>
      </x:c>
      <x:c r="D220" s="5" t="n">
        <x:v>11494.895463735904</x:v>
      </x:c>
      <x:c r="E220" s="2" t="inlineStr">
        <x:is>
          <x:t xml:space="preserve">Juvenile demersal fish (&gt; 30 cm) (89.991470%); Adult demersal fish (&gt; 30 cm) (10.008530%)</x:t>
        </x:is>
      </x:c>
      <x:c r="F220" s="2" t="inlineStr">
        <x:is>
          <x:t xml:space="preserve">Low</x:t>
        </x:is>
      </x:c>
      <x:c r="G220" s="2" t="inlineStr">
        <x:is>
          <x:t xml:space="preserve">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t>
        </x:is>
      </x:c>
      <x:c r="H220" s="1"/>
      <x:c r="I220" s="1"/>
      <x:c r="J220" s="1"/>
      <x:c r="K220" s="1"/>
    </x:row>
    <x:row r="221" ht="80" customHeight="1">
      <x:c r="A221" s="2" t="str">
        <x:v>Mugil</x:v>
      </x:c>
      <x:c r="B221" s="4" t="n">
        <x:v>2.26</x:v>
      </x:c>
      <x:c r="C221" s="5" t="n">
        <x:v>5637.6636376472</x:v>
      </x:c>
      <x:c r="D221" s="5" t="n">
        <x:v>11398.734846645433</x:v>
      </x:c>
      <x:c r="E221" s="2" t="inlineStr">
        <x:is>
          <x:t xml:space="preserve">Juvenile demersal fish (&gt; 30 cm) (89.991470%); Adult demersal fish (&gt; 30 cm) (10.008530%)</x:t>
        </x:is>
      </x:c>
      <x:c r="F221" s="2" t="inlineStr">
        <x:is>
          <x:t xml:space="preserve">Low</x:t>
        </x:is>
      </x:c>
      <x:c r="G221" s="2" t="inlineStr">
        <x:is>
          <x:t xml:space="preserve">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x:t>
        </x:is>
      </x:c>
      <x:c r="H221" s="1"/>
      <x:c r="I221" s="1"/>
      <x:c r="J221" s="1"/>
      <x:c r="K221" s="1"/>
    </x:row>
    <x:row r="222" ht="48" customHeight="1" hidden="1">
      <x:c r="A222" s="2" t="str">
        <x:v>Penaeus japonicus</x:v>
      </x:c>
      <x:c r="B222" s="4" t="n">
        <x:v>2.7</x:v>
      </x:c>
      <x:c r="C222" s="5" t="n">
        <x:v>2034.866287207</x:v>
      </x:c>
      <x:c r="D222" s="5" t="n">
        <x:v>11331.655614296391</x:v>
      </x:c>
      <x:c r="E222" s="2" t="inlineStr">
        <x:is>
          <x:t xml:space="preserve">Shrimps (100.000000%)</x:t>
        </x:is>
      </x:c>
      <x:c r="F222" s="2" t="inlineStr">
        <x:is>
          <x:t xml:space="preserve">High</x:t>
        </x:is>
      </x:c>
      <x:c r="G222" s="2" t="inlineStr">
        <x:is>
          <x:t xml:space="preserve">Penaeus japonicus is a non-Acetes shrimp lineage. Shrimps is broader than the Metapenaeopsis mortality examples; the explicit Acetes/Zooplankton exception is excluded. No split is required.</x:t>
        </x:is>
      </x:c>
      <x:c r="H222" s="1"/>
      <x:c r="I222" s="1"/>
      <x:c r="J222" s="1"/>
      <x:c r="K222" s="1"/>
    </x:row>
    <x:row r="223" ht="80" customHeight="1" hidden="1">
      <x:c r="A223" s="2" t="str">
        <x:v>Atrobucca nibe</x:v>
      </x:c>
      <x:c r="B223" s="4" t="n">
        <x:v>3.03</x:v>
      </x:c>
      <x:c r="C223" s="5" t="n">
        <x:v>901.7723487351</x:v>
      </x:c>
      <x:c r="D223" s="5" t="n">
        <x:v>10736.294228879095</x:v>
      </x:c>
      <x:c r="E223" s="2" t="inlineStr">
        <x:is>
          <x:t xml:space="preserve">Juvenile large croakers (89.873418%); Croakers (&gt; 30 cm) (10.126582%)</x:t>
        </x:is>
      </x:c>
      <x:c r="F223" s="2" t="inlineStr">
        <x:is>
          <x:t xml:space="preserve">Medium</x:t>
        </x:is>
      </x:c>
      <x:c r="G223" s="2" t="inlineStr">
        <x:is>
          <x:t xml:space="preserve">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x:t>
        </x:is>
      </x:c>
      <x:c r="H223" s="1"/>
      <x:c r="I223" s="1"/>
      <x:c r="J223" s="1"/>
      <x:c r="K223" s="1"/>
    </x:row>
    <x:row r="224" ht="80" customHeight="1" hidden="1">
      <x:c r="A224" s="2" t="str">
        <x:v>Exocoetidae</x:v>
      </x:c>
      <x:c r="B224" s="4" t="n">
        <x:v>3.57</x:v>
      </x:c>
      <x:c r="C224" s="5" t="n">
        <x:v>251.6172091557</x:v>
      </x:c>
      <x:c r="D224" s="5" t="n">
        <x:v>10387.18416093935</x:v>
      </x:c>
      <x:c r="E224" s="2" t="inlineStr">
        <x:is>
          <x:t xml:space="preserve">Pelagic fish (≤ 30 cm) (74.079924%); Juvenile large pelagic fish (23.326489%); Pelagic fish (&gt; 30 cm) (2.593587%)</x:t>
        </x:is>
      </x:c>
      <x:c r="F224" s="2" t="inlineStr">
        <x:is>
          <x:t xml:space="preserve">Medium</x:t>
        </x:is>
      </x:c>
      <x:c r="G224" s="2" t="inlineStr">
        <x:is>
          <x:t xml:space="preserve">The regional flyingfish reporting family contains small pelagic species and separately reported Cheilopogon unicolor (38 cm TL). Both pelagic size classes are retained; the provider small-pelagic classifier is not evidence excluding the large member. Source-model catch proportions supply an assumed fixed 1950–2019/all-bases mixture; they are not observed taxon-specific catches.</x:t>
        </x:is>
      </x:c>
      <x:c r="H224" s="1"/>
      <x:c r="I224" s="1"/>
      <x:c r="J224" s="1"/>
      <x:c r="K224" s="1"/>
    </x:row>
    <x:row r="225" ht="80" customHeight="1" hidden="1">
      <x:c r="A225" s="2" t="str">
        <x:v>Balistidae</x:v>
      </x:c>
      <x:c r="B225" s="4" t="n">
        <x:v>3.25</x:v>
      </x:c>
      <x:c r="C225" s="5" t="n">
        <x:v>521.2657552092</x:v>
      </x:c>
      <x:c r="D225" s="5" t="n">
        <x:v>10299.512884965667</x:v>
      </x:c>
      <x:c r="E225" s="2" t="inlineStr">
        <x:is>
          <x:t xml:space="preserve">Demesral fish (≤ 30 cm) (33.704053%); Juvenile demersal fish (&gt; 30 cm) (59.660697%); Adult demersal fish (&gt; 30 cm) (6.635250%)</x:t>
        </x:is>
      </x:c>
      <x:c r="F225" s="2" t="inlineStr">
        <x:is>
          <x:t xml:space="preserve">Medium</x:t>
        </x:is>
      </x:c>
      <x:c r="G225" s="2" t="inlineStr">
        <x:is>
          <x:t xml:space="preserve">Regional bottom-associated Rhinecanthus verrucosus (23 cm TL) and larger triggerfishes require small plus large demersal species pools. Composition and ecological extension to the marine reporting family remain assumed. Source-model catch proportions supply an assumed fixed 1950–2019/all-bases mixture; they are not observed taxon-specific catches.</x:t>
        </x:is>
      </x:c>
      <x:c r="H225" s="1"/>
      <x:c r="I225" s="1"/>
      <x:c r="J225" s="1"/>
      <x:c r="K225" s="1"/>
    </x:row>
    <x:row r="226" ht="48" customHeight="1" hidden="1">
      <x:c r="A226" s="2" t="str">
        <x:v>Bivalvia</x:v>
      </x:c>
      <x:c r="B226" s="4" t="n">
        <x:v>2.23</x:v>
      </x:c>
      <x:c r="C226" s="5" t="n">
        <x:v>5397.986096821201</x:v>
      </x:c>
      <x:c r="D226" s="5" t="n">
        <x:v>10185.661805559277</x:v>
      </x:c>
      <x:c r="E226" s="2" t="inlineStr">
        <x:is>
          <x:t xml:space="preserve">Non-ceph molluscs (100.000000%)</x:t>
        </x:is>
      </x:c>
      <x:c r="F226" s="2" t="inlineStr">
        <x:is>
          <x:t xml:space="preserve">High</x:t>
        </x:is>
      </x:c>
      <x:c r="G226" s="2" t="inlineStr">
        <x:is>
          <x:t xml:space="preserve">Bivalvia is a non-cephalopod mollusc. The source derives this catch by removing Cephalopoda from mollusc catch; no competing mollusc compartment contains this lineage. No split is required.</x:t>
        </x:is>
      </x:c>
      <x:c r="H226" s="1"/>
      <x:c r="I226" s="1"/>
      <x:c r="J226" s="1"/>
      <x:c r="K226" s="1"/>
    </x:row>
    <x:row r="227" ht="80" customHeight="1" hidden="1">
      <x:c r="A227" s="2" t="str">
        <x:v>Lethrinus</x:v>
      </x:c>
      <x:c r="B227" s="4" t="n">
        <x:v>3.75</x:v>
      </x:c>
      <x:c r="C227" s="5" t="n">
        <x:v>151.5231738165</x:v>
      </x:c>
      <x:c r="D227" s="5" t="n">
        <x:v>9467.526929002022</x:v>
      </x:c>
      <x:c r="E227" s="2" t="inlineStr">
        <x:is>
          <x:t xml:space="preserve">Demesral fish (≤ 30 cm) (33.704053%); Juvenile demersal fish (&gt; 30 cm) (59.660697%); Adult demersal fish (&gt; 30 cm) (6.635250%)</x:t>
        </x:is>
      </x:c>
      <x:c r="F227" s="2" t="inlineStr">
        <x:is>
          <x:t xml:space="preserve">Medium</x:t>
        </x:is>
      </x:c>
      <x:c r="G227" s="2" t="inlineStr">
        <x:is>
          <x:t xml:space="preserve">Regional bottom-associated L. variegatus (20 cm TL) and L. miniatus (90 cm TL) establish both species-size classes. The genus-level reporting mixture is represented by both residual demersal classes as an assumption. Source-model catch proportions supply an assumed fixed 1950–2019/all-bases mixture; they are not observed taxon-specific catches.</x:t>
        </x:is>
      </x:c>
      <x:c r="H227" s="1"/>
      <x:c r="I227" s="1"/>
      <x:c r="J227" s="1"/>
      <x:c r="K227" s="1"/>
    </x:row>
    <x:row r="228" ht="80" customHeight="1" hidden="1">
      <x:c r="A228" s="2" t="str">
        <x:v>Istiompax indica</x:v>
      </x:c>
      <x:c r="B228" s="4" t="n">
        <x:v>4.5</x:v>
      </x:c>
      <x:c r="C228" s="5" t="n">
        <x:v>25.5078926537</x:v>
      </x:c>
      <x:c r="D228" s="5" t="n">
        <x:v>8962.559899640959</x:v>
      </x:c>
      <x:c r="E228" s="2" t="inlineStr">
        <x:is>
          <x:t xml:space="preserve">Juvenile large pelagic fish (89.993906%); Pelagic fish (&gt; 30 cm) (10.006094%)</x:t>
        </x:is>
      </x:c>
      <x:c r="F228" s="2" t="inlineStr">
        <x:is>
          <x:t xml:space="preserve">Medium</x:t>
        </x:is>
      </x:c>
      <x:c r="G228" s="2" t="inlineStr">
        <x:is>
          <x:t xml:space="preserve">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x:t>
        </x:is>
      </x:c>
      <x:c r="H228" s="1"/>
      <x:c r="I228" s="1"/>
      <x:c r="J228" s="1"/>
      <x:c r="K228" s="1"/>
    </x:row>
    <x:row r="229" ht="112" customHeight="1">
      <x:c r="A229" s="2" t="str">
        <x:v>Platycaranx talamparoides</x:v>
      </x:c>
      <x:c r="B229" s="4" t="n">
        <x:v>4.4</x:v>
      </x:c>
      <x:c r="C229" s="5" t="n">
        <x:v>28.6435040281</x:v>
      </x:c>
      <x:c r="D229" s="5" t="n">
        <x:v>7994.3587910082715</x:v>
      </x:c>
      <x:c r="E229" s="2" t="inlineStr">
        <x:is>
          <x:t xml:space="preserve">Juvenile large pelagic fish (89.993906%); Pelagic fish (&gt; 30 cm) (10.006094%)</x:t>
        </x:is>
      </x:c>
      <x:c r="F229" s="2" t="inlineStr">
        <x:is>
          <x:t xml:space="preserve">Low</x:t>
        </x:is>
      </x:c>
      <x:c r="G229" s="2" t="inlineStr">
        <x:is>
          <x:t xml:space="preserve">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x:t>
        </x:is>
      </x:c>
      <x:c r="H229" s="1"/>
      <x:c r="I229" s="1"/>
      <x:c r="J229" s="1"/>
      <x:c r="K229" s="1"/>
    </x:row>
    <x:row r="230" ht="80" customHeight="1" hidden="1">
      <x:c r="A230" s="2" t="str">
        <x:v>Sergestidae</x:v>
      </x:c>
      <x:c r="B230" s="4" t="n">
        <x:v>2.93</x:v>
      </x:c>
      <x:c r="C230" s="5" t="n">
        <x:v>825.2380457821</x:v>
      </x:c>
      <x:c r="D230" s="5" t="n">
        <x:v>7804.349903743776</x:v>
      </x:c>
      <x:c r="E230" s="2" t="inlineStr">
        <x:is>
          <x:t xml:space="preserve">Zooplankton (12.254395%); Shrimps (87.745605%)</x:t>
        </x:is>
      </x:c>
      <x:c r="F230" s="2" t="inlineStr">
        <x:is>
          <x:t xml:space="preserve">Medium</x:t>
        </x:is>
      </x:c>
      <x:c r="G230" s="2" t="inlineStr">
        <x:is>
          <x:t xml:space="preserve">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t>
        </x:is>
      </x:c>
      <x:c r="H230" s="1"/>
      <x:c r="I230" s="1"/>
      <x:c r="J230" s="1"/>
      <x:c r="K230" s="1"/>
    </x:row>
    <x:row r="231" ht="64" customHeight="1" hidden="1">
      <x:c r="A231" s="2" t="str">
        <x:v>Tegillarca granosa</x:v>
      </x:c>
      <x:c r="B231" s="4" t="n">
        <x:v>2</x:v>
      </x:c>
      <x:c r="C231" s="5" t="n">
        <x:v>6996.1566210773</x:v>
      </x:c>
      <x:c r="D231" s="5" t="n">
        <x:v>7773.507356752556</x:v>
      </x:c>
      <x:c r="E231" s="2" t="inlineStr">
        <x:is>
          <x:t xml:space="preserve">Non-ceph molluscs (100.000000%)</x:t>
        </x:is>
      </x:c>
      <x:c r="F231" s="2" t="inlineStr">
        <x:is>
          <x:t xml:space="preserve">High</x:t>
        </x:is>
      </x:c>
      <x:c r="G231" s="2" t="inlineStr">
        <x:is>
          <x:t xml:space="preserve">Tegillarca granosa is a non-cephalopod mollusc. The source derives this catch by removing Cephalopoda from mollusc catch; no competing mollusc compartment contains this lineage. No split is required.</x:t>
        </x:is>
      </x:c>
      <x:c r="H231" s="1"/>
      <x:c r="I231" s="1"/>
      <x:c r="J231" s="1"/>
      <x:c r="K231" s="1"/>
    </x:row>
    <x:row r="232" ht="57.0" customHeight="1" hidden="1">
      <x:c r="A232" s="2" t="str">
        <x:v>Penaeus latisulcatus</x:v>
      </x:c>
      <x:c r="B232" s="4" t="n">
        <x:v>2.7</x:v>
      </x:c>
      <x:c r="C232" s="5" t="n">
        <x:v>1395.8112079466</x:v>
      </x:c>
      <x:c r="D232" s="5" t="n">
        <x:v>7772.919533074422</x:v>
      </x:c>
      <x:c r="E232" s="2" t="inlineStr">
        <x:is>
          <x:t xml:space="preserve">Shrimps (100.000000%)</x:t>
        </x:is>
      </x:c>
      <x:c r="F232" s="2" t="inlineStr">
        <x:is>
          <x:t xml:space="preserve">High</x:t>
        </x:is>
      </x:c>
      <x:c r="G232" s="2" t="inlineStr">
        <x:is>
          <x:t xml:space="preserve">Penaeus latisulcatus is a non-Acetes shrimp lineage. Shrimps is broader than the Metapenaeopsis mortality examples; the explicit Acetes/Zooplankton exception is excluded. No split is required.</x:t>
        </x:is>
      </x:c>
      <x:c r="H232" s="1"/>
      <x:c r="I232" s="1"/>
      <x:c r="J232" s="1"/>
      <x:c r="K232" s="1"/>
    </x:row>
    <x:row r="233" ht="48" customHeight="1" hidden="1">
      <x:c r="A233" s="2" t="str">
        <x:v>Palinuridae</x:v>
      </x:c>
      <x:c r="B233" s="4" t="n">
        <x:v>3.14</x:v>
      </x:c>
      <x:c r="C233" s="5" t="n">
        <x:v>485.2535877241</x:v>
      </x:c>
      <x:c r="D233" s="5" t="n">
        <x:v>7442.626853738258</x:v>
      </x:c>
      <x:c r="E233" s="2" t="inlineStr">
        <x:is>
          <x:t xml:space="preserve">Benthic crustaceans (100.000000%)</x:t>
        </x:is>
      </x:c>
      <x:c r="F233" s="2" t="inlineStr">
        <x:is>
          <x:t xml:space="preserve">High</x:t>
        </x:is>
      </x:c>
      <x:c r="G233" s="2" t="inlineStr">
        <x:is>
          <x:t xml:space="preserve">Palinuridae is a benthic lobster lineage in the residual crustacean pool after shrimp/crab exclusions. Oratosquilla is a parameter example, not the complete membership. No split is required.</x:t>
        </x:is>
      </x:c>
      <x:c r="H233" s="1"/>
      <x:c r="I233" s="1"/>
      <x:c r="J233" s="1"/>
      <x:c r="K233" s="1"/>
    </x:row>
    <x:row r="234" ht="48" customHeight="1" hidden="1">
      <x:c r="A234" s="2" t="str">
        <x:v>Echinoidea</x:v>
      </x:c>
      <x:c r="B234" s="4" t="n">
        <x:v>2.51</x:v>
      </x:c>
      <x:c r="C234" s="5" t="n">
        <x:v>1857.3483633202</x:v>
      </x:c>
      <x:c r="D234" s="5" t="n">
        <x:v>6678.068323100478</x:v>
      </x:c>
      <x:c r="E234" s="2" t="inlineStr">
        <x:is>
          <x:t xml:space="preserve">Echinoderms (100.000000%)</x:t>
        </x:is>
      </x:c>
      <x:c r="F234" s="2" t="inlineStr">
        <x:is>
          <x:t xml:space="preserve">High</x:t>
        </x:is>
      </x:c>
      <x:c r="G234" s="2" t="inlineStr">
        <x:is>
          <x:t xml:space="preserve">Echinoidea is within Echinodermata, represented by one source compartment without competing size/stage pools. No split is required.</x:t>
        </x:is>
      </x:c>
      <x:c r="H234" s="1"/>
      <x:c r="I234" s="1"/>
      <x:c r="J234" s="1"/>
      <x:c r="K234" s="1"/>
    </x:row>
    <x:row r="235" ht="80" customHeight="1">
      <x:c r="A235" s="2" t="str">
        <x:v>Berycidae</x:v>
      </x:c>
      <x:c r="B235" s="4" t="n">
        <x:v>3.99</x:v>
      </x:c>
      <x:c r="C235" s="5" t="n">
        <x:v>57.9199066823</x:v>
      </x:c>
      <x:c r="D235" s="5" t="n">
        <x:v>6289.054293803419</x:v>
      </x:c>
      <x:c r="E235" s="2" t="inlineStr">
        <x:is>
          <x:t xml:space="preserve">Benthopelagic fish (100.000000%)</x:t>
        </x:is>
      </x:c>
      <x:c r="F235" s="2" t="inlineStr">
        <x:is>
          <x:t xml:space="preserve">Low</x:t>
        </x:is>
      </x:c>
      <x:c r="G235" s="2" t="inlineStr">
        <x:is>
          <x:t xml:space="preserve">Beryx splendens supplies a concrete large-benthopelagic family component (70 cm TL, outer shelf/slope). The main obstacle is final 27's unresolved inclusion of the appendix large component; the family's deep habitat adds model-transfer uncertainty, not proof of pelagic status. No split is required.</x:t>
        </x:is>
      </x:c>
      <x:c r="H235" s="1"/>
      <x:c r="I235" s="1"/>
      <x:c r="J235" s="1"/>
      <x:c r="K235" s="1"/>
    </x:row>
    <x:row r="236" ht="102.0" customHeight="1">
      <x:c r="A236" s="2" t="str">
        <x:v>Megalops cyprinoides</x:v>
      </x:c>
      <x:c r="B236" s="4" t="n">
        <x:v>3.48</x:v>
      </x:c>
      <x:c r="C236" s="5" t="n">
        <x:v>177.5356060989</x:v>
      </x:c>
      <x:c r="D236" s="5" t="n">
        <x:v>5957.210656344308</x:v>
      </x:c>
      <x:c r="E236" s="2" t="inlineStr">
        <x:is>
          <x:t xml:space="preserve">Benthopelagic fish (100.000000%)</x:t>
        </x:is>
      </x:c>
      <x:c r="F236" s="2" t="inlineStr">
        <x:is>
          <x:t xml:space="preserve">Low</x:t>
        </x:is>
      </x:c>
      <x:c r="G236" s="2" t="inlineStr">
        <x:is>
          <x:t xml:space="preserve">Explicit benthopelagic ecology and maximum 150 cm TL support group 27 as an assumed ecological placement. Its large-species scope remains unresolved against the appendix; this correction does not claim that the two appendix pools were merged.</x:t>
        </x:is>
      </x:c>
      <x:c r="H236" s="1"/>
      <x:c r="I236" s="1"/>
      <x:c r="J236" s="1"/>
      <x:c r="K236" s="1"/>
    </x:row>
    <x:row r="237" ht="80" customHeight="1" hidden="1">
      <x:c r="A237" s="2" t="str">
        <x:v>Psettodidae</x:v>
      </x:c>
      <x:c r="B237" s="4" t="n">
        <x:v>3.83</x:v>
      </x:c>
      <x:c r="C237" s="5" t="n">
        <x:v>74.69142941770001</x:v>
      </x:c>
      <x:c r="D237" s="5" t="n">
        <x:v>5610.844870777648</x:v>
      </x:c>
      <x:c r="E237" s="2" t="inlineStr">
        <x:is>
          <x:t xml:space="preserve">Juvenile demersal fish (&gt; 30 cm) (89.991470%); Adult demersal fish (&gt; 30 cm) (10.008530%)</x:t>
        </x:is>
      </x:c>
      <x:c r="F237" s="2" t="inlineStr">
        <x:is>
          <x:t xml:space="preserve">Medium</x:t>
        </x:is>
      </x:c>
      <x:c r="G237" s="2" t="inlineStr">
        <x:is>
          <x:t xml:space="preserve">FAO identifies only Psettodes erumei in the Western Central Pacific family, a demersal species reaching about 60 cm TL. Group 24 is pruned: common 20-40 cm individuals do not qualify as a species with maximum TL at or below 30 cm. Source-model catch proportions supply an assumed fixed 1950–2019/all-bases mixture; they are not observed taxon-specific catches.</x:t>
        </x:is>
      </x:c>
      <x:c r="H237" s="1"/>
      <x:c r="I237" s="1"/>
      <x:c r="J237" s="1"/>
      <x:c r="K237" s="1"/>
    </x:row>
    <x:row r="238" ht="80" customHeight="1" hidden="1">
      <x:c r="A238" s="2" t="str">
        <x:v>Gymnocranius</x:v>
      </x:c>
      <x:c r="B238" s="4" t="n">
        <x:v>3.4</x:v>
      </x:c>
      <x:c r="C238" s="5" t="n">
        <x:v>200.9946121148</x:v>
      </x:c>
      <x:c r="D238" s="5" t="n">
        <x:v>5609.729321974413</x:v>
      </x:c>
      <x:c r="E238" s="2" t="inlineStr">
        <x:is>
          <x:t xml:space="preserve">Juvenile demersal fish (&gt; 30 cm) (89.991470%); Adult demersal fish (&gt; 30 cm) (10.008530%)</x:t>
        </x:is>
      </x:c>
      <x:c r="F238" s="2" t="inlineStr">
        <x:is>
          <x:t xml:space="preserve">Medium</x:t>
        </x:is>
      </x:c>
      <x:c r="G238" s="2" t="inlineStr">
        <x:is>
          <x:t xml:space="preserve">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x:t>
        </x:is>
      </x:c>
      <x:c r="H238" s="1"/>
      <x:c r="I238" s="1"/>
      <x:c r="J238" s="1"/>
      <x:c r="K238" s="1"/>
    </x:row>
    <x:row r="239" ht="96" customHeight="1">
      <x:c r="A239" s="2" t="str">
        <x:v>Caranx sexfasciatus</x:v>
      </x:c>
      <x:c r="B239" s="4" t="n">
        <x:v>4.5</x:v>
      </x:c>
      <x:c r="C239" s="5" t="n">
        <x:v>13.606269148</x:v>
      </x:c>
      <x:c r="D239" s="5" t="n">
        <x:v>4780.755662773183</x:v>
      </x:c>
      <x:c r="E239" s="2" t="inlineStr">
        <x:is>
          <x:t xml:space="preserve">Juvenile large pelagic fish (89.993906%); Pelagic fish (&gt; 30 cm) (10.006094%)</x:t>
        </x:is>
      </x:c>
      <x:c r="F239" s="2" t="inlineStr">
        <x:is>
          <x:t xml:space="preserve">Low</x:t>
        </x:is>
      </x:c>
      <x:c r="G239" s="2" t="inlineStr">
        <x:is>
          <x:t xml:space="preserve">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x:t>
        </x:is>
      </x:c>
      <x:c r="H239" s="1"/>
      <x:c r="I239" s="1"/>
      <x:c r="J239" s="1"/>
      <x:c r="K239" s="1"/>
    </x:row>
    <x:row r="240" ht="48" customHeight="1" hidden="1">
      <x:c r="A240" s="2" t="str">
        <x:v>Sepioteuthis lessoniana</x:v>
      </x:c>
      <x:c r="B240" s="4" t="n">
        <x:v>3.98</x:v>
      </x:c>
      <x:c r="C240" s="5" t="n">
        <x:v>44.2482810127</x:v>
      </x:c>
      <x:c r="D240" s="5" t="n">
        <x:v>4695.197812369063</x:v>
      </x:c>
      <x:c r="E240" s="2" t="inlineStr">
        <x:is>
          <x:t xml:space="preserve">Cephalopods (100.000000%)</x:t>
        </x:is>
      </x:c>
      <x:c r="F240" s="2" t="inlineStr">
        <x:is>
          <x:t xml:space="preserve">High</x:t>
        </x:is>
      </x:c>
      <x:c r="G240" s="2" t="inlineStr">
        <x:is>
          <x:t xml:space="preserve">Sepioteuthis lessoniana is within Cephalopoda. Biomass estimation from two dominant Loligo species does not restrict the source group to those species or to squid. No split is required.</x:t>
        </x:is>
      </x:c>
      <x:c r="H240" s="1"/>
      <x:c r="I240" s="1"/>
      <x:c r="J240" s="1"/>
      <x:c r="K240" s="1"/>
    </x:row>
    <x:row r="241" ht="80" customHeight="1" hidden="1">
      <x:c r="A241" s="2" t="str">
        <x:v>Gerres</x:v>
      </x:c>
      <x:c r="B241" s="4" t="n">
        <x:v>3.27</x:v>
      </x:c>
      <x:c r="C241" s="5" t="n">
        <x:v>216.9204581174</x:v>
      </x:c>
      <x:c r="D241" s="5" t="n">
        <x:v>4488.053274882519</x:v>
      </x:c>
      <x:c r="E241" s="2" t="inlineStr">
        <x:is>
          <x:t xml:space="preserve">Demesral fish (≤ 30 cm) (33.704053%); Juvenile demersal fish (&gt; 30 cm) (59.660697%); Adult demersal fish (&gt; 30 cm) (6.635250%)</x:t>
        </x:is>
      </x:c>
      <x:c r="F241" s="2" t="inlineStr">
        <x:is>
          <x:t xml:space="preserve">Medium</x:t>
        </x:is>
      </x:c>
      <x:c r="G241" s="2" t="inlineStr">
        <x:is>
          <x:t xml:space="preserve">Regional demersal G. limbatus (15 cm TL) and G. filamentosus (39 cm TL) support both size classes and replace the unsupported exclusive benthopelagic placement. Genus composition is assumed. Source-model catch proportions supply an assumed fixed 1950–2019/all-bases mixture; they are not observed taxon-specific catches.</x:t>
        </x:is>
      </x:c>
      <x:c r="H241" s="1"/>
      <x:c r="I241" s="1"/>
      <x:c r="J241" s="1"/>
      <x:c r="K241" s="1"/>
    </x:row>
    <x:row r="242" ht="96" customHeight="1" hidden="1">
      <x:c r="A242" s="2" t="str">
        <x:v>Lethrinus miniatus</x:v>
      </x:c>
      <x:c r="B242" s="4" t="n">
        <x:v>4.19</x:v>
      </x:c>
      <x:c r="C242" s="5" t="n">
        <x:v>25.405769537</x:v>
      </x:c>
      <x:c r="D242" s="5" t="n">
        <x:v>4372.097563907344</x:v>
      </x:c>
      <x:c r="E242" s="2" t="inlineStr">
        <x:is>
          <x:t xml:space="preserve">Juvenile demersal fish (&gt; 30 cm) (89.991470%); Adult demersal fish (&gt; 30 cm) (10.008530%)</x:t>
        </x:is>
      </x:c>
      <x:c r="F242" s="2" t="inlineStr">
        <x:is>
          <x:t xml:space="preserve">Medium</x:t>
        </x:is>
      </x:c>
      <x:c r="G242" s="2" t="inlineStr">
        <x:is>
          <x:t xml:space="preserve">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x:t>
        </x:is>
      </x:c>
      <x:c r="H242" s="1"/>
      <x:c r="I242" s="1"/>
      <x:c r="J242" s="1"/>
      <x:c r="K242" s="1"/>
    </x:row>
    <x:row r="243" ht="80" customHeight="1" hidden="1">
      <x:c r="A243" s="2" t="str">
        <x:v>Dussumieria elopsoides</x:v>
      </x:c>
      <x:c r="B243" s="4" t="n">
        <x:v>3.4</x:v>
      </x:c>
      <x:c r="C243" s="5" t="n">
        <x:v>154.452083374</x:v>
      </x:c>
      <x:c r="D243" s="5" t="n">
        <x:v>4310.734361617078</x:v>
      </x:c>
      <x:c r="E243" s="2" t="inlineStr">
        <x:is>
          <x:t xml:space="preserve">Pelagic fish (≤ 30 cm) (100.000000%)</x:t>
        </x:is>
      </x:c>
      <x:c r="F243" s="2" t="inlineStr">
        <x:is>
          <x:t xml:space="preserve">Medium</x:t>
        </x:is>
      </x:c>
      <x:c r="G243" s="2" t="inlineStr">
        <x:is>
          <x:t xml:space="preserve">Coastal-pelagic ecology and small size support the current pool. Retrieved maximum length is SL, not TL; no independent total-length bound/conversion was recovered, so the model TL criterion remains a supported inference. Checked species record: 20 cm SL; Marine;  pelagic-neritic;. No split is required.</x:t>
        </x:is>
      </x:c>
      <x:c r="H243" s="1"/>
      <x:c r="I243" s="1"/>
      <x:c r="J243" s="1"/>
      <x:c r="K243" s="1"/>
    </x:row>
    <x:row r="244" ht="80" customHeight="1">
      <x:c r="A244" s="2" t="str">
        <x:v>Ariomma indica</x:v>
      </x:c>
      <x:c r="B244" s="4" t="n">
        <x:v>3.63</x:v>
      </x:c>
      <x:c r="C244" s="5" t="n">
        <x:v>84.7206777473</x:v>
      </x:c>
      <x:c r="D244" s="5" t="n">
        <x:v>4015.567327332002</x:v>
      </x:c>
      <x:c r="E244" s="2" t="inlineStr">
        <x:is>
          <x:t xml:space="preserve">Benthopelagic fish (100.000000%)</x:t>
        </x:is>
      </x:c>
      <x:c r="F244" s="2" t="inlineStr">
        <x:is>
          <x:t xml:space="preserve">Low</x:t>
        </x:is>
      </x:c>
      <x:c r="G244" s="2" t="inlineStr">
        <x:is>
          <x:t xml:space="preserve">Its bottom-by-day/water-column-at-night behavior supports benthopelagic placement and excludes a casual 'pomfret' transfer to Stromateidae or Psenopsis. However, the available maximum is 25 cm SL, notTL; it cannot establish the≤ 30 cm TL class that most closely matches final 27's parameters. No split is required.</x:t>
        </x:is>
      </x:c>
      <x:c r="H244" s="1"/>
      <x:c r="I244" s="1"/>
      <x:c r="J244" s="1"/>
      <x:c r="K244" s="1"/>
    </x:row>
    <x:row r="245" ht="80" customHeight="1" hidden="1">
      <x:c r="A245" s="2" t="str">
        <x:v>Acanthopagrus schlegelii</x:v>
      </x:c>
      <x:c r="B245" s="4" t="n">
        <x:v>3.24</x:v>
      </x:c>
      <x:c r="C245" s="5" t="n">
        <x:v>181.50238144</x:v>
      </x:c>
      <x:c r="D245" s="5" t="n">
        <x:v>3504.6109876268592</x:v>
      </x:c>
      <x:c r="E245" s="2" t="inlineStr">
        <x:is>
          <x:t xml:space="preserve">Juvenile demersal fish (&gt; 30 cm) (89.991470%); Adult demersal fish (&gt; 30 cm) (10.008530%)</x:t>
        </x:is>
      </x:c>
      <x:c r="F245" s="2" t="inlineStr">
        <x:is>
          <x:t xml:space="preserve">Medium</x:t>
        </x:is>
      </x:c>
      <x:c r="G245" s="2" t="inlineStr">
        <x:is>
          <x:t xml:space="preserve">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x:t>
        </x:is>
      </x:c>
      <x:c r="H245" s="1"/>
      <x:c r="I245" s="1"/>
      <x:c r="J245" s="1"/>
      <x:c r="K245" s="1"/>
    </x:row>
    <x:row r="246" ht="80" customHeight="1" hidden="1">
      <x:c r="A246" s="2" t="str">
        <x:v>Prionace glauca</x:v>
      </x:c>
      <x:c r="B246" s="4" t="n">
        <x:v>4.35</x:v>
      </x:c>
      <x:c r="C246" s="5" t="n">
        <x:v>13.0939444881</x:v>
      </x:c>
      <x:c r="D246" s="5" t="n">
        <x:v>3257.07670141665</x:v>
      </x:c>
      <x:c r="E246" s="2" t="inlineStr">
        <x:is>
          <x:t xml:space="preserve">Pelagic sharks and rays (100.000000%)</x:t>
        </x:is>
      </x:c>
      <x:c r="F246" s="2" t="inlineStr">
        <x:is>
          <x:t xml:space="preserve">High</x:t>
        </x:is>
      </x:c>
      <x:c r="G246"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400 cm TL; Marine; brackish;  pelagic-oceanic; oceanodromous. No split is required.</x:t>
        </x:is>
      </x:c>
      <x:c r="H246" s="1"/>
      <x:c r="I246" s="1"/>
      <x:c r="J246" s="1"/>
      <x:c r="K246" s="1"/>
    </x:row>
    <x:row r="247" ht="64" customHeight="1" hidden="1">
      <x:c r="A247" s="2" t="str">
        <x:v>Panulirus longipes</x:v>
      </x:c>
      <x:c r="B247" s="4" t="n">
        <x:v>2.6</x:v>
      </x:c>
      <x:c r="C247" s="5" t="n">
        <x:v>719.7378422567</x:v>
      </x:c>
      <x:c r="D247" s="5" t="n">
        <x:v>3183.697732456602</x:v>
      </x:c>
      <x:c r="E247" s="2" t="inlineStr">
        <x:is>
          <x:t xml:space="preserve">Benthic crustaceans (100.000000%)</x:t>
        </x:is>
      </x:c>
      <x:c r="F247" s="2" t="inlineStr">
        <x:is>
          <x:t xml:space="preserve">High</x:t>
        </x:is>
      </x:c>
      <x:c r="G247" s="2" t="inlineStr">
        <x:is>
          <x:t xml:space="preserve">Panulirus longipes is a benthic lobster lineage in the residual crustacean pool after shrimp/crab exclusions. Oratosquilla is a parameter example, not the complete membership. No split is required.</x:t>
        </x:is>
      </x:c>
      <x:c r="H247" s="1"/>
      <x:c r="I247" s="1"/>
      <x:c r="J247" s="1"/>
      <x:c r="K247" s="1"/>
    </x:row>
    <x:row r="248" ht="96" customHeight="1">
      <x:c r="A248" s="2" t="str">
        <x:v>Gnathanodon speciosus</x:v>
      </x:c>
      <x:c r="B248" s="4" t="n">
        <x:v>3.84</x:v>
      </x:c>
      <x:c r="C248" s="5" t="n">
        <x:v>41.3810155573</x:v>
      </x:c>
      <x:c r="D248" s="5" t="n">
        <x:v>3180.963130068719</x:v>
      </x:c>
      <x:c r="E248" s="2" t="inlineStr">
        <x:is>
          <x:t xml:space="preserve">Juvenile large pelagic fish (89.993906%); Pelagic fish (&gt; 30 cm) (10.006094%)</x:t>
        </x:is>
      </x:c>
      <x:c r="F248" s="2" t="inlineStr">
        <x:is>
          <x:t xml:space="preserve">Low</x:t>
        </x:is>
      </x:c>
      <x:c r="G248" s="2" t="inlineStr">
        <x:is>
          <x:t xml:space="preserve">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x:t>
        </x:is>
      </x:c>
      <x:c r="H248" s="1"/>
      <x:c r="I248" s="1"/>
      <x:c r="J248" s="1"/>
      <x:c r="K248" s="1"/>
    </x:row>
    <x:row r="249" ht="96" customHeight="1">
      <x:c r="A249" s="2" t="str">
        <x:v>Elops machnata</x:v>
      </x:c>
      <x:c r="B249" s="4" t="n">
        <x:v>3.97</x:v>
      </x:c>
      <x:c r="C249" s="5" t="n">
        <x:v>30.391788875</x:v>
      </x:c>
      <x:c r="D249" s="5" t="n">
        <x:v>3151.4741862786564</x:v>
      </x:c>
      <x:c r="E249" s="2" t="inlineStr">
        <x:is>
          <x:t xml:space="preserve">Juvenile large pelagic fish (89.993906%); Pelagic fish (&gt; 30 cm) (10.006094%)</x:t>
        </x:is>
      </x:c>
      <x:c r="F249" s="2" t="inlineStr">
        <x:is>
          <x:t xml:space="preserve">Low</x:t>
        </x:is>
      </x:c>
      <x:c r="G249" s="2" t="inlineStr">
        <x:is>
          <x:t xml:space="preserve">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x:t>
        </x:is>
      </x:c>
      <x:c r="H249" s="1"/>
      <x:c r="I249" s="1"/>
      <x:c r="J249" s="1"/>
      <x:c r="K249" s="1"/>
    </x:row>
    <x:row r="250" ht="80" customHeight="1">
      <x:c r="A250" s="2" t="str">
        <x:v>Hemiramphidae</x:v>
      </x:c>
      <x:c r="B250" s="4" t="n">
        <x:v>2.82</x:v>
      </x:c>
      <x:c r="C250" s="5" t="n">
        <x:v>418.7189652536</x:v>
      </x:c>
      <x:c r="D250" s="5" t="n">
        <x:v>3073.8319655508185</x:v>
      </x:c>
      <x:c r="E250" s="2" t="inlineStr">
        <x:is>
          <x:t xml:space="preserve">Juvenile large pelagic fish (89.993906%); Pelagic fish (&gt; 30 cm) (10.006094%)</x:t>
        </x:is>
      </x:c>
      <x:c r="F250" s="2" t="inlineStr">
        <x:is>
          <x:t xml:space="preserve">Low</x:t>
        </x:is>
      </x:c>
      <x:c r="G250" s="2" t="inlineStr">
        <x:is>
          <x:t xml:space="preserve">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x:t>
        </x:is>
      </x:c>
      <x:c r="H250" s="1"/>
      <x:c r="I250" s="1"/>
      <x:c r="J250" s="1"/>
      <x:c r="K250" s="1"/>
    </x:row>
    <x:row r="251" ht="80" customHeight="1" hidden="1">
      <x:c r="A251" s="2" t="str">
        <x:v>Dasyatidae</x:v>
      </x:c>
      <x:c r="B251" s="4" t="n">
        <x:v>3.38</x:v>
      </x:c>
      <x:c r="C251" s="5" t="n">
        <x:v>115.106937631</x:v>
      </x:c>
      <x:c r="D251" s="5" t="n">
        <x:v>3068.025679964068</x:v>
      </x:c>
      <x:c r="E251" s="2" t="inlineStr">
        <x:is>
          <x:t xml:space="preserve">Demersal sharks and rays (58.823529%); Pelagic sharks and rays (41.176471%)</x:t>
        </x:is>
      </x:c>
      <x:c r="F251" s="2" t="inlineStr">
        <x:is>
          <x:t xml:space="preserve">Medium</x:t>
        </x:is>
      </x:c>
      <x:c r="G251" s="2" t="inlineStr">
        <x:is>
          <x:t xml:space="preserve">Demersal stingrays and pelagic Pteroplatytrygon violacea, whose published range includes the South China Sea, span both source elasmobranch habitat pools. The reported family mixture is inferred, not a measured pelagic fraction. Source-model catch proportions supply an assumed fixed 1950–2019/all-bases mixture; they are not observed taxon-specific catches.</x:t>
        </x:is>
      </x:c>
      <x:c r="H251" s="1"/>
      <x:c r="I251" s="1"/>
      <x:c r="J251" s="1"/>
      <x:c r="K251" s="1"/>
    </x:row>
    <x:row r="252" ht="48" customHeight="1" hidden="1">
      <x:c r="A252" s="2" t="str">
        <x:v>Penaeus monodon</x:v>
      </x:c>
      <x:c r="B252" s="4" t="n">
        <x:v>2.6</x:v>
      </x:c>
      <x:c r="C252" s="5" t="n">
        <x:v>682.6803651934</x:v>
      </x:c>
      <x:c r="D252" s="5" t="n">
        <x:v>3019.777206439697</x:v>
      </x:c>
      <x:c r="E252" s="2" t="inlineStr">
        <x:is>
          <x:t xml:space="preserve">Shrimps (100.000000%)</x:t>
        </x:is>
      </x:c>
      <x:c r="F252" s="2" t="inlineStr">
        <x:is>
          <x:t xml:space="preserve">High</x:t>
        </x:is>
      </x:c>
      <x:c r="G252" s="2" t="inlineStr">
        <x:is>
          <x:t xml:space="preserve">Penaeus monodon is a non-Acetes shrimp lineage. Shrimps is broader than the Metapenaeopsis mortality examples; the explicit Acetes/Zooplankton exception is excluded. No split is required.</x:t>
        </x:is>
      </x:c>
      <x:c r="H252" s="1"/>
      <x:c r="I252" s="1"/>
      <x:c r="J252" s="1"/>
      <x:c r="K252" s="1"/>
    </x:row>
    <x:row r="253" ht="48" customHeight="1" hidden="1">
      <x:c r="A253" s="2" t="str">
        <x:v>Mytilidae</x:v>
      </x:c>
      <x:c r="B253" s="4" t="n">
        <x:v>2</x:v>
      </x:c>
      <x:c r="C253" s="5" t="n">
        <x:v>2617.3351217324</x:v>
      </x:c>
      <x:c r="D253" s="5" t="n">
        <x:v>2908.150135258222</x:v>
      </x:c>
      <x:c r="E253" s="2" t="inlineStr">
        <x:is>
          <x:t xml:space="preserve">Non-ceph molluscs (100.000000%)</x:t>
        </x:is>
      </x:c>
      <x:c r="F253" s="2" t="inlineStr">
        <x:is>
          <x:t xml:space="preserve">High</x:t>
        </x:is>
      </x:c>
      <x:c r="G253" s="2" t="inlineStr">
        <x:is>
          <x:t xml:space="preserve">Mytilidae is a non-cephalopod mollusc. The source derives this catch by removing Cephalopoda from mollusc catch; no competing mollusc compartment contains this lineage. No split is required.</x:t>
        </x:is>
      </x:c>
      <x:c r="H253" s="1"/>
      <x:c r="I253" s="1"/>
      <x:c r="J253" s="1"/>
      <x:c r="K253" s="1"/>
    </x:row>
    <x:row r="254" ht="48" customHeight="1" hidden="1">
      <x:c r="A254" s="2" t="str">
        <x:v>Octopus</x:v>
      </x:c>
      <x:c r="B254" s="4" t="n">
        <x:v>3.8</x:v>
      </x:c>
      <x:c r="C254" s="5" t="n">
        <x:v>36.8469693115</x:v>
      </x:c>
      <x:c r="D254" s="5" t="n">
        <x:v>2583.207323214134</x:v>
      </x:c>
      <x:c r="E254" s="2" t="inlineStr">
        <x:is>
          <x:t xml:space="preserve">Cephalopods (100.000000%)</x:t>
        </x:is>
      </x:c>
      <x:c r="F254" s="2" t="inlineStr">
        <x:is>
          <x:t xml:space="preserve">High</x:t>
        </x:is>
      </x:c>
      <x:c r="G254" s="2" t="inlineStr">
        <x:is>
          <x:t xml:space="preserve">Octopus is within Cephalopoda. Biomass estimation from two dominant Loligo species does not restrict the source group to those species or to squid. No split is required.</x:t>
        </x:is>
      </x:c>
      <x:c r="H254" s="1"/>
      <x:c r="I254" s="1"/>
      <x:c r="J254" s="1"/>
      <x:c r="K254" s="1"/>
    </x:row>
    <x:row r="255" ht="96" customHeight="1">
      <x:c r="A255" s="2" t="str">
        <x:v>Platycaranx malabaricus</x:v>
      </x:c>
      <x:c r="B255" s="4" t="n">
        <x:v>3.88</x:v>
      </x:c>
      <x:c r="C255" s="5" t="n">
        <x:v>30.6355451946</x:v>
      </x:c>
      <x:c r="D255" s="5" t="n">
        <x:v>2582.159731490736</x:v>
      </x:c>
      <x:c r="E255" s="2" t="inlineStr">
        <x:is>
          <x:t xml:space="preserve">Juvenile large pelagic fish (89.993906%); Pelagic fish (&gt; 30 cm) (10.006094%)</x:t>
        </x:is>
      </x:c>
      <x:c r="F255" s="2" t="inlineStr">
        <x:is>
          <x:t xml:space="preserve">Low</x:t>
        </x:is>
      </x:c>
      <x:c r="G255" s="2" t="inlineStr">
        <x:is>
          <x:t xml:space="preserve">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x:t>
        </x:is>
      </x:c>
      <x:c r="H255" s="1"/>
      <x:c r="I255" s="1"/>
      <x:c r="J255" s="1"/>
      <x:c r="K255" s="1"/>
    </x:row>
    <x:row r="256" ht="80" customHeight="1" hidden="1">
      <x:c r="A256" s="2" t="str">
        <x:v>Spratelloides gracilis</x:v>
      </x:c>
      <x:c r="B256" s="4" t="n">
        <x:v>3.06</x:v>
      </x:c>
      <x:c r="C256" s="5" t="n">
        <x:v>128.1837869076</x:v>
      </x:c>
      <x:c r="D256" s="5" t="n">
        <x:v>1635.2742128349519</x:v>
      </x:c>
      <x:c r="E256" s="2" t="inlineStr">
        <x:is>
          <x:t xml:space="preserve">Pelagic fish (≤ 30 cm) (100.000000%)</x:t>
        </x:is>
      </x:c>
      <x:c r="F256" s="2" t="inlineStr">
        <x:is>
          <x:t xml:space="preserve">Medium</x:t>
        </x:is>
      </x:c>
      <x:c r="G256" s="2" t="inlineStr">
        <x:is>
          <x:t xml:space="preserve">Coastal-pelagic ecology and small size support the current pool. Retrieved maximum length is SL, not TL; no independent total-length bound/conversion was recovered, so the model TL criterion remains a supported inference. Checked species record: 10.5 cm SL; Marine;  pelagic-neritic;. No split is required.</x:t>
        </x:is>
      </x:c>
      <x:c r="H256" s="1"/>
      <x:c r="I256" s="1"/>
      <x:c r="J256" s="1"/>
      <x:c r="K256" s="1"/>
    </x:row>
    <x:row r="257" ht="282.0" customHeight="1" hidden="1">
      <x:c r="A257" s="2" t="str">
        <x:v>Marine groundfishes not identified</x:v>
      </x:c>
      <x:c r="B257" s="4" t="n">
        <x:v>3.22</x:v>
      </x:c>
      <x:c r="C257" s="5" t="n">
        <x:v>87.70005119390001</x:v>
      </x:c>
      <x:c r="D257" s="5" t="n">
        <x:v>1617.1761860333365</x:v>
      </x:c>
      <x:c r="E257" s="2" t="inlineStr">
        <x:is>
          <x:t xml:space="preserve">Threadfin bream (nemipterids) (26.625061%); Bigeyes (priacanthids) (8.348193%); Lizard fish (synodontids) (0.948290%); Juvenile Hairtail (trichiurids) (1.134706%); Adult hairtail (trichiurids) (0.291781%); Pomfret (stromateids) (9.685524%); Snappers (0.044578%); Adult groupers (0.360674%); Croakers (≤ 30 cm) (1.422435%); Juvenile large croakers (2.877290%); Croakers (&gt; 30 cm) (0.324202%); Demesral fish (≤ 30 cm) (7.245907%); Juvenile demersal fish (&gt; 30 cm) (12.826228%); Adult demersal fish (&gt; 30 cm) (1.426487%); Benthopelagic fish (24.416437%); Melon seed (2.022208%)</x:t>
        </x:is>
      </x:c>
      <x:c r="F257" s="2" t="inlineStr">
        <x:is>
          <x:t xml:space="preserve">Very low</x:t>
        </x:is>
      </x:c>
      <x:c r="G257" s="2" t="inlineStr">
        <x:is>
          <x:t xml:space="preserve">Bony-fish reporting scope is verified for exact SAU key 100239 (ISSCAAP 39; FAO Osteichthyes), rather than inferred from the English label. Named demersal/benthopelagic bony fish groups 13–28 remain the groundfish approximation; Demersal sharks and rays 32 is excluded. Residual taxonomic composition, unrepresented taxa and wider-region transfer remain unobserved; membership and overall confidence remain Very low. Assumed composition is fixed across 1950–2019 and landings, total catch and discards; source model is a 2000s northern shelf representation. Complete six-fleet source-model landings+discards proportions supply an assumed whole-pool composition proxy(W4,Medium), not observed residual-label caught composition. Fixed across1950–2019 and all catch bases. Sources: canonical_source_export.json and Allocation evidence/Sources sheets; allocation_audit.json.</x:t>
        </x:is>
      </x:c>
      <x:c r="H257" s="1"/>
      <x:c r="I257" s="1"/>
      <x:c r="J257" s="1"/>
      <x:c r="K257" s="1"/>
    </x:row>
    <x:row r="258" ht="80" customHeight="1">
      <x:c r="A258" s="2" t="str">
        <x:v>Acanthuridae</x:v>
      </x:c>
      <x:c r="B258" s="4" t="n">
        <x:v>2.28</x:v>
      </x:c>
      <x:c r="C258" s="5" t="n">
        <x:v>755.8920112397</x:v>
      </x:c>
      <x:c r="D258" s="5" t="n">
        <x:v>1600.358371599423</x:v>
      </x:c>
      <x:c r="E258" s="2" t="inlineStr">
        <x:is>
          <x:t xml:space="preserve">Demesral fish (≤ 30 cm) (100.000000%)</x:t>
        </x:is>
      </x:c>
      <x:c r="F258" s="2" t="inlineStr">
        <x:is>
          <x:t xml:space="preserve">Low</x:t>
        </x:is>
      </x:c>
      <x:c r="G258" s="2" t="inlineStr">
        <x:is>
          <x:t xml:space="preserve">Acanthurus xanthopterus reaches 70 cm TL and occurs in the Indo-Pacific. The broad taxon includes regional large-bodied fish and does not itself establish maximum TL &lt;=30 cm. The small-demersal classifier is reporting context, but an exclusion of larger members was not independently documented. No split is required.</x:t>
        </x:is>
      </x:c>
      <x:c r="H258" s="1"/>
      <x:c r="I258" s="1"/>
      <x:c r="J258" s="1"/>
      <x:c r="K258" s="1"/>
    </x:row>
    <x:row r="259" ht="80" customHeight="1" hidden="1">
      <x:c r="A259" s="2" t="str">
        <x:v>Scatophagus</x:v>
      </x:c>
      <x:c r="B259" s="4" t="n">
        <x:v>2.75</x:v>
      </x:c>
      <x:c r="C259" s="5" t="n">
        <x:v>253.6834256976</x:v>
      </x:c>
      <x:c r="D259" s="5" t="n">
        <x:v>1585.0741531735093</x:v>
      </x:c>
      <x:c r="E259" s="2" t="inlineStr">
        <x:is>
          <x:t xml:space="preserve">Juvenile demersal fish (&gt; 30 cm) (89.991470%); Adult demersal fish (&gt; 30 cm) (10.008530%)</x:t>
        </x:is>
      </x:c>
      <x:c r="F259" s="2" t="inlineStr">
        <x:is>
          <x:t xml:space="preserve">Medium</x:t>
        </x:is>
      </x:c>
      <x:c r="G259" s="2" t="inlineStr">
        <x:is>
          <x:t xml:space="preserve">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x:t>
        </x:is>
      </x:c>
      <x:c r="H259" s="1"/>
      <x:c r="I259" s="1"/>
      <x:c r="J259" s="1"/>
      <x:c r="K259" s="1"/>
    </x:row>
    <x:row r="260" ht="64" customHeight="1" hidden="1">
      <x:c r="A260" s="2" t="str">
        <x:v>Solenocera crassicornis</x:v>
      </x:c>
      <x:c r="B260" s="4" t="n">
        <x:v>2.2</x:v>
      </x:c>
      <x:c r="C260" s="5" t="n">
        <x:v>866.9498430803</x:v>
      </x:c>
      <x:c r="D260" s="5" t="n">
        <x:v>1526.6921161146647</x:v>
      </x:c>
      <x:c r="E260" s="2" t="inlineStr">
        <x:is>
          <x:t xml:space="preserve">Shrimps (100.000000%)</x:t>
        </x:is>
      </x:c>
      <x:c r="F260" s="2" t="inlineStr">
        <x:is>
          <x:t xml:space="preserve">High</x:t>
        </x:is>
      </x:c>
      <x:c r="G260" s="2" t="inlineStr">
        <x:is>
          <x:t xml:space="preserve">Solenocera crassicornis is a non-Acetes shrimp lineage. Shrimps is broader than the Metapenaeopsis mortality examples; the explicit Acetes/Zooplankton exception is excluded. No split is required.</x:t>
        </x:is>
      </x:c>
      <x:c r="H260" s="1"/>
      <x:c r="I260" s="1"/>
      <x:c r="J260" s="1"/>
      <x:c r="K260" s="1"/>
    </x:row>
    <x:row r="261" ht="64" customHeight="1" hidden="1">
      <x:c r="A261" s="2" t="str">
        <x:v>Ambassidae</x:v>
      </x:c>
      <x:c r="B261" s="4" t="n">
        <x:v>3.3</x:v>
      </x:c>
      <x:c r="C261" s="5" t="n">
        <x:v>66.9081986927</x:v>
      </x:c>
      <x:c r="D261" s="5" t="n">
        <x:v>1483.3267490443814</x:v>
      </x:c>
      <x:c r="E261" s="2" t="inlineStr">
        <x:is>
          <x:t xml:space="preserve">Demesral fish (≤ 30 cm) (100.000000%)</x:t>
        </x:is>
      </x:c>
      <x:c r="F261" s="2" t="inlineStr">
        <x:is>
          <x:t xml:space="preserve">Medium</x:t>
        </x:is>
      </x:c>
      <x:c r="G261" s="2" t="inlineStr">
        <x:is>
          <x:t xml:space="preserve">The catch classifier and family ecology support a small reef/demersal interpretation after dedicated pools are excluded. No source reef compartment or complete regional family-by-size boundary was established; the ecological interpretation remains an assumption. No split is required.</x:t>
        </x:is>
      </x:c>
      <x:c r="H261" s="1"/>
      <x:c r="I261" s="1"/>
      <x:c r="J261" s="1"/>
      <x:c r="K261" s="1"/>
    </x:row>
    <x:row r="262" ht="64" customHeight="1" hidden="1">
      <x:c r="A262" s="2" t="str">
        <x:v>Stephanolepis cirrhifer</x:v>
      </x:c>
      <x:c r="B262" s="4" t="n">
        <x:v>2.84</x:v>
      </x:c>
      <x:c r="C262" s="5" t="n">
        <x:v>191.6428916267</x:v>
      </x:c>
      <x:c r="D262" s="5" t="n">
        <x:v>1473.1609753756927</x:v>
      </x:c>
      <x:c r="E262" s="2" t="inlineStr">
        <x:is>
          <x:t xml:space="preserve">Demesral fish (≤ 30 cm) (100.000000%)</x:t>
        </x:is>
      </x:c>
      <x:c r="F262" s="2" t="inlineStr">
        <x:is>
          <x:t xml:space="preserve">High</x:t>
        </x:is>
      </x:c>
      <x:c r="G262" s="2" t="inlineStr">
        <x:is>
          <x:t xml:space="preserve">FishBase classifies the species as demersal and gives maximum TL 30 cm, meeting the source inclusive small-demersal boundary. No dedicated taxonomic pool competes. Checked species record: 30 cm TL; Marine;  demersal; oceanodromous. No split is required.</x:t>
        </x:is>
      </x:c>
      <x:c r="H262" s="1"/>
      <x:c r="I262" s="1"/>
      <x:c r="J262" s="1"/>
      <x:c r="K262" s="1"/>
    </x:row>
    <x:row r="263" ht="64" customHeight="1">
      <x:c r="A263" s="2" t="str">
        <x:v>Amblygaster sirm</x:v>
      </x:c>
      <x:c r="B263" s="4" t="n">
        <x:v>3.2</x:v>
      </x:c>
      <x:c r="C263" s="5" t="n">
        <x:v>81.2127113972</x:v>
      </x:c>
      <x:c r="D263" s="5" t="n">
        <x:v>1430.1497048303488</x:v>
      </x:c>
      <x:c r="E263" s="2" t="inlineStr">
        <x:is>
          <x:t xml:space="preserve">Pelagic fish (≤ 30 cm) (100.000000%)</x:t>
        </x:is>
      </x:c>
      <x:c r="F263" s="2" t="inlineStr">
        <x:is>
          <x:t xml:space="preserve">Low</x:t>
        </x:is>
      </x:c>
      <x:c r="G263" s="2" t="inlineStr">
        <x:is>
          <x:t xml:space="preserve">Pelagic ecology is supported, but maximum 27 cm SL lies near the model 30 cm TL boundary. A verified conversion or same-metric maximum is needed before excluding the large-pelagic pair. Checked species record: 27 cm SL; Marine; brackish;  reef-associated;. No split is required.</x:t>
        </x:is>
      </x:c>
      <x:c r="H263" s="1"/>
      <x:c r="I263" s="1"/>
      <x:c r="J263" s="1"/>
      <x:c r="K263" s="1"/>
    </x:row>
    <x:row r="264" ht="80" customHeight="1">
      <x:c r="A264" s="2" t="str">
        <x:v>Ephippidae</x:v>
      </x:c>
      <x:c r="B264" s="4" t="n">
        <x:v>3.57</x:v>
      </x:c>
      <x:c r="C264" s="5" t="n">
        <x:v>33.5542948905</x:v>
      </x:c>
      <x:c r="D264" s="5" t="n">
        <x:v>1385.1780710373334</x:v>
      </x:c>
      <x:c r="E264" s="2" t="inlineStr">
        <x:is>
          <x:t xml:space="preserve">Juvenile demersal fish (&gt; 30 cm) (89.991470%); Adult demersal fish (&gt; 30 cm) (10.008530%)</x:t>
        </x:is>
      </x:c>
      <x:c r="F264" s="2" t="inlineStr">
        <x:is>
          <x:t xml:space="preserve">Low</x:t>
        </x:is>
      </x:c>
      <x:c r="G264" s="2" t="inlineStr">
        <x:is>
          <x:t xml:space="preserve">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x:t>
        </x:is>
      </x:c>
      <x:c r="H264" s="1"/>
      <x:c r="I264" s="1"/>
      <x:c r="J264" s="1"/>
      <x:c r="K264" s="1"/>
    </x:row>
    <x:row r="265" ht="80" customHeight="1" hidden="1">
      <x:c r="A265" s="2" t="str">
        <x:v>Hilsa kelee</x:v>
      </x:c>
      <x:c r="B265" s="4" t="n">
        <x:v>3.25</x:v>
      </x:c>
      <x:c r="C265" s="5" t="n">
        <x:v>69.2095534315</x:v>
      </x:c>
      <x:c r="D265" s="5" t="n">
        <x:v>1367.4880427247238</x:v>
      </x:c>
      <x:c r="E265" s="2" t="inlineStr">
        <x:is>
          <x:t xml:space="preserve">Juvenile large pelagic fish (89.993906%); Pelagic fish (&gt; 30 cm) (10.006094%)</x:t>
        </x:is>
      </x:c>
      <x:c r="F265" s="2" t="inlineStr">
        <x:is>
          <x:t xml:space="preserve">Medium</x:t>
        </x:is>
      </x:c>
      <x:c r="G265" s="2" t="inlineStr">
        <x:is>
          <x:t xml:space="preserve">The authoritative species record gives pelagic-neritic ecology and maximum 35 cm TL. The small-pelagic group 29 is contradicted; the complete large-pelagic pair is eligible independently of landed fish sizes. Source-model catch proportions supply an assumed fixed 1950–2019/all-bases mixture; they are not observed taxon-specific catches.</x:t>
        </x:is>
      </x:c>
      <x:c r="H265" s="1"/>
      <x:c r="I265" s="1"/>
      <x:c r="J265" s="1"/>
      <x:c r="K265" s="1"/>
    </x:row>
    <x:row r="266" ht="80" customHeight="1" hidden="1">
      <x:c r="A266" s="2" t="str">
        <x:v>Makaira</x:v>
      </x:c>
      <x:c r="B266" s="4" t="n">
        <x:v>4.47</x:v>
      </x:c>
      <x:c r="C266" s="5" t="n">
        <x:v>4.0722338833</x:v>
      </x:c>
      <x:c r="D266" s="5" t="n">
        <x:v>1335.3349121709375</x:v>
      </x:c>
      <x:c r="E266" s="2" t="inlineStr">
        <x:is>
          <x:t xml:space="preserve">Juvenile large pelagic fish (89.993906%); Pelagic fish (&gt; 30 cm) (10.006094%)</x:t>
        </x:is>
      </x:c>
      <x:c r="F266" s="2" t="inlineStr">
        <x:is>
          <x:t xml:space="preserve">Medium</x:t>
        </x:is>
      </x:c>
      <x:c r="G266" s="2" t="inlineStr">
        <x:is>
          <x:t xml:space="preserve">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x:t>
        </x:is>
      </x:c>
      <x:c r="H266" s="1"/>
      <x:c r="I266" s="1"/>
      <x:c r="J266" s="1"/>
      <x:c r="K266" s="1"/>
    </x:row>
    <x:row r="267" ht="80" customHeight="1">
      <x:c r="A267" s="2" t="str">
        <x:v>Acanthurus</x:v>
      </x:c>
      <x:c r="B267" s="4" t="n">
        <x:v>2.03</x:v>
      </x:c>
      <x:c r="C267" s="5" t="n">
        <x:v>1090.3289570771</x:v>
      </x:c>
      <x:c r="D267" s="5" t="n">
        <x:v>1298.1205850752199</x:v>
      </x:c>
      <x:c r="E267" s="2" t="inlineStr">
        <x:is>
          <x:t xml:space="preserve">Demesral fish (≤ 30 cm) (100.000000%)</x:t>
        </x:is>
      </x:c>
      <x:c r="F267" s="2" t="inlineStr">
        <x:is>
          <x:t xml:space="preserve">Low</x:t>
        </x:is>
      </x:c>
      <x:c r="G267" s="2" t="inlineStr">
        <x:is>
          <x:t xml:space="preserve">Acanthurus xanthopterus reaches 70 cm TL and occurs in the Indo-Pacific. The broad taxon includes regional large-bodied fish and does not itself establish maximum TL &lt;=30 cm. The small-demersal classifier is reporting context, but an exclusion of larger members was not independently documented. No split is required.</x:t>
        </x:is>
      </x:c>
      <x:c r="H267" s="1"/>
      <x:c r="I267" s="1"/>
      <x:c r="J267" s="1"/>
      <x:c r="K267" s="1"/>
    </x:row>
    <x:row r="268" ht="64" customHeight="1" hidden="1">
      <x:c r="A268" s="2" t="str">
        <x:v>Cypselurus</x:v>
      </x:c>
      <x:c r="B268" s="4" t="n">
        <x:v>3.4</x:v>
      </x:c>
      <x:c r="C268" s="5" t="n">
        <x:v>43.7729235698</x:v>
      </x:c>
      <x:c r="D268" s="5" t="n">
        <x:v>1221.6956975831833</x:v>
      </x:c>
      <x:c r="E268" s="2" t="inlineStr">
        <x:is>
          <x:t xml:space="preserve">Pelagic fish (≤ 30 cm) (100.000000%)</x:t>
        </x:is>
      </x:c>
      <x:c r="F268" s="2" t="inlineStr">
        <x:is>
          <x:t xml:space="preserve">Medium</x:t>
        </x:is>
      </x:c>
      <x:c r="G268" s="2" t="inlineStr">
        <x:is>
          <x:t xml:space="preserve">Inventory members include verified &lt;=30 cm TL species and near-boundary 24–26 cm SL records. The small-pelagic catch category supports placement but does not close every total-length predicate. C. poecilopterus cannot alone establish the whole genus. No split is required.</x:t>
        </x:is>
      </x:c>
      <x:c r="H268" s="1"/>
      <x:c r="I268" s="1"/>
      <x:c r="J268" s="1"/>
      <x:c r="K268" s="1"/>
    </x:row>
    <x:row r="269" ht="48" customHeight="1" hidden="1">
      <x:c r="A269" s="2" t="str">
        <x:v>Cephea</x:v>
      </x:c>
      <x:c r="B269" s="4" t="n">
        <x:v>3.46</x:v>
      </x:c>
      <x:c r="C269" s="5" t="n">
        <x:v>37.3734653671</x:v>
      </x:c>
      <x:c r="D269" s="5" t="n">
        <x:v>1197.6250166636398</x:v>
      </x:c>
      <x:c r="E269" s="2" t="inlineStr">
        <x:is>
          <x:t xml:space="preserve">Jellyfish (100.000000%)</x:t>
        </x:is>
      </x:c>
      <x:c r="F269" s="2" t="inlineStr">
        <x:is>
          <x:t xml:space="preserve">High</x:t>
        </x:is>
      </x:c>
      <x:c r="G269" s="2" t="inlineStr">
        <x:is>
          <x:t xml:space="preserve">Cephea is a scyphozoan jellyfish lineage fitting the source Cnidaria-medusae and landed-jellyfish concept, rather than all Cnidaria. No split is required.</x:t>
        </x:is>
      </x:c>
      <x:c r="H269" s="1"/>
      <x:c r="I269" s="1"/>
      <x:c r="J269" s="1"/>
      <x:c r="K269" s="1"/>
    </x:row>
    <x:row r="270" ht="96" customHeight="1" hidden="1">
      <x:c r="A270" s="2" t="str">
        <x:v>Siganus canaliculatus</x:v>
      </x:c>
      <x:c r="B270" s="4" t="n">
        <x:v>2.76</x:v>
      </x:c>
      <x:c r="C270" s="5" t="n">
        <x:v>184.6434858169</x:v>
      </x:c>
      <x:c r="D270" s="5" t="n">
        <x:v>1180.5692878687905</x:v>
      </x:c>
      <x:c r="E270" s="2" t="inlineStr">
        <x:is>
          <x:t xml:space="preserve">Juvenile demersal fish (&gt; 30 cm) (89.991470%); Adult demersal fish (&gt; 30 cm) (10.008530%)</x:t>
        </x:is>
      </x:c>
      <x:c r="F270" s="2" t="inlineStr">
        <x:is>
          <x:t xml:space="preserve">Medium</x:t>
        </x:is>
      </x:c>
      <x:c r="G270" s="2" t="inlineStr">
        <x:is>
          <x:t xml:space="preserve">Maximum 40 cm TL contradicts small group 24. Coastal seagrass/algal and substrate-associated biology supports an assumed large-demersal interpretation of the reef-associated species; group eligibility is an ecological extension, not a direct source enumeration. Source-model catch proportions supply an assumed fixed 1950–2019/all-bases mixture; they are not observed taxon-specific catches.</x:t>
        </x:is>
      </x:c>
      <x:c r="H270" s="1"/>
      <x:c r="I270" s="1"/>
      <x:c r="J270" s="1"/>
      <x:c r="K270" s="1"/>
    </x:row>
    <x:row r="271" ht="112" customHeight="1" hidden="1">
      <x:c r="A271" s="2" t="str">
        <x:v>Hyporhamphus sajori</x:v>
      </x:c>
      <x:c r="B271" s="4" t="n">
        <x:v>3.4</x:v>
      </x:c>
      <x:c r="C271" s="5" t="n">
        <x:v>39.9936485108</x:v>
      </x:c>
      <x:c r="D271" s="5" t="n">
        <x:v>1116.2167004537982</x:v>
      </x:c>
      <x:c r="E271" s="2" t="inlineStr">
        <x:is>
          <x:t xml:space="preserve">Juvenile large pelagic fish (89.993906%); Pelagic fish (&gt; 30 cm) (10.006094%)</x:t>
        </x:is>
      </x:c>
      <x:c r="F271" s="2" t="inlineStr">
        <x:is>
          <x:t xml:space="preserve">Medium</x:t>
        </x:is>
      </x:c>
      <x:c r="G271"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x:t>
        </x:is>
      </x:c>
      <x:c r="H271" s="1"/>
      <x:c r="I271" s="1"/>
      <x:c r="J271" s="1"/>
      <x:c r="K271" s="1"/>
    </x:row>
    <x:row r="272" ht="80" customHeight="1" hidden="1">
      <x:c r="A272" s="2" t="str">
        <x:v>Sardinella zunasi</x:v>
      </x:c>
      <x:c r="B272" s="4" t="n">
        <x:v>3.12</x:v>
      </x:c>
      <x:c r="C272" s="5" t="n">
        <x:v>73.2393589178</x:v>
      </x:c>
      <x:c r="D272" s="5" t="n">
        <x:v>1072.7586491215682</x:v>
      </x:c>
      <x:c r="E272" s="2" t="inlineStr">
        <x:is>
          <x:t xml:space="preserve">Pelagic fish (≤ 30 cm) (100.000000%)</x:t>
        </x:is>
      </x:c>
      <x:c r="F272" s="2" t="inlineStr">
        <x:is>
          <x:t xml:space="preserve">High</x:t>
        </x:is>
      </x:c>
      <x:c r="G272" s="2" t="inlineStr">
        <x:is>
          <x:t xml:space="preserve">Species evidence establishes pelagic habitat and maximum TL &lt;=30 cm. The source defines the small-pelagic pool by these criteria; its named examples are not a closed species list. No dedicated group competes. Checked species record: 18 cm TL; Marine;  pelagic-neritic; oceanodromous. No split is required.</x:t>
        </x:is>
      </x:c>
      <x:c r="H272" s="1"/>
      <x:c r="I272" s="1"/>
      <x:c r="J272" s="1"/>
      <x:c r="K272" s="1"/>
    </x:row>
    <x:row r="273" ht="80" customHeight="1" hidden="1">
      <x:c r="A273" s="2" t="str">
        <x:v>Pellona ditchela</x:v>
      </x:c>
      <x:c r="B273" s="4" t="n">
        <x:v>3.37</x:v>
      </x:c>
      <x:c r="C273" s="5" t="n">
        <x:v>38.6001858674</x:v>
      </x:c>
      <x:c r="D273" s="5" t="n">
        <x:v>1005.4185331895993</x:v>
      </x:c>
      <x:c r="E273" s="2" t="inlineStr">
        <x:is>
          <x:t xml:space="preserve">Pelagic fish (≤ 30 cm) (100.000000%)</x:t>
        </x:is>
      </x:c>
      <x:c r="F273" s="2" t="inlineStr">
        <x:is>
          <x:t xml:space="preserve">Medium</x:t>
        </x:is>
      </x:c>
      <x:c r="G273" s="2" t="inlineStr">
        <x:is>
          <x:t xml:space="preserve">Coastal-pelagic ecology and small size support the current pool. Retrieved maximum length is SL, not TL; no independent total-length bound/conversion was recovered, so the model TL criterion remains a supported inference. Checked species record: 16 cm SL; Marine; freshwater; brackish;  pelagic-neritic; anadromous. No split is required.</x:t>
        </x:is>
      </x:c>
      <x:c r="H273" s="1"/>
      <x:c r="I273" s="1"/>
      <x:c r="J273" s="1"/>
      <x:c r="K273" s="1"/>
    </x:row>
    <x:row r="274" ht="48" customHeight="1" hidden="1">
      <x:c r="A274" s="2" t="str">
        <x:v>Apostichopus japonicus</x:v>
      </x:c>
      <x:c r="B274" s="4" t="n">
        <x:v>2.3</x:v>
      </x:c>
      <x:c r="C274" s="5" t="n">
        <x:v>445.9938622275999</x:v>
      </x:c>
      <x:c r="D274" s="5" t="n">
        <x:v>988.749717789058</x:v>
      </x:c>
      <x:c r="E274" s="2" t="inlineStr">
        <x:is>
          <x:t xml:space="preserve">Echinoderms (100.000000%)</x:t>
        </x:is>
      </x:c>
      <x:c r="F274" s="2" t="inlineStr">
        <x:is>
          <x:t xml:space="preserve">High</x:t>
        </x:is>
      </x:c>
      <x:c r="G274" s="2" t="inlineStr">
        <x:is>
          <x:t xml:space="preserve">Apostichopus japonicus is within Echinodermata, represented by one source compartment without competing size/stage pools. No split is required.</x:t>
        </x:is>
      </x:c>
      <x:c r="H274" s="1"/>
      <x:c r="I274" s="1"/>
      <x:c r="J274" s="1"/>
      <x:c r="K274" s="1"/>
    </x:row>
    <x:row r="275" ht="80" customHeight="1" hidden="1">
      <x:c r="A275" s="2" t="str">
        <x:v>Pomadasys argenteus</x:v>
      </x:c>
      <x:c r="B275" s="4" t="n">
        <x:v>3.47</x:v>
      </x:c>
      <x:c r="C275" s="5" t="n">
        <x:v>24.564224811</x:v>
      </x:c>
      <x:c r="D275" s="5" t="n">
        <x:v>805.4907434236732</x:v>
      </x:c>
      <x:c r="E275" s="2" t="inlineStr">
        <x:is>
          <x:t xml:space="preserve">Juvenile demersal fish (&gt; 30 cm) (89.991470%); Adult demersal fish (&gt; 30 cm) (10.008530%)</x:t>
        </x:is>
      </x:c>
      <x:c r="F275" s="2" t="inlineStr">
        <x:is>
          <x:t xml:space="preserve">Medium</x:t>
        </x:is>
      </x:c>
      <x:c r="G275" s="2" t="inlineStr">
        <x:is>
          <x:t xml:space="preserve">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x:t>
        </x:is>
      </x:c>
      <x:c r="H275" s="1"/>
      <x:c r="I275" s="1"/>
      <x:c r="J275" s="1"/>
      <x:c r="K275" s="1"/>
    </x:row>
    <x:row r="276" ht="64" customHeight="1" hidden="1">
      <x:c r="A276" s="2" t="str">
        <x:v>Panulirus polyphagus</x:v>
      </x:c>
      <x:c r="B276" s="4" t="n">
        <x:v>2.94</x:v>
      </x:c>
      <x:c r="C276" s="5" t="n">
        <x:v>76.19425859299999</x:v>
      </x:c>
      <x:c r="D276" s="5" t="n">
        <x:v>737.3602777577912</x:v>
      </x:c>
      <x:c r="E276" s="2" t="inlineStr">
        <x:is>
          <x:t xml:space="preserve">Benthic crustaceans (100.000000%)</x:t>
        </x:is>
      </x:c>
      <x:c r="F276" s="2" t="inlineStr">
        <x:is>
          <x:t xml:space="preserve">High</x:t>
        </x:is>
      </x:c>
      <x:c r="G276" s="2" t="inlineStr">
        <x:is>
          <x:t xml:space="preserve">Panulirus polyphagus is a benthic lobster lineage in the residual crustacean pool after shrimp/crab exclusions. Oratosquilla is a parameter example, not the complete membership. No split is required.</x:t>
        </x:is>
      </x:c>
      <x:c r="H276" s="1"/>
      <x:c r="I276" s="1"/>
      <x:c r="J276" s="1"/>
      <x:c r="K276" s="1"/>
    </x:row>
    <x:row r="277" ht="57.0" customHeight="1" hidden="1">
      <x:c r="A277" s="2" t="str">
        <x:v>Penaeus penicillatus</x:v>
      </x:c>
      <x:c r="B277" s="4" t="n">
        <x:v>2.7</x:v>
      </x:c>
      <x:c r="C277" s="5" t="n">
        <x:v>126.8638323037</x:v>
      </x:c>
      <x:c r="D277" s="5" t="n">
        <x:v>706.472590662729</x:v>
      </x:c>
      <x:c r="E277" s="2" t="inlineStr">
        <x:is>
          <x:t xml:space="preserve">Shrimps (100.000000%)</x:t>
        </x:is>
      </x:c>
      <x:c r="F277" s="2" t="inlineStr">
        <x:is>
          <x:t xml:space="preserve">High</x:t>
        </x:is>
      </x:c>
      <x:c r="G277" s="2" t="inlineStr">
        <x:is>
          <x:t xml:space="preserve">Penaeus penicillatus is a non-Acetes shrimp lineage. Shrimps is broader than the Metapenaeopsis mortality examples; the explicit Acetes/Zooplankton exception is excluded. No split is required.</x:t>
        </x:is>
      </x:c>
      <x:c r="H277" s="1"/>
      <x:c r="I277" s="1"/>
      <x:c r="J277" s="1"/>
      <x:c r="K277" s="1"/>
    </x:row>
    <x:row r="278" ht="80" customHeight="1" hidden="1">
      <x:c r="A278" s="2" t="str">
        <x:v>Sardinella albella</x:v>
      </x:c>
      <x:c r="B278" s="4" t="n">
        <x:v>2.68</x:v>
      </x:c>
      <x:c r="C278" s="5" t="n">
        <x:v>130.2866014486</x:v>
      </x:c>
      <x:c r="D278" s="5" t="n">
        <x:v>692.8787564416248</x:v>
      </x:c>
      <x:c r="E278" s="2" t="inlineStr">
        <x:is>
          <x:t xml:space="preserve">Pelagic fish (≤ 30 cm) (100.000000%)</x:t>
        </x:is>
      </x:c>
      <x:c r="F278" s="2" t="inlineStr">
        <x:is>
          <x:t xml:space="preserve">High</x:t>
        </x:is>
      </x:c>
      <x:c r="G278" s="2" t="inlineStr">
        <x:is>
          <x:t xml:space="preserve">Species evidence establishes pelagic habitat and maximum TL &lt;=30 cm. The source defines the small-pelagic pool by these criteria; its named examples are not a closed species list. No dedicated group competes. Checked species record: 15 cm TL; Marine; brackish;  pelagic-neritic;. No split is required.</x:t>
        </x:is>
      </x:c>
      <x:c r="H278" s="1"/>
      <x:c r="I278" s="1"/>
      <x:c r="J278" s="1"/>
      <x:c r="K278" s="1"/>
    </x:row>
    <x:row r="279" ht="96" customHeight="1" hidden="1">
      <x:c r="A279" s="2" t="str">
        <x:v>Plotosidae</x:v>
      </x:c>
      <x:c r="B279" s="4" t="n">
        <x:v>3.49</x:v>
      </x:c>
      <x:c r="C279" s="5" t="n">
        <x:v>19.9022955015</x:v>
      </x:c>
      <x:c r="D279" s="5" t="n">
        <x:v>683.377476498014</x:v>
      </x:c>
      <x:c r="E279" s="2" t="inlineStr">
        <x:is>
          <x:t xml:space="preserve">Demesral fish (≤ 30 cm) (33.704053%); Juvenile demersal fish (&gt; 30 cm) (59.660697%); Adult demersal fish (&gt; 30 cm) (6.635250%)</x:t>
        </x:is>
      </x:c>
      <x:c r="F279" s="2" t="inlineStr">
        <x:is>
          <x:t xml:space="preserve">Medium</x:t>
        </x:is>
      </x:c>
      <x:c r="G279" s="2" t="inlineStr">
        <x:is>
          <x:t xml:space="preserve">Marine Western Pacific Plotosus components range from P. nhatrangensis (24.3 cm TL) to P. lineatus/P. canius (&gt;30 cm TL). Their small/large demersal set is assumed representative of marine family catch; freshwater global family members are not automatically included. Source-model catch proportions supply an assumed fixed 1950–2019/all-bases mixture; they are not observed taxon-specific catches.</x:t>
        </x:is>
      </x:c>
      <x:c r="H279" s="1"/>
      <x:c r="I279" s="1"/>
      <x:c r="J279" s="1"/>
      <x:c r="K279" s="1"/>
    </x:row>
    <x:row r="280" ht="64" customHeight="1" hidden="1">
      <x:c r="A280" s="2" t="str">
        <x:v>Chaetodontidae</x:v>
      </x:c>
      <x:c r="B280" s="4" t="n">
        <x:v>3.24</x:v>
      </x:c>
      <x:c r="C280" s="5" t="n">
        <x:v>30.9373729071</x:v>
      </x:c>
      <x:c r="D280" s="5" t="n">
        <x:v>597.366580858743</x:v>
      </x:c>
      <x:c r="E280" s="2" t="inlineStr">
        <x:is>
          <x:t xml:space="preserve">Demesral fish (≤ 30 cm) (100.000000%)</x:t>
        </x:is>
      </x:c>
      <x:c r="F280" s="2" t="inlineStr">
        <x:is>
          <x:t xml:space="preserve">Medium</x:t>
        </x:is>
      </x:c>
      <x:c r="G280" s="2" t="inlineStr">
        <x:is>
          <x:t xml:space="preserve">The catch classifier and family ecology support a small reef/demersal interpretation after dedicated pools are excluded. No source reef compartment or complete regional family-by-size boundary was established; the ecological interpretation remains an assumption. No split is required.</x:t>
        </x:is>
      </x:c>
      <x:c r="H280" s="1"/>
      <x:c r="I280" s="1"/>
      <x:c r="J280" s="1"/>
      <x:c r="K280" s="1"/>
    </x:row>
    <x:row r="281" ht="80" customHeight="1" hidden="1">
      <x:c r="A281" s="2" t="str">
        <x:v>Labridae</x:v>
      </x:c>
      <x:c r="B281" s="4" t="n">
        <x:v>3.46</x:v>
      </x:c>
      <x:c r="C281" s="5" t="n">
        <x:v>17.7866468793</x:v>
      </x:c>
      <x:c r="D281" s="5" t="n">
        <x:v>569.9694437209971</x:v>
      </x:c>
      <x:c r="E281" s="2" t="inlineStr">
        <x:is>
          <x:t xml:space="preserve">Demesral fish (≤ 30 cm) (33.704053%); Juvenile demersal fish (&gt; 30 cm) (59.660697%); Adult demersal fish (&gt; 30 cm) (6.635250%)</x:t>
        </x:is>
      </x:c>
      <x:c r="F281" s="2" t="inlineStr">
        <x:is>
          <x:t xml:space="preserve">Medium</x:t>
        </x:is>
      </x:c>
      <x:c r="G281" s="2" t="inlineStr">
        <x:is>
          <x:t xml:space="preserve">Regional bottom-foraging Halichoeres trimaculatus (27 cm TL) complements larger wrasses. Both demersal species-size classes are retained; the catch reporting concept is not silently expanded to every member of a modern broader family classification. Source-model catch proportions supply an assumed fixed 1950–2019/all-bases mixture; they are not observed taxon-specific catches.</x:t>
        </x:is>
      </x:c>
      <x:c r="H281" s="1"/>
      <x:c r="I281" s="1"/>
      <x:c r="J281" s="1"/>
      <x:c r="K281" s="1"/>
    </x:row>
    <x:row r="282" ht="96" customHeight="1" hidden="1">
      <x:c r="A282" s="2" t="str">
        <x:v>Drepane punctata</x:v>
      </x:c>
      <x:c r="B282" s="4" t="n">
        <x:v>3.32</x:v>
      </x:c>
      <x:c r="C282" s="5" t="n">
        <x:v>24.4966207517</x:v>
      </x:c>
      <x:c r="D282" s="5" t="n">
        <x:v>568.6743883947286</x:v>
      </x:c>
      <x:c r="E282" s="2" t="inlineStr">
        <x:is>
          <x:t xml:space="preserve">Juvenile demersal fish (&gt; 30 cm) (89.991470%); Adult demersal fish (&gt; 30 cm) (10.008530%)</x:t>
        </x:is>
      </x:c>
      <x:c r="F282" s="2" t="inlineStr">
        <x:is>
          <x:t xml:space="preserve">Medium</x:t>
        </x:is>
      </x:c>
      <x:c r="G282" s="2" t="inlineStr">
        <x:is>
          <x:t xml:space="preserve">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x:t>
        </x:is>
      </x:c>
      <x:c r="H282" s="1"/>
      <x:c r="I282" s="1"/>
      <x:c r="J282" s="1"/>
      <x:c r="K282" s="1"/>
    </x:row>
    <x:row r="283" ht="80" customHeight="1" hidden="1">
      <x:c r="A283" s="2" t="str">
        <x:v>Batoidea</x:v>
      </x:c>
      <x:c r="B283" s="4" t="n">
        <x:v>3.72</x:v>
      </x:c>
      <x:c r="C283" s="5" t="n">
        <x:v>8.2236930981</x:v>
      </x:c>
      <x:c r="D283" s="5" t="n">
        <x:v>479.5394987430497</x:v>
      </x:c>
      <x:c r="E283" s="2" t="inlineStr">
        <x:is>
          <x:t xml:space="preserve">Demersal sharks and rays (58.823529%); Pelagic sharks and rays (41.176471%)</x:t>
        </x:is>
      </x:c>
      <x:c r="F283" s="2" t="inlineStr">
        <x:is>
          <x:t xml:space="preserve">Medium</x:t>
        </x:is>
      </x:c>
      <x:c r="G283"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H283" s="1"/>
      <x:c r="I283" s="1"/>
      <x:c r="J283" s="1"/>
      <x:c r="K283" s="1"/>
    </x:row>
    <x:row r="284" ht="64" customHeight="1" hidden="1">
      <x:c r="A284" s="2" t="str">
        <x:v>Pteriomorphia</x:v>
      </x:c>
      <x:c r="B284" s="4" t="n">
        <x:v>2.27</x:v>
      </x:c>
      <x:c r="C284" s="5" t="n">
        <x:v>224.326600921</x:v>
      </x:c>
      <x:c r="D284" s="5" t="n">
        <x:v>464.1285310958875</x:v>
      </x:c>
      <x:c r="E284" s="2" t="inlineStr">
        <x:is>
          <x:t xml:space="preserve">Non-ceph molluscs (100.000000%)</x:t>
        </x:is>
      </x:c>
      <x:c r="F284" s="2" t="inlineStr">
        <x:is>
          <x:t xml:space="preserve">High</x:t>
        </x:is>
      </x:c>
      <x:c r="G284" s="2" t="inlineStr">
        <x:is>
          <x:t xml:space="preserve">Pteriomorphia is a non-cephalopod mollusc. The source derives this catch by removing Cephalopoda from mollusc catch; no competing mollusc compartment contains this lineage. No split is required.</x:t>
        </x:is>
      </x:c>
      <x:c r="H284" s="1"/>
      <x:c r="I284" s="1"/>
      <x:c r="J284" s="1"/>
      <x:c r="K284" s="1"/>
    </x:row>
    <x:row r="285" ht="57.0" customHeight="1" hidden="1">
      <x:c r="A285" s="2" t="str">
        <x:v>Macolor</x:v>
      </x:c>
      <x:c r="B285" s="4" t="n">
        <x:v>3.99</x:v>
      </x:c>
      <x:c r="C285" s="5" t="n">
        <x:v>4.0339936916</x:v>
      </x:c>
      <x:c r="D285" s="5" t="n">
        <x:v>438.01875383693977</x:v>
      </x:c>
      <x:c r="E285" s="2" t="inlineStr">
        <x:is>
          <x:t xml:space="preserve">Snappers (100.000000%)</x:t>
        </x:is>
      </x:c>
      <x:c r="F285" s="2" t="inlineStr">
        <x:is>
          <x:t xml:space="preserve">High</x:t>
        </x:is>
      </x:c>
      <x:c r="G285" s="2" t="inlineStr">
        <x:is>
          <x:t xml:space="preserve">Macolor is within Lutjanidae, expressly used as the source group boundary. Parameter species are examples, not a closed list; residual size/habitat pools do not compete. No split is required.</x:t>
        </x:is>
      </x:c>
      <x:c r="H285" s="1"/>
      <x:c r="I285" s="1"/>
      <x:c r="J285" s="1"/>
      <x:c r="K285" s="1"/>
    </x:row>
    <x:row r="286" ht="80" customHeight="1" hidden="1">
      <x:c r="A286" s="2" t="str">
        <x:v>Scarus</x:v>
      </x:c>
      <x:c r="B286" s="4" t="n">
        <x:v>2</x:v>
      </x:c>
      <x:c r="C286" s="5" t="n">
        <x:v>298.5620454713</x:v>
      </x:c>
      <x:c r="D286" s="5" t="n">
        <x:v>331.73560607922224</x:v>
      </x:c>
      <x:c r="E286" s="2" t="inlineStr">
        <x:is>
          <x:t xml:space="preserve">Demesral fish (≤ 30 cm) (33.704053%); Juvenile demersal fish (&gt; 30 cm) (59.660697%); Adult demersal fish (&gt; 30 cm) (6.635250%)</x:t>
        </x:is>
      </x:c>
      <x:c r="F286" s="2" t="inlineStr">
        <x:is>
          <x:t xml:space="preserve">Medium</x:t>
        </x:is>
      </x:c>
      <x:c r="G286" s="2" t="inlineStr">
        <x:is>
          <x:t xml:space="preserve">Regional benthic-grazing Scarus fuscocaudalis (25 cm TL) and larger Scarus support both demersal species-size classes. Genus catch composition remains a representative-based inference. Source-model catch proportions supply an assumed fixed 1950–2019/all-bases mixture; they are not observed taxon-specific catches.</x:t>
        </x:is>
      </x:c>
      <x:c r="H286" s="1"/>
      <x:c r="I286" s="1"/>
      <x:c r="J286" s="1"/>
      <x:c r="K286" s="1"/>
    </x:row>
    <x:row r="287" ht="80" customHeight="1" hidden="1">
      <x:c r="A287" s="2" t="str">
        <x:v>Nibea albiflora</x:v>
      </x:c>
      <x:c r="B287" s="4" t="n">
        <x:v>3.5</x:v>
      </x:c>
      <x:c r="C287" s="5" t="n">
        <x:v>8.4658808641</x:v>
      </x:c>
      <x:c r="D287" s="5" t="n">
        <x:v>297.4607325576713</x:v>
      </x:c>
      <x:c r="E287" s="2" t="inlineStr">
        <x:is>
          <x:t xml:space="preserve">Juvenile large croakers (89.873418%); Croakers (&gt; 30 cm) (10.126582%)</x:t>
        </x:is>
      </x:c>
      <x:c r="F287" s="2" t="inlineStr">
        <x:is>
          <x:t xml:space="preserve">Medium</x:t>
        </x:is>
      </x:c>
      <x:c r="G287" s="2" t="inlineStr">
        <x:is>
          <x:t xml:space="preserve">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x:t>
        </x:is>
      </x:c>
      <x:c r="H287" s="1"/>
      <x:c r="I287" s="1"/>
      <x:c r="J287" s="1"/>
      <x:c r="K287" s="1"/>
    </x:row>
    <x:row r="288" ht="80" customHeight="1">
      <x:c r="A288" s="2" t="str">
        <x:v>Hyporhamphus</x:v>
      </x:c>
      <x:c r="B288" s="4" t="n">
        <x:v>3.3</x:v>
      </x:c>
      <x:c r="C288" s="5" t="n">
        <x:v>13.325941559</x:v>
      </x:c>
      <x:c r="D288" s="5" t="n">
        <x:v>295.4305444905592</x:v>
      </x:c>
      <x:c r="E288" s="2" t="inlineStr">
        <x:is>
          <x:t xml:space="preserve">Juvenile large pelagic fish (89.993906%); Pelagic fish (&gt; 30 cm) (10.006094%)</x:t>
        </x:is>
      </x:c>
      <x:c r="F288" s="2" t="inlineStr">
        <x:is>
          <x:t xml:space="preserve">Low</x:t>
        </x:is>
      </x:c>
      <x:c r="G288" s="2" t="inlineStr">
        <x:is>
          <x:t xml:space="preserve">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x:t>
        </x:is>
      </x:c>
      <x:c r="H288" s="1"/>
      <x:c r="I288" s="1"/>
      <x:c r="J288" s="1"/>
      <x:c r="K288" s="1"/>
    </x:row>
    <x:row r="289" ht="80" customHeight="1" hidden="1">
      <x:c r="A289" s="2" t="str">
        <x:v>Scaridae</x:v>
      </x:c>
      <x:c r="B289" s="4" t="n">
        <x:v>2</x:v>
      </x:c>
      <x:c r="C289" s="5" t="n">
        <x:v>256.1387966234</x:v>
      </x:c>
      <x:c r="D289" s="5" t="n">
        <x:v>284.59866291488896</x:v>
      </x:c>
      <x:c r="E289" s="2" t="inlineStr">
        <x:is>
          <x:t xml:space="preserve">Demesral fish (≤ 30 cm) (33.704053%); Juvenile demersal fish (&gt; 30 cm) (59.660697%); Adult demersal fish (&gt; 30 cm) (6.635250%)</x:t>
        </x:is>
      </x:c>
      <x:c r="F289" s="2" t="inlineStr">
        <x:is>
          <x:t xml:space="preserve">Medium</x:t>
        </x:is>
      </x:c>
      <x:c r="G289" s="2" t="inlineStr">
        <x:is>
          <x:t xml:space="preserve">Regional Scarus fuscocaudalis (25 cm TL) and larger bottom-associated parrotfishes span both species-size classes. The source-era parrotfish reporting concept is retained despite modern family nomenclature. Source-model catch proportions supply an assumed fixed 1950–2019/all-bases mixture; they are not observed taxon-specific catches.</x:t>
        </x:is>
      </x:c>
      <x:c r="H289" s="1"/>
      <x:c r="I289" s="1"/>
      <x:c r="J289" s="1"/>
      <x:c r="K289" s="1"/>
    </x:row>
    <x:row r="290" ht="80" customHeight="1" hidden="1">
      <x:c r="A290" s="2" t="str">
        <x:v>Carcharhinus longimanus</x:v>
      </x:c>
      <x:c r="B290" s="4" t="n">
        <x:v>4.16</x:v>
      </x:c>
      <x:c r="C290" s="5" t="n">
        <x:v>1.7075742361</x:v>
      </x:c>
      <x:c r="D290" s="5" t="n">
        <x:v>274.2439680400041</x:v>
      </x:c>
      <x:c r="E290" s="2" t="inlineStr">
        <x:is>
          <x:t xml:space="preserve">Pelagic sharks and rays (100.000000%)</x:t>
        </x:is>
      </x:c>
      <x:c r="F290" s="2" t="inlineStr">
        <x:is>
          <x:t xml:space="preserve">High</x:t>
        </x:is>
      </x:c>
      <x:c r="G290"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400 cm TL; Marine;  pelagic-oceanic; oceanodromous. No split is required.</x:t>
        </x:is>
      </x:c>
      <x:c r="H290" s="1"/>
      <x:c r="I290" s="1"/>
      <x:c r="J290" s="1"/>
      <x:c r="K290" s="1"/>
    </x:row>
    <x:row r="291" ht="48" customHeight="1" hidden="1">
      <x:c r="A291" s="2" t="str">
        <x:v>Panulirus</x:v>
      </x:c>
      <x:c r="B291" s="4" t="n">
        <x:v>2.6</x:v>
      </x:c>
      <x:c r="C291" s="5" t="n">
        <x:v>54.9079295362</x:v>
      </x:c>
      <x:c r="D291" s="5" t="n">
        <x:v>242.88044965119317</x:v>
      </x:c>
      <x:c r="E291" s="2" t="inlineStr">
        <x:is>
          <x:t xml:space="preserve">Benthic crustaceans (100.000000%)</x:t>
        </x:is>
      </x:c>
      <x:c r="F291" s="2" t="inlineStr">
        <x:is>
          <x:t xml:space="preserve">High</x:t>
        </x:is>
      </x:c>
      <x:c r="G291" s="2" t="inlineStr">
        <x:is>
          <x:t xml:space="preserve">Panulirus is a benthic lobster lineage in the residual crustacean pool after shrimp/crab exclusions. Oratosquilla is a parameter example, not the complete membership. No split is required.</x:t>
        </x:is>
      </x:c>
      <x:c r="H291" s="1"/>
      <x:c r="I291" s="1"/>
      <x:c r="J291" s="1"/>
      <x:c r="K291" s="1"/>
    </x:row>
    <x:row r="292" ht="80" customHeight="1" hidden="1">
      <x:c r="A292" s="2" t="str">
        <x:v>Lampris guttatus</x:v>
      </x:c>
      <x:c r="B292" s="4" t="n">
        <x:v>4.22</x:v>
      </x:c>
      <x:c r="C292" s="5" t="n">
        <x:v>1.1288504099</x:v>
      </x:c>
      <x:c r="D292" s="5" t="n">
        <x:v>208.15837341395147</x:v>
      </x:c>
      <x:c r="E292" s="2" t="inlineStr">
        <x:is>
          <x:t xml:space="preserve">Juvenile large pelagic fish (89.993906%); Pelagic fish (&gt; 30 cm) (10.006094%)</x:t>
        </x:is>
      </x:c>
      <x:c r="F292" s="2" t="inlineStr">
        <x:is>
          <x:t xml:space="preserve">Very low</x:t>
        </x:is>
      </x:c>
      <x:c r="G292" s="2" t="inlineStr">
        <x:is>
          <x:t xml:space="preserve">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x:t>
        </x:is>
      </x:c>
      <x:c r="H292" s="1"/>
      <x:c r="I292" s="1"/>
      <x:c r="J292" s="1"/>
      <x:c r="K292" s="1"/>
    </x:row>
    <x:row r="293" ht="64" customHeight="1" hidden="1">
      <x:c r="A293" s="2" t="str">
        <x:v>Perna viridis</x:v>
      </x:c>
      <x:c r="B293" s="4" t="n">
        <x:v>2</x:v>
      </x:c>
      <x:c r="C293" s="5" t="n">
        <x:v>176.9553851658</x:v>
      </x:c>
      <x:c r="D293" s="5" t="n">
        <x:v>196.61709462866668</x:v>
      </x:c>
      <x:c r="E293" s="2" t="inlineStr">
        <x:is>
          <x:t xml:space="preserve">Non-ceph molluscs (100.000000%)</x:t>
        </x:is>
      </x:c>
      <x:c r="F293" s="2" t="inlineStr">
        <x:is>
          <x:t xml:space="preserve">High</x:t>
        </x:is>
      </x:c>
      <x:c r="G293" s="2" t="inlineStr">
        <x:is>
          <x:t xml:space="preserve">Perna viridis is a non-cephalopod mollusc. The source derives this catch by removing Cephalopoda from mollusc catch; no competing mollusc compartment contains this lineage. No split is required.</x:t>
        </x:is>
      </x:c>
      <x:c r="H293" s="1"/>
      <x:c r="I293" s="1"/>
      <x:c r="J293" s="1"/>
      <x:c r="K293" s="1"/>
    </x:row>
    <x:row r="294" ht="64" customHeight="1" hidden="1">
      <x:c r="A294" s="2" t="str">
        <x:v>Ruditapes philippinarum</x:v>
      </x:c>
      <x:c r="B294" s="4" t="n">
        <x:v>2</x:v>
      </x:c>
      <x:c r="C294" s="5" t="n">
        <x:v>162.2976949297</x:v>
      </x:c>
      <x:c r="D294" s="5" t="n">
        <x:v>180.3307721441111</x:v>
      </x:c>
      <x:c r="E294" s="2" t="inlineStr">
        <x:is>
          <x:t xml:space="preserve">Non-ceph molluscs (100.000000%)</x:t>
        </x:is>
      </x:c>
      <x:c r="F294" s="2" t="inlineStr">
        <x:is>
          <x:t xml:space="preserve">High</x:t>
        </x:is>
      </x:c>
      <x:c r="G294" s="2" t="inlineStr">
        <x:is>
          <x:t xml:space="preserve">Ruditapes philippinarum is a non-cephalopod mollusc. The source derives this catch by removing Cephalopoda from mollusc catch; no competing mollusc compartment contains this lineage. No split is required.</x:t>
        </x:is>
      </x:c>
      <x:c r="H294" s="1"/>
      <x:c r="I294" s="1"/>
      <x:c r="J294" s="1"/>
      <x:c r="K294" s="1"/>
    </x:row>
    <x:row r="295" ht="80" customHeight="1">
      <x:c r="A295" s="2" t="str">
        <x:v>Aluterus</x:v>
      </x:c>
      <x:c r="B295" s="4" t="n">
        <x:v>2.81</x:v>
      </x:c>
      <x:c r="C295" s="5" t="n">
        <x:v>24.1529479837</x:v>
      </x:c>
      <x:c r="D295" s="5" t="n">
        <x:v>173.27170010366623</x:v>
      </x:c>
      <x:c r="E295" s="2" t="inlineStr">
        <x:is>
          <x:t xml:space="preserve">Juvenile demersal fish (&gt; 30 cm) (89.991470%); Adult demersal fish (&gt; 30 cm) (10.008530%)</x:t>
        </x:is>
      </x:c>
      <x:c r="F295" s="2" t="inlineStr">
        <x:is>
          <x:t xml:space="preserve">Low</x:t>
        </x:is>
      </x:c>
      <x:c r="G295" s="2" t="inlineStr">
        <x:is>
          <x:t xml:space="preserve">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x:t>
        </x:is>
      </x:c>
      <x:c r="H295" s="1"/>
      <x:c r="I295" s="1"/>
      <x:c r="J295" s="1"/>
      <x:c r="K295" s="1"/>
    </x:row>
    <x:row r="296" ht="48" customHeight="1" hidden="1">
      <x:c r="A296" s="2" t="str">
        <x:v>Ranina ranina</x:v>
      </x:c>
      <x:c r="B296" s="4" t="n">
        <x:v>3.92</x:v>
      </x:c>
      <x:c r="C296" s="5" t="n">
        <x:v>1.7129909855</x:v>
      </x:c>
      <x:c r="D296" s="5" t="n">
        <x:v>158.31153799604007</x:v>
      </x:c>
      <x:c r="E296" s="2" t="inlineStr">
        <x:is>
          <x:t xml:space="preserve">Crabs (100.000000%)</x:t>
        </x:is>
      </x:c>
      <x:c r="F296" s="2" t="inlineStr">
        <x:is>
          <x:t xml:space="preserve">High</x:t>
        </x:is>
      </x:c>
      <x:c r="G296" s="2" t="inlineStr">
        <x:is>
          <x:t xml:space="preserve">Ranina ranina is a true-crab lineage within Crabs. The residual benthic-crustacean group expressly excludes crabs, so is not a competing placement. No split is required.</x:t>
        </x:is>
      </x:c>
      <x:c r="H296" s="1"/>
      <x:c r="I296" s="1"/>
      <x:c r="J296" s="1"/>
      <x:c r="K296" s="1"/>
    </x:row>
    <x:row r="297" ht="80" customHeight="1">
      <x:c r="A297" s="2" t="str">
        <x:v>Siganidae</x:v>
      </x:c>
      <x:c r="B297" s="4" t="n">
        <x:v>2.11</x:v>
      </x:c>
      <x:c r="C297" s="5" t="n">
        <x:v>92.43054463419999</x:v>
      </x:c>
      <x:c r="D297" s="5" t="n">
        <x:v>132.30400854195597</x:v>
      </x:c>
      <x:c r="E297" s="2" t="inlineStr">
        <x:is>
          <x:t xml:space="preserve">Juvenile demersal fish (&gt; 30 cm) (89.991470%); Adult demersal fish (&gt; 30 cm) (10.008530%)</x:t>
        </x:is>
      </x:c>
      <x:c r="F297" s="2" t="inlineStr">
        <x:is>
          <x:t xml:space="preserve">Low</x:t>
        </x:is>
      </x:c>
      <x:c r="G297" s="2" t="inlineStr">
        <x:is>
          <x:t xml:space="preserve">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t>
        </x:is>
      </x:c>
      <x:c r="H297" s="1"/>
      <x:c r="I297" s="1"/>
      <x:c r="J297" s="1"/>
      <x:c r="K297" s="1"/>
    </x:row>
    <x:row r="298" ht="72.0" customHeight="1">
      <x:c r="A298" s="2" t="str">
        <x:v>Chanos chanos</x:v>
      </x:c>
      <x:c r="B298" s="4" t="n">
        <x:v>2.03</x:v>
      </x:c>
      <x:c r="C298" s="5" t="n">
        <x:v>102.3092797947</x:v>
      </x:c>
      <x:c r="D298" s="5" t="n">
        <x:v>121.80707600552978</x:v>
      </x:c>
      <x:c r="E298" s="2" t="inlineStr">
        <x:is>
          <x:t xml:space="preserve">Benthopelagic fish (100.000000%)</x:t>
        </x:is>
      </x:c>
      <x:c r="F298" s="2" t="inlineStr">
        <x:is>
          <x:t xml:space="preserve">Low</x:t>
        </x:is>
      </x:c>
      <x:c r="G298" s="2" t="inlineStr">
        <x:is>
          <x:t xml:space="preserve">FAO reports a very large species (180 cm SL) with coastal nursery and marine habitat shifts. This does not establish sole membership in final 27, whose parameters resemble the appendix small-benthopelagic group; size scope and adult water-column use remain material. No split is required.</x:t>
        </x:is>
      </x:c>
      <x:c r="H298" s="1"/>
      <x:c r="I298" s="1"/>
      <x:c r="J298" s="1"/>
      <x:c r="K298" s="1"/>
    </x:row>
    <x:row r="299" ht="80" customHeight="1">
      <x:c r="A299" s="2" t="str">
        <x:v>Anguilliformes</x:v>
      </x:c>
      <x:c r="B299" s="4" t="n">
        <x:v>3.89</x:v>
      </x:c>
      <x:c r="C299" s="5" t="n">
        <x:v>1.3692809169</x:v>
      </x:c>
      <x:c r="D299" s="5" t="n">
        <x:v>118.10004039981294</x:v>
      </x:c>
      <x:c r="E299" s="2" t="inlineStr">
        <x:is>
          <x:t xml:space="preserve">Juvenile demersal fish (&gt; 30 cm) (89.991470%); Adult demersal fish (&gt; 30 cm) (10.008530%)</x:t>
        </x:is>
      </x:c>
      <x:c r="F299" s="2" t="inlineStr">
        <x:is>
          <x:t xml:space="preserve">Low</x:t>
        </x:is>
      </x:c>
      <x:c r="G299" s="2" t="inlineStr">
        <x:is>
          <x:t xml:space="preserve">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x:t>
        </x:is>
      </x:c>
      <x:c r="H299" s="1"/>
      <x:c r="I299" s="1"/>
      <x:c r="J299" s="1"/>
      <x:c r="K299" s="1"/>
    </x:row>
    <x:row r="300" ht="80" customHeight="1" hidden="1">
      <x:c r="A300" s="2" t="str">
        <x:v>Isurus oxyrinchus</x:v>
      </x:c>
      <x:c r="B300" s="4" t="n">
        <x:v>4.5</x:v>
      </x:c>
      <x:c r="C300" s="5" t="n">
        <x:v>0.3033869186</x:v>
      </x:c>
      <x:c r="D300" s="5" t="n">
        <x:v>106.59929723067805</x:v>
      </x:c>
      <x:c r="E300" s="2" t="inlineStr">
        <x:is>
          <x:t xml:space="preserve">Pelagic sharks and rays (100.000000%)</x:t>
        </x:is>
      </x:c>
      <x:c r="F300" s="2" t="inlineStr">
        <x:is>
          <x:t xml:space="preserve">High</x:t>
        </x:is>
      </x:c>
      <x:c r="G300"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445 cm TL; Marine;  pelagic-oceanic; oceanodromous. No split is required.</x:t>
        </x:is>
      </x:c>
      <x:c r="H300" s="1"/>
      <x:c r="I300" s="1"/>
      <x:c r="J300" s="1"/>
      <x:c r="K300" s="1"/>
    </x:row>
    <x:row r="301" ht="80" customHeight="1" hidden="1">
      <x:c r="A301" s="2" t="str">
        <x:v>Kajikia audax</x:v>
      </x:c>
      <x:c r="B301" s="4" t="n">
        <x:v>4.58</x:v>
      </x:c>
      <x:c r="C301" s="5" t="n">
        <x:v>0.2452607026</x:v>
      </x:c>
      <x:c r="D301" s="5" t="n">
        <x:v>103.60613162516746</x:v>
      </x:c>
      <x:c r="E301" s="2" t="inlineStr">
        <x:is>
          <x:t xml:space="preserve">Juvenile large pelagic fish (89.993906%); Pelagic fish (&gt; 30 cm) (10.006094%)</x:t>
        </x:is>
      </x:c>
      <x:c r="F301" s="2" t="inlineStr">
        <x:is>
          <x:t xml:space="preserve">Medium</x:t>
        </x:is>
      </x:c>
      <x:c r="G301" s="2" t="inlineStr">
        <x:is>
          <x:t xml:space="preserve">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x:t>
        </x:is>
      </x:c>
      <x:c r="H301" s="1"/>
      <x:c r="I301" s="1"/>
      <x:c r="J301" s="1"/>
      <x:c r="K301" s="1"/>
    </x:row>
    <x:row r="302" ht="57.0" customHeight="1" hidden="1">
      <x:c r="A302" s="2" t="str">
        <x:v>Haliotidae</x:v>
      </x:c>
      <x:c r="B302" s="4" t="n">
        <x:v>2</x:v>
      </x:c>
      <x:c r="C302" s="5" t="n">
        <x:v>87.4813549519</x:v>
      </x:c>
      <x:c r="D302" s="5" t="n">
        <x:v>97.20150550211112</x:v>
      </x:c>
      <x:c r="E302" s="2" t="inlineStr">
        <x:is>
          <x:t xml:space="preserve">Non-ceph molluscs (100.000000%)</x:t>
        </x:is>
      </x:c>
      <x:c r="F302" s="2" t="inlineStr">
        <x:is>
          <x:t xml:space="preserve">High</x:t>
        </x:is>
      </x:c>
      <x:c r="G302" s="2" t="inlineStr">
        <x:is>
          <x:t xml:space="preserve">Haliotidae is a non-cephalopod mollusc. The source derives this catch by removing Cephalopoda from mollusc catch; no competing mollusc compartment contains this lineage. No split is required.</x:t>
        </x:is>
      </x:c>
      <x:c r="H302" s="1"/>
      <x:c r="I302" s="1"/>
      <x:c r="J302" s="1"/>
      <x:c r="K302" s="1"/>
    </x:row>
    <x:row r="303" ht="64" customHeight="1" hidden="1">
      <x:c r="A303" s="2" t="str">
        <x:v>Magallana gigas</x:v>
      </x:c>
      <x:c r="B303" s="4" t="n">
        <x:v>2</x:v>
      </x:c>
      <x:c r="C303" s="5" t="n">
        <x:v>65.7610990087</x:v>
      </x:c>
      <x:c r="D303" s="5" t="n">
        <x:v>73.06788778744445</x:v>
      </x:c>
      <x:c r="E303" s="2" t="inlineStr">
        <x:is>
          <x:t xml:space="preserve">Non-ceph molluscs (100.000000%)</x:t>
        </x:is>
      </x:c>
      <x:c r="F303" s="2" t="inlineStr">
        <x:is>
          <x:t xml:space="preserve">High</x:t>
        </x:is>
      </x:c>
      <x:c r="G303" s="2" t="inlineStr">
        <x:is>
          <x:t xml:space="preserve">Magallana gigas is a non-cephalopod mollusc. The source derives this catch by removing Cephalopoda from mollusc catch; no competing mollusc compartment contains this lineage. No split is required.</x:t>
        </x:is>
      </x:c>
      <x:c r="H303" s="1"/>
      <x:c r="I303" s="1"/>
      <x:c r="J303" s="1"/>
      <x:c r="K303" s="1"/>
    </x:row>
    <x:row r="304" ht="112" customHeight="1" hidden="1">
      <x:c r="A304" s="2" t="str">
        <x:v>Acanthocybium solandri</x:v>
      </x:c>
      <x:c r="B304" s="4" t="n">
        <x:v>4.26</x:v>
      </x:c>
      <x:c r="C304" s="5" t="n">
        <x:v>0.2814544278</x:v>
      </x:c>
      <x:c r="D304" s="5" t="n">
        <x:v>56.90698488080461</x:v>
      </x:c>
      <x:c r="E304" s="2" t="inlineStr">
        <x:is>
          <x:t xml:space="preserve">Juvenile large pelagic fish (89.993906%); Pelagic fish (&gt; 30 cm) (10.006094%)</x:t>
        </x:is>
      </x:c>
      <x:c r="F304" s="2" t="inlineStr">
        <x:is>
          <x:t xml:space="preserve">Medium</x:t>
        </x:is>
      </x:c>
      <x:c r="G30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t>
        </x:is>
      </x:c>
      <x:c r="H304" s="1"/>
      <x:c r="I304" s="1"/>
      <x:c r="J304" s="1"/>
      <x:c r="K304" s="1"/>
    </x:row>
    <x:row r="305" ht="96" customHeight="1" hidden="1">
      <x:c r="A305" s="2" t="str">
        <x:v>Gymnosarda unicolor</x:v>
      </x:c>
      <x:c r="B305" s="4" t="n">
        <x:v>4.5</x:v>
      </x:c>
      <x:c r="C305" s="5" t="n">
        <x:v>0.1382728383</x:v>
      </x:c>
      <x:c r="D305" s="5" t="n">
        <x:v>48.58412306268496</x:v>
      </x:c>
      <x:c r="E305" s="2" t="inlineStr">
        <x:is>
          <x:t xml:space="preserve">Juvenile large pelagic fish (89.993906%); Pelagic fish (&gt; 30 cm) (10.006094%)</x:t>
        </x:is>
      </x:c>
      <x:c r="F305" s="2" t="inlineStr">
        <x:is>
          <x:t xml:space="preserve">Medium</x:t>
        </x:is>
      </x:c>
      <x:c r="G305"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x:t>
        </x:is>
      </x:c>
      <x:c r="H305" s="1"/>
      <x:c r="I305" s="1"/>
      <x:c r="J305" s="1"/>
      <x:c r="K305" s="1"/>
    </x:row>
    <x:row r="306" ht="48" customHeight="1" hidden="1">
      <x:c r="A306" s="2" t="str">
        <x:v>Veneridae</x:v>
      </x:c>
      <x:c r="B306" s="4" t="n">
        <x:v>2</x:v>
      </x:c>
      <x:c r="C306" s="5" t="n">
        <x:v>42.5048785683</x:v>
      </x:c>
      <x:c r="D306" s="5" t="n">
        <x:v>47.227642853666666</x:v>
      </x:c>
      <x:c r="E306" s="2" t="inlineStr">
        <x:is>
          <x:t xml:space="preserve">Non-ceph molluscs (100.000000%)</x:t>
        </x:is>
      </x:c>
      <x:c r="F306" s="2" t="inlineStr">
        <x:is>
          <x:t xml:space="preserve">High</x:t>
        </x:is>
      </x:c>
      <x:c r="G306" s="2" t="inlineStr">
        <x:is>
          <x:t xml:space="preserve">Veneridae is a non-cephalopod mollusc. The source derives this catch by removing Cephalopoda from mollusc catch; no competing mollusc compartment contains this lineage. No split is required.</x:t>
        </x:is>
      </x:c>
      <x:c r="H306" s="1"/>
      <x:c r="I306" s="1"/>
      <x:c r="J306" s="1"/>
      <x:c r="K306" s="1"/>
    </x:row>
    <x:row r="307" ht="112" customHeight="1" hidden="1">
      <x:c r="A307" s="2" t="str">
        <x:v>Thunnus alalunga</x:v>
      </x:c>
      <x:c r="B307" s="4" t="n">
        <x:v>4.3</x:v>
      </x:c>
      <x:c r="C307" s="5" t="n">
        <x:v>0.1687821008</x:v>
      </x:c>
      <x:c r="D307" s="5" t="n">
        <x:v>37.41828501861319</x:v>
      </x:c>
      <x:c r="E307" s="2" t="inlineStr">
        <x:is>
          <x:t xml:space="preserve">Juvenile large pelagic fish (89.993906%); Pelagic fish (&gt; 30 cm) (10.006094%)</x:t>
        </x:is>
      </x:c>
      <x:c r="F307" s="2" t="inlineStr">
        <x:is>
          <x:t xml:space="preserve">Medium</x:t>
        </x:is>
      </x:c>
      <x:c r="G30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x:t>
        </x:is>
      </x:c>
      <x:c r="H307" s="1"/>
      <x:c r="I307" s="1"/>
      <x:c r="J307" s="1"/>
      <x:c r="K307" s="1"/>
    </x:row>
    <x:row r="308" ht="80" customHeight="1" hidden="1">
      <x:c r="A308" s="2" t="str">
        <x:v>Scatophagus argus</x:v>
      </x:c>
      <x:c r="B308" s="4" t="n">
        <x:v>2.99</x:v>
      </x:c>
      <x:c r="C308" s="5" t="n">
        <x:v>3.4158297761</x:v>
      </x:c>
      <x:c r="D308" s="5" t="n">
        <x:v>37.089733307267494</x:v>
      </x:c>
      <x:c r="E308" s="2" t="inlineStr">
        <x:is>
          <x:t xml:space="preserve">Juvenile demersal fish (&gt; 30 cm) (89.991470%); Adult demersal fish (&gt; 30 cm) (10.008530%)</x:t>
        </x:is>
      </x:c>
      <x:c r="F308" s="2" t="inlineStr">
        <x:is>
          <x:t xml:space="preserve">Medium</x:t>
        </x:is>
      </x:c>
      <x:c r="G308" s="2" t="inlineStr">
        <x:is>
          <x:t xml:space="preserve">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x:t>
        </x:is>
      </x:c>
      <x:c r="H308" s="1"/>
      <x:c r="I308" s="1"/>
      <x:c r="J308" s="1"/>
      <x:c r="K308" s="1"/>
    </x:row>
    <x:row r="309" ht="57.0" customHeight="1" hidden="1">
      <x:c r="A309" s="2" t="str">
        <x:v>Penaeus semisulcatus</x:v>
      </x:c>
      <x:c r="B309" s="4" t="n">
        <x:v>2</x:v>
      </x:c>
      <x:c r="C309" s="5" t="n">
        <x:v>32.1832682876</x:v>
      </x:c>
      <x:c r="D309" s="5" t="n">
        <x:v>35.759186986222225</x:v>
      </x:c>
      <x:c r="E309" s="2" t="inlineStr">
        <x:is>
          <x:t xml:space="preserve">Shrimps (100.000000%)</x:t>
        </x:is>
      </x:c>
      <x:c r="F309" s="2" t="inlineStr">
        <x:is>
          <x:t xml:space="preserve">High</x:t>
        </x:is>
      </x:c>
      <x:c r="G309" s="2" t="inlineStr">
        <x:is>
          <x:t xml:space="preserve">Penaeus semisulcatus is a non-Acetes shrimp lineage. Shrimps is broader than the Metapenaeopsis mortality examples; the explicit Acetes/Zooplankton exception is excluded. No split is required.</x:t>
        </x:is>
      </x:c>
      <x:c r="H309" s="1"/>
      <x:c r="I309" s="1"/>
      <x:c r="J309" s="1"/>
      <x:c r="K309" s="1"/>
    </x:row>
    <x:row r="310" ht="64" customHeight="1" hidden="1">
      <x:c r="A310" s="2" t="str">
        <x:v>Mierspenaeopsis hardwickii</x:v>
      </x:c>
      <x:c r="B310" s="4" t="n">
        <x:v>2.71</x:v>
      </x:c>
      <x:c r="C310" s="5" t="n">
        <x:v>5.972447527</x:v>
      </x:c>
      <x:c r="D310" s="5" t="n">
        <x:v>34.03375227236693</x:v>
      </x:c>
      <x:c r="E310" s="2" t="inlineStr">
        <x:is>
          <x:t xml:space="preserve">Shrimps (100.000000%)</x:t>
        </x:is>
      </x:c>
      <x:c r="F310" s="2" t="inlineStr">
        <x:is>
          <x:t xml:space="preserve">High</x:t>
        </x:is>
      </x:c>
      <x:c r="G310" s="2" t="inlineStr">
        <x:is>
          <x:t xml:space="preserve">Mierspenaeopsis hardwickii is a non-Acetes shrimp lineage. Shrimps is broader than the Metapenaeopsis mortality examples; the explicit Acetes/Zooplankton exception is excluded. No split is required.</x:t>
        </x:is>
      </x:c>
      <x:c r="H310" s="1"/>
      <x:c r="I310" s="1"/>
      <x:c r="J310" s="1"/>
      <x:c r="K310" s="1"/>
    </x:row>
    <x:row r="311" ht="280" customHeight="1" hidden="1">
      <x:c r="A311" s="2" t="str">
        <x:v>Marine pelagic fishes not identified</x:v>
      </x:c>
      <x:c r="B311" s="4" t="n">
        <x:v>3.35</x:v>
      </x:c>
      <x:c r="C311" s="5" t="n">
        <x:v>1.341543298</x:v>
      </x:c>
      <x:c r="D311" s="5" t="n">
        <x:v>33.37045932819206</x:v>
      </x:c>
      <x:c r="E311" s="2" t="inlineStr">
        <x:is>
          <x:t xml:space="preserve">Pelagic fish (≤ 30 cm) (74.079924%); Juvenile large pelagic fish (23.326489%); Pelagic fish (&gt; 30 cm) (2.593587%)</x:t>
        </x:is>
      </x:c>
      <x:c r="F311" s="2" t="inlineStr">
        <x:is>
          <x:t xml:space="preserve">Very low</x:t>
        </x:is>
      </x:c>
      <x:c r="G311" s="2" t="inlineStr">
        <x:is>
          <x:t xml:space="preserve">Bony-fish reporting scope is verified for exact SAU key 100339 (ISSCAAP 39; FAO Osteichthyes), rather than inferred from the English label. Pelagic bony fish groups 29–31 remain the open-water approximation; Pelagic sharks and rays 33 is excluded. Residual taxonomic composition, unrepresented taxa and wider-region transfer remain unobserved; membership and overall confidence remain Very low. Assumed composition is fixed across 1950–2019 and landings, total catch and discards; source model is a 2000s northern shelf representation. Complete six-fleet source-model landings+discards proportions supply an assumed whole-pool composition proxy(W4,Medium), not observed residual-label caught composition. Fixed across1950–2019 and all catch bases. Sources: canonical_source_export.json and Allocation evidence/Sources sheets; allocation_audit.json.</x:t>
        </x:is>
      </x:c>
      <x:c r="H311" s="1"/>
      <x:c r="I311" s="1"/>
      <x:c r="J311" s="1"/>
      <x:c r="K311" s="1"/>
    </x:row>
    <x:row r="312" ht="64" customHeight="1" hidden="1">
      <x:c r="A312" s="2" t="str">
        <x:v>Thenus orientalis</x:v>
      </x:c>
      <x:c r="B312" s="4" t="n">
        <x:v>2.5</x:v>
      </x:c>
      <x:c r="C312" s="5" t="n">
        <x:v>9.3758321418</x:v>
      </x:c>
      <x:c r="D312" s="5" t="n">
        <x:v>32.94331614166976</x:v>
      </x:c>
      <x:c r="E312" s="2" t="inlineStr">
        <x:is>
          <x:t xml:space="preserve">Benthic crustaceans (100.000000%)</x:t>
        </x:is>
      </x:c>
      <x:c r="F312" s="2" t="inlineStr">
        <x:is>
          <x:t xml:space="preserve">High</x:t>
        </x:is>
      </x:c>
      <x:c r="G312" s="2" t="inlineStr">
        <x:is>
          <x:t xml:space="preserve">Thenus orientalis is a benthic lobster lineage in the residual crustacean pool after shrimp/crab exclusions. Oratosquilla is a parameter example, not the complete membership. No split is required.</x:t>
        </x:is>
      </x:c>
      <x:c r="H312" s="1"/>
      <x:c r="I312" s="1"/>
      <x:c r="J312" s="1"/>
      <x:c r="K312" s="1"/>
    </x:row>
    <x:row r="313" ht="64" customHeight="1" hidden="1">
      <x:c r="A313" s="2" t="str">
        <x:v>Hippocampus</x:v>
      </x:c>
      <x:c r="B313" s="4" t="n">
        <x:v>3.33</x:v>
      </x:c>
      <x:c r="C313" s="5" t="n">
        <x:v>1.2172999906</x:v>
      </x:c>
      <x:c r="D313" s="5" t="n">
        <x:v>28.91712479393581</x:v>
      </x:c>
      <x:c r="E313" s="2" t="inlineStr">
        <x:is>
          <x:t xml:space="preserve">Demesral fish (≤ 30 cm) (100.000000%)</x:t>
        </x:is>
      </x:c>
      <x:c r="F313" s="2" t="inlineStr">
        <x:is>
          <x:t xml:space="preserve">Medium</x:t>
        </x:is>
      </x:c>
      <x:c r="G313" s="2" t="inlineStr">
        <x:is>
          <x:t xml:space="preserve">Regional seahorse biology supports small benthic/reef fish. The genus inventory mixes length conventions; the whole regional TL boundary remains unverified. Larger H. abdominalis from another region is not by itself grounds to downgrade these catches. No split is required.</x:t>
        </x:is>
      </x:c>
      <x:c r="H313" s="1"/>
      <x:c r="I313" s="1"/>
      <x:c r="J313" s="1"/>
      <x:c r="K313" s="1"/>
    </x:row>
    <x:row r="314" ht="64" customHeight="1" hidden="1">
      <x:c r="A314" s="2" t="str">
        <x:v>Meretrix lusoria</x:v>
      </x:c>
      <x:c r="B314" s="4" t="n">
        <x:v>2</x:v>
      </x:c>
      <x:c r="C314" s="5" t="n">
        <x:v>20.1254991649</x:v>
      </x:c>
      <x:c r="D314" s="5" t="n">
        <x:v>22.361665738777774</x:v>
      </x:c>
      <x:c r="E314" s="2" t="inlineStr">
        <x:is>
          <x:t xml:space="preserve">Non-ceph molluscs (100.000000%)</x:t>
        </x:is>
      </x:c>
      <x:c r="F314" s="2" t="inlineStr">
        <x:is>
          <x:t xml:space="preserve">High</x:t>
        </x:is>
      </x:c>
      <x:c r="G314" s="2" t="inlineStr">
        <x:is>
          <x:t xml:space="preserve">Meretrix lusoria is a non-cephalopod mollusc. The source derives this catch by removing Cephalopoda from mollusc catch; no competing mollusc compartment contains this lineage. No split is required.</x:t>
        </x:is>
      </x:c>
      <x:c r="H314" s="1"/>
      <x:c r="I314" s="1"/>
      <x:c r="J314" s="1"/>
      <x:c r="K314" s="1"/>
    </x:row>
    <x:row r="315" ht="112" customHeight="1" hidden="1">
      <x:c r="A315" s="2" t="str">
        <x:v>Thunnus orientalis</x:v>
      </x:c>
      <x:c r="B315" s="4" t="n">
        <x:v>4.05</x:v>
      </x:c>
      <x:c r="C315" s="5" t="n">
        <x:v>0.1673015096</x:v>
      </x:c>
      <x:c r="D315" s="5" t="n">
        <x:v>20.857264578197444</x:v>
      </x:c>
      <x:c r="E315" s="2" t="inlineStr">
        <x:is>
          <x:t xml:space="preserve">Juvenile large pelagic fish (89.993906%); Pelagic fish (&gt; 30 cm) (10.006094%)</x:t>
        </x:is>
      </x:c>
      <x:c r="F315" s="2" t="inlineStr">
        <x:is>
          <x:t xml:space="preserve">Medium</x:t>
        </x:is>
      </x:c>
      <x:c r="G31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x:t>
        </x:is>
      </x:c>
      <x:c r="H315" s="1"/>
      <x:c r="I315" s="1"/>
      <x:c r="J315" s="1"/>
      <x:c r="K315" s="1"/>
    </x:row>
    <x:row r="316" ht="112" customHeight="1" hidden="1">
      <x:c r="A316" s="2" t="str">
        <x:v>Pomatomus saltatrix</x:v>
      </x:c>
      <x:c r="B316" s="4" t="n">
        <x:v>4.53</x:v>
      </x:c>
      <x:c r="C316" s="5" t="n">
        <x:v>0.0406950571</x:v>
      </x:c>
      <x:c r="D316" s="5" t="n">
        <x:v>15.32142475787352</x:v>
      </x:c>
      <x:c r="E316" s="2" t="inlineStr">
        <x:is>
          <x:t xml:space="preserve">Juvenile large pelagic fish (89.993906%); Pelagic fish (&gt; 30 cm) (10.006094%)</x:t>
        </x:is>
      </x:c>
      <x:c r="F316" s="2" t="inlineStr">
        <x:is>
          <x:t xml:space="preserve">Medium</x:t>
        </x:is>
      </x:c>
      <x:c r="G316"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x:t>
        </x:is>
      </x:c>
      <x:c r="H316" s="1"/>
      <x:c r="I316" s="1"/>
      <x:c r="J316" s="1"/>
      <x:c r="K316" s="1"/>
    </x:row>
    <x:row r="317" ht="57.0" customHeight="1" hidden="1">
      <x:c r="A317" s="2" t="str">
        <x:v>Spongia</x:v>
      </x:c>
      <x:c r="B317" s="4" t="n">
        <x:v>2</x:v>
      </x:c>
      <x:c r="C317" s="5" t="n">
        <x:v>7.6837557135</x:v>
      </x:c>
      <x:c r="D317" s="5" t="n">
        <x:v>8.537506348333332</x:v>
      </x:c>
      <x:c r="E317" s="2" t="inlineStr">
        <x:is>
          <x:t xml:space="preserve">Sessile/other invertebrates (100.000000%)</x:t>
        </x:is>
      </x:c>
      <x:c r="F317" s="2" t="inlineStr">
        <x:is>
          <x:t xml:space="preserve">High</x:t>
        </x:is>
      </x:c>
      <x:c r="G317" s="2" t="inlineStr">
        <x:is>
          <x:t xml:space="preserve">Spongia is a sessile poriferan genus fitting Sessile/other invertebrates after the separately modeled echinoderm, polychaete, crustacean and mollusc groups are excluded. No split is required.</x:t>
        </x:is>
      </x:c>
      <x:c r="H317" s="1"/>
      <x:c r="I317" s="1"/>
      <x:c r="J317" s="1"/>
      <x:c r="K317" s="1"/>
    </x:row>
    <x:row r="318" ht="64" customHeight="1" hidden="1">
      <x:c r="A318" s="2" t="str">
        <x:v>Mizuhopecten yessoensis</x:v>
      </x:c>
      <x:c r="B318" s="4" t="n">
        <x:v>2.1</x:v>
      </x:c>
      <x:c r="C318" s="5" t="n">
        <x:v>5.8322763773</x:v>
      </x:c>
      <x:c r="D318" s="5" t="n">
        <x:v>8.158223266655328</x:v>
      </x:c>
      <x:c r="E318" s="2" t="inlineStr">
        <x:is>
          <x:t xml:space="preserve">Non-ceph molluscs (100.000000%)</x:t>
        </x:is>
      </x:c>
      <x:c r="F318" s="2" t="inlineStr">
        <x:is>
          <x:t xml:space="preserve">High</x:t>
        </x:is>
      </x:c>
      <x:c r="G318" s="2" t="inlineStr">
        <x:is>
          <x:t xml:space="preserve">Mizuhopecten yessoensis is a non-cephalopod mollusc. The source derives this catch by removing Cephalopoda from mollusc catch; no competing mollusc compartment contains this lineage. No split is required.</x:t>
        </x:is>
      </x:c>
      <x:c r="H318" s="1"/>
      <x:c r="I318" s="1"/>
      <x:c r="J318" s="1"/>
      <x:c r="K318" s="1"/>
    </x:row>
    <x:row r="319" ht="80" customHeight="1" hidden="1">
      <x:c r="A319" s="2" t="str">
        <x:v>Carcharhinus falciformis</x:v>
      </x:c>
      <x:c r="B319" s="4" t="n">
        <x:v>4.51</x:v>
      </x:c>
      <x:c r="C319" s="5" t="n">
        <x:v>0.0181675793</x:v>
      </x:c>
      <x:c r="D319" s="5" t="n">
        <x:v>6.532126025828904</x:v>
      </x:c>
      <x:c r="E319" s="2" t="inlineStr">
        <x:is>
          <x:t xml:space="preserve">Pelagic sharks and rays (100.000000%)</x:t>
        </x:is>
      </x:c>
      <x:c r="F319" s="2" t="inlineStr">
        <x:is>
          <x:t xml:space="preserve">Medium</x:t>
        </x:is>
      </x:c>
      <x:c r="G319" s="2" t="inlineStr">
        <x:is>
          <x:t xml:space="preserve">Predominantly epipelagic/tuna-associated ecology supports the pelagic shark pool, but documented near-bottom shelf/slope use prevents an exclusive habitat claim without a model operational rule. Checked species record: 350 cm TL; Marine;  reef-associated; oceanodromous. No split is required.</x:t>
        </x:is>
      </x:c>
      <x:c r="H319" s="1"/>
      <x:c r="I319" s="1"/>
      <x:c r="J319" s="1"/>
      <x:c r="K319" s="1"/>
    </x:row>
    <x:row r="320" ht="48" customHeight="1" hidden="1">
      <x:c r="A320" s="2" t="str">
        <x:v>Echinodermata</x:v>
      </x:c>
      <x:c r="B320" s="4" t="n">
        <x:v>2.3</x:v>
      </x:c>
      <x:c r="C320" s="5" t="n">
        <x:v>2.7953624538</x:v>
      </x:c>
      <x:c r="D320" s="5" t="n">
        <x:v>6.197201511940083</x:v>
      </x:c>
      <x:c r="E320" s="2" t="inlineStr">
        <x:is>
          <x:t xml:space="preserve">Echinoderms (100.000000%)</x:t>
        </x:is>
      </x:c>
      <x:c r="F320" s="2" t="inlineStr">
        <x:is>
          <x:t xml:space="preserve">High</x:t>
        </x:is>
      </x:c>
      <x:c r="G320" s="2" t="inlineStr">
        <x:is>
          <x:t xml:space="preserve">Echinodermata is within Echinodermata, represented by one source compartment without competing size/stage pools. No split is required.</x:t>
        </x:is>
      </x:c>
      <x:c r="H320" s="1"/>
      <x:c r="I320" s="1"/>
      <x:c r="J320" s="1"/>
      <x:c r="K320" s="1"/>
    </x:row>
    <x:row r="321" ht="96" customHeight="1" hidden="1">
      <x:c r="A321" s="2" t="str">
        <x:v>Sphyraena jello</x:v>
      </x:c>
      <x:c r="B321" s="4" t="n">
        <x:v>4.5</x:v>
      </x:c>
      <x:c r="C321" s="5" t="n">
        <x:v>0.0099506992</x:v>
      </x:c>
      <x:c r="D321" s="5" t="n">
        <x:v>3.496319309246151</x:v>
      </x:c>
      <x:c r="E321" s="2" t="inlineStr">
        <x:is>
          <x:t xml:space="preserve">Juvenile large pelagic fish (89.993906%); Pelagic fish (&gt; 30 cm) (10.006094%)</x:t>
        </x:is>
      </x:c>
      <x:c r="F321" s="2" t="inlineStr">
        <x:is>
          <x:t xml:space="preserve">Medium</x:t>
        </x:is>
      </x:c>
      <x:c r="G321"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x:t>
        </x:is>
      </x:c>
      <x:c r="H321" s="1"/>
      <x:c r="I321" s="1"/>
      <x:c r="J321" s="1"/>
      <x:c r="K321" s="1"/>
    </x:row>
    <x:row r="322" ht="80" customHeight="1" hidden="1">
      <x:c r="A322" s="2" t="str">
        <x:v>Ibacus ciliatus</x:v>
      </x:c>
      <x:c r="B322" s="4" t="n">
        <x:v>2.6</x:v>
      </x:c>
      <x:c r="C322" s="5" t="n">
        <x:v>0.7341562811</x:v>
      </x:c>
      <x:c r="D322" s="5" t="n">
        <x:v>3.247476442364433</x:v>
      </x:c>
      <x:c r="E322" s="2" t="inlineStr">
        <x:is>
          <x:t xml:space="preserve">Benthic crustaceans (100.000000%)</x:t>
        </x:is>
      </x:c>
      <x:c r="F322" s="2" t="inlineStr">
        <x:is>
          <x:t xml:space="preserve">High</x:t>
        </x:is>
      </x:c>
      <x:c r="G322" s="2" t="inlineStr">
        <x:is>
          <x:t xml:space="preserve">Ibacus ciliatus is a benthic lobster lineage in the residual crustacean pool after shrimp/crab exclusions. Oratosquilla is a parameter example, not the complete membership. The accepted WoRMS record is selected over a same-name homonym; both alternatives are Scyllaridae. No split is required.</x:t>
        </x:is>
      </x:c>
      <x:c r="H322" s="1"/>
      <x:c r="I322" s="1"/>
      <x:c r="J322" s="1"/>
      <x:c r="K322" s="1"/>
    </x:row>
    <x:row r="323" ht="48" customHeight="1" hidden="1">
      <x:c r="A323" s="2" t="str">
        <x:v>Ostreidae</x:v>
      </x:c>
      <x:c r="B323" s="4" t="n">
        <x:v>2</x:v>
      </x:c>
      <x:c r="C323" s="5" t="n">
        <x:v>2.3453648948</x:v>
      </x:c>
      <x:c r="D323" s="5" t="n">
        <x:v>2.605960994222222</x:v>
      </x:c>
      <x:c r="E323" s="2" t="inlineStr">
        <x:is>
          <x:t xml:space="preserve">Non-ceph molluscs (100.000000%)</x:t>
        </x:is>
      </x:c>
      <x:c r="F323" s="2" t="inlineStr">
        <x:is>
          <x:t xml:space="preserve">High</x:t>
        </x:is>
      </x:c>
      <x:c r="G323" s="2" t="inlineStr">
        <x:is>
          <x:t xml:space="preserve">Ostreidae is a non-cephalopod mollusc. The source derives this catch by removing Cephalopoda from mollusc catch; no competing mollusc compartment contains this lineage. No split is required.</x:t>
        </x:is>
      </x:c>
      <x:c r="H323" s="1"/>
      <x:c r="I323" s="1"/>
      <x:c r="J323" s="1"/>
      <x:c r="K323" s="1"/>
    </x:row>
    <x:row r="324" ht="80" customHeight="1" hidden="1">
      <x:c r="A324" s="2" t="str">
        <x:v>Sphyrna</x:v>
      </x:c>
      <x:c r="B324" s="4" t="n">
        <x:v>4.2</x:v>
      </x:c>
      <x:c r="C324" s="5" t="n">
        <x:v>0.0130214732</x:v>
      </x:c>
      <x:c r="D324" s="5" t="n">
        <x:v>2.2930715811660933</x:v>
      </x:c>
      <x:c r="E324" s="2" t="inlineStr">
        <x:is>
          <x:t xml:space="preserve">Pelagic sharks and rays (100.000000%)</x:t>
        </x:is>
      </x:c>
      <x:c r="F324" s="2" t="inlineStr">
        <x:is>
          <x:t xml:space="preserve">Medium</x:t>
        </x:is>
      </x:c>
      <x:c r="G324" s="2" t="inlineStr">
        <x:is>
          <x:t xml:space="preserve">Regional hammerheads support a coastal-pelagic interpretation, but S. mokarran and S. zygaena also use bottom/reef habitats. Genus catch composition and the operational habitat boundary remain unresolved; a distant S. tiburo example alone would not prove regional misplacement. No split is required.</x:t>
        </x:is>
      </x:c>
      <x:c r="H324" s="1"/>
      <x:c r="I324" s="1"/>
      <x:c r="J324" s="1"/>
      <x:c r="K324" s="1"/>
    </x:row>
    <x:row r="325" ht="64" customHeight="1" hidden="1">
      <x:c r="A325" s="2" t="str">
        <x:v>Placuna placenta</x:v>
      </x:c>
      <x:c r="B325" s="4" t="n">
        <x:v>2.41</x:v>
      </x:c>
      <x:c r="C325" s="5" t="n">
        <x:v>0.0177393287</x:v>
      </x:c>
      <x:c r="D325" s="5" t="n">
        <x:v>0.05066343964403411</x:v>
      </x:c>
      <x:c r="E325" s="2" t="inlineStr">
        <x:is>
          <x:t xml:space="preserve">Non-ceph molluscs (100.000000%)</x:t>
        </x:is>
      </x:c>
      <x:c r="F325" s="2" t="inlineStr">
        <x:is>
          <x:t xml:space="preserve">High</x:t>
        </x:is>
      </x:c>
      <x:c r="G325" s="2" t="inlineStr">
        <x:is>
          <x:t xml:space="preserve">Placuna placenta is a non-cephalopod mollusc. The source derives this catch by removing Cephalopoda from mollusc catch; no competing mollusc compartment contains this lineage. No split is required.</x:t>
        </x:is>
      </x:c>
      <x:c r="H325" s="1"/>
      <x:c r="I325" s="1"/>
      <x:c r="J325" s="1"/>
      <x:c r="K325" s="1"/>
    </x:row>
    <x:row r="326" ht="64" customHeight="1" hidden="1">
      <x:c r="A326" s="2" t="str">
        <x:v>Amusium pleuronectes</x:v>
      </x:c>
      <x:c r="B326" s="4" t="n">
        <x:v>2</x:v>
      </x:c>
      <x:c r="C326" s="5" t="n">
        <x:v>0.0005964344</x:v>
      </x:c>
      <x:c r="D326" s="5" t="n">
        <x:v>0.0006627048888888889</x:v>
      </x:c>
      <x:c r="E326" s="2" t="inlineStr">
        <x:is>
          <x:t xml:space="preserve">Non-ceph molluscs (100.000000%)</x:t>
        </x:is>
      </x:c>
      <x:c r="F326" s="2" t="inlineStr">
        <x:is>
          <x:t xml:space="preserve">High</x:t>
        </x:is>
      </x:c>
      <x:c r="G326" s="2" t="inlineStr">
        <x:is>
          <x:t xml:space="preserve">Amusium pleuronectes is a non-cephalopod mollusc. The source derives this catch by removing Cephalopoda from mollusc catch; no competing mollusc compartment contains this lineage. No split is required.</x:t>
        </x:is>
      </x:c>
      <x:c r="H326" s="1"/>
      <x:c r="I326" s="1"/>
      <x:c r="J326" s="1"/>
      <x:c r="K326" s="1"/>
    </x:row>
    <x:row r="327" ht="48" customHeight="1" hidden="1">
      <x:c r="A327" s="2" t="str">
        <x:v>Acetes sibogae</x:v>
      </x:c>
      <x:c r="B327" s="4" t="str">
        <x:v>?</x:v>
      </x:c>
      <x:c r="C327" s="5" t="n">
        <x:v>0</x:v>
      </x:c>
      <x:c r="D327" s="5" t="n">
        <x:v>0</x:v>
      </x:c>
      <x:c r="E327" s="2" t="inlineStr">
        <x:is>
          <x:t xml:space="preserve">Zooplankton (100.000000%)</x:t>
        </x:is>
      </x:c>
      <x:c r="F327" s="2" t="inlineStr">
        <x:is>
          <x:t xml:space="preserve">High</x:t>
        </x:is>
      </x:c>
      <x:c r="G327" s="2" t="inlineStr">
        <x:is>
          <x:t xml:space="preserve">Acetes spp. catch is explicitly assigned to Zooplankton. Acetes sibogae belongs to that genus, overriding the shrimp-like common name. No split is required.</x:t>
        </x:is>
      </x:c>
      <x:c r="H327" s="1"/>
      <x:c r="I327" s="1"/>
      <x:c r="J327" s="1"/>
      <x:c r="K327" s="1"/>
    </x:row>
    <x:row r="328" ht="64" customHeight="1" hidden="1">
      <x:c r="A328" s="2" t="str">
        <x:v>Atule mate</x:v>
      </x:c>
      <x:c r="B328" s="4" t="str">
        <x:v>?</x:v>
      </x:c>
      <x:c r="C328" s="5" t="n">
        <x:v>0</x:v>
      </x:c>
      <x:c r="D328" s="5" t="n">
        <x:v>0</x:v>
      </x:c>
      <x:c r="E328" s="2" t="inlineStr">
        <x:is>
          <x:t xml:space="preserve">Pelagic fish (≤ 30 cm) (100.000000%)</x:t>
        </x:is>
      </x:c>
      <x:c r="F328" s="2" t="inlineStr">
        <x:is>
          <x:t xml:space="preserve">High</x:t>
        </x:is>
      </x:c>
      <x:c r="G328" s="2" t="inlineStr">
        <x:is>
          <x:t xml:space="preserve">Species Biology establishes epipelagic/pelagic activity despite a coarse reef-associated tag, and verified maximum TL is at or below the inclusive 30 cm boundary. No dedicated pool competes. Checked species record: 30 cm TL; Marine; brackish;  reef-associated;. No split is required.</x:t>
        </x:is>
      </x:c>
      <x:c r="H328" s="1"/>
      <x:c r="I328" s="1"/>
      <x:c r="J328" s="1"/>
      <x:c r="K328" s="1"/>
    </x:row>
    <x:row r="329" ht="112" customHeight="1" hidden="1">
      <x:c r="A329" s="2" t="str">
        <x:v>Auxis rochei</x:v>
      </x:c>
      <x:c r="B329" s="4" t="n">
        <x:v>4.13</x:v>
      </x:c>
      <x:c r="C329" s="5" t="n">
        <x:v>0</x:v>
      </x:c>
      <x:c r="D329" s="5" t="n">
        <x:v>0</x:v>
      </x:c>
      <x:c r="E329" s="2" t="inlineStr">
        <x:is>
          <x:t xml:space="preserve">Juvenile large pelagic fish (89.993906%); Pelagic fish (&gt; 30 cm) (10.006094%)</x:t>
        </x:is>
      </x:c>
      <x:c r="F329" s="2" t="inlineStr">
        <x:is>
          <x:t xml:space="preserve">Medium</x:t>
        </x:is>
      </x:c>
      <x:c r="G329"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x:t>
        </x:is>
      </x:c>
      <x:c r="H329" s="1"/>
      <x:c r="I329" s="1"/>
      <x:c r="J329" s="1"/>
      <x:c r="K329" s="1"/>
    </x:row>
    <x:row r="330" ht="64" customHeight="1">
      <x:c r="A330" s="2" t="str">
        <x:v>Beryx</x:v>
      </x:c>
      <x:c r="B330" s="4" t="str">
        <x:v>?</x:v>
      </x:c>
      <x:c r="C330" s="5" t="n">
        <x:v>0</x:v>
      </x:c>
      <x:c r="D330" s="5" t="n">
        <x:v>0</x:v>
      </x:c>
      <x:c r="E330" s="2" t="inlineStr">
        <x:is>
          <x:t xml:space="preserve">Benthopelagic fish (100.000000%)</x:t>
        </x:is>
      </x:c>
      <x:c r="F330" s="2" t="inlineStr">
        <x:is>
          <x:t xml:space="preserve">Low</x:t>
        </x:is>
      </x:c>
      <x:c r="G330" s="2" t="inlineStr">
        <x:is>
          <x:t xml:space="preserve">Beryx splendens is a 70 cm TL benthopelagic outer-shelf/slope species. The genus has a plausible benthopelagic connection, but final 27 has small-component PB/QB and no demonstrated large-component merger. Depth alone is not the reason for Low. No split is required.</x:t>
        </x:is>
      </x:c>
      <x:c r="H330" s="1"/>
      <x:c r="I330" s="1"/>
      <x:c r="J330" s="1"/>
      <x:c r="K330" s="1"/>
    </x:row>
    <x:row r="331" ht="80" customHeight="1">
      <x:c r="A331" s="2" t="str">
        <x:v>Bramidae</x:v>
      </x:c>
      <x:c r="B331" s="4" t="n">
        <x:v>4.14</x:v>
      </x:c>
      <x:c r="C331" s="5" t="n">
        <x:v>0</x:v>
      </x:c>
      <x:c r="D331" s="5" t="n">
        <x:v>0</x:v>
      </x:c>
      <x:c r="E331" s="2" t="inlineStr">
        <x:is>
          <x:t xml:space="preserve">Juvenile large pelagic fish (89.993906%); Pelagic fish (&gt; 30 cm) (10.006094%)</x:t>
        </x:is>
      </x:c>
      <x:c r="F331" s="2" t="inlineStr">
        <x:is>
          <x:t xml:space="preserve">Low</x:t>
        </x:is>
      </x:c>
      <x:c r="G331" s="2" t="inlineStr">
        <x:is>
          <x:t xml:space="preserve">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x:t>
        </x:is>
      </x:c>
      <x:c r="H331" s="1"/>
      <x:c r="I331" s="1"/>
      <x:c r="J331" s="1"/>
      <x:c r="K331" s="1"/>
    </x:row>
    <x:row r="332" ht="80" customHeight="1">
      <x:c r="A332" s="2" t="str">
        <x:v>Carcharhinus amblyrhynchos</x:v>
      </x:c>
      <x:c r="B332" s="4" t="str">
        <x:v>?</x:v>
      </x:c>
      <x:c r="C332" s="5" t="n">
        <x:v>0</x:v>
      </x:c>
      <x:c r="D332" s="5" t="n">
        <x:v>0</x:v>
      </x:c>
      <x:c r="E332" s="2" t="inlineStr">
        <x:is>
          <x:t xml:space="preserve">Demersal sharks and rays (100.000000%)</x:t>
        </x:is>
      </x:c>
      <x:c r="F332" s="2" t="inlineStr">
        <x:is>
          <x:t xml:space="preserve">Low</x:t>
        </x:is>
      </x:c>
      <x:c r="G332" s="2" t="inlineStr">
        <x:is>
          <x:t xml:space="preserve">The account describes a reef-associated coastal-pelagic shark using near-bottom waters. Both source elasmobranch habitat compartments are meaningful; a reef tag does not resolve the retained demersal-only assignment. Checked species record: 255 cm TL; Marine;  reef-associated; oceanodromous. No split is required.</x:t>
        </x:is>
      </x:c>
      <x:c r="H332" s="1"/>
      <x:c r="I332" s="1"/>
      <x:c r="J332" s="1"/>
      <x:c r="K332" s="1"/>
    </x:row>
    <x:row r="333" ht="48" customHeight="1" hidden="1">
      <x:c r="A333" s="2" t="str">
        <x:v>Charybdis anisodon</x:v>
      </x:c>
      <x:c r="B333" s="4" t="str">
        <x:v>?</x:v>
      </x:c>
      <x:c r="C333" s="5" t="n">
        <x:v>0</x:v>
      </x:c>
      <x:c r="D333" s="5" t="n">
        <x:v>0</x:v>
      </x:c>
      <x:c r="E333" s="2" t="inlineStr">
        <x:is>
          <x:t xml:space="preserve">Crabs (100.000000%)</x:t>
        </x:is>
      </x:c>
      <x:c r="F333" s="2" t="inlineStr">
        <x:is>
          <x:t xml:space="preserve">High</x:t>
        </x:is>
      </x:c>
      <x:c r="G333" s="2" t="inlineStr">
        <x:is>
          <x:t xml:space="preserve">Charybdis anisodon is a true-crab lineage within Crabs. The residual benthic-crustacean group expressly excludes crabs, so is not a competing placement. No split is required.</x:t>
        </x:is>
      </x:c>
      <x:c r="H333" s="1"/>
      <x:c r="I333" s="1"/>
      <x:c r="J333" s="1"/>
      <x:c r="K333" s="1"/>
    </x:row>
    <x:row r="334" ht="64" customHeight="1" hidden="1">
      <x:c r="A334" s="2" t="str">
        <x:v>Charybdis feriatus</x:v>
      </x:c>
      <x:c r="B334" s="4" t="str">
        <x:v>?</x:v>
      </x:c>
      <x:c r="C334" s="5" t="n">
        <x:v>0</x:v>
      </x:c>
      <x:c r="D334" s="5" t="n">
        <x:v>0</x:v>
      </x:c>
      <x:c r="E334" s="2" t="inlineStr">
        <x:is>
          <x:t xml:space="preserve">Crabs (100.000000%)</x:t>
        </x:is>
      </x:c>
      <x:c r="F334" s="2" t="inlineStr">
        <x:is>
          <x:t xml:space="preserve">High</x:t>
        </x:is>
      </x:c>
      <x:c r="G334" s="2" t="inlineStr">
        <x:is>
          <x:t xml:space="preserve">Charybdis feriatus is a true-crab lineage within Crabs. The residual benthic-crustacean group expressly excludes crabs, so is not a competing placement. The failed exact WoRMS spelling lookup is not treated as a verified synonym. No split is required.</x:t>
        </x:is>
      </x:c>
      <x:c r="H334" s="1"/>
      <x:c r="I334" s="1"/>
      <x:c r="J334" s="1"/>
      <x:c r="K334" s="1"/>
    </x:row>
    <x:row r="335" ht="112" customHeight="1" hidden="1">
      <x:c r="A335" s="2" t="str">
        <x:v>Cheilopogon unicolor</x:v>
      </x:c>
      <x:c r="B335" s="4" t="n">
        <x:v>3.7</x:v>
      </x:c>
      <x:c r="C335" s="5" t="n">
        <x:v>0</x:v>
      </x:c>
      <x:c r="D335" s="5" t="n">
        <x:v>0</x:v>
      </x:c>
      <x:c r="E335" s="2" t="inlineStr">
        <x:is>
          <x:t xml:space="preserve">Juvenile large pelagic fish (89.993906%); Pelagic fish (&gt; 30 cm) (10.006094%)</x:t>
        </x:is>
      </x:c>
      <x:c r="F335" s="2" t="inlineStr">
        <x:is>
          <x:t xml:space="preserve">Medium</x:t>
        </x:is>
      </x:c>
      <x:c r="G33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x:t>
        </x:is>
      </x:c>
      <x:c r="H335" s="1"/>
      <x:c r="I335" s="1"/>
      <x:c r="J335" s="1"/>
      <x:c r="K335" s="1"/>
    </x:row>
    <x:row r="336" ht="80" customHeight="1" hidden="1">
      <x:c r="A336" s="2" t="str">
        <x:v>Congridae</x:v>
      </x:c>
      <x:c r="B336" s="4" t="str">
        <x:v>?</x:v>
      </x:c>
      <x:c r="C336" s="5" t="n">
        <x:v>0</x:v>
      </x:c>
      <x:c r="D336" s="5" t="n">
        <x:v>0</x:v>
      </x:c>
      <x:c r="E336" s="2" t="inlineStr">
        <x:is>
          <x:t xml:space="preserve">Demesral fish (≤ 30 cm) (33.704053%); Juvenile demersal fish (&gt; 30 cm) (59.660697%); Adult demersal fish (&gt; 30 cm) (6.635250%)</x:t>
        </x:is>
      </x:c>
      <x:c r="F336" s="2" t="inlineStr">
        <x:is>
          <x:t xml:space="preserve">Medium</x:t>
        </x:is>
      </x:c>
      <x:c r="G336" s="2" t="inlineStr">
        <x:is>
          <x:t xml:space="preserve">Regional demersal Ariosoma megalops (20.8 cm TL) and bottom-associated Conger myriaster (100 cm TL) support both species-size classes. Family composition is inferred; bathydemersal depth does not alone imply pelagic residence. Source-model catch proportions supply an assumed fixed 1950–2019/all-bases mixture; they are not observed taxon-specific catches.</x:t>
        </x:is>
      </x:c>
      <x:c r="H336" s="1"/>
      <x:c r="I336" s="1"/>
      <x:c r="J336" s="1"/>
      <x:c r="K336" s="1"/>
    </x:row>
    <x:row r="337" ht="57.0" customHeight="1" hidden="1">
      <x:c r="A337" s="2" t="str">
        <x:v>Crassostrea</x:v>
      </x:c>
      <x:c r="B337" s="4" t="str">
        <x:v>?</x:v>
      </x:c>
      <x:c r="C337" s="5" t="n">
        <x:v>0</x:v>
      </x:c>
      <x:c r="D337" s="5" t="n">
        <x:v>0</x:v>
      </x:c>
      <x:c r="E337" s="2" t="inlineStr">
        <x:is>
          <x:t xml:space="preserve">Non-ceph molluscs (100.000000%)</x:t>
        </x:is>
      </x:c>
      <x:c r="F337" s="2" t="inlineStr">
        <x:is>
          <x:t xml:space="preserve">High</x:t>
        </x:is>
      </x:c>
      <x:c r="G337" s="2" t="inlineStr">
        <x:is>
          <x:t xml:space="preserve">Crassostrea is a non-cephalopod mollusc. The source derives this catch by removing Cephalopoda from mollusc catch; no competing mollusc compartment contains this lineage. No split is required.</x:t>
        </x:is>
      </x:c>
      <x:c r="H337" s="1"/>
      <x:c r="I337" s="1"/>
      <x:c r="J337" s="1"/>
      <x:c r="K337" s="1"/>
    </x:row>
    <x:row r="338" ht="48" customHeight="1" hidden="1">
      <x:c r="A338" s="2" t="str">
        <x:v>Echinozoa</x:v>
      </x:c>
      <x:c r="B338" s="4" t="str">
        <x:v>?</x:v>
      </x:c>
      <x:c r="C338" s="5" t="n">
        <x:v>0</x:v>
      </x:c>
      <x:c r="D338" s="5" t="n">
        <x:v>0</x:v>
      </x:c>
      <x:c r="E338" s="2" t="inlineStr">
        <x:is>
          <x:t xml:space="preserve">Echinoderms (100.000000%)</x:t>
        </x:is>
      </x:c>
      <x:c r="F338" s="2" t="inlineStr">
        <x:is>
          <x:t xml:space="preserve">High</x:t>
        </x:is>
      </x:c>
      <x:c r="G338" s="2" t="inlineStr">
        <x:is>
          <x:t xml:space="preserve">Echinozoa is within Echinodermata, represented by one source compartment without competing size/stage pools. No split is required.</x:t>
        </x:is>
      </x:c>
      <x:c r="H338" s="1"/>
      <x:c r="I338" s="1"/>
      <x:c r="J338" s="1"/>
      <x:c r="K338" s="1"/>
    </x:row>
    <x:row r="339" ht="72.0" customHeight="1" hidden="1">
      <x:c r="A339" s="2" t="str">
        <x:v>Encrasicholina punctifer</x:v>
      </x:c>
      <x:c r="B339" s="4" t="n">
        <x:v>3.25</x:v>
      </x:c>
      <x:c r="C339" s="5" t="n">
        <x:v>0</x:v>
      </x:c>
      <x:c r="D339" s="5" t="n">
        <x:v>0</x:v>
      </x:c>
      <x:c r="E339" s="2" t="inlineStr">
        <x:is>
          <x:t xml:space="preserve">Pelagic fish (≤ 30 cm) (100.000000%)</x:t>
        </x:is>
      </x:c>
      <x:c r="F339" s="2" t="inlineStr">
        <x:is>
          <x:t xml:space="preserve">High</x:t>
        </x:is>
      </x:c>
      <x:c r="G339" s="2" t="inlineStr">
        <x:is>
          <x:t xml:space="preserve">Species Biology establishes epipelagic/pelagic activity despite a coarse reef-associated tag, and verified maximum TL is at or below the inclusive 30 cm boundary. No dedicated pool competes. Checked species record: 13 cm TL; Marine;  reef-associated; oceanodromous. No split is required.</x:t>
        </x:is>
      </x:c>
      <x:c r="H339" s="1"/>
      <x:c r="I339" s="1"/>
      <x:c r="J339" s="1"/>
      <x:c r="K339" s="1"/>
    </x:row>
    <x:row r="340" ht="64" customHeight="1" hidden="1">
      <x:c r="A340" s="2" t="str">
        <x:v>Epinephelus malabaricus</x:v>
      </x:c>
      <x:c r="B340" s="4" t="n">
        <x:v>4.16</x:v>
      </x:c>
      <x:c r="C340" s="5" t="n">
        <x:v>0</x:v>
      </x:c>
      <x:c r="D340" s="5" t="n">
        <x:v>0</x:v>
      </x:c>
      <x:c r="E340" s="2" t="inlineStr">
        <x:is>
          <x:t xml:space="preserve">Adult groupers (100.000000%)</x:t>
        </x:is>
      </x:c>
      <x:c r="F340" s="2" t="inlineStr">
        <x:is>
          <x:t xml:space="preserve">High</x:t>
        </x:is>
      </x:c>
      <x:c r="G340" s="2" t="inlineStr">
        <x:is>
          <x:t xml:space="preserve">Epinephelus malabaricus fits the source Serranidae concept. The thesis defines one family pool and no juvenile grouper stanza; the stored word Adult does not by itself establish an age restriction. No split is required.</x:t>
        </x:is>
      </x:c>
      <x:c r="H340" s="1"/>
      <x:c r="I340" s="1"/>
      <x:c r="J340" s="1"/>
      <x:c r="K340" s="1"/>
    </x:row>
    <x:row r="341" ht="80" customHeight="1" hidden="1">
      <x:c r="A341" s="2" t="str">
        <x:v>Evynnis tumifrons</x:v>
      </x:c>
      <x:c r="B341" s="4" t="n">
        <x:v>3.97</x:v>
      </x:c>
      <x:c r="C341" s="5" t="n">
        <x:v>0</x:v>
      </x:c>
      <x:c r="D341" s="5" t="n">
        <x:v>0</x:v>
      </x:c>
      <x:c r="E341" s="2" t="inlineStr">
        <x:is>
          <x:t xml:space="preserve">Juvenile demersal fish (&gt; 30 cm) (89.991470%); Adult demersal fish (&gt; 30 cm) (10.008530%)</x:t>
        </x:is>
      </x:c>
      <x:c r="F341" s="2" t="inlineStr">
        <x:is>
          <x:t xml:space="preserve">Medium</x:t>
        </x:is>
      </x:c>
      <x:c r="G341" s="2" t="inlineStr">
        <x:is>
          <x:t xml:space="preserve">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x:t>
        </x:is>
      </x:c>
      <x:c r="H341" s="1"/>
      <x:c r="I341" s="1"/>
      <x:c r="J341" s="1"/>
      <x:c r="K341" s="1"/>
    </x:row>
    <x:row r="342" ht="64" customHeight="1" hidden="1">
      <x:c r="A342" s="2" t="str">
        <x:v>Gadiformes</x:v>
      </x:c>
      <x:c r="B342" s="4" t="str">
        <x:v>?</x:v>
      </x:c>
      <x:c r="C342" s="5" t="n">
        <x:v>0</x:v>
      </x:c>
      <x:c r="D342" s="5" t="n">
        <x:v>0</x:v>
      </x:c>
      <x:c r="E342" s="2" t="inlineStr">
        <x:is>
          <x:t xml:space="preserve">Benthopelagic fish (100.000000%)</x:t>
        </x:is>
      </x:c>
      <x:c r="F342" s="2" t="inlineStr">
        <x:is>
          <x:t xml:space="preserve">Very low</x:t>
        </x:is>
      </x:c>
      <x:c r="G342" s="2" t="inlineStr">
        <x:is>
          <x:t xml:space="preserve">A whole-order allocation to group 27 remains a broad approximation: Gadiformes includes small pelagic codlets as well as demersal/benthopelagic cod-like fishes. The saved cods/benthopelagic class does not establish the unreported family mixture. No split is required.</x:t>
        </x:is>
      </x:c>
      <x:c r="H342" s="1"/>
      <x:c r="I342" s="1"/>
      <x:c r="J342" s="1"/>
      <x:c r="K342" s="1"/>
    </x:row>
    <x:row r="343" ht="48" customHeight="1" hidden="1">
      <x:c r="A343" s="2" t="str">
        <x:v>Haliotis</x:v>
      </x:c>
      <x:c r="B343" s="4" t="str">
        <x:v>?</x:v>
      </x:c>
      <x:c r="C343" s="5" t="n">
        <x:v>0</x:v>
      </x:c>
      <x:c r="D343" s="5" t="n">
        <x:v>0</x:v>
      </x:c>
      <x:c r="E343" s="2" t="inlineStr">
        <x:is>
          <x:t xml:space="preserve">Non-ceph molluscs (100.000000%)</x:t>
        </x:is>
      </x:c>
      <x:c r="F343" s="2" t="inlineStr">
        <x:is>
          <x:t xml:space="preserve">High</x:t>
        </x:is>
      </x:c>
      <x:c r="G343" s="2" t="inlineStr">
        <x:is>
          <x:t xml:space="preserve">Haliotis is a non-cephalopod mollusc. The source derives this catch by removing Cephalopoda from mollusc catch; no competing mollusc compartment contains this lineage. No split is required.</x:t>
        </x:is>
      </x:c>
      <x:c r="H343" s="1"/>
      <x:c r="I343" s="1"/>
      <x:c r="J343" s="1"/>
      <x:c r="K343" s="1"/>
    </x:row>
    <x:row r="344" ht="64" customHeight="1" hidden="1">
      <x:c r="A344" s="2" t="str">
        <x:v>Hemitriakis japanica</x:v>
      </x:c>
      <x:c r="B344" s="4" t="str">
        <x:v>?</x:v>
      </x:c>
      <x:c r="C344" s="5" t="n">
        <x:v>0</x:v>
      </x:c>
      <x:c r="D344" s="5" t="n">
        <x:v>0</x:v>
      </x:c>
      <x:c r="E344" s="2" t="inlineStr">
        <x:is>
          <x:t xml:space="preserve">Demersal sharks and rays (100.000000%)</x:t>
        </x:is>
      </x:c>
      <x:c r="F344" s="2" t="inlineStr">
        <x:is>
          <x:t xml:space="preserve">High</x:t>
        </x:is>
      </x:c>
      <x:c r="G344" s="2" t="inlineStr">
        <x:is>
          <x:t xml:space="preserve">Species evidence explicitly establishes a demersal elasmobranch. The source has no hard maximum-size or stage filter, and the competing pelagic compartment is not equally supported. Checked species record: 110 cm TL; Marine;  demersal;. No split is required.</x:t>
        </x:is>
      </x:c>
      <x:c r="H344" s="1"/>
      <x:c r="I344" s="1"/>
      <x:c r="J344" s="1"/>
      <x:c r="K344" s="1"/>
    </x:row>
    <x:row r="345" ht="64" customHeight="1" hidden="1">
      <x:c r="A345" s="2" t="str">
        <x:v>Hemitrygon akajei</x:v>
      </x:c>
      <x:c r="B345" s="4" t="n">
        <x:v>3.84</x:v>
      </x:c>
      <x:c r="C345" s="5" t="n">
        <x:v>0</x:v>
      </x:c>
      <x:c r="D345" s="5" t="n">
        <x:v>0</x:v>
      </x:c>
      <x:c r="E345" s="2" t="inlineStr">
        <x:is>
          <x:t xml:space="preserve">Demersal sharks and rays (100.000000%)</x:t>
        </x:is>
      </x:c>
      <x:c r="F345" s="2" t="inlineStr">
        <x:is>
          <x:t xml:space="preserve">High</x:t>
        </x:is>
      </x:c>
      <x:c r="G345" s="2" t="inlineStr">
        <x:is>
          <x:t xml:space="preserve">Species evidence explicitly establishes a demersal elasmobranch. The source has no hard maximum-size or stage filter, and the competing pelagic compartment is not equally supported. Checked species record: 200 cm TL; Marine; brackish;  demersal; oceanodromous. No split is required.</x:t>
        </x:is>
      </x:c>
      <x:c r="H345" s="1"/>
      <x:c r="I345" s="1"/>
      <x:c r="J345" s="1"/>
      <x:c r="K345" s="1"/>
    </x:row>
    <x:row r="346" ht="64" customHeight="1" hidden="1">
      <x:c r="A346" s="2" t="str">
        <x:v>Holothuriidae</x:v>
      </x:c>
      <x:c r="B346" s="4" t="str">
        <x:v>?</x:v>
      </x:c>
      <x:c r="C346" s="5" t="n">
        <x:v>0</x:v>
      </x:c>
      <x:c r="D346" s="5" t="n">
        <x:v>0</x:v>
      </x:c>
      <x:c r="E346" s="2" t="inlineStr">
        <x:is>
          <x:t xml:space="preserve">Echinoderms (100.000000%)</x:t>
        </x:is>
      </x:c>
      <x:c r="F346" s="2" t="inlineStr">
        <x:is>
          <x:t xml:space="preserve">High</x:t>
        </x:is>
      </x:c>
      <x:c r="G346" s="2" t="inlineStr">
        <x:is>
          <x:t xml:space="preserve">Holothuriidae is within Echinodermata, represented by one source compartment without competing size/stage pools. The accepted family record is selected over the unaccepted same-name record. No split is required.</x:t>
        </x:is>
      </x:c>
      <x:c r="H346" s="1"/>
      <x:c r="I346" s="1"/>
      <x:c r="J346" s="1"/>
      <x:c r="K346" s="1"/>
    </x:row>
    <x:row r="347" ht="48" customHeight="1" hidden="1">
      <x:c r="A347" s="2" t="str">
        <x:v>Holothuroidea</x:v>
      </x:c>
      <x:c r="B347" s="4" t="str">
        <x:v>?</x:v>
      </x:c>
      <x:c r="C347" s="5" t="n">
        <x:v>0</x:v>
      </x:c>
      <x:c r="D347" s="5" t="n">
        <x:v>0</x:v>
      </x:c>
      <x:c r="E347" s="2" t="inlineStr">
        <x:is>
          <x:t xml:space="preserve">Echinoderms (100.000000%)</x:t>
        </x:is>
      </x:c>
      <x:c r="F347" s="2" t="inlineStr">
        <x:is>
          <x:t xml:space="preserve">High</x:t>
        </x:is>
      </x:c>
      <x:c r="G347" s="2" t="inlineStr">
        <x:is>
          <x:t xml:space="preserve">Holothuroidea is within Echinodermata, represented by one source compartment without competing size/stage pools. No split is required.</x:t>
        </x:is>
      </x:c>
      <x:c r="H347" s="1"/>
      <x:c r="I347" s="1"/>
      <x:c r="J347" s="1"/>
      <x:c r="K347" s="1"/>
    </x:row>
    <x:row r="348" ht="80" customHeight="1" hidden="1">
      <x:c r="A348" s="2" t="str">
        <x:v>Lepidocybium flavobrunneum</x:v>
      </x:c>
      <x:c r="B348" s="4" t="str">
        <x:v>?</x:v>
      </x:c>
      <x:c r="C348" s="5" t="n">
        <x:v>0</x:v>
      </x:c>
      <x:c r="D348" s="5" t="n">
        <x:v>0</x:v>
      </x:c>
      <x:c r="E348" s="2" t="inlineStr">
        <x:is>
          <x:t xml:space="preserve">Juvenile large pelagic fish (89.993906%); Pelagic fish (&gt; 30 cm) (10.006094%)</x:t>
        </x:is>
      </x:c>
      <x:c r="F348" s="2" t="inlineStr">
        <x:is>
          <x:t xml:space="preserve">Very low</x:t>
        </x:is>
      </x:c>
      <x:c r="G348" s="2" t="inlineStr">
        <x:is>
          <x:t xml:space="preserve">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x:t>
        </x:is>
      </x:c>
      <x:c r="H348" s="1"/>
      <x:c r="I348" s="1"/>
      <x:c r="J348" s="1"/>
      <x:c r="K348" s="1"/>
    </x:row>
    <x:row r="349" ht="64" customHeight="1" hidden="1">
      <x:c r="A349" s="2" t="str">
        <x:v>Lutjanus argentimaculatus</x:v>
      </x:c>
      <x:c r="B349" s="4" t="str">
        <x:v>?</x:v>
      </x:c>
      <x:c r="C349" s="5" t="n">
        <x:v>0</x:v>
      </x:c>
      <x:c r="D349" s="5" t="n">
        <x:v>0</x:v>
      </x:c>
      <x:c r="E349" s="2" t="inlineStr">
        <x:is>
          <x:t xml:space="preserve">Snappers (100.000000%)</x:t>
        </x:is>
      </x:c>
      <x:c r="F349" s="2" t="inlineStr">
        <x:is>
          <x:t xml:space="preserve">High</x:t>
        </x:is>
      </x:c>
      <x:c r="G349" s="2" t="inlineStr">
        <x:is>
          <x:t xml:space="preserve">Lutjanus argentimaculatus is within Lutjanidae, expressly used as the source group boundary. Parameter species are examples, not a closed list; residual size/habitat pools do not compete. No split is required.</x:t>
        </x:is>
      </x:c>
      <x:c r="H349" s="1"/>
      <x:c r="I349" s="1"/>
      <x:c r="J349" s="1"/>
      <x:c r="K349" s="1"/>
    </x:row>
    <x:row r="350" ht="64" customHeight="1" hidden="1">
      <x:c r="A350" s="2" t="str">
        <x:v>Lutjanus bohar</x:v>
      </x:c>
      <x:c r="B350" s="4" t="n">
        <x:v>4.27</x:v>
      </x:c>
      <x:c r="C350" s="5" t="n">
        <x:v>0</x:v>
      </x:c>
      <x:c r="D350" s="5" t="n">
        <x:v>0</x:v>
      </x:c>
      <x:c r="E350" s="2" t="inlineStr">
        <x:is>
          <x:t xml:space="preserve">Snappers (100.000000%)</x:t>
        </x:is>
      </x:c>
      <x:c r="F350" s="2" t="inlineStr">
        <x:is>
          <x:t xml:space="preserve">High</x:t>
        </x:is>
      </x:c>
      <x:c r="G350" s="2" t="inlineStr">
        <x:is>
          <x:t xml:space="preserve">Lutjanus bohar is within Lutjanidae, expressly used as the source group boundary. Parameter species are examples, not a closed list; residual size/habitat pools do not compete. No split is required.</x:t>
        </x:is>
      </x:c>
      <x:c r="H350" s="1"/>
      <x:c r="I350" s="1"/>
      <x:c r="J350" s="1"/>
      <x:c r="K350" s="1"/>
    </x:row>
    <x:row r="351" ht="64" customHeight="1" hidden="1">
      <x:c r="A351" s="2" t="str">
        <x:v>Melicertus canaliculatus</x:v>
      </x:c>
      <x:c r="B351" s="4" t="str">
        <x:v>?</x:v>
      </x:c>
      <x:c r="C351" s="5" t="n">
        <x:v>0</x:v>
      </x:c>
      <x:c r="D351" s="5" t="n">
        <x:v>0</x:v>
      </x:c>
      <x:c r="E351" s="2" t="inlineStr">
        <x:is>
          <x:t xml:space="preserve">Shrimps (100.000000%)</x:t>
        </x:is>
      </x:c>
      <x:c r="F351" s="2" t="inlineStr">
        <x:is>
          <x:t xml:space="preserve">High</x:t>
        </x:is>
      </x:c>
      <x:c r="G351" s="2" t="inlineStr">
        <x:is>
          <x:t xml:space="preserve">Melicertus canaliculatus is a non-Acetes shrimp lineage. Shrimps is broader than the Metapenaeopsis mortality examples; the explicit Acetes/Zooplankton exception is excluded. No split is required.</x:t>
        </x:is>
      </x:c>
      <x:c r="H351" s="1"/>
      <x:c r="I351" s="1"/>
      <x:c r="J351" s="1"/>
      <x:c r="K351" s="1"/>
    </x:row>
    <x:row r="352" ht="57.0" customHeight="1" hidden="1">
      <x:c r="A352" s="2" t="str">
        <x:v>Metapenaeus affinis</x:v>
      </x:c>
      <x:c r="B352" s="4" t="str">
        <x:v>?</x:v>
      </x:c>
      <x:c r="C352" s="5" t="n">
        <x:v>0</x:v>
      </x:c>
      <x:c r="D352" s="5" t="n">
        <x:v>0</x:v>
      </x:c>
      <x:c r="E352" s="2" t="inlineStr">
        <x:is>
          <x:t xml:space="preserve">Shrimps (100.000000%)</x:t>
        </x:is>
      </x:c>
      <x:c r="F352" s="2" t="inlineStr">
        <x:is>
          <x:t xml:space="preserve">High</x:t>
        </x:is>
      </x:c>
      <x:c r="G352" s="2" t="inlineStr">
        <x:is>
          <x:t xml:space="preserve">Metapenaeus affinis is a non-Acetes shrimp lineage. Shrimps is broader than the Metapenaeopsis mortality examples; the explicit Acetes/Zooplankton exception is excluded. No split is required.</x:t>
        </x:is>
      </x:c>
      <x:c r="H352" s="1"/>
      <x:c r="I352" s="1"/>
      <x:c r="J352" s="1"/>
      <x:c r="K352" s="1"/>
    </x:row>
    <x:row r="353" ht="48" customHeight="1" hidden="1">
      <x:c r="A353" s="2" t="str">
        <x:v>Metapenaeus ensis</x:v>
      </x:c>
      <x:c r="B353" s="4" t="n">
        <x:v>2.7</x:v>
      </x:c>
      <x:c r="C353" s="5" t="n">
        <x:v>0</x:v>
      </x:c>
      <x:c r="D353" s="5" t="n">
        <x:v>0</x:v>
      </x:c>
      <x:c r="E353" s="2" t="inlineStr">
        <x:is>
          <x:t xml:space="preserve">Shrimps (100.000000%)</x:t>
        </x:is>
      </x:c>
      <x:c r="F353" s="2" t="inlineStr">
        <x:is>
          <x:t xml:space="preserve">High</x:t>
        </x:is>
      </x:c>
      <x:c r="G353" s="2" t="inlineStr">
        <x:is>
          <x:t xml:space="preserve">Metapenaeus ensis is a non-Acetes shrimp lineage. Shrimps is broader than the Metapenaeopsis mortality examples; the explicit Acetes/Zooplankton exception is excluded. No split is required.</x:t>
        </x:is>
      </x:c>
      <x:c r="H353" s="1"/>
      <x:c r="I353" s="1"/>
      <x:c r="J353" s="1"/>
      <x:c r="K353" s="1"/>
    </x:row>
    <x:row r="354" ht="57.0" customHeight="1" hidden="1">
      <x:c r="A354" s="2" t="str">
        <x:v>Metapenaeus tenuipes</x:v>
      </x:c>
      <x:c r="B354" s="4" t="str">
        <x:v>?</x:v>
      </x:c>
      <x:c r="C354" s="5" t="n">
        <x:v>0</x:v>
      </x:c>
      <x:c r="D354" s="5" t="n">
        <x:v>0</x:v>
      </x:c>
      <x:c r="E354" s="2" t="inlineStr">
        <x:is>
          <x:t xml:space="preserve">Shrimps (100.000000%)</x:t>
        </x:is>
      </x:c>
      <x:c r="F354" s="2" t="inlineStr">
        <x:is>
          <x:t xml:space="preserve">High</x:t>
        </x:is>
      </x:c>
      <x:c r="G354" s="2" t="inlineStr">
        <x:is>
          <x:t xml:space="preserve">Metapenaeus tenuipes is a non-Acetes shrimp lineage. Shrimps is broader than the Metapenaeopsis mortality examples; the explicit Acetes/Zooplankton exception is excluded. No split is required.</x:t>
        </x:is>
      </x:c>
      <x:c r="H354" s="1"/>
      <x:c r="I354" s="1"/>
      <x:c r="J354" s="1"/>
      <x:c r="K354" s="1"/>
    </x:row>
    <x:row r="355" ht="64" customHeight="1" hidden="1">
      <x:c r="A355" s="2" t="str">
        <x:v>Mierspenaeopsis sculptilis</x:v>
      </x:c>
      <x:c r="B355" s="4" t="str">
        <x:v>?</x:v>
      </x:c>
      <x:c r="C355" s="5" t="n">
        <x:v>0</x:v>
      </x:c>
      <x:c r="D355" s="5" t="n">
        <x:v>0</x:v>
      </x:c>
      <x:c r="E355" s="2" t="inlineStr">
        <x:is>
          <x:t xml:space="preserve">Shrimps (100.000000%)</x:t>
        </x:is>
      </x:c>
      <x:c r="F355" s="2" t="inlineStr">
        <x:is>
          <x:t xml:space="preserve">High</x:t>
        </x:is>
      </x:c>
      <x:c r="G355" s="2" t="inlineStr">
        <x:is>
          <x:t xml:space="preserve">Mierspenaeopsis sculptilis is a non-Acetes shrimp lineage. Shrimps is broader than the Metapenaeopsis mortality examples; the explicit Acetes/Zooplankton exception is excluded. No split is required.</x:t>
        </x:is>
      </x:c>
      <x:c r="H355" s="1"/>
      <x:c r="I355" s="1"/>
      <x:c r="J355" s="1"/>
      <x:c r="K355" s="1"/>
    </x:row>
    <x:row r="356" ht="48" customHeight="1" hidden="1">
      <x:c r="A356" s="2" t="str">
        <x:v>Modiolus</x:v>
      </x:c>
      <x:c r="B356" s="4" t="str">
        <x:v>?</x:v>
      </x:c>
      <x:c r="C356" s="5" t="n">
        <x:v>0</x:v>
      </x:c>
      <x:c r="D356" s="5" t="n">
        <x:v>0</x:v>
      </x:c>
      <x:c r="E356" s="2" t="inlineStr">
        <x:is>
          <x:t xml:space="preserve">Non-ceph molluscs (100.000000%)</x:t>
        </x:is>
      </x:c>
      <x:c r="F356" s="2" t="inlineStr">
        <x:is>
          <x:t xml:space="preserve">High</x:t>
        </x:is>
      </x:c>
      <x:c r="G356" s="2" t="inlineStr">
        <x:is>
          <x:t xml:space="preserve">Modiolus is a non-cephalopod mollusc. The source derives this catch by removing Cephalopoda from mollusc catch; no competing mollusc compartment contains this lineage. No split is required.</x:t>
        </x:is>
      </x:c>
      <x:c r="H356" s="1"/>
      <x:c r="I356" s="1"/>
      <x:c r="J356" s="1"/>
      <x:c r="K356" s="1"/>
    </x:row>
    <x:row r="357" ht="80" customHeight="1" hidden="1">
      <x:c r="A357" s="2" t="str">
        <x:v>Muraenidae</x:v>
      </x:c>
      <x:c r="B357" s="4" t="n">
        <x:v>4.07</x:v>
      </x:c>
      <x:c r="C357" s="5" t="n">
        <x:v>0</x:v>
      </x:c>
      <x:c r="D357" s="5" t="n">
        <x:v>0</x:v>
      </x:c>
      <x:c r="E357" s="2" t="inlineStr">
        <x:is>
          <x:t xml:space="preserve">Demesral fish (≤ 30 cm) (33.704053%); Juvenile demersal fish (&gt; 30 cm) (59.660697%); Adult demersal fish (&gt; 30 cm) (6.635250%)</x:t>
        </x:is>
      </x:c>
      <x:c r="F357" s="2" t="inlineStr">
        <x:is>
          <x:t xml:space="preserve">Medium</x:t>
        </x:is>
      </x:c>
      <x:c r="G357" s="2" t="inlineStr">
        <x:is>
          <x:t xml:space="preserve">Taiwan-referenced benthic Gymnothorax melatremus has maximum 30 cm TL and complements larger regional morays. Both residual demersal size classes are assumed to represent marine family catch; length is species maximum, not landed individual size. Source-model catch proportions supply an assumed fixed 1950–2019/all-bases mixture; they are not observed taxon-specific catches.</x:t>
        </x:is>
      </x:c>
      <x:c r="H357" s="1"/>
      <x:c r="I357" s="1"/>
      <x:c r="J357" s="1"/>
      <x:c r="K357" s="1"/>
    </x:row>
    <x:row r="358" ht="80" customHeight="1" hidden="1">
      <x:c r="A358" s="2" t="str">
        <x:v>Nibea mitsukurii</x:v>
      </x:c>
      <x:c r="B358" s="4" t="n">
        <x:v>3.5</x:v>
      </x:c>
      <x:c r="C358" s="5" t="n">
        <x:v>0</x:v>
      </x:c>
      <x:c r="D358" s="5" t="n">
        <x:v>0</x:v>
      </x:c>
      <x:c r="E358" s="2" t="inlineStr">
        <x:is>
          <x:t xml:space="preserve">Juvenile large croakers (89.873418%); Croakers (&gt; 30 cm) (10.126582%)</x:t>
        </x:is>
      </x:c>
      <x:c r="F358" s="2" t="inlineStr">
        <x:is>
          <x:t xml:space="preserve">Medium</x:t>
        </x:is>
      </x:c>
      <x:c r="G358" s="2" t="inlineStr">
        <x:is>
          <x:t xml:space="preserve">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x:t>
        </x:is>
      </x:c>
      <x:c r="H358" s="1"/>
      <x:c r="I358" s="1"/>
      <x:c r="J358" s="1"/>
      <x:c r="K358" s="1"/>
    </x:row>
    <x:row r="359" ht="48" customHeight="1" hidden="1">
      <x:c r="A359" s="2" t="str">
        <x:v>Ommastrephidae</x:v>
      </x:c>
      <x:c r="B359" s="4" t="n">
        <x:v>4.09</x:v>
      </x:c>
      <x:c r="C359" s="5" t="n">
        <x:v>0</x:v>
      </x:c>
      <x:c r="D359" s="5" t="n">
        <x:v>0</x:v>
      </x:c>
      <x:c r="E359" s="2" t="inlineStr">
        <x:is>
          <x:t xml:space="preserve">Cephalopods (100.000000%)</x:t>
        </x:is>
      </x:c>
      <x:c r="F359" s="2" t="inlineStr">
        <x:is>
          <x:t xml:space="preserve">High</x:t>
        </x:is>
      </x:c>
      <x:c r="G359" s="2" t="inlineStr">
        <x:is>
          <x:t xml:space="preserve">Ommastrephidae is within Cephalopoda. Biomass estimation from two dominant Loligo species does not restrict the source group to those species or to squid. No split is required.</x:t>
        </x:is>
      </x:c>
      <x:c r="H359" s="1"/>
      <x:c r="I359" s="1"/>
      <x:c r="J359" s="1"/>
      <x:c r="K359" s="1"/>
    </x:row>
    <x:row r="360" ht="48" customHeight="1" hidden="1">
      <x:c r="A360" s="2" t="str">
        <x:v>Ozius guttatus</x:v>
      </x:c>
      <x:c r="B360" s="4" t="str">
        <x:v>?</x:v>
      </x:c>
      <x:c r="C360" s="5" t="n">
        <x:v>0</x:v>
      </x:c>
      <x:c r="D360" s="5" t="n">
        <x:v>0</x:v>
      </x:c>
      <x:c r="E360" s="2" t="inlineStr">
        <x:is>
          <x:t xml:space="preserve">Crabs (100.000000%)</x:t>
        </x:is>
      </x:c>
      <x:c r="F360" s="2" t="inlineStr">
        <x:is>
          <x:t xml:space="preserve">High</x:t>
        </x:is>
      </x:c>
      <x:c r="G360" s="2" t="inlineStr">
        <x:is>
          <x:t xml:space="preserve">Ozius guttatus is a true-crab lineage within Crabs. The residual benthic-crustacean group expressly excludes crabs, so is not a competing placement. No split is required.</x:t>
        </x:is>
      </x:c>
      <x:c r="H360" s="1"/>
      <x:c r="I360" s="1"/>
      <x:c r="J360" s="1"/>
      <x:c r="K360" s="1"/>
    </x:row>
    <x:row r="361" ht="112" customHeight="1" hidden="1">
      <x:c r="A361" s="2" t="str">
        <x:v>Parupeneus barberinus</x:v>
      </x:c>
      <x:c r="B361" s="4" t="n">
        <x:v>3.22</x:v>
      </x:c>
      <x:c r="C361" s="5" t="n">
        <x:v>0</x:v>
      </x:c>
      <x:c r="D361" s="5" t="n">
        <x:v>0</x:v>
      </x:c>
      <x:c r="E361" s="2" t="inlineStr">
        <x:is>
          <x:t xml:space="preserve">Juvenile demersal fish (&gt; 30 cm) (89.991470%); Adult demersal fish (&gt; 30 cm) (10.008530%)</x:t>
        </x:is>
      </x:c>
      <x:c r="F361" s="2" t="inlineStr">
        <x:is>
          <x:t xml:space="preserve">Medium</x:t>
        </x:is>
      </x:c>
      <x:c r="G361" s="2" t="inlineStr">
        <x:is>
          <x:t xml:space="preserve">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x:t>
        </x:is>
      </x:c>
      <x:c r="H361" s="1"/>
      <x:c r="I361" s="1"/>
      <x:c r="J361" s="1"/>
      <x:c r="K361" s="1"/>
    </x:row>
    <x:row r="362" ht="57.0" customHeight="1" hidden="1">
      <x:c r="A362" s="2" t="str">
        <x:v>Pectinidae</x:v>
      </x:c>
      <x:c r="B362" s="4" t="str">
        <x:v>?</x:v>
      </x:c>
      <x:c r="C362" s="5" t="n">
        <x:v>0</x:v>
      </x:c>
      <x:c r="D362" s="5" t="n">
        <x:v>0</x:v>
      </x:c>
      <x:c r="E362" s="2" t="inlineStr">
        <x:is>
          <x:t xml:space="preserve">Non-ceph molluscs (100.000000%)</x:t>
        </x:is>
      </x:c>
      <x:c r="F362" s="2" t="inlineStr">
        <x:is>
          <x:t xml:space="preserve">High</x:t>
        </x:is>
      </x:c>
      <x:c r="G362" s="2" t="inlineStr">
        <x:is>
          <x:t xml:space="preserve">Pectinidae is a non-cephalopod mollusc. The source derives this catch by removing Cephalopoda from mollusc catch; no competing mollusc compartment contains this lineage. No split is required.</x:t>
        </x:is>
      </x:c>
      <x:c r="H362" s="1"/>
      <x:c r="I362" s="1"/>
      <x:c r="J362" s="1"/>
      <x:c r="K362" s="1"/>
    </x:row>
    <x:row r="363" ht="48" customHeight="1" hidden="1">
      <x:c r="A363" s="2" t="str">
        <x:v>Pinctada</x:v>
      </x:c>
      <x:c r="B363" s="4" t="str">
        <x:v>?</x:v>
      </x:c>
      <x:c r="C363" s="5" t="n">
        <x:v>0</x:v>
      </x:c>
      <x:c r="D363" s="5" t="n">
        <x:v>0</x:v>
      </x:c>
      <x:c r="E363" s="2" t="inlineStr">
        <x:is>
          <x:t xml:space="preserve">Non-ceph molluscs (100.000000%)</x:t>
        </x:is>
      </x:c>
      <x:c r="F363" s="2" t="inlineStr">
        <x:is>
          <x:t xml:space="preserve">High</x:t>
        </x:is>
      </x:c>
      <x:c r="G363" s="2" t="inlineStr">
        <x:is>
          <x:t xml:space="preserve">Pinctada is a non-cephalopod mollusc. The source derives this catch by removing Cephalopoda from mollusc catch; no competing mollusc compartment contains this lineage. No split is required.</x:t>
        </x:is>
      </x:c>
      <x:c r="H363" s="1"/>
      <x:c r="I363" s="1"/>
      <x:c r="J363" s="1"/>
      <x:c r="K363" s="1"/>
    </x:row>
    <x:row r="364" ht="48" customHeight="1" hidden="1">
      <x:c r="A364" s="2" t="str">
        <x:v>Podophthalmus vigil</x:v>
      </x:c>
      <x:c r="B364" s="4" t="str">
        <x:v>?</x:v>
      </x:c>
      <x:c r="C364" s="5" t="n">
        <x:v>0</x:v>
      </x:c>
      <x:c r="D364" s="5" t="n">
        <x:v>0</x:v>
      </x:c>
      <x:c r="E364" s="2" t="inlineStr">
        <x:is>
          <x:t xml:space="preserve">Crabs (100.000000%)</x:t>
        </x:is>
      </x:c>
      <x:c r="F364" s="2" t="inlineStr">
        <x:is>
          <x:t xml:space="preserve">High</x:t>
        </x:is>
      </x:c>
      <x:c r="G364" s="2" t="inlineStr">
        <x:is>
          <x:t xml:space="preserve">Podophthalmus vigil is a true-crab lineage within Crabs. The residual benthic-crustacean group expressly excludes crabs, so is not a competing placement. No split is required.</x:t>
        </x:is>
      </x:c>
      <x:c r="H364" s="1"/>
      <x:c r="I364" s="1"/>
      <x:c r="J364" s="1"/>
      <x:c r="K364" s="1"/>
    </x:row>
    <x:row r="365" ht="80" customHeight="1">
      <x:c r="A365" s="2" t="str">
        <x:v>Polydactylus sexfilis</x:v>
      </x:c>
      <x:c r="B365" s="4" t="n">
        <x:v>3.43</x:v>
      </x:c>
      <x:c r="C365" s="5" t="n">
        <x:v>0</x:v>
      </x:c>
      <x:c r="D365" s="5" t="n">
        <x:v>0</x:v>
      </x:c>
      <x:c r="E365" s="2" t="inlineStr">
        <x:is>
          <x:t xml:space="preserve">Juvenile demersal fish (&gt; 30 cm) (89.991470%); Adult demersal fish (&gt; 30 cm) (10.008530%)</x:t>
        </x:is>
      </x:c>
      <x:c r="F365" s="2" t="inlineStr">
        <x:is>
          <x:t xml:space="preserve">Low</x:t>
        </x:is>
      </x:c>
      <x:c r="G365" s="2" t="inlineStr">
        <x:is>
          <x:t xml:space="preserve">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x:t>
        </x:is>
      </x:c>
      <x:c r="H365" s="1"/>
      <x:c r="I365" s="1"/>
      <x:c r="J365" s="1"/>
      <x:c r="K365" s="1"/>
    </x:row>
    <x:row r="366" ht="80" customHeight="1" hidden="1">
      <x:c r="A366" s="2" t="str">
        <x:v>Rhincodon typus</x:v>
      </x:c>
      <x:c r="B366" s="4" t="str">
        <x:v>?</x:v>
      </x:c>
      <x:c r="C366" s="5" t="n">
        <x:v>0</x:v>
      </x:c>
      <x:c r="D366" s="5" t="n">
        <x:v>0</x:v>
      </x:c>
      <x:c r="E366" s="2" t="inlineStr">
        <x:is>
          <x:t xml:space="preserve">Pelagic sharks and rays (100.000000%)</x:t>
        </x:is>
      </x:c>
      <x:c r="F366" s="2" t="inlineStr">
        <x:is>
          <x:t xml:space="preserve">High</x:t>
        </x:is>
      </x:c>
      <x:c r="G366"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1700 cm TL; Marine;  pelagic-oceanic; oceanodromous. No split is required.</x:t>
        </x:is>
      </x:c>
      <x:c r="H366" s="1"/>
      <x:c r="I366" s="1"/>
      <x:c r="J366" s="1"/>
      <x:c r="K366" s="1"/>
    </x:row>
    <x:row r="367" ht="64" customHeight="1" hidden="1">
      <x:c r="A367" s="2" t="str">
        <x:v>Saurida undosquamis</x:v>
      </x:c>
      <x:c r="B367" s="4" t="n">
        <x:v>4.46</x:v>
      </x:c>
      <x:c r="C367" s="5" t="n">
        <x:v>0</x:v>
      </x:c>
      <x:c r="D367" s="5" t="n">
        <x:v>0</x:v>
      </x:c>
      <x:c r="E367" s="2" t="inlineStr">
        <x:is>
          <x:t xml:space="preserve">Lizard fish (synodontids) (100.000000%)</x:t>
        </x:is>
      </x:c>
      <x:c r="F367" s="2" t="inlineStr">
        <x:is>
          <x:t xml:space="preserve">High</x:t>
        </x:is>
      </x:c>
      <x:c r="G367" s="2" t="inlineStr">
        <x:is>
          <x:t xml:space="preserve">Saurida undosquamis fits the source Synodontidae concept. Explicit inclusion of Saurida tumbil and S. undosquamis anchors the historical boundary despite modern Harpadontidae placement. No split is required.</x:t>
        </x:is>
      </x:c>
      <x:c r="H367" s="1"/>
      <x:c r="I367" s="1"/>
      <x:c r="J367" s="1"/>
      <x:c r="K367" s="1"/>
    </x:row>
    <x:row r="368" ht="48" customHeight="1" hidden="1">
      <x:c r="A368" s="2" t="str">
        <x:v>Scylla</x:v>
      </x:c>
      <x:c r="B368" s="4" t="n">
        <x:v>3.17</x:v>
      </x:c>
      <x:c r="C368" s="5" t="n">
        <x:v>0</x:v>
      </x:c>
      <x:c r="D368" s="5" t="n">
        <x:v>0</x:v>
      </x:c>
      <x:c r="E368" s="2" t="inlineStr">
        <x:is>
          <x:t xml:space="preserve">Crabs (100.000000%)</x:t>
        </x:is>
      </x:c>
      <x:c r="F368" s="2" t="inlineStr">
        <x:is>
          <x:t xml:space="preserve">High</x:t>
        </x:is>
      </x:c>
      <x:c r="G368" s="2" t="inlineStr">
        <x:is>
          <x:t xml:space="preserve">Scylla is a true-crab lineage within Crabs. The residual benthic-crustacean group expressly excludes crabs, so is not a competing placement. No split is required.</x:t>
        </x:is>
      </x:c>
      <x:c r="H368" s="1"/>
      <x:c r="I368" s="1"/>
      <x:c r="J368" s="1"/>
      <x:c r="K368" s="1"/>
    </x:row>
    <x:row r="369" ht="102.0" customHeight="1" hidden="1">
      <x:c r="A369" s="2" t="str">
        <x:v>Sillago sihama</x:v>
      </x:c>
      <x:c r="B369" s="4" t="n">
        <x:v>3.33</x:v>
      </x:c>
      <x:c r="C369" s="5" t="n">
        <x:v>0</x:v>
      </x:c>
      <x:c r="D369" s="5" t="n">
        <x:v>0</x:v>
      </x:c>
      <x:c r="E369" s="2" t="inlineStr">
        <x:is>
          <x:t xml:space="preserve">Juvenile demersal fish (&gt; 30 cm) (89.991470%); Adult demersal fish (&gt; 30 cm) (10.008530%)</x:t>
        </x:is>
      </x:c>
      <x:c r="F369" s="2" t="inlineStr">
        <x:is>
          <x:t xml:space="preserve">Medium</x:t>
        </x:is>
      </x:c>
      <x:c r="G369" s="2" t="inlineStr">
        <x:is>
          <x:t xml:space="preserve">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x:t>
        </x:is>
      </x:c>
      <x:c r="H369" s="1"/>
      <x:c r="I369" s="1"/>
      <x:c r="J369" s="1"/>
      <x:c r="K369" s="1"/>
    </x:row>
    <x:row r="370" ht="96" customHeight="1" hidden="1">
      <x:c r="A370" s="2" t="str">
        <x:v>Sphyraena barracuda</x:v>
      </x:c>
      <x:c r="B370" s="4" t="n">
        <x:v>4.49</x:v>
      </x:c>
      <x:c r="C370" s="5" t="n">
        <x:v>0</x:v>
      </x:c>
      <x:c r="D370" s="5" t="n">
        <x:v>0</x:v>
      </x:c>
      <x:c r="E370" s="2" t="inlineStr">
        <x:is>
          <x:t xml:space="preserve">Juvenile large pelagic fish (89.993906%); Pelagic fish (&gt; 30 cm) (10.006094%)</x:t>
        </x:is>
      </x:c>
      <x:c r="F370" s="2" t="inlineStr">
        <x:is>
          <x:t xml:space="preserve">Medium</x:t>
        </x:is>
      </x:c>
      <x:c r="G370"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x:t>
        </x:is>
      </x:c>
      <x:c r="H370" s="1"/>
      <x:c r="I370" s="1"/>
      <x:c r="J370" s="1"/>
      <x:c r="K370" s="1"/>
    </x:row>
    <x:row r="371" ht="96" customHeight="1" hidden="1">
      <x:c r="A371" s="2" t="str">
        <x:v>Sphyraena obtusata</x:v>
      </x:c>
      <x:c r="B371" s="4" t="str">
        <x:v>?</x:v>
      </x:c>
      <x:c r="C371" s="5" t="n">
        <x:v>0</x:v>
      </x:c>
      <x:c r="D371" s="5" t="n">
        <x:v>0</x:v>
      </x:c>
      <x:c r="E371" s="2" t="inlineStr">
        <x:is>
          <x:t xml:space="preserve">Juvenile large pelagic fish (89.993906%); Pelagic fish (&gt; 30 cm) (10.006094%)</x:t>
        </x:is>
      </x:c>
      <x:c r="F371" s="2" t="inlineStr">
        <x:is>
          <x:t xml:space="preserve">Medium</x:t>
        </x:is>
      </x:c>
      <x:c r="G371"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x:t>
        </x:is>
      </x:c>
      <x:c r="H371" s="1"/>
      <x:c r="I371" s="1"/>
      <x:c r="J371" s="1"/>
      <x:c r="K371" s="1"/>
    </x:row>
    <x:row r="372" ht="80" customHeight="1" hidden="1">
      <x:c r="A372" s="2" t="str">
        <x:v>Sphyrna lewini</x:v>
      </x:c>
      <x:c r="B372" s="4" t="str">
        <x:v>?</x:v>
      </x:c>
      <x:c r="C372" s="5" t="n">
        <x:v>0</x:v>
      </x:c>
      <x:c r="D372" s="5" t="n">
        <x:v>0</x:v>
      </x:c>
      <x:c r="E372" s="2" t="inlineStr">
        <x:is>
          <x:t xml:space="preserve">Pelagic sharks and rays (100.000000%)</x:t>
        </x:is>
      </x:c>
      <x:c r="F372" s="2" t="inlineStr">
        <x:is>
          <x:t xml:space="preserve">High</x:t>
        </x:is>
      </x:c>
      <x:c r="G372"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430 cm TL; Marine; brackish;  pelagic-oceanic; oceanodromous. No split is required.</x:t>
        </x:is>
      </x:c>
      <x:c r="H372" s="1"/>
      <x:c r="I372" s="1"/>
      <x:c r="J372" s="1"/>
      <x:c r="K372" s="1"/>
    </x:row>
    <x:row r="373" ht="80" customHeight="1" hidden="1">
      <x:c r="A373" s="2" t="str">
        <x:v>Sphyrnidae</x:v>
      </x:c>
      <x:c r="B373" s="4" t="str">
        <x:v>?</x:v>
      </x:c>
      <x:c r="C373" s="5" t="n">
        <x:v>0</x:v>
      </x:c>
      <x:c r="D373" s="5" t="n">
        <x:v>0</x:v>
      </x:c>
      <x:c r="E373" s="2" t="inlineStr">
        <x:is>
          <x:t xml:space="preserve">Demersal sharks and rays (58.823529%); Pelagic sharks and rays (41.176471%)</x:t>
        </x:is>
      </x:c>
      <x:c r="F373" s="2" t="inlineStr">
        <x:is>
          <x:t xml:space="preserve">Medium</x:t>
        </x:is>
      </x:c>
      <x:c r="G373" s="2" t="inlineStr">
        <x:is>
          <x:t xml:space="preserve">Pelagic hammerheads and regional benthopelagic winghead Eusphyra blochii support both elasmobranch habitat pools. Treating the near-bottom winghead component as the demersal source guild is an explicit regional interpretation. Source-model catch proportions supply an assumed fixed 1950–2019/all-bases mixture; they are not observed taxon-specific catches.</x:t>
        </x:is>
      </x:c>
      <x:c r="H373" s="1"/>
      <x:c r="I373" s="1"/>
      <x:c r="J373" s="1"/>
      <x:c r="K373" s="1"/>
    </x:row>
    <x:row r="374" ht="64" customHeight="1" hidden="1">
      <x:c r="A374" s="2" t="str">
        <x:v>Spratelloides</x:v>
      </x:c>
      <x:c r="B374" s="4" t="str">
        <x:v>?</x:v>
      </x:c>
      <x:c r="C374" s="5" t="n">
        <x:v>0</x:v>
      </x:c>
      <x:c r="D374" s="5" t="n">
        <x:v>0</x:v>
      </x:c>
      <x:c r="E374" s="2" t="inlineStr">
        <x:is>
          <x:t xml:space="preserve">Pelagic fish (≤ 30 cm) (100.000000%)</x:t>
        </x:is>
      </x:c>
      <x:c r="F374" s="2" t="inlineStr">
        <x:is>
          <x:t xml:space="preserve">Medium</x:t>
        </x:is>
      </x:c>
      <x:c r="G374" s="2" t="inlineStr">
        <x:is>
          <x:t xml:space="preserve">The genus inventory supports a small-bodied pelagic lineage without a dedicated competing group. Most maxima are SL or unspecified; the full regional catch concept and TL boundary remain inferred. No split is required.</x:t>
        </x:is>
      </x:c>
      <x:c r="H374" s="1"/>
      <x:c r="I374" s="1"/>
      <x:c r="J374" s="1"/>
      <x:c r="K374" s="1"/>
    </x:row>
    <x:row r="375" ht="112" customHeight="1" hidden="1">
      <x:c r="A375" s="2" t="str">
        <x:v>Tenualosa toli</x:v>
      </x:c>
      <x:c r="B375" s="4" t="str">
        <x:v>?</x:v>
      </x:c>
      <x:c r="C375" s="5" t="n">
        <x:v>0</x:v>
      </x:c>
      <x:c r="D375" s="5" t="n">
        <x:v>0</x:v>
      </x:c>
      <x:c r="E375" s="2" t="inlineStr">
        <x:is>
          <x:t xml:space="preserve">Juvenile large pelagic fish (89.993906%); Pelagic fish (&gt; 30 cm) (10.006094%)</x:t>
        </x:is>
      </x:c>
      <x:c r="F375" s="2" t="inlineStr">
        <x:is>
          <x:t xml:space="preserve">Medium</x:t>
        </x:is>
      </x:c>
      <x:c r="G37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x:t>
        </x:is>
      </x:c>
      <x:c r="H375" s="1"/>
      <x:c r="I375" s="1"/>
      <x:c r="J375" s="1"/>
      <x:c r="K375" s="1"/>
    </x:row>
    <x:row r="376" ht="80" customHeight="1" hidden="1">
      <x:c r="A376" s="2" t="str">
        <x:v>Tetrapturus angustirostris</x:v>
      </x:c>
      <x:c r="B376" s="4" t="str">
        <x:v>?</x:v>
      </x:c>
      <x:c r="C376" s="5" t="n">
        <x:v>0</x:v>
      </x:c>
      <x:c r="D376" s="5" t="n">
        <x:v>0</x:v>
      </x:c>
      <x:c r="E376" s="2" t="inlineStr">
        <x:is>
          <x:t xml:space="preserve">Juvenile large pelagic fish (89.993906%); Pelagic fish (&gt; 30 cm) (10.006094%)</x:t>
        </x:is>
      </x:c>
      <x:c r="F376" s="2" t="inlineStr">
        <x:is>
          <x:t xml:space="preserve">Medium</x:t>
        </x:is>
      </x:c>
      <x:c r="G376" s="2" t="inlineStr">
        <x:is>
          <x:t xml:space="preserve">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x:t>
        </x:is>
      </x:c>
      <x:c r="H376" s="1"/>
      <x:c r="I376" s="1"/>
      <x:c r="J376" s="1"/>
      <x:c r="K376" s="1"/>
    </x:row>
    <x:row r="377" ht="80" customHeight="1" hidden="1">
      <x:c r="A377" s="2" t="str">
        <x:v>Thunnus</x:v>
      </x:c>
      <x:c r="B377" s="4" t="str">
        <x:v>?</x:v>
      </x:c>
      <x:c r="C377" s="5" t="n">
        <x:v>0</x:v>
      </x:c>
      <x:c r="D377" s="5" t="n">
        <x:v>0</x:v>
      </x:c>
      <x:c r="E377" s="2" t="inlineStr">
        <x:is>
          <x:t xml:space="preserve">Juvenile large pelagic fish (89.993906%); Pelagic fish (&gt; 30 cm) (10.006094%)</x:t>
        </x:is>
      </x:c>
      <x:c r="F377" s="2" t="inlineStr">
        <x:is>
          <x:t xml:space="preserve">Medium</x:t>
        </x:is>
      </x:c>
      <x:c r="G377" s="2" t="inlineStr">
        <x:is>
          <x:t xml:space="preserve">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x:t>
        </x:is>
      </x:c>
      <x:c r="H377" s="1"/>
      <x:c r="I377" s="1"/>
      <x:c r="J377" s="1"/>
      <x:c r="K377" s="1"/>
    </x:row>
    <x:row r="378" ht="48" customHeight="1" hidden="1">
      <x:c r="A378" s="2" t="str">
        <x:v>Tripneustes gratilla</x:v>
      </x:c>
      <x:c r="B378" s="4" t="n">
        <x:v>2</x:v>
      </x:c>
      <x:c r="C378" s="5" t="n">
        <x:v>0</x:v>
      </x:c>
      <x:c r="D378" s="5" t="n">
        <x:v>0</x:v>
      </x:c>
      <x:c r="E378" s="2" t="inlineStr">
        <x:is>
          <x:t xml:space="preserve">Echinoderms (100.000000%)</x:t>
        </x:is>
      </x:c>
      <x:c r="F378" s="2" t="inlineStr">
        <x:is>
          <x:t xml:space="preserve">High</x:t>
        </x:is>
      </x:c>
      <x:c r="G378" s="2" t="inlineStr">
        <x:is>
          <x:t xml:space="preserve">Tripneustes gratilla is within Echinodermata, represented by one source compartment without competing size/stage pools. No split is required.</x:t>
        </x:is>
      </x:c>
      <x:c r="H378" s="1"/>
      <x:c r="I378" s="1"/>
      <x:c r="J378" s="1"/>
      <x:c r="K378" s="1"/>
    </x:row>
    <x:row r="379" ht="64" customHeight="1" hidden="1">
      <x:c r="A379" s="2" t="str">
        <x:v>Trochus niloticus</x:v>
      </x:c>
      <x:c r="B379" s="4" t="str">
        <x:v>?</x:v>
      </x:c>
      <x:c r="C379" s="5" t="n">
        <x:v>0</x:v>
      </x:c>
      <x:c r="D379" s="5" t="n">
        <x:v>0</x:v>
      </x:c>
      <x:c r="E379" s="2" t="inlineStr">
        <x:is>
          <x:t xml:space="preserve">Non-ceph molluscs (100.000000%)</x:t>
        </x:is>
      </x:c>
      <x:c r="F379" s="2" t="inlineStr">
        <x:is>
          <x:t xml:space="preserve">High</x:t>
        </x:is>
      </x:c>
      <x:c r="G379" s="2" t="inlineStr">
        <x:is>
          <x:t xml:space="preserve">Trochus niloticus is a non-cephalopod mollusc. The source derives this catch by removing Cephalopoda from mollusc catch; no competing mollusc compartment contains this lineage. No split is required.</x:t>
        </x:is>
      </x:c>
      <x:c r="H379" s="1"/>
      <x:c r="I379" s="1"/>
      <x:c r="J379" s="1"/>
      <x:c r="K379" s="1"/>
    </x:row>
    <x:row r="380" ht="14.5">
      <x:c r="A380" s="1"/>
      <x:c r="B380" s="1"/>
      <x:c r="C380" s="1"/>
      <x:c r="D380" s="1"/>
      <x:c r="E380" s="1"/>
      <x:c r="F380" s="1"/>
      <x:c r="G380" s="1"/>
      <x:c r="H380" s="1"/>
      <x:c r="I380" s="1"/>
      <x:c r="J380" s="1"/>
      <x:c r="K380" s="1"/>
    </x:row>
    <x:row r="381" ht="14.5">
      <x:c r="A381" s="1"/>
      <x:c r="B381" s="1"/>
      <x:c r="C381" s="1"/>
      <x:c r="D381" s="1"/>
      <x:c r="E381" s="1"/>
      <x:c r="F381" s="1"/>
      <x:c r="G381" s="1"/>
      <x:c r="H381" s="1"/>
      <x:c r="I381" s="1"/>
      <x:c r="J381" s="1"/>
      <x:c r="K381" s="1"/>
    </x:row>
    <x:row r="382" ht="14.5">
      <x:c r="A382" s="1"/>
      <x:c r="B382" s="1"/>
      <x:c r="C382" s="1"/>
      <x:c r="D382" s="1"/>
      <x:c r="E382" s="1"/>
      <x:c r="F382" s="1"/>
      <x:c r="G382" s="1"/>
      <x:c r="H382" s="1"/>
      <x:c r="I382" s="1"/>
      <x:c r="J382" s="1"/>
      <x:c r="K382" s="1"/>
    </x:row>
    <x:row r="383" ht="14.5">
      <x:c r="A383" s="1"/>
      <x:c r="B383" s="1"/>
      <x:c r="C383" s="1"/>
      <x:c r="D383" s="1"/>
      <x:c r="E383" s="1"/>
      <x:c r="F383" s="1"/>
      <x:c r="G383" s="1"/>
      <x:c r="H383" s="1"/>
      <x:c r="I383" s="1"/>
      <x:c r="J383" s="1"/>
      <x:c r="K383" s="1"/>
    </x:row>
    <x:row r="384" ht="14.5">
      <x:c r="A384" s="1"/>
      <x:c r="B384" s="1"/>
      <x:c r="C384" s="1"/>
      <x:c r="D384" s="1"/>
      <x:c r="E384" s="1"/>
      <x:c r="F384" s="1"/>
      <x:c r="G384" s="1"/>
      <x:c r="H384" s="1"/>
      <x:c r="I384" s="1"/>
      <x:c r="J384" s="1"/>
      <x:c r="K384" s="1"/>
    </x:row>
    <x:row r="385" ht="14.5">
      <x:c r="A385" s="1"/>
      <x:c r="B385" s="1"/>
      <x:c r="C385" s="1"/>
      <x:c r="D385" s="1"/>
      <x:c r="E385" s="1"/>
      <x:c r="F385" s="1"/>
      <x:c r="G385" s="1"/>
      <x:c r="H385" s="1"/>
      <x:c r="I385" s="1"/>
      <x:c r="J385" s="1"/>
      <x:c r="K385" s="1"/>
    </x:row>
    <x:row r="386" ht="14.5">
      <x:c r="A386" s="1"/>
      <x:c r="B386" s="1"/>
      <x:c r="C386" s="1"/>
      <x:c r="D386" s="1"/>
      <x:c r="E386" s="1"/>
      <x:c r="F386" s="1"/>
      <x:c r="G386" s="1"/>
      <x:c r="H386" s="1"/>
      <x:c r="I386" s="1"/>
      <x:c r="J386" s="1"/>
      <x:c r="K386" s="1"/>
    </x:row>
    <x:row r="387" ht="14.5">
      <x:c r="A387" s="1"/>
      <x:c r="B387" s="1"/>
      <x:c r="C387" s="1"/>
      <x:c r="D387" s="1"/>
      <x:c r="E387" s="1"/>
      <x:c r="F387" s="1"/>
      <x:c r="G387" s="1"/>
      <x:c r="H387" s="1"/>
      <x:c r="I387" s="1"/>
      <x:c r="J387" s="1"/>
      <x:c r="K387" s="1"/>
    </x:row>
    <x:row r="388" ht="14.5">
      <x:c r="A388" s="1"/>
      <x:c r="B388" s="1"/>
      <x:c r="C388" s="1"/>
      <x:c r="D388" s="1"/>
      <x:c r="E388" s="1"/>
      <x:c r="F388" s="1"/>
      <x:c r="G388" s="1"/>
      <x:c r="H388" s="1"/>
      <x:c r="I388" s="1"/>
      <x:c r="J388" s="1"/>
      <x:c r="K388" s="1"/>
    </x:row>
    <x:row r="389" ht="14.5">
      <x:c r="A389" s="1"/>
      <x:c r="B389" s="1"/>
      <x:c r="C389" s="1"/>
      <x:c r="D389" s="1"/>
      <x:c r="E389" s="1"/>
      <x:c r="F389" s="1"/>
      <x:c r="G389" s="1"/>
      <x:c r="H389" s="1"/>
      <x:c r="I389" s="1"/>
      <x:c r="J389" s="1"/>
      <x:c r="K389" s="1"/>
    </x:row>
    <x:row r="390" ht="14.5">
      <x:c r="A390" s="1"/>
      <x:c r="B390" s="1"/>
      <x:c r="C390" s="1"/>
      <x:c r="D390" s="1"/>
      <x:c r="E390" s="1"/>
      <x:c r="F390" s="1"/>
      <x:c r="G390" s="1"/>
      <x:c r="H390" s="1"/>
      <x:c r="I390" s="1"/>
      <x:c r="J390" s="1"/>
      <x:c r="K390" s="1"/>
    </x:row>
    <x:row r="391" ht="14.5">
      <x:c r="A391" s="1"/>
      <x:c r="B391" s="1"/>
      <x:c r="C391" s="1"/>
      <x:c r="D391" s="1"/>
      <x:c r="E391" s="1"/>
      <x:c r="F391" s="1"/>
      <x:c r="G391" s="1"/>
      <x:c r="H391" s="1"/>
      <x:c r="I391" s="1"/>
      <x:c r="J391" s="1"/>
      <x:c r="K391" s="1"/>
    </x:row>
    <x:row r="392" ht="14.5">
      <x:c r="A392" s="1"/>
      <x:c r="B392" s="1"/>
      <x:c r="C392" s="1"/>
      <x:c r="D392" s="1"/>
      <x:c r="E392" s="1"/>
      <x:c r="F392" s="1"/>
      <x:c r="G392" s="1"/>
      <x:c r="H392" s="1"/>
      <x:c r="I392" s="1"/>
      <x:c r="J392" s="1"/>
      <x:c r="K392" s="1"/>
    </x:row>
    <x:row r="393" ht="14.5">
      <x:c r="A393" s="1"/>
      <x:c r="B393" s="1"/>
      <x:c r="C393" s="1"/>
      <x:c r="D393" s="1"/>
      <x:c r="E393" s="1"/>
      <x:c r="F393" s="1"/>
      <x:c r="G393" s="1"/>
      <x:c r="H393" s="1"/>
      <x:c r="I393" s="1"/>
      <x:c r="J393" s="1"/>
      <x:c r="K393" s="1"/>
    </x:row>
    <x:row r="394" ht="14.5">
      <x:c r="A394" s="1"/>
      <x:c r="B394" s="1"/>
      <x:c r="C394" s="1"/>
      <x:c r="D394" s="1"/>
      <x:c r="E394" s="1"/>
      <x:c r="F394" s="1"/>
      <x:c r="G394" s="1"/>
      <x:c r="H394" s="1"/>
      <x:c r="I394" s="1"/>
      <x:c r="J394" s="1"/>
      <x:c r="K394" s="1"/>
    </x:row>
    <x:row r="395" ht="14.5">
      <x:c r="A395" s="1"/>
      <x:c r="B395" s="1"/>
      <x:c r="C395" s="1"/>
      <x:c r="D395" s="1"/>
      <x:c r="E395" s="1"/>
      <x:c r="F395" s="1"/>
      <x:c r="G395" s="1"/>
      <x:c r="H395" s="1"/>
      <x:c r="I395" s="1"/>
      <x:c r="J395" s="1"/>
      <x:c r="K395" s="1"/>
    </x:row>
    <x:row r="396" ht="14.5">
      <x:c r="A396" s="1"/>
      <x:c r="B396" s="1"/>
      <x:c r="C396" s="1"/>
      <x:c r="D396" s="1"/>
      <x:c r="E396" s="1"/>
      <x:c r="F396" s="1"/>
      <x:c r="G396" s="1"/>
      <x:c r="H396" s="1"/>
      <x:c r="I396" s="1"/>
      <x:c r="J396" s="1"/>
      <x:c r="K396" s="1"/>
    </x:row>
    <x:row r="397" ht="14.5">
      <x:c r="A397" s="1"/>
      <x:c r="B397" s="1"/>
      <x:c r="C397" s="1"/>
      <x:c r="D397" s="1"/>
      <x:c r="E397" s="1"/>
      <x:c r="F397" s="1"/>
      <x:c r="G397" s="1"/>
      <x:c r="H397" s="1"/>
      <x:c r="I397" s="1"/>
      <x:c r="J397" s="1"/>
      <x:c r="K397" s="1"/>
    </x:row>
    <x:row r="398" ht="14.5">
      <x:c r="A398" s="1"/>
      <x:c r="B398" s="1"/>
      <x:c r="C398" s="1"/>
      <x:c r="D398" s="1"/>
      <x:c r="E398" s="1"/>
      <x:c r="F398" s="1"/>
      <x:c r="G398" s="1"/>
      <x:c r="H398" s="1"/>
      <x:c r="I398" s="1"/>
      <x:c r="J398" s="1"/>
      <x:c r="K398" s="1"/>
    </x:row>
    <x:row r="399" ht="14.5">
      <x:c r="A399" s="1"/>
      <x:c r="B399" s="1"/>
      <x:c r="C399" s="1"/>
      <x:c r="D399" s="1"/>
      <x:c r="E399" s="1"/>
      <x:c r="F399" s="1"/>
      <x:c r="G399" s="1"/>
      <x:c r="H399" s="1"/>
      <x:c r="I399" s="1"/>
      <x:c r="J399" s="1"/>
      <x:c r="K399" s="1"/>
    </x:row>
    <x:row r="400" ht="14.5">
      <x:c r="A400" s="1"/>
      <x:c r="B400" s="1"/>
      <x:c r="C400" s="1"/>
      <x:c r="D400" s="1"/>
      <x:c r="E400" s="1"/>
      <x:c r="F400" s="1"/>
      <x:c r="G400" s="1"/>
      <x:c r="H400" s="1"/>
      <x:c r="I400" s="1"/>
      <x:c r="J400" s="1"/>
      <x:c r="K400" s="1"/>
    </x:row>
    <x:row r="401" ht="14.5">
      <x:c r="A401" s="1"/>
      <x:c r="B401" s="1"/>
      <x:c r="C401" s="1"/>
      <x:c r="D401" s="1"/>
      <x:c r="E401" s="1"/>
      <x:c r="F401" s="1"/>
      <x:c r="G401" s="1"/>
      <x:c r="H401" s="1"/>
      <x:c r="I401" s="1"/>
      <x:c r="J401" s="1"/>
      <x:c r="K401" s="1"/>
    </x:row>
    <x:row r="402" ht="14.5">
      <x:c r="A402" s="1"/>
      <x:c r="B402" s="1"/>
      <x:c r="C402" s="1"/>
      <x:c r="D402" s="1"/>
      <x:c r="E402" s="1"/>
      <x:c r="F402" s="1"/>
      <x:c r="G402" s="1"/>
      <x:c r="H402" s="1"/>
      <x:c r="I402" s="1"/>
      <x:c r="J402" s="1"/>
      <x:c r="K402" s="1"/>
    </x:row>
    <x:row r="403" ht="14.5">
      <x:c r="A403" s="1"/>
      <x:c r="B403" s="1"/>
      <x:c r="C403" s="1"/>
      <x:c r="D403" s="1"/>
      <x:c r="E403" s="1"/>
      <x:c r="F403" s="1"/>
      <x:c r="G403" s="1"/>
      <x:c r="H403" s="1"/>
      <x:c r="I403" s="1"/>
      <x:c r="J403" s="1"/>
      <x:c r="K403" s="1"/>
    </x:row>
    <x:row r="404" ht="14.5">
      <x:c r="A404" s="1"/>
      <x:c r="B404" s="1"/>
      <x:c r="C404" s="1"/>
      <x:c r="D404" s="1"/>
      <x:c r="E404" s="1"/>
      <x:c r="F404" s="1"/>
      <x:c r="G404" s="1"/>
      <x:c r="H404" s="1"/>
      <x:c r="I404" s="1"/>
      <x:c r="J404" s="1"/>
      <x:c r="K404" s="1"/>
    </x:row>
    <x:row r="405" ht="14.5">
      <x:c r="A405" s="1"/>
      <x:c r="B405" s="1"/>
      <x:c r="C405" s="1"/>
      <x:c r="D405" s="1"/>
      <x:c r="E405" s="1"/>
      <x:c r="F405" s="1"/>
      <x:c r="G405" s="1"/>
      <x:c r="H405" s="1"/>
      <x:c r="I405" s="1"/>
      <x:c r="J405" s="1"/>
      <x:c r="K405" s="1"/>
    </x:row>
    <x:row r="406" ht="14.5">
      <x:c r="A406" s="1"/>
      <x:c r="B406" s="1"/>
      <x:c r="C406" s="1"/>
      <x:c r="D406" s="1"/>
      <x:c r="E406" s="1"/>
      <x:c r="F406" s="1"/>
      <x:c r="G406" s="1"/>
      <x:c r="H406" s="1"/>
      <x:c r="I406" s="1"/>
      <x:c r="J406" s="1"/>
      <x:c r="K406" s="1"/>
    </x:row>
    <x:row r="407" ht="14.5">
      <x:c r="A407" s="1"/>
      <x:c r="B407" s="1"/>
      <x:c r="C407" s="1"/>
      <x:c r="D407" s="1"/>
      <x:c r="E407" s="1"/>
      <x:c r="F407" s="1"/>
      <x:c r="G407" s="1"/>
      <x:c r="H407" s="1"/>
      <x:c r="I407" s="1"/>
      <x:c r="J407" s="1"/>
      <x:c r="K407" s="1"/>
    </x:row>
    <x:row r="408" ht="14.5">
      <x:c r="A408" s="1"/>
      <x:c r="B408" s="1"/>
      <x:c r="C408" s="1"/>
      <x:c r="D408" s="1"/>
      <x:c r="E408" s="1"/>
      <x:c r="F408" s="1"/>
      <x:c r="G408" s="1"/>
      <x:c r="H408" s="1"/>
      <x:c r="I408" s="1"/>
      <x:c r="J408" s="1"/>
      <x:c r="K408" s="1"/>
    </x:row>
    <x:row r="409" ht="14.5">
      <x:c r="A409" s="1"/>
      <x:c r="B409" s="1"/>
      <x:c r="C409" s="1"/>
      <x:c r="D409" s="1"/>
      <x:c r="E409" s="1"/>
      <x:c r="F409" s="1"/>
      <x:c r="G409" s="1"/>
      <x:c r="H409" s="1"/>
      <x:c r="I409" s="1"/>
      <x:c r="J409" s="1"/>
      <x:c r="K409" s="1"/>
    </x:row>
    <x:row r="410" ht="14.5">
      <x:c r="A410" s="1"/>
      <x:c r="B410" s="1"/>
      <x:c r="C410" s="1"/>
      <x:c r="D410" s="1"/>
      <x:c r="E410" s="1"/>
      <x:c r="F410" s="1"/>
      <x:c r="G410" s="1"/>
      <x:c r="H410" s="1"/>
      <x:c r="I410" s="1"/>
      <x:c r="J410" s="1"/>
      <x:c r="K410" s="1"/>
    </x:row>
    <x:row r="411" ht="14.5">
      <x:c r="A411" s="1"/>
      <x:c r="B411" s="1"/>
      <x:c r="C411" s="1"/>
      <x:c r="D411" s="1"/>
      <x:c r="E411" s="1"/>
      <x:c r="F411" s="1"/>
      <x:c r="G411" s="1"/>
      <x:c r="H411" s="1"/>
      <x:c r="I411" s="1"/>
      <x:c r="J411" s="1"/>
      <x:c r="K411" s="1"/>
    </x:row>
    <x:row r="412" ht="14.5">
      <x:c r="A412" s="1"/>
      <x:c r="B412" s="1"/>
      <x:c r="C412" s="1"/>
      <x:c r="D412" s="1"/>
      <x:c r="E412" s="1"/>
      <x:c r="F412" s="1"/>
      <x:c r="G412" s="1"/>
      <x:c r="H412" s="1"/>
      <x:c r="I412" s="1"/>
      <x:c r="J412" s="1"/>
      <x:c r="K412" s="1"/>
    </x:row>
    <x:row r="413" ht="14.5">
      <x:c r="A413" s="1"/>
      <x:c r="B413" s="1"/>
      <x:c r="C413" s="1"/>
      <x:c r="D413" s="1"/>
      <x:c r="E413" s="1"/>
      <x:c r="F413" s="1"/>
      <x:c r="G413" s="1"/>
      <x:c r="H413" s="1"/>
      <x:c r="I413" s="1"/>
      <x:c r="J413" s="1"/>
      <x:c r="K413" s="1"/>
    </x:row>
    <x:row r="414" ht="14.5">
      <x:c r="A414" s="1"/>
      <x:c r="B414" s="1"/>
      <x:c r="C414" s="1"/>
      <x:c r="D414" s="1"/>
      <x:c r="E414" s="1"/>
      <x:c r="F414" s="1"/>
      <x:c r="G414" s="1"/>
      <x:c r="H414" s="1"/>
      <x:c r="I414" s="1"/>
      <x:c r="J414" s="1"/>
      <x:c r="K414" s="1"/>
    </x:row>
    <x:row r="415" ht="14.5">
      <x:c r="A415" s="1"/>
      <x:c r="B415" s="1"/>
      <x:c r="C415" s="1"/>
      <x:c r="D415" s="1"/>
      <x:c r="E415" s="1"/>
      <x:c r="F415" s="1"/>
      <x:c r="G415" s="1"/>
      <x:c r="H415" s="1"/>
      <x:c r="I415" s="1"/>
      <x:c r="J415" s="1"/>
      <x:c r="K415" s="1"/>
    </x:row>
    <x:row r="416" ht="14.5">
      <x:c r="A416" s="1"/>
      <x:c r="B416" s="1"/>
      <x:c r="C416" s="1"/>
      <x:c r="D416" s="1"/>
      <x:c r="E416" s="1"/>
      <x:c r="F416" s="1"/>
      <x:c r="G416" s="1"/>
      <x:c r="H416" s="1"/>
      <x:c r="I416" s="1"/>
      <x:c r="J416" s="1"/>
      <x:c r="K416" s="1"/>
    </x:row>
    <x:row r="417" ht="14.5">
      <x:c r="A417" s="1"/>
      <x:c r="B417" s="1"/>
      <x:c r="C417" s="1"/>
      <x:c r="D417" s="1"/>
      <x:c r="E417" s="1"/>
      <x:c r="F417" s="1"/>
      <x:c r="G417" s="1"/>
      <x:c r="H417" s="1"/>
      <x:c r="I417" s="1"/>
      <x:c r="J417" s="1"/>
      <x:c r="K417" s="1"/>
    </x:row>
    <x:row r="418" ht="14.5">
      <x:c r="A418" s="1"/>
      <x:c r="B418" s="1"/>
      <x:c r="C418" s="1"/>
      <x:c r="D418" s="1"/>
      <x:c r="E418" s="1"/>
      <x:c r="F418" s="1"/>
      <x:c r="G418" s="1"/>
      <x:c r="H418" s="1"/>
      <x:c r="I418" s="1"/>
      <x:c r="J418" s="1"/>
      <x:c r="K418" s="1"/>
    </x:row>
    <x:row r="419" ht="14.5">
      <x:c r="A419" s="1"/>
      <x:c r="B419" s="1"/>
      <x:c r="C419" s="1"/>
      <x:c r="D419" s="1"/>
      <x:c r="E419" s="1"/>
      <x:c r="F419" s="1"/>
      <x:c r="G419" s="1"/>
      <x:c r="H419" s="1"/>
      <x:c r="I419" s="1"/>
      <x:c r="J419" s="1"/>
      <x:c r="K419" s="1"/>
    </x:row>
    <x:row r="420" ht="14.5">
      <x:c r="A420" s="1"/>
      <x:c r="B420" s="1"/>
      <x:c r="C420" s="1"/>
      <x:c r="D420" s="1"/>
      <x:c r="E420" s="1"/>
      <x:c r="F420" s="1"/>
      <x:c r="G420" s="1"/>
      <x:c r="H420" s="1"/>
      <x:c r="I420" s="1"/>
      <x:c r="J420" s="1"/>
      <x:c r="K420" s="1"/>
    </x:row>
    <x:row r="421" ht="14.5">
      <x:c r="A421" s="1"/>
      <x:c r="B421" s="1"/>
      <x:c r="C421" s="1"/>
      <x:c r="D421" s="1"/>
      <x:c r="E421" s="1"/>
      <x:c r="F421" s="1"/>
      <x:c r="G421" s="1"/>
      <x:c r="H421" s="1"/>
      <x:c r="I421" s="1"/>
      <x:c r="J421" s="1"/>
      <x:c r="K421" s="1"/>
    </x:row>
    <x:row r="422" ht="14.5">
      <x:c r="A422" s="1"/>
      <x:c r="B422" s="1"/>
      <x:c r="C422" s="1"/>
      <x:c r="D422" s="1"/>
      <x:c r="E422" s="1"/>
      <x:c r="F422" s="1"/>
      <x:c r="G422" s="1"/>
      <x:c r="H422" s="1"/>
      <x:c r="I422" s="1"/>
      <x:c r="J422" s="1"/>
      <x:c r="K422" s="1"/>
    </x:row>
    <x:row r="423" ht="14.5">
      <x:c r="A423" s="1"/>
      <x:c r="B423" s="1"/>
      <x:c r="C423" s="1"/>
      <x:c r="D423" s="1"/>
      <x:c r="E423" s="1"/>
      <x:c r="F423" s="1"/>
      <x:c r="G423" s="1"/>
      <x:c r="H423" s="1"/>
      <x:c r="I423" s="1"/>
      <x:c r="J423" s="1"/>
      <x:c r="K423" s="1"/>
    </x:row>
    <x:row r="424" ht="14.5">
      <x:c r="A424" s="1"/>
      <x:c r="B424" s="1"/>
      <x:c r="C424" s="1"/>
      <x:c r="D424" s="1"/>
      <x:c r="E424" s="1"/>
      <x:c r="F424" s="1"/>
      <x:c r="G424" s="1"/>
      <x:c r="H424" s="1"/>
      <x:c r="I424" s="1"/>
      <x:c r="J424" s="1"/>
      <x:c r="K424" s="1"/>
    </x:row>
    <x:row r="425" ht="14.5">
      <x:c r="A425" s="1"/>
      <x:c r="B425" s="1"/>
      <x:c r="C425" s="1"/>
      <x:c r="D425" s="1"/>
      <x:c r="E425" s="1"/>
      <x:c r="F425" s="1"/>
      <x:c r="G425" s="1"/>
      <x:c r="H425" s="1"/>
      <x:c r="I425" s="1"/>
      <x:c r="J425" s="1"/>
      <x:c r="K425" s="1"/>
    </x:row>
    <x:row r="426" ht="14.5">
      <x:c r="A426" s="1"/>
      <x:c r="B426" s="1"/>
      <x:c r="C426" s="1"/>
      <x:c r="D426" s="1"/>
      <x:c r="E426" s="1"/>
      <x:c r="F426" s="1"/>
      <x:c r="G426" s="1"/>
      <x:c r="H426" s="1"/>
      <x:c r="I426" s="1"/>
      <x:c r="J426" s="1"/>
      <x:c r="K426" s="1"/>
    </x:row>
    <x:row r="427" ht="14.5">
      <x:c r="A427" s="1"/>
      <x:c r="B427" s="1"/>
      <x:c r="C427" s="1"/>
      <x:c r="D427" s="1"/>
      <x:c r="E427" s="1"/>
      <x:c r="F427" s="1"/>
      <x:c r="G427" s="1"/>
      <x:c r="H427" s="1"/>
      <x:c r="I427" s="1"/>
      <x:c r="J427" s="1"/>
      <x:c r="K427" s="1"/>
    </x:row>
    <x:row r="428" ht="14.5">
      <x:c r="A428" s="1"/>
      <x:c r="B428" s="1"/>
      <x:c r="C428" s="1"/>
      <x:c r="D428" s="1"/>
      <x:c r="E428" s="1"/>
      <x:c r="F428" s="1"/>
      <x:c r="G428" s="1"/>
      <x:c r="H428" s="1"/>
      <x:c r="I428" s="1"/>
      <x:c r="J428" s="1"/>
      <x:c r="K428" s="1"/>
    </x:row>
    <x:row r="429" ht="14.5">
      <x:c r="A429" s="1"/>
      <x:c r="B429" s="1"/>
      <x:c r="C429" s="1"/>
      <x:c r="D429" s="1"/>
      <x:c r="E429" s="1"/>
      <x:c r="F429" s="1"/>
      <x:c r="G429" s="1"/>
      <x:c r="H429" s="1"/>
      <x:c r="I429" s="1"/>
      <x:c r="J429" s="1"/>
      <x:c r="K429" s="1"/>
    </x:row>
    <x:row r="430" ht="14.5">
      <x:c r="A430" s="1"/>
      <x:c r="B430" s="1"/>
      <x:c r="C430" s="1"/>
      <x:c r="D430" s="1"/>
      <x:c r="E430" s="1"/>
      <x:c r="F430" s="1"/>
      <x:c r="G430" s="1"/>
      <x:c r="H430" s="1"/>
      <x:c r="I430" s="1"/>
      <x:c r="J430" s="1"/>
      <x:c r="K430" s="1"/>
    </x:row>
    <x:row r="431" ht="14.5">
      <x:c r="A431" s="1"/>
      <x:c r="B431" s="1"/>
      <x:c r="C431" s="1"/>
      <x:c r="D431" s="1"/>
      <x:c r="E431" s="1"/>
      <x:c r="F431" s="1"/>
      <x:c r="G431" s="1"/>
      <x:c r="H431" s="1"/>
      <x:c r="I431" s="1"/>
      <x:c r="J431" s="1"/>
      <x:c r="K431" s="1"/>
    </x:row>
    <x:row r="432" ht="14.5">
      <x:c r="A432" s="1"/>
      <x:c r="B432" s="1"/>
      <x:c r="C432" s="1"/>
      <x:c r="D432" s="1"/>
      <x:c r="E432" s="1"/>
      <x:c r="F432" s="1"/>
      <x:c r="G432" s="1"/>
      <x:c r="H432" s="1"/>
      <x:c r="I432" s="1"/>
      <x:c r="J432" s="1"/>
      <x:c r="K432" s="1"/>
    </x:row>
    <x:row r="433" ht="14.5">
      <x:c r="A433" s="1"/>
      <x:c r="B433" s="1"/>
      <x:c r="C433" s="1"/>
      <x:c r="D433" s="1"/>
      <x:c r="E433" s="1"/>
      <x:c r="F433" s="1"/>
      <x:c r="G433" s="1"/>
      <x:c r="H433" s="1"/>
      <x:c r="I433" s="1"/>
      <x:c r="J433" s="1"/>
      <x:c r="K433" s="1"/>
    </x:row>
    <x:row r="434" ht="14.5">
      <x:c r="A434" s="1"/>
      <x:c r="B434" s="1"/>
      <x:c r="C434" s="1"/>
      <x:c r="D434" s="1"/>
      <x:c r="E434" s="1"/>
      <x:c r="F434" s="1"/>
      <x:c r="G434" s="1"/>
      <x:c r="H434" s="1"/>
      <x:c r="I434" s="1"/>
      <x:c r="J434" s="1"/>
      <x:c r="K434" s="1"/>
    </x:row>
    <x:row r="435" ht="14.5">
      <x:c r="A435" s="1"/>
      <x:c r="B435" s="1"/>
      <x:c r="C435" s="1"/>
      <x:c r="D435" s="1"/>
      <x:c r="E435" s="1"/>
      <x:c r="F435" s="1"/>
      <x:c r="G435" s="1"/>
      <x:c r="H435" s="1"/>
      <x:c r="I435" s="1"/>
      <x:c r="J435" s="1"/>
      <x:c r="K435" s="1"/>
    </x:row>
    <x:row r="436" ht="14.5">
      <x:c r="A436" s="1"/>
      <x:c r="B436" s="1"/>
      <x:c r="C436" s="1"/>
      <x:c r="D436" s="1"/>
      <x:c r="E436" s="1"/>
      <x:c r="F436" s="1"/>
      <x:c r="G436" s="1"/>
      <x:c r="H436" s="1"/>
      <x:c r="I436" s="1"/>
      <x:c r="J436" s="1"/>
      <x:c r="K436" s="1"/>
    </x:row>
    <x:row r="437" ht="14.5">
      <x:c r="A437" s="1"/>
      <x:c r="B437" s="1"/>
      <x:c r="C437" s="1"/>
      <x:c r="D437" s="1"/>
      <x:c r="E437" s="1"/>
      <x:c r="F437" s="1"/>
      <x:c r="G437" s="1"/>
      <x:c r="H437" s="1"/>
      <x:c r="I437" s="1"/>
      <x:c r="J437" s="1"/>
      <x:c r="K437" s="1"/>
    </x:row>
    <x:row r="438" ht="14.5">
      <x:c r="A438" s="1"/>
      <x:c r="B438" s="1"/>
      <x:c r="C438" s="1"/>
      <x:c r="D438" s="1"/>
      <x:c r="E438" s="1"/>
      <x:c r="F438" s="1"/>
      <x:c r="G438" s="1"/>
      <x:c r="H438" s="1"/>
      <x:c r="I438" s="1"/>
      <x:c r="J438" s="1"/>
      <x:c r="K438" s="1"/>
    </x:row>
    <x:row r="439" ht="14.5">
      <x:c r="A439" s="1"/>
      <x:c r="B439" s="1"/>
      <x:c r="C439" s="1"/>
      <x:c r="D439" s="1"/>
      <x:c r="E439" s="1"/>
      <x:c r="F439" s="1"/>
      <x:c r="G439" s="1"/>
      <x:c r="H439" s="1"/>
      <x:c r="I439" s="1"/>
      <x:c r="J439" s="1"/>
      <x:c r="K439" s="1"/>
    </x:row>
    <x:row r="440" ht="14.5">
      <x:c r="A440" s="1"/>
      <x:c r="B440" s="1"/>
      <x:c r="C440" s="1"/>
      <x:c r="D440" s="1"/>
      <x:c r="E440" s="1"/>
      <x:c r="F440" s="1"/>
      <x:c r="G440" s="1"/>
      <x:c r="H440" s="1"/>
      <x:c r="I440" s="1"/>
      <x:c r="J440" s="1"/>
      <x:c r="K440" s="1"/>
    </x:row>
    <x:row r="441" ht="14.5">
      <x:c r="A441" s="1"/>
      <x:c r="B441" s="1"/>
      <x:c r="C441" s="1"/>
      <x:c r="D441" s="1"/>
      <x:c r="E441" s="1"/>
      <x:c r="F441" s="1"/>
      <x:c r="G441" s="1"/>
      <x:c r="H441" s="1"/>
      <x:c r="I441" s="1"/>
      <x:c r="J441" s="1"/>
      <x:c r="K441" s="1"/>
    </x:row>
    <x:row r="442" ht="14.5">
      <x:c r="A442" s="1"/>
      <x:c r="B442" s="1"/>
      <x:c r="C442" s="1"/>
      <x:c r="D442" s="1"/>
      <x:c r="E442" s="1"/>
      <x:c r="F442" s="1"/>
      <x:c r="G442" s="1"/>
      <x:c r="H442" s="1"/>
      <x:c r="I442" s="1"/>
      <x:c r="J442" s="1"/>
      <x:c r="K442" s="1"/>
    </x:row>
    <x:row r="443" ht="14.5">
      <x:c r="A443" s="1"/>
      <x:c r="B443" s="1"/>
      <x:c r="C443" s="1"/>
      <x:c r="D443" s="1"/>
      <x:c r="E443" s="1"/>
      <x:c r="F443" s="1"/>
      <x:c r="G443" s="1"/>
      <x:c r="H443" s="1"/>
      <x:c r="I443" s="1"/>
      <x:c r="J443" s="1"/>
      <x:c r="K443" s="1"/>
    </x:row>
    <x:row r="444" ht="14.5">
      <x:c r="A444" s="1"/>
      <x:c r="B444" s="1"/>
      <x:c r="C444" s="1"/>
      <x:c r="D444" s="1"/>
      <x:c r="E444" s="1"/>
      <x:c r="F444" s="1"/>
      <x:c r="G444" s="1"/>
      <x:c r="H444" s="1"/>
      <x:c r="I444" s="1"/>
      <x:c r="J444" s="1"/>
      <x:c r="K444" s="1"/>
    </x:row>
    <x:row r="445" ht="14.5">
      <x:c r="A445" s="1"/>
      <x:c r="B445" s="1"/>
      <x:c r="C445" s="1"/>
      <x:c r="D445" s="1"/>
      <x:c r="E445" s="1"/>
      <x:c r="F445" s="1"/>
      <x:c r="G445" s="1"/>
      <x:c r="H445" s="1"/>
      <x:c r="I445" s="1"/>
      <x:c r="J445" s="1"/>
      <x:c r="K445" s="1"/>
    </x:row>
    <x:row r="446" ht="14.5">
      <x:c r="A446" s="1"/>
      <x:c r="B446" s="1"/>
      <x:c r="C446" s="1"/>
      <x:c r="D446" s="1"/>
      <x:c r="E446" s="1"/>
      <x:c r="F446" s="1"/>
      <x:c r="G446" s="1"/>
      <x:c r="H446" s="1"/>
      <x:c r="I446" s="1"/>
      <x:c r="J446" s="1"/>
      <x:c r="K446" s="1"/>
    </x:row>
    <x:row r="447" ht="14.5">
      <x:c r="A447" s="1"/>
      <x:c r="B447" s="1"/>
      <x:c r="C447" s="1"/>
      <x:c r="D447" s="1"/>
      <x:c r="E447" s="1"/>
      <x:c r="F447" s="1"/>
      <x:c r="G447" s="1"/>
      <x:c r="H447" s="1"/>
      <x:c r="I447" s="1"/>
      <x:c r="J447" s="1"/>
      <x:c r="K447" s="1"/>
    </x:row>
    <x:row r="448" ht="14.5">
      <x:c r="A448" s="1"/>
      <x:c r="B448" s="1"/>
      <x:c r="C448" s="1"/>
      <x:c r="D448" s="1"/>
      <x:c r="E448" s="1"/>
      <x:c r="F448" s="1"/>
      <x:c r="G448" s="1"/>
      <x:c r="H448" s="1"/>
      <x:c r="I448" s="1"/>
      <x:c r="J448" s="1"/>
      <x:c r="K448" s="1"/>
    </x:row>
    <x:row r="449" ht="14.5">
      <x:c r="A449" s="1"/>
      <x:c r="B449" s="1"/>
      <x:c r="C449" s="1"/>
      <x:c r="D449" s="1"/>
      <x:c r="E449" s="1"/>
      <x:c r="F449" s="1"/>
      <x:c r="G449" s="1"/>
      <x:c r="H449" s="1"/>
      <x:c r="I449" s="1"/>
      <x:c r="J449" s="1"/>
      <x:c r="K449" s="1"/>
    </x:row>
    <x:row r="450" ht="14.5">
      <x:c r="A450" s="1"/>
      <x:c r="B450" s="1"/>
      <x:c r="C450" s="1"/>
      <x:c r="D450" s="1"/>
      <x:c r="E450" s="1"/>
      <x:c r="F450" s="1"/>
      <x:c r="G450" s="1"/>
      <x:c r="H450" s="1"/>
      <x:c r="I450" s="1"/>
      <x:c r="J450" s="1"/>
      <x:c r="K450" s="1"/>
    </x:row>
    <x:row r="451" ht="14.5">
      <x:c r="A451" s="1"/>
      <x:c r="B451" s="1"/>
      <x:c r="C451" s="1"/>
      <x:c r="D451" s="1"/>
      <x:c r="E451" s="1"/>
      <x:c r="F451" s="1"/>
      <x:c r="G451" s="1"/>
      <x:c r="H451" s="1"/>
      <x:c r="I451" s="1"/>
      <x:c r="J451" s="1"/>
      <x:c r="K451" s="1"/>
    </x:row>
    <x:row r="452" ht="14.5">
      <x:c r="A452" s="1"/>
      <x:c r="B452" s="1"/>
      <x:c r="C452" s="1"/>
      <x:c r="D452" s="1"/>
      <x:c r="E452" s="1"/>
      <x:c r="F452" s="1"/>
      <x:c r="G452" s="1"/>
      <x:c r="H452" s="1"/>
      <x:c r="I452" s="1"/>
      <x:c r="J452" s="1"/>
      <x:c r="K452" s="1"/>
    </x:row>
    <x:row r="453" ht="14.5">
      <x:c r="A453" s="1"/>
      <x:c r="B453" s="1"/>
      <x:c r="C453" s="1"/>
      <x:c r="D453" s="1"/>
      <x:c r="E453" s="1"/>
      <x:c r="F453" s="1"/>
      <x:c r="G453" s="1"/>
      <x:c r="H453" s="1"/>
      <x:c r="I453" s="1"/>
      <x:c r="J453" s="1"/>
      <x:c r="K453" s="1"/>
    </x:row>
    <x:row r="454" ht="14.5">
      <x:c r="A454" s="1"/>
      <x:c r="B454" s="1"/>
      <x:c r="C454" s="1"/>
      <x:c r="D454" s="1"/>
      <x:c r="E454" s="1"/>
      <x:c r="F454" s="1"/>
      <x:c r="G454" s="1"/>
      <x:c r="H454" s="1"/>
      <x:c r="I454" s="1"/>
      <x:c r="J454" s="1"/>
      <x:c r="K454" s="1"/>
    </x:row>
    <x:row r="455" ht="14.5">
      <x:c r="A455" s="1"/>
      <x:c r="B455" s="1"/>
      <x:c r="C455" s="1"/>
      <x:c r="D455" s="1"/>
      <x:c r="E455" s="1"/>
      <x:c r="F455" s="1"/>
      <x:c r="G455" s="1"/>
      <x:c r="H455" s="1"/>
      <x:c r="I455" s="1"/>
      <x:c r="J455" s="1"/>
      <x:c r="K455" s="1"/>
    </x:row>
    <x:row r="456" ht="14.5">
      <x:c r="A456" s="1"/>
      <x:c r="B456" s="1"/>
      <x:c r="C456" s="1"/>
      <x:c r="D456" s="1"/>
      <x:c r="E456" s="1"/>
      <x:c r="F456" s="1"/>
      <x:c r="G456" s="1"/>
      <x:c r="H456" s="1"/>
      <x:c r="I456" s="1"/>
      <x:c r="J456" s="1"/>
      <x:c r="K456" s="1"/>
    </x:row>
    <x:row r="457" ht="14.5">
      <x:c r="A457" s="1"/>
      <x:c r="B457" s="1"/>
      <x:c r="C457" s="1"/>
      <x:c r="D457" s="1"/>
      <x:c r="E457" s="1"/>
      <x:c r="F457" s="1"/>
      <x:c r="G457" s="1"/>
      <x:c r="H457" s="1"/>
      <x:c r="I457" s="1"/>
      <x:c r="J457" s="1"/>
      <x:c r="K457" s="1"/>
    </x:row>
    <x:row r="458" ht="14.5">
      <x:c r="A458" s="1"/>
      <x:c r="B458" s="1"/>
      <x:c r="C458" s="1"/>
      <x:c r="D458" s="1"/>
      <x:c r="E458" s="1"/>
      <x:c r="F458" s="1"/>
      <x:c r="G458" s="1"/>
      <x:c r="H458" s="1"/>
      <x:c r="I458" s="1"/>
      <x:c r="J458" s="1"/>
      <x:c r="K458" s="1"/>
    </x:row>
    <x:row r="459" ht="14.5">
      <x:c r="A459" s="1"/>
      <x:c r="B459" s="1"/>
      <x:c r="C459" s="1"/>
      <x:c r="D459" s="1"/>
      <x:c r="E459" s="1"/>
      <x:c r="F459" s="1"/>
      <x:c r="G459" s="1"/>
      <x:c r="H459" s="1"/>
      <x:c r="I459" s="1"/>
      <x:c r="J459" s="1"/>
      <x:c r="K459" s="1"/>
    </x:row>
    <x:row r="460" ht="14.5">
      <x:c r="A460" s="1"/>
      <x:c r="B460" s="1"/>
      <x:c r="C460" s="1"/>
      <x:c r="D460" s="1"/>
      <x:c r="E460" s="1"/>
      <x:c r="F460" s="1"/>
      <x:c r="G460" s="1"/>
      <x:c r="H460" s="1"/>
      <x:c r="I460" s="1"/>
      <x:c r="J460" s="1"/>
      <x:c r="K460" s="1"/>
    </x:row>
    <x:row r="461" ht="14.5">
      <x:c r="A461" s="1"/>
      <x:c r="B461" s="1"/>
      <x:c r="C461" s="1"/>
      <x:c r="D461" s="1"/>
      <x:c r="E461" s="1"/>
      <x:c r="F461" s="1"/>
      <x:c r="G461" s="1"/>
      <x:c r="H461" s="1"/>
      <x:c r="I461" s="1"/>
      <x:c r="J461" s="1"/>
      <x:c r="K461" s="1"/>
    </x:row>
    <x:row r="462" ht="14.5">
      <x:c r="A462" s="1"/>
      <x:c r="B462" s="1"/>
      <x:c r="C462" s="1"/>
      <x:c r="D462" s="1"/>
      <x:c r="E462" s="1"/>
      <x:c r="F462" s="1"/>
      <x:c r="G462" s="1"/>
      <x:c r="H462" s="1"/>
      <x:c r="I462" s="1"/>
      <x:c r="J462" s="1"/>
      <x:c r="K462" s="1"/>
    </x:row>
    <x:row r="463" ht="14.5">
      <x:c r="A463" s="1"/>
      <x:c r="B463" s="1"/>
      <x:c r="C463" s="1"/>
      <x:c r="D463" s="1"/>
      <x:c r="E463" s="1"/>
      <x:c r="F463" s="1"/>
      <x:c r="G463" s="1"/>
      <x:c r="H463" s="1"/>
      <x:c r="I463" s="1"/>
      <x:c r="J463" s="1"/>
      <x:c r="K463" s="1"/>
    </x:row>
    <x:row r="464" ht="14.5">
      <x:c r="A464" s="1"/>
      <x:c r="B464" s="1"/>
      <x:c r="C464" s="1"/>
      <x:c r="D464" s="1"/>
      <x:c r="E464" s="1"/>
      <x:c r="F464" s="1"/>
      <x:c r="G464" s="1"/>
      <x:c r="H464" s="1"/>
      <x:c r="I464" s="1"/>
      <x:c r="J464" s="1"/>
      <x:c r="K464" s="1"/>
    </x:row>
    <x:row r="465" ht="14.5">
      <x:c r="A465" s="1"/>
      <x:c r="B465" s="1"/>
      <x:c r="C465" s="1"/>
      <x:c r="D465" s="1"/>
      <x:c r="E465" s="1"/>
      <x:c r="F465" s="1"/>
      <x:c r="G465" s="1"/>
      <x:c r="H465" s="1"/>
      <x:c r="I465" s="1"/>
      <x:c r="J465" s="1"/>
      <x:c r="K465" s="1"/>
    </x:row>
    <x:row r="466" ht="14.5">
      <x:c r="A466" s="1"/>
      <x:c r="B466" s="1"/>
      <x:c r="C466" s="1"/>
      <x:c r="D466" s="1"/>
      <x:c r="E466" s="1"/>
      <x:c r="F466" s="1"/>
      <x:c r="G466" s="1"/>
      <x:c r="H466" s="1"/>
      <x:c r="I466" s="1"/>
      <x:c r="J466" s="1"/>
      <x:c r="K466" s="1"/>
    </x:row>
    <x:row r="467" ht="14.5">
      <x:c r="A467" s="1"/>
      <x:c r="B467" s="1"/>
      <x:c r="C467" s="1"/>
      <x:c r="D467" s="1"/>
      <x:c r="E467" s="1"/>
      <x:c r="F467" s="1"/>
      <x:c r="G467" s="1"/>
      <x:c r="H467" s="1"/>
      <x:c r="I467" s="1"/>
      <x:c r="J467" s="1"/>
      <x:c r="K467" s="1"/>
    </x:row>
    <x:row r="468" ht="14.5">
      <x:c r="A468" s="1"/>
      <x:c r="B468" s="1"/>
      <x:c r="C468" s="1"/>
      <x:c r="D468" s="1"/>
      <x:c r="E468" s="1"/>
      <x:c r="F468" s="1"/>
      <x:c r="G468" s="1"/>
      <x:c r="H468" s="1"/>
      <x:c r="I468" s="1"/>
      <x:c r="J468" s="1"/>
      <x:c r="K468" s="1"/>
    </x:row>
    <x:row r="469" ht="14.5">
      <x:c r="A469" s="1"/>
      <x:c r="B469" s="1"/>
      <x:c r="C469" s="1"/>
      <x:c r="D469" s="1"/>
      <x:c r="E469" s="1"/>
      <x:c r="F469" s="1"/>
      <x:c r="G469" s="1"/>
      <x:c r="H469" s="1"/>
      <x:c r="I469" s="1"/>
      <x:c r="J469" s="1"/>
      <x:c r="K469" s="1"/>
    </x:row>
    <x:row r="470" ht="14.5">
      <x:c r="A470" s="1"/>
      <x:c r="B470" s="1"/>
      <x:c r="C470" s="1"/>
      <x:c r="D470" s="1"/>
      <x:c r="E470" s="1"/>
      <x:c r="F470" s="1"/>
      <x:c r="G470" s="1"/>
      <x:c r="H470" s="1"/>
      <x:c r="I470" s="1"/>
      <x:c r="J470" s="1"/>
      <x:c r="K470" s="1"/>
    </x:row>
    <x:row r="471" ht="14.5">
      <x:c r="A471" s="1"/>
      <x:c r="B471" s="1"/>
      <x:c r="C471" s="1"/>
      <x:c r="D471" s="1"/>
      <x:c r="E471" s="1"/>
      <x:c r="F471" s="1"/>
      <x:c r="G471" s="1"/>
      <x:c r="H471" s="1"/>
      <x:c r="I471" s="1"/>
      <x:c r="J471" s="1"/>
      <x:c r="K471" s="1"/>
    </x:row>
    <x:row r="472" ht="14.5">
      <x:c r="A472" s="1"/>
      <x:c r="B472" s="1"/>
      <x:c r="C472" s="1"/>
      <x:c r="D472" s="1"/>
      <x:c r="E472" s="1"/>
      <x:c r="F472" s="1"/>
      <x:c r="G472" s="1"/>
      <x:c r="H472" s="1"/>
      <x:c r="I472" s="1"/>
      <x:c r="J472" s="1"/>
      <x:c r="K472" s="1"/>
    </x:row>
    <x:row r="473" ht="14.5">
      <x:c r="A473" s="1"/>
      <x:c r="B473" s="1"/>
      <x:c r="C473" s="1"/>
      <x:c r="D473" s="1"/>
      <x:c r="E473" s="1"/>
      <x:c r="F473" s="1"/>
      <x:c r="G473" s="1"/>
      <x:c r="H473" s="1"/>
      <x:c r="I473" s="1"/>
      <x:c r="J473" s="1"/>
      <x:c r="K473" s="1"/>
    </x:row>
    <x:row r="474" ht="14.5">
      <x:c r="A474" s="1"/>
      <x:c r="B474" s="1"/>
      <x:c r="C474" s="1"/>
      <x:c r="D474" s="1"/>
      <x:c r="E474" s="1"/>
      <x:c r="F474" s="1"/>
      <x:c r="G474" s="1"/>
      <x:c r="H474" s="1"/>
      <x:c r="I474" s="1"/>
      <x:c r="J474" s="1"/>
      <x:c r="K474" s="1"/>
    </x:row>
    <x:row r="475" ht="14.5">
      <x:c r="A475" s="1"/>
      <x:c r="B475" s="1"/>
      <x:c r="C475" s="1"/>
      <x:c r="D475" s="1"/>
      <x:c r="E475" s="1"/>
      <x:c r="F475" s="1"/>
      <x:c r="G475" s="1"/>
      <x:c r="H475" s="1"/>
      <x:c r="I475" s="1"/>
      <x:c r="J475" s="1"/>
      <x:c r="K475" s="1"/>
    </x:row>
    <x:row r="476" ht="14.5">
      <x:c r="A476" s="1"/>
      <x:c r="B476" s="1"/>
      <x:c r="C476" s="1"/>
      <x:c r="D476" s="1"/>
      <x:c r="E476" s="1"/>
      <x:c r="F476" s="1"/>
      <x:c r="G476" s="1"/>
      <x:c r="H476" s="1"/>
      <x:c r="I476" s="1"/>
      <x:c r="J476" s="1"/>
      <x:c r="K476" s="1"/>
    </x:row>
    <x:row r="477" ht="14.5">
      <x:c r="A477" s="1"/>
      <x:c r="B477" s="1"/>
      <x:c r="C477" s="1"/>
      <x:c r="D477" s="1"/>
      <x:c r="E477" s="1"/>
      <x:c r="F477" s="1"/>
      <x:c r="G477" s="1"/>
      <x:c r="H477" s="1"/>
      <x:c r="I477" s="1"/>
      <x:c r="J477" s="1"/>
      <x:c r="K477" s="1"/>
    </x:row>
    <x:row r="478" ht="14.5">
      <x:c r="A478" s="1"/>
      <x:c r="B478" s="1"/>
      <x:c r="C478" s="1"/>
      <x:c r="D478" s="1"/>
      <x:c r="E478" s="1"/>
      <x:c r="F478" s="1"/>
      <x:c r="G478" s="1"/>
      <x:c r="H478" s="1"/>
      <x:c r="I478" s="1"/>
      <x:c r="J478" s="1"/>
      <x:c r="K478" s="1"/>
    </x:row>
    <x:row r="479" ht="14.5">
      <x:c r="A479" s="1"/>
      <x:c r="B479" s="1"/>
      <x:c r="C479" s="1"/>
      <x:c r="D479" s="1"/>
      <x:c r="E479" s="1"/>
      <x:c r="F479" s="1"/>
      <x:c r="G479" s="1"/>
      <x:c r="H479" s="1"/>
      <x:c r="I479" s="1"/>
      <x:c r="J479" s="1"/>
      <x:c r="K479" s="1"/>
    </x:row>
    <x:row r="480" ht="14.5">
      <x:c r="A480" s="1"/>
      <x:c r="B480" s="1"/>
      <x:c r="C480" s="1"/>
      <x:c r="D480" s="1"/>
      <x:c r="E480" s="1"/>
      <x:c r="F480" s="1"/>
      <x:c r="G480" s="1"/>
      <x:c r="H480" s="1"/>
      <x:c r="I480" s="1"/>
      <x:c r="J480" s="1"/>
      <x:c r="K480" s="1"/>
    </x:row>
    <x:row r="481" ht="14.5">
      <x:c r="A481" s="1"/>
      <x:c r="B481" s="1"/>
      <x:c r="C481" s="1"/>
      <x:c r="D481" s="1"/>
      <x:c r="E481" s="1"/>
      <x:c r="F481" s="1"/>
      <x:c r="G481" s="1"/>
      <x:c r="H481" s="1"/>
      <x:c r="I481" s="1"/>
      <x:c r="J481" s="1"/>
      <x:c r="K481" s="1"/>
    </x:row>
    <x:row r="482" ht="14.5">
      <x:c r="A482" s="1"/>
      <x:c r="B482" s="1"/>
      <x:c r="C482" s="1"/>
      <x:c r="D482" s="1"/>
      <x:c r="E482" s="1"/>
      <x:c r="F482" s="1"/>
      <x:c r="G482" s="1"/>
      <x:c r="H482" s="1"/>
      <x:c r="I482" s="1"/>
      <x:c r="J482" s="1"/>
      <x:c r="K482" s="1"/>
    </x:row>
    <x:row r="483" ht="14.5">
      <x:c r="A483" s="1"/>
      <x:c r="B483" s="1"/>
      <x:c r="C483" s="1"/>
      <x:c r="D483" s="1"/>
      <x:c r="E483" s="1"/>
      <x:c r="F483" s="1"/>
      <x:c r="G483" s="1"/>
      <x:c r="H483" s="1"/>
      <x:c r="I483" s="1"/>
      <x:c r="J483" s="1"/>
      <x:c r="K483" s="1"/>
    </x:row>
    <x:row r="484" ht="14.5">
      <x:c r="A484" s="1"/>
      <x:c r="B484" s="1"/>
      <x:c r="C484" s="1"/>
      <x:c r="D484" s="1"/>
      <x:c r="E484" s="1"/>
      <x:c r="F484" s="1"/>
      <x:c r="G484" s="1"/>
      <x:c r="H484" s="1"/>
      <x:c r="I484" s="1"/>
      <x:c r="J484" s="1"/>
      <x:c r="K484" s="1"/>
    </x:row>
    <x:row r="485" ht="14.5">
      <x:c r="A485" s="1"/>
      <x:c r="B485" s="1"/>
      <x:c r="C485" s="1"/>
      <x:c r="D485" s="1"/>
      <x:c r="E485" s="1"/>
      <x:c r="F485" s="1"/>
      <x:c r="G485" s="1"/>
      <x:c r="H485" s="1"/>
      <x:c r="I485" s="1"/>
      <x:c r="J485" s="1"/>
      <x:c r="K485" s="1"/>
    </x:row>
    <x:row r="486" ht="14.5">
      <x:c r="A486" s="1"/>
      <x:c r="B486" s="1"/>
      <x:c r="C486" s="1"/>
      <x:c r="D486" s="1"/>
      <x:c r="E486" s="1"/>
      <x:c r="F486" s="1"/>
      <x:c r="G486" s="1"/>
      <x:c r="H486" s="1"/>
      <x:c r="I486" s="1"/>
      <x:c r="J486" s="1"/>
      <x:c r="K486" s="1"/>
    </x:row>
    <x:row r="487" ht="14.5">
      <x:c r="A487" s="1"/>
      <x:c r="B487" s="1"/>
      <x:c r="C487" s="1"/>
      <x:c r="D487" s="1"/>
      <x:c r="E487" s="1"/>
      <x:c r="F487" s="1"/>
      <x:c r="G487" s="1"/>
      <x:c r="H487" s="1"/>
      <x:c r="I487" s="1"/>
      <x:c r="J487" s="1"/>
      <x:c r="K487" s="1"/>
    </x:row>
    <x:row r="488" ht="14.5">
      <x:c r="A488" s="1"/>
      <x:c r="B488" s="1"/>
      <x:c r="C488" s="1"/>
      <x:c r="D488" s="1"/>
      <x:c r="E488" s="1"/>
      <x:c r="F488" s="1"/>
      <x:c r="G488" s="1"/>
      <x:c r="H488" s="1"/>
      <x:c r="I488" s="1"/>
      <x:c r="J488" s="1"/>
      <x:c r="K488" s="1"/>
    </x:row>
    <x:row r="489" ht="14.5">
      <x:c r="A489" s="1"/>
      <x:c r="B489" s="1"/>
      <x:c r="C489" s="1"/>
      <x:c r="D489" s="1"/>
      <x:c r="E489" s="1"/>
      <x:c r="F489" s="1"/>
      <x:c r="G489" s="1"/>
      <x:c r="H489" s="1"/>
      <x:c r="I489" s="1"/>
      <x:c r="J489" s="1"/>
      <x:c r="K489" s="1"/>
    </x:row>
    <x:row r="490" ht="14.5">
      <x:c r="A490" s="1"/>
      <x:c r="B490" s="1"/>
      <x:c r="C490" s="1"/>
      <x:c r="D490" s="1"/>
      <x:c r="E490" s="1"/>
      <x:c r="F490" s="1"/>
      <x:c r="G490" s="1"/>
      <x:c r="H490" s="1"/>
      <x:c r="I490" s="1"/>
      <x:c r="J490" s="1"/>
      <x:c r="K490" s="1"/>
    </x:row>
    <x:row r="491" ht="14.5">
      <x:c r="A491" s="1"/>
      <x:c r="B491" s="1"/>
      <x:c r="C491" s="1"/>
      <x:c r="D491" s="1"/>
      <x:c r="E491" s="1"/>
      <x:c r="F491" s="1"/>
      <x:c r="G491" s="1"/>
      <x:c r="H491" s="1"/>
      <x:c r="I491" s="1"/>
      <x:c r="J491" s="1"/>
      <x:c r="K491" s="1"/>
    </x:row>
    <x:row r="492" ht="14.5">
      <x:c r="A492" s="1"/>
      <x:c r="B492" s="1"/>
      <x:c r="C492" s="1"/>
      <x:c r="D492" s="1"/>
      <x:c r="E492" s="1"/>
      <x:c r="F492" s="1"/>
      <x:c r="G492" s="1"/>
      <x:c r="H492" s="1"/>
      <x:c r="I492" s="1"/>
      <x:c r="J492" s="1"/>
      <x:c r="K492" s="1"/>
    </x:row>
    <x:row r="493" ht="14.5">
      <x:c r="A493" s="1"/>
      <x:c r="B493" s="1"/>
      <x:c r="C493" s="1"/>
      <x:c r="D493" s="1"/>
      <x:c r="E493" s="1"/>
      <x:c r="F493" s="1"/>
      <x:c r="G493" s="1"/>
      <x:c r="H493" s="1"/>
      <x:c r="I493" s="1"/>
      <x:c r="J493" s="1"/>
      <x:c r="K493" s="1"/>
    </x:row>
    <x:row r="494" ht="14.5">
      <x:c r="A494" s="1"/>
      <x:c r="B494" s="1"/>
      <x:c r="C494" s="1"/>
      <x:c r="D494" s="1"/>
      <x:c r="E494" s="1"/>
      <x:c r="F494" s="1"/>
      <x:c r="G494" s="1"/>
      <x:c r="H494" s="1"/>
      <x:c r="I494" s="1"/>
      <x:c r="J494" s="1"/>
      <x:c r="K494" s="1"/>
    </x:row>
    <x:row r="495" ht="14.5">
      <x:c r="A495" s="1"/>
      <x:c r="B495" s="1"/>
      <x:c r="C495" s="1"/>
      <x:c r="D495" s="1"/>
      <x:c r="E495" s="1"/>
      <x:c r="F495" s="1"/>
      <x:c r="G495" s="1"/>
      <x:c r="H495" s="1"/>
      <x:c r="I495" s="1"/>
      <x:c r="J495" s="1"/>
      <x:c r="K495" s="1"/>
    </x:row>
    <x:row r="496" ht="14.5">
      <x:c r="A496" s="1"/>
      <x:c r="B496" s="1"/>
      <x:c r="C496" s="1"/>
      <x:c r="D496" s="1"/>
      <x:c r="E496" s="1"/>
      <x:c r="F496" s="1"/>
      <x:c r="G496" s="1"/>
      <x:c r="H496" s="1"/>
      <x:c r="I496" s="1"/>
      <x:c r="J496" s="1"/>
      <x:c r="K496" s="1"/>
    </x:row>
    <x:row r="497" ht="14.5">
      <x:c r="A497" s="1"/>
      <x:c r="B497" s="1"/>
      <x:c r="C497" s="1"/>
      <x:c r="D497" s="1"/>
      <x:c r="E497" s="1"/>
      <x:c r="F497" s="1"/>
      <x:c r="G497" s="1"/>
      <x:c r="H497" s="1"/>
      <x:c r="I497" s="1"/>
      <x:c r="J497" s="1"/>
      <x:c r="K497" s="1"/>
    </x:row>
    <x:row r="498" ht="14.5">
      <x:c r="A498" s="1"/>
      <x:c r="B498" s="1"/>
      <x:c r="C498" s="1"/>
      <x:c r="D498" s="1"/>
      <x:c r="E498" s="1"/>
      <x:c r="F498" s="1"/>
      <x:c r="G498" s="1"/>
      <x:c r="H498" s="1"/>
      <x:c r="I498" s="1"/>
      <x:c r="J498" s="1"/>
      <x:c r="K498" s="1"/>
    </x:row>
    <x:row r="499" ht="14.5">
      <x:c r="A499" s="1"/>
      <x:c r="B499" s="1"/>
      <x:c r="C499" s="1"/>
      <x:c r="D499" s="1"/>
      <x:c r="E499" s="1"/>
      <x:c r="F499" s="1"/>
      <x:c r="G499" s="1"/>
      <x:c r="H499" s="1"/>
      <x:c r="I499" s="1"/>
      <x:c r="J499" s="1"/>
      <x:c r="K499" s="1"/>
    </x:row>
    <x:row r="500" ht="14.5">
      <x:c r="A500" s="1"/>
      <x:c r="B500" s="1"/>
      <x:c r="C500" s="1"/>
      <x:c r="D500" s="1"/>
      <x:c r="E500" s="1"/>
      <x:c r="F500" s="1"/>
      <x:c r="G500" s="1"/>
      <x:c r="H500" s="1"/>
      <x:c r="I500" s="1"/>
      <x:c r="J500" s="1"/>
      <x:c r="K500" s="1"/>
    </x:row>
    <x:row r="501" ht="14.5">
      <x:c r="A501" s="1"/>
      <x:c r="B501" s="1"/>
      <x:c r="C501" s="1"/>
      <x:c r="D501" s="1"/>
      <x:c r="E501" s="1"/>
      <x:c r="F501" s="1"/>
      <x:c r="G501" s="1"/>
      <x:c r="H501" s="1"/>
      <x:c r="I501" s="1"/>
      <x:c r="J501" s="1"/>
      <x:c r="K501" s="1"/>
    </x:row>
    <x:row r="502" ht="14.5">
      <x:c r="A502" s="1"/>
      <x:c r="B502" s="1"/>
      <x:c r="C502" s="1"/>
      <x:c r="D502" s="1"/>
      <x:c r="E502" s="1"/>
      <x:c r="F502" s="1"/>
      <x:c r="G502" s="1"/>
      <x:c r="H502" s="1"/>
      <x:c r="I502" s="1"/>
      <x:c r="J502" s="1"/>
      <x:c r="K502" s="1"/>
    </x:row>
    <x:row r="503" ht="14.5">
      <x:c r="A503" s="1"/>
      <x:c r="B503" s="1"/>
      <x:c r="C503" s="1"/>
      <x:c r="D503" s="1"/>
      <x:c r="E503" s="1"/>
      <x:c r="F503" s="1"/>
      <x:c r="G503" s="1"/>
      <x:c r="H503" s="1"/>
      <x:c r="I503" s="1"/>
      <x:c r="J503" s="1"/>
      <x:c r="K503" s="1"/>
    </x:row>
    <x:row r="504" ht="14.5">
      <x:c r="A504" s="1"/>
      <x:c r="B504" s="1"/>
      <x:c r="C504" s="1"/>
      <x:c r="D504" s="1"/>
      <x:c r="E504" s="1"/>
      <x:c r="F504" s="1"/>
      <x:c r="G504" s="1"/>
      <x:c r="H504" s="1"/>
      <x:c r="I504" s="1"/>
      <x:c r="J504" s="1"/>
      <x:c r="K504" s="1"/>
    </x:row>
    <x:row r="505" ht="14.5">
      <x:c r="A505" s="1"/>
      <x:c r="B505" s="1"/>
      <x:c r="C505" s="1"/>
      <x:c r="D505" s="1"/>
      <x:c r="E505" s="1"/>
      <x:c r="F505" s="1"/>
      <x:c r="G505" s="1"/>
      <x:c r="H505" s="1"/>
      <x:c r="I505" s="1"/>
      <x:c r="J505" s="1"/>
      <x:c r="K505" s="1"/>
    </x:row>
    <x:row r="506" ht="14.5">
      <x:c r="A506" s="1"/>
      <x:c r="B506" s="1"/>
      <x:c r="C506" s="1"/>
      <x:c r="D506" s="1"/>
      <x:c r="E506" s="1"/>
      <x:c r="F506" s="1"/>
      <x:c r="G506" s="1"/>
      <x:c r="H506" s="1"/>
      <x:c r="I506" s="1"/>
      <x:c r="J506" s="1"/>
      <x:c r="K506" s="1"/>
    </x:row>
    <x:row r="507" ht="14.5">
      <x:c r="A507" s="1"/>
      <x:c r="B507" s="1"/>
      <x:c r="C507" s="1"/>
      <x:c r="D507" s="1"/>
      <x:c r="E507" s="1"/>
      <x:c r="F507" s="1"/>
      <x:c r="G507" s="1"/>
      <x:c r="H507" s="1"/>
      <x:c r="I507" s="1"/>
      <x:c r="J507" s="1"/>
      <x:c r="K507" s="1"/>
    </x:row>
    <x:row r="508" ht="14.5">
      <x:c r="A508" s="1"/>
      <x:c r="B508" s="1"/>
      <x:c r="C508" s="1"/>
      <x:c r="D508" s="1"/>
      <x:c r="E508" s="1"/>
      <x:c r="F508" s="1"/>
      <x:c r="G508" s="1"/>
      <x:c r="H508" s="1"/>
      <x:c r="I508" s="1"/>
      <x:c r="J508" s="1"/>
      <x:c r="K508" s="1"/>
    </x:row>
    <x:row r="509" ht="14.5">
      <x:c r="A509" s="1"/>
      <x:c r="B509" s="1"/>
      <x:c r="C509" s="1"/>
      <x:c r="D509" s="1"/>
      <x:c r="E509" s="1"/>
      <x:c r="F509" s="1"/>
      <x:c r="G509" s="1"/>
      <x:c r="H509" s="1"/>
      <x:c r="I509" s="1"/>
      <x:c r="J509" s="1"/>
      <x:c r="K509" s="1"/>
    </x:row>
    <x:row r="510" ht="14.5">
      <x:c r="A510" s="1"/>
      <x:c r="B510" s="1"/>
      <x:c r="C510" s="1"/>
      <x:c r="D510" s="1"/>
      <x:c r="E510" s="1"/>
      <x:c r="F510" s="1"/>
      <x:c r="G510" s="1"/>
      <x:c r="H510" s="1"/>
      <x:c r="I510" s="1"/>
      <x:c r="J510" s="1"/>
      <x:c r="K510" s="1"/>
    </x:row>
    <x:row r="511" ht="14.5">
      <x:c r="A511" s="1"/>
      <x:c r="B511" s="1"/>
      <x:c r="C511" s="1"/>
      <x:c r="D511" s="1"/>
      <x:c r="E511" s="1"/>
      <x:c r="F511" s="1"/>
      <x:c r="G511" s="1"/>
      <x:c r="H511" s="1"/>
      <x:c r="I511" s="1"/>
      <x:c r="J511" s="1"/>
      <x:c r="K511" s="1"/>
    </x:row>
    <x:row r="512" ht="14.5">
      <x:c r="A512" s="1"/>
      <x:c r="B512" s="1"/>
      <x:c r="C512" s="1"/>
      <x:c r="D512" s="1"/>
      <x:c r="E512" s="1"/>
      <x:c r="F512" s="1"/>
      <x:c r="G512" s="1"/>
      <x:c r="H512" s="1"/>
      <x:c r="I512" s="1"/>
      <x:c r="J512" s="1"/>
      <x:c r="K512" s="1"/>
    </x:row>
    <x:row r="513" ht="14.5">
      <x:c r="A513" s="1"/>
      <x:c r="B513" s="1"/>
      <x:c r="C513" s="1"/>
      <x:c r="D513" s="1"/>
      <x:c r="E513" s="1"/>
      <x:c r="F513" s="1"/>
      <x:c r="G513" s="1"/>
      <x:c r="H513" s="1"/>
      <x:c r="I513" s="1"/>
      <x:c r="J513" s="1"/>
      <x:c r="K513" s="1"/>
    </x:row>
    <x:row r="514" ht="14.5">
      <x:c r="A514" s="1"/>
      <x:c r="B514" s="1"/>
      <x:c r="C514" s="1"/>
      <x:c r="D514" s="1"/>
      <x:c r="E514" s="1"/>
      <x:c r="F514" s="1"/>
      <x:c r="G514" s="1"/>
      <x:c r="H514" s="1"/>
      <x:c r="I514" s="1"/>
      <x:c r="J514" s="1"/>
      <x:c r="K514" s="1"/>
    </x:row>
    <x:row r="515" ht="14.5">
      <x:c r="A515" s="1"/>
      <x:c r="B515" s="1"/>
      <x:c r="C515" s="1"/>
      <x:c r="D515" s="1"/>
      <x:c r="E515" s="1"/>
      <x:c r="F515" s="1"/>
      <x:c r="G515" s="1"/>
      <x:c r="H515" s="1"/>
      <x:c r="I515" s="1"/>
      <x:c r="J515" s="1"/>
      <x:c r="K515" s="1"/>
    </x:row>
    <x:row r="516" ht="14.5">
      <x:c r="A516" s="1"/>
      <x:c r="B516" s="1"/>
      <x:c r="C516" s="1"/>
      <x:c r="D516" s="1"/>
      <x:c r="E516" s="1"/>
      <x:c r="F516" s="1"/>
      <x:c r="G516" s="1"/>
      <x:c r="H516" s="1"/>
      <x:c r="I516" s="1"/>
      <x:c r="J516" s="1"/>
      <x:c r="K516" s="1"/>
    </x:row>
    <x:row r="517" ht="14.5">
      <x:c r="A517" s="1"/>
      <x:c r="B517" s="1"/>
      <x:c r="C517" s="1"/>
      <x:c r="D517" s="1"/>
      <x:c r="E517" s="1"/>
      <x:c r="F517" s="1"/>
      <x:c r="G517" s="1"/>
      <x:c r="H517" s="1"/>
      <x:c r="I517" s="1"/>
      <x:c r="J517" s="1"/>
      <x:c r="K517" s="1"/>
    </x:row>
    <x:row r="518" ht="14.5">
      <x:c r="A518" s="1"/>
      <x:c r="B518" s="1"/>
      <x:c r="C518" s="1"/>
      <x:c r="D518" s="1"/>
      <x:c r="E518" s="1"/>
      <x:c r="F518" s="1"/>
      <x:c r="G518" s="1"/>
      <x:c r="H518" s="1"/>
      <x:c r="I518" s="1"/>
      <x:c r="J518" s="1"/>
      <x:c r="K518" s="1"/>
    </x:row>
    <x:row r="519" ht="14.5">
      <x:c r="A519" s="1"/>
      <x:c r="B519" s="1"/>
      <x:c r="C519" s="1"/>
      <x:c r="D519" s="1"/>
      <x:c r="E519" s="1"/>
      <x:c r="F519" s="1"/>
      <x:c r="G519" s="1"/>
      <x:c r="H519" s="1"/>
      <x:c r="I519" s="1"/>
      <x:c r="J519" s="1"/>
      <x:c r="K519" s="1"/>
    </x:row>
    <x:row r="520" ht="14.5">
      <x:c r="A520" s="1"/>
      <x:c r="B520" s="1"/>
      <x:c r="C520" s="1"/>
      <x:c r="D520" s="1"/>
      <x:c r="E520" s="1"/>
      <x:c r="F520" s="1"/>
      <x:c r="G520" s="1"/>
      <x:c r="H520" s="1"/>
      <x:c r="I520" s="1"/>
      <x:c r="J520" s="1"/>
      <x:c r="K520" s="1"/>
    </x:row>
    <x:row r="521" ht="14.5">
      <x:c r="A521" s="1"/>
      <x:c r="B521" s="1"/>
      <x:c r="C521" s="1"/>
      <x:c r="D521" s="1"/>
      <x:c r="E521" s="1"/>
      <x:c r="F521" s="1"/>
      <x:c r="G521" s="1"/>
      <x:c r="H521" s="1"/>
      <x:c r="I521" s="1"/>
      <x:c r="J521" s="1"/>
      <x:c r="K521" s="1"/>
    </x:row>
    <x:row r="522" ht="14.5">
      <x:c r="A522" s="1"/>
      <x:c r="B522" s="1"/>
      <x:c r="C522" s="1"/>
      <x:c r="D522" s="1"/>
      <x:c r="E522" s="1"/>
      <x:c r="F522" s="1"/>
      <x:c r="G522" s="1"/>
      <x:c r="H522" s="1"/>
      <x:c r="I522" s="1"/>
      <x:c r="J522" s="1"/>
      <x:c r="K522" s="1"/>
    </x:row>
    <x:row r="523" ht="14.5">
      <x:c r="A523" s="1"/>
      <x:c r="B523" s="1"/>
      <x:c r="C523" s="1"/>
      <x:c r="D523" s="1"/>
      <x:c r="E523" s="1"/>
      <x:c r="F523" s="1"/>
      <x:c r="G523" s="1"/>
      <x:c r="H523" s="1"/>
      <x:c r="I523" s="1"/>
      <x:c r="J523" s="1"/>
      <x:c r="K523" s="1"/>
    </x:row>
    <x:row r="524" ht="14.5">
      <x:c r="A524" s="1"/>
      <x:c r="B524" s="1"/>
      <x:c r="C524" s="1"/>
      <x:c r="D524" s="1"/>
      <x:c r="E524" s="1"/>
      <x:c r="F524" s="1"/>
      <x:c r="G524" s="1"/>
      <x:c r="H524" s="1"/>
      <x:c r="I524" s="1"/>
      <x:c r="J524" s="1"/>
      <x:c r="K524" s="1"/>
    </x:row>
    <x:row r="525" ht="14.5">
      <x:c r="A525" s="1"/>
      <x:c r="B525" s="1"/>
      <x:c r="C525" s="1"/>
      <x:c r="D525" s="1"/>
      <x:c r="E525" s="1"/>
      <x:c r="F525" s="1"/>
      <x:c r="G525" s="1"/>
      <x:c r="H525" s="1"/>
      <x:c r="I525" s="1"/>
      <x:c r="J525" s="1"/>
      <x:c r="K525" s="1"/>
    </x:row>
    <x:row r="526" ht="14.5">
      <x:c r="A526" s="1"/>
      <x:c r="B526" s="1"/>
      <x:c r="C526" s="1"/>
      <x:c r="D526" s="1"/>
      <x:c r="E526" s="1"/>
      <x:c r="F526" s="1"/>
      <x:c r="G526" s="1"/>
      <x:c r="H526" s="1"/>
      <x:c r="I526" s="1"/>
      <x:c r="J526" s="1"/>
      <x:c r="K526" s="1"/>
    </x:row>
    <x:row r="527" ht="14.5">
      <x:c r="A527" s="1"/>
      <x:c r="B527" s="1"/>
      <x:c r="C527" s="1"/>
      <x:c r="D527" s="1"/>
      <x:c r="E527" s="1"/>
      <x:c r="F527" s="1"/>
      <x:c r="G527" s="1"/>
      <x:c r="H527" s="1"/>
      <x:c r="I527" s="1"/>
      <x:c r="J527" s="1"/>
      <x:c r="K527" s="1"/>
    </x:row>
    <x:row r="528" ht="14.5">
      <x:c r="A528" s="1"/>
      <x:c r="B528" s="1"/>
      <x:c r="C528" s="1"/>
      <x:c r="D528" s="1"/>
      <x:c r="E528" s="1"/>
      <x:c r="F528" s="1"/>
      <x:c r="G528" s="1"/>
      <x:c r="H528" s="1"/>
      <x:c r="I528" s="1"/>
      <x:c r="J528" s="1"/>
      <x:c r="K528" s="1"/>
    </x:row>
    <x:row r="529" ht="14.5">
      <x:c r="A529" s="1"/>
      <x:c r="B529" s="1"/>
      <x:c r="C529" s="1"/>
      <x:c r="D529" s="1"/>
      <x:c r="E529" s="1"/>
      <x:c r="F529" s="1"/>
      <x:c r="G529" s="1"/>
      <x:c r="H529" s="1"/>
      <x:c r="I529" s="1"/>
      <x:c r="J529" s="1"/>
      <x:c r="K529" s="1"/>
    </x:row>
    <x:row r="530" ht="14.5">
      <x:c r="A530" s="1"/>
      <x:c r="B530" s="1"/>
      <x:c r="C530" s="1"/>
      <x:c r="D530" s="1"/>
      <x:c r="E530" s="1"/>
      <x:c r="F530" s="1"/>
      <x:c r="G530" s="1"/>
      <x:c r="H530" s="1"/>
      <x:c r="I530" s="1"/>
      <x:c r="J530" s="1"/>
      <x:c r="K530" s="1"/>
    </x:row>
    <x:row r="531" ht="14.5">
      <x:c r="A531" s="1"/>
      <x:c r="B531" s="1"/>
      <x:c r="C531" s="1"/>
      <x:c r="D531" s="1"/>
      <x:c r="E531" s="1"/>
      <x:c r="F531" s="1"/>
      <x:c r="G531" s="1"/>
      <x:c r="H531" s="1"/>
      <x:c r="I531" s="1"/>
      <x:c r="J531" s="1"/>
      <x:c r="K531" s="1"/>
    </x:row>
    <x:row r="532" ht="14.5">
      <x:c r="A532" s="1"/>
      <x:c r="B532" s="1"/>
      <x:c r="C532" s="1"/>
      <x:c r="D532" s="1"/>
      <x:c r="E532" s="1"/>
      <x:c r="F532" s="1"/>
      <x:c r="G532" s="1"/>
      <x:c r="H532" s="1"/>
      <x:c r="I532" s="1"/>
      <x:c r="J532" s="1"/>
      <x:c r="K532" s="1"/>
    </x:row>
    <x:row r="533" ht="14.5">
      <x:c r="A533" s="1"/>
      <x:c r="B533" s="1"/>
      <x:c r="C533" s="1"/>
      <x:c r="D533" s="1"/>
      <x:c r="E533" s="1"/>
      <x:c r="F533" s="1"/>
      <x:c r="G533" s="1"/>
      <x:c r="H533" s="1"/>
      <x:c r="I533" s="1"/>
      <x:c r="J533" s="1"/>
      <x:c r="K533" s="1"/>
    </x:row>
    <x:row r="534" ht="14.5">
      <x:c r="A534" s="1"/>
      <x:c r="B534" s="1"/>
      <x:c r="C534" s="1"/>
      <x:c r="D534" s="1"/>
      <x:c r="E534" s="1"/>
      <x:c r="F534" s="1"/>
      <x:c r="G534" s="1"/>
      <x:c r="H534" s="1"/>
      <x:c r="I534" s="1"/>
      <x:c r="J534" s="1"/>
      <x:c r="K534" s="1"/>
    </x:row>
    <x:row r="535" ht="14.5">
      <x:c r="A535" s="1"/>
      <x:c r="B535" s="1"/>
      <x:c r="C535" s="1"/>
      <x:c r="D535" s="1"/>
      <x:c r="E535" s="1"/>
      <x:c r="F535" s="1"/>
      <x:c r="G535" s="1"/>
      <x:c r="H535" s="1"/>
      <x:c r="I535" s="1"/>
      <x:c r="J535" s="1"/>
      <x:c r="K535" s="1"/>
    </x:row>
    <x:row r="536" ht="14.5">
      <x:c r="A536" s="1"/>
      <x:c r="B536" s="1"/>
      <x:c r="C536" s="1"/>
      <x:c r="D536" s="1"/>
      <x:c r="E536" s="1"/>
      <x:c r="F536" s="1"/>
      <x:c r="G536" s="1"/>
      <x:c r="H536" s="1"/>
      <x:c r="I536" s="1"/>
      <x:c r="J536" s="1"/>
      <x:c r="K536" s="1"/>
    </x:row>
    <x:row r="537" ht="14.5">
      <x:c r="A537" s="1"/>
      <x:c r="B537" s="1"/>
      <x:c r="C537" s="1"/>
      <x:c r="D537" s="1"/>
      <x:c r="E537" s="1"/>
      <x:c r="F537" s="1"/>
      <x:c r="G537" s="1"/>
      <x:c r="H537" s="1"/>
      <x:c r="I537" s="1"/>
      <x:c r="J537" s="1"/>
      <x:c r="K537" s="1"/>
    </x:row>
    <x:row r="538" ht="14.5">
      <x:c r="A538" s="1"/>
      <x:c r="B538" s="1"/>
      <x:c r="C538" s="1"/>
      <x:c r="D538" s="1"/>
      <x:c r="E538" s="1"/>
      <x:c r="F538" s="1"/>
      <x:c r="G538" s="1"/>
      <x:c r="H538" s="1"/>
      <x:c r="I538" s="1"/>
      <x:c r="J538" s="1"/>
      <x:c r="K538" s="1"/>
    </x:row>
    <x:row r="539" ht="14.5">
      <x:c r="A539" s="1"/>
      <x:c r="B539" s="1"/>
      <x:c r="C539" s="1"/>
      <x:c r="D539" s="1"/>
      <x:c r="E539" s="1"/>
      <x:c r="F539" s="1"/>
      <x:c r="G539" s="1"/>
      <x:c r="H539" s="1"/>
      <x:c r="I539" s="1"/>
      <x:c r="J539" s="1"/>
      <x:c r="K539" s="1"/>
    </x:row>
    <x:row r="540" ht="14.5">
      <x:c r="A540" s="1"/>
      <x:c r="B540" s="1"/>
      <x:c r="C540" s="1"/>
      <x:c r="D540" s="1"/>
      <x:c r="E540" s="1"/>
      <x:c r="F540" s="1"/>
      <x:c r="G540" s="1"/>
      <x:c r="H540" s="1"/>
      <x:c r="I540" s="1"/>
      <x:c r="J540" s="1"/>
      <x:c r="K540" s="1"/>
    </x:row>
    <x:row r="541" ht="14.5">
      <x:c r="A541" s="1"/>
      <x:c r="B541" s="1"/>
      <x:c r="C541" s="1"/>
      <x:c r="D541" s="1"/>
      <x:c r="E541" s="1"/>
      <x:c r="F541" s="1"/>
      <x:c r="G541" s="1"/>
      <x:c r="H541" s="1"/>
      <x:c r="I541" s="1"/>
      <x:c r="J541" s="1"/>
      <x:c r="K541" s="1"/>
    </x:row>
    <x:row r="542" ht="14.5">
      <x:c r="A542" s="1"/>
      <x:c r="B542" s="1"/>
      <x:c r="C542" s="1"/>
      <x:c r="D542" s="1"/>
      <x:c r="E542" s="1"/>
      <x:c r="F542" s="1"/>
      <x:c r="G542" s="1"/>
      <x:c r="H542" s="1"/>
      <x:c r="I542" s="1"/>
      <x:c r="J542" s="1"/>
      <x:c r="K542" s="1"/>
    </x:row>
    <x:row r="543" ht="14.5">
      <x:c r="A543" s="1"/>
      <x:c r="B543" s="1"/>
      <x:c r="C543" s="1"/>
      <x:c r="D543" s="1"/>
      <x:c r="E543" s="1"/>
      <x:c r="F543" s="1"/>
      <x:c r="G543" s="1"/>
      <x:c r="H543" s="1"/>
      <x:c r="I543" s="1"/>
      <x:c r="J543" s="1"/>
      <x:c r="K543" s="1"/>
    </x:row>
    <x:row r="544" ht="14.5">
      <x:c r="A544" s="1"/>
      <x:c r="B544" s="1"/>
      <x:c r="C544" s="1"/>
      <x:c r="D544" s="1"/>
      <x:c r="E544" s="1"/>
      <x:c r="F544" s="1"/>
      <x:c r="G544" s="1"/>
      <x:c r="H544" s="1"/>
      <x:c r="I544" s="1"/>
      <x:c r="J544" s="1"/>
      <x:c r="K544" s="1"/>
    </x:row>
    <x:row r="545" ht="14.5">
      <x:c r="A545" s="1"/>
      <x:c r="B545" s="1"/>
      <x:c r="C545" s="1"/>
      <x:c r="D545" s="1"/>
      <x:c r="E545" s="1"/>
      <x:c r="F545" s="1"/>
      <x:c r="G545" s="1"/>
      <x:c r="H545" s="1"/>
      <x:c r="I545" s="1"/>
      <x:c r="J545" s="1"/>
      <x:c r="K545" s="1"/>
    </x:row>
    <x:row r="546" ht="14.5">
      <x:c r="A546" s="1"/>
      <x:c r="B546" s="1"/>
      <x:c r="C546" s="1"/>
      <x:c r="D546" s="1"/>
      <x:c r="E546" s="1"/>
      <x:c r="F546" s="1"/>
      <x:c r="G546" s="1"/>
      <x:c r="H546" s="1"/>
      <x:c r="I546" s="1"/>
      <x:c r="J546" s="1"/>
      <x:c r="K546" s="1"/>
    </x:row>
    <x:row r="547" ht="14.5">
      <x:c r="A547" s="1"/>
      <x:c r="B547" s="1"/>
      <x:c r="C547" s="1"/>
      <x:c r="D547" s="1"/>
      <x:c r="E547" s="1"/>
      <x:c r="F547" s="1"/>
      <x:c r="G547" s="1"/>
      <x:c r="H547" s="1"/>
      <x:c r="I547" s="1"/>
      <x:c r="J547" s="1"/>
      <x:c r="K547" s="1"/>
    </x:row>
    <x:row r="548" ht="14.5">
      <x:c r="A548" s="1"/>
      <x:c r="B548" s="1"/>
      <x:c r="C548" s="1"/>
      <x:c r="D548" s="1"/>
      <x:c r="E548" s="1"/>
      <x:c r="F548" s="1"/>
      <x:c r="G548" s="1"/>
      <x:c r="H548" s="1"/>
      <x:c r="I548" s="1"/>
      <x:c r="J548" s="1"/>
      <x:c r="K548" s="1"/>
    </x:row>
    <x:row r="549" ht="14.5">
      <x:c r="A549" s="1"/>
      <x:c r="B549" s="1"/>
      <x:c r="C549" s="1"/>
      <x:c r="D549" s="1"/>
      <x:c r="E549" s="1"/>
      <x:c r="F549" s="1"/>
      <x:c r="G549" s="1"/>
      <x:c r="H549" s="1"/>
      <x:c r="I549" s="1"/>
      <x:c r="J549" s="1"/>
      <x:c r="K549" s="1"/>
    </x:row>
    <x:row r="550" ht="14.5">
      <x:c r="A550" s="1"/>
      <x:c r="B550" s="1"/>
      <x:c r="C550" s="1"/>
      <x:c r="D550" s="1"/>
      <x:c r="E550" s="1"/>
      <x:c r="F550" s="1"/>
      <x:c r="G550" s="1"/>
      <x:c r="H550" s="1"/>
      <x:c r="I550" s="1"/>
      <x:c r="J550" s="1"/>
      <x:c r="K550" s="1"/>
    </x:row>
    <x:row r="551" ht="14.5">
      <x:c r="A551" s="1"/>
      <x:c r="B551" s="1"/>
      <x:c r="C551" s="1"/>
      <x:c r="D551" s="1"/>
      <x:c r="E551" s="1"/>
      <x:c r="F551" s="1"/>
      <x:c r="G551" s="1"/>
      <x:c r="H551" s="1"/>
      <x:c r="I551" s="1"/>
      <x:c r="J551" s="1"/>
      <x:c r="K551" s="1"/>
    </x:row>
    <x:row r="552" ht="14.5">
      <x:c r="A552" s="1"/>
      <x:c r="B552" s="1"/>
      <x:c r="C552" s="1"/>
      <x:c r="D552" s="1"/>
      <x:c r="E552" s="1"/>
      <x:c r="F552" s="1"/>
      <x:c r="G552" s="1"/>
      <x:c r="H552" s="1"/>
      <x:c r="I552" s="1"/>
      <x:c r="J552" s="1"/>
      <x:c r="K552" s="1"/>
    </x:row>
    <x:row r="553" ht="14.5">
      <x:c r="A553" s="1"/>
      <x:c r="B553" s="1"/>
      <x:c r="C553" s="1"/>
      <x:c r="D553" s="1"/>
      <x:c r="E553" s="1"/>
      <x:c r="F553" s="1"/>
      <x:c r="G553" s="1"/>
      <x:c r="H553" s="1"/>
      <x:c r="I553" s="1"/>
      <x:c r="J553" s="1"/>
      <x:c r="K553" s="1"/>
    </x:row>
    <x:row r="554" ht="14.5">
      <x:c r="A554" s="1"/>
      <x:c r="B554" s="1"/>
      <x:c r="C554" s="1"/>
      <x:c r="D554" s="1"/>
      <x:c r="E554" s="1"/>
      <x:c r="F554" s="1"/>
      <x:c r="G554" s="1"/>
      <x:c r="H554" s="1"/>
      <x:c r="I554" s="1"/>
      <x:c r="J554" s="1"/>
      <x:c r="K554" s="1"/>
    </x:row>
    <x:row r="555" ht="14.5">
      <x:c r="A555" s="1"/>
      <x:c r="B555" s="1"/>
      <x:c r="C555" s="1"/>
      <x:c r="D555" s="1"/>
      <x:c r="E555" s="1"/>
      <x:c r="F555" s="1"/>
      <x:c r="G555" s="1"/>
      <x:c r="H555" s="1"/>
      <x:c r="I555" s="1"/>
      <x:c r="J555" s="1"/>
      <x:c r="K555" s="1"/>
    </x:row>
    <x:row r="556" ht="14.5">
      <x:c r="A556" s="1"/>
      <x:c r="B556" s="1"/>
      <x:c r="C556" s="1"/>
      <x:c r="D556" s="1"/>
      <x:c r="E556" s="1"/>
      <x:c r="F556" s="1"/>
      <x:c r="G556" s="1"/>
      <x:c r="H556" s="1"/>
      <x:c r="I556" s="1"/>
      <x:c r="J556" s="1"/>
      <x:c r="K556" s="1"/>
    </x:row>
    <x:row r="557" ht="14.5">
      <x:c r="A557" s="1"/>
      <x:c r="B557" s="1"/>
      <x:c r="C557" s="1"/>
      <x:c r="D557" s="1"/>
      <x:c r="E557" s="1"/>
      <x:c r="F557" s="1"/>
      <x:c r="G557" s="1"/>
      <x:c r="H557" s="1"/>
      <x:c r="I557" s="1"/>
      <x:c r="J557" s="1"/>
      <x:c r="K557" s="1"/>
    </x:row>
    <x:row r="558" ht="14.5">
      <x:c r="A558" s="1"/>
      <x:c r="B558" s="1"/>
      <x:c r="C558" s="1"/>
      <x:c r="D558" s="1"/>
      <x:c r="E558" s="1"/>
      <x:c r="F558" s="1"/>
      <x:c r="G558" s="1"/>
      <x:c r="H558" s="1"/>
      <x:c r="I558" s="1"/>
      <x:c r="J558" s="1"/>
      <x:c r="K558" s="1"/>
    </x:row>
    <x:row r="559" ht="14.5">
      <x:c r="A559" s="1"/>
      <x:c r="B559" s="1"/>
      <x:c r="C559" s="1"/>
      <x:c r="D559" s="1"/>
      <x:c r="E559" s="1"/>
      <x:c r="F559" s="1"/>
      <x:c r="G559" s="1"/>
      <x:c r="H559" s="1"/>
      <x:c r="I559" s="1"/>
      <x:c r="J559" s="1"/>
      <x:c r="K559" s="1"/>
    </x:row>
    <x:row r="560" ht="14.5">
      <x:c r="A560" s="1"/>
      <x:c r="B560" s="1"/>
      <x:c r="C560" s="1"/>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G1"/>
    <x:mergeCell ref="A2:G2"/>
    <x:mergeCell ref="A3:G3"/>
    <x:mergeCell ref="A4:G4"/>
  </x:mergeCells>
  <x:pageMargins left="0.7" right="0.7" top="0.75" bottom="0.75" header="0.3" footer="0.3"/>
  <x:tableParts count="1">
    <x:tablePart xmlns:r="http://schemas.openxmlformats.org/officeDocument/2006/relationships" r:id="Rcecb4376151c4a2c"/>
  </x:tableParts>
</x:worksheet>
</file>

<file path=xl/worksheets/sheet2.xml><?xml version="1.0" encoding="utf-8"?>
<x:worksheet xmlns:x="http://schemas.openxmlformats.org/spreadsheetml/2006/main">
  <x:sheetViews>
    <x:sheetView showGridLines="0" workbookViewId="0">
      <x:pane ySplit="10" topLeftCell="A11" activePane="bottomLeft" state="frozen"/>
      <x:selection pane="bottomLeft" activeCell="C21" sqref="C21"/>
    </x:sheetView>
  </x:sheetViews>
  <x:sheetFormatPr defaultRowHeight="14"/>
  <x:cols>
    <x:col min="1" max="1" width="82" customWidth="1"/>
    <x:col min="2" max="2" width="19" customWidth="1"/>
    <x:col min="3" max="3" width="23" customWidth="1"/>
    <x:col min="4" max="4" width="24" customWidth="1"/>
  </x:cols>
  <x:sheetData>
    <x:row r="1" ht="30" customHeight="1">
      <x:c r="A1" s="11" t="s">
        <x:v>10</x:v>
      </x:c>
      <x:c r="B1" s="11"/>
      <x:c r="C1" s="11"/>
      <x:c r="D1" s="11"/>
      <x:c r="E1" s="1"/>
      <x:c r="F1" s="1"/>
      <x:c r="G1" s="1"/>
      <x:c r="H1" s="1"/>
      <x:c r="I1" s="1"/>
      <x:c r="J1" s="1"/>
      <x:c r="K1" s="1"/>
    </x:row>
    <x:row r="2" ht="34" customHeight="1">
      <x:c r="A2" s="12" t="s">
        <x:v>11</x:v>
      </x:c>
      <x:c r="B2" s="12"/>
      <x:c r="C2" s="12"/>
      <x:c r="D2" s="12"/>
      <x:c r="E2" s="1"/>
      <x:c r="F2" s="1"/>
      <x:c r="G2" s="1"/>
      <x:c r="H2" s="1"/>
      <x:c r="I2" s="1"/>
      <x:c r="J2" s="1"/>
      <x:c r="K2" s="1"/>
    </x:row>
    <x:row r="3" ht="14.5">
      <x:c r="A3" s="1"/>
      <x:c r="B3" s="1"/>
      <x:c r="C3" s="1"/>
      <x:c r="D3" s="1"/>
      <x:c r="E3" s="1"/>
      <x:c r="F3" s="1"/>
      <x:c r="G3" s="1"/>
      <x:c r="H3" s="1"/>
      <x:c r="I3" s="1"/>
      <x:c r="J3" s="1"/>
      <x:c r="K3" s="1"/>
    </x:row>
    <x:row r="4" ht="14.5">
      <x:c r="A4" s="1" t="s">
        <x:v>12</x:v>
      </x:c>
      <x:c r="B4" s="1" t="s">
        <x:v>13</x:v>
      </x:c>
      <x:c r="C4" s="1"/>
      <x:c r="D4" s="1"/>
      <x:c r="E4" s="1"/>
      <x:c r="F4" s="1"/>
      <x:c r="G4" s="1"/>
      <x:c r="H4" s="1"/>
      <x:c r="I4" s="1"/>
      <x:c r="J4" s="1"/>
      <x:c r="K4" s="1"/>
    </x:row>
    <x:row r="5" ht="14.5">
      <x:c r="A5" s="1" t="s">
        <x:v>14</x:v>
      </x:c>
      <x:c r="B5" s="1">
        <x:v>374</x:v>
      </x:c>
      <x:c r="C5" s="1"/>
      <x:c r="D5" s="1"/>
      <x:c r="E5" s="1"/>
      <x:c r="F5" s="1"/>
      <x:c r="G5" s="1"/>
      <x:c r="H5" s="1"/>
      <x:c r="I5" s="1"/>
      <x:c r="J5" s="1"/>
      <x:c r="K5" s="1"/>
    </x:row>
    <x:row r="6" ht="14.5">
      <x:c r="A6" s="1" t="s">
        <x:v>15</x:v>
      </x:c>
      <x:c r="B6" s="6">
        <x:v>10308126.303982593</x:v>
      </x:c>
      <x:c r="C6" s="1"/>
      <x:c r="D6" s="1"/>
      <x:c r="E6" s="1"/>
      <x:c r="F6" s="1"/>
      <x:c r="G6" s="1"/>
      <x:c r="H6" s="1"/>
      <x:c r="I6" s="1"/>
      <x:c r="J6" s="1"/>
      <x:c r="K6" s="1"/>
    </x:row>
    <x:row r="7" ht="14.5">
      <x:c r="A7" s="1" t="str">
        <x:v>Simple-chain PPR (t C)</x:v>
      </x:c>
      <x:c r="B7" s="6">
        <x:v>837452937.7894479</x:v>
      </x:c>
      <x:c r="C7" s="1"/>
      <x:c r="D7" s="1"/>
      <x:c r="E7" s="1"/>
      <x:c r="F7" s="1"/>
      <x:c r="G7" s="1"/>
      <x:c r="H7" s="1"/>
      <x:c r="I7" s="1"/>
      <x:c r="J7" s="1"/>
      <x:c r="K7" s="1"/>
    </x:row>
    <x:row r="8" ht="14.5">
      <x:c r="A8" s="1" t="s">
        <x:v>16</x:v>
      </x:c>
      <x:c r="B8" s="1">
        <x:v>34</x:v>
      </x:c>
      <x:c r="C8" s="1"/>
      <x:c r="D8" s="1"/>
      <x:c r="E8" s="1"/>
      <x:c r="F8" s="1"/>
      <x:c r="G8" s="1"/>
      <x:c r="H8" s="1"/>
      <x:c r="I8" s="1"/>
      <x:c r="J8" s="1"/>
      <x:c r="K8" s="1"/>
    </x:row>
    <x:row r="9" ht="14.5">
      <x:c r="A9" s="1"/>
      <x:c r="B9" s="1"/>
      <x:c r="C9" s="1"/>
      <x:c r="D9" s="1"/>
      <x:c r="E9" s="1"/>
      <x:c r="F9" s="1"/>
      <x:c r="G9" s="1"/>
      <x:c r="H9" s="1"/>
      <x:c r="I9" s="1"/>
      <x:c r="J9" s="1"/>
      <x:c r="K9" s="1"/>
    </x:row>
    <x:row r="10" ht="34" customHeight="1">
      <x:c r="A10" s="3" t="s">
        <x:v>17</x:v>
      </x:c>
      <x:c r="B10" s="3" t="s">
        <x:v>18</x:v>
      </x:c>
      <x:c r="C10" s="3" t="s">
        <x:v>19</x:v>
      </x:c>
      <x:c r="D10" s="3" t="s">
        <x:v>20</x:v>
      </x:c>
      <x:c r="E10" s="1"/>
      <x:c r="F10" s="1"/>
      <x:c r="G10" s="1"/>
      <x:c r="H10" s="1"/>
      <x:c r="I10" s="1"/>
      <x:c r="J10" s="1"/>
      <x:c r="K10" s="1"/>
    </x:row>
    <x:row r="11" ht="14.5">
      <x:c r="A11" s="2" t="inlineStr">
        <x:is>
          <x:t xml:space="preserve">High</x:t>
        </x:is>
      </x:c>
      <x:c r="B11" s="2">
        <x:v>142</x:v>
      </x:c>
      <x:c r="C11" s="7">
        <x:v>0.3902077911562384</x:v>
      </x:c>
      <x:c r="D11" s="7">
        <x:v>0.3188294647188484</x:v>
      </x:c>
      <x:c r="E11" s="1"/>
      <x:c r="F11" s="1"/>
      <x:c r="G11" s="1"/>
      <x:c r="H11" s="1"/>
      <x:c r="I11" s="1"/>
      <x:c r="J11" s="1"/>
      <x:c r="K11" s="1"/>
    </x:row>
    <x:row r="12" ht="14.5">
      <x:c r="A12" s="2" t="inlineStr">
        <x:is>
          <x:t xml:space="preserve">Medium</x:t>
        </x:is>
      </x:c>
      <x:c r="B12" s="2">
        <x:v>165</x:v>
      </x:c>
      <x:c r="C12" s="7">
        <x:v>0.29833399094040314</x:v>
      </x:c>
      <x:c r="D12" s="7">
        <x:v>0.47720692042423574</x:v>
      </x:c>
      <x:c r="E12" s="1"/>
      <x:c r="F12" s="1"/>
      <x:c r="G12" s="1"/>
      <x:c r="H12" s="1"/>
      <x:c r="I12" s="1"/>
      <x:c r="J12" s="1"/>
      <x:c r="K12" s="1"/>
    </x:row>
    <x:row r="13" ht="14.5">
      <x:c r="A13" s="2" t="inlineStr">
        <x:is>
          <x:t xml:space="preserve">Low</x:t>
        </x:is>
      </x:c>
      <x:c r="B13" s="2">
        <x:v>57</x:v>
      </x:c>
      <x:c r="C13" s="7">
        <x:v>0.18942612209776769</x:v>
      </x:c>
      <x:c r="D13" s="7">
        <x:v>0.16385342058351146</x:v>
      </x:c>
      <x:c r="E13" s="1"/>
      <x:c r="F13" s="1"/>
      <x:c r="G13" s="1"/>
      <x:c r="H13" s="1"/>
      <x:c r="I13" s="1"/>
      <x:c r="J13" s="1"/>
      <x:c r="K13" s="1"/>
    </x:row>
    <x:row r="14" ht="14.5">
      <x:c r="A14" s="2" t="inlineStr">
        <x:is>
          <x:t xml:space="preserve">Very low</x:t>
        </x:is>
      </x:c>
      <x:c r="B14" s="2">
        <x:v>10</x:v>
      </x:c>
      <x:c r="C14" s="7">
        <x:v>0.12203209580559088</x:v>
      </x:c>
      <x:c r="D14" s="7">
        <x:v>0.040110194273404474</x:v>
      </x:c>
      <x:c r="E14" s="1"/>
      <x:c r="F14" s="1"/>
      <x:c r="G14" s="1"/>
      <x:c r="H14" s="1"/>
      <x:c r="I14" s="1"/>
      <x:c r="J14" s="1"/>
      <x:c r="K14" s="1"/>
    </x:row>
    <x:row r="15" ht="14.5">
      <x:c r="A15" s="2" t="inlineStr">
        <x:is>
          <x:t xml:space="preserve">Unresolved</x:t>
        </x:is>
      </x:c>
      <x:c r="B15" s="2">
        <x:v>0</x:v>
      </x:c>
      <x:c r="C15" s="7">
        <x:v>0.0</x:v>
      </x:c>
      <x:c r="D15" s="7">
        <x:v>0.0</x:v>
      </x:c>
      <x:c r="E15" s="1"/>
      <x:c r="F15" s="1"/>
      <x:c r="G15" s="1"/>
      <x:c r="H15" s="1"/>
      <x:c r="I15" s="1"/>
      <x:c r="J15" s="1"/>
      <x:c r="K15" s="1"/>
    </x:row>
    <x:row r="16" ht="34" customHeight="1">
      <x:c r="A16" s="12" t="str">
        <x:v>Overall confidence is the weaker membership or allocation confidence. Rule percentages describe the simple-chain PPR associated with each component rule.</x:v>
      </x:c>
      <x:c r="B16" s="12"/>
      <x:c r="C16" s="12"/>
      <x:c r="D16" s="12"/>
      <x:c r="E16" s="1"/>
      <x:c r="F16" s="1"/>
      <x:c r="G16" s="1"/>
      <x:c r="H16" s="1"/>
      <x:c r="I16" s="1"/>
      <x:c r="J16" s="1"/>
      <x:c r="K16" s="1"/>
    </x:row>
    <x:row r="17" ht="14.5">
      <x:c r="A17" s="1"/>
      <x:c r="B17" s="1"/>
      <x:c r="C17" s="1"/>
      <x:c r="D17" s="1"/>
      <x:c r="E17" s="1"/>
      <x:c r="F17" s="1"/>
      <x:c r="G17" s="1"/>
      <x:c r="H17" s="1"/>
      <x:c r="I17" s="1"/>
      <x:c r="J17" s="1"/>
      <x:c r="K17" s="1"/>
    </x:row>
    <x:row r="18" ht="30" customHeight="1">
      <x:c r="A18" s="13" t="str">
        <x:v>Group assignment rules</x:v>
      </x:c>
      <x:c r="B18" s="13"/>
      <x:c r="C18" s="13"/>
      <x:c r="D18" s="13"/>
      <x:c r="E18" s="1"/>
      <x:c r="F18" s="1"/>
      <x:c r="G18" s="1"/>
      <x:c r="H18" s="1"/>
      <x:c r="I18" s="1"/>
      <x:c r="J18" s="1"/>
      <x:c r="K18" s="1"/>
    </x:row>
    <x:row r="19" ht="14.5">
      <x:c r="A19"/>
      <x:c r="B19"/>
      <x:c r="C19"/>
      <x:c r="D19"/>
      <x:c r="E19" s="1"/>
      <x:c r="F19" s="1"/>
      <x:c r="G19" s="1"/>
      <x:c r="H19" s="1"/>
      <x:c r="I19" s="1"/>
      <x:c r="J19" s="1"/>
      <x:c r="K19" s="1"/>
    </x:row>
    <x:row r="20" ht="34" customHeight="1">
      <x:c r="A20" s="19" t="str">
        <x:v>Plain-language rule</x:v>
      </x:c>
      <x:c r="B20" s="19" t="str">
        <x:v>Confidence</x:v>
      </x:c>
      <x:c r="C20" s="19" t="str">
        <x:v>PPR percentage</x:v>
      </x:c>
      <x:c r="D20"/>
      <x:c r="E20" s="1"/>
      <x:c r="F20" s="1"/>
      <x:c r="G20" s="1"/>
      <x:c r="H20" s="1"/>
      <x:c r="I20" s="1"/>
      <x:c r="J20" s="1"/>
      <x:c r="K20" s="1"/>
    </x:row>
    <x:row r="21" ht="48" customHeight="1">
      <x:c r="A21" s="16" t="inlineStr">
        <x:is>
          <x:t xml:space="preserve">Documented taxonomy and ecology unambiguously meet the group definition</x:t>
        </x:is>
      </x:c>
      <x:c r="B21" s="16" t="inlineStr">
        <x:is>
          <x:t xml:space="preserve">High</x:t>
        </x:is>
      </x:c>
      <x:c r="C21" s="20">
        <x:v>0.48115981073419717</x:v>
      </x:c>
      <x:c r="D21"/>
      <x:c r="E21" s="1"/>
      <x:c r="F21" s="1"/>
      <x:c r="G21" s="1"/>
      <x:c r="H21" s="1"/>
      <x:c r="I21" s="1"/>
      <x:c r="J21" s="1"/>
      <x:c r="K21" s="1"/>
    </x:row>
    <x:row r="22" ht="48" customHeight="1">
      <x:c r="A22" s="16" t="inlineStr">
        <x:is>
          <x:t xml:space="preserve">Ecological fit is partial or the source definition is conflicting</x:t>
        </x:is>
      </x:c>
      <x:c r="B22" s="16" t="inlineStr">
        <x:is>
          <x:t xml:space="preserve">Low</x:t>
        </x:is>
      </x:c>
      <x:c r="C22" s="20">
        <x:v>0.16385342058351146</x:v>
      </x:c>
      <x:c r="D22"/>
      <x:c r="E22" s="1"/>
      <x:c r="F22" s="1"/>
      <x:c r="G22" s="1"/>
      <x:c r="H22" s="1"/>
      <x:c r="I22" s="1"/>
      <x:c r="J22" s="1"/>
      <x:c r="K22" s="1"/>
    </x:row>
    <x:row r="23" ht="48" customHeight="1">
      <x:c r="A23" s="16" t="inlineStr">
        <x:is>
          <x:t xml:space="preserve">The source explicitly assigns the taxon to the model group</x:t>
        </x:is>
      </x:c>
      <x:c r="B23" s="16" t="inlineStr">
        <x:is>
          <x:t xml:space="preserve">High</x:t>
        </x:is>
      </x:c>
      <x:c r="C23" s="20">
        <x:v>0.15207743961776304</x:v>
      </x:c>
      <x:c r="D23"/>
      <x:c r="E23" s="1"/>
      <x:c r="F23" s="1"/>
      <x:c r="G23" s="1"/>
      <x:c r="H23" s="1"/>
      <x:c r="I23" s="1"/>
      <x:c r="J23" s="1"/>
      <x:c r="K23" s="1"/>
    </x:row>
    <x:row r="24" ht="48" customHeight="1">
      <x:c r="A24" s="16" t="inlineStr">
        <x:is>
          <x:t xml:space="preserve">Taxonomy, ecology and group definitions support the eligible group set</x:t>
        </x:is>
      </x:c>
      <x:c r="B24" s="16" t="inlineStr">
        <x:is>
          <x:t xml:space="preserve">Medium</x:t>
        </x:is>
      </x:c>
      <x:c r="C24" s="20">
        <x:v>0.1513235368333196</x:v>
      </x:c>
      <x:c r="D24"/>
      <x:c r="E24" s="1"/>
      <x:c r="F24" s="1"/>
      <x:c r="G24" s="1"/>
      <x:c r="H24" s="1"/>
      <x:c r="I24" s="1"/>
      <x:c r="J24" s="1"/>
      <x:c r="K24" s="1"/>
    </x:row>
    <x:row r="25" ht="48" customHeight="1">
      <x:c r="A25" s="16" t="inlineStr">
        <x:is>
          <x:t xml:space="preserve">A broad catch label is approximated by compatible model groups</x:t>
        </x:is>
      </x:c>
      <x:c r="B25" s="16" t="inlineStr">
        <x:is>
          <x:t xml:space="preserve">Very low</x:t>
        </x:is>
      </x:c>
      <x:c r="C25" s="20">
        <x:v>0.04010994571212536</x:v>
      </x:c>
      <x:c r="D25"/>
      <x:c r="E25" s="1"/>
      <x:c r="F25" s="1"/>
      <x:c r="G25" s="1"/>
      <x:c r="H25" s="1"/>
      <x:c r="I25" s="1"/>
      <x:c r="J25" s="1"/>
      <x:c r="K25" s="1"/>
    </x:row>
    <x:row r="26" ht="48" customHeight="1">
      <x:c r="A26" s="16" t="inlineStr">
        <x:is>
          <x:t xml:space="preserve">Documented size and habitat support an ecological assignment</x:t>
        </x:is>
      </x:c>
      <x:c r="B26" s="16" t="inlineStr">
        <x:is>
          <x:t xml:space="preserve">Medium</x:t>
        </x:is>
      </x:c>
      <x:c r="C26" s="20">
        <x:v>0.011475597957804253</x:v>
      </x:c>
      <x:c r="D26"/>
      <x:c r="E26" s="1"/>
      <x:c r="F26" s="1"/>
      <x:c r="G26" s="1"/>
      <x:c r="H26" s="1"/>
      <x:c r="I26" s="1"/>
      <x:c r="J26" s="1"/>
      <x:c r="K26" s="1"/>
    </x:row>
    <x:row r="27" ht="48" customHeight="1">
      <x:c r="A27" s="16" t="inlineStr">
        <x:is>
          <x:t xml:space="preserve">The closest represented ecological analogue substitutes for an absent group</x:t>
        </x:is>
      </x:c>
      <x:c r="B27" s="16" t="inlineStr">
        <x:is>
          <x:t xml:space="preserve">Very low</x:t>
        </x:is>
      </x:c>
      <x:c r="C27" s="21">
        <x:v>2.485612791130796e-07</x:v>
      </x:c>
      <x:c r="D27"/>
      <x:c r="E27" s="1"/>
      <x:c r="F27" s="1"/>
      <x:c r="G27" s="1"/>
      <x:c r="H27" s="1"/>
      <x:c r="I27" s="1"/>
      <x:c r="J27" s="1"/>
      <x:c r="K27" s="1"/>
    </x:row>
    <x:row r="28" ht="42" customHeight="1">
      <x:c r="A28"/>
      <x:c r="B28"/>
      <x:c r="C28"/>
      <x:c r="D28"/>
      <x:c r="E28" s="1"/>
      <x:c r="F28" s="1"/>
      <x:c r="G28" s="1"/>
      <x:c r="H28" s="1"/>
      <x:c r="I28" s="1"/>
      <x:c r="J28" s="1"/>
      <x:c r="K28" s="1"/>
    </x:row>
    <x:row r="29" ht="14.5">
      <x:c r="A29"/>
      <x:c r="B29"/>
      <x:c r="C29"/>
      <x:c r="D29"/>
      <x:c r="E29" s="1"/>
      <x:c r="F29" s="1"/>
      <x:c r="G29" s="1"/>
      <x:c r="H29" s="1"/>
      <x:c r="I29" s="1"/>
      <x:c r="J29" s="1"/>
      <x:c r="K29" s="1"/>
    </x:row>
    <x:row r="30" ht="30" customHeight="1">
      <x:c r="A30" s="13" t="str">
        <x:v>Allocation weight rules</x:v>
      </x:c>
      <x:c r="B30" s="13"/>
      <x:c r="C30" s="13"/>
      <x:c r="D30" s="13"/>
      <x:c r="E30" s="1"/>
      <x:c r="F30" s="1"/>
      <x:c r="G30" s="1"/>
      <x:c r="H30" s="1"/>
      <x:c r="I30" s="1"/>
      <x:c r="J30" s="1"/>
      <x:c r="K30" s="1"/>
    </x:row>
    <x:row r="31" ht="30" customHeight="1">
      <x:c r="A31"/>
      <x:c r="B31"/>
      <x:c r="C31"/>
      <x:c r="D31"/>
      <x:c r="E31" s="1"/>
      <x:c r="F31" s="1"/>
      <x:c r="G31" s="1"/>
      <x:c r="H31" s="1"/>
      <x:c r="I31" s="1"/>
      <x:c r="J31" s="1"/>
      <x:c r="K31" s="1"/>
    </x:row>
    <x:row r="32" ht="34" customHeight="1">
      <x:c r="A32" s="19" t="str">
        <x:v>Plain-language rule</x:v>
      </x:c>
      <x:c r="B32" s="19" t="str">
        <x:v>Confidence</x:v>
      </x:c>
      <x:c r="C32" s="19" t="str">
        <x:v>PPR percentage</x:v>
      </x:c>
      <x:c r="D32"/>
      <x:c r="E32" s="1"/>
      <x:c r="F32" s="1"/>
      <x:c r="G32" s="1"/>
      <x:c r="H32" s="1"/>
      <x:c r="I32" s="1"/>
      <x:c r="J32" s="1"/>
      <x:c r="K32" s="1"/>
    </x:row>
    <x:row r="33" ht="48" customHeight="1">
      <x:c r="A33" s="16" t="inlineStr">
        <x:is>
          <x:t xml:space="preserve">Model catch proportions supply an assumed allocation across eligible groups</x:t>
        </x:is>
      </x:c>
      <x:c r="B33" s="16" t="inlineStr">
        <x:is>
          <x:t xml:space="preserve">Medium</x:t>
        </x:is>
      </x:c>
      <x:c r="C33" s="20">
        <x:v>0.6507985804663109</x:v>
      </x:c>
      <x:c r="D33"/>
      <x:c r="E33" s="1"/>
      <x:c r="F33" s="1"/>
      <x:c r="G33" s="1"/>
      <x:c r="H33" s="1"/>
      <x:c r="I33" s="1"/>
      <x:c r="J33" s="1"/>
      <x:c r="K33" s="1"/>
    </x:row>
    <x:row r="34" ht="48" customHeight="1">
      <x:c r="A34" s="16" t="inlineStr">
        <x:is>
          <x:t xml:space="preserve">The taxon is assigned to one group and needs no split</x:t>
        </x:is>
      </x:c>
      <x:c r="B34" s="16" t="inlineStr">
        <x:is>
          <x:t xml:space="preserve">High</x:t>
        </x:is>
      </x:c>
      <x:c r="C34" s="20">
        <x:v>0.3492014195336892</x:v>
      </x:c>
      <x:c r="D34"/>
      <x:c r="E34" s="1"/>
      <x:c r="F34" s="1"/>
      <x:c r="G34" s="1"/>
      <x:c r="H34" s="1"/>
      <x:c r="I34" s="1"/>
      <x:c r="J34" s="1"/>
      <x:c r="K34" s="1"/>
    </x:row>
    <x:row r="35" ht="42" customHeight="1">
      <x:c r="A35"/>
      <x:c r="B35"/>
      <x:c r="C35"/>
      <x:c r="D35"/>
      <x:c r="E35" s="1"/>
      <x:c r="F35" s="1"/>
      <x:c r="G35" s="1"/>
      <x:c r="H35" s="1"/>
      <x:c r="I35" s="1"/>
      <x:c r="J35" s="1"/>
      <x:c r="K35" s="1"/>
    </x:row>
    <x:row r="36" ht="14.5">
      <x:c r="A36"/>
      <x:c r="B36"/>
      <x:c r="C36"/>
      <x:c r="D36"/>
      <x:c r="E36" s="1"/>
      <x:c r="F36" s="1"/>
      <x:c r="G36" s="1"/>
      <x:c r="H36" s="1"/>
      <x:c r="I36" s="1"/>
      <x:c r="J36" s="1"/>
      <x:c r="K36" s="1"/>
    </x:row>
    <x:row r="37" ht="40" customHeight="1">
      <x:c r="A37" s="23" t="str">
        <x:v>Unresolved taxa: none. All 374 taxa remain mapped. 10 Very low assignments account for 12.2032% of landings and 4.0110% of PPR; 89 other taxa remain Low.</x:v>
      </x:c>
      <x:c r="B37" s="23"/>
      <x:c r="C37" s="23"/>
      <x:c r="D37" s="23"/>
      <x:c r="E37" s="1"/>
      <x:c r="F37" s="1"/>
      <x:c r="G37" s="1"/>
      <x:c r="H37" s="1"/>
      <x:c r="I37" s="1"/>
      <x:c r="J37" s="1"/>
      <x:c r="K37" s="1"/>
    </x:row>
    <x:row r="38" ht="34" customHeight="1">
      <x:c r="A38"/>
      <x:c r="B38"/>
      <x:c r="C38"/>
      <x:c r="D38"/>
      <x:c r="E38" s="1"/>
      <x:c r="F38" s="1"/>
      <x:c r="G38" s="1"/>
      <x:c r="H38" s="1"/>
      <x:c r="I38" s="1"/>
      <x:c r="J38" s="1"/>
      <x:c r="K38" s="1"/>
    </x:row>
    <x:row r="39" ht="40" customHeight="1">
      <x:c r="A39" s="23" t="str">
        <x:v>Sources: Cheung 2007 Appendix 6.1; exact model catch and biomass; regional Catch, Matching and Mapping review; Sea Around Us TL snapshot. New confidence evidence and taxon applicability are on Sources.</x:v>
      </x:c>
      <x:c r="B39" s="23"/>
      <x:c r="C39" s="23"/>
      <x:c r="D39" s="23"/>
      <x:c r="E39" s="1"/>
      <x:c r="F39" s="1"/>
      <x:c r="G39" s="1"/>
      <x:c r="H39" s="1"/>
      <x:c r="I39" s="1"/>
      <x:c r="J39" s="1"/>
      <x:c r="K39" s="1"/>
    </x:row>
    <x:row r="40" ht="34" customHeight="1">
      <x:c r="A40"/>
      <x:c r="B40"/>
      <x:c r="C40"/>
      <x:c r="D40"/>
      <x:c r="E40" s="1"/>
      <x:c r="F40" s="1"/>
      <x:c r="G40" s="1"/>
      <x:c r="H40" s="1"/>
      <x:c r="I40" s="1"/>
      <x:c r="J40" s="1"/>
      <x:c r="K40" s="1"/>
    </x:row>
    <x:row r="41" ht="14.5">
      <x:c r="A41"/>
      <x:c r="B41"/>
      <x:c r="C41"/>
      <x:c r="D41"/>
      <x:c r="E41" s="1"/>
      <x:c r="F41" s="1"/>
      <x:c r="G41" s="1"/>
      <x:c r="H41" s="1"/>
      <x:c r="I41" s="1"/>
      <x:c r="J41" s="1"/>
      <x:c r="K41" s="1"/>
    </x:row>
    <x:row r="42" ht="14.5">
      <x:c r="A42"/>
      <x:c r="B42"/>
      <x:c r="C42"/>
      <x:c r="D42"/>
      <x:c r="E42" s="1"/>
      <x:c r="F42" s="1"/>
      <x:c r="G42" s="1"/>
      <x:c r="H42" s="1"/>
      <x:c r="I42" s="1"/>
      <x:c r="J42" s="1"/>
      <x:c r="K42" s="1"/>
    </x:row>
    <x:row r="43" ht="14.5">
      <x:c r="A43"/>
      <x:c r="B43"/>
      <x:c r="C43"/>
      <x:c r="D43"/>
      <x:c r="E43" s="1"/>
      <x:c r="F43" s="1"/>
      <x:c r="G43" s="1"/>
      <x:c r="H43" s="1"/>
      <x:c r="I43" s="1"/>
      <x:c r="J43" s="1"/>
      <x:c r="K43" s="1"/>
    </x:row>
    <x:row r="44" ht="14.5">
      <x:c r="A44"/>
      <x:c r="B44"/>
      <x:c r="C44"/>
      <x:c r="D44"/>
      <x:c r="E44" s="1"/>
      <x:c r="F44" s="1"/>
      <x:c r="G44" s="1"/>
      <x:c r="H44" s="1"/>
      <x:c r="I44" s="1"/>
      <x:c r="J44" s="1"/>
      <x:c r="K44" s="1"/>
    </x:row>
    <x:row r="45" ht="14.5">
      <x:c r="A45"/>
      <x:c r="B45"/>
      <x:c r="C45"/>
      <x:c r="D45"/>
      <x:c r="E45" s="1"/>
      <x:c r="F45" s="1"/>
      <x:c r="G45" s="1"/>
      <x:c r="H45" s="1"/>
      <x:c r="I45" s="1"/>
      <x:c r="J45" s="1"/>
      <x:c r="K45" s="1"/>
    </x:row>
    <x:row r="46" ht="14.5">
      <x:c r="A46"/>
      <x:c r="B46"/>
      <x:c r="C46"/>
      <x:c r="D46"/>
      <x:c r="E46" s="1"/>
      <x:c r="F46" s="1"/>
      <x:c r="G46" s="1"/>
      <x:c r="H46" s="1"/>
      <x:c r="I46" s="1"/>
      <x:c r="J46" s="1"/>
      <x:c r="K46" s="1"/>
    </x:row>
    <x:row r="47" ht="14.5">
      <x:c r="A47"/>
      <x:c r="B47"/>
      <x:c r="C47"/>
      <x:c r="D47"/>
      <x:c r="E47" s="1"/>
      <x:c r="F47" s="1"/>
      <x:c r="G47" s="1"/>
      <x:c r="H47" s="1"/>
      <x:c r="I47" s="1"/>
      <x:c r="J47" s="1"/>
      <x:c r="K47" s="1"/>
    </x:row>
    <x:row r="48" ht="14.5">
      <x:c r="A48"/>
      <x:c r="B48"/>
      <x:c r="C48"/>
      <x:c r="D48"/>
      <x:c r="E48" s="1"/>
      <x:c r="F48" s="1"/>
      <x:c r="G48" s="1"/>
      <x:c r="H48" s="1"/>
      <x:c r="I48" s="1"/>
      <x:c r="J48" s="1"/>
      <x:c r="K48" s="1"/>
    </x:row>
    <x:row r="49" ht="14.5">
      <x:c r="A49"/>
      <x:c r="B49"/>
      <x:c r="C49"/>
      <x:c r="D49"/>
      <x:c r="E49" s="1"/>
      <x:c r="F49" s="1"/>
      <x:c r="G49" s="1"/>
      <x:c r="H49" s="1"/>
      <x:c r="I49" s="1"/>
      <x:c r="J49" s="1"/>
      <x:c r="K49" s="1"/>
    </x:row>
    <x:row r="50" ht="14.5">
      <x:c r="A50"/>
      <x:c r="B50"/>
      <x:c r="C50"/>
      <x:c r="D50"/>
      <x:c r="E50" s="1"/>
      <x:c r="F50" s="1"/>
      <x:c r="G50" s="1"/>
      <x:c r="H50" s="1"/>
      <x:c r="I50" s="1"/>
      <x:c r="J50" s="1"/>
      <x:c r="K50" s="1"/>
    </x:row>
    <x:row r="51" ht="14.5">
      <x:c r="A51"/>
      <x:c r="B51"/>
      <x:c r="C51"/>
      <x:c r="D51"/>
      <x:c r="E51" s="1"/>
      <x:c r="F51" s="1"/>
      <x:c r="G51" s="1"/>
      <x:c r="H51" s="1"/>
      <x:c r="I51" s="1"/>
      <x:c r="J51" s="1"/>
      <x:c r="K51" s="1"/>
    </x:row>
    <x:row r="52" ht="14.5">
      <x:c r="A52"/>
      <x:c r="B52"/>
      <x:c r="C52"/>
      <x:c r="D52"/>
      <x:c r="E52" s="1"/>
      <x:c r="F52" s="1"/>
      <x:c r="G52" s="1"/>
      <x:c r="H52" s="1"/>
      <x:c r="I52" s="1"/>
      <x:c r="J52" s="1"/>
      <x:c r="K52" s="1"/>
    </x:row>
    <x:row r="53" ht="14.5">
      <x:c r="A53"/>
      <x:c r="B53"/>
      <x:c r="C53"/>
      <x:c r="D53"/>
      <x:c r="E53" s="1"/>
      <x:c r="F53" s="1"/>
      <x:c r="G53" s="1"/>
      <x:c r="H53" s="1"/>
      <x:c r="I53" s="1"/>
      <x:c r="J53" s="1"/>
      <x:c r="K53" s="1"/>
    </x:row>
    <x:row r="54" ht="14.5">
      <x:c r="A54"/>
      <x:c r="B54"/>
      <x:c r="C54"/>
      <x:c r="D54"/>
      <x:c r="E54" s="1"/>
      <x:c r="F54" s="1"/>
      <x:c r="G54" s="1"/>
      <x:c r="H54" s="1"/>
      <x:c r="I54" s="1"/>
      <x:c r="J54" s="1"/>
      <x:c r="K54" s="1"/>
    </x:row>
    <x:row r="55" ht="14.5">
      <x:c r="A55"/>
      <x:c r="B55"/>
      <x:c r="C55"/>
      <x:c r="D55"/>
      <x:c r="E55" s="1"/>
      <x:c r="F55" s="1"/>
      <x:c r="G55" s="1"/>
      <x:c r="H55" s="1"/>
      <x:c r="I55" s="1"/>
      <x:c r="J55" s="1"/>
      <x:c r="K55" s="1"/>
    </x:row>
    <x:row r="56" ht="14.5">
      <x:c r="A56"/>
      <x:c r="B56"/>
      <x:c r="C56"/>
      <x:c r="D56"/>
      <x:c r="E56" s="1"/>
      <x:c r="F56" s="1"/>
      <x:c r="G56" s="1"/>
      <x:c r="H56" s="1"/>
      <x:c r="I56" s="1"/>
      <x:c r="J56" s="1"/>
      <x:c r="K56" s="1"/>
    </x:row>
    <x:row r="57" ht="14.5">
      <x:c r="A57"/>
      <x:c r="B57"/>
      <x:c r="C57"/>
      <x:c r="D57"/>
      <x:c r="E57" s="1"/>
      <x:c r="F57" s="1"/>
      <x:c r="G57" s="1"/>
      <x:c r="H57" s="1"/>
      <x:c r="I57" s="1"/>
      <x:c r="J57" s="1"/>
      <x:c r="K57" s="1"/>
    </x:row>
    <x:row r="58" ht="14.5">
      <x:c r="A58"/>
      <x:c r="B58"/>
      <x:c r="C58"/>
      <x:c r="D58"/>
      <x:c r="E58" s="1"/>
      <x:c r="F58" s="1"/>
      <x:c r="G58" s="1"/>
      <x:c r="H58" s="1"/>
      <x:c r="I58" s="1"/>
      <x:c r="J58" s="1"/>
      <x:c r="K58" s="1"/>
    </x:row>
    <x:row r="59" ht="14.5">
      <x:c r="A59"/>
      <x:c r="B59"/>
      <x:c r="C59"/>
      <x:c r="D59"/>
      <x:c r="E59" s="1"/>
      <x:c r="F59" s="1"/>
      <x:c r="G59" s="1"/>
      <x:c r="H59" s="1"/>
      <x:c r="I59" s="1"/>
      <x:c r="J59" s="1"/>
      <x:c r="K59" s="1"/>
    </x:row>
    <x:row r="60" ht="14.5">
      <x:c r="A60"/>
      <x:c r="B60"/>
      <x:c r="C60"/>
      <x:c r="D60"/>
      <x:c r="E60" s="1"/>
      <x:c r="F60" s="1"/>
      <x:c r="G60" s="1"/>
      <x:c r="H60" s="1"/>
      <x:c r="I60" s="1"/>
      <x:c r="J60" s="1"/>
      <x:c r="K60" s="1"/>
    </x:row>
    <x:row r="61" ht="14.5">
      <x:c r="A61"/>
      <x:c r="B61"/>
      <x:c r="C61"/>
      <x:c r="D61"/>
      <x:c r="E61" s="1"/>
      <x:c r="F61" s="1"/>
      <x:c r="G61" s="1"/>
      <x:c r="H61" s="1"/>
      <x:c r="I61" s="1"/>
      <x:c r="J61" s="1"/>
      <x:c r="K61" s="1"/>
    </x:row>
    <x:row r="62" ht="14.5">
      <x:c r="A62"/>
      <x:c r="B62"/>
      <x:c r="C62"/>
      <x:c r="D62"/>
      <x:c r="E62" s="1"/>
      <x:c r="F62" s="1"/>
      <x:c r="G62" s="1"/>
      <x:c r="H62" s="1"/>
      <x:c r="I62" s="1"/>
      <x:c r="J62" s="1"/>
      <x:c r="K62" s="1"/>
    </x:row>
    <x:row r="63" ht="14.5">
      <x:c r="A63"/>
      <x:c r="B63"/>
      <x:c r="C63"/>
      <x:c r="D63"/>
      <x:c r="E63" s="1"/>
      <x:c r="F63" s="1"/>
      <x:c r="G63" s="1"/>
      <x:c r="H63" s="1"/>
      <x:c r="I63" s="1"/>
      <x:c r="J63" s="1"/>
      <x:c r="K63" s="1"/>
    </x:row>
    <x:row r="64" ht="14.5">
      <x:c r="A64"/>
      <x:c r="B64"/>
      <x:c r="C64"/>
      <x:c r="D64"/>
      <x:c r="E64" s="1"/>
      <x:c r="F64" s="1"/>
      <x:c r="G64" s="1"/>
      <x:c r="H64" s="1"/>
      <x:c r="I64" s="1"/>
      <x:c r="J64" s="1"/>
      <x:c r="K64" s="1"/>
    </x:row>
    <x:row r="65" ht="14.5">
      <x:c r="A65"/>
      <x:c r="B65"/>
      <x:c r="C65"/>
      <x:c r="D65"/>
      <x:c r="E65" s="1"/>
      <x:c r="F65" s="1"/>
      <x:c r="G65" s="1"/>
      <x:c r="H65" s="1"/>
      <x:c r="I65" s="1"/>
      <x:c r="J65" s="1"/>
      <x:c r="K65" s="1"/>
    </x:row>
    <x:row r="66" ht="14.5">
      <x:c r="A66" s="1"/>
      <x:c r="B66" s="1"/>
      <x:c r="C66" s="1"/>
      <x:c r="D66" s="1"/>
      <x:c r="E66" s="1"/>
      <x:c r="F66" s="1"/>
      <x:c r="G66" s="1"/>
      <x:c r="H66" s="1"/>
      <x:c r="I66" s="1"/>
      <x:c r="J66" s="1"/>
      <x:c r="K66" s="1"/>
    </x:row>
    <x:row r="67" ht="14.5">
      <x:c r="A67" s="1"/>
      <x:c r="B67" s="1"/>
      <x:c r="C67" s="1"/>
      <x:c r="D67" s="1"/>
      <x:c r="E67" s="1"/>
      <x:c r="F67" s="1"/>
      <x:c r="G67" s="1"/>
      <x:c r="H67" s="1"/>
      <x:c r="I67" s="1"/>
      <x:c r="J67" s="1"/>
      <x:c r="K67" s="1"/>
    </x:row>
    <x:row r="68" ht="14.5">
      <x:c r="A68" s="1"/>
      <x:c r="B68" s="1"/>
      <x:c r="C68" s="1"/>
      <x:c r="D68" s="1"/>
      <x:c r="E68" s="1"/>
      <x:c r="F68" s="1"/>
      <x:c r="G68" s="1"/>
      <x:c r="H68" s="1"/>
      <x:c r="I68" s="1"/>
      <x:c r="J68" s="1"/>
      <x:c r="K68" s="1"/>
    </x:row>
    <x:row r="69" ht="14.5">
      <x:c r="A69" s="1"/>
      <x:c r="B69" s="1"/>
      <x:c r="C69" s="1"/>
      <x:c r="D69" s="1"/>
      <x:c r="E69" s="1"/>
      <x:c r="F69" s="1"/>
      <x:c r="G69" s="1"/>
      <x:c r="H69" s="1"/>
      <x:c r="I69" s="1"/>
      <x:c r="J69" s="1"/>
      <x:c r="K69" s="1"/>
    </x:row>
    <x:row r="70" ht="14.5">
      <x:c r="A70" s="1"/>
      <x:c r="B70" s="1"/>
      <x:c r="C70" s="1"/>
      <x:c r="D70" s="1"/>
      <x:c r="E70" s="1"/>
      <x:c r="F70" s="1"/>
      <x:c r="G70" s="1"/>
      <x:c r="H70" s="1"/>
      <x:c r="I70" s="1"/>
      <x:c r="J70" s="1"/>
      <x:c r="K70" s="1"/>
    </x:row>
    <x:row r="71" ht="14.5">
      <x:c r="A71" s="1"/>
      <x:c r="B71" s="1"/>
      <x:c r="C71" s="1"/>
      <x:c r="D71" s="1"/>
      <x:c r="E71" s="1"/>
      <x:c r="F71" s="1"/>
      <x:c r="G71" s="1"/>
      <x:c r="H71" s="1"/>
      <x:c r="I71" s="1"/>
      <x:c r="J71" s="1"/>
      <x:c r="K71" s="1"/>
    </x:row>
    <x:row r="72" ht="14.5">
      <x:c r="A72" s="1"/>
      <x:c r="B72" s="1"/>
      <x:c r="C72" s="1"/>
      <x:c r="D72" s="1"/>
      <x:c r="E72" s="1"/>
      <x:c r="F72" s="1"/>
      <x:c r="G72" s="1"/>
      <x:c r="H72" s="1"/>
      <x:c r="I72" s="1"/>
      <x:c r="J72" s="1"/>
      <x:c r="K72" s="1"/>
    </x:row>
    <x:row r="73" ht="14.5">
      <x:c r="A73" s="1"/>
      <x:c r="B73" s="1"/>
      <x:c r="C73" s="1"/>
      <x:c r="D73" s="1"/>
      <x:c r="E73" s="1"/>
      <x:c r="F73" s="1"/>
      <x:c r="G73" s="1"/>
      <x:c r="H73" s="1"/>
      <x:c r="I73" s="1"/>
      <x:c r="J73" s="1"/>
      <x:c r="K73" s="1"/>
    </x:row>
    <x:row r="74" ht="14.5">
      <x:c r="A74" s="1"/>
      <x:c r="B74" s="1"/>
      <x:c r="C74" s="1"/>
      <x:c r="D74" s="1"/>
      <x:c r="E74" s="1"/>
      <x:c r="F74" s="1"/>
      <x:c r="G74" s="1"/>
      <x:c r="H74" s="1"/>
      <x:c r="I74" s="1"/>
      <x:c r="J74" s="1"/>
      <x:c r="K74" s="1"/>
    </x:row>
    <x:row r="75" ht="14.5">
      <x:c r="A75" s="1"/>
      <x:c r="B75" s="1"/>
      <x:c r="C75" s="1"/>
      <x:c r="D75" s="1"/>
      <x:c r="E75" s="1"/>
      <x:c r="F75" s="1"/>
      <x:c r="G75" s="1"/>
      <x:c r="H75" s="1"/>
      <x:c r="I75" s="1"/>
      <x:c r="J75" s="1"/>
      <x:c r="K75" s="1"/>
    </x:row>
    <x:row r="76" ht="14.5">
      <x:c r="A76" s="1"/>
      <x:c r="B76" s="1"/>
      <x:c r="C76" s="1"/>
      <x:c r="D76" s="1"/>
      <x:c r="E76" s="1"/>
      <x:c r="F76" s="1"/>
      <x:c r="G76" s="1"/>
      <x:c r="H76" s="1"/>
      <x:c r="I76" s="1"/>
      <x:c r="J76" s="1"/>
      <x:c r="K76" s="1"/>
    </x:row>
    <x:row r="77" ht="14.5">
      <x:c r="A77" s="1"/>
      <x:c r="B77" s="1"/>
      <x:c r="C77" s="1"/>
      <x:c r="D77" s="1"/>
      <x:c r="E77" s="1"/>
      <x:c r="F77" s="1"/>
      <x:c r="G77" s="1"/>
      <x:c r="H77" s="1"/>
      <x:c r="I77" s="1"/>
      <x:c r="J77" s="1"/>
      <x:c r="K77" s="1"/>
    </x:row>
    <x:row r="78" ht="14.5">
      <x:c r="A78" s="1"/>
      <x:c r="B78" s="1"/>
      <x:c r="C78" s="1"/>
      <x:c r="D78" s="1"/>
      <x:c r="E78" s="1"/>
      <x:c r="F78" s="1"/>
      <x:c r="G78" s="1"/>
      <x:c r="H78" s="1"/>
      <x:c r="I78" s="1"/>
      <x:c r="J78" s="1"/>
      <x:c r="K78" s="1"/>
    </x:row>
    <x:row r="79" ht="14.5">
      <x:c r="A79" s="1"/>
      <x:c r="B79" s="1"/>
      <x:c r="C79" s="1"/>
      <x:c r="D79" s="1"/>
      <x:c r="E79" s="1"/>
      <x:c r="F79" s="1"/>
      <x:c r="G79" s="1"/>
      <x:c r="H79" s="1"/>
      <x:c r="I79" s="1"/>
      <x:c r="J79" s="1"/>
      <x:c r="K79" s="1"/>
    </x:row>
    <x:row r="80" ht="14.5">
      <x:c r="A80" s="1"/>
      <x:c r="B80" s="1"/>
      <x:c r="C80" s="1"/>
      <x:c r="D80" s="1"/>
      <x:c r="E80" s="1"/>
      <x:c r="F80" s="1"/>
      <x:c r="G80" s="1"/>
      <x:c r="H80" s="1"/>
      <x:c r="I80" s="1"/>
      <x:c r="J80" s="1"/>
      <x:c r="K80" s="1"/>
    </x:row>
    <x:row r="81" ht="14.5">
      <x:c r="A81" s="1"/>
      <x:c r="B81" s="1"/>
      <x:c r="C81" s="1"/>
      <x:c r="D81" s="1"/>
      <x:c r="E81" s="1"/>
      <x:c r="F81" s="1"/>
      <x:c r="G81" s="1"/>
      <x:c r="H81" s="1"/>
      <x:c r="I81" s="1"/>
      <x:c r="J81" s="1"/>
      <x:c r="K81" s="1"/>
    </x:row>
    <x:row r="82" ht="14.5">
      <x:c r="A82" s="1"/>
      <x:c r="B82" s="1"/>
      <x:c r="C82" s="1"/>
      <x:c r="D82" s="1"/>
      <x:c r="E82" s="1"/>
      <x:c r="F82" s="1"/>
      <x:c r="G82" s="1"/>
      <x:c r="H82" s="1"/>
      <x:c r="I82" s="1"/>
      <x:c r="J82" s="1"/>
      <x:c r="K82" s="1"/>
    </x:row>
    <x:row r="83" ht="14.5">
      <x:c r="A83" s="1"/>
      <x:c r="B83" s="1"/>
      <x:c r="C83" s="1"/>
      <x:c r="D83" s="1"/>
      <x:c r="E83" s="1"/>
      <x:c r="F83" s="1"/>
      <x:c r="G83" s="1"/>
      <x:c r="H83" s="1"/>
      <x:c r="I83" s="1"/>
      <x:c r="J83" s="1"/>
      <x:c r="K83" s="1"/>
    </x:row>
    <x:row r="84" ht="14.5">
      <x:c r="A84" s="1"/>
      <x:c r="B84" s="1"/>
      <x:c r="C84" s="1"/>
      <x:c r="D84" s="1"/>
      <x:c r="E84" s="1"/>
      <x:c r="F84" s="1"/>
      <x:c r="G84" s="1"/>
      <x:c r="H84" s="1"/>
      <x:c r="I84" s="1"/>
      <x:c r="J84" s="1"/>
      <x:c r="K84" s="1"/>
    </x:row>
    <x:row r="85" ht="14.5">
      <x:c r="A85" s="1"/>
      <x:c r="B85" s="1"/>
      <x:c r="C85" s="1"/>
      <x:c r="D85" s="1"/>
      <x:c r="E85" s="1"/>
      <x:c r="F85" s="1"/>
      <x:c r="G85" s="1"/>
      <x:c r="H85" s="1"/>
      <x:c r="I85" s="1"/>
      <x:c r="J85" s="1"/>
      <x:c r="K85" s="1"/>
    </x:row>
    <x:row r="86" ht="14.5">
      <x:c r="A86" s="1"/>
      <x:c r="B86" s="1"/>
      <x:c r="C86" s="1"/>
      <x:c r="D86" s="1"/>
      <x:c r="E86" s="1"/>
      <x:c r="F86" s="1"/>
      <x:c r="G86" s="1"/>
      <x:c r="H86" s="1"/>
      <x:c r="I86" s="1"/>
      <x:c r="J86" s="1"/>
      <x:c r="K86" s="1"/>
    </x:row>
    <x:row r="87" ht="14.5">
      <x:c r="A87" s="1"/>
      <x:c r="B87" s="1"/>
      <x:c r="C87" s="1"/>
      <x:c r="D87" s="1"/>
      <x:c r="E87" s="1"/>
      <x:c r="F87" s="1"/>
      <x:c r="G87" s="1"/>
      <x:c r="H87" s="1"/>
      <x:c r="I87" s="1"/>
      <x:c r="J87" s="1"/>
      <x:c r="K87" s="1"/>
    </x:row>
    <x:row r="88" ht="14.5">
      <x:c r="A88" s="1"/>
      <x:c r="B88" s="1"/>
      <x:c r="C88" s="1"/>
      <x:c r="D88" s="1"/>
      <x:c r="E88" s="1"/>
      <x:c r="F88" s="1"/>
      <x:c r="G88" s="1"/>
      <x:c r="H88" s="1"/>
      <x:c r="I88" s="1"/>
      <x:c r="J88" s="1"/>
      <x:c r="K88" s="1"/>
    </x:row>
    <x:row r="89" ht="14.5">
      <x:c r="A89" s="1"/>
      <x:c r="B89" s="1"/>
      <x:c r="C89" s="1"/>
      <x:c r="D89" s="1"/>
      <x:c r="E89" s="1"/>
      <x:c r="F89" s="1"/>
      <x:c r="G89" s="1"/>
      <x:c r="H89" s="1"/>
      <x:c r="I89" s="1"/>
      <x:c r="J89" s="1"/>
      <x:c r="K89" s="1"/>
    </x:row>
    <x:row r="90" ht="14.5">
      <x:c r="A90" s="1"/>
      <x:c r="B90" s="1"/>
      <x:c r="C90" s="1"/>
      <x:c r="D90" s="1"/>
      <x:c r="E90" s="1"/>
      <x:c r="F90" s="1"/>
      <x:c r="G90" s="1"/>
      <x:c r="H90" s="1"/>
      <x:c r="I90" s="1"/>
      <x:c r="J90" s="1"/>
      <x:c r="K90" s="1"/>
    </x:row>
    <x:row r="91" ht="14.5">
      <x:c r="A91" s="1"/>
      <x:c r="B91" s="1"/>
      <x:c r="C91" s="1"/>
      <x:c r="D91" s="1"/>
      <x:c r="E91" s="1"/>
      <x:c r="F91" s="1"/>
      <x:c r="G91" s="1"/>
      <x:c r="H91" s="1"/>
      <x:c r="I91" s="1"/>
      <x:c r="J91" s="1"/>
      <x:c r="K91" s="1"/>
    </x:row>
    <x:row r="92" ht="14.5">
      <x:c r="A92" s="1"/>
      <x:c r="B92" s="1"/>
      <x:c r="C92" s="1"/>
      <x:c r="D92" s="1"/>
      <x:c r="E92" s="1"/>
      <x:c r="F92" s="1"/>
      <x:c r="G92" s="1"/>
      <x:c r="H92" s="1"/>
      <x:c r="I92" s="1"/>
      <x:c r="J92" s="1"/>
      <x:c r="K92" s="1"/>
    </x:row>
    <x:row r="93" ht="14.5">
      <x:c r="A93" s="1"/>
      <x:c r="B93" s="1"/>
      <x:c r="C93" s="1"/>
      <x:c r="D93" s="1"/>
      <x:c r="E93" s="1"/>
      <x:c r="F93" s="1"/>
      <x:c r="G93" s="1"/>
      <x:c r="H93" s="1"/>
      <x:c r="I93" s="1"/>
      <x:c r="J93" s="1"/>
      <x:c r="K93" s="1"/>
    </x:row>
    <x:row r="94" ht="14.5">
      <x:c r="A94" s="1"/>
      <x:c r="B94" s="1"/>
      <x:c r="C94" s="1"/>
      <x:c r="D94" s="1"/>
      <x:c r="E94" s="1"/>
      <x:c r="F94" s="1"/>
      <x:c r="G94" s="1"/>
      <x:c r="H94" s="1"/>
      <x:c r="I94" s="1"/>
      <x:c r="J94" s="1"/>
      <x:c r="K94" s="1"/>
    </x:row>
    <x:row r="95" ht="14.5">
      <x:c r="A95" s="1"/>
      <x:c r="B95" s="1"/>
      <x:c r="C95" s="1"/>
      <x:c r="D95" s="1"/>
      <x:c r="E95" s="1"/>
      <x:c r="F95" s="1"/>
      <x:c r="G95" s="1"/>
      <x:c r="H95" s="1"/>
      <x:c r="I95" s="1"/>
      <x:c r="J95" s="1"/>
      <x:c r="K95" s="1"/>
    </x:row>
    <x:row r="96" ht="14.5">
      <x:c r="A96" s="1"/>
      <x:c r="B96" s="1"/>
      <x:c r="C96" s="1"/>
      <x:c r="D96" s="1"/>
      <x:c r="E96" s="1"/>
      <x:c r="F96" s="1"/>
      <x:c r="G96" s="1"/>
      <x:c r="H96" s="1"/>
      <x:c r="I96" s="1"/>
      <x:c r="J96" s="1"/>
      <x:c r="K96" s="1"/>
    </x:row>
    <x:row r="97" ht="14.5">
      <x:c r="A97" s="1"/>
      <x:c r="B97" s="1"/>
      <x:c r="C97" s="1"/>
      <x:c r="D97" s="1"/>
      <x:c r="E97" s="1"/>
      <x:c r="F97" s="1"/>
      <x:c r="G97" s="1"/>
      <x:c r="H97" s="1"/>
      <x:c r="I97" s="1"/>
      <x:c r="J97" s="1"/>
      <x:c r="K97" s="1"/>
    </x:row>
    <x:row r="98" ht="14.5">
      <x:c r="A98" s="1"/>
      <x:c r="B98" s="1"/>
      <x:c r="C98" s="1"/>
      <x:c r="D98" s="1"/>
      <x:c r="E98" s="1"/>
      <x:c r="F98" s="1"/>
      <x:c r="G98" s="1"/>
      <x:c r="H98" s="1"/>
      <x:c r="I98" s="1"/>
      <x:c r="J98" s="1"/>
      <x:c r="K98" s="1"/>
    </x:row>
    <x:row r="99" ht="14.5">
      <x:c r="A99" s="1"/>
      <x:c r="B99" s="1"/>
      <x:c r="C99" s="1"/>
      <x:c r="D99" s="1"/>
      <x:c r="E99" s="1"/>
      <x:c r="F99" s="1"/>
      <x:c r="G99" s="1"/>
      <x:c r="H99" s="1"/>
      <x:c r="I99" s="1"/>
      <x:c r="J99" s="1"/>
      <x:c r="K99" s="1"/>
    </x:row>
    <x:row r="100" ht="14.5">
      <x:c r="A100" s="1"/>
      <x:c r="B100" s="1"/>
      <x:c r="C100" s="1"/>
      <x:c r="D100" s="1"/>
      <x:c r="E100" s="1"/>
      <x:c r="F100" s="1"/>
      <x:c r="G100" s="1"/>
      <x:c r="H100" s="1"/>
      <x:c r="I100" s="1"/>
      <x:c r="J100" s="1"/>
      <x:c r="K100" s="1"/>
    </x:row>
    <x:row r="101" ht="14.5">
      <x:c r="A101" s="1"/>
      <x:c r="B101" s="1"/>
      <x:c r="C101" s="1"/>
      <x:c r="D101" s="1"/>
      <x:c r="E101" s="1"/>
      <x:c r="F101" s="1"/>
      <x:c r="G101" s="1"/>
      <x:c r="H101" s="1"/>
      <x:c r="I101" s="1"/>
      <x:c r="J101" s="1"/>
      <x:c r="K101" s="1"/>
    </x:row>
    <x:row r="102" ht="14.5">
      <x:c r="A102" s="1"/>
      <x:c r="B102" s="1"/>
      <x:c r="C102" s="1"/>
      <x:c r="D102" s="1"/>
      <x:c r="E102" s="1"/>
      <x:c r="F102" s="1"/>
      <x:c r="G102" s="1"/>
      <x:c r="H102" s="1"/>
      <x:c r="I102" s="1"/>
      <x:c r="J102" s="1"/>
      <x:c r="K102" s="1"/>
    </x:row>
    <x:row r="103" ht="14.5">
      <x:c r="A103" s="1"/>
      <x:c r="B103" s="1"/>
      <x:c r="C103" s="1"/>
      <x:c r="D103" s="1"/>
      <x:c r="E103" s="1"/>
      <x:c r="F103" s="1"/>
      <x:c r="G103" s="1"/>
      <x:c r="H103" s="1"/>
      <x:c r="I103" s="1"/>
      <x:c r="J103" s="1"/>
      <x:c r="K103" s="1"/>
    </x:row>
    <x:row r="104" ht="14.5">
      <x:c r="A104" s="1"/>
      <x:c r="B104" s="1"/>
      <x:c r="C104" s="1"/>
      <x:c r="D104" s="1"/>
      <x:c r="E104" s="1"/>
      <x:c r="F104" s="1"/>
      <x:c r="G104" s="1"/>
      <x:c r="H104" s="1"/>
      <x:c r="I104" s="1"/>
      <x:c r="J104" s="1"/>
      <x:c r="K104" s="1"/>
    </x:row>
    <x:row r="105" ht="14.5">
      <x:c r="A105" s="1"/>
      <x:c r="B105" s="1"/>
      <x:c r="C105" s="1"/>
      <x:c r="D105" s="1"/>
      <x:c r="E105" s="1"/>
      <x:c r="F105" s="1"/>
      <x:c r="G105" s="1"/>
      <x:c r="H105" s="1"/>
      <x:c r="I105" s="1"/>
      <x:c r="J105" s="1"/>
      <x:c r="K105" s="1"/>
    </x:row>
    <x:row r="106" ht="14.5">
      <x:c r="A106" s="1"/>
      <x:c r="B106" s="1"/>
      <x:c r="C106" s="1"/>
      <x:c r="D106" s="1"/>
      <x:c r="E106" s="1"/>
      <x:c r="F106" s="1"/>
      <x:c r="G106" s="1"/>
      <x:c r="H106" s="1"/>
      <x:c r="I106" s="1"/>
      <x:c r="J106" s="1"/>
      <x:c r="K106" s="1"/>
    </x:row>
    <x:row r="107" ht="14.5">
      <x:c r="A107" s="1"/>
      <x:c r="B107" s="1"/>
      <x:c r="C107" s="1"/>
      <x:c r="D107" s="1"/>
      <x:c r="E107" s="1"/>
      <x:c r="F107" s="1"/>
      <x:c r="G107" s="1"/>
      <x:c r="H107" s="1"/>
      <x:c r="I107" s="1"/>
      <x:c r="J107" s="1"/>
      <x:c r="K107" s="1"/>
    </x:row>
    <x:row r="108" ht="14.5">
      <x:c r="A108" s="1"/>
      <x:c r="B108" s="1"/>
      <x:c r="C108" s="1"/>
      <x:c r="D108" s="1"/>
      <x:c r="E108" s="1"/>
      <x:c r="F108" s="1"/>
      <x:c r="G108" s="1"/>
      <x:c r="H108" s="1"/>
      <x:c r="I108" s="1"/>
      <x:c r="J108" s="1"/>
      <x:c r="K108" s="1"/>
    </x:row>
    <x:row r="109" ht="14.5">
      <x:c r="A109" s="1"/>
      <x:c r="B109" s="1"/>
      <x:c r="C109" s="1"/>
      <x:c r="D109" s="1"/>
      <x:c r="E109" s="1"/>
      <x:c r="F109" s="1"/>
      <x:c r="G109" s="1"/>
      <x:c r="H109" s="1"/>
      <x:c r="I109" s="1"/>
      <x:c r="J109" s="1"/>
      <x:c r="K109" s="1"/>
    </x:row>
    <x:row r="110" ht="14.5">
      <x:c r="A110" s="1"/>
      <x:c r="B110" s="1"/>
      <x:c r="C110" s="1"/>
      <x:c r="D110" s="1"/>
      <x:c r="E110" s="1"/>
      <x:c r="F110" s="1"/>
      <x:c r="G110" s="1"/>
      <x:c r="H110" s="1"/>
      <x:c r="I110" s="1"/>
      <x:c r="J110" s="1"/>
      <x:c r="K110" s="1"/>
    </x:row>
    <x:row r="111" ht="14.5">
      <x:c r="A111" s="1"/>
      <x:c r="B111" s="1"/>
      <x:c r="C111" s="1"/>
      <x:c r="D111" s="1"/>
      <x:c r="E111" s="1"/>
      <x:c r="F111" s="1"/>
      <x:c r="G111" s="1"/>
      <x:c r="H111" s="1"/>
      <x:c r="I111" s="1"/>
      <x:c r="J111" s="1"/>
      <x:c r="K111" s="1"/>
    </x:row>
    <x:row r="112" ht="14.5">
      <x:c r="A112" s="1"/>
      <x:c r="B112" s="1"/>
      <x:c r="C112" s="1"/>
      <x:c r="D112" s="1"/>
      <x:c r="E112" s="1"/>
      <x:c r="F112" s="1"/>
      <x:c r="G112" s="1"/>
      <x:c r="H112" s="1"/>
      <x:c r="I112" s="1"/>
      <x:c r="J112" s="1"/>
      <x:c r="K112" s="1"/>
    </x:row>
    <x:row r="113" ht="14.5">
      <x:c r="A113" s="1"/>
      <x:c r="B113" s="1"/>
      <x:c r="C113" s="1"/>
      <x:c r="D113" s="1"/>
      <x:c r="E113" s="1"/>
      <x:c r="F113" s="1"/>
      <x:c r="G113" s="1"/>
      <x:c r="H113" s="1"/>
      <x:c r="I113" s="1"/>
      <x:c r="J113" s="1"/>
      <x:c r="K113" s="1"/>
    </x:row>
    <x:row r="114" ht="14.5">
      <x:c r="A114" s="1"/>
      <x:c r="B114" s="1"/>
      <x:c r="C114" s="1"/>
      <x:c r="D114" s="1"/>
      <x:c r="E114" s="1"/>
      <x:c r="F114" s="1"/>
      <x:c r="G114" s="1"/>
      <x:c r="H114" s="1"/>
      <x:c r="I114" s="1"/>
      <x:c r="J114" s="1"/>
      <x:c r="K114" s="1"/>
    </x:row>
    <x:row r="115" ht="14.5">
      <x:c r="A115" s="1"/>
      <x:c r="B115" s="1"/>
      <x:c r="C115" s="1"/>
      <x:c r="D115" s="1"/>
      <x:c r="E115" s="1"/>
      <x:c r="F115" s="1"/>
      <x:c r="G115" s="1"/>
      <x:c r="H115" s="1"/>
      <x:c r="I115" s="1"/>
      <x:c r="J115" s="1"/>
      <x:c r="K115" s="1"/>
    </x:row>
    <x:row r="116" ht="14.5">
      <x:c r="A116" s="1"/>
      <x:c r="B116" s="1"/>
      <x:c r="C116" s="1"/>
      <x:c r="D116" s="1"/>
      <x:c r="E116" s="1"/>
      <x:c r="F116" s="1"/>
      <x:c r="G116" s="1"/>
      <x:c r="H116" s="1"/>
      <x:c r="I116" s="1"/>
      <x:c r="J116" s="1"/>
      <x:c r="K116" s="1"/>
    </x:row>
    <x:row r="117" ht="14.5">
      <x:c r="A117" s="1"/>
      <x:c r="B117" s="1"/>
      <x:c r="C117" s="1"/>
      <x:c r="D117" s="1"/>
      <x:c r="E117" s="1"/>
      <x:c r="F117" s="1"/>
      <x:c r="G117" s="1"/>
      <x:c r="H117" s="1"/>
      <x:c r="I117" s="1"/>
      <x:c r="J117" s="1"/>
      <x:c r="K117" s="1"/>
    </x:row>
    <x:row r="118" ht="14.5">
      <x:c r="A118" s="1"/>
      <x:c r="B118" s="1"/>
      <x:c r="C118" s="1"/>
      <x:c r="D118" s="1"/>
      <x:c r="E118" s="1"/>
      <x:c r="F118" s="1"/>
      <x:c r="G118" s="1"/>
      <x:c r="H118" s="1"/>
      <x:c r="I118" s="1"/>
      <x:c r="J118" s="1"/>
      <x:c r="K118" s="1"/>
    </x:row>
    <x:row r="119" ht="14.5">
      <x:c r="A119" s="1"/>
      <x:c r="B119" s="1"/>
      <x:c r="C119" s="1"/>
      <x:c r="D119" s="1"/>
      <x:c r="E119" s="1"/>
      <x:c r="F119" s="1"/>
      <x:c r="G119" s="1"/>
      <x:c r="H119" s="1"/>
      <x:c r="I119" s="1"/>
      <x:c r="J119" s="1"/>
      <x:c r="K119" s="1"/>
    </x:row>
    <x:row r="120" ht="14.5">
      <x:c r="A120" s="1"/>
      <x:c r="B120" s="1"/>
      <x:c r="C120" s="1"/>
      <x:c r="D120" s="1"/>
      <x:c r="E120" s="1"/>
      <x:c r="F120" s="1"/>
      <x:c r="G120" s="1"/>
      <x:c r="H120" s="1"/>
      <x:c r="I120" s="1"/>
      <x:c r="J120" s="1"/>
      <x:c r="K120" s="1"/>
    </x:row>
    <x:row r="121" ht="14.5">
      <x:c r="A121" s="1"/>
      <x:c r="B121" s="1"/>
      <x:c r="C121" s="1"/>
      <x:c r="D121" s="1"/>
      <x:c r="E121" s="1"/>
      <x:c r="F121" s="1"/>
      <x:c r="G121" s="1"/>
      <x:c r="H121" s="1"/>
      <x:c r="I121" s="1"/>
      <x:c r="J121" s="1"/>
      <x:c r="K121" s="1"/>
    </x:row>
    <x:row r="122" ht="14.5">
      <x:c r="A122" s="1"/>
      <x:c r="B122" s="1"/>
      <x:c r="C122" s="1"/>
      <x:c r="D122" s="1"/>
      <x:c r="E122" s="1"/>
      <x:c r="F122" s="1"/>
      <x:c r="G122" s="1"/>
      <x:c r="H122" s="1"/>
      <x:c r="I122" s="1"/>
      <x:c r="J122" s="1"/>
      <x:c r="K122" s="1"/>
    </x:row>
    <x:row r="123" ht="14.5">
      <x:c r="A123" s="1"/>
      <x:c r="B123" s="1"/>
      <x:c r="C123" s="1"/>
      <x:c r="D123" s="1"/>
      <x:c r="E123" s="1"/>
      <x:c r="F123" s="1"/>
      <x:c r="G123" s="1"/>
      <x:c r="H123" s="1"/>
      <x:c r="I123" s="1"/>
      <x:c r="J123" s="1"/>
      <x:c r="K123" s="1"/>
    </x:row>
    <x:row r="124" ht="14.5">
      <x:c r="A124" s="1"/>
      <x:c r="B124" s="1"/>
      <x:c r="C124" s="1"/>
      <x:c r="D124" s="1"/>
      <x:c r="E124" s="1"/>
      <x:c r="F124" s="1"/>
      <x:c r="G124" s="1"/>
      <x:c r="H124" s="1"/>
      <x:c r="I124" s="1"/>
      <x:c r="J124" s="1"/>
      <x:c r="K124" s="1"/>
    </x:row>
    <x:row r="125" ht="14.5">
      <x:c r="A125" s="1"/>
      <x:c r="B125" s="1"/>
      <x:c r="C125" s="1"/>
      <x:c r="D125" s="1"/>
      <x:c r="E125" s="1"/>
      <x:c r="F125" s="1"/>
      <x:c r="G125" s="1"/>
      <x:c r="H125" s="1"/>
      <x:c r="I125" s="1"/>
      <x:c r="J125" s="1"/>
      <x:c r="K125" s="1"/>
    </x:row>
    <x:row r="126" ht="14.5">
      <x:c r="A126" s="1"/>
      <x:c r="B126" s="1"/>
      <x:c r="C126" s="1"/>
      <x:c r="D126" s="1"/>
      <x:c r="E126" s="1"/>
      <x:c r="F126" s="1"/>
      <x:c r="G126" s="1"/>
      <x:c r="H126" s="1"/>
      <x:c r="I126" s="1"/>
      <x:c r="J126" s="1"/>
      <x:c r="K126" s="1"/>
    </x:row>
    <x:row r="127" ht="14.5">
      <x:c r="A127" s="1"/>
      <x:c r="B127" s="1"/>
      <x:c r="C127" s="1"/>
      <x:c r="D127" s="1"/>
      <x:c r="E127" s="1"/>
      <x:c r="F127" s="1"/>
      <x:c r="G127" s="1"/>
      <x:c r="H127" s="1"/>
      <x:c r="I127" s="1"/>
      <x:c r="J127" s="1"/>
      <x:c r="K127" s="1"/>
    </x:row>
    <x:row r="128" ht="14.5">
      <x:c r="A128" s="1"/>
      <x:c r="B128" s="1"/>
      <x:c r="C128" s="1"/>
      <x:c r="D128" s="1"/>
      <x:c r="E128" s="1"/>
      <x:c r="F128" s="1"/>
      <x:c r="G128" s="1"/>
      <x:c r="H128" s="1"/>
      <x:c r="I128" s="1"/>
      <x:c r="J128" s="1"/>
      <x:c r="K128" s="1"/>
    </x:row>
    <x:row r="129" ht="14.5">
      <x:c r="A129" s="1"/>
      <x:c r="B129" s="1"/>
      <x:c r="C129" s="1"/>
      <x:c r="D129" s="1"/>
      <x:c r="E129" s="1"/>
      <x:c r="F129" s="1"/>
      <x:c r="G129" s="1"/>
      <x:c r="H129" s="1"/>
      <x:c r="I129" s="1"/>
      <x:c r="J129" s="1"/>
      <x:c r="K129" s="1"/>
    </x:row>
    <x:row r="130" ht="14.5">
      <x:c r="A130" s="1"/>
      <x:c r="B130" s="1"/>
      <x:c r="C130" s="1"/>
      <x:c r="D130" s="1"/>
      <x:c r="E130" s="1"/>
      <x:c r="F130" s="1"/>
      <x:c r="G130" s="1"/>
      <x:c r="H130" s="1"/>
      <x:c r="I130" s="1"/>
      <x:c r="J130" s="1"/>
      <x:c r="K130" s="1"/>
    </x:row>
    <x:row r="131" ht="14.5">
      <x:c r="A131" s="1"/>
      <x:c r="B131" s="1"/>
      <x:c r="C131" s="1"/>
      <x:c r="D131" s="1"/>
      <x:c r="E131" s="1"/>
      <x:c r="F131" s="1"/>
      <x:c r="G131" s="1"/>
      <x:c r="H131" s="1"/>
      <x:c r="I131" s="1"/>
      <x:c r="J131" s="1"/>
      <x:c r="K131" s="1"/>
    </x:row>
    <x:row r="132" ht="14.5">
      <x:c r="A132" s="1"/>
      <x:c r="B132" s="1"/>
      <x:c r="C132" s="1"/>
      <x:c r="D132" s="1"/>
      <x:c r="E132" s="1"/>
      <x:c r="F132" s="1"/>
      <x:c r="G132" s="1"/>
      <x:c r="H132" s="1"/>
      <x:c r="I132" s="1"/>
      <x:c r="J132" s="1"/>
      <x:c r="K132" s="1"/>
    </x:row>
    <x:row r="133" ht="14.5">
      <x:c r="A133" s="1"/>
      <x:c r="B133" s="1"/>
      <x:c r="C133" s="1"/>
      <x:c r="D133" s="1"/>
      <x:c r="E133" s="1"/>
      <x:c r="F133" s="1"/>
      <x:c r="G133" s="1"/>
      <x:c r="H133" s="1"/>
      <x:c r="I133" s="1"/>
      <x:c r="J133" s="1"/>
      <x:c r="K133" s="1"/>
    </x:row>
    <x:row r="134" ht="14.5">
      <x:c r="A134" s="1"/>
      <x:c r="B134" s="1"/>
      <x:c r="C134" s="1"/>
      <x:c r="D134" s="1"/>
      <x:c r="E134" s="1"/>
      <x:c r="F134" s="1"/>
      <x:c r="G134" s="1"/>
      <x:c r="H134" s="1"/>
      <x:c r="I134" s="1"/>
      <x:c r="J134" s="1"/>
      <x:c r="K134" s="1"/>
    </x:row>
    <x:row r="135" ht="14.5">
      <x:c r="A135" s="1"/>
      <x:c r="B135" s="1"/>
      <x:c r="C135" s="1"/>
      <x:c r="D135" s="1"/>
      <x:c r="E135" s="1"/>
      <x:c r="F135" s="1"/>
      <x:c r="G135" s="1"/>
      <x:c r="H135" s="1"/>
      <x:c r="I135" s="1"/>
      <x:c r="J135" s="1"/>
      <x:c r="K135" s="1"/>
    </x:row>
    <x:row r="136" ht="14.5">
      <x:c r="A136" s="1"/>
      <x:c r="B136" s="1"/>
      <x:c r="C136" s="1"/>
      <x:c r="D136" s="1"/>
      <x:c r="E136" s="1"/>
      <x:c r="F136" s="1"/>
      <x:c r="G136" s="1"/>
      <x:c r="H136" s="1"/>
      <x:c r="I136" s="1"/>
      <x:c r="J136" s="1"/>
      <x:c r="K136" s="1"/>
    </x:row>
    <x:row r="137" ht="14.5">
      <x:c r="A137" s="1"/>
      <x:c r="B137" s="1"/>
      <x:c r="C137" s="1"/>
      <x:c r="D137" s="1"/>
      <x:c r="E137" s="1"/>
      <x:c r="F137" s="1"/>
      <x:c r="G137" s="1"/>
      <x:c r="H137" s="1"/>
      <x:c r="I137" s="1"/>
      <x:c r="J137" s="1"/>
      <x:c r="K137" s="1"/>
    </x:row>
    <x:row r="138" ht="14.5">
      <x:c r="A138" s="1"/>
      <x:c r="B138" s="1"/>
      <x:c r="C138" s="1"/>
      <x:c r="D138" s="1"/>
      <x:c r="E138" s="1"/>
      <x:c r="F138" s="1"/>
      <x:c r="G138" s="1"/>
      <x:c r="H138" s="1"/>
      <x:c r="I138" s="1"/>
      <x:c r="J138" s="1"/>
      <x:c r="K138" s="1"/>
    </x:row>
    <x:row r="139" ht="14.5">
      <x:c r="A139" s="1"/>
      <x:c r="B139" s="1"/>
      <x:c r="C139" s="1"/>
      <x:c r="D139" s="1"/>
      <x:c r="E139" s="1"/>
      <x:c r="F139" s="1"/>
      <x:c r="G139" s="1"/>
      <x:c r="H139" s="1"/>
      <x:c r="I139" s="1"/>
      <x:c r="J139" s="1"/>
      <x:c r="K139" s="1"/>
    </x:row>
    <x:row r="140" ht="14.5">
      <x:c r="A140" s="1"/>
      <x:c r="B140" s="1"/>
      <x:c r="C140" s="1"/>
      <x:c r="D140" s="1"/>
      <x:c r="E140" s="1"/>
      <x:c r="F140" s="1"/>
      <x:c r="G140" s="1"/>
      <x:c r="H140" s="1"/>
      <x:c r="I140" s="1"/>
      <x:c r="J140" s="1"/>
      <x:c r="K140" s="1"/>
    </x:row>
    <x:row r="141" ht="14.5">
      <x:c r="A141" s="1"/>
      <x:c r="B141" s="1"/>
      <x:c r="C141" s="1"/>
      <x:c r="D141" s="1"/>
      <x:c r="E141" s="1"/>
      <x:c r="F141" s="1"/>
      <x:c r="G141" s="1"/>
      <x:c r="H141" s="1"/>
      <x:c r="I141" s="1"/>
      <x:c r="J141" s="1"/>
      <x:c r="K141" s="1"/>
    </x:row>
    <x:row r="142" ht="14.5">
      <x:c r="A142" s="1"/>
      <x:c r="B142" s="1"/>
      <x:c r="C142" s="1"/>
      <x:c r="D142" s="1"/>
      <x:c r="E142" s="1"/>
      <x:c r="F142" s="1"/>
      <x:c r="G142" s="1"/>
      <x:c r="H142" s="1"/>
      <x:c r="I142" s="1"/>
      <x:c r="J142" s="1"/>
      <x:c r="K142" s="1"/>
    </x:row>
    <x:row r="143" ht="14.5">
      <x:c r="A143" s="1"/>
      <x:c r="B143" s="1"/>
      <x:c r="C143" s="1"/>
      <x:c r="D143" s="1"/>
      <x:c r="E143" s="1"/>
      <x:c r="F143" s="1"/>
      <x:c r="G143" s="1"/>
      <x:c r="H143" s="1"/>
      <x:c r="I143" s="1"/>
      <x:c r="J143" s="1"/>
      <x:c r="K143" s="1"/>
    </x:row>
    <x:row r="144" ht="14.5">
      <x:c r="A144" s="1"/>
      <x:c r="B144" s="1"/>
      <x:c r="C144" s="1"/>
      <x:c r="D144" s="1"/>
      <x:c r="E144" s="1"/>
      <x:c r="F144" s="1"/>
      <x:c r="G144" s="1"/>
      <x:c r="H144" s="1"/>
      <x:c r="I144" s="1"/>
      <x:c r="J144" s="1"/>
      <x:c r="K144" s="1"/>
    </x:row>
    <x:row r="145" ht="14.5">
      <x:c r="A145" s="1"/>
      <x:c r="B145" s="1"/>
      <x:c r="C145" s="1"/>
      <x:c r="D145" s="1"/>
      <x:c r="E145" s="1"/>
      <x:c r="F145" s="1"/>
      <x:c r="G145" s="1"/>
      <x:c r="H145" s="1"/>
      <x:c r="I145" s="1"/>
      <x:c r="J145" s="1"/>
      <x:c r="K145" s="1"/>
    </x:row>
    <x:row r="146" ht="14.5">
      <x:c r="A146" s="1"/>
      <x:c r="B146" s="1"/>
      <x:c r="C146" s="1"/>
      <x:c r="D146" s="1"/>
      <x:c r="E146" s="1"/>
      <x:c r="F146" s="1"/>
      <x:c r="G146" s="1"/>
      <x:c r="H146" s="1"/>
      <x:c r="I146" s="1"/>
      <x:c r="J146" s="1"/>
      <x:c r="K146" s="1"/>
    </x:row>
    <x:row r="147" ht="14.5">
      <x:c r="A147" s="1"/>
      <x:c r="B147" s="1"/>
      <x:c r="C147" s="1"/>
      <x:c r="D147" s="1"/>
      <x:c r="E147" s="1"/>
      <x:c r="F147" s="1"/>
      <x:c r="G147" s="1"/>
      <x:c r="H147" s="1"/>
      <x:c r="I147" s="1"/>
      <x:c r="J147" s="1"/>
      <x:c r="K147" s="1"/>
    </x:row>
    <x:row r="148" ht="14.5">
      <x:c r="A148" s="1"/>
      <x:c r="B148" s="1"/>
      <x:c r="C148" s="1"/>
      <x:c r="D148" s="1"/>
      <x:c r="E148" s="1"/>
      <x:c r="F148" s="1"/>
      <x:c r="G148" s="1"/>
      <x:c r="H148" s="1"/>
      <x:c r="I148" s="1"/>
      <x:c r="J148" s="1"/>
      <x:c r="K148" s="1"/>
    </x:row>
    <x:row r="149" ht="14.5">
      <x:c r="A149" s="1"/>
      <x:c r="B149" s="1"/>
      <x:c r="C149" s="1"/>
      <x:c r="D149" s="1"/>
      <x:c r="E149" s="1"/>
      <x:c r="F149" s="1"/>
      <x:c r="G149" s="1"/>
      <x:c r="H149" s="1"/>
      <x:c r="I149" s="1"/>
      <x:c r="J149" s="1"/>
      <x:c r="K149" s="1"/>
    </x:row>
    <x:row r="150" ht="14.5">
      <x:c r="A150" s="1"/>
      <x:c r="B150" s="1"/>
      <x:c r="C150" s="1"/>
      <x:c r="D150" s="1"/>
      <x:c r="E150" s="1"/>
      <x:c r="F150" s="1"/>
      <x:c r="G150" s="1"/>
      <x:c r="H150" s="1"/>
      <x:c r="I150" s="1"/>
      <x:c r="J150" s="1"/>
      <x:c r="K150" s="1"/>
    </x:row>
    <x:row r="151" ht="14.5">
      <x:c r="A151" s="1"/>
      <x:c r="B151" s="1"/>
      <x:c r="C151" s="1"/>
      <x:c r="D151" s="1"/>
      <x:c r="E151" s="1"/>
      <x:c r="F151" s="1"/>
      <x:c r="G151" s="1"/>
      <x:c r="H151" s="1"/>
      <x:c r="I151" s="1"/>
      <x:c r="J151" s="1"/>
      <x:c r="K151" s="1"/>
    </x:row>
    <x:row r="152" ht="14.5">
      <x:c r="A152" s="1"/>
      <x:c r="B152" s="1"/>
      <x:c r="C152" s="1"/>
      <x:c r="D152" s="1"/>
      <x:c r="E152" s="1"/>
      <x:c r="F152" s="1"/>
      <x:c r="G152" s="1"/>
      <x:c r="H152" s="1"/>
      <x:c r="I152" s="1"/>
      <x:c r="J152" s="1"/>
      <x:c r="K152" s="1"/>
    </x:row>
    <x:row r="153" ht="14.5">
      <x:c r="A153" s="1"/>
      <x:c r="B153" s="1"/>
      <x:c r="C153" s="1"/>
      <x:c r="D153" s="1"/>
      <x:c r="E153" s="1"/>
      <x:c r="F153" s="1"/>
      <x:c r="G153" s="1"/>
      <x:c r="H153" s="1"/>
      <x:c r="I153" s="1"/>
      <x:c r="J153" s="1"/>
      <x:c r="K153" s="1"/>
    </x:row>
    <x:row r="154" ht="14.5">
      <x:c r="A154" s="1"/>
      <x:c r="B154" s="1"/>
      <x:c r="C154" s="1"/>
      <x:c r="D154" s="1"/>
      <x:c r="E154" s="1"/>
      <x:c r="F154" s="1"/>
      <x:c r="G154" s="1"/>
      <x:c r="H154" s="1"/>
      <x:c r="I154" s="1"/>
      <x:c r="J154" s="1"/>
      <x:c r="K154" s="1"/>
    </x:row>
    <x:row r="155" ht="14.5">
      <x:c r="A155" s="1"/>
      <x:c r="B155" s="1"/>
      <x:c r="C155" s="1"/>
      <x:c r="D155" s="1"/>
      <x:c r="E155" s="1"/>
      <x:c r="F155" s="1"/>
      <x:c r="G155" s="1"/>
      <x:c r="H155" s="1"/>
      <x:c r="I155" s="1"/>
      <x:c r="J155" s="1"/>
      <x:c r="K155" s="1"/>
    </x:row>
    <x:row r="156" ht="14.5">
      <x:c r="A156" s="1"/>
      <x:c r="B156" s="1"/>
      <x:c r="C156" s="1"/>
      <x:c r="D156" s="1"/>
      <x:c r="E156" s="1"/>
      <x:c r="F156" s="1"/>
      <x:c r="G156" s="1"/>
      <x:c r="H156" s="1"/>
      <x:c r="I156" s="1"/>
      <x:c r="J156" s="1"/>
      <x:c r="K156" s="1"/>
    </x:row>
    <x:row r="157" ht="14.5">
      <x:c r="A157" s="1"/>
      <x:c r="B157" s="1"/>
      <x:c r="C157" s="1"/>
      <x:c r="D157" s="1"/>
      <x:c r="E157" s="1"/>
      <x:c r="F157" s="1"/>
      <x:c r="G157" s="1"/>
      <x:c r="H157" s="1"/>
      <x:c r="I157" s="1"/>
      <x:c r="J157" s="1"/>
      <x:c r="K157" s="1"/>
    </x:row>
    <x:row r="158" ht="14.5">
      <x:c r="A158" s="1"/>
      <x:c r="B158" s="1"/>
      <x:c r="C158" s="1"/>
      <x:c r="D158" s="1"/>
      <x:c r="E158" s="1"/>
      <x:c r="F158" s="1"/>
      <x:c r="G158" s="1"/>
      <x:c r="H158" s="1"/>
      <x:c r="I158" s="1"/>
      <x:c r="J158" s="1"/>
      <x:c r="K158" s="1"/>
    </x:row>
    <x:row r="159" ht="14.5">
      <x:c r="A159" s="1"/>
      <x:c r="B159" s="1"/>
      <x:c r="C159" s="1"/>
      <x:c r="D159" s="1"/>
      <x:c r="E159" s="1"/>
      <x:c r="F159" s="1"/>
      <x:c r="G159" s="1"/>
      <x:c r="H159" s="1"/>
      <x:c r="I159" s="1"/>
      <x:c r="J159" s="1"/>
      <x:c r="K159" s="1"/>
    </x:row>
    <x:row r="160" ht="14.5">
      <x:c r="A160" s="1"/>
      <x:c r="B160" s="1"/>
      <x:c r="C160" s="1"/>
      <x:c r="D160" s="1"/>
      <x:c r="E160" s="1"/>
      <x:c r="F160" s="1"/>
      <x:c r="G160" s="1"/>
      <x:c r="H160" s="1"/>
      <x:c r="I160" s="1"/>
      <x:c r="J160" s="1"/>
      <x:c r="K160" s="1"/>
    </x:row>
    <x:row r="161" ht="14.5">
      <x:c r="A161" s="1"/>
      <x:c r="B161" s="1"/>
      <x:c r="C161" s="1"/>
      <x:c r="D161" s="1"/>
      <x:c r="E161" s="1"/>
      <x:c r="F161" s="1"/>
      <x:c r="G161" s="1"/>
      <x:c r="H161" s="1"/>
      <x:c r="I161" s="1"/>
      <x:c r="J161" s="1"/>
      <x:c r="K161" s="1"/>
    </x:row>
    <x:row r="162" ht="14.5">
      <x:c r="A162" s="1"/>
      <x:c r="B162" s="1"/>
      <x:c r="C162" s="1"/>
      <x:c r="D162" s="1"/>
      <x:c r="E162" s="1"/>
      <x:c r="F162" s="1"/>
      <x:c r="G162" s="1"/>
      <x:c r="H162" s="1"/>
      <x:c r="I162" s="1"/>
      <x:c r="J162" s="1"/>
      <x:c r="K162" s="1"/>
    </x:row>
    <x:row r="163" ht="14.5">
      <x:c r="A163" s="1"/>
      <x:c r="B163" s="1"/>
      <x:c r="C163" s="1"/>
      <x:c r="D163" s="1"/>
      <x:c r="E163" s="1"/>
      <x:c r="F163" s="1"/>
      <x:c r="G163" s="1"/>
      <x:c r="H163" s="1"/>
      <x:c r="I163" s="1"/>
      <x:c r="J163" s="1"/>
      <x:c r="K163" s="1"/>
    </x:row>
    <x:row r="164" ht="14.5">
      <x:c r="A164" s="1"/>
      <x:c r="B164" s="1"/>
      <x:c r="C164" s="1"/>
      <x:c r="D164" s="1"/>
      <x:c r="E164" s="1"/>
      <x:c r="F164" s="1"/>
      <x:c r="G164" s="1"/>
      <x:c r="H164" s="1"/>
      <x:c r="I164" s="1"/>
      <x:c r="J164" s="1"/>
      <x:c r="K164" s="1"/>
    </x:row>
    <x:row r="165" ht="14.5">
      <x:c r="A165" s="1"/>
      <x:c r="B165" s="1"/>
      <x:c r="C165" s="1"/>
      <x:c r="D165" s="1"/>
      <x:c r="E165" s="1"/>
      <x:c r="F165" s="1"/>
      <x:c r="G165" s="1"/>
      <x:c r="H165" s="1"/>
      <x:c r="I165" s="1"/>
      <x:c r="J165" s="1"/>
      <x:c r="K165" s="1"/>
    </x:row>
    <x:row r="166" ht="14.5">
      <x:c r="A166" s="1"/>
      <x:c r="B166" s="1"/>
      <x:c r="C166" s="1"/>
      <x:c r="D166" s="1"/>
      <x:c r="E166" s="1"/>
      <x:c r="F166" s="1"/>
      <x:c r="G166" s="1"/>
      <x:c r="H166" s="1"/>
      <x:c r="I166" s="1"/>
      <x:c r="J166" s="1"/>
      <x:c r="K166" s="1"/>
    </x:row>
    <x:row r="167" ht="14.5">
      <x:c r="A167" s="1"/>
      <x:c r="B167" s="1"/>
      <x:c r="C167" s="1"/>
      <x:c r="D167" s="1"/>
      <x:c r="E167" s="1"/>
      <x:c r="F167" s="1"/>
      <x:c r="G167" s="1"/>
      <x:c r="H167" s="1"/>
      <x:c r="I167" s="1"/>
      <x:c r="J167" s="1"/>
      <x:c r="K167" s="1"/>
    </x:row>
    <x:row r="168" ht="14.5">
      <x:c r="A168" s="1"/>
      <x:c r="B168" s="1"/>
      <x:c r="C168" s="1"/>
      <x:c r="D168" s="1"/>
      <x:c r="E168" s="1"/>
      <x:c r="F168" s="1"/>
      <x:c r="G168" s="1"/>
      <x:c r="H168" s="1"/>
      <x:c r="I168" s="1"/>
      <x:c r="J168" s="1"/>
      <x:c r="K168" s="1"/>
    </x:row>
    <x:row r="169" ht="14.5">
      <x:c r="A169" s="1"/>
      <x:c r="B169" s="1"/>
      <x:c r="C169" s="1"/>
      <x:c r="D169" s="1"/>
      <x:c r="E169" s="1"/>
      <x:c r="F169" s="1"/>
      <x:c r="G169" s="1"/>
      <x:c r="H169" s="1"/>
      <x:c r="I169" s="1"/>
      <x:c r="J169" s="1"/>
      <x:c r="K169" s="1"/>
    </x:row>
    <x:row r="170" ht="14.5">
      <x:c r="A170" s="1"/>
      <x:c r="B170" s="1"/>
      <x:c r="C170" s="1"/>
      <x:c r="D170" s="1"/>
      <x:c r="E170" s="1"/>
      <x:c r="F170" s="1"/>
      <x:c r="G170" s="1"/>
      <x:c r="H170" s="1"/>
      <x:c r="I170" s="1"/>
      <x:c r="J170" s="1"/>
      <x:c r="K170" s="1"/>
    </x:row>
    <x:row r="171" ht="14.5">
      <x:c r="A171" s="1"/>
      <x:c r="B171" s="1"/>
      <x:c r="C171" s="1"/>
      <x:c r="D171" s="1"/>
      <x:c r="E171" s="1"/>
      <x:c r="F171" s="1"/>
      <x:c r="G171" s="1"/>
      <x:c r="H171" s="1"/>
      <x:c r="I171" s="1"/>
      <x:c r="J171" s="1"/>
      <x:c r="K171" s="1"/>
    </x:row>
    <x:row r="172" ht="14.5">
      <x:c r="A172" s="1"/>
      <x:c r="B172" s="1"/>
      <x:c r="C172" s="1"/>
      <x:c r="D172" s="1"/>
      <x:c r="E172" s="1"/>
      <x:c r="F172" s="1"/>
      <x:c r="G172" s="1"/>
      <x:c r="H172" s="1"/>
      <x:c r="I172" s="1"/>
      <x:c r="J172" s="1"/>
      <x:c r="K172" s="1"/>
    </x:row>
    <x:row r="173" ht="14.5">
      <x:c r="A173" s="1"/>
      <x:c r="B173" s="1"/>
      <x:c r="C173" s="1"/>
      <x:c r="D173" s="1"/>
      <x:c r="E173" s="1"/>
      <x:c r="F173" s="1"/>
      <x:c r="G173" s="1"/>
      <x:c r="H173" s="1"/>
      <x:c r="I173" s="1"/>
      <x:c r="J173" s="1"/>
      <x:c r="K173" s="1"/>
    </x:row>
    <x:row r="174" ht="14.5">
      <x:c r="A174" s="1"/>
      <x:c r="B174" s="1"/>
      <x:c r="C174" s="1"/>
      <x:c r="D174" s="1"/>
      <x:c r="E174" s="1"/>
      <x:c r="F174" s="1"/>
      <x:c r="G174" s="1"/>
      <x:c r="H174" s="1"/>
      <x:c r="I174" s="1"/>
      <x:c r="J174" s="1"/>
      <x:c r="K174" s="1"/>
    </x:row>
    <x:row r="175" ht="14.5">
      <x:c r="A175" s="1"/>
      <x:c r="B175" s="1"/>
      <x:c r="C175" s="1"/>
      <x:c r="D175" s="1"/>
      <x:c r="E175" s="1"/>
      <x:c r="F175" s="1"/>
      <x:c r="G175" s="1"/>
      <x:c r="H175" s="1"/>
      <x:c r="I175" s="1"/>
      <x:c r="J175" s="1"/>
      <x:c r="K175" s="1"/>
    </x:row>
    <x:row r="176" ht="14.5">
      <x:c r="A176" s="1"/>
      <x:c r="B176" s="1"/>
      <x:c r="C176" s="1"/>
      <x:c r="D176" s="1"/>
      <x:c r="E176" s="1"/>
      <x:c r="F176" s="1"/>
      <x:c r="G176" s="1"/>
      <x:c r="H176" s="1"/>
      <x:c r="I176" s="1"/>
      <x:c r="J176" s="1"/>
      <x:c r="K176" s="1"/>
    </x:row>
    <x:row r="177" ht="14.5">
      <x:c r="A177" s="1"/>
      <x:c r="B177" s="1"/>
      <x:c r="C177" s="1"/>
      <x:c r="D177" s="1"/>
      <x:c r="E177" s="1"/>
      <x:c r="F177" s="1"/>
      <x:c r="G177" s="1"/>
      <x:c r="H177" s="1"/>
      <x:c r="I177" s="1"/>
      <x:c r="J177" s="1"/>
      <x:c r="K177" s="1"/>
    </x:row>
    <x:row r="178" ht="14.5">
      <x:c r="A178" s="1"/>
      <x:c r="B178" s="1"/>
      <x:c r="C178" s="1"/>
      <x:c r="D178" s="1"/>
      <x:c r="E178" s="1"/>
      <x:c r="F178" s="1"/>
      <x:c r="G178" s="1"/>
      <x:c r="H178" s="1"/>
      <x:c r="I178" s="1"/>
      <x:c r="J178" s="1"/>
      <x:c r="K178" s="1"/>
    </x:row>
    <x:row r="179" ht="14.5">
      <x:c r="A179" s="1"/>
      <x:c r="B179" s="1"/>
      <x:c r="C179" s="1"/>
      <x:c r="D179" s="1"/>
      <x:c r="E179" s="1"/>
      <x:c r="F179" s="1"/>
      <x:c r="G179" s="1"/>
      <x:c r="H179" s="1"/>
      <x:c r="I179" s="1"/>
      <x:c r="J179" s="1"/>
      <x:c r="K179" s="1"/>
    </x:row>
    <x:row r="180" ht="14.5">
      <x:c r="A180" s="1"/>
      <x:c r="B180" s="1"/>
      <x:c r="C180" s="1"/>
      <x:c r="D180" s="1"/>
      <x:c r="E180" s="1"/>
      <x:c r="F180" s="1"/>
      <x:c r="G180" s="1"/>
      <x:c r="H180" s="1"/>
      <x:c r="I180" s="1"/>
      <x:c r="J180" s="1"/>
      <x:c r="K180" s="1"/>
    </x:row>
    <x:row r="181" ht="14.5">
      <x:c r="A181" s="1"/>
      <x:c r="B181" s="1"/>
      <x:c r="C181" s="1"/>
      <x:c r="D181" s="1"/>
      <x:c r="E181" s="1"/>
      <x:c r="F181" s="1"/>
      <x:c r="G181" s="1"/>
      <x:c r="H181" s="1"/>
      <x:c r="I181" s="1"/>
      <x:c r="J181" s="1"/>
      <x:c r="K181" s="1"/>
    </x:row>
    <x:row r="182" ht="14.5">
      <x:c r="A182" s="1"/>
      <x:c r="B182" s="1"/>
      <x:c r="C182" s="1"/>
      <x:c r="D182" s="1"/>
      <x:c r="E182" s="1"/>
      <x:c r="F182" s="1"/>
      <x:c r="G182" s="1"/>
      <x:c r="H182" s="1"/>
      <x:c r="I182" s="1"/>
      <x:c r="J182" s="1"/>
      <x:c r="K182" s="1"/>
    </x:row>
    <x:row r="183" ht="14.5">
      <x:c r="A183" s="1"/>
      <x:c r="B183" s="1"/>
      <x:c r="C183" s="1"/>
      <x:c r="D183" s="1"/>
      <x:c r="E183" s="1"/>
      <x:c r="F183" s="1"/>
      <x:c r="G183" s="1"/>
      <x:c r="H183" s="1"/>
      <x:c r="I183" s="1"/>
      <x:c r="J183" s="1"/>
      <x:c r="K183" s="1"/>
    </x:row>
    <x:row r="184" ht="14.5">
      <x:c r="A184" s="1"/>
      <x:c r="B184" s="1"/>
      <x:c r="C184" s="1"/>
      <x:c r="D184" s="1"/>
      <x:c r="E184" s="1"/>
      <x:c r="F184" s="1"/>
      <x:c r="G184" s="1"/>
      <x:c r="H184" s="1"/>
      <x:c r="I184" s="1"/>
      <x:c r="J184" s="1"/>
      <x:c r="K184" s="1"/>
    </x:row>
    <x:row r="185" ht="14.5">
      <x:c r="A185" s="1"/>
      <x:c r="B185" s="1"/>
      <x:c r="C185" s="1"/>
      <x:c r="D185" s="1"/>
      <x:c r="E185" s="1"/>
      <x:c r="F185" s="1"/>
      <x:c r="G185" s="1"/>
      <x:c r="H185" s="1"/>
      <x:c r="I185" s="1"/>
      <x:c r="J185" s="1"/>
      <x:c r="K185" s="1"/>
    </x:row>
    <x:row r="186" ht="14.5">
      <x:c r="A186" s="1"/>
      <x:c r="B186" s="1"/>
      <x:c r="C186" s="1"/>
      <x:c r="D186" s="1"/>
      <x:c r="E186" s="1"/>
      <x:c r="F186" s="1"/>
      <x:c r="G186" s="1"/>
      <x:c r="H186" s="1"/>
      <x:c r="I186" s="1"/>
      <x:c r="J186" s="1"/>
      <x:c r="K186" s="1"/>
    </x:row>
    <x:row r="187" ht="14.5">
      <x:c r="A187" s="1"/>
      <x:c r="B187" s="1"/>
      <x:c r="C187" s="1"/>
      <x:c r="D187" s="1"/>
      <x:c r="E187" s="1"/>
      <x:c r="F187" s="1"/>
      <x:c r="G187" s="1"/>
      <x:c r="H187" s="1"/>
      <x:c r="I187" s="1"/>
      <x:c r="J187" s="1"/>
      <x:c r="K187" s="1"/>
    </x:row>
    <x:row r="188" ht="14.5">
      <x:c r="A188" s="1"/>
      <x:c r="B188" s="1"/>
      <x:c r="C188" s="1"/>
      <x:c r="D188" s="1"/>
      <x:c r="E188" s="1"/>
      <x:c r="F188" s="1"/>
      <x:c r="G188" s="1"/>
      <x:c r="H188" s="1"/>
      <x:c r="I188" s="1"/>
      <x:c r="J188" s="1"/>
      <x:c r="K188" s="1"/>
    </x:row>
    <x:row r="189" ht="14.5">
      <x:c r="A189" s="1"/>
      <x:c r="B189" s="1"/>
      <x:c r="C189" s="1"/>
      <x:c r="D189" s="1"/>
      <x:c r="E189" s="1"/>
      <x:c r="F189" s="1"/>
      <x:c r="G189" s="1"/>
      <x:c r="H189" s="1"/>
      <x:c r="I189" s="1"/>
      <x:c r="J189" s="1"/>
      <x:c r="K189" s="1"/>
    </x:row>
    <x:row r="190" ht="14.5">
      <x:c r="A190" s="1"/>
      <x:c r="B190" s="1"/>
      <x:c r="C190" s="1"/>
      <x:c r="D190" s="1"/>
      <x:c r="E190" s="1"/>
      <x:c r="F190" s="1"/>
      <x:c r="G190" s="1"/>
      <x:c r="H190" s="1"/>
      <x:c r="I190" s="1"/>
      <x:c r="J190" s="1"/>
      <x:c r="K190" s="1"/>
    </x:row>
    <x:row r="191" ht="14.5">
      <x:c r="A191" s="1"/>
      <x:c r="B191" s="1"/>
      <x:c r="C191" s="1"/>
      <x:c r="D191" s="1"/>
      <x:c r="E191" s="1"/>
      <x:c r="F191" s="1"/>
      <x:c r="G191" s="1"/>
      <x:c r="H191" s="1"/>
      <x:c r="I191" s="1"/>
      <x:c r="J191" s="1"/>
      <x:c r="K191" s="1"/>
    </x:row>
    <x:row r="192" ht="14.5">
      <x:c r="A192" s="1"/>
      <x:c r="B192" s="1"/>
      <x:c r="C192" s="1"/>
      <x:c r="D192" s="1"/>
      <x:c r="E192" s="1"/>
      <x:c r="F192" s="1"/>
      <x:c r="G192" s="1"/>
      <x:c r="H192" s="1"/>
      <x:c r="I192" s="1"/>
      <x:c r="J192" s="1"/>
      <x:c r="K192" s="1"/>
    </x:row>
    <x:row r="193" ht="14.5">
      <x:c r="A193" s="1"/>
      <x:c r="B193" s="1"/>
      <x:c r="C193" s="1"/>
      <x:c r="D193" s="1"/>
      <x:c r="E193" s="1"/>
      <x:c r="F193" s="1"/>
      <x:c r="G193" s="1"/>
      <x:c r="H193" s="1"/>
      <x:c r="I193" s="1"/>
      <x:c r="J193" s="1"/>
      <x:c r="K193" s="1"/>
    </x:row>
    <x:row r="194" ht="14.5">
      <x:c r="A194" s="1"/>
      <x:c r="B194" s="1"/>
      <x:c r="C194" s="1"/>
      <x:c r="D194" s="1"/>
      <x:c r="E194" s="1"/>
      <x:c r="F194" s="1"/>
      <x:c r="G194" s="1"/>
      <x:c r="H194" s="1"/>
      <x:c r="I194" s="1"/>
      <x:c r="J194" s="1"/>
      <x:c r="K194" s="1"/>
    </x:row>
    <x:row r="195" ht="14.5">
      <x:c r="A195" s="1"/>
      <x:c r="B195" s="1"/>
      <x:c r="C195" s="1"/>
      <x:c r="D195" s="1"/>
      <x:c r="E195" s="1"/>
      <x:c r="F195" s="1"/>
      <x:c r="G195" s="1"/>
      <x:c r="H195" s="1"/>
      <x:c r="I195" s="1"/>
      <x:c r="J195" s="1"/>
      <x:c r="K195" s="1"/>
    </x:row>
    <x:row r="196" ht="14.5">
      <x:c r="A196" s="1"/>
      <x:c r="B196" s="1"/>
      <x:c r="C196" s="1"/>
      <x:c r="D196" s="1"/>
      <x:c r="E196" s="1"/>
      <x:c r="F196" s="1"/>
      <x:c r="G196" s="1"/>
      <x:c r="H196" s="1"/>
      <x:c r="I196" s="1"/>
      <x:c r="J196" s="1"/>
      <x:c r="K196" s="1"/>
    </x:row>
    <x:row r="197" ht="14.5">
      <x:c r="A197" s="1"/>
      <x:c r="B197" s="1"/>
      <x:c r="C197" s="1"/>
      <x:c r="D197" s="1"/>
      <x:c r="E197" s="1"/>
      <x:c r="F197" s="1"/>
      <x:c r="G197" s="1"/>
      <x:c r="H197" s="1"/>
      <x:c r="I197" s="1"/>
      <x:c r="J197" s="1"/>
      <x:c r="K197" s="1"/>
    </x:row>
    <x:row r="198" ht="14.5">
      <x:c r="A198" s="1"/>
      <x:c r="B198" s="1"/>
      <x:c r="C198" s="1"/>
      <x:c r="D198" s="1"/>
      <x:c r="E198" s="1"/>
      <x:c r="F198" s="1"/>
      <x:c r="G198" s="1"/>
      <x:c r="H198" s="1"/>
      <x:c r="I198" s="1"/>
      <x:c r="J198" s="1"/>
      <x:c r="K198" s="1"/>
    </x:row>
    <x:row r="199" ht="14.5">
      <x:c r="A199" s="1"/>
      <x:c r="B199" s="1"/>
      <x:c r="C199" s="1"/>
      <x:c r="D199" s="1"/>
      <x:c r="E199" s="1"/>
      <x:c r="F199" s="1"/>
      <x:c r="G199" s="1"/>
      <x:c r="H199" s="1"/>
      <x:c r="I199" s="1"/>
      <x:c r="J199" s="1"/>
      <x:c r="K199" s="1"/>
    </x:row>
    <x:row r="200" ht="14.5">
      <x:c r="A200" s="1"/>
      <x:c r="B200" s="1"/>
      <x:c r="C200" s="1"/>
      <x:c r="D200" s="1"/>
      <x:c r="E200" s="1"/>
      <x:c r="F200" s="1"/>
      <x:c r="G200" s="1"/>
      <x:c r="H200" s="1"/>
      <x:c r="I200" s="1"/>
      <x:c r="J200" s="1"/>
      <x:c r="K200" s="1"/>
    </x:row>
    <x:row r="201" ht="14.5">
      <x:c r="A201" s="1"/>
      <x:c r="B201" s="1"/>
      <x:c r="C201" s="1"/>
      <x:c r="D201" s="1"/>
      <x:c r="E201" s="1"/>
      <x:c r="F201" s="1"/>
      <x:c r="G201" s="1"/>
      <x:c r="H201" s="1"/>
      <x:c r="I201" s="1"/>
      <x:c r="J201" s="1"/>
      <x:c r="K201" s="1"/>
    </x:row>
    <x:row r="202" ht="14.5">
      <x:c r="A202" s="1"/>
      <x:c r="B202" s="1"/>
      <x:c r="C202" s="1"/>
      <x:c r="D202" s="1"/>
      <x:c r="E202" s="1"/>
      <x:c r="F202" s="1"/>
      <x:c r="G202" s="1"/>
      <x:c r="H202" s="1"/>
      <x:c r="I202" s="1"/>
      <x:c r="J202" s="1"/>
      <x:c r="K202" s="1"/>
    </x:row>
    <x:row r="203" ht="14.5">
      <x:c r="A203" s="1"/>
      <x:c r="B203" s="1"/>
      <x:c r="C203" s="1"/>
      <x:c r="D203" s="1"/>
      <x:c r="E203" s="1"/>
      <x:c r="F203" s="1"/>
      <x:c r="G203" s="1"/>
      <x:c r="H203" s="1"/>
      <x:c r="I203" s="1"/>
      <x:c r="J203" s="1"/>
      <x:c r="K203" s="1"/>
    </x:row>
    <x:row r="204" ht="14.5">
      <x:c r="A204" s="1"/>
      <x:c r="B204" s="1"/>
      <x:c r="C204" s="1"/>
      <x:c r="D204" s="1"/>
      <x:c r="E204" s="1"/>
      <x:c r="F204" s="1"/>
      <x:c r="G204" s="1"/>
      <x:c r="H204" s="1"/>
      <x:c r="I204" s="1"/>
      <x:c r="J204" s="1"/>
      <x:c r="K204" s="1"/>
    </x:row>
    <x:row r="205" ht="14.5">
      <x:c r="A205" s="1"/>
      <x:c r="B205" s="1"/>
      <x:c r="C205" s="1"/>
      <x:c r="D205" s="1"/>
      <x:c r="E205" s="1"/>
      <x:c r="F205" s="1"/>
      <x:c r="G205" s="1"/>
      <x:c r="H205" s="1"/>
      <x:c r="I205" s="1"/>
      <x:c r="J205" s="1"/>
      <x:c r="K205" s="1"/>
    </x:row>
    <x:row r="206" ht="14.5">
      <x:c r="A206" s="1"/>
      <x:c r="B206" s="1"/>
      <x:c r="C206" s="1"/>
      <x:c r="D206" s="1"/>
      <x:c r="E206" s="1"/>
      <x:c r="F206" s="1"/>
      <x:c r="G206" s="1"/>
      <x:c r="H206" s="1"/>
      <x:c r="I206" s="1"/>
      <x:c r="J206" s="1"/>
      <x:c r="K206" s="1"/>
    </x:row>
    <x:row r="207" ht="14.5">
      <x:c r="A207" s="1"/>
      <x:c r="B207" s="1"/>
      <x:c r="C207" s="1"/>
      <x:c r="D207" s="1"/>
      <x:c r="E207" s="1"/>
      <x:c r="F207" s="1"/>
      <x:c r="G207" s="1"/>
      <x:c r="H207" s="1"/>
      <x:c r="I207" s="1"/>
      <x:c r="J207" s="1"/>
      <x:c r="K207" s="1"/>
    </x:row>
    <x:row r="208" ht="14.5">
      <x:c r="A208" s="1"/>
      <x:c r="B208" s="1"/>
      <x:c r="C208" s="1"/>
      <x:c r="D208" s="1"/>
      <x:c r="E208" s="1"/>
      <x:c r="F208" s="1"/>
      <x:c r="G208" s="1"/>
      <x:c r="H208" s="1"/>
      <x:c r="I208" s="1"/>
      <x:c r="J208" s="1"/>
      <x:c r="K208" s="1"/>
    </x:row>
    <x:row r="209" ht="14.5">
      <x:c r="A209" s="1"/>
      <x:c r="B209" s="1"/>
      <x:c r="C209" s="1"/>
      <x:c r="D209" s="1"/>
      <x:c r="E209" s="1"/>
      <x:c r="F209" s="1"/>
      <x:c r="G209" s="1"/>
      <x:c r="H209" s="1"/>
      <x:c r="I209" s="1"/>
      <x:c r="J209" s="1"/>
      <x:c r="K209" s="1"/>
    </x:row>
    <x:row r="210" ht="14.5">
      <x:c r="A210" s="1"/>
      <x:c r="B210" s="1"/>
      <x:c r="C210" s="1"/>
      <x:c r="D210" s="1"/>
      <x:c r="E210" s="1"/>
      <x:c r="F210" s="1"/>
      <x:c r="G210" s="1"/>
      <x:c r="H210" s="1"/>
      <x:c r="I210" s="1"/>
      <x:c r="J210" s="1"/>
      <x:c r="K210" s="1"/>
    </x:row>
    <x:row r="211" ht="14.5">
      <x:c r="A211" s="1"/>
      <x:c r="B211" s="1"/>
      <x:c r="C211" s="1"/>
      <x:c r="D211" s="1"/>
      <x:c r="E211" s="1"/>
      <x:c r="F211" s="1"/>
      <x:c r="G211" s="1"/>
      <x:c r="H211" s="1"/>
      <x:c r="I211" s="1"/>
      <x:c r="J211" s="1"/>
      <x:c r="K211" s="1"/>
    </x:row>
    <x:row r="212" ht="14.5">
      <x:c r="A212" s="1"/>
      <x:c r="B212" s="1"/>
      <x:c r="C212" s="1"/>
      <x:c r="D212" s="1"/>
      <x:c r="E212" s="1"/>
      <x:c r="F212" s="1"/>
      <x:c r="G212" s="1"/>
      <x:c r="H212" s="1"/>
      <x:c r="I212" s="1"/>
      <x:c r="J212" s="1"/>
      <x:c r="K212" s="1"/>
    </x:row>
    <x:row r="213" ht="14.5">
      <x:c r="A213" s="1"/>
      <x:c r="B213" s="1"/>
      <x:c r="C213" s="1"/>
      <x:c r="D213" s="1"/>
      <x:c r="E213" s="1"/>
      <x:c r="F213" s="1"/>
      <x:c r="G213" s="1"/>
      <x:c r="H213" s="1"/>
      <x:c r="I213" s="1"/>
      <x:c r="J213" s="1"/>
      <x:c r="K213" s="1"/>
    </x:row>
    <x:row r="214" ht="14.5">
      <x:c r="A214" s="1"/>
      <x:c r="B214" s="1"/>
      <x:c r="C214" s="1"/>
      <x:c r="D214" s="1"/>
      <x:c r="E214" s="1"/>
      <x:c r="F214" s="1"/>
      <x:c r="G214" s="1"/>
      <x:c r="H214" s="1"/>
      <x:c r="I214" s="1"/>
      <x:c r="J214" s="1"/>
      <x:c r="K214" s="1"/>
    </x:row>
    <x:row r="215" ht="14.5">
      <x:c r="A215" s="1"/>
      <x:c r="B215" s="1"/>
      <x:c r="C215" s="1"/>
      <x:c r="D215" s="1"/>
      <x:c r="E215" s="1"/>
      <x:c r="F215" s="1"/>
      <x:c r="G215" s="1"/>
      <x:c r="H215" s="1"/>
      <x:c r="I215" s="1"/>
      <x:c r="J215" s="1"/>
      <x:c r="K215" s="1"/>
    </x:row>
    <x:row r="216" ht="14.5">
      <x:c r="A216" s="1"/>
      <x:c r="B216" s="1"/>
      <x:c r="C216" s="1"/>
      <x:c r="D216" s="1"/>
      <x:c r="E216" s="1"/>
      <x:c r="F216" s="1"/>
      <x:c r="G216" s="1"/>
      <x:c r="H216" s="1"/>
      <x:c r="I216" s="1"/>
      <x:c r="J216" s="1"/>
      <x:c r="K216" s="1"/>
    </x:row>
    <x:row r="217" ht="14.5">
      <x:c r="A217" s="1"/>
      <x:c r="B217" s="1"/>
      <x:c r="C217" s="1"/>
      <x:c r="D217" s="1"/>
      <x:c r="E217" s="1"/>
      <x:c r="F217" s="1"/>
      <x:c r="G217" s="1"/>
      <x:c r="H217" s="1"/>
      <x:c r="I217" s="1"/>
      <x:c r="J217" s="1"/>
      <x:c r="K217" s="1"/>
    </x:row>
    <x:row r="218" ht="14.5">
      <x:c r="A218" s="1"/>
      <x:c r="B218" s="1"/>
      <x:c r="C218" s="1"/>
      <x:c r="D218" s="1"/>
      <x:c r="E218" s="1"/>
      <x:c r="F218" s="1"/>
      <x:c r="G218" s="1"/>
      <x:c r="H218" s="1"/>
      <x:c r="I218" s="1"/>
      <x:c r="J218" s="1"/>
      <x:c r="K218" s="1"/>
    </x:row>
    <x:row r="219" ht="14.5">
      <x:c r="A219" s="1"/>
      <x:c r="B219" s="1"/>
      <x:c r="C219" s="1"/>
      <x:c r="D219" s="1"/>
      <x:c r="E219" s="1"/>
      <x:c r="F219" s="1"/>
      <x:c r="G219" s="1"/>
      <x:c r="H219" s="1"/>
      <x:c r="I219" s="1"/>
      <x:c r="J219" s="1"/>
      <x:c r="K219" s="1"/>
    </x:row>
    <x:row r="220" ht="14.5">
      <x:c r="A220" s="1"/>
      <x:c r="B220" s="1"/>
      <x:c r="C220" s="1"/>
      <x:c r="D220" s="1"/>
      <x:c r="E220" s="1"/>
      <x:c r="F220" s="1"/>
      <x:c r="G220" s="1"/>
      <x:c r="H220" s="1"/>
      <x:c r="I220" s="1"/>
      <x:c r="J220" s="1"/>
      <x:c r="K220" s="1"/>
    </x:row>
    <x:row r="221" ht="14.5">
      <x:c r="A221" s="1"/>
      <x:c r="B221" s="1"/>
      <x:c r="C221" s="1"/>
      <x:c r="D221" s="1"/>
      <x:c r="E221" s="1"/>
      <x:c r="F221" s="1"/>
      <x:c r="G221" s="1"/>
      <x:c r="H221" s="1"/>
      <x:c r="I221" s="1"/>
      <x:c r="J221" s="1"/>
      <x:c r="K221" s="1"/>
    </x:row>
    <x:row r="222" ht="14.5">
      <x:c r="A222" s="1"/>
      <x:c r="B222" s="1"/>
      <x:c r="C222" s="1"/>
      <x:c r="D222" s="1"/>
      <x:c r="E222" s="1"/>
      <x:c r="F222" s="1"/>
      <x:c r="G222" s="1"/>
      <x:c r="H222" s="1"/>
      <x:c r="I222" s="1"/>
      <x:c r="J222" s="1"/>
      <x:c r="K222" s="1"/>
    </x:row>
    <x:row r="223" ht="14.5">
      <x:c r="A223" s="1"/>
      <x:c r="B223" s="1"/>
      <x:c r="C223" s="1"/>
      <x:c r="D223" s="1"/>
      <x:c r="E223" s="1"/>
      <x:c r="F223" s="1"/>
      <x:c r="G223" s="1"/>
      <x:c r="H223" s="1"/>
      <x:c r="I223" s="1"/>
      <x:c r="J223" s="1"/>
      <x:c r="K223" s="1"/>
    </x:row>
    <x:row r="224" ht="14.5">
      <x:c r="A224" s="1"/>
      <x:c r="B224" s="1"/>
      <x:c r="C224" s="1"/>
      <x:c r="D224" s="1"/>
      <x:c r="E224" s="1"/>
      <x:c r="F224" s="1"/>
      <x:c r="G224" s="1"/>
      <x:c r="H224" s="1"/>
      <x:c r="I224" s="1"/>
      <x:c r="J224" s="1"/>
      <x:c r="K224" s="1"/>
    </x:row>
    <x:row r="225" ht="14.5">
      <x:c r="A225" s="1"/>
      <x:c r="B225" s="1"/>
      <x:c r="C225" s="1"/>
      <x:c r="D225" s="1"/>
      <x:c r="E225" s="1"/>
      <x:c r="F225" s="1"/>
      <x:c r="G225" s="1"/>
      <x:c r="H225" s="1"/>
      <x:c r="I225" s="1"/>
      <x:c r="J225" s="1"/>
      <x:c r="K225" s="1"/>
    </x:row>
    <x:row r="226" ht="14.5">
      <x:c r="A226" s="1"/>
      <x:c r="B226" s="1"/>
      <x:c r="C226" s="1"/>
      <x:c r="D226" s="1"/>
      <x:c r="E226" s="1"/>
      <x:c r="F226" s="1"/>
      <x:c r="G226" s="1"/>
      <x:c r="H226" s="1"/>
      <x:c r="I226" s="1"/>
      <x:c r="J226" s="1"/>
      <x:c r="K226" s="1"/>
    </x:row>
    <x:row r="227" ht="14.5">
      <x:c r="A227" s="1"/>
      <x:c r="B227" s="1"/>
      <x:c r="C227" s="1"/>
      <x:c r="D227" s="1"/>
      <x:c r="E227" s="1"/>
      <x:c r="F227" s="1"/>
      <x:c r="G227" s="1"/>
      <x:c r="H227" s="1"/>
      <x:c r="I227" s="1"/>
      <x:c r="J227" s="1"/>
      <x:c r="K227" s="1"/>
    </x:row>
    <x:row r="228" ht="14.5">
      <x:c r="A228" s="1"/>
      <x:c r="B228" s="1"/>
      <x:c r="C228" s="1"/>
      <x:c r="D228" s="1"/>
      <x:c r="E228" s="1"/>
      <x:c r="F228" s="1"/>
      <x:c r="G228" s="1"/>
      <x:c r="H228" s="1"/>
      <x:c r="I228" s="1"/>
      <x:c r="J228" s="1"/>
      <x:c r="K228" s="1"/>
    </x:row>
    <x:row r="229" ht="14.5">
      <x:c r="A229" s="1"/>
      <x:c r="B229" s="1"/>
      <x:c r="C229" s="1"/>
      <x:c r="D229" s="1"/>
      <x:c r="E229" s="1"/>
      <x:c r="F229" s="1"/>
      <x:c r="G229" s="1"/>
      <x:c r="H229" s="1"/>
      <x:c r="I229" s="1"/>
      <x:c r="J229" s="1"/>
      <x:c r="K229" s="1"/>
    </x:row>
    <x:row r="230" ht="14.5">
      <x:c r="A230" s="1"/>
      <x:c r="B230" s="1"/>
      <x:c r="C230" s="1"/>
      <x:c r="D230" s="1"/>
      <x:c r="E230" s="1"/>
      <x:c r="F230" s="1"/>
      <x:c r="G230" s="1"/>
      <x:c r="H230" s="1"/>
      <x:c r="I230" s="1"/>
      <x:c r="J230" s="1"/>
      <x:c r="K230" s="1"/>
    </x:row>
    <x:row r="231" ht="14.5">
      <x:c r="A231" s="1"/>
      <x:c r="B231" s="1"/>
      <x:c r="C231" s="1"/>
      <x:c r="D231" s="1"/>
      <x:c r="E231" s="1"/>
      <x:c r="F231" s="1"/>
      <x:c r="G231" s="1"/>
      <x:c r="H231" s="1"/>
      <x:c r="I231" s="1"/>
      <x:c r="J231" s="1"/>
      <x:c r="K231" s="1"/>
    </x:row>
    <x:row r="232" ht="14.5">
      <x:c r="A232" s="1"/>
      <x:c r="B232" s="1"/>
      <x:c r="C232" s="1"/>
      <x:c r="D232" s="1"/>
      <x:c r="E232" s="1"/>
      <x:c r="F232" s="1"/>
      <x:c r="G232" s="1"/>
      <x:c r="H232" s="1"/>
      <x:c r="I232" s="1"/>
      <x:c r="J232" s="1"/>
      <x:c r="K232" s="1"/>
    </x:row>
    <x:row r="233" ht="14.5">
      <x:c r="A233" s="1"/>
      <x:c r="B233" s="1"/>
      <x:c r="C233" s="1"/>
      <x:c r="D233" s="1"/>
      <x:c r="E233" s="1"/>
      <x:c r="F233" s="1"/>
      <x:c r="G233" s="1"/>
      <x:c r="H233" s="1"/>
      <x:c r="I233" s="1"/>
      <x:c r="J233" s="1"/>
      <x:c r="K233" s="1"/>
    </x:row>
    <x:row r="234" ht="14.5">
      <x:c r="A234" s="1"/>
      <x:c r="B234" s="1"/>
      <x:c r="C234" s="1"/>
      <x:c r="D234" s="1"/>
      <x:c r="E234" s="1"/>
      <x:c r="F234" s="1"/>
      <x:c r="G234" s="1"/>
      <x:c r="H234" s="1"/>
      <x:c r="I234" s="1"/>
      <x:c r="J234" s="1"/>
      <x:c r="K234" s="1"/>
    </x:row>
    <x:row r="235" ht="14.5">
      <x:c r="A235" s="1"/>
      <x:c r="B235" s="1"/>
      <x:c r="C235" s="1"/>
      <x:c r="D235" s="1"/>
      <x:c r="E235" s="1"/>
      <x:c r="F235" s="1"/>
      <x:c r="G235" s="1"/>
      <x:c r="H235" s="1"/>
      <x:c r="I235" s="1"/>
      <x:c r="J235" s="1"/>
      <x:c r="K235" s="1"/>
    </x:row>
    <x:row r="236" ht="14.5">
      <x:c r="A236" s="1"/>
      <x:c r="B236" s="1"/>
      <x:c r="C236" s="1"/>
      <x:c r="D236" s="1"/>
      <x:c r="E236" s="1"/>
      <x:c r="F236" s="1"/>
      <x:c r="G236" s="1"/>
      <x:c r="H236" s="1"/>
      <x:c r="I236" s="1"/>
      <x:c r="J236" s="1"/>
      <x:c r="K236" s="1"/>
    </x:row>
    <x:row r="237" ht="14.5">
      <x:c r="A237" s="1"/>
      <x:c r="B237" s="1"/>
      <x:c r="C237" s="1"/>
      <x:c r="D237" s="1"/>
      <x:c r="E237" s="1"/>
      <x:c r="F237" s="1"/>
      <x:c r="G237" s="1"/>
      <x:c r="H237" s="1"/>
      <x:c r="I237" s="1"/>
      <x:c r="J237" s="1"/>
      <x:c r="K237" s="1"/>
    </x:row>
    <x:row r="238" ht="14.5">
      <x:c r="A238" s="1"/>
      <x:c r="B238" s="1"/>
      <x:c r="C238" s="1"/>
      <x:c r="D238" s="1"/>
      <x:c r="E238" s="1"/>
      <x:c r="F238" s="1"/>
      <x:c r="G238" s="1"/>
      <x:c r="H238" s="1"/>
      <x:c r="I238" s="1"/>
      <x:c r="J238" s="1"/>
      <x:c r="K238" s="1"/>
    </x:row>
    <x:row r="239" ht="14.5">
      <x:c r="A239" s="1"/>
      <x:c r="B239" s="1"/>
      <x:c r="C239" s="1"/>
      <x:c r="D239" s="1"/>
      <x:c r="E239" s="1"/>
      <x:c r="F239" s="1"/>
      <x:c r="G239" s="1"/>
      <x:c r="H239" s="1"/>
      <x:c r="I239" s="1"/>
      <x:c r="J239" s="1"/>
      <x:c r="K239" s="1"/>
    </x:row>
    <x:row r="240" ht="14.5">
      <x:c r="A240" s="1"/>
      <x:c r="B240" s="1"/>
      <x:c r="C240" s="1"/>
      <x:c r="D240" s="1"/>
      <x:c r="E240" s="1"/>
      <x:c r="F240" s="1"/>
      <x:c r="G240" s="1"/>
      <x:c r="H240" s="1"/>
      <x:c r="I240" s="1"/>
      <x:c r="J240" s="1"/>
      <x:c r="K240" s="1"/>
    </x:row>
    <x:row r="241" ht="14.5">
      <x:c r="A241" s="1"/>
      <x:c r="B241" s="1"/>
      <x:c r="C241" s="1"/>
      <x:c r="D241" s="1"/>
      <x:c r="E241" s="1"/>
      <x:c r="F241" s="1"/>
      <x:c r="G241" s="1"/>
      <x:c r="H241" s="1"/>
      <x:c r="I241" s="1"/>
      <x:c r="J241" s="1"/>
      <x:c r="K241" s="1"/>
    </x:row>
    <x:row r="242" ht="14.5">
      <x:c r="A242" s="1"/>
      <x:c r="B242" s="1"/>
      <x:c r="C242" s="1"/>
      <x:c r="D242" s="1"/>
      <x:c r="E242" s="1"/>
      <x:c r="F242" s="1"/>
      <x:c r="G242" s="1"/>
      <x:c r="H242" s="1"/>
      <x:c r="I242" s="1"/>
      <x:c r="J242" s="1"/>
      <x:c r="K242" s="1"/>
    </x:row>
    <x:row r="243" ht="14.5">
      <x:c r="A243" s="1"/>
      <x:c r="B243" s="1"/>
      <x:c r="C243" s="1"/>
      <x:c r="D243" s="1"/>
      <x:c r="E243" s="1"/>
      <x:c r="F243" s="1"/>
      <x:c r="G243" s="1"/>
      <x:c r="H243" s="1"/>
      <x:c r="I243" s="1"/>
      <x:c r="J243" s="1"/>
      <x:c r="K243" s="1"/>
    </x:row>
    <x:row r="244" ht="14.5">
      <x:c r="A244" s="1"/>
      <x:c r="B244" s="1"/>
      <x:c r="C244" s="1"/>
      <x:c r="D244" s="1"/>
      <x:c r="E244" s="1"/>
      <x:c r="F244" s="1"/>
      <x:c r="G244" s="1"/>
      <x:c r="H244" s="1"/>
      <x:c r="I244" s="1"/>
      <x:c r="J244" s="1"/>
      <x:c r="K244" s="1"/>
    </x:row>
    <x:row r="245" ht="14.5">
      <x:c r="A245" s="1"/>
      <x:c r="B245" s="1"/>
      <x:c r="C245" s="1"/>
      <x:c r="D245" s="1"/>
      <x:c r="E245" s="1"/>
      <x:c r="F245" s="1"/>
      <x:c r="G245" s="1"/>
      <x:c r="H245" s="1"/>
      <x:c r="I245" s="1"/>
      <x:c r="J245" s="1"/>
      <x:c r="K245" s="1"/>
    </x:row>
    <x:row r="246" ht="14.5">
      <x:c r="A246" s="1"/>
      <x:c r="B246" s="1"/>
      <x:c r="C246" s="1"/>
      <x:c r="D246" s="1"/>
      <x:c r="E246" s="1"/>
      <x:c r="F246" s="1"/>
      <x:c r="G246" s="1"/>
      <x:c r="H246" s="1"/>
      <x:c r="I246" s="1"/>
      <x:c r="J246" s="1"/>
      <x:c r="K246" s="1"/>
    </x:row>
    <x:row r="247" ht="14.5">
      <x:c r="A247" s="1"/>
      <x:c r="B247" s="1"/>
      <x:c r="C247" s="1"/>
      <x:c r="D247" s="1"/>
      <x:c r="E247" s="1"/>
      <x:c r="F247" s="1"/>
      <x:c r="G247" s="1"/>
      <x:c r="H247" s="1"/>
      <x:c r="I247" s="1"/>
      <x:c r="J247" s="1"/>
      <x:c r="K247" s="1"/>
    </x:row>
    <x:row r="248" ht="14.5">
      <x:c r="A248" s="1"/>
      <x:c r="B248" s="1"/>
      <x:c r="C248" s="1"/>
      <x:c r="D248" s="1"/>
      <x:c r="E248" s="1"/>
      <x:c r="F248" s="1"/>
      <x:c r="G248" s="1"/>
      <x:c r="H248" s="1"/>
      <x:c r="I248" s="1"/>
      <x:c r="J248" s="1"/>
      <x:c r="K248" s="1"/>
    </x:row>
    <x:row r="249" ht="14.5">
      <x:c r="A249" s="1"/>
      <x:c r="B249" s="1"/>
      <x:c r="C249" s="1"/>
      <x:c r="D249" s="1"/>
      <x:c r="E249" s="1"/>
      <x:c r="F249" s="1"/>
      <x:c r="G249" s="1"/>
      <x:c r="H249" s="1"/>
      <x:c r="I249" s="1"/>
      <x:c r="J249" s="1"/>
      <x:c r="K249" s="1"/>
    </x:row>
    <x:row r="250" ht="14.5">
      <x:c r="A250" s="1"/>
      <x:c r="B250" s="1"/>
      <x:c r="C250" s="1"/>
      <x:c r="D250" s="1"/>
      <x:c r="E250" s="1"/>
      <x:c r="F250" s="1"/>
      <x:c r="G250" s="1"/>
      <x:c r="H250" s="1"/>
      <x:c r="I250" s="1"/>
      <x:c r="J250" s="1"/>
      <x:c r="K250" s="1"/>
    </x:row>
    <x:row r="251" ht="14.5">
      <x:c r="A251" s="1"/>
      <x:c r="B251" s="1"/>
      <x:c r="C251" s="1"/>
      <x:c r="D251" s="1"/>
      <x:c r="E251" s="1"/>
      <x:c r="F251" s="1"/>
      <x:c r="G251" s="1"/>
      <x:c r="H251" s="1"/>
      <x:c r="I251" s="1"/>
      <x:c r="J251" s="1"/>
      <x:c r="K251" s="1"/>
    </x:row>
    <x:row r="252" ht="14.5">
      <x:c r="A252" s="1"/>
      <x:c r="B252" s="1"/>
      <x:c r="C252" s="1"/>
      <x:c r="D252" s="1"/>
      <x:c r="E252" s="1"/>
      <x:c r="F252" s="1"/>
      <x:c r="G252" s="1"/>
      <x:c r="H252" s="1"/>
      <x:c r="I252" s="1"/>
      <x:c r="J252" s="1"/>
      <x:c r="K252" s="1"/>
    </x:row>
    <x:row r="253" ht="14.5">
      <x:c r="A253" s="1"/>
      <x:c r="B253" s="1"/>
      <x:c r="C253" s="1"/>
      <x:c r="D253" s="1"/>
      <x:c r="E253" s="1"/>
      <x:c r="F253" s="1"/>
      <x:c r="G253" s="1"/>
      <x:c r="H253" s="1"/>
      <x:c r="I253" s="1"/>
      <x:c r="J253" s="1"/>
      <x:c r="K253" s="1"/>
    </x:row>
    <x:row r="254" ht="14.5">
      <x:c r="A254" s="1"/>
      <x:c r="B254" s="1"/>
      <x:c r="C254" s="1"/>
      <x:c r="D254" s="1"/>
      <x:c r="E254" s="1"/>
      <x:c r="F254" s="1"/>
      <x:c r="G254" s="1"/>
      <x:c r="H254" s="1"/>
      <x:c r="I254" s="1"/>
      <x:c r="J254" s="1"/>
      <x:c r="K254" s="1"/>
    </x:row>
    <x:row r="255" ht="14.5">
      <x:c r="A255" s="1"/>
      <x:c r="B255" s="1"/>
      <x:c r="C255" s="1"/>
      <x:c r="D255" s="1"/>
      <x:c r="E255" s="1"/>
      <x:c r="F255" s="1"/>
      <x:c r="G255" s="1"/>
      <x:c r="H255" s="1"/>
      <x:c r="I255" s="1"/>
      <x:c r="J255" s="1"/>
      <x:c r="K255" s="1"/>
    </x:row>
    <x:row r="256" ht="14.5">
      <x:c r="A256" s="1"/>
      <x:c r="B256" s="1"/>
      <x:c r="C256" s="1"/>
      <x:c r="D256" s="1"/>
      <x:c r="E256" s="1"/>
      <x:c r="F256" s="1"/>
      <x:c r="G256" s="1"/>
      <x:c r="H256" s="1"/>
      <x:c r="I256" s="1"/>
      <x:c r="J256" s="1"/>
      <x:c r="K256" s="1"/>
    </x:row>
    <x:row r="257" ht="14.5">
      <x:c r="A257" s="1"/>
      <x:c r="B257" s="1"/>
      <x:c r="C257" s="1"/>
      <x:c r="D257" s="1"/>
      <x:c r="E257" s="1"/>
      <x:c r="F257" s="1"/>
      <x:c r="G257" s="1"/>
      <x:c r="H257" s="1"/>
      <x:c r="I257" s="1"/>
      <x:c r="J257" s="1"/>
      <x:c r="K257" s="1"/>
    </x:row>
    <x:row r="258" ht="14.5">
      <x:c r="A258" s="1"/>
      <x:c r="B258" s="1"/>
      <x:c r="C258" s="1"/>
      <x:c r="D258" s="1"/>
      <x:c r="E258" s="1"/>
      <x:c r="F258" s="1"/>
      <x:c r="G258" s="1"/>
      <x:c r="H258" s="1"/>
      <x:c r="I258" s="1"/>
      <x:c r="J258" s="1"/>
      <x:c r="K258" s="1"/>
    </x:row>
    <x:row r="259" ht="14.5">
      <x:c r="A259" s="1"/>
      <x:c r="B259" s="1"/>
      <x:c r="C259" s="1"/>
      <x:c r="D259" s="1"/>
      <x:c r="E259" s="1"/>
      <x:c r="F259" s="1"/>
      <x:c r="G259" s="1"/>
      <x:c r="H259" s="1"/>
      <x:c r="I259" s="1"/>
      <x:c r="J259" s="1"/>
      <x:c r="K259" s="1"/>
    </x:row>
    <x:row r="260" ht="14.5">
      <x:c r="A260" s="1"/>
      <x:c r="B260" s="1"/>
      <x:c r="C260" s="1"/>
      <x:c r="D260" s="1"/>
      <x:c r="E260" s="1"/>
      <x:c r="F260" s="1"/>
      <x:c r="G260" s="1"/>
      <x:c r="H260" s="1"/>
      <x:c r="I260" s="1"/>
      <x:c r="J260" s="1"/>
      <x:c r="K260" s="1"/>
    </x:row>
    <x:row r="261" ht="14.5">
      <x:c r="A261" s="1"/>
      <x:c r="B261" s="1"/>
      <x:c r="C261" s="1"/>
      <x:c r="D261" s="1"/>
      <x:c r="E261" s="1"/>
      <x:c r="F261" s="1"/>
      <x:c r="G261" s="1"/>
      <x:c r="H261" s="1"/>
      <x:c r="I261" s="1"/>
      <x:c r="J261" s="1"/>
      <x:c r="K261" s="1"/>
    </x:row>
    <x:row r="262" ht="14.5">
      <x:c r="A262" s="1"/>
      <x:c r="B262" s="1"/>
      <x:c r="C262" s="1"/>
      <x:c r="D262" s="1"/>
      <x:c r="E262" s="1"/>
      <x:c r="F262" s="1"/>
      <x:c r="G262" s="1"/>
      <x:c r="H262" s="1"/>
      <x:c r="I262" s="1"/>
      <x:c r="J262" s="1"/>
      <x:c r="K262" s="1"/>
    </x:row>
    <x:row r="263" ht="14.5">
      <x:c r="A263" s="1"/>
      <x:c r="B263" s="1"/>
      <x:c r="C263" s="1"/>
      <x:c r="D263" s="1"/>
      <x:c r="E263" s="1"/>
      <x:c r="F263" s="1"/>
      <x:c r="G263" s="1"/>
      <x:c r="H263" s="1"/>
      <x:c r="I263" s="1"/>
      <x:c r="J263" s="1"/>
      <x:c r="K263" s="1"/>
    </x:row>
    <x:row r="264" ht="14.5">
      <x:c r="A264" s="1"/>
      <x:c r="B264" s="1"/>
      <x:c r="C264" s="1"/>
      <x:c r="D264" s="1"/>
      <x:c r="E264" s="1"/>
      <x:c r="F264" s="1"/>
      <x:c r="G264" s="1"/>
      <x:c r="H264" s="1"/>
      <x:c r="I264" s="1"/>
      <x:c r="J264" s="1"/>
      <x:c r="K264" s="1"/>
    </x:row>
    <x:row r="265" ht="14.5">
      <x:c r="A265" s="1"/>
      <x:c r="B265" s="1"/>
      <x:c r="C265" s="1"/>
      <x:c r="D265" s="1"/>
      <x:c r="E265" s="1"/>
      <x:c r="F265" s="1"/>
      <x:c r="G265" s="1"/>
      <x:c r="H265" s="1"/>
      <x:c r="I265" s="1"/>
      <x:c r="J265" s="1"/>
      <x:c r="K265" s="1"/>
    </x:row>
    <x:row r="266" ht="14.5">
      <x:c r="A266" s="1"/>
      <x:c r="B266" s="1"/>
      <x:c r="C266" s="1"/>
      <x:c r="D266" s="1"/>
      <x:c r="E266" s="1"/>
      <x:c r="F266" s="1"/>
      <x:c r="G266" s="1"/>
      <x:c r="H266" s="1"/>
      <x:c r="I266" s="1"/>
      <x:c r="J266" s="1"/>
      <x:c r="K266" s="1"/>
    </x:row>
    <x:row r="267" ht="14.5">
      <x:c r="A267" s="1"/>
      <x:c r="B267" s="1"/>
      <x:c r="C267" s="1"/>
      <x:c r="D267" s="1"/>
      <x:c r="E267" s="1"/>
      <x:c r="F267" s="1"/>
      <x:c r="G267" s="1"/>
      <x:c r="H267" s="1"/>
      <x:c r="I267" s="1"/>
      <x:c r="J267" s="1"/>
      <x:c r="K267" s="1"/>
    </x:row>
    <x:row r="268" ht="14.5">
      <x:c r="A268" s="1"/>
      <x:c r="B268" s="1"/>
      <x:c r="C268" s="1"/>
      <x:c r="D268" s="1"/>
      <x:c r="E268" s="1"/>
      <x:c r="F268" s="1"/>
      <x:c r="G268" s="1"/>
      <x:c r="H268" s="1"/>
      <x:c r="I268" s="1"/>
      <x:c r="J268" s="1"/>
      <x:c r="K268" s="1"/>
    </x:row>
    <x:row r="269" ht="14.5">
      <x:c r="A269" s="1"/>
      <x:c r="B269" s="1"/>
      <x:c r="C269" s="1"/>
      <x:c r="D269" s="1"/>
      <x:c r="E269" s="1"/>
      <x:c r="F269" s="1"/>
      <x:c r="G269" s="1"/>
      <x:c r="H269" s="1"/>
      <x:c r="I269" s="1"/>
      <x:c r="J269" s="1"/>
      <x:c r="K269" s="1"/>
    </x:row>
    <x:row r="270" ht="14.5">
      <x:c r="A270" s="1"/>
      <x:c r="B270" s="1"/>
      <x:c r="C270" s="1"/>
      <x:c r="D270" s="1"/>
      <x:c r="E270" s="1"/>
      <x:c r="F270" s="1"/>
      <x:c r="G270" s="1"/>
      <x:c r="H270" s="1"/>
      <x:c r="I270" s="1"/>
      <x:c r="J270" s="1"/>
      <x:c r="K270" s="1"/>
    </x:row>
    <x:row r="271" ht="14.5">
      <x:c r="A271" s="1"/>
      <x:c r="B271" s="1"/>
      <x:c r="C271" s="1"/>
      <x:c r="D271" s="1"/>
      <x:c r="E271" s="1"/>
      <x:c r="F271" s="1"/>
      <x:c r="G271" s="1"/>
      <x:c r="H271" s="1"/>
      <x:c r="I271" s="1"/>
      <x:c r="J271" s="1"/>
      <x:c r="K271" s="1"/>
    </x:row>
    <x:row r="272" ht="14.5">
      <x:c r="A272" s="1"/>
      <x:c r="B272" s="1"/>
      <x:c r="C272" s="1"/>
      <x:c r="D272" s="1"/>
      <x:c r="E272" s="1"/>
      <x:c r="F272" s="1"/>
      <x:c r="G272" s="1"/>
      <x:c r="H272" s="1"/>
      <x:c r="I272" s="1"/>
      <x:c r="J272" s="1"/>
      <x:c r="K272" s="1"/>
    </x:row>
    <x:row r="273" ht="14.5">
      <x:c r="A273" s="1"/>
      <x:c r="B273" s="1"/>
      <x:c r="C273" s="1"/>
      <x:c r="D273" s="1"/>
      <x:c r="E273" s="1"/>
      <x:c r="F273" s="1"/>
      <x:c r="G273" s="1"/>
      <x:c r="H273" s="1"/>
      <x:c r="I273" s="1"/>
      <x:c r="J273" s="1"/>
      <x:c r="K273" s="1"/>
    </x:row>
    <x:row r="274" ht="14.5">
      <x:c r="A274" s="1"/>
      <x:c r="B274" s="1"/>
      <x:c r="C274" s="1"/>
      <x:c r="D274" s="1"/>
      <x:c r="E274" s="1"/>
      <x:c r="F274" s="1"/>
      <x:c r="G274" s="1"/>
      <x:c r="H274" s="1"/>
      <x:c r="I274" s="1"/>
      <x:c r="J274" s="1"/>
      <x:c r="K274" s="1"/>
    </x:row>
    <x:row r="275" ht="14.5">
      <x:c r="A275" s="1"/>
      <x:c r="B275" s="1"/>
      <x:c r="C275" s="1"/>
      <x:c r="D275" s="1"/>
      <x:c r="E275" s="1"/>
      <x:c r="F275" s="1"/>
      <x:c r="G275" s="1"/>
      <x:c r="H275" s="1"/>
      <x:c r="I275" s="1"/>
      <x:c r="J275" s="1"/>
      <x:c r="K275" s="1"/>
    </x:row>
    <x:row r="276" ht="14.5">
      <x:c r="A276" s="1"/>
      <x:c r="B276" s="1"/>
      <x:c r="C276" s="1"/>
      <x:c r="D276" s="1"/>
      <x:c r="E276" s="1"/>
      <x:c r="F276" s="1"/>
      <x:c r="G276" s="1"/>
      <x:c r="H276" s="1"/>
      <x:c r="I276" s="1"/>
      <x:c r="J276" s="1"/>
      <x:c r="K276" s="1"/>
    </x:row>
    <x:row r="277" ht="14.5">
      <x:c r="A277" s="1"/>
      <x:c r="B277" s="1"/>
      <x:c r="C277" s="1"/>
      <x:c r="D277" s="1"/>
      <x:c r="E277" s="1"/>
      <x:c r="F277" s="1"/>
      <x:c r="G277" s="1"/>
      <x:c r="H277" s="1"/>
      <x:c r="I277" s="1"/>
      <x:c r="J277" s="1"/>
      <x:c r="K277" s="1"/>
    </x:row>
    <x:row r="278" ht="14.5">
      <x:c r="A278" s="1"/>
      <x:c r="B278" s="1"/>
      <x:c r="C278" s="1"/>
      <x:c r="D278" s="1"/>
      <x:c r="E278" s="1"/>
      <x:c r="F278" s="1"/>
      <x:c r="G278" s="1"/>
      <x:c r="H278" s="1"/>
      <x:c r="I278" s="1"/>
      <x:c r="J278" s="1"/>
      <x:c r="K278" s="1"/>
    </x:row>
    <x:row r="279" ht="14.5">
      <x:c r="A279" s="1"/>
      <x:c r="B279" s="1"/>
      <x:c r="C279" s="1"/>
      <x:c r="D279" s="1"/>
      <x:c r="E279" s="1"/>
      <x:c r="F279" s="1"/>
      <x:c r="G279" s="1"/>
      <x:c r="H279" s="1"/>
      <x:c r="I279" s="1"/>
      <x:c r="J279" s="1"/>
      <x:c r="K279" s="1"/>
    </x:row>
    <x:row r="280" ht="14.5">
      <x:c r="A280" s="1"/>
      <x:c r="B280" s="1"/>
      <x:c r="C280" s="1"/>
      <x:c r="D280" s="1"/>
      <x:c r="E280" s="1"/>
      <x:c r="F280" s="1"/>
      <x:c r="G280" s="1"/>
      <x:c r="H280" s="1"/>
      <x:c r="I280" s="1"/>
      <x:c r="J280" s="1"/>
      <x:c r="K280" s="1"/>
    </x:row>
    <x:row r="281" ht="14.5">
      <x:c r="A281" s="1"/>
      <x:c r="B281" s="1"/>
      <x:c r="C281" s="1"/>
      <x:c r="D281" s="1"/>
      <x:c r="E281" s="1"/>
      <x:c r="F281" s="1"/>
      <x:c r="G281" s="1"/>
      <x:c r="H281" s="1"/>
      <x:c r="I281" s="1"/>
      <x:c r="J281" s="1"/>
      <x:c r="K281" s="1"/>
    </x:row>
    <x:row r="282" ht="14.5">
      <x:c r="A282" s="1"/>
      <x:c r="B282" s="1"/>
      <x:c r="C282" s="1"/>
      <x:c r="D282" s="1"/>
      <x:c r="E282" s="1"/>
      <x:c r="F282" s="1"/>
      <x:c r="G282" s="1"/>
      <x:c r="H282" s="1"/>
      <x:c r="I282" s="1"/>
      <x:c r="J282" s="1"/>
      <x:c r="K282" s="1"/>
    </x:row>
    <x:row r="283" ht="14.5">
      <x:c r="A283" s="1"/>
      <x:c r="B283" s="1"/>
      <x:c r="C283" s="1"/>
      <x:c r="D283" s="1"/>
      <x:c r="E283" s="1"/>
      <x:c r="F283" s="1"/>
      <x:c r="G283" s="1"/>
      <x:c r="H283" s="1"/>
      <x:c r="I283" s="1"/>
      <x:c r="J283" s="1"/>
      <x:c r="K283" s="1"/>
    </x:row>
    <x:row r="284" ht="14.5">
      <x:c r="A284" s="1"/>
      <x:c r="B284" s="1"/>
      <x:c r="C284" s="1"/>
      <x:c r="D284" s="1"/>
      <x:c r="E284" s="1"/>
      <x:c r="F284" s="1"/>
      <x:c r="G284" s="1"/>
      <x:c r="H284" s="1"/>
      <x:c r="I284" s="1"/>
      <x:c r="J284" s="1"/>
      <x:c r="K284" s="1"/>
    </x:row>
    <x:row r="285" ht="14.5">
      <x:c r="A285" s="1"/>
      <x:c r="B285" s="1"/>
      <x:c r="C285" s="1"/>
      <x:c r="D285" s="1"/>
      <x:c r="E285" s="1"/>
      <x:c r="F285" s="1"/>
      <x:c r="G285" s="1"/>
      <x:c r="H285" s="1"/>
      <x:c r="I285" s="1"/>
      <x:c r="J285" s="1"/>
      <x:c r="K285" s="1"/>
    </x:row>
    <x:row r="286" ht="14.5">
      <x:c r="A286" s="1"/>
      <x:c r="B286" s="1"/>
      <x:c r="C286" s="1"/>
      <x:c r="D286" s="1"/>
      <x:c r="E286" s="1"/>
      <x:c r="F286" s="1"/>
      <x:c r="G286" s="1"/>
      <x:c r="H286" s="1"/>
      <x:c r="I286" s="1"/>
      <x:c r="J286" s="1"/>
      <x:c r="K286" s="1"/>
    </x:row>
    <x:row r="287" ht="14.5">
      <x:c r="A287" s="1"/>
      <x:c r="B287" s="1"/>
      <x:c r="C287" s="1"/>
      <x:c r="D287" s="1"/>
      <x:c r="E287" s="1"/>
      <x:c r="F287" s="1"/>
      <x:c r="G287" s="1"/>
      <x:c r="H287" s="1"/>
      <x:c r="I287" s="1"/>
      <x:c r="J287" s="1"/>
      <x:c r="K287" s="1"/>
    </x:row>
    <x:row r="288" ht="14.5">
      <x:c r="A288" s="1"/>
      <x:c r="B288" s="1"/>
      <x:c r="C288" s="1"/>
      <x:c r="D288" s="1"/>
      <x:c r="E288" s="1"/>
      <x:c r="F288" s="1"/>
      <x:c r="G288" s="1"/>
      <x:c r="H288" s="1"/>
      <x:c r="I288" s="1"/>
      <x:c r="J288" s="1"/>
      <x:c r="K288" s="1"/>
    </x:row>
    <x:row r="289" ht="14.5">
      <x:c r="A289" s="1"/>
      <x:c r="B289" s="1"/>
      <x:c r="C289" s="1"/>
      <x:c r="D289" s="1"/>
      <x:c r="E289" s="1"/>
      <x:c r="F289" s="1"/>
      <x:c r="G289" s="1"/>
      <x:c r="H289" s="1"/>
      <x:c r="I289" s="1"/>
      <x:c r="J289" s="1"/>
      <x:c r="K289" s="1"/>
    </x:row>
    <x:row r="290" ht="14.5">
      <x:c r="A290" s="1"/>
      <x:c r="B290" s="1"/>
      <x:c r="C290" s="1"/>
      <x:c r="D290" s="1"/>
      <x:c r="E290" s="1"/>
      <x:c r="F290" s="1"/>
      <x:c r="G290" s="1"/>
      <x:c r="H290" s="1"/>
      <x:c r="I290" s="1"/>
      <x:c r="J290" s="1"/>
      <x:c r="K290" s="1"/>
    </x:row>
    <x:row r="291" ht="14.5">
      <x:c r="A291" s="1"/>
      <x:c r="B291" s="1"/>
      <x:c r="C291" s="1"/>
      <x:c r="D291" s="1"/>
      <x:c r="E291" s="1"/>
      <x:c r="F291" s="1"/>
      <x:c r="G291" s="1"/>
      <x:c r="H291" s="1"/>
      <x:c r="I291" s="1"/>
      <x:c r="J291" s="1"/>
      <x:c r="K291" s="1"/>
    </x:row>
    <x:row r="292" ht="14.5">
      <x:c r="A292" s="1"/>
      <x:c r="B292" s="1"/>
      <x:c r="C292" s="1"/>
      <x:c r="D292" s="1"/>
      <x:c r="E292" s="1"/>
      <x:c r="F292" s="1"/>
      <x:c r="G292" s="1"/>
      <x:c r="H292" s="1"/>
      <x:c r="I292" s="1"/>
      <x:c r="J292" s="1"/>
      <x:c r="K292" s="1"/>
    </x:row>
    <x:row r="293" ht="14.5">
      <x:c r="A293" s="1"/>
      <x:c r="B293" s="1"/>
      <x:c r="C293" s="1"/>
      <x:c r="D293" s="1"/>
      <x:c r="E293" s="1"/>
      <x:c r="F293" s="1"/>
      <x:c r="G293" s="1"/>
      <x:c r="H293" s="1"/>
      <x:c r="I293" s="1"/>
      <x:c r="J293" s="1"/>
      <x:c r="K293" s="1"/>
    </x:row>
    <x:row r="294" ht="14.5">
      <x:c r="A294" s="1"/>
      <x:c r="B294" s="1"/>
      <x:c r="C294" s="1"/>
      <x:c r="D294" s="1"/>
      <x:c r="E294" s="1"/>
      <x:c r="F294" s="1"/>
      <x:c r="G294" s="1"/>
      <x:c r="H294" s="1"/>
      <x:c r="I294" s="1"/>
      <x:c r="J294" s="1"/>
      <x:c r="K294" s="1"/>
    </x:row>
    <x:row r="295" ht="14.5">
      <x:c r="A295" s="1"/>
      <x:c r="B295" s="1"/>
      <x:c r="C295" s="1"/>
      <x:c r="D295" s="1"/>
      <x:c r="E295" s="1"/>
      <x:c r="F295" s="1"/>
      <x:c r="G295" s="1"/>
      <x:c r="H295" s="1"/>
      <x:c r="I295" s="1"/>
      <x:c r="J295" s="1"/>
      <x:c r="K295" s="1"/>
    </x:row>
    <x:row r="296" ht="14.5">
      <x:c r="A296" s="1"/>
      <x:c r="B296" s="1"/>
      <x:c r="C296" s="1"/>
      <x:c r="D296" s="1"/>
      <x:c r="E296" s="1"/>
      <x:c r="F296" s="1"/>
      <x:c r="G296" s="1"/>
      <x:c r="H296" s="1"/>
      <x:c r="I296" s="1"/>
      <x:c r="J296" s="1"/>
      <x:c r="K296" s="1"/>
    </x:row>
    <x:row r="297" ht="14.5">
      <x:c r="A297" s="1"/>
      <x:c r="B297" s="1"/>
      <x:c r="C297" s="1"/>
      <x:c r="D297" s="1"/>
      <x:c r="E297" s="1"/>
      <x:c r="F297" s="1"/>
      <x:c r="G297" s="1"/>
      <x:c r="H297" s="1"/>
      <x:c r="I297" s="1"/>
      <x:c r="J297" s="1"/>
      <x:c r="K297" s="1"/>
    </x:row>
    <x:row r="298" ht="14.5">
      <x:c r="A298" s="1"/>
      <x:c r="B298" s="1"/>
      <x:c r="C298" s="1"/>
      <x:c r="D298" s="1"/>
      <x:c r="E298" s="1"/>
      <x:c r="F298" s="1"/>
      <x:c r="G298" s="1"/>
      <x:c r="H298" s="1"/>
      <x:c r="I298" s="1"/>
      <x:c r="J298" s="1"/>
      <x:c r="K298" s="1"/>
    </x:row>
    <x:row r="299" ht="14.5">
      <x:c r="A299" s="1"/>
      <x:c r="B299" s="1"/>
      <x:c r="C299" s="1"/>
      <x:c r="D299" s="1"/>
      <x:c r="E299" s="1"/>
      <x:c r="F299" s="1"/>
      <x:c r="G299" s="1"/>
      <x:c r="H299" s="1"/>
      <x:c r="I299" s="1"/>
      <x:c r="J299" s="1"/>
      <x:c r="K299" s="1"/>
    </x:row>
    <x:row r="300" ht="14.5">
      <x:c r="A300" s="1"/>
      <x:c r="B300" s="1"/>
      <x:c r="C300" s="1"/>
      <x:c r="D300" s="1"/>
      <x:c r="E300" s="1"/>
      <x:c r="F300" s="1"/>
      <x:c r="G300" s="1"/>
      <x:c r="H300" s="1"/>
      <x:c r="I300" s="1"/>
      <x:c r="J300" s="1"/>
      <x:c r="K300" s="1"/>
    </x:row>
    <x:row r="301" ht="14.5">
      <x:c r="A301" s="1"/>
      <x:c r="B301" s="1"/>
      <x:c r="C301" s="1"/>
      <x:c r="D301" s="1"/>
      <x:c r="E301" s="1"/>
      <x:c r="F301" s="1"/>
      <x:c r="G301" s="1"/>
      <x:c r="H301" s="1"/>
      <x:c r="I301" s="1"/>
      <x:c r="J301" s="1"/>
      <x:c r="K301" s="1"/>
    </x:row>
    <x:row r="302" ht="14.5">
      <x:c r="A302" s="1"/>
      <x:c r="B302" s="1"/>
      <x:c r="C302" s="1"/>
      <x:c r="D302" s="1"/>
      <x:c r="E302" s="1"/>
      <x:c r="F302" s="1"/>
      <x:c r="G302" s="1"/>
      <x:c r="H302" s="1"/>
      <x:c r="I302" s="1"/>
      <x:c r="J302" s="1"/>
      <x:c r="K302" s="1"/>
    </x:row>
    <x:row r="303" ht="14.5">
      <x:c r="A303" s="1"/>
      <x:c r="B303" s="1"/>
      <x:c r="C303" s="1"/>
      <x:c r="D303" s="1"/>
      <x:c r="E303" s="1"/>
      <x:c r="F303" s="1"/>
      <x:c r="G303" s="1"/>
      <x:c r="H303" s="1"/>
      <x:c r="I303" s="1"/>
      <x:c r="J303" s="1"/>
      <x:c r="K303" s="1"/>
    </x:row>
    <x:row r="304" ht="14.5">
      <x:c r="A304" s="1"/>
      <x:c r="B304" s="1"/>
      <x:c r="C304" s="1"/>
      <x:c r="D304" s="1"/>
      <x:c r="E304" s="1"/>
      <x:c r="F304" s="1"/>
      <x:c r="G304" s="1"/>
      <x:c r="H304" s="1"/>
      <x:c r="I304" s="1"/>
      <x:c r="J304" s="1"/>
      <x:c r="K304" s="1"/>
    </x:row>
    <x:row r="305" ht="14.5">
      <x:c r="A305" s="1"/>
      <x:c r="B305" s="1"/>
      <x:c r="C305" s="1"/>
      <x:c r="D305" s="1"/>
      <x:c r="E305" s="1"/>
      <x:c r="F305" s="1"/>
      <x:c r="G305" s="1"/>
      <x:c r="H305" s="1"/>
      <x:c r="I305" s="1"/>
      <x:c r="J305" s="1"/>
      <x:c r="K305" s="1"/>
    </x:row>
    <x:row r="306" ht="14.5">
      <x:c r="A306" s="1"/>
      <x:c r="B306" s="1"/>
      <x:c r="C306" s="1"/>
      <x:c r="D306" s="1"/>
      <x:c r="E306" s="1"/>
      <x:c r="F306" s="1"/>
      <x:c r="G306" s="1"/>
      <x:c r="H306" s="1"/>
      <x:c r="I306" s="1"/>
      <x:c r="J306" s="1"/>
      <x:c r="K306" s="1"/>
    </x:row>
    <x:row r="307" ht="14.5">
      <x:c r="A307" s="1"/>
      <x:c r="B307" s="1"/>
      <x:c r="C307" s="1"/>
      <x:c r="D307" s="1"/>
      <x:c r="E307" s="1"/>
      <x:c r="F307" s="1"/>
      <x:c r="G307" s="1"/>
      <x:c r="H307" s="1"/>
      <x:c r="I307" s="1"/>
      <x:c r="J307" s="1"/>
      <x:c r="K307" s="1"/>
    </x:row>
    <x:row r="308" ht="14.5">
      <x:c r="A308" s="1"/>
      <x:c r="B308" s="1"/>
      <x:c r="C308" s="1"/>
      <x:c r="D308" s="1"/>
      <x:c r="E308" s="1"/>
      <x:c r="F308" s="1"/>
      <x:c r="G308" s="1"/>
      <x:c r="H308" s="1"/>
      <x:c r="I308" s="1"/>
      <x:c r="J308" s="1"/>
      <x:c r="K308" s="1"/>
    </x:row>
    <x:row r="309" ht="14.5">
      <x:c r="A309" s="1"/>
      <x:c r="B309" s="1"/>
      <x:c r="C309" s="1"/>
      <x:c r="D309" s="1"/>
      <x:c r="E309" s="1"/>
      <x:c r="F309" s="1"/>
      <x:c r="G309" s="1"/>
      <x:c r="H309" s="1"/>
      <x:c r="I309" s="1"/>
      <x:c r="J309" s="1"/>
      <x:c r="K309" s="1"/>
    </x:row>
    <x:row r="310" ht="14.5">
      <x:c r="A310" s="1"/>
      <x:c r="B310" s="1"/>
      <x:c r="C310" s="1"/>
      <x:c r="D310" s="1"/>
      <x:c r="E310" s="1"/>
      <x:c r="F310" s="1"/>
      <x:c r="G310" s="1"/>
      <x:c r="H310" s="1"/>
      <x:c r="I310" s="1"/>
      <x:c r="J310" s="1"/>
      <x:c r="K310" s="1"/>
    </x:row>
    <x:row r="311" ht="14.5">
      <x:c r="A311" s="1"/>
      <x:c r="B311" s="1"/>
      <x:c r="C311" s="1"/>
      <x:c r="D311" s="1"/>
      <x:c r="E311" s="1"/>
      <x:c r="F311" s="1"/>
      <x:c r="G311" s="1"/>
      <x:c r="H311" s="1"/>
      <x:c r="I311" s="1"/>
      <x:c r="J311" s="1"/>
      <x:c r="K311" s="1"/>
    </x:row>
    <x:row r="312" ht="14.5">
      <x:c r="A312" s="1"/>
      <x:c r="B312" s="1"/>
      <x:c r="C312" s="1"/>
      <x:c r="D312" s="1"/>
      <x:c r="E312" s="1"/>
      <x:c r="F312" s="1"/>
      <x:c r="G312" s="1"/>
      <x:c r="H312" s="1"/>
      <x:c r="I312" s="1"/>
      <x:c r="J312" s="1"/>
      <x:c r="K312" s="1"/>
    </x:row>
    <x:row r="313" ht="14.5">
      <x:c r="A313" s="1"/>
      <x:c r="B313" s="1"/>
      <x:c r="C313" s="1"/>
      <x:c r="D313" s="1"/>
      <x:c r="E313" s="1"/>
      <x:c r="F313" s="1"/>
      <x:c r="G313" s="1"/>
      <x:c r="H313" s="1"/>
      <x:c r="I313" s="1"/>
      <x:c r="J313" s="1"/>
      <x:c r="K313" s="1"/>
    </x:row>
    <x:row r="314" ht="14.5">
      <x:c r="A314" s="1"/>
      <x:c r="B314" s="1"/>
      <x:c r="C314" s="1"/>
      <x:c r="D314" s="1"/>
      <x:c r="E314" s="1"/>
      <x:c r="F314" s="1"/>
      <x:c r="G314" s="1"/>
      <x:c r="H314" s="1"/>
      <x:c r="I314" s="1"/>
      <x:c r="J314" s="1"/>
      <x:c r="K314" s="1"/>
    </x:row>
    <x:row r="315" ht="14.5">
      <x:c r="A315" s="1"/>
      <x:c r="B315" s="1"/>
      <x:c r="C315" s="1"/>
      <x:c r="D315" s="1"/>
      <x:c r="E315" s="1"/>
      <x:c r="F315" s="1"/>
      <x:c r="G315" s="1"/>
      <x:c r="H315" s="1"/>
      <x:c r="I315" s="1"/>
      <x:c r="J315" s="1"/>
      <x:c r="K315" s="1"/>
    </x:row>
    <x:row r="316" ht="14.5">
      <x:c r="A316" s="1"/>
      <x:c r="B316" s="1"/>
      <x:c r="C316" s="1"/>
      <x:c r="D316" s="1"/>
      <x:c r="E316" s="1"/>
      <x:c r="F316" s="1"/>
      <x:c r="G316" s="1"/>
      <x:c r="H316" s="1"/>
      <x:c r="I316" s="1"/>
      <x:c r="J316" s="1"/>
      <x:c r="K316" s="1"/>
    </x:row>
    <x:row r="317" ht="14.5">
      <x:c r="A317" s="1"/>
      <x:c r="B317" s="1"/>
      <x:c r="C317" s="1"/>
      <x:c r="D317" s="1"/>
      <x:c r="E317" s="1"/>
      <x:c r="F317" s="1"/>
      <x:c r="G317" s="1"/>
      <x:c r="H317" s="1"/>
      <x:c r="I317" s="1"/>
      <x:c r="J317" s="1"/>
      <x:c r="K317" s="1"/>
    </x:row>
    <x:row r="318" ht="14.5">
      <x:c r="A318" s="1"/>
      <x:c r="B318" s="1"/>
      <x:c r="C318" s="1"/>
      <x:c r="D318" s="1"/>
      <x:c r="E318" s="1"/>
      <x:c r="F318" s="1"/>
      <x:c r="G318" s="1"/>
      <x:c r="H318" s="1"/>
      <x:c r="I318" s="1"/>
      <x:c r="J318" s="1"/>
      <x:c r="K318" s="1"/>
    </x:row>
    <x:row r="319" ht="14.5">
      <x:c r="A319" s="1"/>
      <x:c r="B319" s="1"/>
      <x:c r="C319" s="1"/>
      <x:c r="D319" s="1"/>
      <x:c r="E319" s="1"/>
      <x:c r="F319" s="1"/>
      <x:c r="G319" s="1"/>
      <x:c r="H319" s="1"/>
      <x:c r="I319" s="1"/>
      <x:c r="J319" s="1"/>
      <x:c r="K319" s="1"/>
    </x:row>
    <x:row r="320" ht="14.5">
      <x:c r="A320" s="1"/>
      <x:c r="B320" s="1"/>
      <x:c r="C320" s="1"/>
      <x:c r="D320" s="1"/>
      <x:c r="E320" s="1"/>
      <x:c r="F320" s="1"/>
      <x:c r="G320" s="1"/>
      <x:c r="H320" s="1"/>
      <x:c r="I320" s="1"/>
      <x:c r="J320" s="1"/>
      <x:c r="K320" s="1"/>
    </x:row>
    <x:row r="321" ht="14.5">
      <x:c r="A321" s="1"/>
      <x:c r="B321" s="1"/>
      <x:c r="C321" s="1"/>
      <x:c r="D321" s="1"/>
      <x:c r="E321" s="1"/>
      <x:c r="F321" s="1"/>
      <x:c r="G321" s="1"/>
      <x:c r="H321" s="1"/>
      <x:c r="I321" s="1"/>
      <x:c r="J321" s="1"/>
      <x:c r="K321" s="1"/>
    </x:row>
    <x:row r="322" ht="14.5">
      <x:c r="A322" s="1"/>
      <x:c r="B322" s="1"/>
      <x:c r="C322" s="1"/>
      <x:c r="D322" s="1"/>
      <x:c r="E322" s="1"/>
      <x:c r="F322" s="1"/>
      <x:c r="G322" s="1"/>
      <x:c r="H322" s="1"/>
      <x:c r="I322" s="1"/>
      <x:c r="J322" s="1"/>
      <x:c r="K322" s="1"/>
    </x:row>
    <x:row r="323" ht="14.5">
      <x:c r="A323" s="1"/>
      <x:c r="B323" s="1"/>
      <x:c r="C323" s="1"/>
      <x:c r="D323" s="1"/>
      <x:c r="E323" s="1"/>
      <x:c r="F323" s="1"/>
      <x:c r="G323" s="1"/>
      <x:c r="H323" s="1"/>
      <x:c r="I323" s="1"/>
      <x:c r="J323" s="1"/>
      <x:c r="K323" s="1"/>
    </x:row>
    <x:row r="324" ht="14.5">
      <x:c r="A324" s="1"/>
      <x:c r="B324" s="1"/>
      <x:c r="C324" s="1"/>
      <x:c r="D324" s="1"/>
      <x:c r="E324" s="1"/>
      <x:c r="F324" s="1"/>
      <x:c r="G324" s="1"/>
      <x:c r="H324" s="1"/>
      <x:c r="I324" s="1"/>
      <x:c r="J324" s="1"/>
      <x:c r="K324" s="1"/>
    </x:row>
    <x:row r="325" ht="14.5">
      <x:c r="A325" s="1"/>
      <x:c r="B325" s="1"/>
      <x:c r="C325" s="1"/>
      <x:c r="D325" s="1"/>
      <x:c r="E325" s="1"/>
      <x:c r="F325" s="1"/>
      <x:c r="G325" s="1"/>
      <x:c r="H325" s="1"/>
      <x:c r="I325" s="1"/>
      <x:c r="J325" s="1"/>
      <x:c r="K325" s="1"/>
    </x:row>
    <x:row r="326" ht="14.5">
      <x:c r="A326" s="1"/>
      <x:c r="B326" s="1"/>
      <x:c r="C326" s="1"/>
      <x:c r="D326" s="1"/>
      <x:c r="E326" s="1"/>
      <x:c r="F326" s="1"/>
      <x:c r="G326" s="1"/>
      <x:c r="H326" s="1"/>
      <x:c r="I326" s="1"/>
      <x:c r="J326" s="1"/>
      <x:c r="K326" s="1"/>
    </x:row>
    <x:row r="327" ht="14.5">
      <x:c r="A327" s="1"/>
      <x:c r="B327" s="1"/>
      <x:c r="C327" s="1"/>
      <x:c r="D327" s="1"/>
      <x:c r="E327" s="1"/>
      <x:c r="F327" s="1"/>
      <x:c r="G327" s="1"/>
      <x:c r="H327" s="1"/>
      <x:c r="I327" s="1"/>
      <x:c r="J327" s="1"/>
      <x:c r="K327" s="1"/>
    </x:row>
    <x:row r="328" ht="14.5">
      <x:c r="A328" s="1"/>
      <x:c r="B328" s="1"/>
      <x:c r="C328" s="1"/>
      <x:c r="D328" s="1"/>
      <x:c r="E328" s="1"/>
      <x:c r="F328" s="1"/>
      <x:c r="G328" s="1"/>
      <x:c r="H328" s="1"/>
      <x:c r="I328" s="1"/>
      <x:c r="J328" s="1"/>
      <x:c r="K328" s="1"/>
    </x:row>
    <x:row r="329" ht="14.5">
      <x:c r="A329" s="1"/>
      <x:c r="B329" s="1"/>
      <x:c r="C329" s="1"/>
      <x:c r="D329" s="1"/>
      <x:c r="E329" s="1"/>
      <x:c r="F329" s="1"/>
      <x:c r="G329" s="1"/>
      <x:c r="H329" s="1"/>
      <x:c r="I329" s="1"/>
      <x:c r="J329" s="1"/>
      <x:c r="K329" s="1"/>
    </x:row>
    <x:row r="330" ht="14.5">
      <x:c r="A330" s="1"/>
      <x:c r="B330" s="1"/>
      <x:c r="C330" s="1"/>
      <x:c r="D330" s="1"/>
      <x:c r="E330" s="1"/>
      <x:c r="F330" s="1"/>
      <x:c r="G330" s="1"/>
      <x:c r="H330" s="1"/>
      <x:c r="I330" s="1"/>
      <x:c r="J330" s="1"/>
      <x:c r="K330" s="1"/>
    </x:row>
    <x:row r="331" ht="14.5">
      <x:c r="A331" s="1"/>
      <x:c r="B331" s="1"/>
      <x:c r="C331" s="1"/>
      <x:c r="D331" s="1"/>
      <x:c r="E331" s="1"/>
      <x:c r="F331" s="1"/>
      <x:c r="G331" s="1"/>
      <x:c r="H331" s="1"/>
      <x:c r="I331" s="1"/>
      <x:c r="J331" s="1"/>
      <x:c r="K331" s="1"/>
    </x:row>
    <x:row r="332" ht="14.5">
      <x:c r="A332" s="1"/>
      <x:c r="B332" s="1"/>
      <x:c r="C332" s="1"/>
      <x:c r="D332" s="1"/>
      <x:c r="E332" s="1"/>
      <x:c r="F332" s="1"/>
      <x:c r="G332" s="1"/>
      <x:c r="H332" s="1"/>
      <x:c r="I332" s="1"/>
      <x:c r="J332" s="1"/>
      <x:c r="K332" s="1"/>
    </x:row>
    <x:row r="333" ht="14.5">
      <x:c r="A333" s="1"/>
      <x:c r="B333" s="1"/>
      <x:c r="C333" s="1"/>
      <x:c r="D333" s="1"/>
      <x:c r="E333" s="1"/>
      <x:c r="F333" s="1"/>
      <x:c r="G333" s="1"/>
      <x:c r="H333" s="1"/>
      <x:c r="I333" s="1"/>
      <x:c r="J333" s="1"/>
      <x:c r="K333" s="1"/>
    </x:row>
    <x:row r="334" ht="14.5">
      <x:c r="A334" s="1"/>
      <x:c r="B334" s="1"/>
      <x:c r="C334" s="1"/>
      <x:c r="D334" s="1"/>
      <x:c r="E334" s="1"/>
      <x:c r="F334" s="1"/>
      <x:c r="G334" s="1"/>
      <x:c r="H334" s="1"/>
      <x:c r="I334" s="1"/>
      <x:c r="J334" s="1"/>
      <x:c r="K334" s="1"/>
    </x:row>
    <x:row r="335" ht="14.5">
      <x:c r="A335" s="1"/>
      <x:c r="B335" s="1"/>
      <x:c r="C335" s="1"/>
      <x:c r="D335" s="1"/>
      <x:c r="E335" s="1"/>
      <x:c r="F335" s="1"/>
      <x:c r="G335" s="1"/>
      <x:c r="H335" s="1"/>
      <x:c r="I335" s="1"/>
      <x:c r="J335" s="1"/>
      <x:c r="K335" s="1"/>
    </x:row>
    <x:row r="336" ht="14.5">
      <x:c r="A336" s="1"/>
      <x:c r="B336" s="1"/>
      <x:c r="C336" s="1"/>
      <x:c r="D336" s="1"/>
      <x:c r="E336" s="1"/>
      <x:c r="F336" s="1"/>
      <x:c r="G336" s="1"/>
      <x:c r="H336" s="1"/>
      <x:c r="I336" s="1"/>
      <x:c r="J336" s="1"/>
      <x:c r="K336" s="1"/>
    </x:row>
    <x:row r="337" ht="14.5">
      <x:c r="A337" s="1"/>
      <x:c r="B337" s="1"/>
      <x:c r="C337" s="1"/>
      <x:c r="D337" s="1"/>
      <x:c r="E337" s="1"/>
      <x:c r="F337" s="1"/>
      <x:c r="G337" s="1"/>
      <x:c r="H337" s="1"/>
      <x:c r="I337" s="1"/>
      <x:c r="J337" s="1"/>
      <x:c r="K337" s="1"/>
    </x:row>
    <x:row r="338" ht="14.5">
      <x:c r="A338" s="1"/>
      <x:c r="B338" s="1"/>
      <x:c r="C338" s="1"/>
      <x:c r="D338" s="1"/>
      <x:c r="E338" s="1"/>
      <x:c r="F338" s="1"/>
      <x:c r="G338" s="1"/>
      <x:c r="H338" s="1"/>
      <x:c r="I338" s="1"/>
      <x:c r="J338" s="1"/>
      <x:c r="K338" s="1"/>
    </x:row>
    <x:row r="339" ht="14.5">
      <x:c r="A339" s="1"/>
      <x:c r="B339" s="1"/>
      <x:c r="C339" s="1"/>
      <x:c r="D339" s="1"/>
      <x:c r="E339" s="1"/>
      <x:c r="F339" s="1"/>
      <x:c r="G339" s="1"/>
      <x:c r="H339" s="1"/>
      <x:c r="I339" s="1"/>
      <x:c r="J339" s="1"/>
      <x:c r="K339" s="1"/>
    </x:row>
    <x:row r="340" ht="14.5">
      <x:c r="A340" s="1"/>
      <x:c r="B340" s="1"/>
      <x:c r="C340" s="1"/>
      <x:c r="D340" s="1"/>
      <x:c r="E340" s="1"/>
      <x:c r="F340" s="1"/>
      <x:c r="G340" s="1"/>
      <x:c r="H340" s="1"/>
      <x:c r="I340" s="1"/>
      <x:c r="J340" s="1"/>
      <x:c r="K340" s="1"/>
    </x:row>
    <x:row r="341" ht="14.5">
      <x:c r="A341" s="1"/>
      <x:c r="B341" s="1"/>
      <x:c r="C341" s="1"/>
      <x:c r="D341" s="1"/>
      <x:c r="E341" s="1"/>
      <x:c r="F341" s="1"/>
      <x:c r="G341" s="1"/>
      <x:c r="H341" s="1"/>
      <x:c r="I341" s="1"/>
      <x:c r="J341" s="1"/>
      <x:c r="K341" s="1"/>
    </x:row>
    <x:row r="342" ht="14.5">
      <x:c r="A342" s="1"/>
      <x:c r="B342" s="1"/>
      <x:c r="C342" s="1"/>
      <x:c r="D342" s="1"/>
      <x:c r="E342" s="1"/>
      <x:c r="F342" s="1"/>
      <x:c r="G342" s="1"/>
      <x:c r="H342" s="1"/>
      <x:c r="I342" s="1"/>
      <x:c r="J342" s="1"/>
      <x:c r="K342" s="1"/>
    </x:row>
    <x:row r="343" ht="14.5">
      <x:c r="A343" s="1"/>
      <x:c r="B343" s="1"/>
      <x:c r="C343" s="1"/>
      <x:c r="D343" s="1"/>
      <x:c r="E343" s="1"/>
      <x:c r="F343" s="1"/>
      <x:c r="G343" s="1"/>
      <x:c r="H343" s="1"/>
      <x:c r="I343" s="1"/>
      <x:c r="J343" s="1"/>
      <x:c r="K343" s="1"/>
    </x:row>
    <x:row r="344" ht="14.5">
      <x:c r="A344" s="1"/>
      <x:c r="B344" s="1"/>
      <x:c r="C344" s="1"/>
      <x:c r="D344" s="1"/>
      <x:c r="E344" s="1"/>
      <x:c r="F344" s="1"/>
      <x:c r="G344" s="1"/>
      <x:c r="H344" s="1"/>
      <x:c r="I344" s="1"/>
      <x:c r="J344" s="1"/>
      <x:c r="K344" s="1"/>
    </x:row>
    <x:row r="345" ht="14.5">
      <x:c r="A345" s="1"/>
      <x:c r="B345" s="1"/>
      <x:c r="C345" s="1"/>
      <x:c r="D345" s="1"/>
      <x:c r="E345" s="1"/>
      <x:c r="F345" s="1"/>
      <x:c r="G345" s="1"/>
      <x:c r="H345" s="1"/>
      <x:c r="I345" s="1"/>
      <x:c r="J345" s="1"/>
      <x:c r="K345" s="1"/>
    </x:row>
    <x:row r="346" ht="14.5">
      <x:c r="A346" s="1"/>
      <x:c r="B346" s="1"/>
      <x:c r="C346" s="1"/>
      <x:c r="D346" s="1"/>
      <x:c r="E346" s="1"/>
      <x:c r="F346" s="1"/>
      <x:c r="G346" s="1"/>
      <x:c r="H346" s="1"/>
      <x:c r="I346" s="1"/>
      <x:c r="J346" s="1"/>
      <x:c r="K346" s="1"/>
    </x:row>
    <x:row r="347" ht="14.5">
      <x:c r="A347" s="1"/>
      <x:c r="B347" s="1"/>
      <x:c r="C347" s="1"/>
      <x:c r="D347" s="1"/>
      <x:c r="E347" s="1"/>
      <x:c r="F347" s="1"/>
      <x:c r="G347" s="1"/>
      <x:c r="H347" s="1"/>
      <x:c r="I347" s="1"/>
      <x:c r="J347" s="1"/>
      <x:c r="K347" s="1"/>
    </x:row>
    <x:row r="348" ht="14.5">
      <x:c r="A348" s="1"/>
      <x:c r="B348" s="1"/>
      <x:c r="C348" s="1"/>
      <x:c r="D348" s="1"/>
      <x:c r="E348" s="1"/>
      <x:c r="F348" s="1"/>
      <x:c r="G348" s="1"/>
      <x:c r="H348" s="1"/>
      <x:c r="I348" s="1"/>
      <x:c r="J348" s="1"/>
      <x:c r="K348" s="1"/>
    </x:row>
    <x:row r="349" ht="14.5">
      <x:c r="A349" s="1"/>
      <x:c r="B349" s="1"/>
      <x:c r="C349" s="1"/>
      <x:c r="D349" s="1"/>
      <x:c r="E349" s="1"/>
      <x:c r="F349" s="1"/>
      <x:c r="G349" s="1"/>
      <x:c r="H349" s="1"/>
      <x:c r="I349" s="1"/>
      <x:c r="J349" s="1"/>
      <x:c r="K349" s="1"/>
    </x:row>
    <x:row r="350" ht="14.5">
      <x:c r="A350" s="1"/>
      <x:c r="B350" s="1"/>
      <x:c r="C350" s="1"/>
      <x:c r="D350" s="1"/>
      <x:c r="E350" s="1"/>
      <x:c r="F350" s="1"/>
      <x:c r="G350" s="1"/>
      <x:c r="H350" s="1"/>
      <x:c r="I350" s="1"/>
      <x:c r="J350" s="1"/>
      <x:c r="K350" s="1"/>
    </x:row>
    <x:row r="351" ht="14.5">
      <x:c r="A351" s="1"/>
      <x:c r="B351" s="1"/>
      <x:c r="C351" s="1"/>
      <x:c r="D351" s="1"/>
      <x:c r="E351" s="1"/>
      <x:c r="F351" s="1"/>
      <x:c r="G351" s="1"/>
      <x:c r="H351" s="1"/>
      <x:c r="I351" s="1"/>
      <x:c r="J351" s="1"/>
      <x:c r="K351" s="1"/>
    </x:row>
    <x:row r="352" ht="14.5">
      <x:c r="A352" s="1"/>
      <x:c r="B352" s="1"/>
      <x:c r="C352" s="1"/>
      <x:c r="D352" s="1"/>
      <x:c r="E352" s="1"/>
      <x:c r="F352" s="1"/>
      <x:c r="G352" s="1"/>
      <x:c r="H352" s="1"/>
      <x:c r="I352" s="1"/>
      <x:c r="J352" s="1"/>
      <x:c r="K352" s="1"/>
    </x:row>
    <x:row r="353" ht="14.5">
      <x:c r="A353" s="1"/>
      <x:c r="B353" s="1"/>
      <x:c r="C353" s="1"/>
      <x:c r="D353" s="1"/>
      <x:c r="E353" s="1"/>
      <x:c r="F353" s="1"/>
      <x:c r="G353" s="1"/>
      <x:c r="H353" s="1"/>
      <x:c r="I353" s="1"/>
      <x:c r="J353" s="1"/>
      <x:c r="K353" s="1"/>
    </x:row>
    <x:row r="354" ht="14.5">
      <x:c r="A354" s="1"/>
      <x:c r="B354" s="1"/>
      <x:c r="C354" s="1"/>
      <x:c r="D354" s="1"/>
      <x:c r="E354" s="1"/>
      <x:c r="F354" s="1"/>
      <x:c r="G354" s="1"/>
      <x:c r="H354" s="1"/>
      <x:c r="I354" s="1"/>
      <x:c r="J354" s="1"/>
      <x:c r="K354" s="1"/>
    </x:row>
    <x:row r="355" ht="14.5">
      <x:c r="A355" s="1"/>
      <x:c r="B355" s="1"/>
      <x:c r="C355" s="1"/>
      <x:c r="D355" s="1"/>
      <x:c r="E355" s="1"/>
      <x:c r="F355" s="1"/>
      <x:c r="G355" s="1"/>
      <x:c r="H355" s="1"/>
      <x:c r="I355" s="1"/>
      <x:c r="J355" s="1"/>
      <x:c r="K355" s="1"/>
    </x:row>
    <x:row r="356" ht="14.5">
      <x:c r="A356" s="1"/>
      <x:c r="B356" s="1"/>
      <x:c r="C356" s="1"/>
      <x:c r="D356" s="1"/>
      <x:c r="E356" s="1"/>
      <x:c r="F356" s="1"/>
      <x:c r="G356" s="1"/>
      <x:c r="H356" s="1"/>
      <x:c r="I356" s="1"/>
      <x:c r="J356" s="1"/>
      <x:c r="K356" s="1"/>
    </x:row>
    <x:row r="357" ht="14.5">
      <x:c r="A357" s="1"/>
      <x:c r="B357" s="1"/>
      <x:c r="C357" s="1"/>
      <x:c r="D357" s="1"/>
      <x:c r="E357" s="1"/>
      <x:c r="F357" s="1"/>
      <x:c r="G357" s="1"/>
      <x:c r="H357" s="1"/>
      <x:c r="I357" s="1"/>
      <x:c r="J357" s="1"/>
      <x:c r="K357" s="1"/>
    </x:row>
    <x:row r="358" ht="14.5">
      <x:c r="A358" s="1"/>
      <x:c r="B358" s="1"/>
      <x:c r="C358" s="1"/>
      <x:c r="D358" s="1"/>
      <x:c r="E358" s="1"/>
      <x:c r="F358" s="1"/>
      <x:c r="G358" s="1"/>
      <x:c r="H358" s="1"/>
      <x:c r="I358" s="1"/>
      <x:c r="J358" s="1"/>
      <x:c r="K358" s="1"/>
    </x:row>
    <x:row r="359" ht="14.5">
      <x:c r="A359" s="1"/>
      <x:c r="B359" s="1"/>
      <x:c r="C359" s="1"/>
      <x:c r="D359" s="1"/>
      <x:c r="E359" s="1"/>
      <x:c r="F359" s="1"/>
      <x:c r="G359" s="1"/>
      <x:c r="H359" s="1"/>
      <x:c r="I359" s="1"/>
      <x:c r="J359" s="1"/>
      <x:c r="K359" s="1"/>
    </x:row>
    <x:row r="360" ht="14.5">
      <x:c r="A360" s="1"/>
      <x:c r="B360" s="1"/>
      <x:c r="C360" s="1"/>
      <x:c r="D360" s="1"/>
      <x:c r="E360" s="1"/>
      <x:c r="F360" s="1"/>
      <x:c r="G360" s="1"/>
      <x:c r="H360" s="1"/>
      <x:c r="I360" s="1"/>
      <x:c r="J360" s="1"/>
      <x:c r="K360" s="1"/>
    </x:row>
    <x:row r="361" ht="14.5">
      <x:c r="A361" s="1"/>
      <x:c r="B361" s="1"/>
      <x:c r="C361" s="1"/>
      <x:c r="D361" s="1"/>
      <x:c r="E361" s="1"/>
      <x:c r="F361" s="1"/>
      <x:c r="G361" s="1"/>
      <x:c r="H361" s="1"/>
      <x:c r="I361" s="1"/>
      <x:c r="J361" s="1"/>
      <x:c r="K361" s="1"/>
    </x:row>
    <x:row r="362" ht="14.5">
      <x:c r="A362" s="1"/>
      <x:c r="B362" s="1"/>
      <x:c r="C362" s="1"/>
      <x:c r="D362" s="1"/>
      <x:c r="E362" s="1"/>
      <x:c r="F362" s="1"/>
      <x:c r="G362" s="1"/>
      <x:c r="H362" s="1"/>
      <x:c r="I362" s="1"/>
      <x:c r="J362" s="1"/>
      <x:c r="K362" s="1"/>
    </x:row>
    <x:row r="363" ht="14.5">
      <x:c r="A363" s="1"/>
      <x:c r="B363" s="1"/>
      <x:c r="C363" s="1"/>
      <x:c r="D363" s="1"/>
      <x:c r="E363" s="1"/>
      <x:c r="F363" s="1"/>
      <x:c r="G363" s="1"/>
      <x:c r="H363" s="1"/>
      <x:c r="I363" s="1"/>
      <x:c r="J363" s="1"/>
      <x:c r="K363" s="1"/>
    </x:row>
    <x:row r="364" ht="14.5">
      <x:c r="A364" s="1"/>
      <x:c r="B364" s="1"/>
      <x:c r="C364" s="1"/>
      <x:c r="D364" s="1"/>
      <x:c r="E364" s="1"/>
      <x:c r="F364" s="1"/>
      <x:c r="G364" s="1"/>
      <x:c r="H364" s="1"/>
      <x:c r="I364" s="1"/>
      <x:c r="J364" s="1"/>
      <x:c r="K364" s="1"/>
    </x:row>
    <x:row r="365" ht="14.5">
      <x:c r="A365" s="1"/>
      <x:c r="B365" s="1"/>
      <x:c r="C365" s="1"/>
      <x:c r="D365" s="1"/>
      <x:c r="E365" s="1"/>
      <x:c r="F365" s="1"/>
      <x:c r="G365" s="1"/>
      <x:c r="H365" s="1"/>
      <x:c r="I365" s="1"/>
      <x:c r="J365" s="1"/>
      <x:c r="K365" s="1"/>
    </x:row>
    <x:row r="366" ht="14.5">
      <x:c r="A366" s="1"/>
      <x:c r="B366" s="1"/>
      <x:c r="C366" s="1"/>
      <x:c r="D366" s="1"/>
      <x:c r="E366" s="1"/>
      <x:c r="F366" s="1"/>
      <x:c r="G366" s="1"/>
      <x:c r="H366" s="1"/>
      <x:c r="I366" s="1"/>
      <x:c r="J366" s="1"/>
      <x:c r="K366" s="1"/>
    </x:row>
    <x:row r="367" ht="14.5">
      <x:c r="A367" s="1"/>
      <x:c r="B367" s="1"/>
      <x:c r="C367" s="1"/>
      <x:c r="D367" s="1"/>
      <x:c r="E367" s="1"/>
      <x:c r="F367" s="1"/>
      <x:c r="G367" s="1"/>
      <x:c r="H367" s="1"/>
      <x:c r="I367" s="1"/>
      <x:c r="J367" s="1"/>
      <x:c r="K367" s="1"/>
    </x:row>
    <x:row r="368" ht="14.5">
      <x:c r="A368" s="1"/>
      <x:c r="B368" s="1"/>
      <x:c r="C368" s="1"/>
      <x:c r="D368" s="1"/>
      <x:c r="E368" s="1"/>
      <x:c r="F368" s="1"/>
      <x:c r="G368" s="1"/>
      <x:c r="H368" s="1"/>
      <x:c r="I368" s="1"/>
      <x:c r="J368" s="1"/>
      <x:c r="K368" s="1"/>
    </x:row>
    <x:row r="369" ht="14.5">
      <x:c r="A369" s="1"/>
      <x:c r="B369" s="1"/>
      <x:c r="C369" s="1"/>
      <x:c r="D369" s="1"/>
      <x:c r="E369" s="1"/>
      <x:c r="F369" s="1"/>
      <x:c r="G369" s="1"/>
      <x:c r="H369" s="1"/>
      <x:c r="I369" s="1"/>
      <x:c r="J369" s="1"/>
      <x:c r="K369" s="1"/>
    </x:row>
    <x:row r="370" ht="14.5">
      <x:c r="A370" s="1"/>
      <x:c r="B370" s="1"/>
      <x:c r="C370" s="1"/>
      <x:c r="D370" s="1"/>
      <x:c r="E370" s="1"/>
      <x:c r="F370" s="1"/>
      <x:c r="G370" s="1"/>
      <x:c r="H370" s="1"/>
      <x:c r="I370" s="1"/>
      <x:c r="J370" s="1"/>
      <x:c r="K370" s="1"/>
    </x:row>
    <x:row r="371" ht="14.5">
      <x:c r="A371" s="1"/>
      <x:c r="B371" s="1"/>
      <x:c r="C371" s="1"/>
      <x:c r="D371" s="1"/>
      <x:c r="E371" s="1"/>
      <x:c r="F371" s="1"/>
      <x:c r="G371" s="1"/>
      <x:c r="H371" s="1"/>
      <x:c r="I371" s="1"/>
      <x:c r="J371" s="1"/>
      <x:c r="K371" s="1"/>
    </x:row>
    <x:row r="372" ht="14.5">
      <x:c r="A372" s="1"/>
      <x:c r="B372" s="1"/>
      <x:c r="C372" s="1"/>
      <x:c r="D372" s="1"/>
      <x:c r="E372" s="1"/>
      <x:c r="F372" s="1"/>
      <x:c r="G372" s="1"/>
      <x:c r="H372" s="1"/>
      <x:c r="I372" s="1"/>
      <x:c r="J372" s="1"/>
      <x:c r="K372" s="1"/>
    </x:row>
    <x:row r="373" ht="14.5">
      <x:c r="A373" s="1"/>
      <x:c r="B373" s="1"/>
      <x:c r="C373" s="1"/>
      <x:c r="D373" s="1"/>
      <x:c r="E373" s="1"/>
      <x:c r="F373" s="1"/>
      <x:c r="G373" s="1"/>
      <x:c r="H373" s="1"/>
      <x:c r="I373" s="1"/>
      <x:c r="J373" s="1"/>
      <x:c r="K373" s="1"/>
    </x:row>
    <x:row r="374" ht="14.5">
      <x:c r="A374" s="1"/>
      <x:c r="B374" s="1"/>
      <x:c r="C374" s="1"/>
      <x:c r="D374" s="1"/>
      <x:c r="E374" s="1"/>
      <x:c r="F374" s="1"/>
      <x:c r="G374" s="1"/>
      <x:c r="H374" s="1"/>
      <x:c r="I374" s="1"/>
      <x:c r="J374" s="1"/>
      <x:c r="K374" s="1"/>
    </x:row>
    <x:row r="375" ht="14.5">
      <x:c r="A375" s="1"/>
      <x:c r="B375" s="1"/>
      <x:c r="C375" s="1"/>
      <x:c r="D375" s="1"/>
      <x:c r="E375" s="1"/>
      <x:c r="F375" s="1"/>
      <x:c r="G375" s="1"/>
      <x:c r="H375" s="1"/>
      <x:c r="I375" s="1"/>
      <x:c r="J375" s="1"/>
      <x:c r="K375" s="1"/>
    </x:row>
    <x:row r="376" ht="14.5">
      <x:c r="A376" s="1"/>
      <x:c r="B376" s="1"/>
      <x:c r="C376" s="1"/>
      <x:c r="D376" s="1"/>
      <x:c r="E376" s="1"/>
      <x:c r="F376" s="1"/>
      <x:c r="G376" s="1"/>
      <x:c r="H376" s="1"/>
      <x:c r="I376" s="1"/>
      <x:c r="J376" s="1"/>
      <x:c r="K376" s="1"/>
    </x:row>
    <x:row r="377" ht="14.5">
      <x:c r="A377" s="1"/>
      <x:c r="B377" s="1"/>
      <x:c r="C377" s="1"/>
      <x:c r="D377" s="1"/>
      <x:c r="E377" s="1"/>
      <x:c r="F377" s="1"/>
      <x:c r="G377" s="1"/>
      <x:c r="H377" s="1"/>
      <x:c r="I377" s="1"/>
      <x:c r="J377" s="1"/>
      <x:c r="K377" s="1"/>
    </x:row>
    <x:row r="378" ht="14.5">
      <x:c r="A378" s="1"/>
      <x:c r="B378" s="1"/>
      <x:c r="C378" s="1"/>
      <x:c r="D378" s="1"/>
      <x:c r="E378" s="1"/>
      <x:c r="F378" s="1"/>
      <x:c r="G378" s="1"/>
      <x:c r="H378" s="1"/>
      <x:c r="I378" s="1"/>
      <x:c r="J378" s="1"/>
      <x:c r="K378" s="1"/>
    </x:row>
    <x:row r="379" ht="14.5">
      <x:c r="A379" s="1"/>
      <x:c r="B379" s="1"/>
      <x:c r="C379" s="1"/>
      <x:c r="D379" s="1"/>
      <x:c r="E379" s="1"/>
      <x:c r="F379" s="1"/>
      <x:c r="G379" s="1"/>
      <x:c r="H379" s="1"/>
      <x:c r="I379" s="1"/>
      <x:c r="J379" s="1"/>
      <x:c r="K379" s="1"/>
    </x:row>
    <x:row r="380" ht="14.5">
      <x:c r="A380" s="1"/>
      <x:c r="B380" s="1"/>
      <x:c r="C380" s="1"/>
      <x:c r="D380" s="1"/>
      <x:c r="E380" s="1"/>
      <x:c r="F380" s="1"/>
      <x:c r="G380" s="1"/>
      <x:c r="H380" s="1"/>
      <x:c r="I380" s="1"/>
      <x:c r="J380" s="1"/>
      <x:c r="K380" s="1"/>
    </x:row>
    <x:row r="381" ht="14.5">
      <x:c r="A381" s="1"/>
      <x:c r="B381" s="1"/>
      <x:c r="C381" s="1"/>
      <x:c r="D381" s="1"/>
      <x:c r="E381" s="1"/>
      <x:c r="F381" s="1"/>
      <x:c r="G381" s="1"/>
      <x:c r="H381" s="1"/>
      <x:c r="I381" s="1"/>
      <x:c r="J381" s="1"/>
      <x:c r="K381" s="1"/>
    </x:row>
    <x:row r="382" ht="14.5">
      <x:c r="A382" s="1"/>
      <x:c r="B382" s="1"/>
      <x:c r="C382" s="1"/>
      <x:c r="D382" s="1"/>
      <x:c r="E382" s="1"/>
      <x:c r="F382" s="1"/>
      <x:c r="G382" s="1"/>
      <x:c r="H382" s="1"/>
      <x:c r="I382" s="1"/>
      <x:c r="J382" s="1"/>
      <x:c r="K382" s="1"/>
    </x:row>
    <x:row r="383" ht="14.5">
      <x:c r="A383" s="1"/>
      <x:c r="B383" s="1"/>
      <x:c r="C383" s="1"/>
      <x:c r="D383" s="1"/>
      <x:c r="E383" s="1"/>
      <x:c r="F383" s="1"/>
      <x:c r="G383" s="1"/>
      <x:c r="H383" s="1"/>
      <x:c r="I383" s="1"/>
      <x:c r="J383" s="1"/>
      <x:c r="K383" s="1"/>
    </x:row>
    <x:row r="384" ht="14.5">
      <x:c r="A384" s="1"/>
      <x:c r="B384" s="1"/>
      <x:c r="C384" s="1"/>
      <x:c r="D384" s="1"/>
      <x:c r="E384" s="1"/>
      <x:c r="F384" s="1"/>
      <x:c r="G384" s="1"/>
      <x:c r="H384" s="1"/>
      <x:c r="I384" s="1"/>
      <x:c r="J384" s="1"/>
      <x:c r="K384" s="1"/>
    </x:row>
    <x:row r="385" ht="14.5">
      <x:c r="A385" s="1"/>
      <x:c r="B385" s="1"/>
      <x:c r="C385" s="1"/>
      <x:c r="D385" s="1"/>
      <x:c r="E385" s="1"/>
      <x:c r="F385" s="1"/>
      <x:c r="G385" s="1"/>
      <x:c r="H385" s="1"/>
      <x:c r="I385" s="1"/>
      <x:c r="J385" s="1"/>
      <x:c r="K385" s="1"/>
    </x:row>
    <x:row r="386" ht="14.5">
      <x:c r="A386" s="1"/>
      <x:c r="B386" s="1"/>
      <x:c r="C386" s="1"/>
      <x:c r="D386" s="1"/>
      <x:c r="E386" s="1"/>
      <x:c r="F386" s="1"/>
      <x:c r="G386" s="1"/>
      <x:c r="H386" s="1"/>
      <x:c r="I386" s="1"/>
      <x:c r="J386" s="1"/>
      <x:c r="K386" s="1"/>
    </x:row>
    <x:row r="387" ht="14.5">
      <x:c r="A387" s="1"/>
      <x:c r="B387" s="1"/>
      <x:c r="C387" s="1"/>
      <x:c r="D387" s="1"/>
      <x:c r="E387" s="1"/>
      <x:c r="F387" s="1"/>
      <x:c r="G387" s="1"/>
      <x:c r="H387" s="1"/>
      <x:c r="I387" s="1"/>
      <x:c r="J387" s="1"/>
      <x:c r="K387" s="1"/>
    </x:row>
    <x:row r="388" ht="14.5">
      <x:c r="A388" s="1"/>
      <x:c r="B388" s="1"/>
      <x:c r="C388" s="1"/>
      <x:c r="D388" s="1"/>
      <x:c r="E388" s="1"/>
      <x:c r="F388" s="1"/>
      <x:c r="G388" s="1"/>
      <x:c r="H388" s="1"/>
      <x:c r="I388" s="1"/>
      <x:c r="J388" s="1"/>
      <x:c r="K388" s="1"/>
    </x:row>
    <x:row r="389" ht="14.5">
      <x:c r="A389" s="1"/>
      <x:c r="B389" s="1"/>
      <x:c r="C389" s="1"/>
      <x:c r="D389" s="1"/>
      <x:c r="E389" s="1"/>
      <x:c r="F389" s="1"/>
      <x:c r="G389" s="1"/>
      <x:c r="H389" s="1"/>
      <x:c r="I389" s="1"/>
      <x:c r="J389" s="1"/>
      <x:c r="K389" s="1"/>
    </x:row>
    <x:row r="390" ht="14.5">
      <x:c r="A390" s="1"/>
      <x:c r="B390" s="1"/>
      <x:c r="C390" s="1"/>
      <x:c r="D390" s="1"/>
      <x:c r="E390" s="1"/>
      <x:c r="F390" s="1"/>
      <x:c r="G390" s="1"/>
      <x:c r="H390" s="1"/>
      <x:c r="I390" s="1"/>
      <x:c r="J390" s="1"/>
      <x:c r="K390" s="1"/>
    </x:row>
    <x:row r="391" ht="14.5">
      <x:c r="A391" s="1"/>
      <x:c r="B391" s="1"/>
      <x:c r="C391" s="1"/>
      <x:c r="D391" s="1"/>
      <x:c r="E391" s="1"/>
      <x:c r="F391" s="1"/>
      <x:c r="G391" s="1"/>
      <x:c r="H391" s="1"/>
      <x:c r="I391" s="1"/>
      <x:c r="J391" s="1"/>
      <x:c r="K391" s="1"/>
    </x:row>
    <x:row r="392" ht="14.5">
      <x:c r="A392" s="1"/>
      <x:c r="B392" s="1"/>
      <x:c r="C392" s="1"/>
      <x:c r="D392" s="1"/>
      <x:c r="E392" s="1"/>
      <x:c r="F392" s="1"/>
      <x:c r="G392" s="1"/>
      <x:c r="H392" s="1"/>
      <x:c r="I392" s="1"/>
      <x:c r="J392" s="1"/>
      <x:c r="K392" s="1"/>
    </x:row>
    <x:row r="393" ht="14.5">
      <x:c r="A393" s="1"/>
      <x:c r="B393" s="1"/>
      <x:c r="C393" s="1"/>
      <x:c r="D393" s="1"/>
      <x:c r="E393" s="1"/>
      <x:c r="F393" s="1"/>
      <x:c r="G393" s="1"/>
      <x:c r="H393" s="1"/>
      <x:c r="I393" s="1"/>
      <x:c r="J393" s="1"/>
      <x:c r="K393" s="1"/>
    </x:row>
    <x:row r="394" ht="14.5">
      <x:c r="A394" s="1"/>
      <x:c r="B394" s="1"/>
      <x:c r="C394" s="1"/>
      <x:c r="D394" s="1"/>
      <x:c r="E394" s="1"/>
      <x:c r="F394" s="1"/>
      <x:c r="G394" s="1"/>
      <x:c r="H394" s="1"/>
      <x:c r="I394" s="1"/>
      <x:c r="J394" s="1"/>
      <x:c r="K394" s="1"/>
    </x:row>
    <x:row r="395" ht="14.5">
      <x:c r="A395" s="1"/>
      <x:c r="B395" s="1"/>
      <x:c r="C395" s="1"/>
      <x:c r="D395" s="1"/>
      <x:c r="E395" s="1"/>
      <x:c r="F395" s="1"/>
      <x:c r="G395" s="1"/>
      <x:c r="H395" s="1"/>
      <x:c r="I395" s="1"/>
      <x:c r="J395" s="1"/>
      <x:c r="K395" s="1"/>
    </x:row>
    <x:row r="396" ht="14.5">
      <x:c r="A396" s="1"/>
      <x:c r="B396" s="1"/>
      <x:c r="C396" s="1"/>
      <x:c r="D396" s="1"/>
      <x:c r="E396" s="1"/>
      <x:c r="F396" s="1"/>
      <x:c r="G396" s="1"/>
      <x:c r="H396" s="1"/>
      <x:c r="I396" s="1"/>
      <x:c r="J396" s="1"/>
      <x:c r="K396" s="1"/>
    </x:row>
    <x:row r="397" ht="14.5">
      <x:c r="A397" s="1"/>
      <x:c r="B397" s="1"/>
      <x:c r="C397" s="1"/>
      <x:c r="D397" s="1"/>
      <x:c r="E397" s="1"/>
      <x:c r="F397" s="1"/>
      <x:c r="G397" s="1"/>
      <x:c r="H397" s="1"/>
      <x:c r="I397" s="1"/>
      <x:c r="J397" s="1"/>
      <x:c r="K397" s="1"/>
    </x:row>
    <x:row r="398" ht="14.5">
      <x:c r="A398" s="1"/>
      <x:c r="B398" s="1"/>
      <x:c r="C398" s="1"/>
      <x:c r="D398" s="1"/>
      <x:c r="E398" s="1"/>
      <x:c r="F398" s="1"/>
      <x:c r="G398" s="1"/>
      <x:c r="H398" s="1"/>
      <x:c r="I398" s="1"/>
      <x:c r="J398" s="1"/>
      <x:c r="K398" s="1"/>
    </x:row>
    <x:row r="399" ht="14.5">
      <x:c r="A399" s="1"/>
      <x:c r="B399" s="1"/>
      <x:c r="C399" s="1"/>
      <x:c r="D399" s="1"/>
      <x:c r="E399" s="1"/>
      <x:c r="F399" s="1"/>
      <x:c r="G399" s="1"/>
      <x:c r="H399" s="1"/>
      <x:c r="I399" s="1"/>
      <x:c r="J399" s="1"/>
      <x:c r="K399" s="1"/>
    </x:row>
    <x:row r="400" ht="14.5">
      <x:c r="A400" s="1"/>
      <x:c r="B400" s="1"/>
      <x:c r="C400" s="1"/>
      <x:c r="D400" s="1"/>
      <x:c r="E400" s="1"/>
      <x:c r="F400" s="1"/>
      <x:c r="G400" s="1"/>
      <x:c r="H400" s="1"/>
      <x:c r="I400" s="1"/>
      <x:c r="J400" s="1"/>
      <x:c r="K400" s="1"/>
    </x:row>
    <x:row r="401" ht="14.5">
      <x:c r="A401" s="1"/>
      <x:c r="B401" s="1"/>
      <x:c r="C401" s="1"/>
      <x:c r="D401" s="1"/>
      <x:c r="E401" s="1"/>
      <x:c r="F401" s="1"/>
      <x:c r="G401" s="1"/>
      <x:c r="H401" s="1"/>
      <x:c r="I401" s="1"/>
      <x:c r="J401" s="1"/>
      <x:c r="K401" s="1"/>
    </x:row>
    <x:row r="402" ht="14.5">
      <x:c r="A402" s="1"/>
      <x:c r="B402" s="1"/>
      <x:c r="C402" s="1"/>
      <x:c r="D402" s="1"/>
      <x:c r="E402" s="1"/>
      <x:c r="F402" s="1"/>
      <x:c r="G402" s="1"/>
      <x:c r="H402" s="1"/>
      <x:c r="I402" s="1"/>
      <x:c r="J402" s="1"/>
      <x:c r="K402" s="1"/>
    </x:row>
    <x:row r="403" ht="14.5">
      <x:c r="A403" s="1"/>
      <x:c r="B403" s="1"/>
      <x:c r="C403" s="1"/>
      <x:c r="D403" s="1"/>
      <x:c r="E403" s="1"/>
      <x:c r="F403" s="1"/>
      <x:c r="G403" s="1"/>
      <x:c r="H403" s="1"/>
      <x:c r="I403" s="1"/>
      <x:c r="J403" s="1"/>
      <x:c r="K403" s="1"/>
    </x:row>
    <x:row r="404" ht="14.5">
      <x:c r="A404" s="1"/>
      <x:c r="B404" s="1"/>
      <x:c r="C404" s="1"/>
      <x:c r="D404" s="1"/>
      <x:c r="E404" s="1"/>
      <x:c r="F404" s="1"/>
      <x:c r="G404" s="1"/>
      <x:c r="H404" s="1"/>
      <x:c r="I404" s="1"/>
      <x:c r="J404" s="1"/>
      <x:c r="K404" s="1"/>
    </x:row>
    <x:row r="405" ht="14.5">
      <x:c r="A405" s="1"/>
      <x:c r="B405" s="1"/>
      <x:c r="C405" s="1"/>
      <x:c r="D405" s="1"/>
      <x:c r="E405" s="1"/>
      <x:c r="F405" s="1"/>
      <x:c r="G405" s="1"/>
      <x:c r="H405" s="1"/>
      <x:c r="I405" s="1"/>
      <x:c r="J405" s="1"/>
      <x:c r="K405" s="1"/>
    </x:row>
    <x:row r="406" ht="14.5">
      <x:c r="A406" s="1"/>
      <x:c r="B406" s="1"/>
      <x:c r="C406" s="1"/>
      <x:c r="D406" s="1"/>
      <x:c r="E406" s="1"/>
      <x:c r="F406" s="1"/>
      <x:c r="G406" s="1"/>
      <x:c r="H406" s="1"/>
      <x:c r="I406" s="1"/>
      <x:c r="J406" s="1"/>
      <x:c r="K406" s="1"/>
    </x:row>
    <x:row r="407" ht="14.5">
      <x:c r="A407" s="1"/>
      <x:c r="B407" s="1"/>
      <x:c r="C407" s="1"/>
      <x:c r="D407" s="1"/>
      <x:c r="E407" s="1"/>
      <x:c r="F407" s="1"/>
      <x:c r="G407" s="1"/>
      <x:c r="H407" s="1"/>
      <x:c r="I407" s="1"/>
      <x:c r="J407" s="1"/>
      <x:c r="K407" s="1"/>
    </x:row>
    <x:row r="408" ht="14.5">
      <x:c r="A408" s="1"/>
      <x:c r="B408" s="1"/>
      <x:c r="C408" s="1"/>
      <x:c r="D408" s="1"/>
      <x:c r="E408" s="1"/>
      <x:c r="F408" s="1"/>
      <x:c r="G408" s="1"/>
      <x:c r="H408" s="1"/>
      <x:c r="I408" s="1"/>
      <x:c r="J408" s="1"/>
      <x:c r="K408" s="1"/>
    </x:row>
    <x:row r="409" ht="14.5">
      <x:c r="A409" s="1"/>
      <x:c r="B409" s="1"/>
      <x:c r="C409" s="1"/>
      <x:c r="D409" s="1"/>
      <x:c r="E409" s="1"/>
      <x:c r="F409" s="1"/>
      <x:c r="G409" s="1"/>
      <x:c r="H409" s="1"/>
      <x:c r="I409" s="1"/>
      <x:c r="J409" s="1"/>
      <x:c r="K409" s="1"/>
    </x:row>
    <x:row r="410" ht="14.5">
      <x:c r="A410" s="1"/>
      <x:c r="B410" s="1"/>
      <x:c r="C410" s="1"/>
      <x:c r="D410" s="1"/>
      <x:c r="E410" s="1"/>
      <x:c r="F410" s="1"/>
      <x:c r="G410" s="1"/>
      <x:c r="H410" s="1"/>
      <x:c r="I410" s="1"/>
      <x:c r="J410" s="1"/>
      <x:c r="K410" s="1"/>
    </x:row>
    <x:row r="411" ht="14.5">
      <x:c r="A411" s="1"/>
      <x:c r="B411" s="1"/>
      <x:c r="C411" s="1"/>
      <x:c r="D411" s="1"/>
      <x:c r="E411" s="1"/>
      <x:c r="F411" s="1"/>
      <x:c r="G411" s="1"/>
      <x:c r="H411" s="1"/>
      <x:c r="I411" s="1"/>
      <x:c r="J411" s="1"/>
      <x:c r="K411" s="1"/>
    </x:row>
    <x:row r="412" ht="14.5">
      <x:c r="A412" s="1"/>
      <x:c r="B412" s="1"/>
      <x:c r="C412" s="1"/>
      <x:c r="D412" s="1"/>
      <x:c r="E412" s="1"/>
      <x:c r="F412" s="1"/>
      <x:c r="G412" s="1"/>
      <x:c r="H412" s="1"/>
      <x:c r="I412" s="1"/>
      <x:c r="J412" s="1"/>
      <x:c r="K412" s="1"/>
    </x:row>
    <x:row r="413" ht="14.5">
      <x:c r="A413" s="1"/>
      <x:c r="B413" s="1"/>
      <x:c r="C413" s="1"/>
      <x:c r="D413" s="1"/>
      <x:c r="E413" s="1"/>
      <x:c r="F413" s="1"/>
      <x:c r="G413" s="1"/>
      <x:c r="H413" s="1"/>
      <x:c r="I413" s="1"/>
      <x:c r="J413" s="1"/>
      <x:c r="K413" s="1"/>
    </x:row>
    <x:row r="414" ht="14.5">
      <x:c r="A414" s="1"/>
      <x:c r="B414" s="1"/>
      <x:c r="C414" s="1"/>
      <x:c r="D414" s="1"/>
      <x:c r="E414" s="1"/>
      <x:c r="F414" s="1"/>
      <x:c r="G414" s="1"/>
      <x:c r="H414" s="1"/>
      <x:c r="I414" s="1"/>
      <x:c r="J414" s="1"/>
      <x:c r="K414" s="1"/>
    </x:row>
    <x:row r="415" ht="14.5">
      <x:c r="A415" s="1"/>
      <x:c r="B415" s="1"/>
      <x:c r="C415" s="1"/>
      <x:c r="D415" s="1"/>
      <x:c r="E415" s="1"/>
      <x:c r="F415" s="1"/>
      <x:c r="G415" s="1"/>
      <x:c r="H415" s="1"/>
      <x:c r="I415" s="1"/>
      <x:c r="J415" s="1"/>
      <x:c r="K415" s="1"/>
    </x:row>
    <x:row r="416" ht="14.5">
      <x:c r="A416" s="1"/>
      <x:c r="B416" s="1"/>
      <x:c r="C416" s="1"/>
      <x:c r="D416" s="1"/>
      <x:c r="E416" s="1"/>
      <x:c r="F416" s="1"/>
      <x:c r="G416" s="1"/>
      <x:c r="H416" s="1"/>
      <x:c r="I416" s="1"/>
      <x:c r="J416" s="1"/>
      <x:c r="K416" s="1"/>
    </x:row>
    <x:row r="417" ht="14.5">
      <x:c r="A417" s="1"/>
      <x:c r="B417" s="1"/>
      <x:c r="C417" s="1"/>
      <x:c r="D417" s="1"/>
      <x:c r="E417" s="1"/>
      <x:c r="F417" s="1"/>
      <x:c r="G417" s="1"/>
      <x:c r="H417" s="1"/>
      <x:c r="I417" s="1"/>
      <x:c r="J417" s="1"/>
      <x:c r="K417" s="1"/>
    </x:row>
    <x:row r="418" ht="14.5">
      <x:c r="A418" s="1"/>
      <x:c r="B418" s="1"/>
      <x:c r="C418" s="1"/>
      <x:c r="D418" s="1"/>
      <x:c r="E418" s="1"/>
      <x:c r="F418" s="1"/>
      <x:c r="G418" s="1"/>
      <x:c r="H418" s="1"/>
      <x:c r="I418" s="1"/>
      <x:c r="J418" s="1"/>
      <x:c r="K418" s="1"/>
    </x:row>
    <x:row r="419" ht="14.5">
      <x:c r="A419" s="1"/>
      <x:c r="B419" s="1"/>
      <x:c r="C419" s="1"/>
      <x:c r="D419" s="1"/>
      <x:c r="E419" s="1"/>
      <x:c r="F419" s="1"/>
      <x:c r="G419" s="1"/>
      <x:c r="H419" s="1"/>
      <x:c r="I419" s="1"/>
      <x:c r="J419" s="1"/>
      <x:c r="K419" s="1"/>
    </x:row>
    <x:row r="420" ht="14.5">
      <x:c r="A420" s="1"/>
      <x:c r="B420" s="1"/>
      <x:c r="C420" s="1"/>
      <x:c r="D420" s="1"/>
      <x:c r="E420" s="1"/>
      <x:c r="F420" s="1"/>
      <x:c r="G420" s="1"/>
      <x:c r="H420" s="1"/>
      <x:c r="I420" s="1"/>
      <x:c r="J420" s="1"/>
      <x:c r="K420" s="1"/>
    </x:row>
    <x:row r="421" ht="14.5">
      <x:c r="A421" s="1"/>
      <x:c r="B421" s="1"/>
      <x:c r="C421" s="1"/>
      <x:c r="D421" s="1"/>
      <x:c r="E421" s="1"/>
      <x:c r="F421" s="1"/>
      <x:c r="G421" s="1"/>
      <x:c r="H421" s="1"/>
      <x:c r="I421" s="1"/>
      <x:c r="J421" s="1"/>
      <x:c r="K421" s="1"/>
    </x:row>
    <x:row r="422" ht="14.5">
      <x:c r="A422" s="1"/>
      <x:c r="B422" s="1"/>
      <x:c r="C422" s="1"/>
      <x:c r="D422" s="1"/>
      <x:c r="E422" s="1"/>
      <x:c r="F422" s="1"/>
      <x:c r="G422" s="1"/>
      <x:c r="H422" s="1"/>
      <x:c r="I422" s="1"/>
      <x:c r="J422" s="1"/>
      <x:c r="K422" s="1"/>
    </x:row>
    <x:row r="423" ht="14.5">
      <x:c r="A423" s="1"/>
      <x:c r="B423" s="1"/>
      <x:c r="C423" s="1"/>
      <x:c r="D423" s="1"/>
      <x:c r="E423" s="1"/>
      <x:c r="F423" s="1"/>
      <x:c r="G423" s="1"/>
      <x:c r="H423" s="1"/>
      <x:c r="I423" s="1"/>
      <x:c r="J423" s="1"/>
      <x:c r="K423" s="1"/>
    </x:row>
    <x:row r="424" ht="14.5">
      <x:c r="A424" s="1"/>
      <x:c r="B424" s="1"/>
      <x:c r="C424" s="1"/>
      <x:c r="D424" s="1"/>
      <x:c r="E424" s="1"/>
      <x:c r="F424" s="1"/>
      <x:c r="G424" s="1"/>
      <x:c r="H424" s="1"/>
      <x:c r="I424" s="1"/>
      <x:c r="J424" s="1"/>
      <x:c r="K424" s="1"/>
    </x:row>
    <x:row r="425" ht="14.5">
      <x:c r="A425" s="1"/>
      <x:c r="B425" s="1"/>
      <x:c r="C425" s="1"/>
      <x:c r="D425" s="1"/>
      <x:c r="E425" s="1"/>
      <x:c r="F425" s="1"/>
      <x:c r="G425" s="1"/>
      <x:c r="H425" s="1"/>
      <x:c r="I425" s="1"/>
      <x:c r="J425" s="1"/>
      <x:c r="K425" s="1"/>
    </x:row>
    <x:row r="426" ht="14.5">
      <x:c r="A426" s="1"/>
      <x:c r="B426" s="1"/>
      <x:c r="C426" s="1"/>
      <x:c r="D426" s="1"/>
      <x:c r="E426" s="1"/>
      <x:c r="F426" s="1"/>
      <x:c r="G426" s="1"/>
      <x:c r="H426" s="1"/>
      <x:c r="I426" s="1"/>
      <x:c r="J426" s="1"/>
      <x:c r="K426" s="1"/>
    </x:row>
    <x:row r="427" ht="14.5">
      <x:c r="A427" s="1"/>
      <x:c r="B427" s="1"/>
      <x:c r="C427" s="1"/>
      <x:c r="D427" s="1"/>
      <x:c r="E427" s="1"/>
      <x:c r="F427" s="1"/>
      <x:c r="G427" s="1"/>
      <x:c r="H427" s="1"/>
      <x:c r="I427" s="1"/>
      <x:c r="J427" s="1"/>
      <x:c r="K427" s="1"/>
    </x:row>
    <x:row r="428" ht="14.5">
      <x:c r="A428" s="1"/>
      <x:c r="B428" s="1"/>
      <x:c r="C428" s="1"/>
      <x:c r="D428" s="1"/>
      <x:c r="E428" s="1"/>
      <x:c r="F428" s="1"/>
      <x:c r="G428" s="1"/>
      <x:c r="H428" s="1"/>
      <x:c r="I428" s="1"/>
      <x:c r="J428" s="1"/>
      <x:c r="K428" s="1"/>
    </x:row>
    <x:row r="429" ht="14.5">
      <x:c r="A429" s="1"/>
      <x:c r="B429" s="1"/>
      <x:c r="C429" s="1"/>
      <x:c r="D429" s="1"/>
      <x:c r="E429" s="1"/>
      <x:c r="F429" s="1"/>
      <x:c r="G429" s="1"/>
      <x:c r="H429" s="1"/>
      <x:c r="I429" s="1"/>
      <x:c r="J429" s="1"/>
      <x:c r="K429" s="1"/>
    </x:row>
    <x:row r="430" ht="14.5">
      <x:c r="A430" s="1"/>
      <x:c r="B430" s="1"/>
      <x:c r="C430" s="1"/>
      <x:c r="D430" s="1"/>
      <x:c r="E430" s="1"/>
      <x:c r="F430" s="1"/>
      <x:c r="G430" s="1"/>
      <x:c r="H430" s="1"/>
      <x:c r="I430" s="1"/>
      <x:c r="J430" s="1"/>
      <x:c r="K430" s="1"/>
    </x:row>
    <x:row r="431" ht="14.5">
      <x:c r="A431" s="1"/>
      <x:c r="B431" s="1"/>
      <x:c r="C431" s="1"/>
      <x:c r="D431" s="1"/>
      <x:c r="E431" s="1"/>
      <x:c r="F431" s="1"/>
      <x:c r="G431" s="1"/>
      <x:c r="H431" s="1"/>
      <x:c r="I431" s="1"/>
      <x:c r="J431" s="1"/>
      <x:c r="K431" s="1"/>
    </x:row>
    <x:row r="432" ht="14.5">
      <x:c r="A432" s="1"/>
      <x:c r="B432" s="1"/>
      <x:c r="C432" s="1"/>
      <x:c r="D432" s="1"/>
      <x:c r="E432" s="1"/>
      <x:c r="F432" s="1"/>
      <x:c r="G432" s="1"/>
      <x:c r="H432" s="1"/>
      <x:c r="I432" s="1"/>
      <x:c r="J432" s="1"/>
      <x:c r="K432" s="1"/>
    </x:row>
    <x:row r="433" ht="14.5">
      <x:c r="A433" s="1"/>
      <x:c r="B433" s="1"/>
      <x:c r="C433" s="1"/>
      <x:c r="D433" s="1"/>
      <x:c r="E433" s="1"/>
      <x:c r="F433" s="1"/>
      <x:c r="G433" s="1"/>
      <x:c r="H433" s="1"/>
      <x:c r="I433" s="1"/>
      <x:c r="J433" s="1"/>
      <x:c r="K433" s="1"/>
    </x:row>
    <x:row r="434" ht="14.5">
      <x:c r="A434" s="1"/>
      <x:c r="B434" s="1"/>
      <x:c r="C434" s="1"/>
      <x:c r="D434" s="1"/>
      <x:c r="E434" s="1"/>
      <x:c r="F434" s="1"/>
      <x:c r="G434" s="1"/>
      <x:c r="H434" s="1"/>
      <x:c r="I434" s="1"/>
      <x:c r="J434" s="1"/>
      <x:c r="K434" s="1"/>
    </x:row>
    <x:row r="435" ht="14.5">
      <x:c r="A435" s="1"/>
      <x:c r="B435" s="1"/>
      <x:c r="C435" s="1"/>
      <x:c r="D435" s="1"/>
      <x:c r="E435" s="1"/>
      <x:c r="F435" s="1"/>
      <x:c r="G435" s="1"/>
      <x:c r="H435" s="1"/>
      <x:c r="I435" s="1"/>
      <x:c r="J435" s="1"/>
      <x:c r="K435" s="1"/>
    </x:row>
    <x:row r="436" ht="14.5">
      <x:c r="A436" s="1"/>
      <x:c r="B436" s="1"/>
      <x:c r="C436" s="1"/>
      <x:c r="D436" s="1"/>
      <x:c r="E436" s="1"/>
      <x:c r="F436" s="1"/>
      <x:c r="G436" s="1"/>
      <x:c r="H436" s="1"/>
      <x:c r="I436" s="1"/>
      <x:c r="J436" s="1"/>
      <x:c r="K436" s="1"/>
    </x:row>
    <x:row r="437" ht="14.5">
      <x:c r="A437" s="1"/>
      <x:c r="B437" s="1"/>
      <x:c r="C437" s="1"/>
      <x:c r="D437" s="1"/>
      <x:c r="E437" s="1"/>
      <x:c r="F437" s="1"/>
      <x:c r="G437" s="1"/>
      <x:c r="H437" s="1"/>
      <x:c r="I437" s="1"/>
      <x:c r="J437" s="1"/>
      <x:c r="K437" s="1"/>
    </x:row>
    <x:row r="438" ht="14.5">
      <x:c r="A438" s="1"/>
      <x:c r="B438" s="1"/>
      <x:c r="C438" s="1"/>
      <x:c r="D438" s="1"/>
      <x:c r="E438" s="1"/>
      <x:c r="F438" s="1"/>
      <x:c r="G438" s="1"/>
      <x:c r="H438" s="1"/>
      <x:c r="I438" s="1"/>
      <x:c r="J438" s="1"/>
      <x:c r="K438" s="1"/>
    </x:row>
    <x:row r="439" ht="14.5">
      <x:c r="A439" s="1"/>
      <x:c r="B439" s="1"/>
      <x:c r="C439" s="1"/>
      <x:c r="D439" s="1"/>
      <x:c r="E439" s="1"/>
      <x:c r="F439" s="1"/>
      <x:c r="G439" s="1"/>
      <x:c r="H439" s="1"/>
      <x:c r="I439" s="1"/>
      <x:c r="J439" s="1"/>
      <x:c r="K439" s="1"/>
    </x:row>
    <x:row r="440" ht="14.5">
      <x:c r="A440" s="1"/>
      <x:c r="B440" s="1"/>
      <x:c r="C440" s="1"/>
      <x:c r="D440" s="1"/>
      <x:c r="E440" s="1"/>
      <x:c r="F440" s="1"/>
      <x:c r="G440" s="1"/>
      <x:c r="H440" s="1"/>
      <x:c r="I440" s="1"/>
      <x:c r="J440" s="1"/>
      <x:c r="K440" s="1"/>
    </x:row>
    <x:row r="441" ht="14.5">
      <x:c r="A441" s="1"/>
      <x:c r="B441" s="1"/>
      <x:c r="C441" s="1"/>
      <x:c r="D441" s="1"/>
      <x:c r="E441" s="1"/>
      <x:c r="F441" s="1"/>
      <x:c r="G441" s="1"/>
      <x:c r="H441" s="1"/>
      <x:c r="I441" s="1"/>
      <x:c r="J441" s="1"/>
      <x:c r="K441" s="1"/>
    </x:row>
    <x:row r="442" ht="14.5">
      <x:c r="A442" s="1"/>
      <x:c r="B442" s="1"/>
      <x:c r="C442" s="1"/>
      <x:c r="D442" s="1"/>
      <x:c r="E442" s="1"/>
      <x:c r="F442" s="1"/>
      <x:c r="G442" s="1"/>
      <x:c r="H442" s="1"/>
      <x:c r="I442" s="1"/>
      <x:c r="J442" s="1"/>
      <x:c r="K442" s="1"/>
    </x:row>
    <x:row r="443" ht="14.5">
      <x:c r="A443" s="1"/>
      <x:c r="B443" s="1"/>
      <x:c r="C443" s="1"/>
      <x:c r="D443" s="1"/>
      <x:c r="E443" s="1"/>
      <x:c r="F443" s="1"/>
      <x:c r="G443" s="1"/>
      <x:c r="H443" s="1"/>
      <x:c r="I443" s="1"/>
      <x:c r="J443" s="1"/>
      <x:c r="K443" s="1"/>
    </x:row>
    <x:row r="444" ht="14.5">
      <x:c r="A444" s="1"/>
      <x:c r="B444" s="1"/>
      <x:c r="C444" s="1"/>
      <x:c r="D444" s="1"/>
      <x:c r="E444" s="1"/>
      <x:c r="F444" s="1"/>
      <x:c r="G444" s="1"/>
      <x:c r="H444" s="1"/>
      <x:c r="I444" s="1"/>
      <x:c r="J444" s="1"/>
      <x:c r="K444" s="1"/>
    </x:row>
    <x:row r="445" ht="14.5">
      <x:c r="A445" s="1"/>
      <x:c r="B445" s="1"/>
      <x:c r="C445" s="1"/>
      <x:c r="D445" s="1"/>
      <x:c r="E445" s="1"/>
      <x:c r="F445" s="1"/>
      <x:c r="G445" s="1"/>
      <x:c r="H445" s="1"/>
      <x:c r="I445" s="1"/>
      <x:c r="J445" s="1"/>
      <x:c r="K445" s="1"/>
    </x:row>
    <x:row r="446" ht="14.5">
      <x:c r="A446" s="1"/>
      <x:c r="B446" s="1"/>
      <x:c r="C446" s="1"/>
      <x:c r="D446" s="1"/>
      <x:c r="E446" s="1"/>
      <x:c r="F446" s="1"/>
      <x:c r="G446" s="1"/>
      <x:c r="H446" s="1"/>
      <x:c r="I446" s="1"/>
      <x:c r="J446" s="1"/>
      <x:c r="K446" s="1"/>
    </x:row>
    <x:row r="447" ht="14.5">
      <x:c r="A447" s="1"/>
      <x:c r="B447" s="1"/>
      <x:c r="C447" s="1"/>
      <x:c r="D447" s="1"/>
      <x:c r="E447" s="1"/>
      <x:c r="F447" s="1"/>
      <x:c r="G447" s="1"/>
      <x:c r="H447" s="1"/>
      <x:c r="I447" s="1"/>
      <x:c r="J447" s="1"/>
      <x:c r="K447" s="1"/>
    </x:row>
    <x:row r="448" ht="14.5">
      <x:c r="A448" s="1"/>
      <x:c r="B448" s="1"/>
      <x:c r="C448" s="1"/>
      <x:c r="D448" s="1"/>
      <x:c r="E448" s="1"/>
      <x:c r="F448" s="1"/>
      <x:c r="G448" s="1"/>
      <x:c r="H448" s="1"/>
      <x:c r="I448" s="1"/>
      <x:c r="J448" s="1"/>
      <x:c r="K448" s="1"/>
    </x:row>
    <x:row r="449" ht="14.5">
      <x:c r="A449" s="1"/>
      <x:c r="B449" s="1"/>
      <x:c r="C449" s="1"/>
      <x:c r="D449" s="1"/>
      <x:c r="E449" s="1"/>
      <x:c r="F449" s="1"/>
      <x:c r="G449" s="1"/>
      <x:c r="H449" s="1"/>
      <x:c r="I449" s="1"/>
      <x:c r="J449" s="1"/>
      <x:c r="K449" s="1"/>
    </x:row>
    <x:row r="450" ht="14.5">
      <x:c r="A450" s="1"/>
      <x:c r="B450" s="1"/>
      <x:c r="C450" s="1"/>
      <x:c r="D450" s="1"/>
      <x:c r="E450" s="1"/>
      <x:c r="F450" s="1"/>
      <x:c r="G450" s="1"/>
      <x:c r="H450" s="1"/>
      <x:c r="I450" s="1"/>
      <x:c r="J450" s="1"/>
      <x:c r="K450" s="1"/>
    </x:row>
    <x:row r="451" ht="14.5">
      <x:c r="A451" s="1"/>
      <x:c r="B451" s="1"/>
      <x:c r="C451" s="1"/>
      <x:c r="D451" s="1"/>
      <x:c r="E451" s="1"/>
      <x:c r="F451" s="1"/>
      <x:c r="G451" s="1"/>
      <x:c r="H451" s="1"/>
      <x:c r="I451" s="1"/>
      <x:c r="J451" s="1"/>
      <x:c r="K451" s="1"/>
    </x:row>
    <x:row r="452" ht="14.5">
      <x:c r="A452" s="1"/>
      <x:c r="B452" s="1"/>
      <x:c r="C452" s="1"/>
      <x:c r="D452" s="1"/>
      <x:c r="E452" s="1"/>
      <x:c r="F452" s="1"/>
      <x:c r="G452" s="1"/>
      <x:c r="H452" s="1"/>
      <x:c r="I452" s="1"/>
      <x:c r="J452" s="1"/>
      <x:c r="K452" s="1"/>
    </x:row>
    <x:row r="453" ht="14.5">
      <x:c r="A453" s="1"/>
      <x:c r="B453" s="1"/>
      <x:c r="C453" s="1"/>
      <x:c r="D453" s="1"/>
      <x:c r="E453" s="1"/>
      <x:c r="F453" s="1"/>
      <x:c r="G453" s="1"/>
      <x:c r="H453" s="1"/>
      <x:c r="I453" s="1"/>
      <x:c r="J453" s="1"/>
      <x:c r="K453" s="1"/>
    </x:row>
    <x:row r="454" ht="14.5">
      <x:c r="A454" s="1"/>
      <x:c r="B454" s="1"/>
      <x:c r="C454" s="1"/>
      <x:c r="D454" s="1"/>
      <x:c r="E454" s="1"/>
      <x:c r="F454" s="1"/>
      <x:c r="G454" s="1"/>
      <x:c r="H454" s="1"/>
      <x:c r="I454" s="1"/>
      <x:c r="J454" s="1"/>
      <x:c r="K454" s="1"/>
    </x:row>
    <x:row r="455" ht="14.5">
      <x:c r="A455" s="1"/>
      <x:c r="B455" s="1"/>
      <x:c r="C455" s="1"/>
      <x:c r="D455" s="1"/>
      <x:c r="E455" s="1"/>
      <x:c r="F455" s="1"/>
      <x:c r="G455" s="1"/>
      <x:c r="H455" s="1"/>
      <x:c r="I455" s="1"/>
      <x:c r="J455" s="1"/>
      <x:c r="K455" s="1"/>
    </x:row>
    <x:row r="456" ht="14.5">
      <x:c r="A456" s="1"/>
      <x:c r="B456" s="1"/>
      <x:c r="C456" s="1"/>
      <x:c r="D456" s="1"/>
      <x:c r="E456" s="1"/>
      <x:c r="F456" s="1"/>
      <x:c r="G456" s="1"/>
      <x:c r="H456" s="1"/>
      <x:c r="I456" s="1"/>
      <x:c r="J456" s="1"/>
      <x:c r="K456" s="1"/>
    </x:row>
    <x:row r="457" ht="14.5">
      <x:c r="A457" s="1"/>
      <x:c r="B457" s="1"/>
      <x:c r="C457" s="1"/>
      <x:c r="D457" s="1"/>
      <x:c r="E457" s="1"/>
      <x:c r="F457" s="1"/>
      <x:c r="G457" s="1"/>
      <x:c r="H457" s="1"/>
      <x:c r="I457" s="1"/>
      <x:c r="J457" s="1"/>
      <x:c r="K457" s="1"/>
    </x:row>
    <x:row r="458" ht="14.5">
      <x:c r="A458" s="1"/>
      <x:c r="B458" s="1"/>
      <x:c r="C458" s="1"/>
      <x:c r="D458" s="1"/>
      <x:c r="E458" s="1"/>
      <x:c r="F458" s="1"/>
      <x:c r="G458" s="1"/>
      <x:c r="H458" s="1"/>
      <x:c r="I458" s="1"/>
      <x:c r="J458" s="1"/>
      <x:c r="K458" s="1"/>
    </x:row>
    <x:row r="459" ht="14.5">
      <x:c r="A459" s="1"/>
      <x:c r="B459" s="1"/>
      <x:c r="C459" s="1"/>
      <x:c r="D459" s="1"/>
      <x:c r="E459" s="1"/>
      <x:c r="F459" s="1"/>
      <x:c r="G459" s="1"/>
      <x:c r="H459" s="1"/>
      <x:c r="I459" s="1"/>
      <x:c r="J459" s="1"/>
      <x:c r="K459" s="1"/>
    </x:row>
    <x:row r="460" ht="14.5">
      <x:c r="A460" s="1"/>
      <x:c r="B460" s="1"/>
      <x:c r="C460" s="1"/>
      <x:c r="D460" s="1"/>
      <x:c r="E460" s="1"/>
      <x:c r="F460" s="1"/>
      <x:c r="G460" s="1"/>
      <x:c r="H460" s="1"/>
      <x:c r="I460" s="1"/>
      <x:c r="J460" s="1"/>
      <x:c r="K460" s="1"/>
    </x:row>
    <x:row r="461" ht="14.5">
      <x:c r="A461" s="1"/>
      <x:c r="B461" s="1"/>
      <x:c r="C461" s="1"/>
      <x:c r="D461" s="1"/>
      <x:c r="E461" s="1"/>
      <x:c r="F461" s="1"/>
      <x:c r="G461" s="1"/>
      <x:c r="H461" s="1"/>
      <x:c r="I461" s="1"/>
      <x:c r="J461" s="1"/>
      <x:c r="K461" s="1"/>
    </x:row>
    <x:row r="462" ht="14.5">
      <x:c r="A462" s="1"/>
      <x:c r="B462" s="1"/>
      <x:c r="C462" s="1"/>
      <x:c r="D462" s="1"/>
      <x:c r="E462" s="1"/>
      <x:c r="F462" s="1"/>
      <x:c r="G462" s="1"/>
      <x:c r="H462" s="1"/>
      <x:c r="I462" s="1"/>
      <x:c r="J462" s="1"/>
      <x:c r="K462" s="1"/>
    </x:row>
    <x:row r="463" ht="14.5">
      <x:c r="A463" s="1"/>
      <x:c r="B463" s="1"/>
      <x:c r="C463" s="1"/>
      <x:c r="D463" s="1"/>
      <x:c r="E463" s="1"/>
      <x:c r="F463" s="1"/>
      <x:c r="G463" s="1"/>
      <x:c r="H463" s="1"/>
      <x:c r="I463" s="1"/>
      <x:c r="J463" s="1"/>
      <x:c r="K463" s="1"/>
    </x:row>
    <x:row r="464" ht="14.5">
      <x:c r="A464" s="1"/>
      <x:c r="B464" s="1"/>
      <x:c r="C464" s="1"/>
      <x:c r="D464" s="1"/>
      <x:c r="E464" s="1"/>
      <x:c r="F464" s="1"/>
      <x:c r="G464" s="1"/>
      <x:c r="H464" s="1"/>
      <x:c r="I464" s="1"/>
      <x:c r="J464" s="1"/>
      <x:c r="K464" s="1"/>
    </x:row>
    <x:row r="465" ht="14.5">
      <x:c r="A465" s="1"/>
      <x:c r="B465" s="1"/>
      <x:c r="C465" s="1"/>
      <x:c r="D465" s="1"/>
      <x:c r="E465" s="1"/>
      <x:c r="F465" s="1"/>
      <x:c r="G465" s="1"/>
      <x:c r="H465" s="1"/>
      <x:c r="I465" s="1"/>
      <x:c r="J465" s="1"/>
      <x:c r="K465" s="1"/>
    </x:row>
    <x:row r="466" ht="14.5">
      <x:c r="A466" s="1"/>
      <x:c r="B466" s="1"/>
      <x:c r="C466" s="1"/>
      <x:c r="D466" s="1"/>
      <x:c r="E466" s="1"/>
      <x:c r="F466" s="1"/>
      <x:c r="G466" s="1"/>
      <x:c r="H466" s="1"/>
      <x:c r="I466" s="1"/>
      <x:c r="J466" s="1"/>
      <x:c r="K466" s="1"/>
    </x:row>
    <x:row r="467" ht="14.5">
      <x:c r="A467" s="1"/>
      <x:c r="B467" s="1"/>
      <x:c r="C467" s="1"/>
      <x:c r="D467" s="1"/>
      <x:c r="E467" s="1"/>
      <x:c r="F467" s="1"/>
      <x:c r="G467" s="1"/>
      <x:c r="H467" s="1"/>
      <x:c r="I467" s="1"/>
      <x:c r="J467" s="1"/>
      <x:c r="K467" s="1"/>
    </x:row>
    <x:row r="468" ht="14.5">
      <x:c r="A468" s="1"/>
      <x:c r="B468" s="1"/>
      <x:c r="C468" s="1"/>
      <x:c r="D468" s="1"/>
      <x:c r="E468" s="1"/>
      <x:c r="F468" s="1"/>
      <x:c r="G468" s="1"/>
      <x:c r="H468" s="1"/>
      <x:c r="I468" s="1"/>
      <x:c r="J468" s="1"/>
      <x:c r="K468" s="1"/>
    </x:row>
    <x:row r="469" ht="14.5">
      <x:c r="A469" s="1"/>
      <x:c r="B469" s="1"/>
      <x:c r="C469" s="1"/>
      <x:c r="D469" s="1"/>
      <x:c r="E469" s="1"/>
      <x:c r="F469" s="1"/>
      <x:c r="G469" s="1"/>
      <x:c r="H469" s="1"/>
      <x:c r="I469" s="1"/>
      <x:c r="J469" s="1"/>
      <x:c r="K469" s="1"/>
    </x:row>
    <x:row r="470" ht="14.5">
      <x:c r="A470" s="1"/>
      <x:c r="B470" s="1"/>
      <x:c r="C470" s="1"/>
      <x:c r="D470" s="1"/>
      <x:c r="E470" s="1"/>
      <x:c r="F470" s="1"/>
      <x:c r="G470" s="1"/>
      <x:c r="H470" s="1"/>
      <x:c r="I470" s="1"/>
      <x:c r="J470" s="1"/>
      <x:c r="K470" s="1"/>
    </x:row>
    <x:row r="471" ht="14.5">
      <x:c r="A471" s="1"/>
      <x:c r="B471" s="1"/>
      <x:c r="C471" s="1"/>
      <x:c r="D471" s="1"/>
      <x:c r="E471" s="1"/>
      <x:c r="F471" s="1"/>
      <x:c r="G471" s="1"/>
      <x:c r="H471" s="1"/>
      <x:c r="I471" s="1"/>
      <x:c r="J471" s="1"/>
      <x:c r="K471" s="1"/>
    </x:row>
    <x:row r="472" ht="14.5">
      <x:c r="A472" s="1"/>
      <x:c r="B472" s="1"/>
      <x:c r="C472" s="1"/>
      <x:c r="D472" s="1"/>
      <x:c r="E472" s="1"/>
      <x:c r="F472" s="1"/>
      <x:c r="G472" s="1"/>
      <x:c r="H472" s="1"/>
      <x:c r="I472" s="1"/>
      <x:c r="J472" s="1"/>
      <x:c r="K472" s="1"/>
    </x:row>
    <x:row r="473" ht="14.5">
      <x:c r="A473" s="1"/>
      <x:c r="B473" s="1"/>
      <x:c r="C473" s="1"/>
      <x:c r="D473" s="1"/>
      <x:c r="E473" s="1"/>
      <x:c r="F473" s="1"/>
      <x:c r="G473" s="1"/>
      <x:c r="H473" s="1"/>
      <x:c r="I473" s="1"/>
      <x:c r="J473" s="1"/>
      <x:c r="K473" s="1"/>
    </x:row>
    <x:row r="474" ht="14.5">
      <x:c r="A474" s="1"/>
      <x:c r="B474" s="1"/>
      <x:c r="C474" s="1"/>
      <x:c r="D474" s="1"/>
      <x:c r="E474" s="1"/>
      <x:c r="F474" s="1"/>
      <x:c r="G474" s="1"/>
      <x:c r="H474" s="1"/>
      <x:c r="I474" s="1"/>
      <x:c r="J474" s="1"/>
      <x:c r="K474" s="1"/>
    </x:row>
    <x:row r="475" ht="14.5">
      <x:c r="A475" s="1"/>
      <x:c r="B475" s="1"/>
      <x:c r="C475" s="1"/>
      <x:c r="D475" s="1"/>
      <x:c r="E475" s="1"/>
      <x:c r="F475" s="1"/>
      <x:c r="G475" s="1"/>
      <x:c r="H475" s="1"/>
      <x:c r="I475" s="1"/>
      <x:c r="J475" s="1"/>
      <x:c r="K475" s="1"/>
    </x:row>
    <x:row r="476" ht="14.5">
      <x:c r="A476" s="1"/>
      <x:c r="B476" s="1"/>
      <x:c r="C476" s="1"/>
      <x:c r="D476" s="1"/>
      <x:c r="E476" s="1"/>
      <x:c r="F476" s="1"/>
      <x:c r="G476" s="1"/>
      <x:c r="H476" s="1"/>
      <x:c r="I476" s="1"/>
      <x:c r="J476" s="1"/>
      <x:c r="K476" s="1"/>
    </x:row>
    <x:row r="477" ht="14.5">
      <x:c r="A477" s="1"/>
      <x:c r="B477" s="1"/>
      <x:c r="C477" s="1"/>
      <x:c r="D477" s="1"/>
      <x:c r="E477" s="1"/>
      <x:c r="F477" s="1"/>
      <x:c r="G477" s="1"/>
      <x:c r="H477" s="1"/>
      <x:c r="I477" s="1"/>
      <x:c r="J477" s="1"/>
      <x:c r="K477" s="1"/>
    </x:row>
    <x:row r="478" ht="14.5">
      <x:c r="A478" s="1"/>
      <x:c r="B478" s="1"/>
      <x:c r="C478" s="1"/>
      <x:c r="D478" s="1"/>
      <x:c r="E478" s="1"/>
      <x:c r="F478" s="1"/>
      <x:c r="G478" s="1"/>
      <x:c r="H478" s="1"/>
      <x:c r="I478" s="1"/>
      <x:c r="J478" s="1"/>
      <x:c r="K478" s="1"/>
    </x:row>
    <x:row r="479" ht="14.5">
      <x:c r="A479" s="1"/>
      <x:c r="B479" s="1"/>
      <x:c r="C479" s="1"/>
      <x:c r="D479" s="1"/>
      <x:c r="E479" s="1"/>
      <x:c r="F479" s="1"/>
      <x:c r="G479" s="1"/>
      <x:c r="H479" s="1"/>
      <x:c r="I479" s="1"/>
      <x:c r="J479" s="1"/>
      <x:c r="K479" s="1"/>
    </x:row>
    <x:row r="480" ht="14.5">
      <x:c r="A480" s="1"/>
      <x:c r="B480" s="1"/>
      <x:c r="C480" s="1"/>
      <x:c r="D480" s="1"/>
      <x:c r="E480" s="1"/>
      <x:c r="F480" s="1"/>
      <x:c r="G480" s="1"/>
      <x:c r="H480" s="1"/>
      <x:c r="I480" s="1"/>
      <x:c r="J480" s="1"/>
      <x:c r="K480" s="1"/>
    </x:row>
    <x:row r="481" ht="14.5">
      <x:c r="A481" s="1"/>
      <x:c r="B481" s="1"/>
      <x:c r="C481" s="1"/>
      <x:c r="D481" s="1"/>
      <x:c r="E481" s="1"/>
      <x:c r="F481" s="1"/>
      <x:c r="G481" s="1"/>
      <x:c r="H481" s="1"/>
      <x:c r="I481" s="1"/>
      <x:c r="J481" s="1"/>
      <x:c r="K481" s="1"/>
    </x:row>
    <x:row r="482" ht="14.5">
      <x:c r="A482" s="1"/>
      <x:c r="B482" s="1"/>
      <x:c r="C482" s="1"/>
      <x:c r="D482" s="1"/>
      <x:c r="E482" s="1"/>
      <x:c r="F482" s="1"/>
      <x:c r="G482" s="1"/>
      <x:c r="H482" s="1"/>
      <x:c r="I482" s="1"/>
      <x:c r="J482" s="1"/>
      <x:c r="K482" s="1"/>
    </x:row>
    <x:row r="483" ht="14.5">
      <x:c r="A483" s="1"/>
      <x:c r="B483" s="1"/>
      <x:c r="C483" s="1"/>
      <x:c r="D483" s="1"/>
      <x:c r="E483" s="1"/>
      <x:c r="F483" s="1"/>
      <x:c r="G483" s="1"/>
      <x:c r="H483" s="1"/>
      <x:c r="I483" s="1"/>
      <x:c r="J483" s="1"/>
      <x:c r="K483" s="1"/>
    </x:row>
    <x:row r="484" ht="14.5">
      <x:c r="A484" s="1"/>
      <x:c r="B484" s="1"/>
      <x:c r="C484" s="1"/>
      <x:c r="D484" s="1"/>
      <x:c r="E484" s="1"/>
      <x:c r="F484" s="1"/>
      <x:c r="G484" s="1"/>
      <x:c r="H484" s="1"/>
      <x:c r="I484" s="1"/>
      <x:c r="J484" s="1"/>
      <x:c r="K484" s="1"/>
    </x:row>
    <x:row r="485" ht="14.5">
      <x:c r="A485" s="1"/>
      <x:c r="B485" s="1"/>
      <x:c r="C485" s="1"/>
      <x:c r="D485" s="1"/>
      <x:c r="E485" s="1"/>
      <x:c r="F485" s="1"/>
      <x:c r="G485" s="1"/>
      <x:c r="H485" s="1"/>
      <x:c r="I485" s="1"/>
      <x:c r="J485" s="1"/>
      <x:c r="K485" s="1"/>
    </x:row>
    <x:row r="486" ht="14.5">
      <x:c r="A486" s="1"/>
      <x:c r="B486" s="1"/>
      <x:c r="C486" s="1"/>
      <x:c r="D486" s="1"/>
      <x:c r="E486" s="1"/>
      <x:c r="F486" s="1"/>
      <x:c r="G486" s="1"/>
      <x:c r="H486" s="1"/>
      <x:c r="I486" s="1"/>
      <x:c r="J486" s="1"/>
      <x:c r="K486" s="1"/>
    </x:row>
    <x:row r="487" ht="14.5">
      <x:c r="A487" s="1"/>
      <x:c r="B487" s="1"/>
      <x:c r="C487" s="1"/>
      <x:c r="D487" s="1"/>
      <x:c r="E487" s="1"/>
      <x:c r="F487" s="1"/>
      <x:c r="G487" s="1"/>
      <x:c r="H487" s="1"/>
      <x:c r="I487" s="1"/>
      <x:c r="J487" s="1"/>
      <x:c r="K487" s="1"/>
    </x:row>
    <x:row r="488" ht="14.5">
      <x:c r="A488" s="1"/>
      <x:c r="B488" s="1"/>
      <x:c r="C488" s="1"/>
      <x:c r="D488" s="1"/>
      <x:c r="E488" s="1"/>
      <x:c r="F488" s="1"/>
      <x:c r="G488" s="1"/>
      <x:c r="H488" s="1"/>
      <x:c r="I488" s="1"/>
      <x:c r="J488" s="1"/>
      <x:c r="K488" s="1"/>
    </x:row>
    <x:row r="489" ht="14.5">
      <x:c r="A489" s="1"/>
      <x:c r="B489" s="1"/>
      <x:c r="C489" s="1"/>
      <x:c r="D489" s="1"/>
      <x:c r="E489" s="1"/>
      <x:c r="F489" s="1"/>
      <x:c r="G489" s="1"/>
      <x:c r="H489" s="1"/>
      <x:c r="I489" s="1"/>
      <x:c r="J489" s="1"/>
      <x:c r="K489" s="1"/>
    </x:row>
    <x:row r="490" ht="14.5">
      <x:c r="A490" s="1"/>
      <x:c r="B490" s="1"/>
      <x:c r="C490" s="1"/>
      <x:c r="D490" s="1"/>
      <x:c r="E490" s="1"/>
      <x:c r="F490" s="1"/>
      <x:c r="G490" s="1"/>
      <x:c r="H490" s="1"/>
      <x:c r="I490" s="1"/>
      <x:c r="J490" s="1"/>
      <x:c r="K490" s="1"/>
    </x:row>
    <x:row r="491" ht="14.5">
      <x:c r="A491" s="1"/>
      <x:c r="B491" s="1"/>
      <x:c r="C491" s="1"/>
      <x:c r="D491" s="1"/>
      <x:c r="E491" s="1"/>
      <x:c r="F491" s="1"/>
      <x:c r="G491" s="1"/>
      <x:c r="H491" s="1"/>
      <x:c r="I491" s="1"/>
      <x:c r="J491" s="1"/>
      <x:c r="K491" s="1"/>
    </x:row>
    <x:row r="492" ht="14.5">
      <x:c r="A492" s="1"/>
      <x:c r="B492" s="1"/>
      <x:c r="C492" s="1"/>
      <x:c r="D492" s="1"/>
      <x:c r="E492" s="1"/>
      <x:c r="F492" s="1"/>
      <x:c r="G492" s="1"/>
      <x:c r="H492" s="1"/>
      <x:c r="I492" s="1"/>
      <x:c r="J492" s="1"/>
      <x:c r="K492" s="1"/>
    </x:row>
    <x:row r="493" ht="14.5">
      <x:c r="A493" s="1"/>
      <x:c r="B493" s="1"/>
      <x:c r="C493" s="1"/>
      <x:c r="D493" s="1"/>
      <x:c r="E493" s="1"/>
      <x:c r="F493" s="1"/>
      <x:c r="G493" s="1"/>
      <x:c r="H493" s="1"/>
      <x:c r="I493" s="1"/>
      <x:c r="J493" s="1"/>
      <x:c r="K493" s="1"/>
    </x:row>
    <x:row r="494" ht="14.5">
      <x:c r="A494" s="1"/>
      <x:c r="B494" s="1"/>
      <x:c r="C494" s="1"/>
      <x:c r="D494" s="1"/>
      <x:c r="E494" s="1"/>
      <x:c r="F494" s="1"/>
      <x:c r="G494" s="1"/>
      <x:c r="H494" s="1"/>
      <x:c r="I494" s="1"/>
      <x:c r="J494" s="1"/>
      <x:c r="K494" s="1"/>
    </x:row>
    <x:row r="495" ht="14.5">
      <x:c r="A495" s="1"/>
      <x:c r="B495" s="1"/>
      <x:c r="C495" s="1"/>
      <x:c r="D495" s="1"/>
      <x:c r="E495" s="1"/>
      <x:c r="F495" s="1"/>
      <x:c r="G495" s="1"/>
      <x:c r="H495" s="1"/>
      <x:c r="I495" s="1"/>
      <x:c r="J495" s="1"/>
      <x:c r="K495" s="1"/>
    </x:row>
    <x:row r="496" ht="14.5">
      <x:c r="A496" s="1"/>
      <x:c r="B496" s="1"/>
      <x:c r="C496" s="1"/>
      <x:c r="D496" s="1"/>
      <x:c r="E496" s="1"/>
      <x:c r="F496" s="1"/>
      <x:c r="G496" s="1"/>
      <x:c r="H496" s="1"/>
      <x:c r="I496" s="1"/>
      <x:c r="J496" s="1"/>
      <x:c r="K496" s="1"/>
    </x:row>
    <x:row r="497" ht="14.5">
      <x:c r="A497" s="1"/>
      <x:c r="B497" s="1"/>
      <x:c r="C497" s="1"/>
      <x:c r="D497" s="1"/>
      <x:c r="E497" s="1"/>
      <x:c r="F497" s="1"/>
      <x:c r="G497" s="1"/>
      <x:c r="H497" s="1"/>
      <x:c r="I497" s="1"/>
      <x:c r="J497" s="1"/>
      <x:c r="K497" s="1"/>
    </x:row>
    <x:row r="498" ht="14.5">
      <x:c r="A498" s="1"/>
      <x:c r="B498" s="1"/>
      <x:c r="C498" s="1"/>
      <x:c r="D498" s="1"/>
      <x:c r="E498" s="1"/>
      <x:c r="F498" s="1"/>
      <x:c r="G498" s="1"/>
      <x:c r="H498" s="1"/>
      <x:c r="I498" s="1"/>
      <x:c r="J498" s="1"/>
      <x:c r="K498" s="1"/>
    </x:row>
    <x:row r="499" ht="14.5">
      <x:c r="A499" s="1"/>
      <x:c r="B499" s="1"/>
      <x:c r="C499" s="1"/>
      <x:c r="D499" s="1"/>
      <x:c r="E499" s="1"/>
      <x:c r="F499" s="1"/>
      <x:c r="G499" s="1"/>
      <x:c r="H499" s="1"/>
      <x:c r="I499" s="1"/>
      <x:c r="J499" s="1"/>
      <x:c r="K499" s="1"/>
    </x:row>
    <x:row r="500" ht="14.5">
      <x:c r="A500" s="1"/>
      <x:c r="B500" s="1"/>
      <x:c r="C500" s="1"/>
      <x:c r="D500" s="1"/>
      <x:c r="E500" s="1"/>
      <x:c r="F500" s="1"/>
      <x:c r="G500" s="1"/>
      <x:c r="H500" s="1"/>
      <x:c r="I500" s="1"/>
      <x:c r="J500" s="1"/>
      <x:c r="K500" s="1"/>
    </x:row>
    <x:row r="501" ht="14.5">
      <x:c r="A501" s="1"/>
      <x:c r="B501" s="1"/>
      <x:c r="C501" s="1"/>
      <x:c r="D501" s="1"/>
      <x:c r="E501" s="1"/>
      <x:c r="F501" s="1"/>
      <x:c r="G501" s="1"/>
      <x:c r="H501" s="1"/>
      <x:c r="I501" s="1"/>
      <x:c r="J501" s="1"/>
      <x:c r="K501" s="1"/>
    </x:row>
    <x:row r="502" ht="14.5">
      <x:c r="A502" s="1"/>
      <x:c r="B502" s="1"/>
      <x:c r="C502" s="1"/>
      <x:c r="D502" s="1"/>
      <x:c r="E502" s="1"/>
      <x:c r="F502" s="1"/>
      <x:c r="G502" s="1"/>
      <x:c r="H502" s="1"/>
      <x:c r="I502" s="1"/>
      <x:c r="J502" s="1"/>
      <x:c r="K502" s="1"/>
    </x:row>
    <x:row r="503" ht="14.5">
      <x:c r="A503" s="1"/>
      <x:c r="B503" s="1"/>
      <x:c r="C503" s="1"/>
      <x:c r="D503" s="1"/>
      <x:c r="E503" s="1"/>
      <x:c r="F503" s="1"/>
      <x:c r="G503" s="1"/>
      <x:c r="H503" s="1"/>
      <x:c r="I503" s="1"/>
      <x:c r="J503" s="1"/>
      <x:c r="K503" s="1"/>
    </x:row>
    <x:row r="504" ht="14.5">
      <x:c r="A504" s="1"/>
      <x:c r="B504" s="1"/>
      <x:c r="C504" s="1"/>
      <x:c r="D504" s="1"/>
      <x:c r="E504" s="1"/>
      <x:c r="F504" s="1"/>
      <x:c r="G504" s="1"/>
      <x:c r="H504" s="1"/>
      <x:c r="I504" s="1"/>
      <x:c r="J504" s="1"/>
      <x:c r="K504" s="1"/>
    </x:row>
    <x:row r="505" ht="14.5">
      <x:c r="A505" s="1"/>
      <x:c r="B505" s="1"/>
      <x:c r="C505" s="1"/>
      <x:c r="D505" s="1"/>
      <x:c r="E505" s="1"/>
      <x:c r="F505" s="1"/>
      <x:c r="G505" s="1"/>
      <x:c r="H505" s="1"/>
      <x:c r="I505" s="1"/>
      <x:c r="J505" s="1"/>
      <x:c r="K505" s="1"/>
    </x:row>
    <x:row r="506" ht="14.5">
      <x:c r="A506" s="1"/>
      <x:c r="B506" s="1"/>
      <x:c r="C506" s="1"/>
      <x:c r="D506" s="1"/>
      <x:c r="E506" s="1"/>
      <x:c r="F506" s="1"/>
      <x:c r="G506" s="1"/>
      <x:c r="H506" s="1"/>
      <x:c r="I506" s="1"/>
      <x:c r="J506" s="1"/>
      <x:c r="K506" s="1"/>
    </x:row>
    <x:row r="507" ht="14.5">
      <x:c r="A507" s="1"/>
      <x:c r="B507" s="1"/>
      <x:c r="C507" s="1"/>
      <x:c r="D507" s="1"/>
      <x:c r="E507" s="1"/>
      <x:c r="F507" s="1"/>
      <x:c r="G507" s="1"/>
      <x:c r="H507" s="1"/>
      <x:c r="I507" s="1"/>
      <x:c r="J507" s="1"/>
      <x:c r="K507" s="1"/>
    </x:row>
    <x:row r="508" ht="14.5">
      <x:c r="A508" s="1"/>
      <x:c r="B508" s="1"/>
      <x:c r="C508" s="1"/>
      <x:c r="D508" s="1"/>
      <x:c r="E508" s="1"/>
      <x:c r="F508" s="1"/>
      <x:c r="G508" s="1"/>
      <x:c r="H508" s="1"/>
      <x:c r="I508" s="1"/>
      <x:c r="J508" s="1"/>
      <x:c r="K508" s="1"/>
    </x:row>
    <x:row r="509" ht="14.5">
      <x:c r="A509" s="1"/>
      <x:c r="B509" s="1"/>
      <x:c r="C509" s="1"/>
      <x:c r="D509" s="1"/>
      <x:c r="E509" s="1"/>
      <x:c r="F509" s="1"/>
      <x:c r="G509" s="1"/>
      <x:c r="H509" s="1"/>
      <x:c r="I509" s="1"/>
      <x:c r="J509" s="1"/>
      <x:c r="K509" s="1"/>
    </x:row>
    <x:row r="510" ht="14.5">
      <x:c r="A510" s="1"/>
      <x:c r="B510" s="1"/>
      <x:c r="C510" s="1"/>
      <x:c r="D510" s="1"/>
      <x:c r="E510" s="1"/>
      <x:c r="F510" s="1"/>
      <x:c r="G510" s="1"/>
      <x:c r="H510" s="1"/>
      <x:c r="I510" s="1"/>
      <x:c r="J510" s="1"/>
      <x:c r="K510" s="1"/>
    </x:row>
    <x:row r="511" ht="14.5">
      <x:c r="A511" s="1"/>
      <x:c r="B511" s="1"/>
      <x:c r="C511" s="1"/>
      <x:c r="D511" s="1"/>
      <x:c r="E511" s="1"/>
      <x:c r="F511" s="1"/>
      <x:c r="G511" s="1"/>
      <x:c r="H511" s="1"/>
      <x:c r="I511" s="1"/>
      <x:c r="J511" s="1"/>
      <x:c r="K511" s="1"/>
    </x:row>
    <x:row r="512" ht="14.5">
      <x:c r="A512" s="1"/>
      <x:c r="B512" s="1"/>
      <x:c r="C512" s="1"/>
      <x:c r="D512" s="1"/>
      <x:c r="E512" s="1"/>
      <x:c r="F512" s="1"/>
      <x:c r="G512" s="1"/>
      <x:c r="H512" s="1"/>
      <x:c r="I512" s="1"/>
      <x:c r="J512" s="1"/>
      <x:c r="K512" s="1"/>
    </x:row>
    <x:row r="513" ht="14.5">
      <x:c r="A513" s="1"/>
      <x:c r="B513" s="1"/>
      <x:c r="C513" s="1"/>
      <x:c r="D513" s="1"/>
      <x:c r="E513" s="1"/>
      <x:c r="F513" s="1"/>
      <x:c r="G513" s="1"/>
      <x:c r="H513" s="1"/>
      <x:c r="I513" s="1"/>
      <x:c r="J513" s="1"/>
      <x:c r="K513" s="1"/>
    </x:row>
    <x:row r="514" ht="14.5">
      <x:c r="A514" s="1"/>
      <x:c r="B514" s="1"/>
      <x:c r="C514" s="1"/>
      <x:c r="D514" s="1"/>
      <x:c r="E514" s="1"/>
      <x:c r="F514" s="1"/>
      <x:c r="G514" s="1"/>
      <x:c r="H514" s="1"/>
      <x:c r="I514" s="1"/>
      <x:c r="J514" s="1"/>
      <x:c r="K514" s="1"/>
    </x:row>
    <x:row r="515" ht="14.5">
      <x:c r="A515" s="1"/>
      <x:c r="B515" s="1"/>
      <x:c r="C515" s="1"/>
      <x:c r="D515" s="1"/>
      <x:c r="E515" s="1"/>
      <x:c r="F515" s="1"/>
      <x:c r="G515" s="1"/>
      <x:c r="H515" s="1"/>
      <x:c r="I515" s="1"/>
      <x:c r="J515" s="1"/>
      <x:c r="K515" s="1"/>
    </x:row>
    <x:row r="516" ht="14.5">
      <x:c r="A516" s="1"/>
      <x:c r="B516" s="1"/>
      <x:c r="C516" s="1"/>
      <x:c r="D516" s="1"/>
      <x:c r="E516" s="1"/>
      <x:c r="F516" s="1"/>
      <x:c r="G516" s="1"/>
      <x:c r="H516" s="1"/>
      <x:c r="I516" s="1"/>
      <x:c r="J516" s="1"/>
      <x:c r="K516" s="1"/>
    </x:row>
    <x:row r="517" ht="14.5">
      <x:c r="A517" s="1"/>
      <x:c r="B517" s="1"/>
      <x:c r="C517" s="1"/>
      <x:c r="D517" s="1"/>
      <x:c r="E517" s="1"/>
      <x:c r="F517" s="1"/>
      <x:c r="G517" s="1"/>
      <x:c r="H517" s="1"/>
      <x:c r="I517" s="1"/>
      <x:c r="J517" s="1"/>
      <x:c r="K517" s="1"/>
    </x:row>
    <x:row r="518" ht="14.5">
      <x:c r="A518" s="1"/>
      <x:c r="B518" s="1"/>
      <x:c r="C518" s="1"/>
      <x:c r="D518" s="1"/>
      <x:c r="E518" s="1"/>
      <x:c r="F518" s="1"/>
      <x:c r="G518" s="1"/>
      <x:c r="H518" s="1"/>
      <x:c r="I518" s="1"/>
      <x:c r="J518" s="1"/>
      <x:c r="K518" s="1"/>
    </x:row>
    <x:row r="519" ht="14.5">
      <x:c r="A519" s="1"/>
      <x:c r="B519" s="1"/>
      <x:c r="C519" s="1"/>
      <x:c r="D519" s="1"/>
      <x:c r="E519" s="1"/>
      <x:c r="F519" s="1"/>
      <x:c r="G519" s="1"/>
      <x:c r="H519" s="1"/>
      <x:c r="I519" s="1"/>
      <x:c r="J519" s="1"/>
      <x:c r="K519" s="1"/>
    </x:row>
    <x:row r="520" ht="14.5">
      <x:c r="A520" s="1"/>
      <x:c r="B520" s="1"/>
      <x:c r="C520" s="1"/>
      <x:c r="D520" s="1"/>
      <x:c r="E520" s="1"/>
      <x:c r="F520" s="1"/>
      <x:c r="G520" s="1"/>
      <x:c r="H520" s="1"/>
      <x:c r="I520" s="1"/>
      <x:c r="J520" s="1"/>
      <x:c r="K520" s="1"/>
    </x:row>
    <x:row r="521" ht="14.5">
      <x:c r="A521" s="1"/>
      <x:c r="B521" s="1"/>
      <x:c r="C521" s="1"/>
      <x:c r="D521" s="1"/>
      <x:c r="E521" s="1"/>
      <x:c r="F521" s="1"/>
      <x:c r="G521" s="1"/>
      <x:c r="H521" s="1"/>
      <x:c r="I521" s="1"/>
      <x:c r="J521" s="1"/>
      <x:c r="K521" s="1"/>
    </x:row>
    <x:row r="522" ht="14.5">
      <x:c r="A522" s="1"/>
      <x:c r="B522" s="1"/>
      <x:c r="C522" s="1"/>
      <x:c r="D522" s="1"/>
      <x:c r="E522" s="1"/>
      <x:c r="F522" s="1"/>
      <x:c r="G522" s="1"/>
      <x:c r="H522" s="1"/>
      <x:c r="I522" s="1"/>
      <x:c r="J522" s="1"/>
      <x:c r="K522" s="1"/>
    </x:row>
    <x:row r="523" ht="14.5">
      <x:c r="A523" s="1"/>
      <x:c r="B523" s="1"/>
      <x:c r="C523" s="1"/>
      <x:c r="D523" s="1"/>
      <x:c r="E523" s="1"/>
      <x:c r="F523" s="1"/>
      <x:c r="G523" s="1"/>
      <x:c r="H523" s="1"/>
      <x:c r="I523" s="1"/>
      <x:c r="J523" s="1"/>
      <x:c r="K523" s="1"/>
    </x:row>
    <x:row r="524" ht="14.5">
      <x:c r="A524" s="1"/>
      <x:c r="B524" s="1"/>
      <x:c r="C524" s="1"/>
      <x:c r="D524" s="1"/>
      <x:c r="E524" s="1"/>
      <x:c r="F524" s="1"/>
      <x:c r="G524" s="1"/>
      <x:c r="H524" s="1"/>
      <x:c r="I524" s="1"/>
      <x:c r="J524" s="1"/>
      <x:c r="K524" s="1"/>
    </x:row>
    <x:row r="525" ht="14.5">
      <x:c r="A525" s="1"/>
      <x:c r="B525" s="1"/>
      <x:c r="C525" s="1"/>
      <x:c r="D525" s="1"/>
      <x:c r="E525" s="1"/>
      <x:c r="F525" s="1"/>
      <x:c r="G525" s="1"/>
      <x:c r="H525" s="1"/>
      <x:c r="I525" s="1"/>
      <x:c r="J525" s="1"/>
      <x:c r="K525" s="1"/>
    </x:row>
    <x:row r="526" ht="14.5">
      <x:c r="A526" s="1"/>
      <x:c r="B526" s="1"/>
      <x:c r="C526" s="1"/>
      <x:c r="D526" s="1"/>
      <x:c r="E526" s="1"/>
      <x:c r="F526" s="1"/>
      <x:c r="G526" s="1"/>
      <x:c r="H526" s="1"/>
      <x:c r="I526" s="1"/>
      <x:c r="J526" s="1"/>
      <x:c r="K526" s="1"/>
    </x:row>
    <x:row r="527" ht="14.5">
      <x:c r="A527" s="1"/>
      <x:c r="B527" s="1"/>
      <x:c r="C527" s="1"/>
      <x:c r="D527" s="1"/>
      <x:c r="E527" s="1"/>
      <x:c r="F527" s="1"/>
      <x:c r="G527" s="1"/>
      <x:c r="H527" s="1"/>
      <x:c r="I527" s="1"/>
      <x:c r="J527" s="1"/>
      <x:c r="K527" s="1"/>
    </x:row>
    <x:row r="528" ht="14.5">
      <x:c r="A528" s="1"/>
      <x:c r="B528" s="1"/>
      <x:c r="C528" s="1"/>
      <x:c r="D528" s="1"/>
      <x:c r="E528" s="1"/>
      <x:c r="F528" s="1"/>
      <x:c r="G528" s="1"/>
      <x:c r="H528" s="1"/>
      <x:c r="I528" s="1"/>
      <x:c r="J528" s="1"/>
      <x:c r="K528" s="1"/>
    </x:row>
    <x:row r="529" ht="14.5">
      <x:c r="A529" s="1"/>
      <x:c r="B529" s="1"/>
      <x:c r="C529" s="1"/>
      <x:c r="D529" s="1"/>
      <x:c r="E529" s="1"/>
      <x:c r="F529" s="1"/>
      <x:c r="G529" s="1"/>
      <x:c r="H529" s="1"/>
      <x:c r="I529" s="1"/>
      <x:c r="J529" s="1"/>
      <x:c r="K529" s="1"/>
    </x:row>
    <x:row r="530" ht="14.5">
      <x:c r="A530" s="1"/>
      <x:c r="B530" s="1"/>
      <x:c r="C530" s="1"/>
      <x:c r="D530" s="1"/>
      <x:c r="E530" s="1"/>
      <x:c r="F530" s="1"/>
      <x:c r="G530" s="1"/>
      <x:c r="H530" s="1"/>
      <x:c r="I530" s="1"/>
      <x:c r="J530" s="1"/>
      <x:c r="K530" s="1"/>
    </x:row>
    <x:row r="531" ht="14.5">
      <x:c r="A531" s="1"/>
      <x:c r="B531" s="1"/>
      <x:c r="C531" s="1"/>
      <x:c r="D531" s="1"/>
      <x:c r="E531" s="1"/>
      <x:c r="F531" s="1"/>
      <x:c r="G531" s="1"/>
      <x:c r="H531" s="1"/>
      <x:c r="I531" s="1"/>
      <x:c r="J531" s="1"/>
      <x:c r="K531" s="1"/>
    </x:row>
    <x:row r="532" ht="14.5">
      <x:c r="A532" s="1"/>
      <x:c r="B532" s="1"/>
      <x:c r="C532" s="1"/>
      <x:c r="D532" s="1"/>
      <x:c r="E532" s="1"/>
      <x:c r="F532" s="1"/>
      <x:c r="G532" s="1"/>
      <x:c r="H532" s="1"/>
      <x:c r="I532" s="1"/>
      <x:c r="J532" s="1"/>
      <x:c r="K532" s="1"/>
    </x:row>
    <x:row r="533" ht="14.5">
      <x:c r="A533" s="1"/>
      <x:c r="B533" s="1"/>
      <x:c r="C533" s="1"/>
      <x:c r="D533" s="1"/>
      <x:c r="E533" s="1"/>
      <x:c r="F533" s="1"/>
      <x:c r="G533" s="1"/>
      <x:c r="H533" s="1"/>
      <x:c r="I533" s="1"/>
      <x:c r="J533" s="1"/>
      <x:c r="K533" s="1"/>
    </x:row>
    <x:row r="534" ht="14.5">
      <x:c r="A534" s="1"/>
      <x:c r="B534" s="1"/>
      <x:c r="C534" s="1"/>
      <x:c r="D534" s="1"/>
      <x:c r="E534" s="1"/>
      <x:c r="F534" s="1"/>
      <x:c r="G534" s="1"/>
      <x:c r="H534" s="1"/>
      <x:c r="I534" s="1"/>
      <x:c r="J534" s="1"/>
      <x:c r="K534" s="1"/>
    </x:row>
    <x:row r="535" ht="14.5">
      <x:c r="A535" s="1"/>
      <x:c r="B535" s="1"/>
      <x:c r="C535" s="1"/>
      <x:c r="D535" s="1"/>
      <x:c r="E535" s="1"/>
      <x:c r="F535" s="1"/>
      <x:c r="G535" s="1"/>
      <x:c r="H535" s="1"/>
      <x:c r="I535" s="1"/>
      <x:c r="J535" s="1"/>
      <x:c r="K535" s="1"/>
    </x:row>
    <x:row r="536" ht="14.5">
      <x:c r="A536" s="1"/>
      <x:c r="B536" s="1"/>
      <x:c r="C536" s="1"/>
      <x:c r="D536" s="1"/>
      <x:c r="E536" s="1"/>
      <x:c r="F536" s="1"/>
      <x:c r="G536" s="1"/>
      <x:c r="H536" s="1"/>
      <x:c r="I536" s="1"/>
      <x:c r="J536" s="1"/>
      <x:c r="K536" s="1"/>
    </x:row>
    <x:row r="537" ht="14.5">
      <x:c r="A537" s="1"/>
      <x:c r="B537" s="1"/>
      <x:c r="C537" s="1"/>
      <x:c r="D537" s="1"/>
      <x:c r="E537" s="1"/>
      <x:c r="F537" s="1"/>
      <x:c r="G537" s="1"/>
      <x:c r="H537" s="1"/>
      <x:c r="I537" s="1"/>
      <x:c r="J537" s="1"/>
      <x:c r="K537" s="1"/>
    </x:row>
    <x:row r="538" ht="14.5">
      <x:c r="A538" s="1"/>
      <x:c r="B538" s="1"/>
      <x:c r="C538" s="1"/>
      <x:c r="D538" s="1"/>
      <x:c r="E538" s="1"/>
      <x:c r="F538" s="1"/>
      <x:c r="G538" s="1"/>
      <x:c r="H538" s="1"/>
      <x:c r="I538" s="1"/>
      <x:c r="J538" s="1"/>
      <x:c r="K538" s="1"/>
    </x:row>
    <x:row r="539" ht="14.5">
      <x:c r="A539" s="1"/>
      <x:c r="B539" s="1"/>
      <x:c r="C539" s="1"/>
      <x:c r="D539" s="1"/>
      <x:c r="E539" s="1"/>
      <x:c r="F539" s="1"/>
      <x:c r="G539" s="1"/>
      <x:c r="H539" s="1"/>
      <x:c r="I539" s="1"/>
      <x:c r="J539" s="1"/>
      <x:c r="K539" s="1"/>
    </x:row>
    <x:row r="540" ht="14.5">
      <x:c r="A540" s="1"/>
      <x:c r="B540" s="1"/>
      <x:c r="C540" s="1"/>
      <x:c r="D540" s="1"/>
      <x:c r="E540" s="1"/>
      <x:c r="F540" s="1"/>
      <x:c r="G540" s="1"/>
      <x:c r="H540" s="1"/>
      <x:c r="I540" s="1"/>
      <x:c r="J540" s="1"/>
      <x:c r="K540" s="1"/>
    </x:row>
    <x:row r="541" ht="14.5">
      <x:c r="A541" s="1"/>
      <x:c r="B541" s="1"/>
      <x:c r="C541" s="1"/>
      <x:c r="D541" s="1"/>
      <x:c r="E541" s="1"/>
      <x:c r="F541" s="1"/>
      <x:c r="G541" s="1"/>
      <x:c r="H541" s="1"/>
      <x:c r="I541" s="1"/>
      <x:c r="J541" s="1"/>
      <x:c r="K541" s="1"/>
    </x:row>
    <x:row r="542" ht="14.5">
      <x:c r="A542" s="1"/>
      <x:c r="B542" s="1"/>
      <x:c r="C542" s="1"/>
      <x:c r="D542" s="1"/>
      <x:c r="E542" s="1"/>
      <x:c r="F542" s="1"/>
      <x:c r="G542" s="1"/>
      <x:c r="H542" s="1"/>
      <x:c r="I542" s="1"/>
      <x:c r="J542" s="1"/>
      <x:c r="K542" s="1"/>
    </x:row>
    <x:row r="543" ht="14.5">
      <x:c r="A543" s="1"/>
      <x:c r="B543" s="1"/>
      <x:c r="C543" s="1"/>
      <x:c r="D543" s="1"/>
      <x:c r="E543" s="1"/>
      <x:c r="F543" s="1"/>
      <x:c r="G543" s="1"/>
      <x:c r="H543" s="1"/>
      <x:c r="I543" s="1"/>
      <x:c r="J543" s="1"/>
      <x:c r="K543" s="1"/>
    </x:row>
    <x:row r="544" ht="14.5">
      <x:c r="A544" s="1"/>
      <x:c r="B544" s="1"/>
      <x:c r="C544" s="1"/>
      <x:c r="D544" s="1"/>
      <x:c r="E544" s="1"/>
      <x:c r="F544" s="1"/>
      <x:c r="G544" s="1"/>
      <x:c r="H544" s="1"/>
      <x:c r="I544" s="1"/>
      <x:c r="J544" s="1"/>
      <x:c r="K544" s="1"/>
    </x:row>
    <x:row r="545" ht="14.5">
      <x:c r="A545" s="1"/>
      <x:c r="B545" s="1"/>
      <x:c r="C545" s="1"/>
      <x:c r="D545" s="1"/>
      <x:c r="E545" s="1"/>
      <x:c r="F545" s="1"/>
      <x:c r="G545" s="1"/>
      <x:c r="H545" s="1"/>
      <x:c r="I545" s="1"/>
      <x:c r="J545" s="1"/>
      <x:c r="K545" s="1"/>
    </x:row>
    <x:row r="546" ht="14.5">
      <x:c r="A546" s="1"/>
      <x:c r="B546" s="1"/>
      <x:c r="C546" s="1"/>
      <x:c r="D546" s="1"/>
      <x:c r="E546" s="1"/>
      <x:c r="F546" s="1"/>
      <x:c r="G546" s="1"/>
      <x:c r="H546" s="1"/>
      <x:c r="I546" s="1"/>
      <x:c r="J546" s="1"/>
      <x:c r="K546" s="1"/>
    </x:row>
    <x:row r="547" ht="14.5">
      <x:c r="A547" s="1"/>
      <x:c r="B547" s="1"/>
      <x:c r="C547" s="1"/>
      <x:c r="D547" s="1"/>
      <x:c r="E547" s="1"/>
      <x:c r="F547" s="1"/>
      <x:c r="G547" s="1"/>
      <x:c r="H547" s="1"/>
      <x:c r="I547" s="1"/>
      <x:c r="J547" s="1"/>
      <x:c r="K547" s="1"/>
    </x:row>
    <x:row r="548" ht="14.5">
      <x:c r="A548" s="1"/>
      <x:c r="B548" s="1"/>
      <x:c r="C548" s="1"/>
      <x:c r="D548" s="1"/>
      <x:c r="E548" s="1"/>
      <x:c r="F548" s="1"/>
      <x:c r="G548" s="1"/>
      <x:c r="H548" s="1"/>
      <x:c r="I548" s="1"/>
      <x:c r="J548" s="1"/>
      <x:c r="K548" s="1"/>
    </x:row>
    <x:row r="549" ht="14.5">
      <x:c r="A549" s="1"/>
      <x:c r="B549" s="1"/>
      <x:c r="C549" s="1"/>
      <x:c r="D549" s="1"/>
      <x:c r="E549" s="1"/>
      <x:c r="F549" s="1"/>
      <x:c r="G549" s="1"/>
      <x:c r="H549" s="1"/>
      <x:c r="I549" s="1"/>
      <x:c r="J549" s="1"/>
      <x:c r="K549" s="1"/>
    </x:row>
    <x:row r="550" ht="14.5">
      <x:c r="A550" s="1"/>
      <x:c r="B550" s="1"/>
      <x:c r="C550" s="1"/>
      <x:c r="D550" s="1"/>
      <x:c r="E550" s="1"/>
      <x:c r="F550" s="1"/>
      <x:c r="G550" s="1"/>
      <x:c r="H550" s="1"/>
      <x:c r="I550" s="1"/>
      <x:c r="J550" s="1"/>
      <x:c r="K550" s="1"/>
    </x:row>
    <x:row r="551" ht="14.5">
      <x:c r="A551" s="1"/>
      <x:c r="B551" s="1"/>
      <x:c r="C551" s="1"/>
      <x:c r="D551" s="1"/>
      <x:c r="E551" s="1"/>
      <x:c r="F551" s="1"/>
      <x:c r="G551" s="1"/>
      <x:c r="H551" s="1"/>
      <x:c r="I551" s="1"/>
      <x:c r="J551" s="1"/>
      <x:c r="K551" s="1"/>
    </x:row>
    <x:row r="552" ht="14.5">
      <x:c r="A552" s="1"/>
      <x:c r="B552" s="1"/>
      <x:c r="C552" s="1"/>
      <x:c r="D552" s="1"/>
      <x:c r="E552" s="1"/>
      <x:c r="F552" s="1"/>
      <x:c r="G552" s="1"/>
      <x:c r="H552" s="1"/>
      <x:c r="I552" s="1"/>
      <x:c r="J552" s="1"/>
      <x:c r="K552" s="1"/>
    </x:row>
    <x:row r="553" ht="14.5">
      <x:c r="A553" s="1"/>
      <x:c r="B553" s="1"/>
      <x:c r="C553" s="1"/>
      <x:c r="D553" s="1"/>
      <x:c r="E553" s="1"/>
      <x:c r="F553" s="1"/>
      <x:c r="G553" s="1"/>
      <x:c r="H553" s="1"/>
      <x:c r="I553" s="1"/>
      <x:c r="J553" s="1"/>
      <x:c r="K553" s="1"/>
    </x:row>
    <x:row r="554" ht="14.5">
      <x:c r="A554" s="1"/>
      <x:c r="B554" s="1"/>
      <x:c r="C554" s="1"/>
      <x:c r="D554" s="1"/>
      <x:c r="E554" s="1"/>
      <x:c r="F554" s="1"/>
      <x:c r="G554" s="1"/>
      <x:c r="H554" s="1"/>
      <x:c r="I554" s="1"/>
      <x:c r="J554" s="1"/>
      <x:c r="K554" s="1"/>
    </x:row>
    <x:row r="555" ht="14.5">
      <x:c r="A555" s="1"/>
      <x:c r="B555" s="1"/>
      <x:c r="C555" s="1"/>
      <x:c r="D555" s="1"/>
      <x:c r="E555" s="1"/>
      <x:c r="F555" s="1"/>
      <x:c r="G555" s="1"/>
      <x:c r="H555" s="1"/>
      <x:c r="I555" s="1"/>
      <x:c r="J555" s="1"/>
      <x:c r="K555" s="1"/>
    </x:row>
    <x:row r="556" ht="14.5">
      <x:c r="A556" s="1"/>
      <x:c r="B556" s="1"/>
      <x:c r="C556" s="1"/>
      <x:c r="D556" s="1"/>
      <x:c r="E556" s="1"/>
      <x:c r="F556" s="1"/>
      <x:c r="G556" s="1"/>
      <x:c r="H556" s="1"/>
      <x:c r="I556" s="1"/>
      <x:c r="J556" s="1"/>
      <x:c r="K556" s="1"/>
    </x:row>
    <x:row r="557" ht="14.5">
      <x:c r="A557" s="1"/>
      <x:c r="B557" s="1"/>
      <x:c r="C557" s="1"/>
      <x:c r="D557" s="1"/>
      <x:c r="E557" s="1"/>
      <x:c r="F557" s="1"/>
      <x:c r="G557" s="1"/>
      <x:c r="H557" s="1"/>
      <x:c r="I557" s="1"/>
      <x:c r="J557" s="1"/>
      <x:c r="K557" s="1"/>
    </x:row>
    <x:row r="558" ht="14.5">
      <x:c r="A558" s="1"/>
      <x:c r="B558" s="1"/>
      <x:c r="C558" s="1"/>
      <x:c r="D558" s="1"/>
      <x:c r="E558" s="1"/>
      <x:c r="F558" s="1"/>
      <x:c r="G558" s="1"/>
      <x:c r="H558" s="1"/>
      <x:c r="I558" s="1"/>
      <x:c r="J558" s="1"/>
      <x:c r="K558" s="1"/>
    </x:row>
    <x:row r="559" ht="14.5">
      <x:c r="A559" s="1"/>
      <x:c r="B559" s="1"/>
      <x:c r="C559" s="1"/>
      <x:c r="D559" s="1"/>
      <x:c r="E559" s="1"/>
      <x:c r="F559" s="1"/>
      <x:c r="G559" s="1"/>
      <x:c r="H559" s="1"/>
      <x:c r="I559" s="1"/>
      <x:c r="J559" s="1"/>
      <x:c r="K559" s="1"/>
    </x:row>
    <x:row r="560" ht="14.5">
      <x:c r="A560" s="1"/>
      <x:c r="B560" s="1"/>
      <x:c r="C560" s="1"/>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D1"/>
    <x:mergeCell ref="A2:D2"/>
    <x:mergeCell ref="A16:D16"/>
    <x:mergeCell ref="A18:D18"/>
    <x:mergeCell ref="A30:D30"/>
    <x:mergeCell ref="A37:D37"/>
    <x:mergeCell ref="A39:D39"/>
  </x:mergeCells>
  <x:pageMargins left="0.7" right="0.7" top="0.75" bottom="0.75" header="0.3" footer="0.3"/>
  <x:tableParts count="3">
    <x:tablePart xmlns:r="http://schemas.openxmlformats.org/officeDocument/2006/relationships" r:id="R05a32a9ceb0e4065"/>
    <x:tablePart xmlns:r="http://schemas.openxmlformats.org/officeDocument/2006/relationships" r:id="R25f493f330d246e9"/>
    <x:tablePart xmlns:r="http://schemas.openxmlformats.org/officeDocument/2006/relationships" r:id="R6d9392eea3c148ec"/>
  </x:tableParts>
</x:worksheet>
</file>

<file path=xl/worksheets/sheet3.xml><?xml version="1.0" encoding="utf-8"?>
<x:worksheet xmlns:x="http://schemas.openxmlformats.org/spreadsheetml/2006/main">
  <x:sheetViews>
    <x:sheetView showGridLines="0" tabSelected="1" workbookViewId="0">
      <x:pane ySplit="5" topLeftCell="A6" activePane="bottomLeft" state="frozen"/>
      <x:selection pane="bottomLeft" activeCell="B371" sqref="B371"/>
    </x:sheetView>
  </x:sheetViews>
  <x:sheetFormatPr defaultRowHeight="14"/>
  <x:cols>
    <x:col min="1" max="1" width="30" customWidth="1"/>
    <x:col min="2" max="2" width="46" customWidth="1"/>
    <x:col min="3" max="3" width="20" customWidth="1"/>
    <x:col min="4" max="5" width="18" customWidth="1"/>
    <x:col min="6" max="6" width="19" customWidth="1"/>
    <x:col min="7" max="7" width="20" customWidth="1"/>
    <x:col min="8" max="8" width="18" customWidth="1"/>
    <x:col min="9" max="9" width="19" customWidth="1"/>
    <x:col min="10" max="10" width="100" customWidth="1"/>
  </x:cols>
  <x:sheetData>
    <x:row r="1" ht="30" customHeight="1">
      <x:c r="A1" s="11" t="s">
        <x:v>21</x:v>
      </x:c>
      <x:c r="B1" s="11"/>
      <x:c r="C1" s="11"/>
      <x:c r="D1" s="11"/>
      <x:c r="E1" s="11"/>
      <x:c r="F1" s="11"/>
      <x:c r="G1" s="11"/>
      <x:c r="H1" s="11"/>
      <x:c r="I1" s="11"/>
      <x:c r="J1" s="11"/>
      <x:c r="K1" s="1"/>
    </x:row>
    <x:row r="2" ht="34" customHeight="1">
      <x:c r="A2" s="12" t="inlineStr">
        <x:is>
          <x:t xml:space="preserve">All374 taxa and670 exact eligible candidates. Six-fleet source catches remain unchanged. Bony residual reporting exclusions and independent allocation checks are retained in the reporting-scope evidence.</x:t>
        </x:is>
      </x:c>
      <x:c r="B2" s="12"/>
      <x:c r="C2" s="12"/>
      <x:c r="D2" s="12"/>
      <x:c r="E2" s="12"/>
      <x:c r="F2" s="12"/>
      <x:c r="G2" s="12"/>
      <x:c r="H2" s="12"/>
      <x:c r="I2" s="12"/>
      <x:c r="J2" s="12"/>
      <x:c r="K2" s="1"/>
    </x:row>
    <x:row r="3" ht="34" customHeight="1">
      <x:c r="A3" s="12" t="inlineStr">
        <x:is>
          <x:t xml:space="preserve">Complete candidate denominators determine every split. Model catch proportions have Medium weight confidence; single-group weight 1 has High weight confidence. Membership and overall confidence remain separately recorded in the linked audit.</x:t>
        </x:is>
      </x:c>
      <x:c r="B3" s="12"/>
      <x:c r="C3" s="12"/>
      <x:c r="D3" s="12"/>
      <x:c r="E3" s="12"/>
      <x:c r="F3" s="12"/>
      <x:c r="G3" s="12"/>
      <x:c r="H3" s="12"/>
      <x:c r="I3" s="12"/>
      <x:c r="J3" s="12"/>
      <x:c r="K3" s="1"/>
    </x:row>
    <x:row r="4" ht="34" customHeight="1">
      <x:c r="A4" s="12" t="inlineStr">
        <x:is>
          <x:t xml:space="preserve">Table 6.2 PDF pp.193–194 provides the catch values. Fixed 2000s northern-shelf proportions are assumed for whole-LME 1950–2019 and all catch bases; no observed taxon-specific mixture was recovered.</x:t>
        </x:is>
      </x:c>
      <x:c r="B4" s="12"/>
      <x:c r="C4" s="12"/>
      <x:c r="D4" s="12"/>
      <x:c r="E4" s="12"/>
      <x:c r="F4" s="12"/>
      <x:c r="G4" s="12"/>
      <x:c r="H4" s="12"/>
      <x:c r="I4" s="12"/>
      <x:c r="J4" s="12"/>
      <x:c r="K4" s="1"/>
    </x:row>
    <x:row r="5" ht="34" customHeight="1">
      <x:c r="A5" s="3" t="s">
        <x:v>24</x:v>
      </x:c>
      <x:c r="B5" s="3" t="s">
        <x:v>25</x:v>
      </x:c>
      <x:c r="C5" s="3" t="s">
        <x:v>26</x:v>
      </x:c>
      <x:c r="D5" s="3" t="s">
        <x:v>27</x:v>
      </x:c>
      <x:c r="E5" s="3" t="s">
        <x:v>28</x:v>
      </x:c>
      <x:c r="F5" s="3" t="s">
        <x:v>29</x:v>
      </x:c>
      <x:c r="G5" s="3" t="s">
        <x:v>30</x:v>
      </x:c>
      <x:c r="H5" s="3" t="s">
        <x:v>31</x:v>
      </x:c>
      <x:c r="I5" s="3" t="s">
        <x:v>32</x:v>
      </x:c>
      <x:c r="J5" s="3" t="s">
        <x:v>33</x:v>
      </x:c>
      <x:c r="K5" s="1"/>
    </x:row>
    <x:row r="6" ht="128" customHeight="1">
      <x:c r="A6" s="2" t="inlineStr">
        <x:is>
          <x:t xml:space="preserve">Acanthocybium solandri</x:t>
        </x:is>
      </x:c>
      <x:c r="B6" s="2" t="inlineStr">
        <x:is>
          <x:t xml:space="preserve">Juvenile large pelagic fish</x:t>
        </x:is>
      </x:c>
      <x:c r="C6" s="2">
        <x:v>30</x:v>
      </x:c>
      <x:c r="D6" s="8">
        <x:v>0.7384</x:v>
      </x:c>
      <x:c r="E6" s="8">
        <x:v>0.289</x:v>
      </x:c>
      <x:c r="F6" s="8" t="inlineStr">
        <x:is>
          <x:t xml:space="preserve">Model catch</x:t>
        </x:is>
      </x:c>
      <x:c r="G6" s="8">
        <x:f>SUMIFS($D$6:$D$681,$A$6:$A$681,A6)</x:f>
        <x:v>0.8205</x:v>
      </x:c>
      <x:c r="H6" s="9">
        <x:f>D6/G6</x:f>
        <x:v>0.8999390615478366</x:v>
      </x:c>
      <x:c r="I6" s="2" t="inlineStr">
        <x:is>
          <x:t xml:space="preserve">Medium</x:t>
        </x:is>
      </x:c>
      <x:c r="J6"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t>
        </x:is>
      </x:c>
      <x:c r="K6" s="1"/>
    </x:row>
    <x:row r="7" ht="128" customHeight="1">
      <x:c r="A7" s="2" t="inlineStr">
        <x:is>
          <x:t xml:space="preserve">Acanthocybium solandri</x:t>
        </x:is>
      </x:c>
      <x:c r="B7" s="2" t="inlineStr">
        <x:is>
          <x:t xml:space="preserve">Pelagic fish (&gt; 30 cm)</x:t>
        </x:is>
      </x:c>
      <x:c r="C7" s="2">
        <x:v>31</x:v>
      </x:c>
      <x:c r="D7" s="8">
        <x:v>0.0821</x:v>
      </x:c>
      <x:c r="E7" s="8">
        <x:v>0.079</x:v>
      </x:c>
      <x:c r="F7" s="8" t="inlineStr">
        <x:is>
          <x:t xml:space="preserve">Model catch</x:t>
        </x:is>
      </x:c>
      <x:c r="G7" s="8">
        <x:f>SUMIFS($D$6:$D$681,$A$6:$A$681,A7)</x:f>
        <x:v>0.8205</x:v>
      </x:c>
      <x:c r="H7" s="9">
        <x:f>D7/G7</x:f>
        <x:v>0.1000609384521633</x:v>
      </x:c>
      <x:c r="I7" s="2" t="inlineStr">
        <x:is>
          <x:t xml:space="preserve">Medium</x:t>
        </x:is>
      </x:c>
      <x:c r="J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t>
        </x:is>
      </x:c>
      <x:c r="K7" s="1"/>
    </x:row>
    <x:row r="8" ht="96" customHeight="1">
      <x:c r="A8" s="2" t="inlineStr">
        <x:is>
          <x:t xml:space="preserve">Acanthopagrus schlegelii</x:t>
        </x:is>
      </x:c>
      <x:c r="B8" s="2" t="inlineStr">
        <x:is>
          <x:t xml:space="preserve">Juvenile demersal fish (&gt; 30 cm)</x:t>
        </x:is>
      </x:c>
      <x:c r="C8" s="2">
        <x:v>25</x:v>
      </x:c>
      <x:c r="D8" s="8">
        <x:v>0.3165</x:v>
      </x:c>
      <x:c r="E8" s="8">
        <x:v>0.143</x:v>
      </x:c>
      <x:c r="F8" s="8" t="inlineStr">
        <x:is>
          <x:t xml:space="preserve">Model catch</x:t>
        </x:is>
      </x:c>
      <x:c r="G8" s="8">
        <x:f>SUMIFS($D$6:$D$681,$A$6:$A$681,A8)</x:f>
        <x:v>0.3517</x:v>
      </x:c>
      <x:c r="H8" s="9">
        <x:f>D8/G8</x:f>
        <x:v>0.8999147000284333</x:v>
      </x:c>
      <x:c r="I8" s="2" t="inlineStr">
        <x:is>
          <x:t xml:space="preserve">Medium</x:t>
        </x:is>
      </x:c>
      <x:c r="J8" s="2" t="inlineStr">
        <x:is>
          <x:t xml:space="preserve">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x:t>
        </x:is>
      </x:c>
      <x:c r="K8" s="1"/>
    </x:row>
    <x:row r="9" ht="96" customHeight="1">
      <x:c r="A9" s="2" t="inlineStr">
        <x:is>
          <x:t xml:space="preserve">Acanthopagrus schlegelii</x:t>
        </x:is>
      </x:c>
      <x:c r="B9" s="2" t="inlineStr">
        <x:is>
          <x:t xml:space="preserve">Adult demersal fish (&gt; 30 cm)</x:t>
        </x:is>
      </x:c>
      <x:c r="C9" s="2">
        <x:v>26</x:v>
      </x:c>
      <x:c r="D9" s="8">
        <x:v>0.0352</x:v>
      </x:c>
      <x:c r="E9" s="8">
        <x:v>0.021</x:v>
      </x:c>
      <x:c r="F9" s="8" t="inlineStr">
        <x:is>
          <x:t xml:space="preserve">Model catch</x:t>
        </x:is>
      </x:c>
      <x:c r="G9" s="8">
        <x:f>SUMIFS($D$6:$D$681,$A$6:$A$681,A9)</x:f>
        <x:v>0.3517</x:v>
      </x:c>
      <x:c r="H9" s="9">
        <x:f>D9/G9</x:f>
        <x:v>0.1000852999715667</x:v>
      </x:c>
      <x:c r="I9" s="2" t="inlineStr">
        <x:is>
          <x:t xml:space="preserve">Medium</x:t>
        </x:is>
      </x:c>
      <x:c r="J9" s="2" t="inlineStr">
        <x:is>
          <x:t xml:space="preserve">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x:t>
        </x:is>
      </x:c>
      <x:c r="K9" s="1"/>
    </x:row>
    <x:row r="10" ht="80" customHeight="1">
      <x:c r="A10" s="2" t="inlineStr">
        <x:is>
          <x:t xml:space="preserve">Acanthuridae</x:t>
        </x:is>
      </x:c>
      <x:c r="B10" s="2" t="inlineStr">
        <x:is>
          <x:t xml:space="preserve">Demesral fish (≤ 30 cm)</x:t>
        </x:is>
      </x:c>
      <x:c r="C10" s="2">
        <x:v>24</x:v>
      </x:c>
      <x:c r="D10" s="8">
        <x:v>0.1788</x:v>
      </x:c>
      <x:c r="E10" s="8">
        <x:v>0.316</x:v>
      </x:c>
      <x:c r="F10" s="8" t="inlineStr">
        <x:is>
          <x:t xml:space="preserve">No split</x:t>
        </x:is>
      </x:c>
      <x:c r="G10" s="8">
        <x:f>SUMIFS($D$6:$D$681,$A$6:$A$681,A10)</x:f>
        <x:v>0.1788</x:v>
      </x:c>
      <x:c r="H10" s="9">
        <x:f>1</x:f>
        <x:v>1</x:v>
      </x:c>
      <x:c r="I10" s="2" t="inlineStr">
        <x:is>
          <x:t xml:space="preserve">High</x:t>
        </x:is>
      </x:c>
      <x:c r="J10" s="2" t="inlineStr">
        <x:is>
          <x:t xml:space="preserve">Acanthurus xanthopterus reaches 70 cm TL and occurs in the Indo-Pacific. The broad taxon includes regional large-bodied fish and does not itself establish maximum TL &lt;=30 cm. The small-demersal classifier is reporting context, but an exclusion of larger members was not independently documented. No split is required.</x:t>
        </x:is>
      </x:c>
      <x:c r="K10" s="1"/>
    </x:row>
    <x:row r="11" ht="80" customHeight="1">
      <x:c r="A11" s="2" t="inlineStr">
        <x:is>
          <x:t xml:space="preserve">Acanthurus</x:t>
        </x:is>
      </x:c>
      <x:c r="B11" s="2" t="inlineStr">
        <x:is>
          <x:t xml:space="preserve">Demesral fish (≤ 30 cm)</x:t>
        </x:is>
      </x:c>
      <x:c r="C11" s="2">
        <x:v>24</x:v>
      </x:c>
      <x:c r="D11" s="8">
        <x:v>0.1788</x:v>
      </x:c>
      <x:c r="E11" s="8">
        <x:v>0.316</x:v>
      </x:c>
      <x:c r="F11" s="8" t="inlineStr">
        <x:is>
          <x:t xml:space="preserve">No split</x:t>
        </x:is>
      </x:c>
      <x:c r="G11" s="8">
        <x:f>SUMIFS($D$6:$D$681,$A$6:$A$681,A11)</x:f>
        <x:v>0.1788</x:v>
      </x:c>
      <x:c r="H11" s="9">
        <x:f>1</x:f>
        <x:v>1</x:v>
      </x:c>
      <x:c r="I11" s="2" t="inlineStr">
        <x:is>
          <x:t xml:space="preserve">High</x:t>
        </x:is>
      </x:c>
      <x:c r="J11" s="2" t="inlineStr">
        <x:is>
          <x:t xml:space="preserve">Acanthurus xanthopterus reaches 70 cm TL and occurs in the Indo-Pacific. The broad taxon includes regional large-bodied fish and does not itself establish maximum TL &lt;=30 cm. The small-demersal classifier is reporting context, but an exclusion of larger members was not independently documented. No split is required.</x:t>
        </x:is>
      </x:c>
      <x:c r="K11" s="1"/>
    </x:row>
    <x:row r="12" ht="72" customHeight="1">
      <x:c r="A12" s="2" t="inlineStr">
        <x:is>
          <x:t xml:space="preserve">Acetes</x:t>
        </x:is>
      </x:c>
      <x:c r="B12" s="2" t="inlineStr">
        <x:is>
          <x:t xml:space="preserve">Zooplankton</x:t>
        </x:is>
      </x:c>
      <x:c r="C12" s="2">
        <x:v>3</x:v>
      </x:c>
      <x:c r="D12" s="8">
        <x:v>0.0948</x:v>
      </x:c>
      <x:c r="E12" s="8">
        <x:v>9.0</x:v>
      </x:c>
      <x:c r="F12" s="8" t="inlineStr">
        <x:is>
          <x:t xml:space="preserve">No split</x:t>
        </x:is>
      </x:c>
      <x:c r="G12" s="8">
        <x:f>SUMIFS($D$6:$D$681,$A$6:$A$681,A12)</x:f>
        <x:v>0.0948</x:v>
      </x:c>
      <x:c r="H12" s="9">
        <x:f>1</x:f>
        <x:v>1</x:v>
      </x:c>
      <x:c r="I12" s="2" t="inlineStr">
        <x:is>
          <x:t xml:space="preserve">High</x:t>
        </x:is>
      </x:c>
      <x:c r="J12" s="2" t="inlineStr">
        <x:is>
          <x:t xml:space="preserve">Acetes spp. catch is explicitly assigned to Zooplankton. Acetes belongs to that genus, overriding the shrimp-like common name. No split is required.</x:t>
        </x:is>
      </x:c>
      <x:c r="K12" s="1"/>
    </x:row>
    <x:row r="13" ht="72" customHeight="1">
      <x:c r="A13" s="2" t="inlineStr">
        <x:is>
          <x:t xml:space="preserve">Acetes japonicus</x:t>
        </x:is>
      </x:c>
      <x:c r="B13" s="2" t="inlineStr">
        <x:is>
          <x:t xml:space="preserve">Zooplankton</x:t>
        </x:is>
      </x:c>
      <x:c r="C13" s="2">
        <x:v>3</x:v>
      </x:c>
      <x:c r="D13" s="8">
        <x:v>0.0948</x:v>
      </x:c>
      <x:c r="E13" s="8">
        <x:v>9.0</x:v>
      </x:c>
      <x:c r="F13" s="8" t="inlineStr">
        <x:is>
          <x:t xml:space="preserve">No split</x:t>
        </x:is>
      </x:c>
      <x:c r="G13" s="8">
        <x:f>SUMIFS($D$6:$D$681,$A$6:$A$681,A13)</x:f>
        <x:v>0.0948</x:v>
      </x:c>
      <x:c r="H13" s="9">
        <x:f>1</x:f>
        <x:v>1</x:v>
      </x:c>
      <x:c r="I13" s="2" t="inlineStr">
        <x:is>
          <x:t xml:space="preserve">High</x:t>
        </x:is>
      </x:c>
      <x:c r="J13" s="2" t="inlineStr">
        <x:is>
          <x:t xml:space="preserve">Acetes spp. catch is explicitly assigned to Zooplankton. Acetes japonicus belongs to that genus, overriding the shrimp-like common name. No split is required.</x:t>
        </x:is>
      </x:c>
      <x:c r="K13" s="1"/>
    </x:row>
    <x:row r="14" ht="72" customHeight="1">
      <x:c r="A14" s="2" t="inlineStr">
        <x:is>
          <x:t xml:space="preserve">Acetes sibogae</x:t>
        </x:is>
      </x:c>
      <x:c r="B14" s="2" t="inlineStr">
        <x:is>
          <x:t xml:space="preserve">Zooplankton</x:t>
        </x:is>
      </x:c>
      <x:c r="C14" s="2">
        <x:v>3</x:v>
      </x:c>
      <x:c r="D14" s="8">
        <x:v>0.0948</x:v>
      </x:c>
      <x:c r="E14" s="8">
        <x:v>9.0</x:v>
      </x:c>
      <x:c r="F14" s="8" t="inlineStr">
        <x:is>
          <x:t xml:space="preserve">No split</x:t>
        </x:is>
      </x:c>
      <x:c r="G14" s="8">
        <x:f>SUMIFS($D$6:$D$681,$A$6:$A$681,A14)</x:f>
        <x:v>0.0948</x:v>
      </x:c>
      <x:c r="H14" s="9">
        <x:f>1</x:f>
        <x:v>1</x:v>
      </x:c>
      <x:c r="I14" s="2" t="inlineStr">
        <x:is>
          <x:t xml:space="preserve">High</x:t>
        </x:is>
      </x:c>
      <x:c r="J14" s="2" t="inlineStr">
        <x:is>
          <x:t xml:space="preserve">Acetes spp. catch is explicitly assigned to Zooplankton. Acetes sibogae belongs to that genus, overriding the shrimp-like common name. No split is required.</x:t>
        </x:is>
      </x:c>
      <x:c r="K14" s="1"/>
    </x:row>
    <x:row r="15" ht="80" customHeight="1">
      <x:c r="A15" s="2" t="inlineStr">
        <x:is>
          <x:t xml:space="preserve">Alepes</x:t>
        </x:is>
      </x:c>
      <x:c r="B15" s="2" t="inlineStr">
        <x:is>
          <x:t xml:space="preserve">Juvenile large pelagic fish</x:t>
        </x:is>
      </x:c>
      <x:c r="C15" s="2">
        <x:v>30</x:v>
      </x:c>
      <x:c r="D15" s="8">
        <x:v>0.7384</x:v>
      </x:c>
      <x:c r="E15" s="8">
        <x:v>0.289</x:v>
      </x:c>
      <x:c r="F15" s="8" t="inlineStr">
        <x:is>
          <x:t xml:space="preserve">Model catch</x:t>
        </x:is>
      </x:c>
      <x:c r="G15" s="8">
        <x:f>SUMIFS($D$6:$D$681,$A$6:$A$681,A15)</x:f>
        <x:v>0.8205</x:v>
      </x:c>
      <x:c r="H15" s="9">
        <x:f>D15/G15</x:f>
        <x:v>0.8999390615478366</x:v>
      </x:c>
      <x:c r="I15" s="2" t="inlineStr">
        <x:is>
          <x:t xml:space="preserve">Medium</x:t>
        </x:is>
      </x:c>
      <x:c r="J15" s="2" t="inlineStr">
        <x:is>
          <x:t xml:space="preserve">Alepes spans small species and larger A. vari; the catch label supplies no species composition. The adopted large-pelagic pair therefore does not establish containment of the whole genus. Model catch proportions provide the split; allocation confidence remains Medium.</x:t>
        </x:is>
      </x:c>
      <x:c r="K15" s="1"/>
    </x:row>
    <x:row r="16" ht="80" customHeight="1">
      <x:c r="A16" s="2" t="inlineStr">
        <x:is>
          <x:t xml:space="preserve">Alepes</x:t>
        </x:is>
      </x:c>
      <x:c r="B16" s="2" t="inlineStr">
        <x:is>
          <x:t xml:space="preserve">Pelagic fish (&gt; 30 cm)</x:t>
        </x:is>
      </x:c>
      <x:c r="C16" s="2">
        <x:v>31</x:v>
      </x:c>
      <x:c r="D16" s="8">
        <x:v>0.0821</x:v>
      </x:c>
      <x:c r="E16" s="8">
        <x:v>0.079</x:v>
      </x:c>
      <x:c r="F16" s="8" t="inlineStr">
        <x:is>
          <x:t xml:space="preserve">Model catch</x:t>
        </x:is>
      </x:c>
      <x:c r="G16" s="8">
        <x:f>SUMIFS($D$6:$D$681,$A$6:$A$681,A16)</x:f>
        <x:v>0.8205</x:v>
      </x:c>
      <x:c r="H16" s="9">
        <x:f>D16/G16</x:f>
        <x:v>0.1000609384521633</x:v>
      </x:c>
      <x:c r="I16" s="2" t="inlineStr">
        <x:is>
          <x:t xml:space="preserve">Medium</x:t>
        </x:is>
      </x:c>
      <x:c r="J16" s="2" t="inlineStr">
        <x:is>
          <x:t xml:space="preserve">Alepes spans small species and larger A. vari; the catch label supplies no species composition. The adopted large-pelagic pair therefore does not establish containment of the whole genus. Model catch proportions provide the split; allocation confidence remains Medium.</x:t>
        </x:is>
      </x:c>
      <x:c r="K16" s="1"/>
    </x:row>
    <x:row r="17" ht="80" customHeight="1">
      <x:c r="A17" s="2" t="inlineStr">
        <x:is>
          <x:t xml:space="preserve">Alopias</x:t>
        </x:is>
      </x:c>
      <x:c r="B17" s="2" t="inlineStr">
        <x:is>
          <x:t xml:space="preserve">Pelagic sharks and rays</x:t>
        </x:is>
      </x:c>
      <x:c r="C17" s="2">
        <x:v>33</x:v>
      </x:c>
      <x:c r="D17" s="8">
        <x:v>0.0007</x:v>
      </x:c>
      <x:c r="E17" s="8">
        <x:v>0.0011</x:v>
      </x:c>
      <x:c r="F17" s="8" t="inlineStr">
        <x:is>
          <x:t xml:space="preserve">No split</x:t>
        </x:is>
      </x:c>
      <x:c r="G17" s="8">
        <x:f>SUMIFS($D$6:$D$681,$A$6:$A$681,A17)</x:f>
        <x:v>0.0007</x:v>
      </x:c>
      <x:c r="H17" s="9">
        <x:f>1</x:f>
        <x:v>1</x:v>
      </x:c>
      <x:c r="I17" s="2" t="inlineStr">
        <x:is>
          <x:t xml:space="preserve">High</x:t>
        </x:is>
      </x:c>
      <x:c r="J17" s="2" t="inlineStr">
        <x:is>
          <x:t xml:space="preserve">All three inventory species are predominantly pelagic, supporting the current shark pool. A. superciliosus also uses near-bottom water; the source does not define an operational mixed-habitat boundary, so whole-genus exclusivity is not promoted to High. No split is required.</x:t>
        </x:is>
      </x:c>
      <x:c r="K17" s="1"/>
    </x:row>
    <x:row r="18" ht="80" customHeight="1">
      <x:c r="A18" s="2" t="inlineStr">
        <x:is>
          <x:t xml:space="preserve">Aluterus</x:t>
        </x:is>
      </x:c>
      <x:c r="B18" s="2" t="inlineStr">
        <x:is>
          <x:t xml:space="preserve">Juvenile demersal fish (&gt; 30 cm)</x:t>
        </x:is>
      </x:c>
      <x:c r="C18" s="2">
        <x:v>25</x:v>
      </x:c>
      <x:c r="D18" s="8">
        <x:v>0.3165</x:v>
      </x:c>
      <x:c r="E18" s="8">
        <x:v>0.143</x:v>
      </x:c>
      <x:c r="F18" s="8" t="inlineStr">
        <x:is>
          <x:t xml:space="preserve">Model catch</x:t>
        </x:is>
      </x:c>
      <x:c r="G18" s="8">
        <x:f>SUMIFS($D$6:$D$681,$A$6:$A$681,A18)</x:f>
        <x:v>0.3517</x:v>
      </x:c>
      <x:c r="H18" s="9">
        <x:f>D18/G18</x:f>
        <x:v>0.8999147000284333</x:v>
      </x:c>
      <x:c r="I18" s="2" t="inlineStr">
        <x:is>
          <x:t xml:space="preserve">Medium</x:t>
        </x:is>
      </x:c>
      <x:c r="J18" s="2" t="inlineStr">
        <x:is>
          <x:t xml:space="preserve">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x:t>
        </x:is>
      </x:c>
      <x:c r="K18" s="1"/>
    </x:row>
    <x:row r="19" ht="80" customHeight="1">
      <x:c r="A19" s="2" t="inlineStr">
        <x:is>
          <x:t xml:space="preserve">Aluterus</x:t>
        </x:is>
      </x:c>
      <x:c r="B19" s="2" t="inlineStr">
        <x:is>
          <x:t xml:space="preserve">Adult demersal fish (&gt; 30 cm)</x:t>
        </x:is>
      </x:c>
      <x:c r="C19" s="2">
        <x:v>26</x:v>
      </x:c>
      <x:c r="D19" s="8">
        <x:v>0.0352</x:v>
      </x:c>
      <x:c r="E19" s="8">
        <x:v>0.021</x:v>
      </x:c>
      <x:c r="F19" s="8" t="inlineStr">
        <x:is>
          <x:t xml:space="preserve">Model catch</x:t>
        </x:is>
      </x:c>
      <x:c r="G19" s="8">
        <x:f>SUMIFS($D$6:$D$681,$A$6:$A$681,A19)</x:f>
        <x:v>0.3517</x:v>
      </x:c>
      <x:c r="H19" s="9">
        <x:f>D19/G19</x:f>
        <x:v>0.1000852999715667</x:v>
      </x:c>
      <x:c r="I19" s="2" t="inlineStr">
        <x:is>
          <x:t xml:space="preserve">Medium</x:t>
        </x:is>
      </x:c>
      <x:c r="J19" s="2" t="inlineStr">
        <x:is>
          <x:t xml:space="preserve">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x:t>
        </x:is>
      </x:c>
      <x:c r="K19" s="1"/>
    </x:row>
    <x:row r="20" ht="80" customHeight="1">
      <x:c r="A20" s="2" t="inlineStr">
        <x:is>
          <x:t xml:space="preserve">Ambassidae</x:t>
        </x:is>
      </x:c>
      <x:c r="B20" s="2" t="inlineStr">
        <x:is>
          <x:t xml:space="preserve">Demesral fish (≤ 30 cm)</x:t>
        </x:is>
      </x:c>
      <x:c r="C20" s="2">
        <x:v>24</x:v>
      </x:c>
      <x:c r="D20" s="8">
        <x:v>0.1788</x:v>
      </x:c>
      <x:c r="E20" s="8">
        <x:v>0.316</x:v>
      </x:c>
      <x:c r="F20" s="8" t="inlineStr">
        <x:is>
          <x:t xml:space="preserve">No split</x:t>
        </x:is>
      </x:c>
      <x:c r="G20" s="8">
        <x:f>SUMIFS($D$6:$D$681,$A$6:$A$681,A20)</x:f>
        <x:v>0.1788</x:v>
      </x:c>
      <x:c r="H20" s="9">
        <x:f>1</x:f>
        <x:v>1</x:v>
      </x:c>
      <x:c r="I20" s="2" t="inlineStr">
        <x:is>
          <x:t xml:space="preserve">High</x:t>
        </x:is>
      </x:c>
      <x:c r="J20" s="2" t="inlineStr">
        <x:is>
          <x:t xml:space="preserve">The catch classifier and family ecology support a small reef/demersal interpretation after dedicated pools are excluded. No source reef compartment or complete regional family-by-size boundary was established; the ecological interpretation remains an assumption. No split is required.</x:t>
        </x:is>
      </x:c>
      <x:c r="K20" s="1"/>
    </x:row>
    <x:row r="21" ht="80" customHeight="1">
      <x:c r="A21" s="2" t="inlineStr">
        <x:is>
          <x:t xml:space="preserve">Amblygaster sirm</x:t>
        </x:is>
      </x:c>
      <x:c r="B21" s="2" t="inlineStr">
        <x:is>
          <x:t xml:space="preserve">Pelagic fish (≤ 30 cm)</x:t>
        </x:is>
      </x:c>
      <x:c r="C21" s="2">
        <x:v>29</x:v>
      </x:c>
      <x:c r="D21" s="8">
        <x:v>2.345</x:v>
      </x:c>
      <x:c r="E21" s="8">
        <x:v>1.772</x:v>
      </x:c>
      <x:c r="F21" s="8" t="inlineStr">
        <x:is>
          <x:t xml:space="preserve">No split</x:t>
        </x:is>
      </x:c>
      <x:c r="G21" s="8">
        <x:f>SUMIFS($D$6:$D$681,$A$6:$A$681,A21)</x:f>
        <x:v>2.345</x:v>
      </x:c>
      <x:c r="H21" s="9">
        <x:f>1</x:f>
        <x:v>1</x:v>
      </x:c>
      <x:c r="I21" s="2" t="inlineStr">
        <x:is>
          <x:t xml:space="preserve">High</x:t>
        </x:is>
      </x:c>
      <x:c r="J21" s="2" t="inlineStr">
        <x:is>
          <x:t xml:space="preserve">Pelagic ecology is supported, but maximum 27 cm SL lies near the model 30 cm TL boundary. A verified conversion or same-metric maximum is needed before excluding the large-pelagic pair. Checked species record: 27 cm SL; Marine; brackish;  reef-associated;. No split is required.</x:t>
        </x:is>
      </x:c>
      <x:c r="K21" s="1"/>
    </x:row>
    <x:row r="22" ht="72" customHeight="1">
      <x:c r="A22" s="2" t="inlineStr">
        <x:is>
          <x:t xml:space="preserve">Amusium pleuronectes</x:t>
        </x:is>
      </x:c>
      <x:c r="B22" s="2" t="inlineStr">
        <x:is>
          <x:t xml:space="preserve">Non-ceph molluscs</x:t>
        </x:is>
      </x:c>
      <x:c r="C22" s="2">
        <x:v>8</x:v>
      </x:c>
      <x:c r="D22" s="8">
        <x:v>0.7623</x:v>
      </x:c>
      <x:c r="E22" s="8">
        <x:v>2.68</x:v>
      </x:c>
      <x:c r="F22" s="8" t="inlineStr">
        <x:is>
          <x:t xml:space="preserve">No split</x:t>
        </x:is>
      </x:c>
      <x:c r="G22" s="8">
        <x:f>SUMIFS($D$6:$D$681,$A$6:$A$681,A22)</x:f>
        <x:v>0.7623</x:v>
      </x:c>
      <x:c r="H22" s="9">
        <x:f>1</x:f>
        <x:v>1</x:v>
      </x:c>
      <x:c r="I22" s="2" t="inlineStr">
        <x:is>
          <x:t xml:space="preserve">High</x:t>
        </x:is>
      </x:c>
      <x:c r="J22" s="2" t="inlineStr">
        <x:is>
          <x:t xml:space="preserve">Amusium pleuronectes is a non-cephalopod mollusc. The source derives this catch by removing Cephalopoda from mollusc catch; no competing mollusc compartment contains this lineage. No split is required.</x:t>
        </x:is>
      </x:c>
      <x:c r="K22" s="1"/>
    </x:row>
    <x:row r="23" ht="96" customHeight="1">
      <x:c r="A23" s="2" t="inlineStr">
        <x:is>
          <x:t xml:space="preserve">Anguilliformes</x:t>
        </x:is>
      </x:c>
      <x:c r="B23" s="2" t="inlineStr">
        <x:is>
          <x:t xml:space="preserve">Juvenile demersal fish (&gt; 30 cm)</x:t>
        </x:is>
      </x:c>
      <x:c r="C23" s="2">
        <x:v>25</x:v>
      </x:c>
      <x:c r="D23" s="8">
        <x:v>0.3165</x:v>
      </x:c>
      <x:c r="E23" s="8">
        <x:v>0.143</x:v>
      </x:c>
      <x:c r="F23" s="8" t="inlineStr">
        <x:is>
          <x:t xml:space="preserve">Model catch</x:t>
        </x:is>
      </x:c>
      <x:c r="G23" s="8">
        <x:f>SUMIFS($D$6:$D$681,$A$6:$A$681,A23)</x:f>
        <x:v>0.3517</x:v>
      </x:c>
      <x:c r="H23" s="9">
        <x:f>D23/G23</x:f>
        <x:v>0.8999147000284333</x:v>
      </x:c>
      <x:c r="I23" s="2" t="inlineStr">
        <x:is>
          <x:t xml:space="preserve">Medium</x:t>
        </x:is>
      </x:c>
      <x:c r="J23" s="2" t="inlineStr">
        <x:is>
          <x:t xml:space="preserve">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x:t>
        </x:is>
      </x:c>
      <x:c r="K23" s="1"/>
    </x:row>
    <x:row r="24" ht="96" customHeight="1">
      <x:c r="A24" s="2" t="inlineStr">
        <x:is>
          <x:t xml:space="preserve">Anguilliformes</x:t>
        </x:is>
      </x:c>
      <x:c r="B24" s="2" t="inlineStr">
        <x:is>
          <x:t xml:space="preserve">Adult demersal fish (&gt; 30 cm)</x:t>
        </x:is>
      </x:c>
      <x:c r="C24" s="2">
        <x:v>26</x:v>
      </x:c>
      <x:c r="D24" s="8">
        <x:v>0.0352</x:v>
      </x:c>
      <x:c r="E24" s="8">
        <x:v>0.021</x:v>
      </x:c>
      <x:c r="F24" s="8" t="inlineStr">
        <x:is>
          <x:t xml:space="preserve">Model catch</x:t>
        </x:is>
      </x:c>
      <x:c r="G24" s="8">
        <x:f>SUMIFS($D$6:$D$681,$A$6:$A$681,A24)</x:f>
        <x:v>0.3517</x:v>
      </x:c>
      <x:c r="H24" s="9">
        <x:f>D24/G24</x:f>
        <x:v>0.1000852999715667</x:v>
      </x:c>
      <x:c r="I24" s="2" t="inlineStr">
        <x:is>
          <x:t xml:space="preserve">Medium</x:t>
        </x:is>
      </x:c>
      <x:c r="J24" s="2" t="inlineStr">
        <x:is>
          <x:t xml:space="preserve">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x:t>
        </x:is>
      </x:c>
      <x:c r="K24" s="1"/>
    </x:row>
    <x:row r="25" ht="96" customHeight="1">
      <x:c r="A25" s="2" t="inlineStr">
        <x:is>
          <x:t xml:space="preserve">Anodontostoma chacunda</x:t>
        </x:is>
      </x:c>
      <x:c r="B25" s="2" t="inlineStr">
        <x:is>
          <x:t xml:space="preserve">Pelagic fish (≤ 30 cm)</x:t>
        </x:is>
      </x:c>
      <x:c r="C25" s="2">
        <x:v>29</x:v>
      </x:c>
      <x:c r="D25" s="8">
        <x:v>2.345</x:v>
      </x:c>
      <x:c r="E25" s="8">
        <x:v>1.772</x:v>
      </x:c>
      <x:c r="F25" s="8" t="inlineStr">
        <x:is>
          <x:t xml:space="preserve">No split</x:t>
        </x:is>
      </x:c>
      <x:c r="G25" s="8">
        <x:f>SUMIFS($D$6:$D$681,$A$6:$A$681,A25)</x:f>
        <x:v>2.345</x:v>
      </x:c>
      <x:c r="H25" s="9">
        <x:f>1</x:f>
        <x:v>1</x:v>
      </x:c>
      <x:c r="I25" s="2" t="inlineStr">
        <x:is>
          <x:t xml:space="preserve">High</x:t>
        </x:is>
      </x:c>
      <x:c r="J25" s="2" t="inlineStr">
        <x:is>
          <x:t xml:space="preserve">Coastal-pelagic ecology and small size support the current pool. Retrieved maximum length is SL, not TL; no independent total-length bound/conversion was recovered, so the model TL criterion remains a supported inference. Checked species record: 22 cm SL; Marine; freshwater; brackish;  pelagic-neritic; anadromous. No split is required.</x:t>
        </x:is>
      </x:c>
      <x:c r="K25" s="1"/>
    </x:row>
    <x:row r="26" ht="80" customHeight="1">
      <x:c r="A26" s="2" t="inlineStr">
        <x:is>
          <x:t xml:space="preserve">Apogonidae</x:t>
        </x:is>
      </x:c>
      <x:c r="B26" s="2" t="inlineStr">
        <x:is>
          <x:t xml:space="preserve">Demesral fish (≤ 30 cm)</x:t>
        </x:is>
      </x:c>
      <x:c r="C26" s="2">
        <x:v>24</x:v>
      </x:c>
      <x:c r="D26" s="8">
        <x:v>0.1788</x:v>
      </x:c>
      <x:c r="E26" s="8">
        <x:v>0.316</x:v>
      </x:c>
      <x:c r="F26" s="8" t="inlineStr">
        <x:is>
          <x:t xml:space="preserve">No split</x:t>
        </x:is>
      </x:c>
      <x:c r="G26" s="8">
        <x:f>SUMIFS($D$6:$D$681,$A$6:$A$681,A26)</x:f>
        <x:v>0.1788</x:v>
      </x:c>
      <x:c r="H26" s="9">
        <x:f>1</x:f>
        <x:v>1</x:v>
      </x:c>
      <x:c r="I26" s="2" t="inlineStr">
        <x:is>
          <x:t xml:space="preserve">High</x:t>
        </x:is>
      </x:c>
      <x:c r="J26" s="2" t="inlineStr">
        <x:is>
          <x:t xml:space="preserve">The catch classifier and family ecology support a small reef/demersal interpretation after dedicated pools are excluded. No source reef compartment or complete regional family-by-size boundary was established; the ecological interpretation remains an assumption. No split is required.</x:t>
        </x:is>
      </x:c>
      <x:c r="K26" s="1"/>
    </x:row>
    <x:row r="27" ht="72" customHeight="1">
      <x:c r="A27" s="2" t="inlineStr">
        <x:is>
          <x:t xml:space="preserve">Apostichopus japonicus</x:t>
        </x:is>
      </x:c>
      <x:c r="B27" s="2" t="inlineStr">
        <x:is>
          <x:t xml:space="preserve">Echinoderms</x:t>
        </x:is>
      </x:c>
      <x:c r="C27" s="2">
        <x:v>6</x:v>
      </x:c>
      <x:c r="D27" s="8">
        <x:v>0.0021</x:v>
      </x:c>
      <x:c r="E27" s="8">
        <x:v>1.98</x:v>
      </x:c>
      <x:c r="F27" s="8" t="inlineStr">
        <x:is>
          <x:t xml:space="preserve">No split</x:t>
        </x:is>
      </x:c>
      <x:c r="G27" s="8">
        <x:f>SUMIFS($D$6:$D$681,$A$6:$A$681,A27)</x:f>
        <x:v>0.0021</x:v>
      </x:c>
      <x:c r="H27" s="9">
        <x:f>1</x:f>
        <x:v>1</x:v>
      </x:c>
      <x:c r="I27" s="2" t="inlineStr">
        <x:is>
          <x:t xml:space="preserve">High</x:t>
        </x:is>
      </x:c>
      <x:c r="J27" s="2" t="inlineStr">
        <x:is>
          <x:t xml:space="preserve">Apostichopus japonicus is within Echinodermata, represented by one source compartment without competing size/stage pools. No split is required.</x:t>
        </x:is>
      </x:c>
      <x:c r="K27" s="1"/>
    </x:row>
    <x:row r="28" ht="96" customHeight="1">
      <x:c r="A28" s="2" t="inlineStr">
        <x:is>
          <x:t xml:space="preserve">Ariidae</x:t>
        </x:is>
      </x:c>
      <x:c r="B28" s="2" t="inlineStr">
        <x:is>
          <x:t xml:space="preserve">Demesral fish (≤ 30 cm)</x:t>
        </x:is>
      </x:c>
      <x:c r="C28" s="2">
        <x:v>24</x:v>
      </x:c>
      <x:c r="D28" s="8">
        <x:v>0.1788</x:v>
      </x:c>
      <x:c r="E28" s="8">
        <x:v>0.316</x:v>
      </x:c>
      <x:c r="F28" s="8" t="inlineStr">
        <x:is>
          <x:t xml:space="preserve">Model catch</x:t>
        </x:is>
      </x:c>
      <x:c r="G28" s="8">
        <x:f>SUMIFS($D$6:$D$681,$A$6:$A$681,A28)</x:f>
        <x:v>0.5305</x:v>
      </x:c>
      <x:c r="H28" s="9">
        <x:f>D28/G28</x:f>
        <x:v>0.33704052780395855</x:v>
      </x:c>
      <x:c r="I28" s="2" t="inlineStr">
        <x:is>
          <x:t xml:space="preserve">Medium</x:t>
        </x:is>
      </x:c>
      <x:c r="J28" s="2" t="inlineStr">
        <x:is>
          <x:t xml:space="preserve">Regional demersal Arius venosus (30 cm TL) and Netuma thalassina (&gt;30 cm TL) establish both species-size classes. The eligible regional marine set is inferred from these representative taxa; the provider label does not document exclusion of the small member. Source-model catch proportions supply an assumed fixed 1950–2019/all-bases mixture; they are not observed taxon-specific catches.</x:t>
        </x:is>
      </x:c>
      <x:c r="K28" s="1"/>
    </x:row>
    <x:row r="29" ht="96" customHeight="1">
      <x:c r="A29" s="2" t="inlineStr">
        <x:is>
          <x:t xml:space="preserve">Ariidae</x:t>
        </x:is>
      </x:c>
      <x:c r="B29" s="2" t="inlineStr">
        <x:is>
          <x:t xml:space="preserve">Juvenile demersal fish (&gt; 30 cm)</x:t>
        </x:is>
      </x:c>
      <x:c r="C29" s="2">
        <x:v>25</x:v>
      </x:c>
      <x:c r="D29" s="8">
        <x:v>0.3165</x:v>
      </x:c>
      <x:c r="E29" s="8">
        <x:v>0.143</x:v>
      </x:c>
      <x:c r="F29" s="8" t="inlineStr">
        <x:is>
          <x:t xml:space="preserve">Model catch</x:t>
        </x:is>
      </x:c>
      <x:c r="G29" s="8">
        <x:f>SUMIFS($D$6:$D$681,$A$6:$A$681,A29)</x:f>
        <x:v>0.5305</x:v>
      </x:c>
      <x:c r="H29" s="9">
        <x:f>D29/G29</x:f>
        <x:v>0.5966069745523092</x:v>
      </x:c>
      <x:c r="I29" s="2" t="inlineStr">
        <x:is>
          <x:t xml:space="preserve">Medium</x:t>
        </x:is>
      </x:c>
      <x:c r="J29" s="2" t="inlineStr">
        <x:is>
          <x:t xml:space="preserve">Regional demersal Arius venosus (30 cm TL) and Netuma thalassina (&gt;30 cm TL) establish both species-size classes. The eligible regional marine set is inferred from these representative taxa; the provider label does not document exclusion of the small member. Source-model catch proportions supply an assumed fixed 1950–2019/all-bases mixture; they are not observed taxon-specific catches.</x:t>
        </x:is>
      </x:c>
      <x:c r="K29" s="1"/>
    </x:row>
    <x:row r="30" ht="96" customHeight="1">
      <x:c r="A30" s="2" t="inlineStr">
        <x:is>
          <x:t xml:space="preserve">Ariidae</x:t>
        </x:is>
      </x:c>
      <x:c r="B30" s="2" t="inlineStr">
        <x:is>
          <x:t xml:space="preserve">Adult demersal fish (&gt; 30 cm)</x:t>
        </x:is>
      </x:c>
      <x:c r="C30" s="2">
        <x:v>26</x:v>
      </x:c>
      <x:c r="D30" s="8">
        <x:v>0.0352</x:v>
      </x:c>
      <x:c r="E30" s="8">
        <x:v>0.021</x:v>
      </x:c>
      <x:c r="F30" s="8" t="inlineStr">
        <x:is>
          <x:t xml:space="preserve">Model catch</x:t>
        </x:is>
      </x:c>
      <x:c r="G30" s="8">
        <x:f>SUMIFS($D$6:$D$681,$A$6:$A$681,A30)</x:f>
        <x:v>0.5305</x:v>
      </x:c>
      <x:c r="H30" s="9">
        <x:f>D30/G30</x:f>
        <x:v>0.06635249764373234</x:v>
      </x:c>
      <x:c r="I30" s="2" t="inlineStr">
        <x:is>
          <x:t xml:space="preserve">Medium</x:t>
        </x:is>
      </x:c>
      <x:c r="J30" s="2" t="inlineStr">
        <x:is>
          <x:t xml:space="preserve">Regional demersal Arius venosus (30 cm TL) and Netuma thalassina (&gt;30 cm TL) establish both species-size classes. The eligible regional marine set is inferred from these representative taxa; the provider label does not document exclusion of the small member. Source-model catch proportions supply an assumed fixed 1950–2019/all-bases mixture; they are not observed taxon-specific catches.</x:t>
        </x:is>
      </x:c>
      <x:c r="K30" s="1"/>
    </x:row>
    <x:row r="31" ht="80" customHeight="1">
      <x:c r="A31" s="2" t="inlineStr">
        <x:is>
          <x:t xml:space="preserve">Ariomma indica</x:t>
        </x:is>
      </x:c>
      <x:c r="B31" s="2" t="inlineStr">
        <x:is>
          <x:t xml:space="preserve">Benthopelagic fish</x:t>
        </x:is>
      </x:c>
      <x:c r="C31" s="2">
        <x:v>27</x:v>
      </x:c>
      <x:c r="D31" s="8">
        <x:v>0.6025</x:v>
      </x:c>
      <x:c r="E31" s="8">
        <x:v>0.922</x:v>
      </x:c>
      <x:c r="F31" s="8" t="inlineStr">
        <x:is>
          <x:t xml:space="preserve">No split</x:t>
        </x:is>
      </x:c>
      <x:c r="G31" s="8">
        <x:f>SUMIFS($D$6:$D$681,$A$6:$A$681,A31)</x:f>
        <x:v>0.6025</x:v>
      </x:c>
      <x:c r="H31" s="9">
        <x:f>1</x:f>
        <x:v>1</x:v>
      </x:c>
      <x:c r="I31" s="2" t="inlineStr">
        <x:is>
          <x:t xml:space="preserve">High</x:t>
        </x:is>
      </x:c>
      <x:c r="J31" s="2" t="inlineStr">
        <x:is>
          <x:t xml:space="preserve">Its bottom-by-day/water-column-at-night behavior supports benthopelagic placement and excludes a casual 'pomfret' transfer to Stromateidae or Psenopsis. However, the available maximum is 25 cm SL, notTL; it cannot establish the≤ 30 cm TL class that most closely matches final 27's parameters. No split is required.</x:t>
        </x:is>
      </x:c>
      <x:c r="K31" s="1"/>
    </x:row>
    <x:row r="32" ht="96" customHeight="1">
      <x:c r="A32" s="2" t="inlineStr">
        <x:is>
          <x:t xml:space="preserve">Atrobucca nibe</x:t>
        </x:is>
      </x:c>
      <x:c r="B32" s="2" t="inlineStr">
        <x:is>
          <x:t xml:space="preserve">Juvenile large croakers</x:t>
        </x:is>
      </x:c>
      <x:c r="C32" s="2">
        <x:v>22</x:v>
      </x:c>
      <x:c r="D32" s="8">
        <x:v>0.071</x:v>
      </x:c>
      <x:c r="E32" s="8">
        <x:v>0.04</x:v>
      </x:c>
      <x:c r="F32" s="8" t="inlineStr">
        <x:is>
          <x:t xml:space="preserve">Model catch</x:t>
        </x:is>
      </x:c>
      <x:c r="G32" s="8">
        <x:f>SUMIFS($D$6:$D$681,$A$6:$A$681,A32)</x:f>
        <x:v>0.07899999999999999</x:v>
      </x:c>
      <x:c r="H32" s="9">
        <x:f>D32/G32</x:f>
        <x:v>0.8987341772151899</x:v>
      </x:c>
      <x:c r="I32" s="2" t="inlineStr">
        <x:is>
          <x:t xml:space="preserve">Medium</x:t>
        </x:is>
      </x:c>
      <x:c r="J32" s="2" t="inlineStr">
        <x:is>
          <x:t xml:space="preserve">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x:t>
        </x:is>
      </x:c>
      <x:c r="K32" s="1"/>
    </x:row>
    <x:row r="33" ht="96" customHeight="1">
      <x:c r="A33" s="2" t="inlineStr">
        <x:is>
          <x:t xml:space="preserve">Atrobucca nibe</x:t>
        </x:is>
      </x:c>
      <x:c r="B33" s="2" t="inlineStr">
        <x:is>
          <x:t xml:space="preserve">Croakers (&gt; 30 cm)</x:t>
        </x:is>
      </x:c>
      <x:c r="C33" s="2">
        <x:v>23</x:v>
      </x:c>
      <x:c r="D33" s="8">
        <x:v>0.008</x:v>
      </x:c>
      <x:c r="E33" s="8">
        <x:v>0.0094</x:v>
      </x:c>
      <x:c r="F33" s="8" t="inlineStr">
        <x:is>
          <x:t xml:space="preserve">Model catch</x:t>
        </x:is>
      </x:c>
      <x:c r="G33" s="8">
        <x:f>SUMIFS($D$6:$D$681,$A$6:$A$681,A33)</x:f>
        <x:v>0.07899999999999999</x:v>
      </x:c>
      <x:c r="H33" s="9">
        <x:f>D33/G33</x:f>
        <x:v>0.1012658227848101</x:v>
      </x:c>
      <x:c r="I33" s="2" t="inlineStr">
        <x:is>
          <x:t xml:space="preserve">Medium</x:t>
        </x:is>
      </x:c>
      <x:c r="J33" s="2" t="inlineStr">
        <x:is>
          <x:t xml:space="preserve">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x:t>
        </x:is>
      </x:c>
      <x:c r="K33" s="1"/>
    </x:row>
    <x:row r="34" ht="80" customHeight="1">
      <x:c r="A34" s="2" t="inlineStr">
        <x:is>
          <x:t xml:space="preserve">Atule mate</x:t>
        </x:is>
      </x:c>
      <x:c r="B34" s="2" t="inlineStr">
        <x:is>
          <x:t xml:space="preserve">Pelagic fish (≤ 30 cm)</x:t>
        </x:is>
      </x:c>
      <x:c r="C34" s="2">
        <x:v>29</x:v>
      </x:c>
      <x:c r="D34" s="8">
        <x:v>2.345</x:v>
      </x:c>
      <x:c r="E34" s="8">
        <x:v>1.772</x:v>
      </x:c>
      <x:c r="F34" s="8" t="inlineStr">
        <x:is>
          <x:t xml:space="preserve">No split</x:t>
        </x:is>
      </x:c>
      <x:c r="G34" s="8">
        <x:f>SUMIFS($D$6:$D$681,$A$6:$A$681,A34)</x:f>
        <x:v>2.345</x:v>
      </x:c>
      <x:c r="H34" s="9">
        <x:f>1</x:f>
        <x:v>1</x:v>
      </x:c>
      <x:c r="I34" s="2" t="inlineStr">
        <x:is>
          <x:t xml:space="preserve">High</x:t>
        </x:is>
      </x:c>
      <x:c r="J34" s="2" t="inlineStr">
        <x:is>
          <x:t xml:space="preserve">Species Biology establishes epipelagic/pelagic activity despite a coarse reef-associated tag, and verified maximum TL is at or below the inclusive 30 cm boundary. No dedicated pool competes. Checked species record: 30 cm TL; Marine; brackish;  reef-associated;. No split is required.</x:t>
        </x:is>
      </x:c>
      <x:c r="K34" s="1"/>
    </x:row>
    <x:row r="35" ht="80" customHeight="1">
      <x:c r="A35" s="2" t="inlineStr">
        <x:is>
          <x:t xml:space="preserve">Auxis</x:t>
        </x:is>
      </x:c>
      <x:c r="B35" s="2" t="inlineStr">
        <x:is>
          <x:t xml:space="preserve">Juvenile large pelagic fish</x:t>
        </x:is>
      </x:c>
      <x:c r="C35" s="2">
        <x:v>30</x:v>
      </x:c>
      <x:c r="D35" s="8">
        <x:v>0.7384</x:v>
      </x:c>
      <x:c r="E35" s="8">
        <x:v>0.289</x:v>
      </x:c>
      <x:c r="F35" s="8" t="inlineStr">
        <x:is>
          <x:t xml:space="preserve">Model catch</x:t>
        </x:is>
      </x:c>
      <x:c r="G35" s="8">
        <x:f>SUMIFS($D$6:$D$681,$A$6:$A$681,A35)</x:f>
        <x:v>0.8205</x:v>
      </x:c>
      <x:c r="H35" s="9">
        <x:f>D35/G35</x:f>
        <x:v>0.8999390615478366</x:v>
      </x:c>
      <x:c r="I35" s="2" t="inlineStr">
        <x:is>
          <x:t xml:space="preserve">Medium</x:t>
        </x:is>
      </x:c>
      <x:c r="J35" s="2" t="inlineStr">
        <x:is>
          <x:t xml:space="preserve">Both regional Auxis species are epipelagic and have maxima above 30 cm. Their combined juvenile/adult large-pelagic eligibility is supported even though the catch age mixture is unknown. Model catch proportions provide the split; allocation confidence remains Medium.</x:t>
        </x:is>
      </x:c>
      <x:c r="K35" s="1"/>
    </x:row>
    <x:row r="36" ht="80" customHeight="1">
      <x:c r="A36" s="2" t="inlineStr">
        <x:is>
          <x:t xml:space="preserve">Auxis</x:t>
        </x:is>
      </x:c>
      <x:c r="B36" s="2" t="inlineStr">
        <x:is>
          <x:t xml:space="preserve">Pelagic fish (&gt; 30 cm)</x:t>
        </x:is>
      </x:c>
      <x:c r="C36" s="2">
        <x:v>31</x:v>
      </x:c>
      <x:c r="D36" s="8">
        <x:v>0.0821</x:v>
      </x:c>
      <x:c r="E36" s="8">
        <x:v>0.079</x:v>
      </x:c>
      <x:c r="F36" s="8" t="inlineStr">
        <x:is>
          <x:t xml:space="preserve">Model catch</x:t>
        </x:is>
      </x:c>
      <x:c r="G36" s="8">
        <x:f>SUMIFS($D$6:$D$681,$A$6:$A$681,A36)</x:f>
        <x:v>0.8205</x:v>
      </x:c>
      <x:c r="H36" s="9">
        <x:f>D36/G36</x:f>
        <x:v>0.1000609384521633</x:v>
      </x:c>
      <x:c r="I36" s="2" t="inlineStr">
        <x:is>
          <x:t xml:space="preserve">Medium</x:t>
        </x:is>
      </x:c>
      <x:c r="J36" s="2" t="inlineStr">
        <x:is>
          <x:t xml:space="preserve">Both regional Auxis species are epipelagic and have maxima above 30 cm. Their combined juvenile/adult large-pelagic eligibility is supported even though the catch age mixture is unknown. Model catch proportions provide the split; allocation confidence remains Medium.</x:t>
        </x:is>
      </x:c>
      <x:c r="K36" s="1"/>
    </x:row>
    <x:row r="37" ht="128" customHeight="1">
      <x:c r="A37" s="2" t="inlineStr">
        <x:is>
          <x:t xml:space="preserve">Auxis rochei</x:t>
        </x:is>
      </x:c>
      <x:c r="B37" s="2" t="inlineStr">
        <x:is>
          <x:t xml:space="preserve">Juvenile large pelagic fish</x:t>
        </x:is>
      </x:c>
      <x:c r="C37" s="2">
        <x:v>30</x:v>
      </x:c>
      <x:c r="D37" s="8">
        <x:v>0.7384</x:v>
      </x:c>
      <x:c r="E37" s="8">
        <x:v>0.289</x:v>
      </x:c>
      <x:c r="F37" s="8" t="inlineStr">
        <x:is>
          <x:t xml:space="preserve">Model catch</x:t>
        </x:is>
      </x:c>
      <x:c r="G37" s="8">
        <x:f>SUMIFS($D$6:$D$681,$A$6:$A$681,A37)</x:f>
        <x:v>0.8205</x:v>
      </x:c>
      <x:c r="H37" s="9">
        <x:f>D37/G37</x:f>
        <x:v>0.8999390615478366</x:v>
      </x:c>
      <x:c r="I37" s="2" t="inlineStr">
        <x:is>
          <x:t xml:space="preserve">Medium</x:t>
        </x:is>
      </x:c>
      <x:c r="J3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x:t>
        </x:is>
      </x:c>
      <x:c r="K37" s="1"/>
    </x:row>
    <x:row r="38" ht="128" customHeight="1">
      <x:c r="A38" s="2" t="inlineStr">
        <x:is>
          <x:t xml:space="preserve">Auxis rochei</x:t>
        </x:is>
      </x:c>
      <x:c r="B38" s="2" t="inlineStr">
        <x:is>
          <x:t xml:space="preserve">Pelagic fish (&gt; 30 cm)</x:t>
        </x:is>
      </x:c>
      <x:c r="C38" s="2">
        <x:v>31</x:v>
      </x:c>
      <x:c r="D38" s="8">
        <x:v>0.0821</x:v>
      </x:c>
      <x:c r="E38" s="8">
        <x:v>0.079</x:v>
      </x:c>
      <x:c r="F38" s="8" t="inlineStr">
        <x:is>
          <x:t xml:space="preserve">Model catch</x:t>
        </x:is>
      </x:c>
      <x:c r="G38" s="8">
        <x:f>SUMIFS($D$6:$D$681,$A$6:$A$681,A38)</x:f>
        <x:v>0.8205</x:v>
      </x:c>
      <x:c r="H38" s="9">
        <x:f>D38/G38</x:f>
        <x:v>0.1000609384521633</x:v>
      </x:c>
      <x:c r="I38" s="2" t="inlineStr">
        <x:is>
          <x:t xml:space="preserve">Medium</x:t>
        </x:is>
      </x:c>
      <x:c r="J38"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x:t>
        </x:is>
      </x:c>
      <x:c r="K38" s="1"/>
    </x:row>
    <x:row r="39" ht="128" customHeight="1">
      <x:c r="A39" s="2" t="inlineStr">
        <x:is>
          <x:t xml:space="preserve">Auxis thazard</x:t>
        </x:is>
      </x:c>
      <x:c r="B39" s="2" t="inlineStr">
        <x:is>
          <x:t xml:space="preserve">Juvenile large pelagic fish</x:t>
        </x:is>
      </x:c>
      <x:c r="C39" s="2">
        <x:v>30</x:v>
      </x:c>
      <x:c r="D39" s="8">
        <x:v>0.7384</x:v>
      </x:c>
      <x:c r="E39" s="8">
        <x:v>0.289</x:v>
      </x:c>
      <x:c r="F39" s="8" t="inlineStr">
        <x:is>
          <x:t xml:space="preserve">Model catch</x:t>
        </x:is>
      </x:c>
      <x:c r="G39" s="8">
        <x:f>SUMIFS($D$6:$D$681,$A$6:$A$681,A39)</x:f>
        <x:v>0.8205</x:v>
      </x:c>
      <x:c r="H39" s="9">
        <x:f>D39/G39</x:f>
        <x:v>0.8999390615478366</x:v>
      </x:c>
      <x:c r="I39" s="2" t="inlineStr">
        <x:is>
          <x:t xml:space="preserve">Medium</x:t>
        </x:is>
      </x:c>
      <x:c r="J39"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x:t>
        </x:is>
      </x:c>
      <x:c r="K39" s="1"/>
    </x:row>
    <x:row r="40" ht="128" customHeight="1">
      <x:c r="A40" s="2" t="inlineStr">
        <x:is>
          <x:t xml:space="preserve">Auxis thazard</x:t>
        </x:is>
      </x:c>
      <x:c r="B40" s="2" t="inlineStr">
        <x:is>
          <x:t xml:space="preserve">Pelagic fish (&gt; 30 cm)</x:t>
        </x:is>
      </x:c>
      <x:c r="C40" s="2">
        <x:v>31</x:v>
      </x:c>
      <x:c r="D40" s="8">
        <x:v>0.0821</x:v>
      </x:c>
      <x:c r="E40" s="8">
        <x:v>0.079</x:v>
      </x:c>
      <x:c r="F40" s="8" t="inlineStr">
        <x:is>
          <x:t xml:space="preserve">Model catch</x:t>
        </x:is>
      </x:c>
      <x:c r="G40" s="8">
        <x:f>SUMIFS($D$6:$D$681,$A$6:$A$681,A40)</x:f>
        <x:v>0.8205</x:v>
      </x:c>
      <x:c r="H40" s="9">
        <x:f>D40/G40</x:f>
        <x:v>0.1000609384521633</x:v>
      </x:c>
      <x:c r="I40" s="2" t="inlineStr">
        <x:is>
          <x:t xml:space="preserve">Medium</x:t>
        </x:is>
      </x:c>
      <x:c r="J40"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x:t>
        </x:is>
      </x:c>
      <x:c r="K40" s="1"/>
    </x:row>
    <x:row r="41" ht="96" customHeight="1">
      <x:c r="A41" s="2" t="inlineStr">
        <x:is>
          <x:t xml:space="preserve">Balistidae</x:t>
        </x:is>
      </x:c>
      <x:c r="B41" s="2" t="inlineStr">
        <x:is>
          <x:t xml:space="preserve">Demesral fish (≤ 30 cm)</x:t>
        </x:is>
      </x:c>
      <x:c r="C41" s="2">
        <x:v>24</x:v>
      </x:c>
      <x:c r="D41" s="8">
        <x:v>0.1788</x:v>
      </x:c>
      <x:c r="E41" s="8">
        <x:v>0.316</x:v>
      </x:c>
      <x:c r="F41" s="8" t="inlineStr">
        <x:is>
          <x:t xml:space="preserve">Model catch</x:t>
        </x:is>
      </x:c>
      <x:c r="G41" s="8">
        <x:f>SUMIFS($D$6:$D$681,$A$6:$A$681,A41)</x:f>
        <x:v>0.5305</x:v>
      </x:c>
      <x:c r="H41" s="9">
        <x:f>D41/G41</x:f>
        <x:v>0.33704052780395855</x:v>
      </x:c>
      <x:c r="I41" s="2" t="inlineStr">
        <x:is>
          <x:t xml:space="preserve">Medium</x:t>
        </x:is>
      </x:c>
      <x:c r="J41" s="2" t="inlineStr">
        <x:is>
          <x:t xml:space="preserve">Regional bottom-associated Rhinecanthus verrucosus (23 cm TL) and larger triggerfishes require small plus large demersal species pools. Composition and ecological extension to the marine reporting family remain assumed. Source-model catch proportions supply an assumed fixed 1950–2019/all-bases mixture; they are not observed taxon-specific catches.</x:t>
        </x:is>
      </x:c>
      <x:c r="K41" s="1"/>
    </x:row>
    <x:row r="42" ht="96" customHeight="1">
      <x:c r="A42" s="2" t="inlineStr">
        <x:is>
          <x:t xml:space="preserve">Balistidae</x:t>
        </x:is>
      </x:c>
      <x:c r="B42" s="2" t="inlineStr">
        <x:is>
          <x:t xml:space="preserve">Juvenile demersal fish (&gt; 30 cm)</x:t>
        </x:is>
      </x:c>
      <x:c r="C42" s="2">
        <x:v>25</x:v>
      </x:c>
      <x:c r="D42" s="8">
        <x:v>0.3165</x:v>
      </x:c>
      <x:c r="E42" s="8">
        <x:v>0.143</x:v>
      </x:c>
      <x:c r="F42" s="8" t="inlineStr">
        <x:is>
          <x:t xml:space="preserve">Model catch</x:t>
        </x:is>
      </x:c>
      <x:c r="G42" s="8">
        <x:f>SUMIFS($D$6:$D$681,$A$6:$A$681,A42)</x:f>
        <x:v>0.5305</x:v>
      </x:c>
      <x:c r="H42" s="9">
        <x:f>D42/G42</x:f>
        <x:v>0.5966069745523092</x:v>
      </x:c>
      <x:c r="I42" s="2" t="inlineStr">
        <x:is>
          <x:t xml:space="preserve">Medium</x:t>
        </x:is>
      </x:c>
      <x:c r="J42" s="2" t="inlineStr">
        <x:is>
          <x:t xml:space="preserve">Regional bottom-associated Rhinecanthus verrucosus (23 cm TL) and larger triggerfishes require small plus large demersal species pools. Composition and ecological extension to the marine reporting family remain assumed. Source-model catch proportions supply an assumed fixed 1950–2019/all-bases mixture; they are not observed taxon-specific catches.</x:t>
        </x:is>
      </x:c>
      <x:c r="K42" s="1"/>
    </x:row>
    <x:row r="43" ht="96" customHeight="1">
      <x:c r="A43" s="2" t="inlineStr">
        <x:is>
          <x:t xml:space="preserve">Balistidae</x:t>
        </x:is>
      </x:c>
      <x:c r="B43" s="2" t="inlineStr">
        <x:is>
          <x:t xml:space="preserve">Adult demersal fish (&gt; 30 cm)</x:t>
        </x:is>
      </x:c>
      <x:c r="C43" s="2">
        <x:v>26</x:v>
      </x:c>
      <x:c r="D43" s="8">
        <x:v>0.0352</x:v>
      </x:c>
      <x:c r="E43" s="8">
        <x:v>0.021</x:v>
      </x:c>
      <x:c r="F43" s="8" t="inlineStr">
        <x:is>
          <x:t xml:space="preserve">Model catch</x:t>
        </x:is>
      </x:c>
      <x:c r="G43" s="8">
        <x:f>SUMIFS($D$6:$D$681,$A$6:$A$681,A43)</x:f>
        <x:v>0.5305</x:v>
      </x:c>
      <x:c r="H43" s="9">
        <x:f>D43/G43</x:f>
        <x:v>0.06635249764373234</x:v>
      </x:c>
      <x:c r="I43" s="2" t="inlineStr">
        <x:is>
          <x:t xml:space="preserve">Medium</x:t>
        </x:is>
      </x:c>
      <x:c r="J43" s="2" t="inlineStr">
        <x:is>
          <x:t xml:space="preserve">Regional bottom-associated Rhinecanthus verrucosus (23 cm TL) and larger triggerfishes require small plus large demersal species pools. Composition and ecological extension to the marine reporting family remain assumed. Source-model catch proportions supply an assumed fixed 1950–2019/all-bases mixture; they are not observed taxon-specific catches.</x:t>
        </x:is>
      </x:c>
      <x:c r="K43" s="1"/>
    </x:row>
    <x:row r="44" ht="80" customHeight="1">
      <x:c r="A44" s="2" t="inlineStr">
        <x:is>
          <x:t xml:space="preserve">Batoidea</x:t>
        </x:is>
      </x:c>
      <x:c r="B44" s="2" t="inlineStr">
        <x:is>
          <x:t xml:space="preserve">Demersal sharks and rays</x:t>
        </x:is>
      </x:c>
      <x:c r="C44" s="2">
        <x:v>32</x:v>
      </x:c>
      <x:c r="D44" s="8">
        <x:v>0.001</x:v>
      </x:c>
      <x:c r="E44" s="8">
        <x:v>0.001</x:v>
      </x:c>
      <x:c r="F44" s="8" t="inlineStr">
        <x:is>
          <x:t xml:space="preserve">Model catch</x:t>
        </x:is>
      </x:c>
      <x:c r="G44" s="8">
        <x:f>SUMIFS($D$6:$D$681,$A$6:$A$681,A44)</x:f>
        <x:v>0.0017000000000000001</x:v>
      </x:c>
      <x:c r="H44" s="9">
        <x:f>D44/G44</x:f>
        <x:v>0.5882352941176471</x:v>
      </x:c>
      <x:c r="I44" s="2" t="inlineStr">
        <x:is>
          <x:t xml:space="preserve">Medium</x:t>
        </x:is>
      </x:c>
      <x:c r="J44"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K44" s="1"/>
    </x:row>
    <x:row r="45" ht="80" customHeight="1">
      <x:c r="A45" s="2" t="inlineStr">
        <x:is>
          <x:t xml:space="preserve">Batoidea</x:t>
        </x:is>
      </x:c>
      <x:c r="B45" s="2" t="inlineStr">
        <x:is>
          <x:t xml:space="preserve">Pelagic sharks and rays</x:t>
        </x:is>
      </x:c>
      <x:c r="C45" s="2">
        <x:v>33</x:v>
      </x:c>
      <x:c r="D45" s="8">
        <x:v>0.0007</x:v>
      </x:c>
      <x:c r="E45" s="8">
        <x:v>0.0011</x:v>
      </x:c>
      <x:c r="F45" s="8" t="inlineStr">
        <x:is>
          <x:t xml:space="preserve">Model catch</x:t>
        </x:is>
      </x:c>
      <x:c r="G45" s="8">
        <x:f>SUMIFS($D$6:$D$681,$A$6:$A$681,A45)</x:f>
        <x:v>0.0017000000000000001</x:v>
      </x:c>
      <x:c r="H45" s="9">
        <x:f>D45/G45</x:f>
        <x:v>0.4117647058823529</x:v>
      </x:c>
      <x:c r="I45" s="2" t="inlineStr">
        <x:is>
          <x:t xml:space="preserve">Medium</x:t>
        </x:is>
      </x:c>
      <x:c r="J45"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K45" s="1"/>
    </x:row>
    <x:row r="46" ht="80" customHeight="1">
      <x:c r="A46" s="2" t="inlineStr">
        <x:is>
          <x:t xml:space="preserve">Berycidae</x:t>
        </x:is>
      </x:c>
      <x:c r="B46" s="2" t="inlineStr">
        <x:is>
          <x:t xml:space="preserve">Benthopelagic fish</x:t>
        </x:is>
      </x:c>
      <x:c r="C46" s="2">
        <x:v>27</x:v>
      </x:c>
      <x:c r="D46" s="8">
        <x:v>0.6025</x:v>
      </x:c>
      <x:c r="E46" s="8">
        <x:v>0.922</x:v>
      </x:c>
      <x:c r="F46" s="8" t="inlineStr">
        <x:is>
          <x:t xml:space="preserve">No split</x:t>
        </x:is>
      </x:c>
      <x:c r="G46" s="8">
        <x:f>SUMIFS($D$6:$D$681,$A$6:$A$681,A46)</x:f>
        <x:v>0.6025</x:v>
      </x:c>
      <x:c r="H46" s="9">
        <x:f>1</x:f>
        <x:v>1</x:v>
      </x:c>
      <x:c r="I46" s="2" t="inlineStr">
        <x:is>
          <x:t xml:space="preserve">High</x:t>
        </x:is>
      </x:c>
      <x:c r="J46" s="2" t="inlineStr">
        <x:is>
          <x:t xml:space="preserve">Beryx splendens supplies a concrete large-benthopelagic family component (70 cm TL, outer shelf/slope). The main obstacle is final 27's unresolved inclusion of the appendix large component; the family's deep habitat adds model-transfer uncertainty, not proof of pelagic status. No split is required.</x:t>
        </x:is>
      </x:c>
      <x:c r="K46" s="1"/>
    </x:row>
    <x:row r="47" ht="80" customHeight="1">
      <x:c r="A47" s="2" t="inlineStr">
        <x:is>
          <x:t xml:space="preserve">Beryx</x:t>
        </x:is>
      </x:c>
      <x:c r="B47" s="2" t="inlineStr">
        <x:is>
          <x:t xml:space="preserve">Benthopelagic fish</x:t>
        </x:is>
      </x:c>
      <x:c r="C47" s="2">
        <x:v>27</x:v>
      </x:c>
      <x:c r="D47" s="8">
        <x:v>0.6025</x:v>
      </x:c>
      <x:c r="E47" s="8">
        <x:v>0.922</x:v>
      </x:c>
      <x:c r="F47" s="8" t="inlineStr">
        <x:is>
          <x:t xml:space="preserve">No split</x:t>
        </x:is>
      </x:c>
      <x:c r="G47" s="8">
        <x:f>SUMIFS($D$6:$D$681,$A$6:$A$681,A47)</x:f>
        <x:v>0.6025</x:v>
      </x:c>
      <x:c r="H47" s="9">
        <x:f>1</x:f>
        <x:v>1</x:v>
      </x:c>
      <x:c r="I47" s="2" t="inlineStr">
        <x:is>
          <x:t xml:space="preserve">High</x:t>
        </x:is>
      </x:c>
      <x:c r="J47" s="2" t="inlineStr">
        <x:is>
          <x:t xml:space="preserve">Beryx splendens is a 70 cm TL benthopelagic outer-shelf/slope species. The genus has a plausible benthopelagic connection, but final 27 has small-component PB/QB and no demonstrated large-component merger. Depth alone is not the reason for Low. No split is required.</x:t>
        </x:is>
      </x:c>
      <x:c r="K47" s="1"/>
    </x:row>
    <x:row r="48" ht="72" customHeight="1">
      <x:c r="A48" s="2" t="inlineStr">
        <x:is>
          <x:t xml:space="preserve">Bivalvia</x:t>
        </x:is>
      </x:c>
      <x:c r="B48" s="2" t="inlineStr">
        <x:is>
          <x:t xml:space="preserve">Non-ceph molluscs</x:t>
        </x:is>
      </x:c>
      <x:c r="C48" s="2">
        <x:v>8</x:v>
      </x:c>
      <x:c r="D48" s="8">
        <x:v>0.7623</x:v>
      </x:c>
      <x:c r="E48" s="8">
        <x:v>2.68</x:v>
      </x:c>
      <x:c r="F48" s="8" t="inlineStr">
        <x:is>
          <x:t xml:space="preserve">No split</x:t>
        </x:is>
      </x:c>
      <x:c r="G48" s="8">
        <x:f>SUMIFS($D$6:$D$681,$A$6:$A$681,A48)</x:f>
        <x:v>0.7623</x:v>
      </x:c>
      <x:c r="H48" s="9">
        <x:f>1</x:f>
        <x:v>1</x:v>
      </x:c>
      <x:c r="I48" s="2" t="inlineStr">
        <x:is>
          <x:t xml:space="preserve">High</x:t>
        </x:is>
      </x:c>
      <x:c r="J48" s="2" t="inlineStr">
        <x:is>
          <x:t xml:space="preserve">Bivalvia is a non-cephalopod mollusc. The source derives this catch by removing Cephalopoda from mollusc catch; no competing mollusc compartment contains this lineage. No split is required.</x:t>
        </x:is>
      </x:c>
      <x:c r="K48" s="1"/>
    </x:row>
    <x:row r="49" ht="96" customHeight="1">
      <x:c r="A49" s="2" t="inlineStr">
        <x:is>
          <x:t xml:space="preserve">Bothidae</x:t>
        </x:is>
      </x:c>
      <x:c r="B49" s="2" t="inlineStr">
        <x:is>
          <x:t xml:space="preserve">Demesral fish (≤ 30 cm)</x:t>
        </x:is>
      </x:c>
      <x:c r="C49" s="2">
        <x:v>24</x:v>
      </x:c>
      <x:c r="D49" s="8">
        <x:v>0.1788</x:v>
      </x:c>
      <x:c r="E49" s="8">
        <x:v>0.316</x:v>
      </x:c>
      <x:c r="F49" s="8" t="inlineStr">
        <x:is>
          <x:t xml:space="preserve">Model catch</x:t>
        </x:is>
      </x:c>
      <x:c r="G49" s="8">
        <x:f>SUMIFS($D$6:$D$681,$A$6:$A$681,A49)</x:f>
        <x:v>0.5305</x:v>
      </x:c>
      <x:c r="H49" s="9">
        <x:f>D49/G49</x:f>
        <x:v>0.33704052780395855</x:v>
      </x:c>
      <x:c r="I49" s="2" t="inlineStr">
        <x:is>
          <x:t xml:space="preserve">Medium</x:t>
        </x:is>
      </x:c>
      <x:c r="J49" s="2" t="inlineStr">
        <x:is>
          <x:t xml:space="preserve">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x:t>
        </x:is>
      </x:c>
      <x:c r="K49" s="1"/>
    </x:row>
    <x:row r="50" ht="96" customHeight="1">
      <x:c r="A50" s="2" t="inlineStr">
        <x:is>
          <x:t xml:space="preserve">Bothidae</x:t>
        </x:is>
      </x:c>
      <x:c r="B50" s="2" t="inlineStr">
        <x:is>
          <x:t xml:space="preserve">Juvenile demersal fish (&gt; 30 cm)</x:t>
        </x:is>
      </x:c>
      <x:c r="C50" s="2">
        <x:v>25</x:v>
      </x:c>
      <x:c r="D50" s="8">
        <x:v>0.3165</x:v>
      </x:c>
      <x:c r="E50" s="8">
        <x:v>0.143</x:v>
      </x:c>
      <x:c r="F50" s="8" t="inlineStr">
        <x:is>
          <x:t xml:space="preserve">Model catch</x:t>
        </x:is>
      </x:c>
      <x:c r="G50" s="8">
        <x:f>SUMIFS($D$6:$D$681,$A$6:$A$681,A50)</x:f>
        <x:v>0.5305</x:v>
      </x:c>
      <x:c r="H50" s="9">
        <x:f>D50/G50</x:f>
        <x:v>0.5966069745523092</x:v>
      </x:c>
      <x:c r="I50" s="2" t="inlineStr">
        <x:is>
          <x:t xml:space="preserve">Medium</x:t>
        </x:is>
      </x:c>
      <x:c r="J50" s="2" t="inlineStr">
        <x:is>
          <x:t xml:space="preserve">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x:t>
        </x:is>
      </x:c>
      <x:c r="K50" s="1"/>
    </x:row>
    <x:row r="51" ht="96" customHeight="1">
      <x:c r="A51" s="2" t="inlineStr">
        <x:is>
          <x:t xml:space="preserve">Bothidae</x:t>
        </x:is>
      </x:c>
      <x:c r="B51" s="2" t="inlineStr">
        <x:is>
          <x:t xml:space="preserve">Adult demersal fish (&gt; 30 cm)</x:t>
        </x:is>
      </x:c>
      <x:c r="C51" s="2">
        <x:v>26</x:v>
      </x:c>
      <x:c r="D51" s="8">
        <x:v>0.0352</x:v>
      </x:c>
      <x:c r="E51" s="8">
        <x:v>0.021</x:v>
      </x:c>
      <x:c r="F51" s="8" t="inlineStr">
        <x:is>
          <x:t xml:space="preserve">Model catch</x:t>
        </x:is>
      </x:c>
      <x:c r="G51" s="8">
        <x:f>SUMIFS($D$6:$D$681,$A$6:$A$681,A51)</x:f>
        <x:v>0.5305</x:v>
      </x:c>
      <x:c r="H51" s="9">
        <x:f>D51/G51</x:f>
        <x:v>0.06635249764373234</x:v>
      </x:c>
      <x:c r="I51" s="2" t="inlineStr">
        <x:is>
          <x:t xml:space="preserve">Medium</x:t>
        </x:is>
      </x:c>
      <x:c r="J51" s="2" t="inlineStr">
        <x:is>
          <x:t xml:space="preserve">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x:t>
        </x:is>
      </x:c>
      <x:c r="K51" s="1"/>
    </x:row>
    <x:row r="52" ht="80" customHeight="1">
      <x:c r="A52" s="2" t="inlineStr">
        <x:is>
          <x:t xml:space="preserve">Bramidae</x:t>
        </x:is>
      </x:c>
      <x:c r="B52" s="2" t="inlineStr">
        <x:is>
          <x:t xml:space="preserve">Juvenile large pelagic fish</x:t>
        </x:is>
      </x:c>
      <x:c r="C52" s="2">
        <x:v>30</x:v>
      </x:c>
      <x:c r="D52" s="8">
        <x:v>0.7384</x:v>
      </x:c>
      <x:c r="E52" s="8">
        <x:v>0.289</x:v>
      </x:c>
      <x:c r="F52" s="8" t="inlineStr">
        <x:is>
          <x:t xml:space="preserve">Model catch</x:t>
        </x:is>
      </x:c>
      <x:c r="G52" s="8">
        <x:f>SUMIFS($D$6:$D$681,$A$6:$A$681,A52)</x:f>
        <x:v>0.8205</x:v>
      </x:c>
      <x:c r="H52" s="9">
        <x:f>D52/G52</x:f>
        <x:v>0.8999390615478366</x:v>
      </x:c>
      <x:c r="I52" s="2" t="inlineStr">
        <x:is>
          <x:t xml:space="preserve">Medium</x:t>
        </x:is>
      </x:c>
      <x:c r="J52" s="2" t="inlineStr">
        <x:is>
          <x:t xml:space="preserve">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x:t>
        </x:is>
      </x:c>
      <x:c r="K52" s="1"/>
    </x:row>
    <x:row r="53" ht="80" customHeight="1">
      <x:c r="A53" s="2" t="inlineStr">
        <x:is>
          <x:t xml:space="preserve">Bramidae</x:t>
        </x:is>
      </x:c>
      <x:c r="B53" s="2" t="inlineStr">
        <x:is>
          <x:t xml:space="preserve">Pelagic fish (&gt; 30 cm)</x:t>
        </x:is>
      </x:c>
      <x:c r="C53" s="2">
        <x:v>31</x:v>
      </x:c>
      <x:c r="D53" s="8">
        <x:v>0.0821</x:v>
      </x:c>
      <x:c r="E53" s="8">
        <x:v>0.079</x:v>
      </x:c>
      <x:c r="F53" s="8" t="inlineStr">
        <x:is>
          <x:t xml:space="preserve">Model catch</x:t>
        </x:is>
      </x:c>
      <x:c r="G53" s="8">
        <x:f>SUMIFS($D$6:$D$681,$A$6:$A$681,A53)</x:f>
        <x:v>0.8205</x:v>
      </x:c>
      <x:c r="H53" s="9">
        <x:f>D53/G53</x:f>
        <x:v>0.1000609384521633</x:v>
      </x:c>
      <x:c r="I53" s="2" t="inlineStr">
        <x:is>
          <x:t xml:space="preserve">Medium</x:t>
        </x:is>
      </x:c>
      <x:c r="J53" s="2" t="inlineStr">
        <x:is>
          <x:t xml:space="preserve">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x:t>
        </x:is>
      </x:c>
      <x:c r="K53" s="1"/>
    </x:row>
    <x:row r="54" ht="112" customHeight="1">
      <x:c r="A54" s="2" t="inlineStr">
        <x:is>
          <x:t xml:space="preserve">Caesio</x:t>
        </x:is>
      </x:c>
      <x:c r="B54" s="2" t="inlineStr">
        <x:is>
          <x:t xml:space="preserve">Benthopelagic fish</x:t>
        </x:is>
      </x:c>
      <x:c r="C54" s="2">
        <x:v>27</x:v>
      </x:c>
      <x:c r="D54" s="8">
        <x:v>0.6025</x:v>
      </x:c>
      <x:c r="E54" s="8">
        <x:v>0.922</x:v>
      </x:c>
      <x:c r="F54" s="8" t="inlineStr">
        <x:is>
          <x:t xml:space="preserve">Model catch</x:t>
        </x:is>
      </x:c>
      <x:c r="G54" s="8">
        <x:f>SUMIFS($D$6:$D$681,$A$6:$A$681,A54)</x:f>
        <x:v>1.423</x:v>
      </x:c>
      <x:c r="H54" s="9">
        <x:f>D54/G54</x:f>
        <x:v>0.42340126493323965</x:v>
      </x:c>
      <x:c r="I54" s="2" t="inlineStr">
        <x:is>
          <x:t xml:space="preserve">Medium</x:t>
        </x:is>
      </x:c>
      <x:c r="J54" s="2" t="inlineStr">
        <x:is>
          <x:t xml:space="preserve">Large regional Caesio, including C. cuning (60 cm TL), are reef-associated midwater planktivores. Group 27 and the large-pelagic pair form an explicit habitat approximation replacing demersal-only membership. Final group 27 scope and source-era Caesionidae versus Lutjanidae remain unresolved; no snapper membership or merger is asserted. Source-model catch proportions supply an assumed fixed 1950–2019/all-bases mixture; they are not observed taxon-specific catches.</x:t>
        </x:is>
      </x:c>
      <x:c r="K54" s="1"/>
    </x:row>
    <x:row r="55" ht="112" customHeight="1">
      <x:c r="A55" s="2" t="inlineStr">
        <x:is>
          <x:t xml:space="preserve">Caesio</x:t>
        </x:is>
      </x:c>
      <x:c r="B55" s="2" t="inlineStr">
        <x:is>
          <x:t xml:space="preserve">Juvenile large pelagic fish</x:t>
        </x:is>
      </x:c>
      <x:c r="C55" s="2">
        <x:v>30</x:v>
      </x:c>
      <x:c r="D55" s="8">
        <x:v>0.7384</x:v>
      </x:c>
      <x:c r="E55" s="8">
        <x:v>0.289</x:v>
      </x:c>
      <x:c r="F55" s="8" t="inlineStr">
        <x:is>
          <x:t xml:space="preserve">Model catch</x:t>
        </x:is>
      </x:c>
      <x:c r="G55" s="8">
        <x:f>SUMIFS($D$6:$D$681,$A$6:$A$681,A55)</x:f>
        <x:v>1.423</x:v>
      </x:c>
      <x:c r="H55" s="9">
        <x:f>D55/G55</x:f>
        <x:v>0.51890372452565</x:v>
      </x:c>
      <x:c r="I55" s="2" t="inlineStr">
        <x:is>
          <x:t xml:space="preserve">Medium</x:t>
        </x:is>
      </x:c>
      <x:c r="J55" s="2" t="inlineStr">
        <x:is>
          <x:t xml:space="preserve">Large regional Caesio, including C. cuning (60 cm TL), are reef-associated midwater planktivores. Group 27 and the large-pelagic pair form an explicit habitat approximation replacing demersal-only membership. Final group 27 scope and source-era Caesionidae versus Lutjanidae remain unresolved; no snapper membership or merger is asserted. Source-model catch proportions supply an assumed fixed 1950–2019/all-bases mixture; they are not observed taxon-specific catches.</x:t>
        </x:is>
      </x:c>
      <x:c r="K55" s="1"/>
    </x:row>
    <x:row r="56" ht="112" customHeight="1">
      <x:c r="A56" s="2" t="inlineStr">
        <x:is>
          <x:t xml:space="preserve">Caesio</x:t>
        </x:is>
      </x:c>
      <x:c r="B56" s="2" t="inlineStr">
        <x:is>
          <x:t xml:space="preserve">Pelagic fish (&gt; 30 cm)</x:t>
        </x:is>
      </x:c>
      <x:c r="C56" s="2">
        <x:v>31</x:v>
      </x:c>
      <x:c r="D56" s="8">
        <x:v>0.0821</x:v>
      </x:c>
      <x:c r="E56" s="8">
        <x:v>0.079</x:v>
      </x:c>
      <x:c r="F56" s="8" t="inlineStr">
        <x:is>
          <x:t xml:space="preserve">Model catch</x:t>
        </x:is>
      </x:c>
      <x:c r="G56" s="8">
        <x:f>SUMIFS($D$6:$D$681,$A$6:$A$681,A56)</x:f>
        <x:v>1.423</x:v>
      </x:c>
      <x:c r="H56" s="9">
        <x:f>D56/G56</x:f>
        <x:v>0.057695010541110335</x:v>
      </x:c>
      <x:c r="I56" s="2" t="inlineStr">
        <x:is>
          <x:t xml:space="preserve">Medium</x:t>
        </x:is>
      </x:c>
      <x:c r="J56" s="2" t="inlineStr">
        <x:is>
          <x:t xml:space="preserve">Large regional Caesio, including C. cuning (60 cm TL), are reef-associated midwater planktivores. Group 27 and the large-pelagic pair form an explicit habitat approximation replacing demersal-only membership. Final group 27 scope and source-era Caesionidae versus Lutjanidae remain unresolved; no snapper membership or merger is asserted. Source-model catch proportions supply an assumed fixed 1950–2019/all-bases mixture; they are not observed taxon-specific catches.</x:t>
        </x:is>
      </x:c>
      <x:c r="K56" s="1"/>
    </x:row>
    <x:row r="57" ht="128" customHeight="1">
      <x:c r="A57" s="2" t="inlineStr">
        <x:is>
          <x:t xml:space="preserve">Caesionidae</x:t>
        </x:is>
      </x:c>
      <x:c r="B57" s="2" t="inlineStr">
        <x:is>
          <x:t xml:space="preserve">Benthopelagic fish</x:t>
        </x:is>
      </x:c>
      <x:c r="C57" s="2">
        <x:v>27</x:v>
      </x:c>
      <x:c r="D57" s="8">
        <x:v>0.6025</x:v>
      </x:c>
      <x:c r="E57" s="8">
        <x:v>0.922</x:v>
      </x:c>
      <x:c r="F57" s="8" t="inlineStr">
        <x:is>
          <x:t xml:space="preserve">Model catch</x:t>
        </x:is>
      </x:c>
      <x:c r="G57" s="8">
        <x:f>SUMIFS($D$6:$D$681,$A$6:$A$681,A57)</x:f>
        <x:v>3.7680000000000002</x:v>
      </x:c>
      <x:c r="H57" s="9">
        <x:f>D57/G57</x:f>
        <x:v>0.1598991507430998</x:v>
      </x:c>
      <x:c r="I57" s="2" t="inlineStr">
        <x:is>
          <x:t xml:space="preserve">Medium</x:t>
        </x:is>
      </x:c>
      <x:c r="J57" s="2" t="inlineStr">
        <x:is>
          <x:t xml:space="preserve">FAO regional fusiliers are reef-associated midwater planktivores with small Pterocaesio and large Caesio. Benthopelagic and both pelagic size classes replace the exclusive large-demersal pair as a disclosed habitat approximation. Group 27 size scope is unresolved; modern Lutjanidae classification does not authorize dedicated source-era snapper group 19. Source-model catch proportions supply an assumed fixed 1950–2019/all-bases mixture; they are not observed taxon-specific catches.</x:t>
        </x:is>
      </x:c>
      <x:c r="K57" s="1"/>
    </x:row>
    <x:row r="58" ht="128" customHeight="1">
      <x:c r="A58" s="2" t="inlineStr">
        <x:is>
          <x:t xml:space="preserve">Caesionidae</x:t>
        </x:is>
      </x:c>
      <x:c r="B58" s="2" t="inlineStr">
        <x:is>
          <x:t xml:space="preserve">Pelagic fish (≤ 30 cm)</x:t>
        </x:is>
      </x:c>
      <x:c r="C58" s="2">
        <x:v>29</x:v>
      </x:c>
      <x:c r="D58" s="8">
        <x:v>2.345</x:v>
      </x:c>
      <x:c r="E58" s="8">
        <x:v>1.772</x:v>
      </x:c>
      <x:c r="F58" s="8" t="inlineStr">
        <x:is>
          <x:t xml:space="preserve">Model catch</x:t>
        </x:is>
      </x:c>
      <x:c r="G58" s="8">
        <x:f>SUMIFS($D$6:$D$681,$A$6:$A$681,A58)</x:f>
        <x:v>3.7680000000000002</x:v>
      </x:c>
      <x:c r="H58" s="9">
        <x:f>D58/G58</x:f>
        <x:v>0.6223460721868366</x:v>
      </x:c>
      <x:c r="I58" s="2" t="inlineStr">
        <x:is>
          <x:t xml:space="preserve">Medium</x:t>
        </x:is>
      </x:c>
      <x:c r="J58" s="2" t="inlineStr">
        <x:is>
          <x:t xml:space="preserve">FAO regional fusiliers are reef-associated midwater planktivores with small Pterocaesio and large Caesio. Benthopelagic and both pelagic size classes replace the exclusive large-demersal pair as a disclosed habitat approximation. Group 27 size scope is unresolved; modern Lutjanidae classification does not authorize dedicated source-era snapper group 19. Source-model catch proportions supply an assumed fixed 1950–2019/all-bases mixture; they are not observed taxon-specific catches.</x:t>
        </x:is>
      </x:c>
      <x:c r="K58" s="1"/>
    </x:row>
    <x:row r="59" ht="128" customHeight="1">
      <x:c r="A59" s="2" t="inlineStr">
        <x:is>
          <x:t xml:space="preserve">Caesionidae</x:t>
        </x:is>
      </x:c>
      <x:c r="B59" s="2" t="inlineStr">
        <x:is>
          <x:t xml:space="preserve">Juvenile large pelagic fish</x:t>
        </x:is>
      </x:c>
      <x:c r="C59" s="2">
        <x:v>30</x:v>
      </x:c>
      <x:c r="D59" s="8">
        <x:v>0.7384</x:v>
      </x:c>
      <x:c r="E59" s="8">
        <x:v>0.289</x:v>
      </x:c>
      <x:c r="F59" s="8" t="inlineStr">
        <x:is>
          <x:t xml:space="preserve">Model catch</x:t>
        </x:is>
      </x:c>
      <x:c r="G59" s="8">
        <x:f>SUMIFS($D$6:$D$681,$A$6:$A$681,A59)</x:f>
        <x:v>3.7680000000000002</x:v>
      </x:c>
      <x:c r="H59" s="9">
        <x:f>D59/G59</x:f>
        <x:v>0.1959660297239915</x:v>
      </x:c>
      <x:c r="I59" s="2" t="inlineStr">
        <x:is>
          <x:t xml:space="preserve">Medium</x:t>
        </x:is>
      </x:c>
      <x:c r="J59" s="2" t="inlineStr">
        <x:is>
          <x:t xml:space="preserve">FAO regional fusiliers are reef-associated midwater planktivores with small Pterocaesio and large Caesio. Benthopelagic and both pelagic size classes replace the exclusive large-demersal pair as a disclosed habitat approximation. Group 27 size scope is unresolved; modern Lutjanidae classification does not authorize dedicated source-era snapper group 19. Source-model catch proportions supply an assumed fixed 1950–2019/all-bases mixture; they are not observed taxon-specific catches.</x:t>
        </x:is>
      </x:c>
      <x:c r="K59" s="1"/>
    </x:row>
    <x:row r="60" ht="128" customHeight="1">
      <x:c r="A60" s="2" t="inlineStr">
        <x:is>
          <x:t xml:space="preserve">Caesionidae</x:t>
        </x:is>
      </x:c>
      <x:c r="B60" s="2" t="inlineStr">
        <x:is>
          <x:t xml:space="preserve">Pelagic fish (&gt; 30 cm)</x:t>
        </x:is>
      </x:c>
      <x:c r="C60" s="2">
        <x:v>31</x:v>
      </x:c>
      <x:c r="D60" s="8">
        <x:v>0.0821</x:v>
      </x:c>
      <x:c r="E60" s="8">
        <x:v>0.079</x:v>
      </x:c>
      <x:c r="F60" s="8" t="inlineStr">
        <x:is>
          <x:t xml:space="preserve">Model catch</x:t>
        </x:is>
      </x:c>
      <x:c r="G60" s="8">
        <x:f>SUMIFS($D$6:$D$681,$A$6:$A$681,A60)</x:f>
        <x:v>3.7680000000000002</x:v>
      </x:c>
      <x:c r="H60" s="9">
        <x:f>D60/G60</x:f>
        <x:v>0.021788747346072185</x:v>
      </x:c>
      <x:c r="I60" s="2" t="inlineStr">
        <x:is>
          <x:t xml:space="preserve">Medium</x:t>
        </x:is>
      </x:c>
      <x:c r="J60" s="2" t="inlineStr">
        <x:is>
          <x:t xml:space="preserve">FAO regional fusiliers are reef-associated midwater planktivores with small Pterocaesio and large Caesio. Benthopelagic and both pelagic size classes replace the exclusive large-demersal pair as a disclosed habitat approximation. Group 27 size scope is unresolved; modern Lutjanidae classification does not authorize dedicated source-era snapper group 19. Source-model catch proportions supply an assumed fixed 1950–2019/all-bases mixture; they are not observed taxon-specific catches.</x:t>
        </x:is>
      </x:c>
      <x:c r="K60" s="1"/>
    </x:row>
    <x:row r="61" ht="96" customHeight="1">
      <x:c r="A61" s="2" t="inlineStr">
        <x:is>
          <x:t xml:space="preserve">Carangidae</x:t>
        </x:is>
      </x:c>
      <x:c r="B61" s="2" t="inlineStr">
        <x:is>
          <x:t xml:space="preserve">Pelagic fish (≤ 30 cm)</x:t>
        </x:is>
      </x:c>
      <x:c r="C61" s="2">
        <x:v>29</x:v>
      </x:c>
      <x:c r="D61" s="8">
        <x:v>2.345</x:v>
      </x:c>
      <x:c r="E61" s="8">
        <x:v>1.772</x:v>
      </x:c>
      <x:c r="F61" s="8" t="inlineStr">
        <x:is>
          <x:t xml:space="preserve">Model catch</x:t>
        </x:is>
      </x:c>
      <x:c r="G61" s="8">
        <x:f>SUMIFS($D$6:$D$681,$A$6:$A$681,A61)</x:f>
        <x:v>3.1655</x:v>
      </x:c>
      <x:c r="H61" s="9">
        <x:f>D61/G61</x:f>
        <x:v>0.7407992418259359</x:v>
      </x:c>
      <x:c r="I61" s="2" t="inlineStr">
        <x:is>
          <x:t xml:space="preserve">Medium</x:t>
        </x:is>
      </x:c>
      <x:c r="J61" s="2" t="inlineStr">
        <x:is>
          <x:t xml:space="preserve">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x:t>
        </x:is>
      </x:c>
      <x:c r="K61" s="1"/>
    </x:row>
    <x:row r="62" ht="96" customHeight="1">
      <x:c r="A62" s="2" t="inlineStr">
        <x:is>
          <x:t xml:space="preserve">Carangidae</x:t>
        </x:is>
      </x:c>
      <x:c r="B62" s="2" t="inlineStr">
        <x:is>
          <x:t xml:space="preserve">Juvenile large pelagic fish</x:t>
        </x:is>
      </x:c>
      <x:c r="C62" s="2">
        <x:v>30</x:v>
      </x:c>
      <x:c r="D62" s="8">
        <x:v>0.7384</x:v>
      </x:c>
      <x:c r="E62" s="8">
        <x:v>0.289</x:v>
      </x:c>
      <x:c r="F62" s="8" t="inlineStr">
        <x:is>
          <x:t xml:space="preserve">Model catch</x:t>
        </x:is>
      </x:c>
      <x:c r="G62" s="8">
        <x:f>SUMIFS($D$6:$D$681,$A$6:$A$681,A62)</x:f>
        <x:v>3.1655</x:v>
      </x:c>
      <x:c r="H62" s="9">
        <x:f>D62/G62</x:f>
        <x:v>0.233264887063655</x:v>
      </x:c>
      <x:c r="I62" s="2" t="inlineStr">
        <x:is>
          <x:t xml:space="preserve">Medium</x:t>
        </x:is>
      </x:c>
      <x:c r="J62" s="2" t="inlineStr">
        <x:is>
          <x:t xml:space="preserve">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x:t>
        </x:is>
      </x:c>
      <x:c r="K62" s="1"/>
    </x:row>
    <x:row r="63" ht="96" customHeight="1">
      <x:c r="A63" s="2" t="inlineStr">
        <x:is>
          <x:t xml:space="preserve">Carangidae</x:t>
        </x:is>
      </x:c>
      <x:c r="B63" s="2" t="inlineStr">
        <x:is>
          <x:t xml:space="preserve">Pelagic fish (&gt; 30 cm)</x:t>
        </x:is>
      </x:c>
      <x:c r="C63" s="2">
        <x:v>31</x:v>
      </x:c>
      <x:c r="D63" s="8">
        <x:v>0.0821</x:v>
      </x:c>
      <x:c r="E63" s="8">
        <x:v>0.079</x:v>
      </x:c>
      <x:c r="F63" s="8" t="inlineStr">
        <x:is>
          <x:t xml:space="preserve">Model catch</x:t>
        </x:is>
      </x:c>
      <x:c r="G63" s="8">
        <x:f>SUMIFS($D$6:$D$681,$A$6:$A$681,A63)</x:f>
        <x:v>3.1655</x:v>
      </x:c>
      <x:c r="H63" s="9">
        <x:f>D63/G63</x:f>
        <x:v>0.025935871110409098</x:v>
      </x:c>
      <x:c r="I63" s="2" t="inlineStr">
        <x:is>
          <x:t xml:space="preserve">Medium</x:t>
        </x:is>
      </x:c>
      <x:c r="J63" s="2" t="inlineStr">
        <x:is>
          <x:t xml:space="preserve">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x:t>
        </x:is>
      </x:c>
      <x:c r="K63" s="1"/>
    </x:row>
    <x:row r="64" ht="80" customHeight="1">
      <x:c r="A64" s="2" t="inlineStr">
        <x:is>
          <x:t xml:space="preserve">Carangoides</x:t>
        </x:is>
      </x:c>
      <x:c r="B64" s="2" t="inlineStr">
        <x:is>
          <x:t xml:space="preserve">Juvenile large pelagic fish</x:t>
        </x:is>
      </x:c>
      <x:c r="C64" s="2">
        <x:v>30</x:v>
      </x:c>
      <x:c r="D64" s="8">
        <x:v>0.7384</x:v>
      </x:c>
      <x:c r="E64" s="8">
        <x:v>0.289</x:v>
      </x:c>
      <x:c r="F64" s="8" t="inlineStr">
        <x:is>
          <x:t xml:space="preserve">Model catch</x:t>
        </x:is>
      </x:c>
      <x:c r="G64" s="8">
        <x:f>SUMIFS($D$6:$D$681,$A$6:$A$681,A64)</x:f>
        <x:v>0.8205</x:v>
      </x:c>
      <x:c r="H64" s="9">
        <x:f>D64/G64</x:f>
        <x:v>0.8999390615478366</x:v>
      </x:c>
      <x:c r="I64" s="2" t="inlineStr">
        <x:is>
          <x:t xml:space="preserve">Medium</x:t>
        </x:is>
      </x:c>
      <x:c r="J64" s="2" t="inlineStr">
        <x:is>
          <x:t xml:space="preserve">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x:t>
        </x:is>
      </x:c>
      <x:c r="K64" s="1"/>
    </x:row>
    <x:row r="65" ht="80" customHeight="1">
      <x:c r="A65" s="2" t="inlineStr">
        <x:is>
          <x:t xml:space="preserve">Carangoides</x:t>
        </x:is>
      </x:c>
      <x:c r="B65" s="2" t="inlineStr">
        <x:is>
          <x:t xml:space="preserve">Pelagic fish (&gt; 30 cm)</x:t>
        </x:is>
      </x:c>
      <x:c r="C65" s="2">
        <x:v>31</x:v>
      </x:c>
      <x:c r="D65" s="8">
        <x:v>0.0821</x:v>
      </x:c>
      <x:c r="E65" s="8">
        <x:v>0.079</x:v>
      </x:c>
      <x:c r="F65" s="8" t="inlineStr">
        <x:is>
          <x:t xml:space="preserve">Model catch</x:t>
        </x:is>
      </x:c>
      <x:c r="G65" s="8">
        <x:f>SUMIFS($D$6:$D$681,$A$6:$A$681,A65)</x:f>
        <x:v>0.8205</x:v>
      </x:c>
      <x:c r="H65" s="9">
        <x:f>D65/G65</x:f>
        <x:v>0.1000609384521633</x:v>
      </x:c>
      <x:c r="I65" s="2" t="inlineStr">
        <x:is>
          <x:t xml:space="preserve">Medium</x:t>
        </x:is>
      </x:c>
      <x:c r="J65" s="2" t="inlineStr">
        <x:is>
          <x:t xml:space="preserve">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x:t>
        </x:is>
      </x:c>
      <x:c r="K65" s="1"/>
    </x:row>
    <x:row r="66" ht="80" customHeight="1">
      <x:c r="A66" s="2" t="inlineStr">
        <x:is>
          <x:t xml:space="preserve">Caranx</x:t>
        </x:is>
      </x:c>
      <x:c r="B66" s="2" t="inlineStr">
        <x:is>
          <x:t xml:space="preserve">Juvenile large pelagic fish</x:t>
        </x:is>
      </x:c>
      <x:c r="C66" s="2">
        <x:v>30</x:v>
      </x:c>
      <x:c r="D66" s="8">
        <x:v>0.7384</x:v>
      </x:c>
      <x:c r="E66" s="8">
        <x:v>0.289</x:v>
      </x:c>
      <x:c r="F66" s="8" t="inlineStr">
        <x:is>
          <x:t xml:space="preserve">Model catch</x:t>
        </x:is>
      </x:c>
      <x:c r="G66" s="8">
        <x:f>SUMIFS($D$6:$D$681,$A$6:$A$681,A66)</x:f>
        <x:v>0.8205</x:v>
      </x:c>
      <x:c r="H66" s="9">
        <x:f>D66/G66</x:f>
        <x:v>0.8999390615478366</x:v>
      </x:c>
      <x:c r="I66" s="2" t="inlineStr">
        <x:is>
          <x:t xml:space="preserve">Medium</x:t>
        </x:is>
      </x:c>
      <x:c r="J66" s="2" t="inlineStr">
        <x:is>
          <x:t xml:space="preserve">Regional Caranx includes bottom-associated inshore jacks as well as pelagic forms. Large size alone does not establish whole-genus membership in the adopted pelagic pair. Model catch proportions provide the split; allocation confidence remains Medium.</x:t>
        </x:is>
      </x:c>
      <x:c r="K66" s="1"/>
    </x:row>
    <x:row r="67" ht="80" customHeight="1">
      <x:c r="A67" s="2" t="inlineStr">
        <x:is>
          <x:t xml:space="preserve">Caranx</x:t>
        </x:is>
      </x:c>
      <x:c r="B67" s="2" t="inlineStr">
        <x:is>
          <x:t xml:space="preserve">Pelagic fish (&gt; 30 cm)</x:t>
        </x:is>
      </x:c>
      <x:c r="C67" s="2">
        <x:v>31</x:v>
      </x:c>
      <x:c r="D67" s="8">
        <x:v>0.0821</x:v>
      </x:c>
      <x:c r="E67" s="8">
        <x:v>0.079</x:v>
      </x:c>
      <x:c r="F67" s="8" t="inlineStr">
        <x:is>
          <x:t xml:space="preserve">Model catch</x:t>
        </x:is>
      </x:c>
      <x:c r="G67" s="8">
        <x:f>SUMIFS($D$6:$D$681,$A$6:$A$681,A67)</x:f>
        <x:v>0.8205</x:v>
      </x:c>
      <x:c r="H67" s="9">
        <x:f>D67/G67</x:f>
        <x:v>0.1000609384521633</x:v>
      </x:c>
      <x:c r="I67" s="2" t="inlineStr">
        <x:is>
          <x:t xml:space="preserve">Medium</x:t>
        </x:is>
      </x:c>
      <x:c r="J67" s="2" t="inlineStr">
        <x:is>
          <x:t xml:space="preserve">Regional Caranx includes bottom-associated inshore jacks as well as pelagic forms. Large size alone does not establish whole-genus membership in the adopted pelagic pair. Model catch proportions provide the split; allocation confidence remains Medium.</x:t>
        </x:is>
      </x:c>
      <x:c r="K67" s="1"/>
    </x:row>
    <x:row r="68" ht="112" customHeight="1">
      <x:c r="A68" s="2" t="inlineStr">
        <x:is>
          <x:t xml:space="preserve">Caranx ignobilis</x:t>
        </x:is>
      </x:c>
      <x:c r="B68" s="2" t="inlineStr">
        <x:is>
          <x:t xml:space="preserve">Juvenile large pelagic fish</x:t>
        </x:is>
      </x:c>
      <x:c r="C68" s="2">
        <x:v>30</x:v>
      </x:c>
      <x:c r="D68" s="8">
        <x:v>0.7384</x:v>
      </x:c>
      <x:c r="E68" s="8">
        <x:v>0.289</x:v>
      </x:c>
      <x:c r="F68" s="8" t="inlineStr">
        <x:is>
          <x:t xml:space="preserve">Model catch</x:t>
        </x:is>
      </x:c>
      <x:c r="G68" s="8">
        <x:f>SUMIFS($D$6:$D$681,$A$6:$A$681,A68)</x:f>
        <x:v>0.8205</x:v>
      </x:c>
      <x:c r="H68" s="9">
        <x:f>D68/G68</x:f>
        <x:v>0.8999390615478366</x:v>
      </x:c>
      <x:c r="I68" s="2" t="inlineStr">
        <x:is>
          <x:t xml:space="preserve">Medium</x:t>
        </x:is>
      </x:c>
      <x:c r="J68" s="2" t="inlineStr">
        <x:is>
          <x:t xml:space="preserve">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x:t>
        </x:is>
      </x:c>
      <x:c r="K68" s="1"/>
    </x:row>
    <x:row r="69" ht="112" customHeight="1">
      <x:c r="A69" s="2" t="inlineStr">
        <x:is>
          <x:t xml:space="preserve">Caranx ignobilis</x:t>
        </x:is>
      </x:c>
      <x:c r="B69" s="2" t="inlineStr">
        <x:is>
          <x:t xml:space="preserve">Pelagic fish (&gt; 30 cm)</x:t>
        </x:is>
      </x:c>
      <x:c r="C69" s="2">
        <x:v>31</x:v>
      </x:c>
      <x:c r="D69" s="8">
        <x:v>0.0821</x:v>
      </x:c>
      <x:c r="E69" s="8">
        <x:v>0.079</x:v>
      </x:c>
      <x:c r="F69" s="8" t="inlineStr">
        <x:is>
          <x:t xml:space="preserve">Model catch</x:t>
        </x:is>
      </x:c>
      <x:c r="G69" s="8">
        <x:f>SUMIFS($D$6:$D$681,$A$6:$A$681,A69)</x:f>
        <x:v>0.8205</x:v>
      </x:c>
      <x:c r="H69" s="9">
        <x:f>D69/G69</x:f>
        <x:v>0.1000609384521633</x:v>
      </x:c>
      <x:c r="I69" s="2" t="inlineStr">
        <x:is>
          <x:t xml:space="preserve">Medium</x:t>
        </x:is>
      </x:c>
      <x:c r="J69" s="2" t="inlineStr">
        <x:is>
          <x:t xml:space="preserve">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x:t>
        </x:is>
      </x:c>
      <x:c r="K69" s="1"/>
    </x:row>
    <x:row r="70" ht="112" customHeight="1">
      <x:c r="A70" s="2" t="inlineStr">
        <x:is>
          <x:t xml:space="preserve">Caranx sexfasciatus</x:t>
        </x:is>
      </x:c>
      <x:c r="B70" s="2" t="inlineStr">
        <x:is>
          <x:t xml:space="preserve">Juvenile large pelagic fish</x:t>
        </x:is>
      </x:c>
      <x:c r="C70" s="2">
        <x:v>30</x:v>
      </x:c>
      <x:c r="D70" s="8">
        <x:v>0.7384</x:v>
      </x:c>
      <x:c r="E70" s="8">
        <x:v>0.289</x:v>
      </x:c>
      <x:c r="F70" s="8" t="inlineStr">
        <x:is>
          <x:t xml:space="preserve">Model catch</x:t>
        </x:is>
      </x:c>
      <x:c r="G70" s="8">
        <x:f>SUMIFS($D$6:$D$681,$A$6:$A$681,A70)</x:f>
        <x:v>0.8205</x:v>
      </x:c>
      <x:c r="H70" s="9">
        <x:f>D70/G70</x:f>
        <x:v>0.8999390615478366</x:v>
      </x:c>
      <x:c r="I70" s="2" t="inlineStr">
        <x:is>
          <x:t xml:space="preserve">Medium</x:t>
        </x:is>
      </x:c>
      <x:c r="J70" s="2" t="inlineStr">
        <x:is>
          <x:t xml:space="preserve">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x:t>
        </x:is>
      </x:c>
      <x:c r="K70" s="1"/>
    </x:row>
    <x:row r="71" ht="112" customHeight="1">
      <x:c r="A71" s="2" t="inlineStr">
        <x:is>
          <x:t xml:space="preserve">Caranx sexfasciatus</x:t>
        </x:is>
      </x:c>
      <x:c r="B71" s="2" t="inlineStr">
        <x:is>
          <x:t xml:space="preserve">Pelagic fish (&gt; 30 cm)</x:t>
        </x:is>
      </x:c>
      <x:c r="C71" s="2">
        <x:v>31</x:v>
      </x:c>
      <x:c r="D71" s="8">
        <x:v>0.0821</x:v>
      </x:c>
      <x:c r="E71" s="8">
        <x:v>0.079</x:v>
      </x:c>
      <x:c r="F71" s="8" t="inlineStr">
        <x:is>
          <x:t xml:space="preserve">Model catch</x:t>
        </x:is>
      </x:c>
      <x:c r="G71" s="8">
        <x:f>SUMIFS($D$6:$D$681,$A$6:$A$681,A71)</x:f>
        <x:v>0.8205</x:v>
      </x:c>
      <x:c r="H71" s="9">
        <x:f>D71/G71</x:f>
        <x:v>0.1000609384521633</x:v>
      </x:c>
      <x:c r="I71" s="2" t="inlineStr">
        <x:is>
          <x:t xml:space="preserve">Medium</x:t>
        </x:is>
      </x:c>
      <x:c r="J71" s="2" t="inlineStr">
        <x:is>
          <x:t xml:space="preserve">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x:t>
        </x:is>
      </x:c>
      <x:c r="K71" s="1"/>
    </x:row>
    <x:row r="72" ht="80" customHeight="1">
      <x:c r="A72" s="2" t="inlineStr">
        <x:is>
          <x:t xml:space="preserve">Carcharhinidae</x:t>
        </x:is>
      </x:c>
      <x:c r="B72" s="2" t="inlineStr">
        <x:is>
          <x:t xml:space="preserve">Demersal sharks and rays</x:t>
        </x:is>
      </x:c>
      <x:c r="C72" s="2">
        <x:v>32</x:v>
      </x:c>
      <x:c r="D72" s="8">
        <x:v>0.001</x:v>
      </x:c>
      <x:c r="E72" s="8">
        <x:v>0.001</x:v>
      </x:c>
      <x:c r="F72" s="8" t="inlineStr">
        <x:is>
          <x:t xml:space="preserve">Model catch</x:t>
        </x:is>
      </x:c>
      <x:c r="G72" s="8">
        <x:f>SUMIFS($D$6:$D$681,$A$6:$A$681,A72)</x:f>
        <x:v>0.0017000000000000001</x:v>
      </x:c>
      <x:c r="H72" s="9">
        <x:f>D72/G72</x:f>
        <x:v>0.5882352941176471</x:v>
      </x:c>
      <x:c r="I72" s="2" t="inlineStr">
        <x:is>
          <x:t xml:space="preserve">Medium</x:t>
        </x:is>
      </x:c>
      <x:c r="J72"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K72" s="1"/>
    </x:row>
    <x:row r="73" ht="80" customHeight="1">
      <x:c r="A73" s="2" t="inlineStr">
        <x:is>
          <x:t xml:space="preserve">Carcharhinidae</x:t>
        </x:is>
      </x:c>
      <x:c r="B73" s="2" t="inlineStr">
        <x:is>
          <x:t xml:space="preserve">Pelagic sharks and rays</x:t>
        </x:is>
      </x:c>
      <x:c r="C73" s="2">
        <x:v>33</x:v>
      </x:c>
      <x:c r="D73" s="8">
        <x:v>0.0007</x:v>
      </x:c>
      <x:c r="E73" s="8">
        <x:v>0.0011</x:v>
      </x:c>
      <x:c r="F73" s="8" t="inlineStr">
        <x:is>
          <x:t xml:space="preserve">Model catch</x:t>
        </x:is>
      </x:c>
      <x:c r="G73" s="8">
        <x:f>SUMIFS($D$6:$D$681,$A$6:$A$681,A73)</x:f>
        <x:v>0.0017000000000000001</x:v>
      </x:c>
      <x:c r="H73" s="9">
        <x:f>D73/G73</x:f>
        <x:v>0.4117647058823529</x:v>
      </x:c>
      <x:c r="I73" s="2" t="inlineStr">
        <x:is>
          <x:t xml:space="preserve">Medium</x:t>
        </x:is>
      </x:c>
      <x:c r="J73"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K73" s="1"/>
    </x:row>
    <x:row r="74" ht="80" customHeight="1">
      <x:c r="A74" s="2" t="inlineStr">
        <x:is>
          <x:t xml:space="preserve">Carcharhinus</x:t>
        </x:is>
      </x:c>
      <x:c r="B74" s="2" t="inlineStr">
        <x:is>
          <x:t xml:space="preserve">Demersal sharks and rays</x:t>
        </x:is>
      </x:c>
      <x:c r="C74" s="2">
        <x:v>32</x:v>
      </x:c>
      <x:c r="D74" s="8">
        <x:v>0.001</x:v>
      </x:c>
      <x:c r="E74" s="8">
        <x:v>0.001</x:v>
      </x:c>
      <x:c r="F74" s="8" t="inlineStr">
        <x:is>
          <x:t xml:space="preserve">Model catch</x:t>
        </x:is>
      </x:c>
      <x:c r="G74" s="8">
        <x:f>SUMIFS($D$6:$D$681,$A$6:$A$681,A74)</x:f>
        <x:v>0.0017000000000000001</x:v>
      </x:c>
      <x:c r="H74" s="9">
        <x:f>D74/G74</x:f>
        <x:v>0.5882352941176471</x:v>
      </x:c>
      <x:c r="I74" s="2" t="inlineStr">
        <x:is>
          <x:t xml:space="preserve">Medium</x:t>
        </x:is>
      </x:c>
      <x:c r="J74"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K74" s="1"/>
    </x:row>
    <x:row r="75" ht="80" customHeight="1">
      <x:c r="A75" s="2" t="inlineStr">
        <x:is>
          <x:t xml:space="preserve">Carcharhinus</x:t>
        </x:is>
      </x:c>
      <x:c r="B75" s="2" t="inlineStr">
        <x:is>
          <x:t xml:space="preserve">Pelagic sharks and rays</x:t>
        </x:is>
      </x:c>
      <x:c r="C75" s="2">
        <x:v>33</x:v>
      </x:c>
      <x:c r="D75" s="8">
        <x:v>0.0007</x:v>
      </x:c>
      <x:c r="E75" s="8">
        <x:v>0.0011</x:v>
      </x:c>
      <x:c r="F75" s="8" t="inlineStr">
        <x:is>
          <x:t xml:space="preserve">Model catch</x:t>
        </x:is>
      </x:c>
      <x:c r="G75" s="8">
        <x:f>SUMIFS($D$6:$D$681,$A$6:$A$681,A75)</x:f>
        <x:v>0.0017000000000000001</x:v>
      </x:c>
      <x:c r="H75" s="9">
        <x:f>D75/G75</x:f>
        <x:v>0.4117647058823529</x:v>
      </x:c>
      <x:c r="I75" s="2" t="inlineStr">
        <x:is>
          <x:t xml:space="preserve">Medium</x:t>
        </x:is>
      </x:c>
      <x:c r="J75" s="2" t="inlineStr">
        <x:is>
          <x:t xml:space="preserve">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t>
        </x:is>
      </x:c>
      <x:c r="K75" s="1"/>
    </x:row>
    <x:row r="76" ht="80" customHeight="1">
      <x:c r="A76" s="2" t="inlineStr">
        <x:is>
          <x:t xml:space="preserve">Carcharhinus amblyrhynchos</x:t>
        </x:is>
      </x:c>
      <x:c r="B76" s="2" t="inlineStr">
        <x:is>
          <x:t xml:space="preserve">Demersal sharks and rays</x:t>
        </x:is>
      </x:c>
      <x:c r="C76" s="2">
        <x:v>32</x:v>
      </x:c>
      <x:c r="D76" s="8">
        <x:v>0.001</x:v>
      </x:c>
      <x:c r="E76" s="8">
        <x:v>0.001</x:v>
      </x:c>
      <x:c r="F76" s="8" t="inlineStr">
        <x:is>
          <x:t xml:space="preserve">No split</x:t>
        </x:is>
      </x:c>
      <x:c r="G76" s="8">
        <x:f>SUMIFS($D$6:$D$681,$A$6:$A$681,A76)</x:f>
        <x:v>0.001</x:v>
      </x:c>
      <x:c r="H76" s="9">
        <x:f>1</x:f>
        <x:v>1</x:v>
      </x:c>
      <x:c r="I76" s="2" t="inlineStr">
        <x:is>
          <x:t xml:space="preserve">High</x:t>
        </x:is>
      </x:c>
      <x:c r="J76" s="2" t="inlineStr">
        <x:is>
          <x:t xml:space="preserve">The account describes a reef-associated coastal-pelagic shark using near-bottom waters. Both source elasmobranch habitat compartments are meaningful; a reef tag does not resolve the retained demersal-only assignment. Checked species record: 255 cm TL; Marine;  reef-associated; oceanodromous. No split is required.</x:t>
        </x:is>
      </x:c>
      <x:c r="K76" s="1"/>
    </x:row>
    <x:row r="77" ht="80" customHeight="1">
      <x:c r="A77" s="2" t="inlineStr">
        <x:is>
          <x:t xml:space="preserve">Carcharhinus falciformis</x:t>
        </x:is>
      </x:c>
      <x:c r="B77" s="2" t="inlineStr">
        <x:is>
          <x:t xml:space="preserve">Pelagic sharks and rays</x:t>
        </x:is>
      </x:c>
      <x:c r="C77" s="2">
        <x:v>33</x:v>
      </x:c>
      <x:c r="D77" s="8">
        <x:v>0.0007</x:v>
      </x:c>
      <x:c r="E77" s="8">
        <x:v>0.0011</x:v>
      </x:c>
      <x:c r="F77" s="8" t="inlineStr">
        <x:is>
          <x:t xml:space="preserve">No split</x:t>
        </x:is>
      </x:c>
      <x:c r="G77" s="8">
        <x:f>SUMIFS($D$6:$D$681,$A$6:$A$681,A77)</x:f>
        <x:v>0.0007</x:v>
      </x:c>
      <x:c r="H77" s="9">
        <x:f>1</x:f>
        <x:v>1</x:v>
      </x:c>
      <x:c r="I77" s="2" t="inlineStr">
        <x:is>
          <x:t xml:space="preserve">High</x:t>
        </x:is>
      </x:c>
      <x:c r="J77" s="2" t="inlineStr">
        <x:is>
          <x:t xml:space="preserve">Predominantly epipelagic/tuna-associated ecology supports the pelagic shark pool, but documented near-bottom shelf/slope use prevents an exclusive habitat claim without a model operational rule. Checked species record: 350 cm TL; Marine;  reef-associated; oceanodromous. No split is required.</x:t>
        </x:is>
      </x:c>
      <x:c r="K77" s="1"/>
    </x:row>
    <x:row r="78" ht="96" customHeight="1">
      <x:c r="A78" s="2" t="inlineStr">
        <x:is>
          <x:t xml:space="preserve">Carcharhinus longimanus</x:t>
        </x:is>
      </x:c>
      <x:c r="B78" s="2" t="inlineStr">
        <x:is>
          <x:t xml:space="preserve">Pelagic sharks and rays</x:t>
        </x:is>
      </x:c>
      <x:c r="C78" s="2">
        <x:v>33</x:v>
      </x:c>
      <x:c r="D78" s="8">
        <x:v>0.0007</x:v>
      </x:c>
      <x:c r="E78" s="8">
        <x:v>0.0011</x:v>
      </x:c>
      <x:c r="F78" s="8" t="inlineStr">
        <x:is>
          <x:t xml:space="preserve">No split</x:t>
        </x:is>
      </x:c>
      <x:c r="G78" s="8">
        <x:f>SUMIFS($D$6:$D$681,$A$6:$A$681,A78)</x:f>
        <x:v>0.0007</x:v>
      </x:c>
      <x:c r="H78" s="9">
        <x:f>1</x:f>
        <x:v>1</x:v>
      </x:c>
      <x:c r="I78" s="2" t="inlineStr">
        <x:is>
          <x:t xml:space="preserve">High</x:t>
        </x:is>
      </x:c>
      <x:c r="J78"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400 cm TL; Marine;  pelagic-oceanic; oceanodromous. No split is required.</x:t>
        </x:is>
      </x:c>
      <x:c r="K78" s="1"/>
    </x:row>
    <x:row r="79" ht="72" customHeight="1">
      <x:c r="A79" s="2" t="inlineStr">
        <x:is>
          <x:t xml:space="preserve">Cephalopholis boenak</x:t>
        </x:is>
      </x:c>
      <x:c r="B79" s="2" t="inlineStr">
        <x:is>
          <x:t xml:space="preserve">Adult groupers</x:t>
        </x:is>
      </x:c>
      <x:c r="C79" s="2">
        <x:v>20</x:v>
      </x:c>
      <x:c r="D79" s="8">
        <x:v>0.0089</x:v>
      </x:c>
      <x:c r="E79" s="8">
        <x:v>0.0064</x:v>
      </x:c>
      <x:c r="F79" s="8" t="inlineStr">
        <x:is>
          <x:t xml:space="preserve">No split</x:t>
        </x:is>
      </x:c>
      <x:c r="G79" s="8">
        <x:f>SUMIFS($D$6:$D$681,$A$6:$A$681,A79)</x:f>
        <x:v>0.0089</x:v>
      </x:c>
      <x:c r="H79" s="9">
        <x:f>1</x:f>
        <x:v>1</x:v>
      </x:c>
      <x:c r="I79" s="2" t="inlineStr">
        <x:is>
          <x:t xml:space="preserve">High</x:t>
        </x:is>
      </x:c>
      <x:c r="J79" s="2" t="inlineStr">
        <x:is>
          <x:t xml:space="preserve">Cephalopholis boenak fits the source Serranidae concept. The thesis defines one family pool and no juvenile grouper stanza; the stored word Adult does not by itself establish an age restriction. No split is required.</x:t>
        </x:is>
      </x:c>
      <x:c r="K79" s="1"/>
    </x:row>
    <x:row r="80" ht="72" customHeight="1">
      <x:c r="A80" s="2" t="inlineStr">
        <x:is>
          <x:t xml:space="preserve">Cephalopoda</x:t>
        </x:is>
      </x:c>
      <x:c r="B80" s="2" t="inlineStr">
        <x:is>
          <x:t xml:space="preserve">Cephalopods</x:t>
        </x:is>
      </x:c>
      <x:c r="C80" s="2">
        <x:v>12</x:v>
      </x:c>
      <x:c r="D80" s="8">
        <x:v>0.2733</x:v>
      </x:c>
      <x:c r="E80" s="8">
        <x:v>0.68</x:v>
      </x:c>
      <x:c r="F80" s="8" t="inlineStr">
        <x:is>
          <x:t xml:space="preserve">No split</x:t>
        </x:is>
      </x:c>
      <x:c r="G80" s="8">
        <x:f>SUMIFS($D$6:$D$681,$A$6:$A$681,A80)</x:f>
        <x:v>0.2733</x:v>
      </x:c>
      <x:c r="H80" s="9">
        <x:f>1</x:f>
        <x:v>1</x:v>
      </x:c>
      <x:c r="I80" s="2" t="inlineStr">
        <x:is>
          <x:t xml:space="preserve">High</x:t>
        </x:is>
      </x:c>
      <x:c r="J80" s="2" t="inlineStr">
        <x:is>
          <x:t xml:space="preserve">Cephalopoda is within Cephalopoda. Biomass estimation from two dominant Loligo species does not restrict the source group to those species or to squid. No split is required.</x:t>
        </x:is>
      </x:c>
      <x:c r="K80" s="1"/>
    </x:row>
    <x:row r="81" ht="72" customHeight="1">
      <x:c r="A81" s="2" t="inlineStr">
        <x:is>
          <x:t xml:space="preserve">Cephea</x:t>
        </x:is>
      </x:c>
      <x:c r="B81" s="2" t="inlineStr">
        <x:is>
          <x:t xml:space="preserve">Jellyfish</x:t>
        </x:is>
      </x:c>
      <x:c r="C81" s="2">
        <x:v>4</x:v>
      </x:c>
      <x:c r="D81" s="8">
        <x:v>0.044</x:v>
      </x:c>
      <x:c r="E81" s="8">
        <x:v>1.53</x:v>
      </x:c>
      <x:c r="F81" s="8" t="inlineStr">
        <x:is>
          <x:t xml:space="preserve">No split</x:t>
        </x:is>
      </x:c>
      <x:c r="G81" s="8">
        <x:f>SUMIFS($D$6:$D$681,$A$6:$A$681,A81)</x:f>
        <x:v>0.044</x:v>
      </x:c>
      <x:c r="H81" s="9">
        <x:f>1</x:f>
        <x:v>1</x:v>
      </x:c>
      <x:c r="I81" s="2" t="inlineStr">
        <x:is>
          <x:t xml:space="preserve">High</x:t>
        </x:is>
      </x:c>
      <x:c r="J81" s="2" t="inlineStr">
        <x:is>
          <x:t xml:space="preserve">Cephea is a scyphozoan jellyfish lineage fitting the source Cnidaria-medusae and landed-jellyfish concept, rather than all Cnidaria. No split is required.</x:t>
        </x:is>
      </x:c>
      <x:c r="K81" s="1"/>
    </x:row>
    <x:row r="82" ht="80" customHeight="1">
      <x:c r="A82" s="2" t="inlineStr">
        <x:is>
          <x:t xml:space="preserve">Chaetodontidae</x:t>
        </x:is>
      </x:c>
      <x:c r="B82" s="2" t="inlineStr">
        <x:is>
          <x:t xml:space="preserve">Demesral fish (≤ 30 cm)</x:t>
        </x:is>
      </x:c>
      <x:c r="C82" s="2">
        <x:v>24</x:v>
      </x:c>
      <x:c r="D82" s="8">
        <x:v>0.1788</x:v>
      </x:c>
      <x:c r="E82" s="8">
        <x:v>0.316</x:v>
      </x:c>
      <x:c r="F82" s="8" t="inlineStr">
        <x:is>
          <x:t xml:space="preserve">No split</x:t>
        </x:is>
      </x:c>
      <x:c r="G82" s="8">
        <x:f>SUMIFS($D$6:$D$681,$A$6:$A$681,A82)</x:f>
        <x:v>0.1788</x:v>
      </x:c>
      <x:c r="H82" s="9">
        <x:f>1</x:f>
        <x:v>1</x:v>
      </x:c>
      <x:c r="I82" s="2" t="inlineStr">
        <x:is>
          <x:t xml:space="preserve">High</x:t>
        </x:is>
      </x:c>
      <x:c r="J82" s="2" t="inlineStr">
        <x:is>
          <x:t xml:space="preserve">The catch classifier and family ecology support a small reef/demersal interpretation after dedicated pools are excluded. No source reef compartment or complete regional family-by-size boundary was established; the ecological interpretation remains an assumption. No split is required.</x:t>
        </x:is>
      </x:c>
      <x:c r="K82" s="1"/>
    </x:row>
    <x:row r="83" ht="80" customHeight="1">
      <x:c r="A83" s="2" t="inlineStr">
        <x:is>
          <x:t xml:space="preserve">Chanos chanos</x:t>
        </x:is>
      </x:c>
      <x:c r="B83" s="2" t="inlineStr">
        <x:is>
          <x:t xml:space="preserve">Benthopelagic fish</x:t>
        </x:is>
      </x:c>
      <x:c r="C83" s="2">
        <x:v>27</x:v>
      </x:c>
      <x:c r="D83" s="8">
        <x:v>0.6025</x:v>
      </x:c>
      <x:c r="E83" s="8">
        <x:v>0.922</x:v>
      </x:c>
      <x:c r="F83" s="8" t="inlineStr">
        <x:is>
          <x:t xml:space="preserve">No split</x:t>
        </x:is>
      </x:c>
      <x:c r="G83" s="8">
        <x:f>SUMIFS($D$6:$D$681,$A$6:$A$681,A83)</x:f>
        <x:v>0.6025</x:v>
      </x:c>
      <x:c r="H83" s="9">
        <x:f>1</x:f>
        <x:v>1</x:v>
      </x:c>
      <x:c r="I83" s="2" t="inlineStr">
        <x:is>
          <x:t xml:space="preserve">High</x:t>
        </x:is>
      </x:c>
      <x:c r="J83" s="2" t="inlineStr">
        <x:is>
          <x:t xml:space="preserve">FAO reports a very large species (180 cm SL) with coastal nursery and marine habitat shifts. This does not establish sole membership in final 27, whose parameters resemble the appendix small-benthopelagic group; size scope and adult water-column use remain material. No split is required.</x:t>
        </x:is>
      </x:c>
      <x:c r="K83" s="1"/>
    </x:row>
    <x:row r="84" ht="72" customHeight="1">
      <x:c r="A84" s="2" t="inlineStr">
        <x:is>
          <x:t xml:space="preserve">Charybdis</x:t>
        </x:is>
      </x:c>
      <x:c r="B84" s="2" t="inlineStr">
        <x:is>
          <x:t xml:space="preserve">Crabs</x:t>
        </x:is>
      </x:c>
      <x:c r="C84" s="2">
        <x:v>11</x:v>
      </x:c>
      <x:c r="D84" s="8">
        <x:v>0.1997</x:v>
      </x:c>
      <x:c r="E84" s="8">
        <x:v>0.368</x:v>
      </x:c>
      <x:c r="F84" s="8" t="inlineStr">
        <x:is>
          <x:t xml:space="preserve">No split</x:t>
        </x:is>
      </x:c>
      <x:c r="G84" s="8">
        <x:f>SUMIFS($D$6:$D$681,$A$6:$A$681,A84)</x:f>
        <x:v>0.1997</x:v>
      </x:c>
      <x:c r="H84" s="9">
        <x:f>1</x:f>
        <x:v>1</x:v>
      </x:c>
      <x:c r="I84" s="2" t="inlineStr">
        <x:is>
          <x:t xml:space="preserve">High</x:t>
        </x:is>
      </x:c>
      <x:c r="J84" s="2" t="inlineStr">
        <x:is>
          <x:t xml:space="preserve">Charybdis is a true-crab lineage within Crabs. The residual benthic-crustacean group expressly excludes crabs, so is not a competing placement. No split is required.</x:t>
        </x:is>
      </x:c>
      <x:c r="K84" s="1"/>
    </x:row>
    <x:row r="85" ht="72" customHeight="1">
      <x:c r="A85" s="2" t="inlineStr">
        <x:is>
          <x:t xml:space="preserve">Charybdis anisodon</x:t>
        </x:is>
      </x:c>
      <x:c r="B85" s="2" t="inlineStr">
        <x:is>
          <x:t xml:space="preserve">Crabs</x:t>
        </x:is>
      </x:c>
      <x:c r="C85" s="2">
        <x:v>11</x:v>
      </x:c>
      <x:c r="D85" s="8">
        <x:v>0.1997</x:v>
      </x:c>
      <x:c r="E85" s="8">
        <x:v>0.368</x:v>
      </x:c>
      <x:c r="F85" s="8" t="inlineStr">
        <x:is>
          <x:t xml:space="preserve">No split</x:t>
        </x:is>
      </x:c>
      <x:c r="G85" s="8">
        <x:f>SUMIFS($D$6:$D$681,$A$6:$A$681,A85)</x:f>
        <x:v>0.1997</x:v>
      </x:c>
      <x:c r="H85" s="9">
        <x:f>1</x:f>
        <x:v>1</x:v>
      </x:c>
      <x:c r="I85" s="2" t="inlineStr">
        <x:is>
          <x:t xml:space="preserve">High</x:t>
        </x:is>
      </x:c>
      <x:c r="J85" s="2" t="inlineStr">
        <x:is>
          <x:t xml:space="preserve">Charybdis anisodon is a true-crab lineage within Crabs. The residual benthic-crustacean group expressly excludes crabs, so is not a competing placement. No split is required.</x:t>
        </x:is>
      </x:c>
      <x:c r="K85" s="1"/>
    </x:row>
    <x:row r="86" ht="80" customHeight="1">
      <x:c r="A86" s="2" t="inlineStr">
        <x:is>
          <x:t xml:space="preserve">Charybdis feriatus</x:t>
        </x:is>
      </x:c>
      <x:c r="B86" s="2" t="inlineStr">
        <x:is>
          <x:t xml:space="preserve">Crabs</x:t>
        </x:is>
      </x:c>
      <x:c r="C86" s="2">
        <x:v>11</x:v>
      </x:c>
      <x:c r="D86" s="8">
        <x:v>0.1997</x:v>
      </x:c>
      <x:c r="E86" s="8">
        <x:v>0.368</x:v>
      </x:c>
      <x:c r="F86" s="8" t="inlineStr">
        <x:is>
          <x:t xml:space="preserve">No split</x:t>
        </x:is>
      </x:c>
      <x:c r="G86" s="8">
        <x:f>SUMIFS($D$6:$D$681,$A$6:$A$681,A86)</x:f>
        <x:v>0.1997</x:v>
      </x:c>
      <x:c r="H86" s="9">
        <x:f>1</x:f>
        <x:v>1</x:v>
      </x:c>
      <x:c r="I86" s="2" t="inlineStr">
        <x:is>
          <x:t xml:space="preserve">High</x:t>
        </x:is>
      </x:c>
      <x:c r="J86" s="2" t="inlineStr">
        <x:is>
          <x:t xml:space="preserve">Charybdis feriatus is a true-crab lineage within Crabs. The residual benthic-crustacean group expressly excludes crabs, so is not a competing placement. The failed exact WoRMS spelling lookup is not treated as a verified synonym. No split is required.</x:t>
        </x:is>
      </x:c>
      <x:c r="K86" s="1"/>
    </x:row>
    <x:row r="87" ht="128" customHeight="1">
      <x:c r="A87" s="2" t="inlineStr">
        <x:is>
          <x:t xml:space="preserve">Cheilopogon unicolor</x:t>
        </x:is>
      </x:c>
      <x:c r="B87" s="2" t="inlineStr">
        <x:is>
          <x:t xml:space="preserve">Juvenile large pelagic fish</x:t>
        </x:is>
      </x:c>
      <x:c r="C87" s="2">
        <x:v>30</x:v>
      </x:c>
      <x:c r="D87" s="8">
        <x:v>0.7384</x:v>
      </x:c>
      <x:c r="E87" s="8">
        <x:v>0.289</x:v>
      </x:c>
      <x:c r="F87" s="8" t="inlineStr">
        <x:is>
          <x:t xml:space="preserve">Model catch</x:t>
        </x:is>
      </x:c>
      <x:c r="G87" s="8">
        <x:f>SUMIFS($D$6:$D$681,$A$6:$A$681,A87)</x:f>
        <x:v>0.8205</x:v>
      </x:c>
      <x:c r="H87" s="9">
        <x:f>D87/G87</x:f>
        <x:v>0.8999390615478366</x:v>
      </x:c>
      <x:c r="I87" s="2" t="inlineStr">
        <x:is>
          <x:t xml:space="preserve">Medium</x:t>
        </x:is>
      </x:c>
      <x:c r="J8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x:t>
        </x:is>
      </x:c>
      <x:c r="K87" s="1"/>
    </x:row>
    <x:row r="88" ht="128" customHeight="1">
      <x:c r="A88" s="2" t="inlineStr">
        <x:is>
          <x:t xml:space="preserve">Cheilopogon unicolor</x:t>
        </x:is>
      </x:c>
      <x:c r="B88" s="2" t="inlineStr">
        <x:is>
          <x:t xml:space="preserve">Pelagic fish (&gt; 30 cm)</x:t>
        </x:is>
      </x:c>
      <x:c r="C88" s="2">
        <x:v>31</x:v>
      </x:c>
      <x:c r="D88" s="8">
        <x:v>0.0821</x:v>
      </x:c>
      <x:c r="E88" s="8">
        <x:v>0.079</x:v>
      </x:c>
      <x:c r="F88" s="8" t="inlineStr">
        <x:is>
          <x:t xml:space="preserve">Model catch</x:t>
        </x:is>
      </x:c>
      <x:c r="G88" s="8">
        <x:f>SUMIFS($D$6:$D$681,$A$6:$A$681,A88)</x:f>
        <x:v>0.8205</x:v>
      </x:c>
      <x:c r="H88" s="9">
        <x:f>D88/G88</x:f>
        <x:v>0.1000609384521633</x:v>
      </x:c>
      <x:c r="I88" s="2" t="inlineStr">
        <x:is>
          <x:t xml:space="preserve">Medium</x:t>
        </x:is>
      </x:c>
      <x:c r="J88"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x:t>
        </x:is>
      </x:c>
      <x:c r="K88" s="1"/>
    </x:row>
    <x:row r="89" ht="96" customHeight="1">
      <x:c r="A89" s="2" t="inlineStr">
        <x:is>
          <x:t xml:space="preserve">Chelidonichthys kumu</x:t>
        </x:is>
      </x:c>
      <x:c r="B89" s="2" t="inlineStr">
        <x:is>
          <x:t xml:space="preserve">Juvenile demersal fish (&gt; 30 cm)</x:t>
        </x:is>
      </x:c>
      <x:c r="C89" s="2">
        <x:v>25</x:v>
      </x:c>
      <x:c r="D89" s="8">
        <x:v>0.3165</x:v>
      </x:c>
      <x:c r="E89" s="8">
        <x:v>0.143</x:v>
      </x:c>
      <x:c r="F89" s="8" t="inlineStr">
        <x:is>
          <x:t xml:space="preserve">Model catch</x:t>
        </x:is>
      </x:c>
      <x:c r="G89" s="8">
        <x:f>SUMIFS($D$6:$D$681,$A$6:$A$681,A89)</x:f>
        <x:v>0.3517</x:v>
      </x:c>
      <x:c r="H89" s="9">
        <x:f>D89/G89</x:f>
        <x:v>0.8999147000284333</x:v>
      </x:c>
      <x:c r="I89" s="2" t="inlineStr">
        <x:is>
          <x:t xml:space="preserve">Medium</x:t>
        </x:is>
      </x:c>
      <x:c r="J89" s="2" t="inlineStr">
        <x:is>
          <x:t xml:space="preserve">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x:t>
        </x:is>
      </x:c>
      <x:c r="K89" s="1"/>
    </x:row>
    <x:row r="90" ht="96" customHeight="1">
      <x:c r="A90" s="2" t="inlineStr">
        <x:is>
          <x:t xml:space="preserve">Chelidonichthys kumu</x:t>
        </x:is>
      </x:c>
      <x:c r="B90" s="2" t="inlineStr">
        <x:is>
          <x:t xml:space="preserve">Adult demersal fish (&gt; 30 cm)</x:t>
        </x:is>
      </x:c>
      <x:c r="C90" s="2">
        <x:v>26</x:v>
      </x:c>
      <x:c r="D90" s="8">
        <x:v>0.0352</x:v>
      </x:c>
      <x:c r="E90" s="8">
        <x:v>0.021</x:v>
      </x:c>
      <x:c r="F90" s="8" t="inlineStr">
        <x:is>
          <x:t xml:space="preserve">Model catch</x:t>
        </x:is>
      </x:c>
      <x:c r="G90" s="8">
        <x:f>SUMIFS($D$6:$D$681,$A$6:$A$681,A90)</x:f>
        <x:v>0.3517</x:v>
      </x:c>
      <x:c r="H90" s="9">
        <x:f>D90/G90</x:f>
        <x:v>0.1000852999715667</x:v>
      </x:c>
      <x:c r="I90" s="2" t="inlineStr">
        <x:is>
          <x:t xml:space="preserve">Medium</x:t>
        </x:is>
      </x:c>
      <x:c r="J90" s="2" t="inlineStr">
        <x:is>
          <x:t xml:space="preserve">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x:t>
        </x:is>
      </x:c>
      <x:c r="K90" s="1"/>
    </x:row>
    <x:row r="91" ht="80" customHeight="1">
      <x:c r="A91" s="2" t="inlineStr">
        <x:is>
          <x:t xml:space="preserve">Chirocentrus</x:t>
        </x:is>
      </x:c>
      <x:c r="B91" s="2" t="inlineStr">
        <x:is>
          <x:t xml:space="preserve">Juvenile large pelagic fish</x:t>
        </x:is>
      </x:c>
      <x:c r="C91" s="2">
        <x:v>30</x:v>
      </x:c>
      <x:c r="D91" s="8">
        <x:v>0.7384</x:v>
      </x:c>
      <x:c r="E91" s="8">
        <x:v>0.289</x:v>
      </x:c>
      <x:c r="F91" s="8" t="inlineStr">
        <x:is>
          <x:t xml:space="preserve">Model catch</x:t>
        </x:is>
      </x:c>
      <x:c r="G91" s="8">
        <x:f>SUMIFS($D$6:$D$681,$A$6:$A$681,A91)</x:f>
        <x:v>0.8205</x:v>
      </x:c>
      <x:c r="H91" s="9">
        <x:f>D91/G91</x:f>
        <x:v>0.8999390615478366</x:v>
      </x:c>
      <x:c r="I91" s="2" t="inlineStr">
        <x:is>
          <x:t xml:space="preserve">Medium</x:t>
        </x:is>
      </x:c>
      <x:c r="J91" s="2" t="inlineStr">
        <x:is>
          <x:t xml:space="preserve">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x:t>
        </x:is>
      </x:c>
      <x:c r="K91" s="1"/>
    </x:row>
    <x:row r="92" ht="80" customHeight="1">
      <x:c r="A92" s="2" t="inlineStr">
        <x:is>
          <x:t xml:space="preserve">Chirocentrus</x:t>
        </x:is>
      </x:c>
      <x:c r="B92" s="2" t="inlineStr">
        <x:is>
          <x:t xml:space="preserve">Pelagic fish (&gt; 30 cm)</x:t>
        </x:is>
      </x:c>
      <x:c r="C92" s="2">
        <x:v>31</x:v>
      </x:c>
      <x:c r="D92" s="8">
        <x:v>0.0821</x:v>
      </x:c>
      <x:c r="E92" s="8">
        <x:v>0.079</x:v>
      </x:c>
      <x:c r="F92" s="8" t="inlineStr">
        <x:is>
          <x:t xml:space="preserve">Model catch</x:t>
        </x:is>
      </x:c>
      <x:c r="G92" s="8">
        <x:f>SUMIFS($D$6:$D$681,$A$6:$A$681,A92)</x:f>
        <x:v>0.8205</x:v>
      </x:c>
      <x:c r="H92" s="9">
        <x:f>D92/G92</x:f>
        <x:v>0.1000609384521633</x:v>
      </x:c>
      <x:c r="I92" s="2" t="inlineStr">
        <x:is>
          <x:t xml:space="preserve">Medium</x:t>
        </x:is>
      </x:c>
      <x:c r="J92" s="2" t="inlineStr">
        <x:is>
          <x:t xml:space="preserve">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x:t>
        </x:is>
      </x:c>
      <x:c r="K92" s="1"/>
    </x:row>
    <x:row r="93" ht="96" customHeight="1">
      <x:c r="A93" s="2" t="inlineStr">
        <x:is>
          <x:t xml:space="preserve">Chirocentrus dorab</x:t>
        </x:is>
      </x:c>
      <x:c r="B93" s="2" t="inlineStr">
        <x:is>
          <x:t xml:space="preserve">Juvenile large pelagic fish</x:t>
        </x:is>
      </x:c>
      <x:c r="C93" s="2">
        <x:v>30</x:v>
      </x:c>
      <x:c r="D93" s="8">
        <x:v>0.7384</x:v>
      </x:c>
      <x:c r="E93" s="8">
        <x:v>0.289</x:v>
      </x:c>
      <x:c r="F93" s="8" t="inlineStr">
        <x:is>
          <x:t xml:space="preserve">Model catch</x:t>
        </x:is>
      </x:c>
      <x:c r="G93" s="8">
        <x:f>SUMIFS($D$6:$D$681,$A$6:$A$681,A93)</x:f>
        <x:v>0.8205</x:v>
      </x:c>
      <x:c r="H93" s="9">
        <x:f>D93/G93</x:f>
        <x:v>0.8999390615478366</x:v>
      </x:c>
      <x:c r="I93" s="2" t="inlineStr">
        <x:is>
          <x:t xml:space="preserve">Medium</x:t>
        </x:is>
      </x:c>
      <x:c r="J93" s="2" t="inlineStr">
        <x:is>
          <x:t xml:space="preserve">FAO identifies a coastal pelagic wolf-herring with maximum 100 cm SL, securely above 30 cm TL. The large pelagic pair replaces group 27; neither a reef tag nor common-name herring makes this a benthopelagic or small species. Source-model catch proportions supply an assumed fixed 1950–2019/all-bases mixture; they are not observed taxon-specific catches.</x:t>
        </x:is>
      </x:c>
      <x:c r="K93" s="1"/>
    </x:row>
    <x:row r="94" ht="96" customHeight="1">
      <x:c r="A94" s="2" t="inlineStr">
        <x:is>
          <x:t xml:space="preserve">Chirocentrus dorab</x:t>
        </x:is>
      </x:c>
      <x:c r="B94" s="2" t="inlineStr">
        <x:is>
          <x:t xml:space="preserve">Pelagic fish (&gt; 30 cm)</x:t>
        </x:is>
      </x:c>
      <x:c r="C94" s="2">
        <x:v>31</x:v>
      </x:c>
      <x:c r="D94" s="8">
        <x:v>0.0821</x:v>
      </x:c>
      <x:c r="E94" s="8">
        <x:v>0.079</x:v>
      </x:c>
      <x:c r="F94" s="8" t="inlineStr">
        <x:is>
          <x:t xml:space="preserve">Model catch</x:t>
        </x:is>
      </x:c>
      <x:c r="G94" s="8">
        <x:f>SUMIFS($D$6:$D$681,$A$6:$A$681,A94)</x:f>
        <x:v>0.8205</x:v>
      </x:c>
      <x:c r="H94" s="9">
        <x:f>D94/G94</x:f>
        <x:v>0.10006093845216332</x:v>
      </x:c>
      <x:c r="I94" s="2" t="inlineStr">
        <x:is>
          <x:t xml:space="preserve">Medium</x:t>
        </x:is>
      </x:c>
      <x:c r="J94" s="2" t="inlineStr">
        <x:is>
          <x:t xml:space="preserve">FAO identifies a coastal pelagic wolf-herring with maximum 100 cm SL, securely above 30 cm TL. The large pelagic pair replaces group 27; neither a reef tag nor common-name herring makes this a benthopelagic or small species. Source-model catch proportions supply an assumed fixed 1950–2019/all-bases mixture; they are not observed taxon-specific catches.</x:t>
        </x:is>
      </x:c>
      <x:c r="K94" s="1"/>
    </x:row>
    <x:row r="95" ht="80" customHeight="1">
      <x:c r="A95" s="2" t="inlineStr">
        <x:is>
          <x:t xml:space="preserve">Chondrichthyes</x:t>
        </x:is>
      </x:c>
      <x:c r="B95" s="2" t="inlineStr">
        <x:is>
          <x:t xml:space="preserve">Demersal sharks and rays</x:t>
        </x:is>
      </x:c>
      <x:c r="C95" s="2">
        <x:v>32</x:v>
      </x:c>
      <x:c r="D95" s="8">
        <x:v>0.001</x:v>
      </x:c>
      <x:c r="E95" s="8">
        <x:v>0.001</x:v>
      </x:c>
      <x:c r="F95" s="8" t="inlineStr">
        <x:is>
          <x:t xml:space="preserve">Model catch</x:t>
        </x:is>
      </x:c>
      <x:c r="G95" s="8">
        <x:f>SUMIFS($D$6:$D$681,$A$6:$A$681,A95)</x:f>
        <x:v>0.0017000000000000001</x:v>
      </x:c>
      <x:c r="H95" s="9">
        <x:f>D95/G95</x:f>
        <x:v>0.5882352941176471</x:v>
      </x:c>
      <x:c r="I95" s="2" t="inlineStr">
        <x:is>
          <x:t xml:space="preserve">Medium</x:t>
        </x:is>
      </x:c>
      <x:c r="J95" s="2" t="inlineStr">
        <x:is>
          <x:t xml:space="preserve">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x:t>
        </x:is>
      </x:c>
      <x:c r="K95" s="1"/>
    </x:row>
    <x:row r="96" ht="80" customHeight="1">
      <x:c r="A96" s="2" t="inlineStr">
        <x:is>
          <x:t xml:space="preserve">Chondrichthyes</x:t>
        </x:is>
      </x:c>
      <x:c r="B96" s="2" t="inlineStr">
        <x:is>
          <x:t xml:space="preserve">Pelagic sharks and rays</x:t>
        </x:is>
      </x:c>
      <x:c r="C96" s="2">
        <x:v>33</x:v>
      </x:c>
      <x:c r="D96" s="8">
        <x:v>0.0007</x:v>
      </x:c>
      <x:c r="E96" s="8">
        <x:v>0.0011</x:v>
      </x:c>
      <x:c r="F96" s="8" t="inlineStr">
        <x:is>
          <x:t xml:space="preserve">Model catch</x:t>
        </x:is>
      </x:c>
      <x:c r="G96" s="8">
        <x:f>SUMIFS($D$6:$D$681,$A$6:$A$681,A96)</x:f>
        <x:v>0.0017000000000000001</x:v>
      </x:c>
      <x:c r="H96" s="9">
        <x:f>D96/G96</x:f>
        <x:v>0.4117647058823529</x:v>
      </x:c>
      <x:c r="I96" s="2" t="inlineStr">
        <x:is>
          <x:t xml:space="preserve">Medium</x:t>
        </x:is>
      </x:c>
      <x:c r="J96" s="2" t="inlineStr">
        <x:is>
          <x:t xml:space="preserve">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x:t>
        </x:is>
      </x:c>
      <x:c r="K96" s="1"/>
    </x:row>
    <x:row r="97" ht="80" customHeight="1">
      <x:c r="A97" s="2" t="inlineStr">
        <x:is>
          <x:t xml:space="preserve">Clupanodon thrissa</x:t>
        </x:is>
      </x:c>
      <x:c r="B97" s="2" t="inlineStr">
        <x:is>
          <x:t xml:space="preserve">Pelagic fish (≤ 30 cm)</x:t>
        </x:is>
      </x:c>
      <x:c r="C97" s="2">
        <x:v>29</x:v>
      </x:c>
      <x:c r="D97" s="8">
        <x:v>2.345</x:v>
      </x:c>
      <x:c r="E97" s="8">
        <x:v>1.772</x:v>
      </x:c>
      <x:c r="F97" s="8" t="inlineStr">
        <x:is>
          <x:t xml:space="preserve">No split</x:t>
        </x:is>
      </x:c>
      <x:c r="G97" s="8">
        <x:f>SUMIFS($D$6:$D$681,$A$6:$A$681,A97)</x:f>
        <x:v>2.345</x:v>
      </x:c>
      <x:c r="H97" s="9">
        <x:f>1</x:f>
        <x:v>1</x:v>
      </x:c>
      <x:c r="I97" s="2" t="inlineStr">
        <x:is>
          <x:t xml:space="preserve">High</x:t>
        </x:is>
      </x:c>
      <x:c r="J97" s="2" t="inlineStr">
        <x:is>
          <x:t xml:space="preserve">Pelagic ecology is supported, but maximum 26 cm SL lies near the model 30 cm TL boundary. A verified conversion or same-metric maximum is needed before excluding the large-pelagic pair. Checked species record: 26 cm SL; Marine; freshwater; brackish;  pelagic-neritic; anadromous. No split is required.</x:t>
        </x:is>
      </x:c>
      <x:c r="K97" s="1"/>
    </x:row>
    <x:row r="98" ht="80" customHeight="1">
      <x:c r="A98" s="2" t="inlineStr">
        <x:is>
          <x:t xml:space="preserve">Clupeidae</x:t>
        </x:is>
      </x:c>
      <x:c r="B98" s="2" t="inlineStr">
        <x:is>
          <x:t xml:space="preserve">Pelagic fish (≤ 30 cm)</x:t>
        </x:is>
      </x:c>
      <x:c r="C98" s="2">
        <x:v>29</x:v>
      </x:c>
      <x:c r="D98" s="8">
        <x:v>2.345</x:v>
      </x:c>
      <x:c r="E98" s="8">
        <x:v>1.772</x:v>
      </x:c>
      <x:c r="F98" s="8" t="inlineStr">
        <x:is>
          <x:t xml:space="preserve">Model catch</x:t>
        </x:is>
      </x:c>
      <x:c r="G98" s="8">
        <x:f>SUMIFS($D$6:$D$681,$A$6:$A$681,A98)</x:f>
        <x:v>3.1655</x:v>
      </x:c>
      <x:c r="H98" s="9">
        <x:f>D98/G98</x:f>
        <x:v>0.7407992418259359</x:v>
      </x:c>
      <x:c r="I98" s="2" t="inlineStr">
        <x:is>
          <x:t xml:space="preserve">Medium</x:t>
        </x:is>
      </x:c>
      <x:c r="J98" s="2" t="inlineStr">
        <x:is>
          <x:t xml:space="preserve">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t>
        </x:is>
      </x:c>
      <x:c r="K98" s="1"/>
    </x:row>
    <x:row r="99" ht="80" customHeight="1">
      <x:c r="A99" s="2" t="inlineStr">
        <x:is>
          <x:t xml:space="preserve">Clupeidae</x:t>
        </x:is>
      </x:c>
      <x:c r="B99" s="2" t="inlineStr">
        <x:is>
          <x:t xml:space="preserve">Juvenile large pelagic fish</x:t>
        </x:is>
      </x:c>
      <x:c r="C99" s="2">
        <x:v>30</x:v>
      </x:c>
      <x:c r="D99" s="8">
        <x:v>0.7384</x:v>
      </x:c>
      <x:c r="E99" s="8">
        <x:v>0.289</x:v>
      </x:c>
      <x:c r="F99" s="8" t="inlineStr">
        <x:is>
          <x:t xml:space="preserve">Model catch</x:t>
        </x:is>
      </x:c>
      <x:c r="G99" s="8">
        <x:f>SUMIFS($D$6:$D$681,$A$6:$A$681,A99)</x:f>
        <x:v>3.1655</x:v>
      </x:c>
      <x:c r="H99" s="9">
        <x:f>D99/G99</x:f>
        <x:v>0.233264887063655</x:v>
      </x:c>
      <x:c r="I99" s="2" t="inlineStr">
        <x:is>
          <x:t xml:space="preserve">Medium</x:t>
        </x:is>
      </x:c>
      <x:c r="J99" s="2" t="inlineStr">
        <x:is>
          <x:t xml:space="preserve">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t>
        </x:is>
      </x:c>
      <x:c r="K99" s="1"/>
    </x:row>
    <x:row r="100" ht="80" customHeight="1">
      <x:c r="A100" s="2" t="inlineStr">
        <x:is>
          <x:t xml:space="preserve">Clupeidae</x:t>
        </x:is>
      </x:c>
      <x:c r="B100" s="2" t="inlineStr">
        <x:is>
          <x:t xml:space="preserve">Pelagic fish (&gt; 30 cm)</x:t>
        </x:is>
      </x:c>
      <x:c r="C100" s="2">
        <x:v>31</x:v>
      </x:c>
      <x:c r="D100" s="8">
        <x:v>0.0821</x:v>
      </x:c>
      <x:c r="E100" s="8">
        <x:v>0.079</x:v>
      </x:c>
      <x:c r="F100" s="8" t="inlineStr">
        <x:is>
          <x:t xml:space="preserve">Model catch</x:t>
        </x:is>
      </x:c>
      <x:c r="G100" s="8">
        <x:f>SUMIFS($D$6:$D$681,$A$6:$A$681,A100)</x:f>
        <x:v>3.1655</x:v>
      </x:c>
      <x:c r="H100" s="9">
        <x:f>D100/G100</x:f>
        <x:v>0.025935871110409098</x:v>
      </x:c>
      <x:c r="I100" s="2" t="inlineStr">
        <x:is>
          <x:t xml:space="preserve">Medium</x:t>
        </x:is>
      </x:c>
      <x:c r="J100" s="2" t="inlineStr">
        <x:is>
          <x:t xml:space="preserve">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t>
        </x:is>
      </x:c>
      <x:c r="K100" s="1"/>
    </x:row>
    <x:row r="101" ht="80" customHeight="1">
      <x:c r="A101" s="2" t="inlineStr">
        <x:is>
          <x:t xml:space="preserve">Clupeiformes</x:t>
        </x:is>
      </x:c>
      <x:c r="B101" s="2" t="inlineStr">
        <x:is>
          <x:t xml:space="preserve">Pelagic fish (≤ 30 cm)</x:t>
        </x:is>
      </x:c>
      <x:c r="C101" s="2">
        <x:v>29</x:v>
      </x:c>
      <x:c r="D101" s="8">
        <x:v>2.345</x:v>
      </x:c>
      <x:c r="E101" s="8">
        <x:v>1.772</x:v>
      </x:c>
      <x:c r="F101" s="8" t="inlineStr">
        <x:is>
          <x:t xml:space="preserve">Model catch</x:t>
        </x:is>
      </x:c>
      <x:c r="G101" s="8">
        <x:f>SUMIFS($D$6:$D$681,$A$6:$A$681,A101)</x:f>
        <x:v>3.1655</x:v>
      </x:c>
      <x:c r="H101" s="9">
        <x:f>D101/G101</x:f>
        <x:v>0.7407992418259359</x:v>
      </x:c>
      <x:c r="I101" s="2" t="inlineStr">
        <x:is>
          <x:t xml:space="preserve">Medium</x:t>
        </x:is>
      </x:c>
      <x:c r="J101" s="2" t="inlineStr">
        <x:is>
          <x:t xml:space="preserve">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t>
        </x:is>
      </x:c>
      <x:c r="K101" s="1"/>
    </x:row>
    <x:row r="102" ht="80" customHeight="1">
      <x:c r="A102" s="2" t="inlineStr">
        <x:is>
          <x:t xml:space="preserve">Clupeiformes</x:t>
        </x:is>
      </x:c>
      <x:c r="B102" s="2" t="inlineStr">
        <x:is>
          <x:t xml:space="preserve">Juvenile large pelagic fish</x:t>
        </x:is>
      </x:c>
      <x:c r="C102" s="2">
        <x:v>30</x:v>
      </x:c>
      <x:c r="D102" s="8">
        <x:v>0.7384</x:v>
      </x:c>
      <x:c r="E102" s="8">
        <x:v>0.289</x:v>
      </x:c>
      <x:c r="F102" s="8" t="inlineStr">
        <x:is>
          <x:t xml:space="preserve">Model catch</x:t>
        </x:is>
      </x:c>
      <x:c r="G102" s="8">
        <x:f>SUMIFS($D$6:$D$681,$A$6:$A$681,A102)</x:f>
        <x:v>3.1655</x:v>
      </x:c>
      <x:c r="H102" s="9">
        <x:f>D102/G102</x:f>
        <x:v>0.233264887063655</x:v>
      </x:c>
      <x:c r="I102" s="2" t="inlineStr">
        <x:is>
          <x:t xml:space="preserve">Medium</x:t>
        </x:is>
      </x:c>
      <x:c r="J102" s="2" t="inlineStr">
        <x:is>
          <x:t xml:space="preserve">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t>
        </x:is>
      </x:c>
      <x:c r="K102" s="1"/>
    </x:row>
    <x:row r="103" ht="80" customHeight="1">
      <x:c r="A103" s="2" t="inlineStr">
        <x:is>
          <x:t xml:space="preserve">Clupeiformes</x:t>
        </x:is>
      </x:c>
      <x:c r="B103" s="2" t="inlineStr">
        <x:is>
          <x:t xml:space="preserve">Pelagic fish (&gt; 30 cm)</x:t>
        </x:is>
      </x:c>
      <x:c r="C103" s="2">
        <x:v>31</x:v>
      </x:c>
      <x:c r="D103" s="8">
        <x:v>0.0821</x:v>
      </x:c>
      <x:c r="E103" s="8">
        <x:v>0.079</x:v>
      </x:c>
      <x:c r="F103" s="8" t="inlineStr">
        <x:is>
          <x:t xml:space="preserve">Model catch</x:t>
        </x:is>
      </x:c>
      <x:c r="G103" s="8">
        <x:f>SUMIFS($D$6:$D$681,$A$6:$A$681,A103)</x:f>
        <x:v>3.1655</x:v>
      </x:c>
      <x:c r="H103" s="9">
        <x:f>D103/G103</x:f>
        <x:v>0.025935871110409098</x:v>
      </x:c>
      <x:c r="I103" s="2" t="inlineStr">
        <x:is>
          <x:t xml:space="preserve">Medium</x:t>
        </x:is>
      </x:c>
      <x:c r="J103" s="2" t="inlineStr">
        <x:is>
          <x:t xml:space="preserve">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t>
        </x:is>
      </x:c>
      <x:c r="K103" s="1"/>
    </x:row>
    <x:row r="104" ht="128" customHeight="1">
      <x:c r="A104" s="2" t="inlineStr">
        <x:is>
          <x:t xml:space="preserve">Cololabis saira</x:t>
        </x:is>
      </x:c>
      <x:c r="B104" s="2" t="inlineStr">
        <x:is>
          <x:t xml:space="preserve">Juvenile large pelagic fish</x:t>
        </x:is>
      </x:c>
      <x:c r="C104" s="2">
        <x:v>30</x:v>
      </x:c>
      <x:c r="D104" s="8">
        <x:v>0.7384</x:v>
      </x:c>
      <x:c r="E104" s="8">
        <x:v>0.289</x:v>
      </x:c>
      <x:c r="F104" s="8" t="inlineStr">
        <x:is>
          <x:t xml:space="preserve">Model catch</x:t>
        </x:is>
      </x:c>
      <x:c r="G104" s="8">
        <x:f>SUMIFS($D$6:$D$681,$A$6:$A$681,A104)</x:f>
        <x:v>0.8205</x:v>
      </x:c>
      <x:c r="H104" s="9">
        <x:f>D104/G104</x:f>
        <x:v>0.8999390615478366</x:v>
      </x:c>
      <x:c r="I104" s="2" t="inlineStr">
        <x:is>
          <x:t xml:space="preserve">Medium</x:t>
        </x:is>
      </x:c>
      <x:c r="J10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x:t>
        </x:is>
      </x:c>
      <x:c r="K104" s="1"/>
    </x:row>
    <x:row r="105" ht="128" customHeight="1">
      <x:c r="A105" s="2" t="inlineStr">
        <x:is>
          <x:t xml:space="preserve">Cololabis saira</x:t>
        </x:is>
      </x:c>
      <x:c r="B105" s="2" t="inlineStr">
        <x:is>
          <x:t xml:space="preserve">Pelagic fish (&gt; 30 cm)</x:t>
        </x:is>
      </x:c>
      <x:c r="C105" s="2">
        <x:v>31</x:v>
      </x:c>
      <x:c r="D105" s="8">
        <x:v>0.0821</x:v>
      </x:c>
      <x:c r="E105" s="8">
        <x:v>0.079</x:v>
      </x:c>
      <x:c r="F105" s="8" t="inlineStr">
        <x:is>
          <x:t xml:space="preserve">Model catch</x:t>
        </x:is>
      </x:c>
      <x:c r="G105" s="8">
        <x:f>SUMIFS($D$6:$D$681,$A$6:$A$681,A105)</x:f>
        <x:v>0.8205</x:v>
      </x:c>
      <x:c r="H105" s="9">
        <x:f>D105/G105</x:f>
        <x:v>0.1000609384521633</x:v>
      </x:c>
      <x:c r="I105" s="2" t="inlineStr">
        <x:is>
          <x:t xml:space="preserve">Medium</x:t>
        </x:is>
      </x:c>
      <x:c r="J10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x:t>
        </x:is>
      </x:c>
      <x:c r="K105" s="1"/>
    </x:row>
    <x:row r="106" ht="96" customHeight="1">
      <x:c r="A106" s="2" t="inlineStr">
        <x:is>
          <x:t xml:space="preserve">Conger myriaster</x:t>
        </x:is>
      </x:c>
      <x:c r="B106" s="2" t="inlineStr">
        <x:is>
          <x:t xml:space="preserve">Juvenile demersal fish (&gt; 30 cm)</x:t>
        </x:is>
      </x:c>
      <x:c r="C106" s="2">
        <x:v>25</x:v>
      </x:c>
      <x:c r="D106" s="8">
        <x:v>0.3165</x:v>
      </x:c>
      <x:c r="E106" s="8">
        <x:v>0.143</x:v>
      </x:c>
      <x:c r="F106" s="8" t="inlineStr">
        <x:is>
          <x:t xml:space="preserve">Model catch</x:t>
        </x:is>
      </x:c>
      <x:c r="G106" s="8">
        <x:f>SUMIFS($D$6:$D$681,$A$6:$A$681,A106)</x:f>
        <x:v>0.3517</x:v>
      </x:c>
      <x:c r="H106" s="9">
        <x:f>D106/G106</x:f>
        <x:v>0.8999147000284333</x:v>
      </x:c>
      <x:c r="I106" s="2" t="inlineStr">
        <x:is>
          <x:t xml:space="preserve">Medium</x:t>
        </x:is>
      </x:c>
      <x:c r="J106" s="2" t="inlineStr">
        <x:is>
          <x:t xml:space="preserve">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x:t>
        </x:is>
      </x:c>
      <x:c r="K106" s="1"/>
    </x:row>
    <x:row r="107" ht="96" customHeight="1">
      <x:c r="A107" s="2" t="inlineStr">
        <x:is>
          <x:t xml:space="preserve">Conger myriaster</x:t>
        </x:is>
      </x:c>
      <x:c r="B107" s="2" t="inlineStr">
        <x:is>
          <x:t xml:space="preserve">Adult demersal fish (&gt; 30 cm)</x:t>
        </x:is>
      </x:c>
      <x:c r="C107" s="2">
        <x:v>26</x:v>
      </x:c>
      <x:c r="D107" s="8">
        <x:v>0.0352</x:v>
      </x:c>
      <x:c r="E107" s="8">
        <x:v>0.021</x:v>
      </x:c>
      <x:c r="F107" s="8" t="inlineStr">
        <x:is>
          <x:t xml:space="preserve">Model catch</x:t>
        </x:is>
      </x:c>
      <x:c r="G107" s="8">
        <x:f>SUMIFS($D$6:$D$681,$A$6:$A$681,A107)</x:f>
        <x:v>0.3517</x:v>
      </x:c>
      <x:c r="H107" s="9">
        <x:f>D107/G107</x:f>
        <x:v>0.1000852999715667</x:v>
      </x:c>
      <x:c r="I107" s="2" t="inlineStr">
        <x:is>
          <x:t xml:space="preserve">Medium</x:t>
        </x:is>
      </x:c>
      <x:c r="J107" s="2" t="inlineStr">
        <x:is>
          <x:t xml:space="preserve">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x:t>
        </x:is>
      </x:c>
      <x:c r="K107" s="1"/>
    </x:row>
    <x:row r="108" ht="96" customHeight="1">
      <x:c r="A108" s="2" t="inlineStr">
        <x:is>
          <x:t xml:space="preserve">Congridae</x:t>
        </x:is>
      </x:c>
      <x:c r="B108" s="2" t="inlineStr">
        <x:is>
          <x:t xml:space="preserve">Demesral fish (≤ 30 cm)</x:t>
        </x:is>
      </x:c>
      <x:c r="C108" s="2">
        <x:v>24</x:v>
      </x:c>
      <x:c r="D108" s="8">
        <x:v>0.1788</x:v>
      </x:c>
      <x:c r="E108" s="8">
        <x:v>0.316</x:v>
      </x:c>
      <x:c r="F108" s="8" t="inlineStr">
        <x:is>
          <x:t xml:space="preserve">Model catch</x:t>
        </x:is>
      </x:c>
      <x:c r="G108" s="8">
        <x:f>SUMIFS($D$6:$D$681,$A$6:$A$681,A108)</x:f>
        <x:v>0.5305</x:v>
      </x:c>
      <x:c r="H108" s="9">
        <x:f>D108/G108</x:f>
        <x:v>0.33704052780395855</x:v>
      </x:c>
      <x:c r="I108" s="2" t="inlineStr">
        <x:is>
          <x:t xml:space="preserve">Medium</x:t>
        </x:is>
      </x:c>
      <x:c r="J108" s="2" t="inlineStr">
        <x:is>
          <x:t xml:space="preserve">Regional demersal Ariosoma megalops (20.8 cm TL) and bottom-associated Conger myriaster (100 cm TL) support both species-size classes. Family composition is inferred; bathydemersal depth does not alone imply pelagic residence. Source-model catch proportions supply an assumed fixed 1950–2019/all-bases mixture; they are not observed taxon-specific catches.</x:t>
        </x:is>
      </x:c>
      <x:c r="K108" s="1"/>
    </x:row>
    <x:row r="109" ht="96" customHeight="1">
      <x:c r="A109" s="2" t="inlineStr">
        <x:is>
          <x:t xml:space="preserve">Congridae</x:t>
        </x:is>
      </x:c>
      <x:c r="B109" s="2" t="inlineStr">
        <x:is>
          <x:t xml:space="preserve">Juvenile demersal fish (&gt; 30 cm)</x:t>
        </x:is>
      </x:c>
      <x:c r="C109" s="2">
        <x:v>25</x:v>
      </x:c>
      <x:c r="D109" s="8">
        <x:v>0.3165</x:v>
      </x:c>
      <x:c r="E109" s="8">
        <x:v>0.143</x:v>
      </x:c>
      <x:c r="F109" s="8" t="inlineStr">
        <x:is>
          <x:t xml:space="preserve">Model catch</x:t>
        </x:is>
      </x:c>
      <x:c r="G109" s="8">
        <x:f>SUMIFS($D$6:$D$681,$A$6:$A$681,A109)</x:f>
        <x:v>0.5305</x:v>
      </x:c>
      <x:c r="H109" s="9">
        <x:f>D109/G109</x:f>
        <x:v>0.5966069745523092</x:v>
      </x:c>
      <x:c r="I109" s="2" t="inlineStr">
        <x:is>
          <x:t xml:space="preserve">Medium</x:t>
        </x:is>
      </x:c>
      <x:c r="J109" s="2" t="inlineStr">
        <x:is>
          <x:t xml:space="preserve">Regional demersal Ariosoma megalops (20.8 cm TL) and bottom-associated Conger myriaster (100 cm TL) support both species-size classes. Family composition is inferred; bathydemersal depth does not alone imply pelagic residence. Source-model catch proportions supply an assumed fixed 1950–2019/all-bases mixture; they are not observed taxon-specific catches.</x:t>
        </x:is>
      </x:c>
      <x:c r="K109" s="1"/>
    </x:row>
    <x:row r="110" ht="96" customHeight="1">
      <x:c r="A110" s="2" t="inlineStr">
        <x:is>
          <x:t xml:space="preserve">Congridae</x:t>
        </x:is>
      </x:c>
      <x:c r="B110" s="2" t="inlineStr">
        <x:is>
          <x:t xml:space="preserve">Adult demersal fish (&gt; 30 cm)</x:t>
        </x:is>
      </x:c>
      <x:c r="C110" s="2">
        <x:v>26</x:v>
      </x:c>
      <x:c r="D110" s="8">
        <x:v>0.0352</x:v>
      </x:c>
      <x:c r="E110" s="8">
        <x:v>0.021</x:v>
      </x:c>
      <x:c r="F110" s="8" t="inlineStr">
        <x:is>
          <x:t xml:space="preserve">Model catch</x:t>
        </x:is>
      </x:c>
      <x:c r="G110" s="8">
        <x:f>SUMIFS($D$6:$D$681,$A$6:$A$681,A110)</x:f>
        <x:v>0.5305</x:v>
      </x:c>
      <x:c r="H110" s="9">
        <x:f>D110/G110</x:f>
        <x:v>0.06635249764373234</x:v>
      </x:c>
      <x:c r="I110" s="2" t="inlineStr">
        <x:is>
          <x:t xml:space="preserve">Medium</x:t>
        </x:is>
      </x:c>
      <x:c r="J110" s="2" t="inlineStr">
        <x:is>
          <x:t xml:space="preserve">Regional demersal Ariosoma megalops (20.8 cm TL) and bottom-associated Conger myriaster (100 cm TL) support both species-size classes. Family composition is inferred; bathydemersal depth does not alone imply pelagic residence. Source-model catch proportions supply an assumed fixed 1950–2019/all-bases mixture; they are not observed taxon-specific catches.</x:t>
        </x:is>
      </x:c>
      <x:c r="K110" s="1"/>
    </x:row>
    <x:row r="111" ht="128" customHeight="1">
      <x:c r="A111" s="2" t="inlineStr">
        <x:is>
          <x:t xml:space="preserve">Coryphaena hippurus</x:t>
        </x:is>
      </x:c>
      <x:c r="B111" s="2" t="inlineStr">
        <x:is>
          <x:t xml:space="preserve">Juvenile large pelagic fish</x:t>
        </x:is>
      </x:c>
      <x:c r="C111" s="2">
        <x:v>30</x:v>
      </x:c>
      <x:c r="D111" s="8">
        <x:v>0.7384</x:v>
      </x:c>
      <x:c r="E111" s="8">
        <x:v>0.289</x:v>
      </x:c>
      <x:c r="F111" s="8" t="inlineStr">
        <x:is>
          <x:t xml:space="preserve">Model catch</x:t>
        </x:is>
      </x:c>
      <x:c r="G111" s="8">
        <x:f>SUMIFS($D$6:$D$681,$A$6:$A$681,A111)</x:f>
        <x:v>0.8205</x:v>
      </x:c>
      <x:c r="H111" s="9">
        <x:f>D111/G111</x:f>
        <x:v>0.8999390615478366</x:v>
      </x:c>
      <x:c r="I111" s="2" t="inlineStr">
        <x:is>
          <x:t xml:space="preserve">Medium</x:t>
        </x:is>
      </x:c>
      <x:c r="J111"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x:t>
        </x:is>
      </x:c>
      <x:c r="K111" s="1"/>
    </x:row>
    <x:row r="112" ht="128" customHeight="1">
      <x:c r="A112" s="2" t="inlineStr">
        <x:is>
          <x:t xml:space="preserve">Coryphaena hippurus</x:t>
        </x:is>
      </x:c>
      <x:c r="B112" s="2" t="inlineStr">
        <x:is>
          <x:t xml:space="preserve">Pelagic fish (&gt; 30 cm)</x:t>
        </x:is>
      </x:c>
      <x:c r="C112" s="2">
        <x:v>31</x:v>
      </x:c>
      <x:c r="D112" s="8">
        <x:v>0.0821</x:v>
      </x:c>
      <x:c r="E112" s="8">
        <x:v>0.079</x:v>
      </x:c>
      <x:c r="F112" s="8" t="inlineStr">
        <x:is>
          <x:t xml:space="preserve">Model catch</x:t>
        </x:is>
      </x:c>
      <x:c r="G112" s="8">
        <x:f>SUMIFS($D$6:$D$681,$A$6:$A$681,A112)</x:f>
        <x:v>0.8205</x:v>
      </x:c>
      <x:c r="H112" s="9">
        <x:f>D112/G112</x:f>
        <x:v>0.1000609384521633</x:v>
      </x:c>
      <x:c r="I112" s="2" t="inlineStr">
        <x:is>
          <x:t xml:space="preserve">Medium</x:t>
        </x:is>
      </x:c>
      <x:c r="J112"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x:t>
        </x:is>
      </x:c>
      <x:c r="K112" s="1"/>
    </x:row>
    <x:row r="113" ht="72" customHeight="1">
      <x:c r="A113" s="2" t="inlineStr">
        <x:is>
          <x:t xml:space="preserve">Crassostrea</x:t>
        </x:is>
      </x:c>
      <x:c r="B113" s="2" t="inlineStr">
        <x:is>
          <x:t xml:space="preserve">Non-ceph molluscs</x:t>
        </x:is>
      </x:c>
      <x:c r="C113" s="2">
        <x:v>8</x:v>
      </x:c>
      <x:c r="D113" s="8">
        <x:v>0.7623</x:v>
      </x:c>
      <x:c r="E113" s="8">
        <x:v>2.68</x:v>
      </x:c>
      <x:c r="F113" s="8" t="inlineStr">
        <x:is>
          <x:t xml:space="preserve">No split</x:t>
        </x:is>
      </x:c>
      <x:c r="G113" s="8">
        <x:f>SUMIFS($D$6:$D$681,$A$6:$A$681,A113)</x:f>
        <x:v>0.7623</x:v>
      </x:c>
      <x:c r="H113" s="9">
        <x:f>1</x:f>
        <x:v>1</x:v>
      </x:c>
      <x:c r="I113" s="2" t="inlineStr">
        <x:is>
          <x:t xml:space="preserve">High</x:t>
        </x:is>
      </x:c>
      <x:c r="J113" s="2" t="inlineStr">
        <x:is>
          <x:t xml:space="preserve">Crassostrea is a non-cephalopod mollusc. The source derives this catch by removing Cephalopoda from mollusc catch; no competing mollusc compartment contains this lineage. No split is required.</x:t>
        </x:is>
      </x:c>
      <x:c r="K113" s="1"/>
    </x:row>
    <x:row r="114" ht="96" customHeight="1">
      <x:c r="A114" s="2" t="inlineStr">
        <x:is>
          <x:t xml:space="preserve">Cynoglossus</x:t>
        </x:is>
      </x:c>
      <x:c r="B114" s="2" t="inlineStr">
        <x:is>
          <x:t xml:space="preserve">Demesral fish (≤ 30 cm)</x:t>
        </x:is>
      </x:c>
      <x:c r="C114" s="2">
        <x:v>24</x:v>
      </x:c>
      <x:c r="D114" s="8">
        <x:v>0.1788</x:v>
      </x:c>
      <x:c r="E114" s="8">
        <x:v>0.316</x:v>
      </x:c>
      <x:c r="F114" s="8" t="inlineStr">
        <x:is>
          <x:t xml:space="preserve">Model catch</x:t>
        </x:is>
      </x:c>
      <x:c r="G114" s="8">
        <x:f>SUMIFS($D$6:$D$681,$A$6:$A$681,A114)</x:f>
        <x:v>0.5305</x:v>
      </x:c>
      <x:c r="H114" s="9">
        <x:f>D114/G114</x:f>
        <x:v>0.33704052780395855</x:v>
      </x:c>
      <x:c r="I114" s="2" t="inlineStr">
        <x:is>
          <x:t xml:space="preserve">Medium</x:t>
        </x:is>
      </x:c>
      <x:c r="J114" s="2" t="inlineStr">
        <x:is>
          <x:t xml:space="preserve">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x:t>
        </x:is>
      </x:c>
      <x:c r="K114" s="1"/>
    </x:row>
    <x:row r="115" ht="96" customHeight="1">
      <x:c r="A115" s="2" t="inlineStr">
        <x:is>
          <x:t xml:space="preserve">Cynoglossus</x:t>
        </x:is>
      </x:c>
      <x:c r="B115" s="2" t="inlineStr">
        <x:is>
          <x:t xml:space="preserve">Juvenile demersal fish (&gt; 30 cm)</x:t>
        </x:is>
      </x:c>
      <x:c r="C115" s="2">
        <x:v>25</x:v>
      </x:c>
      <x:c r="D115" s="8">
        <x:v>0.3165</x:v>
      </x:c>
      <x:c r="E115" s="8">
        <x:v>0.143</x:v>
      </x:c>
      <x:c r="F115" s="8" t="inlineStr">
        <x:is>
          <x:t xml:space="preserve">Model catch</x:t>
        </x:is>
      </x:c>
      <x:c r="G115" s="8">
        <x:f>SUMIFS($D$6:$D$681,$A$6:$A$681,A115)</x:f>
        <x:v>0.5305</x:v>
      </x:c>
      <x:c r="H115" s="9">
        <x:f>D115/G115</x:f>
        <x:v>0.5966069745523092</x:v>
      </x:c>
      <x:c r="I115" s="2" t="inlineStr">
        <x:is>
          <x:t xml:space="preserve">Medium</x:t>
        </x:is>
      </x:c>
      <x:c r="J115" s="2" t="inlineStr">
        <x:is>
          <x:t xml:space="preserve">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x:t>
        </x:is>
      </x:c>
      <x:c r="K115" s="1"/>
    </x:row>
    <x:row r="116" ht="96" customHeight="1">
      <x:c r="A116" s="2" t="inlineStr">
        <x:is>
          <x:t xml:space="preserve">Cynoglossus</x:t>
        </x:is>
      </x:c>
      <x:c r="B116" s="2" t="inlineStr">
        <x:is>
          <x:t xml:space="preserve">Adult demersal fish (&gt; 30 cm)</x:t>
        </x:is>
      </x:c>
      <x:c r="C116" s="2">
        <x:v>26</x:v>
      </x:c>
      <x:c r="D116" s="8">
        <x:v>0.0352</x:v>
      </x:c>
      <x:c r="E116" s="8">
        <x:v>0.021</x:v>
      </x:c>
      <x:c r="F116" s="8" t="inlineStr">
        <x:is>
          <x:t xml:space="preserve">Model catch</x:t>
        </x:is>
      </x:c>
      <x:c r="G116" s="8">
        <x:f>SUMIFS($D$6:$D$681,$A$6:$A$681,A116)</x:f>
        <x:v>0.5305</x:v>
      </x:c>
      <x:c r="H116" s="9">
        <x:f>D116/G116</x:f>
        <x:v>0.06635249764373234</x:v>
      </x:c>
      <x:c r="I116" s="2" t="inlineStr">
        <x:is>
          <x:t xml:space="preserve">Medium</x:t>
        </x:is>
      </x:c>
      <x:c r="J116" s="2" t="inlineStr">
        <x:is>
          <x:t xml:space="preserve">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x:t>
        </x:is>
      </x:c>
      <x:c r="K116" s="1"/>
    </x:row>
    <x:row r="117" ht="80" customHeight="1">
      <x:c r="A117" s="2" t="inlineStr">
        <x:is>
          <x:t xml:space="preserve">Cypselurus</x:t>
        </x:is>
      </x:c>
      <x:c r="B117" s="2" t="inlineStr">
        <x:is>
          <x:t xml:space="preserve">Pelagic fish (≤ 30 cm)</x:t>
        </x:is>
      </x:c>
      <x:c r="C117" s="2">
        <x:v>29</x:v>
      </x:c>
      <x:c r="D117" s="8">
        <x:v>2.345</x:v>
      </x:c>
      <x:c r="E117" s="8">
        <x:v>1.772</x:v>
      </x:c>
      <x:c r="F117" s="8" t="inlineStr">
        <x:is>
          <x:t xml:space="preserve">No split</x:t>
        </x:is>
      </x:c>
      <x:c r="G117" s="8">
        <x:f>SUMIFS($D$6:$D$681,$A$6:$A$681,A117)</x:f>
        <x:v>2.345</x:v>
      </x:c>
      <x:c r="H117" s="9">
        <x:f>1</x:f>
        <x:v>1</x:v>
      </x:c>
      <x:c r="I117" s="2" t="inlineStr">
        <x:is>
          <x:t xml:space="preserve">High</x:t>
        </x:is>
      </x:c>
      <x:c r="J117" s="2" t="inlineStr">
        <x:is>
          <x:t xml:space="preserve">Inventory members include verified &lt;=30 cm TL species and near-boundary 24–26 cm SL records. The small-pelagic catch category supports placement but does not close every total-length predicate. C. poecilopterus cannot alone establish the whole genus. No split is required.</x:t>
        </x:is>
      </x:c>
      <x:c r="K117" s="1"/>
    </x:row>
    <x:row r="118" ht="80" customHeight="1">
      <x:c r="A118" s="2" t="inlineStr">
        <x:is>
          <x:t xml:space="preserve">Cypselurus poecilopterus</x:t>
        </x:is>
      </x:c>
      <x:c r="B118" s="2" t="inlineStr">
        <x:is>
          <x:t xml:space="preserve">Pelagic fish (≤ 30 cm)</x:t>
        </x:is>
      </x:c>
      <x:c r="C118" s="2">
        <x:v>29</x:v>
      </x:c>
      <x:c r="D118" s="8">
        <x:v>2.345</x:v>
      </x:c>
      <x:c r="E118" s="8">
        <x:v>1.772</x:v>
      </x:c>
      <x:c r="F118" s="8" t="inlineStr">
        <x:is>
          <x:t xml:space="preserve">No split</x:t>
        </x:is>
      </x:c>
      <x:c r="G118" s="8">
        <x:f>SUMIFS($D$6:$D$681,$A$6:$A$681,A118)</x:f>
        <x:v>2.345</x:v>
      </x:c>
      <x:c r="H118" s="9">
        <x:f>1</x:f>
        <x:v>1</x:v>
      </x:c>
      <x:c r="I118" s="2" t="inlineStr">
        <x:is>
          <x:t xml:space="preserve">High</x:t>
        </x:is>
      </x:c>
      <x:c r="J118" s="2" t="inlineStr">
        <x:is>
          <x:t xml:space="preserve">Species evidence establishes pelagic habitat and maximum TL &lt;=30 cm. The source defines the small-pelagic pool by these criteria; its named examples are not a closed species list. No dedicated group competes. Checked species record: 27 cm TL; Marine;  pelagic-neritic; oceanodromous. No split is required.</x:t>
        </x:is>
      </x:c>
      <x:c r="K118" s="1"/>
    </x:row>
    <x:row r="119" ht="96" customHeight="1">
      <x:c r="A119" s="2" t="inlineStr">
        <x:is>
          <x:t xml:space="preserve">Dasyatidae</x:t>
        </x:is>
      </x:c>
      <x:c r="B119" s="2" t="inlineStr">
        <x:is>
          <x:t xml:space="preserve">Demersal sharks and rays</x:t>
        </x:is>
      </x:c>
      <x:c r="C119" s="2">
        <x:v>32</x:v>
      </x:c>
      <x:c r="D119" s="8">
        <x:v>0.001</x:v>
      </x:c>
      <x:c r="E119" s="8">
        <x:v>0.001</x:v>
      </x:c>
      <x:c r="F119" s="8" t="inlineStr">
        <x:is>
          <x:t xml:space="preserve">Model catch</x:t>
        </x:is>
      </x:c>
      <x:c r="G119" s="8">
        <x:f>SUMIFS($D$6:$D$681,$A$6:$A$681,A119)</x:f>
        <x:v>0.0017000000000000001</x:v>
      </x:c>
      <x:c r="H119" s="9">
        <x:f>D119/G119</x:f>
        <x:v>0.5882352941176471</x:v>
      </x:c>
      <x:c r="I119" s="2" t="inlineStr">
        <x:is>
          <x:t xml:space="preserve">Medium</x:t>
        </x:is>
      </x:c>
      <x:c r="J119" s="2" t="inlineStr">
        <x:is>
          <x:t xml:space="preserve">Demersal stingrays and pelagic Pteroplatytrygon violacea, whose published range includes the South China Sea, span both source elasmobranch habitat pools. The reported family mixture is inferred, not a measured pelagic fraction. Source-model catch proportions supply an assumed fixed 1950–2019/all-bases mixture; they are not observed taxon-specific catches.</x:t>
        </x:is>
      </x:c>
      <x:c r="K119" s="1"/>
    </x:row>
    <x:row r="120" ht="96" customHeight="1">
      <x:c r="A120" s="2" t="inlineStr">
        <x:is>
          <x:t xml:space="preserve">Dasyatidae</x:t>
        </x:is>
      </x:c>
      <x:c r="B120" s="2" t="inlineStr">
        <x:is>
          <x:t xml:space="preserve">Pelagic sharks and rays</x:t>
        </x:is>
      </x:c>
      <x:c r="C120" s="2">
        <x:v>33</x:v>
      </x:c>
      <x:c r="D120" s="8">
        <x:v>0.0007</x:v>
      </x:c>
      <x:c r="E120" s="8">
        <x:v>0.0011</x:v>
      </x:c>
      <x:c r="F120" s="8" t="inlineStr">
        <x:is>
          <x:t xml:space="preserve">Model catch</x:t>
        </x:is>
      </x:c>
      <x:c r="G120" s="8">
        <x:f>SUMIFS($D$6:$D$681,$A$6:$A$681,A120)</x:f>
        <x:v>0.0017000000000000001</x:v>
      </x:c>
      <x:c r="H120" s="9">
        <x:f>D120/G120</x:f>
        <x:v>0.4117647058823529</x:v>
      </x:c>
      <x:c r="I120" s="2" t="inlineStr">
        <x:is>
          <x:t xml:space="preserve">Medium</x:t>
        </x:is>
      </x:c>
      <x:c r="J120" s="2" t="inlineStr">
        <x:is>
          <x:t xml:space="preserve">Demersal stingrays and pelagic Pteroplatytrygon violacea, whose published range includes the South China Sea, span both source elasmobranch habitat pools. The reported family mixture is inferred, not a measured pelagic fraction. Source-model catch proportions supply an assumed fixed 1950–2019/all-bases mixture; they are not observed taxon-specific catches.</x:t>
        </x:is>
      </x:c>
      <x:c r="K120" s="1"/>
    </x:row>
    <x:row r="121" ht="80" customHeight="1">
      <x:c r="A121" s="2" t="inlineStr">
        <x:is>
          <x:t xml:space="preserve">Dasyatis</x:t>
        </x:is>
      </x:c>
      <x:c r="B121" s="2" t="inlineStr">
        <x:is>
          <x:t xml:space="preserve">Demersal sharks and rays</x:t>
        </x:is>
      </x:c>
      <x:c r="C121" s="2">
        <x:v>32</x:v>
      </x:c>
      <x:c r="D121" s="8">
        <x:v>0.001</x:v>
      </x:c>
      <x:c r="E121" s="8">
        <x:v>0.001</x:v>
      </x:c>
      <x:c r="F121" s="8" t="inlineStr">
        <x:is>
          <x:t xml:space="preserve">No split</x:t>
        </x:is>
      </x:c>
      <x:c r="G121" s="8">
        <x:f>SUMIFS($D$6:$D$681,$A$6:$A$681,A121)</x:f>
        <x:v>0.001</x:v>
      </x:c>
      <x:c r="H121" s="9">
        <x:f>1</x:f>
        <x:v>1</x:v>
      </x:c>
      <x:c r="I121" s="2" t="inlineStr">
        <x:is>
          <x:t xml:space="preserve">High</x:t>
        </x:is>
      </x:c>
      <x:c r="J121" s="2" t="inlineStr">
        <x:is>
          <x:t xml:space="preserve">Demersal stingrays support the catch-genus interpretation. Historical Dasyatis also included D. violacea, while the modern genus is narrower. The reporting taxonomic concept is not dated precisely enough for whole-genus High. This uncertainty does not establish actual pelagic catch composition. No split is required.</x:t>
        </x:is>
      </x:c>
      <x:c r="K121" s="1"/>
    </x:row>
    <x:row r="122" ht="80" customHeight="1">
      <x:c r="A122" s="2" t="inlineStr">
        <x:is>
          <x:t xml:space="preserve">Decapoda</x:t>
        </x:is>
      </x:c>
      <x:c r="B122" s="2" t="inlineStr">
        <x:is>
          <x:t xml:space="preserve">Zooplankton</x:t>
        </x:is>
      </x:c>
      <x:c r="C122" s="2">
        <x:v>3</x:v>
      </x:c>
      <x:c r="D122" s="8">
        <x:v>0.0948</x:v>
      </x:c>
      <x:c r="E122" s="8">
        <x:v>9.0</x:v>
      </x:c>
      <x:c r="F122" s="8" t="inlineStr">
        <x:is>
          <x:t xml:space="preserve">Model catch</x:t>
        </x:is>
      </x:c>
      <x:c r="G122" s="8">
        <x:f>SUMIFS($D$6:$D$681,$A$6:$A$681,A122)</x:f>
        <x:v>1.0124</x:v>
      </x:c>
      <x:c r="H122" s="9">
        <x:f>D122/G122</x:f>
        <x:v>0.09363887791386803</x:v>
      </x:c>
      <x:c r="I122" s="2" t="inlineStr">
        <x:is>
          <x:t xml:space="preserve">Medium</x:t>
        </x:is>
      </x:c>
      <x:c r="J122"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122" s="1"/>
    </x:row>
    <x:row r="123" ht="80" customHeight="1">
      <x:c r="A123" s="2" t="inlineStr">
        <x:is>
          <x:t xml:space="preserve">Decapoda</x:t>
        </x:is>
      </x:c>
      <x:c r="B123" s="2" t="inlineStr">
        <x:is>
          <x:t xml:space="preserve">Benthic crustaceans</x:t>
        </x:is>
      </x:c>
      <x:c r="C123" s="2">
        <x:v>7</x:v>
      </x:c>
      <x:c r="D123" s="8">
        <x:v>0.0391</x:v>
      </x:c>
      <x:c r="E123" s="8">
        <x:v>1.43</x:v>
      </x:c>
      <x:c r="F123" s="8" t="inlineStr">
        <x:is>
          <x:t xml:space="preserve">Model catch</x:t>
        </x:is>
      </x:c>
      <x:c r="G123" s="8">
        <x:f>SUMIFS($D$6:$D$681,$A$6:$A$681,A123)</x:f>
        <x:v>1.0124</x:v>
      </x:c>
      <x:c r="H123" s="9">
        <x:f>D123/G123</x:f>
        <x:v>0.03862109838008693</x:v>
      </x:c>
      <x:c r="I123" s="2" t="inlineStr">
        <x:is>
          <x:t xml:space="preserve">Medium</x:t>
        </x:is>
      </x:c>
      <x:c r="J123"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123" s="1"/>
    </x:row>
    <x:row r="124" ht="80" customHeight="1">
      <x:c r="A124" s="2" t="inlineStr">
        <x:is>
          <x:t xml:space="preserve">Decapoda</x:t>
        </x:is>
      </x:c>
      <x:c r="B124" s="2" t="inlineStr">
        <x:is>
          <x:t xml:space="preserve">Shrimps</x:t>
        </x:is>
      </x:c>
      <x:c r="C124" s="2">
        <x:v>10</x:v>
      </x:c>
      <x:c r="D124" s="8">
        <x:v>0.6788</x:v>
      </x:c>
      <x:c r="E124" s="8">
        <x:v>0.194</x:v>
      </x:c>
      <x:c r="F124" s="8" t="inlineStr">
        <x:is>
          <x:t xml:space="preserve">Model catch</x:t>
        </x:is>
      </x:c>
      <x:c r="G124" s="8">
        <x:f>SUMIFS($D$6:$D$681,$A$6:$A$681,A124)</x:f>
        <x:v>1.0124</x:v>
      </x:c>
      <x:c r="H124" s="9">
        <x:f>D124/G124</x:f>
        <x:v>0.6704859739233504</x:v>
      </x:c>
      <x:c r="I124" s="2" t="inlineStr">
        <x:is>
          <x:t xml:space="preserve">Medium</x:t>
        </x:is>
      </x:c>
      <x:c r="J124"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124" s="1"/>
    </x:row>
    <x:row r="125" ht="80" customHeight="1">
      <x:c r="A125" s="2" t="inlineStr">
        <x:is>
          <x:t xml:space="preserve">Decapoda</x:t>
        </x:is>
      </x:c>
      <x:c r="B125" s="2" t="inlineStr">
        <x:is>
          <x:t xml:space="preserve">Crabs</x:t>
        </x:is>
      </x:c>
      <x:c r="C125" s="2">
        <x:v>11</x:v>
      </x:c>
      <x:c r="D125" s="8">
        <x:v>0.1997</x:v>
      </x:c>
      <x:c r="E125" s="8">
        <x:v>0.368</x:v>
      </x:c>
      <x:c r="F125" s="8" t="inlineStr">
        <x:is>
          <x:t xml:space="preserve">Model catch</x:t>
        </x:is>
      </x:c>
      <x:c r="G125" s="8">
        <x:f>SUMIFS($D$6:$D$681,$A$6:$A$681,A125)</x:f>
        <x:v>1.0124</x:v>
      </x:c>
      <x:c r="H125" s="9">
        <x:f>D125/G125</x:f>
        <x:v>0.1972540497826946</x:v>
      </x:c>
      <x:c r="I125" s="2" t="inlineStr">
        <x:is>
          <x:t xml:space="preserve">Medium</x:t>
        </x:is>
      </x:c>
      <x:c r="J125"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125" s="1"/>
    </x:row>
    <x:row r="126" ht="96" customHeight="1">
      <x:c r="A126" s="2" t="inlineStr">
        <x:is>
          <x:t xml:space="preserve">Decapterus</x:t>
        </x:is>
      </x:c>
      <x:c r="B126" s="2" t="inlineStr">
        <x:is>
          <x:t xml:space="preserve">Juvenile large pelagic fish</x:t>
        </x:is>
      </x:c>
      <x:c r="C126" s="2">
        <x:v>30</x:v>
      </x:c>
      <x:c r="D126" s="8">
        <x:v>0.7384</x:v>
      </x:c>
      <x:c r="E126" s="8">
        <x:v>0.289</x:v>
      </x:c>
      <x:c r="F126" s="8" t="inlineStr">
        <x:is>
          <x:t xml:space="preserve">Model catch</x:t>
        </x:is>
      </x:c>
      <x:c r="G126" s="8">
        <x:f>SUMIFS($D$6:$D$681,$A$6:$A$681,A126)</x:f>
        <x:v>0.8205</x:v>
      </x:c>
      <x:c r="H126" s="9">
        <x:f>D126/G126</x:f>
        <x:v>0.8999390615478366</x:v>
      </x:c>
      <x:c r="I126" s="2" t="inlineStr">
        <x:is>
          <x:t xml:space="preserve">Medium</x:t>
        </x:is>
      </x:c>
      <x:c r="J126" s="2" t="inlineStr">
        <x:is>
          <x:t xml:space="preserve">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x:t>
        </x:is>
      </x:c>
      <x:c r="K126" s="1"/>
    </x:row>
    <x:row r="127" ht="96" customHeight="1">
      <x:c r="A127" s="2" t="inlineStr">
        <x:is>
          <x:t xml:space="preserve">Decapterus</x:t>
        </x:is>
      </x:c>
      <x:c r="B127" s="2" t="inlineStr">
        <x:is>
          <x:t xml:space="preserve">Pelagic fish (&gt; 30 cm)</x:t>
        </x:is>
      </x:c>
      <x:c r="C127" s="2">
        <x:v>31</x:v>
      </x:c>
      <x:c r="D127" s="8">
        <x:v>0.0821</x:v>
      </x:c>
      <x:c r="E127" s="8">
        <x:v>0.079</x:v>
      </x:c>
      <x:c r="F127" s="8" t="inlineStr">
        <x:is>
          <x:t xml:space="preserve">Model catch</x:t>
        </x:is>
      </x:c>
      <x:c r="G127" s="8">
        <x:f>SUMIFS($D$6:$D$681,$A$6:$A$681,A127)</x:f>
        <x:v>0.8205</x:v>
      </x:c>
      <x:c r="H127" s="9">
        <x:f>D127/G127</x:f>
        <x:v>0.1000609384521633</x:v>
      </x:c>
      <x:c r="I127" s="2" t="inlineStr">
        <x:is>
          <x:t xml:space="preserve">Medium</x:t>
        </x:is>
      </x:c>
      <x:c r="J127" s="2" t="inlineStr">
        <x:is>
          <x:t xml:space="preserve">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x:t>
        </x:is>
      </x:c>
      <x:c r="K127" s="1"/>
    </x:row>
    <x:row r="128" ht="112" customHeight="1">
      <x:c r="A128" s="2" t="inlineStr">
        <x:is>
          <x:t xml:space="preserve">Decapterus macrosoma</x:t>
        </x:is>
      </x:c>
      <x:c r="B128" s="2" t="inlineStr">
        <x:is>
          <x:t xml:space="preserve">Juvenile large pelagic fish</x:t>
        </x:is>
      </x:c>
      <x:c r="C128" s="2">
        <x:v>30</x:v>
      </x:c>
      <x:c r="D128" s="8">
        <x:v>0.7384</x:v>
      </x:c>
      <x:c r="E128" s="8">
        <x:v>0.289</x:v>
      </x:c>
      <x:c r="F128" s="8" t="inlineStr">
        <x:is>
          <x:t xml:space="preserve">Model catch</x:t>
        </x:is>
      </x:c>
      <x:c r="G128" s="8">
        <x:f>SUMIFS($D$6:$D$681,$A$6:$A$681,A128)</x:f>
        <x:v>0.8205</x:v>
      </x:c>
      <x:c r="H128" s="9">
        <x:f>D128/G128</x:f>
        <x:v>0.8999390615478366</x:v>
      </x:c>
      <x:c r="I128" s="2" t="inlineStr">
        <x:is>
          <x:t xml:space="preserve">Medium</x:t>
        </x:is>
      </x:c>
      <x:c r="J128"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x:t>
        </x:is>
      </x:c>
      <x:c r="K128" s="1"/>
    </x:row>
    <x:row r="129" ht="112" customHeight="1">
      <x:c r="A129" s="2" t="inlineStr">
        <x:is>
          <x:t xml:space="preserve">Decapterus macrosoma</x:t>
        </x:is>
      </x:c>
      <x:c r="B129" s="2" t="inlineStr">
        <x:is>
          <x:t xml:space="preserve">Pelagic fish (&gt; 30 cm)</x:t>
        </x:is>
      </x:c>
      <x:c r="C129" s="2">
        <x:v>31</x:v>
      </x:c>
      <x:c r="D129" s="8">
        <x:v>0.0821</x:v>
      </x:c>
      <x:c r="E129" s="8">
        <x:v>0.079</x:v>
      </x:c>
      <x:c r="F129" s="8" t="inlineStr">
        <x:is>
          <x:t xml:space="preserve">Model catch</x:t>
        </x:is>
      </x:c>
      <x:c r="G129" s="8">
        <x:f>SUMIFS($D$6:$D$681,$A$6:$A$681,A129)</x:f>
        <x:v>0.8205</x:v>
      </x:c>
      <x:c r="H129" s="9">
        <x:f>D129/G129</x:f>
        <x:v>0.1000609384521633</x:v>
      </x:c>
      <x:c r="I129" s="2" t="inlineStr">
        <x:is>
          <x:t xml:space="preserve">Medium</x:t>
        </x:is>
      </x:c>
      <x:c r="J129"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x:t>
        </x:is>
      </x:c>
      <x:c r="K129" s="1"/>
    </x:row>
    <x:row r="130" ht="128" customHeight="1">
      <x:c r="A130" s="2" t="inlineStr">
        <x:is>
          <x:t xml:space="preserve">Decapterus maruadsi</x:t>
        </x:is>
      </x:c>
      <x:c r="B130" s="2" t="inlineStr">
        <x:is>
          <x:t xml:space="preserve">Juvenile large pelagic fish</x:t>
        </x:is>
      </x:c>
      <x:c r="C130" s="2">
        <x:v>30</x:v>
      </x:c>
      <x:c r="D130" s="8">
        <x:v>0.7384</x:v>
      </x:c>
      <x:c r="E130" s="8">
        <x:v>0.289</x:v>
      </x:c>
      <x:c r="F130" s="8" t="inlineStr">
        <x:is>
          <x:t xml:space="preserve">Model catch</x:t>
        </x:is>
      </x:c>
      <x:c r="G130" s="8">
        <x:f>SUMIFS($D$6:$D$681,$A$6:$A$681,A130)</x:f>
        <x:v>0.8205</x:v>
      </x:c>
      <x:c r="H130" s="9">
        <x:f>D130/G130</x:f>
        <x:v>0.8999390615478366</x:v>
      </x:c>
      <x:c r="I130" s="2" t="inlineStr">
        <x:is>
          <x:t xml:space="preserve">Medium</x:t>
        </x:is>
      </x:c>
      <x:c r="J130" s="2" t="inlineStr">
        <x:is>
          <x:t xml:space="preserve">Uehara et al. (2021), Table 3 p.160, gives D. maruadsi observed maximum 35.4 cm from the fork-length study Ohshimo et al. (2006); its 34.2 cm FL asymptote is separately retained. A reported observed FL above 30 excludes the small TL class. Large-pelagic membership uses the documented pelagic ecology; the original observed maximum is cited through the primary comparison table. Source-model catch proportions supply an assumed fixed 1950–2019/all-bases mixture; they are not observed taxon-specific catches.</x:t>
        </x:is>
      </x:c>
      <x:c r="K130" s="1"/>
    </x:row>
    <x:row r="131" ht="128" customHeight="1">
      <x:c r="A131" s="2" t="inlineStr">
        <x:is>
          <x:t xml:space="preserve">Decapterus maruadsi</x:t>
        </x:is>
      </x:c>
      <x:c r="B131" s="2" t="inlineStr">
        <x:is>
          <x:t xml:space="preserve">Pelagic fish (&gt; 30 cm)</x:t>
        </x:is>
      </x:c>
      <x:c r="C131" s="2">
        <x:v>31</x:v>
      </x:c>
      <x:c r="D131" s="8">
        <x:v>0.0821</x:v>
      </x:c>
      <x:c r="E131" s="8">
        <x:v>0.079</x:v>
      </x:c>
      <x:c r="F131" s="8" t="inlineStr">
        <x:is>
          <x:t xml:space="preserve">Model catch</x:t>
        </x:is>
      </x:c>
      <x:c r="G131" s="8">
        <x:f>SUMIFS($D$6:$D$681,$A$6:$A$681,A131)</x:f>
        <x:v>0.8205</x:v>
      </x:c>
      <x:c r="H131" s="9">
        <x:f>D131/G131</x:f>
        <x:v>0.10006093845216332</x:v>
      </x:c>
      <x:c r="I131" s="2" t="inlineStr">
        <x:is>
          <x:t xml:space="preserve">Medium</x:t>
        </x:is>
      </x:c>
      <x:c r="J131" s="2" t="inlineStr">
        <x:is>
          <x:t xml:space="preserve">Uehara et al. (2021), Table 3 p.160, gives D. maruadsi observed maximum 35.4 cm from the fork-length study Ohshimo et al. (2006); its 34.2 cm FL asymptote is separately retained. A reported observed FL above 30 excludes the small TL class. Large-pelagic membership uses the documented pelagic ecology; the original observed maximum is cited through the primary comparison table. Source-model catch proportions supply an assumed fixed 1950–2019/all-bases mixture; they are not observed taxon-specific catches.</x:t>
        </x:is>
      </x:c>
      <x:c r="K131" s="1"/>
    </x:row>
    <x:row r="132" ht="80" customHeight="1">
      <x:c r="A132" s="2" t="inlineStr">
        <x:is>
          <x:t xml:space="preserve">Decapterus russelli</x:t>
        </x:is>
      </x:c>
      <x:c r="B132" s="2" t="inlineStr">
        <x:is>
          <x:t xml:space="preserve">Benthopelagic fish</x:t>
        </x:is>
      </x:c>
      <x:c r="C132" s="2">
        <x:v>27</x:v>
      </x:c>
      <x:c r="D132" s="8">
        <x:v>0.6025</x:v>
      </x:c>
      <x:c r="E132" s="8">
        <x:v>0.922</x:v>
      </x:c>
      <x:c r="F132" s="8" t="inlineStr">
        <x:is>
          <x:t xml:space="preserve">No split</x:t>
        </x:is>
      </x:c>
      <x:c r="G132" s="8">
        <x:f>SUMIFS($D$6:$D$681,$A$6:$A$681,A132)</x:f>
        <x:v>0.6025</x:v>
      </x:c>
      <x:c r="H132" s="9">
        <x:f>1</x:f>
        <x:v>1.0</x:v>
      </x:c>
      <x:c r="I132" s="2" t="inlineStr">
        <x:is>
          <x:t xml:space="preserve">High</x:t>
        </x:is>
      </x:c>
      <x:c r="J132" s="2" t="inlineStr">
        <x:is>
          <x:t xml:space="preserve">Explicit benthopelagic ecology and maximum 45 cm TL support final group 27 more closely than the exclusively pelagic pair. Inclusion of the appendix large component in final 27 is an explicit unresolved extension; no source merger is asserted.</x:t>
        </x:is>
      </x:c>
      <x:c r="K132" s="1"/>
    </x:row>
    <x:row r="133" ht="80" customHeight="1">
      <x:c r="A133" s="2" t="inlineStr">
        <x:is>
          <x:t xml:space="preserve">Dendrobranchiata</x:t>
        </x:is>
      </x:c>
      <x:c r="B133" s="2" t="inlineStr">
        <x:is>
          <x:t xml:space="preserve">Zooplankton</x:t>
        </x:is>
      </x:c>
      <x:c r="C133" s="2">
        <x:v>3</x:v>
      </x:c>
      <x:c r="D133" s="8">
        <x:v>0.0948</x:v>
      </x:c>
      <x:c r="E133" s="8">
        <x:v>9.0</x:v>
      </x:c>
      <x:c r="F133" s="8" t="inlineStr">
        <x:is>
          <x:t xml:space="preserve">Model catch</x:t>
        </x:is>
      </x:c>
      <x:c r="G133" s="8">
        <x:f>SUMIFS($D$6:$D$681,$A$6:$A$681,A133)</x:f>
        <x:v>0.7736</x:v>
      </x:c>
      <x:c r="H133" s="9">
        <x:f>D133/G133</x:f>
        <x:v>0.12254395036194415</x:v>
      </x:c>
      <x:c r="I133" s="2" t="inlineStr">
        <x:is>
          <x:t xml:space="preserve">Medium</x:t>
        </x:is>
      </x:c>
      <x:c r="J133" s="2" t="inlineStr">
        <x:is>
          <x:t xml:space="preserve">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t>
        </x:is>
      </x:c>
      <x:c r="K133" s="1"/>
    </x:row>
    <x:row r="134" ht="80" customHeight="1">
      <x:c r="A134" s="2" t="inlineStr">
        <x:is>
          <x:t xml:space="preserve">Dendrobranchiata</x:t>
        </x:is>
      </x:c>
      <x:c r="B134" s="2" t="inlineStr">
        <x:is>
          <x:t xml:space="preserve">Shrimps</x:t>
        </x:is>
      </x:c>
      <x:c r="C134" s="2">
        <x:v>10</x:v>
      </x:c>
      <x:c r="D134" s="8">
        <x:v>0.6788</x:v>
      </x:c>
      <x:c r="E134" s="8">
        <x:v>0.194</x:v>
      </x:c>
      <x:c r="F134" s="8" t="inlineStr">
        <x:is>
          <x:t xml:space="preserve">Model catch</x:t>
        </x:is>
      </x:c>
      <x:c r="G134" s="8">
        <x:f>SUMIFS($D$6:$D$681,$A$6:$A$681,A134)</x:f>
        <x:v>0.7736</x:v>
      </x:c>
      <x:c r="H134" s="9">
        <x:f>D134/G134</x:f>
        <x:v>0.8774560496380558</x:v>
      </x:c>
      <x:c r="I134" s="2" t="inlineStr">
        <x:is>
          <x:t xml:space="preserve">Medium</x:t>
        </x:is>
      </x:c>
      <x:c r="J134" s="2" t="inlineStr">
        <x:is>
          <x:t xml:space="preserve">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t>
        </x:is>
      </x:c>
      <x:c r="K134" s="1"/>
    </x:row>
    <x:row r="135" ht="96" customHeight="1">
      <x:c r="A135" s="2" t="inlineStr">
        <x:is>
          <x:t xml:space="preserve">Drepane</x:t>
        </x:is>
      </x:c>
      <x:c r="B135" s="2" t="inlineStr">
        <x:is>
          <x:t xml:space="preserve">Juvenile demersal fish (&gt; 30 cm)</x:t>
        </x:is>
      </x:c>
      <x:c r="C135" s="2">
        <x:v>25</x:v>
      </x:c>
      <x:c r="D135" s="8">
        <x:v>0.3165</x:v>
      </x:c>
      <x:c r="E135" s="8">
        <x:v>0.143</x:v>
      </x:c>
      <x:c r="F135" s="8" t="inlineStr">
        <x:is>
          <x:t xml:space="preserve">Model catch</x:t>
        </x:is>
      </x:c>
      <x:c r="G135" s="8">
        <x:f>SUMIFS($D$6:$D$681,$A$6:$A$681,A135)</x:f>
        <x:v>0.3517</x:v>
      </x:c>
      <x:c r="H135" s="9">
        <x:f>D135/G135</x:f>
        <x:v>0.8999147000284333</x:v>
      </x:c>
      <x:c r="I135" s="2" t="inlineStr">
        <x:is>
          <x:t xml:space="preserve">Medium</x:t>
        </x:is>
      </x:c>
      <x:c r="J135" s="2" t="inlineStr">
        <x:is>
          <x:t xml:space="preserve">FAO regional D. punctata and D. longimana are large coastal bottom-associated sicklefishes (50 cm TL). The large demersal pair resolves the genus/species inconsistency; extension to the reported regional genus remains explicit. Source-model catch proportions supply an assumed fixed 1950–2019/all-bases mixture; they are not observed taxon-specific catches.</x:t>
        </x:is>
      </x:c>
      <x:c r="K135" s="1"/>
    </x:row>
    <x:row r="136" ht="96" customHeight="1">
      <x:c r="A136" s="2" t="inlineStr">
        <x:is>
          <x:t xml:space="preserve">Drepane</x:t>
        </x:is>
      </x:c>
      <x:c r="B136" s="2" t="inlineStr">
        <x:is>
          <x:t xml:space="preserve">Adult demersal fish (&gt; 30 cm)</x:t>
        </x:is>
      </x:c>
      <x:c r="C136" s="2">
        <x:v>26</x:v>
      </x:c>
      <x:c r="D136" s="8">
        <x:v>0.0352</x:v>
      </x:c>
      <x:c r="E136" s="8">
        <x:v>0.021</x:v>
      </x:c>
      <x:c r="F136" s="8" t="inlineStr">
        <x:is>
          <x:t xml:space="preserve">Model catch</x:t>
        </x:is>
      </x:c>
      <x:c r="G136" s="8">
        <x:f>SUMIFS($D$6:$D$681,$A$6:$A$681,A136)</x:f>
        <x:v>0.3517</x:v>
      </x:c>
      <x:c r="H136" s="9">
        <x:f>D136/G136</x:f>
        <x:v>0.10008529997156668</x:v>
      </x:c>
      <x:c r="I136" s="2" t="inlineStr">
        <x:is>
          <x:t xml:space="preserve">Medium</x:t>
        </x:is>
      </x:c>
      <x:c r="J136" s="2" t="inlineStr">
        <x:is>
          <x:t xml:space="preserve">FAO regional D. punctata and D. longimana are large coastal bottom-associated sicklefishes (50 cm TL). The large demersal pair resolves the genus/species inconsistency; extension to the reported regional genus remains explicit. Source-model catch proportions supply an assumed fixed 1950–2019/all-bases mixture; they are not observed taxon-specific catches.</x:t>
        </x:is>
      </x:c>
      <x:c r="K136" s="1"/>
    </x:row>
    <x:row r="137" ht="112" customHeight="1">
      <x:c r="A137" s="2" t="inlineStr">
        <x:is>
          <x:t xml:space="preserve">Drepane punctata</x:t>
        </x:is>
      </x:c>
      <x:c r="B137" s="2" t="inlineStr">
        <x:is>
          <x:t xml:space="preserve">Juvenile demersal fish (&gt; 30 cm)</x:t>
        </x:is>
      </x:c>
      <x:c r="C137" s="2">
        <x:v>25</x:v>
      </x:c>
      <x:c r="D137" s="8">
        <x:v>0.3165</x:v>
      </x:c>
      <x:c r="E137" s="8">
        <x:v>0.143</x:v>
      </x:c>
      <x:c r="F137" s="8" t="inlineStr">
        <x:is>
          <x:t xml:space="preserve">Model catch</x:t>
        </x:is>
      </x:c>
      <x:c r="G137" s="8">
        <x:f>SUMIFS($D$6:$D$681,$A$6:$A$681,A137)</x:f>
        <x:v>0.3517</x:v>
      </x:c>
      <x:c r="H137" s="9">
        <x:f>D137/G137</x:f>
        <x:v>0.8999147000284333</x:v>
      </x:c>
      <x:c r="I137" s="2" t="inlineStr">
        <x:is>
          <x:t xml:space="preserve">Medium</x:t>
        </x:is>
      </x:c>
      <x:c r="J137" s="2" t="inlineStr">
        <x:is>
          <x:t xml:space="preserve">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x:t>
        </x:is>
      </x:c>
      <x:c r="K137" s="1"/>
    </x:row>
    <x:row r="138" ht="112" customHeight="1">
      <x:c r="A138" s="2" t="inlineStr">
        <x:is>
          <x:t xml:space="preserve">Drepane punctata</x:t>
        </x:is>
      </x:c>
      <x:c r="B138" s="2" t="inlineStr">
        <x:is>
          <x:t xml:space="preserve">Adult demersal fish (&gt; 30 cm)</x:t>
        </x:is>
      </x:c>
      <x:c r="C138" s="2">
        <x:v>26</x:v>
      </x:c>
      <x:c r="D138" s="8">
        <x:v>0.0352</x:v>
      </x:c>
      <x:c r="E138" s="8">
        <x:v>0.021</x:v>
      </x:c>
      <x:c r="F138" s="8" t="inlineStr">
        <x:is>
          <x:t xml:space="preserve">Model catch</x:t>
        </x:is>
      </x:c>
      <x:c r="G138" s="8">
        <x:f>SUMIFS($D$6:$D$681,$A$6:$A$681,A138)</x:f>
        <x:v>0.3517</x:v>
      </x:c>
      <x:c r="H138" s="9">
        <x:f>D138/G138</x:f>
        <x:v>0.1000852999715667</x:v>
      </x:c>
      <x:c r="I138" s="2" t="inlineStr">
        <x:is>
          <x:t xml:space="preserve">Medium</x:t>
        </x:is>
      </x:c>
      <x:c r="J138" s="2" t="inlineStr">
        <x:is>
          <x:t xml:space="preserve">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x:t>
        </x:is>
      </x:c>
      <x:c r="K138" s="1"/>
    </x:row>
    <x:row r="139" ht="72" customHeight="1">
      <x:c r="A139" s="2" t="inlineStr">
        <x:is>
          <x:t xml:space="preserve">Dussumieria</x:t>
        </x:is>
      </x:c>
      <x:c r="B139" s="2" t="inlineStr">
        <x:is>
          <x:t xml:space="preserve">Pelagic fish (≤ 30 cm)</x:t>
        </x:is>
      </x:c>
      <x:c r="C139" s="2">
        <x:v>29</x:v>
      </x:c>
      <x:c r="D139" s="8">
        <x:v>2.345</x:v>
      </x:c>
      <x:c r="E139" s="8">
        <x:v>1.772</x:v>
      </x:c>
      <x:c r="F139" s="8" t="inlineStr">
        <x:is>
          <x:t xml:space="preserve">No split</x:t>
        </x:is>
      </x:c>
      <x:c r="G139" s="8">
        <x:f>SUMIFS($D$6:$D$681,$A$6:$A$681,A139)</x:f>
        <x:v>2.345</x:v>
      </x:c>
      <x:c r="H139" s="9">
        <x:f>1</x:f>
        <x:v>1</x:v>
      </x:c>
      <x:c r="I139" s="2" t="inlineStr">
        <x:is>
          <x:t xml:space="preserve">High</x:t>
        </x:is>
      </x:c>
      <x:c r="J139" s="2" t="inlineStr">
        <x:is>
          <x:t xml:space="preserve">The genus inventory supports a small-bodied pelagic lineage without a dedicated competing group. Most maxima are SL or unspecified; the full regional catch concept and TL boundary remain inferred. No split is required.</x:t>
        </x:is>
      </x:c>
      <x:c r="K139" s="1"/>
    </x:row>
    <x:row r="140" ht="96" customHeight="1">
      <x:c r="A140" s="2" t="inlineStr">
        <x:is>
          <x:t xml:space="preserve">Dussumieria acuta</x:t>
        </x:is>
      </x:c>
      <x:c r="B140" s="2" t="inlineStr">
        <x:is>
          <x:t xml:space="preserve">Pelagic fish (≤ 30 cm)</x:t>
        </x:is>
      </x:c>
      <x:c r="C140" s="2">
        <x:v>29</x:v>
      </x:c>
      <x:c r="D140" s="8">
        <x:v>2.345</x:v>
      </x:c>
      <x:c r="E140" s="8">
        <x:v>1.772</x:v>
      </x:c>
      <x:c r="F140" s="8" t="inlineStr">
        <x:is>
          <x:t xml:space="preserve">No split</x:t>
        </x:is>
      </x:c>
      <x:c r="G140" s="8">
        <x:f>SUMIFS($D$6:$D$681,$A$6:$A$681,A140)</x:f>
        <x:v>2.345</x:v>
      </x:c>
      <x:c r="H140" s="9">
        <x:f>1</x:f>
        <x:v>1</x:v>
      </x:c>
      <x:c r="I140" s="2" t="inlineStr">
        <x:is>
          <x:t xml:space="preserve">High</x:t>
        </x:is>
      </x:c>
      <x:c r="J140" s="2" t="inlineStr">
        <x:is>
          <x:t xml:space="preserve">Coastal-pelagic ecology and small size support the current pool. Retrieved maximum length is SL, not TL; no independent total-length bound/conversion was recovered, so the model TL criterion remains a supported inference. Checked species record: 20 cm SL; Marine; freshwater; brackish;  pelagic-neritic;. No split is required.</x:t>
        </x:is>
      </x:c>
      <x:c r="K140" s="1"/>
    </x:row>
    <x:row r="141" ht="80" customHeight="1">
      <x:c r="A141" s="2" t="inlineStr">
        <x:is>
          <x:t xml:space="preserve">Dussumieria elopsoides</x:t>
        </x:is>
      </x:c>
      <x:c r="B141" s="2" t="inlineStr">
        <x:is>
          <x:t xml:space="preserve">Pelagic fish (≤ 30 cm)</x:t>
        </x:is>
      </x:c>
      <x:c r="C141" s="2">
        <x:v>29</x:v>
      </x:c>
      <x:c r="D141" s="8">
        <x:v>2.345</x:v>
      </x:c>
      <x:c r="E141" s="8">
        <x:v>1.772</x:v>
      </x:c>
      <x:c r="F141" s="8" t="inlineStr">
        <x:is>
          <x:t xml:space="preserve">No split</x:t>
        </x:is>
      </x:c>
      <x:c r="G141" s="8">
        <x:f>SUMIFS($D$6:$D$681,$A$6:$A$681,A141)</x:f>
        <x:v>2.345</x:v>
      </x:c>
      <x:c r="H141" s="9">
        <x:f>1</x:f>
        <x:v>1</x:v>
      </x:c>
      <x:c r="I141" s="2" t="inlineStr">
        <x:is>
          <x:t xml:space="preserve">High</x:t>
        </x:is>
      </x:c>
      <x:c r="J141" s="2" t="inlineStr">
        <x:is>
          <x:t xml:space="preserve">Coastal-pelagic ecology and small size support the current pool. Retrieved maximum length is SL, not TL; no independent total-length bound/conversion was recovered, so the model TL criterion remains a supported inference. Checked species record: 20 cm SL; Marine;  pelagic-neritic;. No split is required.</x:t>
        </x:is>
      </x:c>
      <x:c r="K141" s="1"/>
    </x:row>
    <x:row r="142" ht="72" customHeight="1">
      <x:c r="A142" s="2" t="inlineStr">
        <x:is>
          <x:t xml:space="preserve">Echinodermata</x:t>
        </x:is>
      </x:c>
      <x:c r="B142" s="2" t="inlineStr">
        <x:is>
          <x:t xml:space="preserve">Echinoderms</x:t>
        </x:is>
      </x:c>
      <x:c r="C142" s="2">
        <x:v>6</x:v>
      </x:c>
      <x:c r="D142" s="8">
        <x:v>0.0021</x:v>
      </x:c>
      <x:c r="E142" s="8">
        <x:v>1.98</x:v>
      </x:c>
      <x:c r="F142" s="8" t="inlineStr">
        <x:is>
          <x:t xml:space="preserve">No split</x:t>
        </x:is>
      </x:c>
      <x:c r="G142" s="8">
        <x:f>SUMIFS($D$6:$D$681,$A$6:$A$681,A142)</x:f>
        <x:v>0.0021</x:v>
      </x:c>
      <x:c r="H142" s="9">
        <x:f>1</x:f>
        <x:v>1</x:v>
      </x:c>
      <x:c r="I142" s="2" t="inlineStr">
        <x:is>
          <x:t xml:space="preserve">High</x:t>
        </x:is>
      </x:c>
      <x:c r="J142" s="2" t="inlineStr">
        <x:is>
          <x:t xml:space="preserve">Echinodermata is within Echinodermata, represented by one source compartment without competing size/stage pools. No split is required.</x:t>
        </x:is>
      </x:c>
      <x:c r="K142" s="1"/>
    </x:row>
    <x:row r="143" ht="72" customHeight="1">
      <x:c r="A143" s="2" t="inlineStr">
        <x:is>
          <x:t xml:space="preserve">Echinoidea</x:t>
        </x:is>
      </x:c>
      <x:c r="B143" s="2" t="inlineStr">
        <x:is>
          <x:t xml:space="preserve">Echinoderms</x:t>
        </x:is>
      </x:c>
      <x:c r="C143" s="2">
        <x:v>6</x:v>
      </x:c>
      <x:c r="D143" s="8">
        <x:v>0.0021</x:v>
      </x:c>
      <x:c r="E143" s="8">
        <x:v>1.98</x:v>
      </x:c>
      <x:c r="F143" s="8" t="inlineStr">
        <x:is>
          <x:t xml:space="preserve">No split</x:t>
        </x:is>
      </x:c>
      <x:c r="G143" s="8">
        <x:f>SUMIFS($D$6:$D$681,$A$6:$A$681,A143)</x:f>
        <x:v>0.0021</x:v>
      </x:c>
      <x:c r="H143" s="9">
        <x:f>1</x:f>
        <x:v>1</x:v>
      </x:c>
      <x:c r="I143" s="2" t="inlineStr">
        <x:is>
          <x:t xml:space="preserve">High</x:t>
        </x:is>
      </x:c>
      <x:c r="J143" s="2" t="inlineStr">
        <x:is>
          <x:t xml:space="preserve">Echinoidea is within Echinodermata, represented by one source compartment without competing size/stage pools. No split is required.</x:t>
        </x:is>
      </x:c>
      <x:c r="K143" s="1"/>
    </x:row>
    <x:row r="144" ht="72" customHeight="1">
      <x:c r="A144" s="2" t="inlineStr">
        <x:is>
          <x:t xml:space="preserve">Echinozoa</x:t>
        </x:is>
      </x:c>
      <x:c r="B144" s="2" t="inlineStr">
        <x:is>
          <x:t xml:space="preserve">Echinoderms</x:t>
        </x:is>
      </x:c>
      <x:c r="C144" s="2">
        <x:v>6</x:v>
      </x:c>
      <x:c r="D144" s="8">
        <x:v>0.0021</x:v>
      </x:c>
      <x:c r="E144" s="8">
        <x:v>1.98</x:v>
      </x:c>
      <x:c r="F144" s="8" t="inlineStr">
        <x:is>
          <x:t xml:space="preserve">No split</x:t>
        </x:is>
      </x:c>
      <x:c r="G144" s="8">
        <x:f>SUMIFS($D$6:$D$681,$A$6:$A$681,A144)</x:f>
        <x:v>0.0021</x:v>
      </x:c>
      <x:c r="H144" s="9">
        <x:f>1</x:f>
        <x:v>1</x:v>
      </x:c>
      <x:c r="I144" s="2" t="inlineStr">
        <x:is>
          <x:t xml:space="preserve">High</x:t>
        </x:is>
      </x:c>
      <x:c r="J144" s="2" t="inlineStr">
        <x:is>
          <x:t xml:space="preserve">Echinozoa is within Echinodermata, represented by one source compartment without competing size/stage pools. No split is required.</x:t>
        </x:is>
      </x:c>
      <x:c r="K144" s="1"/>
    </x:row>
    <x:row r="145" ht="112" customHeight="1">
      <x:c r="A145" s="2" t="inlineStr">
        <x:is>
          <x:t xml:space="preserve">Elagatis bipinnulata</x:t>
        </x:is>
      </x:c>
      <x:c r="B145" s="2" t="inlineStr">
        <x:is>
          <x:t xml:space="preserve">Juvenile large pelagic fish</x:t>
        </x:is>
      </x:c>
      <x:c r="C145" s="2">
        <x:v>30</x:v>
      </x:c>
      <x:c r="D145" s="8">
        <x:v>0.7384</x:v>
      </x:c>
      <x:c r="E145" s="8">
        <x:v>0.289</x:v>
      </x:c>
      <x:c r="F145" s="8" t="inlineStr">
        <x:is>
          <x:t xml:space="preserve">Model catch</x:t>
        </x:is>
      </x:c>
      <x:c r="G145" s="8">
        <x:f>SUMIFS($D$6:$D$681,$A$6:$A$681,A145)</x:f>
        <x:v>0.8205</x:v>
      </x:c>
      <x:c r="H145" s="9">
        <x:f>D145/G145</x:f>
        <x:v>0.8999390615478366</x:v>
      </x:c>
      <x:c r="I145" s="2" t="inlineStr">
        <x:is>
          <x:t xml:space="preserve">Medium</x:t>
        </x:is>
      </x:c>
      <x:c r="J145"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x:t>
        </x:is>
      </x:c>
      <x:c r="K145" s="1"/>
    </x:row>
    <x:row r="146" ht="112" customHeight="1">
      <x:c r="A146" s="2" t="inlineStr">
        <x:is>
          <x:t xml:space="preserve">Elagatis bipinnulata</x:t>
        </x:is>
      </x:c>
      <x:c r="B146" s="2" t="inlineStr">
        <x:is>
          <x:t xml:space="preserve">Pelagic fish (&gt; 30 cm)</x:t>
        </x:is>
      </x:c>
      <x:c r="C146" s="2">
        <x:v>31</x:v>
      </x:c>
      <x:c r="D146" s="8">
        <x:v>0.0821</x:v>
      </x:c>
      <x:c r="E146" s="8">
        <x:v>0.079</x:v>
      </x:c>
      <x:c r="F146" s="8" t="inlineStr">
        <x:is>
          <x:t xml:space="preserve">Model catch</x:t>
        </x:is>
      </x:c>
      <x:c r="G146" s="8">
        <x:f>SUMIFS($D$6:$D$681,$A$6:$A$681,A146)</x:f>
        <x:v>0.8205</x:v>
      </x:c>
      <x:c r="H146" s="9">
        <x:f>D146/G146</x:f>
        <x:v>0.1000609384521633</x:v>
      </x:c>
      <x:c r="I146" s="2" t="inlineStr">
        <x:is>
          <x:t xml:space="preserve">Medium</x:t>
        </x:is>
      </x:c>
      <x:c r="J146"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x:t>
        </x:is>
      </x:c>
      <x:c r="K146" s="1"/>
    </x:row>
    <x:row r="147" ht="80" customHeight="1">
      <x:c r="A147" s="2" t="inlineStr">
        <x:is>
          <x:t xml:space="preserve">Elasmobranchii</x:t>
        </x:is>
      </x:c>
      <x:c r="B147" s="2" t="inlineStr">
        <x:is>
          <x:t xml:space="preserve">Demersal sharks and rays</x:t>
        </x:is>
      </x:c>
      <x:c r="C147" s="2">
        <x:v>32</x:v>
      </x:c>
      <x:c r="D147" s="8">
        <x:v>0.001</x:v>
      </x:c>
      <x:c r="E147" s="8">
        <x:v>0.001</x:v>
      </x:c>
      <x:c r="F147" s="8" t="inlineStr">
        <x:is>
          <x:t xml:space="preserve">Model catch</x:t>
        </x:is>
      </x:c>
      <x:c r="G147" s="8">
        <x:f>SUMIFS($D$6:$D$681,$A$6:$A$681,A147)</x:f>
        <x:v>0.0017000000000000001</x:v>
      </x:c>
      <x:c r="H147" s="9">
        <x:f>D147/G147</x:f>
        <x:v>0.5882352941176471</x:v>
      </x:c>
      <x:c r="I147" s="2" t="inlineStr">
        <x:is>
          <x:t xml:space="preserve">Medium</x:t>
        </x:is>
      </x:c>
      <x:c r="J147" s="2" t="inlineStr">
        <x:is>
          <x:t xml:space="preserve">The source expressly divides elasmobranchs into demersal and pelagic groups, both included in the current mapping. Membership in that complete partition is documented; relative composition is unknown. Model catch proportions provide the split; allocation confidence remains Medium.</x:t>
        </x:is>
      </x:c>
      <x:c r="K147" s="1"/>
    </x:row>
    <x:row r="148" ht="80" customHeight="1">
      <x:c r="A148" s="2" t="inlineStr">
        <x:is>
          <x:t xml:space="preserve">Elasmobranchii</x:t>
        </x:is>
      </x:c>
      <x:c r="B148" s="2" t="inlineStr">
        <x:is>
          <x:t xml:space="preserve">Pelagic sharks and rays</x:t>
        </x:is>
      </x:c>
      <x:c r="C148" s="2">
        <x:v>33</x:v>
      </x:c>
      <x:c r="D148" s="8">
        <x:v>0.0007</x:v>
      </x:c>
      <x:c r="E148" s="8">
        <x:v>0.0011</x:v>
      </x:c>
      <x:c r="F148" s="8" t="inlineStr">
        <x:is>
          <x:t xml:space="preserve">Model catch</x:t>
        </x:is>
      </x:c>
      <x:c r="G148" s="8">
        <x:f>SUMIFS($D$6:$D$681,$A$6:$A$681,A148)</x:f>
        <x:v>0.0017000000000000001</x:v>
      </x:c>
      <x:c r="H148" s="9">
        <x:f>D148/G148</x:f>
        <x:v>0.4117647058823529</x:v>
      </x:c>
      <x:c r="I148" s="2" t="inlineStr">
        <x:is>
          <x:t xml:space="preserve">Medium</x:t>
        </x:is>
      </x:c>
      <x:c r="J148" s="2" t="inlineStr">
        <x:is>
          <x:t xml:space="preserve">The source expressly divides elasmobranchs into demersal and pelagic groups, both included in the current mapping. Membership in that complete partition is documented; relative composition is unknown. Model catch proportions provide the split; allocation confidence remains Medium.</x:t>
        </x:is>
      </x:c>
      <x:c r="K148" s="1"/>
    </x:row>
    <x:row r="149" ht="96" customHeight="1">
      <x:c r="A149" s="2" t="inlineStr">
        <x:is>
          <x:t xml:space="preserve">Eleutheronema tetradactylum</x:t>
        </x:is>
      </x:c>
      <x:c r="B149" s="2" t="inlineStr">
        <x:is>
          <x:t xml:space="preserve">Juvenile demersal fish (&gt; 30 cm)</x:t>
        </x:is>
      </x:c>
      <x:c r="C149" s="2">
        <x:v>25</x:v>
      </x:c>
      <x:c r="D149" s="8">
        <x:v>0.3165</x:v>
      </x:c>
      <x:c r="E149" s="8">
        <x:v>0.143</x:v>
      </x:c>
      <x:c r="F149" s="8" t="inlineStr">
        <x:is>
          <x:t xml:space="preserve">Model catch</x:t>
        </x:is>
      </x:c>
      <x:c r="G149" s="8">
        <x:f>SUMIFS($D$6:$D$681,$A$6:$A$681,A149)</x:f>
        <x:v>0.3517</x:v>
      </x:c>
      <x:c r="H149" s="9">
        <x:f>D149/G149</x:f>
        <x:v>0.8999147000284333</x:v>
      </x:c>
      <x:c r="I149" s="2" t="inlineStr">
        <x:is>
          <x:t xml:space="preserve">Medium</x:t>
        </x:is>
      </x:c>
      <x:c r="J149" s="2" t="inlineStr">
        <x:is>
          <x:t xml:space="preserve">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x:t>
        </x:is>
      </x:c>
      <x:c r="K149" s="1"/>
    </x:row>
    <x:row r="150" ht="96" customHeight="1">
      <x:c r="A150" s="2" t="inlineStr">
        <x:is>
          <x:t xml:space="preserve">Eleutheronema tetradactylum</x:t>
        </x:is>
      </x:c>
      <x:c r="B150" s="2" t="inlineStr">
        <x:is>
          <x:t xml:space="preserve">Adult demersal fish (&gt; 30 cm)</x:t>
        </x:is>
      </x:c>
      <x:c r="C150" s="2">
        <x:v>26</x:v>
      </x:c>
      <x:c r="D150" s="8">
        <x:v>0.0352</x:v>
      </x:c>
      <x:c r="E150" s="8">
        <x:v>0.021</x:v>
      </x:c>
      <x:c r="F150" s="8" t="inlineStr">
        <x:is>
          <x:t xml:space="preserve">Model catch</x:t>
        </x:is>
      </x:c>
      <x:c r="G150" s="8">
        <x:f>SUMIFS($D$6:$D$681,$A$6:$A$681,A150)</x:f>
        <x:v>0.3517</x:v>
      </x:c>
      <x:c r="H150" s="9">
        <x:f>D150/G150</x:f>
        <x:v>0.1000852999715667</x:v>
      </x:c>
      <x:c r="I150" s="2" t="inlineStr">
        <x:is>
          <x:t xml:space="preserve">Medium</x:t>
        </x:is>
      </x:c>
      <x:c r="J150" s="2" t="inlineStr">
        <x:is>
          <x:t xml:space="preserve">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x:t>
        </x:is>
      </x:c>
      <x:c r="K150" s="1"/>
    </x:row>
    <x:row r="151" ht="112" customHeight="1">
      <x:c r="A151" s="2" t="inlineStr">
        <x:is>
          <x:t xml:space="preserve">Elops machnata</x:t>
        </x:is>
      </x:c>
      <x:c r="B151" s="2" t="inlineStr">
        <x:is>
          <x:t xml:space="preserve">Juvenile large pelagic fish</x:t>
        </x:is>
      </x:c>
      <x:c r="C151" s="2">
        <x:v>30</x:v>
      </x:c>
      <x:c r="D151" s="8">
        <x:v>0.7384</x:v>
      </x:c>
      <x:c r="E151" s="8">
        <x:v>0.289</x:v>
      </x:c>
      <x:c r="F151" s="8" t="inlineStr">
        <x:is>
          <x:t xml:space="preserve">Model catch</x:t>
        </x:is>
      </x:c>
      <x:c r="G151" s="8">
        <x:f>SUMIFS($D$6:$D$681,$A$6:$A$681,A151)</x:f>
        <x:v>0.8205</x:v>
      </x:c>
      <x:c r="H151" s="9">
        <x:f>D151/G151</x:f>
        <x:v>0.8999390615478366</x:v>
      </x:c>
      <x:c r="I151" s="2" t="inlineStr">
        <x:is>
          <x:t xml:space="preserve">Medium</x:t>
        </x:is>
      </x:c>
      <x:c r="J151" s="2" t="inlineStr">
        <x:is>
          <x:t xml:space="preserve">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x:t>
        </x:is>
      </x:c>
      <x:c r="K151" s="1"/>
    </x:row>
    <x:row r="152" ht="112" customHeight="1">
      <x:c r="A152" s="2" t="inlineStr">
        <x:is>
          <x:t xml:space="preserve">Elops machnata</x:t>
        </x:is>
      </x:c>
      <x:c r="B152" s="2" t="inlineStr">
        <x:is>
          <x:t xml:space="preserve">Pelagic fish (&gt; 30 cm)</x:t>
        </x:is>
      </x:c>
      <x:c r="C152" s="2">
        <x:v>31</x:v>
      </x:c>
      <x:c r="D152" s="8">
        <x:v>0.0821</x:v>
      </x:c>
      <x:c r="E152" s="8">
        <x:v>0.079</x:v>
      </x:c>
      <x:c r="F152" s="8" t="inlineStr">
        <x:is>
          <x:t xml:space="preserve">Model catch</x:t>
        </x:is>
      </x:c>
      <x:c r="G152" s="8">
        <x:f>SUMIFS($D$6:$D$681,$A$6:$A$681,A152)</x:f>
        <x:v>0.8205</x:v>
      </x:c>
      <x:c r="H152" s="9">
        <x:f>D152/G152</x:f>
        <x:v>0.1000609384521633</x:v>
      </x:c>
      <x:c r="I152" s="2" t="inlineStr">
        <x:is>
          <x:t xml:space="preserve">Medium</x:t>
        </x:is>
      </x:c>
      <x:c r="J152" s="2" t="inlineStr">
        <x:is>
          <x:t xml:space="preserve">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x:t>
        </x:is>
      </x:c>
      <x:c r="K152" s="1"/>
    </x:row>
    <x:row r="153" ht="80" customHeight="1">
      <x:c r="A153" s="2" t="inlineStr">
        <x:is>
          <x:t xml:space="preserve">Encrasicholina punctifer</x:t>
        </x:is>
      </x:c>
      <x:c r="B153" s="2" t="inlineStr">
        <x:is>
          <x:t xml:space="preserve">Pelagic fish (≤ 30 cm)</x:t>
        </x:is>
      </x:c>
      <x:c r="C153" s="2">
        <x:v>29</x:v>
      </x:c>
      <x:c r="D153" s="8">
        <x:v>2.345</x:v>
      </x:c>
      <x:c r="E153" s="8">
        <x:v>1.772</x:v>
      </x:c>
      <x:c r="F153" s="8" t="inlineStr">
        <x:is>
          <x:t xml:space="preserve">No split</x:t>
        </x:is>
      </x:c>
      <x:c r="G153" s="8">
        <x:f>SUMIFS($D$6:$D$681,$A$6:$A$681,A153)</x:f>
        <x:v>2.345</x:v>
      </x:c>
      <x:c r="H153" s="9">
        <x:f>1</x:f>
        <x:v>1</x:v>
      </x:c>
      <x:c r="I153" s="2" t="inlineStr">
        <x:is>
          <x:t xml:space="preserve">High</x:t>
        </x:is>
      </x:c>
      <x:c r="J153" s="2" t="inlineStr">
        <x:is>
          <x:t xml:space="preserve">Species Biology establishes epipelagic/pelagic activity despite a coarse reef-associated tag, and verified maximum TL is at or below the inclusive 30 cm boundary. No dedicated pool competes. Checked species record: 13 cm TL; Marine;  reef-associated; oceanodromous. No split is required.</x:t>
        </x:is>
      </x:c>
      <x:c r="K153" s="1"/>
    </x:row>
    <x:row r="154" ht="96" customHeight="1">
      <x:c r="A154" s="2" t="inlineStr">
        <x:is>
          <x:t xml:space="preserve">Engraulidae</x:t>
        </x:is>
      </x:c>
      <x:c r="B154" s="2" t="inlineStr">
        <x:is>
          <x:t xml:space="preserve">Pelagic fish (≤ 30 cm)</x:t>
        </x:is>
      </x:c>
      <x:c r="C154" s="2">
        <x:v>29</x:v>
      </x:c>
      <x:c r="D154" s="8">
        <x:v>2.345</x:v>
      </x:c>
      <x:c r="E154" s="8">
        <x:v>1.772</x:v>
      </x:c>
      <x:c r="F154" s="8" t="inlineStr">
        <x:is>
          <x:t xml:space="preserve">Model catch</x:t>
        </x:is>
      </x:c>
      <x:c r="G154" s="8">
        <x:f>SUMIFS($D$6:$D$681,$A$6:$A$681,A154)</x:f>
        <x:v>3.1655</x:v>
      </x:c>
      <x:c r="H154" s="9">
        <x:f>D154/G154</x:f>
        <x:v>0.7407992418259359</x:v>
      </x:c>
      <x:c r="I154" s="2" t="inlineStr">
        <x:is>
          <x:t xml:space="preserve">Medium</x:t>
        </x:is>
      </x:c>
      <x:c r="J154" s="2" t="inlineStr">
        <x:is>
          <x:t xml:space="preserve">Small anchovies and larger regional Coilia support both pelagic species-size classes. The reported Anchovies, round herrings label does not establish a species-level exclusion of Coilia; within-family composition is assumed. Source-model catch proportions supply an assumed fixed 1950–2019/all-bases mixture; they are not observed taxon-specific catches.</x:t>
        </x:is>
      </x:c>
      <x:c r="K154" s="1"/>
    </x:row>
    <x:row r="155" ht="96" customHeight="1">
      <x:c r="A155" s="2" t="inlineStr">
        <x:is>
          <x:t xml:space="preserve">Engraulidae</x:t>
        </x:is>
      </x:c>
      <x:c r="B155" s="2" t="inlineStr">
        <x:is>
          <x:t xml:space="preserve">Juvenile large pelagic fish</x:t>
        </x:is>
      </x:c>
      <x:c r="C155" s="2">
        <x:v>30</x:v>
      </x:c>
      <x:c r="D155" s="8">
        <x:v>0.7384</x:v>
      </x:c>
      <x:c r="E155" s="8">
        <x:v>0.289</x:v>
      </x:c>
      <x:c r="F155" s="8" t="inlineStr">
        <x:is>
          <x:t xml:space="preserve">Model catch</x:t>
        </x:is>
      </x:c>
      <x:c r="G155" s="8">
        <x:f>SUMIFS($D$6:$D$681,$A$6:$A$681,A155)</x:f>
        <x:v>3.1655</x:v>
      </x:c>
      <x:c r="H155" s="9">
        <x:f>D155/G155</x:f>
        <x:v>0.233264887063655</x:v>
      </x:c>
      <x:c r="I155" s="2" t="inlineStr">
        <x:is>
          <x:t xml:space="preserve">Medium</x:t>
        </x:is>
      </x:c>
      <x:c r="J155" s="2" t="inlineStr">
        <x:is>
          <x:t xml:space="preserve">Small anchovies and larger regional Coilia support both pelagic species-size classes. The reported Anchovies, round herrings label does not establish a species-level exclusion of Coilia; within-family composition is assumed. Source-model catch proportions supply an assumed fixed 1950–2019/all-bases mixture; they are not observed taxon-specific catches.</x:t>
        </x:is>
      </x:c>
      <x:c r="K155" s="1"/>
    </x:row>
    <x:row r="156" ht="96" customHeight="1">
      <x:c r="A156" s="2" t="inlineStr">
        <x:is>
          <x:t xml:space="preserve">Engraulidae</x:t>
        </x:is>
      </x:c>
      <x:c r="B156" s="2" t="inlineStr">
        <x:is>
          <x:t xml:space="preserve">Pelagic fish (&gt; 30 cm)</x:t>
        </x:is>
      </x:c>
      <x:c r="C156" s="2">
        <x:v>31</x:v>
      </x:c>
      <x:c r="D156" s="8">
        <x:v>0.0821</x:v>
      </x:c>
      <x:c r="E156" s="8">
        <x:v>0.079</x:v>
      </x:c>
      <x:c r="F156" s="8" t="inlineStr">
        <x:is>
          <x:t xml:space="preserve">Model catch</x:t>
        </x:is>
      </x:c>
      <x:c r="G156" s="8">
        <x:f>SUMIFS($D$6:$D$681,$A$6:$A$681,A156)</x:f>
        <x:v>3.1655</x:v>
      </x:c>
      <x:c r="H156" s="9">
        <x:f>D156/G156</x:f>
        <x:v>0.025935871110409098</x:v>
      </x:c>
      <x:c r="I156" s="2" t="inlineStr">
        <x:is>
          <x:t xml:space="preserve">Medium</x:t>
        </x:is>
      </x:c>
      <x:c r="J156" s="2" t="inlineStr">
        <x:is>
          <x:t xml:space="preserve">Small anchovies and larger regional Coilia support both pelagic species-size classes. The reported Anchovies, round herrings label does not establish a species-level exclusion of Coilia; within-family composition is assumed. Source-model catch proportions supply an assumed fixed 1950–2019/all-bases mixture; they are not observed taxon-specific catches.</x:t>
        </x:is>
      </x:c>
      <x:c r="K156" s="1"/>
    </x:row>
    <x:row r="157" ht="80" customHeight="1">
      <x:c r="A157" s="2" t="inlineStr">
        <x:is>
          <x:t xml:space="preserve">Engraulis japonicus</x:t>
        </x:is>
      </x:c>
      <x:c r="B157" s="2" t="inlineStr">
        <x:is>
          <x:t xml:space="preserve">Pelagic fish (≤ 30 cm)</x:t>
        </x:is>
      </x:c>
      <x:c r="C157" s="2">
        <x:v>29</x:v>
      </x:c>
      <x:c r="D157" s="8">
        <x:v>2.345</x:v>
      </x:c>
      <x:c r="E157" s="8">
        <x:v>1.772</x:v>
      </x:c>
      <x:c r="F157" s="8" t="inlineStr">
        <x:is>
          <x:t xml:space="preserve">No split</x:t>
        </x:is>
      </x:c>
      <x:c r="G157" s="8">
        <x:f>SUMIFS($D$6:$D$681,$A$6:$A$681,A157)</x:f>
        <x:v>2.345</x:v>
      </x:c>
      <x:c r="H157" s="9">
        <x:f>1</x:f>
        <x:v>1</x:v>
      </x:c>
      <x:c r="I157" s="2" t="inlineStr">
        <x:is>
          <x:t xml:space="preserve">High</x:t>
        </x:is>
      </x:c>
      <x:c r="J157" s="2" t="inlineStr">
        <x:is>
          <x:t xml:space="preserve">Species evidence establishes pelagic habitat and maximum TL &lt;=30 cm. The source defines the small-pelagic pool by these criteria; its named examples are not a closed species list. No dedicated group competes. Checked species record: 18 cm TL; Marine;  pelagic-neritic; oceanodromous. No split is required.</x:t>
        </x:is>
      </x:c>
      <x:c r="K157" s="1"/>
    </x:row>
    <x:row r="158" ht="96" customHeight="1">
      <x:c r="A158" s="2" t="inlineStr">
        <x:is>
          <x:t xml:space="preserve">Ephippidae</x:t>
        </x:is>
      </x:c>
      <x:c r="B158" s="2" t="inlineStr">
        <x:is>
          <x:t xml:space="preserve">Juvenile demersal fish (&gt; 30 cm)</x:t>
        </x:is>
      </x:c>
      <x:c r="C158" s="2">
        <x:v>25</x:v>
      </x:c>
      <x:c r="D158" s="8">
        <x:v>0.3165</x:v>
      </x:c>
      <x:c r="E158" s="8">
        <x:v>0.143</x:v>
      </x:c>
      <x:c r="F158" s="8" t="inlineStr">
        <x:is>
          <x:t xml:space="preserve">Model catch</x:t>
        </x:is>
      </x:c>
      <x:c r="G158" s="8">
        <x:f>SUMIFS($D$6:$D$681,$A$6:$A$681,A158)</x:f>
        <x:v>0.3517</x:v>
      </x:c>
      <x:c r="H158" s="9">
        <x:f>D158/G158</x:f>
        <x:v>0.8999147000284333</x:v>
      </x:c>
      <x:c r="I158" s="2" t="inlineStr">
        <x:is>
          <x:t xml:space="preserve">Medium</x:t>
        </x:is>
      </x:c>
      <x:c r="J158" s="2" t="inlineStr">
        <x:is>
          <x:t xml:space="preserve">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x:t>
        </x:is>
      </x:c>
      <x:c r="K158" s="1"/>
    </x:row>
    <x:row r="159" ht="96" customHeight="1">
      <x:c r="A159" s="2" t="inlineStr">
        <x:is>
          <x:t xml:space="preserve">Ephippidae</x:t>
        </x:is>
      </x:c>
      <x:c r="B159" s="2" t="inlineStr">
        <x:is>
          <x:t xml:space="preserve">Adult demersal fish (&gt; 30 cm)</x:t>
        </x:is>
      </x:c>
      <x:c r="C159" s="2">
        <x:v>26</x:v>
      </x:c>
      <x:c r="D159" s="8">
        <x:v>0.0352</x:v>
      </x:c>
      <x:c r="E159" s="8">
        <x:v>0.021</x:v>
      </x:c>
      <x:c r="F159" s="8" t="inlineStr">
        <x:is>
          <x:t xml:space="preserve">Model catch</x:t>
        </x:is>
      </x:c>
      <x:c r="G159" s="8">
        <x:f>SUMIFS($D$6:$D$681,$A$6:$A$681,A159)</x:f>
        <x:v>0.3517</x:v>
      </x:c>
      <x:c r="H159" s="9">
        <x:f>D159/G159</x:f>
        <x:v>0.1000852999715667</x:v>
      </x:c>
      <x:c r="I159" s="2" t="inlineStr">
        <x:is>
          <x:t xml:space="preserve">Medium</x:t>
        </x:is>
      </x:c>
      <x:c r="J159" s="2" t="inlineStr">
        <x:is>
          <x:t xml:space="preserve">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x:t>
        </x:is>
      </x:c>
      <x:c r="K159" s="1"/>
    </x:row>
    <x:row r="160" ht="72" customHeight="1">
      <x:c r="A160" s="2" t="inlineStr">
        <x:is>
          <x:t xml:space="preserve">Epinephelus</x:t>
        </x:is>
      </x:c>
      <x:c r="B160" s="2" t="inlineStr">
        <x:is>
          <x:t xml:space="preserve">Adult groupers</x:t>
        </x:is>
      </x:c>
      <x:c r="C160" s="2">
        <x:v>20</x:v>
      </x:c>
      <x:c r="D160" s="8">
        <x:v>0.0089</x:v>
      </x:c>
      <x:c r="E160" s="8">
        <x:v>0.0064</x:v>
      </x:c>
      <x:c r="F160" s="8" t="inlineStr">
        <x:is>
          <x:t xml:space="preserve">No split</x:t>
        </x:is>
      </x:c>
      <x:c r="G160" s="8">
        <x:f>SUMIFS($D$6:$D$681,$A$6:$A$681,A160)</x:f>
        <x:v>0.0089</x:v>
      </x:c>
      <x:c r="H160" s="9">
        <x:f>1</x:f>
        <x:v>1</x:v>
      </x:c>
      <x:c r="I160" s="2" t="inlineStr">
        <x:is>
          <x:t xml:space="preserve">High</x:t>
        </x:is>
      </x:c>
      <x:c r="J160" s="2" t="inlineStr">
        <x:is>
          <x:t xml:space="preserve">Epinephelus fits the source Serranidae concept. The thesis defines one family pool and no juvenile grouper stanza; the stored word Adult does not by itself establish an age restriction. No split is required.</x:t>
        </x:is>
      </x:c>
      <x:c r="K160" s="1"/>
    </x:row>
    <x:row r="161" ht="72" customHeight="1">
      <x:c r="A161" s="2" t="inlineStr">
        <x:is>
          <x:t xml:space="preserve">Epinephelus coioides</x:t>
        </x:is>
      </x:c>
      <x:c r="B161" s="2" t="inlineStr">
        <x:is>
          <x:t xml:space="preserve">Adult groupers</x:t>
        </x:is>
      </x:c>
      <x:c r="C161" s="2">
        <x:v>20</x:v>
      </x:c>
      <x:c r="D161" s="8">
        <x:v>0.0089</x:v>
      </x:c>
      <x:c r="E161" s="8">
        <x:v>0.0064</x:v>
      </x:c>
      <x:c r="F161" s="8" t="inlineStr">
        <x:is>
          <x:t xml:space="preserve">No split</x:t>
        </x:is>
      </x:c>
      <x:c r="G161" s="8">
        <x:f>SUMIFS($D$6:$D$681,$A$6:$A$681,A161)</x:f>
        <x:v>0.0089</x:v>
      </x:c>
      <x:c r="H161" s="9">
        <x:f>1</x:f>
        <x:v>1</x:v>
      </x:c>
      <x:c r="I161" s="2" t="inlineStr">
        <x:is>
          <x:t xml:space="preserve">High</x:t>
        </x:is>
      </x:c>
      <x:c r="J161" s="2" t="inlineStr">
        <x:is>
          <x:t xml:space="preserve">Epinephelus coioides fits the source Serranidae concept. The thesis defines one family pool and no juvenile grouper stanza; the stored word Adult does not by itself establish an age restriction. No split is required.</x:t>
        </x:is>
      </x:c>
      <x:c r="K161" s="1"/>
    </x:row>
    <x:row r="162" ht="72" customHeight="1">
      <x:c r="A162" s="2" t="inlineStr">
        <x:is>
          <x:t xml:space="preserve">Epinephelus maculatus</x:t>
        </x:is>
      </x:c>
      <x:c r="B162" s="2" t="inlineStr">
        <x:is>
          <x:t xml:space="preserve">Adult groupers</x:t>
        </x:is>
      </x:c>
      <x:c r="C162" s="2">
        <x:v>20</x:v>
      </x:c>
      <x:c r="D162" s="8">
        <x:v>0.0089</x:v>
      </x:c>
      <x:c r="E162" s="8">
        <x:v>0.0064</x:v>
      </x:c>
      <x:c r="F162" s="8" t="inlineStr">
        <x:is>
          <x:t xml:space="preserve">No split</x:t>
        </x:is>
      </x:c>
      <x:c r="G162" s="8">
        <x:f>SUMIFS($D$6:$D$681,$A$6:$A$681,A162)</x:f>
        <x:v>0.0089</x:v>
      </x:c>
      <x:c r="H162" s="9">
        <x:f>1</x:f>
        <x:v>1</x:v>
      </x:c>
      <x:c r="I162" s="2" t="inlineStr">
        <x:is>
          <x:t xml:space="preserve">High</x:t>
        </x:is>
      </x:c>
      <x:c r="J162" s="2" t="inlineStr">
        <x:is>
          <x:t xml:space="preserve">Epinephelus maculatus fits the source Serranidae concept. The thesis defines one family pool and no juvenile grouper stanza; the stored word Adult does not by itself establish an age restriction. No split is required.</x:t>
        </x:is>
      </x:c>
      <x:c r="K162" s="1"/>
    </x:row>
    <x:row r="163" ht="72" customHeight="1">
      <x:c r="A163" s="2" t="inlineStr">
        <x:is>
          <x:t xml:space="preserve">Epinephelus malabaricus</x:t>
        </x:is>
      </x:c>
      <x:c r="B163" s="2" t="inlineStr">
        <x:is>
          <x:t xml:space="preserve">Adult groupers</x:t>
        </x:is>
      </x:c>
      <x:c r="C163" s="2">
        <x:v>20</x:v>
      </x:c>
      <x:c r="D163" s="8">
        <x:v>0.0089</x:v>
      </x:c>
      <x:c r="E163" s="8">
        <x:v>0.0064</x:v>
      </x:c>
      <x:c r="F163" s="8" t="inlineStr">
        <x:is>
          <x:t xml:space="preserve">No split</x:t>
        </x:is>
      </x:c>
      <x:c r="G163" s="8">
        <x:f>SUMIFS($D$6:$D$681,$A$6:$A$681,A163)</x:f>
        <x:v>0.0089</x:v>
      </x:c>
      <x:c r="H163" s="9">
        <x:f>1</x:f>
        <x:v>1</x:v>
      </x:c>
      <x:c r="I163" s="2" t="inlineStr">
        <x:is>
          <x:t xml:space="preserve">High</x:t>
        </x:is>
      </x:c>
      <x:c r="J163" s="2" t="inlineStr">
        <x:is>
          <x:t xml:space="preserve">Epinephelus malabaricus fits the source Serranidae concept. The thesis defines one family pool and no juvenile grouper stanza; the stored word Adult does not by itself establish an age restriction. No split is required.</x:t>
        </x:is>
      </x:c>
      <x:c r="K163" s="1"/>
    </x:row>
    <x:row r="164" ht="128" customHeight="1">
      <x:c r="A164" s="2" t="inlineStr">
        <x:is>
          <x:t xml:space="preserve">Euthynnus affinis</x:t>
        </x:is>
      </x:c>
      <x:c r="B164" s="2" t="inlineStr">
        <x:is>
          <x:t xml:space="preserve">Juvenile large pelagic fish</x:t>
        </x:is>
      </x:c>
      <x:c r="C164" s="2">
        <x:v>30</x:v>
      </x:c>
      <x:c r="D164" s="8">
        <x:v>0.7384</x:v>
      </x:c>
      <x:c r="E164" s="8">
        <x:v>0.289</x:v>
      </x:c>
      <x:c r="F164" s="8" t="inlineStr">
        <x:is>
          <x:t xml:space="preserve">Model catch</x:t>
        </x:is>
      </x:c>
      <x:c r="G164" s="8">
        <x:f>SUMIFS($D$6:$D$681,$A$6:$A$681,A164)</x:f>
        <x:v>0.8205</x:v>
      </x:c>
      <x:c r="H164" s="9">
        <x:f>D164/G164</x:f>
        <x:v>0.8999390615478366</x:v>
      </x:c>
      <x:c r="I164" s="2" t="inlineStr">
        <x:is>
          <x:t xml:space="preserve">Medium</x:t>
        </x:is>
      </x:c>
      <x:c r="J16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x:t>
        </x:is>
      </x:c>
      <x:c r="K164" s="1"/>
    </x:row>
    <x:row r="165" ht="128" customHeight="1">
      <x:c r="A165" s="2" t="inlineStr">
        <x:is>
          <x:t xml:space="preserve">Euthynnus affinis</x:t>
        </x:is>
      </x:c>
      <x:c r="B165" s="2" t="inlineStr">
        <x:is>
          <x:t xml:space="preserve">Pelagic fish (&gt; 30 cm)</x:t>
        </x:is>
      </x:c>
      <x:c r="C165" s="2">
        <x:v>31</x:v>
      </x:c>
      <x:c r="D165" s="8">
        <x:v>0.0821</x:v>
      </x:c>
      <x:c r="E165" s="8">
        <x:v>0.079</x:v>
      </x:c>
      <x:c r="F165" s="8" t="inlineStr">
        <x:is>
          <x:t xml:space="preserve">Model catch</x:t>
        </x:is>
      </x:c>
      <x:c r="G165" s="8">
        <x:f>SUMIFS($D$6:$D$681,$A$6:$A$681,A165)</x:f>
        <x:v>0.8205</x:v>
      </x:c>
      <x:c r="H165" s="9">
        <x:f>D165/G165</x:f>
        <x:v>0.1000609384521633</x:v>
      </x:c>
      <x:c r="I165" s="2" t="inlineStr">
        <x:is>
          <x:t xml:space="preserve">Medium</x:t>
        </x:is>
      </x:c>
      <x:c r="J16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x:t>
        </x:is>
      </x:c>
      <x:c r="K165" s="1"/>
    </x:row>
    <x:row r="166" ht="96" customHeight="1">
      <x:c r="A166" s="2" t="inlineStr">
        <x:is>
          <x:t xml:space="preserve">Evynnis tumifrons</x:t>
        </x:is>
      </x:c>
      <x:c r="B166" s="2" t="inlineStr">
        <x:is>
          <x:t xml:space="preserve">Juvenile demersal fish (&gt; 30 cm)</x:t>
        </x:is>
      </x:c>
      <x:c r="C166" s="2">
        <x:v>25</x:v>
      </x:c>
      <x:c r="D166" s="8">
        <x:v>0.3165</x:v>
      </x:c>
      <x:c r="E166" s="8">
        <x:v>0.143</x:v>
      </x:c>
      <x:c r="F166" s="8" t="inlineStr">
        <x:is>
          <x:t xml:space="preserve">Model catch</x:t>
        </x:is>
      </x:c>
      <x:c r="G166" s="8">
        <x:f>SUMIFS($D$6:$D$681,$A$6:$A$681,A166)</x:f>
        <x:v>0.3517</x:v>
      </x:c>
      <x:c r="H166" s="9">
        <x:f>D166/G166</x:f>
        <x:v>0.8999147000284333</x:v>
      </x:c>
      <x:c r="I166" s="2" t="inlineStr">
        <x:is>
          <x:t xml:space="preserve">Medium</x:t>
        </x:is>
      </x:c>
      <x:c r="J166" s="2" t="inlineStr">
        <x:is>
          <x:t xml:space="preserve">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x:t>
        </x:is>
      </x:c>
      <x:c r="K166" s="1"/>
    </x:row>
    <x:row r="167" ht="96" customHeight="1">
      <x:c r="A167" s="2" t="inlineStr">
        <x:is>
          <x:t xml:space="preserve">Evynnis tumifrons</x:t>
        </x:is>
      </x:c>
      <x:c r="B167" s="2" t="inlineStr">
        <x:is>
          <x:t xml:space="preserve">Adult demersal fish (&gt; 30 cm)</x:t>
        </x:is>
      </x:c>
      <x:c r="C167" s="2">
        <x:v>26</x:v>
      </x:c>
      <x:c r="D167" s="8">
        <x:v>0.0352</x:v>
      </x:c>
      <x:c r="E167" s="8">
        <x:v>0.021</x:v>
      </x:c>
      <x:c r="F167" s="8" t="inlineStr">
        <x:is>
          <x:t xml:space="preserve">Model catch</x:t>
        </x:is>
      </x:c>
      <x:c r="G167" s="8">
        <x:f>SUMIFS($D$6:$D$681,$A$6:$A$681,A167)</x:f>
        <x:v>0.3517</x:v>
      </x:c>
      <x:c r="H167" s="9">
        <x:f>D167/G167</x:f>
        <x:v>0.1000852999715667</x:v>
      </x:c>
      <x:c r="I167" s="2" t="inlineStr">
        <x:is>
          <x:t xml:space="preserve">Medium</x:t>
        </x:is>
      </x:c>
      <x:c r="J167" s="2" t="inlineStr">
        <x:is>
          <x:t xml:space="preserve">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x:t>
        </x:is>
      </x:c>
      <x:c r="K167" s="1"/>
    </x:row>
    <x:row r="168" ht="96" customHeight="1">
      <x:c r="A168" s="2" t="inlineStr">
        <x:is>
          <x:t xml:space="preserve">Exocoetidae</x:t>
        </x:is>
      </x:c>
      <x:c r="B168" s="2" t="inlineStr">
        <x:is>
          <x:t xml:space="preserve">Pelagic fish (≤ 30 cm)</x:t>
        </x:is>
      </x:c>
      <x:c r="C168" s="2">
        <x:v>29</x:v>
      </x:c>
      <x:c r="D168" s="8">
        <x:v>2.345</x:v>
      </x:c>
      <x:c r="E168" s="8">
        <x:v>1.772</x:v>
      </x:c>
      <x:c r="F168" s="8" t="inlineStr">
        <x:is>
          <x:t xml:space="preserve">Model catch</x:t>
        </x:is>
      </x:c>
      <x:c r="G168" s="8">
        <x:f>SUMIFS($D$6:$D$681,$A$6:$A$681,A168)</x:f>
        <x:v>3.1655</x:v>
      </x:c>
      <x:c r="H168" s="9">
        <x:f>D168/G168</x:f>
        <x:v>0.7407992418259359</x:v>
      </x:c>
      <x:c r="I168" s="2" t="inlineStr">
        <x:is>
          <x:t xml:space="preserve">Medium</x:t>
        </x:is>
      </x:c>
      <x:c r="J168" s="2" t="inlineStr">
        <x:is>
          <x:t xml:space="preserve">The regional flyingfish reporting family contains small pelagic species and separately reported Cheilopogon unicolor (38 cm TL). Both pelagic size classes are retained; the provider small-pelagic classifier is not evidence excluding the large member. Source-model catch proportions supply an assumed fixed 1950–2019/all-bases mixture; they are not observed taxon-specific catches.</x:t>
        </x:is>
      </x:c>
      <x:c r="K168" s="1"/>
    </x:row>
    <x:row r="169" ht="96" customHeight="1">
      <x:c r="A169" s="2" t="inlineStr">
        <x:is>
          <x:t xml:space="preserve">Exocoetidae</x:t>
        </x:is>
      </x:c>
      <x:c r="B169" s="2" t="inlineStr">
        <x:is>
          <x:t xml:space="preserve">Juvenile large pelagic fish</x:t>
        </x:is>
      </x:c>
      <x:c r="C169" s="2">
        <x:v>30</x:v>
      </x:c>
      <x:c r="D169" s="8">
        <x:v>0.7384</x:v>
      </x:c>
      <x:c r="E169" s="8">
        <x:v>0.289</x:v>
      </x:c>
      <x:c r="F169" s="8" t="inlineStr">
        <x:is>
          <x:t xml:space="preserve">Model catch</x:t>
        </x:is>
      </x:c>
      <x:c r="G169" s="8">
        <x:f>SUMIFS($D$6:$D$681,$A$6:$A$681,A169)</x:f>
        <x:v>3.1655</x:v>
      </x:c>
      <x:c r="H169" s="9">
        <x:f>D169/G169</x:f>
        <x:v>0.233264887063655</x:v>
      </x:c>
      <x:c r="I169" s="2" t="inlineStr">
        <x:is>
          <x:t xml:space="preserve">Medium</x:t>
        </x:is>
      </x:c>
      <x:c r="J169" s="2" t="inlineStr">
        <x:is>
          <x:t xml:space="preserve">The regional flyingfish reporting family contains small pelagic species and separately reported Cheilopogon unicolor (38 cm TL). Both pelagic size classes are retained; the provider small-pelagic classifier is not evidence excluding the large member. Source-model catch proportions supply an assumed fixed 1950–2019/all-bases mixture; they are not observed taxon-specific catches.</x:t>
        </x:is>
      </x:c>
      <x:c r="K169" s="1"/>
    </x:row>
    <x:row r="170" ht="96" customHeight="1">
      <x:c r="A170" s="2" t="inlineStr">
        <x:is>
          <x:t xml:space="preserve">Exocoetidae</x:t>
        </x:is>
      </x:c>
      <x:c r="B170" s="2" t="inlineStr">
        <x:is>
          <x:t xml:space="preserve">Pelagic fish (&gt; 30 cm)</x:t>
        </x:is>
      </x:c>
      <x:c r="C170" s="2">
        <x:v>31</x:v>
      </x:c>
      <x:c r="D170" s="8">
        <x:v>0.0821</x:v>
      </x:c>
      <x:c r="E170" s="8">
        <x:v>0.079</x:v>
      </x:c>
      <x:c r="F170" s="8" t="inlineStr">
        <x:is>
          <x:t xml:space="preserve">Model catch</x:t>
        </x:is>
      </x:c>
      <x:c r="G170" s="8">
        <x:f>SUMIFS($D$6:$D$681,$A$6:$A$681,A170)</x:f>
        <x:v>3.1655</x:v>
      </x:c>
      <x:c r="H170" s="9">
        <x:f>D170/G170</x:f>
        <x:v>0.025935871110409098</x:v>
      </x:c>
      <x:c r="I170" s="2" t="inlineStr">
        <x:is>
          <x:t xml:space="preserve">Medium</x:t>
        </x:is>
      </x:c>
      <x:c r="J170" s="2" t="inlineStr">
        <x:is>
          <x:t xml:space="preserve">The regional flyingfish reporting family contains small pelagic species and separately reported Cheilopogon unicolor (38 cm TL). Both pelagic size classes are retained; the provider small-pelagic classifier is not evidence excluding the large member. Source-model catch proportions supply an assumed fixed 1950–2019/all-bases mixture; they are not observed taxon-specific catches.</x:t>
        </x:is>
      </x:c>
      <x:c r="K170" s="1"/>
    </x:row>
    <x:row r="171" ht="80" customHeight="1">
      <x:c r="A171" s="2" t="inlineStr">
        <x:is>
          <x:t xml:space="preserve">Gadiformes</x:t>
        </x:is>
      </x:c>
      <x:c r="B171" s="2" t="inlineStr">
        <x:is>
          <x:t xml:space="preserve">Benthopelagic fish</x:t>
        </x:is>
      </x:c>
      <x:c r="C171" s="2">
        <x:v>27</x:v>
      </x:c>
      <x:c r="D171" s="8">
        <x:v>0.6025</x:v>
      </x:c>
      <x:c r="E171" s="8">
        <x:v>0.922</x:v>
      </x:c>
      <x:c r="F171" s="8" t="inlineStr">
        <x:is>
          <x:t xml:space="preserve">No split</x:t>
        </x:is>
      </x:c>
      <x:c r="G171" s="8">
        <x:f>SUMIFS($D$6:$D$681,$A$6:$A$681,A171)</x:f>
        <x:v>0.6025</x:v>
      </x:c>
      <x:c r="H171" s="9">
        <x:f>1</x:f>
        <x:v>1.0</x:v>
      </x:c>
      <x:c r="I171" s="2" t="inlineStr">
        <x:is>
          <x:t xml:space="preserve">High</x:t>
        </x:is>
      </x:c>
      <x:c r="J171" s="2" t="inlineStr">
        <x:is>
          <x:t xml:space="preserve">A whole-order allocation to group 27 remains a broad approximation: Gadiformes includes small pelagic codlets as well as demersal/benthopelagic cod-like fishes. The saved cods/benthopelagic class does not establish the unreported family mixture. No split is required.</x:t>
        </x:is>
      </x:c>
      <x:c r="K171" s="1"/>
    </x:row>
    <x:row r="172" ht="72" customHeight="1">
      <x:c r="A172" s="2" t="inlineStr">
        <x:is>
          <x:t xml:space="preserve">Gastropoda</x:t>
        </x:is>
      </x:c>
      <x:c r="B172" s="2" t="inlineStr">
        <x:is>
          <x:t xml:space="preserve">Non-ceph molluscs</x:t>
        </x:is>
      </x:c>
      <x:c r="C172" s="2">
        <x:v>8</x:v>
      </x:c>
      <x:c r="D172" s="8">
        <x:v>0.7623</x:v>
      </x:c>
      <x:c r="E172" s="8">
        <x:v>2.68</x:v>
      </x:c>
      <x:c r="F172" s="8" t="inlineStr">
        <x:is>
          <x:t xml:space="preserve">No split</x:t>
        </x:is>
      </x:c>
      <x:c r="G172" s="8">
        <x:f>SUMIFS($D$6:$D$681,$A$6:$A$681,A172)</x:f>
        <x:v>0.7623</x:v>
      </x:c>
      <x:c r="H172" s="9">
        <x:f>1</x:f>
        <x:v>1</x:v>
      </x:c>
      <x:c r="I172" s="2" t="inlineStr">
        <x:is>
          <x:t xml:space="preserve">High</x:t>
        </x:is>
      </x:c>
      <x:c r="J172" s="2" t="inlineStr">
        <x:is>
          <x:t xml:space="preserve">Gastropoda is a non-cephalopod mollusc. The source derives this catch by removing Cephalopoda from mollusc catch; no competing mollusc compartment contains this lineage. No split is required.</x:t>
        </x:is>
      </x:c>
      <x:c r="K172" s="1"/>
    </x:row>
    <x:row r="173" ht="80" customHeight="1">
      <x:c r="A173" s="2" t="inlineStr">
        <x:is>
          <x:t xml:space="preserve">Gazza minuta</x:t>
        </x:is>
      </x:c>
      <x:c r="B173" s="2" t="inlineStr">
        <x:is>
          <x:t xml:space="preserve">Demesral fish (≤ 30 cm)</x:t>
        </x:is>
      </x:c>
      <x:c r="C173" s="2">
        <x:v>24</x:v>
      </x:c>
      <x:c r="D173" s="8">
        <x:v>0.1788</x:v>
      </x:c>
      <x:c r="E173" s="8">
        <x:v>0.316</x:v>
      </x:c>
      <x:c r="F173" s="8" t="inlineStr">
        <x:is>
          <x:t xml:space="preserve">No split</x:t>
        </x:is>
      </x:c>
      <x:c r="G173" s="8">
        <x:f>SUMIFS($D$6:$D$681,$A$6:$A$681,A173)</x:f>
        <x:v>0.1788</x:v>
      </x:c>
      <x:c r="H173" s="9">
        <x:f>1</x:f>
        <x:v>1</x:v>
      </x:c>
      <x:c r="I173" s="2" t="inlineStr">
        <x:is>
          <x:t xml:space="preserve">High</x:t>
        </x:is>
      </x:c>
      <x:c r="J173" s="2" t="inlineStr">
        <x:is>
          <x:t xml:space="preserve">Demersal ecology supports placement, but the retrieved maximum is 21 cm FL rather than TL. Retain the small-demersal inference without claiming an independently verified total-length boundary. Checked species record: 21 cm FL; Marine; brackish;  demersal;. No split is required.</x:t>
        </x:is>
      </x:c>
      <x:c r="K173" s="1"/>
    </x:row>
    <x:row r="174" ht="96" customHeight="1">
      <x:c r="A174" s="2" t="inlineStr">
        <x:is>
          <x:t xml:space="preserve">Gerreidae</x:t>
        </x:is>
      </x:c>
      <x:c r="B174" s="2" t="inlineStr">
        <x:is>
          <x:t xml:space="preserve">Demesral fish (≤ 30 cm)</x:t>
        </x:is>
      </x:c>
      <x:c r="C174" s="2">
        <x:v>24</x:v>
      </x:c>
      <x:c r="D174" s="8">
        <x:v>0.1788</x:v>
      </x:c>
      <x:c r="E174" s="8">
        <x:v>0.316</x:v>
      </x:c>
      <x:c r="F174" s="8" t="inlineStr">
        <x:is>
          <x:t xml:space="preserve">Model catch</x:t>
        </x:is>
      </x:c>
      <x:c r="G174" s="8">
        <x:f>SUMIFS($D$6:$D$681,$A$6:$A$681,A174)</x:f>
        <x:v>0.5305</x:v>
      </x:c>
      <x:c r="H174" s="9">
        <x:f>D174/G174</x:f>
        <x:v>0.33704052780395855</x:v>
      </x:c>
      <x:c r="I174" s="2" t="inlineStr">
        <x:is>
          <x:t xml:space="preserve">Medium</x:t>
        </x:is>
      </x:c>
      <x:c r="J174" s="2" t="inlineStr">
        <x:is>
          <x:t xml:space="preserve">Regional demersal Gerres limbatus (15 cm TL) and G. filamentosus (39 cm TL) on mud/sand bottoms establish both size classes. These directly supported pools replace exclusive group 27; family mixture remains inferred. Source-model catch proportions supply an assumed fixed 1950–2019/all-bases mixture; they are not observed taxon-specific catches.</x:t>
        </x:is>
      </x:c>
      <x:c r="K174" s="1"/>
    </x:row>
    <x:row r="175" ht="96" customHeight="1">
      <x:c r="A175" s="2" t="inlineStr">
        <x:is>
          <x:t xml:space="preserve">Gerreidae</x:t>
        </x:is>
      </x:c>
      <x:c r="B175" s="2" t="inlineStr">
        <x:is>
          <x:t xml:space="preserve">Juvenile demersal fish (&gt; 30 cm)</x:t>
        </x:is>
      </x:c>
      <x:c r="C175" s="2">
        <x:v>25</x:v>
      </x:c>
      <x:c r="D175" s="8">
        <x:v>0.3165</x:v>
      </x:c>
      <x:c r="E175" s="8">
        <x:v>0.143</x:v>
      </x:c>
      <x:c r="F175" s="8" t="inlineStr">
        <x:is>
          <x:t xml:space="preserve">Model catch</x:t>
        </x:is>
      </x:c>
      <x:c r="G175" s="8">
        <x:f>SUMIFS($D$6:$D$681,$A$6:$A$681,A175)</x:f>
        <x:v>0.5305</x:v>
      </x:c>
      <x:c r="H175" s="9">
        <x:f>D175/G175</x:f>
        <x:v>0.5966069745523092</x:v>
      </x:c>
      <x:c r="I175" s="2" t="inlineStr">
        <x:is>
          <x:t xml:space="preserve">Medium</x:t>
        </x:is>
      </x:c>
      <x:c r="J175" s="2" t="inlineStr">
        <x:is>
          <x:t xml:space="preserve">Regional demersal Gerres limbatus (15 cm TL) and G. filamentosus (39 cm TL) on mud/sand bottoms establish both size classes. These directly supported pools replace exclusive group 27; family mixture remains inferred. Source-model catch proportions supply an assumed fixed 1950–2019/all-bases mixture; they are not observed taxon-specific catches.</x:t>
        </x:is>
      </x:c>
      <x:c r="K175" s="1"/>
    </x:row>
    <x:row r="176" ht="96" customHeight="1">
      <x:c r="A176" s="2" t="inlineStr">
        <x:is>
          <x:t xml:space="preserve">Gerreidae</x:t>
        </x:is>
      </x:c>
      <x:c r="B176" s="2" t="inlineStr">
        <x:is>
          <x:t xml:space="preserve">Adult demersal fish (&gt; 30 cm)</x:t>
        </x:is>
      </x:c>
      <x:c r="C176" s="2">
        <x:v>26</x:v>
      </x:c>
      <x:c r="D176" s="8">
        <x:v>0.0352</x:v>
      </x:c>
      <x:c r="E176" s="8">
        <x:v>0.021</x:v>
      </x:c>
      <x:c r="F176" s="8" t="inlineStr">
        <x:is>
          <x:t xml:space="preserve">Model catch</x:t>
        </x:is>
      </x:c>
      <x:c r="G176" s="8">
        <x:f>SUMIFS($D$6:$D$681,$A$6:$A$681,A176)</x:f>
        <x:v>0.5305</x:v>
      </x:c>
      <x:c r="H176" s="9">
        <x:f>D176/G176</x:f>
        <x:v>0.06635249764373234</x:v>
      </x:c>
      <x:c r="I176" s="2" t="inlineStr">
        <x:is>
          <x:t xml:space="preserve">Medium</x:t>
        </x:is>
      </x:c>
      <x:c r="J176" s="2" t="inlineStr">
        <x:is>
          <x:t xml:space="preserve">Regional demersal Gerres limbatus (15 cm TL) and G. filamentosus (39 cm TL) on mud/sand bottoms establish both size classes. These directly supported pools replace exclusive group 27; family mixture remains inferred. Source-model catch proportions supply an assumed fixed 1950–2019/all-bases mixture; they are not observed taxon-specific catches.</x:t>
        </x:is>
      </x:c>
      <x:c r="K176" s="1"/>
    </x:row>
    <x:row r="177" ht="80" customHeight="1">
      <x:c r="A177" s="2" t="inlineStr">
        <x:is>
          <x:t xml:space="preserve">Gerres</x:t>
        </x:is>
      </x:c>
      <x:c r="B177" s="2" t="inlineStr">
        <x:is>
          <x:t xml:space="preserve">Demesral fish (≤ 30 cm)</x:t>
        </x:is>
      </x:c>
      <x:c r="C177" s="2">
        <x:v>24</x:v>
      </x:c>
      <x:c r="D177" s="8">
        <x:v>0.1788</x:v>
      </x:c>
      <x:c r="E177" s="8">
        <x:v>0.316</x:v>
      </x:c>
      <x:c r="F177" s="8" t="inlineStr">
        <x:is>
          <x:t xml:space="preserve">Model catch</x:t>
        </x:is>
      </x:c>
      <x:c r="G177" s="8">
        <x:f>SUMIFS($D$6:$D$681,$A$6:$A$681,A177)</x:f>
        <x:v>0.5305</x:v>
      </x:c>
      <x:c r="H177" s="9">
        <x:f>D177/G177</x:f>
        <x:v>0.33704052780395855</x:v>
      </x:c>
      <x:c r="I177" s="2" t="inlineStr">
        <x:is>
          <x:t xml:space="preserve">Medium</x:t>
        </x:is>
      </x:c>
      <x:c r="J177" s="2" t="inlineStr">
        <x:is>
          <x:t xml:space="preserve">Regional demersal G. limbatus (15 cm TL) and G. filamentosus (39 cm TL) support both size classes and replace the unsupported exclusive benthopelagic placement. Genus composition is assumed. Source-model catch proportions supply an assumed fixed 1950–2019/all-bases mixture; they are not observed taxon-specific catches.</x:t>
        </x:is>
      </x:c>
      <x:c r="K177" s="1"/>
    </x:row>
    <x:row r="178" ht="80" customHeight="1">
      <x:c r="A178" s="2" t="inlineStr">
        <x:is>
          <x:t xml:space="preserve">Gerres</x:t>
        </x:is>
      </x:c>
      <x:c r="B178" s="2" t="inlineStr">
        <x:is>
          <x:t xml:space="preserve">Juvenile demersal fish (&gt; 30 cm)</x:t>
        </x:is>
      </x:c>
      <x:c r="C178" s="2">
        <x:v>25</x:v>
      </x:c>
      <x:c r="D178" s="8">
        <x:v>0.3165</x:v>
      </x:c>
      <x:c r="E178" s="8">
        <x:v>0.143</x:v>
      </x:c>
      <x:c r="F178" s="8" t="inlineStr">
        <x:is>
          <x:t xml:space="preserve">Model catch</x:t>
        </x:is>
      </x:c>
      <x:c r="G178" s="8">
        <x:f>SUMIFS($D$6:$D$681,$A$6:$A$681,A178)</x:f>
        <x:v>0.5305</x:v>
      </x:c>
      <x:c r="H178" s="9">
        <x:f>D178/G178</x:f>
        <x:v>0.5966069745523092</x:v>
      </x:c>
      <x:c r="I178" s="2" t="inlineStr">
        <x:is>
          <x:t xml:space="preserve">Medium</x:t>
        </x:is>
      </x:c>
      <x:c r="J178" s="2" t="inlineStr">
        <x:is>
          <x:t xml:space="preserve">Regional demersal G. limbatus (15 cm TL) and G. filamentosus (39 cm TL) support both size classes and replace the unsupported exclusive benthopelagic placement. Genus composition is assumed. Source-model catch proportions supply an assumed fixed 1950–2019/all-bases mixture; they are not observed taxon-specific catches.</x:t>
        </x:is>
      </x:c>
      <x:c r="K178" s="1"/>
    </x:row>
    <x:row r="179" ht="80" customHeight="1">
      <x:c r="A179" s="2" t="inlineStr">
        <x:is>
          <x:t xml:space="preserve">Gerres</x:t>
        </x:is>
      </x:c>
      <x:c r="B179" s="2" t="inlineStr">
        <x:is>
          <x:t xml:space="preserve">Adult demersal fish (&gt; 30 cm)</x:t>
        </x:is>
      </x:c>
      <x:c r="C179" s="2">
        <x:v>26</x:v>
      </x:c>
      <x:c r="D179" s="8">
        <x:v>0.0352</x:v>
      </x:c>
      <x:c r="E179" s="8">
        <x:v>0.021</x:v>
      </x:c>
      <x:c r="F179" s="8" t="inlineStr">
        <x:is>
          <x:t xml:space="preserve">Model catch</x:t>
        </x:is>
      </x:c>
      <x:c r="G179" s="8">
        <x:f>SUMIFS($D$6:$D$681,$A$6:$A$681,A179)</x:f>
        <x:v>0.5305</x:v>
      </x:c>
      <x:c r="H179" s="9">
        <x:f>D179/G179</x:f>
        <x:v>0.06635249764373234</x:v>
      </x:c>
      <x:c r="I179" s="2" t="inlineStr">
        <x:is>
          <x:t xml:space="preserve">Medium</x:t>
        </x:is>
      </x:c>
      <x:c r="J179" s="2" t="inlineStr">
        <x:is>
          <x:t xml:space="preserve">Regional demersal G. limbatus (15 cm TL) and G. filamentosus (39 cm TL) support both size classes and replace the unsupported exclusive benthopelagic placement. Genus composition is assumed. Source-model catch proportions supply an assumed fixed 1950–2019/all-bases mixture; they are not observed taxon-specific catches.</x:t>
        </x:is>
      </x:c>
      <x:c r="K179" s="1"/>
    </x:row>
    <x:row r="180" ht="112" customHeight="1">
      <x:c r="A180" s="2" t="inlineStr">
        <x:is>
          <x:t xml:space="preserve">Gnathanodon speciosus</x:t>
        </x:is>
      </x:c>
      <x:c r="B180" s="2" t="inlineStr">
        <x:is>
          <x:t xml:space="preserve">Juvenile large pelagic fish</x:t>
        </x:is>
      </x:c>
      <x:c r="C180" s="2">
        <x:v>30</x:v>
      </x:c>
      <x:c r="D180" s="8">
        <x:v>0.7384</x:v>
      </x:c>
      <x:c r="E180" s="8">
        <x:v>0.289</x:v>
      </x:c>
      <x:c r="F180" s="8" t="inlineStr">
        <x:is>
          <x:t xml:space="preserve">Model catch</x:t>
        </x:is>
      </x:c>
      <x:c r="G180" s="8">
        <x:f>SUMIFS($D$6:$D$681,$A$6:$A$681,A180)</x:f>
        <x:v>0.8205</x:v>
      </x:c>
      <x:c r="H180" s="9">
        <x:f>D180/G180</x:f>
        <x:v>0.8999390615478366</x:v>
      </x:c>
      <x:c r="I180" s="2" t="inlineStr">
        <x:is>
          <x:t xml:space="preserve">Medium</x:t>
        </x:is>
      </x:c>
      <x:c r="J180" s="2" t="inlineStr">
        <x:is>
          <x:t xml:space="preserve">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x:t>
        </x:is>
      </x:c>
      <x:c r="K180" s="1"/>
    </x:row>
    <x:row r="181" ht="112" customHeight="1">
      <x:c r="A181" s="2" t="inlineStr">
        <x:is>
          <x:t xml:space="preserve">Gnathanodon speciosus</x:t>
        </x:is>
      </x:c>
      <x:c r="B181" s="2" t="inlineStr">
        <x:is>
          <x:t xml:space="preserve">Pelagic fish (&gt; 30 cm)</x:t>
        </x:is>
      </x:c>
      <x:c r="C181" s="2">
        <x:v>31</x:v>
      </x:c>
      <x:c r="D181" s="8">
        <x:v>0.0821</x:v>
      </x:c>
      <x:c r="E181" s="8">
        <x:v>0.079</x:v>
      </x:c>
      <x:c r="F181" s="8" t="inlineStr">
        <x:is>
          <x:t xml:space="preserve">Model catch</x:t>
        </x:is>
      </x:c>
      <x:c r="G181" s="8">
        <x:f>SUMIFS($D$6:$D$681,$A$6:$A$681,A181)</x:f>
        <x:v>0.8205</x:v>
      </x:c>
      <x:c r="H181" s="9">
        <x:f>D181/G181</x:f>
        <x:v>0.1000609384521633</x:v>
      </x:c>
      <x:c r="I181" s="2" t="inlineStr">
        <x:is>
          <x:t xml:space="preserve">Medium</x:t>
        </x:is>
      </x:c>
      <x:c r="J181" s="2" t="inlineStr">
        <x:is>
          <x:t xml:space="preserve">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x:t>
        </x:is>
      </x:c>
      <x:c r="K181" s="1"/>
    </x:row>
    <x:row r="182" ht="80" customHeight="1">
      <x:c r="A182" s="2" t="inlineStr">
        <x:is>
          <x:t xml:space="preserve">Gobiidae</x:t>
        </x:is>
      </x:c>
      <x:c r="B182" s="2" t="inlineStr">
        <x:is>
          <x:t xml:space="preserve">Demesral fish (≤ 30 cm)</x:t>
        </x:is>
      </x:c>
      <x:c r="C182" s="2">
        <x:v>24</x:v>
      </x:c>
      <x:c r="D182" s="8">
        <x:v>0.1788</x:v>
      </x:c>
      <x:c r="E182" s="8">
        <x:v>0.316</x:v>
      </x:c>
      <x:c r="F182" s="8" t="inlineStr">
        <x:is>
          <x:t xml:space="preserve">No split</x:t>
        </x:is>
      </x:c>
      <x:c r="G182" s="8">
        <x:f>SUMIFS($D$6:$D$681,$A$6:$A$681,A182)</x:f>
        <x:v>0.1788</x:v>
      </x:c>
      <x:c r="H182" s="9">
        <x:f>1</x:f>
        <x:v>1</x:v>
      </x:c>
      <x:c r="I182" s="2" t="inlineStr">
        <x:is>
          <x:t xml:space="preserve">High</x:t>
        </x:is>
      </x:c>
      <x:c r="J182" s="2" t="inlineStr">
        <x:is>
          <x:t xml:space="preserve">The family includes regional gobies above the source &lt;=30 cm TL threshold. The small-demersal classifier does not document a taxonomic/reporting exclusion of larger gobies; the current single size class has incomplete support. No split is required.</x:t>
        </x:is>
      </x:c>
      <x:c r="K182" s="1"/>
    </x:row>
    <x:row r="183" ht="96" customHeight="1">
      <x:c r="A183" s="2" t="inlineStr">
        <x:is>
          <x:t xml:space="preserve">Gymnocranius</x:t>
        </x:is>
      </x:c>
      <x:c r="B183" s="2" t="inlineStr">
        <x:is>
          <x:t xml:space="preserve">Juvenile demersal fish (&gt; 30 cm)</x:t>
        </x:is>
      </x:c>
      <x:c r="C183" s="2">
        <x:v>25</x:v>
      </x:c>
      <x:c r="D183" s="8">
        <x:v>0.3165</x:v>
      </x:c>
      <x:c r="E183" s="8">
        <x:v>0.143</x:v>
      </x:c>
      <x:c r="F183" s="8" t="inlineStr">
        <x:is>
          <x:t xml:space="preserve">Model catch</x:t>
        </x:is>
      </x:c>
      <x:c r="G183" s="8">
        <x:f>SUMIFS($D$6:$D$681,$A$6:$A$681,A183)</x:f>
        <x:v>0.3517</x:v>
      </x:c>
      <x:c r="H183" s="9">
        <x:f>D183/G183</x:f>
        <x:v>0.8999147000284333</x:v>
      </x:c>
      <x:c r="I183" s="2" t="inlineStr">
        <x:is>
          <x:t xml:space="preserve">Medium</x:t>
        </x:is>
      </x:c>
      <x:c r="J183" s="2" t="inlineStr">
        <x:is>
          <x:t xml:space="preserve">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x:t>
        </x:is>
      </x:c>
      <x:c r="K183" s="1"/>
    </x:row>
    <x:row r="184" ht="96" customHeight="1">
      <x:c r="A184" s="2" t="inlineStr">
        <x:is>
          <x:t xml:space="preserve">Gymnocranius</x:t>
        </x:is>
      </x:c>
      <x:c r="B184" s="2" t="inlineStr">
        <x:is>
          <x:t xml:space="preserve">Adult demersal fish (&gt; 30 cm)</x:t>
        </x:is>
      </x:c>
      <x:c r="C184" s="2">
        <x:v>26</x:v>
      </x:c>
      <x:c r="D184" s="8">
        <x:v>0.0352</x:v>
      </x:c>
      <x:c r="E184" s="8">
        <x:v>0.021</x:v>
      </x:c>
      <x:c r="F184" s="8" t="inlineStr">
        <x:is>
          <x:t xml:space="preserve">Model catch</x:t>
        </x:is>
      </x:c>
      <x:c r="G184" s="8">
        <x:f>SUMIFS($D$6:$D$681,$A$6:$A$681,A184)</x:f>
        <x:v>0.3517</x:v>
      </x:c>
      <x:c r="H184" s="9">
        <x:f>D184/G184</x:f>
        <x:v>0.1000852999715667</x:v>
      </x:c>
      <x:c r="I184" s="2" t="inlineStr">
        <x:is>
          <x:t xml:space="preserve">Medium</x:t>
        </x:is>
      </x:c>
      <x:c r="J184" s="2" t="inlineStr">
        <x:is>
          <x:t xml:space="preserve">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x:t>
        </x:is>
      </x:c>
      <x:c r="K184" s="1"/>
    </x:row>
    <x:row r="185" ht="96" customHeight="1">
      <x:c r="A185" s="2" t="inlineStr">
        <x:is>
          <x:t xml:space="preserve">Gymnosarda unicolor</x:t>
        </x:is>
      </x:c>
      <x:c r="B185" s="2" t="inlineStr">
        <x:is>
          <x:t xml:space="preserve">Juvenile large pelagic fish</x:t>
        </x:is>
      </x:c>
      <x:c r="C185" s="2">
        <x:v>30</x:v>
      </x:c>
      <x:c r="D185" s="8">
        <x:v>0.7384</x:v>
      </x:c>
      <x:c r="E185" s="8">
        <x:v>0.289</x:v>
      </x:c>
      <x:c r="F185" s="8" t="inlineStr">
        <x:is>
          <x:t xml:space="preserve">Model catch</x:t>
        </x:is>
      </x:c>
      <x:c r="G185" s="8">
        <x:f>SUMIFS($D$6:$D$681,$A$6:$A$681,A185)</x:f>
        <x:v>0.8205</x:v>
      </x:c>
      <x:c r="H185" s="9">
        <x:f>D185/G185</x:f>
        <x:v>0.8999390615478366</x:v>
      </x:c>
      <x:c r="I185" s="2" t="inlineStr">
        <x:is>
          <x:t xml:space="preserve">Medium</x:t>
        </x:is>
      </x:c>
      <x:c r="J185"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x:t>
        </x:is>
      </x:c>
      <x:c r="K185" s="1"/>
    </x:row>
    <x:row r="186" ht="96" customHeight="1">
      <x:c r="A186" s="2" t="inlineStr">
        <x:is>
          <x:t xml:space="preserve">Gymnosarda unicolor</x:t>
        </x:is>
      </x:c>
      <x:c r="B186" s="2" t="inlineStr">
        <x:is>
          <x:t xml:space="preserve">Pelagic fish (&gt; 30 cm)</x:t>
        </x:is>
      </x:c>
      <x:c r="C186" s="2">
        <x:v>31</x:v>
      </x:c>
      <x:c r="D186" s="8">
        <x:v>0.0821</x:v>
      </x:c>
      <x:c r="E186" s="8">
        <x:v>0.079</x:v>
      </x:c>
      <x:c r="F186" s="8" t="inlineStr">
        <x:is>
          <x:t xml:space="preserve">Model catch</x:t>
        </x:is>
      </x:c>
      <x:c r="G186" s="8">
        <x:f>SUMIFS($D$6:$D$681,$A$6:$A$681,A186)</x:f>
        <x:v>0.8205</x:v>
      </x:c>
      <x:c r="H186" s="9">
        <x:f>D186/G186</x:f>
        <x:v>0.1000609384521633</x:v>
      </x:c>
      <x:c r="I186" s="2" t="inlineStr">
        <x:is>
          <x:t xml:space="preserve">Medium</x:t>
        </x:is>
      </x:c>
      <x:c r="J186"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x:t>
        </x:is>
      </x:c>
      <x:c r="K186" s="1"/>
    </x:row>
    <x:row r="187" ht="96" customHeight="1">
      <x:c r="A187" s="2" t="inlineStr">
        <x:is>
          <x:t xml:space="preserve">Haemulidae</x:t>
        </x:is>
      </x:c>
      <x:c r="B187" s="2" t="inlineStr">
        <x:is>
          <x:t xml:space="preserve">Juvenile demersal fish (&gt; 30 cm)</x:t>
        </x:is>
      </x:c>
      <x:c r="C187" s="2">
        <x:v>25</x:v>
      </x:c>
      <x:c r="D187" s="8">
        <x:v>0.3165</x:v>
      </x:c>
      <x:c r="E187" s="8">
        <x:v>0.143</x:v>
      </x:c>
      <x:c r="F187" s="8" t="inlineStr">
        <x:is>
          <x:t xml:space="preserve">Model catch</x:t>
        </x:is>
      </x:c>
      <x:c r="G187" s="8">
        <x:f>SUMIFS($D$6:$D$681,$A$6:$A$681,A187)</x:f>
        <x:v>0.3517</x:v>
      </x:c>
      <x:c r="H187" s="9">
        <x:f>D187/G187</x:f>
        <x:v>0.8999147000284333</x:v>
      </x:c>
      <x:c r="I187" s="2" t="inlineStr">
        <x:is>
          <x:t xml:space="preserve">Medium</x:t>
        </x:is>
      </x:c>
      <x:c r="J187" s="2" t="inlineStr">
        <x:is>
          <x:t xml:space="preserve">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x:t>
        </x:is>
      </x:c>
      <x:c r="K187" s="1"/>
    </x:row>
    <x:row r="188" ht="96" customHeight="1">
      <x:c r="A188" s="2" t="inlineStr">
        <x:is>
          <x:t xml:space="preserve">Haemulidae</x:t>
        </x:is>
      </x:c>
      <x:c r="B188" s="2" t="inlineStr">
        <x:is>
          <x:t xml:space="preserve">Adult demersal fish (&gt; 30 cm)</x:t>
        </x:is>
      </x:c>
      <x:c r="C188" s="2">
        <x:v>26</x:v>
      </x:c>
      <x:c r="D188" s="8">
        <x:v>0.0352</x:v>
      </x:c>
      <x:c r="E188" s="8">
        <x:v>0.021</x:v>
      </x:c>
      <x:c r="F188" s="8" t="inlineStr">
        <x:is>
          <x:t xml:space="preserve">Model catch</x:t>
        </x:is>
      </x:c>
      <x:c r="G188" s="8">
        <x:f>SUMIFS($D$6:$D$681,$A$6:$A$681,A188)</x:f>
        <x:v>0.3517</x:v>
      </x:c>
      <x:c r="H188" s="9">
        <x:f>D188/G188</x:f>
        <x:v>0.1000852999715667</x:v>
      </x:c>
      <x:c r="I188" s="2" t="inlineStr">
        <x:is>
          <x:t xml:space="preserve">Medium</x:t>
        </x:is>
      </x:c>
      <x:c r="J188" s="2" t="inlineStr">
        <x:is>
          <x:t xml:space="preserve">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x:t>
        </x:is>
      </x:c>
      <x:c r="K188" s="1"/>
    </x:row>
    <x:row r="189" ht="72" customHeight="1">
      <x:c r="A189" s="2" t="inlineStr">
        <x:is>
          <x:t xml:space="preserve">Haliotidae</x:t>
        </x:is>
      </x:c>
      <x:c r="B189" s="2" t="inlineStr">
        <x:is>
          <x:t xml:space="preserve">Non-ceph molluscs</x:t>
        </x:is>
      </x:c>
      <x:c r="C189" s="2">
        <x:v>8</x:v>
      </x:c>
      <x:c r="D189" s="8">
        <x:v>0.7623</x:v>
      </x:c>
      <x:c r="E189" s="8">
        <x:v>2.68</x:v>
      </x:c>
      <x:c r="F189" s="8" t="inlineStr">
        <x:is>
          <x:t xml:space="preserve">No split</x:t>
        </x:is>
      </x:c>
      <x:c r="G189" s="8">
        <x:f>SUMIFS($D$6:$D$681,$A$6:$A$681,A189)</x:f>
        <x:v>0.7623</x:v>
      </x:c>
      <x:c r="H189" s="9">
        <x:f>1</x:f>
        <x:v>1</x:v>
      </x:c>
      <x:c r="I189" s="2" t="inlineStr">
        <x:is>
          <x:t xml:space="preserve">High</x:t>
        </x:is>
      </x:c>
      <x:c r="J189" s="2" t="inlineStr">
        <x:is>
          <x:t xml:space="preserve">Haliotidae is a non-cephalopod mollusc. The source derives this catch by removing Cephalopoda from mollusc catch; no competing mollusc compartment contains this lineage. No split is required.</x:t>
        </x:is>
      </x:c>
      <x:c r="K189" s="1"/>
    </x:row>
    <x:row r="190" ht="72" customHeight="1">
      <x:c r="A190" s="2" t="inlineStr">
        <x:is>
          <x:t xml:space="preserve">Haliotis</x:t>
        </x:is>
      </x:c>
      <x:c r="B190" s="2" t="inlineStr">
        <x:is>
          <x:t xml:space="preserve">Non-ceph molluscs</x:t>
        </x:is>
      </x:c>
      <x:c r="C190" s="2">
        <x:v>8</x:v>
      </x:c>
      <x:c r="D190" s="8">
        <x:v>0.7623</x:v>
      </x:c>
      <x:c r="E190" s="8">
        <x:v>2.68</x:v>
      </x:c>
      <x:c r="F190" s="8" t="inlineStr">
        <x:is>
          <x:t xml:space="preserve">No split</x:t>
        </x:is>
      </x:c>
      <x:c r="G190" s="8">
        <x:f>SUMIFS($D$6:$D$681,$A$6:$A$681,A190)</x:f>
        <x:v>0.7623</x:v>
      </x:c>
      <x:c r="H190" s="9">
        <x:f>1</x:f>
        <x:v>1</x:v>
      </x:c>
      <x:c r="I190" s="2" t="inlineStr">
        <x:is>
          <x:t xml:space="preserve">High</x:t>
        </x:is>
      </x:c>
      <x:c r="J190" s="2" t="inlineStr">
        <x:is>
          <x:t xml:space="preserve">Haliotis is a non-cephalopod mollusc. The source derives this catch by removing Cephalopoda from mollusc catch; no competing mollusc compartment contains this lineage. No split is required.</x:t>
        </x:is>
      </x:c>
      <x:c r="K190" s="1"/>
    </x:row>
    <x:row r="191" ht="80" customHeight="1">
      <x:c r="A191" s="2" t="inlineStr">
        <x:is>
          <x:t xml:space="preserve">Harpadon nehereus</x:t>
        </x:is>
      </x:c>
      <x:c r="B191" s="2" t="inlineStr">
        <x:is>
          <x:t xml:space="preserve">Lizard fish (synodontids)</x:t>
        </x:is>
      </x:c>
      <x:c r="C191" s="2">
        <x:v>15</x:v>
      </x:c>
      <x:c r="D191" s="8">
        <x:v>0.0234</x:v>
      </x:c>
      <x:c r="E191" s="8">
        <x:v>0.032</x:v>
      </x:c>
      <x:c r="F191" s="8" t="inlineStr">
        <x:is>
          <x:t xml:space="preserve">No split</x:t>
        </x:is>
      </x:c>
      <x:c r="G191" s="8">
        <x:f>SUMIFS($D$6:$D$681,$A$6:$A$681,A191)</x:f>
        <x:v>0.0234</x:v>
      </x:c>
      <x:c r="H191" s="9">
        <x:f>1</x:f>
        <x:v>1</x:v>
      </x:c>
      <x:c r="I191" s="2" t="inlineStr">
        <x:is>
          <x:t xml:space="preserve">High</x:t>
        </x:is>
      </x:c>
      <x:c r="J191" s="2" t="inlineStr">
        <x:is>
          <x:t xml:space="preserve">Harpadon nehereus fits the source Synodontidae concept. Explicit inclusion of Saurida tumbil and S. undosquamis anchors the historical boundary despite modern Harpadontidae placement. ITIS places Harpadon in the broader Synodontidae concept. No split is required.</x:t>
        </x:is>
      </x:c>
      <x:c r="K191" s="1"/>
    </x:row>
    <x:row r="192" ht="80" customHeight="1">
      <x:c r="A192" s="2" t="inlineStr">
        <x:is>
          <x:t xml:space="preserve">Hemiramphidae</x:t>
        </x:is>
      </x:c>
      <x:c r="B192" s="2" t="inlineStr">
        <x:is>
          <x:t xml:space="preserve">Juvenile large pelagic fish</x:t>
        </x:is>
      </x:c>
      <x:c r="C192" s="2">
        <x:v>30</x:v>
      </x:c>
      <x:c r="D192" s="8">
        <x:v>0.7384</x:v>
      </x:c>
      <x:c r="E192" s="8">
        <x:v>0.289</x:v>
      </x:c>
      <x:c r="F192" s="8" t="inlineStr">
        <x:is>
          <x:t xml:space="preserve">Model catch</x:t>
        </x:is>
      </x:c>
      <x:c r="G192" s="8">
        <x:f>SUMIFS($D$6:$D$681,$A$6:$A$681,A192)</x:f>
        <x:v>0.8205</x:v>
      </x:c>
      <x:c r="H192" s="9">
        <x:f>D192/G192</x:f>
        <x:v>0.8999390615478366</x:v>
      </x:c>
      <x:c r="I192" s="2" t="inlineStr">
        <x:is>
          <x:t xml:space="preserve">Medium</x:t>
        </x:is>
      </x:c>
      <x:c r="J192" s="2" t="inlineStr">
        <x:is>
          <x:t xml:space="preserve">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x:t>
        </x:is>
      </x:c>
      <x:c r="K192" s="1"/>
    </x:row>
    <x:row r="193" ht="80" customHeight="1">
      <x:c r="A193" s="2" t="inlineStr">
        <x:is>
          <x:t xml:space="preserve">Hemiramphidae</x:t>
        </x:is>
      </x:c>
      <x:c r="B193" s="2" t="inlineStr">
        <x:is>
          <x:t xml:space="preserve">Pelagic fish (&gt; 30 cm)</x:t>
        </x:is>
      </x:c>
      <x:c r="C193" s="2">
        <x:v>31</x:v>
      </x:c>
      <x:c r="D193" s="8">
        <x:v>0.0821</x:v>
      </x:c>
      <x:c r="E193" s="8">
        <x:v>0.079</x:v>
      </x:c>
      <x:c r="F193" s="8" t="inlineStr">
        <x:is>
          <x:t xml:space="preserve">Model catch</x:t>
        </x:is>
      </x:c>
      <x:c r="G193" s="8">
        <x:f>SUMIFS($D$6:$D$681,$A$6:$A$681,A193)</x:f>
        <x:v>0.8205</x:v>
      </x:c>
      <x:c r="H193" s="9">
        <x:f>D193/G193</x:f>
        <x:v>0.1000609384521633</x:v>
      </x:c>
      <x:c r="I193" s="2" t="inlineStr">
        <x:is>
          <x:t xml:space="preserve">Medium</x:t>
        </x:is>
      </x:c>
      <x:c r="J193" s="2" t="inlineStr">
        <x:is>
          <x:t xml:space="preserve">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x:t>
        </x:is>
      </x:c>
      <x:c r="K193" s="1"/>
    </x:row>
    <x:row r="194" ht="96" customHeight="1">
      <x:c r="A194" s="2" t="inlineStr">
        <x:is>
          <x:t xml:space="preserve">Hemiramphus</x:t>
        </x:is>
      </x:c>
      <x:c r="B194" s="2" t="inlineStr">
        <x:is>
          <x:t xml:space="preserve">Juvenile large pelagic fish</x:t>
        </x:is>
      </x:c>
      <x:c r="C194" s="2">
        <x:v>30</x:v>
      </x:c>
      <x:c r="D194" s="8">
        <x:v>0.7384</x:v>
      </x:c>
      <x:c r="E194" s="8">
        <x:v>0.289</x:v>
      </x:c>
      <x:c r="F194" s="8" t="inlineStr">
        <x:is>
          <x:t xml:space="preserve">Model catch</x:t>
        </x:is>
      </x:c>
      <x:c r="G194" s="8">
        <x:f>SUMIFS($D$6:$D$681,$A$6:$A$681,A194)</x:f>
        <x:v>0.8205</x:v>
      </x:c>
      <x:c r="H194" s="9">
        <x:f>D194/G194</x:f>
        <x:v>0.8999390615478366</x:v>
      </x:c>
      <x:c r="I194" s="2" t="inlineStr">
        <x:is>
          <x:t xml:space="preserve">Medium</x:t>
        </x:is>
      </x:c>
      <x:c r="J194" s="2" t="inlineStr">
        <x:is>
          <x:t xml:space="preserve">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x:t>
        </x:is>
      </x:c>
      <x:c r="K194" s="1"/>
    </x:row>
    <x:row r="195" ht="96" customHeight="1">
      <x:c r="A195" s="2" t="inlineStr">
        <x:is>
          <x:t xml:space="preserve">Hemiramphus</x:t>
        </x:is>
      </x:c>
      <x:c r="B195" s="2" t="inlineStr">
        <x:is>
          <x:t xml:space="preserve">Pelagic fish (&gt; 30 cm)</x:t>
        </x:is>
      </x:c>
      <x:c r="C195" s="2">
        <x:v>31</x:v>
      </x:c>
      <x:c r="D195" s="8">
        <x:v>0.0821</x:v>
      </x:c>
      <x:c r="E195" s="8">
        <x:v>0.079</x:v>
      </x:c>
      <x:c r="F195" s="8" t="inlineStr">
        <x:is>
          <x:t xml:space="preserve">Model catch</x:t>
        </x:is>
      </x:c>
      <x:c r="G195" s="8">
        <x:f>SUMIFS($D$6:$D$681,$A$6:$A$681,A195)</x:f>
        <x:v>0.8205</x:v>
      </x:c>
      <x:c r="H195" s="9">
        <x:f>D195/G195</x:f>
        <x:v>0.1000609384521633</x:v>
      </x:c>
      <x:c r="I195" s="2" t="inlineStr">
        <x:is>
          <x:t xml:space="preserve">Medium</x:t>
        </x:is>
      </x:c>
      <x:c r="J195" s="2" t="inlineStr">
        <x:is>
          <x:t xml:space="preserve">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x:t>
        </x:is>
      </x:c>
      <x:c r="K195" s="1"/>
    </x:row>
    <x:row r="196" ht="80" customHeight="1">
      <x:c r="A196" s="2" t="inlineStr">
        <x:is>
          <x:t xml:space="preserve">Hemitriakis japanica</x:t>
        </x:is>
      </x:c>
      <x:c r="B196" s="2" t="inlineStr">
        <x:is>
          <x:t xml:space="preserve">Demersal sharks and rays</x:t>
        </x:is>
      </x:c>
      <x:c r="C196" s="2">
        <x:v>32</x:v>
      </x:c>
      <x:c r="D196" s="8">
        <x:v>0.001</x:v>
      </x:c>
      <x:c r="E196" s="8">
        <x:v>0.001</x:v>
      </x:c>
      <x:c r="F196" s="8" t="inlineStr">
        <x:is>
          <x:t xml:space="preserve">No split</x:t>
        </x:is>
      </x:c>
      <x:c r="G196" s="8">
        <x:f>SUMIFS($D$6:$D$681,$A$6:$A$681,A196)</x:f>
        <x:v>0.001</x:v>
      </x:c>
      <x:c r="H196" s="9">
        <x:f>1</x:f>
        <x:v>1</x:v>
      </x:c>
      <x:c r="I196" s="2" t="inlineStr">
        <x:is>
          <x:t xml:space="preserve">High</x:t>
        </x:is>
      </x:c>
      <x:c r="J196" s="2" t="inlineStr">
        <x:is>
          <x:t xml:space="preserve">Species evidence explicitly establishes a demersal elasmobranch. The source has no hard maximum-size or stage filter, and the competing pelagic compartment is not equally supported. Checked species record: 110 cm TL; Marine;  demersal;. No split is required.</x:t>
        </x:is>
      </x:c>
      <x:c r="K196" s="1"/>
    </x:row>
    <x:row r="197" ht="80" customHeight="1">
      <x:c r="A197" s="2" t="inlineStr">
        <x:is>
          <x:t xml:space="preserve">Hemitrygon akajei</x:t>
        </x:is>
      </x:c>
      <x:c r="B197" s="2" t="inlineStr">
        <x:is>
          <x:t xml:space="preserve">Demersal sharks and rays</x:t>
        </x:is>
      </x:c>
      <x:c r="C197" s="2">
        <x:v>32</x:v>
      </x:c>
      <x:c r="D197" s="8">
        <x:v>0.001</x:v>
      </x:c>
      <x:c r="E197" s="8">
        <x:v>0.001</x:v>
      </x:c>
      <x:c r="F197" s="8" t="inlineStr">
        <x:is>
          <x:t xml:space="preserve">No split</x:t>
        </x:is>
      </x:c>
      <x:c r="G197" s="8">
        <x:f>SUMIFS($D$6:$D$681,$A$6:$A$681,A197)</x:f>
        <x:v>0.001</x:v>
      </x:c>
      <x:c r="H197" s="9">
        <x:f>1</x:f>
        <x:v>1</x:v>
      </x:c>
      <x:c r="I197" s="2" t="inlineStr">
        <x:is>
          <x:t xml:space="preserve">High</x:t>
        </x:is>
      </x:c>
      <x:c r="J197" s="2" t="inlineStr">
        <x:is>
          <x:t xml:space="preserve">Species evidence explicitly establishes a demersal elasmobranch. The source has no hard maximum-size or stage filter, and the competing pelagic compartment is not equally supported. Checked species record: 200 cm TL; Marine; brackish;  demersal; oceanodromous. No split is required.</x:t>
        </x:is>
      </x:c>
      <x:c r="K197" s="1"/>
    </x:row>
    <x:row r="198" ht="96" customHeight="1">
      <x:c r="A198" s="2" t="inlineStr">
        <x:is>
          <x:t xml:space="preserve">Hilsa kelee</x:t>
        </x:is>
      </x:c>
      <x:c r="B198" s="2" t="inlineStr">
        <x:is>
          <x:t xml:space="preserve">Juvenile large pelagic fish</x:t>
        </x:is>
      </x:c>
      <x:c r="C198" s="2">
        <x:v>30</x:v>
      </x:c>
      <x:c r="D198" s="8">
        <x:v>0.7384</x:v>
      </x:c>
      <x:c r="E198" s="8">
        <x:v>0.289</x:v>
      </x:c>
      <x:c r="F198" s="8" t="inlineStr">
        <x:is>
          <x:t xml:space="preserve">Model catch</x:t>
        </x:is>
      </x:c>
      <x:c r="G198" s="8">
        <x:f>SUMIFS($D$6:$D$681,$A$6:$A$681,A198)</x:f>
        <x:v>0.8205</x:v>
      </x:c>
      <x:c r="H198" s="9">
        <x:f>D198/G198</x:f>
        <x:v>0.8999390615478366</x:v>
      </x:c>
      <x:c r="I198" s="2" t="inlineStr">
        <x:is>
          <x:t xml:space="preserve">Medium</x:t>
        </x:is>
      </x:c>
      <x:c r="J198" s="2" t="inlineStr">
        <x:is>
          <x:t xml:space="preserve">The authoritative species record gives pelagic-neritic ecology and maximum 35 cm TL. The small-pelagic group 29 is contradicted; the complete large-pelagic pair is eligible independently of landed fish sizes. Source-model catch proportions supply an assumed fixed 1950–2019/all-bases mixture; they are not observed taxon-specific catches.</x:t>
        </x:is>
      </x:c>
      <x:c r="K198" s="1"/>
    </x:row>
    <x:row r="199" ht="96" customHeight="1">
      <x:c r="A199" s="2" t="inlineStr">
        <x:is>
          <x:t xml:space="preserve">Hilsa kelee</x:t>
        </x:is>
      </x:c>
      <x:c r="B199" s="2" t="inlineStr">
        <x:is>
          <x:t xml:space="preserve">Pelagic fish (&gt; 30 cm)</x:t>
        </x:is>
      </x:c>
      <x:c r="C199" s="2">
        <x:v>31</x:v>
      </x:c>
      <x:c r="D199" s="8">
        <x:v>0.0821</x:v>
      </x:c>
      <x:c r="E199" s="8">
        <x:v>0.079</x:v>
      </x:c>
      <x:c r="F199" s="8" t="inlineStr">
        <x:is>
          <x:t xml:space="preserve">Model catch</x:t>
        </x:is>
      </x:c>
      <x:c r="G199" s="8">
        <x:f>SUMIFS($D$6:$D$681,$A$6:$A$681,A199)</x:f>
        <x:v>0.8205</x:v>
      </x:c>
      <x:c r="H199" s="9">
        <x:f>D199/G199</x:f>
        <x:v>0.10006093845216332</x:v>
      </x:c>
      <x:c r="I199" s="2" t="inlineStr">
        <x:is>
          <x:t xml:space="preserve">Medium</x:t>
        </x:is>
      </x:c>
      <x:c r="J199" s="2" t="inlineStr">
        <x:is>
          <x:t xml:space="preserve">The authoritative species record gives pelagic-neritic ecology and maximum 35 cm TL. The small-pelagic group 29 is contradicted; the complete large-pelagic pair is eligible independently of landed fish sizes. Source-model catch proportions supply an assumed fixed 1950–2019/all-bases mixture; they are not observed taxon-specific catches.</x:t>
        </x:is>
      </x:c>
      <x:c r="K199" s="1"/>
    </x:row>
    <x:row r="200" ht="80" customHeight="1">
      <x:c r="A200" s="2" t="inlineStr">
        <x:is>
          <x:t xml:space="preserve">Himantura</x:t>
        </x:is>
      </x:c>
      <x:c r="B200" s="2" t="inlineStr">
        <x:is>
          <x:t xml:space="preserve">Demersal sharks and rays</x:t>
        </x:is>
      </x:c>
      <x:c r="C200" s="2">
        <x:v>32</x:v>
      </x:c>
      <x:c r="D200" s="8">
        <x:v>0.001</x:v>
      </x:c>
      <x:c r="E200" s="8">
        <x:v>0.001</x:v>
      </x:c>
      <x:c r="F200" s="8" t="inlineStr">
        <x:is>
          <x:t xml:space="preserve">No split</x:t>
        </x:is>
      </x:c>
      <x:c r="G200" s="8">
        <x:f>SUMIFS($D$6:$D$681,$A$6:$A$681,A200)</x:f>
        <x:v>0.001</x:v>
      </x:c>
      <x:c r="H200" s="9">
        <x:f>1</x:f>
        <x:v>1</x:v>
      </x:c>
      <x:c r="I200" s="2" t="inlineStr">
        <x:is>
          <x:t xml:space="preserve">High</x:t>
        </x:is>
      </x:c>
      <x:c r="J200" s="2" t="inlineStr">
        <x:is>
          <x:t xml:space="preserve">Whipray lineages support demersal placement, exemplified by H. uarnak. No contrary pelagic member was established, but the full historical catch-genus concept was not verified; one exemplar does not prove all membership. No split is required.</x:t>
        </x:is>
      </x:c>
      <x:c r="K200" s="1"/>
    </x:row>
    <x:row r="201" ht="80" customHeight="1">
      <x:c r="A201" s="2" t="inlineStr">
        <x:is>
          <x:t xml:space="preserve">Hippocampus</x:t>
        </x:is>
      </x:c>
      <x:c r="B201" s="2" t="inlineStr">
        <x:is>
          <x:t xml:space="preserve">Demesral fish (≤ 30 cm)</x:t>
        </x:is>
      </x:c>
      <x:c r="C201" s="2">
        <x:v>24</x:v>
      </x:c>
      <x:c r="D201" s="8">
        <x:v>0.1788</x:v>
      </x:c>
      <x:c r="E201" s="8">
        <x:v>0.316</x:v>
      </x:c>
      <x:c r="F201" s="8" t="inlineStr">
        <x:is>
          <x:t xml:space="preserve">No split</x:t>
        </x:is>
      </x:c>
      <x:c r="G201" s="8">
        <x:f>SUMIFS($D$6:$D$681,$A$6:$A$681,A201)</x:f>
        <x:v>0.1788</x:v>
      </x:c>
      <x:c r="H201" s="9">
        <x:f>1</x:f>
        <x:v>1</x:v>
      </x:c>
      <x:c r="I201" s="2" t="inlineStr">
        <x:is>
          <x:t xml:space="preserve">High</x:t>
        </x:is>
      </x:c>
      <x:c r="J201" s="2" t="inlineStr">
        <x:is>
          <x:t xml:space="preserve">Regional seahorse biology supports small benthic/reef fish. The genus inventory mixes length conventions; the whole regional TL boundary remains unverified. Larger H. abdominalis from another region is not by itself grounds to downgrade these catches. No split is required.</x:t>
        </x:is>
      </x:c>
      <x:c r="K201" s="1"/>
    </x:row>
    <x:row r="202" ht="72" customHeight="1">
      <x:c r="A202" s="2" t="inlineStr">
        <x:is>
          <x:t xml:space="preserve">Holothuriidae</x:t>
        </x:is>
      </x:c>
      <x:c r="B202" s="2" t="inlineStr">
        <x:is>
          <x:t xml:space="preserve">Echinoderms</x:t>
        </x:is>
      </x:c>
      <x:c r="C202" s="2">
        <x:v>6</x:v>
      </x:c>
      <x:c r="D202" s="8">
        <x:v>0.0021</x:v>
      </x:c>
      <x:c r="E202" s="8">
        <x:v>1.98</x:v>
      </x:c>
      <x:c r="F202" s="8" t="inlineStr">
        <x:is>
          <x:t xml:space="preserve">No split</x:t>
        </x:is>
      </x:c>
      <x:c r="G202" s="8">
        <x:f>SUMIFS($D$6:$D$681,$A$6:$A$681,A202)</x:f>
        <x:v>0.0021</x:v>
      </x:c>
      <x:c r="H202" s="9">
        <x:f>1</x:f>
        <x:v>1</x:v>
      </x:c>
      <x:c r="I202" s="2" t="inlineStr">
        <x:is>
          <x:t xml:space="preserve">High</x:t>
        </x:is>
      </x:c>
      <x:c r="J202" s="2" t="inlineStr">
        <x:is>
          <x:t xml:space="preserve">Holothuriidae is within Echinodermata, represented by one source compartment without competing size/stage pools. The accepted family record is selected over the unaccepted same-name record. No split is required.</x:t>
        </x:is>
      </x:c>
      <x:c r="K202" s="1"/>
    </x:row>
    <x:row r="203" ht="72" customHeight="1">
      <x:c r="A203" s="2" t="inlineStr">
        <x:is>
          <x:t xml:space="preserve">Holothuroidea</x:t>
        </x:is>
      </x:c>
      <x:c r="B203" s="2" t="inlineStr">
        <x:is>
          <x:t xml:space="preserve">Echinoderms</x:t>
        </x:is>
      </x:c>
      <x:c r="C203" s="2">
        <x:v>6</x:v>
      </x:c>
      <x:c r="D203" s="8">
        <x:v>0.0021</x:v>
      </x:c>
      <x:c r="E203" s="8">
        <x:v>1.98</x:v>
      </x:c>
      <x:c r="F203" s="8" t="inlineStr">
        <x:is>
          <x:t xml:space="preserve">No split</x:t>
        </x:is>
      </x:c>
      <x:c r="G203" s="8">
        <x:f>SUMIFS($D$6:$D$681,$A$6:$A$681,A203)</x:f>
        <x:v>0.0021</x:v>
      </x:c>
      <x:c r="H203" s="9">
        <x:f>1</x:f>
        <x:v>1</x:v>
      </x:c>
      <x:c r="I203" s="2" t="inlineStr">
        <x:is>
          <x:t xml:space="preserve">High</x:t>
        </x:is>
      </x:c>
      <x:c r="J203" s="2" t="inlineStr">
        <x:is>
          <x:t xml:space="preserve">Holothuroidea is within Echinodermata, represented by one source compartment without competing size/stage pools. No split is required.</x:t>
        </x:is>
      </x:c>
      <x:c r="K203" s="1"/>
    </x:row>
    <x:row r="204" ht="80" customHeight="1">
      <x:c r="A204" s="2" t="inlineStr">
        <x:is>
          <x:t xml:space="preserve">Hyporhamphus</x:t>
        </x:is>
      </x:c>
      <x:c r="B204" s="2" t="inlineStr">
        <x:is>
          <x:t xml:space="preserve">Juvenile large pelagic fish</x:t>
        </x:is>
      </x:c>
      <x:c r="C204" s="2">
        <x:v>30</x:v>
      </x:c>
      <x:c r="D204" s="8">
        <x:v>0.7384</x:v>
      </x:c>
      <x:c r="E204" s="8">
        <x:v>0.289</x:v>
      </x:c>
      <x:c r="F204" s="8" t="inlineStr">
        <x:is>
          <x:t xml:space="preserve">Model catch</x:t>
        </x:is>
      </x:c>
      <x:c r="G204" s="8">
        <x:f>SUMIFS($D$6:$D$681,$A$6:$A$681,A204)</x:f>
        <x:v>0.8205</x:v>
      </x:c>
      <x:c r="H204" s="9">
        <x:f>D204/G204</x:f>
        <x:v>0.8999390615478366</x:v>
      </x:c>
      <x:c r="I204" s="2" t="inlineStr">
        <x:is>
          <x:t xml:space="preserve">Medium</x:t>
        </x:is>
      </x:c>
      <x:c r="J204" s="2" t="inlineStr">
        <x:is>
          <x:t xml:space="preserve">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x:t>
        </x:is>
      </x:c>
      <x:c r="K204" s="1"/>
    </x:row>
    <x:row r="205" ht="80" customHeight="1">
      <x:c r="A205" s="2" t="inlineStr">
        <x:is>
          <x:t xml:space="preserve">Hyporhamphus</x:t>
        </x:is>
      </x:c>
      <x:c r="B205" s="2" t="inlineStr">
        <x:is>
          <x:t xml:space="preserve">Pelagic fish (&gt; 30 cm)</x:t>
        </x:is>
      </x:c>
      <x:c r="C205" s="2">
        <x:v>31</x:v>
      </x:c>
      <x:c r="D205" s="8">
        <x:v>0.0821</x:v>
      </x:c>
      <x:c r="E205" s="8">
        <x:v>0.079</x:v>
      </x:c>
      <x:c r="F205" s="8" t="inlineStr">
        <x:is>
          <x:t xml:space="preserve">Model catch</x:t>
        </x:is>
      </x:c>
      <x:c r="G205" s="8">
        <x:f>SUMIFS($D$6:$D$681,$A$6:$A$681,A205)</x:f>
        <x:v>0.8205</x:v>
      </x:c>
      <x:c r="H205" s="9">
        <x:f>D205/G205</x:f>
        <x:v>0.1000609384521633</x:v>
      </x:c>
      <x:c r="I205" s="2" t="inlineStr">
        <x:is>
          <x:t xml:space="preserve">Medium</x:t>
        </x:is>
      </x:c>
      <x:c r="J205" s="2" t="inlineStr">
        <x:is>
          <x:t xml:space="preserve">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x:t>
        </x:is>
      </x:c>
      <x:c r="K205" s="1"/>
    </x:row>
    <x:row r="206" ht="128" customHeight="1">
      <x:c r="A206" s="2" t="inlineStr">
        <x:is>
          <x:t xml:space="preserve">Hyporhamphus sajori</x:t>
        </x:is>
      </x:c>
      <x:c r="B206" s="2" t="inlineStr">
        <x:is>
          <x:t xml:space="preserve">Juvenile large pelagic fish</x:t>
        </x:is>
      </x:c>
      <x:c r="C206" s="2">
        <x:v>30</x:v>
      </x:c>
      <x:c r="D206" s="8">
        <x:v>0.7384</x:v>
      </x:c>
      <x:c r="E206" s="8">
        <x:v>0.289</x:v>
      </x:c>
      <x:c r="F206" s="8" t="inlineStr">
        <x:is>
          <x:t xml:space="preserve">Model catch</x:t>
        </x:is>
      </x:c>
      <x:c r="G206" s="8">
        <x:f>SUMIFS($D$6:$D$681,$A$6:$A$681,A206)</x:f>
        <x:v>0.8205</x:v>
      </x:c>
      <x:c r="H206" s="9">
        <x:f>D206/G206</x:f>
        <x:v>0.8999390615478366</x:v>
      </x:c>
      <x:c r="I206" s="2" t="inlineStr">
        <x:is>
          <x:t xml:space="preserve">Medium</x:t>
        </x:is>
      </x:c>
      <x:c r="J206"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x:t>
        </x:is>
      </x:c>
      <x:c r="K206" s="1"/>
    </x:row>
    <x:row r="207" ht="128" customHeight="1">
      <x:c r="A207" s="2" t="inlineStr">
        <x:is>
          <x:t xml:space="preserve">Hyporhamphus sajori</x:t>
        </x:is>
      </x:c>
      <x:c r="B207" s="2" t="inlineStr">
        <x:is>
          <x:t xml:space="preserve">Pelagic fish (&gt; 30 cm)</x:t>
        </x:is>
      </x:c>
      <x:c r="C207" s="2">
        <x:v>31</x:v>
      </x:c>
      <x:c r="D207" s="8">
        <x:v>0.0821</x:v>
      </x:c>
      <x:c r="E207" s="8">
        <x:v>0.079</x:v>
      </x:c>
      <x:c r="F207" s="8" t="inlineStr">
        <x:is>
          <x:t xml:space="preserve">Model catch</x:t>
        </x:is>
      </x:c>
      <x:c r="G207" s="8">
        <x:f>SUMIFS($D$6:$D$681,$A$6:$A$681,A207)</x:f>
        <x:v>0.8205</x:v>
      </x:c>
      <x:c r="H207" s="9">
        <x:f>D207/G207</x:f>
        <x:v>0.1000609384521633</x:v>
      </x:c>
      <x:c r="I207" s="2" t="inlineStr">
        <x:is>
          <x:t xml:space="preserve">Medium</x:t>
        </x:is>
      </x:c>
      <x:c r="J20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x:t>
        </x:is>
      </x:c>
      <x:c r="K207" s="1"/>
    </x:row>
    <x:row r="208" ht="80" customHeight="1">
      <x:c r="A208" s="2" t="inlineStr">
        <x:is>
          <x:t xml:space="preserve">Ibacus ciliatus</x:t>
        </x:is>
      </x:c>
      <x:c r="B208" s="2" t="inlineStr">
        <x:is>
          <x:t xml:space="preserve">Benthic crustaceans</x:t>
        </x:is>
      </x:c>
      <x:c r="C208" s="2">
        <x:v>7</x:v>
      </x:c>
      <x:c r="D208" s="8">
        <x:v>0.0391</x:v>
      </x:c>
      <x:c r="E208" s="8">
        <x:v>1.43</x:v>
      </x:c>
      <x:c r="F208" s="8" t="inlineStr">
        <x:is>
          <x:t xml:space="preserve">No split</x:t>
        </x:is>
      </x:c>
      <x:c r="G208" s="8">
        <x:f>SUMIFS($D$6:$D$681,$A$6:$A$681,A208)</x:f>
        <x:v>0.0391</x:v>
      </x:c>
      <x:c r="H208" s="9">
        <x:f>1</x:f>
        <x:v>1</x:v>
      </x:c>
      <x:c r="I208" s="2" t="inlineStr">
        <x:is>
          <x:t xml:space="preserve">High</x:t>
        </x:is>
      </x:c>
      <x:c r="J208" s="2" t="inlineStr">
        <x:is>
          <x:t xml:space="preserve">Ibacus ciliatus is a benthic lobster lineage in the residual crustacean pool after shrimp/crab exclusions. Oratosquilla is a parameter example, not the complete membership. The accepted WoRMS record is selected over a same-name homonym; both alternatives are Scyllaridae. No split is required.</x:t>
        </x:is>
      </x:c>
      <x:c r="K208" s="1"/>
    </x:row>
    <x:row r="209" ht="128" customHeight="1">
      <x:c r="A209" s="2" t="inlineStr">
        <x:is>
          <x:t xml:space="preserve">Ilisha elongata</x:t>
        </x:is>
      </x:c>
      <x:c r="B209" s="2" t="inlineStr">
        <x:is>
          <x:t xml:space="preserve">Juvenile large pelagic fish</x:t>
        </x:is>
      </x:c>
      <x:c r="C209" s="2">
        <x:v>30</x:v>
      </x:c>
      <x:c r="D209" s="8">
        <x:v>0.7384</x:v>
      </x:c>
      <x:c r="E209" s="8">
        <x:v>0.289</x:v>
      </x:c>
      <x:c r="F209" s="8" t="inlineStr">
        <x:is>
          <x:t xml:space="preserve">Model catch</x:t>
        </x:is>
      </x:c>
      <x:c r="G209" s="8">
        <x:f>SUMIFS($D$6:$D$681,$A$6:$A$681,A209)</x:f>
        <x:v>0.8205</x:v>
      </x:c>
      <x:c r="H209" s="9">
        <x:f>D209/G209</x:f>
        <x:v>0.8999390615478366</x:v>
      </x:c>
      <x:c r="I209" s="2" t="inlineStr">
        <x:is>
          <x:t xml:space="preserve">Medium</x:t>
        </x:is>
      </x:c>
      <x:c r="J209"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x:t>
        </x:is>
      </x:c>
      <x:c r="K209" s="1"/>
    </x:row>
    <x:row r="210" ht="128" customHeight="1">
      <x:c r="A210" s="2" t="inlineStr">
        <x:is>
          <x:t xml:space="preserve">Ilisha elongata</x:t>
        </x:is>
      </x:c>
      <x:c r="B210" s="2" t="inlineStr">
        <x:is>
          <x:t xml:space="preserve">Pelagic fish (&gt; 30 cm)</x:t>
        </x:is>
      </x:c>
      <x:c r="C210" s="2">
        <x:v>31</x:v>
      </x:c>
      <x:c r="D210" s="8">
        <x:v>0.0821</x:v>
      </x:c>
      <x:c r="E210" s="8">
        <x:v>0.079</x:v>
      </x:c>
      <x:c r="F210" s="8" t="inlineStr">
        <x:is>
          <x:t xml:space="preserve">Model catch</x:t>
        </x:is>
      </x:c>
      <x:c r="G210" s="8">
        <x:f>SUMIFS($D$6:$D$681,$A$6:$A$681,A210)</x:f>
        <x:v>0.8205</x:v>
      </x:c>
      <x:c r="H210" s="9">
        <x:f>D210/G210</x:f>
        <x:v>0.1000609384521633</x:v>
      </x:c>
      <x:c r="I210" s="2" t="inlineStr">
        <x:is>
          <x:t xml:space="preserve">Medium</x:t>
        </x:is>
      </x:c>
      <x:c r="J210"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x:t>
        </x:is>
      </x:c>
      <x:c r="K210" s="1"/>
    </x:row>
    <x:row r="211" ht="96" customHeight="1">
      <x:c r="A211" s="2" t="inlineStr">
        <x:is>
          <x:t xml:space="preserve">Istiompax indica</x:t>
        </x:is>
      </x:c>
      <x:c r="B211" s="2" t="inlineStr">
        <x:is>
          <x:t xml:space="preserve">Juvenile large pelagic fish</x:t>
        </x:is>
      </x:c>
      <x:c r="C211" s="2">
        <x:v>30</x:v>
      </x:c>
      <x:c r="D211" s="8">
        <x:v>0.7384</x:v>
      </x:c>
      <x:c r="E211" s="8">
        <x:v>0.289</x:v>
      </x:c>
      <x:c r="F211" s="8" t="inlineStr">
        <x:is>
          <x:t xml:space="preserve">Model catch</x:t>
        </x:is>
      </x:c>
      <x:c r="G211" s="8">
        <x:f>SUMIFS($D$6:$D$681,$A$6:$A$681,A211)</x:f>
        <x:v>0.8205</x:v>
      </x:c>
      <x:c r="H211" s="9">
        <x:f>D211/G211</x:f>
        <x:v>0.8999390615478366</x:v>
      </x:c>
      <x:c r="I211" s="2" t="inlineStr">
        <x:is>
          <x:t xml:space="preserve">Medium</x:t>
        </x:is>
      </x:c>
      <x:c r="J211" s="2" t="inlineStr">
        <x:is>
          <x:t xml:space="preserve">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x:t>
        </x:is>
      </x:c>
      <x:c r="K211" s="1"/>
    </x:row>
    <x:row r="212" ht="96" customHeight="1">
      <x:c r="A212" s="2" t="inlineStr">
        <x:is>
          <x:t xml:space="preserve">Istiompax indica</x:t>
        </x:is>
      </x:c>
      <x:c r="B212" s="2" t="inlineStr">
        <x:is>
          <x:t xml:space="preserve">Pelagic fish (&gt; 30 cm)</x:t>
        </x:is>
      </x:c>
      <x:c r="C212" s="2">
        <x:v>31</x:v>
      </x:c>
      <x:c r="D212" s="8">
        <x:v>0.0821</x:v>
      </x:c>
      <x:c r="E212" s="8">
        <x:v>0.079</x:v>
      </x:c>
      <x:c r="F212" s="8" t="inlineStr">
        <x:is>
          <x:t xml:space="preserve">Model catch</x:t>
        </x:is>
      </x:c>
      <x:c r="G212" s="8">
        <x:f>SUMIFS($D$6:$D$681,$A$6:$A$681,A212)</x:f>
        <x:v>0.8205</x:v>
      </x:c>
      <x:c r="H212" s="9">
        <x:f>D212/G212</x:f>
        <x:v>0.10006093845216332</x:v>
      </x:c>
      <x:c r="I212" s="2" t="inlineStr">
        <x:is>
          <x:t xml:space="preserve">Medium</x:t>
        </x:is>
      </x:c>
      <x:c r="J212" s="2" t="inlineStr">
        <x:is>
          <x:t xml:space="preserve">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x:t>
        </x:is>
      </x:c>
      <x:c r="K212" s="1"/>
    </x:row>
    <x:row r="213" ht="80" customHeight="1">
      <x:c r="A213" s="2" t="inlineStr">
        <x:is>
          <x:t xml:space="preserve">Istiophoridae</x:t>
        </x:is>
      </x:c>
      <x:c r="B213" s="2" t="inlineStr">
        <x:is>
          <x:t xml:space="preserve">Juvenile large pelagic fish</x:t>
        </x:is>
      </x:c>
      <x:c r="C213" s="2">
        <x:v>30</x:v>
      </x:c>
      <x:c r="D213" s="8">
        <x:v>0.7384</x:v>
      </x:c>
      <x:c r="E213" s="8">
        <x:v>0.289</x:v>
      </x:c>
      <x:c r="F213" s="8" t="inlineStr">
        <x:is>
          <x:t xml:space="preserve">Model catch</x:t>
        </x:is>
      </x:c>
      <x:c r="G213" s="8">
        <x:f>SUMIFS($D$6:$D$681,$A$6:$A$681,A213)</x:f>
        <x:v>0.8205</x:v>
      </x:c>
      <x:c r="H213" s="9">
        <x:f>D213/G213</x:f>
        <x:v>0.8999390615478366</x:v>
      </x:c>
      <x:c r="I213" s="2" t="inlineStr">
        <x:is>
          <x:t xml:space="preserve">Medium</x:t>
        </x:is>
      </x:c>
      <x:c r="J213" s="2" t="inlineStr">
        <x:is>
          <x:t xml:space="preserve">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x:t>
        </x:is>
      </x:c>
      <x:c r="K213" s="1"/>
    </x:row>
    <x:row r="214" ht="80" customHeight="1">
      <x:c r="A214" s="2" t="inlineStr">
        <x:is>
          <x:t xml:space="preserve">Istiophoridae</x:t>
        </x:is>
      </x:c>
      <x:c r="B214" s="2" t="inlineStr">
        <x:is>
          <x:t xml:space="preserve">Pelagic fish (&gt; 30 cm)</x:t>
        </x:is>
      </x:c>
      <x:c r="C214" s="2">
        <x:v>31</x:v>
      </x:c>
      <x:c r="D214" s="8">
        <x:v>0.0821</x:v>
      </x:c>
      <x:c r="E214" s="8">
        <x:v>0.079</x:v>
      </x:c>
      <x:c r="F214" s="8" t="inlineStr">
        <x:is>
          <x:t xml:space="preserve">Model catch</x:t>
        </x:is>
      </x:c>
      <x:c r="G214" s="8">
        <x:f>SUMIFS($D$6:$D$681,$A$6:$A$681,A214)</x:f>
        <x:v>0.8205</x:v>
      </x:c>
      <x:c r="H214" s="9">
        <x:f>D214/G214</x:f>
        <x:v>0.10006093845216332</x:v>
      </x:c>
      <x:c r="I214" s="2" t="inlineStr">
        <x:is>
          <x:t xml:space="preserve">Medium</x:t>
        </x:is>
      </x:c>
      <x:c r="J214" s="2" t="inlineStr">
        <x:is>
          <x:t xml:space="preserve">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x:t>
        </x:is>
      </x:c>
      <x:c r="K214" s="1"/>
    </x:row>
    <x:row r="215" ht="80" customHeight="1">
      <x:c r="A215" s="2" t="inlineStr">
        <x:is>
          <x:t xml:space="preserve">Istiophorus</x:t>
        </x:is>
      </x:c>
      <x:c r="B215" s="2" t="inlineStr">
        <x:is>
          <x:t xml:space="preserve">Juvenile large pelagic fish</x:t>
        </x:is>
      </x:c>
      <x:c r="C215" s="2">
        <x:v>30</x:v>
      </x:c>
      <x:c r="D215" s="8">
        <x:v>0.7384</x:v>
      </x:c>
      <x:c r="E215" s="8">
        <x:v>0.289</x:v>
      </x:c>
      <x:c r="F215" s="8" t="inlineStr">
        <x:is>
          <x:t xml:space="preserve">Model catch</x:t>
        </x:is>
      </x:c>
      <x:c r="G215" s="8">
        <x:f>SUMIFS($D$6:$D$681,$A$6:$A$681,A215)</x:f>
        <x:v>0.8205</x:v>
      </x:c>
      <x:c r="H215" s="9">
        <x:f>D215/G215</x:f>
        <x:v>0.8999390615478366</x:v>
      </x:c>
      <x:c r="I215" s="2" t="inlineStr">
        <x:is>
          <x:t xml:space="preserve">Medium</x:t>
        </x:is>
      </x:c>
      <x:c r="J215" s="2" t="inlineStr">
        <x:is>
          <x:t xml:space="preserve">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x:t>
        </x:is>
      </x:c>
      <x:c r="K215" s="1"/>
    </x:row>
    <x:row r="216" ht="80" customHeight="1">
      <x:c r="A216" s="2" t="inlineStr">
        <x:is>
          <x:t xml:space="preserve">Istiophorus</x:t>
        </x:is>
      </x:c>
      <x:c r="B216" s="2" t="inlineStr">
        <x:is>
          <x:t xml:space="preserve">Pelagic fish (&gt; 30 cm)</x:t>
        </x:is>
      </x:c>
      <x:c r="C216" s="2">
        <x:v>31</x:v>
      </x:c>
      <x:c r="D216" s="8">
        <x:v>0.0821</x:v>
      </x:c>
      <x:c r="E216" s="8">
        <x:v>0.079</x:v>
      </x:c>
      <x:c r="F216" s="8" t="inlineStr">
        <x:is>
          <x:t xml:space="preserve">Model catch</x:t>
        </x:is>
      </x:c>
      <x:c r="G216" s="8">
        <x:f>SUMIFS($D$6:$D$681,$A$6:$A$681,A216)</x:f>
        <x:v>0.8205</x:v>
      </x:c>
      <x:c r="H216" s="9">
        <x:f>D216/G216</x:f>
        <x:v>0.10006093845216332</x:v>
      </x:c>
      <x:c r="I216" s="2" t="inlineStr">
        <x:is>
          <x:t xml:space="preserve">Medium</x:t>
        </x:is>
      </x:c>
      <x:c r="J216" s="2" t="inlineStr">
        <x:is>
          <x:t xml:space="preserve">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x:t>
        </x:is>
      </x:c>
      <x:c r="K216" s="1"/>
    </x:row>
    <x:row r="217" ht="96" customHeight="1">
      <x:c r="A217" s="2" t="inlineStr">
        <x:is>
          <x:t xml:space="preserve">Istiophorus platypterus</x:t>
        </x:is>
      </x:c>
      <x:c r="B217" s="2" t="inlineStr">
        <x:is>
          <x:t xml:space="preserve">Juvenile large pelagic fish</x:t>
        </x:is>
      </x:c>
      <x:c r="C217" s="2">
        <x:v>30</x:v>
      </x:c>
      <x:c r="D217" s="8">
        <x:v>0.7384</x:v>
      </x:c>
      <x:c r="E217" s="8">
        <x:v>0.289</x:v>
      </x:c>
      <x:c r="F217" s="8" t="inlineStr">
        <x:is>
          <x:t xml:space="preserve">Model catch</x:t>
        </x:is>
      </x:c>
      <x:c r="G217" s="8">
        <x:f>SUMIFS($D$6:$D$681,$A$6:$A$681,A217)</x:f>
        <x:v>0.8205</x:v>
      </x:c>
      <x:c r="H217" s="9">
        <x:f>D217/G217</x:f>
        <x:v>0.8999390615478366</x:v>
      </x:c>
      <x:c r="I217" s="2" t="inlineStr">
        <x:is>
          <x:t xml:space="preserve">Medium</x:t>
        </x:is>
      </x:c>
      <x:c r="J217" s="2" t="inlineStr">
        <x:is>
          <x:t xml:space="preserve">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x:t>
        </x:is>
      </x:c>
      <x:c r="K217" s="1"/>
    </x:row>
    <x:row r="218" ht="96" customHeight="1">
      <x:c r="A218" s="2" t="inlineStr">
        <x:is>
          <x:t xml:space="preserve">Istiophorus platypterus</x:t>
        </x:is>
      </x:c>
      <x:c r="B218" s="2" t="inlineStr">
        <x:is>
          <x:t xml:space="preserve">Pelagic fish (&gt; 30 cm)</x:t>
        </x:is>
      </x:c>
      <x:c r="C218" s="2">
        <x:v>31</x:v>
      </x:c>
      <x:c r="D218" s="8">
        <x:v>0.0821</x:v>
      </x:c>
      <x:c r="E218" s="8">
        <x:v>0.079</x:v>
      </x:c>
      <x:c r="F218" s="8" t="inlineStr">
        <x:is>
          <x:t xml:space="preserve">Model catch</x:t>
        </x:is>
      </x:c>
      <x:c r="G218" s="8">
        <x:f>SUMIFS($D$6:$D$681,$A$6:$A$681,A218)</x:f>
        <x:v>0.8205</x:v>
      </x:c>
      <x:c r="H218" s="9">
        <x:f>D218/G218</x:f>
        <x:v>0.10006093845216332</x:v>
      </x:c>
      <x:c r="I218" s="2" t="inlineStr">
        <x:is>
          <x:t xml:space="preserve">Medium</x:t>
        </x:is>
      </x:c>
      <x:c r="J218" s="2" t="inlineStr">
        <x:is>
          <x:t xml:space="preserve">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x:t>
        </x:is>
      </x:c>
      <x:c r="K218" s="1"/>
    </x:row>
    <x:row r="219" ht="72" customHeight="1">
      <x:c r="A219" s="2" t="inlineStr">
        <x:is>
          <x:t xml:space="preserve">Isurus</x:t>
        </x:is>
      </x:c>
      <x:c r="B219" s="2" t="inlineStr">
        <x:is>
          <x:t xml:space="preserve">Pelagic sharks and rays</x:t>
        </x:is>
      </x:c>
      <x:c r="C219" s="2">
        <x:v>33</x:v>
      </x:c>
      <x:c r="D219" s="8">
        <x:v>0.0007</x:v>
      </x:c>
      <x:c r="E219" s="8">
        <x:v>0.0011</x:v>
      </x:c>
      <x:c r="F219" s="8" t="inlineStr">
        <x:is>
          <x:t xml:space="preserve">No split</x:t>
        </x:is>
      </x:c>
      <x:c r="G219" s="8">
        <x:f>SUMIFS($D$6:$D$681,$A$6:$A$681,A219)</x:f>
        <x:v>0.0007</x:v>
      </x:c>
      <x:c r="H219" s="9">
        <x:f>1</x:f>
        <x:v>1</x:v>
      </x:c>
      <x:c r="I219" s="2" t="inlineStr">
        <x:is>
          <x:t xml:space="preserve">High</x:t>
        </x:is>
      </x:c>
      <x:c r="J219" s="2" t="inlineStr">
        <x:is>
          <x:t xml:space="preserve">The complete current genus inventory has I. oxyrinchus and I. paucus; both species accounts document pelagic-oceanic ecology. This closes genus-level membership in Pelagic sharks and rays. No split is required.</x:t>
        </x:is>
      </x:c>
      <x:c r="K219" s="1"/>
    </x:row>
    <x:row r="220" ht="96" customHeight="1">
      <x:c r="A220" s="2" t="inlineStr">
        <x:is>
          <x:t xml:space="preserve">Isurus oxyrinchus</x:t>
        </x:is>
      </x:c>
      <x:c r="B220" s="2" t="inlineStr">
        <x:is>
          <x:t xml:space="preserve">Pelagic sharks and rays</x:t>
        </x:is>
      </x:c>
      <x:c r="C220" s="2">
        <x:v>33</x:v>
      </x:c>
      <x:c r="D220" s="8">
        <x:v>0.0007</x:v>
      </x:c>
      <x:c r="E220" s="8">
        <x:v>0.0011</x:v>
      </x:c>
      <x:c r="F220" s="8" t="inlineStr">
        <x:is>
          <x:t xml:space="preserve">No split</x:t>
        </x:is>
      </x:c>
      <x:c r="G220" s="8">
        <x:f>SUMIFS($D$6:$D$681,$A$6:$A$681,A220)</x:f>
        <x:v>0.0007</x:v>
      </x:c>
      <x:c r="H220" s="9">
        <x:f>1</x:f>
        <x:v>1</x:v>
      </x:c>
      <x:c r="I220" s="2" t="inlineStr">
        <x:is>
          <x:t xml:space="preserve">High</x:t>
        </x:is>
      </x:c>
      <x:c r="J220"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445 cm TL; Marine;  pelagic-oceanic; oceanodromous. No split is required.</x:t>
        </x:is>
      </x:c>
      <x:c r="K220" s="1"/>
    </x:row>
    <x:row r="221" ht="96" customHeight="1">
      <x:c r="A221" s="2" t="inlineStr">
        <x:is>
          <x:t xml:space="preserve">Kajikia audax</x:t>
        </x:is>
      </x:c>
      <x:c r="B221" s="2" t="inlineStr">
        <x:is>
          <x:t xml:space="preserve">Juvenile large pelagic fish</x:t>
        </x:is>
      </x:c>
      <x:c r="C221" s="2">
        <x:v>30</x:v>
      </x:c>
      <x:c r="D221" s="8">
        <x:v>0.7384</x:v>
      </x:c>
      <x:c r="E221" s="8">
        <x:v>0.289</x:v>
      </x:c>
      <x:c r="F221" s="8" t="inlineStr">
        <x:is>
          <x:t xml:space="preserve">Model catch</x:t>
        </x:is>
      </x:c>
      <x:c r="G221" s="8">
        <x:f>SUMIFS($D$6:$D$681,$A$6:$A$681,A221)</x:f>
        <x:v>0.8205</x:v>
      </x:c>
      <x:c r="H221" s="9">
        <x:f>D221/G221</x:f>
        <x:v>0.8999390615478366</x:v>
      </x:c>
      <x:c r="I221" s="2" t="inlineStr">
        <x:is>
          <x:t xml:space="preserve">Medium</x:t>
        </x:is>
      </x:c>
      <x:c r="J221" s="2" t="inlineStr">
        <x:is>
          <x:t xml:space="preserve">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x:t>
        </x:is>
      </x:c>
      <x:c r="K221" s="1"/>
    </x:row>
    <x:row r="222" ht="96" customHeight="1">
      <x:c r="A222" s="2" t="inlineStr">
        <x:is>
          <x:t xml:space="preserve">Kajikia audax</x:t>
        </x:is>
      </x:c>
      <x:c r="B222" s="2" t="inlineStr">
        <x:is>
          <x:t xml:space="preserve">Pelagic fish (&gt; 30 cm)</x:t>
        </x:is>
      </x:c>
      <x:c r="C222" s="2">
        <x:v>31</x:v>
      </x:c>
      <x:c r="D222" s="8">
        <x:v>0.0821</x:v>
      </x:c>
      <x:c r="E222" s="8">
        <x:v>0.079</x:v>
      </x:c>
      <x:c r="F222" s="8" t="inlineStr">
        <x:is>
          <x:t xml:space="preserve">Model catch</x:t>
        </x:is>
      </x:c>
      <x:c r="G222" s="8">
        <x:f>SUMIFS($D$6:$D$681,$A$6:$A$681,A222)</x:f>
        <x:v>0.8205</x:v>
      </x:c>
      <x:c r="H222" s="9">
        <x:f>D222/G222</x:f>
        <x:v>0.10006093845216332</x:v>
      </x:c>
      <x:c r="I222" s="2" t="inlineStr">
        <x:is>
          <x:t xml:space="preserve">Medium</x:t>
        </x:is>
      </x:c>
      <x:c r="J222" s="2" t="inlineStr">
        <x:is>
          <x:t xml:space="preserve">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x:t>
        </x:is>
      </x:c>
      <x:c r="K222" s="1"/>
    </x:row>
    <x:row r="223" ht="128" customHeight="1">
      <x:c r="A223" s="2" t="inlineStr">
        <x:is>
          <x:t xml:space="preserve">Katsuwonus pelamis</x:t>
        </x:is>
      </x:c>
      <x:c r="B223" s="2" t="inlineStr">
        <x:is>
          <x:t xml:space="preserve">Juvenile large pelagic fish</x:t>
        </x:is>
      </x:c>
      <x:c r="C223" s="2">
        <x:v>30</x:v>
      </x:c>
      <x:c r="D223" s="8">
        <x:v>0.7384</x:v>
      </x:c>
      <x:c r="E223" s="8">
        <x:v>0.289</x:v>
      </x:c>
      <x:c r="F223" s="8" t="inlineStr">
        <x:is>
          <x:t xml:space="preserve">Model catch</x:t>
        </x:is>
      </x:c>
      <x:c r="G223" s="8">
        <x:f>SUMIFS($D$6:$D$681,$A$6:$A$681,A223)</x:f>
        <x:v>0.8205</x:v>
      </x:c>
      <x:c r="H223" s="9">
        <x:f>D223/G223</x:f>
        <x:v>0.8999390615478366</x:v>
      </x:c>
      <x:c r="I223" s="2" t="inlineStr">
        <x:is>
          <x:t xml:space="preserve">Medium</x:t>
        </x:is>
      </x:c>
      <x:c r="J223"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x:t>
        </x:is>
      </x:c>
      <x:c r="K223" s="1"/>
    </x:row>
    <x:row r="224" ht="128" customHeight="1">
      <x:c r="A224" s="2" t="inlineStr">
        <x:is>
          <x:t xml:space="preserve">Katsuwonus pelamis</x:t>
        </x:is>
      </x:c>
      <x:c r="B224" s="2" t="inlineStr">
        <x:is>
          <x:t xml:space="preserve">Pelagic fish (&gt; 30 cm)</x:t>
        </x:is>
      </x:c>
      <x:c r="C224" s="2">
        <x:v>31</x:v>
      </x:c>
      <x:c r="D224" s="8">
        <x:v>0.0821</x:v>
      </x:c>
      <x:c r="E224" s="8">
        <x:v>0.079</x:v>
      </x:c>
      <x:c r="F224" s="8" t="inlineStr">
        <x:is>
          <x:t xml:space="preserve">Model catch</x:t>
        </x:is>
      </x:c>
      <x:c r="G224" s="8">
        <x:f>SUMIFS($D$6:$D$681,$A$6:$A$681,A224)</x:f>
        <x:v>0.8205</x:v>
      </x:c>
      <x:c r="H224" s="9">
        <x:f>D224/G224</x:f>
        <x:v>0.1000609384521633</x:v>
      </x:c>
      <x:c r="I224" s="2" t="inlineStr">
        <x:is>
          <x:t xml:space="preserve">Medium</x:t>
        </x:is>
      </x:c>
      <x:c r="J22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x:t>
        </x:is>
      </x:c>
      <x:c r="K224" s="1"/>
    </x:row>
    <x:row r="225" ht="96" customHeight="1">
      <x:c r="A225" s="2" t="inlineStr">
        <x:is>
          <x:t xml:space="preserve">Labridae</x:t>
        </x:is>
      </x:c>
      <x:c r="B225" s="2" t="inlineStr">
        <x:is>
          <x:t xml:space="preserve">Demesral fish (≤ 30 cm)</x:t>
        </x:is>
      </x:c>
      <x:c r="C225" s="2">
        <x:v>24</x:v>
      </x:c>
      <x:c r="D225" s="8">
        <x:v>0.1788</x:v>
      </x:c>
      <x:c r="E225" s="8">
        <x:v>0.316</x:v>
      </x:c>
      <x:c r="F225" s="8" t="inlineStr">
        <x:is>
          <x:t xml:space="preserve">Model catch</x:t>
        </x:is>
      </x:c>
      <x:c r="G225" s="8">
        <x:f>SUMIFS($D$6:$D$681,$A$6:$A$681,A225)</x:f>
        <x:v>0.5305</x:v>
      </x:c>
      <x:c r="H225" s="9">
        <x:f>D225/G225</x:f>
        <x:v>0.33704052780395855</x:v>
      </x:c>
      <x:c r="I225" s="2" t="inlineStr">
        <x:is>
          <x:t xml:space="preserve">Medium</x:t>
        </x:is>
      </x:c>
      <x:c r="J225" s="2" t="inlineStr">
        <x:is>
          <x:t xml:space="preserve">Regional bottom-foraging Halichoeres trimaculatus (27 cm TL) complements larger wrasses. Both demersal species-size classes are retained; the catch reporting concept is not silently expanded to every member of a modern broader family classification. Source-model catch proportions supply an assumed fixed 1950–2019/all-bases mixture; they are not observed taxon-specific catches.</x:t>
        </x:is>
      </x:c>
      <x:c r="K225" s="1"/>
    </x:row>
    <x:row r="226" ht="96" customHeight="1">
      <x:c r="A226" s="2" t="inlineStr">
        <x:is>
          <x:t xml:space="preserve">Labridae</x:t>
        </x:is>
      </x:c>
      <x:c r="B226" s="2" t="inlineStr">
        <x:is>
          <x:t xml:space="preserve">Juvenile demersal fish (&gt; 30 cm)</x:t>
        </x:is>
      </x:c>
      <x:c r="C226" s="2">
        <x:v>25</x:v>
      </x:c>
      <x:c r="D226" s="8">
        <x:v>0.3165</x:v>
      </x:c>
      <x:c r="E226" s="8">
        <x:v>0.143</x:v>
      </x:c>
      <x:c r="F226" s="8" t="inlineStr">
        <x:is>
          <x:t xml:space="preserve">Model catch</x:t>
        </x:is>
      </x:c>
      <x:c r="G226" s="8">
        <x:f>SUMIFS($D$6:$D$681,$A$6:$A$681,A226)</x:f>
        <x:v>0.5305</x:v>
      </x:c>
      <x:c r="H226" s="9">
        <x:f>D226/G226</x:f>
        <x:v>0.5966069745523092</x:v>
      </x:c>
      <x:c r="I226" s="2" t="inlineStr">
        <x:is>
          <x:t xml:space="preserve">Medium</x:t>
        </x:is>
      </x:c>
      <x:c r="J226" s="2" t="inlineStr">
        <x:is>
          <x:t xml:space="preserve">Regional bottom-foraging Halichoeres trimaculatus (27 cm TL) complements larger wrasses. Both demersal species-size classes are retained; the catch reporting concept is not silently expanded to every member of a modern broader family classification. Source-model catch proportions supply an assumed fixed 1950–2019/all-bases mixture; they are not observed taxon-specific catches.</x:t>
        </x:is>
      </x:c>
      <x:c r="K226" s="1"/>
    </x:row>
    <x:row r="227" ht="96" customHeight="1">
      <x:c r="A227" s="2" t="inlineStr">
        <x:is>
          <x:t xml:space="preserve">Labridae</x:t>
        </x:is>
      </x:c>
      <x:c r="B227" s="2" t="inlineStr">
        <x:is>
          <x:t xml:space="preserve">Adult demersal fish (&gt; 30 cm)</x:t>
        </x:is>
      </x:c>
      <x:c r="C227" s="2">
        <x:v>26</x:v>
      </x:c>
      <x:c r="D227" s="8">
        <x:v>0.0352</x:v>
      </x:c>
      <x:c r="E227" s="8">
        <x:v>0.021</x:v>
      </x:c>
      <x:c r="F227" s="8" t="inlineStr">
        <x:is>
          <x:t xml:space="preserve">Model catch</x:t>
        </x:is>
      </x:c>
      <x:c r="G227" s="8">
        <x:f>SUMIFS($D$6:$D$681,$A$6:$A$681,A227)</x:f>
        <x:v>0.5305</x:v>
      </x:c>
      <x:c r="H227" s="9">
        <x:f>D227/G227</x:f>
        <x:v>0.06635249764373234</x:v>
      </x:c>
      <x:c r="I227" s="2" t="inlineStr">
        <x:is>
          <x:t xml:space="preserve">Medium</x:t>
        </x:is>
      </x:c>
      <x:c r="J227" s="2" t="inlineStr">
        <x:is>
          <x:t xml:space="preserve">Regional bottom-foraging Halichoeres trimaculatus (27 cm TL) complements larger wrasses. Both demersal species-size classes are retained; the catch reporting concept is not silently expanded to every member of a modern broader family classification. Source-model catch proportions supply an assumed fixed 1950–2019/all-bases mixture; they are not observed taxon-specific catches.</x:t>
        </x:is>
      </x:c>
      <x:c r="K227" s="1"/>
    </x:row>
    <x:row r="228" ht="96" customHeight="1">
      <x:c r="A228" s="2" t="inlineStr">
        <x:is>
          <x:t xml:space="preserve">Lactarius lactarius</x:t>
        </x:is>
      </x:c>
      <x:c r="B228" s="2" t="inlineStr">
        <x:is>
          <x:t xml:space="preserve">Juvenile large pelagic fish</x:t>
        </x:is>
      </x:c>
      <x:c r="C228" s="2">
        <x:v>30</x:v>
      </x:c>
      <x:c r="D228" s="8">
        <x:v>0.7384</x:v>
      </x:c>
      <x:c r="E228" s="8">
        <x:v>0.289</x:v>
      </x:c>
      <x:c r="F228" s="8" t="inlineStr">
        <x:is>
          <x:t xml:space="preserve">Model catch</x:t>
        </x:is>
      </x:c>
      <x:c r="G228" s="8">
        <x:f>SUMIFS($D$6:$D$681,$A$6:$A$681,A228)</x:f>
        <x:v>0.8205</x:v>
      </x:c>
      <x:c r="H228" s="9">
        <x:f>D228/G228</x:f>
        <x:v>0.8999390615478366</x:v>
      </x:c>
      <x:c r="I228" s="2" t="inlineStr">
        <x:is>
          <x:t xml:space="preserve">Medium</x:t>
        </x:is>
      </x:c>
      <x:c r="J228" s="2" t="inlineStr">
        <x:is>
          <x:t xml:space="preserve">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x:t>
        </x:is>
      </x:c>
      <x:c r="K228" s="1"/>
    </x:row>
    <x:row r="229" ht="96" customHeight="1">
      <x:c r="A229" s="2" t="inlineStr">
        <x:is>
          <x:t xml:space="preserve">Lactarius lactarius</x:t>
        </x:is>
      </x:c>
      <x:c r="B229" s="2" t="inlineStr">
        <x:is>
          <x:t xml:space="preserve">Pelagic fish (&gt; 30 cm)</x:t>
        </x:is>
      </x:c>
      <x:c r="C229" s="2">
        <x:v>31</x:v>
      </x:c>
      <x:c r="D229" s="8">
        <x:v>0.0821</x:v>
      </x:c>
      <x:c r="E229" s="8">
        <x:v>0.079</x:v>
      </x:c>
      <x:c r="F229" s="8" t="inlineStr">
        <x:is>
          <x:t xml:space="preserve">Model catch</x:t>
        </x:is>
      </x:c>
      <x:c r="G229" s="8">
        <x:f>SUMIFS($D$6:$D$681,$A$6:$A$681,A229)</x:f>
        <x:v>0.8205</x:v>
      </x:c>
      <x:c r="H229" s="9">
        <x:f>D229/G229</x:f>
        <x:v>0.1000609384521633</x:v>
      </x:c>
      <x:c r="I229" s="2" t="inlineStr">
        <x:is>
          <x:t xml:space="preserve">Medium</x:t>
        </x:is>
      </x:c>
      <x:c r="J229" s="2" t="inlineStr">
        <x:is>
          <x:t xml:space="preserve">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x:t>
        </x:is>
      </x:c>
      <x:c r="K229" s="1"/>
    </x:row>
    <x:row r="230" ht="96" customHeight="1">
      <x:c r="A230" s="2" t="inlineStr">
        <x:is>
          <x:t xml:space="preserve">Lampris guttatus</x:t>
        </x:is>
      </x:c>
      <x:c r="B230" s="2" t="inlineStr">
        <x:is>
          <x:t xml:space="preserve">Juvenile large pelagic fish</x:t>
        </x:is>
      </x:c>
      <x:c r="C230" s="2">
        <x:v>30</x:v>
      </x:c>
      <x:c r="D230" s="8">
        <x:v>0.7384</x:v>
      </x:c>
      <x:c r="E230" s="8">
        <x:v>0.289</x:v>
      </x:c>
      <x:c r="F230" s="8" t="inlineStr">
        <x:is>
          <x:t xml:space="preserve">Model catch</x:t>
        </x:is>
      </x:c>
      <x:c r="G230" s="8">
        <x:f>SUMIFS($D$6:$D$681,$A$6:$A$681,A230)</x:f>
        <x:v>0.8205</x:v>
      </x:c>
      <x:c r="H230" s="9">
        <x:f>D230/G230</x:f>
        <x:v>0.8999390615478366</x:v>
      </x:c>
      <x:c r="I230" s="2" t="inlineStr">
        <x:is>
          <x:t xml:space="preserve">Medium</x:t>
        </x:is>
      </x:c>
      <x:c r="J230" s="2" t="inlineStr">
        <x:is>
          <x:t xml:space="preserve">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x:t>
        </x:is>
      </x:c>
      <x:c r="K230" s="1"/>
    </x:row>
    <x:row r="231" ht="96" customHeight="1">
      <x:c r="A231" s="2" t="inlineStr">
        <x:is>
          <x:t xml:space="preserve">Lampris guttatus</x:t>
        </x:is>
      </x:c>
      <x:c r="B231" s="2" t="inlineStr">
        <x:is>
          <x:t xml:space="preserve">Pelagic fish (&gt; 30 cm)</x:t>
        </x:is>
      </x:c>
      <x:c r="C231" s="2">
        <x:v>31</x:v>
      </x:c>
      <x:c r="D231" s="8">
        <x:v>0.0821</x:v>
      </x:c>
      <x:c r="E231" s="8">
        <x:v>0.079</x:v>
      </x:c>
      <x:c r="F231" s="8" t="inlineStr">
        <x:is>
          <x:t xml:space="preserve">Model catch</x:t>
        </x:is>
      </x:c>
      <x:c r="G231" s="8">
        <x:f>SUMIFS($D$6:$D$681,$A$6:$A$681,A231)</x:f>
        <x:v>0.8205</x:v>
      </x:c>
      <x:c r="H231" s="9">
        <x:f>D231/G231</x:f>
        <x:v>0.10006093845216332</x:v>
      </x:c>
      <x:c r="I231" s="2" t="inlineStr">
        <x:is>
          <x:t xml:space="preserve">Medium</x:t>
        </x:is>
      </x:c>
      <x:c r="J231" s="2" t="inlineStr">
        <x:is>
          <x:t xml:space="preserve">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x:t>
        </x:is>
      </x:c>
      <x:c r="K231" s="1"/>
    </x:row>
    <x:row r="232" ht="72" customHeight="1">
      <x:c r="A232" s="2" t="inlineStr">
        <x:is>
          <x:t xml:space="preserve">Larimichthys crocea</x:t>
        </x:is>
      </x:c>
      <x:c r="B232" s="2" t="inlineStr">
        <x:is>
          <x:t xml:space="preserve">Juvenile large croakers</x:t>
        </x:is>
      </x:c>
      <x:c r="C232" s="2">
        <x:v>22</x:v>
      </x:c>
      <x:c r="D232" s="8">
        <x:v>0.071</x:v>
      </x:c>
      <x:c r="E232" s="8">
        <x:v>0.04</x:v>
      </x:c>
      <x:c r="F232" s="8" t="inlineStr">
        <x:is>
          <x:t xml:space="preserve">Model catch</x:t>
        </x:is>
      </x:c>
      <x:c r="G232" s="8">
        <x:f>SUMIFS($D$6:$D$681,$A$6:$A$681,A232)</x:f>
        <x:v>0.07899999999999999</x:v>
      </x:c>
      <x:c r="H232" s="9">
        <x:f>D232/G232</x:f>
        <x:v>0.8987341772151899</x:v>
      </x:c>
      <x:c r="I232" s="2" t="inlineStr">
        <x:is>
          <x:t xml:space="preserve">Medium</x:t>
        </x:is>
      </x:c>
      <x:c r="J232" s="2" t="inlineStr">
        <x:is>
          <x:t xml:space="preserve">Larimichthys crocea is explicitly a large croaker in the source. Both 24-month stanzas are eligible; unknown catch ages limit allocation separately. Model catch proportions provide the split; allocation confidence remains Medium.</x:t>
        </x:is>
      </x:c>
      <x:c r="K232" s="1"/>
    </x:row>
    <x:row r="233" ht="72" customHeight="1">
      <x:c r="A233" s="2" t="inlineStr">
        <x:is>
          <x:t xml:space="preserve">Larimichthys crocea</x:t>
        </x:is>
      </x:c>
      <x:c r="B233" s="2" t="inlineStr">
        <x:is>
          <x:t xml:space="preserve">Croakers (&gt; 30 cm)</x:t>
        </x:is>
      </x:c>
      <x:c r="C233" s="2">
        <x:v>23</x:v>
      </x:c>
      <x:c r="D233" s="8">
        <x:v>0.008</x:v>
      </x:c>
      <x:c r="E233" s="8">
        <x:v>0.0094</x:v>
      </x:c>
      <x:c r="F233" s="8" t="inlineStr">
        <x:is>
          <x:t xml:space="preserve">Model catch</x:t>
        </x:is>
      </x:c>
      <x:c r="G233" s="8">
        <x:f>SUMIFS($D$6:$D$681,$A$6:$A$681,A233)</x:f>
        <x:v>0.07899999999999999</x:v>
      </x:c>
      <x:c r="H233" s="9">
        <x:f>D233/G233</x:f>
        <x:v>0.1012658227848101</x:v>
      </x:c>
      <x:c r="I233" s="2" t="inlineStr">
        <x:is>
          <x:t xml:space="preserve">Medium</x:t>
        </x:is>
      </x:c>
      <x:c r="J233" s="2" t="inlineStr">
        <x:is>
          <x:t xml:space="preserve">Larimichthys crocea is explicitly a large croaker in the source. Both 24-month stanzas are eligible; unknown catch ages limit allocation separately. Model catch proportions provide the split; allocation confidence remains Medium.</x:t>
        </x:is>
      </x:c>
      <x:c r="K233" s="1"/>
    </x:row>
    <x:row r="234" ht="96" customHeight="1">
      <x:c r="A234" s="2" t="inlineStr">
        <x:is>
          <x:t xml:space="preserve">Larimichthys polyactis</x:t>
        </x:is>
      </x:c>
      <x:c r="B234" s="2" t="inlineStr">
        <x:is>
          <x:t xml:space="preserve">Juvenile large croakers</x:t>
        </x:is>
      </x:c>
      <x:c r="C234" s="2">
        <x:v>22</x:v>
      </x:c>
      <x:c r="D234" s="8">
        <x:v>0.071</x:v>
      </x:c>
      <x:c r="E234" s="8">
        <x:v>0.04</x:v>
      </x:c>
      <x:c r="F234" s="8" t="inlineStr">
        <x:is>
          <x:t xml:space="preserve">Model catch</x:t>
        </x:is>
      </x:c>
      <x:c r="G234" s="8">
        <x:f>SUMIFS($D$6:$D$681,$A$6:$A$681,A234)</x:f>
        <x:v>0.07899999999999999</x:v>
      </x:c>
      <x:c r="H234" s="9">
        <x:f>D234/G234</x:f>
        <x:v>0.8987341772151899</x:v>
      </x:c>
      <x:c r="I234" s="2" t="inlineStr">
        <x:is>
          <x:t xml:space="preserve">Medium</x:t>
        </x:is>
      </x:c>
      <x:c r="J234" s="2" t="inlineStr">
        <x:is>
          <x:t xml:space="preserve">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x:t>
        </x:is>
      </x:c>
      <x:c r="K234" s="1"/>
    </x:row>
    <x:row r="235" ht="96" customHeight="1">
      <x:c r="A235" s="2" t="inlineStr">
        <x:is>
          <x:t xml:space="preserve">Larimichthys polyactis</x:t>
        </x:is>
      </x:c>
      <x:c r="B235" s="2" t="inlineStr">
        <x:is>
          <x:t xml:space="preserve">Croakers (&gt; 30 cm)</x:t>
        </x:is>
      </x:c>
      <x:c r="C235" s="2">
        <x:v>23</x:v>
      </x:c>
      <x:c r="D235" s="8">
        <x:v>0.008</x:v>
      </x:c>
      <x:c r="E235" s="8">
        <x:v>0.0094</x:v>
      </x:c>
      <x:c r="F235" s="8" t="inlineStr">
        <x:is>
          <x:t xml:space="preserve">Model catch</x:t>
        </x:is>
      </x:c>
      <x:c r="G235" s="8">
        <x:f>SUMIFS($D$6:$D$681,$A$6:$A$681,A235)</x:f>
        <x:v>0.07899999999999999</x:v>
      </x:c>
      <x:c r="H235" s="9">
        <x:f>D235/G235</x:f>
        <x:v>0.10126582278481014</x:v>
      </x:c>
      <x:c r="I235" s="2" t="inlineStr">
        <x:is>
          <x:t xml:space="preserve">Medium</x:t>
        </x:is>
      </x:c>
      <x:c r="J235" s="2" t="inlineStr">
        <x:is>
          <x:t xml:space="preserve">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x:t>
        </x:is>
      </x:c>
      <x:c r="K235" s="1"/>
    </x:row>
    <x:row r="236" ht="112" customHeight="1">
      <x:c r="A236" s="2" t="inlineStr">
        <x:is>
          <x:t xml:space="preserve">Lateolabrax japonicus</x:t>
        </x:is>
      </x:c>
      <x:c r="B236" s="2" t="inlineStr">
        <x:is>
          <x:t xml:space="preserve">Juvenile demersal fish (&gt; 30 cm)</x:t>
        </x:is>
      </x:c>
      <x:c r="C236" s="2">
        <x:v>25</x:v>
      </x:c>
      <x:c r="D236" s="8">
        <x:v>0.3165</x:v>
      </x:c>
      <x:c r="E236" s="8">
        <x:v>0.143</x:v>
      </x:c>
      <x:c r="F236" s="8" t="inlineStr">
        <x:is>
          <x:t xml:space="preserve">Model catch</x:t>
        </x:is>
      </x:c>
      <x:c r="G236" s="8">
        <x:f>SUMIFS($D$6:$D$681,$A$6:$A$681,A236)</x:f>
        <x:v>0.3517</x:v>
      </x:c>
      <x:c r="H236" s="9">
        <x:f>D236/G236</x:f>
        <x:v>0.8999147000284333</x:v>
      </x:c>
      <x:c r="I236" s="2" t="inlineStr">
        <x:is>
          <x:t xml:space="preserve">Medium</x:t>
        </x:is>
      </x:c>
      <x:c r="J236" s="2" t="inlineStr">
        <x:is>
          <x:t xml:space="preserve">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x:t>
        </x:is>
      </x:c>
      <x:c r="K236" s="1"/>
    </x:row>
    <x:row r="237" ht="112" customHeight="1">
      <x:c r="A237" s="2" t="inlineStr">
        <x:is>
          <x:t xml:space="preserve">Lateolabrax japonicus</x:t>
        </x:is>
      </x:c>
      <x:c r="B237" s="2" t="inlineStr">
        <x:is>
          <x:t xml:space="preserve">Adult demersal fish (&gt; 30 cm)</x:t>
        </x:is>
      </x:c>
      <x:c r="C237" s="2">
        <x:v>26</x:v>
      </x:c>
      <x:c r="D237" s="8">
        <x:v>0.0352</x:v>
      </x:c>
      <x:c r="E237" s="8">
        <x:v>0.021</x:v>
      </x:c>
      <x:c r="F237" s="8" t="inlineStr">
        <x:is>
          <x:t xml:space="preserve">Model catch</x:t>
        </x:is>
      </x:c>
      <x:c r="G237" s="8">
        <x:f>SUMIFS($D$6:$D$681,$A$6:$A$681,A237)</x:f>
        <x:v>0.3517</x:v>
      </x:c>
      <x:c r="H237" s="9">
        <x:f>D237/G237</x:f>
        <x:v>0.1000852999715667</x:v>
      </x:c>
      <x:c r="I237" s="2" t="inlineStr">
        <x:is>
          <x:t xml:space="preserve">Medium</x:t>
        </x:is>
      </x:c>
      <x:c r="J237" s="2" t="inlineStr">
        <x:is>
          <x:t xml:space="preserve">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x:t>
        </x:is>
      </x:c>
      <x:c r="K237" s="1"/>
    </x:row>
    <x:row r="238" ht="96" customHeight="1">
      <x:c r="A238" s="2" t="inlineStr">
        <x:is>
          <x:t xml:space="preserve">Lates calcarifer</x:t>
        </x:is>
      </x:c>
      <x:c r="B238" s="2" t="inlineStr">
        <x:is>
          <x:t xml:space="preserve">Juvenile demersal fish (&gt; 30 cm)</x:t>
        </x:is>
      </x:c>
      <x:c r="C238" s="2">
        <x:v>25</x:v>
      </x:c>
      <x:c r="D238" s="8">
        <x:v>0.3165</x:v>
      </x:c>
      <x:c r="E238" s="8">
        <x:v>0.143</x:v>
      </x:c>
      <x:c r="F238" s="8" t="inlineStr">
        <x:is>
          <x:t xml:space="preserve">Model catch</x:t>
        </x:is>
      </x:c>
      <x:c r="G238" s="8">
        <x:f>SUMIFS($D$6:$D$681,$A$6:$A$681,A238)</x:f>
        <x:v>0.3517</x:v>
      </x:c>
      <x:c r="H238" s="9">
        <x:f>D238/G238</x:f>
        <x:v>0.8999147000284333</x:v>
      </x:c>
      <x:c r="I238" s="2" t="inlineStr">
        <x:is>
          <x:t xml:space="preserve">Medium</x:t>
        </x:is>
      </x:c>
      <x:c r="J238" s="2" t="inlineStr">
        <x:is>
          <x:t xml:space="preserve">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x:t>
        </x:is>
      </x:c>
      <x:c r="K238" s="1"/>
    </x:row>
    <x:row r="239" ht="96" customHeight="1">
      <x:c r="A239" s="2" t="inlineStr">
        <x:is>
          <x:t xml:space="preserve">Lates calcarifer</x:t>
        </x:is>
      </x:c>
      <x:c r="B239" s="2" t="inlineStr">
        <x:is>
          <x:t xml:space="preserve">Adult demersal fish (&gt; 30 cm)</x:t>
        </x:is>
      </x:c>
      <x:c r="C239" s="2">
        <x:v>26</x:v>
      </x:c>
      <x:c r="D239" s="8">
        <x:v>0.0352</x:v>
      </x:c>
      <x:c r="E239" s="8">
        <x:v>0.021</x:v>
      </x:c>
      <x:c r="F239" s="8" t="inlineStr">
        <x:is>
          <x:t xml:space="preserve">Model catch</x:t>
        </x:is>
      </x:c>
      <x:c r="G239" s="8">
        <x:f>SUMIFS($D$6:$D$681,$A$6:$A$681,A239)</x:f>
        <x:v>0.3517</x:v>
      </x:c>
      <x:c r="H239" s="9">
        <x:f>D239/G239</x:f>
        <x:v>0.1000852999715667</x:v>
      </x:c>
      <x:c r="I239" s="2" t="inlineStr">
        <x:is>
          <x:t xml:space="preserve">Medium</x:t>
        </x:is>
      </x:c>
      <x:c r="J239" s="2" t="inlineStr">
        <x:is>
          <x:t xml:space="preserve">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x:t>
        </x:is>
      </x:c>
      <x:c r="K239" s="1"/>
    </x:row>
    <x:row r="240" ht="96" customHeight="1">
      <x:c r="A240" s="2" t="inlineStr">
        <x:is>
          <x:t xml:space="preserve">Latidae</x:t>
        </x:is>
      </x:c>
      <x:c r="B240" s="2" t="inlineStr">
        <x:is>
          <x:t xml:space="preserve">Juvenile demersal fish (&gt; 30 cm)</x:t>
        </x:is>
      </x:c>
      <x:c r="C240" s="2">
        <x:v>25</x:v>
      </x:c>
      <x:c r="D240" s="8">
        <x:v>0.3165</x:v>
      </x:c>
      <x:c r="E240" s="8">
        <x:v>0.143</x:v>
      </x:c>
      <x:c r="F240" s="8" t="inlineStr">
        <x:is>
          <x:t xml:space="preserve">Model catch</x:t>
        </x:is>
      </x:c>
      <x:c r="G240" s="8">
        <x:f>SUMIFS($D$6:$D$681,$A$6:$A$681,A240)</x:f>
        <x:v>0.3517</x:v>
      </x:c>
      <x:c r="H240" s="9">
        <x:f>D240/G240</x:f>
        <x:v>0.8999147000284333</x:v>
      </x:c>
      <x:c r="I240" s="2" t="inlineStr">
        <x:is>
          <x:t xml:space="preserve">Medium</x:t>
        </x:is>
      </x:c>
      <x:c r="J240" s="2" t="inlineStr">
        <x:is>
          <x:t xml:space="preserve">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x:t>
        </x:is>
      </x:c>
      <x:c r="K240" s="1"/>
    </x:row>
    <x:row r="241" ht="96" customHeight="1">
      <x:c r="A241" s="2" t="inlineStr">
        <x:is>
          <x:t xml:space="preserve">Latidae</x:t>
        </x:is>
      </x:c>
      <x:c r="B241" s="2" t="inlineStr">
        <x:is>
          <x:t xml:space="preserve">Adult demersal fish (&gt; 30 cm)</x:t>
        </x:is>
      </x:c>
      <x:c r="C241" s="2">
        <x:v>26</x:v>
      </x:c>
      <x:c r="D241" s="8">
        <x:v>0.0352</x:v>
      </x:c>
      <x:c r="E241" s="8">
        <x:v>0.021</x:v>
      </x:c>
      <x:c r="F241" s="8" t="inlineStr">
        <x:is>
          <x:t xml:space="preserve">Model catch</x:t>
        </x:is>
      </x:c>
      <x:c r="G241" s="8">
        <x:f>SUMIFS($D$6:$D$681,$A$6:$A$681,A241)</x:f>
        <x:v>0.3517</x:v>
      </x:c>
      <x:c r="H241" s="9">
        <x:f>D241/G241</x:f>
        <x:v>0.1000852999715667</x:v>
      </x:c>
      <x:c r="I241" s="2" t="inlineStr">
        <x:is>
          <x:t xml:space="preserve">Medium</x:t>
        </x:is>
      </x:c>
      <x:c r="J241" s="2" t="inlineStr">
        <x:is>
          <x:t xml:space="preserve">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x:t>
        </x:is>
      </x:c>
      <x:c r="K241" s="1"/>
    </x:row>
    <x:row r="242" ht="96" customHeight="1">
      <x:c r="A242" s="2" t="inlineStr">
        <x:is>
          <x:t xml:space="preserve">Leiognathidae</x:t>
        </x:is>
      </x:c>
      <x:c r="B242" s="2" t="inlineStr">
        <x:is>
          <x:t xml:space="preserve">Benthopelagic fish</x:t>
        </x:is>
      </x:c>
      <x:c r="C242" s="2">
        <x:v>27</x:v>
      </x:c>
      <x:c r="D242" s="8">
        <x:v>0.6025</x:v>
      </x:c>
      <x:c r="E242" s="8">
        <x:v>0.922</x:v>
      </x:c>
      <x:c r="F242" s="8" t="inlineStr">
        <x:is>
          <x:t xml:space="preserve">No split</x:t>
        </x:is>
      </x:c>
      <x:c r="G242" s="8">
        <x:f>SUMIFS($D$6:$D$681,$A$6:$A$681,A242)</x:f>
        <x:v>0.6025</x:v>
      </x:c>
      <x:c r="H242" s="9">
        <x:f>1</x:f>
        <x:v>1</x:v>
      </x:c>
      <x:c r="I242" s="2" t="inlineStr">
        <x:is>
          <x:t xml:space="preserve">High</x:t>
        </x:is>
      </x:c>
      <x:c r="J242" s="2" t="inlineStr">
        <x:is>
          <x:t xml:space="preserve">FAO describes bottom-living ponyfishes but nocturnal midwater movement only for some deeper members; L. equula is demersal and reaches 28 cm TL. Thus group 24 competes with current group 27 for an unresolved family composition, even though the final group 27 parameters resemble the small-benthopelagic appendix. No split is required.</x:t>
        </x:is>
      </x:c>
      <x:c r="K242" s="1"/>
    </x:row>
    <x:row r="243" ht="80" customHeight="1">
      <x:c r="A243" s="2" t="inlineStr">
        <x:is>
          <x:t xml:space="preserve">Leiognathus</x:t>
        </x:is>
      </x:c>
      <x:c r="B243" s="2" t="inlineStr">
        <x:is>
          <x:t xml:space="preserve">Benthopelagic fish</x:t>
        </x:is>
      </x:c>
      <x:c r="C243" s="2">
        <x:v>27</x:v>
      </x:c>
      <x:c r="D243" s="8">
        <x:v>0.6025</x:v>
      </x:c>
      <x:c r="E243" s="8">
        <x:v>0.922</x:v>
      </x:c>
      <x:c r="F243" s="8" t="inlineStr">
        <x:is>
          <x:t xml:space="preserve">No split</x:t>
        </x:is>
      </x:c>
      <x:c r="G243" s="8">
        <x:f>SUMIFS($D$6:$D$681,$A$6:$A$681,A243)</x:f>
        <x:v>0.6025</x:v>
      </x:c>
      <x:c r="H243" s="9">
        <x:f>1</x:f>
        <x:v>1</x:v>
      </x:c>
      <x:c r="I243" s="2" t="inlineStr">
        <x:is>
          <x:t xml:space="preserve">High</x:t>
        </x:is>
      </x:c>
      <x:c r="J243" s="2" t="inlineStr">
        <x:is>
          <x:t xml:space="preserve">The named genus includes demersal L. equula (28 cm TL), while the historical ponyfish assemblage includes some nocturnal midwater migrants. Exclusive 27 is not established without resolving genus usage and species composition;24 is a concrete competing pool. No split is required.</x:t>
        </x:is>
      </x:c>
      <x:c r="K243" s="1"/>
    </x:row>
    <x:row r="244" ht="96" customHeight="1">
      <x:c r="A244" s="2" t="inlineStr">
        <x:is>
          <x:t xml:space="preserve">Lepidocybium flavobrunneum</x:t>
        </x:is>
      </x:c>
      <x:c r="B244" s="2" t="inlineStr">
        <x:is>
          <x:t xml:space="preserve">Juvenile large pelagic fish</x:t>
        </x:is>
      </x:c>
      <x:c r="C244" s="2">
        <x:v>30</x:v>
      </x:c>
      <x:c r="D244" s="8">
        <x:v>0.7384</x:v>
      </x:c>
      <x:c r="E244" s="8">
        <x:v>0.289</x:v>
      </x:c>
      <x:c r="F244" s="8" t="inlineStr">
        <x:is>
          <x:t xml:space="preserve">Model catch</x:t>
        </x:is>
      </x:c>
      <x:c r="G244" s="8">
        <x:f>SUMIFS($D$6:$D$681,$A$6:$A$681,A244)</x:f>
        <x:v>0.8205</x:v>
      </x:c>
      <x:c r="H244" s="9">
        <x:f>D244/G244</x:f>
        <x:v>0.8999390615478366</x:v>
      </x:c>
      <x:c r="I244" s="2" t="inlineStr">
        <x:is>
          <x:t xml:space="preserve">Medium</x:t>
        </x:is>
      </x:c>
      <x:c r="J244" s="2" t="inlineStr">
        <x:is>
          <x:t xml:space="preserve">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x:t>
        </x:is>
      </x:c>
      <x:c r="K244" s="1"/>
    </x:row>
    <x:row r="245" ht="96" customHeight="1">
      <x:c r="A245" s="2" t="inlineStr">
        <x:is>
          <x:t xml:space="preserve">Lepidocybium flavobrunneum</x:t>
        </x:is>
      </x:c>
      <x:c r="B245" s="2" t="inlineStr">
        <x:is>
          <x:t xml:space="preserve">Pelagic fish (&gt; 30 cm)</x:t>
        </x:is>
      </x:c>
      <x:c r="C245" s="2">
        <x:v>31</x:v>
      </x:c>
      <x:c r="D245" s="8">
        <x:v>0.0821</x:v>
      </x:c>
      <x:c r="E245" s="8">
        <x:v>0.079</x:v>
      </x:c>
      <x:c r="F245" s="8" t="inlineStr">
        <x:is>
          <x:t xml:space="preserve">Model catch</x:t>
        </x:is>
      </x:c>
      <x:c r="G245" s="8">
        <x:f>SUMIFS($D$6:$D$681,$A$6:$A$681,A245)</x:f>
        <x:v>0.8205</x:v>
      </x:c>
      <x:c r="H245" s="9">
        <x:f>D245/G245</x:f>
        <x:v>0.10006093845216332</x:v>
      </x:c>
      <x:c r="I245" s="2" t="inlineStr">
        <x:is>
          <x:t xml:space="preserve">Medium</x:t>
        </x:is>
      </x:c>
      <x:c r="J245" s="2" t="inlineStr">
        <x:is>
          <x:t xml:space="preserve">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x:t>
        </x:is>
      </x:c>
      <x:c r="K245" s="1"/>
    </x:row>
    <x:row r="246" ht="96" customHeight="1">
      <x:c r="A246" s="2" t="inlineStr">
        <x:is>
          <x:t xml:space="preserve">Lethrinidae</x:t>
        </x:is>
      </x:c>
      <x:c r="B246" s="2" t="inlineStr">
        <x:is>
          <x:t xml:space="preserve">Demesral fish (≤ 30 cm)</x:t>
        </x:is>
      </x:c>
      <x:c r="C246" s="2">
        <x:v>24</x:v>
      </x:c>
      <x:c r="D246" s="8">
        <x:v>0.1788</x:v>
      </x:c>
      <x:c r="E246" s="8">
        <x:v>0.316</x:v>
      </x:c>
      <x:c r="F246" s="8" t="inlineStr">
        <x:is>
          <x:t xml:space="preserve">Model catch</x:t>
        </x:is>
      </x:c>
      <x:c r="G246" s="8">
        <x:f>SUMIFS($D$6:$D$681,$A$6:$A$681,A246)</x:f>
        <x:v>0.5305</x:v>
      </x:c>
      <x:c r="H246" s="9">
        <x:f>D246/G246</x:f>
        <x:v>0.33704052780395855</x:v>
      </x:c>
      <x:c r="I246" s="2" t="inlineStr">
        <x:is>
          <x:t xml:space="preserve">Medium</x:t>
        </x:is>
      </x:c>
      <x:c r="J246" s="2" t="inlineStr">
        <x:is>
          <x:t xml:space="preserve">Regional bottom-associated Lethrinus variegatus (20 cm TL) and L. miniatus (90 cm TL) require small plus large demersal pools. Emperors are excluded from source-era Lutjanidae snappers; species composition remains assumed. Source-model catch proportions supply an assumed fixed 1950–2019/all-bases mixture; they are not observed taxon-specific catches.</x:t>
        </x:is>
      </x:c>
      <x:c r="K246" s="1"/>
    </x:row>
    <x:row r="247" ht="96" customHeight="1">
      <x:c r="A247" s="2" t="inlineStr">
        <x:is>
          <x:t xml:space="preserve">Lethrinidae</x:t>
        </x:is>
      </x:c>
      <x:c r="B247" s="2" t="inlineStr">
        <x:is>
          <x:t xml:space="preserve">Juvenile demersal fish (&gt; 30 cm)</x:t>
        </x:is>
      </x:c>
      <x:c r="C247" s="2">
        <x:v>25</x:v>
      </x:c>
      <x:c r="D247" s="8">
        <x:v>0.3165</x:v>
      </x:c>
      <x:c r="E247" s="8">
        <x:v>0.143</x:v>
      </x:c>
      <x:c r="F247" s="8" t="inlineStr">
        <x:is>
          <x:t xml:space="preserve">Model catch</x:t>
        </x:is>
      </x:c>
      <x:c r="G247" s="8">
        <x:f>SUMIFS($D$6:$D$681,$A$6:$A$681,A247)</x:f>
        <x:v>0.5305</x:v>
      </x:c>
      <x:c r="H247" s="9">
        <x:f>D247/G247</x:f>
        <x:v>0.5966069745523092</x:v>
      </x:c>
      <x:c r="I247" s="2" t="inlineStr">
        <x:is>
          <x:t xml:space="preserve">Medium</x:t>
        </x:is>
      </x:c>
      <x:c r="J247" s="2" t="inlineStr">
        <x:is>
          <x:t xml:space="preserve">Regional bottom-associated Lethrinus variegatus (20 cm TL) and L. miniatus (90 cm TL) require small plus large demersal pools. Emperors are excluded from source-era Lutjanidae snappers; species composition remains assumed. Source-model catch proportions supply an assumed fixed 1950–2019/all-bases mixture; they are not observed taxon-specific catches.</x:t>
        </x:is>
      </x:c>
      <x:c r="K247" s="1"/>
    </x:row>
    <x:row r="248" ht="96" customHeight="1">
      <x:c r="A248" s="2" t="inlineStr">
        <x:is>
          <x:t xml:space="preserve">Lethrinidae</x:t>
        </x:is>
      </x:c>
      <x:c r="B248" s="2" t="inlineStr">
        <x:is>
          <x:t xml:space="preserve">Adult demersal fish (&gt; 30 cm)</x:t>
        </x:is>
      </x:c>
      <x:c r="C248" s="2">
        <x:v>26</x:v>
      </x:c>
      <x:c r="D248" s="8">
        <x:v>0.0352</x:v>
      </x:c>
      <x:c r="E248" s="8">
        <x:v>0.021</x:v>
      </x:c>
      <x:c r="F248" s="8" t="inlineStr">
        <x:is>
          <x:t xml:space="preserve">Model catch</x:t>
        </x:is>
      </x:c>
      <x:c r="G248" s="8">
        <x:f>SUMIFS($D$6:$D$681,$A$6:$A$681,A248)</x:f>
        <x:v>0.5305</x:v>
      </x:c>
      <x:c r="H248" s="9">
        <x:f>D248/G248</x:f>
        <x:v>0.06635249764373234</x:v>
      </x:c>
      <x:c r="I248" s="2" t="inlineStr">
        <x:is>
          <x:t xml:space="preserve">Medium</x:t>
        </x:is>
      </x:c>
      <x:c r="J248" s="2" t="inlineStr">
        <x:is>
          <x:t xml:space="preserve">Regional bottom-associated Lethrinus variegatus (20 cm TL) and L. miniatus (90 cm TL) require small plus large demersal pools. Emperors are excluded from source-era Lutjanidae snappers; species composition remains assumed. Source-model catch proportions supply an assumed fixed 1950–2019/all-bases mixture; they are not observed taxon-specific catches.</x:t>
        </x:is>
      </x:c>
      <x:c r="K248" s="1"/>
    </x:row>
    <x:row r="249" ht="96" customHeight="1">
      <x:c r="A249" s="2" t="inlineStr">
        <x:is>
          <x:t xml:space="preserve">Lethrinus</x:t>
        </x:is>
      </x:c>
      <x:c r="B249" s="2" t="inlineStr">
        <x:is>
          <x:t xml:space="preserve">Demesral fish (≤ 30 cm)</x:t>
        </x:is>
      </x:c>
      <x:c r="C249" s="2">
        <x:v>24</x:v>
      </x:c>
      <x:c r="D249" s="8">
        <x:v>0.1788</x:v>
      </x:c>
      <x:c r="E249" s="8">
        <x:v>0.316</x:v>
      </x:c>
      <x:c r="F249" s="8" t="inlineStr">
        <x:is>
          <x:t xml:space="preserve">Model catch</x:t>
        </x:is>
      </x:c>
      <x:c r="G249" s="8">
        <x:f>SUMIFS($D$6:$D$681,$A$6:$A$681,A249)</x:f>
        <x:v>0.5305</x:v>
      </x:c>
      <x:c r="H249" s="9">
        <x:f>D249/G249</x:f>
        <x:v>0.33704052780395855</x:v>
      </x:c>
      <x:c r="I249" s="2" t="inlineStr">
        <x:is>
          <x:t xml:space="preserve">Medium</x:t>
        </x:is>
      </x:c>
      <x:c r="J249" s="2" t="inlineStr">
        <x:is>
          <x:t xml:space="preserve">Regional bottom-associated L. variegatus (20 cm TL) and L. miniatus (90 cm TL) establish both species-size classes. The genus-level reporting mixture is represented by both residual demersal classes as an assumption. Source-model catch proportions supply an assumed fixed 1950–2019/all-bases mixture; they are not observed taxon-specific catches.</x:t>
        </x:is>
      </x:c>
      <x:c r="K249" s="1"/>
    </x:row>
    <x:row r="250" ht="96" customHeight="1">
      <x:c r="A250" s="2" t="inlineStr">
        <x:is>
          <x:t xml:space="preserve">Lethrinus</x:t>
        </x:is>
      </x:c>
      <x:c r="B250" s="2" t="inlineStr">
        <x:is>
          <x:t xml:space="preserve">Juvenile demersal fish (&gt; 30 cm)</x:t>
        </x:is>
      </x:c>
      <x:c r="C250" s="2">
        <x:v>25</x:v>
      </x:c>
      <x:c r="D250" s="8">
        <x:v>0.3165</x:v>
      </x:c>
      <x:c r="E250" s="8">
        <x:v>0.143</x:v>
      </x:c>
      <x:c r="F250" s="8" t="inlineStr">
        <x:is>
          <x:t xml:space="preserve">Model catch</x:t>
        </x:is>
      </x:c>
      <x:c r="G250" s="8">
        <x:f>SUMIFS($D$6:$D$681,$A$6:$A$681,A250)</x:f>
        <x:v>0.5305</x:v>
      </x:c>
      <x:c r="H250" s="9">
        <x:f>D250/G250</x:f>
        <x:v>0.5966069745523092</x:v>
      </x:c>
      <x:c r="I250" s="2" t="inlineStr">
        <x:is>
          <x:t xml:space="preserve">Medium</x:t>
        </x:is>
      </x:c>
      <x:c r="J250" s="2" t="inlineStr">
        <x:is>
          <x:t xml:space="preserve">Regional bottom-associated L. variegatus (20 cm TL) and L. miniatus (90 cm TL) establish both species-size classes. The genus-level reporting mixture is represented by both residual demersal classes as an assumption. Source-model catch proportions supply an assumed fixed 1950–2019/all-bases mixture; they are not observed taxon-specific catches.</x:t>
        </x:is>
      </x:c>
      <x:c r="K250" s="1"/>
    </x:row>
    <x:row r="251" ht="96" customHeight="1">
      <x:c r="A251" s="2" t="inlineStr">
        <x:is>
          <x:t xml:space="preserve">Lethrinus</x:t>
        </x:is>
      </x:c>
      <x:c r="B251" s="2" t="inlineStr">
        <x:is>
          <x:t xml:space="preserve">Adult demersal fish (&gt; 30 cm)</x:t>
        </x:is>
      </x:c>
      <x:c r="C251" s="2">
        <x:v>26</x:v>
      </x:c>
      <x:c r="D251" s="8">
        <x:v>0.0352</x:v>
      </x:c>
      <x:c r="E251" s="8">
        <x:v>0.021</x:v>
      </x:c>
      <x:c r="F251" s="8" t="inlineStr">
        <x:is>
          <x:t xml:space="preserve">Model catch</x:t>
        </x:is>
      </x:c>
      <x:c r="G251" s="8">
        <x:f>SUMIFS($D$6:$D$681,$A$6:$A$681,A251)</x:f>
        <x:v>0.5305</x:v>
      </x:c>
      <x:c r="H251" s="9">
        <x:f>D251/G251</x:f>
        <x:v>0.06635249764373234</x:v>
      </x:c>
      <x:c r="I251" s="2" t="inlineStr">
        <x:is>
          <x:t xml:space="preserve">Medium</x:t>
        </x:is>
      </x:c>
      <x:c r="J251" s="2" t="inlineStr">
        <x:is>
          <x:t xml:space="preserve">Regional bottom-associated L. variegatus (20 cm TL) and L. miniatus (90 cm TL) establish both species-size classes. The genus-level reporting mixture is represented by both residual demersal classes as an assumption. Source-model catch proportions supply an assumed fixed 1950–2019/all-bases mixture; they are not observed taxon-specific catches.</x:t>
        </x:is>
      </x:c>
      <x:c r="K251" s="1"/>
    </x:row>
    <x:row r="252" ht="112" customHeight="1">
      <x:c r="A252" s="2" t="inlineStr">
        <x:is>
          <x:t xml:space="preserve">Lethrinus miniatus</x:t>
        </x:is>
      </x:c>
      <x:c r="B252" s="2" t="inlineStr">
        <x:is>
          <x:t xml:space="preserve">Juvenile demersal fish (&gt; 30 cm)</x:t>
        </x:is>
      </x:c>
      <x:c r="C252" s="2">
        <x:v>25</x:v>
      </x:c>
      <x:c r="D252" s="8">
        <x:v>0.3165</x:v>
      </x:c>
      <x:c r="E252" s="8">
        <x:v>0.143</x:v>
      </x:c>
      <x:c r="F252" s="8" t="inlineStr">
        <x:is>
          <x:t xml:space="preserve">Model catch</x:t>
        </x:is>
      </x:c>
      <x:c r="G252" s="8">
        <x:f>SUMIFS($D$6:$D$681,$A$6:$A$681,A252)</x:f>
        <x:v>0.3517</x:v>
      </x:c>
      <x:c r="H252" s="9">
        <x:f>D252/G252</x:f>
        <x:v>0.8999147000284333</x:v>
      </x:c>
      <x:c r="I252" s="2" t="inlineStr">
        <x:is>
          <x:t xml:space="preserve">Medium</x:t>
        </x:is>
      </x:c>
      <x:c r="J252" s="2" t="inlineStr">
        <x:is>
          <x:t xml:space="preserve">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x:t>
        </x:is>
      </x:c>
      <x:c r="K252" s="1"/>
    </x:row>
    <x:row r="253" ht="112" customHeight="1">
      <x:c r="A253" s="2" t="inlineStr">
        <x:is>
          <x:t xml:space="preserve">Lethrinus miniatus</x:t>
        </x:is>
      </x:c>
      <x:c r="B253" s="2" t="inlineStr">
        <x:is>
          <x:t xml:space="preserve">Adult demersal fish (&gt; 30 cm)</x:t>
        </x:is>
      </x:c>
      <x:c r="C253" s="2">
        <x:v>26</x:v>
      </x:c>
      <x:c r="D253" s="8">
        <x:v>0.0352</x:v>
      </x:c>
      <x:c r="E253" s="8">
        <x:v>0.021</x:v>
      </x:c>
      <x:c r="F253" s="8" t="inlineStr">
        <x:is>
          <x:t xml:space="preserve">Model catch</x:t>
        </x:is>
      </x:c>
      <x:c r="G253" s="8">
        <x:f>SUMIFS($D$6:$D$681,$A$6:$A$681,A253)</x:f>
        <x:v>0.3517</x:v>
      </x:c>
      <x:c r="H253" s="9">
        <x:f>D253/G253</x:f>
        <x:v>0.1000852999715667</x:v>
      </x:c>
      <x:c r="I253" s="2" t="inlineStr">
        <x:is>
          <x:t xml:space="preserve">Medium</x:t>
        </x:is>
      </x:c>
      <x:c r="J253" s="2" t="inlineStr">
        <x:is>
          <x:t xml:space="preserve">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x:t>
        </x:is>
      </x:c>
      <x:c r="K253" s="1"/>
    </x:row>
    <x:row r="254" ht="80" customHeight="1">
      <x:c r="A254" s="2" t="inlineStr">
        <x:is>
          <x:t xml:space="preserve">Lobotes surinamensis</x:t>
        </x:is>
      </x:c>
      <x:c r="B254" s="2" t="inlineStr">
        <x:is>
          <x:t xml:space="preserve">Benthopelagic fish</x:t>
        </x:is>
      </x:c>
      <x:c r="C254" s="2">
        <x:v>27</x:v>
      </x:c>
      <x:c r="D254" s="8">
        <x:v>0.6025</x:v>
      </x:c>
      <x:c r="E254" s="8">
        <x:v>0.922</x:v>
      </x:c>
      <x:c r="F254" s="8" t="inlineStr">
        <x:is>
          <x:t xml:space="preserve">No split</x:t>
        </x:is>
      </x:c>
      <x:c r="G254" s="8">
        <x:f>SUMIFS($D$6:$D$681,$A$6:$A$681,A254)</x:f>
        <x:v>0.6025</x:v>
      </x:c>
      <x:c r="H254" s="9">
        <x:f>1</x:f>
        <x:v>1</x:v>
      </x:c>
      <x:c r="I254" s="2" t="inlineStr">
        <x:is>
          <x:t xml:space="preserve">High</x:t>
        </x:is>
      </x:c>
      <x:c r="J254" s="2" t="inlineStr">
        <x:is>
          <x:t xml:space="preserve">The 110 cm TL tripletail is documented benthopelagic with estuarine and surface-associated behavior. Biology supports the appendix large component, but final 27's parameters track the small component and do not independently establish large-species inclusion. No split is required.</x:t>
        </x:is>
      </x:c>
      <x:c r="K254" s="1"/>
    </x:row>
    <x:row r="255" ht="72" customHeight="1">
      <x:c r="A255" s="2" t="inlineStr">
        <x:is>
          <x:t xml:space="preserve">Loliginidae</x:t>
        </x:is>
      </x:c>
      <x:c r="B255" s="2" t="inlineStr">
        <x:is>
          <x:t xml:space="preserve">Cephalopods</x:t>
        </x:is>
      </x:c>
      <x:c r="C255" s="2">
        <x:v>12</x:v>
      </x:c>
      <x:c r="D255" s="8">
        <x:v>0.2733</x:v>
      </x:c>
      <x:c r="E255" s="8">
        <x:v>0.68</x:v>
      </x:c>
      <x:c r="F255" s="8" t="inlineStr">
        <x:is>
          <x:t xml:space="preserve">No split</x:t>
        </x:is>
      </x:c>
      <x:c r="G255" s="8">
        <x:f>SUMIFS($D$6:$D$681,$A$6:$A$681,A255)</x:f>
        <x:v>0.2733</x:v>
      </x:c>
      <x:c r="H255" s="9">
        <x:f>1</x:f>
        <x:v>1</x:v>
      </x:c>
      <x:c r="I255" s="2" t="inlineStr">
        <x:is>
          <x:t xml:space="preserve">High</x:t>
        </x:is>
      </x:c>
      <x:c r="J255" s="2" t="inlineStr">
        <x:is>
          <x:t xml:space="preserve">Loliginidae is within Cephalopoda. Biomass estimation from two dominant Loligo species does not restrict the source group to those species or to squid. No split is required.</x:t>
        </x:is>
      </x:c>
      <x:c r="K255" s="1"/>
    </x:row>
    <x:row r="256" ht="72" customHeight="1">
      <x:c r="A256" s="2" t="inlineStr">
        <x:is>
          <x:t xml:space="preserve">Lutjanidae</x:t>
        </x:is>
      </x:c>
      <x:c r="B256" s="2" t="inlineStr">
        <x:is>
          <x:t xml:space="preserve">Snappers</x:t>
        </x:is>
      </x:c>
      <x:c r="C256" s="2">
        <x:v>19</x:v>
      </x:c>
      <x:c r="D256" s="8">
        <x:v>0.0011</x:v>
      </x:c>
      <x:c r="E256" s="8">
        <x:v>0.0013</x:v>
      </x:c>
      <x:c r="F256" s="8" t="inlineStr">
        <x:is>
          <x:t xml:space="preserve">No split</x:t>
        </x:is>
      </x:c>
      <x:c r="G256" s="8">
        <x:f>SUMIFS($D$6:$D$681,$A$6:$A$681,A256)</x:f>
        <x:v>0.0011</x:v>
      </x:c>
      <x:c r="H256" s="9">
        <x:f>1</x:f>
        <x:v>1</x:v>
      </x:c>
      <x:c r="I256" s="2" t="inlineStr">
        <x:is>
          <x:t xml:space="preserve">High</x:t>
        </x:is>
      </x:c>
      <x:c r="J256" s="2" t="inlineStr">
        <x:is>
          <x:t xml:space="preserve">Lutjanidae is within Lutjanidae, expressly used as the source group boundary. Parameter species are examples, not a closed list; residual size/habitat pools do not compete. No split is required.</x:t>
        </x:is>
      </x:c>
      <x:c r="K256" s="1"/>
    </x:row>
    <x:row r="257" ht="72" customHeight="1">
      <x:c r="A257" s="2" t="inlineStr">
        <x:is>
          <x:t xml:space="preserve">Lutjanus</x:t>
        </x:is>
      </x:c>
      <x:c r="B257" s="2" t="inlineStr">
        <x:is>
          <x:t xml:space="preserve">Snappers</x:t>
        </x:is>
      </x:c>
      <x:c r="C257" s="2">
        <x:v>19</x:v>
      </x:c>
      <x:c r="D257" s="8">
        <x:v>0.0011</x:v>
      </x:c>
      <x:c r="E257" s="8">
        <x:v>0.0013</x:v>
      </x:c>
      <x:c r="F257" s="8" t="inlineStr">
        <x:is>
          <x:t xml:space="preserve">No split</x:t>
        </x:is>
      </x:c>
      <x:c r="G257" s="8">
        <x:f>SUMIFS($D$6:$D$681,$A$6:$A$681,A257)</x:f>
        <x:v>0.0011</x:v>
      </x:c>
      <x:c r="H257" s="9">
        <x:f>1</x:f>
        <x:v>1</x:v>
      </x:c>
      <x:c r="I257" s="2" t="inlineStr">
        <x:is>
          <x:t xml:space="preserve">High</x:t>
        </x:is>
      </x:c>
      <x:c r="J257" s="2" t="inlineStr">
        <x:is>
          <x:t xml:space="preserve">Lutjanus is within Lutjanidae, expressly used as the source group boundary. Parameter species are examples, not a closed list; residual size/habitat pools do not compete. No split is required.</x:t>
        </x:is>
      </x:c>
      <x:c r="K257" s="1"/>
    </x:row>
    <x:row r="258" ht="72" customHeight="1">
      <x:c r="A258" s="2" t="inlineStr">
        <x:is>
          <x:t xml:space="preserve">Lutjanus argentimaculatus</x:t>
        </x:is>
      </x:c>
      <x:c r="B258" s="2" t="inlineStr">
        <x:is>
          <x:t xml:space="preserve">Snappers</x:t>
        </x:is>
      </x:c>
      <x:c r="C258" s="2">
        <x:v>19</x:v>
      </x:c>
      <x:c r="D258" s="8">
        <x:v>0.0011</x:v>
      </x:c>
      <x:c r="E258" s="8">
        <x:v>0.0013</x:v>
      </x:c>
      <x:c r="F258" s="8" t="inlineStr">
        <x:is>
          <x:t xml:space="preserve">No split</x:t>
        </x:is>
      </x:c>
      <x:c r="G258" s="8">
        <x:f>SUMIFS($D$6:$D$681,$A$6:$A$681,A258)</x:f>
        <x:v>0.0011</x:v>
      </x:c>
      <x:c r="H258" s="9">
        <x:f>1</x:f>
        <x:v>1</x:v>
      </x:c>
      <x:c r="I258" s="2" t="inlineStr">
        <x:is>
          <x:t xml:space="preserve">High</x:t>
        </x:is>
      </x:c>
      <x:c r="J258" s="2" t="inlineStr">
        <x:is>
          <x:t xml:space="preserve">Lutjanus argentimaculatus is within Lutjanidae, expressly used as the source group boundary. Parameter species are examples, not a closed list; residual size/habitat pools do not compete. No split is required.</x:t>
        </x:is>
      </x:c>
      <x:c r="K258" s="1"/>
    </x:row>
    <x:row r="259" ht="72" customHeight="1">
      <x:c r="A259" s="2" t="inlineStr">
        <x:is>
          <x:t xml:space="preserve">Lutjanus bohar</x:t>
        </x:is>
      </x:c>
      <x:c r="B259" s="2" t="inlineStr">
        <x:is>
          <x:t xml:space="preserve">Snappers</x:t>
        </x:is>
      </x:c>
      <x:c r="C259" s="2">
        <x:v>19</x:v>
      </x:c>
      <x:c r="D259" s="8">
        <x:v>0.0011</x:v>
      </x:c>
      <x:c r="E259" s="8">
        <x:v>0.0013</x:v>
      </x:c>
      <x:c r="F259" s="8" t="inlineStr">
        <x:is>
          <x:t xml:space="preserve">No split</x:t>
        </x:is>
      </x:c>
      <x:c r="G259" s="8">
        <x:f>SUMIFS($D$6:$D$681,$A$6:$A$681,A259)</x:f>
        <x:v>0.0011</x:v>
      </x:c>
      <x:c r="H259" s="9">
        <x:f>1</x:f>
        <x:v>1</x:v>
      </x:c>
      <x:c r="I259" s="2" t="inlineStr">
        <x:is>
          <x:t xml:space="preserve">High</x:t>
        </x:is>
      </x:c>
      <x:c r="J259" s="2" t="inlineStr">
        <x:is>
          <x:t xml:space="preserve">Lutjanus bohar is within Lutjanidae, expressly used as the source group boundary. Parameter species are examples, not a closed list; residual size/habitat pools do not compete. No split is required.</x:t>
        </x:is>
      </x:c>
      <x:c r="K259" s="1"/>
    </x:row>
    <x:row r="260" ht="72" customHeight="1">
      <x:c r="A260" s="2" t="inlineStr">
        <x:is>
          <x:t xml:space="preserve">Lutjanus johnii</x:t>
        </x:is>
      </x:c>
      <x:c r="B260" s="2" t="inlineStr">
        <x:is>
          <x:t xml:space="preserve">Snappers</x:t>
        </x:is>
      </x:c>
      <x:c r="C260" s="2">
        <x:v>19</x:v>
      </x:c>
      <x:c r="D260" s="8">
        <x:v>0.0011</x:v>
      </x:c>
      <x:c r="E260" s="8">
        <x:v>0.0013</x:v>
      </x:c>
      <x:c r="F260" s="8" t="inlineStr">
        <x:is>
          <x:t xml:space="preserve">No split</x:t>
        </x:is>
      </x:c>
      <x:c r="G260" s="8">
        <x:f>SUMIFS($D$6:$D$681,$A$6:$A$681,A260)</x:f>
        <x:v>0.0011</x:v>
      </x:c>
      <x:c r="H260" s="9">
        <x:f>1</x:f>
        <x:v>1</x:v>
      </x:c>
      <x:c r="I260" s="2" t="inlineStr">
        <x:is>
          <x:t xml:space="preserve">High</x:t>
        </x:is>
      </x:c>
      <x:c r="J260" s="2" t="inlineStr">
        <x:is>
          <x:t xml:space="preserve">Lutjanus johnii is within Lutjanidae, expressly used as the source group boundary. Parameter species are examples, not a closed list; residual size/habitat pools do not compete. No split is required.</x:t>
        </x:is>
      </x:c>
      <x:c r="K260" s="1"/>
    </x:row>
    <x:row r="261" ht="72" customHeight="1">
      <x:c r="A261" s="2" t="inlineStr">
        <x:is>
          <x:t xml:space="preserve">Lutjanus malabaricus</x:t>
        </x:is>
      </x:c>
      <x:c r="B261" s="2" t="inlineStr">
        <x:is>
          <x:t xml:space="preserve">Snappers</x:t>
        </x:is>
      </x:c>
      <x:c r="C261" s="2">
        <x:v>19</x:v>
      </x:c>
      <x:c r="D261" s="8">
        <x:v>0.0011</x:v>
      </x:c>
      <x:c r="E261" s="8">
        <x:v>0.0013</x:v>
      </x:c>
      <x:c r="F261" s="8" t="inlineStr">
        <x:is>
          <x:t xml:space="preserve">No split</x:t>
        </x:is>
      </x:c>
      <x:c r="G261" s="8">
        <x:f>SUMIFS($D$6:$D$681,$A$6:$A$681,A261)</x:f>
        <x:v>0.0011</x:v>
      </x:c>
      <x:c r="H261" s="9">
        <x:f>1</x:f>
        <x:v>1</x:v>
      </x:c>
      <x:c r="I261" s="2" t="inlineStr">
        <x:is>
          <x:t xml:space="preserve">High</x:t>
        </x:is>
      </x:c>
      <x:c r="J261" s="2" t="inlineStr">
        <x:is>
          <x:t xml:space="preserve">Lutjanus malabaricus is within Lutjanidae, expressly used as the source group boundary. Parameter species are examples, not a closed list; residual size/habitat pools do not compete. No split is required.</x:t>
        </x:is>
      </x:c>
      <x:c r="K261" s="1"/>
    </x:row>
    <x:row r="262" ht="72" customHeight="1">
      <x:c r="A262" s="2" t="inlineStr">
        <x:is>
          <x:t xml:space="preserve">Lutjanus quinquelineatus</x:t>
        </x:is>
      </x:c>
      <x:c r="B262" s="2" t="inlineStr">
        <x:is>
          <x:t xml:space="preserve">Snappers</x:t>
        </x:is>
      </x:c>
      <x:c r="C262" s="2">
        <x:v>19</x:v>
      </x:c>
      <x:c r="D262" s="8">
        <x:v>0.0011</x:v>
      </x:c>
      <x:c r="E262" s="8">
        <x:v>0.0013</x:v>
      </x:c>
      <x:c r="F262" s="8" t="inlineStr">
        <x:is>
          <x:t xml:space="preserve">No split</x:t>
        </x:is>
      </x:c>
      <x:c r="G262" s="8">
        <x:f>SUMIFS($D$6:$D$681,$A$6:$A$681,A262)</x:f>
        <x:v>0.0011</x:v>
      </x:c>
      <x:c r="H262" s="9">
        <x:f>1</x:f>
        <x:v>1</x:v>
      </x:c>
      <x:c r="I262" s="2" t="inlineStr">
        <x:is>
          <x:t xml:space="preserve">High</x:t>
        </x:is>
      </x:c>
      <x:c r="J262" s="2" t="inlineStr">
        <x:is>
          <x:t xml:space="preserve">Lutjanus quinquelineatus is within Lutjanidae, expressly used as the source group boundary. Parameter species are examples, not a closed list; residual size/habitat pools do not compete. No split is required.</x:t>
        </x:is>
      </x:c>
      <x:c r="K262" s="1"/>
    </x:row>
    <x:row r="263" ht="72" customHeight="1">
      <x:c r="A263" s="2" t="inlineStr">
        <x:is>
          <x:t xml:space="preserve">Macolor</x:t>
        </x:is>
      </x:c>
      <x:c r="B263" s="2" t="inlineStr">
        <x:is>
          <x:t xml:space="preserve">Snappers</x:t>
        </x:is>
      </x:c>
      <x:c r="C263" s="2">
        <x:v>19</x:v>
      </x:c>
      <x:c r="D263" s="8">
        <x:v>0.0011</x:v>
      </x:c>
      <x:c r="E263" s="8">
        <x:v>0.0013</x:v>
      </x:c>
      <x:c r="F263" s="8" t="inlineStr">
        <x:is>
          <x:t xml:space="preserve">No split</x:t>
        </x:is>
      </x:c>
      <x:c r="G263" s="8">
        <x:f>SUMIFS($D$6:$D$681,$A$6:$A$681,A263)</x:f>
        <x:v>0.0011</x:v>
      </x:c>
      <x:c r="H263" s="9">
        <x:f>1</x:f>
        <x:v>1</x:v>
      </x:c>
      <x:c r="I263" s="2" t="inlineStr">
        <x:is>
          <x:t xml:space="preserve">High</x:t>
        </x:is>
      </x:c>
      <x:c r="J263" s="2" t="inlineStr">
        <x:is>
          <x:t xml:space="preserve">Macolor is within Lutjanidae, expressly used as the source group boundary. Parameter species are examples, not a closed list; residual size/habitat pools do not compete. No split is required.</x:t>
        </x:is>
      </x:c>
      <x:c r="K263" s="1"/>
    </x:row>
    <x:row r="264" ht="72" customHeight="1">
      <x:c r="A264" s="2" t="inlineStr">
        <x:is>
          <x:t xml:space="preserve">Magallana gigas</x:t>
        </x:is>
      </x:c>
      <x:c r="B264" s="2" t="inlineStr">
        <x:is>
          <x:t xml:space="preserve">Non-ceph molluscs</x:t>
        </x:is>
      </x:c>
      <x:c r="C264" s="2">
        <x:v>8</x:v>
      </x:c>
      <x:c r="D264" s="8">
        <x:v>0.7623</x:v>
      </x:c>
      <x:c r="E264" s="8">
        <x:v>2.68</x:v>
      </x:c>
      <x:c r="F264" s="8" t="inlineStr">
        <x:is>
          <x:t xml:space="preserve">No split</x:t>
        </x:is>
      </x:c>
      <x:c r="G264" s="8">
        <x:f>SUMIFS($D$6:$D$681,$A$6:$A$681,A264)</x:f>
        <x:v>0.7623</x:v>
      </x:c>
      <x:c r="H264" s="9">
        <x:f>1</x:f>
        <x:v>1</x:v>
      </x:c>
      <x:c r="I264" s="2" t="inlineStr">
        <x:is>
          <x:t xml:space="preserve">High</x:t>
        </x:is>
      </x:c>
      <x:c r="J264" s="2" t="inlineStr">
        <x:is>
          <x:t xml:space="preserve">Magallana gigas is a non-cephalopod mollusc. The source derives this catch by removing Cephalopoda from mollusc catch; no competing mollusc compartment contains this lineage. No split is required.</x:t>
        </x:is>
      </x:c>
      <x:c r="K264" s="1"/>
    </x:row>
    <x:row r="265" ht="80" customHeight="1">
      <x:c r="A265" s="2" t="inlineStr">
        <x:is>
          <x:t xml:space="preserve">Makaira</x:t>
        </x:is>
      </x:c>
      <x:c r="B265" s="2" t="inlineStr">
        <x:is>
          <x:t xml:space="preserve">Juvenile large pelagic fish</x:t>
        </x:is>
      </x:c>
      <x:c r="C265" s="2">
        <x:v>30</x:v>
      </x:c>
      <x:c r="D265" s="8">
        <x:v>0.7384</x:v>
      </x:c>
      <x:c r="E265" s="8">
        <x:v>0.289</x:v>
      </x:c>
      <x:c r="F265" s="8" t="inlineStr">
        <x:is>
          <x:t xml:space="preserve">Model catch</x:t>
        </x:is>
      </x:c>
      <x:c r="G265" s="8">
        <x:f>SUMIFS($D$6:$D$681,$A$6:$A$681,A265)</x:f>
        <x:v>0.8205</x:v>
      </x:c>
      <x:c r="H265" s="9">
        <x:f>D265/G265</x:f>
        <x:v>0.8999390615478366</x:v>
      </x:c>
      <x:c r="I265" s="2" t="inlineStr">
        <x:is>
          <x:t xml:space="preserve">Medium</x:t>
        </x:is>
      </x:c>
      <x:c r="J265" s="2" t="inlineStr">
        <x:is>
          <x:t xml:space="preserve">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x:t>
        </x:is>
      </x:c>
      <x:c r="K265" s="1"/>
    </x:row>
    <x:row r="266" ht="80" customHeight="1">
      <x:c r="A266" s="2" t="inlineStr">
        <x:is>
          <x:t xml:space="preserve">Makaira</x:t>
        </x:is>
      </x:c>
      <x:c r="B266" s="2" t="inlineStr">
        <x:is>
          <x:t xml:space="preserve">Pelagic fish (&gt; 30 cm)</x:t>
        </x:is>
      </x:c>
      <x:c r="C266" s="2">
        <x:v>31</x:v>
      </x:c>
      <x:c r="D266" s="8">
        <x:v>0.0821</x:v>
      </x:c>
      <x:c r="E266" s="8">
        <x:v>0.079</x:v>
      </x:c>
      <x:c r="F266" s="8" t="inlineStr">
        <x:is>
          <x:t xml:space="preserve">Model catch</x:t>
        </x:is>
      </x:c>
      <x:c r="G266" s="8">
        <x:f>SUMIFS($D$6:$D$681,$A$6:$A$681,A266)</x:f>
        <x:v>0.8205</x:v>
      </x:c>
      <x:c r="H266" s="9">
        <x:f>D266/G266</x:f>
        <x:v>0.10006093845216332</x:v>
      </x:c>
      <x:c r="I266" s="2" t="inlineStr">
        <x:is>
          <x:t xml:space="preserve">Medium</x:t>
        </x:is>
      </x:c>
      <x:c r="J266" s="2" t="inlineStr">
        <x:is>
          <x:t xml:space="preserve">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x:t>
        </x:is>
      </x:c>
      <x:c r="K266" s="1"/>
    </x:row>
    <x:row r="267" ht="96" customHeight="1">
      <x:c r="A267" s="2" t="inlineStr">
        <x:is>
          <x:t xml:space="preserve">Makaira mazara</x:t>
        </x:is>
      </x:c>
      <x:c r="B267" s="2" t="inlineStr">
        <x:is>
          <x:t xml:space="preserve">Juvenile large pelagic fish</x:t>
        </x:is>
      </x:c>
      <x:c r="C267" s="2">
        <x:v>30</x:v>
      </x:c>
      <x:c r="D267" s="8">
        <x:v>0.7384</x:v>
      </x:c>
      <x:c r="E267" s="8">
        <x:v>0.289</x:v>
      </x:c>
      <x:c r="F267" s="8" t="inlineStr">
        <x:is>
          <x:t xml:space="preserve">Model catch</x:t>
        </x:is>
      </x:c>
      <x:c r="G267" s="8">
        <x:f>SUMIFS($D$6:$D$681,$A$6:$A$681,A267)</x:f>
        <x:v>0.8205</x:v>
      </x:c>
      <x:c r="H267" s="9">
        <x:f>D267/G267</x:f>
        <x:v>0.8999390615478366</x:v>
      </x:c>
      <x:c r="I267" s="2" t="inlineStr">
        <x:is>
          <x:t xml:space="preserve">Medium</x:t>
        </x:is>
      </x:c>
      <x:c r="J267" s="2" t="inlineStr">
        <x:is>
          <x:t xml:space="preserve">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x:t>
        </x:is>
      </x:c>
      <x:c r="K267" s="1"/>
    </x:row>
    <x:row r="268" ht="96" customHeight="1">
      <x:c r="A268" s="2" t="inlineStr">
        <x:is>
          <x:t xml:space="preserve">Makaira mazara</x:t>
        </x:is>
      </x:c>
      <x:c r="B268" s="2" t="inlineStr">
        <x:is>
          <x:t xml:space="preserve">Pelagic fish (&gt; 30 cm)</x:t>
        </x:is>
      </x:c>
      <x:c r="C268" s="2">
        <x:v>31</x:v>
      </x:c>
      <x:c r="D268" s="8">
        <x:v>0.0821</x:v>
      </x:c>
      <x:c r="E268" s="8">
        <x:v>0.079</x:v>
      </x:c>
      <x:c r="F268" s="8" t="inlineStr">
        <x:is>
          <x:t xml:space="preserve">Model catch</x:t>
        </x:is>
      </x:c>
      <x:c r="G268" s="8">
        <x:f>SUMIFS($D$6:$D$681,$A$6:$A$681,A268)</x:f>
        <x:v>0.8205</x:v>
      </x:c>
      <x:c r="H268" s="9">
        <x:f>D268/G268</x:f>
        <x:v>0.10006093845216332</x:v>
      </x:c>
      <x:c r="I268" s="2" t="inlineStr">
        <x:is>
          <x:t xml:space="preserve">Medium</x:t>
        </x:is>
      </x:c>
      <x:c r="J268" s="2" t="inlineStr">
        <x:is>
          <x:t xml:space="preserve">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x:t>
        </x:is>
      </x:c>
      <x:c r="K268" s="1"/>
    </x:row>
    <x:row r="269" ht="80" customHeight="1">
      <x:c r="A269" s="2" t="inlineStr">
        <x:is>
          <x:t xml:space="preserve">Malacostraca</x:t>
        </x:is>
      </x:c>
      <x:c r="B269" s="2" t="inlineStr">
        <x:is>
          <x:t xml:space="preserve">Zooplankton</x:t>
        </x:is>
      </x:c>
      <x:c r="C269" s="2">
        <x:v>3</x:v>
      </x:c>
      <x:c r="D269" s="8">
        <x:v>0.0948</x:v>
      </x:c>
      <x:c r="E269" s="8">
        <x:v>9.0</x:v>
      </x:c>
      <x:c r="F269" s="8" t="inlineStr">
        <x:is>
          <x:t xml:space="preserve">Model catch</x:t>
        </x:is>
      </x:c>
      <x:c r="G269" s="8">
        <x:f>SUMIFS($D$6:$D$681,$A$6:$A$681,A269)</x:f>
        <x:v>1.0124</x:v>
      </x:c>
      <x:c r="H269" s="9">
        <x:f>D269/G269</x:f>
        <x:v>0.09363887791386803</x:v>
      </x:c>
      <x:c r="I269" s="2" t="inlineStr">
        <x:is>
          <x:t xml:space="preserve">Medium</x:t>
        </x:is>
      </x:c>
      <x:c r="J269"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269" s="1"/>
    </x:row>
    <x:row r="270" ht="80" customHeight="1">
      <x:c r="A270" s="2" t="inlineStr">
        <x:is>
          <x:t xml:space="preserve">Malacostraca</x:t>
        </x:is>
      </x:c>
      <x:c r="B270" s="2" t="inlineStr">
        <x:is>
          <x:t xml:space="preserve">Benthic crustaceans</x:t>
        </x:is>
      </x:c>
      <x:c r="C270" s="2">
        <x:v>7</x:v>
      </x:c>
      <x:c r="D270" s="8">
        <x:v>0.0391</x:v>
      </x:c>
      <x:c r="E270" s="8">
        <x:v>1.43</x:v>
      </x:c>
      <x:c r="F270" s="8" t="inlineStr">
        <x:is>
          <x:t xml:space="preserve">Model catch</x:t>
        </x:is>
      </x:c>
      <x:c r="G270" s="8">
        <x:f>SUMIFS($D$6:$D$681,$A$6:$A$681,A270)</x:f>
        <x:v>1.0124</x:v>
      </x:c>
      <x:c r="H270" s="9">
        <x:f>D270/G270</x:f>
        <x:v>0.03862109838008693</x:v>
      </x:c>
      <x:c r="I270" s="2" t="inlineStr">
        <x:is>
          <x:t xml:space="preserve">Medium</x:t>
        </x:is>
      </x:c>
      <x:c r="J270"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270" s="1"/>
    </x:row>
    <x:row r="271" ht="80" customHeight="1">
      <x:c r="A271" s="2" t="inlineStr">
        <x:is>
          <x:t xml:space="preserve">Malacostraca</x:t>
        </x:is>
      </x:c>
      <x:c r="B271" s="2" t="inlineStr">
        <x:is>
          <x:t xml:space="preserve">Shrimps</x:t>
        </x:is>
      </x:c>
      <x:c r="C271" s="2">
        <x:v>10</x:v>
      </x:c>
      <x:c r="D271" s="8">
        <x:v>0.6788</x:v>
      </x:c>
      <x:c r="E271" s="8">
        <x:v>0.194</x:v>
      </x:c>
      <x:c r="F271" s="8" t="inlineStr">
        <x:is>
          <x:t xml:space="preserve">Model catch</x:t>
        </x:is>
      </x:c>
      <x:c r="G271" s="8">
        <x:f>SUMIFS($D$6:$D$681,$A$6:$A$681,A271)</x:f>
        <x:v>1.0124</x:v>
      </x:c>
      <x:c r="H271" s="9">
        <x:f>D271/G271</x:f>
        <x:v>0.6704859739233504</x:v>
      </x:c>
      <x:c r="I271" s="2" t="inlineStr">
        <x:is>
          <x:t xml:space="preserve">Medium</x:t>
        </x:is>
      </x:c>
      <x:c r="J271"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271" s="1"/>
    </x:row>
    <x:row r="272" ht="80" customHeight="1">
      <x:c r="A272" s="2" t="inlineStr">
        <x:is>
          <x:t xml:space="preserve">Malacostraca</x:t>
        </x:is>
      </x:c>
      <x:c r="B272" s="2" t="inlineStr">
        <x:is>
          <x:t xml:space="preserve">Crabs</x:t>
        </x:is>
      </x:c>
      <x:c r="C272" s="2">
        <x:v>11</x:v>
      </x:c>
      <x:c r="D272" s="8">
        <x:v>0.1997</x:v>
      </x:c>
      <x:c r="E272" s="8">
        <x:v>0.368</x:v>
      </x:c>
      <x:c r="F272" s="8" t="inlineStr">
        <x:is>
          <x:t xml:space="preserve">Model catch</x:t>
        </x:is>
      </x:c>
      <x:c r="G272" s="8">
        <x:f>SUMIFS($D$6:$D$681,$A$6:$A$681,A272)</x:f>
        <x:v>1.0124</x:v>
      </x:c>
      <x:c r="H272" s="9">
        <x:f>D272/G272</x:f>
        <x:v>0.1972540497826946</x:v>
      </x:c>
      <x:c r="I272" s="2" t="inlineStr">
        <x:is>
          <x:t xml:space="preserve">Medium</x:t>
        </x:is>
      </x:c>
      <x:c r="J272"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272" s="1"/>
    </x:row>
    <x:row r="273" ht="105" customHeight="1">
      <x:c r="A273" s="2" t="inlineStr">
        <x:is>
          <x:t xml:space="preserve">Marine finfishes not identified</x:t>
        </x:is>
      </x:c>
      <x:c r="B273" s="2" t="inlineStr">
        <x:is>
          <x:t xml:space="preserve">Threadfin bream (nemipterids)</x:t>
        </x:is>
      </x:c>
      <x:c r="C273" s="2">
        <x:v>13</x:v>
      </x:c>
      <x:c r="D273" s="8">
        <x:v>0.657</x:v>
      </x:c>
      <x:c r="E273" s="8">
        <x:v>0.26</x:v>
      </x:c>
      <x:c r="F273" s="8" t="inlineStr">
        <x:is>
          <x:t xml:space="preserve">Model catch</x:t>
        </x:is>
      </x:c>
      <x:c r="G273" s="8">
        <x:f>SUMIFS($D$6:$D$681,$A$6:$A$681,A273)</x:f>
        <x:v>5.6331</x:v>
      </x:c>
      <x:c r="H273" s="9">
        <x:f>D273/G273</x:f>
        <x:v>0.11663204984821858</x:v>
      </x:c>
      <x:c r="I273" s="2" t="inlineStr">
        <x:is>
          <x:t xml:space="preserve">Medium</x:t>
        </x:is>
      </x:c>
      <x:c r="J273"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73" s="1"/>
    </x:row>
    <x:row r="274" ht="105" customHeight="1">
      <x:c r="A274" s="2" t="inlineStr">
        <x:is>
          <x:t xml:space="preserve">Marine finfishes not identified</x:t>
        </x:is>
      </x:c>
      <x:c r="B274" s="2" t="inlineStr">
        <x:is>
          <x:t xml:space="preserve">Bigeyes (priacanthids)</x:t>
        </x:is>
      </x:c>
      <x:c r="C274" s="2">
        <x:v>14</x:v>
      </x:c>
      <x:c r="D274" s="8">
        <x:v>0.206</x:v>
      </x:c>
      <x:c r="E274" s="8">
        <x:v>0.13</x:v>
      </x:c>
      <x:c r="F274" s="8" t="inlineStr">
        <x:is>
          <x:t xml:space="preserve">Model catch</x:t>
        </x:is>
      </x:c>
      <x:c r="G274" s="8">
        <x:f>SUMIFS($D$6:$D$681,$A$6:$A$681,A274)</x:f>
        <x:v>5.6331</x:v>
      </x:c>
      <x:c r="H274" s="9">
        <x:f>D274/G274</x:f>
        <x:v>0.03656956205286609</x:v>
      </x:c>
      <x:c r="I274" s="2" t="inlineStr">
        <x:is>
          <x:t xml:space="preserve">Medium</x:t>
        </x:is>
      </x:c>
      <x:c r="J274"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74" s="1"/>
    </x:row>
    <x:row r="275" ht="105" customHeight="1">
      <x:c r="A275" s="2" t="inlineStr">
        <x:is>
          <x:t xml:space="preserve">Marine finfishes not identified</x:t>
        </x:is>
      </x:c>
      <x:c r="B275" s="2" t="inlineStr">
        <x:is>
          <x:t xml:space="preserve">Lizard fish (synodontids)</x:t>
        </x:is>
      </x:c>
      <x:c r="C275" s="2">
        <x:v>15</x:v>
      </x:c>
      <x:c r="D275" s="8">
        <x:v>0.0234</x:v>
      </x:c>
      <x:c r="E275" s="8">
        <x:v>0.032</x:v>
      </x:c>
      <x:c r="F275" s="8" t="inlineStr">
        <x:is>
          <x:t xml:space="preserve">Model catch</x:t>
        </x:is>
      </x:c>
      <x:c r="G275" s="8">
        <x:f>SUMIFS($D$6:$D$681,$A$6:$A$681,A275)</x:f>
        <x:v>5.6331</x:v>
      </x:c>
      <x:c r="H275" s="9">
        <x:f>D275/G275</x:f>
        <x:v>0.004154018213772168</x:v>
      </x:c>
      <x:c r="I275" s="2" t="inlineStr">
        <x:is>
          <x:t xml:space="preserve">Medium</x:t>
        </x:is>
      </x:c>
      <x:c r="J275"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75" s="1"/>
    </x:row>
    <x:row r="276" ht="105" customHeight="1">
      <x:c r="A276" s="2" t="inlineStr">
        <x:is>
          <x:t xml:space="preserve">Marine finfishes not identified</x:t>
        </x:is>
      </x:c>
      <x:c r="B276" s="2" t="inlineStr">
        <x:is>
          <x:t xml:space="preserve">Juvenile Hairtail (trichiurids)</x:t>
        </x:is>
      </x:c>
      <x:c r="C276" s="2">
        <x:v>16</x:v>
      </x:c>
      <x:c r="D276" s="8">
        <x:v>0.028</x:v>
      </x:c>
      <x:c r="E276" s="8">
        <x:v>0.015</x:v>
      </x:c>
      <x:c r="F276" s="8" t="inlineStr">
        <x:is>
          <x:t xml:space="preserve">Model catch</x:t>
        </x:is>
      </x:c>
      <x:c r="G276" s="8">
        <x:f>SUMIFS($D$6:$D$681,$A$6:$A$681,A276)</x:f>
        <x:v>5.6331</x:v>
      </x:c>
      <x:c r="H276" s="9">
        <x:f>D276/G276</x:f>
        <x:v>0.004970620084855586</x:v>
      </x:c>
      <x:c r="I276" s="2" t="inlineStr">
        <x:is>
          <x:t xml:space="preserve">Medium</x:t>
        </x:is>
      </x:c>
      <x:c r="J276"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76" s="1"/>
    </x:row>
    <x:row r="277" ht="105" customHeight="1">
      <x:c r="A277" s="2" t="inlineStr">
        <x:is>
          <x:t xml:space="preserve">Marine finfishes not identified</x:t>
        </x:is>
      </x:c>
      <x:c r="B277" s="2" t="inlineStr">
        <x:is>
          <x:t xml:space="preserve">Adult hairtail (trichiurids)</x:t>
        </x:is>
      </x:c>
      <x:c r="C277" s="2">
        <x:v>17</x:v>
      </x:c>
      <x:c r="D277" s="8">
        <x:v>0.0072</x:v>
      </x:c>
      <x:c r="E277" s="8">
        <x:v>0.012</x:v>
      </x:c>
      <x:c r="F277" s="8" t="inlineStr">
        <x:is>
          <x:t xml:space="preserve">Model catch</x:t>
        </x:is>
      </x:c>
      <x:c r="G277" s="8">
        <x:f>SUMIFS($D$6:$D$681,$A$6:$A$681,A277)</x:f>
        <x:v>5.6331</x:v>
      </x:c>
      <x:c r="H277" s="9">
        <x:f>D277/G277</x:f>
        <x:v>0.0012781594503914365</x:v>
      </x:c>
      <x:c r="I277" s="2" t="inlineStr">
        <x:is>
          <x:t xml:space="preserve">Medium</x:t>
        </x:is>
      </x:c>
      <x:c r="J277"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77" s="1"/>
    </x:row>
    <x:row r="278" ht="105" customHeight="1">
      <x:c r="A278" s="2" t="inlineStr">
        <x:is>
          <x:t xml:space="preserve">Marine finfishes not identified</x:t>
        </x:is>
      </x:c>
      <x:c r="B278" s="2" t="inlineStr">
        <x:is>
          <x:t xml:space="preserve">Pomfret (stromateids)</x:t>
        </x:is>
      </x:c>
      <x:c r="C278" s="2">
        <x:v>18</x:v>
      </x:c>
      <x:c r="D278" s="8">
        <x:v>0.239</x:v>
      </x:c>
      <x:c r="E278" s="8">
        <x:v>0.108</x:v>
      </x:c>
      <x:c r="F278" s="8" t="inlineStr">
        <x:is>
          <x:t xml:space="preserve">Model catch</x:t>
        </x:is>
      </x:c>
      <x:c r="G278" s="8">
        <x:f>SUMIFS($D$6:$D$681,$A$6:$A$681,A278)</x:f>
        <x:v>5.6331</x:v>
      </x:c>
      <x:c r="H278" s="9">
        <x:f>D278/G278</x:f>
        <x:v>0.042427792867160176</x:v>
      </x:c>
      <x:c r="I278" s="2" t="inlineStr">
        <x:is>
          <x:t xml:space="preserve">Medium</x:t>
        </x:is>
      </x:c>
      <x:c r="J278"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78" s="1"/>
    </x:row>
    <x:row r="279" ht="105" customHeight="1">
      <x:c r="A279" s="2" t="inlineStr">
        <x:is>
          <x:t xml:space="preserve">Marine finfishes not identified</x:t>
        </x:is>
      </x:c>
      <x:c r="B279" s="2" t="inlineStr">
        <x:is>
          <x:t xml:space="preserve">Snappers</x:t>
        </x:is>
      </x:c>
      <x:c r="C279" s="2">
        <x:v>19</x:v>
      </x:c>
      <x:c r="D279" s="8">
        <x:v>0.0011</x:v>
      </x:c>
      <x:c r="E279" s="8">
        <x:v>0.0013</x:v>
      </x:c>
      <x:c r="F279" s="8" t="inlineStr">
        <x:is>
          <x:t xml:space="preserve">Model catch</x:t>
        </x:is>
      </x:c>
      <x:c r="G279" s="8">
        <x:f>SUMIFS($D$6:$D$681,$A$6:$A$681,A279)</x:f>
        <x:v>5.6331</x:v>
      </x:c>
      <x:c r="H279" s="9">
        <x:f>D279/G279</x:f>
        <x:v>0.00019527436047646945</x:v>
      </x:c>
      <x:c r="I279" s="2" t="inlineStr">
        <x:is>
          <x:t xml:space="preserve">Medium</x:t>
        </x:is>
      </x:c>
      <x:c r="J279"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79" s="1"/>
    </x:row>
    <x:row r="280" ht="105" customHeight="1">
      <x:c r="A280" s="2" t="inlineStr">
        <x:is>
          <x:t xml:space="preserve">Marine finfishes not identified</x:t>
        </x:is>
      </x:c>
      <x:c r="B280" s="2" t="inlineStr">
        <x:is>
          <x:t xml:space="preserve">Adult groupers</x:t>
        </x:is>
      </x:c>
      <x:c r="C280" s="2">
        <x:v>20</x:v>
      </x:c>
      <x:c r="D280" s="8">
        <x:v>0.0089</x:v>
      </x:c>
      <x:c r="E280" s="8">
        <x:v>0.0064</x:v>
      </x:c>
      <x:c r="F280" s="8" t="inlineStr">
        <x:is>
          <x:t xml:space="preserve">Model catch</x:t>
        </x:is>
      </x:c>
      <x:c r="G280" s="8">
        <x:f>SUMIFS($D$6:$D$681,$A$6:$A$681,A280)</x:f>
        <x:v>5.6331</x:v>
      </x:c>
      <x:c r="H280" s="9">
        <x:f>D280/G280</x:f>
        <x:v>0.0015799470984005255</x:v>
      </x:c>
      <x:c r="I280" s="2" t="inlineStr">
        <x:is>
          <x:t xml:space="preserve">Medium</x:t>
        </x:is>
      </x:c>
      <x:c r="J280"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0" s="1"/>
    </x:row>
    <x:row r="281" ht="105" customHeight="1">
      <x:c r="A281" s="2" t="inlineStr">
        <x:is>
          <x:t xml:space="preserve">Marine finfishes not identified</x:t>
        </x:is>
      </x:c>
      <x:c r="B281" s="2" t="inlineStr">
        <x:is>
          <x:t xml:space="preserve">Croakers (≤ 30 cm)</x:t>
        </x:is>
      </x:c>
      <x:c r="C281" s="2">
        <x:v>21</x:v>
      </x:c>
      <x:c r="D281" s="8">
        <x:v>0.0351</x:v>
      </x:c>
      <x:c r="E281" s="8">
        <x:v>0.07</x:v>
      </x:c>
      <x:c r="F281" s="8" t="inlineStr">
        <x:is>
          <x:t xml:space="preserve">Model catch</x:t>
        </x:is>
      </x:c>
      <x:c r="G281" s="8">
        <x:f>SUMIFS($D$6:$D$681,$A$6:$A$681,A281)</x:f>
        <x:v>5.6331</x:v>
      </x:c>
      <x:c r="H281" s="9">
        <x:f>D281/G281</x:f>
        <x:v>0.006231027320658253</x:v>
      </x:c>
      <x:c r="I281" s="2" t="inlineStr">
        <x:is>
          <x:t xml:space="preserve">Medium</x:t>
        </x:is>
      </x:c>
      <x:c r="J281"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1" s="1"/>
    </x:row>
    <x:row r="282" ht="105" customHeight="1">
      <x:c r="A282" s="2" t="inlineStr">
        <x:is>
          <x:t xml:space="preserve">Marine finfishes not identified</x:t>
        </x:is>
      </x:c>
      <x:c r="B282" s="2" t="inlineStr">
        <x:is>
          <x:t xml:space="preserve">Juvenile large croakers</x:t>
        </x:is>
      </x:c>
      <x:c r="C282" s="2">
        <x:v>22</x:v>
      </x:c>
      <x:c r="D282" s="8">
        <x:v>0.071</x:v>
      </x:c>
      <x:c r="E282" s="8">
        <x:v>0.04</x:v>
      </x:c>
      <x:c r="F282" s="8" t="inlineStr">
        <x:is>
          <x:t xml:space="preserve">Model catch</x:t>
        </x:is>
      </x:c>
      <x:c r="G282" s="8">
        <x:f>SUMIFS($D$6:$D$681,$A$6:$A$681,A282)</x:f>
        <x:v>5.6331</x:v>
      </x:c>
      <x:c r="H282" s="9">
        <x:f>D282/G282</x:f>
        <x:v>0.012604072358026663</x:v>
      </x:c>
      <x:c r="I282" s="2" t="inlineStr">
        <x:is>
          <x:t xml:space="preserve">Medium</x:t>
        </x:is>
      </x:c>
      <x:c r="J282"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2" s="1"/>
    </x:row>
    <x:row r="283" ht="105" customHeight="1">
      <x:c r="A283" s="2" t="inlineStr">
        <x:is>
          <x:t xml:space="preserve">Marine finfishes not identified</x:t>
        </x:is>
      </x:c>
      <x:c r="B283" s="2" t="inlineStr">
        <x:is>
          <x:t xml:space="preserve">Croakers (&gt; 30 cm)</x:t>
        </x:is>
      </x:c>
      <x:c r="C283" s="2">
        <x:v>23</x:v>
      </x:c>
      <x:c r="D283" s="8">
        <x:v>0.008</x:v>
      </x:c>
      <x:c r="E283" s="8">
        <x:v>0.0094</x:v>
      </x:c>
      <x:c r="F283" s="8" t="inlineStr">
        <x:is>
          <x:t xml:space="preserve">Model catch</x:t>
        </x:is>
      </x:c>
      <x:c r="G283" s="8">
        <x:f>SUMIFS($D$6:$D$681,$A$6:$A$681,A283)</x:f>
        <x:v>5.6331</x:v>
      </x:c>
      <x:c r="H283" s="9">
        <x:f>D283/G283</x:f>
        <x:v>0.001420177167101596</x:v>
      </x:c>
      <x:c r="I283" s="2" t="inlineStr">
        <x:is>
          <x:t xml:space="preserve">Medium</x:t>
        </x:is>
      </x:c>
      <x:c r="J283"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3" s="1"/>
    </x:row>
    <x:row r="284" ht="105" customHeight="1">
      <x:c r="A284" s="2" t="inlineStr">
        <x:is>
          <x:t xml:space="preserve">Marine finfishes not identified</x:t>
        </x:is>
      </x:c>
      <x:c r="B284" s="2" t="inlineStr">
        <x:is>
          <x:t xml:space="preserve">Demesral fish (≤ 30 cm)</x:t>
        </x:is>
      </x:c>
      <x:c r="C284" s="2">
        <x:v>24</x:v>
      </x:c>
      <x:c r="D284" s="8">
        <x:v>0.1788</x:v>
      </x:c>
      <x:c r="E284" s="8">
        <x:v>0.316</x:v>
      </x:c>
      <x:c r="F284" s="8" t="inlineStr">
        <x:is>
          <x:t xml:space="preserve">Model catch</x:t>
        </x:is>
      </x:c>
      <x:c r="G284" s="8">
        <x:f>SUMIFS($D$6:$D$681,$A$6:$A$681,A284)</x:f>
        <x:v>5.6331</x:v>
      </x:c>
      <x:c r="H284" s="9">
        <x:f>D284/G284</x:f>
        <x:v>0.03174095968472067</x:v>
      </x:c>
      <x:c r="I284" s="2" t="inlineStr">
        <x:is>
          <x:t xml:space="preserve">Medium</x:t>
        </x:is>
      </x:c>
      <x:c r="J284"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4" s="1"/>
    </x:row>
    <x:row r="285" ht="105" customHeight="1">
      <x:c r="A285" s="2" t="inlineStr">
        <x:is>
          <x:t xml:space="preserve">Marine finfishes not identified</x:t>
        </x:is>
      </x:c>
      <x:c r="B285" s="2" t="inlineStr">
        <x:is>
          <x:t xml:space="preserve">Juvenile demersal fish (&gt; 30 cm)</x:t>
        </x:is>
      </x:c>
      <x:c r="C285" s="2">
        <x:v>25</x:v>
      </x:c>
      <x:c r="D285" s="8">
        <x:v>0.3165</x:v>
      </x:c>
      <x:c r="E285" s="8">
        <x:v>0.143</x:v>
      </x:c>
      <x:c r="F285" s="8" t="inlineStr">
        <x:is>
          <x:t xml:space="preserve">Model catch</x:t>
        </x:is>
      </x:c>
      <x:c r="G285" s="8">
        <x:f>SUMIFS($D$6:$D$681,$A$6:$A$681,A285)</x:f>
        <x:v>5.6331</x:v>
      </x:c>
      <x:c r="H285" s="9">
        <x:f>D285/G285</x:f>
        <x:v>0.05618575917345689</x:v>
      </x:c>
      <x:c r="I285" s="2" t="inlineStr">
        <x:is>
          <x:t xml:space="preserve">Medium</x:t>
        </x:is>
      </x:c>
      <x:c r="J285"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5" s="1"/>
    </x:row>
    <x:row r="286" ht="105" customHeight="1">
      <x:c r="A286" s="2" t="inlineStr">
        <x:is>
          <x:t xml:space="preserve">Marine finfishes not identified</x:t>
        </x:is>
      </x:c>
      <x:c r="B286" s="2" t="inlineStr">
        <x:is>
          <x:t xml:space="preserve">Adult demersal fish (&gt; 30 cm)</x:t>
        </x:is>
      </x:c>
      <x:c r="C286" s="2">
        <x:v>26</x:v>
      </x:c>
      <x:c r="D286" s="8">
        <x:v>0.0352</x:v>
      </x:c>
      <x:c r="E286" s="8">
        <x:v>0.021</x:v>
      </x:c>
      <x:c r="F286" s="8" t="inlineStr">
        <x:is>
          <x:t xml:space="preserve">Model catch</x:t>
        </x:is>
      </x:c>
      <x:c r="G286" s="8">
        <x:f>SUMIFS($D$6:$D$681,$A$6:$A$681,A286)</x:f>
        <x:v>5.6331</x:v>
      </x:c>
      <x:c r="H286" s="9">
        <x:f>D286/G286</x:f>
        <x:v>0.006248779535247022</x:v>
      </x:c>
      <x:c r="I286" s="2" t="inlineStr">
        <x:is>
          <x:t xml:space="preserve">Medium</x:t>
        </x:is>
      </x:c>
      <x:c r="J286"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6" s="1"/>
    </x:row>
    <x:row r="287" ht="105" customHeight="1">
      <x:c r="A287" s="2" t="inlineStr">
        <x:is>
          <x:t xml:space="preserve">Marine finfishes not identified</x:t>
        </x:is>
      </x:c>
      <x:c r="B287" s="2" t="inlineStr">
        <x:is>
          <x:t xml:space="preserve">Benthopelagic fish</x:t>
        </x:is>
      </x:c>
      <x:c r="C287" s="2">
        <x:v>27</x:v>
      </x:c>
      <x:c r="D287" s="8">
        <x:v>0.6025</x:v>
      </x:c>
      <x:c r="E287" s="8">
        <x:v>0.922</x:v>
      </x:c>
      <x:c r="F287" s="8" t="inlineStr">
        <x:is>
          <x:t xml:space="preserve">Model catch</x:t>
        </x:is>
      </x:c>
      <x:c r="G287" s="8">
        <x:f>SUMIFS($D$6:$D$681,$A$6:$A$681,A287)</x:f>
        <x:v>5.6331</x:v>
      </x:c>
      <x:c r="H287" s="9">
        <x:f>D287/G287</x:f>
        <x:v>0.10695709289733896</x:v>
      </x:c>
      <x:c r="I287" s="2" t="inlineStr">
        <x:is>
          <x:t xml:space="preserve">Medium</x:t>
        </x:is>
      </x:c>
      <x:c r="J287"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7" s="1"/>
    </x:row>
    <x:row r="288" ht="105" customHeight="1">
      <x:c r="A288" s="2" t="inlineStr">
        <x:is>
          <x:t xml:space="preserve">Marine finfishes not identified</x:t>
        </x:is>
      </x:c>
      <x:c r="B288" s="2" t="inlineStr">
        <x:is>
          <x:t xml:space="preserve">Melon seed</x:t>
        </x:is>
      </x:c>
      <x:c r="C288" s="2">
        <x:v>28</x:v>
      </x:c>
      <x:c r="D288" s="8">
        <x:v>0.0499</x:v>
      </x:c>
      <x:c r="E288" s="8">
        <x:v>0.07</x:v>
      </x:c>
      <x:c r="F288" s="8" t="inlineStr">
        <x:is>
          <x:t xml:space="preserve">Model catch</x:t>
        </x:is>
      </x:c>
      <x:c r="G288" s="8">
        <x:f>SUMIFS($D$6:$D$681,$A$6:$A$681,A288)</x:f>
        <x:v>5.6331</x:v>
      </x:c>
      <x:c r="H288" s="9">
        <x:f>D288/G288</x:f>
        <x:v>0.008858355079796204</x:v>
      </x:c>
      <x:c r="I288" s="2" t="inlineStr">
        <x:is>
          <x:t xml:space="preserve">Medium</x:t>
        </x:is>
      </x:c>
      <x:c r="J288"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8" s="1"/>
    </x:row>
    <x:row r="289" ht="105" customHeight="1">
      <x:c r="A289" s="2" t="inlineStr">
        <x:is>
          <x:t xml:space="preserve">Marine finfishes not identified</x:t>
        </x:is>
      </x:c>
      <x:c r="B289" s="2" t="inlineStr">
        <x:is>
          <x:t xml:space="preserve">Pelagic fish (≤ 30 cm)</x:t>
        </x:is>
      </x:c>
      <x:c r="C289" s="2">
        <x:v>29</x:v>
      </x:c>
      <x:c r="D289" s="8">
        <x:v>2.345</x:v>
      </x:c>
      <x:c r="E289" s="8">
        <x:v>1.772</x:v>
      </x:c>
      <x:c r="F289" s="8" t="inlineStr">
        <x:is>
          <x:t xml:space="preserve">Model catch</x:t>
        </x:is>
      </x:c>
      <x:c r="G289" s="8">
        <x:f>SUMIFS($D$6:$D$681,$A$6:$A$681,A289)</x:f>
        <x:v>5.6331</x:v>
      </x:c>
      <x:c r="H289" s="9">
        <x:f>D289/G289</x:f>
        <x:v>0.41628943210665537</x:v>
      </x:c>
      <x:c r="I289" s="2" t="inlineStr">
        <x:is>
          <x:t xml:space="preserve">Medium</x:t>
        </x:is>
      </x:c>
      <x:c r="J289"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89" s="1"/>
    </x:row>
    <x:row r="290" ht="105" customHeight="1">
      <x:c r="A290" s="2" t="inlineStr">
        <x:is>
          <x:t xml:space="preserve">Marine finfishes not identified</x:t>
        </x:is>
      </x:c>
      <x:c r="B290" s="2" t="inlineStr">
        <x:is>
          <x:t xml:space="preserve">Juvenile large pelagic fish</x:t>
        </x:is>
      </x:c>
      <x:c r="C290" s="2">
        <x:v>30</x:v>
      </x:c>
      <x:c r="D290" s="8">
        <x:v>0.7384</x:v>
      </x:c>
      <x:c r="E290" s="8">
        <x:v>0.289</x:v>
      </x:c>
      <x:c r="F290" s="8" t="inlineStr">
        <x:is>
          <x:t xml:space="preserve">Model catch</x:t>
        </x:is>
      </x:c>
      <x:c r="G290" s="8">
        <x:f>SUMIFS($D$6:$D$681,$A$6:$A$681,A290)</x:f>
        <x:v>5.6331</x:v>
      </x:c>
      <x:c r="H290" s="9">
        <x:f>D290/G290</x:f>
        <x:v>0.1310823525234773</x:v>
      </x:c>
      <x:c r="I290" s="2" t="inlineStr">
        <x:is>
          <x:t xml:space="preserve">Medium</x:t>
        </x:is>
      </x:c>
      <x:c r="J290"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90" s="1"/>
    </x:row>
    <x:row r="291" ht="105" customHeight="1">
      <x:c r="A291" s="2" t="inlineStr">
        <x:is>
          <x:t xml:space="preserve">Marine finfishes not identified</x:t>
        </x:is>
      </x:c>
      <x:c r="B291" s="2" t="inlineStr">
        <x:is>
          <x:t xml:space="preserve">Pelagic fish (&gt; 30 cm)</x:t>
        </x:is>
      </x:c>
      <x:c r="C291" s="2">
        <x:v>31</x:v>
      </x:c>
      <x:c r="D291" s="8">
        <x:v>0.0821</x:v>
      </x:c>
      <x:c r="E291" s="8">
        <x:v>0.079</x:v>
      </x:c>
      <x:c r="F291" s="8" t="inlineStr">
        <x:is>
          <x:t xml:space="preserve">Model catch</x:t>
        </x:is>
      </x:c>
      <x:c r="G291" s="8">
        <x:f>SUMIFS($D$6:$D$681,$A$6:$A$681,A291)</x:f>
        <x:v>5.6331</x:v>
      </x:c>
      <x:c r="H291" s="9">
        <x:f>D291/G291</x:f>
        <x:v>0.01457456817738013</x:v>
      </x:c>
      <x:c r="I291" s="2" t="inlineStr">
        <x:is>
          <x:t xml:space="preserve">Medium</x:t>
        </x:is>
      </x:c>
      <x:c r="J291"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91" s="1"/>
    </x:row>
    <x:row r="292" ht="96" customHeight="1">
      <x:c r="A292" s="2"/>
      <x:c r="B292" s="2"/>
      <x:c r="C292" s="2"/>
      <x:c r="D292" s="8"/>
      <x:c r="E292" s="8"/>
      <x:c r="F292" s="8"/>
      <x:c r="G292" s="8"/>
      <x:c r="H292" s="9"/>
      <x:c r="I292" s="2"/>
      <x:c r="J292" s="2"/>
      <x:c r="K292" s="1"/>
    </x:row>
    <x:row r="293" ht="96" customHeight="1">
      <x:c r="A293" s="2"/>
      <x:c r="B293" s="2"/>
      <x:c r="C293" s="2"/>
      <x:c r="D293" s="8"/>
      <x:c r="E293" s="8"/>
      <x:c r="F293" s="8"/>
      <x:c r="G293" s="8"/>
      <x:c r="H293" s="9"/>
      <x:c r="I293" s="2"/>
      <x:c r="J293" s="2"/>
      <x:c r="K293" s="1"/>
    </x:row>
    <x:row r="294" ht="105" customHeight="1">
      <x:c r="A294" s="2" t="inlineStr">
        <x:is>
          <x:t xml:space="preserve">Marine fishes not identified</x:t>
        </x:is>
      </x:c>
      <x:c r="B294" s="2" t="inlineStr">
        <x:is>
          <x:t xml:space="preserve">Threadfin bream (nemipterids)</x:t>
        </x:is>
      </x:c>
      <x:c r="C294" s="2">
        <x:v>13</x:v>
      </x:c>
      <x:c r="D294" s="8">
        <x:v>0.657</x:v>
      </x:c>
      <x:c r="E294" s="8">
        <x:v>0.26</x:v>
      </x:c>
      <x:c r="F294" s="8" t="inlineStr">
        <x:is>
          <x:t xml:space="preserve">Model catch</x:t>
        </x:is>
      </x:c>
      <x:c r="G294" s="8">
        <x:f>SUMIFS($D$6:$D$681,$A$6:$A$681,A294)</x:f>
        <x:v>5.6331</x:v>
      </x:c>
      <x:c r="H294" s="9">
        <x:f>D294/G294</x:f>
        <x:v>0.11663204984821858</x:v>
      </x:c>
      <x:c r="I294" s="2" t="inlineStr">
        <x:is>
          <x:t xml:space="preserve">Medium</x:t>
        </x:is>
      </x:c>
      <x:c r="J294"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94" s="1"/>
    </x:row>
    <x:row r="295" ht="105" customHeight="1">
      <x:c r="A295" s="2" t="inlineStr">
        <x:is>
          <x:t xml:space="preserve">Marine fishes not identified</x:t>
        </x:is>
      </x:c>
      <x:c r="B295" s="2" t="inlineStr">
        <x:is>
          <x:t xml:space="preserve">Bigeyes (priacanthids)</x:t>
        </x:is>
      </x:c>
      <x:c r="C295" s="2">
        <x:v>14</x:v>
      </x:c>
      <x:c r="D295" s="8">
        <x:v>0.206</x:v>
      </x:c>
      <x:c r="E295" s="8">
        <x:v>0.13</x:v>
      </x:c>
      <x:c r="F295" s="8" t="inlineStr">
        <x:is>
          <x:t xml:space="preserve">Model catch</x:t>
        </x:is>
      </x:c>
      <x:c r="G295" s="8">
        <x:f>SUMIFS($D$6:$D$681,$A$6:$A$681,A295)</x:f>
        <x:v>5.6331</x:v>
      </x:c>
      <x:c r="H295" s="9">
        <x:f>D295/G295</x:f>
        <x:v>0.03656956205286609</x:v>
      </x:c>
      <x:c r="I295" s="2" t="inlineStr">
        <x:is>
          <x:t xml:space="preserve">Medium</x:t>
        </x:is>
      </x:c>
      <x:c r="J295"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95" s="1"/>
    </x:row>
    <x:row r="296" ht="105" customHeight="1">
      <x:c r="A296" s="2" t="inlineStr">
        <x:is>
          <x:t xml:space="preserve">Marine fishes not identified</x:t>
        </x:is>
      </x:c>
      <x:c r="B296" s="2" t="inlineStr">
        <x:is>
          <x:t xml:space="preserve">Lizard fish (synodontids)</x:t>
        </x:is>
      </x:c>
      <x:c r="C296" s="2">
        <x:v>15</x:v>
      </x:c>
      <x:c r="D296" s="8">
        <x:v>0.0234</x:v>
      </x:c>
      <x:c r="E296" s="8">
        <x:v>0.032</x:v>
      </x:c>
      <x:c r="F296" s="8" t="inlineStr">
        <x:is>
          <x:t xml:space="preserve">Model catch</x:t>
        </x:is>
      </x:c>
      <x:c r="G296" s="8">
        <x:f>SUMIFS($D$6:$D$681,$A$6:$A$681,A296)</x:f>
        <x:v>5.6331</x:v>
      </x:c>
      <x:c r="H296" s="9">
        <x:f>D296/G296</x:f>
        <x:v>0.004154018213772168</x:v>
      </x:c>
      <x:c r="I296" s="2" t="inlineStr">
        <x:is>
          <x:t xml:space="preserve">Medium</x:t>
        </x:is>
      </x:c>
      <x:c r="J296"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96" s="1"/>
    </x:row>
    <x:row r="297" ht="105" customHeight="1">
      <x:c r="A297" s="2" t="inlineStr">
        <x:is>
          <x:t xml:space="preserve">Marine fishes not identified</x:t>
        </x:is>
      </x:c>
      <x:c r="B297" s="2" t="inlineStr">
        <x:is>
          <x:t xml:space="preserve">Juvenile Hairtail (trichiurids)</x:t>
        </x:is>
      </x:c>
      <x:c r="C297" s="2">
        <x:v>16</x:v>
      </x:c>
      <x:c r="D297" s="8">
        <x:v>0.028</x:v>
      </x:c>
      <x:c r="E297" s="8">
        <x:v>0.015</x:v>
      </x:c>
      <x:c r="F297" s="8" t="inlineStr">
        <x:is>
          <x:t xml:space="preserve">Model catch</x:t>
        </x:is>
      </x:c>
      <x:c r="G297" s="8">
        <x:f>SUMIFS($D$6:$D$681,$A$6:$A$681,A297)</x:f>
        <x:v>5.6331</x:v>
      </x:c>
      <x:c r="H297" s="9">
        <x:f>D297/G297</x:f>
        <x:v>0.004970620084855586</x:v>
      </x:c>
      <x:c r="I297" s="2" t="inlineStr">
        <x:is>
          <x:t xml:space="preserve">Medium</x:t>
        </x:is>
      </x:c>
      <x:c r="J297"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97" s="1"/>
    </x:row>
    <x:row r="298" ht="105" customHeight="1">
      <x:c r="A298" s="2" t="inlineStr">
        <x:is>
          <x:t xml:space="preserve">Marine fishes not identified</x:t>
        </x:is>
      </x:c>
      <x:c r="B298" s="2" t="inlineStr">
        <x:is>
          <x:t xml:space="preserve">Adult hairtail (trichiurids)</x:t>
        </x:is>
      </x:c>
      <x:c r="C298" s="2">
        <x:v>17</x:v>
      </x:c>
      <x:c r="D298" s="8">
        <x:v>0.0072</x:v>
      </x:c>
      <x:c r="E298" s="8">
        <x:v>0.012</x:v>
      </x:c>
      <x:c r="F298" s="8" t="inlineStr">
        <x:is>
          <x:t xml:space="preserve">Model catch</x:t>
        </x:is>
      </x:c>
      <x:c r="G298" s="8">
        <x:f>SUMIFS($D$6:$D$681,$A$6:$A$681,A298)</x:f>
        <x:v>5.6331</x:v>
      </x:c>
      <x:c r="H298" s="9">
        <x:f>D298/G298</x:f>
        <x:v>0.0012781594503914365</x:v>
      </x:c>
      <x:c r="I298" s="2" t="inlineStr">
        <x:is>
          <x:t xml:space="preserve">Medium</x:t>
        </x:is>
      </x:c>
      <x:c r="J298"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98" s="1"/>
    </x:row>
    <x:row r="299" ht="105" customHeight="1">
      <x:c r="A299" s="2" t="inlineStr">
        <x:is>
          <x:t xml:space="preserve">Marine fishes not identified</x:t>
        </x:is>
      </x:c>
      <x:c r="B299" s="2" t="inlineStr">
        <x:is>
          <x:t xml:space="preserve">Pomfret (stromateids)</x:t>
        </x:is>
      </x:c>
      <x:c r="C299" s="2">
        <x:v>18</x:v>
      </x:c>
      <x:c r="D299" s="8">
        <x:v>0.239</x:v>
      </x:c>
      <x:c r="E299" s="8">
        <x:v>0.108</x:v>
      </x:c>
      <x:c r="F299" s="8" t="inlineStr">
        <x:is>
          <x:t xml:space="preserve">Model catch</x:t>
        </x:is>
      </x:c>
      <x:c r="G299" s="8">
        <x:f>SUMIFS($D$6:$D$681,$A$6:$A$681,A299)</x:f>
        <x:v>5.6331</x:v>
      </x:c>
      <x:c r="H299" s="9">
        <x:f>D299/G299</x:f>
        <x:v>0.042427792867160176</x:v>
      </x:c>
      <x:c r="I299" s="2" t="inlineStr">
        <x:is>
          <x:t xml:space="preserve">Medium</x:t>
        </x:is>
      </x:c>
      <x:c r="J299"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299" s="1"/>
    </x:row>
    <x:row r="300" ht="105" customHeight="1">
      <x:c r="A300" s="2" t="inlineStr">
        <x:is>
          <x:t xml:space="preserve">Marine fishes not identified</x:t>
        </x:is>
      </x:c>
      <x:c r="B300" s="2" t="inlineStr">
        <x:is>
          <x:t xml:space="preserve">Snappers</x:t>
        </x:is>
      </x:c>
      <x:c r="C300" s="2">
        <x:v>19</x:v>
      </x:c>
      <x:c r="D300" s="8">
        <x:v>0.0011</x:v>
      </x:c>
      <x:c r="E300" s="8">
        <x:v>0.0013</x:v>
      </x:c>
      <x:c r="F300" s="8" t="inlineStr">
        <x:is>
          <x:t xml:space="preserve">Model catch</x:t>
        </x:is>
      </x:c>
      <x:c r="G300" s="8">
        <x:f>SUMIFS($D$6:$D$681,$A$6:$A$681,A300)</x:f>
        <x:v>5.6331</x:v>
      </x:c>
      <x:c r="H300" s="9">
        <x:f>D300/G300</x:f>
        <x:v>0.00019527436047646945</x:v>
      </x:c>
      <x:c r="I300" s="2" t="inlineStr">
        <x:is>
          <x:t xml:space="preserve">Medium</x:t>
        </x:is>
      </x:c>
      <x:c r="J300"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0" s="1"/>
    </x:row>
    <x:row r="301" ht="105" customHeight="1">
      <x:c r="A301" s="2" t="inlineStr">
        <x:is>
          <x:t xml:space="preserve">Marine fishes not identified</x:t>
        </x:is>
      </x:c>
      <x:c r="B301" s="2" t="inlineStr">
        <x:is>
          <x:t xml:space="preserve">Adult groupers</x:t>
        </x:is>
      </x:c>
      <x:c r="C301" s="2">
        <x:v>20</x:v>
      </x:c>
      <x:c r="D301" s="8">
        <x:v>0.0089</x:v>
      </x:c>
      <x:c r="E301" s="8">
        <x:v>0.0064</x:v>
      </x:c>
      <x:c r="F301" s="8" t="inlineStr">
        <x:is>
          <x:t xml:space="preserve">Model catch</x:t>
        </x:is>
      </x:c>
      <x:c r="G301" s="8">
        <x:f>SUMIFS($D$6:$D$681,$A$6:$A$681,A301)</x:f>
        <x:v>5.6331</x:v>
      </x:c>
      <x:c r="H301" s="9">
        <x:f>D301/G301</x:f>
        <x:v>0.0015799470984005255</x:v>
      </x:c>
      <x:c r="I301" s="2" t="inlineStr">
        <x:is>
          <x:t xml:space="preserve">Medium</x:t>
        </x:is>
      </x:c>
      <x:c r="J301"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1" s="1"/>
    </x:row>
    <x:row r="302" ht="105" customHeight="1">
      <x:c r="A302" s="2" t="inlineStr">
        <x:is>
          <x:t xml:space="preserve">Marine fishes not identified</x:t>
        </x:is>
      </x:c>
      <x:c r="B302" s="2" t="inlineStr">
        <x:is>
          <x:t xml:space="preserve">Croakers (≤ 30 cm)</x:t>
        </x:is>
      </x:c>
      <x:c r="C302" s="2">
        <x:v>21</x:v>
      </x:c>
      <x:c r="D302" s="8">
        <x:v>0.0351</x:v>
      </x:c>
      <x:c r="E302" s="8">
        <x:v>0.07</x:v>
      </x:c>
      <x:c r="F302" s="8" t="inlineStr">
        <x:is>
          <x:t xml:space="preserve">Model catch</x:t>
        </x:is>
      </x:c>
      <x:c r="G302" s="8">
        <x:f>SUMIFS($D$6:$D$681,$A$6:$A$681,A302)</x:f>
        <x:v>5.6331</x:v>
      </x:c>
      <x:c r="H302" s="9">
        <x:f>D302/G302</x:f>
        <x:v>0.006231027320658253</x:v>
      </x:c>
      <x:c r="I302" s="2" t="inlineStr">
        <x:is>
          <x:t xml:space="preserve">Medium</x:t>
        </x:is>
      </x:c>
      <x:c r="J302"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2" s="1"/>
    </x:row>
    <x:row r="303" ht="105" customHeight="1">
      <x:c r="A303" s="2" t="inlineStr">
        <x:is>
          <x:t xml:space="preserve">Marine fishes not identified</x:t>
        </x:is>
      </x:c>
      <x:c r="B303" s="2" t="inlineStr">
        <x:is>
          <x:t xml:space="preserve">Juvenile large croakers</x:t>
        </x:is>
      </x:c>
      <x:c r="C303" s="2">
        <x:v>22</x:v>
      </x:c>
      <x:c r="D303" s="8">
        <x:v>0.071</x:v>
      </x:c>
      <x:c r="E303" s="8">
        <x:v>0.04</x:v>
      </x:c>
      <x:c r="F303" s="8" t="inlineStr">
        <x:is>
          <x:t xml:space="preserve">Model catch</x:t>
        </x:is>
      </x:c>
      <x:c r="G303" s="8">
        <x:f>SUMIFS($D$6:$D$681,$A$6:$A$681,A303)</x:f>
        <x:v>5.6331</x:v>
      </x:c>
      <x:c r="H303" s="9">
        <x:f>D303/G303</x:f>
        <x:v>0.012604072358026663</x:v>
      </x:c>
      <x:c r="I303" s="2" t="inlineStr">
        <x:is>
          <x:t xml:space="preserve">Medium</x:t>
        </x:is>
      </x:c>
      <x:c r="J303"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3" s="1"/>
    </x:row>
    <x:row r="304" ht="105" customHeight="1">
      <x:c r="A304" s="2" t="inlineStr">
        <x:is>
          <x:t xml:space="preserve">Marine fishes not identified</x:t>
        </x:is>
      </x:c>
      <x:c r="B304" s="2" t="inlineStr">
        <x:is>
          <x:t xml:space="preserve">Croakers (&gt; 30 cm)</x:t>
        </x:is>
      </x:c>
      <x:c r="C304" s="2">
        <x:v>23</x:v>
      </x:c>
      <x:c r="D304" s="8">
        <x:v>0.008</x:v>
      </x:c>
      <x:c r="E304" s="8">
        <x:v>0.0094</x:v>
      </x:c>
      <x:c r="F304" s="8" t="inlineStr">
        <x:is>
          <x:t xml:space="preserve">Model catch</x:t>
        </x:is>
      </x:c>
      <x:c r="G304" s="8">
        <x:f>SUMIFS($D$6:$D$681,$A$6:$A$681,A304)</x:f>
        <x:v>5.6331</x:v>
      </x:c>
      <x:c r="H304" s="9">
        <x:f>D304/G304</x:f>
        <x:v>0.001420177167101596</x:v>
      </x:c>
      <x:c r="I304" s="2" t="inlineStr">
        <x:is>
          <x:t xml:space="preserve">Medium</x:t>
        </x:is>
      </x:c>
      <x:c r="J304"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4" s="1"/>
    </x:row>
    <x:row r="305" ht="105" customHeight="1">
      <x:c r="A305" s="2" t="inlineStr">
        <x:is>
          <x:t xml:space="preserve">Marine fishes not identified</x:t>
        </x:is>
      </x:c>
      <x:c r="B305" s="2" t="inlineStr">
        <x:is>
          <x:t xml:space="preserve">Demesral fish (≤ 30 cm)</x:t>
        </x:is>
      </x:c>
      <x:c r="C305" s="2">
        <x:v>24</x:v>
      </x:c>
      <x:c r="D305" s="8">
        <x:v>0.1788</x:v>
      </x:c>
      <x:c r="E305" s="8">
        <x:v>0.316</x:v>
      </x:c>
      <x:c r="F305" s="8" t="inlineStr">
        <x:is>
          <x:t xml:space="preserve">Model catch</x:t>
        </x:is>
      </x:c>
      <x:c r="G305" s="8">
        <x:f>SUMIFS($D$6:$D$681,$A$6:$A$681,A305)</x:f>
        <x:v>5.6331</x:v>
      </x:c>
      <x:c r="H305" s="9">
        <x:f>D305/G305</x:f>
        <x:v>0.03174095968472067</x:v>
      </x:c>
      <x:c r="I305" s="2" t="inlineStr">
        <x:is>
          <x:t xml:space="preserve">Medium</x:t>
        </x:is>
      </x:c>
      <x:c r="J305"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5" s="1"/>
    </x:row>
    <x:row r="306" ht="105" customHeight="1">
      <x:c r="A306" s="2" t="inlineStr">
        <x:is>
          <x:t xml:space="preserve">Marine fishes not identified</x:t>
        </x:is>
      </x:c>
      <x:c r="B306" s="2" t="inlineStr">
        <x:is>
          <x:t xml:space="preserve">Juvenile demersal fish (&gt; 30 cm)</x:t>
        </x:is>
      </x:c>
      <x:c r="C306" s="2">
        <x:v>25</x:v>
      </x:c>
      <x:c r="D306" s="8">
        <x:v>0.3165</x:v>
      </x:c>
      <x:c r="E306" s="8">
        <x:v>0.143</x:v>
      </x:c>
      <x:c r="F306" s="8" t="inlineStr">
        <x:is>
          <x:t xml:space="preserve">Model catch</x:t>
        </x:is>
      </x:c>
      <x:c r="G306" s="8">
        <x:f>SUMIFS($D$6:$D$681,$A$6:$A$681,A306)</x:f>
        <x:v>5.6331</x:v>
      </x:c>
      <x:c r="H306" s="9">
        <x:f>D306/G306</x:f>
        <x:v>0.05618575917345689</x:v>
      </x:c>
      <x:c r="I306" s="2" t="inlineStr">
        <x:is>
          <x:t xml:space="preserve">Medium</x:t>
        </x:is>
      </x:c>
      <x:c r="J306"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6" s="1"/>
    </x:row>
    <x:row r="307" ht="105" customHeight="1">
      <x:c r="A307" s="2" t="inlineStr">
        <x:is>
          <x:t xml:space="preserve">Marine fishes not identified</x:t>
        </x:is>
      </x:c>
      <x:c r="B307" s="2" t="inlineStr">
        <x:is>
          <x:t xml:space="preserve">Adult demersal fish (&gt; 30 cm)</x:t>
        </x:is>
      </x:c>
      <x:c r="C307" s="2">
        <x:v>26</x:v>
      </x:c>
      <x:c r="D307" s="8">
        <x:v>0.0352</x:v>
      </x:c>
      <x:c r="E307" s="8">
        <x:v>0.021</x:v>
      </x:c>
      <x:c r="F307" s="8" t="inlineStr">
        <x:is>
          <x:t xml:space="preserve">Model catch</x:t>
        </x:is>
      </x:c>
      <x:c r="G307" s="8">
        <x:f>SUMIFS($D$6:$D$681,$A$6:$A$681,A307)</x:f>
        <x:v>5.6331</x:v>
      </x:c>
      <x:c r="H307" s="9">
        <x:f>D307/G307</x:f>
        <x:v>0.006248779535247022</x:v>
      </x:c>
      <x:c r="I307" s="2" t="inlineStr">
        <x:is>
          <x:t xml:space="preserve">Medium</x:t>
        </x:is>
      </x:c>
      <x:c r="J307"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7" s="1"/>
    </x:row>
    <x:row r="308" ht="105" customHeight="1">
      <x:c r="A308" s="2" t="inlineStr">
        <x:is>
          <x:t xml:space="preserve">Marine fishes not identified</x:t>
        </x:is>
      </x:c>
      <x:c r="B308" s="2" t="inlineStr">
        <x:is>
          <x:t xml:space="preserve">Benthopelagic fish</x:t>
        </x:is>
      </x:c>
      <x:c r="C308" s="2">
        <x:v>27</x:v>
      </x:c>
      <x:c r="D308" s="8">
        <x:v>0.6025</x:v>
      </x:c>
      <x:c r="E308" s="8">
        <x:v>0.922</x:v>
      </x:c>
      <x:c r="F308" s="8" t="inlineStr">
        <x:is>
          <x:t xml:space="preserve">Model catch</x:t>
        </x:is>
      </x:c>
      <x:c r="G308" s="8">
        <x:f>SUMIFS($D$6:$D$681,$A$6:$A$681,A308)</x:f>
        <x:v>5.6331</x:v>
      </x:c>
      <x:c r="H308" s="9">
        <x:f>D308/G308</x:f>
        <x:v>0.10695709289733896</x:v>
      </x:c>
      <x:c r="I308" s="2" t="inlineStr">
        <x:is>
          <x:t xml:space="preserve">Medium</x:t>
        </x:is>
      </x:c>
      <x:c r="J308"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8" s="1"/>
    </x:row>
    <x:row r="309" ht="105" customHeight="1">
      <x:c r="A309" s="2" t="inlineStr">
        <x:is>
          <x:t xml:space="preserve">Marine fishes not identified</x:t>
        </x:is>
      </x:c>
      <x:c r="B309" s="2" t="inlineStr">
        <x:is>
          <x:t xml:space="preserve">Melon seed</x:t>
        </x:is>
      </x:c>
      <x:c r="C309" s="2">
        <x:v>28</x:v>
      </x:c>
      <x:c r="D309" s="8">
        <x:v>0.0499</x:v>
      </x:c>
      <x:c r="E309" s="8">
        <x:v>0.07</x:v>
      </x:c>
      <x:c r="F309" s="8" t="inlineStr">
        <x:is>
          <x:t xml:space="preserve">Model catch</x:t>
        </x:is>
      </x:c>
      <x:c r="G309" s="8">
        <x:f>SUMIFS($D$6:$D$681,$A$6:$A$681,A309)</x:f>
        <x:v>5.6331</x:v>
      </x:c>
      <x:c r="H309" s="9">
        <x:f>D309/G309</x:f>
        <x:v>0.008858355079796204</x:v>
      </x:c>
      <x:c r="I309" s="2" t="inlineStr">
        <x:is>
          <x:t xml:space="preserve">Medium</x:t>
        </x:is>
      </x:c>
      <x:c r="J309"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09" s="1"/>
    </x:row>
    <x:row r="310" ht="105" customHeight="1">
      <x:c r="A310" s="2" t="inlineStr">
        <x:is>
          <x:t xml:space="preserve">Marine fishes not identified</x:t>
        </x:is>
      </x:c>
      <x:c r="B310" s="2" t="inlineStr">
        <x:is>
          <x:t xml:space="preserve">Pelagic fish (≤ 30 cm)</x:t>
        </x:is>
      </x:c>
      <x:c r="C310" s="2">
        <x:v>29</x:v>
      </x:c>
      <x:c r="D310" s="8">
        <x:v>2.345</x:v>
      </x:c>
      <x:c r="E310" s="8">
        <x:v>1.772</x:v>
      </x:c>
      <x:c r="F310" s="8" t="inlineStr">
        <x:is>
          <x:t xml:space="preserve">Model catch</x:t>
        </x:is>
      </x:c>
      <x:c r="G310" s="8">
        <x:f>SUMIFS($D$6:$D$681,$A$6:$A$681,A310)</x:f>
        <x:v>5.6331</x:v>
      </x:c>
      <x:c r="H310" s="9">
        <x:f>D310/G310</x:f>
        <x:v>0.41628943210665537</x:v>
      </x:c>
      <x:c r="I310" s="2" t="inlineStr">
        <x:is>
          <x:t xml:space="preserve">Medium</x:t>
        </x:is>
      </x:c>
      <x:c r="J310"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10" s="1"/>
    </x:row>
    <x:row r="311" ht="105" customHeight="1">
      <x:c r="A311" s="2" t="inlineStr">
        <x:is>
          <x:t xml:space="preserve">Marine fishes not identified</x:t>
        </x:is>
      </x:c>
      <x:c r="B311" s="2" t="inlineStr">
        <x:is>
          <x:t xml:space="preserve">Juvenile large pelagic fish</x:t>
        </x:is>
      </x:c>
      <x:c r="C311" s="2">
        <x:v>30</x:v>
      </x:c>
      <x:c r="D311" s="8">
        <x:v>0.7384</x:v>
      </x:c>
      <x:c r="E311" s="8">
        <x:v>0.289</x:v>
      </x:c>
      <x:c r="F311" s="8" t="inlineStr">
        <x:is>
          <x:t xml:space="preserve">Model catch</x:t>
        </x:is>
      </x:c>
      <x:c r="G311" s="8">
        <x:f>SUMIFS($D$6:$D$681,$A$6:$A$681,A311)</x:f>
        <x:v>5.6331</x:v>
      </x:c>
      <x:c r="H311" s="9">
        <x:f>D311/G311</x:f>
        <x:v>0.1310823525234773</x:v>
      </x:c>
      <x:c r="I311" s="2" t="inlineStr">
        <x:is>
          <x:t xml:space="preserve">Medium</x:t>
        </x:is>
      </x:c>
      <x:c r="J311"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11" s="1"/>
    </x:row>
    <x:row r="312" ht="105" customHeight="1">
      <x:c r="A312" s="2" t="inlineStr">
        <x:is>
          <x:t xml:space="preserve">Marine fishes not identified</x:t>
        </x:is>
      </x:c>
      <x:c r="B312" s="2" t="inlineStr">
        <x:is>
          <x:t xml:space="preserve">Pelagic fish (&gt; 30 cm)</x:t>
        </x:is>
      </x:c>
      <x:c r="C312" s="2">
        <x:v>31</x:v>
      </x:c>
      <x:c r="D312" s="8">
        <x:v>0.0821</x:v>
      </x:c>
      <x:c r="E312" s="8">
        <x:v>0.079</x:v>
      </x:c>
      <x:c r="F312" s="8" t="inlineStr">
        <x:is>
          <x:t xml:space="preserve">Model catch</x:t>
        </x:is>
      </x:c>
      <x:c r="G312" s="8">
        <x:f>SUMIFS($D$6:$D$681,$A$6:$A$681,A312)</x:f>
        <x:v>5.6331</x:v>
      </x:c>
      <x:c r="H312" s="9">
        <x:f>D312/G312</x:f>
        <x:v>0.01457456817738013</x:v>
      </x:c>
      <x:c r="I312" s="2" t="inlineStr">
        <x:is>
          <x:t xml:space="preserve">Medium</x:t>
        </x:is>
      </x:c>
      <x:c r="J312"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12" s="1"/>
    </x:row>
    <x:row r="313" ht="96" customHeight="1">
      <x:c r="A313" s="2"/>
      <x:c r="B313" s="2"/>
      <x:c r="C313" s="2"/>
      <x:c r="D313" s="8"/>
      <x:c r="E313" s="8"/>
      <x:c r="F313" s="8"/>
      <x:c r="G313" s="8"/>
      <x:c r="H313" s="9"/>
      <x:c r="I313" s="2"/>
      <x:c r="J313" s="2"/>
      <x:c r="K313" s="1"/>
    </x:row>
    <x:row r="314" ht="96" customHeight="1">
      <x:c r="A314" s="2"/>
      <x:c r="B314" s="2"/>
      <x:c r="C314" s="2"/>
      <x:c r="D314" s="8"/>
      <x:c r="E314" s="8"/>
      <x:c r="F314" s="8"/>
      <x:c r="G314" s="8"/>
      <x:c r="H314" s="9"/>
      <x:c r="I314" s="2"/>
      <x:c r="J314" s="2"/>
      <x:c r="K314" s="1"/>
    </x:row>
    <x:row r="315" ht="105" customHeight="1">
      <x:c r="A315" s="2" t="inlineStr">
        <x:is>
          <x:t xml:space="preserve">Marine groundfishes not identified</x:t>
        </x:is>
      </x:c>
      <x:c r="B315" s="2" t="inlineStr">
        <x:is>
          <x:t xml:space="preserve">Threadfin bream (nemipterids)</x:t>
        </x:is>
      </x:c>
      <x:c r="C315" s="2">
        <x:v>13</x:v>
      </x:c>
      <x:c r="D315" s="8">
        <x:v>0.657</x:v>
      </x:c>
      <x:c r="E315" s="8">
        <x:v>0.26</x:v>
      </x:c>
      <x:c r="F315" s="8" t="inlineStr">
        <x:is>
          <x:t xml:space="preserve">Model catch</x:t>
        </x:is>
      </x:c>
      <x:c r="G315" s="8">
        <x:f>SUMIFS($D$6:$D$681,$A$6:$A$681,A315)</x:f>
        <x:v>2.4676</x:v>
      </x:c>
      <x:c r="H315" s="9">
        <x:f>D315/G315</x:f>
        <x:v>0.2662506078781002</x:v>
      </x:c>
      <x:c r="I315" s="2" t="inlineStr">
        <x:is>
          <x:t xml:space="preserve">Medium</x:t>
        </x:is>
      </x:c>
      <x:c r="J315"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15" s="1"/>
    </x:row>
    <x:row r="316" ht="105" customHeight="1">
      <x:c r="A316" s="2" t="inlineStr">
        <x:is>
          <x:t xml:space="preserve">Marine groundfishes not identified</x:t>
        </x:is>
      </x:c>
      <x:c r="B316" s="2" t="inlineStr">
        <x:is>
          <x:t xml:space="preserve">Bigeyes (priacanthids)</x:t>
        </x:is>
      </x:c>
      <x:c r="C316" s="2">
        <x:v>14</x:v>
      </x:c>
      <x:c r="D316" s="8">
        <x:v>0.206</x:v>
      </x:c>
      <x:c r="E316" s="8">
        <x:v>0.13</x:v>
      </x:c>
      <x:c r="F316" s="8" t="inlineStr">
        <x:is>
          <x:t xml:space="preserve">Model catch</x:t>
        </x:is>
      </x:c>
      <x:c r="G316" s="8">
        <x:f>SUMIFS($D$6:$D$681,$A$6:$A$681,A316)</x:f>
        <x:v>2.4676</x:v>
      </x:c>
      <x:c r="H316" s="9">
        <x:f>D316/G316</x:f>
        <x:v>0.08348192575782136</x:v>
      </x:c>
      <x:c r="I316" s="2" t="inlineStr">
        <x:is>
          <x:t xml:space="preserve">Medium</x:t>
        </x:is>
      </x:c>
      <x:c r="J316"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16" s="1"/>
    </x:row>
    <x:row r="317" ht="105" customHeight="1">
      <x:c r="A317" s="2" t="inlineStr">
        <x:is>
          <x:t xml:space="preserve">Marine groundfishes not identified</x:t>
        </x:is>
      </x:c>
      <x:c r="B317" s="2" t="inlineStr">
        <x:is>
          <x:t xml:space="preserve">Lizard fish (synodontids)</x:t>
        </x:is>
      </x:c>
      <x:c r="C317" s="2">
        <x:v>15</x:v>
      </x:c>
      <x:c r="D317" s="8">
        <x:v>0.0234</x:v>
      </x:c>
      <x:c r="E317" s="8">
        <x:v>0.032</x:v>
      </x:c>
      <x:c r="F317" s="8" t="inlineStr">
        <x:is>
          <x:t xml:space="preserve">Model catch</x:t>
        </x:is>
      </x:c>
      <x:c r="G317" s="8">
        <x:f>SUMIFS($D$6:$D$681,$A$6:$A$681,A317)</x:f>
        <x:v>2.4676</x:v>
      </x:c>
      <x:c r="H317" s="9">
        <x:f>D317/G317</x:f>
        <x:v>0.00948289836278165</x:v>
      </x:c>
      <x:c r="I317" s="2" t="inlineStr">
        <x:is>
          <x:t xml:space="preserve">Medium</x:t>
        </x:is>
      </x:c>
      <x:c r="J317"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17" s="1"/>
    </x:row>
    <x:row r="318" ht="105" customHeight="1">
      <x:c r="A318" s="2" t="inlineStr">
        <x:is>
          <x:t xml:space="preserve">Marine groundfishes not identified</x:t>
        </x:is>
      </x:c>
      <x:c r="B318" s="2" t="inlineStr">
        <x:is>
          <x:t xml:space="preserve">Juvenile Hairtail (trichiurids)</x:t>
        </x:is>
      </x:c>
      <x:c r="C318" s="2">
        <x:v>16</x:v>
      </x:c>
      <x:c r="D318" s="8">
        <x:v>0.028</x:v>
      </x:c>
      <x:c r="E318" s="8">
        <x:v>0.015</x:v>
      </x:c>
      <x:c r="F318" s="8" t="inlineStr">
        <x:is>
          <x:t xml:space="preserve">Model catch</x:t>
        </x:is>
      </x:c>
      <x:c r="G318" s="8">
        <x:f>SUMIFS($D$6:$D$681,$A$6:$A$681,A318)</x:f>
        <x:v>2.4676</x:v>
      </x:c>
      <x:c r="H318" s="9">
        <x:f>D318/G318</x:f>
        <x:v>0.011347057869995137</x:v>
      </x:c>
      <x:c r="I318" s="2" t="inlineStr">
        <x:is>
          <x:t xml:space="preserve">Medium</x:t>
        </x:is>
      </x:c>
      <x:c r="J318"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18" s="1"/>
    </x:row>
    <x:row r="319" ht="105" customHeight="1">
      <x:c r="A319" s="2" t="inlineStr">
        <x:is>
          <x:t xml:space="preserve">Marine groundfishes not identified</x:t>
        </x:is>
      </x:c>
      <x:c r="B319" s="2" t="inlineStr">
        <x:is>
          <x:t xml:space="preserve">Adult hairtail (trichiurids)</x:t>
        </x:is>
      </x:c>
      <x:c r="C319" s="2">
        <x:v>17</x:v>
      </x:c>
      <x:c r="D319" s="8">
        <x:v>0.0072</x:v>
      </x:c>
      <x:c r="E319" s="8">
        <x:v>0.012</x:v>
      </x:c>
      <x:c r="F319" s="8" t="inlineStr">
        <x:is>
          <x:t xml:space="preserve">Model catch</x:t>
        </x:is>
      </x:c>
      <x:c r="G319" s="8">
        <x:f>SUMIFS($D$6:$D$681,$A$6:$A$681,A319)</x:f>
        <x:v>2.4676</x:v>
      </x:c>
      <x:c r="H319" s="9">
        <x:f>D319/G319</x:f>
        <x:v>0.0029178148808558925</x:v>
      </x:c>
      <x:c r="I319" s="2" t="inlineStr">
        <x:is>
          <x:t xml:space="preserve">Medium</x:t>
        </x:is>
      </x:c>
      <x:c r="J319"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19" s="1"/>
    </x:row>
    <x:row r="320" ht="105" customHeight="1">
      <x:c r="A320" s="2" t="inlineStr">
        <x:is>
          <x:t xml:space="preserve">Marine groundfishes not identified</x:t>
        </x:is>
      </x:c>
      <x:c r="B320" s="2" t="inlineStr">
        <x:is>
          <x:t xml:space="preserve">Pomfret (stromateids)</x:t>
        </x:is>
      </x:c>
      <x:c r="C320" s="2">
        <x:v>18</x:v>
      </x:c>
      <x:c r="D320" s="8">
        <x:v>0.239</x:v>
      </x:c>
      <x:c r="E320" s="8">
        <x:v>0.108</x:v>
      </x:c>
      <x:c r="F320" s="8" t="inlineStr">
        <x:is>
          <x:t xml:space="preserve">Model catch</x:t>
        </x:is>
      </x:c>
      <x:c r="G320" s="8">
        <x:f>SUMIFS($D$6:$D$681,$A$6:$A$681,A320)</x:f>
        <x:v>2.4676</x:v>
      </x:c>
      <x:c r="H320" s="9">
        <x:f>D320/G320</x:f>
        <x:v>0.0968552439617442</x:v>
      </x:c>
      <x:c r="I320" s="2" t="inlineStr">
        <x:is>
          <x:t xml:space="preserve">Medium</x:t>
        </x:is>
      </x:c>
      <x:c r="J320"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0" s="1"/>
    </x:row>
    <x:row r="321" ht="105" customHeight="1">
      <x:c r="A321" s="2" t="inlineStr">
        <x:is>
          <x:t xml:space="preserve">Marine groundfishes not identified</x:t>
        </x:is>
      </x:c>
      <x:c r="B321" s="2" t="inlineStr">
        <x:is>
          <x:t xml:space="preserve">Snappers</x:t>
        </x:is>
      </x:c>
      <x:c r="C321" s="2">
        <x:v>19</x:v>
      </x:c>
      <x:c r="D321" s="8">
        <x:v>0.0011</x:v>
      </x:c>
      <x:c r="E321" s="8">
        <x:v>0.0013</x:v>
      </x:c>
      <x:c r="F321" s="8" t="inlineStr">
        <x:is>
          <x:t xml:space="preserve">Model catch</x:t>
        </x:is>
      </x:c>
      <x:c r="G321" s="8">
        <x:f>SUMIFS($D$6:$D$681,$A$6:$A$681,A321)</x:f>
        <x:v>2.4676</x:v>
      </x:c>
      <x:c r="H321" s="9">
        <x:f>D321/G321</x:f>
        <x:v>0.0004457772734640947</x:v>
      </x:c>
      <x:c r="I321" s="2" t="inlineStr">
        <x:is>
          <x:t xml:space="preserve">Medium</x:t>
        </x:is>
      </x:c>
      <x:c r="J321"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1" s="1"/>
    </x:row>
    <x:row r="322" ht="105" customHeight="1">
      <x:c r="A322" s="2" t="inlineStr">
        <x:is>
          <x:t xml:space="preserve">Marine groundfishes not identified</x:t>
        </x:is>
      </x:c>
      <x:c r="B322" s="2" t="inlineStr">
        <x:is>
          <x:t xml:space="preserve">Adult groupers</x:t>
        </x:is>
      </x:c>
      <x:c r="C322" s="2">
        <x:v>20</x:v>
      </x:c>
      <x:c r="D322" s="8">
        <x:v>0.0089</x:v>
      </x:c>
      <x:c r="E322" s="8">
        <x:v>0.0064</x:v>
      </x:c>
      <x:c r="F322" s="8" t="inlineStr">
        <x:is>
          <x:t xml:space="preserve">Model catch</x:t>
        </x:is>
      </x:c>
      <x:c r="G322" s="8">
        <x:f>SUMIFS($D$6:$D$681,$A$6:$A$681,A322)</x:f>
        <x:v>2.4676</x:v>
      </x:c>
      <x:c r="H322" s="9">
        <x:f>D322/G322</x:f>
        <x:v>0.003606743394391311</x:v>
      </x:c>
      <x:c r="I322" s="2" t="inlineStr">
        <x:is>
          <x:t xml:space="preserve">Medium</x:t>
        </x:is>
      </x:c>
      <x:c r="J322"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2" s="1"/>
    </x:row>
    <x:row r="323" ht="105" customHeight="1">
      <x:c r="A323" s="2" t="inlineStr">
        <x:is>
          <x:t xml:space="preserve">Marine groundfishes not identified</x:t>
        </x:is>
      </x:c>
      <x:c r="B323" s="2" t="inlineStr">
        <x:is>
          <x:t xml:space="preserve">Croakers (≤ 30 cm)</x:t>
        </x:is>
      </x:c>
      <x:c r="C323" s="2">
        <x:v>21</x:v>
      </x:c>
      <x:c r="D323" s="8">
        <x:v>0.0351</x:v>
      </x:c>
      <x:c r="E323" s="8">
        <x:v>0.07</x:v>
      </x:c>
      <x:c r="F323" s="8" t="inlineStr">
        <x:is>
          <x:t xml:space="preserve">Model catch</x:t>
        </x:is>
      </x:c>
      <x:c r="G323" s="8">
        <x:f>SUMIFS($D$6:$D$681,$A$6:$A$681,A323)</x:f>
        <x:v>2.4676</x:v>
      </x:c>
      <x:c r="H323" s="9">
        <x:f>D323/G323</x:f>
        <x:v>0.014224347544172474</x:v>
      </x:c>
      <x:c r="I323" s="2" t="inlineStr">
        <x:is>
          <x:t xml:space="preserve">Medium</x:t>
        </x:is>
      </x:c>
      <x:c r="J323"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3" s="1"/>
    </x:row>
    <x:row r="324" ht="105" customHeight="1">
      <x:c r="A324" s="2" t="inlineStr">
        <x:is>
          <x:t xml:space="preserve">Marine groundfishes not identified</x:t>
        </x:is>
      </x:c>
      <x:c r="B324" s="2" t="inlineStr">
        <x:is>
          <x:t xml:space="preserve">Juvenile large croakers</x:t>
        </x:is>
      </x:c>
      <x:c r="C324" s="2">
        <x:v>22</x:v>
      </x:c>
      <x:c r="D324" s="8">
        <x:v>0.071</x:v>
      </x:c>
      <x:c r="E324" s="8">
        <x:v>0.04</x:v>
      </x:c>
      <x:c r="F324" s="8" t="inlineStr">
        <x:is>
          <x:t xml:space="preserve">Model catch</x:t>
        </x:is>
      </x:c>
      <x:c r="G324" s="8">
        <x:f>SUMIFS($D$6:$D$681,$A$6:$A$681,A324)</x:f>
        <x:v>2.4676</x:v>
      </x:c>
      <x:c r="H324" s="9">
        <x:f>D324/G324</x:f>
        <x:v>0.02877289674177338</x:v>
      </x:c>
      <x:c r="I324" s="2" t="inlineStr">
        <x:is>
          <x:t xml:space="preserve">Medium</x:t>
        </x:is>
      </x:c>
      <x:c r="J324"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4" s="1"/>
    </x:row>
    <x:row r="325" ht="105" customHeight="1">
      <x:c r="A325" s="2" t="inlineStr">
        <x:is>
          <x:t xml:space="preserve">Marine groundfishes not identified</x:t>
        </x:is>
      </x:c>
      <x:c r="B325" s="2" t="inlineStr">
        <x:is>
          <x:t xml:space="preserve">Croakers (&gt; 30 cm)</x:t>
        </x:is>
      </x:c>
      <x:c r="C325" s="2">
        <x:v>23</x:v>
      </x:c>
      <x:c r="D325" s="8">
        <x:v>0.008</x:v>
      </x:c>
      <x:c r="E325" s="8">
        <x:v>0.0094</x:v>
      </x:c>
      <x:c r="F325" s="8" t="inlineStr">
        <x:is>
          <x:t xml:space="preserve">Model catch</x:t>
        </x:is>
      </x:c>
      <x:c r="G325" s="8">
        <x:f>SUMIFS($D$6:$D$681,$A$6:$A$681,A325)</x:f>
        <x:v>2.4676</x:v>
      </x:c>
      <x:c r="H325" s="9">
        <x:f>D325/G325</x:f>
        <x:v>0.003242016534284325</x:v>
      </x:c>
      <x:c r="I325" s="2" t="inlineStr">
        <x:is>
          <x:t xml:space="preserve">Medium</x:t>
        </x:is>
      </x:c>
      <x:c r="J325"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5" s="1"/>
    </x:row>
    <x:row r="326" ht="105" customHeight="1">
      <x:c r="A326" s="2" t="inlineStr">
        <x:is>
          <x:t xml:space="preserve">Marine groundfishes not identified</x:t>
        </x:is>
      </x:c>
      <x:c r="B326" s="2" t="inlineStr">
        <x:is>
          <x:t xml:space="preserve">Demesral fish (≤ 30 cm)</x:t>
        </x:is>
      </x:c>
      <x:c r="C326" s="2">
        <x:v>24</x:v>
      </x:c>
      <x:c r="D326" s="8">
        <x:v>0.1788</x:v>
      </x:c>
      <x:c r="E326" s="8">
        <x:v>0.316</x:v>
      </x:c>
      <x:c r="F326" s="8" t="inlineStr">
        <x:is>
          <x:t xml:space="preserve">Model catch</x:t>
        </x:is>
      </x:c>
      <x:c r="G326" s="8">
        <x:f>SUMIFS($D$6:$D$681,$A$6:$A$681,A326)</x:f>
        <x:v>2.4676</x:v>
      </x:c>
      <x:c r="H326" s="9">
        <x:f>D326/G326</x:f>
        <x:v>0.07245906954125465</x:v>
      </x:c>
      <x:c r="I326" s="2" t="inlineStr">
        <x:is>
          <x:t xml:space="preserve">Medium</x:t>
        </x:is>
      </x:c>
      <x:c r="J326"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6" s="1"/>
    </x:row>
    <x:row r="327" ht="105" customHeight="1">
      <x:c r="A327" s="2" t="inlineStr">
        <x:is>
          <x:t xml:space="preserve">Marine groundfishes not identified</x:t>
        </x:is>
      </x:c>
      <x:c r="B327" s="2" t="inlineStr">
        <x:is>
          <x:t xml:space="preserve">Juvenile demersal fish (&gt; 30 cm)</x:t>
        </x:is>
      </x:c>
      <x:c r="C327" s="2">
        <x:v>25</x:v>
      </x:c>
      <x:c r="D327" s="8">
        <x:v>0.3165</x:v>
      </x:c>
      <x:c r="E327" s="8">
        <x:v>0.143</x:v>
      </x:c>
      <x:c r="F327" s="8" t="inlineStr">
        <x:is>
          <x:t xml:space="preserve">Model catch</x:t>
        </x:is>
      </x:c>
      <x:c r="G327" s="8">
        <x:f>SUMIFS($D$6:$D$681,$A$6:$A$681,A327)</x:f>
        <x:v>2.4676</x:v>
      </x:c>
      <x:c r="H327" s="9">
        <x:f>D327/G327</x:f>
        <x:v>0.1282622791376236</x:v>
      </x:c>
      <x:c r="I327" s="2" t="inlineStr">
        <x:is>
          <x:t xml:space="preserve">Medium</x:t>
        </x:is>
      </x:c>
      <x:c r="J327"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7" s="1"/>
    </x:row>
    <x:row r="328" ht="105" customHeight="1">
      <x:c r="A328" s="2" t="inlineStr">
        <x:is>
          <x:t xml:space="preserve">Marine groundfishes not identified</x:t>
        </x:is>
      </x:c>
      <x:c r="B328" s="2" t="inlineStr">
        <x:is>
          <x:t xml:space="preserve">Adult demersal fish (&gt; 30 cm)</x:t>
        </x:is>
      </x:c>
      <x:c r="C328" s="2">
        <x:v>26</x:v>
      </x:c>
      <x:c r="D328" s="8">
        <x:v>0.0352</x:v>
      </x:c>
      <x:c r="E328" s="8">
        <x:v>0.021</x:v>
      </x:c>
      <x:c r="F328" s="8" t="inlineStr">
        <x:is>
          <x:t xml:space="preserve">Model catch</x:t>
        </x:is>
      </x:c>
      <x:c r="G328" s="8">
        <x:f>SUMIFS($D$6:$D$681,$A$6:$A$681,A328)</x:f>
        <x:v>2.4676</x:v>
      </x:c>
      <x:c r="H328" s="9">
        <x:f>D328/G328</x:f>
        <x:v>0.01426487275085103</x:v>
      </x:c>
      <x:c r="I328" s="2" t="inlineStr">
        <x:is>
          <x:t xml:space="preserve">Medium</x:t>
        </x:is>
      </x:c>
      <x:c r="J328"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8" s="1"/>
    </x:row>
    <x:row r="329" ht="105" customHeight="1">
      <x:c r="A329" s="2" t="inlineStr">
        <x:is>
          <x:t xml:space="preserve">Marine groundfishes not identified</x:t>
        </x:is>
      </x:c>
      <x:c r="B329" s="2" t="inlineStr">
        <x:is>
          <x:t xml:space="preserve">Benthopelagic fish</x:t>
        </x:is>
      </x:c>
      <x:c r="C329" s="2">
        <x:v>27</x:v>
      </x:c>
      <x:c r="D329" s="8">
        <x:v>0.6025</x:v>
      </x:c>
      <x:c r="E329" s="8">
        <x:v>0.922</x:v>
      </x:c>
      <x:c r="F329" s="8" t="inlineStr">
        <x:is>
          <x:t xml:space="preserve">Model catch</x:t>
        </x:is>
      </x:c>
      <x:c r="G329" s="8">
        <x:f>SUMIFS($D$6:$D$681,$A$6:$A$681,A329)</x:f>
        <x:v>2.4676</x:v>
      </x:c>
      <x:c r="H329" s="9">
        <x:f>D329/G329</x:f>
        <x:v>0.24416437023828824</x:v>
      </x:c>
      <x:c r="I329" s="2" t="inlineStr">
        <x:is>
          <x:t xml:space="preserve">Medium</x:t>
        </x:is>
      </x:c>
      <x:c r="J329"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29" s="1"/>
    </x:row>
    <x:row r="330" ht="105" customHeight="1">
      <x:c r="A330" s="2" t="inlineStr">
        <x:is>
          <x:t xml:space="preserve">Marine groundfishes not identified</x:t>
        </x:is>
      </x:c>
      <x:c r="B330" s="2" t="inlineStr">
        <x:is>
          <x:t xml:space="preserve">Melon seed</x:t>
        </x:is>
      </x:c>
      <x:c r="C330" s="2">
        <x:v>28</x:v>
      </x:c>
      <x:c r="D330" s="8">
        <x:v>0.0499</x:v>
      </x:c>
      <x:c r="E330" s="8">
        <x:v>0.07</x:v>
      </x:c>
      <x:c r="F330" s="8" t="inlineStr">
        <x:is>
          <x:t xml:space="preserve">Model catch</x:t>
        </x:is>
      </x:c>
      <x:c r="G330" s="8">
        <x:f>SUMIFS($D$6:$D$681,$A$6:$A$681,A330)</x:f>
        <x:v>2.4676</x:v>
      </x:c>
      <x:c r="H330" s="9">
        <x:f>D330/G330</x:f>
        <x:v>0.020222078132598475</x:v>
      </x:c>
      <x:c r="I330" s="2" t="inlineStr">
        <x:is>
          <x:t xml:space="preserve">Medium</x:t>
        </x:is>
      </x:c>
      <x:c r="J330"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30" s="1"/>
    </x:row>
    <x:row r="331" ht="96" customHeight="1">
      <x:c r="A331" s="2"/>
      <x:c r="B331" s="2"/>
      <x:c r="C331" s="2"/>
      <x:c r="D331" s="8"/>
      <x:c r="E331" s="8"/>
      <x:c r="F331" s="8"/>
      <x:c r="G331" s="8"/>
      <x:c r="H331" s="9"/>
      <x:c r="I331" s="2"/>
      <x:c r="J331" s="2"/>
      <x:c r="K331" s="1"/>
    </x:row>
    <x:row r="332" ht="105" customHeight="1">
      <x:c r="A332" s="2" t="inlineStr">
        <x:is>
          <x:t xml:space="preserve">Marine pelagic fishes not identified</x:t>
        </x:is>
      </x:c>
      <x:c r="B332" s="2" t="inlineStr">
        <x:is>
          <x:t xml:space="preserve">Pelagic fish (≤ 30 cm)</x:t>
        </x:is>
      </x:c>
      <x:c r="C332" s="2">
        <x:v>29</x:v>
      </x:c>
      <x:c r="D332" s="8">
        <x:v>2.345</x:v>
      </x:c>
      <x:c r="E332" s="8">
        <x:v>1.772</x:v>
      </x:c>
      <x:c r="F332" s="8" t="inlineStr">
        <x:is>
          <x:t xml:space="preserve">Model catch</x:t>
        </x:is>
      </x:c>
      <x:c r="G332" s="8">
        <x:f>SUMIFS($D$6:$D$681,$A$6:$A$681,A332)</x:f>
        <x:v>3.1655</x:v>
      </x:c>
      <x:c r="H332" s="9">
        <x:f>D332/G332</x:f>
        <x:v>0.7407992418259359</x:v>
      </x:c>
      <x:c r="I332" s="2" t="inlineStr">
        <x:is>
          <x:t xml:space="preserve">Medium</x:t>
        </x:is>
      </x:c>
      <x:c r="J332"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32" s="1"/>
    </x:row>
    <x:row r="333" ht="105" customHeight="1">
      <x:c r="A333" s="2" t="inlineStr">
        <x:is>
          <x:t xml:space="preserve">Marine pelagic fishes not identified</x:t>
        </x:is>
      </x:c>
      <x:c r="B333" s="2" t="inlineStr">
        <x:is>
          <x:t xml:space="preserve">Juvenile large pelagic fish</x:t>
        </x:is>
      </x:c>
      <x:c r="C333" s="2">
        <x:v>30</x:v>
      </x:c>
      <x:c r="D333" s="8">
        <x:v>0.7384</x:v>
      </x:c>
      <x:c r="E333" s="8">
        <x:v>0.289</x:v>
      </x:c>
      <x:c r="F333" s="8" t="inlineStr">
        <x:is>
          <x:t xml:space="preserve">Model catch</x:t>
        </x:is>
      </x:c>
      <x:c r="G333" s="8">
        <x:f>SUMIFS($D$6:$D$681,$A$6:$A$681,A333)</x:f>
        <x:v>3.1655</x:v>
      </x:c>
      <x:c r="H333" s="9">
        <x:f>D333/G333</x:f>
        <x:v>0.233264887063655</x:v>
      </x:c>
      <x:c r="I333" s="2" t="inlineStr">
        <x:is>
          <x:t xml:space="preserve">Medium</x:t>
        </x:is>
      </x:c>
      <x:c r="J333"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33" s="1"/>
    </x:row>
    <x:row r="334" ht="105" customHeight="1">
      <x:c r="A334" s="2" t="inlineStr">
        <x:is>
          <x:t xml:space="preserve">Marine pelagic fishes not identified</x:t>
        </x:is>
      </x:c>
      <x:c r="B334" s="2" t="inlineStr">
        <x:is>
          <x:t xml:space="preserve">Pelagic fish (&gt; 30 cm)</x:t>
        </x:is>
      </x:c>
      <x:c r="C334" s="2">
        <x:v>31</x:v>
      </x:c>
      <x:c r="D334" s="8">
        <x:v>0.0821</x:v>
      </x:c>
      <x:c r="E334" s="8">
        <x:v>0.079</x:v>
      </x:c>
      <x:c r="F334" s="8" t="inlineStr">
        <x:is>
          <x:t xml:space="preserve">Model catch</x:t>
        </x:is>
      </x:c>
      <x:c r="G334" s="8">
        <x:f>SUMIFS($D$6:$D$681,$A$6:$A$681,A334)</x:f>
        <x:v>3.1655</x:v>
      </x:c>
      <x:c r="H334" s="9">
        <x:f>D334/G334</x:f>
        <x:v>0.025935871110409098</x:v>
      </x:c>
      <x:c r="I334" s="2" t="inlineStr">
        <x:is>
          <x:t xml:space="preserve">Medium</x:t>
        </x:is>
      </x:c>
      <x:c r="J334" s="2" t="inlineStr">
        <x:is>
          <x:t xml:space="preserve">Exact-key ISSCAAP39 bony candidates only. Complete six-fleet landings+discards/model-pool proportions (W4,Medium) are assumed composition, not observed residual-label catch. Fixed1950–2019/allbases; overallVery low. Full source values/denominators/membership: Taxon appendix, canonical_source_export.json and allocation_audit.json.</x:t>
        </x:is>
      </x:c>
      <x:c r="K334" s="1"/>
    </x:row>
    <x:row r="335" ht="96" customHeight="1">
      <x:c r="A335" s="2"/>
      <x:c r="B335" s="2"/>
      <x:c r="C335" s="2"/>
      <x:c r="D335" s="8"/>
      <x:c r="E335" s="8"/>
      <x:c r="F335" s="8"/>
      <x:c r="G335" s="8"/>
      <x:c r="H335" s="9"/>
      <x:c r="I335" s="2"/>
      <x:c r="J335" s="2"/>
      <x:c r="K335" s="1"/>
    </x:row>
    <x:row r="336" ht="112" customHeight="1">
      <x:c r="A336" s="2" t="inlineStr">
        <x:is>
          <x:t xml:space="preserve">Megalaspis cordyla</x:t>
        </x:is>
      </x:c>
      <x:c r="B336" s="2" t="inlineStr">
        <x:is>
          <x:t xml:space="preserve">Juvenile large pelagic fish</x:t>
        </x:is>
      </x:c>
      <x:c r="C336" s="2">
        <x:v>30</x:v>
      </x:c>
      <x:c r="D336" s="8">
        <x:v>0.7384</x:v>
      </x:c>
      <x:c r="E336" s="8">
        <x:v>0.289</x:v>
      </x:c>
      <x:c r="F336" s="8" t="inlineStr">
        <x:is>
          <x:t xml:space="preserve">Model catch</x:t>
        </x:is>
      </x:c>
      <x:c r="G336" s="8">
        <x:f>SUMIFS($D$6:$D$681,$A$6:$A$681,A336)</x:f>
        <x:v>0.8205</x:v>
      </x:c>
      <x:c r="H336" s="9">
        <x:f>D336/G336</x:f>
        <x:v>0.8999390615478366</x:v>
      </x:c>
      <x:c r="I336" s="2" t="inlineStr">
        <x:is>
          <x:t xml:space="preserve">Medium</x:t>
        </x:is>
      </x:c>
      <x:c r="J336"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x:t>
        </x:is>
      </x:c>
      <x:c r="K336" s="1"/>
    </x:row>
    <x:row r="337" ht="112" customHeight="1">
      <x:c r="A337" s="2" t="inlineStr">
        <x:is>
          <x:t xml:space="preserve">Megalaspis cordyla</x:t>
        </x:is>
      </x:c>
      <x:c r="B337" s="2" t="inlineStr">
        <x:is>
          <x:t xml:space="preserve">Pelagic fish (&gt; 30 cm)</x:t>
        </x:is>
      </x:c>
      <x:c r="C337" s="2">
        <x:v>31</x:v>
      </x:c>
      <x:c r="D337" s="8">
        <x:v>0.0821</x:v>
      </x:c>
      <x:c r="E337" s="8">
        <x:v>0.079</x:v>
      </x:c>
      <x:c r="F337" s="8" t="inlineStr">
        <x:is>
          <x:t xml:space="preserve">Model catch</x:t>
        </x:is>
      </x:c>
      <x:c r="G337" s="8">
        <x:f>SUMIFS($D$6:$D$681,$A$6:$A$681,A337)</x:f>
        <x:v>0.8205</x:v>
      </x:c>
      <x:c r="H337" s="9">
        <x:f>D337/G337</x:f>
        <x:v>0.1000609384521633</x:v>
      </x:c>
      <x:c r="I337" s="2" t="inlineStr">
        <x:is>
          <x:t xml:space="preserve">Medium</x:t>
        </x:is>
      </x:c>
      <x:c r="J337"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x:t>
        </x:is>
      </x:c>
      <x:c r="K337" s="1"/>
    </x:row>
    <x:row r="338" ht="80" customHeight="1">
      <x:c r="A338" s="2" t="inlineStr">
        <x:is>
          <x:t xml:space="preserve">Megalops cyprinoides</x:t>
        </x:is>
      </x:c>
      <x:c r="B338" s="2" t="inlineStr">
        <x:is>
          <x:t xml:space="preserve">Benthopelagic fish</x:t>
        </x:is>
      </x:c>
      <x:c r="C338" s="2">
        <x:v>27</x:v>
      </x:c>
      <x:c r="D338" s="8">
        <x:v>0.6025</x:v>
      </x:c>
      <x:c r="E338" s="8">
        <x:v>0.922</x:v>
      </x:c>
      <x:c r="F338" s="8" t="inlineStr">
        <x:is>
          <x:t xml:space="preserve">No split</x:t>
        </x:is>
      </x:c>
      <x:c r="G338" s="8">
        <x:f>SUMIFS($D$6:$D$681,$A$6:$A$681,A338)</x:f>
        <x:v>0.6025</x:v>
      </x:c>
      <x:c r="H338" s="9">
        <x:f>1</x:f>
        <x:v>1.0</x:v>
      </x:c>
      <x:c r="I338" s="2" t="inlineStr">
        <x:is>
          <x:t xml:space="preserve">High</x:t>
        </x:is>
      </x:c>
      <x:c r="J338" s="2" t="inlineStr">
        <x:is>
          <x:t xml:space="preserve">Explicit benthopelagic ecology and maximum 150 cm TL support group 27 as an assumed ecological placement. Its large-species scope remains unresolved against the appendix; this correction does not claim that the two appendix pools were merged.</x:t>
        </x:is>
      </x:c>
      <x:c r="K338" s="1"/>
    </x:row>
    <x:row r="339" ht="72" customHeight="1">
      <x:c r="A339" s="2" t="inlineStr">
        <x:is>
          <x:t xml:space="preserve">Melicertus canaliculatus</x:t>
        </x:is>
      </x:c>
      <x:c r="B339" s="2" t="inlineStr">
        <x:is>
          <x:t xml:space="preserve">Shrimps</x:t>
        </x:is>
      </x:c>
      <x:c r="C339" s="2">
        <x:v>10</x:v>
      </x:c>
      <x:c r="D339" s="8">
        <x:v>0.6788</x:v>
      </x:c>
      <x:c r="E339" s="8">
        <x:v>0.194</x:v>
      </x:c>
      <x:c r="F339" s="8" t="inlineStr">
        <x:is>
          <x:t xml:space="preserve">No split</x:t>
        </x:is>
      </x:c>
      <x:c r="G339" s="8">
        <x:f>SUMIFS($D$6:$D$681,$A$6:$A$681,A339)</x:f>
        <x:v>0.6788</x:v>
      </x:c>
      <x:c r="H339" s="9">
        <x:f>1</x:f>
        <x:v>1</x:v>
      </x:c>
      <x:c r="I339" s="2" t="inlineStr">
        <x:is>
          <x:t xml:space="preserve">High</x:t>
        </x:is>
      </x:c>
      <x:c r="J339" s="2" t="inlineStr">
        <x:is>
          <x:t xml:space="preserve">Melicertus canaliculatus is a non-Acetes shrimp lineage. Shrimps is broader than the Metapenaeopsis mortality examples; the explicit Acetes/Zooplankton exception is excluded. No split is required.</x:t>
        </x:is>
      </x:c>
      <x:c r="K339" s="1"/>
    </x:row>
    <x:row r="340" ht="80" customHeight="1">
      <x:c r="A340" s="2" t="inlineStr">
        <x:is>
          <x:t xml:space="preserve">Mene maculata</x:t>
        </x:is>
      </x:c>
      <x:c r="B340" s="2" t="inlineStr">
        <x:is>
          <x:t xml:space="preserve">Benthopelagic fish</x:t>
        </x:is>
      </x:c>
      <x:c r="C340" s="2">
        <x:v>27</x:v>
      </x:c>
      <x:c r="D340" s="8">
        <x:v>0.6025</x:v>
      </x:c>
      <x:c r="E340" s="8">
        <x:v>0.922</x:v>
      </x:c>
      <x:c r="F340" s="8" t="inlineStr">
        <x:is>
          <x:t xml:space="preserve">No split</x:t>
        </x:is>
      </x:c>
      <x:c r="G340" s="8">
        <x:f>SUMIFS($D$6:$D$681,$A$6:$A$681,A340)</x:f>
        <x:v>0.6025</x:v>
      </x:c>
      <x:c r="H340" s="9">
        <x:f>1</x:f>
        <x:v>1</x:v>
      </x:c>
      <x:c r="I340" s="2" t="inlineStr">
        <x:is>
          <x:t xml:space="preserve">High</x:t>
        </x:is>
      </x:c>
      <x:c r="J340" s="2" t="inlineStr">
        <x:is>
          <x:t xml:space="preserve">Maximum 30 cm TL and independently documented benthopelagic habitat support the appendix small component, whose PB/QB closely match final 27. This is a supported ecological assignment, with the unexplained final group consolidation still documented. No split is required.</x:t>
        </x:is>
      </x:c>
      <x:c r="K340" s="1"/>
    </x:row>
    <x:row r="341" ht="80" customHeight="1">
      <x:c r="A341" s="2" t="inlineStr">
        <x:is>
          <x:t xml:space="preserve">Menidae</x:t>
        </x:is>
      </x:c>
      <x:c r="B341" s="2" t="inlineStr">
        <x:is>
          <x:t xml:space="preserve">Benthopelagic fish</x:t>
        </x:is>
      </x:c>
      <x:c r="C341" s="2">
        <x:v>27</x:v>
      </x:c>
      <x:c r="D341" s="8">
        <x:v>0.6025</x:v>
      </x:c>
      <x:c r="E341" s="8">
        <x:v>0.922</x:v>
      </x:c>
      <x:c r="F341" s="8" t="inlineStr">
        <x:is>
          <x:t xml:space="preserve">No split</x:t>
        </x:is>
      </x:c>
      <x:c r="G341" s="8">
        <x:f>SUMIFS($D$6:$D$681,$A$6:$A$681,A341)</x:f>
        <x:v>0.6025</x:v>
      </x:c>
      <x:c r="H341" s="9">
        <x:f>1</x:f>
        <x:v>1</x:v>
      </x:c>
      <x:c r="I341" s="2" t="inlineStr">
        <x:is>
          <x:t xml:space="preserve">High</x:t>
        </x:is>
      </x:c>
      <x:c r="J341" s="2" t="inlineStr">
        <x:is>
          <x:t xml:space="preserve">FAO recognizes one living species, Mene maculata, reaching 30 cm TL with documented benthopelagic habitat. It fits the appendix small component, whose P/B and Q/B closely match final group 27. This supports Medium membership; the final consolidation is still unexplained. No split is required.</x:t>
        </x:is>
      </x:c>
      <x:c r="K341" s="1"/>
    </x:row>
    <x:row r="342" ht="72" customHeight="1">
      <x:c r="A342" s="2" t="inlineStr">
        <x:is>
          <x:t xml:space="preserve">Meretrix lusoria</x:t>
        </x:is>
      </x:c>
      <x:c r="B342" s="2" t="inlineStr">
        <x:is>
          <x:t xml:space="preserve">Non-ceph molluscs</x:t>
        </x:is>
      </x:c>
      <x:c r="C342" s="2">
        <x:v>8</x:v>
      </x:c>
      <x:c r="D342" s="8">
        <x:v>0.7623</x:v>
      </x:c>
      <x:c r="E342" s="8">
        <x:v>2.68</x:v>
      </x:c>
      <x:c r="F342" s="8" t="inlineStr">
        <x:is>
          <x:t xml:space="preserve">No split</x:t>
        </x:is>
      </x:c>
      <x:c r="G342" s="8">
        <x:f>SUMIFS($D$6:$D$681,$A$6:$A$681,A342)</x:f>
        <x:v>0.7623</x:v>
      </x:c>
      <x:c r="H342" s="9">
        <x:f>1</x:f>
        <x:v>1</x:v>
      </x:c>
      <x:c r="I342" s="2" t="inlineStr">
        <x:is>
          <x:t xml:space="preserve">High</x:t>
        </x:is>
      </x:c>
      <x:c r="J342" s="2" t="inlineStr">
        <x:is>
          <x:t xml:space="preserve">Meretrix lusoria is a non-cephalopod mollusc. The source derives this catch by removing Cephalopoda from mollusc catch; no competing mollusc compartment contains this lineage. No split is required.</x:t>
        </x:is>
      </x:c>
      <x:c r="K342" s="1"/>
    </x:row>
    <x:row r="343" ht="72" customHeight="1">
      <x:c r="A343" s="2" t="inlineStr">
        <x:is>
          <x:t xml:space="preserve">Metapenaeus</x:t>
        </x:is>
      </x:c>
      <x:c r="B343" s="2" t="inlineStr">
        <x:is>
          <x:t xml:space="preserve">Shrimps</x:t>
        </x:is>
      </x:c>
      <x:c r="C343" s="2">
        <x:v>10</x:v>
      </x:c>
      <x:c r="D343" s="8">
        <x:v>0.6788</x:v>
      </x:c>
      <x:c r="E343" s="8">
        <x:v>0.194</x:v>
      </x:c>
      <x:c r="F343" s="8" t="inlineStr">
        <x:is>
          <x:t xml:space="preserve">No split</x:t>
        </x:is>
      </x:c>
      <x:c r="G343" s="8">
        <x:f>SUMIFS($D$6:$D$681,$A$6:$A$681,A343)</x:f>
        <x:v>0.6788</x:v>
      </x:c>
      <x:c r="H343" s="9">
        <x:f>1</x:f>
        <x:v>1</x:v>
      </x:c>
      <x:c r="I343" s="2" t="inlineStr">
        <x:is>
          <x:t xml:space="preserve">High</x:t>
        </x:is>
      </x:c>
      <x:c r="J343" s="2" t="inlineStr">
        <x:is>
          <x:t xml:space="preserve">Metapenaeus is a non-Acetes shrimp lineage. Shrimps is broader than the Metapenaeopsis mortality examples; the explicit Acetes/Zooplankton exception is excluded. No split is required.</x:t>
        </x:is>
      </x:c>
      <x:c r="K343" s="1"/>
    </x:row>
    <x:row r="344" ht="72" customHeight="1">
      <x:c r="A344" s="2" t="inlineStr">
        <x:is>
          <x:t xml:space="preserve">Metapenaeus affinis</x:t>
        </x:is>
      </x:c>
      <x:c r="B344" s="2" t="inlineStr">
        <x:is>
          <x:t xml:space="preserve">Shrimps</x:t>
        </x:is>
      </x:c>
      <x:c r="C344" s="2">
        <x:v>10</x:v>
      </x:c>
      <x:c r="D344" s="8">
        <x:v>0.6788</x:v>
      </x:c>
      <x:c r="E344" s="8">
        <x:v>0.194</x:v>
      </x:c>
      <x:c r="F344" s="8" t="inlineStr">
        <x:is>
          <x:t xml:space="preserve">No split</x:t>
        </x:is>
      </x:c>
      <x:c r="G344" s="8">
        <x:f>SUMIFS($D$6:$D$681,$A$6:$A$681,A344)</x:f>
        <x:v>0.6788</x:v>
      </x:c>
      <x:c r="H344" s="9">
        <x:f>1</x:f>
        <x:v>1</x:v>
      </x:c>
      <x:c r="I344" s="2" t="inlineStr">
        <x:is>
          <x:t xml:space="preserve">High</x:t>
        </x:is>
      </x:c>
      <x:c r="J344" s="2" t="inlineStr">
        <x:is>
          <x:t xml:space="preserve">Metapenaeus affinis is a non-Acetes shrimp lineage. Shrimps is broader than the Metapenaeopsis mortality examples; the explicit Acetes/Zooplankton exception is excluded. No split is required.</x:t>
        </x:is>
      </x:c>
      <x:c r="K344" s="1"/>
    </x:row>
    <x:row r="345" ht="72" customHeight="1">
      <x:c r="A345" s="2" t="inlineStr">
        <x:is>
          <x:t xml:space="preserve">Metapenaeus ensis</x:t>
        </x:is>
      </x:c>
      <x:c r="B345" s="2" t="inlineStr">
        <x:is>
          <x:t xml:space="preserve">Shrimps</x:t>
        </x:is>
      </x:c>
      <x:c r="C345" s="2">
        <x:v>10</x:v>
      </x:c>
      <x:c r="D345" s="8">
        <x:v>0.6788</x:v>
      </x:c>
      <x:c r="E345" s="8">
        <x:v>0.194</x:v>
      </x:c>
      <x:c r="F345" s="8" t="inlineStr">
        <x:is>
          <x:t xml:space="preserve">No split</x:t>
        </x:is>
      </x:c>
      <x:c r="G345" s="8">
        <x:f>SUMIFS($D$6:$D$681,$A$6:$A$681,A345)</x:f>
        <x:v>0.6788</x:v>
      </x:c>
      <x:c r="H345" s="9">
        <x:f>1</x:f>
        <x:v>1</x:v>
      </x:c>
      <x:c r="I345" s="2" t="inlineStr">
        <x:is>
          <x:t xml:space="preserve">High</x:t>
        </x:is>
      </x:c>
      <x:c r="J345" s="2" t="inlineStr">
        <x:is>
          <x:t xml:space="preserve">Metapenaeus ensis is a non-Acetes shrimp lineage. Shrimps is broader than the Metapenaeopsis mortality examples; the explicit Acetes/Zooplankton exception is excluded. No split is required.</x:t>
        </x:is>
      </x:c>
      <x:c r="K345" s="1"/>
    </x:row>
    <x:row r="346" ht="72" customHeight="1">
      <x:c r="A346" s="2" t="inlineStr">
        <x:is>
          <x:t xml:space="preserve">Metapenaeus joyneri</x:t>
        </x:is>
      </x:c>
      <x:c r="B346" s="2" t="inlineStr">
        <x:is>
          <x:t xml:space="preserve">Shrimps</x:t>
        </x:is>
      </x:c>
      <x:c r="C346" s="2">
        <x:v>10</x:v>
      </x:c>
      <x:c r="D346" s="8">
        <x:v>0.6788</x:v>
      </x:c>
      <x:c r="E346" s="8">
        <x:v>0.194</x:v>
      </x:c>
      <x:c r="F346" s="8" t="inlineStr">
        <x:is>
          <x:t xml:space="preserve">No split</x:t>
        </x:is>
      </x:c>
      <x:c r="G346" s="8">
        <x:f>SUMIFS($D$6:$D$681,$A$6:$A$681,A346)</x:f>
        <x:v>0.6788</x:v>
      </x:c>
      <x:c r="H346" s="9">
        <x:f>1</x:f>
        <x:v>1</x:v>
      </x:c>
      <x:c r="I346" s="2" t="inlineStr">
        <x:is>
          <x:t xml:space="preserve">High</x:t>
        </x:is>
      </x:c>
      <x:c r="J346" s="2" t="inlineStr">
        <x:is>
          <x:t xml:space="preserve">Metapenaeus joyneri is a non-Acetes shrimp lineage. Shrimps is broader than the Metapenaeopsis mortality examples; the explicit Acetes/Zooplankton exception is excluded. No split is required.</x:t>
        </x:is>
      </x:c>
      <x:c r="K346" s="1"/>
    </x:row>
    <x:row r="347" ht="72" customHeight="1">
      <x:c r="A347" s="2" t="inlineStr">
        <x:is>
          <x:t xml:space="preserve">Metapenaeus tenuipes</x:t>
        </x:is>
      </x:c>
      <x:c r="B347" s="2" t="inlineStr">
        <x:is>
          <x:t xml:space="preserve">Shrimps</x:t>
        </x:is>
      </x:c>
      <x:c r="C347" s="2">
        <x:v>10</x:v>
      </x:c>
      <x:c r="D347" s="8">
        <x:v>0.6788</x:v>
      </x:c>
      <x:c r="E347" s="8">
        <x:v>0.194</x:v>
      </x:c>
      <x:c r="F347" s="8" t="inlineStr">
        <x:is>
          <x:t xml:space="preserve">No split</x:t>
        </x:is>
      </x:c>
      <x:c r="G347" s="8">
        <x:f>SUMIFS($D$6:$D$681,$A$6:$A$681,A347)</x:f>
        <x:v>0.6788</x:v>
      </x:c>
      <x:c r="H347" s="9">
        <x:f>1</x:f>
        <x:v>1</x:v>
      </x:c>
      <x:c r="I347" s="2" t="inlineStr">
        <x:is>
          <x:t xml:space="preserve">High</x:t>
        </x:is>
      </x:c>
      <x:c r="J347" s="2" t="inlineStr">
        <x:is>
          <x:t xml:space="preserve">Metapenaeus tenuipes is a non-Acetes shrimp lineage. Shrimps is broader than the Metapenaeopsis mortality examples; the explicit Acetes/Zooplankton exception is excluded. No split is required.</x:t>
        </x:is>
      </x:c>
      <x:c r="K347" s="1"/>
    </x:row>
    <x:row r="348" ht="72" customHeight="1">
      <x:c r="A348" s="2" t="inlineStr">
        <x:is>
          <x:t xml:space="preserve">Mierspenaeopsis hardwickii</x:t>
        </x:is>
      </x:c>
      <x:c r="B348" s="2" t="inlineStr">
        <x:is>
          <x:t xml:space="preserve">Shrimps</x:t>
        </x:is>
      </x:c>
      <x:c r="C348" s="2">
        <x:v>10</x:v>
      </x:c>
      <x:c r="D348" s="8">
        <x:v>0.6788</x:v>
      </x:c>
      <x:c r="E348" s="8">
        <x:v>0.194</x:v>
      </x:c>
      <x:c r="F348" s="8" t="inlineStr">
        <x:is>
          <x:t xml:space="preserve">No split</x:t>
        </x:is>
      </x:c>
      <x:c r="G348" s="8">
        <x:f>SUMIFS($D$6:$D$681,$A$6:$A$681,A348)</x:f>
        <x:v>0.6788</x:v>
      </x:c>
      <x:c r="H348" s="9">
        <x:f>1</x:f>
        <x:v>1</x:v>
      </x:c>
      <x:c r="I348" s="2" t="inlineStr">
        <x:is>
          <x:t xml:space="preserve">High</x:t>
        </x:is>
      </x:c>
      <x:c r="J348" s="2" t="inlineStr">
        <x:is>
          <x:t xml:space="preserve">Mierspenaeopsis hardwickii is a non-Acetes shrimp lineage. Shrimps is broader than the Metapenaeopsis mortality examples; the explicit Acetes/Zooplankton exception is excluded. No split is required.</x:t>
        </x:is>
      </x:c>
      <x:c r="K348" s="1"/>
    </x:row>
    <x:row r="349" ht="72" customHeight="1">
      <x:c r="A349" s="2" t="inlineStr">
        <x:is>
          <x:t xml:space="preserve">Mierspenaeopsis sculptilis</x:t>
        </x:is>
      </x:c>
      <x:c r="B349" s="2" t="inlineStr">
        <x:is>
          <x:t xml:space="preserve">Shrimps</x:t>
        </x:is>
      </x:c>
      <x:c r="C349" s="2">
        <x:v>10</x:v>
      </x:c>
      <x:c r="D349" s="8">
        <x:v>0.6788</x:v>
      </x:c>
      <x:c r="E349" s="8">
        <x:v>0.194</x:v>
      </x:c>
      <x:c r="F349" s="8" t="inlineStr">
        <x:is>
          <x:t xml:space="preserve">No split</x:t>
        </x:is>
      </x:c>
      <x:c r="G349" s="8">
        <x:f>SUMIFS($D$6:$D$681,$A$6:$A$681,A349)</x:f>
        <x:v>0.6788</x:v>
      </x:c>
      <x:c r="H349" s="9">
        <x:f>1</x:f>
        <x:v>1</x:v>
      </x:c>
      <x:c r="I349" s="2" t="inlineStr">
        <x:is>
          <x:t xml:space="preserve">High</x:t>
        </x:is>
      </x:c>
      <x:c r="J349" s="2" t="inlineStr">
        <x:is>
          <x:t xml:space="preserve">Mierspenaeopsis sculptilis is a non-Acetes shrimp lineage. Shrimps is broader than the Metapenaeopsis mortality examples; the explicit Acetes/Zooplankton exception is excluded. No split is required.</x:t>
        </x:is>
      </x:c>
      <x:c r="K349" s="1"/>
    </x:row>
    <x:row r="350" ht="80" customHeight="1">
      <x:c r="A350" s="2" t="inlineStr">
        <x:is>
          <x:t xml:space="preserve">Miichthys miiuy</x:t>
        </x:is>
      </x:c>
      <x:c r="B350" s="2" t="inlineStr">
        <x:is>
          <x:t xml:space="preserve">Juvenile large croakers</x:t>
        </x:is>
      </x:c>
      <x:c r="C350" s="2">
        <x:v>22</x:v>
      </x:c>
      <x:c r="D350" s="8">
        <x:v>0.071</x:v>
      </x:c>
      <x:c r="E350" s="8">
        <x:v>0.04</x:v>
      </x:c>
      <x:c r="F350" s="8" t="inlineStr">
        <x:is>
          <x:t xml:space="preserve">Model catch</x:t>
        </x:is>
      </x:c>
      <x:c r="G350" s="8">
        <x:f>SUMIFS($D$6:$D$681,$A$6:$A$681,A350)</x:f>
        <x:v>0.07899999999999999</x:v>
      </x:c>
      <x:c r="H350" s="9">
        <x:f>D350/G350</x:f>
        <x:v>0.8987341772151899</x:v>
      </x:c>
      <x:c r="I350" s="2" t="inlineStr">
        <x:is>
          <x:t xml:space="preserve">Medium</x:t>
        </x:is>
      </x:c>
      <x:c r="J350" s="2" t="inlineStr">
        <x:is>
          <x:t xml:space="preserve">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x:t>
        </x:is>
      </x:c>
      <x:c r="K350" s="1"/>
    </x:row>
    <x:row r="351" ht="80" customHeight="1">
      <x:c r="A351" s="2" t="inlineStr">
        <x:is>
          <x:t xml:space="preserve">Miichthys miiuy</x:t>
        </x:is>
      </x:c>
      <x:c r="B351" s="2" t="inlineStr">
        <x:is>
          <x:t xml:space="preserve">Croakers (&gt; 30 cm)</x:t>
        </x:is>
      </x:c>
      <x:c r="C351" s="2">
        <x:v>23</x:v>
      </x:c>
      <x:c r="D351" s="8">
        <x:v>0.008</x:v>
      </x:c>
      <x:c r="E351" s="8">
        <x:v>0.0094</x:v>
      </x:c>
      <x:c r="F351" s="8" t="inlineStr">
        <x:is>
          <x:t xml:space="preserve">Model catch</x:t>
        </x:is>
      </x:c>
      <x:c r="G351" s="8">
        <x:f>SUMIFS($D$6:$D$681,$A$6:$A$681,A351)</x:f>
        <x:v>0.07899999999999999</x:v>
      </x:c>
      <x:c r="H351" s="9">
        <x:f>D351/G351</x:f>
        <x:v>0.1012658227848101</x:v>
      </x:c>
      <x:c r="I351" s="2" t="inlineStr">
        <x:is>
          <x:t xml:space="preserve">Medium</x:t>
        </x:is>
      </x:c>
      <x:c r="J351" s="2" t="inlineStr">
        <x:is>
          <x:t xml:space="preserve">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x:t>
        </x:is>
      </x:c>
      <x:c r="K351" s="1"/>
    </x:row>
    <x:row r="352" ht="96" customHeight="1">
      <x:c r="A352" s="2" t="inlineStr">
        <x:is>
          <x:t xml:space="preserve">Miscellaneous aquatic invertebrates</x:t>
        </x:is>
      </x:c>
      <x:c r="B352" s="2" t="inlineStr">
        <x:is>
          <x:t xml:space="preserve">Polychaetes</x:t>
        </x:is>
      </x:c>
      <x:c r="C352" s="2">
        <x:v>5</x:v>
      </x:c>
      <x:c r="D352" s="8">
        <x:v>0.0</x:v>
      </x:c>
      <x:c r="E352" s="8">
        <x:v>2.24</x:v>
      </x:c>
      <x:c r="F352" s="8" t="inlineStr">
        <x:is>
          <x:t xml:space="preserve">Model catch</x:t>
        </x:is>
      </x:c>
      <x:c r="G352" s="8">
        <x:f>SUMIFS($D$6:$D$681,$A$6:$A$681,A352)</x:f>
        <x:v>1.9583</x:v>
      </x:c>
      <x:c r="H352" s="9">
        <x:f>D352/G352</x:f>
        <x:v>0.0</x:v>
      </x:c>
      <x:c r="I352" s="2" t="inlineStr">
        <x:is>
          <x:t xml:space="preserve">Medium</x:t>
        </x:is>
      </x:c>
      <x:c r="J352"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K352" s="1"/>
    </x:row>
    <x:row r="353" ht="96" customHeight="1">
      <x:c r="A353" s="2" t="inlineStr">
        <x:is>
          <x:t xml:space="preserve">Miscellaneous aquatic invertebrates</x:t>
        </x:is>
      </x:c>
      <x:c r="B353" s="2" t="inlineStr">
        <x:is>
          <x:t xml:space="preserve">Echinoderms</x:t>
        </x:is>
      </x:c>
      <x:c r="C353" s="2">
        <x:v>6</x:v>
      </x:c>
      <x:c r="D353" s="8">
        <x:v>0.0021</x:v>
      </x:c>
      <x:c r="E353" s="8">
        <x:v>1.98</x:v>
      </x:c>
      <x:c r="F353" s="8" t="inlineStr">
        <x:is>
          <x:t xml:space="preserve">Model catch</x:t>
        </x:is>
      </x:c>
      <x:c r="G353" s="8">
        <x:f>SUMIFS($D$6:$D$681,$A$6:$A$681,A353)</x:f>
        <x:v>1.9583</x:v>
      </x:c>
      <x:c r="H353" s="9">
        <x:f>D353/G353</x:f>
        <x:v>0.0010723586784455905</x:v>
      </x:c>
      <x:c r="I353" s="2" t="inlineStr">
        <x:is>
          <x:t xml:space="preserve">Medium</x:t>
        </x:is>
      </x:c>
      <x:c r="J353"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K353" s="1"/>
    </x:row>
    <x:row r="354" ht="96" customHeight="1">
      <x:c r="A354" s="2" t="inlineStr">
        <x:is>
          <x:t xml:space="preserve">Miscellaneous aquatic invertebrates</x:t>
        </x:is>
      </x:c>
      <x:c r="B354" s="2" t="inlineStr">
        <x:is>
          <x:t xml:space="preserve">Benthic crustaceans</x:t>
        </x:is>
      </x:c>
      <x:c r="C354" s="2">
        <x:v>7</x:v>
      </x:c>
      <x:c r="D354" s="8">
        <x:v>0.0391</x:v>
      </x:c>
      <x:c r="E354" s="8">
        <x:v>1.43</x:v>
      </x:c>
      <x:c r="F354" s="8" t="inlineStr">
        <x:is>
          <x:t xml:space="preserve">Model catch</x:t>
        </x:is>
      </x:c>
      <x:c r="G354" s="8">
        <x:f>SUMIFS($D$6:$D$681,$A$6:$A$681,A354)</x:f>
        <x:v>1.9583</x:v>
      </x:c>
      <x:c r="H354" s="9">
        <x:f>D354/G354</x:f>
        <x:v>0.019966297298677427</x:v>
      </x:c>
      <x:c r="I354" s="2" t="inlineStr">
        <x:is>
          <x:t xml:space="preserve">Medium</x:t>
        </x:is>
      </x:c>
      <x:c r="J354"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K354" s="1"/>
    </x:row>
    <x:row r="355" ht="96" customHeight="1">
      <x:c r="A355" s="2" t="inlineStr">
        <x:is>
          <x:t xml:space="preserve">Miscellaneous aquatic invertebrates</x:t>
        </x:is>
      </x:c>
      <x:c r="B355" s="2" t="inlineStr">
        <x:is>
          <x:t xml:space="preserve">Non-ceph molluscs</x:t>
        </x:is>
      </x:c>
      <x:c r="C355" s="2">
        <x:v>8</x:v>
      </x:c>
      <x:c r="D355" s="8">
        <x:v>0.7623</x:v>
      </x:c>
      <x:c r="E355" s="8">
        <x:v>2.68</x:v>
      </x:c>
      <x:c r="F355" s="8" t="inlineStr">
        <x:is>
          <x:t xml:space="preserve">Model catch</x:t>
        </x:is>
      </x:c>
      <x:c r="G355" s="8">
        <x:f>SUMIFS($D$6:$D$681,$A$6:$A$681,A355)</x:f>
        <x:v>1.9583</x:v>
      </x:c>
      <x:c r="H355" s="9">
        <x:f>D355/G355</x:f>
        <x:v>0.3892662002757494</x:v>
      </x:c>
      <x:c r="I355" s="2" t="inlineStr">
        <x:is>
          <x:t xml:space="preserve">Medium</x:t>
        </x:is>
      </x:c>
      <x:c r="J355"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K355" s="1"/>
    </x:row>
    <x:row r="356" ht="96" customHeight="1">
      <x:c r="A356" s="2" t="inlineStr">
        <x:is>
          <x:t xml:space="preserve">Miscellaneous aquatic invertebrates</x:t>
        </x:is>
      </x:c>
      <x:c r="B356" s="2" t="inlineStr">
        <x:is>
          <x:t xml:space="preserve">Sessile/other invertebrates</x:t>
        </x:is>
      </x:c>
      <x:c r="C356" s="2">
        <x:v>9</x:v>
      </x:c>
      <x:c r="D356" s="8">
        <x:v>0.003</x:v>
      </x:c>
      <x:c r="E356" s="8">
        <x:v>2.61</x:v>
      </x:c>
      <x:c r="F356" s="8" t="inlineStr">
        <x:is>
          <x:t xml:space="preserve">Model catch</x:t>
        </x:is>
      </x:c>
      <x:c r="G356" s="8">
        <x:f>SUMIFS($D$6:$D$681,$A$6:$A$681,A356)</x:f>
        <x:v>1.9583</x:v>
      </x:c>
      <x:c r="H356" s="9">
        <x:f>D356/G356</x:f>
        <x:v>0.0015319409692079865</x:v>
      </x:c>
      <x:c r="I356" s="2" t="inlineStr">
        <x:is>
          <x:t xml:space="preserve">Medium</x:t>
        </x:is>
      </x:c>
      <x:c r="J356"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K356" s="1"/>
    </x:row>
    <x:row r="357" ht="96" customHeight="1">
      <x:c r="A357" s="2" t="inlineStr">
        <x:is>
          <x:t xml:space="preserve">Miscellaneous aquatic invertebrates</x:t>
        </x:is>
      </x:c>
      <x:c r="B357" s="2" t="inlineStr">
        <x:is>
          <x:t xml:space="preserve">Shrimps</x:t>
        </x:is>
      </x:c>
      <x:c r="C357" s="2">
        <x:v>10</x:v>
      </x:c>
      <x:c r="D357" s="8">
        <x:v>0.6788</x:v>
      </x:c>
      <x:c r="E357" s="8">
        <x:v>0.194</x:v>
      </x:c>
      <x:c r="F357" s="8" t="inlineStr">
        <x:is>
          <x:t xml:space="preserve">Model catch</x:t>
        </x:is>
      </x:c>
      <x:c r="G357" s="8">
        <x:f>SUMIFS($D$6:$D$681,$A$6:$A$681,A357)</x:f>
        <x:v>1.9583</x:v>
      </x:c>
      <x:c r="H357" s="9">
        <x:f>D357/G357</x:f>
        <x:v>0.34662717663279374</x:v>
      </x:c>
      <x:c r="I357" s="2" t="inlineStr">
        <x:is>
          <x:t xml:space="preserve">Medium</x:t>
        </x:is>
      </x:c>
      <x:c r="J357"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K357" s="1"/>
    </x:row>
    <x:row r="358" ht="96" customHeight="1">
      <x:c r="A358" s="2" t="inlineStr">
        <x:is>
          <x:t xml:space="preserve">Miscellaneous aquatic invertebrates</x:t>
        </x:is>
      </x:c>
      <x:c r="B358" s="2" t="inlineStr">
        <x:is>
          <x:t xml:space="preserve">Crabs</x:t>
        </x:is>
      </x:c>
      <x:c r="C358" s="2">
        <x:v>11</x:v>
      </x:c>
      <x:c r="D358" s="8">
        <x:v>0.1997</x:v>
      </x:c>
      <x:c r="E358" s="8">
        <x:v>0.368</x:v>
      </x:c>
      <x:c r="F358" s="8" t="inlineStr">
        <x:is>
          <x:t xml:space="preserve">Model catch</x:t>
        </x:is>
      </x:c>
      <x:c r="G358" s="8">
        <x:f>SUMIFS($D$6:$D$681,$A$6:$A$681,A358)</x:f>
        <x:v>1.9583</x:v>
      </x:c>
      <x:c r="H358" s="9">
        <x:f>D358/G358</x:f>
        <x:v>0.1019762038502783</x:v>
      </x:c>
      <x:c r="I358" s="2" t="inlineStr">
        <x:is>
          <x:t xml:space="preserve">Medium</x:t>
        </x:is>
      </x:c>
      <x:c r="J358"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K358" s="1"/>
    </x:row>
    <x:row r="359" ht="96" customHeight="1">
      <x:c r="A359" s="2" t="inlineStr">
        <x:is>
          <x:t xml:space="preserve">Miscellaneous aquatic invertebrates</x:t>
        </x:is>
      </x:c>
      <x:c r="B359" s="2" t="inlineStr">
        <x:is>
          <x:t xml:space="preserve">Cephalopods</x:t>
        </x:is>
      </x:c>
      <x:c r="C359" s="2">
        <x:v>12</x:v>
      </x:c>
      <x:c r="D359" s="8">
        <x:v>0.2733</x:v>
      </x:c>
      <x:c r="E359" s="8">
        <x:v>0.68</x:v>
      </x:c>
      <x:c r="F359" s="8" t="inlineStr">
        <x:is>
          <x:t xml:space="preserve">Model catch</x:t>
        </x:is>
      </x:c>
      <x:c r="G359" s="8">
        <x:f>SUMIFS($D$6:$D$681,$A$6:$A$681,A359)</x:f>
        <x:v>1.9583</x:v>
      </x:c>
      <x:c r="H359" s="9">
        <x:f>D359/G359</x:f>
        <x:v>0.13955982229484756</x:v>
      </x:c>
      <x:c r="I359" s="2" t="inlineStr">
        <x:is>
          <x:t xml:space="preserve">Medium</x:t>
        </x:is>
      </x:c>
      <x:c r="J359" s="2" t="inlineStr">
        <x:is>
          <x:t xml:space="preserve">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t>
        </x:is>
      </x:c>
      <x:c r="K359" s="1"/>
    </x:row>
    <x:row r="360" ht="80" customHeight="1">
      <x:c r="A360" s="2" t="inlineStr">
        <x:is>
          <x:t xml:space="preserve">Miscellaneous marine crustaceans</x:t>
        </x:is>
      </x:c>
      <x:c r="B360" s="2" t="inlineStr">
        <x:is>
          <x:t xml:space="preserve">Zooplankton</x:t>
        </x:is>
      </x:c>
      <x:c r="C360" s="2">
        <x:v>3</x:v>
      </x:c>
      <x:c r="D360" s="8">
        <x:v>0.0948</x:v>
      </x:c>
      <x:c r="E360" s="8">
        <x:v>9.0</x:v>
      </x:c>
      <x:c r="F360" s="8" t="inlineStr">
        <x:is>
          <x:t xml:space="preserve">Model catch</x:t>
        </x:is>
      </x:c>
      <x:c r="G360" s="8">
        <x:f>SUMIFS($D$6:$D$681,$A$6:$A$681,A360)</x:f>
        <x:v>1.0124</x:v>
      </x:c>
      <x:c r="H360" s="9">
        <x:f>D360/G360</x:f>
        <x:v>0.09363887791386803</x:v>
      </x:c>
      <x:c r="I360" s="2" t="inlineStr">
        <x:is>
          <x:t xml:space="preserve">Medium</x:t>
        </x:is>
      </x:c>
      <x:c r="J360"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360" s="1"/>
    </x:row>
    <x:row r="361" ht="80" customHeight="1">
      <x:c r="A361" s="2" t="inlineStr">
        <x:is>
          <x:t xml:space="preserve">Miscellaneous marine crustaceans</x:t>
        </x:is>
      </x:c>
      <x:c r="B361" s="2" t="inlineStr">
        <x:is>
          <x:t xml:space="preserve">Benthic crustaceans</x:t>
        </x:is>
      </x:c>
      <x:c r="C361" s="2">
        <x:v>7</x:v>
      </x:c>
      <x:c r="D361" s="8">
        <x:v>0.0391</x:v>
      </x:c>
      <x:c r="E361" s="8">
        <x:v>1.43</x:v>
      </x:c>
      <x:c r="F361" s="8" t="inlineStr">
        <x:is>
          <x:t xml:space="preserve">Model catch</x:t>
        </x:is>
      </x:c>
      <x:c r="G361" s="8">
        <x:f>SUMIFS($D$6:$D$681,$A$6:$A$681,A361)</x:f>
        <x:v>1.0124</x:v>
      </x:c>
      <x:c r="H361" s="9">
        <x:f>D361/G361</x:f>
        <x:v>0.03862109838008693</x:v>
      </x:c>
      <x:c r="I361" s="2" t="inlineStr">
        <x:is>
          <x:t xml:space="preserve">Medium</x:t>
        </x:is>
      </x:c>
      <x:c r="J361"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361" s="1"/>
    </x:row>
    <x:row r="362" ht="80" customHeight="1">
      <x:c r="A362" s="2" t="inlineStr">
        <x:is>
          <x:t xml:space="preserve">Miscellaneous marine crustaceans</x:t>
        </x:is>
      </x:c>
      <x:c r="B362" s="2" t="inlineStr">
        <x:is>
          <x:t xml:space="preserve">Shrimps</x:t>
        </x:is>
      </x:c>
      <x:c r="C362" s="2">
        <x:v>10</x:v>
      </x:c>
      <x:c r="D362" s="8">
        <x:v>0.6788</x:v>
      </x:c>
      <x:c r="E362" s="8">
        <x:v>0.194</x:v>
      </x:c>
      <x:c r="F362" s="8" t="inlineStr">
        <x:is>
          <x:t xml:space="preserve">Model catch</x:t>
        </x:is>
      </x:c>
      <x:c r="G362" s="8">
        <x:f>SUMIFS($D$6:$D$681,$A$6:$A$681,A362)</x:f>
        <x:v>1.0124</x:v>
      </x:c>
      <x:c r="H362" s="9">
        <x:f>D362/G362</x:f>
        <x:v>0.6704859739233504</x:v>
      </x:c>
      <x:c r="I362" s="2" t="inlineStr">
        <x:is>
          <x:t xml:space="preserve">Medium</x:t>
        </x:is>
      </x:c>
      <x:c r="J362"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362" s="1"/>
    </x:row>
    <x:row r="363" ht="80" customHeight="1">
      <x:c r="A363" s="2" t="inlineStr">
        <x:is>
          <x:t xml:space="preserve">Miscellaneous marine crustaceans</x:t>
        </x:is>
      </x:c>
      <x:c r="B363" s="2" t="inlineStr">
        <x:is>
          <x:t xml:space="preserve">Crabs</x:t>
        </x:is>
      </x:c>
      <x:c r="C363" s="2">
        <x:v>11</x:v>
      </x:c>
      <x:c r="D363" s="8">
        <x:v>0.1997</x:v>
      </x:c>
      <x:c r="E363" s="8">
        <x:v>0.368</x:v>
      </x:c>
      <x:c r="F363" s="8" t="inlineStr">
        <x:is>
          <x:t xml:space="preserve">Model catch</x:t>
        </x:is>
      </x:c>
      <x:c r="G363" s="8">
        <x:f>SUMIFS($D$6:$D$681,$A$6:$A$681,A363)</x:f>
        <x:v>1.0124</x:v>
      </x:c>
      <x:c r="H363" s="9">
        <x:f>D363/G363</x:f>
        <x:v>0.1972540497826946</x:v>
      </x:c>
      <x:c r="I363" s="2" t="inlineStr">
        <x:is>
          <x:t xml:space="preserve">Medium</x:t>
        </x:is>
      </x:c>
      <x:c r="J363" s="2" t="inlineStr">
        <x:is>
          <x:t xml:space="preserve">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t>
        </x:is>
      </x:c>
      <x:c r="K363" s="1"/>
    </x:row>
    <x:row r="364" ht="72" customHeight="1">
      <x:c r="A364" s="2" t="inlineStr">
        <x:is>
          <x:t xml:space="preserve">Mizuhopecten yessoensis</x:t>
        </x:is>
      </x:c>
      <x:c r="B364" s="2" t="inlineStr">
        <x:is>
          <x:t xml:space="preserve">Non-ceph molluscs</x:t>
        </x:is>
      </x:c>
      <x:c r="C364" s="2">
        <x:v>8</x:v>
      </x:c>
      <x:c r="D364" s="8">
        <x:v>0.7623</x:v>
      </x:c>
      <x:c r="E364" s="8">
        <x:v>2.68</x:v>
      </x:c>
      <x:c r="F364" s="8" t="inlineStr">
        <x:is>
          <x:t xml:space="preserve">No split</x:t>
        </x:is>
      </x:c>
      <x:c r="G364" s="8">
        <x:f>SUMIFS($D$6:$D$681,$A$6:$A$681,A364)</x:f>
        <x:v>0.7623</x:v>
      </x:c>
      <x:c r="H364" s="9">
        <x:f>1</x:f>
        <x:v>1</x:v>
      </x:c>
      <x:c r="I364" s="2" t="inlineStr">
        <x:is>
          <x:t xml:space="preserve">High</x:t>
        </x:is>
      </x:c>
      <x:c r="J364" s="2" t="inlineStr">
        <x:is>
          <x:t xml:space="preserve">Mizuhopecten yessoensis is a non-cephalopod mollusc. The source derives this catch by removing Cephalopoda from mollusc catch; no competing mollusc compartment contains this lineage. No split is required.</x:t>
        </x:is>
      </x:c>
      <x:c r="K364" s="1"/>
    </x:row>
    <x:row r="365" ht="72" customHeight="1">
      <x:c r="A365" s="2" t="inlineStr">
        <x:is>
          <x:t xml:space="preserve">Modiolus</x:t>
        </x:is>
      </x:c>
      <x:c r="B365" s="2" t="inlineStr">
        <x:is>
          <x:t xml:space="preserve">Non-ceph molluscs</x:t>
        </x:is>
      </x:c>
      <x:c r="C365" s="2">
        <x:v>8</x:v>
      </x:c>
      <x:c r="D365" s="8">
        <x:v>0.7623</x:v>
      </x:c>
      <x:c r="E365" s="8">
        <x:v>2.68</x:v>
      </x:c>
      <x:c r="F365" s="8" t="inlineStr">
        <x:is>
          <x:t xml:space="preserve">No split</x:t>
        </x:is>
      </x:c>
      <x:c r="G365" s="8">
        <x:f>SUMIFS($D$6:$D$681,$A$6:$A$681,A365)</x:f>
        <x:v>0.7623</x:v>
      </x:c>
      <x:c r="H365" s="9">
        <x:f>1</x:f>
        <x:v>1</x:v>
      </x:c>
      <x:c r="I365" s="2" t="inlineStr">
        <x:is>
          <x:t xml:space="preserve">High</x:t>
        </x:is>
      </x:c>
      <x:c r="J365" s="2" t="inlineStr">
        <x:is>
          <x:t xml:space="preserve">Modiolus is a non-cephalopod mollusc. The source derives this catch by removing Cephalopoda from mollusc catch; no competing mollusc compartment contains this lineage. No split is required.</x:t>
        </x:is>
      </x:c>
      <x:c r="K365" s="1"/>
    </x:row>
    <x:row r="366" ht="128" customHeight="1">
      <x:c r="A366" s="2" t="inlineStr">
        <x:is>
          <x:t xml:space="preserve">Mola mola</x:t>
        </x:is>
      </x:c>
      <x:c r="B366" s="2" t="inlineStr">
        <x:is>
          <x:t xml:space="preserve">Juvenile large pelagic fish</x:t>
        </x:is>
      </x:c>
      <x:c r="C366" s="2">
        <x:v>30</x:v>
      </x:c>
      <x:c r="D366" s="8">
        <x:v>0.7384</x:v>
      </x:c>
      <x:c r="E366" s="8">
        <x:v>0.289</x:v>
      </x:c>
      <x:c r="F366" s="8" t="inlineStr">
        <x:is>
          <x:t xml:space="preserve">Model catch</x:t>
        </x:is>
      </x:c>
      <x:c r="G366" s="8">
        <x:f>SUMIFS($D$6:$D$681,$A$6:$A$681,A366)</x:f>
        <x:v>0.8205</x:v>
      </x:c>
      <x:c r="H366" s="9">
        <x:f>D366/G366</x:f>
        <x:v>0.8999390615478366</x:v>
      </x:c>
      <x:c r="I366" s="2" t="inlineStr">
        <x:is>
          <x:t xml:space="preserve">Medium</x:t>
        </x:is>
      </x:c>
      <x:c r="J366"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x:t>
        </x:is>
      </x:c>
      <x:c r="K366" s="1"/>
    </x:row>
    <x:row r="367" ht="128" customHeight="1">
      <x:c r="A367" s="2" t="inlineStr">
        <x:is>
          <x:t xml:space="preserve">Mola mola</x:t>
        </x:is>
      </x:c>
      <x:c r="B367" s="2" t="inlineStr">
        <x:is>
          <x:t xml:space="preserve">Pelagic fish (&gt; 30 cm)</x:t>
        </x:is>
      </x:c>
      <x:c r="C367" s="2">
        <x:v>31</x:v>
      </x:c>
      <x:c r="D367" s="8">
        <x:v>0.0821</x:v>
      </x:c>
      <x:c r="E367" s="8">
        <x:v>0.079</x:v>
      </x:c>
      <x:c r="F367" s="8" t="inlineStr">
        <x:is>
          <x:t xml:space="preserve">Model catch</x:t>
        </x:is>
      </x:c>
      <x:c r="G367" s="8">
        <x:f>SUMIFS($D$6:$D$681,$A$6:$A$681,A367)</x:f>
        <x:v>0.8205</x:v>
      </x:c>
      <x:c r="H367" s="9">
        <x:f>D367/G367</x:f>
        <x:v>0.1000609384521633</x:v>
      </x:c>
      <x:c r="I367" s="2" t="inlineStr">
        <x:is>
          <x:t xml:space="preserve">Medium</x:t>
        </x:is>
      </x:c>
      <x:c r="J36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x:t>
        </x:is>
      </x:c>
      <x:c r="K367" s="1"/>
    </x:row>
    <x:row r="368" ht="80" customHeight="1">
      <x:c r="A368" s="2" t="inlineStr">
        <x:is>
          <x:t xml:space="preserve">Mollusca</x:t>
        </x:is>
      </x:c>
      <x:c r="B368" s="2" t="inlineStr">
        <x:is>
          <x:t xml:space="preserve">Non-ceph molluscs</x:t>
        </x:is>
      </x:c>
      <x:c r="C368" s="2">
        <x:v>8</x:v>
      </x:c>
      <x:c r="D368" s="8">
        <x:v>0.7623</x:v>
      </x:c>
      <x:c r="E368" s="8">
        <x:v>2.68</x:v>
      </x:c>
      <x:c r="F368" s="8" t="inlineStr">
        <x:is>
          <x:t xml:space="preserve">Model catch</x:t>
        </x:is>
      </x:c>
      <x:c r="G368" s="8">
        <x:f>SUMIFS($D$6:$D$681,$A$6:$A$681,A368)</x:f>
        <x:v>1.0356</x:v>
      </x:c>
      <x:c r="H368" s="9">
        <x:f>D368/G368</x:f>
        <x:v>0.7360950173812282</x:v>
      </x:c>
      <x:c r="I368" s="2" t="inlineStr">
        <x:is>
          <x:t xml:space="preserve">Medium</x:t>
        </x:is>
      </x:c>
      <x:c r="J368" s="2" t="inlineStr">
        <x:is>
          <x:t xml:space="preserve">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x:t>
        </x:is>
      </x:c>
      <x:c r="K368" s="1"/>
    </x:row>
    <x:row r="369" ht="80" customHeight="1">
      <x:c r="A369" s="2" t="inlineStr">
        <x:is>
          <x:t xml:space="preserve">Mollusca</x:t>
        </x:is>
      </x:c>
      <x:c r="B369" s="2" t="inlineStr">
        <x:is>
          <x:t xml:space="preserve">Cephalopods</x:t>
        </x:is>
      </x:c>
      <x:c r="C369" s="2">
        <x:v>12</x:v>
      </x:c>
      <x:c r="D369" s="8">
        <x:v>0.2733</x:v>
      </x:c>
      <x:c r="E369" s="8">
        <x:v>0.68</x:v>
      </x:c>
      <x:c r="F369" s="8" t="inlineStr">
        <x:is>
          <x:t xml:space="preserve">Model catch</x:t>
        </x:is>
      </x:c>
      <x:c r="G369" s="8">
        <x:f>SUMIFS($D$6:$D$681,$A$6:$A$681,A369)</x:f>
        <x:v>1.0356</x:v>
      </x:c>
      <x:c r="H369" s="9">
        <x:f>D369/G369</x:f>
        <x:v>0.2639049826187717</x:v>
      </x:c>
      <x:c r="I369" s="2" t="inlineStr">
        <x:is>
          <x:t xml:space="preserve">Medium</x:t>
        </x:is>
      </x:c>
      <x:c r="J369" s="2" t="inlineStr">
        <x:is>
          <x:t xml:space="preserve">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x:t>
        </x:is>
      </x:c>
      <x:c r="K369" s="1"/>
    </x:row>
    <x:row r="370" ht="96" customHeight="1">
      <x:c r="A370" s="2" t="inlineStr">
        <x:is>
          <x:t xml:space="preserve">Monacanthidae</x:t>
        </x:is>
      </x:c>
      <x:c r="B370" s="2" t="inlineStr">
        <x:is>
          <x:t xml:space="preserve">Juvenile demersal fish (&gt; 30 cm)</x:t>
        </x:is>
      </x:c>
      <x:c r="C370" s="2">
        <x:v>25</x:v>
      </x:c>
      <x:c r="D370" s="8">
        <x:v>0.3165</x:v>
      </x:c>
      <x:c r="E370" s="8">
        <x:v>0.143</x:v>
      </x:c>
      <x:c r="F370" s="8" t="inlineStr">
        <x:is>
          <x:t xml:space="preserve">Model catch</x:t>
        </x:is>
      </x:c>
      <x:c r="G370" s="8">
        <x:f>SUMIFS($D$6:$D$681,$A$6:$A$681,A370)</x:f>
        <x:v>0.3517</x:v>
      </x:c>
      <x:c r="H370" s="9">
        <x:f>D370/G370</x:f>
        <x:v>0.8999147000284333</x:v>
      </x:c>
      <x:c r="I370" s="2" t="inlineStr">
        <x:is>
          <x:t xml:space="preserve">Medium</x:t>
        </x:is>
      </x:c>
      <x:c r="J370" s="2" t="inlineStr">
        <x:is>
          <x:t xml:space="preserve">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x:t>
        </x:is>
      </x:c>
      <x:c r="K370" s="1"/>
    </x:row>
    <x:row r="371" ht="96" customHeight="1">
      <x:c r="A371" s="2" t="inlineStr">
        <x:is>
          <x:t xml:space="preserve">Monacanthidae</x:t>
        </x:is>
      </x:c>
      <x:c r="B371" s="2" t="inlineStr">
        <x:is>
          <x:t xml:space="preserve">Adult demersal fish (&gt; 30 cm)</x:t>
        </x:is>
      </x:c>
      <x:c r="C371" s="2">
        <x:v>26</x:v>
      </x:c>
      <x:c r="D371" s="8">
        <x:v>0.0352</x:v>
      </x:c>
      <x:c r="E371" s="8">
        <x:v>0.021</x:v>
      </x:c>
      <x:c r="F371" s="8" t="inlineStr">
        <x:is>
          <x:t xml:space="preserve">Model catch</x:t>
        </x:is>
      </x:c>
      <x:c r="G371" s="8">
        <x:f>SUMIFS($D$6:$D$681,$A$6:$A$681,A371)</x:f>
        <x:v>0.3517</x:v>
      </x:c>
      <x:c r="H371" s="9">
        <x:f>D371/G371</x:f>
        <x:v>0.1000852999715667</x:v>
      </x:c>
      <x:c r="I371" s="2" t="inlineStr">
        <x:is>
          <x:t xml:space="preserve">Medium</x:t>
        </x:is>
      </x:c>
      <x:c r="J371" s="2" t="inlineStr">
        <x:is>
          <x:t xml:space="preserve">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x:t>
        </x:is>
      </x:c>
      <x:c r="K371" s="1"/>
    </x:row>
    <x:row r="372" ht="96" customHeight="1">
      <x:c r="A372" s="2" t="inlineStr">
        <x:is>
          <x:t xml:space="preserve">Mugil</x:t>
        </x:is>
      </x:c>
      <x:c r="B372" s="2" t="inlineStr">
        <x:is>
          <x:t xml:space="preserve">Juvenile demersal fish (&gt; 30 cm)</x:t>
        </x:is>
      </x:c>
      <x:c r="C372" s="2">
        <x:v>25</x:v>
      </x:c>
      <x:c r="D372" s="8">
        <x:v>0.3165</x:v>
      </x:c>
      <x:c r="E372" s="8">
        <x:v>0.143</x:v>
      </x:c>
      <x:c r="F372" s="8" t="inlineStr">
        <x:is>
          <x:t xml:space="preserve">Model catch</x:t>
        </x:is>
      </x:c>
      <x:c r="G372" s="8">
        <x:f>SUMIFS($D$6:$D$681,$A$6:$A$681,A372)</x:f>
        <x:v>0.3517</x:v>
      </x:c>
      <x:c r="H372" s="9">
        <x:f>D372/G372</x:f>
        <x:v>0.8999147000284333</x:v>
      </x:c>
      <x:c r="I372" s="2" t="inlineStr">
        <x:is>
          <x:t xml:space="preserve">Medium</x:t>
        </x:is>
      </x:c>
      <x:c r="J372" s="2" t="inlineStr">
        <x:is>
          <x:t xml:space="preserve">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x:t>
        </x:is>
      </x:c>
      <x:c r="K372" s="1"/>
    </x:row>
    <x:row r="373" ht="96" customHeight="1">
      <x:c r="A373" s="2" t="inlineStr">
        <x:is>
          <x:t xml:space="preserve">Mugil</x:t>
        </x:is>
      </x:c>
      <x:c r="B373" s="2" t="inlineStr">
        <x:is>
          <x:t xml:space="preserve">Adult demersal fish (&gt; 30 cm)</x:t>
        </x:is>
      </x:c>
      <x:c r="C373" s="2">
        <x:v>26</x:v>
      </x:c>
      <x:c r="D373" s="8">
        <x:v>0.0352</x:v>
      </x:c>
      <x:c r="E373" s="8">
        <x:v>0.021</x:v>
      </x:c>
      <x:c r="F373" s="8" t="inlineStr">
        <x:is>
          <x:t xml:space="preserve">Model catch</x:t>
        </x:is>
      </x:c>
      <x:c r="G373" s="8">
        <x:f>SUMIFS($D$6:$D$681,$A$6:$A$681,A373)</x:f>
        <x:v>0.3517</x:v>
      </x:c>
      <x:c r="H373" s="9">
        <x:f>D373/G373</x:f>
        <x:v>0.1000852999715667</x:v>
      </x:c>
      <x:c r="I373" s="2" t="inlineStr">
        <x:is>
          <x:t xml:space="preserve">Medium</x:t>
        </x:is>
      </x:c>
      <x:c r="J373" s="2" t="inlineStr">
        <x:is>
          <x:t xml:space="preserve">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x:t>
        </x:is>
      </x:c>
      <x:c r="K373" s="1"/>
    </x:row>
    <x:row r="374" ht="80" customHeight="1">
      <x:c r="A374" s="2" t="inlineStr">
        <x:is>
          <x:t xml:space="preserve">Mugil cephalus</x:t>
        </x:is>
      </x:c>
      <x:c r="B374" s="2" t="inlineStr">
        <x:is>
          <x:t xml:space="preserve">Benthopelagic fish</x:t>
        </x:is>
      </x:c>
      <x:c r="C374" s="2">
        <x:v>27</x:v>
      </x:c>
      <x:c r="D374" s="8">
        <x:v>0.6025</x:v>
      </x:c>
      <x:c r="E374" s="8">
        <x:v>0.922</x:v>
      </x:c>
      <x:c r="F374" s="8" t="inlineStr">
        <x:is>
          <x:t xml:space="preserve">No split</x:t>
        </x:is>
      </x:c>
      <x:c r="G374" s="8">
        <x:f>SUMIFS($D$6:$D$681,$A$6:$A$681,A374)</x:f>
        <x:v>0.6025</x:v>
      </x:c>
      <x:c r="H374" s="9">
        <x:f>1</x:f>
        <x:v>1</x:v>
      </x:c>
      <x:c r="I374" s="2" t="inlineStr">
        <x:is>
          <x:t xml:space="preserve">High</x:t>
        </x:is>
      </x:c>
      <x:c r="J374" s="2" t="inlineStr">
        <x:is>
          <x:t xml:space="preserve">The species is explicitly benthopelagic and far above 30 cm (100 cm SL), so its biology supports the appendix large-benthopelagic component. The unresolved issue is whether final 27 represents that component: its PB/QB instead track the small component. No split is required.</x:t>
        </x:is>
      </x:c>
      <x:c r="K374" s="1"/>
    </x:row>
    <x:row r="375" ht="80" customHeight="1">
      <x:c r="A375" s="2" t="inlineStr">
        <x:is>
          <x:t xml:space="preserve">Mugilidae</x:t>
        </x:is>
      </x:c>
      <x:c r="B375" s="2" t="inlineStr">
        <x:is>
          <x:t xml:space="preserve">Juvenile demersal fish (&gt; 30 cm)</x:t>
        </x:is>
      </x:c>
      <x:c r="C375" s="2">
        <x:v>25</x:v>
      </x:c>
      <x:c r="D375" s="8">
        <x:v>0.3165</x:v>
      </x:c>
      <x:c r="E375" s="8">
        <x:v>0.143</x:v>
      </x:c>
      <x:c r="F375" s="8" t="inlineStr">
        <x:is>
          <x:t xml:space="preserve">Model catch</x:t>
        </x:is>
      </x:c>
      <x:c r="G375" s="8">
        <x:f>SUMIFS($D$6:$D$681,$A$6:$A$681,A375)</x:f>
        <x:v>0.3517</x:v>
      </x:c>
      <x:c r="H375" s="9">
        <x:f>D375/G375</x:f>
        <x:v>0.8999147000284333</x:v>
      </x:c>
      <x:c r="I375" s="2" t="inlineStr">
        <x:is>
          <x:t xml:space="preserve">Medium</x:t>
        </x:is>
      </x:c>
      <x:c r="J375" s="2" t="inlineStr">
        <x:is>
          <x:t xml:space="preserve">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x:t>
        </x:is>
      </x:c>
      <x:c r="K375" s="1"/>
    </x:row>
    <x:row r="376" ht="80" customHeight="1">
      <x:c r="A376" s="2" t="inlineStr">
        <x:is>
          <x:t xml:space="preserve">Mugilidae</x:t>
        </x:is>
      </x:c>
      <x:c r="B376" s="2" t="inlineStr">
        <x:is>
          <x:t xml:space="preserve">Adult demersal fish (&gt; 30 cm)</x:t>
        </x:is>
      </x:c>
      <x:c r="C376" s="2">
        <x:v>26</x:v>
      </x:c>
      <x:c r="D376" s="8">
        <x:v>0.0352</x:v>
      </x:c>
      <x:c r="E376" s="8">
        <x:v>0.021</x:v>
      </x:c>
      <x:c r="F376" s="8" t="inlineStr">
        <x:is>
          <x:t xml:space="preserve">Model catch</x:t>
        </x:is>
      </x:c>
      <x:c r="G376" s="8">
        <x:f>SUMIFS($D$6:$D$681,$A$6:$A$681,A376)</x:f>
        <x:v>0.3517</x:v>
      </x:c>
      <x:c r="H376" s="9">
        <x:f>D376/G376</x:f>
        <x:v>0.1000852999715667</x:v>
      </x:c>
      <x:c r="I376" s="2" t="inlineStr">
        <x:is>
          <x:t xml:space="preserve">Medium</x:t>
        </x:is>
      </x:c>
      <x:c r="J376" s="2" t="inlineStr">
        <x:is>
          <x:t xml:space="preserve">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x:t>
        </x:is>
      </x:c>
      <x:c r="K376" s="1"/>
    </x:row>
    <x:row r="377" ht="96" customHeight="1">
      <x:c r="A377" s="2" t="inlineStr">
        <x:is>
          <x:t xml:space="preserve">Mullidae</x:t>
        </x:is>
      </x:c>
      <x:c r="B377" s="2" t="inlineStr">
        <x:is>
          <x:t xml:space="preserve">Demesral fish (≤ 30 cm)</x:t>
        </x:is>
      </x:c>
      <x:c r="C377" s="2">
        <x:v>24</x:v>
      </x:c>
      <x:c r="D377" s="8">
        <x:v>0.1788</x:v>
      </x:c>
      <x:c r="E377" s="8">
        <x:v>0.316</x:v>
      </x:c>
      <x:c r="F377" s="8" t="inlineStr">
        <x:is>
          <x:t xml:space="preserve">Model catch</x:t>
        </x:is>
      </x:c>
      <x:c r="G377" s="8">
        <x:f>SUMIFS($D$6:$D$681,$A$6:$A$681,A377)</x:f>
        <x:v>0.5305</x:v>
      </x:c>
      <x:c r="H377" s="9">
        <x:f>D377/G377</x:f>
        <x:v>0.33704052780395855</x:v>
      </x:c>
      <x:c r="I377" s="2" t="inlineStr">
        <x:is>
          <x:t xml:space="preserve">Medium</x:t>
        </x:is>
      </x:c>
      <x:c r="J377" s="2" t="inlineStr">
        <x:is>
          <x:t xml:space="preserve">Bottom-foraging Upeneus moluccensis (22.5 cm TL) and Parupeneus barberinus (60 cm TL) support both residual demersal size classes. Extension to the regional family reporting category is an explicit assumption. Source-model catch proportions supply an assumed fixed 1950–2019/all-bases mixture; they are not observed taxon-specific catches.</x:t>
        </x:is>
      </x:c>
      <x:c r="K377" s="1"/>
    </x:row>
    <x:row r="378" ht="96" customHeight="1">
      <x:c r="A378" s="2" t="inlineStr">
        <x:is>
          <x:t xml:space="preserve">Mullidae</x:t>
        </x:is>
      </x:c>
      <x:c r="B378" s="2" t="inlineStr">
        <x:is>
          <x:t xml:space="preserve">Juvenile demersal fish (&gt; 30 cm)</x:t>
        </x:is>
      </x:c>
      <x:c r="C378" s="2">
        <x:v>25</x:v>
      </x:c>
      <x:c r="D378" s="8">
        <x:v>0.3165</x:v>
      </x:c>
      <x:c r="E378" s="8">
        <x:v>0.143</x:v>
      </x:c>
      <x:c r="F378" s="8" t="inlineStr">
        <x:is>
          <x:t xml:space="preserve">Model catch</x:t>
        </x:is>
      </x:c>
      <x:c r="G378" s="8">
        <x:f>SUMIFS($D$6:$D$681,$A$6:$A$681,A378)</x:f>
        <x:v>0.5305</x:v>
      </x:c>
      <x:c r="H378" s="9">
        <x:f>D378/G378</x:f>
        <x:v>0.5966069745523092</x:v>
      </x:c>
      <x:c r="I378" s="2" t="inlineStr">
        <x:is>
          <x:t xml:space="preserve">Medium</x:t>
        </x:is>
      </x:c>
      <x:c r="J378" s="2" t="inlineStr">
        <x:is>
          <x:t xml:space="preserve">Bottom-foraging Upeneus moluccensis (22.5 cm TL) and Parupeneus barberinus (60 cm TL) support both residual demersal size classes. Extension to the regional family reporting category is an explicit assumption. Source-model catch proportions supply an assumed fixed 1950–2019/all-bases mixture; they are not observed taxon-specific catches.</x:t>
        </x:is>
      </x:c>
      <x:c r="K378" s="1"/>
    </x:row>
    <x:row r="379" ht="96" customHeight="1">
      <x:c r="A379" s="2" t="inlineStr">
        <x:is>
          <x:t xml:space="preserve">Mullidae</x:t>
        </x:is>
      </x:c>
      <x:c r="B379" s="2" t="inlineStr">
        <x:is>
          <x:t xml:space="preserve">Adult demersal fish (&gt; 30 cm)</x:t>
        </x:is>
      </x:c>
      <x:c r="C379" s="2">
        <x:v>26</x:v>
      </x:c>
      <x:c r="D379" s="8">
        <x:v>0.0352</x:v>
      </x:c>
      <x:c r="E379" s="8">
        <x:v>0.021</x:v>
      </x:c>
      <x:c r="F379" s="8" t="inlineStr">
        <x:is>
          <x:t xml:space="preserve">Model catch</x:t>
        </x:is>
      </x:c>
      <x:c r="G379" s="8">
        <x:f>SUMIFS($D$6:$D$681,$A$6:$A$681,A379)</x:f>
        <x:v>0.5305</x:v>
      </x:c>
      <x:c r="H379" s="9">
        <x:f>D379/G379</x:f>
        <x:v>0.06635249764373234</x:v>
      </x:c>
      <x:c r="I379" s="2" t="inlineStr">
        <x:is>
          <x:t xml:space="preserve">Medium</x:t>
        </x:is>
      </x:c>
      <x:c r="J379" s="2" t="inlineStr">
        <x:is>
          <x:t xml:space="preserve">Bottom-foraging Upeneus moluccensis (22.5 cm TL) and Parupeneus barberinus (60 cm TL) support both residual demersal size classes. Extension to the regional family reporting category is an explicit assumption. Source-model catch proportions supply an assumed fixed 1950–2019/all-bases mixture; they are not observed taxon-specific catches.</x:t>
        </x:is>
      </x:c>
      <x:c r="K379" s="1"/>
    </x:row>
    <x:row r="380" ht="112" customHeight="1">
      <x:c r="A380" s="2" t="inlineStr">
        <x:is>
          <x:t xml:space="preserve">Muraenesocidae</x:t>
        </x:is>
      </x:c>
      <x:c r="B380" s="2" t="inlineStr">
        <x:is>
          <x:t xml:space="preserve">Juvenile demersal fish (&gt; 30 cm)</x:t>
        </x:is>
      </x:c>
      <x:c r="C380" s="2">
        <x:v>25</x:v>
      </x:c>
      <x:c r="D380" s="8">
        <x:v>0.3165</x:v>
      </x:c>
      <x:c r="E380" s="8">
        <x:v>0.143</x:v>
      </x:c>
      <x:c r="F380" s="8" t="inlineStr">
        <x:is>
          <x:t xml:space="preserve">Model catch</x:t>
        </x:is>
      </x:c>
      <x:c r="G380" s="8">
        <x:f>SUMIFS($D$6:$D$681,$A$6:$A$681,A380)</x:f>
        <x:v>0.3517</x:v>
      </x:c>
      <x:c r="H380" s="9">
        <x:f>D380/G380</x:f>
        <x:v>0.8999147000284333</x:v>
      </x:c>
      <x:c r="I380" s="2" t="inlineStr">
        <x:is>
          <x:t xml:space="preserve">Medium</x:t>
        </x:is>
      </x:c>
      <x:c r="J380" s="2" t="inlineStr">
        <x:is>
          <x:t xml:space="preserve">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x:t>
        </x:is>
      </x:c>
      <x:c r="K380" s="1"/>
    </x:row>
    <x:row r="381" ht="112" customHeight="1">
      <x:c r="A381" s="2" t="inlineStr">
        <x:is>
          <x:t xml:space="preserve">Muraenesocidae</x:t>
        </x:is>
      </x:c>
      <x:c r="B381" s="2" t="inlineStr">
        <x:is>
          <x:t xml:space="preserve">Adult demersal fish (&gt; 30 cm)</x:t>
        </x:is>
      </x:c>
      <x:c r="C381" s="2">
        <x:v>26</x:v>
      </x:c>
      <x:c r="D381" s="8">
        <x:v>0.0352</x:v>
      </x:c>
      <x:c r="E381" s="8">
        <x:v>0.021</x:v>
      </x:c>
      <x:c r="F381" s="8" t="inlineStr">
        <x:is>
          <x:t xml:space="preserve">Model catch</x:t>
        </x:is>
      </x:c>
      <x:c r="G381" s="8">
        <x:f>SUMIFS($D$6:$D$681,$A$6:$A$681,A381)</x:f>
        <x:v>0.3517</x:v>
      </x:c>
      <x:c r="H381" s="9">
        <x:f>D381/G381</x:f>
        <x:v>0.1000852999715667</x:v>
      </x:c>
      <x:c r="I381" s="2" t="inlineStr">
        <x:is>
          <x:t xml:space="preserve">Medium</x:t>
        </x:is>
      </x:c>
      <x:c r="J381" s="2" t="inlineStr">
        <x:is>
          <x:t xml:space="preserve">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x:t>
        </x:is>
      </x:c>
      <x:c r="K381" s="1"/>
    </x:row>
    <x:row r="382" ht="96" customHeight="1">
      <x:c r="A382" s="2" t="inlineStr">
        <x:is>
          <x:t xml:space="preserve">Muraenesox</x:t>
        </x:is>
      </x:c>
      <x:c r="B382" s="2" t="inlineStr">
        <x:is>
          <x:t xml:space="preserve">Juvenile demersal fish (&gt; 30 cm)</x:t>
        </x:is>
      </x:c>
      <x:c r="C382" s="2">
        <x:v>25</x:v>
      </x:c>
      <x:c r="D382" s="8">
        <x:v>0.3165</x:v>
      </x:c>
      <x:c r="E382" s="8">
        <x:v>0.143</x:v>
      </x:c>
      <x:c r="F382" s="8" t="inlineStr">
        <x:is>
          <x:t xml:space="preserve">Model catch</x:t>
        </x:is>
      </x:c>
      <x:c r="G382" s="8">
        <x:f>SUMIFS($D$6:$D$681,$A$6:$A$681,A382)</x:f>
        <x:v>0.3517</x:v>
      </x:c>
      <x:c r="H382" s="9">
        <x:f>D382/G382</x:f>
        <x:v>0.8999147000284333</x:v>
      </x:c>
      <x:c r="I382" s="2" t="inlineStr">
        <x:is>
          <x:t xml:space="preserve">Medium</x:t>
        </x:is>
      </x:c>
      <x:c r="J382" s="2" t="inlineStr">
        <x:is>
          <x:t xml:space="preserve">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x:t>
        </x:is>
      </x:c>
      <x:c r="K382" s="1"/>
    </x:row>
    <x:row r="383" ht="96" customHeight="1">
      <x:c r="A383" s="2" t="inlineStr">
        <x:is>
          <x:t xml:space="preserve">Muraenesox</x:t>
        </x:is>
      </x:c>
      <x:c r="B383" s="2" t="inlineStr">
        <x:is>
          <x:t xml:space="preserve">Adult demersal fish (&gt; 30 cm)</x:t>
        </x:is>
      </x:c>
      <x:c r="C383" s="2">
        <x:v>26</x:v>
      </x:c>
      <x:c r="D383" s="8">
        <x:v>0.0352</x:v>
      </x:c>
      <x:c r="E383" s="8">
        <x:v>0.021</x:v>
      </x:c>
      <x:c r="F383" s="8" t="inlineStr">
        <x:is>
          <x:t xml:space="preserve">Model catch</x:t>
        </x:is>
      </x:c>
      <x:c r="G383" s="8">
        <x:f>SUMIFS($D$6:$D$681,$A$6:$A$681,A383)</x:f>
        <x:v>0.3517</x:v>
      </x:c>
      <x:c r="H383" s="9">
        <x:f>D383/G383</x:f>
        <x:v>0.1000852999715667</x:v>
      </x:c>
      <x:c r="I383" s="2" t="inlineStr">
        <x:is>
          <x:t xml:space="preserve">Medium</x:t>
        </x:is>
      </x:c>
      <x:c r="J383" s="2" t="inlineStr">
        <x:is>
          <x:t xml:space="preserve">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x:t>
        </x:is>
      </x:c>
      <x:c r="K383" s="1"/>
    </x:row>
    <x:row r="384" ht="96" customHeight="1">
      <x:c r="A384" s="2" t="inlineStr">
        <x:is>
          <x:t xml:space="preserve">Muraenesox cinereus</x:t>
        </x:is>
      </x:c>
      <x:c r="B384" s="2" t="inlineStr">
        <x:is>
          <x:t xml:space="preserve">Juvenile demersal fish (&gt; 30 cm)</x:t>
        </x:is>
      </x:c>
      <x:c r="C384" s="2">
        <x:v>25</x:v>
      </x:c>
      <x:c r="D384" s="8">
        <x:v>0.3165</x:v>
      </x:c>
      <x:c r="E384" s="8">
        <x:v>0.143</x:v>
      </x:c>
      <x:c r="F384" s="8" t="inlineStr">
        <x:is>
          <x:t xml:space="preserve">Model catch</x:t>
        </x:is>
      </x:c>
      <x:c r="G384" s="8">
        <x:f>SUMIFS($D$6:$D$681,$A$6:$A$681,A384)</x:f>
        <x:v>0.3517</x:v>
      </x:c>
      <x:c r="H384" s="9">
        <x:f>D384/G384</x:f>
        <x:v>0.8999147000284333</x:v>
      </x:c>
      <x:c r="I384" s="2" t="inlineStr">
        <x:is>
          <x:t xml:space="preserve">Medium</x:t>
        </x:is>
      </x:c>
      <x:c r="J384" s="2" t="inlineStr">
        <x:is>
          <x:t xml:space="preserve">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x:t>
        </x:is>
      </x:c>
      <x:c r="K384" s="1"/>
    </x:row>
    <x:row r="385" ht="96" customHeight="1">
      <x:c r="A385" s="2" t="inlineStr">
        <x:is>
          <x:t xml:space="preserve">Muraenesox cinereus</x:t>
        </x:is>
      </x:c>
      <x:c r="B385" s="2" t="inlineStr">
        <x:is>
          <x:t xml:space="preserve">Adult demersal fish (&gt; 30 cm)</x:t>
        </x:is>
      </x:c>
      <x:c r="C385" s="2">
        <x:v>26</x:v>
      </x:c>
      <x:c r="D385" s="8">
        <x:v>0.0352</x:v>
      </x:c>
      <x:c r="E385" s="8">
        <x:v>0.021</x:v>
      </x:c>
      <x:c r="F385" s="8" t="inlineStr">
        <x:is>
          <x:t xml:space="preserve">Model catch</x:t>
        </x:is>
      </x:c>
      <x:c r="G385" s="8">
        <x:f>SUMIFS($D$6:$D$681,$A$6:$A$681,A385)</x:f>
        <x:v>0.3517</x:v>
      </x:c>
      <x:c r="H385" s="9">
        <x:f>D385/G385</x:f>
        <x:v>0.1000852999715667</x:v>
      </x:c>
      <x:c r="I385" s="2" t="inlineStr">
        <x:is>
          <x:t xml:space="preserve">Medium</x:t>
        </x:is>
      </x:c>
      <x:c r="J385" s="2" t="inlineStr">
        <x:is>
          <x:t xml:space="preserve">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x:t>
        </x:is>
      </x:c>
      <x:c r="K385" s="1"/>
    </x:row>
    <x:row r="386" ht="96" customHeight="1">
      <x:c r="A386" s="2" t="inlineStr">
        <x:is>
          <x:t xml:space="preserve">Muraenidae</x:t>
        </x:is>
      </x:c>
      <x:c r="B386" s="2" t="inlineStr">
        <x:is>
          <x:t xml:space="preserve">Demesral fish (≤ 30 cm)</x:t>
        </x:is>
      </x:c>
      <x:c r="C386" s="2">
        <x:v>24</x:v>
      </x:c>
      <x:c r="D386" s="8">
        <x:v>0.1788</x:v>
      </x:c>
      <x:c r="E386" s="8">
        <x:v>0.316</x:v>
      </x:c>
      <x:c r="F386" s="8" t="inlineStr">
        <x:is>
          <x:t xml:space="preserve">Model catch</x:t>
        </x:is>
      </x:c>
      <x:c r="G386" s="8">
        <x:f>SUMIFS($D$6:$D$681,$A$6:$A$681,A386)</x:f>
        <x:v>0.5305</x:v>
      </x:c>
      <x:c r="H386" s="9">
        <x:f>D386/G386</x:f>
        <x:v>0.33704052780395855</x:v>
      </x:c>
      <x:c r="I386" s="2" t="inlineStr">
        <x:is>
          <x:t xml:space="preserve">Medium</x:t>
        </x:is>
      </x:c>
      <x:c r="J386" s="2" t="inlineStr">
        <x:is>
          <x:t xml:space="preserve">Taiwan-referenced benthic Gymnothorax melatremus has maximum 30 cm TL and complements larger regional morays. Both residual demersal size classes are assumed to represent marine family catch; length is species maximum, not landed individual size. Source-model catch proportions supply an assumed fixed 1950–2019/all-bases mixture; they are not observed taxon-specific catches.</x:t>
        </x:is>
      </x:c>
      <x:c r="K386" s="1"/>
    </x:row>
    <x:row r="387" ht="96" customHeight="1">
      <x:c r="A387" s="2" t="inlineStr">
        <x:is>
          <x:t xml:space="preserve">Muraenidae</x:t>
        </x:is>
      </x:c>
      <x:c r="B387" s="2" t="inlineStr">
        <x:is>
          <x:t xml:space="preserve">Juvenile demersal fish (&gt; 30 cm)</x:t>
        </x:is>
      </x:c>
      <x:c r="C387" s="2">
        <x:v>25</x:v>
      </x:c>
      <x:c r="D387" s="8">
        <x:v>0.3165</x:v>
      </x:c>
      <x:c r="E387" s="8">
        <x:v>0.143</x:v>
      </x:c>
      <x:c r="F387" s="8" t="inlineStr">
        <x:is>
          <x:t xml:space="preserve">Model catch</x:t>
        </x:is>
      </x:c>
      <x:c r="G387" s="8">
        <x:f>SUMIFS($D$6:$D$681,$A$6:$A$681,A387)</x:f>
        <x:v>0.5305</x:v>
      </x:c>
      <x:c r="H387" s="9">
        <x:f>D387/G387</x:f>
        <x:v>0.5966069745523092</x:v>
      </x:c>
      <x:c r="I387" s="2" t="inlineStr">
        <x:is>
          <x:t xml:space="preserve">Medium</x:t>
        </x:is>
      </x:c>
      <x:c r="J387" s="2" t="inlineStr">
        <x:is>
          <x:t xml:space="preserve">Taiwan-referenced benthic Gymnothorax melatremus has maximum 30 cm TL and complements larger regional morays. Both residual demersal size classes are assumed to represent marine family catch; length is species maximum, not landed individual size. Source-model catch proportions supply an assumed fixed 1950–2019/all-bases mixture; they are not observed taxon-specific catches.</x:t>
        </x:is>
      </x:c>
      <x:c r="K387" s="1"/>
    </x:row>
    <x:row r="388" ht="96" customHeight="1">
      <x:c r="A388" s="2" t="inlineStr">
        <x:is>
          <x:t xml:space="preserve">Muraenidae</x:t>
        </x:is>
      </x:c>
      <x:c r="B388" s="2" t="inlineStr">
        <x:is>
          <x:t xml:space="preserve">Adult demersal fish (&gt; 30 cm)</x:t>
        </x:is>
      </x:c>
      <x:c r="C388" s="2">
        <x:v>26</x:v>
      </x:c>
      <x:c r="D388" s="8">
        <x:v>0.0352</x:v>
      </x:c>
      <x:c r="E388" s="8">
        <x:v>0.021</x:v>
      </x:c>
      <x:c r="F388" s="8" t="inlineStr">
        <x:is>
          <x:t xml:space="preserve">Model catch</x:t>
        </x:is>
      </x:c>
      <x:c r="G388" s="8">
        <x:f>SUMIFS($D$6:$D$681,$A$6:$A$681,A388)</x:f>
        <x:v>0.5305</x:v>
      </x:c>
      <x:c r="H388" s="9">
        <x:f>D388/G388</x:f>
        <x:v>0.06635249764373234</x:v>
      </x:c>
      <x:c r="I388" s="2" t="inlineStr">
        <x:is>
          <x:t xml:space="preserve">Medium</x:t>
        </x:is>
      </x:c>
      <x:c r="J388" s="2" t="inlineStr">
        <x:is>
          <x:t xml:space="preserve">Taiwan-referenced benthic Gymnothorax melatremus has maximum 30 cm TL and complements larger regional morays. Both residual demersal size classes are assumed to represent marine family catch; length is species maximum, not landed individual size. Source-model catch proportions supply an assumed fixed 1950–2019/all-bases mixture; they are not observed taxon-specific catches.</x:t>
        </x:is>
      </x:c>
      <x:c r="K388" s="1"/>
    </x:row>
    <x:row r="389" ht="72" customHeight="1">
      <x:c r="A389" s="2" t="inlineStr">
        <x:is>
          <x:t xml:space="preserve">Mytilidae</x:t>
        </x:is>
      </x:c>
      <x:c r="B389" s="2" t="inlineStr">
        <x:is>
          <x:t xml:space="preserve">Non-ceph molluscs</x:t>
        </x:is>
      </x:c>
      <x:c r="C389" s="2">
        <x:v>8</x:v>
      </x:c>
      <x:c r="D389" s="8">
        <x:v>0.7623</x:v>
      </x:c>
      <x:c r="E389" s="8">
        <x:v>2.68</x:v>
      </x:c>
      <x:c r="F389" s="8" t="inlineStr">
        <x:is>
          <x:t xml:space="preserve">No split</x:t>
        </x:is>
      </x:c>
      <x:c r="G389" s="8">
        <x:f>SUMIFS($D$6:$D$681,$A$6:$A$681,A389)</x:f>
        <x:v>0.7623</x:v>
      </x:c>
      <x:c r="H389" s="9">
        <x:f>1</x:f>
        <x:v>1</x:v>
      </x:c>
      <x:c r="I389" s="2" t="inlineStr">
        <x:is>
          <x:t xml:space="preserve">High</x:t>
        </x:is>
      </x:c>
      <x:c r="J389" s="2" t="inlineStr">
        <x:is>
          <x:t xml:space="preserve">Mytilidae is a non-cephalopod mollusc. The source derives this catch by removing Cephalopoda from mollusc catch; no competing mollusc compartment contains this lineage. No split is required.</x:t>
        </x:is>
      </x:c>
      <x:c r="K389" s="1"/>
    </x:row>
    <x:row r="390" ht="72" customHeight="1">
      <x:c r="A390" s="2" t="inlineStr">
        <x:is>
          <x:t xml:space="preserve">Nemipteridae</x:t>
        </x:is>
      </x:c>
      <x:c r="B390" s="2" t="inlineStr">
        <x:is>
          <x:t xml:space="preserve">Threadfin bream (nemipterids)</x:t>
        </x:is>
      </x:c>
      <x:c r="C390" s="2">
        <x:v>13</x:v>
      </x:c>
      <x:c r="D390" s="8">
        <x:v>0.657</x:v>
      </x:c>
      <x:c r="E390" s="8">
        <x:v>0.26</x:v>
      </x:c>
      <x:c r="F390" s="8" t="inlineStr">
        <x:is>
          <x:t xml:space="preserve">No split</x:t>
        </x:is>
      </x:c>
      <x:c r="G390" s="8">
        <x:f>SUMIFS($D$6:$D$681,$A$6:$A$681,A390)</x:f>
        <x:v>0.657</x:v>
      </x:c>
      <x:c r="H390" s="9">
        <x:f>1</x:f>
        <x:v>1</x:v>
      </x:c>
      <x:c r="I390" s="2" t="inlineStr">
        <x:is>
          <x:t xml:space="preserve">High</x:t>
        </x:is>
      </x:c>
      <x:c r="J390" s="2" t="inlineStr">
        <x:is>
          <x:t xml:space="preserve">Nemipteridae is within Nemipteridae, expressly used as the source group boundary. Parameter species are examples, not a closed list; residual size/habitat pools do not compete. No split is required.</x:t>
        </x:is>
      </x:c>
      <x:c r="K390" s="1"/>
    </x:row>
    <x:row r="391" ht="72" customHeight="1">
      <x:c r="A391" s="2" t="inlineStr">
        <x:is>
          <x:t xml:space="preserve">Nemipterus</x:t>
        </x:is>
      </x:c>
      <x:c r="B391" s="2" t="inlineStr">
        <x:is>
          <x:t xml:space="preserve">Threadfin bream (nemipterids)</x:t>
        </x:is>
      </x:c>
      <x:c r="C391" s="2">
        <x:v>13</x:v>
      </x:c>
      <x:c r="D391" s="8">
        <x:v>0.657</x:v>
      </x:c>
      <x:c r="E391" s="8">
        <x:v>0.26</x:v>
      </x:c>
      <x:c r="F391" s="8" t="inlineStr">
        <x:is>
          <x:t xml:space="preserve">No split</x:t>
        </x:is>
      </x:c>
      <x:c r="G391" s="8">
        <x:f>SUMIFS($D$6:$D$681,$A$6:$A$681,A391)</x:f>
        <x:v>0.657</x:v>
      </x:c>
      <x:c r="H391" s="9">
        <x:f>1</x:f>
        <x:v>1</x:v>
      </x:c>
      <x:c r="I391" s="2" t="inlineStr">
        <x:is>
          <x:t xml:space="preserve">High</x:t>
        </x:is>
      </x:c>
      <x:c r="J391" s="2" t="inlineStr">
        <x:is>
          <x:t xml:space="preserve">Nemipterus is within Nemipteridae, expressly used as the source group boundary. Parameter species are examples, not a closed list; residual size/habitat pools do not compete. No split is required.</x:t>
        </x:is>
      </x:c>
      <x:c r="K391" s="1"/>
    </x:row>
    <x:row r="392" ht="72" customHeight="1">
      <x:c r="A392" s="2" t="inlineStr">
        <x:is>
          <x:t xml:space="preserve">Nemipterus hexodon</x:t>
        </x:is>
      </x:c>
      <x:c r="B392" s="2" t="inlineStr">
        <x:is>
          <x:t xml:space="preserve">Threadfin bream (nemipterids)</x:t>
        </x:is>
      </x:c>
      <x:c r="C392" s="2">
        <x:v>13</x:v>
      </x:c>
      <x:c r="D392" s="8">
        <x:v>0.657</x:v>
      </x:c>
      <x:c r="E392" s="8">
        <x:v>0.26</x:v>
      </x:c>
      <x:c r="F392" s="8" t="inlineStr">
        <x:is>
          <x:t xml:space="preserve">No split</x:t>
        </x:is>
      </x:c>
      <x:c r="G392" s="8">
        <x:f>SUMIFS($D$6:$D$681,$A$6:$A$681,A392)</x:f>
        <x:v>0.657</x:v>
      </x:c>
      <x:c r="H392" s="9">
        <x:f>1</x:f>
        <x:v>1</x:v>
      </x:c>
      <x:c r="I392" s="2" t="inlineStr">
        <x:is>
          <x:t xml:space="preserve">High</x:t>
        </x:is>
      </x:c>
      <x:c r="J392" s="2" t="inlineStr">
        <x:is>
          <x:t xml:space="preserve">Nemipterus hexodon is within Nemipteridae, expressly used as the source group boundary. Parameter species are examples, not a closed list; residual size/habitat pools do not compete. No split is required.</x:t>
        </x:is>
      </x:c>
      <x:c r="K392" s="1"/>
    </x:row>
    <x:row r="393" ht="72" customHeight="1">
      <x:c r="A393" s="2" t="inlineStr">
        <x:is>
          <x:t xml:space="preserve">Nemipterus japonicus</x:t>
        </x:is>
      </x:c>
      <x:c r="B393" s="2" t="inlineStr">
        <x:is>
          <x:t xml:space="preserve">Threadfin bream (nemipterids)</x:t>
        </x:is>
      </x:c>
      <x:c r="C393" s="2">
        <x:v>13</x:v>
      </x:c>
      <x:c r="D393" s="8">
        <x:v>0.657</x:v>
      </x:c>
      <x:c r="E393" s="8">
        <x:v>0.26</x:v>
      </x:c>
      <x:c r="F393" s="8" t="inlineStr">
        <x:is>
          <x:t xml:space="preserve">No split</x:t>
        </x:is>
      </x:c>
      <x:c r="G393" s="8">
        <x:f>SUMIFS($D$6:$D$681,$A$6:$A$681,A393)</x:f>
        <x:v>0.657</x:v>
      </x:c>
      <x:c r="H393" s="9">
        <x:f>1</x:f>
        <x:v>1</x:v>
      </x:c>
      <x:c r="I393" s="2" t="inlineStr">
        <x:is>
          <x:t xml:space="preserve">High</x:t>
        </x:is>
      </x:c>
      <x:c r="J393" s="2" t="inlineStr">
        <x:is>
          <x:t xml:space="preserve">Nemipterus japonicus is within Nemipteridae, expressly used as the source group boundary. Parameter species are examples, not a closed list; residual size/habitat pools do not compete. No split is required.</x:t>
        </x:is>
      </x:c>
      <x:c r="K393" s="1"/>
    </x:row>
    <x:row r="394" ht="72" customHeight="1">
      <x:c r="A394" s="2" t="inlineStr">
        <x:is>
          <x:t xml:space="preserve">Nemipterus virgatus</x:t>
        </x:is>
      </x:c>
      <x:c r="B394" s="2" t="inlineStr">
        <x:is>
          <x:t xml:space="preserve">Threadfin bream (nemipterids)</x:t>
        </x:is>
      </x:c>
      <x:c r="C394" s="2">
        <x:v>13</x:v>
      </x:c>
      <x:c r="D394" s="8">
        <x:v>0.657</x:v>
      </x:c>
      <x:c r="E394" s="8">
        <x:v>0.26</x:v>
      </x:c>
      <x:c r="F394" s="8" t="inlineStr">
        <x:is>
          <x:t xml:space="preserve">No split</x:t>
        </x:is>
      </x:c>
      <x:c r="G394" s="8">
        <x:f>SUMIFS($D$6:$D$681,$A$6:$A$681,A394)</x:f>
        <x:v>0.657</x:v>
      </x:c>
      <x:c r="H394" s="9">
        <x:f>1</x:f>
        <x:v>1</x:v>
      </x:c>
      <x:c r="I394" s="2" t="inlineStr">
        <x:is>
          <x:t xml:space="preserve">High</x:t>
        </x:is>
      </x:c>
      <x:c r="J394" s="2" t="inlineStr">
        <x:is>
          <x:t xml:space="preserve">Nemipterus virgatus is within Nemipteridae, expressly used as the source group boundary. Parameter species are examples, not a closed list; residual size/habitat pools do not compete. No split is required.</x:t>
        </x:is>
      </x:c>
      <x:c r="K394" s="1"/>
    </x:row>
    <x:row r="395" ht="80" customHeight="1">
      <x:c r="A395" s="2" t="inlineStr">
        <x:is>
          <x:t xml:space="preserve">Netuma thalassina</x:t>
        </x:is>
      </x:c>
      <x:c r="B395" s="2" t="inlineStr">
        <x:is>
          <x:t xml:space="preserve">Juvenile demersal fish (&gt; 30 cm)</x:t>
        </x:is>
      </x:c>
      <x:c r="C395" s="2">
        <x:v>25</x:v>
      </x:c>
      <x:c r="D395" s="8">
        <x:v>0.3165</x:v>
      </x:c>
      <x:c r="E395" s="8">
        <x:v>0.143</x:v>
      </x:c>
      <x:c r="F395" s="8" t="inlineStr">
        <x:is>
          <x:t xml:space="preserve">Model catch</x:t>
        </x:is>
      </x:c>
      <x:c r="G395" s="8">
        <x:f>SUMIFS($D$6:$D$681,$A$6:$A$681,A395)</x:f>
        <x:v>0.3517</x:v>
      </x:c>
      <x:c r="H395" s="9">
        <x:f>D395/G395</x:f>
        <x:v>0.8999147000284333</x:v>
      </x:c>
      <x:c r="I395" s="2" t="inlineStr">
        <x:is>
          <x:t xml:space="preserve">Medium</x:t>
        </x:is>
      </x:c>
      <x:c r="J395" s="2" t="inlineStr">
        <x:is>
          <x:t xml:space="preserve">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x:t>
        </x:is>
      </x:c>
      <x:c r="K395" s="1"/>
    </x:row>
    <x:row r="396" ht="80" customHeight="1">
      <x:c r="A396" s="2" t="inlineStr">
        <x:is>
          <x:t xml:space="preserve">Netuma thalassina</x:t>
        </x:is>
      </x:c>
      <x:c r="B396" s="2" t="inlineStr">
        <x:is>
          <x:t xml:space="preserve">Adult demersal fish (&gt; 30 cm)</x:t>
        </x:is>
      </x:c>
      <x:c r="C396" s="2">
        <x:v>26</x:v>
      </x:c>
      <x:c r="D396" s="8">
        <x:v>0.0352</x:v>
      </x:c>
      <x:c r="E396" s="8">
        <x:v>0.021</x:v>
      </x:c>
      <x:c r="F396" s="8" t="inlineStr">
        <x:is>
          <x:t xml:space="preserve">Model catch</x:t>
        </x:is>
      </x:c>
      <x:c r="G396" s="8">
        <x:f>SUMIFS($D$6:$D$681,$A$6:$A$681,A396)</x:f>
        <x:v>0.3517</x:v>
      </x:c>
      <x:c r="H396" s="9">
        <x:f>D396/G396</x:f>
        <x:v>0.1000852999715667</x:v>
      </x:c>
      <x:c r="I396" s="2" t="inlineStr">
        <x:is>
          <x:t xml:space="preserve">Medium</x:t>
        </x:is>
      </x:c>
      <x:c r="J396" s="2" t="inlineStr">
        <x:is>
          <x:t xml:space="preserve">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x:t>
        </x:is>
      </x:c>
      <x:c r="K396" s="1"/>
    </x:row>
    <x:row r="397" ht="80" customHeight="1">
      <x:c r="A397" s="2" t="inlineStr">
        <x:is>
          <x:t xml:space="preserve">Nibea albiflora</x:t>
        </x:is>
      </x:c>
      <x:c r="B397" s="2" t="inlineStr">
        <x:is>
          <x:t xml:space="preserve">Juvenile large croakers</x:t>
        </x:is>
      </x:c>
      <x:c r="C397" s="2">
        <x:v>22</x:v>
      </x:c>
      <x:c r="D397" s="8">
        <x:v>0.071</x:v>
      </x:c>
      <x:c r="E397" s="8">
        <x:v>0.04</x:v>
      </x:c>
      <x:c r="F397" s="8" t="inlineStr">
        <x:is>
          <x:t xml:space="preserve">Model catch</x:t>
        </x:is>
      </x:c>
      <x:c r="G397" s="8">
        <x:f>SUMIFS($D$6:$D$681,$A$6:$A$681,A397)</x:f>
        <x:v>0.07899999999999999</x:v>
      </x:c>
      <x:c r="H397" s="9">
        <x:f>D397/G397</x:f>
        <x:v>0.8987341772151899</x:v>
      </x:c>
      <x:c r="I397" s="2" t="inlineStr">
        <x:is>
          <x:t xml:space="preserve">Medium</x:t>
        </x:is>
      </x:c>
      <x:c r="J397" s="2" t="inlineStr">
        <x:is>
          <x:t xml:space="preserve">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x:t>
        </x:is>
      </x:c>
      <x:c r="K397" s="1"/>
    </x:row>
    <x:row r="398" ht="80" customHeight="1">
      <x:c r="A398" s="2" t="inlineStr">
        <x:is>
          <x:t xml:space="preserve">Nibea albiflora</x:t>
        </x:is>
      </x:c>
      <x:c r="B398" s="2" t="inlineStr">
        <x:is>
          <x:t xml:space="preserve">Croakers (&gt; 30 cm)</x:t>
        </x:is>
      </x:c>
      <x:c r="C398" s="2">
        <x:v>23</x:v>
      </x:c>
      <x:c r="D398" s="8">
        <x:v>0.008</x:v>
      </x:c>
      <x:c r="E398" s="8">
        <x:v>0.0094</x:v>
      </x:c>
      <x:c r="F398" s="8" t="inlineStr">
        <x:is>
          <x:t xml:space="preserve">Model catch</x:t>
        </x:is>
      </x:c>
      <x:c r="G398" s="8">
        <x:f>SUMIFS($D$6:$D$681,$A$6:$A$681,A398)</x:f>
        <x:v>0.07899999999999999</x:v>
      </x:c>
      <x:c r="H398" s="9">
        <x:f>D398/G398</x:f>
        <x:v>0.1012658227848101</x:v>
      </x:c>
      <x:c r="I398" s="2" t="inlineStr">
        <x:is>
          <x:t xml:space="preserve">Medium</x:t>
        </x:is>
      </x:c>
      <x:c r="J398" s="2" t="inlineStr">
        <x:is>
          <x:t xml:space="preserve">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x:t>
        </x:is>
      </x:c>
      <x:c r="K398" s="1"/>
    </x:row>
    <x:row r="399" ht="80" customHeight="1">
      <x:c r="A399" s="2" t="inlineStr">
        <x:is>
          <x:t xml:space="preserve">Nibea mitsukurii</x:t>
        </x:is>
      </x:c>
      <x:c r="B399" s="2" t="inlineStr">
        <x:is>
          <x:t xml:space="preserve">Juvenile large croakers</x:t>
        </x:is>
      </x:c>
      <x:c r="C399" s="2">
        <x:v>22</x:v>
      </x:c>
      <x:c r="D399" s="8">
        <x:v>0.071</x:v>
      </x:c>
      <x:c r="E399" s="8">
        <x:v>0.04</x:v>
      </x:c>
      <x:c r="F399" s="8" t="inlineStr">
        <x:is>
          <x:t xml:space="preserve">Model catch</x:t>
        </x:is>
      </x:c>
      <x:c r="G399" s="8">
        <x:f>SUMIFS($D$6:$D$681,$A$6:$A$681,A399)</x:f>
        <x:v>0.07899999999999999</x:v>
      </x:c>
      <x:c r="H399" s="9">
        <x:f>D399/G399</x:f>
        <x:v>0.8987341772151899</x:v>
      </x:c>
      <x:c r="I399" s="2" t="inlineStr">
        <x:is>
          <x:t xml:space="preserve">Medium</x:t>
        </x:is>
      </x:c>
      <x:c r="J399" s="2" t="inlineStr">
        <x:is>
          <x:t xml:space="preserve">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x:t>
        </x:is>
      </x:c>
      <x:c r="K399" s="1"/>
    </x:row>
    <x:row r="400" ht="80" customHeight="1">
      <x:c r="A400" s="2" t="inlineStr">
        <x:is>
          <x:t xml:space="preserve">Nibea mitsukurii</x:t>
        </x:is>
      </x:c>
      <x:c r="B400" s="2" t="inlineStr">
        <x:is>
          <x:t xml:space="preserve">Croakers (&gt; 30 cm)</x:t>
        </x:is>
      </x:c>
      <x:c r="C400" s="2">
        <x:v>23</x:v>
      </x:c>
      <x:c r="D400" s="8">
        <x:v>0.008</x:v>
      </x:c>
      <x:c r="E400" s="8">
        <x:v>0.0094</x:v>
      </x:c>
      <x:c r="F400" s="8" t="inlineStr">
        <x:is>
          <x:t xml:space="preserve">Model catch</x:t>
        </x:is>
      </x:c>
      <x:c r="G400" s="8">
        <x:f>SUMIFS($D$6:$D$681,$A$6:$A$681,A400)</x:f>
        <x:v>0.07899999999999999</x:v>
      </x:c>
      <x:c r="H400" s="9">
        <x:f>D400/G400</x:f>
        <x:v>0.1012658227848101</x:v>
      </x:c>
      <x:c r="I400" s="2" t="inlineStr">
        <x:is>
          <x:t xml:space="preserve">Medium</x:t>
        </x:is>
      </x:c>
      <x:c r="J400" s="2" t="inlineStr">
        <x:is>
          <x:t xml:space="preserve">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x:t>
        </x:is>
      </x:c>
      <x:c r="K400" s="1"/>
    </x:row>
    <x:row r="401" ht="72" customHeight="1">
      <x:c r="A401" s="2" t="inlineStr">
        <x:is>
          <x:t xml:space="preserve">Octopoda</x:t>
        </x:is>
      </x:c>
      <x:c r="B401" s="2" t="inlineStr">
        <x:is>
          <x:t xml:space="preserve">Cephalopods</x:t>
        </x:is>
      </x:c>
      <x:c r="C401" s="2">
        <x:v>12</x:v>
      </x:c>
      <x:c r="D401" s="8">
        <x:v>0.2733</x:v>
      </x:c>
      <x:c r="E401" s="8">
        <x:v>0.68</x:v>
      </x:c>
      <x:c r="F401" s="8" t="inlineStr">
        <x:is>
          <x:t xml:space="preserve">No split</x:t>
        </x:is>
      </x:c>
      <x:c r="G401" s="8">
        <x:f>SUMIFS($D$6:$D$681,$A$6:$A$681,A401)</x:f>
        <x:v>0.2733</x:v>
      </x:c>
      <x:c r="H401" s="9">
        <x:f>1</x:f>
        <x:v>1</x:v>
      </x:c>
      <x:c r="I401" s="2" t="inlineStr">
        <x:is>
          <x:t xml:space="preserve">High</x:t>
        </x:is>
      </x:c>
      <x:c r="J401" s="2" t="inlineStr">
        <x:is>
          <x:t xml:space="preserve">Octopoda is within Cephalopoda. Biomass estimation from two dominant Loligo species does not restrict the source group to those species or to squid. No split is required.</x:t>
        </x:is>
      </x:c>
      <x:c r="K401" s="1"/>
    </x:row>
    <x:row r="402" ht="72" customHeight="1">
      <x:c r="A402" s="2" t="inlineStr">
        <x:is>
          <x:t xml:space="preserve">Octopodidae</x:t>
        </x:is>
      </x:c>
      <x:c r="B402" s="2" t="inlineStr">
        <x:is>
          <x:t xml:space="preserve">Cephalopods</x:t>
        </x:is>
      </x:c>
      <x:c r="C402" s="2">
        <x:v>12</x:v>
      </x:c>
      <x:c r="D402" s="8">
        <x:v>0.2733</x:v>
      </x:c>
      <x:c r="E402" s="8">
        <x:v>0.68</x:v>
      </x:c>
      <x:c r="F402" s="8" t="inlineStr">
        <x:is>
          <x:t xml:space="preserve">No split</x:t>
        </x:is>
      </x:c>
      <x:c r="G402" s="8">
        <x:f>SUMIFS($D$6:$D$681,$A$6:$A$681,A402)</x:f>
        <x:v>0.2733</x:v>
      </x:c>
      <x:c r="H402" s="9">
        <x:f>1</x:f>
        <x:v>1</x:v>
      </x:c>
      <x:c r="I402" s="2" t="inlineStr">
        <x:is>
          <x:t xml:space="preserve">High</x:t>
        </x:is>
      </x:c>
      <x:c r="J402" s="2" t="inlineStr">
        <x:is>
          <x:t xml:space="preserve">Octopodidae is within Cephalopoda. Biomass estimation from two dominant Loligo species does not restrict the source group to those species or to squid. No split is required.</x:t>
        </x:is>
      </x:c>
      <x:c r="K402" s="1"/>
    </x:row>
    <x:row r="403" ht="72" customHeight="1">
      <x:c r="A403" s="2" t="inlineStr">
        <x:is>
          <x:t xml:space="preserve">Octopus</x:t>
        </x:is>
      </x:c>
      <x:c r="B403" s="2" t="inlineStr">
        <x:is>
          <x:t xml:space="preserve">Cephalopods</x:t>
        </x:is>
      </x:c>
      <x:c r="C403" s="2">
        <x:v>12</x:v>
      </x:c>
      <x:c r="D403" s="8">
        <x:v>0.2733</x:v>
      </x:c>
      <x:c r="E403" s="8">
        <x:v>0.68</x:v>
      </x:c>
      <x:c r="F403" s="8" t="inlineStr">
        <x:is>
          <x:t xml:space="preserve">No split</x:t>
        </x:is>
      </x:c>
      <x:c r="G403" s="8">
        <x:f>SUMIFS($D$6:$D$681,$A$6:$A$681,A403)</x:f>
        <x:v>0.2733</x:v>
      </x:c>
      <x:c r="H403" s="9">
        <x:f>1</x:f>
        <x:v>1</x:v>
      </x:c>
      <x:c r="I403" s="2" t="inlineStr">
        <x:is>
          <x:t xml:space="preserve">High</x:t>
        </x:is>
      </x:c>
      <x:c r="J403" s="2" t="inlineStr">
        <x:is>
          <x:t xml:space="preserve">Octopus is within Cephalopoda. Biomass estimation from two dominant Loligo species does not restrict the source group to those species or to squid. No split is required.</x:t>
        </x:is>
      </x:c>
      <x:c r="K403" s="1"/>
    </x:row>
    <x:row r="404" ht="72" customHeight="1">
      <x:c r="A404" s="2" t="inlineStr">
        <x:is>
          <x:t xml:space="preserve">Octopus vulgaris</x:t>
        </x:is>
      </x:c>
      <x:c r="B404" s="2" t="inlineStr">
        <x:is>
          <x:t xml:space="preserve">Cephalopods</x:t>
        </x:is>
      </x:c>
      <x:c r="C404" s="2">
        <x:v>12</x:v>
      </x:c>
      <x:c r="D404" s="8">
        <x:v>0.2733</x:v>
      </x:c>
      <x:c r="E404" s="8">
        <x:v>0.68</x:v>
      </x:c>
      <x:c r="F404" s="8" t="inlineStr">
        <x:is>
          <x:t xml:space="preserve">No split</x:t>
        </x:is>
      </x:c>
      <x:c r="G404" s="8">
        <x:f>SUMIFS($D$6:$D$681,$A$6:$A$681,A404)</x:f>
        <x:v>0.2733</x:v>
      </x:c>
      <x:c r="H404" s="9">
        <x:f>1</x:f>
        <x:v>1</x:v>
      </x:c>
      <x:c r="I404" s="2" t="inlineStr">
        <x:is>
          <x:t xml:space="preserve">High</x:t>
        </x:is>
      </x:c>
      <x:c r="J404" s="2" t="inlineStr">
        <x:is>
          <x:t xml:space="preserve">Octopus vulgaris is within Cephalopoda. Biomass estimation from two dominant Loligo species does not restrict the source group to those species or to squid. No split is required.</x:t>
        </x:is>
      </x:c>
      <x:c r="K404" s="1"/>
    </x:row>
    <x:row r="405" ht="72" customHeight="1">
      <x:c r="A405" s="2" t="inlineStr">
        <x:is>
          <x:t xml:space="preserve">Ommastrephidae</x:t>
        </x:is>
      </x:c>
      <x:c r="B405" s="2" t="inlineStr">
        <x:is>
          <x:t xml:space="preserve">Cephalopods</x:t>
        </x:is>
      </x:c>
      <x:c r="C405" s="2">
        <x:v>12</x:v>
      </x:c>
      <x:c r="D405" s="8">
        <x:v>0.2733</x:v>
      </x:c>
      <x:c r="E405" s="8">
        <x:v>0.68</x:v>
      </x:c>
      <x:c r="F405" s="8" t="inlineStr">
        <x:is>
          <x:t xml:space="preserve">No split</x:t>
        </x:is>
      </x:c>
      <x:c r="G405" s="8">
        <x:f>SUMIFS($D$6:$D$681,$A$6:$A$681,A405)</x:f>
        <x:v>0.2733</x:v>
      </x:c>
      <x:c r="H405" s="9">
        <x:f>1</x:f>
        <x:v>1</x:v>
      </x:c>
      <x:c r="I405" s="2" t="inlineStr">
        <x:is>
          <x:t xml:space="preserve">High</x:t>
        </x:is>
      </x:c>
      <x:c r="J405" s="2" t="inlineStr">
        <x:is>
          <x:t xml:space="preserve">Ommastrephidae is within Cephalopoda. Biomass estimation from two dominant Loligo species does not restrict the source group to those species or to squid. No split is required.</x:t>
        </x:is>
      </x:c>
      <x:c r="K405" s="1"/>
    </x:row>
    <x:row r="406" ht="72" customHeight="1">
      <x:c r="A406" s="2" t="inlineStr">
        <x:is>
          <x:t xml:space="preserve">Ostreidae</x:t>
        </x:is>
      </x:c>
      <x:c r="B406" s="2" t="inlineStr">
        <x:is>
          <x:t xml:space="preserve">Non-ceph molluscs</x:t>
        </x:is>
      </x:c>
      <x:c r="C406" s="2">
        <x:v>8</x:v>
      </x:c>
      <x:c r="D406" s="8">
        <x:v>0.7623</x:v>
      </x:c>
      <x:c r="E406" s="8">
        <x:v>2.68</x:v>
      </x:c>
      <x:c r="F406" s="8" t="inlineStr">
        <x:is>
          <x:t xml:space="preserve">No split</x:t>
        </x:is>
      </x:c>
      <x:c r="G406" s="8">
        <x:f>SUMIFS($D$6:$D$681,$A$6:$A$681,A406)</x:f>
        <x:v>0.7623</x:v>
      </x:c>
      <x:c r="H406" s="9">
        <x:f>1</x:f>
        <x:v>1</x:v>
      </x:c>
      <x:c r="I406" s="2" t="inlineStr">
        <x:is>
          <x:t xml:space="preserve">High</x:t>
        </x:is>
      </x:c>
      <x:c r="J406" s="2" t="inlineStr">
        <x:is>
          <x:t xml:space="preserve">Ostreidae is a non-cephalopod mollusc. The source derives this catch by removing Cephalopoda from mollusc catch; no competing mollusc compartment contains this lineage. No split is required.</x:t>
        </x:is>
      </x:c>
      <x:c r="K406" s="1"/>
    </x:row>
    <x:row r="407" ht="72" customHeight="1">
      <x:c r="A407" s="2" t="inlineStr">
        <x:is>
          <x:t xml:space="preserve">Ozius guttatus</x:t>
        </x:is>
      </x:c>
      <x:c r="B407" s="2" t="inlineStr">
        <x:is>
          <x:t xml:space="preserve">Crabs</x:t>
        </x:is>
      </x:c>
      <x:c r="C407" s="2">
        <x:v>11</x:v>
      </x:c>
      <x:c r="D407" s="8">
        <x:v>0.1997</x:v>
      </x:c>
      <x:c r="E407" s="8">
        <x:v>0.368</x:v>
      </x:c>
      <x:c r="F407" s="8" t="inlineStr">
        <x:is>
          <x:t xml:space="preserve">No split</x:t>
        </x:is>
      </x:c>
      <x:c r="G407" s="8">
        <x:f>SUMIFS($D$6:$D$681,$A$6:$A$681,A407)</x:f>
        <x:v>0.1997</x:v>
      </x:c>
      <x:c r="H407" s="9">
        <x:f>1</x:f>
        <x:v>1</x:v>
      </x:c>
      <x:c r="I407" s="2" t="inlineStr">
        <x:is>
          <x:t xml:space="preserve">High</x:t>
        </x:is>
      </x:c>
      <x:c r="J407" s="2" t="inlineStr">
        <x:is>
          <x:t xml:space="preserve">Ozius guttatus is a true-crab lineage within Crabs. The residual benthic-crustacean group expressly excludes crabs, so is not a competing placement. No split is required.</x:t>
        </x:is>
      </x:c>
      <x:c r="K407" s="1"/>
    </x:row>
    <x:row r="408" ht="112" customHeight="1">
      <x:c r="A408" s="2" t="inlineStr">
        <x:is>
          <x:t xml:space="preserve">Pagrus auratus</x:t>
        </x:is>
      </x:c>
      <x:c r="B408" s="2" t="inlineStr">
        <x:is>
          <x:t xml:space="preserve">Juvenile demersal fish (&gt; 30 cm)</x:t>
        </x:is>
      </x:c>
      <x:c r="C408" s="2">
        <x:v>25</x:v>
      </x:c>
      <x:c r="D408" s="8">
        <x:v>0.3165</x:v>
      </x:c>
      <x:c r="E408" s="8">
        <x:v>0.143</x:v>
      </x:c>
      <x:c r="F408" s="8" t="inlineStr">
        <x:is>
          <x:t xml:space="preserve">Model catch</x:t>
        </x:is>
      </x:c>
      <x:c r="G408" s="8">
        <x:f>SUMIFS($D$6:$D$681,$A$6:$A$681,A408)</x:f>
        <x:v>0.3517</x:v>
      </x:c>
      <x:c r="H408" s="9">
        <x:f>D408/G408</x:f>
        <x:v>0.8999147000284333</x:v>
      </x:c>
      <x:c r="I408" s="2" t="inlineStr">
        <x:is>
          <x:t xml:space="preserve">Medium</x:t>
        </x:is>
      </x:c>
      <x:c r="J408" s="2" t="inlineStr">
        <x:is>
          <x:t xml:space="preserve">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x:t>
        </x:is>
      </x:c>
      <x:c r="K408" s="1"/>
    </x:row>
    <x:row r="409" ht="112" customHeight="1">
      <x:c r="A409" s="2" t="inlineStr">
        <x:is>
          <x:t xml:space="preserve">Pagrus auratus</x:t>
        </x:is>
      </x:c>
      <x:c r="B409" s="2" t="inlineStr">
        <x:is>
          <x:t xml:space="preserve">Adult demersal fish (&gt; 30 cm)</x:t>
        </x:is>
      </x:c>
      <x:c r="C409" s="2">
        <x:v>26</x:v>
      </x:c>
      <x:c r="D409" s="8">
        <x:v>0.0352</x:v>
      </x:c>
      <x:c r="E409" s="8">
        <x:v>0.021</x:v>
      </x:c>
      <x:c r="F409" s="8" t="inlineStr">
        <x:is>
          <x:t xml:space="preserve">Model catch</x:t>
        </x:is>
      </x:c>
      <x:c r="G409" s="8">
        <x:f>SUMIFS($D$6:$D$681,$A$6:$A$681,A409)</x:f>
        <x:v>0.3517</x:v>
      </x:c>
      <x:c r="H409" s="9">
        <x:f>D409/G409</x:f>
        <x:v>0.1000852999715667</x:v>
      </x:c>
      <x:c r="I409" s="2" t="inlineStr">
        <x:is>
          <x:t xml:space="preserve">Medium</x:t>
        </x:is>
      </x:c>
      <x:c r="J409" s="2" t="inlineStr">
        <x:is>
          <x:t xml:space="preserve">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x:t>
        </x:is>
      </x:c>
      <x:c r="K409" s="1"/>
    </x:row>
    <x:row r="410" ht="96" customHeight="1">
      <x:c r="A410" s="2" t="inlineStr">
        <x:is>
          <x:t xml:space="preserve">Pagrus major</x:t>
        </x:is>
      </x:c>
      <x:c r="B410" s="2" t="inlineStr">
        <x:is>
          <x:t xml:space="preserve">Juvenile demersal fish (&gt; 30 cm)</x:t>
        </x:is>
      </x:c>
      <x:c r="C410" s="2">
        <x:v>25</x:v>
      </x:c>
      <x:c r="D410" s="8">
        <x:v>0.3165</x:v>
      </x:c>
      <x:c r="E410" s="8">
        <x:v>0.143</x:v>
      </x:c>
      <x:c r="F410" s="8" t="inlineStr">
        <x:is>
          <x:t xml:space="preserve">Model catch</x:t>
        </x:is>
      </x:c>
      <x:c r="G410" s="8">
        <x:f>SUMIFS($D$6:$D$681,$A$6:$A$681,A410)</x:f>
        <x:v>0.3517</x:v>
      </x:c>
      <x:c r="H410" s="9">
        <x:f>D410/G410</x:f>
        <x:v>0.8999147000284333</x:v>
      </x:c>
      <x:c r="I410" s="2" t="inlineStr">
        <x:is>
          <x:t xml:space="preserve">Medium</x:t>
        </x:is>
      </x:c>
      <x:c r="J410" s="2" t="inlineStr">
        <x:is>
          <x:t xml:space="preserve">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x:t>
        </x:is>
      </x:c>
      <x:c r="K410" s="1"/>
    </x:row>
    <x:row r="411" ht="96" customHeight="1">
      <x:c r="A411" s="2" t="inlineStr">
        <x:is>
          <x:t xml:space="preserve">Pagrus major</x:t>
        </x:is>
      </x:c>
      <x:c r="B411" s="2" t="inlineStr">
        <x:is>
          <x:t xml:space="preserve">Adult demersal fish (&gt; 30 cm)</x:t>
        </x:is>
      </x:c>
      <x:c r="C411" s="2">
        <x:v>26</x:v>
      </x:c>
      <x:c r="D411" s="8">
        <x:v>0.0352</x:v>
      </x:c>
      <x:c r="E411" s="8">
        <x:v>0.021</x:v>
      </x:c>
      <x:c r="F411" s="8" t="inlineStr">
        <x:is>
          <x:t xml:space="preserve">Model catch</x:t>
        </x:is>
      </x:c>
      <x:c r="G411" s="8">
        <x:f>SUMIFS($D$6:$D$681,$A$6:$A$681,A411)</x:f>
        <x:v>0.3517</x:v>
      </x:c>
      <x:c r="H411" s="9">
        <x:f>D411/G411</x:f>
        <x:v>0.1000852999715667</x:v>
      </x:c>
      <x:c r="I411" s="2" t="inlineStr">
        <x:is>
          <x:t xml:space="preserve">Medium</x:t>
        </x:is>
      </x:c>
      <x:c r="J411" s="2" t="inlineStr">
        <x:is>
          <x:t xml:space="preserve">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x:t>
        </x:is>
      </x:c>
      <x:c r="K411" s="1"/>
    </x:row>
    <x:row r="412" ht="72" customHeight="1">
      <x:c r="A412" s="2" t="inlineStr">
        <x:is>
          <x:t xml:space="preserve">Palinuridae</x:t>
        </x:is>
      </x:c>
      <x:c r="B412" s="2" t="inlineStr">
        <x:is>
          <x:t xml:space="preserve">Benthic crustaceans</x:t>
        </x:is>
      </x:c>
      <x:c r="C412" s="2">
        <x:v>7</x:v>
      </x:c>
      <x:c r="D412" s="8">
        <x:v>0.0391</x:v>
      </x:c>
      <x:c r="E412" s="8">
        <x:v>1.43</x:v>
      </x:c>
      <x:c r="F412" s="8" t="inlineStr">
        <x:is>
          <x:t xml:space="preserve">No split</x:t>
        </x:is>
      </x:c>
      <x:c r="G412" s="8">
        <x:f>SUMIFS($D$6:$D$681,$A$6:$A$681,A412)</x:f>
        <x:v>0.0391</x:v>
      </x:c>
      <x:c r="H412" s="9">
        <x:f>1</x:f>
        <x:v>1</x:v>
      </x:c>
      <x:c r="I412" s="2" t="inlineStr">
        <x:is>
          <x:t xml:space="preserve">High</x:t>
        </x:is>
      </x:c>
      <x:c r="J412" s="2" t="inlineStr">
        <x:is>
          <x:t xml:space="preserve">Palinuridae is a benthic lobster lineage in the residual crustacean pool after shrimp/crab exclusions. Oratosquilla is a parameter example, not the complete membership. No split is required.</x:t>
        </x:is>
      </x:c>
      <x:c r="K412" s="1"/>
    </x:row>
    <x:row r="413" ht="80" customHeight="1">
      <x:c r="A413" s="2" t="inlineStr">
        <x:is>
          <x:t xml:space="preserve">Pampus</x:t>
        </x:is>
      </x:c>
      <x:c r="B413" s="2" t="inlineStr">
        <x:is>
          <x:t xml:space="preserve">Pomfret (stromateids)</x:t>
        </x:is>
      </x:c>
      <x:c r="C413" s="2">
        <x:v>18</x:v>
      </x:c>
      <x:c r="D413" s="8">
        <x:v>0.239</x:v>
      </x:c>
      <x:c r="E413" s="8">
        <x:v>0.108</x:v>
      </x:c>
      <x:c r="F413" s="8" t="inlineStr">
        <x:is>
          <x:t xml:space="preserve">No split</x:t>
        </x:is>
      </x:c>
      <x:c r="G413" s="8">
        <x:f>SUMIFS($D$6:$D$681,$A$6:$A$681,A413)</x:f>
        <x:v>0.239</x:v>
      </x:c>
      <x:c r="H413" s="9">
        <x:f>1</x:f>
        <x:v>1</x:v>
      </x:c>
      <x:c r="I413" s="2" t="inlineStr">
        <x:is>
          <x:t xml:space="preserve">High</x:t>
        </x:is>
      </x:c>
      <x:c r="J413" s="2" t="inlineStr">
        <x:is>
          <x:t xml:space="preserve">Pampus is within Stromateidae, expressly used as the source group boundary. Parameter species are examples, not a closed list; residual size/habitat pools do not compete. The broader biomass-survey assemblage does not expand membership beyond Stromateidae. No split is required.</x:t>
        </x:is>
      </x:c>
      <x:c r="K413" s="1"/>
    </x:row>
    <x:row r="414" ht="80" customHeight="1">
      <x:c r="A414" s="2" t="inlineStr">
        <x:is>
          <x:t xml:space="preserve">Pampus argenteus</x:t>
        </x:is>
      </x:c>
      <x:c r="B414" s="2" t="inlineStr">
        <x:is>
          <x:t xml:space="preserve">Pomfret (stromateids)</x:t>
        </x:is>
      </x:c>
      <x:c r="C414" s="2">
        <x:v>18</x:v>
      </x:c>
      <x:c r="D414" s="8">
        <x:v>0.239</x:v>
      </x:c>
      <x:c r="E414" s="8">
        <x:v>0.108</x:v>
      </x:c>
      <x:c r="F414" s="8" t="inlineStr">
        <x:is>
          <x:t xml:space="preserve">No split</x:t>
        </x:is>
      </x:c>
      <x:c r="G414" s="8">
        <x:f>SUMIFS($D$6:$D$681,$A$6:$A$681,A414)</x:f>
        <x:v>0.239</x:v>
      </x:c>
      <x:c r="H414" s="9">
        <x:f>1</x:f>
        <x:v>1</x:v>
      </x:c>
      <x:c r="I414" s="2" t="inlineStr">
        <x:is>
          <x:t xml:space="preserve">High</x:t>
        </x:is>
      </x:c>
      <x:c r="J414" s="2" t="inlineStr">
        <x:is>
          <x:t xml:space="preserve">Pampus argenteus is within Stromateidae, expressly used as the source group boundary. Parameter species are examples, not a closed list; residual size/habitat pools do not compete. The broader biomass-survey assemblage does not expand membership beyond Stromateidae. No split is required.</x:t>
        </x:is>
      </x:c>
      <x:c r="K414" s="1"/>
    </x:row>
    <x:row r="415" ht="80" customHeight="1">
      <x:c r="A415" s="2" t="inlineStr">
        <x:is>
          <x:t xml:space="preserve">Pampus chinensis</x:t>
        </x:is>
      </x:c>
      <x:c r="B415" s="2" t="inlineStr">
        <x:is>
          <x:t xml:space="preserve">Pomfret (stromateids)</x:t>
        </x:is>
      </x:c>
      <x:c r="C415" s="2">
        <x:v>18</x:v>
      </x:c>
      <x:c r="D415" s="8">
        <x:v>0.239</x:v>
      </x:c>
      <x:c r="E415" s="8">
        <x:v>0.108</x:v>
      </x:c>
      <x:c r="F415" s="8" t="inlineStr">
        <x:is>
          <x:t xml:space="preserve">No split</x:t>
        </x:is>
      </x:c>
      <x:c r="G415" s="8">
        <x:f>SUMIFS($D$6:$D$681,$A$6:$A$681,A415)</x:f>
        <x:v>0.239</x:v>
      </x:c>
      <x:c r="H415" s="9">
        <x:f>1</x:f>
        <x:v>1</x:v>
      </x:c>
      <x:c r="I415" s="2" t="inlineStr">
        <x:is>
          <x:t xml:space="preserve">High</x:t>
        </x:is>
      </x:c>
      <x:c r="J415" s="2" t="inlineStr">
        <x:is>
          <x:t xml:space="preserve">Pampus chinensis is within Stromateidae, expressly used as the source group boundary. Parameter species are examples, not a closed list; residual size/habitat pools do not compete. The broader biomass-survey assemblage does not expand membership beyond Stromateidae. No split is required.</x:t>
        </x:is>
      </x:c>
      <x:c r="K415" s="1"/>
    </x:row>
    <x:row r="416" ht="72" customHeight="1">
      <x:c r="A416" s="2" t="inlineStr">
        <x:is>
          <x:t xml:space="preserve">Panulirus</x:t>
        </x:is>
      </x:c>
      <x:c r="B416" s="2" t="inlineStr">
        <x:is>
          <x:t xml:space="preserve">Benthic crustaceans</x:t>
        </x:is>
      </x:c>
      <x:c r="C416" s="2">
        <x:v>7</x:v>
      </x:c>
      <x:c r="D416" s="8">
        <x:v>0.0391</x:v>
      </x:c>
      <x:c r="E416" s="8">
        <x:v>1.43</x:v>
      </x:c>
      <x:c r="F416" s="8" t="inlineStr">
        <x:is>
          <x:t xml:space="preserve">No split</x:t>
        </x:is>
      </x:c>
      <x:c r="G416" s="8">
        <x:f>SUMIFS($D$6:$D$681,$A$6:$A$681,A416)</x:f>
        <x:v>0.0391</x:v>
      </x:c>
      <x:c r="H416" s="9">
        <x:f>1</x:f>
        <x:v>1</x:v>
      </x:c>
      <x:c r="I416" s="2" t="inlineStr">
        <x:is>
          <x:t xml:space="preserve">High</x:t>
        </x:is>
      </x:c>
      <x:c r="J416" s="2" t="inlineStr">
        <x:is>
          <x:t xml:space="preserve">Panulirus is a benthic lobster lineage in the residual crustacean pool after shrimp/crab exclusions. Oratosquilla is a parameter example, not the complete membership. No split is required.</x:t>
        </x:is>
      </x:c>
      <x:c r="K416" s="1"/>
    </x:row>
    <x:row r="417" ht="72" customHeight="1">
      <x:c r="A417" s="2" t="inlineStr">
        <x:is>
          <x:t xml:space="preserve">Panulirus longipes</x:t>
        </x:is>
      </x:c>
      <x:c r="B417" s="2" t="inlineStr">
        <x:is>
          <x:t xml:space="preserve">Benthic crustaceans</x:t>
        </x:is>
      </x:c>
      <x:c r="C417" s="2">
        <x:v>7</x:v>
      </x:c>
      <x:c r="D417" s="8">
        <x:v>0.0391</x:v>
      </x:c>
      <x:c r="E417" s="8">
        <x:v>1.43</x:v>
      </x:c>
      <x:c r="F417" s="8" t="inlineStr">
        <x:is>
          <x:t xml:space="preserve">No split</x:t>
        </x:is>
      </x:c>
      <x:c r="G417" s="8">
        <x:f>SUMIFS($D$6:$D$681,$A$6:$A$681,A417)</x:f>
        <x:v>0.0391</x:v>
      </x:c>
      <x:c r="H417" s="9">
        <x:f>1</x:f>
        <x:v>1</x:v>
      </x:c>
      <x:c r="I417" s="2" t="inlineStr">
        <x:is>
          <x:t xml:space="preserve">High</x:t>
        </x:is>
      </x:c>
      <x:c r="J417" s="2" t="inlineStr">
        <x:is>
          <x:t xml:space="preserve">Panulirus longipes is a benthic lobster lineage in the residual crustacean pool after shrimp/crab exclusions. Oratosquilla is a parameter example, not the complete membership. No split is required.</x:t>
        </x:is>
      </x:c>
      <x:c r="K417" s="1"/>
    </x:row>
    <x:row r="418" ht="72" customHeight="1">
      <x:c r="A418" s="2" t="inlineStr">
        <x:is>
          <x:t xml:space="preserve">Panulirus polyphagus</x:t>
        </x:is>
      </x:c>
      <x:c r="B418" s="2" t="inlineStr">
        <x:is>
          <x:t xml:space="preserve">Benthic crustaceans</x:t>
        </x:is>
      </x:c>
      <x:c r="C418" s="2">
        <x:v>7</x:v>
      </x:c>
      <x:c r="D418" s="8">
        <x:v>0.0391</x:v>
      </x:c>
      <x:c r="E418" s="8">
        <x:v>1.43</x:v>
      </x:c>
      <x:c r="F418" s="8" t="inlineStr">
        <x:is>
          <x:t xml:space="preserve">No split</x:t>
        </x:is>
      </x:c>
      <x:c r="G418" s="8">
        <x:f>SUMIFS($D$6:$D$681,$A$6:$A$681,A418)</x:f>
        <x:v>0.0391</x:v>
      </x:c>
      <x:c r="H418" s="9">
        <x:f>1</x:f>
        <x:v>1</x:v>
      </x:c>
      <x:c r="I418" s="2" t="inlineStr">
        <x:is>
          <x:t xml:space="preserve">High</x:t>
        </x:is>
      </x:c>
      <x:c r="J418" s="2" t="inlineStr">
        <x:is>
          <x:t xml:space="preserve">Panulirus polyphagus is a benthic lobster lineage in the residual crustacean pool after shrimp/crab exclusions. Oratosquilla is a parameter example, not the complete membership. No split is required.</x:t>
        </x:is>
      </x:c>
      <x:c r="K418" s="1"/>
    </x:row>
    <x:row r="419" ht="96" customHeight="1">
      <x:c r="A419" s="2" t="inlineStr">
        <x:is>
          <x:t xml:space="preserve">Paralichthyidae</x:t>
        </x:is>
      </x:c>
      <x:c r="B419" s="2" t="inlineStr">
        <x:is>
          <x:t xml:space="preserve">Demesral fish (≤ 30 cm)</x:t>
        </x:is>
      </x:c>
      <x:c r="C419" s="2">
        <x:v>24</x:v>
      </x:c>
      <x:c r="D419" s="8">
        <x:v>0.1788</x:v>
      </x:c>
      <x:c r="E419" s="8">
        <x:v>0.316</x:v>
      </x:c>
      <x:c r="F419" s="8" t="inlineStr">
        <x:is>
          <x:t xml:space="preserve">Model catch</x:t>
        </x:is>
      </x:c>
      <x:c r="G419" s="8">
        <x:f>SUMIFS($D$6:$D$681,$A$6:$A$681,A419)</x:f>
        <x:v>0.5305</x:v>
      </x:c>
      <x:c r="H419" s="9">
        <x:f>D419/G419</x:f>
        <x:v>0.33704052780395855</x:v>
      </x:c>
      <x:c r="I419" s="2" t="inlineStr">
        <x:is>
          <x:t xml:space="preserve">Medium</x:t>
        </x:is>
      </x:c>
      <x:c r="J419" s="2" t="inlineStr">
        <x:is>
          <x:t xml:space="preserve">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x:t>
        </x:is>
      </x:c>
      <x:c r="K419" s="1"/>
    </x:row>
    <x:row r="420" ht="96" customHeight="1">
      <x:c r="A420" s="2" t="inlineStr">
        <x:is>
          <x:t xml:space="preserve">Paralichthyidae</x:t>
        </x:is>
      </x:c>
      <x:c r="B420" s="2" t="inlineStr">
        <x:is>
          <x:t xml:space="preserve">Juvenile demersal fish (&gt; 30 cm)</x:t>
        </x:is>
      </x:c>
      <x:c r="C420" s="2">
        <x:v>25</x:v>
      </x:c>
      <x:c r="D420" s="8">
        <x:v>0.3165</x:v>
      </x:c>
      <x:c r="E420" s="8">
        <x:v>0.143</x:v>
      </x:c>
      <x:c r="F420" s="8" t="inlineStr">
        <x:is>
          <x:t xml:space="preserve">Model catch</x:t>
        </x:is>
      </x:c>
      <x:c r="G420" s="8">
        <x:f>SUMIFS($D$6:$D$681,$A$6:$A$681,A420)</x:f>
        <x:v>0.5305</x:v>
      </x:c>
      <x:c r="H420" s="9">
        <x:f>D420/G420</x:f>
        <x:v>0.5966069745523092</x:v>
      </x:c>
      <x:c r="I420" s="2" t="inlineStr">
        <x:is>
          <x:t xml:space="preserve">Medium</x:t>
        </x:is>
      </x:c>
      <x:c r="J420" s="2" t="inlineStr">
        <x:is>
          <x:t xml:space="preserve">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x:t>
        </x:is>
      </x:c>
      <x:c r="K420" s="1"/>
    </x:row>
    <x:row r="421" ht="96" customHeight="1">
      <x:c r="A421" s="2" t="inlineStr">
        <x:is>
          <x:t xml:space="preserve">Paralichthyidae</x:t>
        </x:is>
      </x:c>
      <x:c r="B421" s="2" t="inlineStr">
        <x:is>
          <x:t xml:space="preserve">Adult demersal fish (&gt; 30 cm)</x:t>
        </x:is>
      </x:c>
      <x:c r="C421" s="2">
        <x:v>26</x:v>
      </x:c>
      <x:c r="D421" s="8">
        <x:v>0.0352</x:v>
      </x:c>
      <x:c r="E421" s="8">
        <x:v>0.021</x:v>
      </x:c>
      <x:c r="F421" s="8" t="inlineStr">
        <x:is>
          <x:t xml:space="preserve">Model catch</x:t>
        </x:is>
      </x:c>
      <x:c r="G421" s="8">
        <x:f>SUMIFS($D$6:$D$681,$A$6:$A$681,A421)</x:f>
        <x:v>0.5305</x:v>
      </x:c>
      <x:c r="H421" s="9">
        <x:f>D421/G421</x:f>
        <x:v>0.06635249764373234</x:v>
      </x:c>
      <x:c r="I421" s="2" t="inlineStr">
        <x:is>
          <x:t xml:space="preserve">Medium</x:t>
        </x:is>
      </x:c>
      <x:c r="J421" s="2" t="inlineStr">
        <x:is>
          <x:t xml:space="preserve">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x:t>
        </x:is>
      </x:c>
      <x:c r="K421" s="1"/>
    </x:row>
    <x:row r="422" ht="96" customHeight="1">
      <x:c r="A422" s="2" t="inlineStr">
        <x:is>
          <x:t xml:space="preserve">Paralichthys olivaceus</x:t>
        </x:is>
      </x:c>
      <x:c r="B422" s="2" t="inlineStr">
        <x:is>
          <x:t xml:space="preserve">Juvenile demersal fish (&gt; 30 cm)</x:t>
        </x:is>
      </x:c>
      <x:c r="C422" s="2">
        <x:v>25</x:v>
      </x:c>
      <x:c r="D422" s="8">
        <x:v>0.3165</x:v>
      </x:c>
      <x:c r="E422" s="8">
        <x:v>0.143</x:v>
      </x:c>
      <x:c r="F422" s="8" t="inlineStr">
        <x:is>
          <x:t xml:space="preserve">Model catch</x:t>
        </x:is>
      </x:c>
      <x:c r="G422" s="8">
        <x:f>SUMIFS($D$6:$D$681,$A$6:$A$681,A422)</x:f>
        <x:v>0.3517</x:v>
      </x:c>
      <x:c r="H422" s="9">
        <x:f>D422/G422</x:f>
        <x:v>0.8999147000284333</x:v>
      </x:c>
      <x:c r="I422" s="2" t="inlineStr">
        <x:is>
          <x:t xml:space="preserve">Medium</x:t>
        </x:is>
      </x:c>
      <x:c r="J422" s="2" t="inlineStr">
        <x:is>
          <x:t xml:space="preserve">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x:t>
        </x:is>
      </x:c>
      <x:c r="K422" s="1"/>
    </x:row>
    <x:row r="423" ht="96" customHeight="1">
      <x:c r="A423" s="2" t="inlineStr">
        <x:is>
          <x:t xml:space="preserve">Paralichthys olivaceus</x:t>
        </x:is>
      </x:c>
      <x:c r="B423" s="2" t="inlineStr">
        <x:is>
          <x:t xml:space="preserve">Adult demersal fish (&gt; 30 cm)</x:t>
        </x:is>
      </x:c>
      <x:c r="C423" s="2">
        <x:v>26</x:v>
      </x:c>
      <x:c r="D423" s="8">
        <x:v>0.0352</x:v>
      </x:c>
      <x:c r="E423" s="8">
        <x:v>0.021</x:v>
      </x:c>
      <x:c r="F423" s="8" t="inlineStr">
        <x:is>
          <x:t xml:space="preserve">Model catch</x:t>
        </x:is>
      </x:c>
      <x:c r="G423" s="8">
        <x:f>SUMIFS($D$6:$D$681,$A$6:$A$681,A423)</x:f>
        <x:v>0.3517</x:v>
      </x:c>
      <x:c r="H423" s="9">
        <x:f>D423/G423</x:f>
        <x:v>0.10008529997156668</x:v>
      </x:c>
      <x:c r="I423" s="2" t="inlineStr">
        <x:is>
          <x:t xml:space="preserve">Medium</x:t>
        </x:is>
      </x:c>
      <x:c r="J423" s="2" t="inlineStr">
        <x:is>
          <x:t xml:space="preserve">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x:t>
        </x:is>
      </x:c>
      <x:c r="K423" s="1"/>
    </x:row>
    <x:row r="424" ht="72" customHeight="1">
      <x:c r="A424" s="2" t="inlineStr">
        <x:is>
          <x:t xml:space="preserve">Parapenaeopsis</x:t>
        </x:is>
      </x:c>
      <x:c r="B424" s="2" t="inlineStr">
        <x:is>
          <x:t xml:space="preserve">Shrimps</x:t>
        </x:is>
      </x:c>
      <x:c r="C424" s="2">
        <x:v>10</x:v>
      </x:c>
      <x:c r="D424" s="8">
        <x:v>0.6788</x:v>
      </x:c>
      <x:c r="E424" s="8">
        <x:v>0.194</x:v>
      </x:c>
      <x:c r="F424" s="8" t="inlineStr">
        <x:is>
          <x:t xml:space="preserve">No split</x:t>
        </x:is>
      </x:c>
      <x:c r="G424" s="8">
        <x:f>SUMIFS($D$6:$D$681,$A$6:$A$681,A424)</x:f>
        <x:v>0.6788</x:v>
      </x:c>
      <x:c r="H424" s="9">
        <x:f>1</x:f>
        <x:v>1</x:v>
      </x:c>
      <x:c r="I424" s="2" t="inlineStr">
        <x:is>
          <x:t xml:space="preserve">High</x:t>
        </x:is>
      </x:c>
      <x:c r="J424" s="2" t="inlineStr">
        <x:is>
          <x:t xml:space="preserve">Parapenaeopsis is a non-Acetes shrimp lineage. Shrimps is broader than the Metapenaeopsis mortality examples; the explicit Acetes/Zooplankton exception is excluded. No split is required.</x:t>
        </x:is>
      </x:c>
      <x:c r="K424" s="1"/>
    </x:row>
    <x:row r="425" ht="80" customHeight="1">
      <x:c r="A425" s="2" t="inlineStr">
        <x:is>
          <x:t xml:space="preserve">Parastromateus niger</x:t>
        </x:is>
      </x:c>
      <x:c r="B425" s="2" t="inlineStr">
        <x:is>
          <x:t xml:space="preserve">Benthopelagic fish</x:t>
        </x:is>
      </x:c>
      <x:c r="C425" s="2">
        <x:v>27</x:v>
      </x:c>
      <x:c r="D425" s="8">
        <x:v>0.6025</x:v>
      </x:c>
      <x:c r="E425" s="8">
        <x:v>0.922</x:v>
      </x:c>
      <x:c r="F425" s="8" t="inlineStr">
        <x:is>
          <x:t xml:space="preserve">No split</x:t>
        </x:is>
      </x:c>
      <x:c r="G425" s="8">
        <x:f>SUMIFS($D$6:$D$681,$A$6:$A$681,A425)</x:f>
        <x:v>0.6025</x:v>
      </x:c>
      <x:c r="H425" s="9">
        <x:f>1</x:f>
        <x:v>1</x:v>
      </x:c>
      <x:c r="I425" s="2" t="inlineStr">
        <x:is>
          <x:t xml:space="preserve">High</x:t>
        </x:is>
      </x:c>
      <x:c r="J425" s="2" t="inlineStr">
        <x:is>
          <x:t xml:space="preserve">Bottom-by-day and surface-at-night behavior strongly supports benthopelagic ecology, and it is Carangidae rather than source Stromateidae. However, its 75 cm TL maximum places it in the appendix large component whose inclusion in final 27 is not demonstrated. No split is required.</x:t>
        </x:is>
      </x:c>
      <x:c r="K425" s="1"/>
    </x:row>
    <x:row r="426" ht="128" customHeight="1">
      <x:c r="A426" s="2" t="inlineStr">
        <x:is>
          <x:t xml:space="preserve">Parupeneus barberinus</x:t>
        </x:is>
      </x:c>
      <x:c r="B426" s="2" t="inlineStr">
        <x:is>
          <x:t xml:space="preserve">Juvenile demersal fish (&gt; 30 cm)</x:t>
        </x:is>
      </x:c>
      <x:c r="C426" s="2">
        <x:v>25</x:v>
      </x:c>
      <x:c r="D426" s="8">
        <x:v>0.3165</x:v>
      </x:c>
      <x:c r="E426" s="8">
        <x:v>0.143</x:v>
      </x:c>
      <x:c r="F426" s="8" t="inlineStr">
        <x:is>
          <x:t xml:space="preserve">Model catch</x:t>
        </x:is>
      </x:c>
      <x:c r="G426" s="8">
        <x:f>SUMIFS($D$6:$D$681,$A$6:$A$681,A426)</x:f>
        <x:v>0.3517</x:v>
      </x:c>
      <x:c r="H426" s="9">
        <x:f>D426/G426</x:f>
        <x:v>0.8999147000284333</x:v>
      </x:c>
      <x:c r="I426" s="2" t="inlineStr">
        <x:is>
          <x:t xml:space="preserve">Medium</x:t>
        </x:is>
      </x:c>
      <x:c r="J426" s="2" t="inlineStr">
        <x:is>
          <x:t xml:space="preserve">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x:t>
        </x:is>
      </x:c>
      <x:c r="K426" s="1"/>
    </x:row>
    <x:row r="427" ht="128" customHeight="1">
      <x:c r="A427" s="2" t="inlineStr">
        <x:is>
          <x:t xml:space="preserve">Parupeneus barberinus</x:t>
        </x:is>
      </x:c>
      <x:c r="B427" s="2" t="inlineStr">
        <x:is>
          <x:t xml:space="preserve">Adult demersal fish (&gt; 30 cm)</x:t>
        </x:is>
      </x:c>
      <x:c r="C427" s="2">
        <x:v>26</x:v>
      </x:c>
      <x:c r="D427" s="8">
        <x:v>0.0352</x:v>
      </x:c>
      <x:c r="E427" s="8">
        <x:v>0.021</x:v>
      </x:c>
      <x:c r="F427" s="8" t="inlineStr">
        <x:is>
          <x:t xml:space="preserve">Model catch</x:t>
        </x:is>
      </x:c>
      <x:c r="G427" s="8">
        <x:f>SUMIFS($D$6:$D$681,$A$6:$A$681,A427)</x:f>
        <x:v>0.3517</x:v>
      </x:c>
      <x:c r="H427" s="9">
        <x:f>D427/G427</x:f>
        <x:v>0.1000852999715667</x:v>
      </x:c>
      <x:c r="I427" s="2" t="inlineStr">
        <x:is>
          <x:t xml:space="preserve">Medium</x:t>
        </x:is>
      </x:c>
      <x:c r="J427" s="2" t="inlineStr">
        <x:is>
          <x:t xml:space="preserve">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x:t>
        </x:is>
      </x:c>
      <x:c r="K427" s="1"/>
    </x:row>
    <x:row r="428" ht="72" customHeight="1">
      <x:c r="A428" s="2" t="inlineStr">
        <x:is>
          <x:t xml:space="preserve">Pectinidae</x:t>
        </x:is>
      </x:c>
      <x:c r="B428" s="2" t="inlineStr">
        <x:is>
          <x:t xml:space="preserve">Non-ceph molluscs</x:t>
        </x:is>
      </x:c>
      <x:c r="C428" s="2">
        <x:v>8</x:v>
      </x:c>
      <x:c r="D428" s="8">
        <x:v>0.7623</x:v>
      </x:c>
      <x:c r="E428" s="8">
        <x:v>2.68</x:v>
      </x:c>
      <x:c r="F428" s="8" t="inlineStr">
        <x:is>
          <x:t xml:space="preserve">No split</x:t>
        </x:is>
      </x:c>
      <x:c r="G428" s="8">
        <x:f>SUMIFS($D$6:$D$681,$A$6:$A$681,A428)</x:f>
        <x:v>0.7623</x:v>
      </x:c>
      <x:c r="H428" s="9">
        <x:f>1</x:f>
        <x:v>1</x:v>
      </x:c>
      <x:c r="I428" s="2" t="inlineStr">
        <x:is>
          <x:t xml:space="preserve">High</x:t>
        </x:is>
      </x:c>
      <x:c r="J428" s="2" t="inlineStr">
        <x:is>
          <x:t xml:space="preserve">Pectinidae is a non-cephalopod mollusc. The source derives this catch by removing Cephalopoda from mollusc catch; no competing mollusc compartment contains this lineage. No split is required.</x:t>
        </x:is>
      </x:c>
      <x:c r="K428" s="1"/>
    </x:row>
    <x:row r="429" ht="96" customHeight="1">
      <x:c r="A429" s="2" t="inlineStr">
        <x:is>
          <x:t xml:space="preserve">Pellona ditchela</x:t>
        </x:is>
      </x:c>
      <x:c r="B429" s="2" t="inlineStr">
        <x:is>
          <x:t xml:space="preserve">Pelagic fish (≤ 30 cm)</x:t>
        </x:is>
      </x:c>
      <x:c r="C429" s="2">
        <x:v>29</x:v>
      </x:c>
      <x:c r="D429" s="8">
        <x:v>2.345</x:v>
      </x:c>
      <x:c r="E429" s="8">
        <x:v>1.772</x:v>
      </x:c>
      <x:c r="F429" s="8" t="inlineStr">
        <x:is>
          <x:t xml:space="preserve">No split</x:t>
        </x:is>
      </x:c>
      <x:c r="G429" s="8">
        <x:f>SUMIFS($D$6:$D$681,$A$6:$A$681,A429)</x:f>
        <x:v>2.345</x:v>
      </x:c>
      <x:c r="H429" s="9">
        <x:f>1</x:f>
        <x:v>1</x:v>
      </x:c>
      <x:c r="I429" s="2" t="inlineStr">
        <x:is>
          <x:t xml:space="preserve">High</x:t>
        </x:is>
      </x:c>
      <x:c r="J429" s="2" t="inlineStr">
        <x:is>
          <x:t xml:space="preserve">Coastal-pelagic ecology and small size support the current pool. Retrieved maximum length is SL, not TL; no independent total-length bound/conversion was recovered, so the model TL criterion remains a supported inference. Checked species record: 16 cm SL; Marine; freshwater; brackish;  pelagic-neritic; anadromous. No split is required.</x:t>
        </x:is>
      </x:c>
      <x:c r="K429" s="1"/>
    </x:row>
    <x:row r="430" ht="72" customHeight="1">
      <x:c r="A430" s="2" t="inlineStr">
        <x:is>
          <x:t xml:space="preserve">Penaeidae</x:t>
        </x:is>
      </x:c>
      <x:c r="B430" s="2" t="inlineStr">
        <x:is>
          <x:t xml:space="preserve">Shrimps</x:t>
        </x:is>
      </x:c>
      <x:c r="C430" s="2">
        <x:v>10</x:v>
      </x:c>
      <x:c r="D430" s="8">
        <x:v>0.6788</x:v>
      </x:c>
      <x:c r="E430" s="8">
        <x:v>0.194</x:v>
      </x:c>
      <x:c r="F430" s="8" t="inlineStr">
        <x:is>
          <x:t xml:space="preserve">No split</x:t>
        </x:is>
      </x:c>
      <x:c r="G430" s="8">
        <x:f>SUMIFS($D$6:$D$681,$A$6:$A$681,A430)</x:f>
        <x:v>0.6788</x:v>
      </x:c>
      <x:c r="H430" s="9">
        <x:f>1</x:f>
        <x:v>1</x:v>
      </x:c>
      <x:c r="I430" s="2" t="inlineStr">
        <x:is>
          <x:t xml:space="preserve">High</x:t>
        </x:is>
      </x:c>
      <x:c r="J430" s="2" t="inlineStr">
        <x:is>
          <x:t xml:space="preserve">Penaeidae is a non-Acetes shrimp lineage. Shrimps is broader than the Metapenaeopsis mortality examples; the explicit Acetes/Zooplankton exception is excluded. No split is required.</x:t>
        </x:is>
      </x:c>
      <x:c r="K430" s="1"/>
    </x:row>
    <x:row r="431" ht="72" customHeight="1">
      <x:c r="A431" s="2" t="inlineStr">
        <x:is>
          <x:t xml:space="preserve">Penaeus</x:t>
        </x:is>
      </x:c>
      <x:c r="B431" s="2" t="inlineStr">
        <x:is>
          <x:t xml:space="preserve">Shrimps</x:t>
        </x:is>
      </x:c>
      <x:c r="C431" s="2">
        <x:v>10</x:v>
      </x:c>
      <x:c r="D431" s="8">
        <x:v>0.6788</x:v>
      </x:c>
      <x:c r="E431" s="8">
        <x:v>0.194</x:v>
      </x:c>
      <x:c r="F431" s="8" t="inlineStr">
        <x:is>
          <x:t xml:space="preserve">No split</x:t>
        </x:is>
      </x:c>
      <x:c r="G431" s="8">
        <x:f>SUMIFS($D$6:$D$681,$A$6:$A$681,A431)</x:f>
        <x:v>0.6788</x:v>
      </x:c>
      <x:c r="H431" s="9">
        <x:f>1</x:f>
        <x:v>1</x:v>
      </x:c>
      <x:c r="I431" s="2" t="inlineStr">
        <x:is>
          <x:t xml:space="preserve">High</x:t>
        </x:is>
      </x:c>
      <x:c r="J431" s="2" t="inlineStr">
        <x:is>
          <x:t xml:space="preserve">Penaeus is a non-Acetes shrimp lineage. Shrimps is broader than the Metapenaeopsis mortality examples; the explicit Acetes/Zooplankton exception is excluded. No split is required.</x:t>
        </x:is>
      </x:c>
      <x:c r="K431" s="1"/>
    </x:row>
    <x:row r="432" ht="72" customHeight="1">
      <x:c r="A432" s="2" t="inlineStr">
        <x:is>
          <x:t xml:space="preserve">Penaeus chinensis</x:t>
        </x:is>
      </x:c>
      <x:c r="B432" s="2" t="inlineStr">
        <x:is>
          <x:t xml:space="preserve">Shrimps</x:t>
        </x:is>
      </x:c>
      <x:c r="C432" s="2">
        <x:v>10</x:v>
      </x:c>
      <x:c r="D432" s="8">
        <x:v>0.6788</x:v>
      </x:c>
      <x:c r="E432" s="8">
        <x:v>0.194</x:v>
      </x:c>
      <x:c r="F432" s="8" t="inlineStr">
        <x:is>
          <x:t xml:space="preserve">No split</x:t>
        </x:is>
      </x:c>
      <x:c r="G432" s="8">
        <x:f>SUMIFS($D$6:$D$681,$A$6:$A$681,A432)</x:f>
        <x:v>0.6788</x:v>
      </x:c>
      <x:c r="H432" s="9">
        <x:f>1</x:f>
        <x:v>1</x:v>
      </x:c>
      <x:c r="I432" s="2" t="inlineStr">
        <x:is>
          <x:t xml:space="preserve">High</x:t>
        </x:is>
      </x:c>
      <x:c r="J432" s="2" t="inlineStr">
        <x:is>
          <x:t xml:space="preserve">Penaeus chinensis is a non-Acetes shrimp lineage. Shrimps is broader than the Metapenaeopsis mortality examples; the explicit Acetes/Zooplankton exception is excluded. No split is required.</x:t>
        </x:is>
      </x:c>
      <x:c r="K432" s="1"/>
    </x:row>
    <x:row r="433" ht="72" customHeight="1">
      <x:c r="A433" s="2" t="inlineStr">
        <x:is>
          <x:t xml:space="preserve">Penaeus indicus</x:t>
        </x:is>
      </x:c>
      <x:c r="B433" s="2" t="inlineStr">
        <x:is>
          <x:t xml:space="preserve">Shrimps</x:t>
        </x:is>
      </x:c>
      <x:c r="C433" s="2">
        <x:v>10</x:v>
      </x:c>
      <x:c r="D433" s="8">
        <x:v>0.6788</x:v>
      </x:c>
      <x:c r="E433" s="8">
        <x:v>0.194</x:v>
      </x:c>
      <x:c r="F433" s="8" t="inlineStr">
        <x:is>
          <x:t xml:space="preserve">No split</x:t>
        </x:is>
      </x:c>
      <x:c r="G433" s="8">
        <x:f>SUMIFS($D$6:$D$681,$A$6:$A$681,A433)</x:f>
        <x:v>0.6788</x:v>
      </x:c>
      <x:c r="H433" s="9">
        <x:f>1</x:f>
        <x:v>1</x:v>
      </x:c>
      <x:c r="I433" s="2" t="inlineStr">
        <x:is>
          <x:t xml:space="preserve">High</x:t>
        </x:is>
      </x:c>
      <x:c r="J433" s="2" t="inlineStr">
        <x:is>
          <x:t xml:space="preserve">Penaeus indicus is a non-Acetes shrimp lineage. Shrimps is broader than the Metapenaeopsis mortality examples; the explicit Acetes/Zooplankton exception is excluded. No split is required.</x:t>
        </x:is>
      </x:c>
      <x:c r="K433" s="1"/>
    </x:row>
    <x:row r="434" ht="72" customHeight="1">
      <x:c r="A434" s="2" t="inlineStr">
        <x:is>
          <x:t xml:space="preserve">Penaeus japonicus</x:t>
        </x:is>
      </x:c>
      <x:c r="B434" s="2" t="inlineStr">
        <x:is>
          <x:t xml:space="preserve">Shrimps</x:t>
        </x:is>
      </x:c>
      <x:c r="C434" s="2">
        <x:v>10</x:v>
      </x:c>
      <x:c r="D434" s="8">
        <x:v>0.6788</x:v>
      </x:c>
      <x:c r="E434" s="8">
        <x:v>0.194</x:v>
      </x:c>
      <x:c r="F434" s="8" t="inlineStr">
        <x:is>
          <x:t xml:space="preserve">No split</x:t>
        </x:is>
      </x:c>
      <x:c r="G434" s="8">
        <x:f>SUMIFS($D$6:$D$681,$A$6:$A$681,A434)</x:f>
        <x:v>0.6788</x:v>
      </x:c>
      <x:c r="H434" s="9">
        <x:f>1</x:f>
        <x:v>1</x:v>
      </x:c>
      <x:c r="I434" s="2" t="inlineStr">
        <x:is>
          <x:t xml:space="preserve">High</x:t>
        </x:is>
      </x:c>
      <x:c r="J434" s="2" t="inlineStr">
        <x:is>
          <x:t xml:space="preserve">Penaeus japonicus is a non-Acetes shrimp lineage. Shrimps is broader than the Metapenaeopsis mortality examples; the explicit Acetes/Zooplankton exception is excluded. No split is required.</x:t>
        </x:is>
      </x:c>
      <x:c r="K434" s="1"/>
    </x:row>
    <x:row r="435" ht="72" customHeight="1">
      <x:c r="A435" s="2" t="inlineStr">
        <x:is>
          <x:t xml:space="preserve">Penaeus latisulcatus</x:t>
        </x:is>
      </x:c>
      <x:c r="B435" s="2" t="inlineStr">
        <x:is>
          <x:t xml:space="preserve">Shrimps</x:t>
        </x:is>
      </x:c>
      <x:c r="C435" s="2">
        <x:v>10</x:v>
      </x:c>
      <x:c r="D435" s="8">
        <x:v>0.6788</x:v>
      </x:c>
      <x:c r="E435" s="8">
        <x:v>0.194</x:v>
      </x:c>
      <x:c r="F435" s="8" t="inlineStr">
        <x:is>
          <x:t xml:space="preserve">No split</x:t>
        </x:is>
      </x:c>
      <x:c r="G435" s="8">
        <x:f>SUMIFS($D$6:$D$681,$A$6:$A$681,A435)</x:f>
        <x:v>0.6788</x:v>
      </x:c>
      <x:c r="H435" s="9">
        <x:f>1</x:f>
        <x:v>1</x:v>
      </x:c>
      <x:c r="I435" s="2" t="inlineStr">
        <x:is>
          <x:t xml:space="preserve">High</x:t>
        </x:is>
      </x:c>
      <x:c r="J435" s="2" t="inlineStr">
        <x:is>
          <x:t xml:space="preserve">Penaeus latisulcatus is a non-Acetes shrimp lineage. Shrimps is broader than the Metapenaeopsis mortality examples; the explicit Acetes/Zooplankton exception is excluded. No split is required.</x:t>
        </x:is>
      </x:c>
      <x:c r="K435" s="1"/>
    </x:row>
    <x:row r="436" ht="72" customHeight="1">
      <x:c r="A436" s="2" t="inlineStr">
        <x:is>
          <x:t xml:space="preserve">Penaeus merguiensis</x:t>
        </x:is>
      </x:c>
      <x:c r="B436" s="2" t="inlineStr">
        <x:is>
          <x:t xml:space="preserve">Shrimps</x:t>
        </x:is>
      </x:c>
      <x:c r="C436" s="2">
        <x:v>10</x:v>
      </x:c>
      <x:c r="D436" s="8">
        <x:v>0.6788</x:v>
      </x:c>
      <x:c r="E436" s="8">
        <x:v>0.194</x:v>
      </x:c>
      <x:c r="F436" s="8" t="inlineStr">
        <x:is>
          <x:t xml:space="preserve">No split</x:t>
        </x:is>
      </x:c>
      <x:c r="G436" s="8">
        <x:f>SUMIFS($D$6:$D$681,$A$6:$A$681,A436)</x:f>
        <x:v>0.6788</x:v>
      </x:c>
      <x:c r="H436" s="9">
        <x:f>1</x:f>
        <x:v>1</x:v>
      </x:c>
      <x:c r="I436" s="2" t="inlineStr">
        <x:is>
          <x:t xml:space="preserve">High</x:t>
        </x:is>
      </x:c>
      <x:c r="J436" s="2" t="inlineStr">
        <x:is>
          <x:t xml:space="preserve">Penaeus merguiensis is a non-Acetes shrimp lineage. Shrimps is broader than the Metapenaeopsis mortality examples; the explicit Acetes/Zooplankton exception is excluded. No split is required.</x:t>
        </x:is>
      </x:c>
      <x:c r="K436" s="1"/>
    </x:row>
    <x:row r="437" ht="72" customHeight="1">
      <x:c r="A437" s="2" t="inlineStr">
        <x:is>
          <x:t xml:space="preserve">Penaeus monodon</x:t>
        </x:is>
      </x:c>
      <x:c r="B437" s="2" t="inlineStr">
        <x:is>
          <x:t xml:space="preserve">Shrimps</x:t>
        </x:is>
      </x:c>
      <x:c r="C437" s="2">
        <x:v>10</x:v>
      </x:c>
      <x:c r="D437" s="8">
        <x:v>0.6788</x:v>
      </x:c>
      <x:c r="E437" s="8">
        <x:v>0.194</x:v>
      </x:c>
      <x:c r="F437" s="8" t="inlineStr">
        <x:is>
          <x:t xml:space="preserve">No split</x:t>
        </x:is>
      </x:c>
      <x:c r="G437" s="8">
        <x:f>SUMIFS($D$6:$D$681,$A$6:$A$681,A437)</x:f>
        <x:v>0.6788</x:v>
      </x:c>
      <x:c r="H437" s="9">
        <x:f>1</x:f>
        <x:v>1</x:v>
      </x:c>
      <x:c r="I437" s="2" t="inlineStr">
        <x:is>
          <x:t xml:space="preserve">High</x:t>
        </x:is>
      </x:c>
      <x:c r="J437" s="2" t="inlineStr">
        <x:is>
          <x:t xml:space="preserve">Penaeus monodon is a non-Acetes shrimp lineage. Shrimps is broader than the Metapenaeopsis mortality examples; the explicit Acetes/Zooplankton exception is excluded. No split is required.</x:t>
        </x:is>
      </x:c>
      <x:c r="K437" s="1"/>
    </x:row>
    <x:row r="438" ht="72" customHeight="1">
      <x:c r="A438" s="2" t="inlineStr">
        <x:is>
          <x:t xml:space="preserve">Penaeus penicillatus</x:t>
        </x:is>
      </x:c>
      <x:c r="B438" s="2" t="inlineStr">
        <x:is>
          <x:t xml:space="preserve">Shrimps</x:t>
        </x:is>
      </x:c>
      <x:c r="C438" s="2">
        <x:v>10</x:v>
      </x:c>
      <x:c r="D438" s="8">
        <x:v>0.6788</x:v>
      </x:c>
      <x:c r="E438" s="8">
        <x:v>0.194</x:v>
      </x:c>
      <x:c r="F438" s="8" t="inlineStr">
        <x:is>
          <x:t xml:space="preserve">No split</x:t>
        </x:is>
      </x:c>
      <x:c r="G438" s="8">
        <x:f>SUMIFS($D$6:$D$681,$A$6:$A$681,A438)</x:f>
        <x:v>0.6788</x:v>
      </x:c>
      <x:c r="H438" s="9">
        <x:f>1</x:f>
        <x:v>1</x:v>
      </x:c>
      <x:c r="I438" s="2" t="inlineStr">
        <x:is>
          <x:t xml:space="preserve">High</x:t>
        </x:is>
      </x:c>
      <x:c r="J438" s="2" t="inlineStr">
        <x:is>
          <x:t xml:space="preserve">Penaeus penicillatus is a non-Acetes shrimp lineage. Shrimps is broader than the Metapenaeopsis mortality examples; the explicit Acetes/Zooplankton exception is excluded. No split is required.</x:t>
        </x:is>
      </x:c>
      <x:c r="K438" s="1"/>
    </x:row>
    <x:row r="439" ht="72" customHeight="1">
      <x:c r="A439" s="2" t="inlineStr">
        <x:is>
          <x:t xml:space="preserve">Penaeus semisulcatus</x:t>
        </x:is>
      </x:c>
      <x:c r="B439" s="2" t="inlineStr">
        <x:is>
          <x:t xml:space="preserve">Shrimps</x:t>
        </x:is>
      </x:c>
      <x:c r="C439" s="2">
        <x:v>10</x:v>
      </x:c>
      <x:c r="D439" s="8">
        <x:v>0.6788</x:v>
      </x:c>
      <x:c r="E439" s="8">
        <x:v>0.194</x:v>
      </x:c>
      <x:c r="F439" s="8" t="inlineStr">
        <x:is>
          <x:t xml:space="preserve">No split</x:t>
        </x:is>
      </x:c>
      <x:c r="G439" s="8">
        <x:f>SUMIFS($D$6:$D$681,$A$6:$A$681,A439)</x:f>
        <x:v>0.6788</x:v>
      </x:c>
      <x:c r="H439" s="9">
        <x:f>1</x:f>
        <x:v>1</x:v>
      </x:c>
      <x:c r="I439" s="2" t="inlineStr">
        <x:is>
          <x:t xml:space="preserve">High</x:t>
        </x:is>
      </x:c>
      <x:c r="J439" s="2" t="inlineStr">
        <x:is>
          <x:t xml:space="preserve">Penaeus semisulcatus is a non-Acetes shrimp lineage. Shrimps is broader than the Metapenaeopsis mortality examples; the explicit Acetes/Zooplankton exception is excluded. No split is required.</x:t>
        </x:is>
      </x:c>
      <x:c r="K439" s="1"/>
    </x:row>
    <x:row r="440" ht="72" customHeight="1">
      <x:c r="A440" s="2" t="inlineStr">
        <x:is>
          <x:t xml:space="preserve">Pennahia</x:t>
        </x:is>
      </x:c>
      <x:c r="B440" s="2" t="inlineStr">
        <x:is>
          <x:t xml:space="preserve">Croakers (≤ 30 cm)</x:t>
        </x:is>
      </x:c>
      <x:c r="C440" s="2">
        <x:v>21</x:v>
      </x:c>
      <x:c r="D440" s="8">
        <x:v>0.0351</x:v>
      </x:c>
      <x:c r="E440" s="8">
        <x:v>0.07</x:v>
      </x:c>
      <x:c r="F440" s="8" t="inlineStr">
        <x:is>
          <x:t xml:space="preserve">No split</x:t>
        </x:is>
      </x:c>
      <x:c r="G440" s="8">
        <x:f>SUMIFS($D$6:$D$681,$A$6:$A$681,A440)</x:f>
        <x:v>0.0351</x:v>
      </x:c>
      <x:c r="H440" s="9">
        <x:f>1</x:f>
        <x:v>1</x:v>
      </x:c>
      <x:c r="I440" s="2" t="inlineStr">
        <x:is>
          <x:t xml:space="preserve">High</x:t>
        </x:is>
      </x:c>
      <x:c r="J440" s="2" t="inlineStr">
        <x:is>
          <x:t xml:space="preserve">Pennahia spp. and the argentatus spelling are explicitly assigned to small croakers. Pennahia is covered by the genus assignment; generic modern size classes do not override the source exception. No split is required.</x:t>
        </x:is>
      </x:c>
      <x:c r="K440" s="1"/>
    </x:row>
    <x:row r="441" ht="72" customHeight="1">
      <x:c r="A441" s="2" t="inlineStr">
        <x:is>
          <x:t xml:space="preserve">Pennahia argentata</x:t>
        </x:is>
      </x:c>
      <x:c r="B441" s="2" t="inlineStr">
        <x:is>
          <x:t xml:space="preserve">Croakers (≤ 30 cm)</x:t>
        </x:is>
      </x:c>
      <x:c r="C441" s="2">
        <x:v>21</x:v>
      </x:c>
      <x:c r="D441" s="8">
        <x:v>0.0351</x:v>
      </x:c>
      <x:c r="E441" s="8">
        <x:v>0.07</x:v>
      </x:c>
      <x:c r="F441" s="8" t="inlineStr">
        <x:is>
          <x:t xml:space="preserve">No split</x:t>
        </x:is>
      </x:c>
      <x:c r="G441" s="8">
        <x:f>SUMIFS($D$6:$D$681,$A$6:$A$681,A441)</x:f>
        <x:v>0.0351</x:v>
      </x:c>
      <x:c r="H441" s="9">
        <x:f>1</x:f>
        <x:v>1</x:v>
      </x:c>
      <x:c r="I441" s="2" t="inlineStr">
        <x:is>
          <x:t xml:space="preserve">High</x:t>
        </x:is>
      </x:c>
      <x:c r="J441" s="2" t="inlineStr">
        <x:is>
          <x:t xml:space="preserve">Pennahia spp. and the argentatus spelling are explicitly assigned to small croakers. Pennahia argentata is covered by the genus assignment; generic modern size classes do not override the source exception. No split is required.</x:t>
        </x:is>
      </x:c>
      <x:c r="K441" s="1"/>
    </x:row>
    <x:row r="442" ht="96" customHeight="1">
      <x:c r="A442" s="2" t="inlineStr">
        <x:is>
          <x:t xml:space="preserve">Perciformes</x:t>
        </x:is>
      </x:c>
      <x:c r="B442" s="2" t="inlineStr">
        <x:is>
          <x:t xml:space="preserve">Threadfin bream (nemipterids)</x:t>
        </x:is>
      </x:c>
      <x:c r="C442" s="2">
        <x:v>13</x:v>
      </x:c>
      <x:c r="D442" s="8">
        <x:v>0.657</x:v>
      </x:c>
      <x:c r="E442" s="8">
        <x:v>0.26</x:v>
      </x:c>
      <x:c r="F442" s="8" t="inlineStr">
        <x:is>
          <x:t xml:space="preserve">Model catch</x:t>
        </x:is>
      </x:c>
      <x:c r="G442" s="8">
        <x:f>SUMIFS($D$6:$D$681,$A$6:$A$681,A442)</x:f>
        <x:v>5.6097</x:v>
      </x:c>
      <x:c r="H442" s="9">
        <x:f>D442/G442</x:f>
        <x:v>0.11711856248997272</x:v>
      </x:c>
      <x:c r="I442" s="2" t="inlineStr">
        <x:is>
          <x:t xml:space="preserve">Medium</x:t>
        </x:is>
      </x:c>
      <x:c r="J442"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42" s="1"/>
    </x:row>
    <x:row r="443" ht="96" customHeight="1">
      <x:c r="A443" s="2" t="inlineStr">
        <x:is>
          <x:t xml:space="preserve">Perciformes</x:t>
        </x:is>
      </x:c>
      <x:c r="B443" s="2" t="inlineStr">
        <x:is>
          <x:t xml:space="preserve">Bigeyes (priacanthids)</x:t>
        </x:is>
      </x:c>
      <x:c r="C443" s="2">
        <x:v>14</x:v>
      </x:c>
      <x:c r="D443" s="8">
        <x:v>0.206</x:v>
      </x:c>
      <x:c r="E443" s="8">
        <x:v>0.13</x:v>
      </x:c>
      <x:c r="F443" s="8" t="inlineStr">
        <x:is>
          <x:t xml:space="preserve">Model catch</x:t>
        </x:is>
      </x:c>
      <x:c r="G443" s="8">
        <x:f>SUMIFS($D$6:$D$681,$A$6:$A$681,A443)</x:f>
        <x:v>5.6097</x:v>
      </x:c>
      <x:c r="H443" s="9">
        <x:f>D443/G443</x:f>
        <x:v>0.03672210635149829</x:v>
      </x:c>
      <x:c r="I443" s="2" t="inlineStr">
        <x:is>
          <x:t xml:space="preserve">Medium</x:t>
        </x:is>
      </x:c>
      <x:c r="J443"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43" s="1"/>
    </x:row>
    <x:row r="444" ht="96" customHeight="1">
      <x:c r="A444" s="2" t="inlineStr">
        <x:is>
          <x:t xml:space="preserve">Perciformes</x:t>
        </x:is>
      </x:c>
      <x:c r="B444" s="2" t="inlineStr">
        <x:is>
          <x:t xml:space="preserve">Juvenile Hairtail (trichiurids)</x:t>
        </x:is>
      </x:c>
      <x:c r="C444" s="2">
        <x:v>16</x:v>
      </x:c>
      <x:c r="D444" s="8">
        <x:v>0.028</x:v>
      </x:c>
      <x:c r="E444" s="8">
        <x:v>0.015</x:v>
      </x:c>
      <x:c r="F444" s="8" t="inlineStr">
        <x:is>
          <x:t xml:space="preserve">Model catch</x:t>
        </x:is>
      </x:c>
      <x:c r="G444" s="8">
        <x:f>SUMIFS($D$6:$D$681,$A$6:$A$681,A444)</x:f>
        <x:v>5.6097</x:v>
      </x:c>
      <x:c r="H444" s="9">
        <x:f>D444/G444</x:f>
        <x:v>0.004991354261368701</x:v>
      </x:c>
      <x:c r="I444" s="2" t="inlineStr">
        <x:is>
          <x:t xml:space="preserve">Medium</x:t>
        </x:is>
      </x:c>
      <x:c r="J444"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44" s="1"/>
    </x:row>
    <x:row r="445" ht="96" customHeight="1">
      <x:c r="A445" s="2" t="inlineStr">
        <x:is>
          <x:t xml:space="preserve">Perciformes</x:t>
        </x:is>
      </x:c>
      <x:c r="B445" s="2" t="inlineStr">
        <x:is>
          <x:t xml:space="preserve">Adult hairtail (trichiurids)</x:t>
        </x:is>
      </x:c>
      <x:c r="C445" s="2">
        <x:v>17</x:v>
      </x:c>
      <x:c r="D445" s="8">
        <x:v>0.0072</x:v>
      </x:c>
      <x:c r="E445" s="8">
        <x:v>0.012</x:v>
      </x:c>
      <x:c r="F445" s="8" t="inlineStr">
        <x:is>
          <x:t xml:space="preserve">Model catch</x:t>
        </x:is>
      </x:c>
      <x:c r="G445" s="8">
        <x:f>SUMIFS($D$6:$D$681,$A$6:$A$681,A445)</x:f>
        <x:v>5.6097</x:v>
      </x:c>
      <x:c r="H445" s="9">
        <x:f>D445/G445</x:f>
        <x:v>0.001283491095780523</x:v>
      </x:c>
      <x:c r="I445" s="2" t="inlineStr">
        <x:is>
          <x:t xml:space="preserve">Medium</x:t>
        </x:is>
      </x:c>
      <x:c r="J445"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45" s="1"/>
    </x:row>
    <x:row r="446" ht="96" customHeight="1">
      <x:c r="A446" s="2" t="inlineStr">
        <x:is>
          <x:t xml:space="preserve">Perciformes</x:t>
        </x:is>
      </x:c>
      <x:c r="B446" s="2" t="inlineStr">
        <x:is>
          <x:t xml:space="preserve">Pomfret (stromateids)</x:t>
        </x:is>
      </x:c>
      <x:c r="C446" s="2">
        <x:v>18</x:v>
      </x:c>
      <x:c r="D446" s="8">
        <x:v>0.239</x:v>
      </x:c>
      <x:c r="E446" s="8">
        <x:v>0.108</x:v>
      </x:c>
      <x:c r="F446" s="8" t="inlineStr">
        <x:is>
          <x:t xml:space="preserve">Model catch</x:t>
        </x:is>
      </x:c>
      <x:c r="G446" s="8">
        <x:f>SUMIFS($D$6:$D$681,$A$6:$A$681,A446)</x:f>
        <x:v>5.6097</x:v>
      </x:c>
      <x:c r="H446" s="9">
        <x:f>D446/G446</x:f>
        <x:v>0.04260477387382569</x:v>
      </x:c>
      <x:c r="I446" s="2" t="inlineStr">
        <x:is>
          <x:t xml:space="preserve">Medium</x:t>
        </x:is>
      </x:c>
      <x:c r="J446"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46" s="1"/>
    </x:row>
    <x:row r="447" ht="96" customHeight="1">
      <x:c r="A447" s="2" t="inlineStr">
        <x:is>
          <x:t xml:space="preserve">Perciformes</x:t>
        </x:is>
      </x:c>
      <x:c r="B447" s="2" t="inlineStr">
        <x:is>
          <x:t xml:space="preserve">Snappers</x:t>
        </x:is>
      </x:c>
      <x:c r="C447" s="2">
        <x:v>19</x:v>
      </x:c>
      <x:c r="D447" s="8">
        <x:v>0.0011</x:v>
      </x:c>
      <x:c r="E447" s="8">
        <x:v>0.0013</x:v>
      </x:c>
      <x:c r="F447" s="8" t="inlineStr">
        <x:is>
          <x:t xml:space="preserve">Model catch</x:t>
        </x:is>
      </x:c>
      <x:c r="G447" s="8">
        <x:f>SUMIFS($D$6:$D$681,$A$6:$A$681,A447)</x:f>
        <x:v>5.6097</x:v>
      </x:c>
      <x:c r="H447" s="9">
        <x:f>D447/G447</x:f>
        <x:v>0.00019608891741091324</x:v>
      </x:c>
      <x:c r="I447" s="2" t="inlineStr">
        <x:is>
          <x:t xml:space="preserve">Medium</x:t>
        </x:is>
      </x:c>
      <x:c r="J447"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47" s="1"/>
    </x:row>
    <x:row r="448" ht="96" customHeight="1">
      <x:c r="A448" s="2" t="inlineStr">
        <x:is>
          <x:t xml:space="preserve">Perciformes</x:t>
        </x:is>
      </x:c>
      <x:c r="B448" s="2" t="inlineStr">
        <x:is>
          <x:t xml:space="preserve">Adult groupers</x:t>
        </x:is>
      </x:c>
      <x:c r="C448" s="2">
        <x:v>20</x:v>
      </x:c>
      <x:c r="D448" s="8">
        <x:v>0.0089</x:v>
      </x:c>
      <x:c r="E448" s="8">
        <x:v>0.0064</x:v>
      </x:c>
      <x:c r="F448" s="8" t="inlineStr">
        <x:is>
          <x:t xml:space="preserve">Model catch</x:t>
        </x:is>
      </x:c>
      <x:c r="G448" s="8">
        <x:f>SUMIFS($D$6:$D$681,$A$6:$A$681,A448)</x:f>
        <x:v>5.6097</x:v>
      </x:c>
      <x:c r="H448" s="9">
        <x:f>D448/G448</x:f>
        <x:v>0.0015865376045064799</x:v>
      </x:c>
      <x:c r="I448" s="2" t="inlineStr">
        <x:is>
          <x:t xml:space="preserve">Medium</x:t>
        </x:is>
      </x:c>
      <x:c r="J448"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48" s="1"/>
    </x:row>
    <x:row r="449" ht="96" customHeight="1">
      <x:c r="A449" s="2" t="inlineStr">
        <x:is>
          <x:t xml:space="preserve">Perciformes</x:t>
        </x:is>
      </x:c>
      <x:c r="B449" s="2" t="inlineStr">
        <x:is>
          <x:t xml:space="preserve">Croakers (≤ 30 cm)</x:t>
        </x:is>
      </x:c>
      <x:c r="C449" s="2">
        <x:v>21</x:v>
      </x:c>
      <x:c r="D449" s="8">
        <x:v>0.0351</x:v>
      </x:c>
      <x:c r="E449" s="8">
        <x:v>0.07</x:v>
      </x:c>
      <x:c r="F449" s="8" t="inlineStr">
        <x:is>
          <x:t xml:space="preserve">Model catch</x:t>
        </x:is>
      </x:c>
      <x:c r="G449" s="8">
        <x:f>SUMIFS($D$6:$D$681,$A$6:$A$681,A449)</x:f>
        <x:v>5.6097</x:v>
      </x:c>
      <x:c r="H449" s="9">
        <x:f>D449/G449</x:f>
        <x:v>0.0062570190919300495</x:v>
      </x:c>
      <x:c r="I449" s="2" t="inlineStr">
        <x:is>
          <x:t xml:space="preserve">Medium</x:t>
        </x:is>
      </x:c>
      <x:c r="J449"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49" s="1"/>
    </x:row>
    <x:row r="450" ht="96" customHeight="1">
      <x:c r="A450" s="2" t="inlineStr">
        <x:is>
          <x:t xml:space="preserve">Perciformes</x:t>
        </x:is>
      </x:c>
      <x:c r="B450" s="2" t="inlineStr">
        <x:is>
          <x:t xml:space="preserve">Juvenile large croakers</x:t>
        </x:is>
      </x:c>
      <x:c r="C450" s="2">
        <x:v>22</x:v>
      </x:c>
      <x:c r="D450" s="8">
        <x:v>0.071</x:v>
      </x:c>
      <x:c r="E450" s="8">
        <x:v>0.04</x:v>
      </x:c>
      <x:c r="F450" s="8" t="inlineStr">
        <x:is>
          <x:t xml:space="preserve">Model catch</x:t>
        </x:is>
      </x:c>
      <x:c r="G450" s="8">
        <x:f>SUMIFS($D$6:$D$681,$A$6:$A$681,A450)</x:f>
        <x:v>5.6097</x:v>
      </x:c>
      <x:c r="H450" s="9">
        <x:f>D450/G450</x:f>
        <x:v>0.012656648305613489</x:v>
      </x:c>
      <x:c r="I450" s="2" t="inlineStr">
        <x:is>
          <x:t xml:space="preserve">Medium</x:t>
        </x:is>
      </x:c>
      <x:c r="J450"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0" s="1"/>
    </x:row>
    <x:row r="451" ht="96" customHeight="1">
      <x:c r="A451" s="2" t="inlineStr">
        <x:is>
          <x:t xml:space="preserve">Perciformes</x:t>
        </x:is>
      </x:c>
      <x:c r="B451" s="2" t="inlineStr">
        <x:is>
          <x:t xml:space="preserve">Croakers (&gt; 30 cm)</x:t>
        </x:is>
      </x:c>
      <x:c r="C451" s="2">
        <x:v>23</x:v>
      </x:c>
      <x:c r="D451" s="8">
        <x:v>0.008</x:v>
      </x:c>
      <x:c r="E451" s="8">
        <x:v>0.0094</x:v>
      </x:c>
      <x:c r="F451" s="8" t="inlineStr">
        <x:is>
          <x:t xml:space="preserve">Model catch</x:t>
        </x:is>
      </x:c>
      <x:c r="G451" s="8">
        <x:f>SUMIFS($D$6:$D$681,$A$6:$A$681,A451)</x:f>
        <x:v>5.6097</x:v>
      </x:c>
      <x:c r="H451" s="9">
        <x:f>D451/G451</x:f>
        <x:v>0.0014261012175339144</x:v>
      </x:c>
      <x:c r="I451" s="2" t="inlineStr">
        <x:is>
          <x:t xml:space="preserve">Medium</x:t>
        </x:is>
      </x:c>
      <x:c r="J451"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1" s="1"/>
    </x:row>
    <x:row r="452" ht="96" customHeight="1">
      <x:c r="A452" s="2" t="inlineStr">
        <x:is>
          <x:t xml:space="preserve">Perciformes</x:t>
        </x:is>
      </x:c>
      <x:c r="B452" s="2" t="inlineStr">
        <x:is>
          <x:t xml:space="preserve">Demesral fish (≤ 30 cm)</x:t>
        </x:is>
      </x:c>
      <x:c r="C452" s="2">
        <x:v>24</x:v>
      </x:c>
      <x:c r="D452" s="8">
        <x:v>0.1788</x:v>
      </x:c>
      <x:c r="E452" s="8">
        <x:v>0.316</x:v>
      </x:c>
      <x:c r="F452" s="8" t="inlineStr">
        <x:is>
          <x:t xml:space="preserve">Model catch</x:t>
        </x:is>
      </x:c>
      <x:c r="G452" s="8">
        <x:f>SUMIFS($D$6:$D$681,$A$6:$A$681,A452)</x:f>
        <x:v>5.6097</x:v>
      </x:c>
      <x:c r="H452" s="9">
        <x:f>D452/G452</x:f>
        <x:v>0.031873362211882986</x:v>
      </x:c>
      <x:c r="I452" s="2" t="inlineStr">
        <x:is>
          <x:t xml:space="preserve">Medium</x:t>
        </x:is>
      </x:c>
      <x:c r="J452"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2" s="1"/>
    </x:row>
    <x:row r="453" ht="96" customHeight="1">
      <x:c r="A453" s="2" t="inlineStr">
        <x:is>
          <x:t xml:space="preserve">Perciformes</x:t>
        </x:is>
      </x:c>
      <x:c r="B453" s="2" t="inlineStr">
        <x:is>
          <x:t xml:space="preserve">Juvenile demersal fish (&gt; 30 cm)</x:t>
        </x:is>
      </x:c>
      <x:c r="C453" s="2">
        <x:v>25</x:v>
      </x:c>
      <x:c r="D453" s="8">
        <x:v>0.3165</x:v>
      </x:c>
      <x:c r="E453" s="8">
        <x:v>0.143</x:v>
      </x:c>
      <x:c r="F453" s="8" t="inlineStr">
        <x:is>
          <x:t xml:space="preserve">Model catch</x:t>
        </x:is>
      </x:c>
      <x:c r="G453" s="8">
        <x:f>SUMIFS($D$6:$D$681,$A$6:$A$681,A453)</x:f>
        <x:v>5.6097</x:v>
      </x:c>
      <x:c r="H453" s="9">
        <x:f>D453/G453</x:f>
        <x:v>0.05642012941868549</x:v>
      </x:c>
      <x:c r="I453" s="2" t="inlineStr">
        <x:is>
          <x:t xml:space="preserve">Medium</x:t>
        </x:is>
      </x:c>
      <x:c r="J453"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3" s="1"/>
    </x:row>
    <x:row r="454" ht="96" customHeight="1">
      <x:c r="A454" s="2" t="inlineStr">
        <x:is>
          <x:t xml:space="preserve">Perciformes</x:t>
        </x:is>
      </x:c>
      <x:c r="B454" s="2" t="inlineStr">
        <x:is>
          <x:t xml:space="preserve">Adult demersal fish (&gt; 30 cm)</x:t>
        </x:is>
      </x:c>
      <x:c r="C454" s="2">
        <x:v>26</x:v>
      </x:c>
      <x:c r="D454" s="8">
        <x:v>0.0352</x:v>
      </x:c>
      <x:c r="E454" s="8">
        <x:v>0.021</x:v>
      </x:c>
      <x:c r="F454" s="8" t="inlineStr">
        <x:is>
          <x:t xml:space="preserve">Model catch</x:t>
        </x:is>
      </x:c>
      <x:c r="G454" s="8">
        <x:f>SUMIFS($D$6:$D$681,$A$6:$A$681,A454)</x:f>
        <x:v>5.6097</x:v>
      </x:c>
      <x:c r="H454" s="9">
        <x:f>D454/G454</x:f>
        <x:v>0.006274845357149224</x:v>
      </x:c>
      <x:c r="I454" s="2" t="inlineStr">
        <x:is>
          <x:t xml:space="preserve">Medium</x:t>
        </x:is>
      </x:c>
      <x:c r="J454"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4" s="1"/>
    </x:row>
    <x:row r="455" ht="96" customHeight="1">
      <x:c r="A455" s="2" t="inlineStr">
        <x:is>
          <x:t xml:space="preserve">Perciformes</x:t>
        </x:is>
      </x:c>
      <x:c r="B455" s="2" t="inlineStr">
        <x:is>
          <x:t xml:space="preserve">Benthopelagic fish</x:t>
        </x:is>
      </x:c>
      <x:c r="C455" s="2">
        <x:v>27</x:v>
      </x:c>
      <x:c r="D455" s="8">
        <x:v>0.6025</x:v>
      </x:c>
      <x:c r="E455" s="8">
        <x:v>0.922</x:v>
      </x:c>
      <x:c r="F455" s="8" t="inlineStr">
        <x:is>
          <x:t xml:space="preserve">Model catch</x:t>
        </x:is>
      </x:c>
      <x:c r="G455" s="8">
        <x:f>SUMIFS($D$6:$D$681,$A$6:$A$681,A455)</x:f>
        <x:v>5.6097</x:v>
      </x:c>
      <x:c r="H455" s="9">
        <x:f>D455/G455</x:f>
        <x:v>0.10740324794552293</x:v>
      </x:c>
      <x:c r="I455" s="2" t="inlineStr">
        <x:is>
          <x:t xml:space="preserve">Medium</x:t>
        </x:is>
      </x:c>
      <x:c r="J455"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5" s="1"/>
    </x:row>
    <x:row r="456" ht="96" customHeight="1">
      <x:c r="A456" s="2" t="inlineStr">
        <x:is>
          <x:t xml:space="preserve">Perciformes</x:t>
        </x:is>
      </x:c>
      <x:c r="B456" s="2" t="inlineStr">
        <x:is>
          <x:t xml:space="preserve">Melon seed</x:t>
        </x:is>
      </x:c>
      <x:c r="C456" s="2">
        <x:v>28</x:v>
      </x:c>
      <x:c r="D456" s="8">
        <x:v>0.0499</x:v>
      </x:c>
      <x:c r="E456" s="8">
        <x:v>0.07</x:v>
      </x:c>
      <x:c r="F456" s="8" t="inlineStr">
        <x:is>
          <x:t xml:space="preserve">Model catch</x:t>
        </x:is>
      </x:c>
      <x:c r="G456" s="8">
        <x:f>SUMIFS($D$6:$D$681,$A$6:$A$681,A456)</x:f>
        <x:v>5.6097</x:v>
      </x:c>
      <x:c r="H456" s="9">
        <x:f>D456/G456</x:f>
        <x:v>0.008895306344367792</x:v>
      </x:c>
      <x:c r="I456" s="2" t="inlineStr">
        <x:is>
          <x:t xml:space="preserve">Medium</x:t>
        </x:is>
      </x:c>
      <x:c r="J456"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6" s="1"/>
    </x:row>
    <x:row r="457" ht="96" customHeight="1">
      <x:c r="A457" s="2" t="inlineStr">
        <x:is>
          <x:t xml:space="preserve">Perciformes</x:t>
        </x:is>
      </x:c>
      <x:c r="B457" s="2" t="inlineStr">
        <x:is>
          <x:t xml:space="preserve">Pelagic fish (≤ 30 cm)</x:t>
        </x:is>
      </x:c>
      <x:c r="C457" s="2">
        <x:v>29</x:v>
      </x:c>
      <x:c r="D457" s="8">
        <x:v>2.345</x:v>
      </x:c>
      <x:c r="E457" s="8">
        <x:v>1.772</x:v>
      </x:c>
      <x:c r="F457" s="8" t="inlineStr">
        <x:is>
          <x:t xml:space="preserve">Model catch</x:t>
        </x:is>
      </x:c>
      <x:c r="G457" s="8">
        <x:f>SUMIFS($D$6:$D$681,$A$6:$A$681,A457)</x:f>
        <x:v>5.6097</x:v>
      </x:c>
      <x:c r="H457" s="9">
        <x:f>D457/G457</x:f>
        <x:v>0.4180259193896287</x:v>
      </x:c>
      <x:c r="I457" s="2" t="inlineStr">
        <x:is>
          <x:t xml:space="preserve">Medium</x:t>
        </x:is>
      </x:c>
      <x:c r="J457"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7" s="1"/>
    </x:row>
    <x:row r="458" ht="96" customHeight="1">
      <x:c r="A458" s="2" t="inlineStr">
        <x:is>
          <x:t xml:space="preserve">Perciformes</x:t>
        </x:is>
      </x:c>
      <x:c r="B458" s="2" t="inlineStr">
        <x:is>
          <x:t xml:space="preserve">Juvenile large pelagic fish</x:t>
        </x:is>
      </x:c>
      <x:c r="C458" s="2">
        <x:v>30</x:v>
      </x:c>
      <x:c r="D458" s="8">
        <x:v>0.7384</x:v>
      </x:c>
      <x:c r="E458" s="8">
        <x:v>0.289</x:v>
      </x:c>
      <x:c r="F458" s="8" t="inlineStr">
        <x:is>
          <x:t xml:space="preserve">Model catch</x:t>
        </x:is>
      </x:c>
      <x:c r="G458" s="8">
        <x:f>SUMIFS($D$6:$D$681,$A$6:$A$681,A458)</x:f>
        <x:v>5.6097</x:v>
      </x:c>
      <x:c r="H458" s="9">
        <x:f>D458/G458</x:f>
        <x:v>0.1316291423783803</x:v>
      </x:c>
      <x:c r="I458" s="2" t="inlineStr">
        <x:is>
          <x:t xml:space="preserve">Medium</x:t>
        </x:is>
      </x:c>
      <x:c r="J458"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8" s="1"/>
    </x:row>
    <x:row r="459" ht="96" customHeight="1">
      <x:c r="A459" s="2" t="inlineStr">
        <x:is>
          <x:t xml:space="preserve">Perciformes</x:t>
        </x:is>
      </x:c>
      <x:c r="B459" s="2" t="inlineStr">
        <x:is>
          <x:t xml:space="preserve">Pelagic fish (&gt; 30 cm)</x:t>
        </x:is>
      </x:c>
      <x:c r="C459" s="2">
        <x:v>31</x:v>
      </x:c>
      <x:c r="D459" s="8">
        <x:v>0.0821</x:v>
      </x:c>
      <x:c r="E459" s="8">
        <x:v>0.079</x:v>
      </x:c>
      <x:c r="F459" s="8" t="inlineStr">
        <x:is>
          <x:t xml:space="preserve">Model catch</x:t>
        </x:is>
      </x:c>
      <x:c r="G459" s="8">
        <x:f>SUMIFS($D$6:$D$681,$A$6:$A$681,A459)</x:f>
        <x:v>5.6097</x:v>
      </x:c>
      <x:c r="H459" s="9">
        <x:f>D459/G459</x:f>
        <x:v>0.014635363744941798</x:v>
      </x:c>
      <x:c r="I459" s="2" t="inlineStr">
        <x:is>
          <x:t xml:space="preserve">Medium</x:t>
        </x:is>
      </x:c>
      <x:c r="J459" s="2" t="inlineStr">
        <x:is>
          <x:t xml:space="preserve">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t>
        </x:is>
      </x:c>
      <x:c r="K459" s="1"/>
    </x:row>
    <x:row r="460" ht="72" customHeight="1">
      <x:c r="A460" s="2" t="inlineStr">
        <x:is>
          <x:t xml:space="preserve">Perna viridis</x:t>
        </x:is>
      </x:c>
      <x:c r="B460" s="2" t="inlineStr">
        <x:is>
          <x:t xml:space="preserve">Non-ceph molluscs</x:t>
        </x:is>
      </x:c>
      <x:c r="C460" s="2">
        <x:v>8</x:v>
      </x:c>
      <x:c r="D460" s="8">
        <x:v>0.7623</x:v>
      </x:c>
      <x:c r="E460" s="8">
        <x:v>2.68</x:v>
      </x:c>
      <x:c r="F460" s="8" t="inlineStr">
        <x:is>
          <x:t xml:space="preserve">No split</x:t>
        </x:is>
      </x:c>
      <x:c r="G460" s="8">
        <x:f>SUMIFS($D$6:$D$681,$A$6:$A$681,A460)</x:f>
        <x:v>0.7623</x:v>
      </x:c>
      <x:c r="H460" s="9">
        <x:f>1</x:f>
        <x:v>1</x:v>
      </x:c>
      <x:c r="I460" s="2" t="inlineStr">
        <x:is>
          <x:t xml:space="preserve">High</x:t>
        </x:is>
      </x:c>
      <x:c r="J460" s="2" t="inlineStr">
        <x:is>
          <x:t xml:space="preserve">Perna viridis is a non-cephalopod mollusc. The source derives this catch by removing Cephalopoda from mollusc catch; no competing mollusc compartment contains this lineage. No split is required.</x:t>
        </x:is>
      </x:c>
      <x:c r="K460" s="1"/>
    </x:row>
    <x:row r="461" ht="72" customHeight="1">
      <x:c r="A461" s="2" t="inlineStr">
        <x:is>
          <x:t xml:space="preserve">Pinctada</x:t>
        </x:is>
      </x:c>
      <x:c r="B461" s="2" t="inlineStr">
        <x:is>
          <x:t xml:space="preserve">Non-ceph molluscs</x:t>
        </x:is>
      </x:c>
      <x:c r="C461" s="2">
        <x:v>8</x:v>
      </x:c>
      <x:c r="D461" s="8">
        <x:v>0.7623</x:v>
      </x:c>
      <x:c r="E461" s="8">
        <x:v>2.68</x:v>
      </x:c>
      <x:c r="F461" s="8" t="inlineStr">
        <x:is>
          <x:t xml:space="preserve">No split</x:t>
        </x:is>
      </x:c>
      <x:c r="G461" s="8">
        <x:f>SUMIFS($D$6:$D$681,$A$6:$A$681,A461)</x:f>
        <x:v>0.7623</x:v>
      </x:c>
      <x:c r="H461" s="9">
        <x:f>1</x:f>
        <x:v>1</x:v>
      </x:c>
      <x:c r="I461" s="2" t="inlineStr">
        <x:is>
          <x:t xml:space="preserve">High</x:t>
        </x:is>
      </x:c>
      <x:c r="J461" s="2" t="inlineStr">
        <x:is>
          <x:t xml:space="preserve">Pinctada is a non-cephalopod mollusc. The source derives this catch by removing Cephalopoda from mollusc catch; no competing mollusc compartment contains this lineage. No split is required.</x:t>
        </x:is>
      </x:c>
      <x:c r="K461" s="1"/>
    </x:row>
    <x:row r="462" ht="72" customHeight="1">
      <x:c r="A462" s="2" t="inlineStr">
        <x:is>
          <x:t xml:space="preserve">Placuna placenta</x:t>
        </x:is>
      </x:c>
      <x:c r="B462" s="2" t="inlineStr">
        <x:is>
          <x:t xml:space="preserve">Non-ceph molluscs</x:t>
        </x:is>
      </x:c>
      <x:c r="C462" s="2">
        <x:v>8</x:v>
      </x:c>
      <x:c r="D462" s="8">
        <x:v>0.7623</x:v>
      </x:c>
      <x:c r="E462" s="8">
        <x:v>2.68</x:v>
      </x:c>
      <x:c r="F462" s="8" t="inlineStr">
        <x:is>
          <x:t xml:space="preserve">No split</x:t>
        </x:is>
      </x:c>
      <x:c r="G462" s="8">
        <x:f>SUMIFS($D$6:$D$681,$A$6:$A$681,A462)</x:f>
        <x:v>0.7623</x:v>
      </x:c>
      <x:c r="H462" s="9">
        <x:f>1</x:f>
        <x:v>1</x:v>
      </x:c>
      <x:c r="I462" s="2" t="inlineStr">
        <x:is>
          <x:t xml:space="preserve">High</x:t>
        </x:is>
      </x:c>
      <x:c r="J462" s="2" t="inlineStr">
        <x:is>
          <x:t xml:space="preserve">Placuna placenta is a non-cephalopod mollusc. The source derives this catch by removing Cephalopoda from mollusc catch; no competing mollusc compartment contains this lineage. No split is required.</x:t>
        </x:is>
      </x:c>
      <x:c r="K462" s="1"/>
    </x:row>
    <x:row r="463" ht="96" customHeight="1">
      <x:c r="A463" s="2" t="inlineStr">
        <x:is>
          <x:t xml:space="preserve">Planiliza haematocheilus</x:t>
        </x:is>
      </x:c>
      <x:c r="B463" s="2" t="inlineStr">
        <x:is>
          <x:t xml:space="preserve">Juvenile large pelagic fish</x:t>
        </x:is>
      </x:c>
      <x:c r="C463" s="2">
        <x:v>30</x:v>
      </x:c>
      <x:c r="D463" s="8">
        <x:v>0.7384</x:v>
      </x:c>
      <x:c r="E463" s="8">
        <x:v>0.289</x:v>
      </x:c>
      <x:c r="F463" s="8" t="inlineStr">
        <x:is>
          <x:t xml:space="preserve">Model catch</x:t>
        </x:is>
      </x:c>
      <x:c r="G463" s="8">
        <x:f>SUMIFS($D$6:$D$681,$A$6:$A$681,A463)</x:f>
        <x:v>0.8205</x:v>
      </x:c>
      <x:c r="H463" s="9">
        <x:f>D463/G463</x:f>
        <x:v>0.8999390615478366</x:v>
      </x:c>
      <x:c r="I463" s="2" t="inlineStr">
        <x:is>
          <x:t xml:space="preserve">Medium</x:t>
        </x:is>
      </x:c>
      <x:c r="J463" s="2" t="inlineStr">
        <x:is>
          <x:t xml:space="preserve">The species account explicitly describes pelagic-neritic coastal/estuarine residence and maximum 80 cm TL. The large pelagic pair replaces an unsupported exclusive demersal assignment; translation of the habitat tag to this source guild remains an ecological assumption. Source-model catch proportions supply an assumed fixed 1950–2019/all-bases mixture; they are not observed taxon-specific catches.</x:t>
        </x:is>
      </x:c>
      <x:c r="K463" s="1"/>
    </x:row>
    <x:row r="464" ht="96" customHeight="1">
      <x:c r="A464" s="2" t="inlineStr">
        <x:is>
          <x:t xml:space="preserve">Planiliza haematocheilus</x:t>
        </x:is>
      </x:c>
      <x:c r="B464" s="2" t="inlineStr">
        <x:is>
          <x:t xml:space="preserve">Pelagic fish (&gt; 30 cm)</x:t>
        </x:is>
      </x:c>
      <x:c r="C464" s="2">
        <x:v>31</x:v>
      </x:c>
      <x:c r="D464" s="8">
        <x:v>0.0821</x:v>
      </x:c>
      <x:c r="E464" s="8">
        <x:v>0.079</x:v>
      </x:c>
      <x:c r="F464" s="8" t="inlineStr">
        <x:is>
          <x:t xml:space="preserve">Model catch</x:t>
        </x:is>
      </x:c>
      <x:c r="G464" s="8">
        <x:f>SUMIFS($D$6:$D$681,$A$6:$A$681,A464)</x:f>
        <x:v>0.8205</x:v>
      </x:c>
      <x:c r="H464" s="9">
        <x:f>D464/G464</x:f>
        <x:v>0.10006093845216332</x:v>
      </x:c>
      <x:c r="I464" s="2" t="inlineStr">
        <x:is>
          <x:t xml:space="preserve">Medium</x:t>
        </x:is>
      </x:c>
      <x:c r="J464" s="2" t="inlineStr">
        <x:is>
          <x:t xml:space="preserve">The species account explicitly describes pelagic-neritic coastal/estuarine residence and maximum 80 cm TL. The large pelagic pair replaces an unsupported exclusive demersal assignment; translation of the habitat tag to this source guild remains an ecological assumption. Source-model catch proportions supply an assumed fixed 1950–2019/all-bases mixture; they are not observed taxon-specific catches.</x:t>
        </x:is>
      </x:c>
      <x:c r="K464" s="1"/>
    </x:row>
    <x:row r="465" ht="112" customHeight="1">
      <x:c r="A465" s="2" t="inlineStr">
        <x:is>
          <x:t xml:space="preserve">Platycaranx malabaricus</x:t>
        </x:is>
      </x:c>
      <x:c r="B465" s="2" t="inlineStr">
        <x:is>
          <x:t xml:space="preserve">Juvenile large pelagic fish</x:t>
        </x:is>
      </x:c>
      <x:c r="C465" s="2">
        <x:v>30</x:v>
      </x:c>
      <x:c r="D465" s="8">
        <x:v>0.7384</x:v>
      </x:c>
      <x:c r="E465" s="8">
        <x:v>0.289</x:v>
      </x:c>
      <x:c r="F465" s="8" t="inlineStr">
        <x:is>
          <x:t xml:space="preserve">Model catch</x:t>
        </x:is>
      </x:c>
      <x:c r="G465" s="8">
        <x:f>SUMIFS($D$6:$D$681,$A$6:$A$681,A465)</x:f>
        <x:v>0.8205</x:v>
      </x:c>
      <x:c r="H465" s="9">
        <x:f>D465/G465</x:f>
        <x:v>0.8999390615478366</x:v>
      </x:c>
      <x:c r="I465" s="2" t="inlineStr">
        <x:is>
          <x:t xml:space="preserve">Medium</x:t>
        </x:is>
      </x:c>
      <x:c r="J465" s="2" t="inlineStr">
        <x:is>
          <x:t xml:space="preserve">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x:t>
        </x:is>
      </x:c>
      <x:c r="K465" s="1"/>
    </x:row>
    <x:row r="466" ht="112" customHeight="1">
      <x:c r="A466" s="2" t="inlineStr">
        <x:is>
          <x:t xml:space="preserve">Platycaranx malabaricus</x:t>
        </x:is>
      </x:c>
      <x:c r="B466" s="2" t="inlineStr">
        <x:is>
          <x:t xml:space="preserve">Pelagic fish (&gt; 30 cm)</x:t>
        </x:is>
      </x:c>
      <x:c r="C466" s="2">
        <x:v>31</x:v>
      </x:c>
      <x:c r="D466" s="8">
        <x:v>0.0821</x:v>
      </x:c>
      <x:c r="E466" s="8">
        <x:v>0.079</x:v>
      </x:c>
      <x:c r="F466" s="8" t="inlineStr">
        <x:is>
          <x:t xml:space="preserve">Model catch</x:t>
        </x:is>
      </x:c>
      <x:c r="G466" s="8">
        <x:f>SUMIFS($D$6:$D$681,$A$6:$A$681,A466)</x:f>
        <x:v>0.8205</x:v>
      </x:c>
      <x:c r="H466" s="9">
        <x:f>D466/G466</x:f>
        <x:v>0.1000609384521633</x:v>
      </x:c>
      <x:c r="I466" s="2" t="inlineStr">
        <x:is>
          <x:t xml:space="preserve">Medium</x:t>
        </x:is>
      </x:c>
      <x:c r="J466" s="2" t="inlineStr">
        <x:is>
          <x:t xml:space="preserve">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x:t>
        </x:is>
      </x:c>
      <x:c r="K466" s="1"/>
    </x:row>
    <x:row r="467" ht="128" customHeight="1">
      <x:c r="A467" s="2" t="inlineStr">
        <x:is>
          <x:t xml:space="preserve">Platycaranx talamparoides</x:t>
        </x:is>
      </x:c>
      <x:c r="B467" s="2" t="inlineStr">
        <x:is>
          <x:t xml:space="preserve">Juvenile large pelagic fish</x:t>
        </x:is>
      </x:c>
      <x:c r="C467" s="2">
        <x:v>30</x:v>
      </x:c>
      <x:c r="D467" s="8">
        <x:v>0.7384</x:v>
      </x:c>
      <x:c r="E467" s="8">
        <x:v>0.289</x:v>
      </x:c>
      <x:c r="F467" s="8" t="inlineStr">
        <x:is>
          <x:t xml:space="preserve">Model catch</x:t>
        </x:is>
      </x:c>
      <x:c r="G467" s="8">
        <x:f>SUMIFS($D$6:$D$681,$A$6:$A$681,A467)</x:f>
        <x:v>0.8205</x:v>
      </x:c>
      <x:c r="H467" s="9">
        <x:f>D467/G467</x:f>
        <x:v>0.8999390615478366</x:v>
      </x:c>
      <x:c r="I467" s="2" t="inlineStr">
        <x:is>
          <x:t xml:space="preserve">Medium</x:t>
        </x:is>
      </x:c>
      <x:c r="J467" s="2" t="inlineStr">
        <x:is>
          <x:t xml:space="preserve">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x:t>
        </x:is>
      </x:c>
      <x:c r="K467" s="1"/>
    </x:row>
    <x:row r="468" ht="128" customHeight="1">
      <x:c r="A468" s="2" t="inlineStr">
        <x:is>
          <x:t xml:space="preserve">Platycaranx talamparoides</x:t>
        </x:is>
      </x:c>
      <x:c r="B468" s="2" t="inlineStr">
        <x:is>
          <x:t xml:space="preserve">Pelagic fish (&gt; 30 cm)</x:t>
        </x:is>
      </x:c>
      <x:c r="C468" s="2">
        <x:v>31</x:v>
      </x:c>
      <x:c r="D468" s="8">
        <x:v>0.0821</x:v>
      </x:c>
      <x:c r="E468" s="8">
        <x:v>0.079</x:v>
      </x:c>
      <x:c r="F468" s="8" t="inlineStr">
        <x:is>
          <x:t xml:space="preserve">Model catch</x:t>
        </x:is>
      </x:c>
      <x:c r="G468" s="8">
        <x:f>SUMIFS($D$6:$D$681,$A$6:$A$681,A468)</x:f>
        <x:v>0.8205</x:v>
      </x:c>
      <x:c r="H468" s="9">
        <x:f>D468/G468</x:f>
        <x:v>0.1000609384521633</x:v>
      </x:c>
      <x:c r="I468" s="2" t="inlineStr">
        <x:is>
          <x:t xml:space="preserve">Medium</x:t>
        </x:is>
      </x:c>
      <x:c r="J468" s="2" t="inlineStr">
        <x:is>
          <x:t xml:space="preserve">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x:t>
        </x:is>
      </x:c>
      <x:c r="K468" s="1"/>
    </x:row>
    <x:row r="469" ht="96" customHeight="1">
      <x:c r="A469" s="2" t="inlineStr">
        <x:is>
          <x:t xml:space="preserve">Platycephalidae</x:t>
        </x:is>
      </x:c>
      <x:c r="B469" s="2" t="inlineStr">
        <x:is>
          <x:t xml:space="preserve">Demesral fish (≤ 30 cm)</x:t>
        </x:is>
      </x:c>
      <x:c r="C469" s="2">
        <x:v>24</x:v>
      </x:c>
      <x:c r="D469" s="8">
        <x:v>0.1788</x:v>
      </x:c>
      <x:c r="E469" s="8">
        <x:v>0.316</x:v>
      </x:c>
      <x:c r="F469" s="8" t="inlineStr">
        <x:is>
          <x:t xml:space="preserve">Model catch</x:t>
        </x:is>
      </x:c>
      <x:c r="G469" s="8">
        <x:f>SUMIFS($D$6:$D$681,$A$6:$A$681,A469)</x:f>
        <x:v>0.5305</x:v>
      </x:c>
      <x:c r="H469" s="9">
        <x:f>D469/G469</x:f>
        <x:v>0.33704052780395855</x:v>
      </x:c>
      <x:c r="I469" s="2" t="inlineStr">
        <x:is>
          <x:t xml:space="preserve">Medium</x:t>
        </x:is>
      </x:c>
      <x:c r="J469" s="2" t="inlineStr">
        <x:is>
          <x:t xml:space="preserve">Regional demersal Sorsogona tuberculata (14.5 cm TL) and Platycephalus indicus (100 cm TL) span both species-size classes. The family reporting category is assumed to contain these bottom-associated components. Source-model catch proportions supply an assumed fixed 1950–2019/all-bases mixture; they are not observed taxon-specific catches.</x:t>
        </x:is>
      </x:c>
      <x:c r="K469" s="1"/>
    </x:row>
    <x:row r="470" ht="96" customHeight="1">
      <x:c r="A470" s="2" t="inlineStr">
        <x:is>
          <x:t xml:space="preserve">Platycephalidae</x:t>
        </x:is>
      </x:c>
      <x:c r="B470" s="2" t="inlineStr">
        <x:is>
          <x:t xml:space="preserve">Juvenile demersal fish (&gt; 30 cm)</x:t>
        </x:is>
      </x:c>
      <x:c r="C470" s="2">
        <x:v>25</x:v>
      </x:c>
      <x:c r="D470" s="8">
        <x:v>0.3165</x:v>
      </x:c>
      <x:c r="E470" s="8">
        <x:v>0.143</x:v>
      </x:c>
      <x:c r="F470" s="8" t="inlineStr">
        <x:is>
          <x:t xml:space="preserve">Model catch</x:t>
        </x:is>
      </x:c>
      <x:c r="G470" s="8">
        <x:f>SUMIFS($D$6:$D$681,$A$6:$A$681,A470)</x:f>
        <x:v>0.5305</x:v>
      </x:c>
      <x:c r="H470" s="9">
        <x:f>D470/G470</x:f>
        <x:v>0.5966069745523092</x:v>
      </x:c>
      <x:c r="I470" s="2" t="inlineStr">
        <x:is>
          <x:t xml:space="preserve">Medium</x:t>
        </x:is>
      </x:c>
      <x:c r="J470" s="2" t="inlineStr">
        <x:is>
          <x:t xml:space="preserve">Regional demersal Sorsogona tuberculata (14.5 cm TL) and Platycephalus indicus (100 cm TL) span both species-size classes. The family reporting category is assumed to contain these bottom-associated components. Source-model catch proportions supply an assumed fixed 1950–2019/all-bases mixture; they are not observed taxon-specific catches.</x:t>
        </x:is>
      </x:c>
      <x:c r="K470" s="1"/>
    </x:row>
    <x:row r="471" ht="96" customHeight="1">
      <x:c r="A471" s="2" t="inlineStr">
        <x:is>
          <x:t xml:space="preserve">Platycephalidae</x:t>
        </x:is>
      </x:c>
      <x:c r="B471" s="2" t="inlineStr">
        <x:is>
          <x:t xml:space="preserve">Adult demersal fish (&gt; 30 cm)</x:t>
        </x:is>
      </x:c>
      <x:c r="C471" s="2">
        <x:v>26</x:v>
      </x:c>
      <x:c r="D471" s="8">
        <x:v>0.0352</x:v>
      </x:c>
      <x:c r="E471" s="8">
        <x:v>0.021</x:v>
      </x:c>
      <x:c r="F471" s="8" t="inlineStr">
        <x:is>
          <x:t xml:space="preserve">Model catch</x:t>
        </x:is>
      </x:c>
      <x:c r="G471" s="8">
        <x:f>SUMIFS($D$6:$D$681,$A$6:$A$681,A471)</x:f>
        <x:v>0.5305</x:v>
      </x:c>
      <x:c r="H471" s="9">
        <x:f>D471/G471</x:f>
        <x:v>0.06635249764373234</x:v>
      </x:c>
      <x:c r="I471" s="2" t="inlineStr">
        <x:is>
          <x:t xml:space="preserve">Medium</x:t>
        </x:is>
      </x:c>
      <x:c r="J471" s="2" t="inlineStr">
        <x:is>
          <x:t xml:space="preserve">Regional demersal Sorsogona tuberculata (14.5 cm TL) and Platycephalus indicus (100 cm TL) span both species-size classes. The family reporting category is assumed to contain these bottom-associated components. Source-model catch proportions supply an assumed fixed 1950–2019/all-bases mixture; they are not observed taxon-specific catches.</x:t>
        </x:is>
      </x:c>
      <x:c r="K471" s="1"/>
    </x:row>
    <x:row r="472" ht="112" customHeight="1">
      <x:c r="A472" s="2" t="inlineStr">
        <x:is>
          <x:t xml:space="preserve">Platycephalus indicus</x:t>
        </x:is>
      </x:c>
      <x:c r="B472" s="2" t="inlineStr">
        <x:is>
          <x:t xml:space="preserve">Juvenile demersal fish (&gt; 30 cm)</x:t>
        </x:is>
      </x:c>
      <x:c r="C472" s="2">
        <x:v>25</x:v>
      </x:c>
      <x:c r="D472" s="8">
        <x:v>0.3165</x:v>
      </x:c>
      <x:c r="E472" s="8">
        <x:v>0.143</x:v>
      </x:c>
      <x:c r="F472" s="8" t="inlineStr">
        <x:is>
          <x:t xml:space="preserve">Model catch</x:t>
        </x:is>
      </x:c>
      <x:c r="G472" s="8">
        <x:f>SUMIFS($D$6:$D$681,$A$6:$A$681,A472)</x:f>
        <x:v>0.3517</x:v>
      </x:c>
      <x:c r="H472" s="9">
        <x:f>D472/G472</x:f>
        <x:v>0.8999147000284333</x:v>
      </x:c>
      <x:c r="I472" s="2" t="inlineStr">
        <x:is>
          <x:t xml:space="preserve">Medium</x:t>
        </x:is>
      </x:c>
      <x:c r="J472" s="2" t="inlineStr">
        <x:is>
          <x:t xml:space="preserve">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x:t>
        </x:is>
      </x:c>
      <x:c r="K472" s="1"/>
    </x:row>
    <x:row r="473" ht="112" customHeight="1">
      <x:c r="A473" s="2" t="inlineStr">
        <x:is>
          <x:t xml:space="preserve">Platycephalus indicus</x:t>
        </x:is>
      </x:c>
      <x:c r="B473" s="2" t="inlineStr">
        <x:is>
          <x:t xml:space="preserve">Adult demersal fish (&gt; 30 cm)</x:t>
        </x:is>
      </x:c>
      <x:c r="C473" s="2">
        <x:v>26</x:v>
      </x:c>
      <x:c r="D473" s="8">
        <x:v>0.0352</x:v>
      </x:c>
      <x:c r="E473" s="8">
        <x:v>0.021</x:v>
      </x:c>
      <x:c r="F473" s="8" t="inlineStr">
        <x:is>
          <x:t xml:space="preserve">Model catch</x:t>
        </x:is>
      </x:c>
      <x:c r="G473" s="8">
        <x:f>SUMIFS($D$6:$D$681,$A$6:$A$681,A473)</x:f>
        <x:v>0.3517</x:v>
      </x:c>
      <x:c r="H473" s="9">
        <x:f>D473/G473</x:f>
        <x:v>0.1000852999715667</x:v>
      </x:c>
      <x:c r="I473" s="2" t="inlineStr">
        <x:is>
          <x:t xml:space="preserve">Medium</x:t>
        </x:is>
      </x:c>
      <x:c r="J473" s="2" t="inlineStr">
        <x:is>
          <x:t xml:space="preserve">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x:t>
        </x:is>
      </x:c>
      <x:c r="K473" s="1"/>
    </x:row>
    <x:row r="474" ht="96" customHeight="1">
      <x:c r="A474" s="2" t="inlineStr">
        <x:is>
          <x:t xml:space="preserve">Plectorhinchus</x:t>
        </x:is>
      </x:c>
      <x:c r="B474" s="2" t="inlineStr">
        <x:is>
          <x:t xml:space="preserve">Juvenile demersal fish (&gt; 30 cm)</x:t>
        </x:is>
      </x:c>
      <x:c r="C474" s="2">
        <x:v>25</x:v>
      </x:c>
      <x:c r="D474" s="8">
        <x:v>0.3165</x:v>
      </x:c>
      <x:c r="E474" s="8">
        <x:v>0.143</x:v>
      </x:c>
      <x:c r="F474" s="8" t="inlineStr">
        <x:is>
          <x:t xml:space="preserve">Model catch</x:t>
        </x:is>
      </x:c>
      <x:c r="G474" s="8">
        <x:f>SUMIFS($D$6:$D$681,$A$6:$A$681,A474)</x:f>
        <x:v>0.3517</x:v>
      </x:c>
      <x:c r="H474" s="9">
        <x:f>D474/G474</x:f>
        <x:v>0.8999147000284333</x:v>
      </x:c>
      <x:c r="I474" s="2" t="inlineStr">
        <x:is>
          <x:t xml:space="preserve">Medium</x:t>
        </x:is>
      </x:c>
      <x:c r="J474" s="2" t="inlineStr">
        <x:is>
          <x:t xml:space="preserve">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x:t>
        </x:is>
      </x:c>
      <x:c r="K474" s="1"/>
    </x:row>
    <x:row r="475" ht="96" customHeight="1">
      <x:c r="A475" s="2" t="inlineStr">
        <x:is>
          <x:t xml:space="preserve">Plectorhinchus</x:t>
        </x:is>
      </x:c>
      <x:c r="B475" s="2" t="inlineStr">
        <x:is>
          <x:t xml:space="preserve">Adult demersal fish (&gt; 30 cm)</x:t>
        </x:is>
      </x:c>
      <x:c r="C475" s="2">
        <x:v>26</x:v>
      </x:c>
      <x:c r="D475" s="8">
        <x:v>0.0352</x:v>
      </x:c>
      <x:c r="E475" s="8">
        <x:v>0.021</x:v>
      </x:c>
      <x:c r="F475" s="8" t="inlineStr">
        <x:is>
          <x:t xml:space="preserve">Model catch</x:t>
        </x:is>
      </x:c>
      <x:c r="G475" s="8">
        <x:f>SUMIFS($D$6:$D$681,$A$6:$A$681,A475)</x:f>
        <x:v>0.3517</x:v>
      </x:c>
      <x:c r="H475" s="9">
        <x:f>D475/G475</x:f>
        <x:v>0.1000852999715667</x:v>
      </x:c>
      <x:c r="I475" s="2" t="inlineStr">
        <x:is>
          <x:t xml:space="preserve">Medium</x:t>
        </x:is>
      </x:c>
      <x:c r="J475" s="2" t="inlineStr">
        <x:is>
          <x:t xml:space="preserve">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x:t>
        </x:is>
      </x:c>
      <x:c r="K475" s="1"/>
    </x:row>
    <x:row r="476" ht="96" customHeight="1">
      <x:c r="A476" s="2" t="inlineStr">
        <x:is>
          <x:t xml:space="preserve">Pleuronectiformes</x:t>
        </x:is>
      </x:c>
      <x:c r="B476" s="2" t="inlineStr">
        <x:is>
          <x:t xml:space="preserve">Demesral fish (≤ 30 cm)</x:t>
        </x:is>
      </x:c>
      <x:c r="C476" s="2">
        <x:v>24</x:v>
      </x:c>
      <x:c r="D476" s="8">
        <x:v>0.1788</x:v>
      </x:c>
      <x:c r="E476" s="8">
        <x:v>0.316</x:v>
      </x:c>
      <x:c r="F476" s="8" t="inlineStr">
        <x:is>
          <x:t xml:space="preserve">Model catch</x:t>
        </x:is>
      </x:c>
      <x:c r="G476" s="8">
        <x:f>SUMIFS($D$6:$D$681,$A$6:$A$681,A476)</x:f>
        <x:v>0.5305</x:v>
      </x:c>
      <x:c r="H476" s="9">
        <x:f>D476/G476</x:f>
        <x:v>0.33704052780395855</x:v>
      </x:c>
      <x:c r="I476" s="2" t="inlineStr">
        <x:is>
          <x:t xml:space="preserve">Medium</x:t>
        </x:is>
      </x:c>
      <x:c r="J476" s="2" t="inlineStr">
        <x:is>
          <x:t xml:space="preserve">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x:t>
        </x:is>
      </x:c>
      <x:c r="K476" s="1"/>
    </x:row>
    <x:row r="477" ht="96" customHeight="1">
      <x:c r="A477" s="2" t="inlineStr">
        <x:is>
          <x:t xml:space="preserve">Pleuronectiformes</x:t>
        </x:is>
      </x:c>
      <x:c r="B477" s="2" t="inlineStr">
        <x:is>
          <x:t xml:space="preserve">Juvenile demersal fish (&gt; 30 cm)</x:t>
        </x:is>
      </x:c>
      <x:c r="C477" s="2">
        <x:v>25</x:v>
      </x:c>
      <x:c r="D477" s="8">
        <x:v>0.3165</x:v>
      </x:c>
      <x:c r="E477" s="8">
        <x:v>0.143</x:v>
      </x:c>
      <x:c r="F477" s="8" t="inlineStr">
        <x:is>
          <x:t xml:space="preserve">Model catch</x:t>
        </x:is>
      </x:c>
      <x:c r="G477" s="8">
        <x:f>SUMIFS($D$6:$D$681,$A$6:$A$681,A477)</x:f>
        <x:v>0.5305</x:v>
      </x:c>
      <x:c r="H477" s="9">
        <x:f>D477/G477</x:f>
        <x:v>0.5966069745523092</x:v>
      </x:c>
      <x:c r="I477" s="2" t="inlineStr">
        <x:is>
          <x:t xml:space="preserve">Medium</x:t>
        </x:is>
      </x:c>
      <x:c r="J477" s="2" t="inlineStr">
        <x:is>
          <x:t xml:space="preserve">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x:t>
        </x:is>
      </x:c>
      <x:c r="K477" s="1"/>
    </x:row>
    <x:row r="478" ht="96" customHeight="1">
      <x:c r="A478" s="2" t="inlineStr">
        <x:is>
          <x:t xml:space="preserve">Pleuronectiformes</x:t>
        </x:is>
      </x:c>
      <x:c r="B478" s="2" t="inlineStr">
        <x:is>
          <x:t xml:space="preserve">Adult demersal fish (&gt; 30 cm)</x:t>
        </x:is>
      </x:c>
      <x:c r="C478" s="2">
        <x:v>26</x:v>
      </x:c>
      <x:c r="D478" s="8">
        <x:v>0.0352</x:v>
      </x:c>
      <x:c r="E478" s="8">
        <x:v>0.021</x:v>
      </x:c>
      <x:c r="F478" s="8" t="inlineStr">
        <x:is>
          <x:t xml:space="preserve">Model catch</x:t>
        </x:is>
      </x:c>
      <x:c r="G478" s="8">
        <x:f>SUMIFS($D$6:$D$681,$A$6:$A$681,A478)</x:f>
        <x:v>0.5305</x:v>
      </x:c>
      <x:c r="H478" s="9">
        <x:f>D478/G478</x:f>
        <x:v>0.06635249764373234</x:v>
      </x:c>
      <x:c r="I478" s="2" t="inlineStr">
        <x:is>
          <x:t xml:space="preserve">Medium</x:t>
        </x:is>
      </x:c>
      <x:c r="J478" s="2" t="inlineStr">
        <x:is>
          <x:t xml:space="preserve">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x:t>
        </x:is>
      </x:c>
      <x:c r="K478" s="1"/>
    </x:row>
    <x:row r="479" ht="96" customHeight="1">
      <x:c r="A479" s="2" t="inlineStr">
        <x:is>
          <x:t xml:space="preserve">Plotosidae</x:t>
        </x:is>
      </x:c>
      <x:c r="B479" s="2" t="inlineStr">
        <x:is>
          <x:t xml:space="preserve">Demesral fish (≤ 30 cm)</x:t>
        </x:is>
      </x:c>
      <x:c r="C479" s="2">
        <x:v>24</x:v>
      </x:c>
      <x:c r="D479" s="8">
        <x:v>0.1788</x:v>
      </x:c>
      <x:c r="E479" s="8">
        <x:v>0.316</x:v>
      </x:c>
      <x:c r="F479" s="8" t="inlineStr">
        <x:is>
          <x:t xml:space="preserve">Model catch</x:t>
        </x:is>
      </x:c>
      <x:c r="G479" s="8">
        <x:f>SUMIFS($D$6:$D$681,$A$6:$A$681,A479)</x:f>
        <x:v>0.5305</x:v>
      </x:c>
      <x:c r="H479" s="9">
        <x:f>D479/G479</x:f>
        <x:v>0.33704052780395855</x:v>
      </x:c>
      <x:c r="I479" s="2" t="inlineStr">
        <x:is>
          <x:t xml:space="preserve">Medium</x:t>
        </x:is>
      </x:c>
      <x:c r="J479" s="2" t="inlineStr">
        <x:is>
          <x:t xml:space="preserve">Marine Western Pacific Plotosus components range from P. nhatrangensis (24.3 cm TL) to P. lineatus/P. canius (&gt;30 cm TL). Their small/large demersal set is assumed representative of marine family catch; freshwater global family members are not automatically included. Source-model catch proportions supply an assumed fixed 1950–2019/all-bases mixture; they are not observed taxon-specific catches.</x:t>
        </x:is>
      </x:c>
      <x:c r="K479" s="1"/>
    </x:row>
    <x:row r="480" ht="96" customHeight="1">
      <x:c r="A480" s="2" t="inlineStr">
        <x:is>
          <x:t xml:space="preserve">Plotosidae</x:t>
        </x:is>
      </x:c>
      <x:c r="B480" s="2" t="inlineStr">
        <x:is>
          <x:t xml:space="preserve">Juvenile demersal fish (&gt; 30 cm)</x:t>
        </x:is>
      </x:c>
      <x:c r="C480" s="2">
        <x:v>25</x:v>
      </x:c>
      <x:c r="D480" s="8">
        <x:v>0.3165</x:v>
      </x:c>
      <x:c r="E480" s="8">
        <x:v>0.143</x:v>
      </x:c>
      <x:c r="F480" s="8" t="inlineStr">
        <x:is>
          <x:t xml:space="preserve">Model catch</x:t>
        </x:is>
      </x:c>
      <x:c r="G480" s="8">
        <x:f>SUMIFS($D$6:$D$681,$A$6:$A$681,A480)</x:f>
        <x:v>0.5305</x:v>
      </x:c>
      <x:c r="H480" s="9">
        <x:f>D480/G480</x:f>
        <x:v>0.5966069745523092</x:v>
      </x:c>
      <x:c r="I480" s="2" t="inlineStr">
        <x:is>
          <x:t xml:space="preserve">Medium</x:t>
        </x:is>
      </x:c>
      <x:c r="J480" s="2" t="inlineStr">
        <x:is>
          <x:t xml:space="preserve">Marine Western Pacific Plotosus components range from P. nhatrangensis (24.3 cm TL) to P. lineatus/P. canius (&gt;30 cm TL). Their small/large demersal set is assumed representative of marine family catch; freshwater global family members are not automatically included. Source-model catch proportions supply an assumed fixed 1950–2019/all-bases mixture; they are not observed taxon-specific catches.</x:t>
        </x:is>
      </x:c>
      <x:c r="K480" s="1"/>
    </x:row>
    <x:row r="481" ht="96" customHeight="1">
      <x:c r="A481" s="2" t="inlineStr">
        <x:is>
          <x:t xml:space="preserve">Plotosidae</x:t>
        </x:is>
      </x:c>
      <x:c r="B481" s="2" t="inlineStr">
        <x:is>
          <x:t xml:space="preserve">Adult demersal fish (&gt; 30 cm)</x:t>
        </x:is>
      </x:c>
      <x:c r="C481" s="2">
        <x:v>26</x:v>
      </x:c>
      <x:c r="D481" s="8">
        <x:v>0.0352</x:v>
      </x:c>
      <x:c r="E481" s="8">
        <x:v>0.021</x:v>
      </x:c>
      <x:c r="F481" s="8" t="inlineStr">
        <x:is>
          <x:t xml:space="preserve">Model catch</x:t>
        </x:is>
      </x:c>
      <x:c r="G481" s="8">
        <x:f>SUMIFS($D$6:$D$681,$A$6:$A$681,A481)</x:f>
        <x:v>0.5305</x:v>
      </x:c>
      <x:c r="H481" s="9">
        <x:f>D481/G481</x:f>
        <x:v>0.06635249764373234</x:v>
      </x:c>
      <x:c r="I481" s="2" t="inlineStr">
        <x:is>
          <x:t xml:space="preserve">Medium</x:t>
        </x:is>
      </x:c>
      <x:c r="J481" s="2" t="inlineStr">
        <x:is>
          <x:t xml:space="preserve">Marine Western Pacific Plotosus components range from P. nhatrangensis (24.3 cm TL) to P. lineatus/P. canius (&gt;30 cm TL). Their small/large demersal set is assumed representative of marine family catch; freshwater global family members are not automatically included. Source-model catch proportions supply an assumed fixed 1950–2019/all-bases mixture; they are not observed taxon-specific catches.</x:t>
        </x:is>
      </x:c>
      <x:c r="K481" s="1"/>
    </x:row>
    <x:row r="482" ht="96" customHeight="1">
      <x:c r="A482" s="2" t="inlineStr">
        <x:is>
          <x:t xml:space="preserve">Plotosus</x:t>
        </x:is>
      </x:c>
      <x:c r="B482" s="2" t="inlineStr">
        <x:is>
          <x:t xml:space="preserve">Demesral fish (≤ 30 cm)</x:t>
        </x:is>
      </x:c>
      <x:c r="C482" s="2">
        <x:v>24</x:v>
      </x:c>
      <x:c r="D482" s="8">
        <x:v>0.1788</x:v>
      </x:c>
      <x:c r="E482" s="8">
        <x:v>0.316</x:v>
      </x:c>
      <x:c r="F482" s="8" t="inlineStr">
        <x:is>
          <x:t xml:space="preserve">Model catch</x:t>
        </x:is>
      </x:c>
      <x:c r="G482" s="8">
        <x:f>SUMIFS($D$6:$D$681,$A$6:$A$681,A482)</x:f>
        <x:v>0.5305</x:v>
      </x:c>
      <x:c r="H482" s="9">
        <x:f>D482/G482</x:f>
        <x:v>0.33704052780395855</x:v>
      </x:c>
      <x:c r="I482" s="2" t="inlineStr">
        <x:is>
          <x:t xml:space="preserve">Medium</x:t>
        </x:is>
      </x:c>
      <x:c r="J482" s="2" t="inlineStr">
        <x:is>
          <x:t xml:space="preserve">Western Pacific demersal P. nhatrangensis (24.3 cm TL), P. lineatus (35.2 cm TL) and P. canius (111.1 cm TL) support both size classes. Inclusion of relevant marine/estuarine genus components is assumed. Source-model catch proportions supply an assumed fixed 1950–2019/all-bases mixture; they are not observed taxon-specific catches.</x:t>
        </x:is>
      </x:c>
      <x:c r="K482" s="1"/>
    </x:row>
    <x:row r="483" ht="96" customHeight="1">
      <x:c r="A483" s="2" t="inlineStr">
        <x:is>
          <x:t xml:space="preserve">Plotosus</x:t>
        </x:is>
      </x:c>
      <x:c r="B483" s="2" t="inlineStr">
        <x:is>
          <x:t xml:space="preserve">Juvenile demersal fish (&gt; 30 cm)</x:t>
        </x:is>
      </x:c>
      <x:c r="C483" s="2">
        <x:v>25</x:v>
      </x:c>
      <x:c r="D483" s="8">
        <x:v>0.3165</x:v>
      </x:c>
      <x:c r="E483" s="8">
        <x:v>0.143</x:v>
      </x:c>
      <x:c r="F483" s="8" t="inlineStr">
        <x:is>
          <x:t xml:space="preserve">Model catch</x:t>
        </x:is>
      </x:c>
      <x:c r="G483" s="8">
        <x:f>SUMIFS($D$6:$D$681,$A$6:$A$681,A483)</x:f>
        <x:v>0.5305</x:v>
      </x:c>
      <x:c r="H483" s="9">
        <x:f>D483/G483</x:f>
        <x:v>0.5966069745523092</x:v>
      </x:c>
      <x:c r="I483" s="2" t="inlineStr">
        <x:is>
          <x:t xml:space="preserve">Medium</x:t>
        </x:is>
      </x:c>
      <x:c r="J483" s="2" t="inlineStr">
        <x:is>
          <x:t xml:space="preserve">Western Pacific demersal P. nhatrangensis (24.3 cm TL), P. lineatus (35.2 cm TL) and P. canius (111.1 cm TL) support both size classes. Inclusion of relevant marine/estuarine genus components is assumed. Source-model catch proportions supply an assumed fixed 1950–2019/all-bases mixture; they are not observed taxon-specific catches.</x:t>
        </x:is>
      </x:c>
      <x:c r="K483" s="1"/>
    </x:row>
    <x:row r="484" ht="96" customHeight="1">
      <x:c r="A484" s="2" t="inlineStr">
        <x:is>
          <x:t xml:space="preserve">Plotosus</x:t>
        </x:is>
      </x:c>
      <x:c r="B484" s="2" t="inlineStr">
        <x:is>
          <x:t xml:space="preserve">Adult demersal fish (&gt; 30 cm)</x:t>
        </x:is>
      </x:c>
      <x:c r="C484" s="2">
        <x:v>26</x:v>
      </x:c>
      <x:c r="D484" s="8">
        <x:v>0.0352</x:v>
      </x:c>
      <x:c r="E484" s="8">
        <x:v>0.021</x:v>
      </x:c>
      <x:c r="F484" s="8" t="inlineStr">
        <x:is>
          <x:t xml:space="preserve">Model catch</x:t>
        </x:is>
      </x:c>
      <x:c r="G484" s="8">
        <x:f>SUMIFS($D$6:$D$681,$A$6:$A$681,A484)</x:f>
        <x:v>0.5305</x:v>
      </x:c>
      <x:c r="H484" s="9">
        <x:f>D484/G484</x:f>
        <x:v>0.06635249764373234</x:v>
      </x:c>
      <x:c r="I484" s="2" t="inlineStr">
        <x:is>
          <x:t xml:space="preserve">Medium</x:t>
        </x:is>
      </x:c>
      <x:c r="J484" s="2" t="inlineStr">
        <x:is>
          <x:t xml:space="preserve">Western Pacific demersal P. nhatrangensis (24.3 cm TL), P. lineatus (35.2 cm TL) and P. canius (111.1 cm TL) support both size classes. Inclusion of relevant marine/estuarine genus components is assumed. Source-model catch proportions supply an assumed fixed 1950–2019/all-bases mixture; they are not observed taxon-specific catches.</x:t>
        </x:is>
      </x:c>
      <x:c r="K484" s="1"/>
    </x:row>
    <x:row r="485" ht="72" customHeight="1">
      <x:c r="A485" s="2" t="inlineStr">
        <x:is>
          <x:t xml:space="preserve">Podophthalmus vigil</x:t>
        </x:is>
      </x:c>
      <x:c r="B485" s="2" t="inlineStr">
        <x:is>
          <x:t xml:space="preserve">Crabs</x:t>
        </x:is>
      </x:c>
      <x:c r="C485" s="2">
        <x:v>11</x:v>
      </x:c>
      <x:c r="D485" s="8">
        <x:v>0.1997</x:v>
      </x:c>
      <x:c r="E485" s="8">
        <x:v>0.368</x:v>
      </x:c>
      <x:c r="F485" s="8" t="inlineStr">
        <x:is>
          <x:t xml:space="preserve">No split</x:t>
        </x:is>
      </x:c>
      <x:c r="G485" s="8">
        <x:f>SUMIFS($D$6:$D$681,$A$6:$A$681,A485)</x:f>
        <x:v>0.1997</x:v>
      </x:c>
      <x:c r="H485" s="9">
        <x:f>1</x:f>
        <x:v>1</x:v>
      </x:c>
      <x:c r="I485" s="2" t="inlineStr">
        <x:is>
          <x:t xml:space="preserve">High</x:t>
        </x:is>
      </x:c>
      <x:c r="J485" s="2" t="inlineStr">
        <x:is>
          <x:t xml:space="preserve">Podophthalmus vigil is a true-crab lineage within Crabs. The residual benthic-crustacean group expressly excludes crabs, so is not a competing placement. No split is required.</x:t>
        </x:is>
      </x:c>
      <x:c r="K485" s="1"/>
    </x:row>
    <x:row r="486" ht="96" customHeight="1">
      <x:c r="A486" s="2" t="inlineStr">
        <x:is>
          <x:t xml:space="preserve">Polydactylus sexfilis</x:t>
        </x:is>
      </x:c>
      <x:c r="B486" s="2" t="inlineStr">
        <x:is>
          <x:t xml:space="preserve">Juvenile demersal fish (&gt; 30 cm)</x:t>
        </x:is>
      </x:c>
      <x:c r="C486" s="2">
        <x:v>25</x:v>
      </x:c>
      <x:c r="D486" s="8">
        <x:v>0.3165</x:v>
      </x:c>
      <x:c r="E486" s="8">
        <x:v>0.143</x:v>
      </x:c>
      <x:c r="F486" s="8" t="inlineStr">
        <x:is>
          <x:t xml:space="preserve">Model catch</x:t>
        </x:is>
      </x:c>
      <x:c r="G486" s="8">
        <x:f>SUMIFS($D$6:$D$681,$A$6:$A$681,A486)</x:f>
        <x:v>0.3517</x:v>
      </x:c>
      <x:c r="H486" s="9">
        <x:f>D486/G486</x:f>
        <x:v>0.8999147000284333</x:v>
      </x:c>
      <x:c r="I486" s="2" t="inlineStr">
        <x:is>
          <x:t xml:space="preserve">Medium</x:t>
        </x:is>
      </x:c>
      <x:c r="J486" s="2" t="inlineStr">
        <x:is>
          <x:t xml:space="preserve">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x:t>
        </x:is>
      </x:c>
      <x:c r="K486" s="1"/>
    </x:row>
    <x:row r="487" ht="96" customHeight="1">
      <x:c r="A487" s="2" t="inlineStr">
        <x:is>
          <x:t xml:space="preserve">Polydactylus sexfilis</x:t>
        </x:is>
      </x:c>
      <x:c r="B487" s="2" t="inlineStr">
        <x:is>
          <x:t xml:space="preserve">Adult demersal fish (&gt; 30 cm)</x:t>
        </x:is>
      </x:c>
      <x:c r="C487" s="2">
        <x:v>26</x:v>
      </x:c>
      <x:c r="D487" s="8">
        <x:v>0.0352</x:v>
      </x:c>
      <x:c r="E487" s="8">
        <x:v>0.021</x:v>
      </x:c>
      <x:c r="F487" s="8" t="inlineStr">
        <x:is>
          <x:t xml:space="preserve">Model catch</x:t>
        </x:is>
      </x:c>
      <x:c r="G487" s="8">
        <x:f>SUMIFS($D$6:$D$681,$A$6:$A$681,A487)</x:f>
        <x:v>0.3517</x:v>
      </x:c>
      <x:c r="H487" s="9">
        <x:f>D487/G487</x:f>
        <x:v>0.1000852999715667</x:v>
      </x:c>
      <x:c r="I487" s="2" t="inlineStr">
        <x:is>
          <x:t xml:space="preserve">Medium</x:t>
        </x:is>
      </x:c>
      <x:c r="J487" s="2" t="inlineStr">
        <x:is>
          <x:t xml:space="preserve">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x:t>
        </x:is>
      </x:c>
      <x:c r="K487" s="1"/>
    </x:row>
    <x:row r="488" ht="80" customHeight="1">
      <x:c r="A488" s="2" t="inlineStr">
        <x:is>
          <x:t xml:space="preserve">Polynemidae</x:t>
        </x:is>
      </x:c>
      <x:c r="B488" s="2" t="inlineStr">
        <x:is>
          <x:t xml:space="preserve">Demesral fish (≤ 30 cm)</x:t>
        </x:is>
      </x:c>
      <x:c r="C488" s="2">
        <x:v>24</x:v>
      </x:c>
      <x:c r="D488" s="8">
        <x:v>0.1788</x:v>
      </x:c>
      <x:c r="E488" s="8">
        <x:v>0.316</x:v>
      </x:c>
      <x:c r="F488" s="8" t="inlineStr">
        <x:is>
          <x:t xml:space="preserve">No split</x:t>
        </x:is>
      </x:c>
      <x:c r="G488" s="8">
        <x:f>SUMIFS($D$6:$D$681,$A$6:$A$681,A488)</x:f>
        <x:v>0.1788</x:v>
      </x:c>
      <x:c r="H488" s="9">
        <x:f>1</x:f>
        <x:v>1</x:v>
      </x:c>
      <x:c r="I488" s="2" t="inlineStr">
        <x:is>
          <x:t xml:space="preserve">High</x:t>
        </x:is>
      </x:c>
      <x:c r="J488" s="2" t="inlineStr">
        <x:is>
          <x:t xml:space="preserve">Regional threadfins include large Eleutheronema species. The broad taxon includes regional large-bodied fish and does not itself establish maximum TL &lt;=30 cm. The small-demersal classifier is reporting context, but an exclusion of larger members was not independently documented. No split is required.</x:t>
        </x:is>
      </x:c>
      <x:c r="K488" s="1"/>
    </x:row>
    <x:row r="489" ht="96" customHeight="1">
      <x:c r="A489" s="2" t="inlineStr">
        <x:is>
          <x:t xml:space="preserve">Pomadasys</x:t>
        </x:is>
      </x:c>
      <x:c r="B489" s="2" t="inlineStr">
        <x:is>
          <x:t xml:space="preserve">Juvenile demersal fish (&gt; 30 cm)</x:t>
        </x:is>
      </x:c>
      <x:c r="C489" s="2">
        <x:v>25</x:v>
      </x:c>
      <x:c r="D489" s="8">
        <x:v>0.3165</x:v>
      </x:c>
      <x:c r="E489" s="8">
        <x:v>0.143</x:v>
      </x:c>
      <x:c r="F489" s="8" t="inlineStr">
        <x:is>
          <x:t xml:space="preserve">Model catch</x:t>
        </x:is>
      </x:c>
      <x:c r="G489" s="8">
        <x:f>SUMIFS($D$6:$D$681,$A$6:$A$681,A489)</x:f>
        <x:v>0.3517</x:v>
      </x:c>
      <x:c r="H489" s="9">
        <x:f>D489/G489</x:f>
        <x:v>0.8999147000284333</x:v>
      </x:c>
      <x:c r="I489" s="2" t="inlineStr">
        <x:is>
          <x:t xml:space="preserve">Medium</x:t>
        </x:is>
      </x:c>
      <x:c r="J489" s="2" t="inlineStr">
        <x:is>
          <x:t xml:space="preserve">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x:t>
        </x:is>
      </x:c>
      <x:c r="K489" s="1"/>
    </x:row>
    <x:row r="490" ht="96" customHeight="1">
      <x:c r="A490" s="2" t="inlineStr">
        <x:is>
          <x:t xml:space="preserve">Pomadasys</x:t>
        </x:is>
      </x:c>
      <x:c r="B490" s="2" t="inlineStr">
        <x:is>
          <x:t xml:space="preserve">Adult demersal fish (&gt; 30 cm)</x:t>
        </x:is>
      </x:c>
      <x:c r="C490" s="2">
        <x:v>26</x:v>
      </x:c>
      <x:c r="D490" s="8">
        <x:v>0.0352</x:v>
      </x:c>
      <x:c r="E490" s="8">
        <x:v>0.021</x:v>
      </x:c>
      <x:c r="F490" s="8" t="inlineStr">
        <x:is>
          <x:t xml:space="preserve">Model catch</x:t>
        </x:is>
      </x:c>
      <x:c r="G490" s="8">
        <x:f>SUMIFS($D$6:$D$681,$A$6:$A$681,A490)</x:f>
        <x:v>0.3517</x:v>
      </x:c>
      <x:c r="H490" s="9">
        <x:f>D490/G490</x:f>
        <x:v>0.1000852999715667</x:v>
      </x:c>
      <x:c r="I490" s="2" t="inlineStr">
        <x:is>
          <x:t xml:space="preserve">Medium</x:t>
        </x:is>
      </x:c>
      <x:c r="J490" s="2" t="inlineStr">
        <x:is>
          <x:t xml:space="preserve">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x:t>
        </x:is>
      </x:c>
      <x:c r="K490" s="1"/>
    </x:row>
    <x:row r="491" ht="96" customHeight="1">
      <x:c r="A491" s="2" t="inlineStr">
        <x:is>
          <x:t xml:space="preserve">Pomadasys argenteus</x:t>
        </x:is>
      </x:c>
      <x:c r="B491" s="2" t="inlineStr">
        <x:is>
          <x:t xml:space="preserve">Juvenile demersal fish (&gt; 30 cm)</x:t>
        </x:is>
      </x:c>
      <x:c r="C491" s="2">
        <x:v>25</x:v>
      </x:c>
      <x:c r="D491" s="8">
        <x:v>0.3165</x:v>
      </x:c>
      <x:c r="E491" s="8">
        <x:v>0.143</x:v>
      </x:c>
      <x:c r="F491" s="8" t="inlineStr">
        <x:is>
          <x:t xml:space="preserve">Model catch</x:t>
        </x:is>
      </x:c>
      <x:c r="G491" s="8">
        <x:f>SUMIFS($D$6:$D$681,$A$6:$A$681,A491)</x:f>
        <x:v>0.3517</x:v>
      </x:c>
      <x:c r="H491" s="9">
        <x:f>D491/G491</x:f>
        <x:v>0.8999147000284333</x:v>
      </x:c>
      <x:c r="I491" s="2" t="inlineStr">
        <x:is>
          <x:t xml:space="preserve">Medium</x:t>
        </x:is>
      </x:c>
      <x:c r="J491" s="2" t="inlineStr">
        <x:is>
          <x:t xml:space="preserve">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x:t>
        </x:is>
      </x:c>
      <x:c r="K491" s="1"/>
    </x:row>
    <x:row r="492" ht="96" customHeight="1">
      <x:c r="A492" s="2" t="inlineStr">
        <x:is>
          <x:t xml:space="preserve">Pomadasys argenteus</x:t>
        </x:is>
      </x:c>
      <x:c r="B492" s="2" t="inlineStr">
        <x:is>
          <x:t xml:space="preserve">Adult demersal fish (&gt; 30 cm)</x:t>
        </x:is>
      </x:c>
      <x:c r="C492" s="2">
        <x:v>26</x:v>
      </x:c>
      <x:c r="D492" s="8">
        <x:v>0.0352</x:v>
      </x:c>
      <x:c r="E492" s="8">
        <x:v>0.021</x:v>
      </x:c>
      <x:c r="F492" s="8" t="inlineStr">
        <x:is>
          <x:t xml:space="preserve">Model catch</x:t>
        </x:is>
      </x:c>
      <x:c r="G492" s="8">
        <x:f>SUMIFS($D$6:$D$681,$A$6:$A$681,A492)</x:f>
        <x:v>0.3517</x:v>
      </x:c>
      <x:c r="H492" s="9">
        <x:f>D492/G492</x:f>
        <x:v>0.1000852999715667</x:v>
      </x:c>
      <x:c r="I492" s="2" t="inlineStr">
        <x:is>
          <x:t xml:space="preserve">Medium</x:t>
        </x:is>
      </x:c>
      <x:c r="J492" s="2" t="inlineStr">
        <x:is>
          <x:t xml:space="preserve">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x:t>
        </x:is>
      </x:c>
      <x:c r="K492" s="1"/>
    </x:row>
    <x:row r="493" ht="128" customHeight="1">
      <x:c r="A493" s="2" t="inlineStr">
        <x:is>
          <x:t xml:space="preserve">Pomatomus saltatrix</x:t>
        </x:is>
      </x:c>
      <x:c r="B493" s="2" t="inlineStr">
        <x:is>
          <x:t xml:space="preserve">Juvenile large pelagic fish</x:t>
        </x:is>
      </x:c>
      <x:c r="C493" s="2">
        <x:v>30</x:v>
      </x:c>
      <x:c r="D493" s="8">
        <x:v>0.7384</x:v>
      </x:c>
      <x:c r="E493" s="8">
        <x:v>0.289</x:v>
      </x:c>
      <x:c r="F493" s="8" t="inlineStr">
        <x:is>
          <x:t xml:space="preserve">Model catch</x:t>
        </x:is>
      </x:c>
      <x:c r="G493" s="8">
        <x:f>SUMIFS($D$6:$D$681,$A$6:$A$681,A493)</x:f>
        <x:v>0.8205</x:v>
      </x:c>
      <x:c r="H493" s="9">
        <x:f>D493/G493</x:f>
        <x:v>0.8999390615478366</x:v>
      </x:c>
      <x:c r="I493" s="2" t="inlineStr">
        <x:is>
          <x:t xml:space="preserve">Medium</x:t>
        </x:is>
      </x:c>
      <x:c r="J493"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x:t>
        </x:is>
      </x:c>
      <x:c r="K493" s="1"/>
    </x:row>
    <x:row r="494" ht="128" customHeight="1">
      <x:c r="A494" s="2" t="inlineStr">
        <x:is>
          <x:t xml:space="preserve">Pomatomus saltatrix</x:t>
        </x:is>
      </x:c>
      <x:c r="B494" s="2" t="inlineStr">
        <x:is>
          <x:t xml:space="preserve">Pelagic fish (&gt; 30 cm)</x:t>
        </x:is>
      </x:c>
      <x:c r="C494" s="2">
        <x:v>31</x:v>
      </x:c>
      <x:c r="D494" s="8">
        <x:v>0.0821</x:v>
      </x:c>
      <x:c r="E494" s="8">
        <x:v>0.079</x:v>
      </x:c>
      <x:c r="F494" s="8" t="inlineStr">
        <x:is>
          <x:t xml:space="preserve">Model catch</x:t>
        </x:is>
      </x:c>
      <x:c r="G494" s="8">
        <x:f>SUMIFS($D$6:$D$681,$A$6:$A$681,A494)</x:f>
        <x:v>0.8205</x:v>
      </x:c>
      <x:c r="H494" s="9">
        <x:f>D494/G494</x:f>
        <x:v>0.1000609384521633</x:v>
      </x:c>
      <x:c r="I494" s="2" t="inlineStr">
        <x:is>
          <x:t xml:space="preserve">Medium</x:t>
        </x:is>
      </x:c>
      <x:c r="J49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x:t>
        </x:is>
      </x:c>
      <x:c r="K494" s="1"/>
    </x:row>
    <x:row r="495" ht="72" customHeight="1">
      <x:c r="A495" s="2" t="inlineStr">
        <x:is>
          <x:t xml:space="preserve">Portunidae</x:t>
        </x:is>
      </x:c>
      <x:c r="B495" s="2" t="inlineStr">
        <x:is>
          <x:t xml:space="preserve">Crabs</x:t>
        </x:is>
      </x:c>
      <x:c r="C495" s="2">
        <x:v>11</x:v>
      </x:c>
      <x:c r="D495" s="8">
        <x:v>0.1997</x:v>
      </x:c>
      <x:c r="E495" s="8">
        <x:v>0.368</x:v>
      </x:c>
      <x:c r="F495" s="8" t="inlineStr">
        <x:is>
          <x:t xml:space="preserve">No split</x:t>
        </x:is>
      </x:c>
      <x:c r="G495" s="8">
        <x:f>SUMIFS($D$6:$D$681,$A$6:$A$681,A495)</x:f>
        <x:v>0.1997</x:v>
      </x:c>
      <x:c r="H495" s="9">
        <x:f>1</x:f>
        <x:v>1</x:v>
      </x:c>
      <x:c r="I495" s="2" t="inlineStr">
        <x:is>
          <x:t xml:space="preserve">High</x:t>
        </x:is>
      </x:c>
      <x:c r="J495" s="2" t="inlineStr">
        <x:is>
          <x:t xml:space="preserve">Portunidae is a true-crab lineage within Crabs. The residual benthic-crustacean group expressly excludes crabs, so is not a competing placement. No split is required.</x:t>
        </x:is>
      </x:c>
      <x:c r="K495" s="1"/>
    </x:row>
    <x:row r="496" ht="72" customHeight="1">
      <x:c r="A496" s="2" t="inlineStr">
        <x:is>
          <x:t xml:space="preserve">Portunus</x:t>
        </x:is>
      </x:c>
      <x:c r="B496" s="2" t="inlineStr">
        <x:is>
          <x:t xml:space="preserve">Crabs</x:t>
        </x:is>
      </x:c>
      <x:c r="C496" s="2">
        <x:v>11</x:v>
      </x:c>
      <x:c r="D496" s="8">
        <x:v>0.1997</x:v>
      </x:c>
      <x:c r="E496" s="8">
        <x:v>0.368</x:v>
      </x:c>
      <x:c r="F496" s="8" t="inlineStr">
        <x:is>
          <x:t xml:space="preserve">No split</x:t>
        </x:is>
      </x:c>
      <x:c r="G496" s="8">
        <x:f>SUMIFS($D$6:$D$681,$A$6:$A$681,A496)</x:f>
        <x:v>0.1997</x:v>
      </x:c>
      <x:c r="H496" s="9">
        <x:f>1</x:f>
        <x:v>1</x:v>
      </x:c>
      <x:c r="I496" s="2" t="inlineStr">
        <x:is>
          <x:t xml:space="preserve">High</x:t>
        </x:is>
      </x:c>
      <x:c r="J496" s="2" t="inlineStr">
        <x:is>
          <x:t xml:space="preserve">Portunus is a true-crab lineage within Crabs. The residual benthic-crustacean group expressly excludes crabs, so is not a competing placement. No split is required.</x:t>
        </x:is>
      </x:c>
      <x:c r="K496" s="1"/>
    </x:row>
    <x:row r="497" ht="72" customHeight="1">
      <x:c r="A497" s="2" t="inlineStr">
        <x:is>
          <x:t xml:space="preserve">Portunus pelagicus</x:t>
        </x:is>
      </x:c>
      <x:c r="B497" s="2" t="inlineStr">
        <x:is>
          <x:t xml:space="preserve">Crabs</x:t>
        </x:is>
      </x:c>
      <x:c r="C497" s="2">
        <x:v>11</x:v>
      </x:c>
      <x:c r="D497" s="8">
        <x:v>0.1997</x:v>
      </x:c>
      <x:c r="E497" s="8">
        <x:v>0.368</x:v>
      </x:c>
      <x:c r="F497" s="8" t="inlineStr">
        <x:is>
          <x:t xml:space="preserve">No split</x:t>
        </x:is>
      </x:c>
      <x:c r="G497" s="8">
        <x:f>SUMIFS($D$6:$D$681,$A$6:$A$681,A497)</x:f>
        <x:v>0.1997</x:v>
      </x:c>
      <x:c r="H497" s="9">
        <x:f>1</x:f>
        <x:v>1</x:v>
      </x:c>
      <x:c r="I497" s="2" t="inlineStr">
        <x:is>
          <x:t xml:space="preserve">High</x:t>
        </x:is>
      </x:c>
      <x:c r="J497" s="2" t="inlineStr">
        <x:is>
          <x:t xml:space="preserve">Portunus pelagicus is a true-crab lineage within Crabs. The residual benthic-crustacean group expressly excludes crabs, so is not a competing placement. No split is required.</x:t>
        </x:is>
      </x:c>
      <x:c r="K497" s="1"/>
    </x:row>
    <x:row r="498" ht="72" customHeight="1">
      <x:c r="A498" s="2" t="inlineStr">
        <x:is>
          <x:t xml:space="preserve">Portunus trituberculatus</x:t>
        </x:is>
      </x:c>
      <x:c r="B498" s="2" t="inlineStr">
        <x:is>
          <x:t xml:space="preserve">Crabs</x:t>
        </x:is>
      </x:c>
      <x:c r="C498" s="2">
        <x:v>11</x:v>
      </x:c>
      <x:c r="D498" s="8">
        <x:v>0.1997</x:v>
      </x:c>
      <x:c r="E498" s="8">
        <x:v>0.368</x:v>
      </x:c>
      <x:c r="F498" s="8" t="inlineStr">
        <x:is>
          <x:t xml:space="preserve">No split</x:t>
        </x:is>
      </x:c>
      <x:c r="G498" s="8">
        <x:f>SUMIFS($D$6:$D$681,$A$6:$A$681,A498)</x:f>
        <x:v>0.1997</x:v>
      </x:c>
      <x:c r="H498" s="9">
        <x:f>1</x:f>
        <x:v>1</x:v>
      </x:c>
      <x:c r="I498" s="2" t="inlineStr">
        <x:is>
          <x:t xml:space="preserve">High</x:t>
        </x:is>
      </x:c>
      <x:c r="J498" s="2" t="inlineStr">
        <x:is>
          <x:t xml:space="preserve">Portunus trituberculatus is a true-crab lineage within Crabs. The residual benthic-crustacean group expressly excludes crabs, so is not a competing placement. No split is required.</x:t>
        </x:is>
      </x:c>
      <x:c r="K498" s="1"/>
    </x:row>
    <x:row r="499" ht="72" customHeight="1">
      <x:c r="A499" s="2" t="inlineStr">
        <x:is>
          <x:t xml:space="preserve">Priacanthidae</x:t>
        </x:is>
      </x:c>
      <x:c r="B499" s="2" t="inlineStr">
        <x:is>
          <x:t xml:space="preserve">Bigeyes (priacanthids)</x:t>
        </x:is>
      </x:c>
      <x:c r="C499" s="2">
        <x:v>14</x:v>
      </x:c>
      <x:c r="D499" s="8">
        <x:v>0.206</x:v>
      </x:c>
      <x:c r="E499" s="8">
        <x:v>0.13</x:v>
      </x:c>
      <x:c r="F499" s="8" t="inlineStr">
        <x:is>
          <x:t xml:space="preserve">No split</x:t>
        </x:is>
      </x:c>
      <x:c r="G499" s="8">
        <x:f>SUMIFS($D$6:$D$681,$A$6:$A$681,A499)</x:f>
        <x:v>0.206</x:v>
      </x:c>
      <x:c r="H499" s="9">
        <x:f>1</x:f>
        <x:v>1</x:v>
      </x:c>
      <x:c r="I499" s="2" t="inlineStr">
        <x:is>
          <x:t xml:space="preserve">High</x:t>
        </x:is>
      </x:c>
      <x:c r="J499" s="2" t="inlineStr">
        <x:is>
          <x:t xml:space="preserve">Priacanthidae is within Priacanthidae, expressly used as the source group boundary. Parameter species are examples, not a closed list; residual size/habitat pools do not compete. No split is required.</x:t>
        </x:is>
      </x:c>
      <x:c r="K499" s="1"/>
    </x:row>
    <x:row r="500" ht="72" customHeight="1">
      <x:c r="A500" s="2" t="inlineStr">
        <x:is>
          <x:t xml:space="preserve">Priacanthus</x:t>
        </x:is>
      </x:c>
      <x:c r="B500" s="2" t="inlineStr">
        <x:is>
          <x:t xml:space="preserve">Bigeyes (priacanthids)</x:t>
        </x:is>
      </x:c>
      <x:c r="C500" s="2">
        <x:v>14</x:v>
      </x:c>
      <x:c r="D500" s="8">
        <x:v>0.206</x:v>
      </x:c>
      <x:c r="E500" s="8">
        <x:v>0.13</x:v>
      </x:c>
      <x:c r="F500" s="8" t="inlineStr">
        <x:is>
          <x:t xml:space="preserve">No split</x:t>
        </x:is>
      </x:c>
      <x:c r="G500" s="8">
        <x:f>SUMIFS($D$6:$D$681,$A$6:$A$681,A500)</x:f>
        <x:v>0.206</x:v>
      </x:c>
      <x:c r="H500" s="9">
        <x:f>1</x:f>
        <x:v>1</x:v>
      </x:c>
      <x:c r="I500" s="2" t="inlineStr">
        <x:is>
          <x:t xml:space="preserve">High</x:t>
        </x:is>
      </x:c>
      <x:c r="J500" s="2" t="inlineStr">
        <x:is>
          <x:t xml:space="preserve">Priacanthus is within Priacanthidae, expressly used as the source group boundary. Parameter species are examples, not a closed list; residual size/habitat pools do not compete. No split is required.</x:t>
        </x:is>
      </x:c>
      <x:c r="K500" s="1"/>
    </x:row>
    <x:row r="501" ht="72" customHeight="1">
      <x:c r="A501" s="2" t="inlineStr">
        <x:is>
          <x:t xml:space="preserve">Priacanthus macracanthus</x:t>
        </x:is>
      </x:c>
      <x:c r="B501" s="2" t="inlineStr">
        <x:is>
          <x:t xml:space="preserve">Bigeyes (priacanthids)</x:t>
        </x:is>
      </x:c>
      <x:c r="C501" s="2">
        <x:v>14</x:v>
      </x:c>
      <x:c r="D501" s="8">
        <x:v>0.206</x:v>
      </x:c>
      <x:c r="E501" s="8">
        <x:v>0.13</x:v>
      </x:c>
      <x:c r="F501" s="8" t="inlineStr">
        <x:is>
          <x:t xml:space="preserve">No split</x:t>
        </x:is>
      </x:c>
      <x:c r="G501" s="8">
        <x:f>SUMIFS($D$6:$D$681,$A$6:$A$681,A501)</x:f>
        <x:v>0.206</x:v>
      </x:c>
      <x:c r="H501" s="9">
        <x:f>1</x:f>
        <x:v>1</x:v>
      </x:c>
      <x:c r="I501" s="2" t="inlineStr">
        <x:is>
          <x:t xml:space="preserve">High</x:t>
        </x:is>
      </x:c>
      <x:c r="J501" s="2" t="inlineStr">
        <x:is>
          <x:t xml:space="preserve">Priacanthus macracanthus is within Priacanthidae, expressly used as the source group boundary. Parameter species are examples, not a closed list; residual size/habitat pools do not compete. No split is required.</x:t>
        </x:is>
      </x:c>
      <x:c r="K501" s="1"/>
    </x:row>
    <x:row r="502" ht="96" customHeight="1">
      <x:c r="A502" s="2" t="inlineStr">
        <x:is>
          <x:t xml:space="preserve">Prionace glauca</x:t>
        </x:is>
      </x:c>
      <x:c r="B502" s="2" t="inlineStr">
        <x:is>
          <x:t xml:space="preserve">Pelagic sharks and rays</x:t>
        </x:is>
      </x:c>
      <x:c r="C502" s="2">
        <x:v>33</x:v>
      </x:c>
      <x:c r="D502" s="8">
        <x:v>0.0007</x:v>
      </x:c>
      <x:c r="E502" s="8">
        <x:v>0.0011</x:v>
      </x:c>
      <x:c r="F502" s="8" t="inlineStr">
        <x:is>
          <x:t xml:space="preserve">No split</x:t>
        </x:is>
      </x:c>
      <x:c r="G502" s="8">
        <x:f>SUMIFS($D$6:$D$681,$A$6:$A$681,A502)</x:f>
        <x:v>0.0007</x:v>
      </x:c>
      <x:c r="H502" s="9">
        <x:f>1</x:f>
        <x:v>1</x:v>
      </x:c>
      <x:c r="I502" s="2" t="inlineStr">
        <x:is>
          <x:t xml:space="preserve">High</x:t>
        </x:is>
      </x:c>
      <x:c r="J502"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400 cm TL; Marine; brackish;  pelagic-oceanic; oceanodromous. No split is required.</x:t>
        </x:is>
      </x:c>
      <x:c r="K502" s="1"/>
    </x:row>
    <x:row r="503" ht="72" customHeight="1">
      <x:c r="A503" s="2" t="inlineStr">
        <x:is>
          <x:t xml:space="preserve">Pristipomoides</x:t>
        </x:is>
      </x:c>
      <x:c r="B503" s="2" t="inlineStr">
        <x:is>
          <x:t xml:space="preserve">Snappers</x:t>
        </x:is>
      </x:c>
      <x:c r="C503" s="2">
        <x:v>19</x:v>
      </x:c>
      <x:c r="D503" s="8">
        <x:v>0.0011</x:v>
      </x:c>
      <x:c r="E503" s="8">
        <x:v>0.0013</x:v>
      </x:c>
      <x:c r="F503" s="8" t="inlineStr">
        <x:is>
          <x:t xml:space="preserve">No split</x:t>
        </x:is>
      </x:c>
      <x:c r="G503" s="8">
        <x:f>SUMIFS($D$6:$D$681,$A$6:$A$681,A503)</x:f>
        <x:v>0.0011</x:v>
      </x:c>
      <x:c r="H503" s="9">
        <x:f>1</x:f>
        <x:v>1</x:v>
      </x:c>
      <x:c r="I503" s="2" t="inlineStr">
        <x:is>
          <x:t xml:space="preserve">High</x:t>
        </x:is>
      </x:c>
      <x:c r="J503" s="2" t="inlineStr">
        <x:is>
          <x:t xml:space="preserve">Pristipomoides is within Lutjanidae, expressly used as the source group boundary. Parameter species are examples, not a closed list; residual size/habitat pools do not compete. No split is required.</x:t>
        </x:is>
      </x:c>
      <x:c r="K503" s="1"/>
    </x:row>
    <x:row r="504" ht="72" customHeight="1">
      <x:c r="A504" s="2" t="inlineStr">
        <x:is>
          <x:t xml:space="preserve">Psenopsis anomala</x:t>
        </x:is>
      </x:c>
      <x:c r="B504" s="2" t="inlineStr">
        <x:is>
          <x:t xml:space="preserve">Melon seed</x:t>
        </x:is>
      </x:c>
      <x:c r="C504" s="2">
        <x:v>28</x:v>
      </x:c>
      <x:c r="D504" s="8">
        <x:v>0.0499</x:v>
      </x:c>
      <x:c r="E504" s="8">
        <x:v>0.07</x:v>
      </x:c>
      <x:c r="F504" s="8" t="inlineStr">
        <x:is>
          <x:t xml:space="preserve">No split</x:t>
        </x:is>
      </x:c>
      <x:c r="G504" s="8">
        <x:f>SUMIFS($D$6:$D$681,$A$6:$A$681,A504)</x:f>
        <x:v>0.0499</x:v>
      </x:c>
      <x:c r="H504" s="9">
        <x:f>1</x:f>
        <x:v>1</x:v>
      </x:c>
      <x:c r="I504" s="2" t="inlineStr">
        <x:is>
          <x:t xml:space="preserve">High</x:t>
        </x:is>
      </x:c>
      <x:c r="J504" s="2" t="inlineStr">
        <x:is>
          <x:t xml:space="preserve">The source defines Melon seed as Psenopsis anomala. This dedicated identity overrides generic benthopelagic placement and the unrelated Stromateidae pomfret group. No split is required.</x:t>
        </x:is>
      </x:c>
      <x:c r="K504" s="1"/>
    </x:row>
    <x:row r="505" ht="96" customHeight="1">
      <x:c r="A505" s="2" t="inlineStr">
        <x:is>
          <x:t xml:space="preserve">Psettodes erumei</x:t>
        </x:is>
      </x:c>
      <x:c r="B505" s="2" t="inlineStr">
        <x:is>
          <x:t xml:space="preserve">Juvenile demersal fish (&gt; 30 cm)</x:t>
        </x:is>
      </x:c>
      <x:c r="C505" s="2">
        <x:v>25</x:v>
      </x:c>
      <x:c r="D505" s="8">
        <x:v>0.3165</x:v>
      </x:c>
      <x:c r="E505" s="8">
        <x:v>0.143</x:v>
      </x:c>
      <x:c r="F505" s="8" t="inlineStr">
        <x:is>
          <x:t xml:space="preserve">Model catch</x:t>
        </x:is>
      </x:c>
      <x:c r="G505" s="8">
        <x:f>SUMIFS($D$6:$D$681,$A$6:$A$681,A505)</x:f>
        <x:v>0.3517</x:v>
      </x:c>
      <x:c r="H505" s="9">
        <x:f>D505/G505</x:f>
        <x:v>0.8999147000284333</x:v>
      </x:c>
      <x:c r="I505" s="2" t="inlineStr">
        <x:is>
          <x:t xml:space="preserve">Medium</x:t>
        </x:is>
      </x:c>
      <x:c r="J505" s="2" t="inlineStr">
        <x:is>
          <x:t xml:space="preserve">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x:t>
        </x:is>
      </x:c>
      <x:c r="K505" s="1"/>
    </x:row>
    <x:row r="506" ht="96" customHeight="1">
      <x:c r="A506" s="2" t="inlineStr">
        <x:is>
          <x:t xml:space="preserve">Psettodes erumei</x:t>
        </x:is>
      </x:c>
      <x:c r="B506" s="2" t="inlineStr">
        <x:is>
          <x:t xml:space="preserve">Adult demersal fish (&gt; 30 cm)</x:t>
        </x:is>
      </x:c>
      <x:c r="C506" s="2">
        <x:v>26</x:v>
      </x:c>
      <x:c r="D506" s="8">
        <x:v>0.0352</x:v>
      </x:c>
      <x:c r="E506" s="8">
        <x:v>0.021</x:v>
      </x:c>
      <x:c r="F506" s="8" t="inlineStr">
        <x:is>
          <x:t xml:space="preserve">Model catch</x:t>
        </x:is>
      </x:c>
      <x:c r="G506" s="8">
        <x:f>SUMIFS($D$6:$D$681,$A$6:$A$681,A506)</x:f>
        <x:v>0.3517</x:v>
      </x:c>
      <x:c r="H506" s="9">
        <x:f>D506/G506</x:f>
        <x:v>0.10008529997156668</x:v>
      </x:c>
      <x:c r="I506" s="2" t="inlineStr">
        <x:is>
          <x:t xml:space="preserve">Medium</x:t>
        </x:is>
      </x:c>
      <x:c r="J506" s="2" t="inlineStr">
        <x:is>
          <x:t xml:space="preserve">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x:t>
        </x:is>
      </x:c>
      <x:c r="K506" s="1"/>
    </x:row>
    <x:row r="507" ht="96" customHeight="1">
      <x:c r="A507" s="2" t="inlineStr">
        <x:is>
          <x:t xml:space="preserve">Psettodidae</x:t>
        </x:is>
      </x:c>
      <x:c r="B507" s="2" t="inlineStr">
        <x:is>
          <x:t xml:space="preserve">Juvenile demersal fish (&gt; 30 cm)</x:t>
        </x:is>
      </x:c>
      <x:c r="C507" s="2">
        <x:v>25</x:v>
      </x:c>
      <x:c r="D507" s="8">
        <x:v>0.3165</x:v>
      </x:c>
      <x:c r="E507" s="8">
        <x:v>0.143</x:v>
      </x:c>
      <x:c r="F507" s="8" t="inlineStr">
        <x:is>
          <x:t xml:space="preserve">Model catch</x:t>
        </x:is>
      </x:c>
      <x:c r="G507" s="8">
        <x:f>SUMIFS($D$6:$D$681,$A$6:$A$681,A507)</x:f>
        <x:v>0.3517</x:v>
      </x:c>
      <x:c r="H507" s="9">
        <x:f>D507/G507</x:f>
        <x:v>0.8999147000284333</x:v>
      </x:c>
      <x:c r="I507" s="2" t="inlineStr">
        <x:is>
          <x:t xml:space="preserve">Medium</x:t>
        </x:is>
      </x:c>
      <x:c r="J507" s="2" t="inlineStr">
        <x:is>
          <x:t xml:space="preserve">FAO identifies only Psettodes erumei in the Western Central Pacific family, a demersal species reaching about 60 cm TL. Group 24 is pruned: common 20-40 cm individuals do not qualify as a species with maximum TL at or below 30 cm. Source-model catch proportions supply an assumed fixed 1950–2019/all-bases mixture; they are not observed taxon-specific catches.</x:t>
        </x:is>
      </x:c>
      <x:c r="K507" s="1"/>
    </x:row>
    <x:row r="508" ht="96" customHeight="1">
      <x:c r="A508" s="2" t="inlineStr">
        <x:is>
          <x:t xml:space="preserve">Psettodidae</x:t>
        </x:is>
      </x:c>
      <x:c r="B508" s="2" t="inlineStr">
        <x:is>
          <x:t xml:space="preserve">Adult demersal fish (&gt; 30 cm)</x:t>
        </x:is>
      </x:c>
      <x:c r="C508" s="2">
        <x:v>26</x:v>
      </x:c>
      <x:c r="D508" s="8">
        <x:v>0.0352</x:v>
      </x:c>
      <x:c r="E508" s="8">
        <x:v>0.021</x:v>
      </x:c>
      <x:c r="F508" s="8" t="inlineStr">
        <x:is>
          <x:t xml:space="preserve">Model catch</x:t>
        </x:is>
      </x:c>
      <x:c r="G508" s="8">
        <x:f>SUMIFS($D$6:$D$681,$A$6:$A$681,A508)</x:f>
        <x:v>0.3517</x:v>
      </x:c>
      <x:c r="H508" s="9">
        <x:f>D508/G508</x:f>
        <x:v>0.10008529997156668</x:v>
      </x:c>
      <x:c r="I508" s="2" t="inlineStr">
        <x:is>
          <x:t xml:space="preserve">Medium</x:t>
        </x:is>
      </x:c>
      <x:c r="J508" s="2" t="inlineStr">
        <x:is>
          <x:t xml:space="preserve">FAO identifies only Psettodes erumei in the Western Central Pacific family, a demersal species reaching about 60 cm TL. Group 24 is pruned: common 20-40 cm individuals do not qualify as a species with maximum TL at or below 30 cm. Source-model catch proportions supply an assumed fixed 1950–2019/all-bases mixture; they are not observed taxon-specific catches.</x:t>
        </x:is>
      </x:c>
      <x:c r="K508" s="1"/>
    </x:row>
    <x:row r="509" ht="72" customHeight="1">
      <x:c r="A509" s="2" t="inlineStr">
        <x:is>
          <x:t xml:space="preserve">Pteriomorphia</x:t>
        </x:is>
      </x:c>
      <x:c r="B509" s="2" t="inlineStr">
        <x:is>
          <x:t xml:space="preserve">Non-ceph molluscs</x:t>
        </x:is>
      </x:c>
      <x:c r="C509" s="2">
        <x:v>8</x:v>
      </x:c>
      <x:c r="D509" s="8">
        <x:v>0.7623</x:v>
      </x:c>
      <x:c r="E509" s="8">
        <x:v>2.68</x:v>
      </x:c>
      <x:c r="F509" s="8" t="inlineStr">
        <x:is>
          <x:t xml:space="preserve">No split</x:t>
        </x:is>
      </x:c>
      <x:c r="G509" s="8">
        <x:f>SUMIFS($D$6:$D$681,$A$6:$A$681,A509)</x:f>
        <x:v>0.7623</x:v>
      </x:c>
      <x:c r="H509" s="9">
        <x:f>1</x:f>
        <x:v>1</x:v>
      </x:c>
      <x:c r="I509" s="2" t="inlineStr">
        <x:is>
          <x:t xml:space="preserve">High</x:t>
        </x:is>
      </x:c>
      <x:c r="J509" s="2" t="inlineStr">
        <x:is>
          <x:t xml:space="preserve">Pteriomorphia is a non-cephalopod mollusc. The source derives this catch by removing Cephalopoda from mollusc catch; no competing mollusc compartment contains this lineage. No split is required.</x:t>
        </x:is>
      </x:c>
      <x:c r="K509" s="1"/>
    </x:row>
    <x:row r="510" ht="80" customHeight="1">
      <x:c r="A510" s="2" t="inlineStr">
        <x:is>
          <x:t xml:space="preserve">Rachycentridae</x:t>
        </x:is>
      </x:c>
      <x:c r="B510" s="2" t="inlineStr">
        <x:is>
          <x:t xml:space="preserve">Juvenile large pelagic fish</x:t>
        </x:is>
      </x:c>
      <x:c r="C510" s="2">
        <x:v>30</x:v>
      </x:c>
      <x:c r="D510" s="8">
        <x:v>0.7384</x:v>
      </x:c>
      <x:c r="E510" s="8">
        <x:v>0.289</x:v>
      </x:c>
      <x:c r="F510" s="8" t="inlineStr">
        <x:is>
          <x:t xml:space="preserve">Model catch</x:t>
        </x:is>
      </x:c>
      <x:c r="G510" s="8">
        <x:f>SUMIFS($D$6:$D$681,$A$6:$A$681,A510)</x:f>
        <x:v>0.8205</x:v>
      </x:c>
      <x:c r="H510" s="9">
        <x:f>D510/G510</x:f>
        <x:v>0.8999390615478366</x:v>
      </x:c>
      <x:c r="I510" s="2" t="inlineStr">
        <x:is>
          <x:t xml:space="preserve">Medium</x:t>
        </x:is>
      </x:c>
      <x:c r="J510" s="2" t="inlineStr">
        <x:is>
          <x:t xml:space="preserve">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x:t>
        </x:is>
      </x:c>
      <x:c r="K510" s="1"/>
    </x:row>
    <x:row r="511" ht="80" customHeight="1">
      <x:c r="A511" s="2" t="inlineStr">
        <x:is>
          <x:t xml:space="preserve">Rachycentridae</x:t>
        </x:is>
      </x:c>
      <x:c r="B511" s="2" t="inlineStr">
        <x:is>
          <x:t xml:space="preserve">Pelagic fish (&gt; 30 cm)</x:t>
        </x:is>
      </x:c>
      <x:c r="C511" s="2">
        <x:v>31</x:v>
      </x:c>
      <x:c r="D511" s="8">
        <x:v>0.0821</x:v>
      </x:c>
      <x:c r="E511" s="8">
        <x:v>0.079</x:v>
      </x:c>
      <x:c r="F511" s="8" t="inlineStr">
        <x:is>
          <x:t xml:space="preserve">Model catch</x:t>
        </x:is>
      </x:c>
      <x:c r="G511" s="8">
        <x:f>SUMIFS($D$6:$D$681,$A$6:$A$681,A511)</x:f>
        <x:v>0.8205</x:v>
      </x:c>
      <x:c r="H511" s="9">
        <x:f>D511/G511</x:f>
        <x:v>0.1000609384521633</x:v>
      </x:c>
      <x:c r="I511" s="2" t="inlineStr">
        <x:is>
          <x:t xml:space="preserve">Medium</x:t>
        </x:is>
      </x:c>
      <x:c r="J511" s="2" t="inlineStr">
        <x:is>
          <x:t xml:space="preserve">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x:t>
        </x:is>
      </x:c>
      <x:c r="K511" s="1"/>
    </x:row>
    <x:row r="512" ht="112" customHeight="1">
      <x:c r="A512" s="2" t="inlineStr">
        <x:is>
          <x:t xml:space="preserve">Rachycentron canadum</x:t>
        </x:is>
      </x:c>
      <x:c r="B512" s="2" t="inlineStr">
        <x:is>
          <x:t xml:space="preserve">Juvenile large pelagic fish</x:t>
        </x:is>
      </x:c>
      <x:c r="C512" s="2">
        <x:v>30</x:v>
      </x:c>
      <x:c r="D512" s="8">
        <x:v>0.7384</x:v>
      </x:c>
      <x:c r="E512" s="8">
        <x:v>0.289</x:v>
      </x:c>
      <x:c r="F512" s="8" t="inlineStr">
        <x:is>
          <x:t xml:space="preserve">Model catch</x:t>
        </x:is>
      </x:c>
      <x:c r="G512" s="8">
        <x:f>SUMIFS($D$6:$D$681,$A$6:$A$681,A512)</x:f>
        <x:v>0.8205</x:v>
      </x:c>
      <x:c r="H512" s="9">
        <x:f>D512/G512</x:f>
        <x:v>0.8999390615478366</x:v>
      </x:c>
      <x:c r="I512" s="2" t="inlineStr">
        <x:is>
          <x:t xml:space="preserve">Medium</x:t>
        </x:is>
      </x:c>
      <x:c r="J512"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x:t>
        </x:is>
      </x:c>
      <x:c r="K512" s="1"/>
    </x:row>
    <x:row r="513" ht="112" customHeight="1">
      <x:c r="A513" s="2" t="inlineStr">
        <x:is>
          <x:t xml:space="preserve">Rachycentron canadum</x:t>
        </x:is>
      </x:c>
      <x:c r="B513" s="2" t="inlineStr">
        <x:is>
          <x:t xml:space="preserve">Pelagic fish (&gt; 30 cm)</x:t>
        </x:is>
      </x:c>
      <x:c r="C513" s="2">
        <x:v>31</x:v>
      </x:c>
      <x:c r="D513" s="8">
        <x:v>0.0821</x:v>
      </x:c>
      <x:c r="E513" s="8">
        <x:v>0.079</x:v>
      </x:c>
      <x:c r="F513" s="8" t="inlineStr">
        <x:is>
          <x:t xml:space="preserve">Model catch</x:t>
        </x:is>
      </x:c>
      <x:c r="G513" s="8">
        <x:f>SUMIFS($D$6:$D$681,$A$6:$A$681,A513)</x:f>
        <x:v>0.8205</x:v>
      </x:c>
      <x:c r="H513" s="9">
        <x:f>D513/G513</x:f>
        <x:v>0.1000609384521633</x:v>
      </x:c>
      <x:c r="I513" s="2" t="inlineStr">
        <x:is>
          <x:t xml:space="preserve">Medium</x:t>
        </x:is>
      </x:c>
      <x:c r="J513"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x:t>
        </x:is>
      </x:c>
      <x:c r="K513" s="1"/>
    </x:row>
    <x:row r="514" ht="72" customHeight="1">
      <x:c r="A514" s="2" t="inlineStr">
        <x:is>
          <x:t xml:space="preserve">Ranina ranina</x:t>
        </x:is>
      </x:c>
      <x:c r="B514" s="2" t="inlineStr">
        <x:is>
          <x:t xml:space="preserve">Crabs</x:t>
        </x:is>
      </x:c>
      <x:c r="C514" s="2">
        <x:v>11</x:v>
      </x:c>
      <x:c r="D514" s="8">
        <x:v>0.1997</x:v>
      </x:c>
      <x:c r="E514" s="8">
        <x:v>0.368</x:v>
      </x:c>
      <x:c r="F514" s="8" t="inlineStr">
        <x:is>
          <x:t xml:space="preserve">No split</x:t>
        </x:is>
      </x:c>
      <x:c r="G514" s="8">
        <x:f>SUMIFS($D$6:$D$681,$A$6:$A$681,A514)</x:f>
        <x:v>0.1997</x:v>
      </x:c>
      <x:c r="H514" s="9">
        <x:f>1</x:f>
        <x:v>1</x:v>
      </x:c>
      <x:c r="I514" s="2" t="inlineStr">
        <x:is>
          <x:t xml:space="preserve">High</x:t>
        </x:is>
      </x:c>
      <x:c r="J514" s="2" t="inlineStr">
        <x:is>
          <x:t xml:space="preserve">Ranina ranina is a true-crab lineage within Crabs. The residual benthic-crustacean group expressly excludes crabs, so is not a competing placement. No split is required.</x:t>
        </x:is>
      </x:c>
      <x:c r="K514" s="1"/>
    </x:row>
    <x:row r="515" ht="80" customHeight="1">
      <x:c r="A515" s="2" t="inlineStr">
        <x:is>
          <x:t xml:space="preserve">Rastrelliger</x:t>
        </x:is>
      </x:c>
      <x:c r="B515" s="2" t="inlineStr">
        <x:is>
          <x:t xml:space="preserve">Juvenile large pelagic fish</x:t>
        </x:is>
      </x:c>
      <x:c r="C515" s="2">
        <x:v>30</x:v>
      </x:c>
      <x:c r="D515" s="8">
        <x:v>0.7384</x:v>
      </x:c>
      <x:c r="E515" s="8">
        <x:v>0.289</x:v>
      </x:c>
      <x:c r="F515" s="8" t="inlineStr">
        <x:is>
          <x:t xml:space="preserve">Model catch</x:t>
        </x:is>
      </x:c>
      <x:c r="G515" s="8">
        <x:f>SUMIFS($D$6:$D$681,$A$6:$A$681,A515)</x:f>
        <x:v>0.8205</x:v>
      </x:c>
      <x:c r="H515" s="9">
        <x:f>D515/G515</x:f>
        <x:v>0.8999390615478366</x:v>
      </x:c>
      <x:c r="I515" s="2" t="inlineStr">
        <x:is>
          <x:t xml:space="preserve">Medium</x:t>
        </x:is>
      </x:c>
      <x:c r="J515" s="2" t="inlineStr">
        <x:is>
          <x:t xml:space="preserve">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x:t>
        </x:is>
      </x:c>
      <x:c r="K515" s="1"/>
    </x:row>
    <x:row r="516" ht="80" customHeight="1">
      <x:c r="A516" s="2" t="inlineStr">
        <x:is>
          <x:t xml:space="preserve">Rastrelliger</x:t>
        </x:is>
      </x:c>
      <x:c r="B516" s="2" t="inlineStr">
        <x:is>
          <x:t xml:space="preserve">Pelagic fish (&gt; 30 cm)</x:t>
        </x:is>
      </x:c>
      <x:c r="C516" s="2">
        <x:v>31</x:v>
      </x:c>
      <x:c r="D516" s="8">
        <x:v>0.0821</x:v>
      </x:c>
      <x:c r="E516" s="8">
        <x:v>0.079</x:v>
      </x:c>
      <x:c r="F516" s="8" t="inlineStr">
        <x:is>
          <x:t xml:space="preserve">Model catch</x:t>
        </x:is>
      </x:c>
      <x:c r="G516" s="8">
        <x:f>SUMIFS($D$6:$D$681,$A$6:$A$681,A516)</x:f>
        <x:v>0.8205</x:v>
      </x:c>
      <x:c r="H516" s="9">
        <x:f>D516/G516</x:f>
        <x:v>0.1000609384521633</x:v>
      </x:c>
      <x:c r="I516" s="2" t="inlineStr">
        <x:is>
          <x:t xml:space="preserve">Medium</x:t>
        </x:is>
      </x:c>
      <x:c r="J516" s="2" t="inlineStr">
        <x:is>
          <x:t xml:space="preserve">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x:t>
        </x:is>
      </x:c>
      <x:c r="K516" s="1"/>
    </x:row>
    <x:row r="517" ht="128" customHeight="1">
      <x:c r="A517" s="2" t="inlineStr">
        <x:is>
          <x:t xml:space="preserve">Rastrelliger brachysoma</x:t>
        </x:is>
      </x:c>
      <x:c r="B517" s="2" t="inlineStr">
        <x:is>
          <x:t xml:space="preserve">Juvenile large pelagic fish</x:t>
        </x:is>
      </x:c>
      <x:c r="C517" s="2">
        <x:v>30</x:v>
      </x:c>
      <x:c r="D517" s="8">
        <x:v>0.7384</x:v>
      </x:c>
      <x:c r="E517" s="8">
        <x:v>0.289</x:v>
      </x:c>
      <x:c r="F517" s="8" t="inlineStr">
        <x:is>
          <x:t xml:space="preserve">Model catch</x:t>
        </x:is>
      </x:c>
      <x:c r="G517" s="8">
        <x:f>SUMIFS($D$6:$D$681,$A$6:$A$681,A517)</x:f>
        <x:v>0.8205</x:v>
      </x:c>
      <x:c r="H517" s="9">
        <x:f>D517/G517</x:f>
        <x:v>0.8999390615478366</x:v>
      </x:c>
      <x:c r="I517" s="2" t="inlineStr">
        <x:is>
          <x:t xml:space="preserve">Medium</x:t>
        </x:is>
      </x:c>
      <x:c r="J51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x:t>
        </x:is>
      </x:c>
      <x:c r="K517" s="1"/>
    </x:row>
    <x:row r="518" ht="128" customHeight="1">
      <x:c r="A518" s="2" t="inlineStr">
        <x:is>
          <x:t xml:space="preserve">Rastrelliger brachysoma</x:t>
        </x:is>
      </x:c>
      <x:c r="B518" s="2" t="inlineStr">
        <x:is>
          <x:t xml:space="preserve">Pelagic fish (&gt; 30 cm)</x:t>
        </x:is>
      </x:c>
      <x:c r="C518" s="2">
        <x:v>31</x:v>
      </x:c>
      <x:c r="D518" s="8">
        <x:v>0.0821</x:v>
      </x:c>
      <x:c r="E518" s="8">
        <x:v>0.079</x:v>
      </x:c>
      <x:c r="F518" s="8" t="inlineStr">
        <x:is>
          <x:t xml:space="preserve">Model catch</x:t>
        </x:is>
      </x:c>
      <x:c r="G518" s="8">
        <x:f>SUMIFS($D$6:$D$681,$A$6:$A$681,A518)</x:f>
        <x:v>0.8205</x:v>
      </x:c>
      <x:c r="H518" s="9">
        <x:f>D518/G518</x:f>
        <x:v>0.1000609384521633</x:v>
      </x:c>
      <x:c r="I518" s="2" t="inlineStr">
        <x:is>
          <x:t xml:space="preserve">Medium</x:t>
        </x:is>
      </x:c>
      <x:c r="J518"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x:t>
        </x:is>
      </x:c>
      <x:c r="K518" s="1"/>
    </x:row>
    <x:row r="519" ht="144" customHeight="1">
      <x:c r="A519" s="2" t="inlineStr">
        <x:is>
          <x:t xml:space="preserve">Rastrelliger kanagurta</x:t>
        </x:is>
      </x:c>
      <x:c r="B519" s="2" t="inlineStr">
        <x:is>
          <x:t xml:space="preserve">Juvenile large pelagic fish</x:t>
        </x:is>
      </x:c>
      <x:c r="C519" s="2">
        <x:v>30</x:v>
      </x:c>
      <x:c r="D519" s="8">
        <x:v>0.7384</x:v>
      </x:c>
      <x:c r="E519" s="8">
        <x:v>0.289</x:v>
      </x:c>
      <x:c r="F519" s="8" t="inlineStr">
        <x:is>
          <x:t xml:space="preserve">Model catch</x:t>
        </x:is>
      </x:c>
      <x:c r="G519" s="8">
        <x:f>SUMIFS($D$6:$D$681,$A$6:$A$681,A519)</x:f>
        <x:v>0.8205</x:v>
      </x:c>
      <x:c r="H519" s="9">
        <x:f>D519/G519</x:f>
        <x:v>0.8999390615478366</x:v>
      </x:c>
      <x:c r="I519" s="2" t="inlineStr">
        <x:is>
          <x:t xml:space="preserve">Medium</x:t>
        </x:is>
      </x:c>
      <x:c r="J519"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x:t>
        </x:is>
      </x:c>
      <x:c r="K519" s="1"/>
    </x:row>
    <x:row r="520" ht="144" customHeight="1">
      <x:c r="A520" s="2" t="inlineStr">
        <x:is>
          <x:t xml:space="preserve">Rastrelliger kanagurta</x:t>
        </x:is>
      </x:c>
      <x:c r="B520" s="2" t="inlineStr">
        <x:is>
          <x:t xml:space="preserve">Pelagic fish (&gt; 30 cm)</x:t>
        </x:is>
      </x:c>
      <x:c r="C520" s="2">
        <x:v>31</x:v>
      </x:c>
      <x:c r="D520" s="8">
        <x:v>0.0821</x:v>
      </x:c>
      <x:c r="E520" s="8">
        <x:v>0.079</x:v>
      </x:c>
      <x:c r="F520" s="8" t="inlineStr">
        <x:is>
          <x:t xml:space="preserve">Model catch</x:t>
        </x:is>
      </x:c>
      <x:c r="G520" s="8">
        <x:f>SUMIFS($D$6:$D$681,$A$6:$A$681,A520)</x:f>
        <x:v>0.8205</x:v>
      </x:c>
      <x:c r="H520" s="9">
        <x:f>D520/G520</x:f>
        <x:v>0.1000609384521633</x:v>
      </x:c>
      <x:c r="I520" s="2" t="inlineStr">
        <x:is>
          <x:t xml:space="preserve">Medium</x:t>
        </x:is>
      </x:c>
      <x:c r="J520"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x:t>
        </x:is>
      </x:c>
      <x:c r="K520" s="1"/>
    </x:row>
    <x:row r="521" ht="96" customHeight="1">
      <x:c r="A521" s="2" t="inlineStr">
        <x:is>
          <x:t xml:space="preserve">Rhincodon typus</x:t>
        </x:is>
      </x:c>
      <x:c r="B521" s="2" t="inlineStr">
        <x:is>
          <x:t xml:space="preserve">Pelagic sharks and rays</x:t>
        </x:is>
      </x:c>
      <x:c r="C521" s="2">
        <x:v>33</x:v>
      </x:c>
      <x:c r="D521" s="8">
        <x:v>0.0007</x:v>
      </x:c>
      <x:c r="E521" s="8">
        <x:v>0.0011</x:v>
      </x:c>
      <x:c r="F521" s="8" t="inlineStr">
        <x:is>
          <x:t xml:space="preserve">No split</x:t>
        </x:is>
      </x:c>
      <x:c r="G521" s="8">
        <x:f>SUMIFS($D$6:$D$681,$A$6:$A$681,A521)</x:f>
        <x:v>0.0007</x:v>
      </x:c>
      <x:c r="H521" s="9">
        <x:f>1</x:f>
        <x:v>1</x:v>
      </x:c>
      <x:c r="I521" s="2" t="inlineStr">
        <x:is>
          <x:t xml:space="preserve">High</x:t>
        </x:is>
      </x:c>
      <x:c r="J521"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1700 cm TL; Marine;  pelagic-oceanic; oceanodromous. No split is required.</x:t>
        </x:is>
      </x:c>
      <x:c r="K521" s="1"/>
    </x:row>
    <x:row r="522" ht="72" customHeight="1">
      <x:c r="A522" s="2" t="inlineStr">
        <x:is>
          <x:t xml:space="preserve">Rhizostomeae</x:t>
        </x:is>
      </x:c>
      <x:c r="B522" s="2" t="inlineStr">
        <x:is>
          <x:t xml:space="preserve">Jellyfish</x:t>
        </x:is>
      </x:c>
      <x:c r="C522" s="2">
        <x:v>4</x:v>
      </x:c>
      <x:c r="D522" s="8">
        <x:v>0.044</x:v>
      </x:c>
      <x:c r="E522" s="8">
        <x:v>1.53</x:v>
      </x:c>
      <x:c r="F522" s="8" t="inlineStr">
        <x:is>
          <x:t xml:space="preserve">No split</x:t>
        </x:is>
      </x:c>
      <x:c r="G522" s="8">
        <x:f>SUMIFS($D$6:$D$681,$A$6:$A$681,A522)</x:f>
        <x:v>0.044</x:v>
      </x:c>
      <x:c r="H522" s="9">
        <x:f>1</x:f>
        <x:v>1</x:v>
      </x:c>
      <x:c r="I522" s="2" t="inlineStr">
        <x:is>
          <x:t xml:space="preserve">High</x:t>
        </x:is>
      </x:c>
      <x:c r="J522" s="2" t="inlineStr">
        <x:is>
          <x:t xml:space="preserve">Rhizostomeae is a scyphozoan jellyfish lineage fitting the source Cnidaria-medusae and landed-jellyfish concept, rather than all Cnidaria. No split is required.</x:t>
        </x:is>
      </x:c>
      <x:c r="K522" s="1"/>
    </x:row>
    <x:row r="523" ht="72" customHeight="1">
      <x:c r="A523" s="2" t="inlineStr">
        <x:is>
          <x:t xml:space="preserve">Rhopilema esculentum</x:t>
        </x:is>
      </x:c>
      <x:c r="B523" s="2" t="inlineStr">
        <x:is>
          <x:t xml:space="preserve">Jellyfish</x:t>
        </x:is>
      </x:c>
      <x:c r="C523" s="2">
        <x:v>4</x:v>
      </x:c>
      <x:c r="D523" s="8">
        <x:v>0.044</x:v>
      </x:c>
      <x:c r="E523" s="8">
        <x:v>1.53</x:v>
      </x:c>
      <x:c r="F523" s="8" t="inlineStr">
        <x:is>
          <x:t xml:space="preserve">No split</x:t>
        </x:is>
      </x:c>
      <x:c r="G523" s="8">
        <x:f>SUMIFS($D$6:$D$681,$A$6:$A$681,A523)</x:f>
        <x:v>0.044</x:v>
      </x:c>
      <x:c r="H523" s="9">
        <x:f>1</x:f>
        <x:v>1</x:v>
      </x:c>
      <x:c r="I523" s="2" t="inlineStr">
        <x:is>
          <x:t xml:space="preserve">High</x:t>
        </x:is>
      </x:c>
      <x:c r="J523" s="2" t="inlineStr">
        <x:is>
          <x:t xml:space="preserve">Rhopilema esculentum is a scyphozoan jellyfish lineage fitting the source Cnidaria-medusae and landed-jellyfish concept, rather than all Cnidaria. No split is required.</x:t>
        </x:is>
      </x:c>
      <x:c r="K523" s="1"/>
    </x:row>
    <x:row r="524" ht="72" customHeight="1">
      <x:c r="A524" s="2" t="inlineStr">
        <x:is>
          <x:t xml:space="preserve">Ruditapes philippinarum</x:t>
        </x:is>
      </x:c>
      <x:c r="B524" s="2" t="inlineStr">
        <x:is>
          <x:t xml:space="preserve">Non-ceph molluscs</x:t>
        </x:is>
      </x:c>
      <x:c r="C524" s="2">
        <x:v>8</x:v>
      </x:c>
      <x:c r="D524" s="8">
        <x:v>0.7623</x:v>
      </x:c>
      <x:c r="E524" s="8">
        <x:v>2.68</x:v>
      </x:c>
      <x:c r="F524" s="8" t="inlineStr">
        <x:is>
          <x:t xml:space="preserve">No split</x:t>
        </x:is>
      </x:c>
      <x:c r="G524" s="8">
        <x:f>SUMIFS($D$6:$D$681,$A$6:$A$681,A524)</x:f>
        <x:v>0.7623</x:v>
      </x:c>
      <x:c r="H524" s="9">
        <x:f>1</x:f>
        <x:v>1</x:v>
      </x:c>
      <x:c r="I524" s="2" t="inlineStr">
        <x:is>
          <x:t xml:space="preserve">High</x:t>
        </x:is>
      </x:c>
      <x:c r="J524" s="2" t="inlineStr">
        <x:is>
          <x:t xml:space="preserve">Ruditapes philippinarum is a non-cephalopod mollusc. The source derives this catch by removing Cephalopoda from mollusc catch; no competing mollusc compartment contains this lineage. No split is required.</x:t>
        </x:is>
      </x:c>
      <x:c r="K524" s="1"/>
    </x:row>
    <x:row r="525" ht="80" customHeight="1">
      <x:c r="A525" s="2" t="inlineStr">
        <x:is>
          <x:t xml:space="preserve">Ruvettus pretiosus</x:t>
        </x:is>
      </x:c>
      <x:c r="B525" s="2" t="inlineStr">
        <x:is>
          <x:t xml:space="preserve">Benthopelagic fish</x:t>
        </x:is>
      </x:c>
      <x:c r="C525" s="2">
        <x:v>27</x:v>
      </x:c>
      <x:c r="D525" s="8">
        <x:v>0.6025</x:v>
      </x:c>
      <x:c r="E525" s="8">
        <x:v>0.922</x:v>
      </x:c>
      <x:c r="F525" s="8" t="inlineStr">
        <x:is>
          <x:t xml:space="preserve">No split</x:t>
        </x:is>
      </x:c>
      <x:c r="G525" s="8">
        <x:f>SUMIFS($D$6:$D$681,$A$6:$A$681,A525)</x:f>
        <x:v>0.6025</x:v>
      </x:c>
      <x:c r="H525" s="9">
        <x:f>1</x:f>
        <x:v>1.0</x:v>
      </x:c>
      <x:c r="I525" s="2" t="inlineStr">
        <x:is>
          <x:t xml:space="preserve">High</x:t>
        </x:is>
      </x:c>
      <x:c r="J525" s="2" t="inlineStr">
        <x:is>
          <x:t xml:space="preserve">FAO explicitly describes oilfish as benthopelagic, with a 100–700 m range that overlaps the shelf edge. This supports group 27 better than a habitat-free analogue, but its deep distribution and the unresolved final small/large benthopelagic aggregation prevent stronger confidence. No split is required.</x:t>
        </x:is>
      </x:c>
      <x:c r="K525" s="1"/>
    </x:row>
    <x:row r="526" ht="80" customHeight="1">
      <x:c r="A526" s="2" t="inlineStr">
        <x:is>
          <x:t xml:space="preserve">Sardinella</x:t>
        </x:is>
      </x:c>
      <x:c r="B526" s="2" t="inlineStr">
        <x:is>
          <x:t xml:space="preserve">Pelagic fish (≤ 30 cm)</x:t>
        </x:is>
      </x:c>
      <x:c r="C526" s="2">
        <x:v>29</x:v>
      </x:c>
      <x:c r="D526" s="8">
        <x:v>2.345</x:v>
      </x:c>
      <x:c r="E526" s="8">
        <x:v>1.772</x:v>
      </x:c>
      <x:c r="F526" s="8" t="inlineStr">
        <x:is>
          <x:t xml:space="preserve">No split</x:t>
        </x:is>
      </x:c>
      <x:c r="G526" s="8">
        <x:f>SUMIFS($D$6:$D$681,$A$6:$A$681,A526)</x:f>
        <x:v>2.345</x:v>
      </x:c>
      <x:c r="H526" s="9">
        <x:f>1</x:f>
        <x:v>1</x:v>
      </x:c>
      <x:c r="I526" s="2" t="inlineStr">
        <x:is>
          <x:t xml:space="preserve">High</x:t>
        </x:is>
      </x:c>
      <x:c r="J526" s="2" t="inlineStr">
        <x:is>
          <x:t xml:space="preserve">Source sardine examples and the regional small-pelagic reporting category support placement. A large global member such as S. aurita does not prove regional misplacement. A complete regional species composition and TL boundary remain unverified. No split is required.</x:t>
        </x:is>
      </x:c>
      <x:c r="K526" s="1"/>
    </x:row>
    <x:row r="527" ht="80" customHeight="1">
      <x:c r="A527" s="2" t="inlineStr">
        <x:is>
          <x:t xml:space="preserve">Sardinella albella</x:t>
        </x:is>
      </x:c>
      <x:c r="B527" s="2" t="inlineStr">
        <x:is>
          <x:t xml:space="preserve">Pelagic fish (≤ 30 cm)</x:t>
        </x:is>
      </x:c>
      <x:c r="C527" s="2">
        <x:v>29</x:v>
      </x:c>
      <x:c r="D527" s="8">
        <x:v>2.345</x:v>
      </x:c>
      <x:c r="E527" s="8">
        <x:v>1.772</x:v>
      </x:c>
      <x:c r="F527" s="8" t="inlineStr">
        <x:is>
          <x:t xml:space="preserve">No split</x:t>
        </x:is>
      </x:c>
      <x:c r="G527" s="8">
        <x:f>SUMIFS($D$6:$D$681,$A$6:$A$681,A527)</x:f>
        <x:v>2.345</x:v>
      </x:c>
      <x:c r="H527" s="9">
        <x:f>1</x:f>
        <x:v>1</x:v>
      </x:c>
      <x:c r="I527" s="2" t="inlineStr">
        <x:is>
          <x:t xml:space="preserve">High</x:t>
        </x:is>
      </x:c>
      <x:c r="J527" s="2" t="inlineStr">
        <x:is>
          <x:t xml:space="preserve">Species evidence establishes pelagic habitat and maximum TL &lt;=30 cm. The source defines the small-pelagic pool by these criteria; its named examples are not a closed species list. No dedicated group competes. Checked species record: 15 cm TL; Marine; brackish;  pelagic-neritic;. No split is required.</x:t>
        </x:is>
      </x:c>
      <x:c r="K527" s="1"/>
    </x:row>
    <x:row r="528" ht="80" customHeight="1">
      <x:c r="A528" s="2" t="inlineStr">
        <x:is>
          <x:t xml:space="preserve">Sardinella fimbriata</x:t>
        </x:is>
      </x:c>
      <x:c r="B528" s="2" t="inlineStr">
        <x:is>
          <x:t xml:space="preserve">Pelagic fish (≤ 30 cm)</x:t>
        </x:is>
      </x:c>
      <x:c r="C528" s="2">
        <x:v>29</x:v>
      </x:c>
      <x:c r="D528" s="8">
        <x:v>2.345</x:v>
      </x:c>
      <x:c r="E528" s="8">
        <x:v>1.772</x:v>
      </x:c>
      <x:c r="F528" s="8" t="inlineStr">
        <x:is>
          <x:t xml:space="preserve">No split</x:t>
        </x:is>
      </x:c>
      <x:c r="G528" s="8">
        <x:f>SUMIFS($D$6:$D$681,$A$6:$A$681,A528)</x:f>
        <x:v>2.345</x:v>
      </x:c>
      <x:c r="H528" s="9">
        <x:f>1</x:f>
        <x:v>1</x:v>
      </x:c>
      <x:c r="I528" s="2" t="inlineStr">
        <x:is>
          <x:t xml:space="preserve">High</x:t>
        </x:is>
      </x:c>
      <x:c r="J528" s="2" t="inlineStr">
        <x:is>
          <x:t xml:space="preserve">Species evidence establishes pelagic habitat and maximum TL &lt;=30 cm. The source defines the small-pelagic pool by these criteria; its named examples are not a closed species list. No dedicated group competes. Checked species record: 19 cm TL; Marine; brackish;  pelagic-neritic;. No split is required.</x:t>
        </x:is>
      </x:c>
      <x:c r="K528" s="1"/>
    </x:row>
    <x:row r="529" ht="80" customHeight="1">
      <x:c r="A529" s="2" t="inlineStr">
        <x:is>
          <x:t xml:space="preserve">Sardinella lemuru</x:t>
        </x:is>
      </x:c>
      <x:c r="B529" s="2" t="inlineStr">
        <x:is>
          <x:t xml:space="preserve">Pelagic fish (≤ 30 cm)</x:t>
        </x:is>
      </x:c>
      <x:c r="C529" s="2">
        <x:v>29</x:v>
      </x:c>
      <x:c r="D529" s="8">
        <x:v>2.345</x:v>
      </x:c>
      <x:c r="E529" s="8">
        <x:v>1.772</x:v>
      </x:c>
      <x:c r="F529" s="8" t="inlineStr">
        <x:is>
          <x:t xml:space="preserve">No split</x:t>
        </x:is>
      </x:c>
      <x:c r="G529" s="8">
        <x:f>SUMIFS($D$6:$D$681,$A$6:$A$681,A529)</x:f>
        <x:v>2.345</x:v>
      </x:c>
      <x:c r="H529" s="9">
        <x:f>1</x:f>
        <x:v>1</x:v>
      </x:c>
      <x:c r="I529" s="2" t="inlineStr">
        <x:is>
          <x:t xml:space="preserve">High</x:t>
        </x:is>
      </x:c>
      <x:c r="J529" s="2" t="inlineStr">
        <x:is>
          <x:t xml:space="preserve">Coastal-pelagic ecology and small size support the current pool. Retrieved maximum length is SL, not TL; no independent total-length bound/conversion was recovered, so the model TL criterion remains a supported inference. Checked species record: 23 cm SL; Marine;  pelagic-neritic; oceanodromous. No split is required.</x:t>
        </x:is>
      </x:c>
      <x:c r="K529" s="1"/>
    </x:row>
    <x:row r="530" ht="80" customHeight="1">
      <x:c r="A530" s="2" t="inlineStr">
        <x:is>
          <x:t xml:space="preserve">Sardinella zunasi</x:t>
        </x:is>
      </x:c>
      <x:c r="B530" s="2" t="inlineStr">
        <x:is>
          <x:t xml:space="preserve">Pelagic fish (≤ 30 cm)</x:t>
        </x:is>
      </x:c>
      <x:c r="C530" s="2">
        <x:v>29</x:v>
      </x:c>
      <x:c r="D530" s="8">
        <x:v>2.345</x:v>
      </x:c>
      <x:c r="E530" s="8">
        <x:v>1.772</x:v>
      </x:c>
      <x:c r="F530" s="8" t="inlineStr">
        <x:is>
          <x:t xml:space="preserve">No split</x:t>
        </x:is>
      </x:c>
      <x:c r="G530" s="8">
        <x:f>SUMIFS($D$6:$D$681,$A$6:$A$681,A530)</x:f>
        <x:v>2.345</x:v>
      </x:c>
      <x:c r="H530" s="9">
        <x:f>1</x:f>
        <x:v>1</x:v>
      </x:c>
      <x:c r="I530" s="2" t="inlineStr">
        <x:is>
          <x:t xml:space="preserve">High</x:t>
        </x:is>
      </x:c>
      <x:c r="J530" s="2" t="inlineStr">
        <x:is>
          <x:t xml:space="preserve">Species evidence establishes pelagic habitat and maximum TL &lt;=30 cm. The source defines the small-pelagic pool by these criteria; its named examples are not a closed species list. No dedicated group competes. Checked species record: 18 cm TL; Marine;  pelagic-neritic; oceanodromous. No split is required.</x:t>
        </x:is>
      </x:c>
      <x:c r="K530" s="1"/>
    </x:row>
    <x:row r="531" ht="128" customHeight="1">
      <x:c r="A531" s="2" t="inlineStr">
        <x:is>
          <x:t xml:space="preserve">Sardinops sagax</x:t>
        </x:is>
      </x:c>
      <x:c r="B531" s="2" t="inlineStr">
        <x:is>
          <x:t xml:space="preserve">Juvenile large pelagic fish</x:t>
        </x:is>
      </x:c>
      <x:c r="C531" s="2">
        <x:v>30</x:v>
      </x:c>
      <x:c r="D531" s="8">
        <x:v>0.7384</x:v>
      </x:c>
      <x:c r="E531" s="8">
        <x:v>0.289</x:v>
      </x:c>
      <x:c r="F531" s="8" t="inlineStr">
        <x:is>
          <x:t xml:space="preserve">Model catch</x:t>
        </x:is>
      </x:c>
      <x:c r="G531" s="8">
        <x:f>SUMIFS($D$6:$D$681,$A$6:$A$681,A531)</x:f>
        <x:v>0.8205</x:v>
      </x:c>
      <x:c r="H531" s="9">
        <x:f>D531/G531</x:f>
        <x:v>0.8999390615478366</x:v>
      </x:c>
      <x:c r="I531" s="2" t="inlineStr">
        <x:is>
          <x:t xml:space="preserve">Medium</x:t>
        </x:is>
      </x:c>
      <x:c r="J531"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x:t>
        </x:is>
      </x:c>
      <x:c r="K531" s="1"/>
    </x:row>
    <x:row r="532" ht="128" customHeight="1">
      <x:c r="A532" s="2" t="inlineStr">
        <x:is>
          <x:t xml:space="preserve">Sardinops sagax</x:t>
        </x:is>
      </x:c>
      <x:c r="B532" s="2" t="inlineStr">
        <x:is>
          <x:t xml:space="preserve">Pelagic fish (&gt; 30 cm)</x:t>
        </x:is>
      </x:c>
      <x:c r="C532" s="2">
        <x:v>31</x:v>
      </x:c>
      <x:c r="D532" s="8">
        <x:v>0.0821</x:v>
      </x:c>
      <x:c r="E532" s="8">
        <x:v>0.079</x:v>
      </x:c>
      <x:c r="F532" s="8" t="inlineStr">
        <x:is>
          <x:t xml:space="preserve">Model catch</x:t>
        </x:is>
      </x:c>
      <x:c r="G532" s="8">
        <x:f>SUMIFS($D$6:$D$681,$A$6:$A$681,A532)</x:f>
        <x:v>0.8205</x:v>
      </x:c>
      <x:c r="H532" s="9">
        <x:f>D532/G532</x:f>
        <x:v>0.1000609384521633</x:v>
      </x:c>
      <x:c r="I532" s="2" t="inlineStr">
        <x:is>
          <x:t xml:space="preserve">Medium</x:t>
        </x:is>
      </x:c>
      <x:c r="J532"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x:t>
        </x:is>
      </x:c>
      <x:c r="K532" s="1"/>
    </x:row>
    <x:row r="533" ht="72" customHeight="1">
      <x:c r="A533" s="2" t="inlineStr">
        <x:is>
          <x:t xml:space="preserve">Saurida</x:t>
        </x:is>
      </x:c>
      <x:c r="B533" s="2" t="inlineStr">
        <x:is>
          <x:t xml:space="preserve">Lizard fish (synodontids)</x:t>
        </x:is>
      </x:c>
      <x:c r="C533" s="2">
        <x:v>15</x:v>
      </x:c>
      <x:c r="D533" s="8">
        <x:v>0.0234</x:v>
      </x:c>
      <x:c r="E533" s="8">
        <x:v>0.032</x:v>
      </x:c>
      <x:c r="F533" s="8" t="inlineStr">
        <x:is>
          <x:t xml:space="preserve">No split</x:t>
        </x:is>
      </x:c>
      <x:c r="G533" s="8">
        <x:f>SUMIFS($D$6:$D$681,$A$6:$A$681,A533)</x:f>
        <x:v>0.0234</x:v>
      </x:c>
      <x:c r="H533" s="9">
        <x:f>1</x:f>
        <x:v>1</x:v>
      </x:c>
      <x:c r="I533" s="2" t="inlineStr">
        <x:is>
          <x:t xml:space="preserve">High</x:t>
        </x:is>
      </x:c>
      <x:c r="J533" s="2" t="inlineStr">
        <x:is>
          <x:t xml:space="preserve">Saurida fits the source Synodontidae concept. Explicit inclusion of Saurida tumbil and S. undosquamis anchors the historical boundary despite modern Harpadontidae placement. No split is required.</x:t>
        </x:is>
      </x:c>
      <x:c r="K533" s="1"/>
    </x:row>
    <x:row r="534" ht="72" customHeight="1">
      <x:c r="A534" s="2" t="inlineStr">
        <x:is>
          <x:t xml:space="preserve">Saurida tumbil</x:t>
        </x:is>
      </x:c>
      <x:c r="B534" s="2" t="inlineStr">
        <x:is>
          <x:t xml:space="preserve">Lizard fish (synodontids)</x:t>
        </x:is>
      </x:c>
      <x:c r="C534" s="2">
        <x:v>15</x:v>
      </x:c>
      <x:c r="D534" s="8">
        <x:v>0.0234</x:v>
      </x:c>
      <x:c r="E534" s="8">
        <x:v>0.032</x:v>
      </x:c>
      <x:c r="F534" s="8" t="inlineStr">
        <x:is>
          <x:t xml:space="preserve">No split</x:t>
        </x:is>
      </x:c>
      <x:c r="G534" s="8">
        <x:f>SUMIFS($D$6:$D$681,$A$6:$A$681,A534)</x:f>
        <x:v>0.0234</x:v>
      </x:c>
      <x:c r="H534" s="9">
        <x:f>1</x:f>
        <x:v>1</x:v>
      </x:c>
      <x:c r="I534" s="2" t="inlineStr">
        <x:is>
          <x:t xml:space="preserve">High</x:t>
        </x:is>
      </x:c>
      <x:c r="J534" s="2" t="inlineStr">
        <x:is>
          <x:t xml:space="preserve">Saurida tumbil fits the source Synodontidae concept. Explicit inclusion of Saurida tumbil and S. undosquamis anchors the historical boundary despite modern Harpadontidae placement. No split is required.</x:t>
        </x:is>
      </x:c>
      <x:c r="K534" s="1"/>
    </x:row>
    <x:row r="535" ht="72" customHeight="1">
      <x:c r="A535" s="2" t="inlineStr">
        <x:is>
          <x:t xml:space="preserve">Saurida undosquamis</x:t>
        </x:is>
      </x:c>
      <x:c r="B535" s="2" t="inlineStr">
        <x:is>
          <x:t xml:space="preserve">Lizard fish (synodontids)</x:t>
        </x:is>
      </x:c>
      <x:c r="C535" s="2">
        <x:v>15</x:v>
      </x:c>
      <x:c r="D535" s="8">
        <x:v>0.0234</x:v>
      </x:c>
      <x:c r="E535" s="8">
        <x:v>0.032</x:v>
      </x:c>
      <x:c r="F535" s="8" t="inlineStr">
        <x:is>
          <x:t xml:space="preserve">No split</x:t>
        </x:is>
      </x:c>
      <x:c r="G535" s="8">
        <x:f>SUMIFS($D$6:$D$681,$A$6:$A$681,A535)</x:f>
        <x:v>0.0234</x:v>
      </x:c>
      <x:c r="H535" s="9">
        <x:f>1</x:f>
        <x:v>1</x:v>
      </x:c>
      <x:c r="I535" s="2" t="inlineStr">
        <x:is>
          <x:t xml:space="preserve">High</x:t>
        </x:is>
      </x:c>
      <x:c r="J535" s="2" t="inlineStr">
        <x:is>
          <x:t xml:space="preserve">Saurida undosquamis fits the source Synodontidae concept. Explicit inclusion of Saurida tumbil and S. undosquamis anchors the historical boundary despite modern Harpadontidae placement. No split is required.</x:t>
        </x:is>
      </x:c>
      <x:c r="K535" s="1"/>
    </x:row>
    <x:row r="536" ht="96" customHeight="1">
      <x:c r="A536" s="2" t="inlineStr">
        <x:is>
          <x:t xml:space="preserve">Scaridae</x:t>
        </x:is>
      </x:c>
      <x:c r="B536" s="2" t="inlineStr">
        <x:is>
          <x:t xml:space="preserve">Demesral fish (≤ 30 cm)</x:t>
        </x:is>
      </x:c>
      <x:c r="C536" s="2">
        <x:v>24</x:v>
      </x:c>
      <x:c r="D536" s="8">
        <x:v>0.1788</x:v>
      </x:c>
      <x:c r="E536" s="8">
        <x:v>0.316</x:v>
      </x:c>
      <x:c r="F536" s="8" t="inlineStr">
        <x:is>
          <x:t xml:space="preserve">Model catch</x:t>
        </x:is>
      </x:c>
      <x:c r="G536" s="8">
        <x:f>SUMIFS($D$6:$D$681,$A$6:$A$681,A536)</x:f>
        <x:v>0.5305</x:v>
      </x:c>
      <x:c r="H536" s="9">
        <x:f>D536/G536</x:f>
        <x:v>0.33704052780395855</x:v>
      </x:c>
      <x:c r="I536" s="2" t="inlineStr">
        <x:is>
          <x:t xml:space="preserve">Medium</x:t>
        </x:is>
      </x:c>
      <x:c r="J536" s="2" t="inlineStr">
        <x:is>
          <x:t xml:space="preserve">Regional Scarus fuscocaudalis (25 cm TL) and larger bottom-associated parrotfishes span both species-size classes. The source-era parrotfish reporting concept is retained despite modern family nomenclature. Source-model catch proportions supply an assumed fixed 1950–2019/all-bases mixture; they are not observed taxon-specific catches.</x:t>
        </x:is>
      </x:c>
      <x:c r="K536" s="1"/>
    </x:row>
    <x:row r="537" ht="96" customHeight="1">
      <x:c r="A537" s="2" t="inlineStr">
        <x:is>
          <x:t xml:space="preserve">Scaridae</x:t>
        </x:is>
      </x:c>
      <x:c r="B537" s="2" t="inlineStr">
        <x:is>
          <x:t xml:space="preserve">Juvenile demersal fish (&gt; 30 cm)</x:t>
        </x:is>
      </x:c>
      <x:c r="C537" s="2">
        <x:v>25</x:v>
      </x:c>
      <x:c r="D537" s="8">
        <x:v>0.3165</x:v>
      </x:c>
      <x:c r="E537" s="8">
        <x:v>0.143</x:v>
      </x:c>
      <x:c r="F537" s="8" t="inlineStr">
        <x:is>
          <x:t xml:space="preserve">Model catch</x:t>
        </x:is>
      </x:c>
      <x:c r="G537" s="8">
        <x:f>SUMIFS($D$6:$D$681,$A$6:$A$681,A537)</x:f>
        <x:v>0.5305</x:v>
      </x:c>
      <x:c r="H537" s="9">
        <x:f>D537/G537</x:f>
        <x:v>0.5966069745523092</x:v>
      </x:c>
      <x:c r="I537" s="2" t="inlineStr">
        <x:is>
          <x:t xml:space="preserve">Medium</x:t>
        </x:is>
      </x:c>
      <x:c r="J537" s="2" t="inlineStr">
        <x:is>
          <x:t xml:space="preserve">Regional Scarus fuscocaudalis (25 cm TL) and larger bottom-associated parrotfishes span both species-size classes. The source-era parrotfish reporting concept is retained despite modern family nomenclature. Source-model catch proportions supply an assumed fixed 1950–2019/all-bases mixture; they are not observed taxon-specific catches.</x:t>
        </x:is>
      </x:c>
      <x:c r="K537" s="1"/>
    </x:row>
    <x:row r="538" ht="96" customHeight="1">
      <x:c r="A538" s="2" t="inlineStr">
        <x:is>
          <x:t xml:space="preserve">Scaridae</x:t>
        </x:is>
      </x:c>
      <x:c r="B538" s="2" t="inlineStr">
        <x:is>
          <x:t xml:space="preserve">Adult demersal fish (&gt; 30 cm)</x:t>
        </x:is>
      </x:c>
      <x:c r="C538" s="2">
        <x:v>26</x:v>
      </x:c>
      <x:c r="D538" s="8">
        <x:v>0.0352</x:v>
      </x:c>
      <x:c r="E538" s="8">
        <x:v>0.021</x:v>
      </x:c>
      <x:c r="F538" s="8" t="inlineStr">
        <x:is>
          <x:t xml:space="preserve">Model catch</x:t>
        </x:is>
      </x:c>
      <x:c r="G538" s="8">
        <x:f>SUMIFS($D$6:$D$681,$A$6:$A$681,A538)</x:f>
        <x:v>0.5305</x:v>
      </x:c>
      <x:c r="H538" s="9">
        <x:f>D538/G538</x:f>
        <x:v>0.06635249764373234</x:v>
      </x:c>
      <x:c r="I538" s="2" t="inlineStr">
        <x:is>
          <x:t xml:space="preserve">Medium</x:t>
        </x:is>
      </x:c>
      <x:c r="J538" s="2" t="inlineStr">
        <x:is>
          <x:t xml:space="preserve">Regional Scarus fuscocaudalis (25 cm TL) and larger bottom-associated parrotfishes span both species-size classes. The source-era parrotfish reporting concept is retained despite modern family nomenclature. Source-model catch proportions supply an assumed fixed 1950–2019/all-bases mixture; they are not observed taxon-specific catches.</x:t>
        </x:is>
      </x:c>
      <x:c r="K538" s="1"/>
    </x:row>
    <x:row r="539" ht="80" customHeight="1">
      <x:c r="A539" s="2" t="inlineStr">
        <x:is>
          <x:t xml:space="preserve">Scarus</x:t>
        </x:is>
      </x:c>
      <x:c r="B539" s="2" t="inlineStr">
        <x:is>
          <x:t xml:space="preserve">Demesral fish (≤ 30 cm)</x:t>
        </x:is>
      </x:c>
      <x:c r="C539" s="2">
        <x:v>24</x:v>
      </x:c>
      <x:c r="D539" s="8">
        <x:v>0.1788</x:v>
      </x:c>
      <x:c r="E539" s="8">
        <x:v>0.316</x:v>
      </x:c>
      <x:c r="F539" s="8" t="inlineStr">
        <x:is>
          <x:t xml:space="preserve">Model catch</x:t>
        </x:is>
      </x:c>
      <x:c r="G539" s="8">
        <x:f>SUMIFS($D$6:$D$681,$A$6:$A$681,A539)</x:f>
        <x:v>0.5305</x:v>
      </x:c>
      <x:c r="H539" s="9">
        <x:f>D539/G539</x:f>
        <x:v>0.33704052780395855</x:v>
      </x:c>
      <x:c r="I539" s="2" t="inlineStr">
        <x:is>
          <x:t xml:space="preserve">Medium</x:t>
        </x:is>
      </x:c>
      <x:c r="J539" s="2" t="inlineStr">
        <x:is>
          <x:t xml:space="preserve">Regional benthic-grazing Scarus fuscocaudalis (25 cm TL) and larger Scarus support both demersal species-size classes. Genus catch composition remains a representative-based inference. Source-model catch proportions supply an assumed fixed 1950–2019/all-bases mixture; they are not observed taxon-specific catches.</x:t>
        </x:is>
      </x:c>
      <x:c r="K539" s="1"/>
    </x:row>
    <x:row r="540" ht="80" customHeight="1">
      <x:c r="A540" s="2" t="inlineStr">
        <x:is>
          <x:t xml:space="preserve">Scarus</x:t>
        </x:is>
      </x:c>
      <x:c r="B540" s="2" t="inlineStr">
        <x:is>
          <x:t xml:space="preserve">Juvenile demersal fish (&gt; 30 cm)</x:t>
        </x:is>
      </x:c>
      <x:c r="C540" s="2">
        <x:v>25</x:v>
      </x:c>
      <x:c r="D540" s="8">
        <x:v>0.3165</x:v>
      </x:c>
      <x:c r="E540" s="8">
        <x:v>0.143</x:v>
      </x:c>
      <x:c r="F540" s="8" t="inlineStr">
        <x:is>
          <x:t xml:space="preserve">Model catch</x:t>
        </x:is>
      </x:c>
      <x:c r="G540" s="8">
        <x:f>SUMIFS($D$6:$D$681,$A$6:$A$681,A540)</x:f>
        <x:v>0.5305</x:v>
      </x:c>
      <x:c r="H540" s="9">
        <x:f>D540/G540</x:f>
        <x:v>0.5966069745523092</x:v>
      </x:c>
      <x:c r="I540" s="2" t="inlineStr">
        <x:is>
          <x:t xml:space="preserve">Medium</x:t>
        </x:is>
      </x:c>
      <x:c r="J540" s="2" t="inlineStr">
        <x:is>
          <x:t xml:space="preserve">Regional benthic-grazing Scarus fuscocaudalis (25 cm TL) and larger Scarus support both demersal species-size classes. Genus catch composition remains a representative-based inference. Source-model catch proportions supply an assumed fixed 1950–2019/all-bases mixture; they are not observed taxon-specific catches.</x:t>
        </x:is>
      </x:c>
      <x:c r="K540" s="1"/>
    </x:row>
    <x:row r="541" ht="80" customHeight="1">
      <x:c r="A541" s="2" t="inlineStr">
        <x:is>
          <x:t xml:space="preserve">Scarus</x:t>
        </x:is>
      </x:c>
      <x:c r="B541" s="2" t="inlineStr">
        <x:is>
          <x:t xml:space="preserve">Adult demersal fish (&gt; 30 cm)</x:t>
        </x:is>
      </x:c>
      <x:c r="C541" s="2">
        <x:v>26</x:v>
      </x:c>
      <x:c r="D541" s="8">
        <x:v>0.0352</x:v>
      </x:c>
      <x:c r="E541" s="8">
        <x:v>0.021</x:v>
      </x:c>
      <x:c r="F541" s="8" t="inlineStr">
        <x:is>
          <x:t xml:space="preserve">Model catch</x:t>
        </x:is>
      </x:c>
      <x:c r="G541" s="8">
        <x:f>SUMIFS($D$6:$D$681,$A$6:$A$681,A541)</x:f>
        <x:v>0.5305</x:v>
      </x:c>
      <x:c r="H541" s="9">
        <x:f>D541/G541</x:f>
        <x:v>0.06635249764373234</x:v>
      </x:c>
      <x:c r="I541" s="2" t="inlineStr">
        <x:is>
          <x:t xml:space="preserve">Medium</x:t>
        </x:is>
      </x:c>
      <x:c r="J541" s="2" t="inlineStr">
        <x:is>
          <x:t xml:space="preserve">Regional benthic-grazing Scarus fuscocaudalis (25 cm TL) and larger Scarus support both demersal species-size classes. Genus catch composition remains a representative-based inference. Source-model catch proportions supply an assumed fixed 1950–2019/all-bases mixture; they are not observed taxon-specific catches.</x:t>
        </x:is>
      </x:c>
      <x:c r="K541" s="1"/>
    </x:row>
    <x:row r="542" ht="96" customHeight="1">
      <x:c r="A542" s="2" t="inlineStr">
        <x:is>
          <x:t xml:space="preserve">Scatophagus</x:t>
        </x:is>
      </x:c>
      <x:c r="B542" s="2" t="inlineStr">
        <x:is>
          <x:t xml:space="preserve">Juvenile demersal fish (&gt; 30 cm)</x:t>
        </x:is>
      </x:c>
      <x:c r="C542" s="2">
        <x:v>25</x:v>
      </x:c>
      <x:c r="D542" s="8">
        <x:v>0.3165</x:v>
      </x:c>
      <x:c r="E542" s="8">
        <x:v>0.143</x:v>
      </x:c>
      <x:c r="F542" s="8" t="inlineStr">
        <x:is>
          <x:t xml:space="preserve">Model catch</x:t>
        </x:is>
      </x:c>
      <x:c r="G542" s="8">
        <x:f>SUMIFS($D$6:$D$681,$A$6:$A$681,A542)</x:f>
        <x:v>0.3517</x:v>
      </x:c>
      <x:c r="H542" s="9">
        <x:f>D542/G542</x:f>
        <x:v>0.8999147000284333</x:v>
      </x:c>
      <x:c r="I542" s="2" t="inlineStr">
        <x:is>
          <x:t xml:space="preserve">Medium</x:t>
        </x:is>
      </x:c>
      <x:c r="J542" s="2" t="inlineStr">
        <x:is>
          <x:t xml:space="preserve">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x:t>
        </x:is>
      </x:c>
      <x:c r="K542" s="1"/>
    </x:row>
    <x:row r="543" ht="96" customHeight="1">
      <x:c r="A543" s="2" t="inlineStr">
        <x:is>
          <x:t xml:space="preserve">Scatophagus</x:t>
        </x:is>
      </x:c>
      <x:c r="B543" s="2" t="inlineStr">
        <x:is>
          <x:t xml:space="preserve">Adult demersal fish (&gt; 30 cm)</x:t>
        </x:is>
      </x:c>
      <x:c r="C543" s="2">
        <x:v>26</x:v>
      </x:c>
      <x:c r="D543" s="8">
        <x:v>0.0352</x:v>
      </x:c>
      <x:c r="E543" s="8">
        <x:v>0.021</x:v>
      </x:c>
      <x:c r="F543" s="8" t="inlineStr">
        <x:is>
          <x:t xml:space="preserve">Model catch</x:t>
        </x:is>
      </x:c>
      <x:c r="G543" s="8">
        <x:f>SUMIFS($D$6:$D$681,$A$6:$A$681,A543)</x:f>
        <x:v>0.3517</x:v>
      </x:c>
      <x:c r="H543" s="9">
        <x:f>D543/G543</x:f>
        <x:v>0.1000852999715667</x:v>
      </x:c>
      <x:c r="I543" s="2" t="inlineStr">
        <x:is>
          <x:t xml:space="preserve">Medium</x:t>
        </x:is>
      </x:c>
      <x:c r="J543" s="2" t="inlineStr">
        <x:is>
          <x:t xml:space="preserve">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x:t>
        </x:is>
      </x:c>
      <x:c r="K543" s="1"/>
    </x:row>
    <x:row r="544" ht="96" customHeight="1">
      <x:c r="A544" s="2" t="inlineStr">
        <x:is>
          <x:t xml:space="preserve">Scatophagus argus</x:t>
        </x:is>
      </x:c>
      <x:c r="B544" s="2" t="inlineStr">
        <x:is>
          <x:t xml:space="preserve">Juvenile demersal fish (&gt; 30 cm)</x:t>
        </x:is>
      </x:c>
      <x:c r="C544" s="2">
        <x:v>25</x:v>
      </x:c>
      <x:c r="D544" s="8">
        <x:v>0.3165</x:v>
      </x:c>
      <x:c r="E544" s="8">
        <x:v>0.143</x:v>
      </x:c>
      <x:c r="F544" s="8" t="inlineStr">
        <x:is>
          <x:t xml:space="preserve">Model catch</x:t>
        </x:is>
      </x:c>
      <x:c r="G544" s="8">
        <x:f>SUMIFS($D$6:$D$681,$A$6:$A$681,A544)</x:f>
        <x:v>0.3517</x:v>
      </x:c>
      <x:c r="H544" s="9">
        <x:f>D544/G544</x:f>
        <x:v>0.8999147000284333</x:v>
      </x:c>
      <x:c r="I544" s="2" t="inlineStr">
        <x:is>
          <x:t xml:space="preserve">Medium</x:t>
        </x:is>
      </x:c>
      <x:c r="J544" s="2" t="inlineStr">
        <x:is>
          <x:t xml:space="preserve">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x:t>
        </x:is>
      </x:c>
      <x:c r="K544" s="1"/>
    </x:row>
    <x:row r="545" ht="96" customHeight="1">
      <x:c r="A545" s="2" t="inlineStr">
        <x:is>
          <x:t xml:space="preserve">Scatophagus argus</x:t>
        </x:is>
      </x:c>
      <x:c r="B545" s="2" t="inlineStr">
        <x:is>
          <x:t xml:space="preserve">Adult demersal fish (&gt; 30 cm)</x:t>
        </x:is>
      </x:c>
      <x:c r="C545" s="2">
        <x:v>26</x:v>
      </x:c>
      <x:c r="D545" s="8">
        <x:v>0.0352</x:v>
      </x:c>
      <x:c r="E545" s="8">
        <x:v>0.021</x:v>
      </x:c>
      <x:c r="F545" s="8" t="inlineStr">
        <x:is>
          <x:t xml:space="preserve">Model catch</x:t>
        </x:is>
      </x:c>
      <x:c r="G545" s="8">
        <x:f>SUMIFS($D$6:$D$681,$A$6:$A$681,A545)</x:f>
        <x:v>0.3517</x:v>
      </x:c>
      <x:c r="H545" s="9">
        <x:f>D545/G545</x:f>
        <x:v>0.1000852999715667</x:v>
      </x:c>
      <x:c r="I545" s="2" t="inlineStr">
        <x:is>
          <x:t xml:space="preserve">Medium</x:t>
        </x:is>
      </x:c>
      <x:c r="J545" s="2" t="inlineStr">
        <x:is>
          <x:t xml:space="preserve">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x:t>
        </x:is>
      </x:c>
      <x:c r="K545" s="1"/>
    </x:row>
    <x:row r="546" ht="80" customHeight="1">
      <x:c r="A546" s="2" t="inlineStr">
        <x:is>
          <x:t xml:space="preserve">Sciaenidae</x:t>
        </x:is>
      </x:c>
      <x:c r="B546" s="2" t="inlineStr">
        <x:is>
          <x:t xml:space="preserve">Croakers (≤ 30 cm)</x:t>
        </x:is>
      </x:c>
      <x:c r="C546" s="2">
        <x:v>21</x:v>
      </x:c>
      <x:c r="D546" s="8">
        <x:v>0.0351</x:v>
      </x:c>
      <x:c r="E546" s="8">
        <x:v>0.07</x:v>
      </x:c>
      <x:c r="F546" s="8" t="inlineStr">
        <x:is>
          <x:t xml:space="preserve">Model catch</x:t>
        </x:is>
      </x:c>
      <x:c r="G546" s="8">
        <x:f>SUMIFS($D$6:$D$681,$A$6:$A$681,A546)</x:f>
        <x:v>0.1141</x:v>
      </x:c>
      <x:c r="H546" s="9">
        <x:f>D546/G546</x:f>
        <x:v>0.30762489044697633</x:v>
      </x:c>
      <x:c r="I546" s="2" t="inlineStr">
        <x:is>
          <x:t xml:space="preserve">Medium</x:t>
        </x:is>
      </x:c>
      <x:c r="J546" s="2" t="inlineStr">
        <x:is>
          <x:t xml:space="preserve">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x:t>
        </x:is>
      </x:c>
      <x:c r="K546" s="1"/>
    </x:row>
    <x:row r="547" ht="80" customHeight="1">
      <x:c r="A547" s="2" t="inlineStr">
        <x:is>
          <x:t xml:space="preserve">Sciaenidae</x:t>
        </x:is>
      </x:c>
      <x:c r="B547" s="2" t="inlineStr">
        <x:is>
          <x:t xml:space="preserve">Juvenile large croakers</x:t>
        </x:is>
      </x:c>
      <x:c r="C547" s="2">
        <x:v>22</x:v>
      </x:c>
      <x:c r="D547" s="8">
        <x:v>0.071</x:v>
      </x:c>
      <x:c r="E547" s="8">
        <x:v>0.04</x:v>
      </x:c>
      <x:c r="F547" s="8" t="inlineStr">
        <x:is>
          <x:t xml:space="preserve">Model catch</x:t>
        </x:is>
      </x:c>
      <x:c r="G547" s="8">
        <x:f>SUMIFS($D$6:$D$681,$A$6:$A$681,A547)</x:f>
        <x:v>0.1141</x:v>
      </x:c>
      <x:c r="H547" s="9">
        <x:f>D547/G547</x:f>
        <x:v>0.6222611744084137</x:v>
      </x:c>
      <x:c r="I547" s="2" t="inlineStr">
        <x:is>
          <x:t xml:space="preserve">Medium</x:t>
        </x:is>
      </x:c>
      <x:c r="J547" s="2" t="inlineStr">
        <x:is>
          <x:t xml:space="preserve">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x:t>
        </x:is>
      </x:c>
      <x:c r="K547" s="1"/>
    </x:row>
    <x:row r="548" ht="80" customHeight="1">
      <x:c r="A548" s="2" t="inlineStr">
        <x:is>
          <x:t xml:space="preserve">Sciaenidae</x:t>
        </x:is>
      </x:c>
      <x:c r="B548" s="2" t="inlineStr">
        <x:is>
          <x:t xml:space="preserve">Croakers (&gt; 30 cm)</x:t>
        </x:is>
      </x:c>
      <x:c r="C548" s="2">
        <x:v>23</x:v>
      </x:c>
      <x:c r="D548" s="8">
        <x:v>0.008</x:v>
      </x:c>
      <x:c r="E548" s="8">
        <x:v>0.0094</x:v>
      </x:c>
      <x:c r="F548" s="8" t="inlineStr">
        <x:is>
          <x:t xml:space="preserve">Model catch</x:t>
        </x:is>
      </x:c>
      <x:c r="G548" s="8">
        <x:f>SUMIFS($D$6:$D$681,$A$6:$A$681,A548)</x:f>
        <x:v>0.1141</x:v>
      </x:c>
      <x:c r="H548" s="9">
        <x:f>D548/G548</x:f>
        <x:v>0.07011393514460999</x:v>
      </x:c>
      <x:c r="I548" s="2" t="inlineStr">
        <x:is>
          <x:t xml:space="preserve">Medium</x:t>
        </x:is>
      </x:c>
      <x:c r="J548" s="2" t="inlineStr">
        <x:is>
          <x:t xml:space="preserve">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x:t>
        </x:is>
      </x:c>
      <x:c r="K548" s="1"/>
    </x:row>
    <x:row r="549" ht="72" customHeight="1">
      <x:c r="A549" s="2" t="inlineStr">
        <x:is>
          <x:t xml:space="preserve">Scolopsis</x:t>
        </x:is>
      </x:c>
      <x:c r="B549" s="2" t="inlineStr">
        <x:is>
          <x:t xml:space="preserve">Threadfin bream (nemipterids)</x:t>
        </x:is>
      </x:c>
      <x:c r="C549" s="2">
        <x:v>13</x:v>
      </x:c>
      <x:c r="D549" s="8">
        <x:v>0.657</x:v>
      </x:c>
      <x:c r="E549" s="8">
        <x:v>0.26</x:v>
      </x:c>
      <x:c r="F549" s="8" t="inlineStr">
        <x:is>
          <x:t xml:space="preserve">No split</x:t>
        </x:is>
      </x:c>
      <x:c r="G549" s="8">
        <x:f>SUMIFS($D$6:$D$681,$A$6:$A$681,A549)</x:f>
        <x:v>0.657</x:v>
      </x:c>
      <x:c r="H549" s="9">
        <x:f>1</x:f>
        <x:v>1</x:v>
      </x:c>
      <x:c r="I549" s="2" t="inlineStr">
        <x:is>
          <x:t xml:space="preserve">High</x:t>
        </x:is>
      </x:c>
      <x:c r="J549" s="2" t="inlineStr">
        <x:is>
          <x:t xml:space="preserve">Scolopsis is within Nemipteridae, expressly used as the source group boundary. Parameter species are examples, not a closed list; residual size/habitat pools do not compete. No split is required.</x:t>
        </x:is>
      </x:c>
      <x:c r="K549" s="1"/>
    </x:row>
    <x:row r="550" ht="80" customHeight="1">
      <x:c r="A550" s="2" t="inlineStr">
        <x:is>
          <x:t xml:space="preserve">Scomber</x:t>
        </x:is>
      </x:c>
      <x:c r="B550" s="2" t="inlineStr">
        <x:is>
          <x:t xml:space="preserve">Juvenile large pelagic fish</x:t>
        </x:is>
      </x:c>
      <x:c r="C550" s="2">
        <x:v>30</x:v>
      </x:c>
      <x:c r="D550" s="8">
        <x:v>0.7384</x:v>
      </x:c>
      <x:c r="E550" s="8">
        <x:v>0.289</x:v>
      </x:c>
      <x:c r="F550" s="8" t="inlineStr">
        <x:is>
          <x:t xml:space="preserve">Model catch</x:t>
        </x:is>
      </x:c>
      <x:c r="G550" s="8">
        <x:f>SUMIFS($D$6:$D$681,$A$6:$A$681,A550)</x:f>
        <x:v>0.8205</x:v>
      </x:c>
      <x:c r="H550" s="9">
        <x:f>D550/G550</x:f>
        <x:v>0.8999390615478366</x:v>
      </x:c>
      <x:c r="I550" s="2" t="inlineStr">
        <x:is>
          <x:t xml:space="preserve">Medium</x:t>
        </x:is>
      </x:c>
      <x:c r="J550" s="2" t="inlineStr">
        <x:is>
          <x:t xml:space="preserve">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x:t>
        </x:is>
      </x:c>
      <x:c r="K550" s="1"/>
    </x:row>
    <x:row r="551" ht="80" customHeight="1">
      <x:c r="A551" s="2" t="inlineStr">
        <x:is>
          <x:t xml:space="preserve">Scomber</x:t>
        </x:is>
      </x:c>
      <x:c r="B551" s="2" t="inlineStr">
        <x:is>
          <x:t xml:space="preserve">Pelagic fish (&gt; 30 cm)</x:t>
        </x:is>
      </x:c>
      <x:c r="C551" s="2">
        <x:v>31</x:v>
      </x:c>
      <x:c r="D551" s="8">
        <x:v>0.0821</x:v>
      </x:c>
      <x:c r="E551" s="8">
        <x:v>0.079</x:v>
      </x:c>
      <x:c r="F551" s="8" t="inlineStr">
        <x:is>
          <x:t xml:space="preserve">Model catch</x:t>
        </x:is>
      </x:c>
      <x:c r="G551" s="8">
        <x:f>SUMIFS($D$6:$D$681,$A$6:$A$681,A551)</x:f>
        <x:v>0.8205</x:v>
      </x:c>
      <x:c r="H551" s="9">
        <x:f>D551/G551</x:f>
        <x:v>0.1000609384521633</x:v>
      </x:c>
      <x:c r="I551" s="2" t="inlineStr">
        <x:is>
          <x:t xml:space="preserve">Medium</x:t>
        </x:is>
      </x:c>
      <x:c r="J551" s="2" t="inlineStr">
        <x:is>
          <x:t xml:space="preserve">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x:t>
        </x:is>
      </x:c>
      <x:c r="K551" s="1"/>
    </x:row>
    <x:row r="552" ht="96" customHeight="1">
      <x:c r="A552" s="2" t="inlineStr">
        <x:is>
          <x:t xml:space="preserve">Scomber australasicus</x:t>
        </x:is>
      </x:c>
      <x:c r="B552" s="2" t="inlineStr">
        <x:is>
          <x:t xml:space="preserve">Juvenile large pelagic fish</x:t>
        </x:is>
      </x:c>
      <x:c r="C552" s="2">
        <x:v>30</x:v>
      </x:c>
      <x:c r="D552" s="8">
        <x:v>0.7384</x:v>
      </x:c>
      <x:c r="E552" s="8">
        <x:v>0.289</x:v>
      </x:c>
      <x:c r="F552" s="8" t="inlineStr">
        <x:is>
          <x:t xml:space="preserve">Model catch</x:t>
        </x:is>
      </x:c>
      <x:c r="G552" s="8">
        <x:f>SUMIFS($D$6:$D$681,$A$6:$A$681,A552)</x:f>
        <x:v>0.8205</x:v>
      </x:c>
      <x:c r="H552" s="9">
        <x:f>D552/G552</x:f>
        <x:v>0.8999390615478366</x:v>
      </x:c>
      <x:c r="I552" s="2" t="inlineStr">
        <x:is>
          <x:t xml:space="preserve">Medium</x:t>
        </x:is>
      </x:c>
      <x:c r="J552" s="2" t="inlineStr">
        <x:is>
          <x:t xml:space="preserve">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x:t>
        </x:is>
      </x:c>
      <x:c r="K552" s="1"/>
    </x:row>
    <x:row r="553" ht="96" customHeight="1">
      <x:c r="A553" s="2" t="inlineStr">
        <x:is>
          <x:t xml:space="preserve">Scomber australasicus</x:t>
        </x:is>
      </x:c>
      <x:c r="B553" s="2" t="inlineStr">
        <x:is>
          <x:t xml:space="preserve">Pelagic fish (&gt; 30 cm)</x:t>
        </x:is>
      </x:c>
      <x:c r="C553" s="2">
        <x:v>31</x:v>
      </x:c>
      <x:c r="D553" s="8">
        <x:v>0.0821</x:v>
      </x:c>
      <x:c r="E553" s="8">
        <x:v>0.079</x:v>
      </x:c>
      <x:c r="F553" s="8" t="inlineStr">
        <x:is>
          <x:t xml:space="preserve">Model catch</x:t>
        </x:is>
      </x:c>
      <x:c r="G553" s="8">
        <x:f>SUMIFS($D$6:$D$681,$A$6:$A$681,A553)</x:f>
        <x:v>0.8205</x:v>
      </x:c>
      <x:c r="H553" s="9">
        <x:f>D553/G553</x:f>
        <x:v>0.1000609384521633</x:v>
      </x:c>
      <x:c r="I553" s="2" t="inlineStr">
        <x:is>
          <x:t xml:space="preserve">Medium</x:t>
        </x:is>
      </x:c>
      <x:c r="J553" s="2" t="inlineStr">
        <x:is>
          <x:t xml:space="preserve">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x:t>
        </x:is>
      </x:c>
      <x:c r="K553" s="1"/>
    </x:row>
    <x:row r="554" ht="96" customHeight="1">
      <x:c r="A554" s="2" t="inlineStr">
        <x:is>
          <x:t xml:space="preserve">Scomber japonicus</x:t>
        </x:is>
      </x:c>
      <x:c r="B554" s="2" t="inlineStr">
        <x:is>
          <x:t xml:space="preserve">Juvenile large pelagic fish</x:t>
        </x:is>
      </x:c>
      <x:c r="C554" s="2">
        <x:v>30</x:v>
      </x:c>
      <x:c r="D554" s="8">
        <x:v>0.7384</x:v>
      </x:c>
      <x:c r="E554" s="8">
        <x:v>0.289</x:v>
      </x:c>
      <x:c r="F554" s="8" t="inlineStr">
        <x:is>
          <x:t xml:space="preserve">Model catch</x:t>
        </x:is>
      </x:c>
      <x:c r="G554" s="8">
        <x:f>SUMIFS($D$6:$D$681,$A$6:$A$681,A554)</x:f>
        <x:v>0.8205</x:v>
      </x:c>
      <x:c r="H554" s="9">
        <x:f>D554/G554</x:f>
        <x:v>0.8999390615478366</x:v>
      </x:c>
      <x:c r="I554" s="2" t="inlineStr">
        <x:is>
          <x:t xml:space="preserve">Medium</x:t>
        </x:is>
      </x:c>
      <x:c r="J554" s="2" t="inlineStr">
        <x:is>
          <x:t xml:space="preserve">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x:t>
        </x:is>
      </x:c>
      <x:c r="K554" s="1"/>
    </x:row>
    <x:row r="555" ht="96" customHeight="1">
      <x:c r="A555" s="2" t="inlineStr">
        <x:is>
          <x:t xml:space="preserve">Scomber japonicus</x:t>
        </x:is>
      </x:c>
      <x:c r="B555" s="2" t="inlineStr">
        <x:is>
          <x:t xml:space="preserve">Pelagic fish (&gt; 30 cm)</x:t>
        </x:is>
      </x:c>
      <x:c r="C555" s="2">
        <x:v>31</x:v>
      </x:c>
      <x:c r="D555" s="8">
        <x:v>0.0821</x:v>
      </x:c>
      <x:c r="E555" s="8">
        <x:v>0.079</x:v>
      </x:c>
      <x:c r="F555" s="8" t="inlineStr">
        <x:is>
          <x:t xml:space="preserve">Model catch</x:t>
        </x:is>
      </x:c>
      <x:c r="G555" s="8">
        <x:f>SUMIFS($D$6:$D$681,$A$6:$A$681,A555)</x:f>
        <x:v>0.8205</x:v>
      </x:c>
      <x:c r="H555" s="9">
        <x:f>D555/G555</x:f>
        <x:v>0.1000609384521633</x:v>
      </x:c>
      <x:c r="I555" s="2" t="inlineStr">
        <x:is>
          <x:t xml:space="preserve">Medium</x:t>
        </x:is>
      </x:c>
      <x:c r="J555" s="2" t="inlineStr">
        <x:is>
          <x:t xml:space="preserve">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x:t>
        </x:is>
      </x:c>
      <x:c r="K555" s="1"/>
    </x:row>
    <x:row r="556" ht="80" customHeight="1">
      <x:c r="A556" s="2" t="inlineStr">
        <x:is>
          <x:t xml:space="preserve">Scomberoides</x:t>
        </x:is>
      </x:c>
      <x:c r="B556" s="2" t="inlineStr">
        <x:is>
          <x:t xml:space="preserve">Juvenile large pelagic fish</x:t>
        </x:is>
      </x:c>
      <x:c r="C556" s="2">
        <x:v>30</x:v>
      </x:c>
      <x:c r="D556" s="8">
        <x:v>0.7384</x:v>
      </x:c>
      <x:c r="E556" s="8">
        <x:v>0.289</x:v>
      </x:c>
      <x:c r="F556" s="8" t="inlineStr">
        <x:is>
          <x:t xml:space="preserve">Model catch</x:t>
        </x:is>
      </x:c>
      <x:c r="G556" s="8">
        <x:f>SUMIFS($D$6:$D$681,$A$6:$A$681,A556)</x:f>
        <x:v>0.8205</x:v>
      </x:c>
      <x:c r="H556" s="9">
        <x:f>D556/G556</x:f>
        <x:v>0.8999390615478366</x:v>
      </x:c>
      <x:c r="I556" s="2" t="inlineStr">
        <x:is>
          <x:t xml:space="preserve">Medium</x:t>
        </x:is>
      </x:c>
      <x:c r="J556" s="2" t="inlineStr">
        <x:is>
          <x:t xml:space="preserve">All four regional queenfishes in the FAO guide exceed 30 cm and school in surface/coastal pelagic waters. This coherent regional genus supports the large-pelagic pair; juvenile/adult shares remain assumed. Model catch proportions provide the split; allocation confidence remains Medium.</x:t>
        </x:is>
      </x:c>
      <x:c r="K556" s="1"/>
    </x:row>
    <x:row r="557" ht="80" customHeight="1">
      <x:c r="A557" s="2" t="inlineStr">
        <x:is>
          <x:t xml:space="preserve">Scomberoides</x:t>
        </x:is>
      </x:c>
      <x:c r="B557" s="2" t="inlineStr">
        <x:is>
          <x:t xml:space="preserve">Pelagic fish (&gt; 30 cm)</x:t>
        </x:is>
      </x:c>
      <x:c r="C557" s="2">
        <x:v>31</x:v>
      </x:c>
      <x:c r="D557" s="8">
        <x:v>0.0821</x:v>
      </x:c>
      <x:c r="E557" s="8">
        <x:v>0.079</x:v>
      </x:c>
      <x:c r="F557" s="8" t="inlineStr">
        <x:is>
          <x:t xml:space="preserve">Model catch</x:t>
        </x:is>
      </x:c>
      <x:c r="G557" s="8">
        <x:f>SUMIFS($D$6:$D$681,$A$6:$A$681,A557)</x:f>
        <x:v>0.8205</x:v>
      </x:c>
      <x:c r="H557" s="9">
        <x:f>D557/G557</x:f>
        <x:v>0.1000609384521633</x:v>
      </x:c>
      <x:c r="I557" s="2" t="inlineStr">
        <x:is>
          <x:t xml:space="preserve">Medium</x:t>
        </x:is>
      </x:c>
      <x:c r="J557" s="2" t="inlineStr">
        <x:is>
          <x:t xml:space="preserve">All four regional queenfishes in the FAO guide exceed 30 cm and school in surface/coastal pelagic waters. This coherent regional genus supports the large-pelagic pair; juvenile/adult shares remain assumed. Model catch proportions provide the split; allocation confidence remains Medium.</x:t>
        </x:is>
      </x:c>
      <x:c r="K557" s="1"/>
    </x:row>
    <x:row r="558" ht="80" customHeight="1">
      <x:c r="A558" s="2" t="inlineStr">
        <x:is>
          <x:t xml:space="preserve">Scomberomorus</x:t>
        </x:is>
      </x:c>
      <x:c r="B558" s="2" t="inlineStr">
        <x:is>
          <x:t xml:space="preserve">Juvenile large pelagic fish</x:t>
        </x:is>
      </x:c>
      <x:c r="C558" s="2">
        <x:v>30</x:v>
      </x:c>
      <x:c r="D558" s="8">
        <x:v>0.7384</x:v>
      </x:c>
      <x:c r="E558" s="8">
        <x:v>0.289</x:v>
      </x:c>
      <x:c r="F558" s="8" t="inlineStr">
        <x:is>
          <x:t xml:space="preserve">Model catch</x:t>
        </x:is>
      </x:c>
      <x:c r="G558" s="8">
        <x:f>SUMIFS($D$6:$D$681,$A$6:$A$681,A558)</x:f>
        <x:v>0.8205</x:v>
      </x:c>
      <x:c r="H558" s="9">
        <x:f>D558/G558</x:f>
        <x:v>0.8999390615478366</x:v>
      </x:c>
      <x:c r="I558" s="2" t="inlineStr">
        <x:is>
          <x:t xml:space="preserve">Medium</x:t>
        </x:is>
      </x:c>
      <x:c r="J558" s="2" t="inlineStr">
        <x:is>
          <x:t xml:space="preserve">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x:t>
        </x:is>
      </x:c>
      <x:c r="K558" s="1"/>
    </x:row>
    <x:row r="559" ht="80" customHeight="1">
      <x:c r="A559" s="2" t="inlineStr">
        <x:is>
          <x:t xml:space="preserve">Scomberomorus</x:t>
        </x:is>
      </x:c>
      <x:c r="B559" s="2" t="inlineStr">
        <x:is>
          <x:t xml:space="preserve">Pelagic fish (&gt; 30 cm)</x:t>
        </x:is>
      </x:c>
      <x:c r="C559" s="2">
        <x:v>31</x:v>
      </x:c>
      <x:c r="D559" s="8">
        <x:v>0.0821</x:v>
      </x:c>
      <x:c r="E559" s="8">
        <x:v>0.079</x:v>
      </x:c>
      <x:c r="F559" s="8" t="inlineStr">
        <x:is>
          <x:t xml:space="preserve">Model catch</x:t>
        </x:is>
      </x:c>
      <x:c r="G559" s="8">
        <x:f>SUMIFS($D$6:$D$681,$A$6:$A$681,A559)</x:f>
        <x:v>0.8205</x:v>
      </x:c>
      <x:c r="H559" s="9">
        <x:f>D559/G559</x:f>
        <x:v>0.1000609384521633</x:v>
      </x:c>
      <x:c r="I559" s="2" t="inlineStr">
        <x:is>
          <x:t xml:space="preserve">Medium</x:t>
        </x:is>
      </x:c>
      <x:c r="J559" s="2" t="inlineStr">
        <x:is>
          <x:t xml:space="preserve">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x:t>
        </x:is>
      </x:c>
      <x:c r="K559" s="1"/>
    </x:row>
    <x:row r="560" ht="128" customHeight="1">
      <x:c r="A560" s="2" t="inlineStr">
        <x:is>
          <x:t xml:space="preserve">Scomberomorus commerson</x:t>
        </x:is>
      </x:c>
      <x:c r="B560" s="2" t="inlineStr">
        <x:is>
          <x:t xml:space="preserve">Juvenile large pelagic fish</x:t>
        </x:is>
      </x:c>
      <x:c r="C560" s="2">
        <x:v>30</x:v>
      </x:c>
      <x:c r="D560" s="8">
        <x:v>0.7384</x:v>
      </x:c>
      <x:c r="E560" s="8">
        <x:v>0.289</x:v>
      </x:c>
      <x:c r="F560" s="8" t="inlineStr">
        <x:is>
          <x:t xml:space="preserve">Model catch</x:t>
        </x:is>
      </x:c>
      <x:c r="G560" s="8">
        <x:f>SUMIFS($D$6:$D$681,$A$6:$A$681,A560)</x:f>
        <x:v>0.8205</x:v>
      </x:c>
      <x:c r="H560" s="9">
        <x:f>D560/G560</x:f>
        <x:v>0.8999390615478366</x:v>
      </x:c>
      <x:c r="I560" s="2" t="inlineStr">
        <x:is>
          <x:t xml:space="preserve">Medium</x:t>
        </x:is>
      </x:c>
      <x:c r="J560"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x:t>
        </x:is>
      </x:c>
      <x:c r="K560" s="1"/>
    </x:row>
    <x:row r="561" ht="128" customHeight="1">
      <x:c r="A561" s="2" t="inlineStr">
        <x:is>
          <x:t xml:space="preserve">Scomberomorus commerson</x:t>
        </x:is>
      </x:c>
      <x:c r="B561" s="2" t="inlineStr">
        <x:is>
          <x:t xml:space="preserve">Pelagic fish (&gt; 30 cm)</x:t>
        </x:is>
      </x:c>
      <x:c r="C561" s="2">
        <x:v>31</x:v>
      </x:c>
      <x:c r="D561" s="8">
        <x:v>0.0821</x:v>
      </x:c>
      <x:c r="E561" s="8">
        <x:v>0.079</x:v>
      </x:c>
      <x:c r="F561" s="8" t="inlineStr">
        <x:is>
          <x:t xml:space="preserve">Model catch</x:t>
        </x:is>
      </x:c>
      <x:c r="G561" s="8">
        <x:f>SUMIFS($D$6:$D$681,$A$6:$A$681,A561)</x:f>
        <x:v>0.8205</x:v>
      </x:c>
      <x:c r="H561" s="9">
        <x:f>D561/G561</x:f>
        <x:v>0.1000609384521633</x:v>
      </x:c>
      <x:c r="I561" s="2" t="inlineStr">
        <x:is>
          <x:t xml:space="preserve">Medium</x:t>
        </x:is>
      </x:c>
      <x:c r="J561"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x:t>
        </x:is>
      </x:c>
      <x:c r="K561" s="1"/>
    </x:row>
    <x:row r="562" ht="128" customHeight="1">
      <x:c r="A562" s="2" t="inlineStr">
        <x:is>
          <x:t xml:space="preserve">Scomberomorus guttatus</x:t>
        </x:is>
      </x:c>
      <x:c r="B562" s="2" t="inlineStr">
        <x:is>
          <x:t xml:space="preserve">Juvenile large pelagic fish</x:t>
        </x:is>
      </x:c>
      <x:c r="C562" s="2">
        <x:v>30</x:v>
      </x:c>
      <x:c r="D562" s="8">
        <x:v>0.7384</x:v>
      </x:c>
      <x:c r="E562" s="8">
        <x:v>0.289</x:v>
      </x:c>
      <x:c r="F562" s="8" t="inlineStr">
        <x:is>
          <x:t xml:space="preserve">Model catch</x:t>
        </x:is>
      </x:c>
      <x:c r="G562" s="8">
        <x:f>SUMIFS($D$6:$D$681,$A$6:$A$681,A562)</x:f>
        <x:v>0.8205</x:v>
      </x:c>
      <x:c r="H562" s="9">
        <x:f>D562/G562</x:f>
        <x:v>0.8999390615478366</x:v>
      </x:c>
      <x:c r="I562" s="2" t="inlineStr">
        <x:is>
          <x:t xml:space="preserve">Medium</x:t>
        </x:is>
      </x:c>
      <x:c r="J562"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x:t>
        </x:is>
      </x:c>
      <x:c r="K562" s="1"/>
    </x:row>
    <x:row r="563" ht="128" customHeight="1">
      <x:c r="A563" s="2" t="inlineStr">
        <x:is>
          <x:t xml:space="preserve">Scomberomorus guttatus</x:t>
        </x:is>
      </x:c>
      <x:c r="B563" s="2" t="inlineStr">
        <x:is>
          <x:t xml:space="preserve">Pelagic fish (&gt; 30 cm)</x:t>
        </x:is>
      </x:c>
      <x:c r="C563" s="2">
        <x:v>31</x:v>
      </x:c>
      <x:c r="D563" s="8">
        <x:v>0.0821</x:v>
      </x:c>
      <x:c r="E563" s="8">
        <x:v>0.079</x:v>
      </x:c>
      <x:c r="F563" s="8" t="inlineStr">
        <x:is>
          <x:t xml:space="preserve">Model catch</x:t>
        </x:is>
      </x:c>
      <x:c r="G563" s="8">
        <x:f>SUMIFS($D$6:$D$681,$A$6:$A$681,A563)</x:f>
        <x:v>0.8205</x:v>
      </x:c>
      <x:c r="H563" s="9">
        <x:f>D563/G563</x:f>
        <x:v>0.1000609384521633</x:v>
      </x:c>
      <x:c r="I563" s="2" t="inlineStr">
        <x:is>
          <x:t xml:space="preserve">Medium</x:t>
        </x:is>
      </x:c>
      <x:c r="J563"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x:t>
        </x:is>
      </x:c>
      <x:c r="K563" s="1"/>
    </x:row>
    <x:row r="564" ht="128" customHeight="1">
      <x:c r="A564" s="2" t="inlineStr">
        <x:is>
          <x:t xml:space="preserve">Scomberomorus niphonius</x:t>
        </x:is>
      </x:c>
      <x:c r="B564" s="2" t="inlineStr">
        <x:is>
          <x:t xml:space="preserve">Juvenile large pelagic fish</x:t>
        </x:is>
      </x:c>
      <x:c r="C564" s="2">
        <x:v>30</x:v>
      </x:c>
      <x:c r="D564" s="8">
        <x:v>0.7384</x:v>
      </x:c>
      <x:c r="E564" s="8">
        <x:v>0.289</x:v>
      </x:c>
      <x:c r="F564" s="8" t="inlineStr">
        <x:is>
          <x:t xml:space="preserve">Model catch</x:t>
        </x:is>
      </x:c>
      <x:c r="G564" s="8">
        <x:f>SUMIFS($D$6:$D$681,$A$6:$A$681,A564)</x:f>
        <x:v>0.8205</x:v>
      </x:c>
      <x:c r="H564" s="9">
        <x:f>D564/G564</x:f>
        <x:v>0.8999390615478366</x:v>
      </x:c>
      <x:c r="I564" s="2" t="inlineStr">
        <x:is>
          <x:t xml:space="preserve">Medium</x:t>
        </x:is>
      </x:c>
      <x:c r="J56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x:t>
        </x:is>
      </x:c>
      <x:c r="K564" s="1"/>
    </x:row>
    <x:row r="565" ht="128" customHeight="1">
      <x:c r="A565" s="2" t="inlineStr">
        <x:is>
          <x:t xml:space="preserve">Scomberomorus niphonius</x:t>
        </x:is>
      </x:c>
      <x:c r="B565" s="2" t="inlineStr">
        <x:is>
          <x:t xml:space="preserve">Pelagic fish (&gt; 30 cm)</x:t>
        </x:is>
      </x:c>
      <x:c r="C565" s="2">
        <x:v>31</x:v>
      </x:c>
      <x:c r="D565" s="8">
        <x:v>0.0821</x:v>
      </x:c>
      <x:c r="E565" s="8">
        <x:v>0.079</x:v>
      </x:c>
      <x:c r="F565" s="8" t="inlineStr">
        <x:is>
          <x:t xml:space="preserve">Model catch</x:t>
        </x:is>
      </x:c>
      <x:c r="G565" s="8">
        <x:f>SUMIFS($D$6:$D$681,$A$6:$A$681,A565)</x:f>
        <x:v>0.8205</x:v>
      </x:c>
      <x:c r="H565" s="9">
        <x:f>D565/G565</x:f>
        <x:v>0.1000609384521633</x:v>
      </x:c>
      <x:c r="I565" s="2" t="inlineStr">
        <x:is>
          <x:t xml:space="preserve">Medium</x:t>
        </x:is>
      </x:c>
      <x:c r="J56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x:t>
        </x:is>
      </x:c>
      <x:c r="K565" s="1"/>
    </x:row>
    <x:row r="566" ht="96" customHeight="1">
      <x:c r="A566" s="2" t="inlineStr">
        <x:is>
          <x:t xml:space="preserve">Scombridae</x:t>
        </x:is>
      </x:c>
      <x:c r="B566" s="2" t="inlineStr">
        <x:is>
          <x:t xml:space="preserve">Juvenile large pelagic fish</x:t>
        </x:is>
      </x:c>
      <x:c r="C566" s="2">
        <x:v>30</x:v>
      </x:c>
      <x:c r="D566" s="8">
        <x:v>0.7384</x:v>
      </x:c>
      <x:c r="E566" s="8">
        <x:v>0.289</x:v>
      </x:c>
      <x:c r="F566" s="8" t="inlineStr">
        <x:is>
          <x:t xml:space="preserve">Model catch</x:t>
        </x:is>
      </x:c>
      <x:c r="G566" s="8">
        <x:f>SUMIFS($D$6:$D$681,$A$6:$A$681,A566)</x:f>
        <x:v>0.8205</x:v>
      </x:c>
      <x:c r="H566" s="9">
        <x:f>D566/G566</x:f>
        <x:v>0.8999390615478366</x:v>
      </x:c>
      <x:c r="I566" s="2" t="inlineStr">
        <x:is>
          <x:t xml:space="preserve">Medium</x:t>
        </x:is>
      </x:c>
      <x:c r="J566" s="2" t="inlineStr">
        <x:is>
          <x:t xml:space="preserve">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x:t>
        </x:is>
      </x:c>
      <x:c r="K566" s="1"/>
    </x:row>
    <x:row r="567" ht="96" customHeight="1">
      <x:c r="A567" s="2" t="inlineStr">
        <x:is>
          <x:t xml:space="preserve">Scombridae</x:t>
        </x:is>
      </x:c>
      <x:c r="B567" s="2" t="inlineStr">
        <x:is>
          <x:t xml:space="preserve">Pelagic fish (&gt; 30 cm)</x:t>
        </x:is>
      </x:c>
      <x:c r="C567" s="2">
        <x:v>31</x:v>
      </x:c>
      <x:c r="D567" s="8">
        <x:v>0.0821</x:v>
      </x:c>
      <x:c r="E567" s="8">
        <x:v>0.079</x:v>
      </x:c>
      <x:c r="F567" s="8" t="inlineStr">
        <x:is>
          <x:t xml:space="preserve">Model catch</x:t>
        </x:is>
      </x:c>
      <x:c r="G567" s="8">
        <x:f>SUMIFS($D$6:$D$681,$A$6:$A$681,A567)</x:f>
        <x:v>0.8205</x:v>
      </x:c>
      <x:c r="H567" s="9">
        <x:f>D567/G567</x:f>
        <x:v>0.1000609384521633</x:v>
      </x:c>
      <x:c r="I567" s="2" t="inlineStr">
        <x:is>
          <x:t xml:space="preserve">Medium</x:t>
        </x:is>
      </x:c>
      <x:c r="J567" s="2" t="inlineStr">
        <x:is>
          <x:t xml:space="preserve">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x:t>
        </x:is>
      </x:c>
      <x:c r="K567" s="1"/>
    </x:row>
    <x:row r="568" ht="80" customHeight="1">
      <x:c r="A568" s="2" t="inlineStr">
        <x:is>
          <x:t xml:space="preserve">Scombroidei</x:t>
        </x:is>
      </x:c>
      <x:c r="B568" s="2" t="inlineStr">
        <x:is>
          <x:t xml:space="preserve">Juvenile large pelagic fish</x:t>
        </x:is>
      </x:c>
      <x:c r="C568" s="2">
        <x:v>30</x:v>
      </x:c>
      <x:c r="D568" s="8">
        <x:v>0.7384</x:v>
      </x:c>
      <x:c r="E568" s="8">
        <x:v>0.289</x:v>
      </x:c>
      <x:c r="F568" s="8" t="inlineStr">
        <x:is>
          <x:t xml:space="preserve">Model catch</x:t>
        </x:is>
      </x:c>
      <x:c r="G568" s="8">
        <x:f>SUMIFS($D$6:$D$681,$A$6:$A$681,A568)</x:f>
        <x:v>0.8205</x:v>
      </x:c>
      <x:c r="H568" s="9">
        <x:f>D568/G568</x:f>
        <x:v>0.8999390615478366</x:v>
      </x:c>
      <x:c r="I568" s="2" t="inlineStr">
        <x:is>
          <x:t xml:space="preserve">Medium</x:t>
        </x:is>
      </x:c>
      <x:c r="J568" s="2" t="inlineStr">
        <x:is>
          <x:t xml:space="preserve">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x:t>
        </x:is>
      </x:c>
      <x:c r="K568" s="1"/>
    </x:row>
    <x:row r="569" ht="80" customHeight="1">
      <x:c r="A569" s="2" t="inlineStr">
        <x:is>
          <x:t xml:space="preserve">Scombroidei</x:t>
        </x:is>
      </x:c>
      <x:c r="B569" s="2" t="inlineStr">
        <x:is>
          <x:t xml:space="preserve">Pelagic fish (&gt; 30 cm)</x:t>
        </x:is>
      </x:c>
      <x:c r="C569" s="2">
        <x:v>31</x:v>
      </x:c>
      <x:c r="D569" s="8">
        <x:v>0.0821</x:v>
      </x:c>
      <x:c r="E569" s="8">
        <x:v>0.079</x:v>
      </x:c>
      <x:c r="F569" s="8" t="inlineStr">
        <x:is>
          <x:t xml:space="preserve">Model catch</x:t>
        </x:is>
      </x:c>
      <x:c r="G569" s="8">
        <x:f>SUMIFS($D$6:$D$681,$A$6:$A$681,A569)</x:f>
        <x:v>0.8205</x:v>
      </x:c>
      <x:c r="H569" s="9">
        <x:f>D569/G569</x:f>
        <x:v>0.1000609384521633</x:v>
      </x:c>
      <x:c r="I569" s="2" t="inlineStr">
        <x:is>
          <x:t xml:space="preserve">Medium</x:t>
        </x:is>
      </x:c>
      <x:c r="J569" s="2" t="inlineStr">
        <x:is>
          <x:t xml:space="preserve">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x:t>
        </x:is>
      </x:c>
      <x:c r="K569" s="1"/>
    </x:row>
    <x:row r="570" ht="96" customHeight="1">
      <x:c r="A570" s="2" t="inlineStr">
        <x:is>
          <x:t xml:space="preserve">Scorpaenidae</x:t>
        </x:is>
      </x:c>
      <x:c r="B570" s="2" t="inlineStr">
        <x:is>
          <x:t xml:space="preserve">Demesral fish (≤ 30 cm)</x:t>
        </x:is>
      </x:c>
      <x:c r="C570" s="2">
        <x:v>24</x:v>
      </x:c>
      <x:c r="D570" s="8">
        <x:v>0.1788</x:v>
      </x:c>
      <x:c r="E570" s="8">
        <x:v>0.316</x:v>
      </x:c>
      <x:c r="F570" s="8" t="inlineStr">
        <x:is>
          <x:t xml:space="preserve">Model catch</x:t>
        </x:is>
      </x:c>
      <x:c r="G570" s="8">
        <x:f>SUMIFS($D$6:$D$681,$A$6:$A$681,A570)</x:f>
        <x:v>0.5305</x:v>
      </x:c>
      <x:c r="H570" s="9">
        <x:f>D570/G570</x:f>
        <x:v>0.33704052780395855</x:v>
      </x:c>
      <x:c r="I570" s="2" t="inlineStr">
        <x:is>
          <x:t xml:space="preserve">Medium</x:t>
        </x:is>
      </x:c>
      <x:c r="J570" s="2" t="inlineStr">
        <x:is>
          <x:t xml:space="preserve">Small regional bottom-associated Sebastapistes cyanostigma (10 cm TL) complements the documented larger scorpionfishes. Residual demersal membership across both size classes is a regional family inference; reef association alone is not the size criterion. Source-model catch proportions supply an assumed fixed 1950–2019/all-bases mixture; they are not observed taxon-specific catches.</x:t>
        </x:is>
      </x:c>
      <x:c r="K570" s="1"/>
    </x:row>
    <x:row r="571" ht="96" customHeight="1">
      <x:c r="A571" s="2" t="inlineStr">
        <x:is>
          <x:t xml:space="preserve">Scorpaenidae</x:t>
        </x:is>
      </x:c>
      <x:c r="B571" s="2" t="inlineStr">
        <x:is>
          <x:t xml:space="preserve">Juvenile demersal fish (&gt; 30 cm)</x:t>
        </x:is>
      </x:c>
      <x:c r="C571" s="2">
        <x:v>25</x:v>
      </x:c>
      <x:c r="D571" s="8">
        <x:v>0.3165</x:v>
      </x:c>
      <x:c r="E571" s="8">
        <x:v>0.143</x:v>
      </x:c>
      <x:c r="F571" s="8" t="inlineStr">
        <x:is>
          <x:t xml:space="preserve">Model catch</x:t>
        </x:is>
      </x:c>
      <x:c r="G571" s="8">
        <x:f>SUMIFS($D$6:$D$681,$A$6:$A$681,A571)</x:f>
        <x:v>0.5305</x:v>
      </x:c>
      <x:c r="H571" s="9">
        <x:f>D571/G571</x:f>
        <x:v>0.5966069745523092</x:v>
      </x:c>
      <x:c r="I571" s="2" t="inlineStr">
        <x:is>
          <x:t xml:space="preserve">Medium</x:t>
        </x:is>
      </x:c>
      <x:c r="J571" s="2" t="inlineStr">
        <x:is>
          <x:t xml:space="preserve">Small regional bottom-associated Sebastapistes cyanostigma (10 cm TL) complements the documented larger scorpionfishes. Residual demersal membership across both size classes is a regional family inference; reef association alone is not the size criterion. Source-model catch proportions supply an assumed fixed 1950–2019/all-bases mixture; they are not observed taxon-specific catches.</x:t>
        </x:is>
      </x:c>
      <x:c r="K571" s="1"/>
    </x:row>
    <x:row r="572" ht="96" customHeight="1">
      <x:c r="A572" s="2" t="inlineStr">
        <x:is>
          <x:t xml:space="preserve">Scorpaenidae</x:t>
        </x:is>
      </x:c>
      <x:c r="B572" s="2" t="inlineStr">
        <x:is>
          <x:t xml:space="preserve">Adult demersal fish (&gt; 30 cm)</x:t>
        </x:is>
      </x:c>
      <x:c r="C572" s="2">
        <x:v>26</x:v>
      </x:c>
      <x:c r="D572" s="8">
        <x:v>0.0352</x:v>
      </x:c>
      <x:c r="E572" s="8">
        <x:v>0.021</x:v>
      </x:c>
      <x:c r="F572" s="8" t="inlineStr">
        <x:is>
          <x:t xml:space="preserve">Model catch</x:t>
        </x:is>
      </x:c>
      <x:c r="G572" s="8">
        <x:f>SUMIFS($D$6:$D$681,$A$6:$A$681,A572)</x:f>
        <x:v>0.5305</x:v>
      </x:c>
      <x:c r="H572" s="9">
        <x:f>D572/G572</x:f>
        <x:v>0.06635249764373234</x:v>
      </x:c>
      <x:c r="I572" s="2" t="inlineStr">
        <x:is>
          <x:t xml:space="preserve">Medium</x:t>
        </x:is>
      </x:c>
      <x:c r="J572" s="2" t="inlineStr">
        <x:is>
          <x:t xml:space="preserve">Small regional bottom-associated Sebastapistes cyanostigma (10 cm TL) complements the documented larger scorpionfishes. Residual demersal membership across both size classes is a regional family inference; reef association alone is not the size criterion. Source-model catch proportions supply an assumed fixed 1950–2019/all-bases mixture; they are not observed taxon-specific catches.</x:t>
        </x:is>
      </x:c>
      <x:c r="K572" s="1"/>
    </x:row>
    <x:row r="573" ht="72" customHeight="1">
      <x:c r="A573" s="2" t="inlineStr">
        <x:is>
          <x:t xml:space="preserve">Scylla</x:t>
        </x:is>
      </x:c>
      <x:c r="B573" s="2" t="inlineStr">
        <x:is>
          <x:t xml:space="preserve">Crabs</x:t>
        </x:is>
      </x:c>
      <x:c r="C573" s="2">
        <x:v>11</x:v>
      </x:c>
      <x:c r="D573" s="8">
        <x:v>0.1997</x:v>
      </x:c>
      <x:c r="E573" s="8">
        <x:v>0.368</x:v>
      </x:c>
      <x:c r="F573" s="8" t="inlineStr">
        <x:is>
          <x:t xml:space="preserve">No split</x:t>
        </x:is>
      </x:c>
      <x:c r="G573" s="8">
        <x:f>SUMIFS($D$6:$D$681,$A$6:$A$681,A573)</x:f>
        <x:v>0.1997</x:v>
      </x:c>
      <x:c r="H573" s="9">
        <x:f>1</x:f>
        <x:v>1</x:v>
      </x:c>
      <x:c r="I573" s="2" t="inlineStr">
        <x:is>
          <x:t xml:space="preserve">High</x:t>
        </x:is>
      </x:c>
      <x:c r="J573" s="2" t="inlineStr">
        <x:is>
          <x:t xml:space="preserve">Scylla is a true-crab lineage within Crabs. The residual benthic-crustacean group expressly excludes crabs, so is not a competing placement. No split is required.</x:t>
        </x:is>
      </x:c>
      <x:c r="K573" s="1"/>
    </x:row>
    <x:row r="574" ht="72" customHeight="1">
      <x:c r="A574" s="2" t="inlineStr">
        <x:is>
          <x:t xml:space="preserve">Scylla serrata</x:t>
        </x:is>
      </x:c>
      <x:c r="B574" s="2" t="inlineStr">
        <x:is>
          <x:t xml:space="preserve">Crabs</x:t>
        </x:is>
      </x:c>
      <x:c r="C574" s="2">
        <x:v>11</x:v>
      </x:c>
      <x:c r="D574" s="8">
        <x:v>0.1997</x:v>
      </x:c>
      <x:c r="E574" s="8">
        <x:v>0.368</x:v>
      </x:c>
      <x:c r="F574" s="8" t="inlineStr">
        <x:is>
          <x:t xml:space="preserve">No split</x:t>
        </x:is>
      </x:c>
      <x:c r="G574" s="8">
        <x:f>SUMIFS($D$6:$D$681,$A$6:$A$681,A574)</x:f>
        <x:v>0.1997</x:v>
      </x:c>
      <x:c r="H574" s="9">
        <x:f>1</x:f>
        <x:v>1</x:v>
      </x:c>
      <x:c r="I574" s="2" t="inlineStr">
        <x:is>
          <x:t xml:space="preserve">High</x:t>
        </x:is>
      </x:c>
      <x:c r="J574" s="2" t="inlineStr">
        <x:is>
          <x:t xml:space="preserve">Scylla serrata is a true-crab lineage within Crabs. The residual benthic-crustacean group expressly excludes crabs, so is not a competing placement. No split is required.</x:t>
        </x:is>
      </x:c>
      <x:c r="K574" s="1"/>
    </x:row>
    <x:row r="575" ht="72" customHeight="1">
      <x:c r="A575" s="2" t="inlineStr">
        <x:is>
          <x:t xml:space="preserve">Scyllaridae</x:t>
        </x:is>
      </x:c>
      <x:c r="B575" s="2" t="inlineStr">
        <x:is>
          <x:t xml:space="preserve">Benthic crustaceans</x:t>
        </x:is>
      </x:c>
      <x:c r="C575" s="2">
        <x:v>7</x:v>
      </x:c>
      <x:c r="D575" s="8">
        <x:v>0.0391</x:v>
      </x:c>
      <x:c r="E575" s="8">
        <x:v>1.43</x:v>
      </x:c>
      <x:c r="F575" s="8" t="inlineStr">
        <x:is>
          <x:t xml:space="preserve">No split</x:t>
        </x:is>
      </x:c>
      <x:c r="G575" s="8">
        <x:f>SUMIFS($D$6:$D$681,$A$6:$A$681,A575)</x:f>
        <x:v>0.0391</x:v>
      </x:c>
      <x:c r="H575" s="9">
        <x:f>1</x:f>
        <x:v>1</x:v>
      </x:c>
      <x:c r="I575" s="2" t="inlineStr">
        <x:is>
          <x:t xml:space="preserve">High</x:t>
        </x:is>
      </x:c>
      <x:c r="J575" s="2" t="inlineStr">
        <x:is>
          <x:t xml:space="preserve">Scyllaridae is a benthic lobster lineage in the residual crustacean pool after shrimp/crab exclusions. Oratosquilla is a parameter example, not the complete membership. No split is required.</x:t>
        </x:is>
      </x:c>
      <x:c r="K575" s="1"/>
    </x:row>
    <x:row r="576" ht="72" customHeight="1">
      <x:c r="A576" s="2" t="inlineStr">
        <x:is>
          <x:t xml:space="preserve">Scyphozoa</x:t>
        </x:is>
      </x:c>
      <x:c r="B576" s="2" t="inlineStr">
        <x:is>
          <x:t xml:space="preserve">Jellyfish</x:t>
        </x:is>
      </x:c>
      <x:c r="C576" s="2">
        <x:v>4</x:v>
      </x:c>
      <x:c r="D576" s="8">
        <x:v>0.044</x:v>
      </x:c>
      <x:c r="E576" s="8">
        <x:v>1.53</x:v>
      </x:c>
      <x:c r="F576" s="8" t="inlineStr">
        <x:is>
          <x:t xml:space="preserve">No split</x:t>
        </x:is>
      </x:c>
      <x:c r="G576" s="8">
        <x:f>SUMIFS($D$6:$D$681,$A$6:$A$681,A576)</x:f>
        <x:v>0.044</x:v>
      </x:c>
      <x:c r="H576" s="9">
        <x:f>1</x:f>
        <x:v>1</x:v>
      </x:c>
      <x:c r="I576" s="2" t="inlineStr">
        <x:is>
          <x:t xml:space="preserve">High</x:t>
        </x:is>
      </x:c>
      <x:c r="J576" s="2" t="inlineStr">
        <x:is>
          <x:t xml:space="preserve">Scyphozoa is a scyphozoan jellyfish lineage fitting the source Cnidaria-medusae and landed-jellyfish concept, rather than all Cnidaria. No split is required.</x:t>
        </x:is>
      </x:c>
      <x:c r="K576" s="1"/>
    </x:row>
    <x:row r="577" ht="112" customHeight="1">
      <x:c r="A577" s="2" t="inlineStr">
        <x:is>
          <x:t xml:space="preserve">Scyris indica</x:t>
        </x:is>
      </x:c>
      <x:c r="B577" s="2" t="inlineStr">
        <x:is>
          <x:t xml:space="preserve">Juvenile large pelagic fish</x:t>
        </x:is>
      </x:c>
      <x:c r="C577" s="2">
        <x:v>30</x:v>
      </x:c>
      <x:c r="D577" s="8">
        <x:v>0.7384</x:v>
      </x:c>
      <x:c r="E577" s="8">
        <x:v>0.289</x:v>
      </x:c>
      <x:c r="F577" s="8" t="inlineStr">
        <x:is>
          <x:t xml:space="preserve">Model catch</x:t>
        </x:is>
      </x:c>
      <x:c r="G577" s="8">
        <x:f>SUMIFS($D$6:$D$681,$A$6:$A$681,A577)</x:f>
        <x:v>0.8205</x:v>
      </x:c>
      <x:c r="H577" s="9">
        <x:f>D577/G577</x:f>
        <x:v>0.8999390615478366</x:v>
      </x:c>
      <x:c r="I577" s="2" t="inlineStr">
        <x:is>
          <x:t xml:space="preserve">Medium</x:t>
        </x:is>
      </x:c>
      <x:c r="J577" s="2" t="inlineStr">
        <x:is>
          <x:t xml:space="preserve">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x:t>
        </x:is>
      </x:c>
      <x:c r="K577" s="1"/>
    </x:row>
    <x:row r="578" ht="112" customHeight="1">
      <x:c r="A578" s="2" t="inlineStr">
        <x:is>
          <x:t xml:space="preserve">Scyris indica</x:t>
        </x:is>
      </x:c>
      <x:c r="B578" s="2" t="inlineStr">
        <x:is>
          <x:t xml:space="preserve">Pelagic fish (&gt; 30 cm)</x:t>
        </x:is>
      </x:c>
      <x:c r="C578" s="2">
        <x:v>31</x:v>
      </x:c>
      <x:c r="D578" s="8">
        <x:v>0.0821</x:v>
      </x:c>
      <x:c r="E578" s="8">
        <x:v>0.079</x:v>
      </x:c>
      <x:c r="F578" s="8" t="inlineStr">
        <x:is>
          <x:t xml:space="preserve">Model catch</x:t>
        </x:is>
      </x:c>
      <x:c r="G578" s="8">
        <x:f>SUMIFS($D$6:$D$681,$A$6:$A$681,A578)</x:f>
        <x:v>0.8205</x:v>
      </x:c>
      <x:c r="H578" s="9">
        <x:f>D578/G578</x:f>
        <x:v>0.1000609384521633</x:v>
      </x:c>
      <x:c r="I578" s="2" t="inlineStr">
        <x:is>
          <x:t xml:space="preserve">Medium</x:t>
        </x:is>
      </x:c>
      <x:c r="J578" s="2" t="inlineStr">
        <x:is>
          <x:t xml:space="preserve">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x:t>
        </x:is>
      </x:c>
      <x:c r="K578" s="1"/>
    </x:row>
    <x:row r="579" ht="112" customHeight="1">
      <x:c r="A579" s="2" t="inlineStr">
        <x:is>
          <x:t xml:space="preserve">Selar crumenophthalmus</x:t>
        </x:is>
      </x:c>
      <x:c r="B579" s="2" t="inlineStr">
        <x:is>
          <x:t xml:space="preserve">Juvenile large pelagic fish</x:t>
        </x:is>
      </x:c>
      <x:c r="C579" s="2">
        <x:v>30</x:v>
      </x:c>
      <x:c r="D579" s="8">
        <x:v>0.7384</x:v>
      </x:c>
      <x:c r="E579" s="8">
        <x:v>0.289</x:v>
      </x:c>
      <x:c r="F579" s="8" t="inlineStr">
        <x:is>
          <x:t xml:space="preserve">Model catch</x:t>
        </x:is>
      </x:c>
      <x:c r="G579" s="8">
        <x:f>SUMIFS($D$6:$D$681,$A$6:$A$681,A579)</x:f>
        <x:v>0.8205</x:v>
      </x:c>
      <x:c r="H579" s="9">
        <x:f>D579/G579</x:f>
        <x:v>0.8999390615478366</x:v>
      </x:c>
      <x:c r="I579" s="2" t="inlineStr">
        <x:is>
          <x:t xml:space="preserve">Medium</x:t>
        </x:is>
      </x:c>
      <x:c r="J579"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x:t>
        </x:is>
      </x:c>
      <x:c r="K579" s="1"/>
    </x:row>
    <x:row r="580" ht="112" customHeight="1">
      <x:c r="A580" s="2" t="inlineStr">
        <x:is>
          <x:t xml:space="preserve">Selar crumenophthalmus</x:t>
        </x:is>
      </x:c>
      <x:c r="B580" s="2" t="inlineStr">
        <x:is>
          <x:t xml:space="preserve">Pelagic fish (&gt; 30 cm)</x:t>
        </x:is>
      </x:c>
      <x:c r="C580" s="2">
        <x:v>31</x:v>
      </x:c>
      <x:c r="D580" s="8">
        <x:v>0.0821</x:v>
      </x:c>
      <x:c r="E580" s="8">
        <x:v>0.079</x:v>
      </x:c>
      <x:c r="F580" s="8" t="inlineStr">
        <x:is>
          <x:t xml:space="preserve">Model catch</x:t>
        </x:is>
      </x:c>
      <x:c r="G580" s="8">
        <x:f>SUMIFS($D$6:$D$681,$A$6:$A$681,A580)</x:f>
        <x:v>0.8205</x:v>
      </x:c>
      <x:c r="H580" s="9">
        <x:f>D580/G580</x:f>
        <x:v>0.1000609384521633</x:v>
      </x:c>
      <x:c r="I580" s="2" t="inlineStr">
        <x:is>
          <x:t xml:space="preserve">Medium</x:t>
        </x:is>
      </x:c>
      <x:c r="J580"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x:t>
        </x:is>
      </x:c>
      <x:c r="K580" s="1"/>
    </x:row>
    <x:row r="581" ht="72" customHeight="1">
      <x:c r="A581" s="2" t="inlineStr">
        <x:is>
          <x:t xml:space="preserve">Selaroides leptolepis</x:t>
        </x:is>
      </x:c>
      <x:c r="B581" s="2" t="inlineStr">
        <x:is>
          <x:t xml:space="preserve">Pelagic fish (≤ 30 cm)</x:t>
        </x:is>
      </x:c>
      <x:c r="C581" s="2">
        <x:v>29</x:v>
      </x:c>
      <x:c r="D581" s="8">
        <x:v>2.345</x:v>
      </x:c>
      <x:c r="E581" s="8">
        <x:v>1.772</x:v>
      </x:c>
      <x:c r="F581" s="8" t="inlineStr">
        <x:is>
          <x:t xml:space="preserve">No split</x:t>
        </x:is>
      </x:c>
      <x:c r="G581" s="8">
        <x:f>SUMIFS($D$6:$D$681,$A$6:$A$681,A581)</x:f>
        <x:v>2.345</x:v>
      </x:c>
      <x:c r="H581" s="9">
        <x:f>1</x:f>
        <x:v>1</x:v>
      </x:c>
      <x:c r="I581" s="2" t="inlineStr">
        <x:is>
          <x:t xml:space="preserve">High</x:t>
        </x:is>
      </x:c>
      <x:c r="J581" s="2" t="inlineStr">
        <x:is>
          <x:t xml:space="preserve">Small size is compatible with group 29, but FAO describes large demersal schools over soft bottoms. The existing small-pelagic mapping therefore retains a specific habitat conflict. No split is required.</x:t>
        </x:is>
      </x:c>
      <x:c r="K581" s="1"/>
    </x:row>
    <x:row r="582" ht="72" customHeight="1">
      <x:c r="A582" s="2" t="inlineStr">
        <x:is>
          <x:t xml:space="preserve">Sepia</x:t>
        </x:is>
      </x:c>
      <x:c r="B582" s="2" t="inlineStr">
        <x:is>
          <x:t xml:space="preserve">Cephalopods</x:t>
        </x:is>
      </x:c>
      <x:c r="C582" s="2">
        <x:v>12</x:v>
      </x:c>
      <x:c r="D582" s="8">
        <x:v>0.2733</x:v>
      </x:c>
      <x:c r="E582" s="8">
        <x:v>0.68</x:v>
      </x:c>
      <x:c r="F582" s="8" t="inlineStr">
        <x:is>
          <x:t xml:space="preserve">No split</x:t>
        </x:is>
      </x:c>
      <x:c r="G582" s="8">
        <x:f>SUMIFS($D$6:$D$681,$A$6:$A$681,A582)</x:f>
        <x:v>0.2733</x:v>
      </x:c>
      <x:c r="H582" s="9">
        <x:f>1</x:f>
        <x:v>1</x:v>
      </x:c>
      <x:c r="I582" s="2" t="inlineStr">
        <x:is>
          <x:t xml:space="preserve">High</x:t>
        </x:is>
      </x:c>
      <x:c r="J582" s="2" t="inlineStr">
        <x:is>
          <x:t xml:space="preserve">Sepia is within Cephalopoda. Biomass estimation from two dominant Loligo species does not restrict the source group to those species or to squid. No split is required.</x:t>
        </x:is>
      </x:c>
      <x:c r="K582" s="1"/>
    </x:row>
    <x:row r="583" ht="72" customHeight="1">
      <x:c r="A583" s="2" t="inlineStr">
        <x:is>
          <x:t xml:space="preserve">Sepiida</x:t>
        </x:is>
      </x:c>
      <x:c r="B583" s="2" t="inlineStr">
        <x:is>
          <x:t xml:space="preserve">Cephalopods</x:t>
        </x:is>
      </x:c>
      <x:c r="C583" s="2">
        <x:v>12</x:v>
      </x:c>
      <x:c r="D583" s="8">
        <x:v>0.2733</x:v>
      </x:c>
      <x:c r="E583" s="8">
        <x:v>0.68</x:v>
      </x:c>
      <x:c r="F583" s="8" t="inlineStr">
        <x:is>
          <x:t xml:space="preserve">No split</x:t>
        </x:is>
      </x:c>
      <x:c r="G583" s="8">
        <x:f>SUMIFS($D$6:$D$681,$A$6:$A$681,A583)</x:f>
        <x:v>0.2733</x:v>
      </x:c>
      <x:c r="H583" s="9">
        <x:f>1</x:f>
        <x:v>1</x:v>
      </x:c>
      <x:c r="I583" s="2" t="inlineStr">
        <x:is>
          <x:t xml:space="preserve">High</x:t>
        </x:is>
      </x:c>
      <x:c r="J583" s="2" t="inlineStr">
        <x:is>
          <x:t xml:space="preserve">Sepiida is within Cephalopoda. Biomass estimation from two dominant Loligo species does not restrict the source group to those species or to squid. No split is required.</x:t>
        </x:is>
      </x:c>
      <x:c r="K583" s="1"/>
    </x:row>
    <x:row r="584" ht="72" customHeight="1">
      <x:c r="A584" s="2" t="inlineStr">
        <x:is>
          <x:t xml:space="preserve">Sepiidae</x:t>
        </x:is>
      </x:c>
      <x:c r="B584" s="2" t="inlineStr">
        <x:is>
          <x:t xml:space="preserve">Cephalopods</x:t>
        </x:is>
      </x:c>
      <x:c r="C584" s="2">
        <x:v>12</x:v>
      </x:c>
      <x:c r="D584" s="8">
        <x:v>0.2733</x:v>
      </x:c>
      <x:c r="E584" s="8">
        <x:v>0.68</x:v>
      </x:c>
      <x:c r="F584" s="8" t="inlineStr">
        <x:is>
          <x:t xml:space="preserve">No split</x:t>
        </x:is>
      </x:c>
      <x:c r="G584" s="8">
        <x:f>SUMIFS($D$6:$D$681,$A$6:$A$681,A584)</x:f>
        <x:v>0.2733</x:v>
      </x:c>
      <x:c r="H584" s="9">
        <x:f>1</x:f>
        <x:v>1</x:v>
      </x:c>
      <x:c r="I584" s="2" t="inlineStr">
        <x:is>
          <x:t xml:space="preserve">High</x:t>
        </x:is>
      </x:c>
      <x:c r="J584" s="2" t="inlineStr">
        <x:is>
          <x:t xml:space="preserve">Sepiidae is within Cephalopoda. Biomass estimation from two dominant Loligo species does not restrict the source group to those species or to squid. No split is required.</x:t>
        </x:is>
      </x:c>
      <x:c r="K584" s="1"/>
    </x:row>
    <x:row r="585" ht="72" customHeight="1">
      <x:c r="A585" s="2" t="inlineStr">
        <x:is>
          <x:t xml:space="preserve">Sepioteuthis lessoniana</x:t>
        </x:is>
      </x:c>
      <x:c r="B585" s="2" t="inlineStr">
        <x:is>
          <x:t xml:space="preserve">Cephalopods</x:t>
        </x:is>
      </x:c>
      <x:c r="C585" s="2">
        <x:v>12</x:v>
      </x:c>
      <x:c r="D585" s="8">
        <x:v>0.2733</x:v>
      </x:c>
      <x:c r="E585" s="8">
        <x:v>0.68</x:v>
      </x:c>
      <x:c r="F585" s="8" t="inlineStr">
        <x:is>
          <x:t xml:space="preserve">No split</x:t>
        </x:is>
      </x:c>
      <x:c r="G585" s="8">
        <x:f>SUMIFS($D$6:$D$681,$A$6:$A$681,A585)</x:f>
        <x:v>0.2733</x:v>
      </x:c>
      <x:c r="H585" s="9">
        <x:f>1</x:f>
        <x:v>1</x:v>
      </x:c>
      <x:c r="I585" s="2" t="inlineStr">
        <x:is>
          <x:t xml:space="preserve">High</x:t>
        </x:is>
      </x:c>
      <x:c r="J585" s="2" t="inlineStr">
        <x:is>
          <x:t xml:space="preserve">Sepioteuthis lessoniana is within Cephalopoda. Biomass estimation from two dominant Loligo species does not restrict the source group to those species or to squid. No split is required.</x:t>
        </x:is>
      </x:c>
      <x:c r="K585" s="1"/>
    </x:row>
    <x:row r="586" ht="80" customHeight="1">
      <x:c r="A586" s="2" t="inlineStr">
        <x:is>
          <x:t xml:space="preserve">Sergestidae</x:t>
        </x:is>
      </x:c>
      <x:c r="B586" s="2" t="inlineStr">
        <x:is>
          <x:t xml:space="preserve">Zooplankton</x:t>
        </x:is>
      </x:c>
      <x:c r="C586" s="2">
        <x:v>3</x:v>
      </x:c>
      <x:c r="D586" s="8">
        <x:v>0.0948</x:v>
      </x:c>
      <x:c r="E586" s="8">
        <x:v>9.0</x:v>
      </x:c>
      <x:c r="F586" s="8" t="inlineStr">
        <x:is>
          <x:t xml:space="preserve">Model catch</x:t>
        </x:is>
      </x:c>
      <x:c r="G586" s="8">
        <x:f>SUMIFS($D$6:$D$681,$A$6:$A$681,A586)</x:f>
        <x:v>0.7736</x:v>
      </x:c>
      <x:c r="H586" s="9">
        <x:f>D586/G586</x:f>
        <x:v>0.12254395036194415</x:v>
      </x:c>
      <x:c r="I586" s="2" t="inlineStr">
        <x:is>
          <x:t xml:space="preserve">Medium</x:t>
        </x:is>
      </x:c>
      <x:c r="J586" s="2" t="inlineStr">
        <x:is>
          <x:t xml:space="preserve">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t>
        </x:is>
      </x:c>
      <x:c r="K586" s="1"/>
    </x:row>
    <x:row r="587" ht="80" customHeight="1">
      <x:c r="A587" s="2" t="inlineStr">
        <x:is>
          <x:t xml:space="preserve">Sergestidae</x:t>
        </x:is>
      </x:c>
      <x:c r="B587" s="2" t="inlineStr">
        <x:is>
          <x:t xml:space="preserve">Shrimps</x:t>
        </x:is>
      </x:c>
      <x:c r="C587" s="2">
        <x:v>10</x:v>
      </x:c>
      <x:c r="D587" s="8">
        <x:v>0.6788</x:v>
      </x:c>
      <x:c r="E587" s="8">
        <x:v>0.194</x:v>
      </x:c>
      <x:c r="F587" s="8" t="inlineStr">
        <x:is>
          <x:t xml:space="preserve">Model catch</x:t>
        </x:is>
      </x:c>
      <x:c r="G587" s="8">
        <x:f>SUMIFS($D$6:$D$681,$A$6:$A$681,A587)</x:f>
        <x:v>0.7736</x:v>
      </x:c>
      <x:c r="H587" s="9">
        <x:f>D587/G587</x:f>
        <x:v>0.8774560496380558</x:v>
      </x:c>
      <x:c r="I587" s="2" t="inlineStr">
        <x:is>
          <x:t xml:space="preserve">Medium</x:t>
        </x:is>
      </x:c>
      <x:c r="J587" s="2" t="inlineStr">
        <x:is>
          <x:t xml:space="preserve">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t>
        </x:is>
      </x:c>
      <x:c r="K587" s="1"/>
    </x:row>
    <x:row r="588" ht="80" customHeight="1">
      <x:c r="A588" s="2" t="inlineStr">
        <x:is>
          <x:t xml:space="preserve">Seriola</x:t>
        </x:is>
      </x:c>
      <x:c r="B588" s="2" t="inlineStr">
        <x:is>
          <x:t xml:space="preserve">Juvenile large pelagic fish</x:t>
        </x:is>
      </x:c>
      <x:c r="C588" s="2">
        <x:v>30</x:v>
      </x:c>
      <x:c r="D588" s="8">
        <x:v>0.7384</x:v>
      </x:c>
      <x:c r="E588" s="8">
        <x:v>0.289</x:v>
      </x:c>
      <x:c r="F588" s="8" t="inlineStr">
        <x:is>
          <x:t xml:space="preserve">Model catch</x:t>
        </x:is>
      </x:c>
      <x:c r="G588" s="8">
        <x:f>SUMIFS($D$6:$D$681,$A$6:$A$681,A588)</x:f>
        <x:v>0.8205</x:v>
      </x:c>
      <x:c r="H588" s="9">
        <x:f>D588/G588</x:f>
        <x:v>0.8999390615478366</x:v>
      </x:c>
      <x:c r="I588" s="2" t="inlineStr">
        <x:is>
          <x:t xml:space="preserve">Medium</x:t>
        </x:is>
      </x:c>
      <x:c r="J588" s="2" t="inlineStr">
        <x:is>
          <x:t xml:space="preserve">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x:t>
        </x:is>
      </x:c>
      <x:c r="K588" s="1"/>
    </x:row>
    <x:row r="589" ht="80" customHeight="1">
      <x:c r="A589" s="2" t="inlineStr">
        <x:is>
          <x:t xml:space="preserve">Seriola</x:t>
        </x:is>
      </x:c>
      <x:c r="B589" s="2" t="inlineStr">
        <x:is>
          <x:t xml:space="preserve">Pelagic fish (&gt; 30 cm)</x:t>
        </x:is>
      </x:c>
      <x:c r="C589" s="2">
        <x:v>31</x:v>
      </x:c>
      <x:c r="D589" s="8">
        <x:v>0.0821</x:v>
      </x:c>
      <x:c r="E589" s="8">
        <x:v>0.079</x:v>
      </x:c>
      <x:c r="F589" s="8" t="inlineStr">
        <x:is>
          <x:t xml:space="preserve">Model catch</x:t>
        </x:is>
      </x:c>
      <x:c r="G589" s="8">
        <x:f>SUMIFS($D$6:$D$681,$A$6:$A$681,A589)</x:f>
        <x:v>0.8205</x:v>
      </x:c>
      <x:c r="H589" s="9">
        <x:f>D589/G589</x:f>
        <x:v>0.1000609384521633</x:v>
      </x:c>
      <x:c r="I589" s="2" t="inlineStr">
        <x:is>
          <x:t xml:space="preserve">Medium</x:t>
        </x:is>
      </x:c>
      <x:c r="J589" s="2" t="inlineStr">
        <x:is>
          <x:t xml:space="preserve">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x:t>
        </x:is>
      </x:c>
      <x:c r="K589" s="1"/>
    </x:row>
    <x:row r="590" ht="112" customHeight="1">
      <x:c r="A590" s="2" t="inlineStr">
        <x:is>
          <x:t xml:space="preserve">Seriola dumerili</x:t>
        </x:is>
      </x:c>
      <x:c r="B590" s="2" t="inlineStr">
        <x:is>
          <x:t xml:space="preserve">Juvenile large pelagic fish</x:t>
        </x:is>
      </x:c>
      <x:c r="C590" s="2">
        <x:v>30</x:v>
      </x:c>
      <x:c r="D590" s="8">
        <x:v>0.7384</x:v>
      </x:c>
      <x:c r="E590" s="8">
        <x:v>0.289</x:v>
      </x:c>
      <x:c r="F590" s="8" t="inlineStr">
        <x:is>
          <x:t xml:space="preserve">Model catch</x:t>
        </x:is>
      </x:c>
      <x:c r="G590" s="8">
        <x:f>SUMIFS($D$6:$D$681,$A$6:$A$681,A590)</x:f>
        <x:v>0.8205</x:v>
      </x:c>
      <x:c r="H590" s="9">
        <x:f>D590/G590</x:f>
        <x:v>0.8999390615478366</x:v>
      </x:c>
      <x:c r="I590" s="2" t="inlineStr">
        <x:is>
          <x:t xml:space="preserve">Medium</x:t>
        </x:is>
      </x:c>
      <x:c r="J590" s="2" t="inlineStr">
        <x:is>
          <x:t xml:space="preserve">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x:t>
        </x:is>
      </x:c>
      <x:c r="K590" s="1"/>
    </x:row>
    <x:row r="591" ht="112" customHeight="1">
      <x:c r="A591" s="2" t="inlineStr">
        <x:is>
          <x:t xml:space="preserve">Seriola dumerili</x:t>
        </x:is>
      </x:c>
      <x:c r="B591" s="2" t="inlineStr">
        <x:is>
          <x:t xml:space="preserve">Pelagic fish (&gt; 30 cm)</x:t>
        </x:is>
      </x:c>
      <x:c r="C591" s="2">
        <x:v>31</x:v>
      </x:c>
      <x:c r="D591" s="8">
        <x:v>0.0821</x:v>
      </x:c>
      <x:c r="E591" s="8">
        <x:v>0.079</x:v>
      </x:c>
      <x:c r="F591" s="8" t="inlineStr">
        <x:is>
          <x:t xml:space="preserve">Model catch</x:t>
        </x:is>
      </x:c>
      <x:c r="G591" s="8">
        <x:f>SUMIFS($D$6:$D$681,$A$6:$A$681,A591)</x:f>
        <x:v>0.8205</x:v>
      </x:c>
      <x:c r="H591" s="9">
        <x:f>D591/G591</x:f>
        <x:v>0.1000609384521633</x:v>
      </x:c>
      <x:c r="I591" s="2" t="inlineStr">
        <x:is>
          <x:t xml:space="preserve">Medium</x:t>
        </x:is>
      </x:c>
      <x:c r="J591" s="2" t="inlineStr">
        <x:is>
          <x:t xml:space="preserve">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x:t>
        </x:is>
      </x:c>
      <x:c r="K591" s="1"/>
    </x:row>
    <x:row r="592" ht="112" customHeight="1">
      <x:c r="A592" s="2" t="inlineStr">
        <x:is>
          <x:t xml:space="preserve">Seriolina nigrofasciata</x:t>
        </x:is>
      </x:c>
      <x:c r="B592" s="2" t="inlineStr">
        <x:is>
          <x:t xml:space="preserve">Juvenile large pelagic fish</x:t>
        </x:is>
      </x:c>
      <x:c r="C592" s="2">
        <x:v>30</x:v>
      </x:c>
      <x:c r="D592" s="8">
        <x:v>0.7384</x:v>
      </x:c>
      <x:c r="E592" s="8">
        <x:v>0.289</x:v>
      </x:c>
      <x:c r="F592" s="8" t="inlineStr">
        <x:is>
          <x:t xml:space="preserve">Model catch</x:t>
        </x:is>
      </x:c>
      <x:c r="G592" s="8">
        <x:f>SUMIFS($D$6:$D$681,$A$6:$A$681,A592)</x:f>
        <x:v>0.8205</x:v>
      </x:c>
      <x:c r="H592" s="9">
        <x:f>D592/G592</x:f>
        <x:v>0.8999390615478366</x:v>
      </x:c>
      <x:c r="I592" s="2" t="inlineStr">
        <x:is>
          <x:t xml:space="preserve">Medium</x:t>
        </x:is>
      </x:c>
      <x:c r="J592" s="2" t="inlineStr">
        <x:is>
          <x:t xml:space="preserve">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x:t>
        </x:is>
      </x:c>
      <x:c r="K592" s="1"/>
    </x:row>
    <x:row r="593" ht="112" customHeight="1">
      <x:c r="A593" s="2" t="inlineStr">
        <x:is>
          <x:t xml:space="preserve">Seriolina nigrofasciata</x:t>
        </x:is>
      </x:c>
      <x:c r="B593" s="2" t="inlineStr">
        <x:is>
          <x:t xml:space="preserve">Pelagic fish (&gt; 30 cm)</x:t>
        </x:is>
      </x:c>
      <x:c r="C593" s="2">
        <x:v>31</x:v>
      </x:c>
      <x:c r="D593" s="8">
        <x:v>0.0821</x:v>
      </x:c>
      <x:c r="E593" s="8">
        <x:v>0.079</x:v>
      </x:c>
      <x:c r="F593" s="8" t="inlineStr">
        <x:is>
          <x:t xml:space="preserve">Model catch</x:t>
        </x:is>
      </x:c>
      <x:c r="G593" s="8">
        <x:f>SUMIFS($D$6:$D$681,$A$6:$A$681,A593)</x:f>
        <x:v>0.8205</x:v>
      </x:c>
      <x:c r="H593" s="9">
        <x:f>D593/G593</x:f>
        <x:v>0.1000609384521633</x:v>
      </x:c>
      <x:c r="I593" s="2" t="inlineStr">
        <x:is>
          <x:t xml:space="preserve">Medium</x:t>
        </x:is>
      </x:c>
      <x:c r="J593" s="2" t="inlineStr">
        <x:is>
          <x:t xml:space="preserve">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x:t>
        </x:is>
      </x:c>
      <x:c r="K593" s="1"/>
    </x:row>
    <x:row r="594" ht="72" customHeight="1">
      <x:c r="A594" s="2" t="inlineStr">
        <x:is>
          <x:t xml:space="preserve">Serranidae</x:t>
        </x:is>
      </x:c>
      <x:c r="B594" s="2" t="inlineStr">
        <x:is>
          <x:t xml:space="preserve">Adult groupers</x:t>
        </x:is>
      </x:c>
      <x:c r="C594" s="2">
        <x:v>20</x:v>
      </x:c>
      <x:c r="D594" s="8">
        <x:v>0.0089</x:v>
      </x:c>
      <x:c r="E594" s="8">
        <x:v>0.0064</x:v>
      </x:c>
      <x:c r="F594" s="8" t="inlineStr">
        <x:is>
          <x:t xml:space="preserve">No split</x:t>
        </x:is>
      </x:c>
      <x:c r="G594" s="8">
        <x:f>SUMIFS($D$6:$D$681,$A$6:$A$681,A594)</x:f>
        <x:v>0.0089</x:v>
      </x:c>
      <x:c r="H594" s="9">
        <x:f>1</x:f>
        <x:v>1</x:v>
      </x:c>
      <x:c r="I594" s="2" t="inlineStr">
        <x:is>
          <x:t xml:space="preserve">High</x:t>
        </x:is>
      </x:c>
      <x:c r="J594" s="2" t="inlineStr">
        <x:is>
          <x:t xml:space="preserve">Serranidae fits the source Serranidae concept. The thesis defines one family pool and no juvenile grouper stanza; the stored word Adult does not by itself establish an age restriction. No split is required.</x:t>
        </x:is>
      </x:c>
      <x:c r="K594" s="1"/>
    </x:row>
    <x:row r="595" ht="96" customHeight="1">
      <x:c r="A595" s="2" t="inlineStr">
        <x:is>
          <x:t xml:space="preserve">Siganidae</x:t>
        </x:is>
      </x:c>
      <x:c r="B595" s="2" t="inlineStr">
        <x:is>
          <x:t xml:space="preserve">Juvenile demersal fish (&gt; 30 cm)</x:t>
        </x:is>
      </x:c>
      <x:c r="C595" s="2">
        <x:v>25</x:v>
      </x:c>
      <x:c r="D595" s="8">
        <x:v>0.3165</x:v>
      </x:c>
      <x:c r="E595" s="8">
        <x:v>0.143</x:v>
      </x:c>
      <x:c r="F595" s="8" t="inlineStr">
        <x:is>
          <x:t xml:space="preserve">Model catch</x:t>
        </x:is>
      </x:c>
      <x:c r="G595" s="8">
        <x:f>SUMIFS($D$6:$D$681,$A$6:$A$681,A595)</x:f>
        <x:v>0.3517</x:v>
      </x:c>
      <x:c r="H595" s="9">
        <x:f>D595/G595</x:f>
        <x:v>0.8999147000284333</x:v>
      </x:c>
      <x:c r="I595" s="2" t="inlineStr">
        <x:is>
          <x:t xml:space="preserve">Medium</x:t>
        </x:is>
      </x:c>
      <x:c r="J595" s="2" t="inlineStr">
        <x:is>
          <x:t xml:space="preserve">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t>
        </x:is>
      </x:c>
      <x:c r="K595" s="1"/>
    </x:row>
    <x:row r="596" ht="96" customHeight="1">
      <x:c r="A596" s="2" t="inlineStr">
        <x:is>
          <x:t xml:space="preserve">Siganidae</x:t>
        </x:is>
      </x:c>
      <x:c r="B596" s="2" t="inlineStr">
        <x:is>
          <x:t xml:space="preserve">Adult demersal fish (&gt; 30 cm)</x:t>
        </x:is>
      </x:c>
      <x:c r="C596" s="2">
        <x:v>26</x:v>
      </x:c>
      <x:c r="D596" s="8">
        <x:v>0.0352</x:v>
      </x:c>
      <x:c r="E596" s="8">
        <x:v>0.021</x:v>
      </x:c>
      <x:c r="F596" s="8" t="inlineStr">
        <x:is>
          <x:t xml:space="preserve">Model catch</x:t>
        </x:is>
      </x:c>
      <x:c r="G596" s="8">
        <x:f>SUMIFS($D$6:$D$681,$A$6:$A$681,A596)</x:f>
        <x:v>0.3517</x:v>
      </x:c>
      <x:c r="H596" s="9">
        <x:f>D596/G596</x:f>
        <x:v>0.1000852999715667</x:v>
      </x:c>
      <x:c r="I596" s="2" t="inlineStr">
        <x:is>
          <x:t xml:space="preserve">Medium</x:t>
        </x:is>
      </x:c>
      <x:c r="J596" s="2" t="inlineStr">
        <x:is>
          <x:t xml:space="preserve">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t>
        </x:is>
      </x:c>
      <x:c r="K596" s="1"/>
    </x:row>
    <x:row r="597" ht="96" customHeight="1">
      <x:c r="A597" s="2" t="inlineStr">
        <x:is>
          <x:t xml:space="preserve">Siganus</x:t>
        </x:is>
      </x:c>
      <x:c r="B597" s="2" t="inlineStr">
        <x:is>
          <x:t xml:space="preserve">Juvenile demersal fish (&gt; 30 cm)</x:t>
        </x:is>
      </x:c>
      <x:c r="C597" s="2">
        <x:v>25</x:v>
      </x:c>
      <x:c r="D597" s="8">
        <x:v>0.3165</x:v>
      </x:c>
      <x:c r="E597" s="8">
        <x:v>0.143</x:v>
      </x:c>
      <x:c r="F597" s="8" t="inlineStr">
        <x:is>
          <x:t xml:space="preserve">Model catch</x:t>
        </x:is>
      </x:c>
      <x:c r="G597" s="8">
        <x:f>SUMIFS($D$6:$D$681,$A$6:$A$681,A597)</x:f>
        <x:v>0.3517</x:v>
      </x:c>
      <x:c r="H597" s="9">
        <x:f>D597/G597</x:f>
        <x:v>0.8999147000284333</x:v>
      </x:c>
      <x:c r="I597" s="2" t="inlineStr">
        <x:is>
          <x:t xml:space="preserve">Medium</x:t>
        </x:is>
      </x:c>
      <x:c r="J597" s="2" t="inlineStr">
        <x:is>
          <x:t xml:space="preserve">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t>
        </x:is>
      </x:c>
      <x:c r="K597" s="1"/>
    </x:row>
    <x:row r="598" ht="96" customHeight="1">
      <x:c r="A598" s="2" t="inlineStr">
        <x:is>
          <x:t xml:space="preserve">Siganus</x:t>
        </x:is>
      </x:c>
      <x:c r="B598" s="2" t="inlineStr">
        <x:is>
          <x:t xml:space="preserve">Adult demersal fish (&gt; 30 cm)</x:t>
        </x:is>
      </x:c>
      <x:c r="C598" s="2">
        <x:v>26</x:v>
      </x:c>
      <x:c r="D598" s="8">
        <x:v>0.0352</x:v>
      </x:c>
      <x:c r="E598" s="8">
        <x:v>0.021</x:v>
      </x:c>
      <x:c r="F598" s="8" t="inlineStr">
        <x:is>
          <x:t xml:space="preserve">Model catch</x:t>
        </x:is>
      </x:c>
      <x:c r="G598" s="8">
        <x:f>SUMIFS($D$6:$D$681,$A$6:$A$681,A598)</x:f>
        <x:v>0.3517</x:v>
      </x:c>
      <x:c r="H598" s="9">
        <x:f>D598/G598</x:f>
        <x:v>0.1000852999715667</x:v>
      </x:c>
      <x:c r="I598" s="2" t="inlineStr">
        <x:is>
          <x:t xml:space="preserve">Medium</x:t>
        </x:is>
      </x:c>
      <x:c r="J598" s="2" t="inlineStr">
        <x:is>
          <x:t xml:space="preserve">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t>
        </x:is>
      </x:c>
      <x:c r="K598" s="1"/>
    </x:row>
    <x:row r="599" ht="96" customHeight="1">
      <x:c r="A599" s="2" t="inlineStr">
        <x:is>
          <x:t xml:space="preserve">Siganus canaliculatus</x:t>
        </x:is>
      </x:c>
      <x:c r="B599" s="2" t="inlineStr">
        <x:is>
          <x:t xml:space="preserve">Juvenile demersal fish (&gt; 30 cm)</x:t>
        </x:is>
      </x:c>
      <x:c r="C599" s="2">
        <x:v>25</x:v>
      </x:c>
      <x:c r="D599" s="8">
        <x:v>0.3165</x:v>
      </x:c>
      <x:c r="E599" s="8">
        <x:v>0.143</x:v>
      </x:c>
      <x:c r="F599" s="8" t="inlineStr">
        <x:is>
          <x:t xml:space="preserve">Model catch</x:t>
        </x:is>
      </x:c>
      <x:c r="G599" s="8">
        <x:f>SUMIFS($D$6:$D$681,$A$6:$A$681,A599)</x:f>
        <x:v>0.3517</x:v>
      </x:c>
      <x:c r="H599" s="9">
        <x:f>D599/G599</x:f>
        <x:v>0.8999147000284333</x:v>
      </x:c>
      <x:c r="I599" s="2" t="inlineStr">
        <x:is>
          <x:t xml:space="preserve">Medium</x:t>
        </x:is>
      </x:c>
      <x:c r="J599" s="2" t="inlineStr">
        <x:is>
          <x:t xml:space="preserve">Maximum 40 cm TL contradicts small group 24. Coastal seagrass/algal and substrate-associated biology supports an assumed large-demersal interpretation of the reef-associated species; group eligibility is an ecological extension, not a direct source enumeration. Source-model catch proportions supply an assumed fixed 1950–2019/all-bases mixture; they are not observed taxon-specific catches.</x:t>
        </x:is>
      </x:c>
      <x:c r="K599" s="1"/>
    </x:row>
    <x:row r="600" ht="96" customHeight="1">
      <x:c r="A600" s="2" t="inlineStr">
        <x:is>
          <x:t xml:space="preserve">Siganus canaliculatus</x:t>
        </x:is>
      </x:c>
      <x:c r="B600" s="2" t="inlineStr">
        <x:is>
          <x:t xml:space="preserve">Adult demersal fish (&gt; 30 cm)</x:t>
        </x:is>
      </x:c>
      <x:c r="C600" s="2">
        <x:v>26</x:v>
      </x:c>
      <x:c r="D600" s="8">
        <x:v>0.0352</x:v>
      </x:c>
      <x:c r="E600" s="8">
        <x:v>0.021</x:v>
      </x:c>
      <x:c r="F600" s="8" t="inlineStr">
        <x:is>
          <x:t xml:space="preserve">Model catch</x:t>
        </x:is>
      </x:c>
      <x:c r="G600" s="8">
        <x:f>SUMIFS($D$6:$D$681,$A$6:$A$681,A600)</x:f>
        <x:v>0.3517</x:v>
      </x:c>
      <x:c r="H600" s="9">
        <x:f>D600/G600</x:f>
        <x:v>0.10008529997156668</x:v>
      </x:c>
      <x:c r="I600" s="2" t="inlineStr">
        <x:is>
          <x:t xml:space="preserve">Medium</x:t>
        </x:is>
      </x:c>
      <x:c r="J600" s="2" t="inlineStr">
        <x:is>
          <x:t xml:space="preserve">Maximum 40 cm TL contradicts small group 24. Coastal seagrass/algal and substrate-associated biology supports an assumed large-demersal interpretation of the reef-associated species; group eligibility is an ecological extension, not a direct source enumeration. Source-model catch proportions supply an assumed fixed 1950–2019/all-bases mixture; they are not observed taxon-specific catches.</x:t>
        </x:is>
      </x:c>
      <x:c r="K600" s="1"/>
    </x:row>
    <x:row r="601" ht="96" customHeight="1">
      <x:c r="A601" s="2" t="inlineStr">
        <x:is>
          <x:t xml:space="preserve">Sillaginidae</x:t>
        </x:is>
      </x:c>
      <x:c r="B601" s="2" t="inlineStr">
        <x:is>
          <x:t xml:space="preserve">Demesral fish (≤ 30 cm)</x:t>
        </x:is>
      </x:c>
      <x:c r="C601" s="2">
        <x:v>24</x:v>
      </x:c>
      <x:c r="D601" s="8">
        <x:v>0.1788</x:v>
      </x:c>
      <x:c r="E601" s="8">
        <x:v>0.316</x:v>
      </x:c>
      <x:c r="F601" s="8" t="inlineStr">
        <x:is>
          <x:t xml:space="preserve">Model catch</x:t>
        </x:is>
      </x:c>
      <x:c r="G601" s="8">
        <x:f>SUMIFS($D$6:$D$681,$A$6:$A$681,A601)</x:f>
        <x:v>0.5305</x:v>
      </x:c>
      <x:c r="H601" s="9">
        <x:f>D601/G601</x:f>
        <x:v>0.33704052780395855</x:v>
      </x:c>
      <x:c r="I601" s="2" t="inlineStr">
        <x:is>
          <x:t xml:space="preserve">Medium</x:t>
        </x:is>
      </x:c>
      <x:c r="J601" s="2" t="inlineStr">
        <x:is>
          <x:t xml:space="preserve">FAO bottom-dwelling regional sillaginids include small Sillago argentifasciata and S. japonica and large S. sihama. Both species-size classes are necessary; actual family mixture is not measured. Source-model catch proportions supply an assumed fixed 1950–2019/all-bases mixture; they are not observed taxon-specific catches.</x:t>
        </x:is>
      </x:c>
    </x:row>
    <x:row r="602" ht="96" customHeight="1">
      <x:c r="A602" s="2" t="inlineStr">
        <x:is>
          <x:t xml:space="preserve">Sillaginidae</x:t>
        </x:is>
      </x:c>
      <x:c r="B602" s="2" t="inlineStr">
        <x:is>
          <x:t xml:space="preserve">Juvenile demersal fish (&gt; 30 cm)</x:t>
        </x:is>
      </x:c>
      <x:c r="C602" s="2">
        <x:v>25</x:v>
      </x:c>
      <x:c r="D602" s="8">
        <x:v>0.3165</x:v>
      </x:c>
      <x:c r="E602" s="8">
        <x:v>0.143</x:v>
      </x:c>
      <x:c r="F602" s="8" t="inlineStr">
        <x:is>
          <x:t xml:space="preserve">Model catch</x:t>
        </x:is>
      </x:c>
      <x:c r="G602" s="8">
        <x:f>SUMIFS($D$6:$D$681,$A$6:$A$681,A602)</x:f>
        <x:v>0.5305</x:v>
      </x:c>
      <x:c r="H602" s="9">
        <x:f>D602/G602</x:f>
        <x:v>0.5966069745523092</x:v>
      </x:c>
      <x:c r="I602" s="2" t="inlineStr">
        <x:is>
          <x:t xml:space="preserve">Medium</x:t>
        </x:is>
      </x:c>
      <x:c r="J602" s="2" t="inlineStr">
        <x:is>
          <x:t xml:space="preserve">FAO bottom-dwelling regional sillaginids include small Sillago argentifasciata and S. japonica and large S. sihama. Both species-size classes are necessary; actual family mixture is not measured. Source-model catch proportions supply an assumed fixed 1950–2019/all-bases mixture; they are not observed taxon-specific catches.</x:t>
        </x:is>
      </x:c>
    </x:row>
    <x:row r="603" ht="96" customHeight="1">
      <x:c r="A603" s="2" t="inlineStr">
        <x:is>
          <x:t xml:space="preserve">Sillaginidae</x:t>
        </x:is>
      </x:c>
      <x:c r="B603" s="2" t="inlineStr">
        <x:is>
          <x:t xml:space="preserve">Adult demersal fish (&gt; 30 cm)</x:t>
        </x:is>
      </x:c>
      <x:c r="C603" s="2">
        <x:v>26</x:v>
      </x:c>
      <x:c r="D603" s="8">
        <x:v>0.0352</x:v>
      </x:c>
      <x:c r="E603" s="8">
        <x:v>0.021</x:v>
      </x:c>
      <x:c r="F603" s="8" t="inlineStr">
        <x:is>
          <x:t xml:space="preserve">Model catch</x:t>
        </x:is>
      </x:c>
      <x:c r="G603" s="8">
        <x:f>SUMIFS($D$6:$D$681,$A$6:$A$681,A603)</x:f>
        <x:v>0.5305</x:v>
      </x:c>
      <x:c r="H603" s="9">
        <x:f>D603/G603</x:f>
        <x:v>0.06635249764373234</x:v>
      </x:c>
      <x:c r="I603" s="2" t="inlineStr">
        <x:is>
          <x:t xml:space="preserve">Medium</x:t>
        </x:is>
      </x:c>
      <x:c r="J603" s="2" t="inlineStr">
        <x:is>
          <x:t xml:space="preserve">FAO bottom-dwelling regional sillaginids include small Sillago argentifasciata and S. japonica and large S. sihama. Both species-size classes are necessary; actual family mixture is not measured. Source-model catch proportions supply an assumed fixed 1950–2019/all-bases mixture; they are not observed taxon-specific catches.</x:t>
        </x:is>
      </x:c>
    </x:row>
    <x:row r="604" ht="96" customHeight="1">
      <x:c r="A604" s="2" t="inlineStr">
        <x:is>
          <x:t xml:space="preserve">Sillago</x:t>
        </x:is>
      </x:c>
      <x:c r="B604" s="2" t="inlineStr">
        <x:is>
          <x:t xml:space="preserve">Demesral fish (≤ 30 cm)</x:t>
        </x:is>
      </x:c>
      <x:c r="C604" s="2">
        <x:v>24</x:v>
      </x:c>
      <x:c r="D604" s="8">
        <x:v>0.1788</x:v>
      </x:c>
      <x:c r="E604" s="8">
        <x:v>0.316</x:v>
      </x:c>
      <x:c r="F604" s="8" t="inlineStr">
        <x:is>
          <x:t xml:space="preserve">Model catch</x:t>
        </x:is>
      </x:c>
      <x:c r="G604" s="8">
        <x:f>SUMIFS($D$6:$D$681,$A$6:$A$681,A604)</x:f>
        <x:v>0.5305</x:v>
      </x:c>
      <x:c r="H604" s="9">
        <x:f>D604/G604</x:f>
        <x:v>0.33704052780395855</x:v>
      </x:c>
      <x:c r="I604" s="2" t="inlineStr">
        <x:is>
          <x:t xml:space="preserve">Medium</x:t>
        </x:is>
      </x:c>
      <x:c r="J604" s="2" t="inlineStr">
        <x:is>
          <x:t xml:space="preserve">Regional bottom-associated S. argentifasciata (14.9 cm TL), S. japonica (30 cm TL), and S. sihama (31 cm SL) span the inclusive small and large species classes. Genus proportions remain assumed. Source-model catch proportions supply an assumed fixed 1950–2019/all-bases mixture; they are not observed taxon-specific catches.</x:t>
        </x:is>
      </x:c>
    </x:row>
    <x:row r="605" ht="96" customHeight="1">
      <x:c r="A605" s="2" t="inlineStr">
        <x:is>
          <x:t xml:space="preserve">Sillago</x:t>
        </x:is>
      </x:c>
      <x:c r="B605" s="2" t="inlineStr">
        <x:is>
          <x:t xml:space="preserve">Juvenile demersal fish (&gt; 30 cm)</x:t>
        </x:is>
      </x:c>
      <x:c r="C605" s="2">
        <x:v>25</x:v>
      </x:c>
      <x:c r="D605" s="8">
        <x:v>0.3165</x:v>
      </x:c>
      <x:c r="E605" s="8">
        <x:v>0.143</x:v>
      </x:c>
      <x:c r="F605" s="8" t="inlineStr">
        <x:is>
          <x:t xml:space="preserve">Model catch</x:t>
        </x:is>
      </x:c>
      <x:c r="G605" s="8">
        <x:f>SUMIFS($D$6:$D$681,$A$6:$A$681,A605)</x:f>
        <x:v>0.5305</x:v>
      </x:c>
      <x:c r="H605" s="9">
        <x:f>D605/G605</x:f>
        <x:v>0.5966069745523092</x:v>
      </x:c>
      <x:c r="I605" s="2" t="inlineStr">
        <x:is>
          <x:t xml:space="preserve">Medium</x:t>
        </x:is>
      </x:c>
      <x:c r="J605" s="2" t="inlineStr">
        <x:is>
          <x:t xml:space="preserve">Regional bottom-associated S. argentifasciata (14.9 cm TL), S. japonica (30 cm TL), and S. sihama (31 cm SL) span the inclusive small and large species classes. Genus proportions remain assumed. Source-model catch proportions supply an assumed fixed 1950–2019/all-bases mixture; they are not observed taxon-specific catches.</x:t>
        </x:is>
      </x:c>
    </x:row>
    <x:row r="606" ht="96" customHeight="1">
      <x:c r="A606" s="2" t="inlineStr">
        <x:is>
          <x:t xml:space="preserve">Sillago</x:t>
        </x:is>
      </x:c>
      <x:c r="B606" s="2" t="inlineStr">
        <x:is>
          <x:t xml:space="preserve">Adult demersal fish (&gt; 30 cm)</x:t>
        </x:is>
      </x:c>
      <x:c r="C606" s="2">
        <x:v>26</x:v>
      </x:c>
      <x:c r="D606" s="8">
        <x:v>0.0352</x:v>
      </x:c>
      <x:c r="E606" s="8">
        <x:v>0.021</x:v>
      </x:c>
      <x:c r="F606" s="8" t="inlineStr">
        <x:is>
          <x:t xml:space="preserve">Model catch</x:t>
        </x:is>
      </x:c>
      <x:c r="G606" s="8">
        <x:f>SUMIFS($D$6:$D$681,$A$6:$A$681,A606)</x:f>
        <x:v>0.5305</x:v>
      </x:c>
      <x:c r="H606" s="9">
        <x:f>D606/G606</x:f>
        <x:v>0.06635249764373234</x:v>
      </x:c>
      <x:c r="I606" s="2" t="inlineStr">
        <x:is>
          <x:t xml:space="preserve">Medium</x:t>
        </x:is>
      </x:c>
      <x:c r="J606" s="2" t="inlineStr">
        <x:is>
          <x:t xml:space="preserve">Regional bottom-associated S. argentifasciata (14.9 cm TL), S. japonica (30 cm TL), and S. sihama (31 cm SL) span the inclusive small and large species classes. Genus proportions remain assumed. Source-model catch proportions supply an assumed fixed 1950–2019/all-bases mixture; they are not observed taxon-specific catches.</x:t>
        </x:is>
      </x:c>
    </x:row>
    <x:row r="607" ht="112" customHeight="1">
      <x:c r="A607" s="2" t="inlineStr">
        <x:is>
          <x:t xml:space="preserve">Sillago sihama</x:t>
        </x:is>
      </x:c>
      <x:c r="B607" s="2" t="inlineStr">
        <x:is>
          <x:t xml:space="preserve">Juvenile demersal fish (&gt; 30 cm)</x:t>
        </x:is>
      </x:c>
      <x:c r="C607" s="2">
        <x:v>25</x:v>
      </x:c>
      <x:c r="D607" s="8">
        <x:v>0.3165</x:v>
      </x:c>
      <x:c r="E607" s="8">
        <x:v>0.143</x:v>
      </x:c>
      <x:c r="F607" s="8" t="inlineStr">
        <x:is>
          <x:t xml:space="preserve">Model catch</x:t>
        </x:is>
      </x:c>
      <x:c r="G607" s="8">
        <x:f>SUMIFS($D$6:$D$681,$A$6:$A$681,A607)</x:f>
        <x:v>0.3517</x:v>
      </x:c>
      <x:c r="H607" s="9">
        <x:f>D607/G607</x:f>
        <x:v>0.8999147000284333</x:v>
      </x:c>
      <x:c r="I607" s="2" t="inlineStr">
        <x:is>
          <x:t xml:space="preserve">Medium</x:t>
        </x:is>
      </x:c>
      <x:c r="J607" s="2" t="inlineStr">
        <x:is>
          <x:t xml:space="preserve">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x:t>
        </x:is>
      </x:c>
    </x:row>
    <x:row r="608" ht="112" customHeight="1">
      <x:c r="A608" s="2" t="inlineStr">
        <x:is>
          <x:t xml:space="preserve">Sillago sihama</x:t>
        </x:is>
      </x:c>
      <x:c r="B608" s="2" t="inlineStr">
        <x:is>
          <x:t xml:space="preserve">Adult demersal fish (&gt; 30 cm)</x:t>
        </x:is>
      </x:c>
      <x:c r="C608" s="2">
        <x:v>26</x:v>
      </x:c>
      <x:c r="D608" s="8">
        <x:v>0.0352</x:v>
      </x:c>
      <x:c r="E608" s="8">
        <x:v>0.021</x:v>
      </x:c>
      <x:c r="F608" s="8" t="inlineStr">
        <x:is>
          <x:t xml:space="preserve">Model catch</x:t>
        </x:is>
      </x:c>
      <x:c r="G608" s="8">
        <x:f>SUMIFS($D$6:$D$681,$A$6:$A$681,A608)</x:f>
        <x:v>0.3517</x:v>
      </x:c>
      <x:c r="H608" s="9">
        <x:f>D608/G608</x:f>
        <x:v>0.1000852999715667</x:v>
      </x:c>
      <x:c r="I608" s="2" t="inlineStr">
        <x:is>
          <x:t xml:space="preserve">Medium</x:t>
        </x:is>
      </x:c>
      <x:c r="J608" s="2" t="inlineStr">
        <x:is>
          <x:t xml:space="preserve">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x:t>
        </x:is>
      </x:c>
    </x:row>
    <x:row r="609" ht="72" customHeight="1">
      <x:c r="A609" s="2" t="inlineStr">
        <x:is>
          <x:t xml:space="preserve">Solenocera crassicornis</x:t>
        </x:is>
      </x:c>
      <x:c r="B609" s="2" t="inlineStr">
        <x:is>
          <x:t xml:space="preserve">Shrimps</x:t>
        </x:is>
      </x:c>
      <x:c r="C609" s="2">
        <x:v>10</x:v>
      </x:c>
      <x:c r="D609" s="8">
        <x:v>0.6788</x:v>
      </x:c>
      <x:c r="E609" s="8">
        <x:v>0.194</x:v>
      </x:c>
      <x:c r="F609" s="8" t="inlineStr">
        <x:is>
          <x:t xml:space="preserve">No split</x:t>
        </x:is>
      </x:c>
      <x:c r="G609" s="8">
        <x:f>SUMIFS($D$6:$D$681,$A$6:$A$681,A609)</x:f>
        <x:v>0.6788</x:v>
      </x:c>
      <x:c r="H609" s="9">
        <x:f>1</x:f>
        <x:v>1</x:v>
      </x:c>
      <x:c r="I609" s="2" t="inlineStr">
        <x:is>
          <x:t xml:space="preserve">High</x:t>
        </x:is>
      </x:c>
      <x:c r="J609" s="2" t="inlineStr">
        <x:is>
          <x:t xml:space="preserve">Solenocera crassicornis is a non-Acetes shrimp lineage. Shrimps is broader than the Metapenaeopsis mortality examples; the explicit Acetes/Zooplankton exception is excluded. No split is required.</x:t>
        </x:is>
      </x:c>
    </x:row>
    <x:row r="610" ht="80" customHeight="1">
      <x:c r="A610" s="2" t="inlineStr">
        <x:is>
          <x:t xml:space="preserve">Sparidae</x:t>
        </x:is>
      </x:c>
      <x:c r="B610" s="2" t="inlineStr">
        <x:is>
          <x:t xml:space="preserve">Benthopelagic fish</x:t>
        </x:is>
      </x:c>
      <x:c r="C610" s="2">
        <x:v>27</x:v>
      </x:c>
      <x:c r="D610" s="8">
        <x:v>0.6025</x:v>
      </x:c>
      <x:c r="E610" s="8">
        <x:v>0.922</x:v>
      </x:c>
      <x:c r="F610" s="8" t="inlineStr">
        <x:is>
          <x:t xml:space="preserve">No split</x:t>
        </x:is>
      </x:c>
      <x:c r="G610" s="8">
        <x:f>SUMIFS($D$6:$D$681,$A$6:$A$681,A610)</x:f>
        <x:v>0.6025</x:v>
      </x:c>
      <x:c r="H610" s="9">
        <x:f>1</x:f>
        <x:v>1</x:v>
      </x:c>
      <x:c r="I610" s="2" t="inlineStr">
        <x:is>
          <x:t xml:space="preserve">High</x:t>
        </x:is>
      </x:c>
      <x:c r="J610" s="2" t="inlineStr">
        <x:is>
          <x:t xml:space="preserve">Current group 27 alone is not established for the family: regional Pagrus major and Acanthopagrus schlegelii are documented large demersal sparids. 'Bream' does not make them Nemipteridae, and the final benthopelagic size scope is unresolved. No split is required.</x:t>
        </x:is>
      </x:c>
    </x:row>
    <x:row r="611" ht="96" customHeight="1">
      <x:c r="A611" s="2" t="inlineStr">
        <x:is>
          <x:t xml:space="preserve">Sphyraena</x:t>
        </x:is>
      </x:c>
      <x:c r="B611" s="2" t="inlineStr">
        <x:is>
          <x:t xml:space="preserve">Juvenile large pelagic fish</x:t>
        </x:is>
      </x:c>
      <x:c r="C611" s="2">
        <x:v>30</x:v>
      </x:c>
      <x:c r="D611" s="8">
        <x:v>0.7384</x:v>
      </x:c>
      <x:c r="E611" s="8">
        <x:v>0.289</x:v>
      </x:c>
      <x:c r="F611" s="8" t="inlineStr">
        <x:is>
          <x:t xml:space="preserve">Model catch</x:t>
        </x:is>
      </x:c>
      <x:c r="G611" s="8">
        <x:f>SUMIFS($D$6:$D$681,$A$6:$A$681,A611)</x:f>
        <x:v>0.8205</x:v>
      </x:c>
      <x:c r="H611" s="9">
        <x:f>D611/G611</x:f>
        <x:v>0.8999390615478366</x:v>
      </x:c>
      <x:c r="I611" s="2" t="inlineStr">
        <x:is>
          <x:t xml:space="preserve">Medium</x:t>
        </x:is>
      </x:c>
      <x:c r="J611" s="2" t="inlineStr">
        <x:is>
          <x:t xml:space="preserve">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x:t>
        </x:is>
      </x:c>
    </x:row>
    <x:row r="612" ht="96" customHeight="1">
      <x:c r="A612" s="2" t="inlineStr">
        <x:is>
          <x:t xml:space="preserve">Sphyraena</x:t>
        </x:is>
      </x:c>
      <x:c r="B612" s="2" t="inlineStr">
        <x:is>
          <x:t xml:space="preserve">Pelagic fish (&gt; 30 cm)</x:t>
        </x:is>
      </x:c>
      <x:c r="C612" s="2">
        <x:v>31</x:v>
      </x:c>
      <x:c r="D612" s="8">
        <x:v>0.0821</x:v>
      </x:c>
      <x:c r="E612" s="8">
        <x:v>0.079</x:v>
      </x:c>
      <x:c r="F612" s="8" t="inlineStr">
        <x:is>
          <x:t xml:space="preserve">Model catch</x:t>
        </x:is>
      </x:c>
      <x:c r="G612" s="8">
        <x:f>SUMIFS($D$6:$D$681,$A$6:$A$681,A612)</x:f>
        <x:v>0.8205</x:v>
      </x:c>
      <x:c r="H612" s="9">
        <x:f>D612/G612</x:f>
        <x:v>0.1000609384521633</x:v>
      </x:c>
      <x:c r="I612" s="2" t="inlineStr">
        <x:is>
          <x:t xml:space="preserve">Medium</x:t>
        </x:is>
      </x:c>
      <x:c r="J612" s="2" t="inlineStr">
        <x:is>
          <x:t xml:space="preserve">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x:t>
        </x:is>
      </x:c>
    </x:row>
    <x:row r="613" ht="112" customHeight="1">
      <x:c r="A613" s="2" t="inlineStr">
        <x:is>
          <x:t xml:space="preserve">Sphyraena barracuda</x:t>
        </x:is>
      </x:c>
      <x:c r="B613" s="2" t="inlineStr">
        <x:is>
          <x:t xml:space="preserve">Juvenile large pelagic fish</x:t>
        </x:is>
      </x:c>
      <x:c r="C613" s="2">
        <x:v>30</x:v>
      </x:c>
      <x:c r="D613" s="8">
        <x:v>0.7384</x:v>
      </x:c>
      <x:c r="E613" s="8">
        <x:v>0.289</x:v>
      </x:c>
      <x:c r="F613" s="8" t="inlineStr">
        <x:is>
          <x:t xml:space="preserve">Model catch</x:t>
        </x:is>
      </x:c>
      <x:c r="G613" s="8">
        <x:f>SUMIFS($D$6:$D$681,$A$6:$A$681,A613)</x:f>
        <x:v>0.8205</x:v>
      </x:c>
      <x:c r="H613" s="9">
        <x:f>D613/G613</x:f>
        <x:v>0.8999390615478366</x:v>
      </x:c>
      <x:c r="I613" s="2" t="inlineStr">
        <x:is>
          <x:t xml:space="preserve">Medium</x:t>
        </x:is>
      </x:c>
      <x:c r="J613"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x:t>
        </x:is>
      </x:c>
    </x:row>
    <x:row r="614" ht="112" customHeight="1">
      <x:c r="A614" s="2" t="inlineStr">
        <x:is>
          <x:t xml:space="preserve">Sphyraena barracuda</x:t>
        </x:is>
      </x:c>
      <x:c r="B614" s="2" t="inlineStr">
        <x:is>
          <x:t xml:space="preserve">Pelagic fish (&gt; 30 cm)</x:t>
        </x:is>
      </x:c>
      <x:c r="C614" s="2">
        <x:v>31</x:v>
      </x:c>
      <x:c r="D614" s="8">
        <x:v>0.0821</x:v>
      </x:c>
      <x:c r="E614" s="8">
        <x:v>0.079</x:v>
      </x:c>
      <x:c r="F614" s="8" t="inlineStr">
        <x:is>
          <x:t xml:space="preserve">Model catch</x:t>
        </x:is>
      </x:c>
      <x:c r="G614" s="8">
        <x:f>SUMIFS($D$6:$D$681,$A$6:$A$681,A614)</x:f>
        <x:v>0.8205</x:v>
      </x:c>
      <x:c r="H614" s="9">
        <x:f>D614/G614</x:f>
        <x:v>0.1000609384521633</x:v>
      </x:c>
      <x:c r="I614" s="2" t="inlineStr">
        <x:is>
          <x:t xml:space="preserve">Medium</x:t>
        </x:is>
      </x:c>
      <x:c r="J614"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x:t>
        </x:is>
      </x:c>
    </x:row>
    <x:row r="615" ht="112" customHeight="1">
      <x:c r="A615" s="2" t="inlineStr">
        <x:is>
          <x:t xml:space="preserve">Sphyraena jello</x:t>
        </x:is>
      </x:c>
      <x:c r="B615" s="2" t="inlineStr">
        <x:is>
          <x:t xml:space="preserve">Juvenile large pelagic fish</x:t>
        </x:is>
      </x:c>
      <x:c r="C615" s="2">
        <x:v>30</x:v>
      </x:c>
      <x:c r="D615" s="8">
        <x:v>0.7384</x:v>
      </x:c>
      <x:c r="E615" s="8">
        <x:v>0.289</x:v>
      </x:c>
      <x:c r="F615" s="8" t="inlineStr">
        <x:is>
          <x:t xml:space="preserve">Model catch</x:t>
        </x:is>
      </x:c>
      <x:c r="G615" s="8">
        <x:f>SUMIFS($D$6:$D$681,$A$6:$A$681,A615)</x:f>
        <x:v>0.8205</x:v>
      </x:c>
      <x:c r="H615" s="9">
        <x:f>D615/G615</x:f>
        <x:v>0.8999390615478366</x:v>
      </x:c>
      <x:c r="I615" s="2" t="inlineStr">
        <x:is>
          <x:t xml:space="preserve">Medium</x:t>
        </x:is>
      </x:c>
      <x:c r="J615"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x:t>
        </x:is>
      </x:c>
    </x:row>
    <x:row r="616" ht="112" customHeight="1">
      <x:c r="A616" s="2" t="inlineStr">
        <x:is>
          <x:t xml:space="preserve">Sphyraena jello</x:t>
        </x:is>
      </x:c>
      <x:c r="B616" s="2" t="inlineStr">
        <x:is>
          <x:t xml:space="preserve">Pelagic fish (&gt; 30 cm)</x:t>
        </x:is>
      </x:c>
      <x:c r="C616" s="2">
        <x:v>31</x:v>
      </x:c>
      <x:c r="D616" s="8">
        <x:v>0.0821</x:v>
      </x:c>
      <x:c r="E616" s="8">
        <x:v>0.079</x:v>
      </x:c>
      <x:c r="F616" s="8" t="inlineStr">
        <x:is>
          <x:t xml:space="preserve">Model catch</x:t>
        </x:is>
      </x:c>
      <x:c r="G616" s="8">
        <x:f>SUMIFS($D$6:$D$681,$A$6:$A$681,A616)</x:f>
        <x:v>0.8205</x:v>
      </x:c>
      <x:c r="H616" s="9">
        <x:f>D616/G616</x:f>
        <x:v>0.1000609384521633</x:v>
      </x:c>
      <x:c r="I616" s="2" t="inlineStr">
        <x:is>
          <x:t xml:space="preserve">Medium</x:t>
        </x:is>
      </x:c>
      <x:c r="J616"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x:t>
        </x:is>
      </x:c>
    </x:row>
    <x:row r="617" ht="96" customHeight="1">
      <x:c r="A617" s="2" t="inlineStr">
        <x:is>
          <x:t xml:space="preserve">Sphyraena obtusata</x:t>
        </x:is>
      </x:c>
      <x:c r="B617" s="2" t="inlineStr">
        <x:is>
          <x:t xml:space="preserve">Juvenile large pelagic fish</x:t>
        </x:is>
      </x:c>
      <x:c r="C617" s="2">
        <x:v>30</x:v>
      </x:c>
      <x:c r="D617" s="8">
        <x:v>0.7384</x:v>
      </x:c>
      <x:c r="E617" s="8">
        <x:v>0.289</x:v>
      </x:c>
      <x:c r="F617" s="8" t="inlineStr">
        <x:is>
          <x:t xml:space="preserve">Model catch</x:t>
        </x:is>
      </x:c>
      <x:c r="G617" s="8">
        <x:f>SUMIFS($D$6:$D$681,$A$6:$A$681,A617)</x:f>
        <x:v>0.8205</x:v>
      </x:c>
      <x:c r="H617" s="9">
        <x:f>D617/G617</x:f>
        <x:v>0.8999390615478366</x:v>
      </x:c>
      <x:c r="I617" s="2" t="inlineStr">
        <x:is>
          <x:t xml:space="preserve">Medium</x:t>
        </x:is>
      </x:c>
      <x:c r="J617"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x:t>
        </x:is>
      </x:c>
    </x:row>
    <x:row r="618" ht="96" customHeight="1">
      <x:c r="A618" s="2" t="inlineStr">
        <x:is>
          <x:t xml:space="preserve">Sphyraena obtusata</x:t>
        </x:is>
      </x:c>
      <x:c r="B618" s="2" t="inlineStr">
        <x:is>
          <x:t xml:space="preserve">Pelagic fish (&gt; 30 cm)</x:t>
        </x:is>
      </x:c>
      <x:c r="C618" s="2">
        <x:v>31</x:v>
      </x:c>
      <x:c r="D618" s="8">
        <x:v>0.0821</x:v>
      </x:c>
      <x:c r="E618" s="8">
        <x:v>0.079</x:v>
      </x:c>
      <x:c r="F618" s="8" t="inlineStr">
        <x:is>
          <x:t xml:space="preserve">Model catch</x:t>
        </x:is>
      </x:c>
      <x:c r="G618" s="8">
        <x:f>SUMIFS($D$6:$D$681,$A$6:$A$681,A618)</x:f>
        <x:v>0.8205</x:v>
      </x:c>
      <x:c r="H618" s="9">
        <x:f>D618/G618</x:f>
        <x:v>0.1000609384521633</x:v>
      </x:c>
      <x:c r="I618" s="2" t="inlineStr">
        <x:is>
          <x:t xml:space="preserve">Medium</x:t>
        </x:is>
      </x:c>
      <x:c r="J618" s="2" t="inlineStr">
        <x:is>
          <x:t xml:space="preserve">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x:t>
        </x:is>
      </x:c>
    </x:row>
    <x:row r="619" ht="80" customHeight="1">
      <x:c r="A619" s="2" t="inlineStr">
        <x:is>
          <x:t xml:space="preserve">Sphyraenidae</x:t>
        </x:is>
      </x:c>
      <x:c r="B619" s="2" t="inlineStr">
        <x:is>
          <x:t xml:space="preserve">Juvenile large pelagic fish</x:t>
        </x:is>
      </x:c>
      <x:c r="C619" s="2">
        <x:v>30</x:v>
      </x:c>
      <x:c r="D619" s="8">
        <x:v>0.7384</x:v>
      </x:c>
      <x:c r="E619" s="8">
        <x:v>0.289</x:v>
      </x:c>
      <x:c r="F619" s="8" t="inlineStr">
        <x:is>
          <x:t xml:space="preserve">Model catch</x:t>
        </x:is>
      </x:c>
      <x:c r="G619" s="8">
        <x:f>SUMIFS($D$6:$D$681,$A$6:$A$681,A619)</x:f>
        <x:v>0.8205</x:v>
      </x:c>
      <x:c r="H619" s="9">
        <x:f>D619/G619</x:f>
        <x:v>0.8999390615478366</x:v>
      </x:c>
      <x:c r="I619" s="2" t="inlineStr">
        <x:is>
          <x:t xml:space="preserve">Medium</x:t>
        </x:is>
      </x:c>
      <x:c r="J619" s="2" t="inlineStr">
        <x:is>
          <x:t xml:space="preserve">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x:t>
        </x:is>
      </x:c>
    </x:row>
    <x:row r="620" ht="80" customHeight="1">
      <x:c r="A620" s="2" t="inlineStr">
        <x:is>
          <x:t xml:space="preserve">Sphyraenidae</x:t>
        </x:is>
      </x:c>
      <x:c r="B620" s="2" t="inlineStr">
        <x:is>
          <x:t xml:space="preserve">Pelagic fish (&gt; 30 cm)</x:t>
        </x:is>
      </x:c>
      <x:c r="C620" s="2">
        <x:v>31</x:v>
      </x:c>
      <x:c r="D620" s="8">
        <x:v>0.0821</x:v>
      </x:c>
      <x:c r="E620" s="8">
        <x:v>0.079</x:v>
      </x:c>
      <x:c r="F620" s="8" t="inlineStr">
        <x:is>
          <x:t xml:space="preserve">Model catch</x:t>
        </x:is>
      </x:c>
      <x:c r="G620" s="8">
        <x:f>SUMIFS($D$6:$D$681,$A$6:$A$681,A620)</x:f>
        <x:v>0.8205</x:v>
      </x:c>
      <x:c r="H620" s="9">
        <x:f>D620/G620</x:f>
        <x:v>0.1000609384521633</x:v>
      </x:c>
      <x:c r="I620" s="2" t="inlineStr">
        <x:is>
          <x:t xml:space="preserve">Medium</x:t>
        </x:is>
      </x:c>
      <x:c r="J620" s="2" t="inlineStr">
        <x:is>
          <x:t xml:space="preserve">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x:t>
        </x:is>
      </x:c>
    </x:row>
    <x:row r="621" ht="80" customHeight="1">
      <x:c r="A621" s="2" t="inlineStr">
        <x:is>
          <x:t xml:space="preserve">Sphyrna</x:t>
        </x:is>
      </x:c>
      <x:c r="B621" s="2" t="inlineStr">
        <x:is>
          <x:t xml:space="preserve">Pelagic sharks and rays</x:t>
        </x:is>
      </x:c>
      <x:c r="C621" s="2">
        <x:v>33</x:v>
      </x:c>
      <x:c r="D621" s="8">
        <x:v>0.0007</x:v>
      </x:c>
      <x:c r="E621" s="8">
        <x:v>0.0011</x:v>
      </x:c>
      <x:c r="F621" s="8" t="inlineStr">
        <x:is>
          <x:t xml:space="preserve">No split</x:t>
        </x:is>
      </x:c>
      <x:c r="G621" s="8">
        <x:f>SUMIFS($D$6:$D$681,$A$6:$A$681,A621)</x:f>
        <x:v>0.0007</x:v>
      </x:c>
      <x:c r="H621" s="9">
        <x:f>1</x:f>
        <x:v>1</x:v>
      </x:c>
      <x:c r="I621" s="2" t="inlineStr">
        <x:is>
          <x:t xml:space="preserve">High</x:t>
        </x:is>
      </x:c>
      <x:c r="J621" s="2" t="inlineStr">
        <x:is>
          <x:t xml:space="preserve">Regional hammerheads support a coastal-pelagic interpretation, but S. mokarran and S. zygaena also use bottom/reef habitats. Genus catch composition and the operational habitat boundary remain unresolved; a distant S. tiburo example alone would not prove regional misplacement. No split is required.</x:t>
        </x:is>
      </x:c>
    </x:row>
    <x:row r="622" ht="96" customHeight="1">
      <x:c r="A622" s="2" t="inlineStr">
        <x:is>
          <x:t xml:space="preserve">Sphyrna lewini</x:t>
        </x:is>
      </x:c>
      <x:c r="B622" s="2" t="inlineStr">
        <x:is>
          <x:t xml:space="preserve">Pelagic sharks and rays</x:t>
        </x:is>
      </x:c>
      <x:c r="C622" s="2">
        <x:v>33</x:v>
      </x:c>
      <x:c r="D622" s="8">
        <x:v>0.0007</x:v>
      </x:c>
      <x:c r="E622" s="8">
        <x:v>0.0011</x:v>
      </x:c>
      <x:c r="F622" s="8" t="inlineStr">
        <x:is>
          <x:t xml:space="preserve">No split</x:t>
        </x:is>
      </x:c>
      <x:c r="G622" s="8">
        <x:f>SUMIFS($D$6:$D$681,$A$6:$A$681,A622)</x:f>
        <x:v>0.0007</x:v>
      </x:c>
      <x:c r="H622" s="9">
        <x:f>1</x:f>
        <x:v>1</x:v>
      </x:c>
      <x:c r="I622" s="2" t="inlineStr">
        <x:is>
          <x:t xml:space="preserve">High</x:t>
        </x:is>
      </x:c>
      <x:c r="J622" s="2" t="inlineStr">
        <x:is>
          <x:t xml:space="preserve">Species ecology explicitly supports pelagic elasmobranch membership. The source has no hard size/feeding-guild exclusion or additional stage pool for these sharks. Regional coefficient representativeness is a separate question. Checked species record: 430 cm TL; Marine; brackish;  pelagic-oceanic; oceanodromous. No split is required.</x:t>
        </x:is>
      </x:c>
    </x:row>
    <x:row r="623" ht="96" customHeight="1">
      <x:c r="A623" s="2" t="inlineStr">
        <x:is>
          <x:t xml:space="preserve">Sphyrnidae</x:t>
        </x:is>
      </x:c>
      <x:c r="B623" s="2" t="inlineStr">
        <x:is>
          <x:t xml:space="preserve">Demersal sharks and rays</x:t>
        </x:is>
      </x:c>
      <x:c r="C623" s="2">
        <x:v>32</x:v>
      </x:c>
      <x:c r="D623" s="8">
        <x:v>0.001</x:v>
      </x:c>
      <x:c r="E623" s="8">
        <x:v>0.001</x:v>
      </x:c>
      <x:c r="F623" s="8" t="inlineStr">
        <x:is>
          <x:t xml:space="preserve">Model catch</x:t>
        </x:is>
      </x:c>
      <x:c r="G623" s="8">
        <x:f>SUMIFS($D$6:$D$681,$A$6:$A$681,A623)</x:f>
        <x:v>0.0017000000000000001</x:v>
      </x:c>
      <x:c r="H623" s="9">
        <x:f>D623/G623</x:f>
        <x:v>0.5882352941176471</x:v>
      </x:c>
      <x:c r="I623" s="2" t="inlineStr">
        <x:is>
          <x:t xml:space="preserve">Medium</x:t>
        </x:is>
      </x:c>
      <x:c r="J623" s="2" t="inlineStr">
        <x:is>
          <x:t xml:space="preserve">Pelagic hammerheads and regional benthopelagic winghead Eusphyra blochii support both elasmobranch habitat pools. Treating the near-bottom winghead component as the demersal source guild is an explicit regional interpretation. Source-model catch proportions supply an assumed fixed 1950–2019/all-bases mixture; they are not observed taxon-specific catches.</x:t>
        </x:is>
      </x:c>
    </x:row>
    <x:row r="624" ht="96" customHeight="1">
      <x:c r="A624" s="2" t="inlineStr">
        <x:is>
          <x:t xml:space="preserve">Sphyrnidae</x:t>
        </x:is>
      </x:c>
      <x:c r="B624" s="2" t="inlineStr">
        <x:is>
          <x:t xml:space="preserve">Pelagic sharks and rays</x:t>
        </x:is>
      </x:c>
      <x:c r="C624" s="2">
        <x:v>33</x:v>
      </x:c>
      <x:c r="D624" s="8">
        <x:v>0.0007</x:v>
      </x:c>
      <x:c r="E624" s="8">
        <x:v>0.0011</x:v>
      </x:c>
      <x:c r="F624" s="8" t="inlineStr">
        <x:is>
          <x:t xml:space="preserve">Model catch</x:t>
        </x:is>
      </x:c>
      <x:c r="G624" s="8">
        <x:f>SUMIFS($D$6:$D$681,$A$6:$A$681,A624)</x:f>
        <x:v>0.0017000000000000001</x:v>
      </x:c>
      <x:c r="H624" s="9">
        <x:f>D624/G624</x:f>
        <x:v>0.4117647058823529</x:v>
      </x:c>
      <x:c r="I624" s="2" t="inlineStr">
        <x:is>
          <x:t xml:space="preserve">Medium</x:t>
        </x:is>
      </x:c>
      <x:c r="J624" s="2" t="inlineStr">
        <x:is>
          <x:t xml:space="preserve">Pelagic hammerheads and regional benthopelagic winghead Eusphyra blochii support both elasmobranch habitat pools. Treating the near-bottom winghead component as the demersal source guild is an explicit regional interpretation. Source-model catch proportions supply an assumed fixed 1950–2019/all-bases mixture; they are not observed taxon-specific catches.</x:t>
        </x:is>
      </x:c>
    </x:row>
    <x:row r="625" ht="72" customHeight="1">
      <x:c r="A625" s="2" t="inlineStr">
        <x:is>
          <x:t xml:space="preserve">Spongia</x:t>
        </x:is>
      </x:c>
      <x:c r="B625" s="2" t="inlineStr">
        <x:is>
          <x:t xml:space="preserve">Sessile/other invertebrates</x:t>
        </x:is>
      </x:c>
      <x:c r="C625" s="2">
        <x:v>9</x:v>
      </x:c>
      <x:c r="D625" s="8">
        <x:v>0.003</x:v>
      </x:c>
      <x:c r="E625" s="8">
        <x:v>2.61</x:v>
      </x:c>
      <x:c r="F625" s="8" t="inlineStr">
        <x:is>
          <x:t xml:space="preserve">No split</x:t>
        </x:is>
      </x:c>
      <x:c r="G625" s="8">
        <x:f>SUMIFS($D$6:$D$681,$A$6:$A$681,A625)</x:f>
        <x:v>0.003</x:v>
      </x:c>
      <x:c r="H625" s="9">
        <x:f>1</x:f>
        <x:v>1</x:v>
      </x:c>
      <x:c r="I625" s="2" t="inlineStr">
        <x:is>
          <x:t xml:space="preserve">High</x:t>
        </x:is>
      </x:c>
      <x:c r="J625" s="2" t="inlineStr">
        <x:is>
          <x:t xml:space="preserve">Spongia is a sessile poriferan genus fitting Sessile/other invertebrates after the separately modeled echinoderm, polychaete, crustacean and mollusc groups are excluded. No split is required.</x:t>
        </x:is>
      </x:c>
    </x:row>
    <x:row r="626" ht="72" customHeight="1">
      <x:c r="A626" s="2" t="inlineStr">
        <x:is>
          <x:t xml:space="preserve">Spratelloides</x:t>
        </x:is>
      </x:c>
      <x:c r="B626" s="2" t="inlineStr">
        <x:is>
          <x:t xml:space="preserve">Pelagic fish (≤ 30 cm)</x:t>
        </x:is>
      </x:c>
      <x:c r="C626" s="2">
        <x:v>29</x:v>
      </x:c>
      <x:c r="D626" s="8">
        <x:v>2.345</x:v>
      </x:c>
      <x:c r="E626" s="8">
        <x:v>1.772</x:v>
      </x:c>
      <x:c r="F626" s="8" t="inlineStr">
        <x:is>
          <x:t xml:space="preserve">No split</x:t>
        </x:is>
      </x:c>
      <x:c r="G626" s="8">
        <x:f>SUMIFS($D$6:$D$681,$A$6:$A$681,A626)</x:f>
        <x:v>2.345</x:v>
      </x:c>
      <x:c r="H626" s="9">
        <x:f>1</x:f>
        <x:v>1</x:v>
      </x:c>
      <x:c r="I626" s="2" t="inlineStr">
        <x:is>
          <x:t xml:space="preserve">High</x:t>
        </x:is>
      </x:c>
      <x:c r="J626" s="2" t="inlineStr">
        <x:is>
          <x:t xml:space="preserve">The genus inventory supports a small-bodied pelagic lineage without a dedicated competing group. Most maxima are SL or unspecified; the full regional catch concept and TL boundary remain inferred. No split is required.</x:t>
        </x:is>
      </x:c>
    </x:row>
    <x:row r="627" ht="80" customHeight="1">
      <x:c r="A627" s="2" t="inlineStr">
        <x:is>
          <x:t xml:space="preserve">Spratelloides gracilis</x:t>
        </x:is>
      </x:c>
      <x:c r="B627" s="2" t="inlineStr">
        <x:is>
          <x:t xml:space="preserve">Pelagic fish (≤ 30 cm)</x:t>
        </x:is>
      </x:c>
      <x:c r="C627" s="2">
        <x:v>29</x:v>
      </x:c>
      <x:c r="D627" s="8">
        <x:v>2.345</x:v>
      </x:c>
      <x:c r="E627" s="8">
        <x:v>1.772</x:v>
      </x:c>
      <x:c r="F627" s="8" t="inlineStr">
        <x:is>
          <x:t xml:space="preserve">No split</x:t>
        </x:is>
      </x:c>
      <x:c r="G627" s="8">
        <x:f>SUMIFS($D$6:$D$681,$A$6:$A$681,A627)</x:f>
        <x:v>2.345</x:v>
      </x:c>
      <x:c r="H627" s="9">
        <x:f>1</x:f>
        <x:v>1</x:v>
      </x:c>
      <x:c r="I627" s="2" t="inlineStr">
        <x:is>
          <x:t xml:space="preserve">High</x:t>
        </x:is>
      </x:c>
      <x:c r="J627" s="2" t="inlineStr">
        <x:is>
          <x:t xml:space="preserve">Coastal-pelagic ecology and small size support the current pool. Retrieved maximum length is SL, not TL; no independent total-length bound/conversion was recovered, so the model TL criterion remains a supported inference. Checked species record: 10.5 cm SL; Marine;  pelagic-neritic;. No split is required.</x:t>
        </x:is>
      </x:c>
    </x:row>
    <x:row r="628" ht="72" customHeight="1">
      <x:c r="A628" s="2" t="inlineStr">
        <x:is>
          <x:t xml:space="preserve">Squillidae</x:t>
        </x:is>
      </x:c>
      <x:c r="B628" s="2" t="inlineStr">
        <x:is>
          <x:t xml:space="preserve">Benthic crustaceans</x:t>
        </x:is>
      </x:c>
      <x:c r="C628" s="2">
        <x:v>7</x:v>
      </x:c>
      <x:c r="D628" s="8">
        <x:v>0.0391</x:v>
      </x:c>
      <x:c r="E628" s="8">
        <x:v>1.43</x:v>
      </x:c>
      <x:c r="F628" s="8" t="inlineStr">
        <x:is>
          <x:t xml:space="preserve">No split</x:t>
        </x:is>
      </x:c>
      <x:c r="G628" s="8">
        <x:f>SUMIFS($D$6:$D$681,$A$6:$A$681,A628)</x:f>
        <x:v>0.0391</x:v>
      </x:c>
      <x:c r="H628" s="9">
        <x:f>1</x:f>
        <x:v>1</x:v>
      </x:c>
      <x:c r="I628" s="2" t="inlineStr">
        <x:is>
          <x:t xml:space="preserve">High</x:t>
        </x:is>
      </x:c>
      <x:c r="J628" s="2" t="inlineStr">
        <x:is>
          <x:t xml:space="preserve">Squillidae is a benthic stomatopod lineage in the residual crustacean pool after shrimp/crab exclusions. Oratosquilla is a parameter example, not the complete membership. No split is required.</x:t>
        </x:is>
      </x:c>
    </x:row>
    <x:row r="629" ht="80" customHeight="1">
      <x:c r="A629" s="2" t="inlineStr">
        <x:is>
          <x:t xml:space="preserve">Stephanolepis cirrhifer</x:t>
        </x:is>
      </x:c>
      <x:c r="B629" s="2" t="inlineStr">
        <x:is>
          <x:t xml:space="preserve">Demesral fish (≤ 30 cm)</x:t>
        </x:is>
      </x:c>
      <x:c r="C629" s="2">
        <x:v>24</x:v>
      </x:c>
      <x:c r="D629" s="8">
        <x:v>0.1788</x:v>
      </x:c>
      <x:c r="E629" s="8">
        <x:v>0.316</x:v>
      </x:c>
      <x:c r="F629" s="8" t="inlineStr">
        <x:is>
          <x:t xml:space="preserve">No split</x:t>
        </x:is>
      </x:c>
      <x:c r="G629" s="8">
        <x:f>SUMIFS($D$6:$D$681,$A$6:$A$681,A629)</x:f>
        <x:v>0.1788</x:v>
      </x:c>
      <x:c r="H629" s="9">
        <x:f>1</x:f>
        <x:v>1</x:v>
      </x:c>
      <x:c r="I629" s="2" t="inlineStr">
        <x:is>
          <x:t xml:space="preserve">High</x:t>
        </x:is>
      </x:c>
      <x:c r="J629" s="2" t="inlineStr">
        <x:is>
          <x:t xml:space="preserve">FishBase classifies the species as demersal and gives maximum TL 30 cm, meeting the source inclusive small-demersal boundary. No dedicated taxonomic pool competes. Checked species record: 30 cm TL; Marine;  demersal; oceanodromous. No split is required.</x:t>
        </x:is>
      </x:c>
    </x:row>
    <x:row r="630" ht="72" customHeight="1">
      <x:c r="A630" s="2" t="inlineStr">
        <x:is>
          <x:t xml:space="preserve">Stolephorus</x:t>
        </x:is>
      </x:c>
      <x:c r="B630" s="2" t="inlineStr">
        <x:is>
          <x:t xml:space="preserve">Pelagic fish (≤ 30 cm)</x:t>
        </x:is>
      </x:c>
      <x:c r="C630" s="2">
        <x:v>29</x:v>
      </x:c>
      <x:c r="D630" s="8">
        <x:v>2.345</x:v>
      </x:c>
      <x:c r="E630" s="8">
        <x:v>1.772</x:v>
      </x:c>
      <x:c r="F630" s="8" t="inlineStr">
        <x:is>
          <x:t xml:space="preserve">No split</x:t>
        </x:is>
      </x:c>
      <x:c r="G630" s="8">
        <x:f>SUMIFS($D$6:$D$681,$A$6:$A$681,A630)</x:f>
        <x:v>2.345</x:v>
      </x:c>
      <x:c r="H630" s="9">
        <x:f>1</x:f>
        <x:v>1</x:v>
      </x:c>
      <x:c r="I630" s="2" t="inlineStr">
        <x:is>
          <x:t xml:space="preserve">High</x:t>
        </x:is>
      </x:c>
      <x:c r="J630" s="2" t="inlineStr">
        <x:is>
          <x:t xml:space="preserve">The genus inventory supports a small-bodied pelagic lineage without a dedicated competing group. Most maxima are SL or unspecified; the full regional catch concept and TL boundary remain inferred. No split is required.</x:t>
        </x:is>
      </x:c>
    </x:row>
    <x:row r="631" ht="80" customHeight="1">
      <x:c r="A631" s="2" t="inlineStr">
        <x:is>
          <x:t xml:space="preserve">Stromateidae</x:t>
        </x:is>
      </x:c>
      <x:c r="B631" s="2" t="inlineStr">
        <x:is>
          <x:t xml:space="preserve">Pomfret (stromateids)</x:t>
        </x:is>
      </x:c>
      <x:c r="C631" s="2">
        <x:v>18</x:v>
      </x:c>
      <x:c r="D631" s="8">
        <x:v>0.239</x:v>
      </x:c>
      <x:c r="E631" s="8">
        <x:v>0.108</x:v>
      </x:c>
      <x:c r="F631" s="8" t="inlineStr">
        <x:is>
          <x:t xml:space="preserve">No split</x:t>
        </x:is>
      </x:c>
      <x:c r="G631" s="8">
        <x:f>SUMIFS($D$6:$D$681,$A$6:$A$681,A631)</x:f>
        <x:v>0.239</x:v>
      </x:c>
      <x:c r="H631" s="9">
        <x:f>1</x:f>
        <x:v>1</x:v>
      </x:c>
      <x:c r="I631" s="2" t="inlineStr">
        <x:is>
          <x:t xml:space="preserve">High</x:t>
        </x:is>
      </x:c>
      <x:c r="J631" s="2" t="inlineStr">
        <x:is>
          <x:t xml:space="preserve">Stromateidae is within Stromateidae, expressly used as the source group boundary. Parameter species are examples, not a closed list; residual size/habitat pools do not compete. The broader biomass-survey assemblage does not expand membership beyond Stromateidae. No split is required.</x:t>
        </x:is>
      </x:c>
    </x:row>
    <x:row r="632" ht="72" customHeight="1">
      <x:c r="A632" s="2" t="inlineStr">
        <x:is>
          <x:t xml:space="preserve">Synodontidae</x:t>
        </x:is>
      </x:c>
      <x:c r="B632" s="2" t="inlineStr">
        <x:is>
          <x:t xml:space="preserve">Lizard fish (synodontids)</x:t>
        </x:is>
      </x:c>
      <x:c r="C632" s="2">
        <x:v>15</x:v>
      </x:c>
      <x:c r="D632" s="8">
        <x:v>0.0234</x:v>
      </x:c>
      <x:c r="E632" s="8">
        <x:v>0.032</x:v>
      </x:c>
      <x:c r="F632" s="8" t="inlineStr">
        <x:is>
          <x:t xml:space="preserve">No split</x:t>
        </x:is>
      </x:c>
      <x:c r="G632" s="8">
        <x:f>SUMIFS($D$6:$D$681,$A$6:$A$681,A632)</x:f>
        <x:v>0.0234</x:v>
      </x:c>
      <x:c r="H632" s="9">
        <x:f>1</x:f>
        <x:v>1</x:v>
      </x:c>
      <x:c r="I632" s="2" t="inlineStr">
        <x:is>
          <x:t xml:space="preserve">High</x:t>
        </x:is>
      </x:c>
      <x:c r="J632" s="2" t="inlineStr">
        <x:is>
          <x:t xml:space="preserve">Synodontidae fits the source Synodontidae concept. Explicit inclusion of Saurida tumbil and S. undosquamis anchors the historical boundary despite modern Harpadontidae placement. No split is required.</x:t>
        </x:is>
      </x:c>
    </x:row>
    <x:row r="633" ht="72" customHeight="1">
      <x:c r="A633" s="2" t="inlineStr">
        <x:is>
          <x:t xml:space="preserve">Tegillarca granosa</x:t>
        </x:is>
      </x:c>
      <x:c r="B633" s="2" t="inlineStr">
        <x:is>
          <x:t xml:space="preserve">Non-ceph molluscs</x:t>
        </x:is>
      </x:c>
      <x:c r="C633" s="2">
        <x:v>8</x:v>
      </x:c>
      <x:c r="D633" s="8">
        <x:v>0.7623</x:v>
      </x:c>
      <x:c r="E633" s="8">
        <x:v>2.68</x:v>
      </x:c>
      <x:c r="F633" s="8" t="inlineStr">
        <x:is>
          <x:t xml:space="preserve">No split</x:t>
        </x:is>
      </x:c>
      <x:c r="G633" s="8">
        <x:f>SUMIFS($D$6:$D$681,$A$6:$A$681,A633)</x:f>
        <x:v>0.7623</x:v>
      </x:c>
      <x:c r="H633" s="9">
        <x:f>1</x:f>
        <x:v>1</x:v>
      </x:c>
      <x:c r="I633" s="2" t="inlineStr">
        <x:is>
          <x:t xml:space="preserve">High</x:t>
        </x:is>
      </x:c>
      <x:c r="J633" s="2" t="inlineStr">
        <x:is>
          <x:t xml:space="preserve">Tegillarca granosa is a non-cephalopod mollusc. The source derives this catch by removing Cephalopoda from mollusc catch; no competing mollusc compartment contains this lineage. No split is required.</x:t>
        </x:is>
      </x:c>
    </x:row>
    <x:row r="634" ht="128" customHeight="1">
      <x:c r="A634" s="2" t="inlineStr">
        <x:is>
          <x:t xml:space="preserve">Tenualosa toli</x:t>
        </x:is>
      </x:c>
      <x:c r="B634" s="2" t="inlineStr">
        <x:is>
          <x:t xml:space="preserve">Juvenile large pelagic fish</x:t>
        </x:is>
      </x:c>
      <x:c r="C634" s="2">
        <x:v>30</x:v>
      </x:c>
      <x:c r="D634" s="8">
        <x:v>0.7384</x:v>
      </x:c>
      <x:c r="E634" s="8">
        <x:v>0.289</x:v>
      </x:c>
      <x:c r="F634" s="8" t="inlineStr">
        <x:is>
          <x:t xml:space="preserve">Model catch</x:t>
        </x:is>
      </x:c>
      <x:c r="G634" s="8">
        <x:f>SUMIFS($D$6:$D$681,$A$6:$A$681,A634)</x:f>
        <x:v>0.8205</x:v>
      </x:c>
      <x:c r="H634" s="9">
        <x:f>D634/G634</x:f>
        <x:v>0.8999390615478366</x:v>
      </x:c>
      <x:c r="I634" s="2" t="inlineStr">
        <x:is>
          <x:t xml:space="preserve">Medium</x:t>
        </x:is>
      </x:c>
      <x:c r="J63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x:t>
        </x:is>
      </x:c>
    </x:row>
    <x:row r="635" ht="128" customHeight="1">
      <x:c r="A635" s="2" t="inlineStr">
        <x:is>
          <x:t xml:space="preserve">Tenualosa toli</x:t>
        </x:is>
      </x:c>
      <x:c r="B635" s="2" t="inlineStr">
        <x:is>
          <x:t xml:space="preserve">Pelagic fish (&gt; 30 cm)</x:t>
        </x:is>
      </x:c>
      <x:c r="C635" s="2">
        <x:v>31</x:v>
      </x:c>
      <x:c r="D635" s="8">
        <x:v>0.0821</x:v>
      </x:c>
      <x:c r="E635" s="8">
        <x:v>0.079</x:v>
      </x:c>
      <x:c r="F635" s="8" t="inlineStr">
        <x:is>
          <x:t xml:space="preserve">Model catch</x:t>
        </x:is>
      </x:c>
      <x:c r="G635" s="8">
        <x:f>SUMIFS($D$6:$D$681,$A$6:$A$681,A635)</x:f>
        <x:v>0.8205</x:v>
      </x:c>
      <x:c r="H635" s="9">
        <x:f>D635/G635</x:f>
        <x:v>0.1000609384521633</x:v>
      </x:c>
      <x:c r="I635" s="2" t="inlineStr">
        <x:is>
          <x:t xml:space="preserve">Medium</x:t>
        </x:is>
      </x:c>
      <x:c r="J63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x:t>
        </x:is>
      </x:c>
    </x:row>
    <x:row r="636" ht="96" customHeight="1">
      <x:c r="A636" s="2" t="inlineStr">
        <x:is>
          <x:t xml:space="preserve">Terapon</x:t>
        </x:is>
      </x:c>
      <x:c r="B636" s="2" t="inlineStr">
        <x:is>
          <x:t xml:space="preserve">Demesral fish (≤ 30 cm)</x:t>
        </x:is>
      </x:c>
      <x:c r="C636" s="2">
        <x:v>24</x:v>
      </x:c>
      <x:c r="D636" s="8">
        <x:v>0.1788</x:v>
      </x:c>
      <x:c r="E636" s="8">
        <x:v>0.316</x:v>
      </x:c>
      <x:c r="F636" s="8" t="inlineStr">
        <x:is>
          <x:t xml:space="preserve">Model catch</x:t>
        </x:is>
      </x:c>
      <x:c r="G636" s="8">
        <x:f>SUMIFS($D$6:$D$681,$A$6:$A$681,A636)</x:f>
        <x:v>0.5305</x:v>
      </x:c>
      <x:c r="H636" s="9">
        <x:f>D636/G636</x:f>
        <x:v>0.33704052780395855</x:v>
      </x:c>
      <x:c r="I636" s="2" t="inlineStr">
        <x:is>
          <x:t xml:space="preserve">Medium</x:t>
        </x:is>
      </x:c>
      <x:c r="J636" s="2" t="inlineStr">
        <x:is>
          <x:t xml:space="preserve">Terapon puta has maximum 30 cm TL, on the inclusive small side; T. jarbua reaches 36 cm TL and T. theraps 30 cm SL excludes a secure small assignment. Both demersal size classes are retained under a regional genus-composition assumption. Source-model catch proportions supply an assumed fixed 1950–2019/all-bases mixture; they are not observed taxon-specific catches.</x:t>
        </x:is>
      </x:c>
    </x:row>
    <x:row r="637" ht="96" customHeight="1">
      <x:c r="A637" s="2" t="inlineStr">
        <x:is>
          <x:t xml:space="preserve">Terapon</x:t>
        </x:is>
      </x:c>
      <x:c r="B637" s="2" t="inlineStr">
        <x:is>
          <x:t xml:space="preserve">Juvenile demersal fish (&gt; 30 cm)</x:t>
        </x:is>
      </x:c>
      <x:c r="C637" s="2">
        <x:v>25</x:v>
      </x:c>
      <x:c r="D637" s="8">
        <x:v>0.3165</x:v>
      </x:c>
      <x:c r="E637" s="8">
        <x:v>0.143</x:v>
      </x:c>
      <x:c r="F637" s="8" t="inlineStr">
        <x:is>
          <x:t xml:space="preserve">Model catch</x:t>
        </x:is>
      </x:c>
      <x:c r="G637" s="8">
        <x:f>SUMIFS($D$6:$D$681,$A$6:$A$681,A637)</x:f>
        <x:v>0.5305</x:v>
      </x:c>
      <x:c r="H637" s="9">
        <x:f>D637/G637</x:f>
        <x:v>0.5966069745523092</x:v>
      </x:c>
      <x:c r="I637" s="2" t="inlineStr">
        <x:is>
          <x:t xml:space="preserve">Medium</x:t>
        </x:is>
      </x:c>
      <x:c r="J637" s="2" t="inlineStr">
        <x:is>
          <x:t xml:space="preserve">Terapon puta has maximum 30 cm TL, on the inclusive small side; T. jarbua reaches 36 cm TL and T. theraps 30 cm SL excludes a secure small assignment. Both demersal size classes are retained under a regional genus-composition assumption. Source-model catch proportions supply an assumed fixed 1950–2019/all-bases mixture; they are not observed taxon-specific catches.</x:t>
        </x:is>
      </x:c>
    </x:row>
    <x:row r="638" ht="96" customHeight="1">
      <x:c r="A638" s="2" t="inlineStr">
        <x:is>
          <x:t xml:space="preserve">Terapon</x:t>
        </x:is>
      </x:c>
      <x:c r="B638" s="2" t="inlineStr">
        <x:is>
          <x:t xml:space="preserve">Adult demersal fish (&gt; 30 cm)</x:t>
        </x:is>
      </x:c>
      <x:c r="C638" s="2">
        <x:v>26</x:v>
      </x:c>
      <x:c r="D638" s="8">
        <x:v>0.0352</x:v>
      </x:c>
      <x:c r="E638" s="8">
        <x:v>0.021</x:v>
      </x:c>
      <x:c r="F638" s="8" t="inlineStr">
        <x:is>
          <x:t xml:space="preserve">Model catch</x:t>
        </x:is>
      </x:c>
      <x:c r="G638" s="8">
        <x:f>SUMIFS($D$6:$D$681,$A$6:$A$681,A638)</x:f>
        <x:v>0.5305</x:v>
      </x:c>
      <x:c r="H638" s="9">
        <x:f>D638/G638</x:f>
        <x:v>0.06635249764373234</x:v>
      </x:c>
      <x:c r="I638" s="2" t="inlineStr">
        <x:is>
          <x:t xml:space="preserve">Medium</x:t>
        </x:is>
      </x:c>
      <x:c r="J638" s="2" t="inlineStr">
        <x:is>
          <x:t xml:space="preserve">Terapon puta has maximum 30 cm TL, on the inclusive small side; T. jarbua reaches 36 cm TL and T. theraps 30 cm SL excludes a secure small assignment. Both demersal size classes are retained under a regional genus-composition assumption. Source-model catch proportions supply an assumed fixed 1950–2019/all-bases mixture; they are not observed taxon-specific catches.</x:t>
        </x:is>
      </x:c>
    </x:row>
    <x:row r="639" ht="96" customHeight="1">
      <x:c r="A639" s="2" t="inlineStr">
        <x:is>
          <x:t xml:space="preserve">Terapontidae</x:t>
        </x:is>
      </x:c>
      <x:c r="B639" s="2" t="inlineStr">
        <x:is>
          <x:t xml:space="preserve">Demesral fish (≤ 30 cm)</x:t>
        </x:is>
      </x:c>
      <x:c r="C639" s="2">
        <x:v>24</x:v>
      </x:c>
      <x:c r="D639" s="8">
        <x:v>0.1788</x:v>
      </x:c>
      <x:c r="E639" s="8">
        <x:v>0.316</x:v>
      </x:c>
      <x:c r="F639" s="8" t="inlineStr">
        <x:is>
          <x:t xml:space="preserve">Model catch</x:t>
        </x:is>
      </x:c>
      <x:c r="G639" s="8">
        <x:f>SUMIFS($D$6:$D$681,$A$6:$A$681,A639)</x:f>
        <x:v>0.5305</x:v>
      </x:c>
      <x:c r="H639" s="9">
        <x:f>D639/G639</x:f>
        <x:v>0.33704052780395855</x:v>
      </x:c>
      <x:c r="I639" s="2" t="inlineStr">
        <x:is>
          <x:t xml:space="preserve">Medium</x:t>
        </x:is>
      </x:c>
      <x:c r="J639" s="2" t="inlineStr">
        <x:is>
          <x:t xml:space="preserve">The relevant marine/estuarine Terapon components include T. puta (30 cm TL) and larger T. jarbua. Their two species-size classes are inferred for marine family catch; unrelated freshwater family components are not asserted to occur in this marine catch category. Source-model catch proportions supply an assumed fixed 1950–2019/all-bases mixture; they are not observed taxon-specific catches.</x:t>
        </x:is>
      </x:c>
    </x:row>
    <x:row r="640" ht="96" customHeight="1">
      <x:c r="A640" s="2" t="inlineStr">
        <x:is>
          <x:t xml:space="preserve">Terapontidae</x:t>
        </x:is>
      </x:c>
      <x:c r="B640" s="2" t="inlineStr">
        <x:is>
          <x:t xml:space="preserve">Juvenile demersal fish (&gt; 30 cm)</x:t>
        </x:is>
      </x:c>
      <x:c r="C640" s="2">
        <x:v>25</x:v>
      </x:c>
      <x:c r="D640" s="8">
        <x:v>0.3165</x:v>
      </x:c>
      <x:c r="E640" s="8">
        <x:v>0.143</x:v>
      </x:c>
      <x:c r="F640" s="8" t="inlineStr">
        <x:is>
          <x:t xml:space="preserve">Model catch</x:t>
        </x:is>
      </x:c>
      <x:c r="G640" s="8">
        <x:f>SUMIFS($D$6:$D$681,$A$6:$A$681,A640)</x:f>
        <x:v>0.5305</x:v>
      </x:c>
      <x:c r="H640" s="9">
        <x:f>D640/G640</x:f>
        <x:v>0.5966069745523092</x:v>
      </x:c>
      <x:c r="I640" s="2" t="inlineStr">
        <x:is>
          <x:t xml:space="preserve">Medium</x:t>
        </x:is>
      </x:c>
      <x:c r="J640" s="2" t="inlineStr">
        <x:is>
          <x:t xml:space="preserve">The relevant marine/estuarine Terapon components include T. puta (30 cm TL) and larger T. jarbua. Their two species-size classes are inferred for marine family catch; unrelated freshwater family components are not asserted to occur in this marine catch category. Source-model catch proportions supply an assumed fixed 1950–2019/all-bases mixture; they are not observed taxon-specific catches.</x:t>
        </x:is>
      </x:c>
    </x:row>
    <x:row r="641" ht="96" customHeight="1">
      <x:c r="A641" s="2" t="inlineStr">
        <x:is>
          <x:t xml:space="preserve">Terapontidae</x:t>
        </x:is>
      </x:c>
      <x:c r="B641" s="2" t="inlineStr">
        <x:is>
          <x:t xml:space="preserve">Adult demersal fish (&gt; 30 cm)</x:t>
        </x:is>
      </x:c>
      <x:c r="C641" s="2">
        <x:v>26</x:v>
      </x:c>
      <x:c r="D641" s="8">
        <x:v>0.0352</x:v>
      </x:c>
      <x:c r="E641" s="8">
        <x:v>0.021</x:v>
      </x:c>
      <x:c r="F641" s="8" t="inlineStr">
        <x:is>
          <x:t xml:space="preserve">Model catch</x:t>
        </x:is>
      </x:c>
      <x:c r="G641" s="8">
        <x:f>SUMIFS($D$6:$D$681,$A$6:$A$681,A641)</x:f>
        <x:v>0.5305</x:v>
      </x:c>
      <x:c r="H641" s="9">
        <x:f>D641/G641</x:f>
        <x:v>0.06635249764373234</x:v>
      </x:c>
      <x:c r="I641" s="2" t="inlineStr">
        <x:is>
          <x:t xml:space="preserve">Medium</x:t>
        </x:is>
      </x:c>
      <x:c r="J641" s="2" t="inlineStr">
        <x:is>
          <x:t xml:space="preserve">The relevant marine/estuarine Terapon components include T. puta (30 cm TL) and larger T. jarbua. Their two species-size classes are inferred for marine family catch; unrelated freshwater family components are not asserted to occur in this marine catch category. Source-model catch proportions supply an assumed fixed 1950–2019/all-bases mixture; they are not observed taxon-specific catches.</x:t>
        </x:is>
      </x:c>
    </x:row>
    <x:row r="642" ht="96" customHeight="1">
      <x:c r="A642" s="2" t="inlineStr">
        <x:is>
          <x:t xml:space="preserve">Tetraodontidae</x:t>
        </x:is>
      </x:c>
      <x:c r="B642" s="2" t="inlineStr">
        <x:is>
          <x:t xml:space="preserve">Juvenile demersal fish (&gt; 30 cm)</x:t>
        </x:is>
      </x:c>
      <x:c r="C642" s="2">
        <x:v>25</x:v>
      </x:c>
      <x:c r="D642" s="8">
        <x:v>0.3165</x:v>
      </x:c>
      <x:c r="E642" s="8">
        <x:v>0.143</x:v>
      </x:c>
      <x:c r="F642" s="8" t="inlineStr">
        <x:is>
          <x:t xml:space="preserve">Model catch</x:t>
        </x:is>
      </x:c>
      <x:c r="G642" s="8">
        <x:f>SUMIFS($D$6:$D$681,$A$6:$A$681,A642)</x:f>
        <x:v>0.3517</x:v>
      </x:c>
      <x:c r="H642" s="9">
        <x:f>D642/G642</x:f>
        <x:v>0.8999147000284333</x:v>
      </x:c>
      <x:c r="I642" s="2" t="inlineStr">
        <x:is>
          <x:t xml:space="preserve">Medium</x:t>
        </x:is>
      </x:c>
      <x:c r="J642" s="2" t="inlineStr">
        <x:is>
          <x:t xml:space="preserve">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x:t>
        </x:is>
      </x:c>
    </x:row>
    <x:row r="643" ht="96" customHeight="1">
      <x:c r="A643" s="2" t="inlineStr">
        <x:is>
          <x:t xml:space="preserve">Tetraodontidae</x:t>
        </x:is>
      </x:c>
      <x:c r="B643" s="2" t="inlineStr">
        <x:is>
          <x:t xml:space="preserve">Adult demersal fish (&gt; 30 cm)</x:t>
        </x:is>
      </x:c>
      <x:c r="C643" s="2">
        <x:v>26</x:v>
      </x:c>
      <x:c r="D643" s="8">
        <x:v>0.0352</x:v>
      </x:c>
      <x:c r="E643" s="8">
        <x:v>0.021</x:v>
      </x:c>
      <x:c r="F643" s="8" t="inlineStr">
        <x:is>
          <x:t xml:space="preserve">Model catch</x:t>
        </x:is>
      </x:c>
      <x:c r="G643" s="8">
        <x:f>SUMIFS($D$6:$D$681,$A$6:$A$681,A643)</x:f>
        <x:v>0.3517</x:v>
      </x:c>
      <x:c r="H643" s="9">
        <x:f>D643/G643</x:f>
        <x:v>0.1000852999715667</x:v>
      </x:c>
      <x:c r="I643" s="2" t="inlineStr">
        <x:is>
          <x:t xml:space="preserve">Medium</x:t>
        </x:is>
      </x:c>
      <x:c r="J643" s="2" t="inlineStr">
        <x:is>
          <x:t xml:space="preserve">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x:t>
        </x:is>
      </x:c>
    </x:row>
    <x:row r="644" ht="96" customHeight="1">
      <x:c r="A644" s="2" t="inlineStr">
        <x:is>
          <x:t xml:space="preserve">Tetrapturus angustirostris</x:t>
        </x:is>
      </x:c>
      <x:c r="B644" s="2" t="inlineStr">
        <x:is>
          <x:t xml:space="preserve">Juvenile large pelagic fish</x:t>
        </x:is>
      </x:c>
      <x:c r="C644" s="2">
        <x:v>30</x:v>
      </x:c>
      <x:c r="D644" s="8">
        <x:v>0.7384</x:v>
      </x:c>
      <x:c r="E644" s="8">
        <x:v>0.289</x:v>
      </x:c>
      <x:c r="F644" s="8" t="inlineStr">
        <x:is>
          <x:t xml:space="preserve">Model catch</x:t>
        </x:is>
      </x:c>
      <x:c r="G644" s="8">
        <x:f>SUMIFS($D$6:$D$681,$A$6:$A$681,A644)</x:f>
        <x:v>0.8205</x:v>
      </x:c>
      <x:c r="H644" s="9">
        <x:f>D644/G644</x:f>
        <x:v>0.8999390615478366</x:v>
      </x:c>
      <x:c r="I644" s="2" t="inlineStr">
        <x:is>
          <x:t xml:space="preserve">Medium</x:t>
        </x:is>
      </x:c>
      <x:c r="J644" s="2" t="inlineStr">
        <x:is>
          <x:t xml:space="preserve">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x:t>
        </x:is>
      </x:c>
    </x:row>
    <x:row r="645" ht="96" customHeight="1">
      <x:c r="A645" s="2" t="inlineStr">
        <x:is>
          <x:t xml:space="preserve">Tetrapturus angustirostris</x:t>
        </x:is>
      </x:c>
      <x:c r="B645" s="2" t="inlineStr">
        <x:is>
          <x:t xml:space="preserve">Pelagic fish (&gt; 30 cm)</x:t>
        </x:is>
      </x:c>
      <x:c r="C645" s="2">
        <x:v>31</x:v>
      </x:c>
      <x:c r="D645" s="8">
        <x:v>0.0821</x:v>
      </x:c>
      <x:c r="E645" s="8">
        <x:v>0.079</x:v>
      </x:c>
      <x:c r="F645" s="8" t="inlineStr">
        <x:is>
          <x:t xml:space="preserve">Model catch</x:t>
        </x:is>
      </x:c>
      <x:c r="G645" s="8">
        <x:f>SUMIFS($D$6:$D$681,$A$6:$A$681,A645)</x:f>
        <x:v>0.8205</x:v>
      </x:c>
      <x:c r="H645" s="9">
        <x:f>D645/G645</x:f>
        <x:v>0.10006093845216332</x:v>
      </x:c>
      <x:c r="I645" s="2" t="inlineStr">
        <x:is>
          <x:t xml:space="preserve">Medium</x:t>
        </x:is>
      </x:c>
      <x:c r="J645" s="2" t="inlineStr">
        <x:is>
          <x:t xml:space="preserve">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x:t>
        </x:is>
      </x:c>
    </x:row>
    <x:row r="646" ht="80" customHeight="1">
      <x:c r="A646" s="2" t="inlineStr">
        <x:is>
          <x:t xml:space="preserve">Teuthida</x:t>
        </x:is>
      </x:c>
      <x:c r="B646" s="2" t="inlineStr">
        <x:is>
          <x:t xml:space="preserve">Cephalopods</x:t>
        </x:is>
      </x:c>
      <x:c r="C646" s="2">
        <x:v>12</x:v>
      </x:c>
      <x:c r="D646" s="8">
        <x:v>0.2733</x:v>
      </x:c>
      <x:c r="E646" s="8">
        <x:v>0.68</x:v>
      </x:c>
      <x:c r="F646" s="8" t="inlineStr">
        <x:is>
          <x:t xml:space="preserve">No split</x:t>
        </x:is>
      </x:c>
      <x:c r="G646" s="8">
        <x:f>SUMIFS($D$6:$D$681,$A$6:$A$681,A646)</x:f>
        <x:v>0.2733</x:v>
      </x:c>
      <x:c r="H646" s="9">
        <x:f>1</x:f>
        <x:v>1</x:v>
      </x:c>
      <x:c r="I646" s="2" t="inlineStr">
        <x:is>
          <x:t xml:space="preserve">High</x:t>
        </x:is>
      </x:c>
      <x:c r="J646" s="2" t="inlineStr">
        <x:is>
          <x:t xml:space="preserve">Teuthida is within Cephalopoda. Biomass estimation from two dominant Loligo species does not restrict the source group to those species or to squid. The questioned ordinal name remains inside Cephalopoda; uncertainty is group-invariant. No split is required.</x:t>
        </x:is>
      </x:c>
    </x:row>
    <x:row r="647" ht="72" customHeight="1">
      <x:c r="A647" s="2" t="inlineStr">
        <x:is>
          <x:t xml:space="preserve">Thenus orientalis</x:t>
        </x:is>
      </x:c>
      <x:c r="B647" s="2" t="inlineStr">
        <x:is>
          <x:t xml:space="preserve">Benthic crustaceans</x:t>
        </x:is>
      </x:c>
      <x:c r="C647" s="2">
        <x:v>7</x:v>
      </x:c>
      <x:c r="D647" s="8">
        <x:v>0.0391</x:v>
      </x:c>
      <x:c r="E647" s="8">
        <x:v>1.43</x:v>
      </x:c>
      <x:c r="F647" s="8" t="inlineStr">
        <x:is>
          <x:t xml:space="preserve">No split</x:t>
        </x:is>
      </x:c>
      <x:c r="G647" s="8">
        <x:f>SUMIFS($D$6:$D$681,$A$6:$A$681,A647)</x:f>
        <x:v>0.0391</x:v>
      </x:c>
      <x:c r="H647" s="9">
        <x:f>1</x:f>
        <x:v>1</x:v>
      </x:c>
      <x:c r="I647" s="2" t="inlineStr">
        <x:is>
          <x:t xml:space="preserve">High</x:t>
        </x:is>
      </x:c>
      <x:c r="J647" s="2" t="inlineStr">
        <x:is>
          <x:t xml:space="preserve">Thenus orientalis is a benthic lobster lineage in the residual crustacean pool after shrimp/crab exclusions. Oratosquilla is a parameter example, not the complete membership. No split is required.</x:t>
        </x:is>
      </x:c>
    </x:row>
    <x:row r="648" ht="80" customHeight="1">
      <x:c r="A648" s="2" t="inlineStr">
        <x:is>
          <x:t xml:space="preserve">Thryssa</x:t>
        </x:is>
      </x:c>
      <x:c r="B648" s="2" t="inlineStr">
        <x:is>
          <x:t xml:space="preserve">Pelagic fish (≤ 30 cm)</x:t>
        </x:is>
      </x:c>
      <x:c r="C648" s="2">
        <x:v>29</x:v>
      </x:c>
      <x:c r="D648" s="8">
        <x:v>2.345</x:v>
      </x:c>
      <x:c r="E648" s="8">
        <x:v>1.772</x:v>
      </x:c>
      <x:c r="F648" s="8" t="inlineStr">
        <x:is>
          <x:t xml:space="preserve">No split</x:t>
        </x:is>
      </x:c>
      <x:c r="G648" s="8">
        <x:f>SUMIFS($D$6:$D$681,$A$6:$A$681,A648)</x:f>
        <x:v>2.345</x:v>
      </x:c>
      <x:c r="H648" s="9">
        <x:f>1</x:f>
        <x:v>1</x:v>
      </x:c>
      <x:c r="I648" s="2" t="inlineStr">
        <x:is>
          <x:t xml:space="preserve">High</x:t>
        </x:is>
      </x:c>
      <x:c r="J648" s="2" t="inlineStr">
        <x:is>
          <x:t xml:space="preserve">Source thryssa examples support regional small-pelagic placement. The genus inventory includes near-boundary SL records and a large New Guinea freshwater exception. That distant exception does not prove regional misplacement, but an unconditional whole-genus High claim is not established. No split is required.</x:t>
        </x:is>
      </x:c>
    </x:row>
    <x:row r="649" ht="80" customHeight="1">
      <x:c r="A649" s="2" t="inlineStr">
        <x:is>
          <x:t xml:space="preserve">Thunnus</x:t>
        </x:is>
      </x:c>
      <x:c r="B649" s="2" t="inlineStr">
        <x:is>
          <x:t xml:space="preserve">Juvenile large pelagic fish</x:t>
        </x:is>
      </x:c>
      <x:c r="C649" s="2">
        <x:v>30</x:v>
      </x:c>
      <x:c r="D649" s="8">
        <x:v>0.7384</x:v>
      </x:c>
      <x:c r="E649" s="8">
        <x:v>0.289</x:v>
      </x:c>
      <x:c r="F649" s="8" t="inlineStr">
        <x:is>
          <x:t xml:space="preserve">Model catch</x:t>
        </x:is>
      </x:c>
      <x:c r="G649" s="8">
        <x:f>SUMIFS($D$6:$D$681,$A$6:$A$681,A649)</x:f>
        <x:v>0.8205</x:v>
      </x:c>
      <x:c r="H649" s="9">
        <x:f>D649/G649</x:f>
        <x:v>0.8999390615478366</x:v>
      </x:c>
      <x:c r="I649" s="2" t="inlineStr">
        <x:is>
          <x:t xml:space="preserve">Medium</x:t>
        </x:is>
      </x:c>
      <x:c r="J649" s="2" t="inlineStr">
        <x:is>
          <x:t xml:space="preserve">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x:t>
        </x:is>
      </x:c>
    </x:row>
    <x:row r="650" ht="80" customHeight="1">
      <x:c r="A650" s="2" t="inlineStr">
        <x:is>
          <x:t xml:space="preserve">Thunnus</x:t>
        </x:is>
      </x:c>
      <x:c r="B650" s="2" t="inlineStr">
        <x:is>
          <x:t xml:space="preserve">Pelagic fish (&gt; 30 cm)</x:t>
        </x:is>
      </x:c>
      <x:c r="C650" s="2">
        <x:v>31</x:v>
      </x:c>
      <x:c r="D650" s="8">
        <x:v>0.0821</x:v>
      </x:c>
      <x:c r="E650" s="8">
        <x:v>0.079</x:v>
      </x:c>
      <x:c r="F650" s="8" t="inlineStr">
        <x:is>
          <x:t xml:space="preserve">Model catch</x:t>
        </x:is>
      </x:c>
      <x:c r="G650" s="8">
        <x:f>SUMIFS($D$6:$D$681,$A$6:$A$681,A650)</x:f>
        <x:v>0.8205</x:v>
      </x:c>
      <x:c r="H650" s="9">
        <x:f>D650/G650</x:f>
        <x:v>0.1000609384521633</x:v>
      </x:c>
      <x:c r="I650" s="2" t="inlineStr">
        <x:is>
          <x:t xml:space="preserve">Medium</x:t>
        </x:is>
      </x:c>
      <x:c r="J650" s="2" t="inlineStr">
        <x:is>
          <x:t xml:space="preserve">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x:t>
        </x:is>
      </x:c>
    </x:row>
    <x:row r="651" ht="128" customHeight="1">
      <x:c r="A651" s="2" t="inlineStr">
        <x:is>
          <x:t xml:space="preserve">Thunnus alalunga</x:t>
        </x:is>
      </x:c>
      <x:c r="B651" s="2" t="inlineStr">
        <x:is>
          <x:t xml:space="preserve">Juvenile large pelagic fish</x:t>
        </x:is>
      </x:c>
      <x:c r="C651" s="2">
        <x:v>30</x:v>
      </x:c>
      <x:c r="D651" s="8">
        <x:v>0.7384</x:v>
      </x:c>
      <x:c r="E651" s="8">
        <x:v>0.289</x:v>
      </x:c>
      <x:c r="F651" s="8" t="inlineStr">
        <x:is>
          <x:t xml:space="preserve">Model catch</x:t>
        </x:is>
      </x:c>
      <x:c r="G651" s="8">
        <x:f>SUMIFS($D$6:$D$681,$A$6:$A$681,A651)</x:f>
        <x:v>0.8205</x:v>
      </x:c>
      <x:c r="H651" s="9">
        <x:f>D651/G651</x:f>
        <x:v>0.8999390615478366</x:v>
      </x:c>
      <x:c r="I651" s="2" t="inlineStr">
        <x:is>
          <x:t xml:space="preserve">Medium</x:t>
        </x:is>
      </x:c>
      <x:c r="J651"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x:t>
        </x:is>
      </x:c>
    </x:row>
    <x:row r="652" ht="128" customHeight="1">
      <x:c r="A652" s="2" t="inlineStr">
        <x:is>
          <x:t xml:space="preserve">Thunnus alalunga</x:t>
        </x:is>
      </x:c>
      <x:c r="B652" s="2" t="inlineStr">
        <x:is>
          <x:t xml:space="preserve">Pelagic fish (&gt; 30 cm)</x:t>
        </x:is>
      </x:c>
      <x:c r="C652" s="2">
        <x:v>31</x:v>
      </x:c>
      <x:c r="D652" s="8">
        <x:v>0.0821</x:v>
      </x:c>
      <x:c r="E652" s="8">
        <x:v>0.079</x:v>
      </x:c>
      <x:c r="F652" s="8" t="inlineStr">
        <x:is>
          <x:t xml:space="preserve">Model catch</x:t>
        </x:is>
      </x:c>
      <x:c r="G652" s="8">
        <x:f>SUMIFS($D$6:$D$681,$A$6:$A$681,A652)</x:f>
        <x:v>0.8205</x:v>
      </x:c>
      <x:c r="H652" s="9">
        <x:f>D652/G652</x:f>
        <x:v>0.1000609384521633</x:v>
      </x:c>
      <x:c r="I652" s="2" t="inlineStr">
        <x:is>
          <x:t xml:space="preserve">Medium</x:t>
        </x:is>
      </x:c>
      <x:c r="J652"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x:t>
        </x:is>
      </x:c>
    </x:row>
    <x:row r="653" ht="128" customHeight="1">
      <x:c r="A653" s="2" t="inlineStr">
        <x:is>
          <x:t xml:space="preserve">Thunnus albacares</x:t>
        </x:is>
      </x:c>
      <x:c r="B653" s="2" t="inlineStr">
        <x:is>
          <x:t xml:space="preserve">Juvenile large pelagic fish</x:t>
        </x:is>
      </x:c>
      <x:c r="C653" s="2">
        <x:v>30</x:v>
      </x:c>
      <x:c r="D653" s="8">
        <x:v>0.7384</x:v>
      </x:c>
      <x:c r="E653" s="8">
        <x:v>0.289</x:v>
      </x:c>
      <x:c r="F653" s="8" t="inlineStr">
        <x:is>
          <x:t xml:space="preserve">Model catch</x:t>
        </x:is>
      </x:c>
      <x:c r="G653" s="8">
        <x:f>SUMIFS($D$6:$D$681,$A$6:$A$681,A653)</x:f>
        <x:v>0.8205</x:v>
      </x:c>
      <x:c r="H653" s="9">
        <x:f>D653/G653</x:f>
        <x:v>0.8999390615478366</x:v>
      </x:c>
      <x:c r="I653" s="2" t="inlineStr">
        <x:is>
          <x:t xml:space="preserve">Medium</x:t>
        </x:is>
      </x:c>
      <x:c r="J653"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x:t>
        </x:is>
      </x:c>
    </x:row>
    <x:row r="654" ht="128" customHeight="1">
      <x:c r="A654" s="2" t="inlineStr">
        <x:is>
          <x:t xml:space="preserve">Thunnus albacares</x:t>
        </x:is>
      </x:c>
      <x:c r="B654" s="2" t="inlineStr">
        <x:is>
          <x:t xml:space="preserve">Pelagic fish (&gt; 30 cm)</x:t>
        </x:is>
      </x:c>
      <x:c r="C654" s="2">
        <x:v>31</x:v>
      </x:c>
      <x:c r="D654" s="8">
        <x:v>0.0821</x:v>
      </x:c>
      <x:c r="E654" s="8">
        <x:v>0.079</x:v>
      </x:c>
      <x:c r="F654" s="8" t="inlineStr">
        <x:is>
          <x:t xml:space="preserve">Model catch</x:t>
        </x:is>
      </x:c>
      <x:c r="G654" s="8">
        <x:f>SUMIFS($D$6:$D$681,$A$6:$A$681,A654)</x:f>
        <x:v>0.8205</x:v>
      </x:c>
      <x:c r="H654" s="9">
        <x:f>D654/G654</x:f>
        <x:v>0.1000609384521633</x:v>
      </x:c>
      <x:c r="I654" s="2" t="inlineStr">
        <x:is>
          <x:t xml:space="preserve">Medium</x:t>
        </x:is>
      </x:c>
      <x:c r="J654"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x:t>
        </x:is>
      </x:c>
    </x:row>
    <x:row r="655" ht="128" customHeight="1">
      <x:c r="A655" s="2" t="inlineStr">
        <x:is>
          <x:t xml:space="preserve">Thunnus obesus</x:t>
        </x:is>
      </x:c>
      <x:c r="B655" s="2" t="inlineStr">
        <x:is>
          <x:t xml:space="preserve">Juvenile large pelagic fish</x:t>
        </x:is>
      </x:c>
      <x:c r="C655" s="2">
        <x:v>30</x:v>
      </x:c>
      <x:c r="D655" s="8">
        <x:v>0.7384</x:v>
      </x:c>
      <x:c r="E655" s="8">
        <x:v>0.289</x:v>
      </x:c>
      <x:c r="F655" s="8" t="inlineStr">
        <x:is>
          <x:t xml:space="preserve">Model catch</x:t>
        </x:is>
      </x:c>
      <x:c r="G655" s="8">
        <x:f>SUMIFS($D$6:$D$681,$A$6:$A$681,A655)</x:f>
        <x:v>0.8205</x:v>
      </x:c>
      <x:c r="H655" s="9">
        <x:f>D655/G655</x:f>
        <x:v>0.8999390615478366</x:v>
      </x:c>
      <x:c r="I655" s="2" t="inlineStr">
        <x:is>
          <x:t xml:space="preserve">Medium</x:t>
        </x:is>
      </x:c>
      <x:c r="J655"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t>
        </x:is>
      </x:c>
    </x:row>
    <x:row r="656" ht="128" customHeight="1">
      <x:c r="A656" s="2" t="inlineStr">
        <x:is>
          <x:t xml:space="preserve">Thunnus obesus</x:t>
        </x:is>
      </x:c>
      <x:c r="B656" s="2" t="inlineStr">
        <x:is>
          <x:t xml:space="preserve">Pelagic fish (&gt; 30 cm)</x:t>
        </x:is>
      </x:c>
      <x:c r="C656" s="2">
        <x:v>31</x:v>
      </x:c>
      <x:c r="D656" s="8">
        <x:v>0.0821</x:v>
      </x:c>
      <x:c r="E656" s="8">
        <x:v>0.079</x:v>
      </x:c>
      <x:c r="F656" s="8" t="inlineStr">
        <x:is>
          <x:t xml:space="preserve">Model catch</x:t>
        </x:is>
      </x:c>
      <x:c r="G656" s="8">
        <x:f>SUMIFS($D$6:$D$681,$A$6:$A$681,A656)</x:f>
        <x:v>0.8205</x:v>
      </x:c>
      <x:c r="H656" s="9">
        <x:f>D656/G656</x:f>
        <x:v>0.1000609384521633</x:v>
      </x:c>
      <x:c r="I656" s="2" t="inlineStr">
        <x:is>
          <x:t xml:space="preserve">Medium</x:t>
        </x:is>
      </x:c>
      <x:c r="J656"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t>
        </x:is>
      </x:c>
    </x:row>
    <x:row r="657" ht="128" customHeight="1">
      <x:c r="A657" s="2" t="inlineStr">
        <x:is>
          <x:t xml:space="preserve">Thunnus orientalis</x:t>
        </x:is>
      </x:c>
      <x:c r="B657" s="2" t="inlineStr">
        <x:is>
          <x:t xml:space="preserve">Juvenile large pelagic fish</x:t>
        </x:is>
      </x:c>
      <x:c r="C657" s="2">
        <x:v>30</x:v>
      </x:c>
      <x:c r="D657" s="8">
        <x:v>0.7384</x:v>
      </x:c>
      <x:c r="E657" s="8">
        <x:v>0.289</x:v>
      </x:c>
      <x:c r="F657" s="8" t="inlineStr">
        <x:is>
          <x:t xml:space="preserve">Model catch</x:t>
        </x:is>
      </x:c>
      <x:c r="G657" s="8">
        <x:f>SUMIFS($D$6:$D$681,$A$6:$A$681,A657)</x:f>
        <x:v>0.8205</x:v>
      </x:c>
      <x:c r="H657" s="9">
        <x:f>D657/G657</x:f>
        <x:v>0.8999390615478366</x:v>
      </x:c>
      <x:c r="I657" s="2" t="inlineStr">
        <x:is>
          <x:t xml:space="preserve">Medium</x:t>
        </x:is>
      </x:c>
      <x:c r="J657"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x:t>
        </x:is>
      </x:c>
    </x:row>
    <x:row r="658" ht="128" customHeight="1">
      <x:c r="A658" s="2" t="inlineStr">
        <x:is>
          <x:t xml:space="preserve">Thunnus orientalis</x:t>
        </x:is>
      </x:c>
      <x:c r="B658" s="2" t="inlineStr">
        <x:is>
          <x:t xml:space="preserve">Pelagic fish (&gt; 30 cm)</x:t>
        </x:is>
      </x:c>
      <x:c r="C658" s="2">
        <x:v>31</x:v>
      </x:c>
      <x:c r="D658" s="8">
        <x:v>0.0821</x:v>
      </x:c>
      <x:c r="E658" s="8">
        <x:v>0.079</x:v>
      </x:c>
      <x:c r="F658" s="8" t="inlineStr">
        <x:is>
          <x:t xml:space="preserve">Model catch</x:t>
        </x:is>
      </x:c>
      <x:c r="G658" s="8">
        <x:f>SUMIFS($D$6:$D$681,$A$6:$A$681,A658)</x:f>
        <x:v>0.8205</x:v>
      </x:c>
      <x:c r="H658" s="9">
        <x:f>D658/G658</x:f>
        <x:v>0.1000609384521633</x:v>
      </x:c>
      <x:c r="I658" s="2" t="inlineStr">
        <x:is>
          <x:t xml:space="preserve">Medium</x:t>
        </x:is>
      </x:c>
      <x:c r="J658"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x:t>
        </x:is>
      </x:c>
    </x:row>
    <x:row r="659" ht="128" customHeight="1">
      <x:c r="A659" s="2" t="inlineStr">
        <x:is>
          <x:t xml:space="preserve">Thunnus tonggol</x:t>
        </x:is>
      </x:c>
      <x:c r="B659" s="2" t="inlineStr">
        <x:is>
          <x:t xml:space="preserve">Juvenile large pelagic fish</x:t>
        </x:is>
      </x:c>
      <x:c r="C659" s="2">
        <x:v>30</x:v>
      </x:c>
      <x:c r="D659" s="8">
        <x:v>0.7384</x:v>
      </x:c>
      <x:c r="E659" s="8">
        <x:v>0.289</x:v>
      </x:c>
      <x:c r="F659" s="8" t="inlineStr">
        <x:is>
          <x:t xml:space="preserve">Model catch</x:t>
        </x:is>
      </x:c>
      <x:c r="G659" s="8">
        <x:f>SUMIFS($D$6:$D$681,$A$6:$A$681,A659)</x:f>
        <x:v>0.8205</x:v>
      </x:c>
      <x:c r="H659" s="9">
        <x:f>D659/G659</x:f>
        <x:v>0.8999390615478366</x:v>
      </x:c>
      <x:c r="I659" s="2" t="inlineStr">
        <x:is>
          <x:t xml:space="preserve">Medium</x:t>
        </x:is>
      </x:c>
      <x:c r="J659"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x:t>
        </x:is>
      </x:c>
    </x:row>
    <x:row r="660" ht="128" customHeight="1">
      <x:c r="A660" s="2" t="inlineStr">
        <x:is>
          <x:t xml:space="preserve">Thunnus tonggol</x:t>
        </x:is>
      </x:c>
      <x:c r="B660" s="2" t="inlineStr">
        <x:is>
          <x:t xml:space="preserve">Pelagic fish (&gt; 30 cm)</x:t>
        </x:is>
      </x:c>
      <x:c r="C660" s="2">
        <x:v>31</x:v>
      </x:c>
      <x:c r="D660" s="8">
        <x:v>0.0821</x:v>
      </x:c>
      <x:c r="E660" s="8">
        <x:v>0.079</x:v>
      </x:c>
      <x:c r="F660" s="8" t="inlineStr">
        <x:is>
          <x:t xml:space="preserve">Model catch</x:t>
        </x:is>
      </x:c>
      <x:c r="G660" s="8">
        <x:f>SUMIFS($D$6:$D$681,$A$6:$A$681,A660)</x:f>
        <x:v>0.8205</x:v>
      </x:c>
      <x:c r="H660" s="9">
        <x:f>D660/G660</x:f>
        <x:v>0.1000609384521633</x:v>
      </x:c>
      <x:c r="I660" s="2" t="inlineStr">
        <x:is>
          <x:t xml:space="preserve">Medium</x:t>
        </x:is>
      </x:c>
      <x:c r="J660"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x:t>
        </x:is>
      </x:c>
    </x:row>
    <x:row r="661" ht="72" customHeight="1">
      <x:c r="A661" s="2" t="inlineStr">
        <x:is>
          <x:t xml:space="preserve">Todarodes pacificus</x:t>
        </x:is>
      </x:c>
      <x:c r="B661" s="2" t="inlineStr">
        <x:is>
          <x:t xml:space="preserve">Cephalopods</x:t>
        </x:is>
      </x:c>
      <x:c r="C661" s="2">
        <x:v>12</x:v>
      </x:c>
      <x:c r="D661" s="8">
        <x:v>0.2733</x:v>
      </x:c>
      <x:c r="E661" s="8">
        <x:v>0.68</x:v>
      </x:c>
      <x:c r="F661" s="8" t="inlineStr">
        <x:is>
          <x:t xml:space="preserve">No split</x:t>
        </x:is>
      </x:c>
      <x:c r="G661" s="8">
        <x:f>SUMIFS($D$6:$D$681,$A$6:$A$681,A661)</x:f>
        <x:v>0.2733</x:v>
      </x:c>
      <x:c r="H661" s="9">
        <x:f>1</x:f>
        <x:v>1</x:v>
      </x:c>
      <x:c r="I661" s="2" t="inlineStr">
        <x:is>
          <x:t xml:space="preserve">High</x:t>
        </x:is>
      </x:c>
      <x:c r="J661" s="2" t="inlineStr">
        <x:is>
          <x:t xml:space="preserve">Todarodes pacificus is within Cephalopoda. Biomass estimation from two dominant Loligo species does not restrict the source group to those species or to squid. No split is required.</x:t>
        </x:is>
      </x:c>
    </x:row>
    <x:row r="662" ht="128" customHeight="1">
      <x:c r="A662" s="2" t="inlineStr">
        <x:is>
          <x:t xml:space="preserve">Trachurus japonicus</x:t>
        </x:is>
      </x:c>
      <x:c r="B662" s="2" t="inlineStr">
        <x:is>
          <x:t xml:space="preserve">Juvenile large pelagic fish</x:t>
        </x:is>
      </x:c>
      <x:c r="C662" s="2">
        <x:v>30</x:v>
      </x:c>
      <x:c r="D662" s="8">
        <x:v>0.7384</x:v>
      </x:c>
      <x:c r="E662" s="8">
        <x:v>0.289</x:v>
      </x:c>
      <x:c r="F662" s="8" t="inlineStr">
        <x:is>
          <x:t xml:space="preserve">Model catch</x:t>
        </x:is>
      </x:c>
      <x:c r="G662" s="8">
        <x:f>SUMIFS($D$6:$D$681,$A$6:$A$681,A662)</x:f>
        <x:v>0.8205</x:v>
      </x:c>
      <x:c r="H662" s="9">
        <x:f>D662/G662</x:f>
        <x:v>0.8999390615478366</x:v>
      </x:c>
      <x:c r="I662" s="2" t="inlineStr">
        <x:is>
          <x:t xml:space="preserve">Medium</x:t>
        </x:is>
      </x:c>
      <x:c r="J662"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x:t>
        </x:is>
      </x:c>
    </x:row>
    <x:row r="663" ht="128" customHeight="1">
      <x:c r="A663" s="2" t="inlineStr">
        <x:is>
          <x:t xml:space="preserve">Trachurus japonicus</x:t>
        </x:is>
      </x:c>
      <x:c r="B663" s="2" t="inlineStr">
        <x:is>
          <x:t xml:space="preserve">Pelagic fish (&gt; 30 cm)</x:t>
        </x:is>
      </x:c>
      <x:c r="C663" s="2">
        <x:v>31</x:v>
      </x:c>
      <x:c r="D663" s="8">
        <x:v>0.0821</x:v>
      </x:c>
      <x:c r="E663" s="8">
        <x:v>0.079</x:v>
      </x:c>
      <x:c r="F663" s="8" t="inlineStr">
        <x:is>
          <x:t xml:space="preserve">Model catch</x:t>
        </x:is>
      </x:c>
      <x:c r="G663" s="8">
        <x:f>SUMIFS($D$6:$D$681,$A$6:$A$681,A663)</x:f>
        <x:v>0.8205</x:v>
      </x:c>
      <x:c r="H663" s="9">
        <x:f>D663/G663</x:f>
        <x:v>0.1000609384521633</x:v>
      </x:c>
      <x:c r="I663" s="2" t="inlineStr">
        <x:is>
          <x:t xml:space="preserve">Medium</x:t>
        </x:is>
      </x:c>
      <x:c r="J663" s="2" t="inlineStr">
        <x:is>
          <x:t xml:space="preserve">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x:t>
        </x:is>
      </x:c>
    </x:row>
    <x:row r="664" ht="72" customHeight="1">
      <x:c r="A664" s="2" t="inlineStr">
        <x:is>
          <x:t xml:space="preserve">Trachysalambria curvirostris</x:t>
        </x:is>
      </x:c>
      <x:c r="B664" s="2" t="inlineStr">
        <x:is>
          <x:t xml:space="preserve">Shrimps</x:t>
        </x:is>
      </x:c>
      <x:c r="C664" s="2">
        <x:v>10</x:v>
      </x:c>
      <x:c r="D664" s="8">
        <x:v>0.6788</x:v>
      </x:c>
      <x:c r="E664" s="8">
        <x:v>0.194</x:v>
      </x:c>
      <x:c r="F664" s="8" t="inlineStr">
        <x:is>
          <x:t xml:space="preserve">No split</x:t>
        </x:is>
      </x:c>
      <x:c r="G664" s="8">
        <x:f>SUMIFS($D$6:$D$681,$A$6:$A$681,A664)</x:f>
        <x:v>0.6788</x:v>
      </x:c>
      <x:c r="H664" s="9">
        <x:f>1</x:f>
        <x:v>1</x:v>
      </x:c>
      <x:c r="I664" s="2" t="inlineStr">
        <x:is>
          <x:t xml:space="preserve">High</x:t>
        </x:is>
      </x:c>
      <x:c r="J664" s="2" t="inlineStr">
        <x:is>
          <x:t xml:space="preserve">Trachysalambria curvirostris is a non-Acetes shrimp lineage. Shrimps is broader than the Metapenaeopsis mortality examples; the explicit Acetes/Zooplankton exception is excluded. No split is required.</x:t>
        </x:is>
      </x:c>
    </x:row>
    <x:row r="665" ht="72" customHeight="1">
      <x:c r="A665" s="2" t="inlineStr">
        <x:is>
          <x:t xml:space="preserve">Trichiuridae</x:t>
        </x:is>
      </x:c>
      <x:c r="B665" s="2" t="inlineStr">
        <x:is>
          <x:t xml:space="preserve">Juvenile Hairtail (trichiurids)</x:t>
        </x:is>
      </x:c>
      <x:c r="C665" s="2">
        <x:v>16</x:v>
      </x:c>
      <x:c r="D665" s="8">
        <x:v>0.028</x:v>
      </x:c>
      <x:c r="E665" s="8">
        <x:v>0.015</x:v>
      </x:c>
      <x:c r="F665" s="8" t="inlineStr">
        <x:is>
          <x:t xml:space="preserve">Model catch</x:t>
        </x:is>
      </x:c>
      <x:c r="G665" s="8">
        <x:f>SUMIFS($D$6:$D$681,$A$6:$A$681,A665)</x:f>
        <x:v>0.0352</x:v>
      </x:c>
      <x:c r="H665" s="9">
        <x:f>D665/G665</x:f>
        <x:v>0.7954545454545454</x:v>
      </x:c>
      <x:c r="I665" s="2" t="inlineStr">
        <x:is>
          <x:t xml:space="preserve">Medium</x:t>
        </x:is>
      </x:c>
      <x:c r="J665" s="2" t="inlineStr">
        <x:is>
          <x:t xml:space="preserve">Trichiuridae is a trichiurid covered by the source juvenile/adult hairtail pair. The 18-month boundary affects allocation, not membership in that pair. Model catch proportions provide the split; allocation confidence remains Medium.</x:t>
        </x:is>
      </x:c>
    </x:row>
    <x:row r="666" ht="72" customHeight="1">
      <x:c r="A666" s="2" t="inlineStr">
        <x:is>
          <x:t xml:space="preserve">Trichiuridae</x:t>
        </x:is>
      </x:c>
      <x:c r="B666" s="2" t="inlineStr">
        <x:is>
          <x:t xml:space="preserve">Adult hairtail (trichiurids)</x:t>
        </x:is>
      </x:c>
      <x:c r="C666" s="2">
        <x:v>17</x:v>
      </x:c>
      <x:c r="D666" s="8">
        <x:v>0.0072</x:v>
      </x:c>
      <x:c r="E666" s="8">
        <x:v>0.012</x:v>
      </x:c>
      <x:c r="F666" s="8" t="inlineStr">
        <x:is>
          <x:t xml:space="preserve">Model catch</x:t>
        </x:is>
      </x:c>
      <x:c r="G666" s="8">
        <x:f>SUMIFS($D$6:$D$681,$A$6:$A$681,A666)</x:f>
        <x:v>0.0352</x:v>
      </x:c>
      <x:c r="H666" s="9">
        <x:f>D666/G666</x:f>
        <x:v>0.2045454545454545</x:v>
      </x:c>
      <x:c r="I666" s="2" t="inlineStr">
        <x:is>
          <x:t xml:space="preserve">Medium</x:t>
        </x:is>
      </x:c>
      <x:c r="J666" s="2" t="inlineStr">
        <x:is>
          <x:t xml:space="preserve">Trichiuridae is a trichiurid covered by the source juvenile/adult hairtail pair. The 18-month boundary affects allocation, not membership in that pair. Model catch proportions provide the split; allocation confidence remains Medium.</x:t>
        </x:is>
      </x:c>
    </x:row>
    <x:row r="667" ht="72" customHeight="1">
      <x:c r="A667" s="2" t="inlineStr">
        <x:is>
          <x:t xml:space="preserve">Trichiurus</x:t>
        </x:is>
      </x:c>
      <x:c r="B667" s="2" t="inlineStr">
        <x:is>
          <x:t xml:space="preserve">Juvenile Hairtail (trichiurids)</x:t>
        </x:is>
      </x:c>
      <x:c r="C667" s="2">
        <x:v>16</x:v>
      </x:c>
      <x:c r="D667" s="8">
        <x:v>0.028</x:v>
      </x:c>
      <x:c r="E667" s="8">
        <x:v>0.015</x:v>
      </x:c>
      <x:c r="F667" s="8" t="inlineStr">
        <x:is>
          <x:t xml:space="preserve">Model catch</x:t>
        </x:is>
      </x:c>
      <x:c r="G667" s="8">
        <x:f>SUMIFS($D$6:$D$681,$A$6:$A$681,A667)</x:f>
        <x:v>0.0352</x:v>
      </x:c>
      <x:c r="H667" s="9">
        <x:f>D667/G667</x:f>
        <x:v>0.7954545454545454</x:v>
      </x:c>
      <x:c r="I667" s="2" t="inlineStr">
        <x:is>
          <x:t xml:space="preserve">Medium</x:t>
        </x:is>
      </x:c>
      <x:c r="J667" s="2" t="inlineStr">
        <x:is>
          <x:t xml:space="preserve">Trichiurus is a trichiurid covered by the source juvenile/adult hairtail pair. The 18-month boundary affects allocation, not membership in that pair. Model catch proportions provide the split; allocation confidence remains Medium.</x:t>
        </x:is>
      </x:c>
    </x:row>
    <x:row r="668" ht="72" customHeight="1">
      <x:c r="A668" s="2" t="inlineStr">
        <x:is>
          <x:t xml:space="preserve">Trichiurus</x:t>
        </x:is>
      </x:c>
      <x:c r="B668" s="2" t="inlineStr">
        <x:is>
          <x:t xml:space="preserve">Adult hairtail (trichiurids)</x:t>
        </x:is>
      </x:c>
      <x:c r="C668" s="2">
        <x:v>17</x:v>
      </x:c>
      <x:c r="D668" s="8">
        <x:v>0.0072</x:v>
      </x:c>
      <x:c r="E668" s="8">
        <x:v>0.012</x:v>
      </x:c>
      <x:c r="F668" s="8" t="inlineStr">
        <x:is>
          <x:t xml:space="preserve">Model catch</x:t>
        </x:is>
      </x:c>
      <x:c r="G668" s="8">
        <x:f>SUMIFS($D$6:$D$681,$A$6:$A$681,A668)</x:f>
        <x:v>0.0352</x:v>
      </x:c>
      <x:c r="H668" s="9">
        <x:f>D668/G668</x:f>
        <x:v>0.2045454545454545</x:v>
      </x:c>
      <x:c r="I668" s="2" t="inlineStr">
        <x:is>
          <x:t xml:space="preserve">Medium</x:t>
        </x:is>
      </x:c>
      <x:c r="J668" s="2" t="inlineStr">
        <x:is>
          <x:t xml:space="preserve">Trichiurus is a trichiurid covered by the source juvenile/adult hairtail pair. The 18-month boundary affects allocation, not membership in that pair. Model catch proportions provide the split; allocation confidence remains Medium.</x:t>
        </x:is>
      </x:c>
    </x:row>
    <x:row r="669" ht="72" customHeight="1">
      <x:c r="A669" s="2" t="inlineStr">
        <x:is>
          <x:t xml:space="preserve">Trichiurus lepturus</x:t>
        </x:is>
      </x:c>
      <x:c r="B669" s="2" t="inlineStr">
        <x:is>
          <x:t xml:space="preserve">Juvenile Hairtail (trichiurids)</x:t>
        </x:is>
      </x:c>
      <x:c r="C669" s="2">
        <x:v>16</x:v>
      </x:c>
      <x:c r="D669" s="8">
        <x:v>0.028</x:v>
      </x:c>
      <x:c r="E669" s="8">
        <x:v>0.015</x:v>
      </x:c>
      <x:c r="F669" s="8" t="inlineStr">
        <x:is>
          <x:t xml:space="preserve">Model catch</x:t>
        </x:is>
      </x:c>
      <x:c r="G669" s="8">
        <x:f>SUMIFS($D$6:$D$681,$A$6:$A$681,A669)</x:f>
        <x:v>0.0352</x:v>
      </x:c>
      <x:c r="H669" s="9">
        <x:f>D669/G669</x:f>
        <x:v>0.7954545454545454</x:v>
      </x:c>
      <x:c r="I669" s="2" t="inlineStr">
        <x:is>
          <x:t xml:space="preserve">Medium</x:t>
        </x:is>
      </x:c>
      <x:c r="J669" s="2" t="inlineStr">
        <x:is>
          <x:t xml:space="preserve">Trichiurus lepturus is a trichiurid covered by the source juvenile/adult hairtail pair. The 18-month boundary affects allocation, not membership in that pair. Model catch proportions provide the split; allocation confidence remains Medium.</x:t>
        </x:is>
      </x:c>
    </x:row>
    <x:row r="670" ht="72" customHeight="1">
      <x:c r="A670" s="2" t="inlineStr">
        <x:is>
          <x:t xml:space="preserve">Trichiurus lepturus</x:t>
        </x:is>
      </x:c>
      <x:c r="B670" s="2" t="inlineStr">
        <x:is>
          <x:t xml:space="preserve">Adult hairtail (trichiurids)</x:t>
        </x:is>
      </x:c>
      <x:c r="C670" s="2">
        <x:v>17</x:v>
      </x:c>
      <x:c r="D670" s="8">
        <x:v>0.0072</x:v>
      </x:c>
      <x:c r="E670" s="8">
        <x:v>0.012</x:v>
      </x:c>
      <x:c r="F670" s="8" t="inlineStr">
        <x:is>
          <x:t xml:space="preserve">Model catch</x:t>
        </x:is>
      </x:c>
      <x:c r="G670" s="8">
        <x:f>SUMIFS($D$6:$D$681,$A$6:$A$681,A670)</x:f>
        <x:v>0.0352</x:v>
      </x:c>
      <x:c r="H670" s="9">
        <x:f>D670/G670</x:f>
        <x:v>0.2045454545454545</x:v>
      </x:c>
      <x:c r="I670" s="2" t="inlineStr">
        <x:is>
          <x:t xml:space="preserve">Medium</x:t>
        </x:is>
      </x:c>
      <x:c r="J670" s="2" t="inlineStr">
        <x:is>
          <x:t xml:space="preserve">Trichiurus lepturus is a trichiurid covered by the source juvenile/adult hairtail pair. The 18-month boundary affects allocation, not membership in that pair. Model catch proportions provide the split; allocation confidence remains Medium.</x:t>
        </x:is>
      </x:c>
    </x:row>
    <x:row r="671" ht="72" customHeight="1">
      <x:c r="A671" s="2" t="inlineStr">
        <x:is>
          <x:t xml:space="preserve">Tripneustes gratilla</x:t>
        </x:is>
      </x:c>
      <x:c r="B671" s="2" t="inlineStr">
        <x:is>
          <x:t xml:space="preserve">Echinoderms</x:t>
        </x:is>
      </x:c>
      <x:c r="C671" s="2">
        <x:v>6</x:v>
      </x:c>
      <x:c r="D671" s="8">
        <x:v>0.0021</x:v>
      </x:c>
      <x:c r="E671" s="8">
        <x:v>1.98</x:v>
      </x:c>
      <x:c r="F671" s="8" t="inlineStr">
        <x:is>
          <x:t xml:space="preserve">No split</x:t>
        </x:is>
      </x:c>
      <x:c r="G671" s="8">
        <x:f>SUMIFS($D$6:$D$681,$A$6:$A$681,A671)</x:f>
        <x:v>0.0021</x:v>
      </x:c>
      <x:c r="H671" s="9">
        <x:f>1</x:f>
        <x:v>1</x:v>
      </x:c>
      <x:c r="I671" s="2" t="inlineStr">
        <x:is>
          <x:t xml:space="preserve">High</x:t>
        </x:is>
      </x:c>
      <x:c r="J671" s="2" t="inlineStr">
        <x:is>
          <x:t xml:space="preserve">Tripneustes gratilla is within Echinodermata, represented by one source compartment without competing size/stage pools. No split is required.</x:t>
        </x:is>
      </x:c>
    </x:row>
    <x:row r="672" ht="72" customHeight="1">
      <x:c r="A672" s="2" t="inlineStr">
        <x:is>
          <x:t xml:space="preserve">Trochus niloticus</x:t>
        </x:is>
      </x:c>
      <x:c r="B672" s="2" t="inlineStr">
        <x:is>
          <x:t xml:space="preserve">Non-ceph molluscs</x:t>
        </x:is>
      </x:c>
      <x:c r="C672" s="2">
        <x:v>8</x:v>
      </x:c>
      <x:c r="D672" s="8">
        <x:v>0.7623</x:v>
      </x:c>
      <x:c r="E672" s="8">
        <x:v>2.68</x:v>
      </x:c>
      <x:c r="F672" s="8" t="inlineStr">
        <x:is>
          <x:t xml:space="preserve">No split</x:t>
        </x:is>
      </x:c>
      <x:c r="G672" s="8">
        <x:f>SUMIFS($D$6:$D$681,$A$6:$A$681,A672)</x:f>
        <x:v>0.7623</x:v>
      </x:c>
      <x:c r="H672" s="9">
        <x:f>1</x:f>
        <x:v>1</x:v>
      </x:c>
      <x:c r="I672" s="2" t="inlineStr">
        <x:is>
          <x:t xml:space="preserve">High</x:t>
        </x:is>
      </x:c>
      <x:c r="J672" s="2" t="inlineStr">
        <x:is>
          <x:t xml:space="preserve">Trochus niloticus is a non-cephalopod mollusc. The source derives this catch by removing Cephalopoda from mollusc catch; no competing mollusc compartment contains this lineage. No split is required.</x:t>
        </x:is>
      </x:c>
    </x:row>
    <x:row r="673" ht="112" customHeight="1">
      <x:c r="A673" s="2" t="inlineStr">
        <x:is>
          <x:t xml:space="preserve">Tylosurus crocodilus</x:t>
        </x:is>
      </x:c>
      <x:c r="B673" s="2" t="inlineStr">
        <x:is>
          <x:t xml:space="preserve">Juvenile large pelagic fish</x:t>
        </x:is>
      </x:c>
      <x:c r="C673" s="2">
        <x:v>30</x:v>
      </x:c>
      <x:c r="D673" s="8">
        <x:v>0.7384</x:v>
      </x:c>
      <x:c r="E673" s="8">
        <x:v>0.289</x:v>
      </x:c>
      <x:c r="F673" s="8" t="inlineStr">
        <x:is>
          <x:t xml:space="preserve">Model catch</x:t>
        </x:is>
      </x:c>
      <x:c r="G673" s="8">
        <x:f>SUMIFS($D$6:$D$681,$A$6:$A$681,A673)</x:f>
        <x:v>0.8205</x:v>
      </x:c>
      <x:c r="H673" s="9">
        <x:f>D673/G673</x:f>
        <x:v>0.8999390615478366</x:v>
      </x:c>
      <x:c r="I673" s="2" t="inlineStr">
        <x:is>
          <x:t xml:space="preserve">Medium</x:t>
        </x:is>
      </x:c>
      <x:c r="J673"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x:t>
        </x:is>
      </x:c>
    </x:row>
    <x:row r="674" ht="112" customHeight="1">
      <x:c r="A674" s="2" t="inlineStr">
        <x:is>
          <x:t xml:space="preserve">Tylosurus crocodilus</x:t>
        </x:is>
      </x:c>
      <x:c r="B674" s="2" t="inlineStr">
        <x:is>
          <x:t xml:space="preserve">Pelagic fish (&gt; 30 cm)</x:t>
        </x:is>
      </x:c>
      <x:c r="C674" s="2">
        <x:v>31</x:v>
      </x:c>
      <x:c r="D674" s="8">
        <x:v>0.0821</x:v>
      </x:c>
      <x:c r="E674" s="8">
        <x:v>0.079</x:v>
      </x:c>
      <x:c r="F674" s="8" t="inlineStr">
        <x:is>
          <x:t xml:space="preserve">Model catch</x:t>
        </x:is>
      </x:c>
      <x:c r="G674" s="8">
        <x:f>SUMIFS($D$6:$D$681,$A$6:$A$681,A674)</x:f>
        <x:v>0.8205</x:v>
      </x:c>
      <x:c r="H674" s="9">
        <x:f>D674/G674</x:f>
        <x:v>0.1000609384521633</x:v>
      </x:c>
      <x:c r="I674" s="2" t="inlineStr">
        <x:is>
          <x:t xml:space="preserve">Medium</x:t>
        </x:is>
      </x:c>
      <x:c r="J674" s="2" t="inlineStr">
        <x:is>
          <x:t xml:space="preserve">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x:t>
        </x:is>
      </x:c>
    </x:row>
    <x:row r="675" ht="96" customHeight="1">
      <x:c r="A675" s="2" t="inlineStr">
        <x:is>
          <x:t xml:space="preserve">Upeneus</x:t>
        </x:is>
      </x:c>
      <x:c r="B675" s="2" t="inlineStr">
        <x:is>
          <x:t xml:space="preserve">Demesral fish (≤ 30 cm)</x:t>
        </x:is>
      </x:c>
      <x:c r="C675" s="2">
        <x:v>24</x:v>
      </x:c>
      <x:c r="D675" s="8">
        <x:v>0.1788</x:v>
      </x:c>
      <x:c r="E675" s="8">
        <x:v>0.316</x:v>
      </x:c>
      <x:c r="F675" s="8" t="inlineStr">
        <x:is>
          <x:t xml:space="preserve">Model catch</x:t>
        </x:is>
      </x:c>
      <x:c r="G675" s="8">
        <x:f>SUMIFS($D$6:$D$681,$A$6:$A$681,A675)</x:f>
        <x:v>0.5305</x:v>
      </x:c>
      <x:c r="H675" s="9">
        <x:f>D675/G675</x:f>
        <x:v>0.33704052780395855</x:v>
      </x:c>
      <x:c r="I675" s="2" t="inlineStr">
        <x:is>
          <x:t xml:space="preserve">Medium</x:t>
        </x:is>
      </x:c>
      <x:c r="J675" s="2" t="inlineStr">
        <x:is>
          <x:t xml:space="preserve">Small demersal U. moluccensis and the genus inventory member U. taeniopterus (33 cm TL) span the source species-maximum threshold. Regional genus composition and the extension to both demersal classes are assumed; 28 cm SL is not treated as 28 cm TL. Source-model catch proportions supply an assumed fixed 1950–2019/all-bases mixture; they are not observed taxon-specific catches.</x:t>
        </x:is>
      </x:c>
    </x:row>
    <x:row r="676" ht="96" customHeight="1">
      <x:c r="A676" s="2" t="inlineStr">
        <x:is>
          <x:t xml:space="preserve">Upeneus</x:t>
        </x:is>
      </x:c>
      <x:c r="B676" s="2" t="inlineStr">
        <x:is>
          <x:t xml:space="preserve">Juvenile demersal fish (&gt; 30 cm)</x:t>
        </x:is>
      </x:c>
      <x:c r="C676" s="2">
        <x:v>25</x:v>
      </x:c>
      <x:c r="D676" s="8">
        <x:v>0.3165</x:v>
      </x:c>
      <x:c r="E676" s="8">
        <x:v>0.143</x:v>
      </x:c>
      <x:c r="F676" s="8" t="inlineStr">
        <x:is>
          <x:t xml:space="preserve">Model catch</x:t>
        </x:is>
      </x:c>
      <x:c r="G676" s="8">
        <x:f>SUMIFS($D$6:$D$681,$A$6:$A$681,A676)</x:f>
        <x:v>0.5305</x:v>
      </x:c>
      <x:c r="H676" s="9">
        <x:f>D676/G676</x:f>
        <x:v>0.5966069745523092</x:v>
      </x:c>
      <x:c r="I676" s="2" t="inlineStr">
        <x:is>
          <x:t xml:space="preserve">Medium</x:t>
        </x:is>
      </x:c>
      <x:c r="J676" s="2" t="inlineStr">
        <x:is>
          <x:t xml:space="preserve">Small demersal U. moluccensis and the genus inventory member U. taeniopterus (33 cm TL) span the source species-maximum threshold. Regional genus composition and the extension to both demersal classes are assumed; 28 cm SL is not treated as 28 cm TL. Source-model catch proportions supply an assumed fixed 1950–2019/all-bases mixture; they are not observed taxon-specific catches.</x:t>
        </x:is>
      </x:c>
    </x:row>
    <x:row r="677" ht="96" customHeight="1">
      <x:c r="A677" s="2" t="inlineStr">
        <x:is>
          <x:t xml:space="preserve">Upeneus</x:t>
        </x:is>
      </x:c>
      <x:c r="B677" s="2" t="inlineStr">
        <x:is>
          <x:t xml:space="preserve">Adult demersal fish (&gt; 30 cm)</x:t>
        </x:is>
      </x:c>
      <x:c r="C677" s="2">
        <x:v>26</x:v>
      </x:c>
      <x:c r="D677" s="8">
        <x:v>0.0352</x:v>
      </x:c>
      <x:c r="E677" s="8">
        <x:v>0.021</x:v>
      </x:c>
      <x:c r="F677" s="8" t="inlineStr">
        <x:is>
          <x:t xml:space="preserve">Model catch</x:t>
        </x:is>
      </x:c>
      <x:c r="G677" s="8">
        <x:f>SUMIFS($D$6:$D$681,$A$6:$A$681,A677)</x:f>
        <x:v>0.5305</x:v>
      </x:c>
      <x:c r="H677" s="9">
        <x:f>D677/G677</x:f>
        <x:v>0.06635249764373234</x:v>
      </x:c>
      <x:c r="I677" s="2" t="inlineStr">
        <x:is>
          <x:t xml:space="preserve">Medium</x:t>
        </x:is>
      </x:c>
      <x:c r="J677" s="2" t="inlineStr">
        <x:is>
          <x:t xml:space="preserve">Small demersal U. moluccensis and the genus inventory member U. taeniopterus (33 cm TL) span the source species-maximum threshold. Regional genus composition and the extension to both demersal classes are assumed; 28 cm SL is not treated as 28 cm TL. Source-model catch proportions supply an assumed fixed 1950–2019/all-bases mixture; they are not observed taxon-specific catches.</x:t>
        </x:is>
      </x:c>
    </x:row>
    <x:row r="678" ht="96" customHeight="1">
      <x:c r="A678" s="2" t="inlineStr">
        <x:is>
          <x:t xml:space="preserve">Upeneus moluccensis</x:t>
        </x:is>
      </x:c>
      <x:c r="B678" s="2" t="inlineStr">
        <x:is>
          <x:t xml:space="preserve">Demesral fish (≤ 30 cm)</x:t>
        </x:is>
      </x:c>
      <x:c r="C678" s="2">
        <x:v>24</x:v>
      </x:c>
      <x:c r="D678" s="8">
        <x:v>0.1788</x:v>
      </x:c>
      <x:c r="E678" s="8">
        <x:v>0.316</x:v>
      </x:c>
      <x:c r="F678" s="8" t="inlineStr">
        <x:is>
          <x:t xml:space="preserve">No split</x:t>
        </x:is>
      </x:c>
      <x:c r="G678" s="8">
        <x:f>SUMIFS($D$6:$D$681,$A$6:$A$681,A678)</x:f>
        <x:v>0.1788</x:v>
      </x:c>
      <x:c r="H678" s="9">
        <x:f>1</x:f>
        <x:v>1</x:v>
      </x:c>
      <x:c r="I678" s="2" t="inlineStr">
        <x:is>
          <x:t xml:space="preserve">High</x:t>
        </x:is>
      </x:c>
      <x:c r="J678" s="2" t="inlineStr">
        <x:is>
          <x:t xml:space="preserve">Maximum 22.5 cm TL and muddy coastal habitat support small demersals. Schooling/swimming behavior and the coarse reef-associated tag leave the model's demersal versus small-benthopelagic boundary interpreted rather than fully verified. Checked species record: 22.5 cm TL; Marine; brackish;  reef-associated;. No split is required.</x:t>
        </x:is>
      </x:c>
    </x:row>
    <x:row r="679" ht="72" customHeight="1">
      <x:c r="A679" s="2" t="inlineStr">
        <x:is>
          <x:t xml:space="preserve">Veneridae</x:t>
        </x:is>
      </x:c>
      <x:c r="B679" s="2" t="inlineStr">
        <x:is>
          <x:t xml:space="preserve">Non-ceph molluscs</x:t>
        </x:is>
      </x:c>
      <x:c r="C679" s="2">
        <x:v>8</x:v>
      </x:c>
      <x:c r="D679" s="8">
        <x:v>0.7623</x:v>
      </x:c>
      <x:c r="E679" s="8">
        <x:v>2.68</x:v>
      </x:c>
      <x:c r="F679" s="8" t="inlineStr">
        <x:is>
          <x:t xml:space="preserve">No split</x:t>
        </x:is>
      </x:c>
      <x:c r="G679" s="8">
        <x:f>SUMIFS($D$6:$D$681,$A$6:$A$681,A679)</x:f>
        <x:v>0.7623</x:v>
      </x:c>
      <x:c r="H679" s="9">
        <x:f>1</x:f>
        <x:v>1</x:v>
      </x:c>
      <x:c r="I679" s="2" t="inlineStr">
        <x:is>
          <x:t xml:space="preserve">High</x:t>
        </x:is>
      </x:c>
      <x:c r="J679" s="2" t="inlineStr">
        <x:is>
          <x:t xml:space="preserve">Veneridae is a non-cephalopod mollusc. The source derives this catch by removing Cephalopoda from mollusc catch; no competing mollusc compartment contains this lineage. No split is required.</x:t>
        </x:is>
      </x:c>
    </x:row>
    <x:row r="680" ht="96" customHeight="1">
      <x:c r="A680" s="2" t="inlineStr">
        <x:is>
          <x:t xml:space="preserve">Xiphias gladius</x:t>
        </x:is>
      </x:c>
      <x:c r="B680" s="2" t="inlineStr">
        <x:is>
          <x:t xml:space="preserve">Juvenile large pelagic fish</x:t>
        </x:is>
      </x:c>
      <x:c r="C680" s="2">
        <x:v>30</x:v>
      </x:c>
      <x:c r="D680" s="8">
        <x:v>0.7384</x:v>
      </x:c>
      <x:c r="E680" s="8">
        <x:v>0.289</x:v>
      </x:c>
      <x:c r="F680" s="8" t="inlineStr">
        <x:is>
          <x:t xml:space="preserve">Model catch</x:t>
        </x:is>
      </x:c>
      <x:c r="G680" s="8">
        <x:f>SUMIFS($D$6:$D$681,$A$6:$A$681,A680)</x:f>
        <x:v>0.8205</x:v>
      </x:c>
      <x:c r="H680" s="9">
        <x:f>D680/G680</x:f>
        <x:v>0.8999390615478366</x:v>
      </x:c>
      <x:c r="I680" s="2" t="inlineStr">
        <x:is>
          <x:t xml:space="preserve">Medium</x:t>
        </x:is>
      </x:c>
      <x:c r="J680" s="2" t="inlineStr">
        <x:is>
          <x:t xml:space="preserve">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x:t>
        </x:is>
      </x:c>
    </x:row>
    <x:row r="681" ht="96" customHeight="1">
      <x:c r="A681" s="2" t="inlineStr">
        <x:is>
          <x:t xml:space="preserve">Xiphias gladius</x:t>
        </x:is>
      </x:c>
      <x:c r="B681" s="2" t="inlineStr">
        <x:is>
          <x:t xml:space="preserve">Pelagic fish (&gt; 30 cm)</x:t>
        </x:is>
      </x:c>
      <x:c r="C681" s="2">
        <x:v>31</x:v>
      </x:c>
      <x:c r="D681" s="8">
        <x:v>0.0821</x:v>
      </x:c>
      <x:c r="E681" s="8">
        <x:v>0.079</x:v>
      </x:c>
      <x:c r="F681" s="8" t="inlineStr">
        <x:is>
          <x:t xml:space="preserve">Model catch</x:t>
        </x:is>
      </x:c>
      <x:c r="G681" s="8">
        <x:f>SUMIFS($D$6:$D$681,$A$6:$A$681,A681)</x:f>
        <x:v>0.8205</x:v>
      </x:c>
      <x:c r="H681" s="9">
        <x:f>D681/G681</x:f>
        <x:v>0.10006093845216332</x:v>
      </x:c>
      <x:c r="I681" s="2" t="inlineStr">
        <x:is>
          <x:t xml:space="preserve">Medium</x:t>
        </x:is>
      </x:c>
      <x:c r="J681" s="2" t="inlineStr">
        <x:is>
          <x:t xml:space="preserve">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x:t>
        </x:is>
      </x:c>
    </x:row>
  </x:sheetData>
  <x:mergeCells>
    <x:mergeCell ref="A1:J1"/>
    <x:mergeCell ref="A2:J2"/>
    <x:mergeCell ref="A3:J3"/>
    <x:mergeCell ref="A4:J4"/>
  </x:mergeCells>
  <x:pageMargins left="0.7" right="0.7" top="0.75" bottom="0.75" header="0.3" footer="0.3"/>
  <x:tableParts count="1">
    <x:tablePart xmlns:r="http://schemas.openxmlformats.org/officeDocument/2006/relationships" r:id="Rc74647c96ac74d43"/>
  </x:tableParts>
</x:worksheet>
</file>

<file path=xl/worksheets/sheet4.xml><?xml version="1.0" encoding="utf-8"?>
<x:worksheet xmlns:x="http://schemas.openxmlformats.org/spreadsheetml/2006/main">
  <x:sheetViews>
    <x:sheetView showGridLines="0" workbookViewId="0">
      <x:pane ySplit="5" topLeftCell="A6" activePane="bottomLeft" state="frozen"/>
      <x:selection pane="bottomLeft" activeCell="C57" sqref="C57"/>
    </x:sheetView>
  </x:sheetViews>
  <x:sheetFormatPr defaultRowHeight="14"/>
  <x:cols>
    <x:col min="1" max="1" width="40" customWidth="1"/>
    <x:col min="2" max="3" width="95" customWidth="1"/>
  </x:cols>
  <x:sheetData>
    <x:row r="1" ht="30" customHeight="1">
      <x:c r="A1" s="11" t="s">
        <x:v>244</x:v>
      </x:c>
      <x:c r="B1" s="11"/>
      <x:c r="C1" s="11"/>
      <x:c r="D1" s="1"/>
      <x:c r="E1" s="1"/>
      <x:c r="F1" s="1"/>
      <x:c r="G1" s="1"/>
      <x:c r="H1" s="1"/>
      <x:c r="I1" s="1"/>
      <x:c r="J1" s="1"/>
      <x:c r="K1" s="1"/>
    </x:row>
    <x:row r="2" ht="14.5">
      <x:c r="A2" s="1"/>
      <x:c r="B2" s="1"/>
      <x:c r="C2" s="1"/>
      <x:c r="D2" s="1"/>
      <x:c r="E2" s="1"/>
      <x:c r="F2" s="1"/>
      <x:c r="G2" s="1"/>
      <x:c r="H2" s="1"/>
      <x:c r="I2" s="1"/>
      <x:c r="J2" s="1"/>
      <x:c r="K2" s="1"/>
    </x:row>
    <x:row r="3" ht="14.5">
      <x:c r="A3" s="1"/>
      <x:c r="B3" s="1"/>
      <x:c r="C3" s="1"/>
      <x:c r="D3" s="1"/>
      <x:c r="E3" s="1"/>
      <x:c r="F3" s="1"/>
      <x:c r="G3" s="1"/>
      <x:c r="H3" s="1"/>
      <x:c r="I3" s="1"/>
      <x:c r="J3" s="1"/>
      <x:c r="K3" s="1"/>
    </x:row>
    <x:row r="4" ht="14.5">
      <x:c r="A4" s="1"/>
      <x:c r="B4" s="1"/>
      <x:c r="C4" s="1"/>
      <x:c r="D4" s="1"/>
      <x:c r="E4" s="1"/>
      <x:c r="F4" s="1"/>
      <x:c r="G4" s="1"/>
      <x:c r="H4" s="1"/>
      <x:c r="I4" s="1"/>
      <x:c r="J4" s="1"/>
      <x:c r="K4" s="1"/>
    </x:row>
    <x:row r="5" ht="34" customHeight="1">
      <x:c r="A5" s="3" t="s">
        <x:v>245</x:v>
      </x:c>
      <x:c r="B5" s="3" t="s">
        <x:v>246</x:v>
      </x:c>
      <x:c r="C5" s="3" t="s">
        <x:v>247</x:v>
      </x:c>
      <x:c r="D5" s="1"/>
      <x:c r="E5" s="1"/>
      <x:c r="F5" s="1"/>
      <x:c r="G5" s="1"/>
      <x:c r="H5" s="1"/>
      <x:c r="I5" s="1"/>
      <x:c r="J5" s="1"/>
      <x:c r="K5" s="1"/>
    </x:row>
    <x:row r="6" ht="66" customHeight="1">
      <x:c r="A6" s="2" t="s">
        <x:v>248</x:v>
      </x:c>
      <x:c r="B6" s="2" t="s">
        <x:v>249</x:v>
      </x:c>
      <x:c r="C6" s="24" t="s">
        <x:v>250</x:v>
      </x:c>
      <x:c r="D6" s="1"/>
      <x:c r="E6" s="1"/>
      <x:c r="F6" s="1"/>
      <x:c r="G6" s="1"/>
      <x:c r="H6" s="1"/>
      <x:c r="I6" s="1"/>
      <x:c r="J6" s="1"/>
      <x:c r="K6" s="1"/>
    </x:row>
    <x:row r="7" ht="66" customHeight="1">
      <x:c r="A7" s="2" t="s">
        <x:v>251</x:v>
      </x:c>
      <x:c r="B7" s="2" t="s">
        <x:v>252</x:v>
      </x:c>
      <x:c r="C7" s="24" t="s">
        <x:v>253</x:v>
      </x:c>
      <x:c r="D7" s="1"/>
      <x:c r="E7" s="1"/>
      <x:c r="F7" s="1"/>
      <x:c r="G7" s="1"/>
      <x:c r="H7" s="1"/>
      <x:c r="I7" s="1"/>
      <x:c r="J7" s="1"/>
      <x:c r="K7" s="1"/>
    </x:row>
    <x:row r="8" ht="66" customHeight="1">
      <x:c r="A8" s="2" t="s">
        <x:v>254</x:v>
      </x:c>
      <x:c r="B8" s="2" t="s">
        <x:v>255</x:v>
      </x:c>
      <x:c r="C8" s="24" t="s">
        <x:v>256</x:v>
      </x:c>
      <x:c r="D8" s="1"/>
      <x:c r="E8" s="1"/>
      <x:c r="F8" s="1"/>
      <x:c r="G8" s="1"/>
      <x:c r="H8" s="1"/>
      <x:c r="I8" s="1"/>
      <x:c r="J8" s="1"/>
      <x:c r="K8" s="1"/>
    </x:row>
    <x:row r="9" ht="66" customHeight="1">
      <x:c r="A9" s="2" t="s">
        <x:v>257</x:v>
      </x:c>
      <x:c r="B9" s="2" t="s">
        <x:v>258</x:v>
      </x:c>
      <x:c r="C9" s="24" t="s">
        <x:v>259</x:v>
      </x:c>
      <x:c r="D9" s="1"/>
      <x:c r="E9" s="1"/>
      <x:c r="F9" s="1"/>
      <x:c r="G9" s="1"/>
      <x:c r="H9" s="1"/>
      <x:c r="I9" s="1"/>
      <x:c r="J9" s="1"/>
      <x:c r="K9" s="1"/>
    </x:row>
    <x:row r="10" ht="66" customHeight="1">
      <x:c r="A10" s="2" t="s">
        <x:v>260</x:v>
      </x:c>
      <x:c r="B10" s="2" t="inlineStr">
        <x:is>
          <x:t xml:space="preserve">Current adopted audit: all 374 taxa; 78 proposal dispositions, component confidence, exact candidate weights and source locators. The dated previous audit remains historical evidence.</x:t>
        </x:is>
      </x:c>
      <x:c r="C10" s="24" t="inlineStr">
        <x:is>
          <x:t xml:space="preserve">validation_reports/36_1_South_China_Sea_SCS-2007_Northern_South_China_Sea_(2000s)/selected_regions_review_20260930/taxon_audit_adopted.json</x:t>
        </x:is>
      </x:c>
      <x:c r="D10" s="1"/>
      <x:c r="E10" s="1"/>
      <x:c r="F10" s="1"/>
      <x:c r="G10" s="1"/>
      <x:c r="H10" s="1"/>
      <x:c r="I10" s="1"/>
      <x:c r="J10" s="1"/>
      <x:c r="K10" s="1"/>
    </x:row>
    <x:row r="11" ht="66" customHeight="1">
      <x:c r="A11" s="2" t="s">
        <x:v>262</x:v>
      </x:c>
      <x:c r="B11" s="2" t="s">
        <x:v>263</x:v>
      </x:c>
      <x:c r="C11" s="24" t="s">
        <x:v>264</x:v>
      </x:c>
      <x:c r="D11" s="1"/>
      <x:c r="E11" s="1"/>
      <x:c r="F11" s="1"/>
      <x:c r="G11" s="1"/>
      <x:c r="H11" s="1"/>
      <x:c r="I11" s="1"/>
      <x:c r="J11" s="1"/>
      <x:c r="K11" s="1"/>
    </x:row>
    <x:row r="12" ht="66" customHeight="1">
      <x:c r="A12" s="2" t="s">
        <x:v>265</x:v>
      </x:c>
      <x:c r="B12" s="2" t="s">
        <x:v>266</x:v>
      </x:c>
      <x:c r="C12" s="24" t="s">
        <x:v>267</x:v>
      </x:c>
      <x:c r="D12" s="1"/>
      <x:c r="E12" s="1"/>
      <x:c r="F12" s="1"/>
      <x:c r="G12" s="1"/>
      <x:c r="H12" s="1"/>
      <x:c r="I12" s="1"/>
      <x:c r="J12" s="1"/>
      <x:c r="K12" s="1"/>
    </x:row>
    <x:row r="13" ht="66" customHeight="1">
      <x:c r="A13" s="2" t="s">
        <x:v>268</x:v>
      </x:c>
      <x:c r="B13" s="2" t="s">
        <x:v>269</x:v>
      </x:c>
      <x:c r="C13" s="24" t="s">
        <x:v>270</x:v>
      </x:c>
      <x:c r="D13" s="1"/>
      <x:c r="E13" s="1"/>
      <x:c r="F13" s="1"/>
      <x:c r="G13" s="1"/>
      <x:c r="H13" s="1"/>
      <x:c r="I13" s="1"/>
      <x:c r="J13" s="1"/>
      <x:c r="K13" s="1"/>
    </x:row>
    <x:row r="14" ht="66" customHeight="1">
      <x:c r="A14" s="2" t="s">
        <x:v>271</x:v>
      </x:c>
      <x:c r="B14" s="2" t="s">
        <x:v>272</x:v>
      </x:c>
      <x:c r="C14" s="24" t="s">
        <x:v>273</x:v>
      </x:c>
      <x:c r="D14" s="1"/>
      <x:c r="E14" s="1"/>
      <x:c r="F14" s="1"/>
      <x:c r="G14" s="1"/>
      <x:c r="H14" s="1"/>
      <x:c r="I14" s="1"/>
      <x:c r="J14" s="1"/>
      <x:c r="K14" s="1"/>
    </x:row>
    <x:row r="15" ht="66" customHeight="1">
      <x:c r="A15" s="2" t="s">
        <x:v>274</x:v>
      </x:c>
      <x:c r="B15" s="2" t="s">
        <x:v>275</x:v>
      </x:c>
      <x:c r="C15" s="24" t="s">
        <x:v>276</x:v>
      </x:c>
      <x:c r="D15" s="1"/>
      <x:c r="E15" s="1"/>
      <x:c r="F15" s="1"/>
      <x:c r="G15" s="1"/>
      <x:c r="H15" s="1"/>
      <x:c r="I15" s="1"/>
      <x:c r="J15" s="1"/>
      <x:c r="K15" s="1"/>
    </x:row>
    <x:row r="16" ht="66" customHeight="1">
      <x:c r="A16" s="2" t="s">
        <x:v>277</x:v>
      </x:c>
      <x:c r="B16" s="2" t="s">
        <x:v>278</x:v>
      </x:c>
      <x:c r="C16" s="24" t="s">
        <x:v>279</x:v>
      </x:c>
      <x:c r="D16" s="1"/>
      <x:c r="E16" s="1"/>
      <x:c r="F16" s="1"/>
      <x:c r="G16" s="1"/>
      <x:c r="H16" s="1"/>
      <x:c r="I16" s="1"/>
      <x:c r="J16" s="1"/>
      <x:c r="K16" s="1"/>
    </x:row>
    <x:row r="17" ht="66" customHeight="1">
      <x:c r="A17" s="2" t="str">
        <x:v>Siganus size evidence</x:v>
      </x:c>
      <x:c r="B17" s="2" t="str">
        <x:v>Reassessment confirms a maximum length above the small-species boundary; the current mapping remains Low. See the confidence sources below.</x:v>
      </x:c>
      <x:c r="C17" s="24" t="s">
        <x:v>280</x:v>
      </x:c>
      <x:c r="D17" s="1"/>
      <x:c r="E17" s="1"/>
      <x:c r="F17" s="1"/>
      <x:c r="G17" s="1"/>
      <x:c r="H17" s="1"/>
      <x:c r="I17" s="1"/>
      <x:c r="J17" s="1"/>
      <x:c r="K17" s="1"/>
    </x:row>
    <x:row r="18" ht="66" customHeight="1">
      <x:c r="A18" s="2" t="s">
        <x:v>281</x:v>
      </x:c>
      <x:c r="B18" s="2" t="s">
        <x:v>282</x:v>
      </x:c>
      <x:c r="C18" s="24" t="s">
        <x:v>283</x:v>
      </x:c>
      <x:c r="D18" s="1"/>
      <x:c r="E18" s="1"/>
      <x:c r="F18" s="1"/>
      <x:c r="G18" s="1"/>
      <x:c r="H18" s="1"/>
      <x:c r="I18" s="1"/>
      <x:c r="J18" s="1"/>
      <x:c r="K18" s="1"/>
    </x:row>
    <x:row r="19" ht="66" customHeight="1">
      <x:c r="A19" s="2" t="s">
        <x:v>284</x:v>
      </x:c>
      <x:c r="B19" s="2" t="s">
        <x:v>285</x:v>
      </x:c>
      <x:c r="C19" s="24" t="s">
        <x:v>286</x:v>
      </x:c>
      <x:c r="D19" s="1"/>
      <x:c r="E19" s="1"/>
      <x:c r="F19" s="1"/>
      <x:c r="G19" s="1"/>
      <x:c r="H19" s="1"/>
      <x:c r="I19" s="1"/>
      <x:c r="J19" s="1"/>
      <x:c r="K19" s="1"/>
    </x:row>
    <x:row r="20" ht="66" customHeight="1">
      <x:c r="A20" s="2" t="s">
        <x:v>287</x:v>
      </x:c>
      <x:c r="B20" s="2" t="s">
        <x:v>288</x:v>
      </x:c>
      <x:c r="C20" s="24" t="s">
        <x:v>289</x:v>
      </x:c>
      <x:c r="D20" s="1"/>
      <x:c r="E20" s="1"/>
      <x:c r="F20" s="1"/>
      <x:c r="G20" s="1"/>
      <x:c r="H20" s="1"/>
      <x:c r="I20" s="1"/>
      <x:c r="J20" s="1"/>
      <x:c r="K20" s="1"/>
    </x:row>
    <x:row r="21" ht="66" customHeight="1">
      <x:c r="A21" s="2" t="s">
        <x:v>290</x:v>
      </x:c>
      <x:c r="B21" s="2" t="s">
        <x:v>291</x:v>
      </x:c>
      <x:c r="C21" s="24" t="str">
        <x:v>../../regions/LME_036/validation_reports/36_1_South_China_Sea_SCS-2007_Northern_South_China_Sea_(2000s)/confidence_reassessment_20260930/taxon_audit_adopted.json</x:v>
      </x:c>
      <x:c r="D21" s="1"/>
      <x:c r="E21" s="1"/>
      <x:c r="F21" s="1"/>
      <x:c r="G21" s="1"/>
      <x:c r="H21" s="1"/>
      <x:c r="I21" s="1"/>
      <x:c r="J21" s="1"/>
      <x:c r="K21" s="1"/>
    </x:row>
    <x:row r="22" ht="14.5">
      <x:c r="A22" s="1"/>
      <x:c r="B22" s="1"/>
      <x:c r="C22" s="1"/>
      <x:c r="D22" s="1"/>
      <x:c r="E22" s="1"/>
      <x:c r="F22" s="1"/>
      <x:c r="G22" s="1"/>
      <x:c r="H22" s="1"/>
      <x:c r="I22" s="1"/>
      <x:c r="J22" s="1"/>
      <x:c r="K22" s="1"/>
    </x:row>
    <x:row r="23" ht="14.5">
      <x:c r="A23" s="1"/>
      <x:c r="B23" s="1"/>
      <x:c r="C23" s="1"/>
      <x:c r="D23" s="1"/>
      <x:c r="E23" s="1"/>
      <x:c r="F23" s="1"/>
      <x:c r="G23" s="1"/>
      <x:c r="H23" s="1"/>
      <x:c r="I23" s="1"/>
      <x:c r="J23" s="1"/>
      <x:c r="K23" s="1"/>
    </x:row>
    <x:row r="24" ht="30" customHeight="1">
      <x:c r="A24" s="11" t="s">
        <x:v>292</x:v>
      </x:c>
      <x:c r="B24" s="11"/>
      <x:c r="C24" s="11"/>
      <x:c r="D24" s="1"/>
      <x:c r="E24" s="1"/>
      <x:c r="F24" s="1"/>
      <x:c r="G24" s="1"/>
      <x:c r="H24" s="1"/>
      <x:c r="I24" s="1"/>
      <x:c r="J24" s="1"/>
      <x:c r="K24" s="1"/>
    </x:row>
    <x:row r="25" ht="34" customHeight="1">
      <x:c r="A25" s="12" t="s">
        <x:v>293</x:v>
      </x:c>
      <x:c r="B25" s="12"/>
      <x:c r="C25" s="12"/>
      <x:c r="D25" s="1"/>
      <x:c r="E25" s="1"/>
      <x:c r="F25" s="1"/>
      <x:c r="G25" s="1"/>
      <x:c r="H25" s="1"/>
      <x:c r="I25" s="1"/>
      <x:c r="J25" s="1"/>
      <x:c r="K25" s="1"/>
    </x:row>
    <x:row r="26" ht="14.5">
      <x:c r="A26" s="1"/>
      <x:c r="B26" s="1"/>
      <x:c r="C26" s="1"/>
      <x:c r="D26" s="1"/>
      <x:c r="E26" s="1"/>
      <x:c r="F26" s="1"/>
      <x:c r="G26" s="1"/>
      <x:c r="H26" s="1"/>
      <x:c r="I26" s="1"/>
      <x:c r="J26" s="1"/>
      <x:c r="K26" s="1"/>
    </x:row>
    <x:row r="27" ht="34" customHeight="1">
      <x:c r="A27" s="3" t="s">
        <x:v>25</x:v>
      </x:c>
      <x:c r="B27" s="3" t="s">
        <x:v>294</x:v>
      </x:c>
      <x:c r="C27" s="3" t="s">
        <x:v>295</x:v>
      </x:c>
      <x:c r="D27" s="1"/>
      <x:c r="E27" s="1"/>
      <x:c r="F27" s="1"/>
      <x:c r="G27" s="1"/>
      <x:c r="H27" s="1"/>
      <x:c r="I27" s="1"/>
      <x:c r="J27" s="1"/>
      <x:c r="K27" s="1"/>
    </x:row>
    <x:row r="28" ht="66" customHeight="1">
      <x:c r="A28" s="2" t="s">
        <x:v>296</x:v>
      </x:c>
      <x:c r="B28" s="2" t="s">
        <x:v>297</x:v>
      </x:c>
      <x:c r="C28" s="2" t="s">
        <x:v>298</x:v>
      </x:c>
      <x:c r="D28" s="1"/>
      <x:c r="E28" s="1"/>
      <x:c r="F28" s="1"/>
      <x:c r="G28" s="1"/>
      <x:c r="H28" s="1"/>
      <x:c r="I28" s="1"/>
      <x:c r="J28" s="1"/>
      <x:c r="K28" s="1"/>
    </x:row>
    <x:row r="29" ht="66" customHeight="1">
      <x:c r="A29" s="2" t="s">
        <x:v>299</x:v>
      </x:c>
      <x:c r="B29" s="2" t="s">
        <x:v>300</x:v>
      </x:c>
      <x:c r="C29" s="2" t="s">
        <x:v>301</x:v>
      </x:c>
      <x:c r="D29" s="1"/>
      <x:c r="E29" s="1"/>
      <x:c r="F29" s="1"/>
      <x:c r="G29" s="1"/>
      <x:c r="H29" s="1"/>
      <x:c r="I29" s="1"/>
      <x:c r="J29" s="1"/>
      <x:c r="K29" s="1"/>
    </x:row>
    <x:row r="30" ht="66" customHeight="1">
      <x:c r="A30" s="2" t="s">
        <x:v>302</x:v>
      </x:c>
      <x:c r="B30" s="2" t="s">
        <x:v>303</x:v>
      </x:c>
      <x:c r="C30" s="2" t="s">
        <x:v>304</x:v>
      </x:c>
      <x:c r="D30" s="1"/>
      <x:c r="E30" s="1"/>
      <x:c r="F30" s="1"/>
      <x:c r="G30" s="1"/>
      <x:c r="H30" s="1"/>
      <x:c r="I30" s="1"/>
      <x:c r="J30" s="1"/>
      <x:c r="K30" s="1"/>
    </x:row>
    <x:row r="31" ht="66" customHeight="1">
      <x:c r="A31" s="2" t="s">
        <x:v>305</x:v>
      </x:c>
      <x:c r="B31" s="2" t="s">
        <x:v>306</x:v>
      </x:c>
      <x:c r="C31" s="2" t="s">
        <x:v>307</x:v>
      </x:c>
      <x:c r="D31" s="1"/>
      <x:c r="E31" s="1"/>
      <x:c r="F31" s="1"/>
      <x:c r="G31" s="1"/>
      <x:c r="H31" s="1"/>
      <x:c r="I31" s="1"/>
      <x:c r="J31" s="1"/>
      <x:c r="K31" s="1"/>
    </x:row>
    <x:row r="32" ht="66" customHeight="1">
      <x:c r="A32" s="2" t="s">
        <x:v>308</x:v>
      </x:c>
      <x:c r="B32" s="2" t="s">
        <x:v>309</x:v>
      </x:c>
      <x:c r="C32" s="2" t="s">
        <x:v>310</x:v>
      </x:c>
      <x:c r="D32" s="1"/>
      <x:c r="E32" s="1"/>
      <x:c r="F32" s="1"/>
      <x:c r="G32" s="1"/>
      <x:c r="H32" s="1"/>
      <x:c r="I32" s="1"/>
      <x:c r="J32" s="1"/>
      <x:c r="K32" s="1"/>
    </x:row>
    <x:row r="33" ht="66" customHeight="1">
      <x:c r="A33" s="2" t="s">
        <x:v>311</x:v>
      </x:c>
      <x:c r="B33" s="2" t="s">
        <x:v>312</x:v>
      </x:c>
      <x:c r="C33" s="2" t="s">
        <x:v>313</x:v>
      </x:c>
      <x:c r="D33" s="1"/>
      <x:c r="E33" s="1"/>
      <x:c r="F33" s="1"/>
      <x:c r="G33" s="1"/>
      <x:c r="H33" s="1"/>
      <x:c r="I33" s="1"/>
      <x:c r="J33" s="1"/>
      <x:c r="K33" s="1"/>
    </x:row>
    <x:row r="34" ht="66" customHeight="1">
      <x:c r="A34" s="2" t="s">
        <x:v>314</x:v>
      </x:c>
      <x:c r="B34" s="2" t="s">
        <x:v>315</x:v>
      </x:c>
      <x:c r="C34" s="2" t="s">
        <x:v>316</x:v>
      </x:c>
      <x:c r="D34" s="1"/>
      <x:c r="E34" s="1"/>
      <x:c r="F34" s="1"/>
      <x:c r="G34" s="1"/>
      <x:c r="H34" s="1"/>
      <x:c r="I34" s="1"/>
      <x:c r="J34" s="1"/>
      <x:c r="K34" s="1"/>
    </x:row>
    <x:row r="35" ht="66" customHeight="1">
      <x:c r="A35" s="2" t="s">
        <x:v>317</x:v>
      </x:c>
      <x:c r="B35" s="2" t="s">
        <x:v>318</x:v>
      </x:c>
      <x:c r="C35" s="2" t="s">
        <x:v>319</x:v>
      </x:c>
      <x:c r="D35" s="1"/>
      <x:c r="E35" s="1"/>
      <x:c r="F35" s="1"/>
      <x:c r="G35" s="1"/>
      <x:c r="H35" s="1"/>
      <x:c r="I35" s="1"/>
      <x:c r="J35" s="1"/>
      <x:c r="K35" s="1"/>
    </x:row>
    <x:row r="36" ht="66" customHeight="1">
      <x:c r="A36" s="2" t="s">
        <x:v>320</x:v>
      </x:c>
      <x:c r="B36" s="2" t="s">
        <x:v>321</x:v>
      </x:c>
      <x:c r="C36" s="2" t="s">
        <x:v>322</x:v>
      </x:c>
      <x:c r="D36" s="1"/>
      <x:c r="E36" s="1"/>
      <x:c r="F36" s="1"/>
      <x:c r="G36" s="1"/>
      <x:c r="H36" s="1"/>
      <x:c r="I36" s="1"/>
      <x:c r="J36" s="1"/>
      <x:c r="K36" s="1"/>
    </x:row>
    <x:row r="37" ht="66" customHeight="1">
      <x:c r="A37" s="2" t="s">
        <x:v>323</x:v>
      </x:c>
      <x:c r="B37" s="2" t="s">
        <x:v>324</x:v>
      </x:c>
      <x:c r="C37" s="2" t="s">
        <x:v>325</x:v>
      </x:c>
      <x:c r="D37" s="1"/>
      <x:c r="E37" s="1"/>
      <x:c r="F37" s="1"/>
      <x:c r="G37" s="1"/>
      <x:c r="H37" s="1"/>
      <x:c r="I37" s="1"/>
      <x:c r="J37" s="1"/>
      <x:c r="K37" s="1"/>
    </x:row>
    <x:row r="38" ht="66" customHeight="1">
      <x:c r="A38" s="2" t="s">
        <x:v>326</x:v>
      </x:c>
      <x:c r="B38" s="2" t="s">
        <x:v>327</x:v>
      </x:c>
      <x:c r="C38" s="2" t="s">
        <x:v>328</x:v>
      </x:c>
      <x:c r="D38" s="1"/>
      <x:c r="E38" s="1"/>
      <x:c r="F38" s="1"/>
      <x:c r="G38" s="1"/>
      <x:c r="H38" s="1"/>
      <x:c r="I38" s="1"/>
      <x:c r="J38" s="1"/>
      <x:c r="K38" s="1"/>
    </x:row>
    <x:row r="39" ht="66" customHeight="1">
      <x:c r="A39" s="2" t="s">
        <x:v>329</x:v>
      </x:c>
      <x:c r="B39" s="2" t="s">
        <x:v>330</x:v>
      </x:c>
      <x:c r="C39" s="2" t="s">
        <x:v>331</x:v>
      </x:c>
      <x:c r="D39" s="1"/>
      <x:c r="E39" s="1"/>
      <x:c r="F39" s="1"/>
      <x:c r="G39" s="1"/>
      <x:c r="H39" s="1"/>
      <x:c r="I39" s="1"/>
      <x:c r="J39" s="1"/>
      <x:c r="K39" s="1"/>
    </x:row>
    <x:row r="40" ht="66" customHeight="1">
      <x:c r="A40" s="2" t="s">
        <x:v>332</x:v>
      </x:c>
      <x:c r="B40" s="2" t="s">
        <x:v>333</x:v>
      </x:c>
      <x:c r="C40" s="2" t="s">
        <x:v>334</x:v>
      </x:c>
      <x:c r="D40" s="1"/>
      <x:c r="E40" s="1"/>
      <x:c r="F40" s="1"/>
      <x:c r="G40" s="1"/>
      <x:c r="H40" s="1"/>
      <x:c r="I40" s="1"/>
      <x:c r="J40" s="1"/>
      <x:c r="K40" s="1"/>
    </x:row>
    <x:row r="41" ht="66" customHeight="1">
      <x:c r="A41" s="2" t="s">
        <x:v>335</x:v>
      </x:c>
      <x:c r="B41" s="2" t="s">
        <x:v>336</x:v>
      </x:c>
      <x:c r="C41" s="2" t="s">
        <x:v>337</x:v>
      </x:c>
      <x:c r="D41" s="1"/>
      <x:c r="E41" s="1"/>
      <x:c r="F41" s="1"/>
      <x:c r="G41" s="1"/>
      <x:c r="H41" s="1"/>
      <x:c r="I41" s="1"/>
      <x:c r="J41" s="1"/>
      <x:c r="K41" s="1"/>
    </x:row>
    <x:row r="42" ht="66" customHeight="1">
      <x:c r="A42" s="2" t="s">
        <x:v>338</x:v>
      </x:c>
      <x:c r="B42" s="2" t="s">
        <x:v>339</x:v>
      </x:c>
      <x:c r="C42" s="2" t="s">
        <x:v>340</x:v>
      </x:c>
      <x:c r="D42" s="1"/>
      <x:c r="E42" s="1"/>
      <x:c r="F42" s="1"/>
      <x:c r="G42" s="1"/>
      <x:c r="H42" s="1"/>
      <x:c r="I42" s="1"/>
      <x:c r="J42" s="1"/>
      <x:c r="K42" s="1"/>
    </x:row>
    <x:row r="43" ht="66" customHeight="1">
      <x:c r="A43" s="2" t="s">
        <x:v>341</x:v>
      </x:c>
      <x:c r="B43" s="2" t="s">
        <x:v>342</x:v>
      </x:c>
      <x:c r="C43" s="2" t="s">
        <x:v>343</x:v>
      </x:c>
      <x:c r="D43" s="1"/>
      <x:c r="E43" s="1"/>
      <x:c r="F43" s="1"/>
      <x:c r="G43" s="1"/>
      <x:c r="H43" s="1"/>
      <x:c r="I43" s="1"/>
      <x:c r="J43" s="1"/>
      <x:c r="K43" s="1"/>
    </x:row>
    <x:row r="44" ht="66" customHeight="1">
      <x:c r="A44" s="2" t="s">
        <x:v>344</x:v>
      </x:c>
      <x:c r="B44" s="2" t="s">
        <x:v>345</x:v>
      </x:c>
      <x:c r="C44" s="2" t="s">
        <x:v>346</x:v>
      </x:c>
      <x:c r="D44" s="1"/>
      <x:c r="E44" s="1"/>
      <x:c r="F44" s="1"/>
      <x:c r="G44" s="1"/>
      <x:c r="H44" s="1"/>
      <x:c r="I44" s="1"/>
      <x:c r="J44" s="1"/>
      <x:c r="K44" s="1"/>
    </x:row>
    <x:row r="45" ht="66" customHeight="1">
      <x:c r="A45" s="2" t="s">
        <x:v>347</x:v>
      </x:c>
      <x:c r="B45" s="2" t="s">
        <x:v>348</x:v>
      </x:c>
      <x:c r="C45" s="2" t="s">
        <x:v>349</x:v>
      </x:c>
      <x:c r="D45" s="1"/>
      <x:c r="E45" s="1"/>
      <x:c r="F45" s="1"/>
      <x:c r="G45" s="1"/>
      <x:c r="H45" s="1"/>
      <x:c r="I45" s="1"/>
      <x:c r="J45" s="1"/>
      <x:c r="K45" s="1"/>
    </x:row>
    <x:row r="46" ht="66" customHeight="1">
      <x:c r="A46" s="2" t="s">
        <x:v>350</x:v>
      </x:c>
      <x:c r="B46" s="2" t="s">
        <x:v>351</x:v>
      </x:c>
      <x:c r="C46" s="2" t="s">
        <x:v>352</x:v>
      </x:c>
      <x:c r="D46" s="1"/>
      <x:c r="E46" s="1"/>
      <x:c r="F46" s="1"/>
      <x:c r="G46" s="1"/>
      <x:c r="H46" s="1"/>
      <x:c r="I46" s="1"/>
      <x:c r="J46" s="1"/>
      <x:c r="K46" s="1"/>
    </x:row>
    <x:row r="47" ht="66" customHeight="1">
      <x:c r="A47" s="2" t="s">
        <x:v>353</x:v>
      </x:c>
      <x:c r="B47" s="2" t="s">
        <x:v>354</x:v>
      </x:c>
      <x:c r="C47" s="2" t="s">
        <x:v>355</x:v>
      </x:c>
      <x:c r="D47" s="1"/>
      <x:c r="E47" s="1"/>
      <x:c r="F47" s="1"/>
      <x:c r="G47" s="1"/>
      <x:c r="H47" s="1"/>
      <x:c r="I47" s="1"/>
      <x:c r="J47" s="1"/>
      <x:c r="K47" s="1"/>
    </x:row>
    <x:row r="48" ht="66" customHeight="1">
      <x:c r="A48" s="2" t="s">
        <x:v>356</x:v>
      </x:c>
      <x:c r="B48" s="2" t="s">
        <x:v>357</x:v>
      </x:c>
      <x:c r="C48" s="2" t="s">
        <x:v>358</x:v>
      </x:c>
      <x:c r="D48" s="1"/>
      <x:c r="E48" s="1"/>
      <x:c r="F48" s="1"/>
      <x:c r="G48" s="1"/>
      <x:c r="H48" s="1"/>
      <x:c r="I48" s="1"/>
      <x:c r="J48" s="1"/>
      <x:c r="K48" s="1"/>
    </x:row>
    <x:row r="49" ht="66" customHeight="1">
      <x:c r="A49" s="2" t="s">
        <x:v>359</x:v>
      </x:c>
      <x:c r="B49" s="2" t="s">
        <x:v>360</x:v>
      </x:c>
      <x:c r="C49" s="2" t="s">
        <x:v>361</x:v>
      </x:c>
      <x:c r="D49" s="1"/>
      <x:c r="E49" s="1"/>
      <x:c r="F49" s="1"/>
      <x:c r="G49" s="1"/>
      <x:c r="H49" s="1"/>
      <x:c r="I49" s="1"/>
      <x:c r="J49" s="1"/>
      <x:c r="K49" s="1"/>
    </x:row>
    <x:row r="50" ht="66" customHeight="1">
      <x:c r="A50" s="2" t="s">
        <x:v>362</x:v>
      </x:c>
      <x:c r="B50" s="2" t="s">
        <x:v>363</x:v>
      </x:c>
      <x:c r="C50" s="2" t="s">
        <x:v>364</x:v>
      </x:c>
      <x:c r="D50" s="1"/>
      <x:c r="E50" s="1"/>
      <x:c r="F50" s="1"/>
      <x:c r="G50" s="1"/>
      <x:c r="H50" s="1"/>
      <x:c r="I50" s="1"/>
      <x:c r="J50" s="1"/>
      <x:c r="K50" s="1"/>
    </x:row>
    <x:row r="51" ht="66" customHeight="1">
      <x:c r="A51" s="2" t="s">
        <x:v>365</x:v>
      </x:c>
      <x:c r="B51" s="2" t="s">
        <x:v>366</x:v>
      </x:c>
      <x:c r="C51" s="2" t="s">
        <x:v>367</x:v>
      </x:c>
      <x:c r="D51" s="1"/>
      <x:c r="E51" s="1"/>
      <x:c r="F51" s="1"/>
      <x:c r="G51" s="1"/>
      <x:c r="H51" s="1"/>
      <x:c r="I51" s="1"/>
      <x:c r="J51" s="1"/>
      <x:c r="K51" s="1"/>
    </x:row>
    <x:row r="52" ht="66" customHeight="1">
      <x:c r="A52" s="2" t="s">
        <x:v>368</x:v>
      </x:c>
      <x:c r="B52" s="2" t="s">
        <x:v>369</x:v>
      </x:c>
      <x:c r="C52" s="2" t="s">
        <x:v>370</x:v>
      </x:c>
      <x:c r="D52" s="1"/>
      <x:c r="E52" s="1"/>
      <x:c r="F52" s="1"/>
      <x:c r="G52" s="1"/>
      <x:c r="H52" s="1"/>
      <x:c r="I52" s="1"/>
      <x:c r="J52" s="1"/>
      <x:c r="K52" s="1"/>
    </x:row>
    <x:row r="53" ht="66" customHeight="1">
      <x:c r="A53" s="2" t="s">
        <x:v>371</x:v>
      </x:c>
      <x:c r="B53" s="2" t="s">
        <x:v>372</x:v>
      </x:c>
      <x:c r="C53" s="2" t="s">
        <x:v>373</x:v>
      </x:c>
      <x:c r="D53" s="1"/>
      <x:c r="E53" s="1"/>
      <x:c r="F53" s="1"/>
      <x:c r="G53" s="1"/>
      <x:c r="H53" s="1"/>
      <x:c r="I53" s="1"/>
      <x:c r="J53" s="1"/>
      <x:c r="K53" s="1"/>
    </x:row>
    <x:row r="54" ht="66" customHeight="1">
      <x:c r="A54" s="2" t="s">
        <x:v>374</x:v>
      </x:c>
      <x:c r="B54" s="2" t="s">
        <x:v>375</x:v>
      </x:c>
      <x:c r="C54" s="2" t="s">
        <x:v>376</x:v>
      </x:c>
      <x:c r="D54" s="1"/>
      <x:c r="E54" s="1"/>
      <x:c r="F54" s="1"/>
      <x:c r="G54" s="1"/>
      <x:c r="H54" s="1"/>
      <x:c r="I54" s="1"/>
      <x:c r="J54" s="1"/>
      <x:c r="K54" s="1"/>
    </x:row>
    <x:row r="55" ht="66" customHeight="1">
      <x:c r="A55" s="2" t="s">
        <x:v>377</x:v>
      </x:c>
      <x:c r="B55" s="2" t="s">
        <x:v>378</x:v>
      </x:c>
      <x:c r="C55" s="2" t="s">
        <x:v>379</x:v>
      </x:c>
      <x:c r="D55" s="1"/>
      <x:c r="E55" s="1"/>
      <x:c r="F55" s="1"/>
      <x:c r="G55" s="1"/>
      <x:c r="H55" s="1"/>
      <x:c r="I55" s="1"/>
      <x:c r="J55" s="1"/>
      <x:c r="K55" s="1"/>
    </x:row>
    <x:row r="56" ht="66" customHeight="1">
      <x:c r="A56" s="2" t="s">
        <x:v>380</x:v>
      </x:c>
      <x:c r="B56" s="2" t="s">
        <x:v>381</x:v>
      </x:c>
      <x:c r="C56" s="2" t="s">
        <x:v>382</x:v>
      </x:c>
      <x:c r="D56" s="1"/>
      <x:c r="E56" s="1"/>
      <x:c r="F56" s="1"/>
      <x:c r="G56" s="1"/>
      <x:c r="H56" s="1"/>
      <x:c r="I56" s="1"/>
      <x:c r="J56" s="1"/>
      <x:c r="K56" s="1"/>
    </x:row>
    <x:row r="57" ht="66" customHeight="1">
      <x:c r="A57" s="2" t="s">
        <x:v>383</x:v>
      </x:c>
      <x:c r="B57" s="2" t="s">
        <x:v>384</x:v>
      </x:c>
      <x:c r="C57" s="2" t="s">
        <x:v>385</x:v>
      </x:c>
      <x:c r="D57" s="1"/>
      <x:c r="E57" s="1"/>
      <x:c r="F57" s="1"/>
      <x:c r="G57" s="1"/>
      <x:c r="H57" s="1"/>
      <x:c r="I57" s="1"/>
      <x:c r="J57" s="1"/>
      <x:c r="K57" s="1"/>
    </x:row>
    <x:row r="58" ht="66" customHeight="1">
      <x:c r="A58" s="2" t="s">
        <x:v>386</x:v>
      </x:c>
      <x:c r="B58" s="2" t="s">
        <x:v>387</x:v>
      </x:c>
      <x:c r="C58" s="2" t="s">
        <x:v>388</x:v>
      </x:c>
      <x:c r="D58" s="1"/>
      <x:c r="E58" s="1"/>
      <x:c r="F58" s="1"/>
      <x:c r="G58" s="1"/>
      <x:c r="H58" s="1"/>
      <x:c r="I58" s="1"/>
      <x:c r="J58" s="1"/>
      <x:c r="K58" s="1"/>
    </x:row>
    <x:row r="59" ht="66" customHeight="1">
      <x:c r="A59" s="2" t="s">
        <x:v>389</x:v>
      </x:c>
      <x:c r="B59" s="2" t="s">
        <x:v>390</x:v>
      </x:c>
      <x:c r="C59" s="2" t="s">
        <x:v>391</x:v>
      </x:c>
      <x:c r="D59" s="1"/>
      <x:c r="E59" s="1"/>
      <x:c r="F59" s="1"/>
      <x:c r="G59" s="1"/>
      <x:c r="H59" s="1"/>
      <x:c r="I59" s="1"/>
      <x:c r="J59" s="1"/>
      <x:c r="K59" s="1"/>
    </x:row>
    <x:row r="60" ht="66" customHeight="1">
      <x:c r="A60" s="2" t="s">
        <x:v>392</x:v>
      </x:c>
      <x:c r="B60" s="2" t="s">
        <x:v>393</x:v>
      </x:c>
      <x:c r="C60" s="2" t="s">
        <x:v>394</x:v>
      </x:c>
      <x:c r="D60" s="1"/>
      <x:c r="E60" s="1"/>
      <x:c r="F60" s="1"/>
      <x:c r="G60" s="1"/>
      <x:c r="H60" s="1"/>
      <x:c r="I60" s="1"/>
      <x:c r="J60" s="1"/>
      <x:c r="K60" s="1"/>
    </x:row>
    <x:row r="61" ht="66" customHeight="1">
      <x:c r="A61" s="2" t="s">
        <x:v>395</x:v>
      </x:c>
      <x:c r="B61" s="2" t="s">
        <x:v>396</x:v>
      </x:c>
      <x:c r="C61" s="2" t="s">
        <x:v>397</x:v>
      </x:c>
      <x:c r="D61" s="1"/>
      <x:c r="E61" s="1"/>
      <x:c r="F61" s="1"/>
      <x:c r="G61" s="1"/>
      <x:c r="H61" s="1"/>
      <x:c r="I61" s="1"/>
      <x:c r="J61" s="1"/>
      <x:c r="K61" s="1"/>
    </x:row>
    <x:row r="62" ht="66" customHeight="1">
      <x:c r="A62" s="2" t="s">
        <x:v>398</x:v>
      </x:c>
      <x:c r="B62" s="2" t="s">
        <x:v>399</x:v>
      </x:c>
      <x:c r="C62" s="2" t="s">
        <x:v>400</x:v>
      </x:c>
      <x:c r="D62" s="1"/>
      <x:c r="E62" s="1"/>
      <x:c r="F62" s="1"/>
      <x:c r="G62" s="1"/>
      <x:c r="H62" s="1"/>
      <x:c r="I62" s="1"/>
      <x:c r="J62" s="1"/>
      <x:c r="K62" s="1"/>
    </x:row>
    <x:row r="63" ht="66" customHeight="1">
      <x:c r="A63" s="2" t="s">
        <x:v>401</x:v>
      </x:c>
      <x:c r="B63" s="2" t="s">
        <x:v>402</x:v>
      </x:c>
      <x:c r="C63" s="2" t="s">
        <x:v>403</x:v>
      </x:c>
      <x:c r="D63" s="1"/>
      <x:c r="E63" s="1"/>
      <x:c r="F63" s="1"/>
      <x:c r="G63" s="1"/>
      <x:c r="H63" s="1"/>
      <x:c r="I63" s="1"/>
      <x:c r="J63" s="1"/>
      <x:c r="K63" s="1"/>
    </x:row>
    <x:row r="64" ht="66" customHeight="1">
      <x:c r="A64" s="2" t="s">
        <x:v>404</x:v>
      </x:c>
      <x:c r="B64" s="2" t="s">
        <x:v>405</x:v>
      </x:c>
      <x:c r="C64" s="2" t="s">
        <x:v>406</x:v>
      </x:c>
      <x:c r="D64" s="1"/>
      <x:c r="E64" s="1"/>
      <x:c r="F64" s="1"/>
      <x:c r="G64" s="1"/>
      <x:c r="H64" s="1"/>
      <x:c r="I64" s="1"/>
      <x:c r="J64" s="1"/>
      <x:c r="K64" s="1"/>
    </x:row>
    <x:row r="65" ht="66" customHeight="1">
      <x:c r="A65" s="2" t="s">
        <x:v>407</x:v>
      </x:c>
      <x:c r="B65" s="2" t="s">
        <x:v>408</x:v>
      </x:c>
      <x:c r="C65" s="2" t="s">
        <x:v>409</x:v>
      </x:c>
      <x:c r="D65" s="1"/>
      <x:c r="E65" s="1"/>
      <x:c r="F65" s="1"/>
      <x:c r="G65" s="1"/>
      <x:c r="H65" s="1"/>
      <x:c r="I65" s="1"/>
      <x:c r="J65" s="1"/>
      <x:c r="K65" s="1"/>
    </x:row>
    <x:row r="66" ht="14.5">
      <x:c r="A66" s="1"/>
      <x:c r="B66" s="1"/>
      <x:c r="C66" s="1"/>
      <x:c r="D66" s="1"/>
      <x:c r="E66" s="1"/>
      <x:c r="F66" s="1"/>
      <x:c r="G66" s="1"/>
      <x:c r="H66" s="1"/>
      <x:c r="I66" s="1"/>
      <x:c r="J66" s="1"/>
      <x:c r="K66" s="1"/>
    </x:row>
    <x:row r="67" ht="14.5">
      <x:c r="A67" s="1"/>
      <x:c r="B67" s="1"/>
      <x:c r="C67" s="1"/>
      <x:c r="D67" s="1"/>
      <x:c r="E67" s="1"/>
      <x:c r="F67" s="1"/>
      <x:c r="G67" s="1"/>
      <x:c r="H67" s="1"/>
      <x:c r="I67" s="1"/>
      <x:c r="J67" s="1"/>
      <x:c r="K67" s="1"/>
    </x:row>
    <x:row r="68" ht="30" customHeight="1">
      <x:c r="A68" s="13" t="str">
        <x:v>Confidence reassessment sources</x:v>
      </x:c>
      <x:c r="B68" s="13"/>
      <x:c r="C68" s="13"/>
      <x:c r="D68" s="1"/>
      <x:c r="E68" s="1"/>
      <x:c r="F68" s="1"/>
      <x:c r="G68" s="1"/>
      <x:c r="H68" s="1"/>
      <x:c r="I68" s="1"/>
      <x:c r="J68" s="1"/>
      <x:c r="K68" s="1"/>
    </x:row>
    <x:row r="69" ht="48" customHeight="1">
      <x:c r="A69" s="23" t="str">
        <x:v>Sources below identify the taxa and criteria checked. The linked adopted mapping audit retains each decision, prior rating, source locators, contradictions and nonadopted group proposals.</x:v>
      </x:c>
      <x:c r="B69" s="23"/>
      <x:c r="C69" s="23"/>
      <x:c r="D69" s="1"/>
      <x:c r="E69" s="1"/>
      <x:c r="F69" s="1"/>
      <x:c r="G69" s="1"/>
      <x:c r="H69" s="1"/>
      <x:c r="I69" s="1"/>
      <x:c r="J69" s="1"/>
      <x:c r="K69" s="1"/>
    </x:row>
    <x:row r="70" ht="14.5">
      <x:c r="A70" s="1"/>
      <x:c r="B70" s="1"/>
      <x:c r="C70" s="1"/>
      <x:c r="D70" s="1"/>
      <x:c r="E70" s="1"/>
      <x:c r="F70" s="1"/>
      <x:c r="G70" s="1"/>
      <x:c r="H70" s="1"/>
      <x:c r="I70" s="1"/>
      <x:c r="J70" s="1"/>
      <x:c r="K70" s="1"/>
    </x:row>
    <x:row r="71" ht="34" customHeight="1">
      <x:c r="A71" s="19" t="str">
        <x:v>Source</x:v>
      </x:c>
      <x:c r="B71" s="19" t="str">
        <x:v>What it supports and applicable taxa</x:v>
      </x:c>
      <x:c r="C71" s="19" t="str">
        <x:v>Link or retained location</x:v>
      </x:c>
      <x:c r="D71" s="1"/>
      <x:c r="E71" s="1"/>
      <x:c r="F71" s="1"/>
      <x:c r="G71" s="1"/>
      <x:c r="H71" s="1"/>
      <x:c r="I71" s="1"/>
      <x:c r="J71" s="1"/>
      <x:c r="K71" s="1"/>
    </x:row>
    <x:row r="72" ht="66" customHeight="1">
      <x:c r="A72" s="16" t="str">
        <x:v>Cheung (2007), thesis Appendix 6.1, NSCS 2000s model</x:v>
      </x:c>
      <x:c r="B72" s="16" t="str">
        <x:v>Taxa: 246 taxa, including Trichiurus lepturus; Synodontidae; Carangidae; Nemipterus; Scyphozoa; Scomberomorus commerson (full list in the linked mapping audit). Operative membership boundary; definitions distinguished from representative parameter taxa.</x:v>
      </x:c>
      <x:c r="C72" s="25" t="str">
        <x:v>regions/LME_036/validation_reports/36_1_South_China_Sea_SCS-2007_Northern_South_China_Sea_(2000s)/confidence_reassessment_20260930/source_group_definitions.txt</x:v>
      </x:c>
      <x:c r="D72" s="1"/>
      <x:c r="E72" s="1"/>
      <x:c r="F72" s="1"/>
      <x:c r="G72" s="1"/>
      <x:c r="H72" s="1"/>
      <x:c r="I72" s="1"/>
      <x:c r="J72" s="1"/>
      <x:c r="K72" s="1"/>
    </x:row>
    <x:row r="73" ht="66" customHeight="1">
      <x:c r="A73" s="16" t="str">
        <x:v>WoRMS: Trichiurus lepturus</x:v>
      </x:c>
      <x:c r="B73" s="16" t="str">
        <x:v>Taxa: Trichiurus lepturus. {"scientificname":"Trichiurus lepturus","valid_name":"Trichiurus lepturus","status":"accepted","family":"Trichiuridae","class":"Teleostei","phylum":"Chordata"}</x:v>
      </x:c>
      <x:c r="C73" s="25" t="str">
        <x:v>https://www.marinespecies.org/aphia.php?p=taxdetails&amp;id=127089</x:v>
      </x:c>
      <x:c r="D73" s="1"/>
      <x:c r="E73" s="1"/>
      <x:c r="F73" s="1"/>
      <x:c r="G73" s="1"/>
      <x:c r="H73" s="1"/>
      <x:c r="I73" s="1"/>
      <x:c r="J73" s="1"/>
      <x:c r="K73" s="1"/>
    </x:row>
    <x:row r="74" ht="66" customHeight="1">
      <x:c r="A74" s="16" t="str">
        <x:v>WoRMS: Synodontidae</x:v>
      </x:c>
      <x:c r="B74" s="16" t="str">
        <x:v>Taxa: Synodontidae. {"scientificname":"Synodontidae","valid_name":"Synodontidae","status":"accepted","family":"Synodontidae","class":"Teleostei","phylum":"Chordata"}</x:v>
      </x:c>
      <x:c r="C74" s="25" t="str">
        <x:v>https://www.marinespecies.org/aphia.php?p=taxdetails&amp;id=125449</x:v>
      </x:c>
      <x:c r="D74" s="1"/>
      <x:c r="E74" s="1"/>
      <x:c r="F74" s="1"/>
      <x:c r="G74" s="1"/>
      <x:c r="H74" s="1"/>
      <x:c r="I74" s="1"/>
      <x:c r="J74" s="1"/>
      <x:c r="K74" s="1"/>
    </x:row>
    <x:row r="75" ht="162" customHeight="1">
      <x:c r="A75" s="16" t="str">
        <x:v>Cheung (2007), original source group definitions</x:v>
      </x:c>
      <x:c r="B75" s="16" t="str">
        <x:v>Taxa: 43 taxa, including Scomberomorus; Scombroidei; Scombridae; Marine fishes not identified; Perciformes; Alepes (full list in the linked mapping audit). Appendix 6.1.24, large pelagic fish, printed p. 339 (PDF p. 354). Operative habitat, species-maximum-size, named-group exclusions and stage definitions; source scope is the northern shelf. Appendix 6.1, represented fish/invertebrate definitions; printed pp. 323–340. Operative habitat, species-maximum-size, named-group exclusions and stage definitions; source scope is the northern shelf. Appendix 6.1, small/large benthopelagic definitions, printed pp. 337–338 (PDF pp. 352–353). Operative habitat, species-maximum-size, named-group exclusions and stage definitions; source scope is the northern shelf. Further taxon-specific findings are retained in the mapping audit.</x:v>
      </x:c>
      <x:c r="C75" s="25" t="str">
        <x:v>regions/LME_036/validation_reports/36_1_South_China_Sea_SCS-2007_Northern_South_China_Sea_(2000s)/confidence_reassessment_20260930/source_group_definitions.txt</x:v>
      </x:c>
      <x:c r="D75" s="1"/>
      <x:c r="E75" s="1"/>
      <x:c r="F75" s="1"/>
      <x:c r="G75" s="1"/>
      <x:c r="H75" s="1"/>
      <x:c r="I75" s="1"/>
      <x:c r="J75" s="1"/>
      <x:c r="K75" s="1"/>
    </x:row>
    <x:row r="76" ht="162" customHeight="1">
      <x:c r="A76" s="16" t="str">
        <x:v>Regional catch reporting metadata</x:v>
      </x:c>
      <x:c r="B76" s="16" t="str">
        <x:v>Taxa: 43 taxa, including Scomberomorus; Scombroidei; Scombridae; Marine fishes not identified; Perciformes; Alepes (full list in the linked mapping audit). Catch worksheet, @table Catch, taxon Scomberomorus. Reporting name: Spanish mackerels; saved functional class: Large pelagics (&gt;=90 cm). This contextual label is not independent proof of biological containment. Catch worksheet, @table Catch, taxon Scombroidei. Reporting name: Tunas, bonitos, billfishes; saved functional class: Large pelagics (&gt;=90 cm). This contextual label is not independent proof of biological containment. Catch worksheet, @table Catch, taxon Scombridae. Reporting name: Mackerels, tunas, bonitos; saved functional class: Medium pelagics (30 - 89 cm). This contextual label is not independent proof of biological containment. Further taxon-specific findings are retained in the mapping audit.</x:v>
      </x:c>
      <x:c r="C76" s="25" t="str">
        <x:v>regions/LME_036/LME_036.xlsx</x:v>
      </x:c>
      <x:c r="D76" s="1"/>
      <x:c r="E76" s="1"/>
      <x:c r="F76" s="1"/>
      <x:c r="G76" s="1"/>
      <x:c r="H76" s="1"/>
      <x:c r="I76" s="1"/>
      <x:c r="J76" s="1"/>
      <x:c r="K76" s="1"/>
    </x:row>
    <x:row r="77" ht="177" customHeight="1">
      <x:c r="A77" s="16" t="str">
        <x:v>Prior full audit and allocation ledger</x:v>
      </x:c>
      <x:c r="B77" s="16" t="str">
        <x:v>Taxa: 43 taxa, including Scomberomorus; Scombroidei; Scombridae; Marine fishes not identified; Perciformes; Alepes (full list in the linked mapping audit). Exact taxon Scomberomorus; membership_source, stored_mapping, allocation_ledger, candidate_selection. Documents the current adopted candidate set, original evidence trail and retained allocation assumption; old conclusions were re-evaluated. Exact taxon Scombroidei; membership_source, stored_mapping, allocation_ledger, candidate_selection. Documents the current adopted candidate set, original evidence trail and retained allocation assumption; old conclusions were re-evaluated. Exact taxon Scombridae; membership_source, stored_mapping, allocation_ledger, candidate_selection. Documents the current adopted candidate set, original evidence trail and retained allocation assumption; old conclusions were re-evaluated. Further taxon-specific findings are retained in the mapping audit.</x:v>
      </x:c>
      <x:c r="C77" s="25" t="str">
        <x:v>regions/LME_036/validation_reports/36_1_South_China_Sea_SCS-2007_Northern_South_China_Sea_(2000s)/confidence_reassessment_20260930/pelagic_and_analogues_input.json</x:v>
      </x:c>
      <x:c r="D77" s="1"/>
      <x:c r="E77" s="1"/>
      <x:c r="F77" s="1"/>
      <x:c r="G77" s="1"/>
      <x:c r="H77" s="1"/>
      <x:c r="I77" s="1"/>
      <x:c r="J77" s="1"/>
      <x:c r="K77" s="1"/>
    </x:row>
    <x:row r="78" ht="66" customHeight="1">
      <x:c r="A78" s="16" t="str">
        <x:v>Collette &amp; Nauen (1983), FAO Scombrids of the world</x:v>
      </x:c>
      <x:c r="B78" s="16" t="str">
        <x:v>Taxa: Scomberomorus. Scomberomorus accounts, pp. 63, 66–68. Regional S. commerson, guttatus, koreanus and lineolatus are epipelagic/neritic and have maxima well above 30 cm FL.</x:v>
      </x:c>
      <x:c r="C78" s="25" t="str">
        <x:v>https://www.fao.org/docrep/pdf/009/ac478e/ac478e09.pdf</x:v>
      </x:c>
      <x:c r="D78" s="1"/>
      <x:c r="E78" s="1"/>
      <x:c r="F78" s="1"/>
      <x:c r="G78" s="1"/>
      <x:c r="H78" s="1"/>
      <x:c r="I78" s="1"/>
      <x:c r="J78" s="1"/>
      <x:c r="K78" s="1"/>
    </x:row>
    <x:row r="79" ht="66" customHeight="1">
      <x:c r="A79" s="16" t="str">
        <x:v>Collette &amp; Nauen (1983), FAO Scombrids of the world</x:v>
      </x:c>
      <x:c r="B79" s="16" t="str">
        <x:v>Taxa: Scomberomorus. Scomberomorus niphonius and S. sinensis accounts, pp. 72, 78. Additional regional Spanish mackerels exceed 30 cm FL and occupy neritic pelagic habitats.</x:v>
      </x:c>
      <x:c r="C79" s="25" t="str">
        <x:v>https://www.fao.org/docrep/pdf/009/ac478e/ac478e10.pdf</x:v>
      </x:c>
      <x:c r="D79" s="1"/>
      <x:c r="E79" s="1"/>
      <x:c r="F79" s="1"/>
      <x:c r="G79" s="1"/>
      <x:c r="H79" s="1"/>
      <x:c r="I79" s="1"/>
      <x:c r="J79" s="1"/>
      <x:c r="K79" s="1"/>
    </x:row>
    <x:row r="80" ht="66" customHeight="1">
      <x:c r="A80" s="16" t="str">
        <x:v>FAO, Review of the state of world marine fishery resources</x:v>
      </x:c>
      <x:c r="B80" s="16" t="str">
        <x:v>Taxa: Scombroidei. Table D12, Western Central Pacific; ISSCAAP 36. Statistics use Scombroidei for tuna-like fishes nei, separately from hairtails and miscellaneous pelagic fishes.</x:v>
      </x:c>
      <x:c r="C80" s="25" t="str">
        <x:v>https://www.fao.org/4/y5852e/Y5852E12.htm</x:v>
      </x:c>
      <x:c r="D80" s="1"/>
      <x:c r="E80" s="1"/>
      <x:c r="F80" s="1"/>
      <x:c r="G80" s="1"/>
      <x:c r="H80" s="1"/>
      <x:c r="I80" s="1"/>
      <x:c r="J80" s="1"/>
      <x:c r="K80" s="1"/>
    </x:row>
    <x:row r="81" ht="66" customHeight="1">
      <x:c r="A81" s="16" t="str">
        <x:v>Collette &amp; Nauen (1983), FAO Scombrids of the world</x:v>
      </x:c>
      <x:c r="B81" s="16" t="str">
        <x:v>Taxa: Scombroidei; Auxis. Auxis accounts, pp. 28–30. Both Auxis species are epipelagic and exceed 30 cm maximum fork length.</x:v>
      </x:c>
      <x:c r="C81" s="25" t="str">
        <x:v>https://www.fao.org/docrep/pdf/009/ac478e/ac478e05.pdf</x:v>
      </x:c>
      <x:c r="D81" s="1"/>
      <x:c r="E81" s="1"/>
      <x:c r="F81" s="1"/>
      <x:c r="G81" s="1"/>
      <x:c r="H81" s="1"/>
      <x:c r="I81" s="1"/>
      <x:c r="J81" s="1"/>
      <x:c r="K81" s="1"/>
    </x:row>
    <x:row r="82" ht="66" customHeight="1">
      <x:c r="A82" s="16" t="str">
        <x:v>Nakamura (1985), FAO Billfishes of the world</x:v>
      </x:c>
      <x:c r="B82" s="16" t="str">
        <x:v>Taxa: Scombroidei; Istiophorus platypterus; Istiophoridae; Istiophorus. Istiophoridae and Istiophorus, pp. 20–26. Large upper-water pelagic billfishes; Indo-Pacific sailfish regularly approaches coasts, islands and reefs.</x:v>
      </x:c>
      <x:c r="C82" s="25" t="str">
        <x:v>https://www.fao.org/docrep/pdf/009/ac480e/ac480e05.pdf</x:v>
      </x:c>
      <x:c r="D82" s="1"/>
      <x:c r="E82" s="1"/>
      <x:c r="F82" s="1"/>
      <x:c r="G82" s="1"/>
      <x:c r="H82" s="1"/>
      <x:c r="I82" s="1"/>
      <x:c r="J82" s="1"/>
      <x:c r="K82" s="1"/>
    </x:row>
    <x:row r="83" ht="132" customHeight="1">
      <x:c r="A83" s="16" t="str">
        <x:v>Sea Around Us exploited-organisms response, LME 036</x:v>
      </x:c>
      <x:c r="B83" s="16" t="str">
        <x:v>Taxa: Scombroidei; Chondrichthyes; Scomber; Miscellaneous aquatic invertebrates; Makaira. data scientific_name=Scombroidei; retrieved 2026-09-03. Independent saved raw API common_name establishes the reporting-label context; sl_max_cm is not used as species maximum TL. data scientific_name=Chondrichthyes; retrieved 2026-09-03. Independent saved raw API common_name establishes the reporting-label context; sl_max_cm is not used as species maximum TL. data scientific_name=Scomber; retrieved 2026-09-03. Independent saved raw API common_name establishes the reporting-label context; sl_max_cm is not used as species maximum TL. Further taxon-specific findings are retained in the mapping audit.</x:v>
      </x:c>
      <x:c r="C83" s="25" t="str">
        <x:v>regions/LME_036/raw/LME_036-exploited.json</x:v>
      </x:c>
      <x:c r="D83" s="1"/>
      <x:c r="E83" s="1"/>
      <x:c r="F83" s="1"/>
      <x:c r="G83" s="1"/>
      <x:c r="H83" s="1"/>
      <x:c r="I83" s="1"/>
      <x:c r="J83" s="1"/>
      <x:c r="K83" s="1"/>
    </x:row>
    <x:row r="84" ht="66" customHeight="1">
      <x:c r="A84" s="16" t="str">
        <x:v>Collette &amp; Nauen (1983), FAO Scombrids of the world</x:v>
      </x:c>
      <x:c r="B84" s="16" t="str">
        <x:v>Taxa: Scombridae; Rastrelliger. Rastrelliger accounts, pp. 47–48. R. brachysoma reaches 34.5 cm FL; R. faughni is documented at 'at least 20 cm FL', an incomplete upper-size statement.</x:v>
      </x:c>
      <x:c r="C84" s="25" t="str">
        <x:v>https://www.fao.org/docrep/pdf/009/ac478e/ac478e07.pdf</x:v>
      </x:c>
      <x:c r="D84" s="1"/>
      <x:c r="E84" s="1"/>
      <x:c r="F84" s="1"/>
      <x:c r="G84" s="1"/>
      <x:c r="H84" s="1"/>
      <x:c r="I84" s="1"/>
      <x:c r="J84" s="1"/>
      <x:c r="K84" s="1"/>
    </x:row>
    <x:row r="85" ht="66" customHeight="1">
      <x:c r="A85" s="16" t="str">
        <x:v>Collette &amp; Nauen (1983), FAO Scombrids of the world</x:v>
      </x:c>
      <x:c r="B85" s="16" t="str">
        <x:v>Taxa: Scombridae; Rastrelliger; Scomber. Rastrelliger kanagurta and Scomber accounts, pp. 49, 56–57. R. kanagurta reaches 35 cm FL. Regional S. australasicus and S. japonicus are pelagic and exceed 30 cm FL.</x:v>
      </x:c>
      <x:c r="C85" s="25" t="str">
        <x:v>https://www.fao.org/4/ac478e/ac478e08.pdf</x:v>
      </x:c>
      <x:c r="D85" s="1"/>
      <x:c r="E85" s="1"/>
      <x:c r="F85" s="1"/>
      <x:c r="G85" s="1"/>
      <x:c r="H85" s="1"/>
      <x:c r="I85" s="1"/>
      <x:c r="J85" s="1"/>
      <x:c r="K85" s="1"/>
    </x:row>
    <x:row r="86" ht="66" customHeight="1">
      <x:c r="A86" s="16" t="str">
        <x:v>WoRMS: Carangidae</x:v>
      </x:c>
      <x:c r="B86" s="16" t="str">
        <x:v>Taxa: Carangidae. {"scientificname":"Carangidae","valid_name":"Carangidae","status":"accepted","family":"Carangidae","class":"Teleostei","phylum":"Chordata"}</x:v>
      </x:c>
      <x:c r="C86" s="25" t="str">
        <x:v>https://www.marinespecies.org/aphia.php?p=taxdetails&amp;id=125523</x:v>
      </x:c>
      <x:c r="D86" s="1"/>
      <x:c r="E86" s="1"/>
      <x:c r="F86" s="1"/>
      <x:c r="G86" s="1"/>
      <x:c r="H86" s="1"/>
      <x:c r="I86" s="1"/>
      <x:c r="J86" s="1"/>
      <x:c r="K86" s="1"/>
    </x:row>
    <x:row r="87" ht="66" customHeight="1">
      <x:c r="A87" s="16" t="str">
        <x:v>FishBase: Decapterus russelli</x:v>
      </x:c>
      <x:c r="B87" s="16" t="str">
        <x:v>Taxa: Carangidae; Decapterus russelli. Taxon-specific boundary evidence described in the rationale. Habitat: Marine;  benthopelagic;; first maximum: 45 cm TL. Additional biology checked where material.</x:v>
      </x:c>
      <x:c r="C87" s="25" t="str">
        <x:v>https://www.fishbase.se/summary/Decapterus-russelli.html</x:v>
      </x:c>
      <x:c r="D87" s="1"/>
      <x:c r="E87" s="1"/>
      <x:c r="F87" s="1"/>
      <x:c r="G87" s="1"/>
      <x:c r="H87" s="1"/>
      <x:c r="I87" s="1"/>
      <x:c r="J87" s="1"/>
      <x:c r="K87" s="1"/>
    </x:row>
    <x:row r="88" ht="66" customHeight="1">
      <x:c r="A88" s="16" t="str">
        <x:v>FishBase: Gnathanodon speciosus</x:v>
      </x:c>
      <x:c r="B88" s="16" t="str">
        <x:v>Taxa: Carangidae; Gnathanodon speciosus. Taxon-specific boundary evidence described in the rationale. Habitat: Marine;  reef-associated;; first maximum: 120 cm TL. Additional biology checked where material.</x:v>
      </x:c>
      <x:c r="C88" s="25" t="str">
        <x:v>https://www.fishbase.se/summary/Gnathanodon-speciosus.html</x:v>
      </x:c>
      <x:c r="D88" s="1"/>
      <x:c r="E88" s="1"/>
      <x:c r="F88" s="1"/>
      <x:c r="G88" s="1"/>
      <x:c r="H88" s="1"/>
      <x:c r="I88" s="1"/>
      <x:c r="J88" s="1"/>
      <x:c r="K88" s="1"/>
    </x:row>
    <x:row r="89" ht="72" customHeight="1">
      <x:c r="A89" s="16" t="str">
        <x:v>Cheung (2007): Chapter 6 and Appendix 6.1</x:v>
      </x:c>
      <x:c r="B89" s="16" t="str">
        <x:v>Taxa: 85 taxa, including Muraenesox cinereus; Sparidae; Leiognathidae; Lates calcarifer; Ariidae; Miichthys miiuy (full list in the linked mapping audit). pp. 333–339; Appendix 6.1.17–6.1.24. Defines dedicated Sciaenidae and residual demersal/benthopelagic/pelagic pools by taxonomy, maximum species total length and habitat.</x:v>
      </x:c>
      <x:c r="C89" s="25" t="str">
        <x:v>regions/LME_036/papers/SCS-2007/ubc_2007-317501-87ea9ea0.pdf</x:v>
      </x:c>
      <x:c r="D89" s="1"/>
      <x:c r="E89" s="1"/>
      <x:c r="F89" s="1"/>
      <x:c r="G89" s="1"/>
      <x:c r="H89" s="1"/>
      <x:c r="I89" s="1"/>
      <x:c r="J89" s="1"/>
      <x:c r="K89" s="1"/>
    </x:row>
    <x:row r="90" ht="66" customHeight="1">
      <x:c r="A90" s="16" t="str">
        <x:v>FishBase: Muraenesox cinereus</x:v>
      </x:c>
      <x:c r="B90" s="16" t="str">
        <x:v>Taxa: Muraenesox cinereus. Classification; Environment; Size; Biology. Pike conger, demersal coastal soft substrates, maximum 220 cm TL; no dedicated source family pool.</x:v>
      </x:c>
      <x:c r="C90" s="25" t="str">
        <x:v>https://www.fishbase.se/summary/Muraenesox-cinereus.html</x:v>
      </x:c>
      <x:c r="D90" s="1"/>
      <x:c r="E90" s="1"/>
      <x:c r="F90" s="1"/>
      <x:c r="G90" s="1"/>
      <x:c r="H90" s="1"/>
      <x:c r="I90" s="1"/>
      <x:c r="J90" s="1"/>
      <x:c r="K90" s="1"/>
    </x:row>
    <x:row r="91" ht="66" customHeight="1">
      <x:c r="A91" s="16" t="str">
        <x:v>FAO Kenya field guide: Muraenesocidae</x:v>
      </x:c>
      <x:c r="B91" s="16" t="str">
        <x:v>Taxa: Muraenesox cinereus; Muraenesox; Muraenesocidae; Anguilliformes. Muraenesox bagio and M. cinereus accounts. Both are large benthic species on soft substrates; supports ecological assignment without asserting source-listed membership.</x:v>
      </x:c>
      <x:c r="C91" s="25" t="str">
        <x:v>https://www.fao.org/4/i2741e/i2741e10b.pdf</x:v>
      </x:c>
      <x:c r="D91" s="1"/>
      <x:c r="E91" s="1"/>
      <x:c r="F91" s="1"/>
      <x:c r="G91" s="1"/>
      <x:c r="H91" s="1"/>
      <x:c r="I91" s="1"/>
      <x:c r="J91" s="1"/>
      <x:c r="K91" s="1"/>
    </x:row>
    <x:row r="92" ht="66" customHeight="1">
      <x:c r="A92" s="16" t="str">
        <x:v>WoRMS: Nemipterus</x:v>
      </x:c>
      <x:c r="B92" s="16" t="str">
        <x:v>Taxa: Nemipterus. {"scientificname":"Nemipterus","valid_name":"Nemipterus","status":"accepted","family":"Nemipteridae","class":"Teleostei","phylum":"Chordata"}</x:v>
      </x:c>
      <x:c r="C92" s="25" t="str">
        <x:v>https://www.marinespecies.org/aphia.php?p=taxdetails&amp;id=205457</x:v>
      </x:c>
      <x:c r="D92" s="1"/>
      <x:c r="E92" s="1"/>
      <x:c r="F92" s="1"/>
      <x:c r="G92" s="1"/>
      <x:c r="H92" s="1"/>
      <x:c r="I92" s="1"/>
      <x:c r="J92" s="1"/>
      <x:c r="K92" s="1"/>
    </x:row>
    <x:row r="93" ht="66" customHeight="1">
      <x:c r="A93" s="16" t="str">
        <x:v>WoRMS: Scyphozoa</x:v>
      </x:c>
      <x:c r="B93" s="16" t="str">
        <x:v>Taxa: Scyphozoa. {"scientificname":"Scyphozoa","valid_name":"Scyphozoa","status":"accepted","family":null,"class":"Scyphozoa","phylum":"Cnidaria"}</x:v>
      </x:c>
      <x:c r="C93" s="25" t="str">
        <x:v>https://www.marinespecies.org/aphia.php?p=taxdetails&amp;id=135220</x:v>
      </x:c>
      <x:c r="D93" s="1"/>
      <x:c r="E93" s="1"/>
      <x:c r="F93" s="1"/>
      <x:c r="G93" s="1"/>
      <x:c r="H93" s="1"/>
      <x:c r="I93" s="1"/>
      <x:c r="J93" s="1"/>
      <x:c r="K93" s="1"/>
    </x:row>
    <x:row r="94" ht="66" customHeight="1">
      <x:c r="A94" s="16" t="str">
        <x:v>WoRMS: Scomberomorus commerson</x:v>
      </x:c>
      <x:c r="B94" s="16" t="str">
        <x:v>Taxa: Scomberomorus commerson. {"scientificname":"Scomberomorus commerson","valid_name":"Scomberomorus commerson","status":"accepted","family":"Scombridae","class":"Teleostei","phylum":"Chordata"}</x:v>
      </x:c>
      <x:c r="C94" s="25" t="str">
        <x:v>https://www.marinespecies.org/aphia.php?p=taxdetails&amp;id=127024</x:v>
      </x:c>
      <x:c r="D94" s="1"/>
      <x:c r="E94" s="1"/>
      <x:c r="F94" s="1"/>
      <x:c r="G94" s="1"/>
      <x:c r="H94" s="1"/>
      <x:c r="I94" s="1"/>
      <x:c r="J94" s="1"/>
      <x:c r="K94" s="1"/>
    </x:row>
    <x:row r="95" ht="66" customHeight="1">
      <x:c r="A95" s="16" t="str">
        <x:v>FishBase: Scomberomorus commerson</x:v>
      </x:c>
      <x:c r="B95" s="16" t="str">
        <x:v>Taxa: Scomberomorus commerson. Habitat: Marine;  pelagic-neritic; oceanodromous; first maximum: 240 cm FL. Additional biology checked where material.</x:v>
      </x:c>
      <x:c r="C95" s="25" t="str">
        <x:v>https://www.fishbase.se/summary/Scomberomorus-commerson.html</x:v>
      </x:c>
      <x:c r="D95" s="1"/>
      <x:c r="E95" s="1"/>
      <x:c r="F95" s="1"/>
      <x:c r="G95" s="1"/>
      <x:c r="H95" s="1"/>
      <x:c r="I95" s="1"/>
      <x:c r="J95" s="1"/>
      <x:c r="K95" s="1"/>
    </x:row>
    <x:row r="96" ht="66" customHeight="1">
      <x:c r="A96" s="16" t="str">
        <x:v>WoRMS: Sciaenidae</x:v>
      </x:c>
      <x:c r="B96" s="16" t="str">
        <x:v>Taxa: Sciaenidae. {"scientificname":"Sciaenidae","valid_name":"Sciaenidae","status":"accepted","family":"Sciaenidae","class":"Teleostei","phylum":"Chordata"}</x:v>
      </x:c>
      <x:c r="C96" s="25" t="str">
        <x:v>https://www.marinespecies.org/aphia.php?p=taxdetails&amp;id=125558</x:v>
      </x:c>
      <x:c r="D96" s="1"/>
      <x:c r="E96" s="1"/>
      <x:c r="F96" s="1"/>
      <x:c r="G96" s="1"/>
      <x:c r="H96" s="1"/>
      <x:c r="I96" s="1"/>
      <x:c r="J96" s="1"/>
      <x:c r="K96" s="1"/>
    </x:row>
    <x:row r="97" ht="66" customHeight="1">
      <x:c r="A97" s="16" t="str">
        <x:v>WoRMS: Loliginidae</x:v>
      </x:c>
      <x:c r="B97" s="16" t="str">
        <x:v>Taxa: Loliginidae. {"scientificname":"Loliginidae","valid_name":"Loliginidae","status":"accepted","family":"Loliginidae","class":"Cephalopoda","phylum":"Mollusca"}</x:v>
      </x:c>
      <x:c r="C97" s="25" t="str">
        <x:v>https://www.marinespecies.org/aphia.php?p=taxdetails&amp;id=11734</x:v>
      </x:c>
      <x:c r="D97" s="1"/>
      <x:c r="E97" s="1"/>
      <x:c r="F97" s="1"/>
      <x:c r="G97" s="1"/>
      <x:c r="H97" s="1"/>
      <x:c r="I97" s="1"/>
      <x:c r="J97" s="1"/>
      <x:c r="K97" s="1"/>
    </x:row>
    <x:row r="98" ht="66" customHeight="1">
      <x:c r="A98" s="16" t="str">
        <x:v>WoRMS: Teuthida</x:v>
      </x:c>
      <x:c r="B98" s="16" t="str">
        <x:v>Taxa: Teuthida. {"scientificname":"Teuthida","valid_name":"Teuthida","status":"nomen dubium","family":null,"class":"Cephalopoda","phylum":"Mollusca"}</x:v>
      </x:c>
      <x:c r="C98" s="25" t="str">
        <x:v>https://www.marinespecies.org/aphia.php?p=taxdetails&amp;id=11716</x:v>
      </x:c>
      <x:c r="D98" s="1"/>
      <x:c r="E98" s="1"/>
      <x:c r="F98" s="1"/>
      <x:c r="G98" s="1"/>
      <x:c r="H98" s="1"/>
      <x:c r="I98" s="1"/>
      <x:c r="J98" s="1"/>
      <x:c r="K98" s="1"/>
    </x:row>
    <x:row r="99" ht="66" customHeight="1">
      <x:c r="A99" s="16" t="str">
        <x:v>WoRMS: Auxis thazard</x:v>
      </x:c>
      <x:c r="B99" s="16" t="str">
        <x:v>Taxa: Auxis thazard. {"scientificname":"Auxis thazard","valid_name":"Auxis thazard","status":"accepted","family":"Scombridae","class":"Teleostei","phylum":"Chordata"}</x:v>
      </x:c>
      <x:c r="C99" s="25" t="str">
        <x:v>https://www.marinespecies.org/aphia.php?p=taxdetails&amp;id=127016</x:v>
      </x:c>
      <x:c r="D99" s="1"/>
      <x:c r="E99" s="1"/>
      <x:c r="F99" s="1"/>
      <x:c r="G99" s="1"/>
      <x:c r="H99" s="1"/>
      <x:c r="I99" s="1"/>
      <x:c r="J99" s="1"/>
      <x:c r="K99" s="1"/>
    </x:row>
    <x:row r="100" ht="66" customHeight="1">
      <x:c r="A100" s="16" t="str">
        <x:v>FishBase: Auxis thazard</x:v>
      </x:c>
      <x:c r="B100" s="16" t="str">
        <x:v>Taxa: Auxis thazard. Habitat: Marine;  pelagic-neritic; oceanodromous; first maximum: 65 cm FL. Additional biology checked where material.</x:v>
      </x:c>
      <x:c r="C100" s="25" t="str">
        <x:v>https://www.fishbase.se/summary/Auxis-thazard.html</x:v>
      </x:c>
      <x:c r="D100" s="1"/>
      <x:c r="E100" s="1"/>
      <x:c r="F100" s="1"/>
      <x:c r="G100" s="1"/>
      <x:c r="H100" s="1"/>
      <x:c r="I100" s="1"/>
      <x:c r="J100" s="1"/>
      <x:c r="K100" s="1"/>
    </x:row>
    <x:row r="101" ht="66" customHeight="1">
      <x:c r="A101" s="16" t="str">
        <x:v>FAO, The marine fishery resources of Sri Lanka</x:v>
      </x:c>
      <x:c r="B101" s="16" t="str">
        <x:v>Taxa: Perciformes. Taxonomic contents, Perciformes: Percoidei and Scombroidei. Historical FAO guides group multiple presently separated fish lineages within Perciformes.</x:v>
      </x:c>
      <x:c r="C101" s="25" t="str">
        <x:v>https://www.fao.org/4/t0726e/t0726e00.htm</x:v>
      </x:c>
      <x:c r="D101" s="1"/>
      <x:c r="E101" s="1"/>
      <x:c r="F101" s="1"/>
      <x:c r="G101" s="1"/>
      <x:c r="H101" s="1"/>
      <x:c r="I101" s="1"/>
      <x:c r="J101" s="1"/>
      <x:c r="K101" s="1"/>
    </x:row>
    <x:row r="102" ht="66" customHeight="1">
      <x:c r="A102" s="16" t="str">
        <x:v>Eschmeyer's Catalog of Fishes: Classification</x:v>
      </x:c>
      <x:c r="B102" s="16" t="str">
        <x:v>Taxa: Perciformes. Order and family classification. Authority for distinguishing taxonomic rank and current family placement from historical reporting names.</x:v>
      </x:c>
      <x:c r="C102" s="25" t="str">
        <x:v>https://research.calacademy.org/research/ichthyology/catalog/classif.asp</x:v>
      </x:c>
      <x:c r="D102" s="1"/>
      <x:c r="E102" s="1"/>
      <x:c r="F102" s="1"/>
      <x:c r="G102" s="1"/>
      <x:c r="H102" s="1"/>
      <x:c r="I102" s="1"/>
      <x:c r="J102" s="1"/>
      <x:c r="K102" s="1"/>
    </x:row>
    <x:row r="103" ht="66" customHeight="1">
      <x:c r="A103" s="16" t="str">
        <x:v>WoRMS: Portunus trituberculatus</x:v>
      </x:c>
      <x:c r="B103" s="16" t="str">
        <x:v>Taxa: Portunus trituberculatus. {"scientificname":"Portunus trituberculatus","valid_name":"Portunus trituberculatus","status":"accepted","family":"Portunidae","class":"Malacostraca","phylum":"Arthropoda"}</x:v>
      </x:c>
      <x:c r="C103" s="25" t="str">
        <x:v>https://www.marinespecies.org/aphia.php?p=taxdetails&amp;id=1061762</x:v>
      </x:c>
      <x:c r="D103" s="1"/>
      <x:c r="E103" s="1"/>
      <x:c r="F103" s="1"/>
      <x:c r="G103" s="1"/>
      <x:c r="H103" s="1"/>
      <x:c r="I103" s="1"/>
      <x:c r="J103" s="1"/>
      <x:c r="K103" s="1"/>
    </x:row>
    <x:row r="104" ht="66" customHeight="1">
      <x:c r="A104" s="16" t="str">
        <x:v>WoRMS: Harpadon nehereus</x:v>
      </x:c>
      <x:c r="B104" s="16" t="str">
        <x:v>Taxa: Harpadon nehereus. {"scientificname":"Harpadon nehereus","valid_name":"Harpadon nehereus","status":"accepted","family":"Harpadontidae","class":"Teleostei","phylum":"Chordata"}</x:v>
      </x:c>
      <x:c r="C104" s="25" t="str">
        <x:v>https://www.marinespecies.org/aphia.php?p=taxdetails&amp;id=217661</x:v>
      </x:c>
      <x:c r="D104" s="1"/>
      <x:c r="E104" s="1"/>
      <x:c r="F104" s="1"/>
      <x:c r="G104" s="1"/>
      <x:c r="H104" s="1"/>
      <x:c r="I104" s="1"/>
      <x:c r="J104" s="1"/>
      <x:c r="K104" s="1"/>
    </x:row>
    <x:row r="105" ht="66" customHeight="1">
      <x:c r="A105" s="16" t="str">
        <x:v>ITIS: Harpadon nehereus</x:v>
      </x:c>
      <x:c r="B105" s="16" t="str">
        <x:v>Taxa: Harpadon nehereus. Harpadon in Synodontidae, contrasting with current WoRMS Harpadontidae.</x:v>
      </x:c>
      <x:c r="C105" s="25" t="str">
        <x:v>https://www.itis.gov/servlet/SingleRpt/SingleRpt?search_topic=TSN&amp;search_value=162425</x:v>
      </x:c>
      <x:c r="D105" s="1"/>
      <x:c r="E105" s="1"/>
      <x:c r="F105" s="1"/>
      <x:c r="G105" s="1"/>
      <x:c r="H105" s="1"/>
      <x:c r="I105" s="1"/>
      <x:c r="J105" s="1"/>
      <x:c r="K105" s="1"/>
    </x:row>
    <x:row r="106" ht="66" customHeight="1">
      <x:c r="A106" s="16" t="str">
        <x:v>Smith-Vaniz (1999), FAO Western Central Pacific, Carangidae</x:v>
      </x:c>
      <x:c r="B106" s="16" t="str">
        <x:v>Taxa: Alepes. Alepes species accounts. Alepes includes small A. kleinii and A. melanoptera, and much larger A. vari; one large-pelagic size set is not established.</x:v>
      </x:c>
      <x:c r="C106" s="25" t="str">
        <x:v>https://www.fao.org/4/x2400e/x2400e52.pdf</x:v>
      </x:c>
      <x:c r="D106" s="1"/>
      <x:c r="E106" s="1"/>
      <x:c r="F106" s="1"/>
      <x:c r="G106" s="1"/>
      <x:c r="H106" s="1"/>
      <x:c r="I106" s="1"/>
      <x:c r="J106" s="1"/>
      <x:c r="K106" s="1"/>
    </x:row>
    <x:row r="107" ht="66" customHeight="1">
      <x:c r="A107" s="16" t="str">
        <x:v>WoRMS: Katsuwonus pelamis</x:v>
      </x:c>
      <x:c r="B107" s="16" t="str">
        <x:v>Taxa: Katsuwonus pelamis. {"scientificname":"Katsuwonus pelamis","valid_name":"Katsuwonus pelamis","status":"accepted","family":"Scombridae","class":"Teleostei","phylum":"Chordata"}</x:v>
      </x:c>
      <x:c r="C107" s="25" t="str">
        <x:v>https://www.marinespecies.org/aphia.php?p=taxdetails&amp;id=127018</x:v>
      </x:c>
      <x:c r="D107" s="1"/>
      <x:c r="E107" s="1"/>
      <x:c r="F107" s="1"/>
      <x:c r="G107" s="1"/>
      <x:c r="H107" s="1"/>
      <x:c r="I107" s="1"/>
      <x:c r="J107" s="1"/>
      <x:c r="K107" s="1"/>
    </x:row>
    <x:row r="108" ht="66" customHeight="1">
      <x:c r="A108" s="16" t="str">
        <x:v>FishBase: Katsuwonus pelamis</x:v>
      </x:c>
      <x:c r="B108" s="16" t="str">
        <x:v>Taxa: Katsuwonus pelamis. Habitat: Marine;  pelagic-oceanic; oceanodromous; first maximum: 110 cm FL. Additional biology checked where material.</x:v>
      </x:c>
      <x:c r="C108" s="25" t="str">
        <x:v>https://www.fishbase.se/summary/Katsuwonus-pelamis.html</x:v>
      </x:c>
      <x:c r="D108" s="1"/>
      <x:c r="E108" s="1"/>
      <x:c r="F108" s="1"/>
      <x:c r="G108" s="1"/>
      <x:c r="H108" s="1"/>
      <x:c r="I108" s="1"/>
      <x:c r="J108" s="1"/>
      <x:c r="K108" s="1"/>
    </x:row>
    <x:row r="109" ht="66" customHeight="1">
      <x:c r="A109" s="16" t="str">
        <x:v>WoRMS: Todarodes pacificus</x:v>
      </x:c>
      <x:c r="B109" s="16" t="str">
        <x:v>Taxa: Todarodes pacificus. {"scientificname":"Todarodes pacificus","valid_name":"Todarodes pacificus","status":"accepted","family":"Ommastrephidae","class":"Cephalopoda","phylum":"Mollusca"}</x:v>
      </x:c>
      <x:c r="C109" s="25" t="str">
        <x:v>https://www.marinespecies.org/aphia.php?p=taxdetails&amp;id=342067</x:v>
      </x:c>
      <x:c r="D109" s="1"/>
      <x:c r="E109" s="1"/>
      <x:c r="F109" s="1"/>
      <x:c r="G109" s="1"/>
      <x:c r="H109" s="1"/>
      <x:c r="I109" s="1"/>
      <x:c r="J109" s="1"/>
      <x:c r="K109" s="1"/>
    </x:row>
    <x:row r="110" ht="66" customHeight="1">
      <x:c r="A110" s="16" t="str">
        <x:v>WoRMS: Engraulis japonicus</x:v>
      </x:c>
      <x:c r="B110" s="16" t="str">
        <x:v>Taxa: Engraulis japonicus. {"scientificname":"Engraulis japonicus","valid_name":"Engraulis japonicus","status":"accepted","family":"Engraulidae","class":"Teleostei","phylum":"Chordata"}</x:v>
      </x:c>
      <x:c r="C110" s="25" t="str">
        <x:v>https://www.marinespecies.org/aphia.php?p=taxdetails&amp;id=219984</x:v>
      </x:c>
      <x:c r="D110" s="1"/>
      <x:c r="E110" s="1"/>
      <x:c r="F110" s="1"/>
      <x:c r="G110" s="1"/>
      <x:c r="H110" s="1"/>
      <x:c r="I110" s="1"/>
      <x:c r="J110" s="1"/>
      <x:c r="K110" s="1"/>
    </x:row>
    <x:row r="111" ht="66" customHeight="1">
      <x:c r="A111" s="16" t="str">
        <x:v>FishBase: Engraulis japonicus</x:v>
      </x:c>
      <x:c r="B111" s="16" t="str">
        <x:v>Taxa: Engraulis japonicus. Habitat: Marine;  pelagic-neritic; oceanodromous; first maximum: 18 cm TL. Additional biology checked where material.</x:v>
      </x:c>
      <x:c r="C111" s="25" t="str">
        <x:v>https://www.fishbase.se/summary/Engraulis-japonicus.html</x:v>
      </x:c>
      <x:c r="D111" s="1"/>
      <x:c r="E111" s="1"/>
      <x:c r="F111" s="1"/>
      <x:c r="G111" s="1"/>
      <x:c r="H111" s="1"/>
      <x:c r="I111" s="1"/>
      <x:c r="J111" s="1"/>
      <x:c r="K111" s="1"/>
    </x:row>
    <x:row r="112" ht="66" customHeight="1">
      <x:c r="A112" s="16" t="str">
        <x:v>WoRMS: Sepiidae</x:v>
      </x:c>
      <x:c r="B112" s="16" t="str">
        <x:v>Taxa: Sepiidae. {"scientificname":"Sepiidae","valid_name":"Sepiidae","status":"accepted","family":"Sepiidae","class":"Cephalopoda","phylum":"Mollusca"}</x:v>
      </x:c>
      <x:c r="C112" s="25" t="str">
        <x:v>https://www.marinespecies.org/aphia.php?p=taxdetails&amp;id=11723</x:v>
      </x:c>
      <x:c r="D112" s="1"/>
      <x:c r="E112" s="1"/>
      <x:c r="F112" s="1"/>
      <x:c r="G112" s="1"/>
      <x:c r="H112" s="1"/>
      <x:c r="I112" s="1"/>
      <x:c r="J112" s="1"/>
      <x:c r="K112" s="1"/>
    </x:row>
    <x:row r="113" ht="66" customHeight="1">
      <x:c r="A113" s="16" t="str">
        <x:v>FishBase: Pagrus major</x:v>
      </x:c>
      <x:c r="B113" s="16" t="str">
        <x:v>Taxa: Sparidae; Pagrus major. Classification; Environment; Size; Biology. Sparidae; demersal, maximum 100 cm SL, bottom prey; maximum SL already exceeds the 30 cm TL boundary.</x:v>
      </x:c>
      <x:c r="C113" s="25" t="str">
        <x:v>https://www.fishbase.se/summary/Pagrus-major.html</x:v>
      </x:c>
      <x:c r="D113" s="1"/>
      <x:c r="E113" s="1"/>
      <x:c r="F113" s="1"/>
      <x:c r="G113" s="1"/>
      <x:c r="H113" s="1"/>
      <x:c r="I113" s="1"/>
      <x:c r="J113" s="1"/>
      <x:c r="K113" s="1"/>
    </x:row>
    <x:row r="114" ht="66" customHeight="1">
      <x:c r="A114" s="16" t="str">
        <x:v>FishBase: Acanthopagrus schlegelii</x:v>
      </x:c>
      <x:c r="B114" s="16" t="str">
        <x:v>Taxa: Sparidae; Acanthopagrus schlegelii. Classification; Environment; Size; Biology. Sparidae; demersal, maximum 50 cm SL; rocky bays and brackish habitats.</x:v>
      </x:c>
      <x:c r="C114" s="25" t="str">
        <x:v>https://www.fishbase.se/summary/Acanthopagrus-schlegelii.html</x:v>
      </x:c>
      <x:c r="D114" s="1"/>
      <x:c r="E114" s="1"/>
      <x:c r="F114" s="1"/>
      <x:c r="G114" s="1"/>
      <x:c r="H114" s="1"/>
      <x:c r="I114" s="1"/>
      <x:c r="J114" s="1"/>
      <x:c r="K114" s="1"/>
    </x:row>
    <x:row r="115" ht="102" customHeight="1">
      <x:c r="A115" s="16" t="str">
        <x:v>Cheung (2007): final Northern South China Sea model tables</x:v>
      </x:c>
      <x:c r="B115" s="16" t="str">
        <x:v>Taxa: 19 taxa, including Sparidae; Leiognathidae; Chirocentrus dorab; Leiognathus; Menidae; Parastromateus niger (full list in the linked mapping audit). Tables 6.1–6.2, pp.175–179; Appendix 6.1.21–6.1.22, pp.337–338. Final single benthopelagic row has 2000s PB 3.08, QB 15.42 and catch 0.603, whereas appendix small/large PB are 3.08/1.91 and catches 0.643/0.0079. Numerical similarity supports small-pool continuity but does not demonstrate a merger or exclusive size scope.</x:v>
      </x:c>
      <x:c r="C115" s="25" t="str">
        <x:v>regions/LME_036/papers/SCS-2007/ubc_2007-317501-87ea9ea0.pdf</x:v>
      </x:c>
      <x:c r="D115" s="1"/>
      <x:c r="E115" s="1"/>
      <x:c r="F115" s="1"/>
      <x:c r="G115" s="1"/>
      <x:c r="H115" s="1"/>
      <x:c r="I115" s="1"/>
      <x:c r="J115" s="1"/>
      <x:c r="K115" s="1"/>
    </x:row>
    <x:row r="116" ht="66" customHeight="1">
      <x:c r="A116" s="16" t="str">
        <x:v>Selected 2000s model, group 27</x:v>
      </x:c>
      <x:c r="B116" s="16" t="str">
        <x:v>Taxa: Sparidae; Menidae; Parastromateus niger; Mene maculata; Mugil cephalus; Lobotes surinamensis; Berycidae; Ariomma indica; Chanos chanos; Beryx. group 27 Benthopelagic fish. B 0.922, PB 3.08, QB 15.42, EE 0.479, export 0.6025; no separate large-benthopelagic group.</x:v>
      </x:c>
      <x:c r="C116" s="25" t="str">
        <x:v>regions/LME_036/models/36_1_South_China_Sea_SCS-2007_Northern_South_China_Sea_(2000s)/model.json</x:v>
      </x:c>
      <x:c r="D116" s="1"/>
      <x:c r="E116" s="1"/>
      <x:c r="F116" s="1"/>
      <x:c r="G116" s="1"/>
      <x:c r="H116" s="1"/>
      <x:c r="I116" s="1"/>
      <x:c r="J116" s="1"/>
      <x:c r="K116" s="1"/>
    </x:row>
    <x:row r="117" ht="66" customHeight="1">
      <x:c r="A117" s="16" t="str">
        <x:v>WoRMS: Priacanthus</x:v>
      </x:c>
      <x:c r="B117" s="16" t="str">
        <x:v>Taxa: Priacanthus. {"scientificname":"Priacanthus","valid_name":"Priacanthus","status":"accepted","family":"Priacanthidae","class":"Teleostei","phylum":"Chordata"}</x:v>
      </x:c>
      <x:c r="C117" s="25" t="str">
        <x:v>https://www.marinespecies.org/aphia.php?p=taxdetails&amp;id=126049</x:v>
      </x:c>
      <x:c r="D117" s="1"/>
      <x:c r="E117" s="1"/>
      <x:c r="F117" s="1"/>
      <x:c r="G117" s="1"/>
      <x:c r="H117" s="1"/>
      <x:c r="I117" s="1"/>
      <x:c r="J117" s="1"/>
      <x:c r="K117" s="1"/>
    </x:row>
    <x:row r="118" ht="66" customHeight="1">
      <x:c r="A118" s="16" t="str">
        <x:v>Nakamura &amp; Parin (1993), FAO Snake mackerels and cutlassfishes</x:v>
      </x:c>
      <x:c r="B118" s="16" t="str">
        <x:v>Taxa: Ruvettus pretiosus. Ruvettus pretiosus, p. 53. Oilfish is benthopelagic near continental slopes/searises, 100–700 m, with a maximum far above 30 cm.</x:v>
      </x:c>
      <x:c r="C118" s="25" t="str">
        <x:v>https://www.fao.org/docrep/pdf/009/t0539e/t0539e08.pdf</x:v>
      </x:c>
      <x:c r="D118" s="1"/>
      <x:c r="E118" s="1"/>
      <x:c r="F118" s="1"/>
      <x:c r="G118" s="1"/>
      <x:c r="H118" s="1"/>
      <x:c r="I118" s="1"/>
      <x:c r="J118" s="1"/>
      <x:c r="K118" s="1"/>
    </x:row>
    <x:row r="119" ht="72" customHeight="1">
      <x:c r="A119" s="16" t="str">
        <x:v>Local source model profile</x:v>
      </x:c>
      <x:c r="B119" s="16" t="str">
        <x:v>Taxa: Ruvettus pretiosus; Lampris guttatus; Lepidocybium flavobrunneum; Tetrapturus angustirostris. Northern shelf extent and functional-group limitations. Distinguishes model geography/parameter transfer from explicit habitat guild containment; documents final benthopelagic-pool ambiguity.</x:v>
      </x:c>
      <x:c r="C119" s="25" t="str">
        <x:v>regions/LME_036/models/36_1_South_China_Sea_SCS-2007_Northern_South_China_Sea_(2000s)/source_evidence/mapping/36_1_South_China_Sea_SCS-2007_Northern_South_China_Sea_(2000s).MODEL_PROFILE.md</x:v>
      </x:c>
      <x:c r="D119" s="1"/>
      <x:c r="E119" s="1"/>
      <x:c r="F119" s="1"/>
      <x:c r="G119" s="1"/>
      <x:c r="H119" s="1"/>
      <x:c r="I119" s="1"/>
      <x:c r="J119" s="1"/>
      <x:c r="K119" s="1"/>
    </x:row>
    <x:row r="120" ht="66" customHeight="1">
      <x:c r="A120" s="16" t="str">
        <x:v>WoRMS: Coryphaena hippurus</x:v>
      </x:c>
      <x:c r="B120" s="16" t="str">
        <x:v>Taxa: Coryphaena hippurus. {"scientificname":"Coryphaena hippurus","valid_name":"Coryphaena hippurus","status":"accepted","family":"Coryphaenidae","class":"Teleostei","phylum":"Chordata"}</x:v>
      </x:c>
      <x:c r="C120" s="25" t="str">
        <x:v>https://www.marinespecies.org/aphia.php?p=taxdetails&amp;id=126846</x:v>
      </x:c>
      <x:c r="D120" s="1"/>
      <x:c r="E120" s="1"/>
      <x:c r="F120" s="1"/>
      <x:c r="G120" s="1"/>
      <x:c r="H120" s="1"/>
      <x:c r="I120" s="1"/>
      <x:c r="J120" s="1"/>
      <x:c r="K120" s="1"/>
    </x:row>
    <x:row r="121" ht="66" customHeight="1">
      <x:c r="A121" s="16" t="str">
        <x:v>FishBase: Coryphaena hippurus</x:v>
      </x:c>
      <x:c r="B121" s="16" t="str">
        <x:v>Taxa: Coryphaena hippurus. Habitat: Marine; brackish;  pelagic-neritic; oceanodromous; first maximum: 210 cm TL. Additional biology checked where material.</x:v>
      </x:c>
      <x:c r="C121" s="25" t="str">
        <x:v>https://www.fishbase.se/summary/Coryphaena-hippurus.html</x:v>
      </x:c>
      <x:c r="D121" s="1"/>
      <x:c r="E121" s="1"/>
      <x:c r="F121" s="1"/>
      <x:c r="G121" s="1"/>
      <x:c r="H121" s="1"/>
      <x:c r="I121" s="1"/>
      <x:c r="J121" s="1"/>
      <x:c r="K121" s="1"/>
    </x:row>
    <x:row r="122" ht="66" customHeight="1">
      <x:c r="A122" s="16" t="str">
        <x:v>FAO WCP guide: Leiognathidae</x:v>
      </x:c>
      <x:c r="B122" s="16" t="str">
        <x:v>Taxa: Leiognathidae; Leiognathus. p.2792, Habitat, biology and fisheries. Family is bottom-living; some deeper species move into midwater at night. Demonstrates heterogeneity relevant to group 24 versus group 27.</x:v>
      </x:c>
      <x:c r="C122" s="25" t="str">
        <x:v>https://www.fao.org/4/y0770e/y0770e03.pdf</x:v>
      </x:c>
      <x:c r="D122" s="1"/>
      <x:c r="E122" s="1"/>
      <x:c r="F122" s="1"/>
      <x:c r="G122" s="1"/>
      <x:c r="H122" s="1"/>
      <x:c r="I122" s="1"/>
      <x:c r="J122" s="1"/>
      <x:c r="K122" s="1"/>
    </x:row>
    <x:row r="123" ht="66" customHeight="1">
      <x:c r="A123" s="16" t="str">
        <x:v>FishBase: Leiognathus equulus</x:v>
      </x:c>
      <x:c r="B123" s="16" t="str">
        <x:v>Taxa: Leiognathidae; Leiognathus. Classification; Environment; Size; Biology. Account currently resolves to L. equula; maximum 28 cm TL; demersal muddy inshore/soft-bottom adults. Name modernization does not prove exclusive benthopelagic membership.</x:v>
      </x:c>
      <x:c r="C123" s="25" t="str">
        <x:v>https://www.fishbase.se/summary/Leiognathus-equulus.html</x:v>
      </x:c>
      <x:c r="D123" s="1"/>
      <x:c r="E123" s="1"/>
      <x:c r="F123" s="1"/>
      <x:c r="G123" s="1"/>
      <x:c r="H123" s="1"/>
      <x:c r="I123" s="1"/>
      <x:c r="J123" s="1"/>
      <x:c r="K123" s="1"/>
    </x:row>
    <x:row r="124" ht="66" customHeight="1">
      <x:c r="A124" s="16" t="str">
        <x:v>WoRMS: Priacanthidae</x:v>
      </x:c>
      <x:c r="B124" s="16" t="str">
        <x:v>Taxa: Priacanthidae. {"scientificname":"Priacanthidae","valid_name":"Priacanthidae","status":"accepted","family":"Priacanthidae","class":"Teleostei","phylum":"Chordata"}</x:v>
      </x:c>
      <x:c r="C124" s="25" t="str">
        <x:v>https://www.marinespecies.org/aphia.php?p=taxdetails&amp;id=125555</x:v>
      </x:c>
      <x:c r="D124" s="1"/>
      <x:c r="E124" s="1"/>
      <x:c r="F124" s="1"/>
      <x:c r="G124" s="1"/>
      <x:c r="H124" s="1"/>
      <x:c r="I124" s="1"/>
      <x:c r="J124" s="1"/>
      <x:c r="K124" s="1"/>
    </x:row>
    <x:row r="125" ht="66" customHeight="1">
      <x:c r="A125" s="16" t="str">
        <x:v>Smith-Vaniz (1999), FAO Western Central Pacific, Carangidae</x:v>
      </x:c>
      <x:c r="B125" s="16" t="str">
        <x:v>Taxa: Carangoides; Caranx. Carangoides and Caranx species accounts. Carangoides includes C. praeustus (22 cm TL maximum) and coastal demersal C. hedlandensis; Caranx includes bottom-associated species.</x:v>
      </x:c>
      <x:c r="C125" s="25" t="str">
        <x:v>https://www.fao.org/4/x2400e/x2400e53.pdf</x:v>
      </x:c>
      <x:c r="D125" s="1"/>
      <x:c r="E125" s="1"/>
      <x:c r="F125" s="1"/>
      <x:c r="G125" s="1"/>
      <x:c r="H125" s="1"/>
      <x:c r="I125" s="1"/>
      <x:c r="J125" s="1"/>
      <x:c r="K125" s="1"/>
    </x:row>
    <x:row r="126" ht="66" customHeight="1">
      <x:c r="A126" s="16" t="str">
        <x:v>FishBase: Lates calcarifer</x:v>
      </x:c>
      <x:c r="B126" s="16" t="str">
        <x:v>Taxa: Lates calcarifer; Latidae. Classification; Environment; Size; Biology. Latidae; demersal coastal/estuarine fish reaching 200 cm TL.</x:v>
      </x:c>
      <x:c r="C126" s="25" t="str">
        <x:v>https://www.fishbase.se/summary/Lates-calcarifer.html</x:v>
      </x:c>
      <x:c r="D126" s="1"/>
      <x:c r="E126" s="1"/>
      <x:c r="F126" s="1"/>
      <x:c r="G126" s="1"/>
      <x:c r="H126" s="1"/>
      <x:c r="I126" s="1"/>
      <x:c r="J126" s="1"/>
      <x:c r="K126" s="1"/>
    </x:row>
    <x:row r="127" ht="66" customHeight="1">
      <x:c r="A127" s="16" t="str">
        <x:v>WoRMS: Epinephelus</x:v>
      </x:c>
      <x:c r="B127" s="16" t="str">
        <x:v>Taxa: Epinephelus. {"scientificname":"Epinephelus","valid_name":"Epinephelus","status":"accepted","family":"Epinephelidae","class":"Teleostei","phylum":"Chordata"}</x:v>
      </x:c>
      <x:c r="C127" s="25" t="str">
        <x:v>https://www.marinespecies.org/aphia.php?p=taxdetails&amp;id=126068</x:v>
      </x:c>
      <x:c r="D127" s="1"/>
      <x:c r="E127" s="1"/>
      <x:c r="F127" s="1"/>
      <x:c r="G127" s="1"/>
      <x:c r="H127" s="1"/>
      <x:c r="I127" s="1"/>
      <x:c r="J127" s="1"/>
      <x:c r="K127" s="1"/>
    </x:row>
    <x:row r="128" ht="66" customHeight="1">
      <x:c r="A128" s="16" t="str">
        <x:v>Heemstra &amp; Randall (1993), FAO Groupers of the world</x:v>
      </x:c>
      <x:c r="B128" s="16" t="str">
        <x:v>Taxa: Epinephelus; Serranidae; Cephalopholis boenak; Epinephelus coioides; Epinephelus maculatus; Epinephelus malabaricus. Epinephelus and Cephalopholis within historical Serranidae, bridging modern Epinephelidae.</x:v>
      </x:c>
      <x:c r="C128" s="25" t="str">
        <x:v>https://www.fao.org/4/t0540e/t0540e00.htm</x:v>
      </x:c>
      <x:c r="D128" s="1"/>
      <x:c r="E128" s="1"/>
      <x:c r="F128" s="1"/>
      <x:c r="G128" s="1"/>
      <x:c r="H128" s="1"/>
      <x:c r="I128" s="1"/>
      <x:c r="J128" s="1"/>
      <x:c r="K128" s="1"/>
    </x:row>
    <x:row r="129" ht="66" customHeight="1">
      <x:c r="A129" s="16" t="str">
        <x:v>WoRMS: Scomber japonicus</x:v>
      </x:c>
      <x:c r="B129" s="16" t="str">
        <x:v>Taxa: Scomber japonicus. {"scientificname":"Scomber japonicus","valid_name":"Scomber japonicus","status":"accepted","family":"Scombridae","class":"Teleostei","phylum":"Chordata"}</x:v>
      </x:c>
      <x:c r="C129" s="25" t="str">
        <x:v>https://www.marinespecies.org/aphia.php?p=taxdetails&amp;id=127022</x:v>
      </x:c>
      <x:c r="D129" s="1"/>
      <x:c r="E129" s="1"/>
      <x:c r="F129" s="1"/>
      <x:c r="G129" s="1"/>
      <x:c r="H129" s="1"/>
      <x:c r="I129" s="1"/>
      <x:c r="J129" s="1"/>
      <x:c r="K129" s="1"/>
    </x:row>
    <x:row r="130" ht="66" customHeight="1">
      <x:c r="A130" s="16" t="str">
        <x:v>FishBase: Scomber japonicus</x:v>
      </x:c>
      <x:c r="B130" s="16" t="str">
        <x:v>Taxa: Scomber japonicus. Habitat: Marine;  pelagic-neritic; oceanodromous; first maximum: 64 cm TL. Additional biology checked where material.</x:v>
      </x:c>
      <x:c r="C130" s="25" t="str">
        <x:v>https://www.fishbase.se/summary/Scomber-japonicus.html</x:v>
      </x:c>
      <x:c r="D130" s="1"/>
      <x:c r="E130" s="1"/>
      <x:c r="F130" s="1"/>
      <x:c r="G130" s="1"/>
      <x:c r="H130" s="1"/>
      <x:c r="I130" s="1"/>
      <x:c r="J130" s="1"/>
      <x:c r="K130" s="1"/>
    </x:row>
    <x:row r="131" ht="66" customHeight="1">
      <x:c r="A131" s="16" t="str">
        <x:v>WoRMS: Scomberomorus niphonius</x:v>
      </x:c>
      <x:c r="B131" s="16" t="str">
        <x:v>Taxa: Scomberomorus niphonius. {"scientificname":"Scomberomorus niphonius","valid_name":"Scomberomorus niphonius","status":"accepted","family":"Scombridae","class":"Teleostei","phylum":"Chordata"}</x:v>
      </x:c>
      <x:c r="C131" s="25" t="str">
        <x:v>https://www.marinespecies.org/aphia.php?p=taxdetails&amp;id=273817</x:v>
      </x:c>
      <x:c r="D131" s="1"/>
      <x:c r="E131" s="1"/>
      <x:c r="F131" s="1"/>
      <x:c r="G131" s="1"/>
      <x:c r="H131" s="1"/>
      <x:c r="I131" s="1"/>
      <x:c r="J131" s="1"/>
      <x:c r="K131" s="1"/>
    </x:row>
    <x:row r="132" ht="66" customHeight="1">
      <x:c r="A132" s="16" t="str">
        <x:v>FishBase: Scomberomorus niphonius</x:v>
      </x:c>
      <x:c r="B132" s="16" t="str">
        <x:v>Taxa: Scomberomorus niphonius. Habitat: Marine;  pelagic-neritic; oceanodromous; first maximum: 113 cm TL. Additional biology checked where material.</x:v>
      </x:c>
      <x:c r="C132" s="25" t="str">
        <x:v>https://www.fishbase.se/summary/Scomberomorus-niphonius.html</x:v>
      </x:c>
      <x:c r="D132" s="1"/>
      <x:c r="E132" s="1"/>
      <x:c r="F132" s="1"/>
      <x:c r="G132" s="1"/>
      <x:c r="H132" s="1"/>
      <x:c r="I132" s="1"/>
      <x:c r="J132" s="1"/>
      <x:c r="K132" s="1"/>
    </x:row>
    <x:row r="133" ht="66" customHeight="1">
      <x:c r="A133" s="16" t="str">
        <x:v>WoRMS: Lutjanus malabaricus</x:v>
      </x:c>
      <x:c r="B133" s="16" t="str">
        <x:v>Taxa: Lutjanus malabaricus. {"scientificname":"Lutjanus malabaricus","valid_name":"Lutjanus malabaricus","status":"accepted","family":"Lutjanidae","class":"Teleostei","phylum":"Chordata"}</x:v>
      </x:c>
      <x:c r="C133" s="25" t="str">
        <x:v>https://www.marinespecies.org/aphia.php?p=taxdetails&amp;id=218481</x:v>
      </x:c>
      <x:c r="D133" s="1"/>
      <x:c r="E133" s="1"/>
      <x:c r="F133" s="1"/>
      <x:c r="G133" s="1"/>
      <x:c r="H133" s="1"/>
      <x:c r="I133" s="1"/>
      <x:c r="J133" s="1"/>
      <x:c r="K133" s="1"/>
    </x:row>
    <x:row r="134" ht="66" customHeight="1">
      <x:c r="A134" s="16" t="str">
        <x:v>WoRMS: Pampus</x:v>
      </x:c>
      <x:c r="B134" s="16" t="str">
        <x:v>Taxa: Pampus. {"scientificname":"Pampus","valid_name":"Pampus","status":"accepted","family":"Stromateidae","class":"Teleostei","phylum":"Chordata"}</x:v>
      </x:c>
      <x:c r="C134" s="25" t="str">
        <x:v>https://www.marinespecies.org/aphia.php?p=taxdetails&amp;id=126089</x:v>
      </x:c>
      <x:c r="D134" s="1"/>
      <x:c r="E134" s="1"/>
      <x:c r="F134" s="1"/>
      <x:c r="G134" s="1"/>
      <x:c r="H134" s="1"/>
      <x:c r="I134" s="1"/>
      <x:c r="J134" s="1"/>
      <x:c r="K134" s="1"/>
    </x:row>
    <x:row r="135" ht="66" customHeight="1">
      <x:c r="A135" s="16" t="str">
        <x:v>WoRMS: Thunnus albacares</x:v>
      </x:c>
      <x:c r="B135" s="16" t="str">
        <x:v>Taxa: Thunnus albacares. {"scientificname":"Thunnus albacares","valid_name":"Thunnus albacares","status":"accepted","family":"Scombridae","class":"Teleostei","phylum":"Chordata"}</x:v>
      </x:c>
      <x:c r="C135" s="25" t="str">
        <x:v>https://www.marinespecies.org/aphia.php?p=taxdetails&amp;id=127027</x:v>
      </x:c>
      <x:c r="D135" s="1"/>
      <x:c r="E135" s="1"/>
      <x:c r="F135" s="1"/>
      <x:c r="G135" s="1"/>
      <x:c r="H135" s="1"/>
      <x:c r="I135" s="1"/>
      <x:c r="J135" s="1"/>
      <x:c r="K135" s="1"/>
    </x:row>
    <x:row r="136" ht="66" customHeight="1">
      <x:c r="A136" s="16" t="str">
        <x:v>FishBase: Thunnus albacares</x:v>
      </x:c>
      <x:c r="B136" s="16" t="str">
        <x:v>Taxa: Thunnus albacares. Habitat: Marine; brackish;  pelagic-oceanic; oceanodromous; first maximum: 239 cm FL. Additional biology checked where material.</x:v>
      </x:c>
      <x:c r="C136" s="25" t="str">
        <x:v>https://www.fishbase.se/summary/Thunnus-albacares.html</x:v>
      </x:c>
      <x:c r="D136" s="1"/>
      <x:c r="E136" s="1"/>
      <x:c r="F136" s="1"/>
      <x:c r="G136" s="1"/>
      <x:c r="H136" s="1"/>
      <x:c r="I136" s="1"/>
      <x:c r="J136" s="1"/>
      <x:c r="K136" s="1"/>
    </x:row>
    <x:row r="137" ht="66" customHeight="1">
      <x:c r="A137" s="16" t="str">
        <x:v>WoRMS: Elasmobranchii</x:v>
      </x:c>
      <x:c r="B137" s="16" t="str">
        <x:v>Taxa: Elasmobranchii. {"scientificname":"Elasmobranchii","valid_name":"Elasmobranchii","status":"accepted","family":null,"class":"Elasmobranchii","phylum":"Chordata"}</x:v>
      </x:c>
      <x:c r="C137" s="25" t="str">
        <x:v>https://www.marinespecies.org/aphia.php?p=taxdetails&amp;id=10193</x:v>
      </x:c>
      <x:c r="D137" s="1"/>
      <x:c r="E137" s="1"/>
      <x:c r="F137" s="1"/>
      <x:c r="G137" s="1"/>
      <x:c r="H137" s="1"/>
      <x:c r="I137" s="1"/>
      <x:c r="J137" s="1"/>
      <x:c r="K137" s="1"/>
    </x:row>
    <x:row r="138" ht="66" customHeight="1">
      <x:c r="A138" s="16" t="str">
        <x:v>Smith-Vaniz (1999), FAO Western Central Pacific, Carangidae</x:v>
      </x:c>
      <x:c r="B138" s="16" t="str">
        <x:v>Taxa: Decapterus. Decapterus accounts, pp. 2718–2723. Decapterus accounts vary in depth and include deep-water D. tabl; lengths use FL or TL, and D. maruadsi naming was historically confused with D. russelli.</x:v>
      </x:c>
      <x:c r="C138" s="25" t="str">
        <x:v>https://www.fao.org/4/x2400e/x2400e54.pdf</x:v>
      </x:c>
      <x:c r="D138" s="1"/>
      <x:c r="E138" s="1"/>
      <x:c r="F138" s="1"/>
      <x:c r="G138" s="1"/>
      <x:c r="H138" s="1"/>
      <x:c r="I138" s="1"/>
      <x:c r="J138" s="1"/>
      <x:c r="K138" s="1"/>
    </x:row>
    <x:row r="139" ht="66" customHeight="1">
      <x:c r="A139" s="16" t="str">
        <x:v>Ohshimo et al. (2006), Growth of the round scad Decapterus maruadsi in the East China Sea</x:v>
      </x:c>
      <x:c r="B139" s="16" t="str">
        <x:v>Taxa: Decapterus; Decapterus maruadsi. Abstract, von Bertalanffy growth equation. Estimated asymptotic fork length is 342 mm; this is a growth parameter, not itself an observed maximum.</x:v>
      </x:c>
      <x:c r="C139" s="25" t="str">
        <x:v>https://link.springer.com/article/10.1111/j.1444-2906.2006.01227.x</x:v>
      </x:c>
      <x:c r="D139" s="1"/>
      <x:c r="E139" s="1"/>
      <x:c r="F139" s="1"/>
      <x:c r="G139" s="1"/>
      <x:c r="H139" s="1"/>
      <x:c r="I139" s="1"/>
      <x:c r="J139" s="1"/>
      <x:c r="K139" s="1"/>
    </x:row>
    <x:row r="140" ht="66" customHeight="1">
      <x:c r="A140" s="16" t="str">
        <x:v>Kimura, Katahira &amp; Kuriiwa (2013), The red-fin Decapterus group, with description of D. smithvanizi</x:v>
      </x:c>
      <x:c r="B140" s="16" t="str">
        <x:v>Taxa: Decapterus. Abstract; primary taxonomic revision. D. smithvanizi occurs in the South China Sea; the modern regional species set extends beyond the older FAO accounts.</x:v>
      </x:c>
      <x:c r="C140" s="25" t="str">
        <x:v>https://cir.nii.ac.jp/crid/1360848656233896320</x:v>
      </x:c>
      <x:c r="D140" s="1"/>
      <x:c r="E140" s="1"/>
      <x:c r="F140" s="1"/>
      <x:c r="G140" s="1"/>
      <x:c r="H140" s="1"/>
      <x:c r="I140" s="1"/>
      <x:c r="J140" s="1"/>
      <x:c r="K140" s="1"/>
    </x:row>
    <x:row r="141" ht="66" customHeight="1">
      <x:c r="A141" s="16" t="str">
        <x:v>WoRMS: Squillidae</x:v>
      </x:c>
      <x:c r="B141" s="16" t="str">
        <x:v>Taxa: Squillidae. {"scientificname":"Squillidae","valid_name":"Squillidae","status":"accepted","family":"Squillidae","class":"Malacostraca","phylum":"Arthropoda"}</x:v>
      </x:c>
      <x:c r="C141" s="25" t="str">
        <x:v>https://www.marinespecies.org/aphia.php?p=taxdetails&amp;id=136093</x:v>
      </x:c>
      <x:c r="D141" s="1"/>
      <x:c r="E141" s="1"/>
      <x:c r="F141" s="1"/>
      <x:c r="G141" s="1"/>
      <x:c r="H141" s="1"/>
      <x:c r="I141" s="1"/>
      <x:c r="J141" s="1"/>
      <x:c r="K141" s="1"/>
    </x:row>
    <x:row r="142" ht="66" customHeight="1">
      <x:c r="A142" s="16" t="str">
        <x:v>FAO field guide, Sphyraenidae</x:v>
      </x:c>
      <x:c r="B142" s="16" t="str">
        <x:v>Taxa: Sphyraena; Sphyraenidae. Sphyraena accounts, p. 96. S. forsteri is mainly bottom-associated, whereas S. jello is near-surface; large size does not settle the habitat pool.</x:v>
      </x:c>
      <x:c r="C142" s="25" t="str">
        <x:v>https://www.fao.org/4/r7066e/r7066e20.pdf</x:v>
      </x:c>
      <x:c r="D142" s="1"/>
      <x:c r="E142" s="1"/>
      <x:c r="F142" s="1"/>
      <x:c r="G142" s="1"/>
      <x:c r="H142" s="1"/>
      <x:c r="I142" s="1"/>
      <x:c r="J142" s="1"/>
      <x:c r="K142" s="1"/>
    </x:row>
    <x:row r="143" ht="66" customHeight="1">
      <x:c r="A143" s="16" t="str">
        <x:v>WoRMS: Decapoda</x:v>
      </x:c>
      <x:c r="B143" s="16" t="str">
        <x:v>Taxa: Decapoda. {"scientificname":"Decapoda","valid_name":"Decapoda","status":"accepted","family":null,"class":"Malacostraca","phylum":"Arthropoda"}</x:v>
      </x:c>
      <x:c r="C143" s="25" t="str">
        <x:v>https://www.marinespecies.org/aphia.php?p=taxdetails&amp;id=1130</x:v>
      </x:c>
      <x:c r="D143" s="1"/>
      <x:c r="E143" s="1"/>
      <x:c r="F143" s="1"/>
      <x:c r="G143" s="1"/>
      <x:c r="H143" s="1"/>
      <x:c r="I143" s="1"/>
      <x:c r="J143" s="1"/>
      <x:c r="K143" s="1"/>
    </x:row>
    <x:row r="144" ht="66" customHeight="1">
      <x:c r="A144" s="16" t="str">
        <x:v>WoRMS: Megalaspis cordyla</x:v>
      </x:c>
      <x:c r="B144" s="16" t="str">
        <x:v>Taxa: Megalaspis cordyla. {"scientificname":"Megalaspis cordyla","valid_name":"Megalaspis cordyla","status":"accepted","family":"Carangidae","class":"Teleostei","phylum":"Chordata"}</x:v>
      </x:c>
      <x:c r="C144" s="25" t="str">
        <x:v>https://www.marinespecies.org/aphia.php?p=taxdetails&amp;id=218430</x:v>
      </x:c>
      <x:c r="D144" s="1"/>
      <x:c r="E144" s="1"/>
      <x:c r="F144" s="1"/>
      <x:c r="G144" s="1"/>
      <x:c r="H144" s="1"/>
      <x:c r="I144" s="1"/>
      <x:c r="J144" s="1"/>
      <x:c r="K144" s="1"/>
    </x:row>
    <x:row r="145" ht="66" customHeight="1">
      <x:c r="A145" s="16" t="str">
        <x:v>FishBase: Megalaspis cordyla</x:v>
      </x:c>
      <x:c r="B145" s="16" t="str">
        <x:v>Taxa: Megalaspis cordyla. Habitat: Marine; brackish;  reef-associated;; first maximum: 80 cm TL. Additional biology checked where material.</x:v>
      </x:c>
      <x:c r="C145" s="25" t="str">
        <x:v>https://www.fishbase.se/summary/Megalaspis-cordyla.html</x:v>
      </x:c>
      <x:c r="D145" s="1"/>
      <x:c r="E145" s="1"/>
      <x:c r="F145" s="1"/>
      <x:c r="G145" s="1"/>
      <x:c r="H145" s="1"/>
      <x:c r="I145" s="1"/>
      <x:c r="J145" s="1"/>
      <x:c r="K145" s="1"/>
    </x:row>
    <x:row r="146" ht="66" customHeight="1">
      <x:c r="A146" s="16" t="str">
        <x:v>World Register of Marine Species</x:v>
      </x:c>
      <x:c r="B146" s="16" t="str">
        <x:v>Taxa: Chondrichthyes. Chondrichthyes/Holocephali classification. Chondrichthyes includes chimaeras as well as elasmobranchs; the source's sharks-and-rays definition is narrower.</x:v>
      </x:c>
      <x:c r="C146" s="25" t="str">
        <x:v>https://www.marinespecies.org/aphia.php?id=10196&amp;p=taxdetails</x:v>
      </x:c>
      <x:c r="D146" s="1"/>
      <x:c r="E146" s="1"/>
      <x:c r="F146" s="1"/>
      <x:c r="G146" s="1"/>
      <x:c r="H146" s="1"/>
      <x:c r="I146" s="1"/>
      <x:c r="J146" s="1"/>
      <x:c r="K146" s="1"/>
    </x:row>
    <x:row r="147" ht="66" customHeight="1">
      <x:c r="A147" s="16" t="str">
        <x:v>WoRMS: Lutjanus</x:v>
      </x:c>
      <x:c r="B147" s="16" t="str">
        <x:v>Taxa: Lutjanus. {"scientificname":"Lutjanus","valid_name":"Lutjanus","status":"accepted","family":"Lutjanidae","class":"Teleostei","phylum":"Chordata"}</x:v>
      </x:c>
      <x:c r="C147" s="25" t="str">
        <x:v>https://www.marinespecies.org/aphia.php?p=taxdetails&amp;id=159791</x:v>
      </x:c>
      <x:c r="D147" s="1"/>
      <x:c r="E147" s="1"/>
      <x:c r="F147" s="1"/>
      <x:c r="G147" s="1"/>
      <x:c r="H147" s="1"/>
      <x:c r="I147" s="1"/>
      <x:c r="J147" s="1"/>
      <x:c r="K147" s="1"/>
    </x:row>
    <x:row r="148" ht="66" customHeight="1">
      <x:c r="A148" s="16" t="str">
        <x:v>Smith-Vaniz (1999), FAO Western Central Pacific, Carangidae</x:v>
      </x:c>
      <x:c r="B148" s="16" t="str">
        <x:v>Taxa: Seriola; Selaroides leptolepis; Scomberoides. Scomberoides pp. 2731–2734; Selaroides p. 2737; Seriola pp. 2738–2741. Queenfishes exceed 30 cm and school pelagically. Selaroides forms demersal schools. Seriola includes both epibenthic and pelagic adults.</x:v>
      </x:c>
      <x:c r="C148" s="25" t="str">
        <x:v>https://www.fao.org/4/x2400e/x2400e55.pdf</x:v>
      </x:c>
      <x:c r="D148" s="1"/>
      <x:c r="E148" s="1"/>
      <x:c r="F148" s="1"/>
      <x:c r="G148" s="1"/>
      <x:c r="H148" s="1"/>
      <x:c r="I148" s="1"/>
      <x:c r="J148" s="1"/>
      <x:c r="K148" s="1"/>
    </x:row>
    <x:row r="149" ht="66" customHeight="1">
      <x:c r="A149" s="16" t="str">
        <x:v>WoRMS: Thunnus tonggol</x:v>
      </x:c>
      <x:c r="B149" s="16" t="str">
        <x:v>Taxa: Thunnus tonggol. {"scientificname":"Thunnus tonggol","valid_name":"Thunnus tonggol","status":"accepted","family":"Scombridae","class":"Teleostei","phylum":"Chordata"}</x:v>
      </x:c>
      <x:c r="C149" s="25" t="str">
        <x:v>https://www.marinespecies.org/aphia.php?p=taxdetails&amp;id=219722</x:v>
      </x:c>
      <x:c r="D149" s="1"/>
      <x:c r="E149" s="1"/>
      <x:c r="F149" s="1"/>
      <x:c r="G149" s="1"/>
      <x:c r="H149" s="1"/>
      <x:c r="I149" s="1"/>
      <x:c r="J149" s="1"/>
      <x:c r="K149" s="1"/>
    </x:row>
    <x:row r="150" ht="66" customHeight="1">
      <x:c r="A150" s="16" t="str">
        <x:v>FishBase: Thunnus tonggol</x:v>
      </x:c>
      <x:c r="B150" s="16" t="str">
        <x:v>Taxa: Thunnus tonggol. Habitat: Marine;  pelagic-neritic; oceanodromous; first maximum: 145 cm FL. Additional biology checked where material.</x:v>
      </x:c>
      <x:c r="C150" s="25" t="str">
        <x:v>https://www.fishbase.se/summary/Thunnus-tonggol.html</x:v>
      </x:c>
      <x:c r="D150" s="1"/>
      <x:c r="E150" s="1"/>
      <x:c r="F150" s="1"/>
      <x:c r="G150" s="1"/>
      <x:c r="H150" s="1"/>
      <x:c r="I150" s="1"/>
      <x:c r="J150" s="1"/>
      <x:c r="K150" s="1"/>
    </x:row>
    <x:row r="151" ht="66" customHeight="1">
      <x:c r="A151" s="16" t="str">
        <x:v>WoRMS: Scomberomorus guttatus</x:v>
      </x:c>
      <x:c r="B151" s="16" t="str">
        <x:v>Taxa: Scomberomorus guttatus. {"scientificname":"Scomberomorus guttatus","valid_name":"Scomberomorus guttatus","status":"accepted","family":"Scombridae","class":"Teleostei","phylum":"Chordata"}</x:v>
      </x:c>
      <x:c r="C151" s="25" t="str">
        <x:v>https://www.marinespecies.org/aphia.php?p=taxdetails&amp;id=219716</x:v>
      </x:c>
      <x:c r="D151" s="1"/>
      <x:c r="E151" s="1"/>
      <x:c r="F151" s="1"/>
      <x:c r="G151" s="1"/>
      <x:c r="H151" s="1"/>
      <x:c r="I151" s="1"/>
      <x:c r="J151" s="1"/>
      <x:c r="K151" s="1"/>
    </x:row>
    <x:row r="152" ht="66" customHeight="1">
      <x:c r="A152" s="16" t="str">
        <x:v>FishBase: Scomberomorus guttatus</x:v>
      </x:c>
      <x:c r="B152" s="16" t="str">
        <x:v>Taxa: Scomberomorus guttatus. Habitat: Marine; brackish;  pelagic-neritic; oceanodromous; first maximum: 81.5 cm FL. Additional biology checked where material.</x:v>
      </x:c>
      <x:c r="C152" s="25" t="str">
        <x:v>https://www.fishbase.se/summary/Scomberomorus-guttatus.html</x:v>
      </x:c>
      <x:c r="D152" s="1"/>
      <x:c r="E152" s="1"/>
      <x:c r="F152" s="1"/>
      <x:c r="G152" s="1"/>
      <x:c r="H152" s="1"/>
      <x:c r="I152" s="1"/>
      <x:c r="J152" s="1"/>
      <x:c r="K152" s="1"/>
    </x:row>
    <x:row r="153" ht="66" customHeight="1">
      <x:c r="A153" s="16" t="str">
        <x:v>WoRMS: Cololabis saira</x:v>
      </x:c>
      <x:c r="B153" s="16" t="str">
        <x:v>Taxa: Cololabis saira. {"scientificname":"Cololabis saira","valid_name":"Cololabis saira","status":"accepted","family":"Scomberesocidae","class":"Teleostei","phylum":"Chordata"}</x:v>
      </x:c>
      <x:c r="C153" s="25" t="str">
        <x:v>https://www.marinespecies.org/aphia.php?p=taxdetails&amp;id=280366</x:v>
      </x:c>
      <x:c r="D153" s="1"/>
      <x:c r="E153" s="1"/>
      <x:c r="F153" s="1"/>
      <x:c r="G153" s="1"/>
      <x:c r="H153" s="1"/>
      <x:c r="I153" s="1"/>
      <x:c r="J153" s="1"/>
      <x:c r="K153" s="1"/>
    </x:row>
    <x:row r="154" ht="66" customHeight="1">
      <x:c r="A154" s="16" t="str">
        <x:v>FishBase: Cololabis saira</x:v>
      </x:c>
      <x:c r="B154" s="16" t="str">
        <x:v>Taxa: Cololabis saira. Habitat: Marine;  pelagic-oceanic; oceanodromous; first maximum: 40 cm SL. Additional biology checked where material.</x:v>
      </x:c>
      <x:c r="C154" s="25" t="str">
        <x:v>https://www.fishbase.se/summary/Cololabis-saira.html</x:v>
      </x:c>
      <x:c r="D154" s="1"/>
      <x:c r="E154" s="1"/>
      <x:c r="F154" s="1"/>
      <x:c r="G154" s="1"/>
      <x:c r="H154" s="1"/>
      <x:c r="I154" s="1"/>
      <x:c r="J154" s="1"/>
      <x:c r="K154" s="1"/>
    </x:row>
    <x:row r="155" ht="66" customHeight="1">
      <x:c r="A155" s="16" t="str">
        <x:v>WoRMS: Ilisha elongata</x:v>
      </x:c>
      <x:c r="B155" s="16" t="str">
        <x:v>Taxa: Ilisha elongata. {"scientificname":"Ilisha elongata","valid_name":"Ilisha elongata","status":"accepted","family":"Pristigasteridae","class":"Teleostei","phylum":"Chordata"}</x:v>
      </x:c>
      <x:c r="C155" s="25" t="str">
        <x:v>https://www.marinespecies.org/aphia.php?p=taxdetails&amp;id=281160</x:v>
      </x:c>
      <x:c r="D155" s="1"/>
      <x:c r="E155" s="1"/>
      <x:c r="F155" s="1"/>
      <x:c r="G155" s="1"/>
      <x:c r="H155" s="1"/>
      <x:c r="I155" s="1"/>
      <x:c r="J155" s="1"/>
      <x:c r="K155" s="1"/>
    </x:row>
    <x:row r="156" ht="66" customHeight="1">
      <x:c r="A156" s="16" t="str">
        <x:v>FishBase: Ilisha elongata</x:v>
      </x:c>
      <x:c r="B156" s="16" t="str">
        <x:v>Taxa: Ilisha elongata. Habitat: Marine; brackish;  pelagic-neritic;; first maximum: 60 cm TL. Additional biology checked where material.</x:v>
      </x:c>
      <x:c r="C156" s="25" t="str">
        <x:v>https://www.fishbase.se/summary/Ilisha-elongata.html</x:v>
      </x:c>
      <x:c r="D156" s="1"/>
      <x:c r="E156" s="1"/>
      <x:c r="F156" s="1"/>
      <x:c r="G156" s="1"/>
      <x:c r="H156" s="1"/>
      <x:c r="I156" s="1"/>
      <x:c r="J156" s="1"/>
      <x:c r="K156" s="1"/>
    </x:row>
    <x:row r="157" ht="66" customHeight="1">
      <x:c r="A157" s="16" t="str">
        <x:v>WoRMS: Sepiida</x:v>
      </x:c>
      <x:c r="B157" s="16" t="str">
        <x:v>Taxa: Sepiida. {"scientificname":"Sepiida","valid_name":"Sepiida","status":"accepted","family":null,"class":"Cephalopoda","phylum":"Mollusca"}</x:v>
      </x:c>
      <x:c r="C157" s="25" t="str">
        <x:v>https://www.marinespecies.org/aphia.php?p=taxdetails&amp;id=11713</x:v>
      </x:c>
      <x:c r="D157" s="1"/>
      <x:c r="E157" s="1"/>
      <x:c r="F157" s="1"/>
      <x:c r="G157" s="1"/>
      <x:c r="H157" s="1"/>
      <x:c r="I157" s="1"/>
      <x:c r="J157" s="1"/>
      <x:c r="K157" s="1"/>
    </x:row>
    <x:row r="158" ht="66" customHeight="1">
      <x:c r="A158" s="16" t="str">
        <x:v>WoRMS: Trichiuridae</x:v>
      </x:c>
      <x:c r="B158" s="16" t="str">
        <x:v>Taxa: Trichiuridae. {"scientificname":"Trichiuridae","valid_name":"Trichiuridae","status":"accepted","family":"Trichiuridae","class":"Teleostei","phylum":"Chordata"}</x:v>
      </x:c>
      <x:c r="C158" s="25" t="str">
        <x:v>https://www.marinespecies.org/aphia.php?p=taxdetails&amp;id=125571</x:v>
      </x:c>
      <x:c r="D158" s="1"/>
      <x:c r="E158" s="1"/>
      <x:c r="F158" s="1"/>
      <x:c r="G158" s="1"/>
      <x:c r="H158" s="1"/>
      <x:c r="I158" s="1"/>
      <x:c r="J158" s="1"/>
      <x:c r="K158" s="1"/>
    </x:row>
    <x:row r="159" ht="66" customHeight="1">
      <x:c r="A159" s="16" t="str">
        <x:v>WoRMS: Saurida</x:v>
      </x:c>
      <x:c r="B159" s="16" t="str">
        <x:v>Taxa: Saurida. {"scientificname":"Saurida","valid_name":"Saurida","status":"accepted","family":"Harpadontidae","class":"Teleostei","phylum":"Chordata"}</x:v>
      </x:c>
      <x:c r="C159" s="25" t="str">
        <x:v>https://www.marinespecies.org/aphia.php?p=taxdetails&amp;id=125685</x:v>
      </x:c>
      <x:c r="D159" s="1"/>
      <x:c r="E159" s="1"/>
      <x:c r="F159" s="1"/>
      <x:c r="G159" s="1"/>
      <x:c r="H159" s="1"/>
      <x:c r="I159" s="1"/>
      <x:c r="J159" s="1"/>
      <x:c r="K159" s="1"/>
    </x:row>
    <x:row r="160" ht="66" customHeight="1">
      <x:c r="A160" s="16" t="str">
        <x:v>WoRMS: Cephalopoda</x:v>
      </x:c>
      <x:c r="B160" s="16" t="str">
        <x:v>Taxa: Cephalopoda. {"scientificname":"Cephalopoda","valid_name":"Cephalopoda","status":"accepted","family":null,"class":"Cephalopoda","phylum":"Mollusca"}</x:v>
      </x:c>
      <x:c r="C160" s="25" t="str">
        <x:v>https://www.marinespecies.org/aphia.php?p=taxdetails&amp;id=11707</x:v>
      </x:c>
      <x:c r="D160" s="1"/>
      <x:c r="E160" s="1"/>
      <x:c r="F160" s="1"/>
      <x:c r="G160" s="1"/>
      <x:c r="H160" s="1"/>
      <x:c r="I160" s="1"/>
      <x:c r="J160" s="1"/>
      <x:c r="K160" s="1"/>
    </x:row>
    <x:row r="161" ht="66" customHeight="1">
      <x:c r="A161" s="16" t="str">
        <x:v>WoRMS: Larimichthys crocea</x:v>
      </x:c>
      <x:c r="B161" s="16" t="str">
        <x:v>Taxa: Larimichthys crocea. {"scientificname":"Larimichthys crocea","valid_name":"Larimichthys crocea","status":"accepted","family":"Sciaenidae","class":"Teleostei","phylum":"Chordata"}</x:v>
      </x:c>
      <x:c r="C161" s="25" t="str">
        <x:v>https://www.marinespecies.org/aphia.php?p=taxdetails&amp;id=281271</x:v>
      </x:c>
      <x:c r="D161" s="1"/>
      <x:c r="E161" s="1"/>
      <x:c r="F161" s="1"/>
      <x:c r="G161" s="1"/>
      <x:c r="H161" s="1"/>
      <x:c r="I161" s="1"/>
      <x:c r="J161" s="1"/>
      <x:c r="K161" s="1"/>
    </x:row>
    <x:row r="162" ht="66" customHeight="1">
      <x:c r="A162" s="16" t="str">
        <x:v>WoRMS: Octopodidae</x:v>
      </x:c>
      <x:c r="B162" s="16" t="str">
        <x:v>Taxa: Octopodidae. {"scientificname":"Octopodidae","valid_name":"Octopodidae","status":"accepted","family":"Octopodidae","class":"Cephalopoda","phylum":"Mollusca"}</x:v>
      </x:c>
      <x:c r="C162" s="25" t="str">
        <x:v>https://www.marinespecies.org/aphia.php?p=taxdetails&amp;id=11782</x:v>
      </x:c>
      <x:c r="D162" s="1"/>
      <x:c r="E162" s="1"/>
      <x:c r="F162" s="1"/>
      <x:c r="G162" s="1"/>
      <x:c r="H162" s="1"/>
      <x:c r="I162" s="1"/>
      <x:c r="J162" s="1"/>
      <x:c r="K162" s="1"/>
    </x:row>
    <x:row r="163" ht="66" customHeight="1">
      <x:c r="A163" s="16" t="str">
        <x:v>WoRMS: Saurida tumbil</x:v>
      </x:c>
      <x:c r="B163" s="16" t="str">
        <x:v>Taxa: Saurida tumbil. {"scientificname":"Saurida tumbil","valid_name":"Saurida tumbil","status":"accepted","family":"Harpadontidae","class":"Teleostei","phylum":"Chordata"}</x:v>
      </x:c>
      <x:c r="C163" s="25" t="str">
        <x:v>https://www.marinespecies.org/aphia.php?p=taxdetails&amp;id=217663</x:v>
      </x:c>
      <x:c r="D163" s="1"/>
      <x:c r="E163" s="1"/>
      <x:c r="F163" s="1"/>
      <x:c r="G163" s="1"/>
      <x:c r="H163" s="1"/>
      <x:c r="I163" s="1"/>
      <x:c r="J163" s="1"/>
      <x:c r="K163" s="1"/>
    </x:row>
    <x:row r="164" ht="66" customHeight="1">
      <x:c r="A164" s="16" t="str">
        <x:v>WoRMS: Euthynnus affinis</x:v>
      </x:c>
      <x:c r="B164" s="16" t="str">
        <x:v>Taxa: Euthynnus affinis. {"scientificname":"Euthynnus affinis","valid_name":"Euthynnus affinis","status":"accepted","family":"Scombridae","class":"Teleostei","phylum":"Chordata"}</x:v>
      </x:c>
      <x:c r="C164" s="25" t="str">
        <x:v>https://www.marinespecies.org/aphia.php?p=taxdetails&amp;id=219708</x:v>
      </x:c>
      <x:c r="D164" s="1"/>
      <x:c r="E164" s="1"/>
      <x:c r="F164" s="1"/>
      <x:c r="G164" s="1"/>
      <x:c r="H164" s="1"/>
      <x:c r="I164" s="1"/>
      <x:c r="J164" s="1"/>
      <x:c r="K164" s="1"/>
    </x:row>
    <x:row r="165" ht="66" customHeight="1">
      <x:c r="A165" s="16" t="str">
        <x:v>FishBase: Euthynnus affinis</x:v>
      </x:c>
      <x:c r="B165" s="16" t="str">
        <x:v>Taxa: Euthynnus affinis. Habitat: Marine;  pelagic-neritic; oceanodromous; first maximum: 100 cm FL. Additional biology checked where material.</x:v>
      </x:c>
      <x:c r="C165" s="25" t="str">
        <x:v>https://www.fishbase.se/summary/Euthynnus-affinis.html</x:v>
      </x:c>
      <x:c r="D165" s="1"/>
      <x:c r="E165" s="1"/>
      <x:c r="F165" s="1"/>
      <x:c r="G165" s="1"/>
      <x:c r="H165" s="1"/>
      <x:c r="I165" s="1"/>
      <x:c r="J165" s="1"/>
      <x:c r="K165" s="1"/>
    </x:row>
    <x:row r="166" ht="66" customHeight="1">
      <x:c r="A166" s="16" t="str">
        <x:v>FishBase: Netuma thalassina</x:v>
      </x:c>
      <x:c r="B166" s="16" t="str">
        <x:v>Taxa: Ariidae; Netuma thalassina. Classification; Environment; Size; Biology. Ariidae; demersal marine/estuarine species well above 30 cm TL.</x:v>
      </x:c>
      <x:c r="C166" s="25" t="str">
        <x:v>https://www.fishbase.se/summary/Netuma-thalassina.html</x:v>
      </x:c>
      <x:c r="D166" s="1"/>
      <x:c r="E166" s="1"/>
      <x:c r="F166" s="1"/>
      <x:c r="G166" s="1"/>
      <x:c r="H166" s="1"/>
      <x:c r="I166" s="1"/>
      <x:c r="J166" s="1"/>
      <x:c r="K166" s="1"/>
    </x:row>
    <x:row r="167" ht="66" customHeight="1">
      <x:c r="A167" s="16" t="str">
        <x:v>FishBase: Arius venosus</x:v>
      </x:c>
      <x:c r="B167" s="16" t="str">
        <x:v>Taxa: Ariidae. Classification; Environment; Size; Biology. Ariidae; demersal, maximum 30 cm TL, southern China to Indonesia and Mekong delta.</x:v>
      </x:c>
      <x:c r="C167" s="25" t="str">
        <x:v>https://www.fishbase.se/country/CountrySpeciesSummary.php?c_code=458&amp;genusname=Arius&amp;speciesname=venosus</x:v>
      </x:c>
      <x:c r="D167" s="1"/>
      <x:c r="E167" s="1"/>
      <x:c r="F167" s="1"/>
      <x:c r="G167" s="1"/>
      <x:c r="H167" s="1"/>
      <x:c r="I167" s="1"/>
      <x:c r="J167" s="1"/>
      <x:c r="K167" s="1"/>
    </x:row>
    <x:row r="168" ht="66" customHeight="1">
      <x:c r="A168" s="16" t="str">
        <x:v>WoRMS: Carcharhinus</x:v>
      </x:c>
      <x:c r="B168" s="16" t="str">
        <x:v>Taxa: Carcharhinus. {"scientificname":"Carcharhinus","valid_name":"Carcharhinus","status":"accepted","family":"Carcharhinidae","class":"Elasmobranchii","phylum":"Chordata"}</x:v>
      </x:c>
      <x:c r="C168" s="25" t="str">
        <x:v>https://www.marinespecies.org/aphia.php?p=taxdetails&amp;id=105719</x:v>
      </x:c>
      <x:c r="D168" s="1"/>
      <x:c r="E168" s="1"/>
      <x:c r="F168" s="1"/>
      <x:c r="G168" s="1"/>
      <x:c r="H168" s="1"/>
      <x:c r="I168" s="1"/>
      <x:c r="J168" s="1"/>
      <x:c r="K168" s="1"/>
    </x:row>
    <x:row r="169" ht="66" customHeight="1">
      <x:c r="A169" s="16" t="str">
        <x:v>WoRMS: Elagatis bipinnulata</x:v>
      </x:c>
      <x:c r="B169" s="16" t="str">
        <x:v>Taxa: Elagatis bipinnulata. {"scientificname":"Elagatis bipinnulata","valid_name":"Elagatis bipinnulata","status":"accepted","family":"Carangidae","class":"Teleostei","phylum":"Chordata"}</x:v>
      </x:c>
      <x:c r="C169" s="25" t="str">
        <x:v>https://www.marinespecies.org/aphia.php?p=taxdetails&amp;id=126809</x:v>
      </x:c>
      <x:c r="D169" s="1"/>
      <x:c r="E169" s="1"/>
      <x:c r="F169" s="1"/>
      <x:c r="G169" s="1"/>
      <x:c r="H169" s="1"/>
      <x:c r="I169" s="1"/>
      <x:c r="J169" s="1"/>
      <x:c r="K169" s="1"/>
    </x:row>
    <x:row r="170" ht="66" customHeight="1">
      <x:c r="A170" s="16" t="str">
        <x:v>FishBase: Elagatis bipinnulata</x:v>
      </x:c>
      <x:c r="B170" s="16" t="str">
        <x:v>Taxa: Elagatis bipinnulata. Habitat: Marine;  reef-associated;; first maximum: 180 cm TL. Additional biology checked where material.</x:v>
      </x:c>
      <x:c r="C170" s="25" t="str">
        <x:v>https://www.fishbase.se/summary/Elagatis-bipinnulata.html</x:v>
      </x:c>
      <x:c r="D170" s="1"/>
      <x:c r="E170" s="1"/>
      <x:c r="F170" s="1"/>
      <x:c r="G170" s="1"/>
      <x:c r="H170" s="1"/>
      <x:c r="I170" s="1"/>
      <x:c r="J170" s="1"/>
      <x:c r="K170" s="1"/>
    </x:row>
    <x:row r="171" ht="66" customHeight="1">
      <x:c r="A171" s="16" t="str">
        <x:v>WoRMS: Octopoda</x:v>
      </x:c>
      <x:c r="B171" s="16" t="str">
        <x:v>Taxa: Octopoda. {"scientificname":"Octopoda","valid_name":"Octopoda","status":"accepted","family":null,"class":"Cephalopoda","phylum":"Mollusca"}</x:v>
      </x:c>
      <x:c r="C171" s="25" t="str">
        <x:v>https://www.marinespecies.org/aphia.php?p=taxdetails&amp;id=11718</x:v>
      </x:c>
      <x:c r="D171" s="1"/>
      <x:c r="E171" s="1"/>
      <x:c r="F171" s="1"/>
      <x:c r="G171" s="1"/>
      <x:c r="H171" s="1"/>
      <x:c r="I171" s="1"/>
      <x:c r="J171" s="1"/>
      <x:c r="K171" s="1"/>
    </x:row>
    <x:row r="172" ht="66" customHeight="1">
      <x:c r="A172" s="16" t="str">
        <x:v>FishBase: Miichthys miiuy</x:v>
      </x:c>
      <x:c r="B172" s="16" t="str">
        <x:v>Taxa: Miichthys miiuy. Classification; Environment; Size; Biology. Sciaenidae; demersal mud-bottom species, maximum 73.8 cm SL.</x:v>
      </x:c>
      <x:c r="C172" s="25" t="str">
        <x:v>https://www.fishbase.se/summary/Miichthys-miiuy.html</x:v>
      </x:c>
      <x:c r="D172" s="1"/>
      <x:c r="E172" s="1"/>
      <x:c r="F172" s="1"/>
      <x:c r="G172" s="1"/>
      <x:c r="H172" s="1"/>
      <x:c r="I172" s="1"/>
      <x:c r="J172" s="1"/>
      <x:c r="K172" s="1"/>
    </x:row>
    <x:row r="173" ht="66" customHeight="1">
      <x:c r="A173" s="16" t="str">
        <x:v>WoRMS: Lutjanus johnii</x:v>
      </x:c>
      <x:c r="B173" s="16" t="str">
        <x:v>Taxa: Lutjanus johnii. {"scientificname":"Lutjanus johnii","valid_name":"Lutjanus johnii","status":"accepted","family":"Lutjanidae","class":"Teleostei","phylum":"Chordata"}</x:v>
      </x:c>
      <x:c r="C173" s="25" t="str">
        <x:v>https://www.marinespecies.org/aphia.php?p=taxdetails&amp;id=218496</x:v>
      </x:c>
      <x:c r="D173" s="1"/>
      <x:c r="E173" s="1"/>
      <x:c r="F173" s="1"/>
      <x:c r="G173" s="1"/>
      <x:c r="H173" s="1"/>
      <x:c r="I173" s="1"/>
      <x:c r="J173" s="1"/>
      <x:c r="K173" s="1"/>
    </x:row>
    <x:row r="174" ht="66" customHeight="1">
      <x:c r="A174" s="16" t="str">
        <x:v>WoRMS: Engraulidae</x:v>
      </x:c>
      <x:c r="B174" s="16" t="str">
        <x:v>Taxa: Engraulidae. {"scientificname":"Engraulidae","valid_name":"Engraulidae","status":"accepted","family":"Engraulidae","class":"Teleostei","phylum":"Chordata"}</x:v>
      </x:c>
      <x:c r="C174" s="25" t="str">
        <x:v>https://www.marinespecies.org/aphia.php?p=taxdetails&amp;id=125465</x:v>
      </x:c>
      <x:c r="D174" s="1"/>
      <x:c r="E174" s="1"/>
      <x:c r="F174" s="1"/>
      <x:c r="G174" s="1"/>
      <x:c r="H174" s="1"/>
      <x:c r="I174" s="1"/>
      <x:c r="J174" s="1"/>
      <x:c r="K174" s="1"/>
    </x:row>
    <x:row r="175" ht="66" customHeight="1">
      <x:c r="A175" s="16" t="str">
        <x:v>FishBase: Coilia nasus</x:v>
      </x:c>
      <x:c r="B175" s="16" t="str">
        <x:v>Taxa: Engraulidae. Taxon-specific boundary evidence described in the rationale.</x:v>
      </x:c>
      <x:c r="C175" s="25" t="str">
        <x:v>https://www.fishbase.se/summary/Coilia-nasus.html</x:v>
      </x:c>
      <x:c r="D175" s="1"/>
      <x:c r="E175" s="1"/>
      <x:c r="F175" s="1"/>
      <x:c r="G175" s="1"/>
      <x:c r="H175" s="1"/>
      <x:c r="I175" s="1"/>
      <x:c r="J175" s="1"/>
      <x:c r="K175" s="1"/>
    </x:row>
    <x:row r="176" ht="87" customHeight="1">
      <x:c r="A176" s="16" t="str">
        <x:v>Retained catch reporting metadata and current assignment</x:v>
      </x:c>
      <x:c r="B176" s="16" t="str">
        <x:v>Taxa: Engraulidae; Dasyatidae. Catch common_name = Anchovies, round herrings; functional_group = Small pelagics (&lt;30 cm); commercial_group = Anchovies. Context narrows the reporting interpretation but is not a documented species exclusion. Catch functional_group = Large rays (&gt;=90 cm); commercial_group = Sharks &amp; rays. Reporting context does not itself establish a purely demersal family subset.</x:v>
      </x:c>
      <x:c r="C176" s="25" t="str">
        <x:v>regions/LME_036/validation_reports/36_1_South_China_Sea_SCS-2007_Northern_South_China_Sea_(2000s)/confidence_reassessment_20260930/existing_high_medium_input.json</x:v>
      </x:c>
      <x:c r="D176" s="1"/>
      <x:c r="E176" s="1"/>
      <x:c r="F176" s="1"/>
      <x:c r="G176" s="1"/>
      <x:c r="H176" s="1"/>
      <x:c r="I176" s="1"/>
      <x:c r="J176" s="1"/>
      <x:c r="K176" s="1"/>
    </x:row>
    <x:row r="177" ht="66" customHeight="1">
      <x:c r="A177" s="16" t="str">
        <x:v>WoRMS: Nemipterus hexodon</x:v>
      </x:c>
      <x:c r="B177" s="16" t="str">
        <x:v>Taxa: Nemipterus hexodon. {"scientificname":"Nemipterus hexodon","valid_name":"Nemipterus hexodon","status":"accepted","family":"Nemipteridae","class":"Teleostei","phylum":"Chordata"}</x:v>
      </x:c>
      <x:c r="C177" s="25" t="str">
        <x:v>https://www.marinespecies.org/aphia.php?p=taxdetails&amp;id=278124</x:v>
      </x:c>
      <x:c r="D177" s="1"/>
      <x:c r="E177" s="1"/>
      <x:c r="F177" s="1"/>
      <x:c r="G177" s="1"/>
      <x:c r="H177" s="1"/>
      <x:c r="I177" s="1"/>
      <x:c r="J177" s="1"/>
      <x:c r="K177" s="1"/>
    </x:row>
    <x:row r="178" ht="72" customHeight="1">
      <x:c r="A178" s="16" t="str">
        <x:v>FishBase: Upeneus moluccensis</x:v>
      </x:c>
      <x:c r="B178" s="16" t="str">
        <x:v>Taxa: Mullidae; Upeneus moluccensis. Classification; Environment; Size; Biology. Mullidae; maximum 22.5 cm TL; Indo-West Pacific muddy coastal bottom species. Habitat: Marine; brackish;  reef-associated;; first maximum: 22.5 cm TL. Additional biology checked where material.</x:v>
      </x:c>
      <x:c r="C178" s="25" t="str">
        <x:v>https://www.fishbase.se/summary/Upeneus-moluccensis.html</x:v>
      </x:c>
      <x:c r="D178" s="1"/>
      <x:c r="E178" s="1"/>
      <x:c r="F178" s="1"/>
      <x:c r="G178" s="1"/>
      <x:c r="H178" s="1"/>
      <x:c r="I178" s="1"/>
      <x:c r="J178" s="1"/>
      <x:c r="K178" s="1"/>
    </x:row>
    <x:row r="179" ht="66" customHeight="1">
      <x:c r="A179" s="16" t="str">
        <x:v>FishBase: Parupeneus barberinus</x:v>
      </x:c>
      <x:c r="B179" s="16" t="str">
        <x:v>Taxa: Mullidae; Parupeneus barberinus. Classification; Environment; Size; Biology. Mullidae; maximum 60 cm TL; adults forage on sand-dwelling invertebrates.</x:v>
      </x:c>
      <x:c r="C179" s="25" t="str">
        <x:v>https://www.fishbase.se/summary/Parupeneus-barberinus.html</x:v>
      </x:c>
      <x:c r="D179" s="1"/>
      <x:c r="E179" s="1"/>
      <x:c r="F179" s="1"/>
      <x:c r="G179" s="1"/>
      <x:c r="H179" s="1"/>
      <x:c r="I179" s="1"/>
      <x:c r="J179" s="1"/>
      <x:c r="K179" s="1"/>
    </x:row>
    <x:row r="180" ht="66" customHeight="1">
      <x:c r="A180" s="16" t="str">
        <x:v>WoRMS: Nemipteridae</x:v>
      </x:c>
      <x:c r="B180" s="16" t="str">
        <x:v>Taxa: Nemipteridae. {"scientificname":"Nemipteridae","valid_name":"Nemipteridae","status":"accepted","family":"Nemipteridae","class":"Teleostei","phylum":"Chordata"}</x:v>
      </x:c>
      <x:c r="C180" s="25" t="str">
        <x:v>https://www.marinespecies.org/aphia.php?p=taxdetails&amp;id=151459</x:v>
      </x:c>
      <x:c r="D180" s="1"/>
      <x:c r="E180" s="1"/>
      <x:c r="F180" s="1"/>
      <x:c r="G180" s="1"/>
      <x:c r="H180" s="1"/>
      <x:c r="I180" s="1"/>
      <x:c r="J180" s="1"/>
      <x:c r="K180" s="1"/>
    </x:row>
    <x:row r="181" ht="66" customHeight="1">
      <x:c r="A181" s="16" t="str">
        <x:v>WoRMS: Trichiurus</x:v>
      </x:c>
      <x:c r="B181" s="16" t="str">
        <x:v>Taxa: Trichiurus. {"scientificname":"Trichiurus","valid_name":"Trichiurus","status":"accepted","family":"Trichiuridae","class":"Teleostei","phylum":"Chordata"}</x:v>
      </x:c>
      <x:c r="C181" s="25" t="str">
        <x:v>https://www.marinespecies.org/aphia.php?p=taxdetails&amp;id=126098</x:v>
      </x:c>
      <x:c r="D181" s="1"/>
      <x:c r="E181" s="1"/>
      <x:c r="F181" s="1"/>
      <x:c r="G181" s="1"/>
      <x:c r="H181" s="1"/>
      <x:c r="I181" s="1"/>
      <x:c r="J181" s="1"/>
      <x:c r="K181" s="1"/>
    </x:row>
    <x:row r="182" ht="66" customHeight="1">
      <x:c r="A182" s="16" t="str">
        <x:v>WoRMS: Serranidae</x:v>
      </x:c>
      <x:c r="B182" s="16" t="str">
        <x:v>Taxa: Serranidae. {"scientificname":"Serranidae","valid_name":"Serranidae","status":"accepted","family":"Serranidae","class":"Teleostei","phylum":"Chordata"}</x:v>
      </x:c>
      <x:c r="C182" s="25" t="str">
        <x:v>https://www.marinespecies.org/aphia.php?p=taxdetails&amp;id=125561</x:v>
      </x:c>
      <x:c r="D182" s="1"/>
      <x:c r="E182" s="1"/>
      <x:c r="F182" s="1"/>
      <x:c r="G182" s="1"/>
      <x:c r="H182" s="1"/>
      <x:c r="I182" s="1"/>
      <x:c r="J182" s="1"/>
      <x:c r="K182" s="1"/>
    </x:row>
    <x:row r="183" ht="66" customHeight="1">
      <x:c r="A183" s="16" t="str">
        <x:v>WoRMS: Carcharhinidae</x:v>
      </x:c>
      <x:c r="B183" s="16" t="str">
        <x:v>Taxa: Carcharhinidae. {"scientificname":"Carcharhinidae","valid_name":"Carcharhinidae","status":"accepted","family":"Carcharhinidae","class":"Elasmobranchii","phylum":"Chordata"}</x:v>
      </x:c>
      <x:c r="C183" s="25" t="str">
        <x:v>https://www.marinespecies.org/aphia.php?p=taxdetails&amp;id=105689</x:v>
      </x:c>
      <x:c r="D183" s="1"/>
      <x:c r="E183" s="1"/>
      <x:c r="F183" s="1"/>
      <x:c r="G183" s="1"/>
      <x:c r="H183" s="1"/>
      <x:c r="I183" s="1"/>
      <x:c r="J183" s="1"/>
      <x:c r="K183" s="1"/>
    </x:row>
    <x:row r="184" ht="66" customHeight="1">
      <x:c r="A184" s="16" t="str">
        <x:v>WoRMS: Cephalopholis boenak</x:v>
      </x:c>
      <x:c r="B184" s="16" t="str">
        <x:v>Taxa: Cephalopholis boenak. {"scientificname":"Cephalopholis boenak","valid_name":"Cephalopholis boenak","status":"accepted","family":"Epinephelidae","class":"Teleostei","phylum":"Chordata"}</x:v>
      </x:c>
      <x:c r="C184" s="25" t="str">
        <x:v>https://www.marinespecies.org/aphia.php?p=taxdetails&amp;id=218182</x:v>
      </x:c>
      <x:c r="D184" s="1"/>
      <x:c r="E184" s="1"/>
      <x:c r="F184" s="1"/>
      <x:c r="G184" s="1"/>
      <x:c r="H184" s="1"/>
      <x:c r="I184" s="1"/>
      <x:c r="J184" s="1"/>
      <x:c r="K184" s="1"/>
    </x:row>
    <x:row r="185" ht="66" customHeight="1">
      <x:c r="A185" s="16" t="str">
        <x:v>D. J. Bray, Fishes of Australia: Caranx bucculentus</x:v>
      </x:c>
      <x:c r="B185" s="16" t="str">
        <x:v>Taxa: Caranx. Habitat and biology. A regional Caranx species occupies sandy inshore/prawn-trawl habitats and feeds on benthic animals; counterexample to genus-wide pelagic-only containment.</x:v>
      </x:c>
      <x:c r="C185" s="25" t="str">
        <x:v>https://fishesofaustralia.net.au/home/species/3716</x:v>
      </x:c>
      <x:c r="D185" s="1"/>
      <x:c r="E185" s="1"/>
      <x:c r="F185" s="1"/>
      <x:c r="G185" s="1"/>
      <x:c r="H185" s="1"/>
      <x:c r="I185" s="1"/>
      <x:c r="J185" s="1"/>
      <x:c r="K185" s="1"/>
    </x:row>
    <x:row r="186" ht="66" customHeight="1">
      <x:c r="A186" s="16" t="str">
        <x:v>WoRMS: Clupeidae</x:v>
      </x:c>
      <x:c r="B186" s="16" t="str">
        <x:v>Taxa: Clupeidae. {"scientificname":"Clupeidae","valid_name":"Clupeidae","status":"accepted","family":"Clupeidae","class":"Teleostei","phylum":"Chordata"}</x:v>
      </x:c>
      <x:c r="C186" s="25" t="str">
        <x:v>https://www.marinespecies.org/aphia.php?p=taxdetails&amp;id=125464</x:v>
      </x:c>
      <x:c r="D186" s="1"/>
      <x:c r="E186" s="1"/>
      <x:c r="F186" s="1"/>
      <x:c r="G186" s="1"/>
      <x:c r="H186" s="1"/>
      <x:c r="I186" s="1"/>
      <x:c r="J186" s="1"/>
      <x:c r="K186" s="1"/>
    </x:row>
    <x:row r="187" ht="66" customHeight="1">
      <x:c r="A187" s="16" t="str">
        <x:v>FishBase: Chirocentrus dorab</x:v>
      </x:c>
      <x:c r="B187" s="16" t="str">
        <x:v>Taxa: Chirocentrus dorab. Classification; Environment; Size; Biology. Chirocentridae; maximum 100 cm SL, a large predatory coastal fish; reef-associated tag does not establish bottom feeding.</x:v>
      </x:c>
      <x:c r="C187" s="25" t="str">
        <x:v>https://www.fishbase.se/summary/Chirocentrus-dorab.html</x:v>
      </x:c>
      <x:c r="D187" s="1"/>
      <x:c r="E187" s="1"/>
      <x:c r="F187" s="1"/>
      <x:c r="G187" s="1"/>
      <x:c r="H187" s="1"/>
      <x:c r="I187" s="1"/>
      <x:c r="J187" s="1"/>
      <x:c r="K187" s="1"/>
    </x:row>
    <x:row r="188" ht="66" customHeight="1">
      <x:c r="A188" s="16" t="str">
        <x:v>FAO: Indonesian marine fish resources</x:v>
      </x:c>
      <x:c r="B188" s="16" t="str">
        <x:v>Taxa: Chirocentrus dorab. p.202, Chirocentridae. Explicitly describes Chirocentrus dorab as coastal pelagic.</x:v>
      </x:c>
      <x:c r="C188" s="25" t="str">
        <x:v>https://www.fao.org/4/an020e/an020e.pdf</x:v>
      </x:c>
      <x:c r="D188" s="1"/>
      <x:c r="E188" s="1"/>
      <x:c r="F188" s="1"/>
      <x:c r="G188" s="1"/>
      <x:c r="H188" s="1"/>
      <x:c r="I188" s="1"/>
      <x:c r="J188" s="1"/>
      <x:c r="K188" s="1"/>
    </x:row>
    <x:row r="189" ht="66" customHeight="1">
      <x:c r="A189" s="16" t="str">
        <x:v>WoRMS: Thunnus obesus</x:v>
      </x:c>
      <x:c r="B189" s="16" t="str">
        <x:v>Taxa: Thunnus obesus. {"scientificname":"Thunnus obesus","valid_name":"Thunnus obesus","status":"accepted","family":"Scombridae","class":"Teleostei","phylum":"Chordata"}</x:v>
      </x:c>
      <x:c r="C189" s="25" t="str">
        <x:v>https://www.marinespecies.org/aphia.php?p=taxdetails&amp;id=127028</x:v>
      </x:c>
      <x:c r="D189" s="1"/>
      <x:c r="E189" s="1"/>
      <x:c r="F189" s="1"/>
      <x:c r="G189" s="1"/>
      <x:c r="H189" s="1"/>
      <x:c r="I189" s="1"/>
      <x:c r="J189" s="1"/>
      <x:c r="K189" s="1"/>
    </x:row>
    <x:row r="190" ht="66" customHeight="1">
      <x:c r="A190" s="16" t="str">
        <x:v>FishBase: Thunnus obesus</x:v>
      </x:c>
      <x:c r="B190" s="16" t="str">
        <x:v>Taxa: Thunnus obesus. Habitat: Marine;  pelagic-oceanic; oceanodromous; first maximum: 250 cm TL. Additional biology checked where material.</x:v>
      </x:c>
      <x:c r="C190" s="25" t="str">
        <x:v>https://www.fishbase.se/summary/Thunnus-obesus.html</x:v>
      </x:c>
      <x:c r="D190" s="1"/>
      <x:c r="E190" s="1"/>
      <x:c r="F190" s="1"/>
      <x:c r="G190" s="1"/>
      <x:c r="H190" s="1"/>
      <x:c r="I190" s="1"/>
      <x:c r="J190" s="1"/>
      <x:c r="K190" s="1"/>
    </x:row>
    <x:row r="191" ht="66" customHeight="1">
      <x:c r="A191" s="16" t="str">
        <x:v>WoRMS: Dendrobranchiata</x:v>
      </x:c>
      <x:c r="B191" s="16" t="str">
        <x:v>Taxa: Dendrobranchiata. {"scientificname":"Dendrobranchiata","valid_name":"Dendrobranchiata","status":"accepted","family":null,"class":"Malacostraca","phylum":"Arthropoda"}</x:v>
      </x:c>
      <x:c r="C191" s="25" t="str">
        <x:v>https://www.marinespecies.org/aphia.php?p=taxdetails&amp;id=106669</x:v>
      </x:c>
      <x:c r="D191" s="1"/>
      <x:c r="E191" s="1"/>
      <x:c r="F191" s="1"/>
      <x:c r="G191" s="1"/>
      <x:c r="H191" s="1"/>
      <x:c r="I191" s="1"/>
      <x:c r="J191" s="1"/>
      <x:c r="K191" s="1"/>
    </x:row>
    <x:row r="192" ht="66" customHeight="1">
      <x:c r="A192" s="16" t="str">
        <x:v>WoRMS: Penaeus merguiensis</x:v>
      </x:c>
      <x:c r="B192" s="16" t="str">
        <x:v>Taxa: Penaeus merguiensis. {"scientificname":"Penaeus merguiensis","valid_name":"Penaeus (Fenneropenaeus) merguiensis","status":"superseded combination","family":"Penaeidae","class":"Malacostraca","phylum":"Arthropoda"}</x:v>
      </x:c>
      <x:c r="C192" s="25" t="str">
        <x:v>https://www.marinespecies.org/aphia.php?p=taxdetails&amp;id=210377</x:v>
      </x:c>
      <x:c r="D192" s="1"/>
      <x:c r="E192" s="1"/>
      <x:c r="F192" s="1"/>
      <x:c r="G192" s="1"/>
      <x:c r="H192" s="1"/>
      <x:c r="I192" s="1"/>
      <x:c r="J192" s="1"/>
      <x:c r="K192" s="1"/>
    </x:row>
    <x:row r="193" ht="66" customHeight="1">
      <x:c r="A193" s="16" t="str">
        <x:v>FAO WCP guide: Psettodidae</x:v>
      </x:c>
      <x:c r="B193" s="16" t="str">
        <x:v>Taxa: Psettodes erumei; Pleuronectiformes; Psettodidae. pp.3792–3793, Psettodes erumei. One regional psettodid species; maximum about 60 cm total length, mud/sand bottom at 1–100 m.</x:v>
      </x:c>
      <x:c r="C193" s="25" t="str">
        <x:v>https://www.fao.org/docrep/pdf/009/y0870e/y0870e43.pdf</x:v>
      </x:c>
      <x:c r="D193" s="1"/>
      <x:c r="E193" s="1"/>
      <x:c r="F193" s="1"/>
      <x:c r="G193" s="1"/>
      <x:c r="H193" s="1"/>
      <x:c r="I193" s="1"/>
      <x:c r="J193" s="1"/>
      <x:c r="K193" s="1"/>
    </x:row>
    <x:row r="194" ht="66" customHeight="1">
      <x:c r="A194" s="16" t="str">
        <x:v>WoRMS: Selar crumenophthalmus</x:v>
      </x:c>
      <x:c r="B194" s="16" t="str">
        <x:v>Taxa: Selar crumenophthalmus. {"scientificname":"Selar crumenophthalmus","valid_name":"Selar crumenophthalmus","status":"accepted","family":"Carangidae","class":"Teleostei","phylum":"Chordata"}</x:v>
      </x:c>
      <x:c r="C194" s="25" t="str">
        <x:v>https://www.marinespecies.org/aphia.php?p=taxdetails&amp;id=159646</x:v>
      </x:c>
      <x:c r="D194" s="1"/>
      <x:c r="E194" s="1"/>
      <x:c r="F194" s="1"/>
      <x:c r="G194" s="1"/>
      <x:c r="H194" s="1"/>
      <x:c r="I194" s="1"/>
      <x:c r="J194" s="1"/>
      <x:c r="K194" s="1"/>
    </x:row>
    <x:row r="195" ht="66" customHeight="1">
      <x:c r="A195" s="16" t="str">
        <x:v>FishBase: Selar crumenophthalmus</x:v>
      </x:c>
      <x:c r="B195" s="16" t="str">
        <x:v>Taxa: Selar crumenophthalmus. Habitat: Marine;  reef-associated;; first maximum: 70 cm TL. Additional biology checked where material.</x:v>
      </x:c>
      <x:c r="C195" s="25" t="str">
        <x:v>https://www.fishbase.se/summary/Selar-crumenophthalmus.html</x:v>
      </x:c>
      <x:c r="D195" s="1"/>
      <x:c r="E195" s="1"/>
      <x:c r="F195" s="1"/>
      <x:c r="G195" s="1"/>
      <x:c r="H195" s="1"/>
      <x:c r="I195" s="1"/>
      <x:c r="J195" s="1"/>
      <x:c r="K195" s="1"/>
    </x:row>
    <x:row r="196" ht="66" customHeight="1">
      <x:c r="A196" s="16" t="str">
        <x:v>WoRMS: Sardinella</x:v>
      </x:c>
      <x:c r="B196" s="16" t="str">
        <x:v>Taxa: Sardinella. {"scientificname":"Sardinella","valid_name":"Sardinella","status":"accepted","family":"Dorosomatidae","class":"Teleostei","phylum":"Chordata"}</x:v>
      </x:c>
      <x:c r="C196" s="25" t="str">
        <x:v>https://www.marinespecies.org/aphia.php?p=taxdetails&amp;id=125721</x:v>
      </x:c>
      <x:c r="D196" s="1"/>
      <x:c r="E196" s="1"/>
      <x:c r="F196" s="1"/>
      <x:c r="G196" s="1"/>
      <x:c r="H196" s="1"/>
      <x:c r="I196" s="1"/>
      <x:c r="J196" s="1"/>
      <x:c r="K196" s="1"/>
    </x:row>
    <x:row r="197" ht="66" customHeight="1">
      <x:c r="A197" s="16" t="str">
        <x:v>FishBase: Sardinella aurita</x:v>
      </x:c>
      <x:c r="B197" s="16" t="str">
        <x:v>Taxa: Sardinella. Species-level boundary evidence described in the rationale.</x:v>
      </x:c>
      <x:c r="C197" s="25" t="str">
        <x:v>https://www.fishbase.se/summary/Sardinella-aurita.html</x:v>
      </x:c>
      <x:c r="D197" s="1"/>
      <x:c r="E197" s="1"/>
      <x:c r="F197" s="1"/>
      <x:c r="G197" s="1"/>
      <x:c r="H197" s="1"/>
      <x:c r="I197" s="1"/>
      <x:c r="J197" s="1"/>
      <x:c r="K197" s="1"/>
    </x:row>
    <x:row r="198" ht="66" customHeight="1">
      <x:c r="A198" s="16" t="str">
        <x:v>WoRMS: Rhizostomeae</x:v>
      </x:c>
      <x:c r="B198" s="16" t="str">
        <x:v>Taxa: Rhizostomeae. {"scientificname":"Rhizostomeae","valid_name":"Rhizostomeae","status":"accepted","family":null,"class":"Scyphozoa","phylum":"Cnidaria"}</x:v>
      </x:c>
      <x:c r="C198" s="25" t="str">
        <x:v>https://www.marinespecies.org/aphia.php?p=taxdetails&amp;id=135224</x:v>
      </x:c>
      <x:c r="D198" s="1"/>
      <x:c r="E198" s="1"/>
      <x:c r="F198" s="1"/>
      <x:c r="G198" s="1"/>
      <x:c r="H198" s="1"/>
      <x:c r="I198" s="1"/>
      <x:c r="J198" s="1"/>
      <x:c r="K198" s="1"/>
    </x:row>
    <x:row r="199" ht="66" customHeight="1">
      <x:c r="A199" s="16" t="str">
        <x:v>WoRMS: Stolephorus</x:v>
      </x:c>
      <x:c r="B199" s="16" t="str">
        <x:v>Taxa: Stolephorus. {"scientificname":"Stolephorus","valid_name":"Stolephorus","status":"accepted","family":"Engraulidae","class":"Teleostei","phylum":"Chordata"}</x:v>
      </x:c>
      <x:c r="C199" s="25" t="str">
        <x:v>https://www.marinespecies.org/aphia.php?p=taxdetails&amp;id=206924</x:v>
      </x:c>
      <x:c r="D199" s="1"/>
      <x:c r="E199" s="1"/>
      <x:c r="F199" s="1"/>
      <x:c r="G199" s="1"/>
      <x:c r="H199" s="1"/>
      <x:c r="I199" s="1"/>
      <x:c r="J199" s="1"/>
      <x:c r="K199" s="1"/>
    </x:row>
    <x:row r="200" ht="66" customHeight="1">
      <x:c r="A200" s="16" t="str">
        <x:v>FishBase Stolephorus inventory</x:v>
      </x:c>
      <x:c r="B200" s="16" t="str">
        <x:v>Taxa: Stolephorus. Maximum size and length convention reviewed across the retrieved genus inventory.</x:v>
      </x:c>
      <x:c r="C200" s="25" t="str">
        <x:v>https://www.fishbase.se/identification/SpeciesList.php?genus=Stolephorus</x:v>
      </x:c>
      <x:c r="D200" s="1"/>
      <x:c r="E200" s="1"/>
      <x:c r="F200" s="1"/>
      <x:c r="G200" s="1"/>
      <x:c r="H200" s="1"/>
      <x:c r="I200" s="1"/>
      <x:c r="J200" s="1"/>
      <x:c r="K200" s="1"/>
    </x:row>
    <x:row r="201" ht="66" customHeight="1">
      <x:c r="A201" s="16" t="str">
        <x:v>WoRMS: Acetes japonicus</x:v>
      </x:c>
      <x:c r="B201" s="16" t="str">
        <x:v>Taxa: Acetes japonicus. {"scientificname":"Acetes japonicus","valid_name":"Acetes japonicus","status":"accepted","family":"Sergestidae","class":"Malacostraca","phylum":"Arthropoda"}</x:v>
      </x:c>
      <x:c r="C201" s="25" t="str">
        <x:v>https://www.marinespecies.org/aphia.php?p=taxdetails&amp;id=210646</x:v>
      </x:c>
      <x:c r="D201" s="1"/>
      <x:c r="E201" s="1"/>
      <x:c r="F201" s="1"/>
      <x:c r="G201" s="1"/>
      <x:c r="H201" s="1"/>
      <x:c r="I201" s="1"/>
      <x:c r="J201" s="1"/>
      <x:c r="K201" s="1"/>
    </x:row>
    <x:row r="202" ht="66" customHeight="1">
      <x:c r="A202" s="16" t="str">
        <x:v>WoRMS: Penaeidae</x:v>
      </x:c>
      <x:c r="B202" s="16" t="str">
        <x:v>Taxa: Penaeidae. {"scientificname":"Penaeidae","valid_name":"Penaeidae","status":"accepted","family":"Penaeidae","class":"Malacostraca","phylum":"Arthropoda"}</x:v>
      </x:c>
      <x:c r="C202" s="25" t="str">
        <x:v>https://www.marinespecies.org/aphia.php?p=taxdetails&amp;id=106727</x:v>
      </x:c>
      <x:c r="D202" s="1"/>
      <x:c r="E202" s="1"/>
      <x:c r="F202" s="1"/>
      <x:c r="G202" s="1"/>
      <x:c r="H202" s="1"/>
      <x:c r="I202" s="1"/>
      <x:c r="J202" s="1"/>
      <x:c r="K202" s="1"/>
    </x:row>
    <x:row r="203" ht="66" customHeight="1">
      <x:c r="A203" s="16" t="str">
        <x:v>WoRMS: Pennahia</x:v>
      </x:c>
      <x:c r="B203" s="16" t="str">
        <x:v>Taxa: Pennahia. {"scientificname":"Pennahia","valid_name":"Pennahia","status":"accepted","family":"Sciaenidae","class":"Teleostei","phylum":"Chordata"}</x:v>
      </x:c>
      <x:c r="C203" s="25" t="str">
        <x:v>https://www.marinespecies.org/aphia.php?p=taxdetails&amp;id=270328</x:v>
      </x:c>
      <x:c r="D203" s="1"/>
      <x:c r="E203" s="1"/>
      <x:c r="F203" s="1"/>
      <x:c r="G203" s="1"/>
      <x:c r="H203" s="1"/>
      <x:c r="I203" s="1"/>
      <x:c r="J203" s="1"/>
      <x:c r="K203" s="1"/>
    </x:row>
    <x:row r="204" ht="66" customHeight="1">
      <x:c r="A204" s="16" t="str">
        <x:v>WoRMS: Nemipterus virgatus</x:v>
      </x:c>
      <x:c r="B204" s="16" t="str">
        <x:v>Taxa: Nemipterus virgatus. {"scientificname":"Nemipterus virgatus","valid_name":"Nemipterus virgatus","status":"accepted","family":"Nemipteridae","class":"Teleostei","phylum":"Chordata"}</x:v>
      </x:c>
      <x:c r="C204" s="25" t="str">
        <x:v>https://www.marinespecies.org/aphia.php?p=taxdetails&amp;id=278133</x:v>
      </x:c>
      <x:c r="D204" s="1"/>
      <x:c r="E204" s="1"/>
      <x:c r="F204" s="1"/>
      <x:c r="G204" s="1"/>
      <x:c r="H204" s="1"/>
      <x:c r="I204" s="1"/>
      <x:c r="J204" s="1"/>
      <x:c r="K204" s="1"/>
    </x:row>
    <x:row r="205" ht="66" customHeight="1">
      <x:c r="A205" s="16" t="str">
        <x:v>WoRMS: Rhopilema esculentum</x:v>
      </x:c>
      <x:c r="B205" s="16" t="str">
        <x:v>Taxa: Rhopilema esculentum. {"scientificname":"Rhopilema esculentum","valid_name":"Rhopilema esculentum","status":"accepted","family":"Rhizostomatidae","class":"Scyphozoa","phylum":"Cnidaria"}</x:v>
      </x:c>
      <x:c r="C205" s="25" t="str">
        <x:v>https://www.marinespecies.org/aphia.php?p=taxdetails&amp;id=287187</x:v>
      </x:c>
      <x:c r="D205" s="1"/>
      <x:c r="E205" s="1"/>
      <x:c r="F205" s="1"/>
      <x:c r="G205" s="1"/>
      <x:c r="H205" s="1"/>
      <x:c r="I205" s="1"/>
      <x:c r="J205" s="1"/>
      <x:c r="K205" s="1"/>
    </x:row>
    <x:row r="206" ht="66" customHeight="1">
      <x:c r="A206" s="16" t="str">
        <x:v>WoRMS: Pristipomoides</x:v>
      </x:c>
      <x:c r="B206" s="16" t="str">
        <x:v>Taxa: Pristipomoides. {"scientificname":"Pristipomoides","valid_name":"Pristipomoides","status":"accepted","family":"Lutjanidae","class":"Teleostei","phylum":"Chordata"}</x:v>
      </x:c>
      <x:c r="C206" s="25" t="str">
        <x:v>https://www.marinespecies.org/aphia.php?p=taxdetails&amp;id=159804</x:v>
      </x:c>
      <x:c r="D206" s="1"/>
      <x:c r="E206" s="1"/>
      <x:c r="F206" s="1"/>
      <x:c r="G206" s="1"/>
      <x:c r="H206" s="1"/>
      <x:c r="I206" s="1"/>
      <x:c r="J206" s="1"/>
      <x:c r="K206" s="1"/>
    </x:row>
    <x:row r="207" ht="66" customHeight="1">
      <x:c r="A207" s="16" t="str">
        <x:v>FAO Western Central Pacific, Chirocentridae</x:v>
      </x:c>
      <x:c r="B207" s="16" t="str">
        <x:v>Taxa: Chirocentrus. Family and both species accounts, pp. 1771–1774. Both Chirocentrus species are coastal pelagic wolf herrings reaching approximately 100 cm SL.</x:v>
      </x:c>
      <x:c r="C207" s="25" t="str">
        <x:v>https://www.fao.org/4/x2401e/x2401e28.pdf</x:v>
      </x:c>
      <x:c r="D207" s="1"/>
      <x:c r="E207" s="1"/>
      <x:c r="F207" s="1"/>
      <x:c r="G207" s="1"/>
      <x:c r="H207" s="1"/>
      <x:c r="I207" s="1"/>
      <x:c r="J207" s="1"/>
      <x:c r="K207" s="1"/>
    </x:row>
    <x:row r="208" ht="72" customHeight="1">
      <x:c r="A208" s="16" t="str">
        <x:v>FAO species catalogue: Fusilier fishes of the world</x:v>
      </x:c>
      <x:c r="B208" s="16" t="str">
        <x:v>Taxa: Caesionidae. Caesionidae catalogue and species accounts. Fusiliers are source-era Caesionidae, schooling midwater reef planktivores, with genera/species crossing 30 cm. Source-era taxonomy must be reconciled with current Caesioninae/Lutjanidae before dedicated snapper placement.</x:v>
      </x:c>
      <x:c r="C208" s="25" t="str">
        <x:v>https://www.fao.org/4/t0046e/t0046e00.htm</x:v>
      </x:c>
      <x:c r="D208" s="1"/>
      <x:c r="E208" s="1"/>
      <x:c r="F208" s="1"/>
      <x:c r="G208" s="1"/>
      <x:c r="H208" s="1"/>
      <x:c r="I208" s="1"/>
      <x:c r="J208" s="1"/>
      <x:c r="K208" s="1"/>
    </x:row>
    <x:row r="209" ht="66" customHeight="1">
      <x:c r="A209" s="16" t="str">
        <x:v>FAO fusilier catalogue, Caesio accounts</x:v>
      </x:c>
      <x:c r="B209" s="16" t="str">
        <x:v>Taxa: Caesionidae; Caesio. Caesio accounts, around p.45. Midwater reef zooplanktivory makes exclusive bottom-demersal assignment questionable.</x:v>
      </x:c>
      <x:c r="C209" s="25" t="str">
        <x:v>https://www.fao.org/4/t0046e/T0046E06.pdf</x:v>
      </x:c>
      <x:c r="D209" s="1"/>
      <x:c r="E209" s="1"/>
      <x:c r="F209" s="1"/>
      <x:c r="G209" s="1"/>
      <x:c r="H209" s="1"/>
      <x:c r="I209" s="1"/>
      <x:c r="J209" s="1"/>
      <x:c r="K209" s="1"/>
    </x:row>
    <x:row r="210" ht="66" customHeight="1">
      <x:c r="A210" s="16" t="str">
        <x:v>FAO fusilier catalogue, Pterocaesio accounts</x:v>
      </x:c>
      <x:c r="B210" s="16" t="str">
        <x:v>Taxa: Caesionidae. Pterocaesio accounts. Includes species with maximum 25 cm, unlike large Caesio.</x:v>
      </x:c>
      <x:c r="C210" s="25" t="str">
        <x:v>https://www.fao.org/4/t0046e/T0046E09.pdf</x:v>
      </x:c>
      <x:c r="D210" s="1"/>
      <x:c r="E210" s="1"/>
      <x:c r="F210" s="1"/>
      <x:c r="G210" s="1"/>
      <x:c r="H210" s="1"/>
      <x:c r="I210" s="1"/>
      <x:c r="J210" s="1"/>
      <x:c r="K210" s="1"/>
    </x:row>
    <x:row r="211" ht="66" customHeight="1">
      <x:c r="A211" s="16" t="str">
        <x:v>FishBase: Caesio cuning</x:v>
      </x:c>
      <x:c r="B211" s="16" t="str">
        <x:v>Taxa: Caesionidae; Caesio. Classification; Environment; Size; Biology. Current taxonomy Lutjanidae/Caesioninae; maximum 60 cm TL; traditional family Caesionidae in cited 1987 revision. Modern taxonomy alone cannot silently expand Cheung's snapper definition.</x:v>
      </x:c>
      <x:c r="C211" s="25" t="str">
        <x:v>https://www.fishbase.se/summary/Caesio-cuning.html</x:v>
      </x:c>
      <x:c r="D211" s="1"/>
      <x:c r="E211" s="1"/>
      <x:c r="F211" s="1"/>
      <x:c r="G211" s="1"/>
      <x:c r="H211" s="1"/>
      <x:c r="I211" s="1"/>
      <x:c r="J211" s="1"/>
      <x:c r="K211" s="1"/>
    </x:row>
    <x:row r="212" ht="66" customHeight="1">
      <x:c r="A212" s="16" t="str">
        <x:v>WoRMS: Trachysalambria curvirostris</x:v>
      </x:c>
      <x:c r="B212" s="16" t="str">
        <x:v>Taxa: Trachysalambria curvirostris. {"scientificname":"Trachysalambria curvirostris","valid_name":"Trachysalambria curvirostris","status":"accepted","family":"Penaeidae","class":"Malacostraca","phylum":"Arthropoda"}</x:v>
      </x:c>
      <x:c r="C212" s="25" t="str">
        <x:v>https://www.marinespecies.org/aphia.php?p=taxdetails&amp;id=107113</x:v>
      </x:c>
      <x:c r="D212" s="1"/>
      <x:c r="E212" s="1"/>
      <x:c r="F212" s="1"/>
      <x:c r="G212" s="1"/>
      <x:c r="H212" s="1"/>
      <x:c r="I212" s="1"/>
      <x:c r="J212" s="1"/>
      <x:c r="K212" s="1"/>
    </x:row>
    <x:row r="213" ht="66" customHeight="1">
      <x:c r="A213" s="16" t="str">
        <x:v>FishBase: Cantherhines pardalis</x:v>
      </x:c>
      <x:c r="B213" s="16" t="str">
        <x:v>Taxa: Monacanthidae. Classification; Environment; Size; Biology. Monacanthidae; maximum 25 cm TL, Indo-West Pacific including Philippines; bottom feeding and surface-weed association.</x:v>
      </x:c>
      <x:c r="C213" s="25" t="str">
        <x:v>https://www.fishbase.se/summary/Cantherhines-pardalis.html</x:v>
      </x:c>
      <x:c r="D213" s="1"/>
      <x:c r="E213" s="1"/>
      <x:c r="F213" s="1"/>
      <x:c r="G213" s="1"/>
      <x:c r="H213" s="1"/>
      <x:c r="I213" s="1"/>
      <x:c r="J213" s="1"/>
      <x:c r="K213" s="1"/>
    </x:row>
    <x:row r="214" ht="66" customHeight="1">
      <x:c r="A214" s="16" t="str">
        <x:v>FishBase: Aluterus monoceros</x:v>
      </x:c>
      <x:c r="B214" s="16" t="str">
        <x:v>Taxa: Monacanthidae; Aluterus. Classification; Environment; Size; Biology. 76.2 cm TL, explicitly benthopelagic; pelagic juveniles and adult weed-raft schools demonstrate that benthic prey alone is insufficient for exclusively demersal placement.</x:v>
      </x:c>
      <x:c r="C214" s="25" t="str">
        <x:v>https://www.fishbase.se/summary/Aluterus-monoceros.html</x:v>
      </x:c>
      <x:c r="D214" s="1"/>
      <x:c r="E214" s="1"/>
      <x:c r="F214" s="1"/>
      <x:c r="G214" s="1"/>
      <x:c r="H214" s="1"/>
      <x:c r="I214" s="1"/>
      <x:c r="J214" s="1"/>
      <x:c r="K214" s="1"/>
    </x:row>
    <x:row r="215" ht="66" customHeight="1">
      <x:c r="A215" s="16" t="str">
        <x:v>WoRMS: Decapterus macrosoma</x:v>
      </x:c>
      <x:c r="B215" s="16" t="str">
        <x:v>Taxa: Decapterus macrosoma. {"scientificname":"Decapterus macrosoma","valid_name":"Decapterus macrosoma","status":"accepted","family":"Carangidae","class":"Teleostei","phylum":"Chordata"}</x:v>
      </x:c>
      <x:c r="C215" s="25" t="str">
        <x:v>https://www.marinespecies.org/aphia.php?p=taxdetails&amp;id=218426</x:v>
      </x:c>
      <x:c r="D215" s="1"/>
      <x:c r="E215" s="1"/>
      <x:c r="F215" s="1"/>
      <x:c r="G215" s="1"/>
      <x:c r="H215" s="1"/>
      <x:c r="I215" s="1"/>
      <x:c r="J215" s="1"/>
      <x:c r="K215" s="1"/>
    </x:row>
    <x:row r="216" ht="66" customHeight="1">
      <x:c r="A216" s="16" t="str">
        <x:v>FishBase: Decapterus macrosoma</x:v>
      </x:c>
      <x:c r="B216" s="16" t="str">
        <x:v>Taxa: Decapterus macrosoma. Habitat: Marine;  reef-associated;; first maximum: 35 cm TL. Additional biology checked where material.</x:v>
      </x:c>
      <x:c r="C216" s="25" t="str">
        <x:v>https://www.fishbase.se/summary/Decapterus-macrosoma.html</x:v>
      </x:c>
      <x:c r="D216" s="1"/>
      <x:c r="E216" s="1"/>
      <x:c r="F216" s="1"/>
      <x:c r="G216" s="1"/>
      <x:c r="H216" s="1"/>
      <x:c r="I216" s="1"/>
      <x:c r="J216" s="1"/>
      <x:c r="K216" s="1"/>
    </x:row>
    <x:row r="217" ht="66" customHeight="1">
      <x:c r="A217" s="16" t="str">
        <x:v>WoRMS: Caranx ignobilis</x:v>
      </x:c>
      <x:c r="B217" s="16" t="str">
        <x:v>Taxa: Caranx ignobilis. {"scientificname":"Caranx ignobilis","valid_name":"Caranx ignobilis","status":"accepted","family":"Carangidae","class":"Teleostei","phylum":"Chordata"}</x:v>
      </x:c>
      <x:c r="C217" s="25" t="str">
        <x:v>https://www.marinespecies.org/aphia.php?p=taxdetails&amp;id=218414</x:v>
      </x:c>
      <x:c r="D217" s="1"/>
      <x:c r="E217" s="1"/>
      <x:c r="F217" s="1"/>
      <x:c r="G217" s="1"/>
      <x:c r="H217" s="1"/>
      <x:c r="I217" s="1"/>
      <x:c r="J217" s="1"/>
      <x:c r="K217" s="1"/>
    </x:row>
    <x:row r="218" ht="66" customHeight="1">
      <x:c r="A218" s="16" t="str">
        <x:v>FishBase: Caranx ignobilis</x:v>
      </x:c>
      <x:c r="B218" s="16" t="str">
        <x:v>Taxa: Caranx ignobilis. Habitat: Marine; brackish;  reef-associated;; first maximum: 170 cm TL. Additional biology checked where material.</x:v>
      </x:c>
      <x:c r="C218" s="25" t="str">
        <x:v>https://www.fishbase.se/summary/Caranx-ignobilis.html</x:v>
      </x:c>
      <x:c r="D218" s="1"/>
      <x:c r="E218" s="1"/>
      <x:c r="F218" s="1"/>
      <x:c r="G218" s="1"/>
      <x:c r="H218" s="1"/>
      <x:c r="I218" s="1"/>
      <x:c r="J218" s="1"/>
      <x:c r="K218" s="1"/>
    </x:row>
    <x:row r="219" ht="66" customHeight="1">
      <x:c r="A219" s="16" t="str">
        <x:v>NOAA habitat review</x:v>
      </x:c>
      <x:c r="B219" s="16" t="str">
        <x:v>Taxa: Caranx ignobilis. Adult/postsettlement habitat classified benthic or benthopelagic.</x:v>
      </x:c>
      <x:c r="C219" s="25" t="str">
        <x:v>https://downloads.regulations.gov/NOAA-NMFS-2015-0056-0002/content.pdf</x:v>
      </x:c>
      <x:c r="D219" s="1"/>
      <x:c r="E219" s="1"/>
      <x:c r="F219" s="1"/>
      <x:c r="G219" s="1"/>
      <x:c r="H219" s="1"/>
      <x:c r="I219" s="1"/>
      <x:c r="J219" s="1"/>
      <x:c r="K219" s="1"/>
    </x:row>
    <x:row r="220" ht="66" customHeight="1">
      <x:c r="A220" s="16" t="str">
        <x:v>WoRMS: Dasyatis</x:v>
      </x:c>
      <x:c r="B220" s="16" t="str">
        <x:v>Taxa: Dasyatis. {"scientificname":"Dasyatis","valid_name":"Dasyatis","status":"accepted","family":"Dasyatidae","class":"Elasmobranchii","phylum":"Chordata"}</x:v>
      </x:c>
      <x:c r="C220" s="25" t="str">
        <x:v>https://www.marinespecies.org/aphia.php?p=taxdetails&amp;id=105751</x:v>
      </x:c>
      <x:c r="D220" s="1"/>
      <x:c r="E220" s="1"/>
      <x:c r="F220" s="1"/>
      <x:c r="G220" s="1"/>
      <x:c r="H220" s="1"/>
      <x:c r="I220" s="1"/>
      <x:c r="J220" s="1"/>
      <x:c r="K220" s="1"/>
    </x:row>
    <x:row r="221" ht="66" customHeight="1">
      <x:c r="A221" s="16" t="str">
        <x:v>WoRMS: Dasyatis violacea</x:v>
      </x:c>
      <x:c r="B221" s="16" t="str">
        <x:v>Taxa: Dasyatis. Historical genus included Pteroplatytrygon violacea.</x:v>
      </x:c>
      <x:c r="C221" s="25" t="str">
        <x:v>https://www.marinespecies.org/aphia.php?id=105853&amp;p=taxdetails</x:v>
      </x:c>
      <x:c r="D221" s="1"/>
      <x:c r="E221" s="1"/>
      <x:c r="F221" s="1"/>
      <x:c r="G221" s="1"/>
      <x:c r="H221" s="1"/>
      <x:c r="I221" s="1"/>
      <x:c r="J221" s="1"/>
      <x:c r="K221" s="1"/>
    </x:row>
    <x:row r="222" ht="66" customHeight="1">
      <x:c r="A222" s="16" t="str">
        <x:v>WoRMS: Himantura</x:v>
      </x:c>
      <x:c r="B222" s="16" t="str">
        <x:v>Taxa: Himantura. {"scientificname":"Himantura","valid_name":"Himantura","status":"accepted","family":"Dasyatidae","class":"Elasmobranchii","phylum":"Chordata"}</x:v>
      </x:c>
      <x:c r="C222" s="25" t="str">
        <x:v>https://www.marinespecies.org/aphia.php?p=taxdetails&amp;id=105752</x:v>
      </x:c>
      <x:c r="D222" s="1"/>
      <x:c r="E222" s="1"/>
      <x:c r="F222" s="1"/>
      <x:c r="G222" s="1"/>
      <x:c r="H222" s="1"/>
      <x:c r="I222" s="1"/>
      <x:c r="J222" s="1"/>
      <x:c r="K222" s="1"/>
    </x:row>
    <x:row r="223" ht="66" customHeight="1">
      <x:c r="A223" s="16" t="str">
        <x:v>FishBase Himantura inventory</x:v>
      </x:c>
      <x:c r="B223" s="16" t="str">
        <x:v>Taxa: Himantura. Genus composition and reported length metrics reviewed.</x:v>
      </x:c>
      <x:c r="C223" s="25" t="str">
        <x:v>https://www.fishbase.se/identification/SpeciesList.php?genus=Himantura</x:v>
      </x:c>
      <x:c r="D223" s="1"/>
      <x:c r="E223" s="1"/>
      <x:c r="F223" s="1"/>
      <x:c r="G223" s="1"/>
      <x:c r="H223" s="1"/>
      <x:c r="I223" s="1"/>
      <x:c r="J223" s="1"/>
      <x:c r="K223" s="1"/>
    </x:row>
    <x:row r="224" ht="66" customHeight="1">
      <x:c r="A224" s="16" t="str">
        <x:v>FishBase: Himantura uarnak</x:v>
      </x:c>
      <x:c r="B224" s="16" t="str">
        <x:v>Taxa: Himantura. Species-level boundary evidence described in the rationale.</x:v>
      </x:c>
      <x:c r="C224" s="25" t="str">
        <x:v>https://www.fishbase.se/summary/Himantura-uarnak.html</x:v>
      </x:c>
      <x:c r="D224" s="1"/>
      <x:c r="E224" s="1"/>
      <x:c r="F224" s="1"/>
      <x:c r="G224" s="1"/>
      <x:c r="H224" s="1"/>
      <x:c r="I224" s="1"/>
      <x:c r="J224" s="1"/>
      <x:c r="K224" s="1"/>
    </x:row>
    <x:row r="225" ht="66" customHeight="1">
      <x:c r="A225" s="16" t="str">
        <x:v>FishBase: Conger myriaster</x:v>
      </x:c>
      <x:c r="B225" s="16" t="str">
        <x:v>Taxa: Conger myriaster; Anguilliformes; Congridae. Classification; Environment; Size; Biology. Congridae; maximum 100 cm TL; bottom-associated sand/mud habitat. Bathydemersal depth field and coastal biology are not mutually exclusive.</x:v>
      </x:c>
      <x:c r="C225" s="25" t="str">
        <x:v>https://www.fishbase.se/summary/Conger-myriaster.html</x:v>
      </x:c>
      <x:c r="D225" s="1"/>
      <x:c r="E225" s="1"/>
      <x:c r="F225" s="1"/>
      <x:c r="G225" s="1"/>
      <x:c r="H225" s="1"/>
      <x:c r="I225" s="1"/>
      <x:c r="J225" s="1"/>
      <x:c r="K225" s="1"/>
    </x:row>
    <x:row r="226" ht="66" customHeight="1">
      <x:c r="A226" s="16" t="str">
        <x:v>Nakamura (1985), FAO Billfishes of the world</x:v>
      </x:c>
      <x:c r="B226" s="16" t="str">
        <x:v>Taxa: Xiphias gladius. Xiphias gladius, pp. 48–51. Swordfish is a large epi- and mesopelagic species; size is clearly above 30 cm.</x:v>
      </x:c>
      <x:c r="C226" s="25" t="str">
        <x:v>https://www.fao.org/docrep/pdf/009/ac480e/ac480e10.pdf</x:v>
      </x:c>
      <x:c r="D226" s="1"/>
      <x:c r="E226" s="1"/>
      <x:c r="F226" s="1"/>
      <x:c r="G226" s="1"/>
      <x:c r="H226" s="1"/>
      <x:c r="I226" s="1"/>
      <x:c r="J226" s="1"/>
      <x:c r="K226" s="1"/>
    </x:row>
    <x:row r="227" ht="66" customHeight="1">
      <x:c r="A227" s="16" t="str">
        <x:v>WoRMS: Larimichthys polyactis</x:v>
      </x:c>
      <x:c r="B227" s="16" t="str">
        <x:v>Taxa: Larimichthys polyactis. {"scientificname":"Larimichthys polyactis","valid_name":"Larimichthys polyactis","status":"accepted","family":"Sciaenidae","class":"Teleostei","phylum":"Chordata"}</x:v>
      </x:c>
      <x:c r="C227" s="25" t="str">
        <x:v>https://www.marinespecies.org/aphia.php?p=taxdetails&amp;id=281273</x:v>
      </x:c>
      <x:c r="D227" s="1"/>
      <x:c r="E227" s="1"/>
      <x:c r="F227" s="1"/>
      <x:c r="G227" s="1"/>
      <x:c r="H227" s="1"/>
      <x:c r="I227" s="1"/>
      <x:c r="J227" s="1"/>
      <x:c r="K227" s="1"/>
    </x:row>
    <x:row r="228" ht="66" customHeight="1">
      <x:c r="A228" s="16" t="str">
        <x:v>FishBase: Larimichthys polyactis</x:v>
      </x:c>
      <x:c r="B228" s="16" t="str">
        <x:v>Taxa: Larimichthys polyactis. Habitat: Marine;  benthopelagic; oceanodromous; first maximum: 40 cm SL. Additional biology checked where material.</x:v>
      </x:c>
      <x:c r="C228" s="25" t="str">
        <x:v>https://www.fishbase.se/summary/Larimichthys-polyactis.html</x:v>
      </x:c>
      <x:c r="D228" s="1"/>
      <x:c r="E228" s="1"/>
      <x:c r="F228" s="1"/>
      <x:c r="G228" s="1"/>
      <x:c r="H228" s="1"/>
      <x:c r="I228" s="1"/>
      <x:c r="J228" s="1"/>
      <x:c r="K228" s="1"/>
    </x:row>
    <x:row r="229" ht="66" customHeight="1">
      <x:c r="A229" s="16" t="str">
        <x:v>WoRMS: Dussumieria</x:v>
      </x:c>
      <x:c r="B229" s="16" t="str">
        <x:v>Taxa: Dussumieria. {"scientificname":"Dussumieria","valid_name":"Dussumieria","status":"accepted","family":"Dussumieriidae","class":"Teleostei","phylum":"Chordata"}</x:v>
      </x:c>
      <x:c r="C229" s="25" t="str">
        <x:v>https://www.marinespecies.org/aphia.php?p=taxdetails&amp;id=125718</x:v>
      </x:c>
      <x:c r="D229" s="1"/>
      <x:c r="E229" s="1"/>
      <x:c r="F229" s="1"/>
      <x:c r="G229" s="1"/>
      <x:c r="H229" s="1"/>
      <x:c r="I229" s="1"/>
      <x:c r="J229" s="1"/>
      <x:c r="K229" s="1"/>
    </x:row>
    <x:row r="230" ht="66" customHeight="1">
      <x:c r="A230" s="16" t="str">
        <x:v>FishBase Dussumieria inventory</x:v>
      </x:c>
      <x:c r="B230" s="16" t="str">
        <x:v>Taxa: Dussumieria. Maximum size and length convention reviewed across the retrieved genus inventory.</x:v>
      </x:c>
      <x:c r="C230" s="25" t="str">
        <x:v>https://www.fishbase.se/identification/SpeciesList.php?genus=Dussumieria</x:v>
      </x:c>
      <x:c r="D230" s="1"/>
      <x:c r="E230" s="1"/>
      <x:c r="F230" s="1"/>
      <x:c r="G230" s="1"/>
      <x:c r="H230" s="1"/>
      <x:c r="I230" s="1"/>
      <x:c r="J230" s="1"/>
      <x:c r="K230" s="1"/>
    </x:row>
    <x:row r="231" ht="66" customHeight="1">
      <x:c r="A231" s="16" t="str">
        <x:v>WoRMS: Sepia</x:v>
      </x:c>
      <x:c r="B231" s="16" t="str">
        <x:v>Taxa: Sepia. {"scientificname":"Sepia","valid_name":"Sepia","status":"accepted","family":"Sepiidae","class":"Cephalopoda","phylum":"Mollusca"}</x:v>
      </x:c>
      <x:c r="C231" s="25" t="str">
        <x:v>https://www.marinespecies.org/aphia.php?p=taxdetails&amp;id=138477</x:v>
      </x:c>
      <x:c r="D231" s="1"/>
      <x:c r="E231" s="1"/>
      <x:c r="F231" s="1"/>
      <x:c r="G231" s="1"/>
      <x:c r="H231" s="1"/>
      <x:c r="I231" s="1"/>
      <x:c r="J231" s="1"/>
      <x:c r="K231" s="1"/>
    </x:row>
    <x:row r="232" ht="66" customHeight="1">
      <x:c r="A232" s="16" t="str">
        <x:v>FishBase: Paralichthys olivaceus</x:v>
      </x:c>
      <x:c r="B232" s="16" t="str">
        <x:v>Taxa: Paralichthys olivaceus; Paralichthyidae; Pleuronectiformes. Classification; Environment; Size; Biology. Demersal flatfish reaching 103 cm TL, distributed from South China Sea to Japan.</x:v>
      </x:c>
      <x:c r="C232" s="25" t="str">
        <x:v>https://www.fishbase.se/summary/Paralichthys-olivaceus.html</x:v>
      </x:c>
      <x:c r="D232" s="1"/>
      <x:c r="E232" s="1"/>
      <x:c r="F232" s="1"/>
      <x:c r="G232" s="1"/>
      <x:c r="H232" s="1"/>
      <x:c r="I232" s="1"/>
      <x:c r="J232" s="1"/>
      <x:c r="K232" s="1"/>
    </x:row>
    <x:row r="233" ht="66" customHeight="1">
      <x:c r="A233" s="16" t="str">
        <x:v>WoRMS: Priacanthus macracanthus</x:v>
      </x:c>
      <x:c r="B233" s="16" t="str">
        <x:v>Taxa: Priacanthus macracanthus. {"scientificname":"Priacanthus macracanthus","valid_name":"Priacanthus macracanthus","status":"accepted","family":"Priacanthidae","class":"Teleostei","phylum":"Chordata"}</x:v>
      </x:c>
      <x:c r="C233" s="25" t="str">
        <x:v>https://www.marinespecies.org/aphia.php?p=taxdetails&amp;id=273765</x:v>
      </x:c>
      <x:c r="D233" s="1"/>
      <x:c r="E233" s="1"/>
      <x:c r="F233" s="1"/>
      <x:c r="G233" s="1"/>
      <x:c r="H233" s="1"/>
      <x:c r="I233" s="1"/>
      <x:c r="J233" s="1"/>
      <x:c r="K233" s="1"/>
    </x:row>
    <x:row r="234" ht="66" customHeight="1">
      <x:c r="A234" s="16" t="str">
        <x:v>WoRMS: Portunus pelagicus</x:v>
      </x:c>
      <x:c r="B234" s="16" t="str">
        <x:v>Taxa: Portunus pelagicus. {"scientificname":"Portunus pelagicus","valid_name":"Portunus pelagicus","status":"accepted","family":"Portunidae","class":"Malacostraca","phylum":"Arthropoda"}</x:v>
      </x:c>
      <x:c r="C234" s="25" t="str">
        <x:v>https://www.marinespecies.org/aphia.php?p=taxdetails&amp;id=1061754</x:v>
      </x:c>
      <x:c r="D234" s="1"/>
      <x:c r="E234" s="1"/>
      <x:c r="F234" s="1"/>
      <x:c r="G234" s="1"/>
      <x:c r="H234" s="1"/>
      <x:c r="I234" s="1"/>
      <x:c r="J234" s="1"/>
      <x:c r="K234" s="1"/>
    </x:row>
    <x:row r="235" ht="66" customHeight="1">
      <x:c r="A235" s="16" t="str">
        <x:v>FishBase: Muraenesocidae species list</x:v>
      </x:c>
      <x:c r="B235" s="16" t="str">
        <x:v>Taxa: Muraenesox; Muraenesocidae. Species length and distribution table. Regional Congresox, Muraenesox, Oxyconger and Gavialiceps reported maxima all exceed 30 cm TL; known length range includes 60–250 cm for major regional taxa.</x:v>
      </x:c>
      <x:c r="C235" s="25" t="str">
        <x:v>https://www.fishbase.se/identification/SpeciesList.php?famcode=504</x:v>
      </x:c>
      <x:c r="D235" s="1"/>
      <x:c r="E235" s="1"/>
      <x:c r="F235" s="1"/>
      <x:c r="G235" s="1"/>
      <x:c r="H235" s="1"/>
      <x:c r="I235" s="1"/>
      <x:c r="J235" s="1"/>
      <x:c r="K235" s="1"/>
    </x:row>
    <x:row r="236" ht="66" customHeight="1">
      <x:c r="A236" s="16" t="str">
        <x:v>FishBase: Lethrinus variegatus</x:v>
      </x:c>
      <x:c r="B236" s="16" t="str">
        <x:v>Taxa: Lethrinidae; Lethrinus. Classification; Environment; Size; Biology. Reported maximum 20 cm TL, sandy/weedy reef-associated bottom habitat; contrasts with L. miniatus 90 cm TL.</x:v>
      </x:c>
      <x:c r="C236" s="25" t="str">
        <x:v>https://www.fishbase.se/summary/1850</x:v>
      </x:c>
      <x:c r="D236" s="1"/>
      <x:c r="E236" s="1"/>
      <x:c r="F236" s="1"/>
      <x:c r="G236" s="1"/>
      <x:c r="H236" s="1"/>
      <x:c r="I236" s="1"/>
      <x:c r="J236" s="1"/>
      <x:c r="K236" s="1"/>
    </x:row>
    <x:row r="237" ht="66" customHeight="1">
      <x:c r="A237" s="16" t="str">
        <x:v>FishBase: Lethrinus miniatus</x:v>
      </x:c>
      <x:c r="B237" s="16" t="str">
        <x:v>Taxa: Lethrinidae; Lethrinus; Lethrinus miniatus. Classification; Environment; Size; Biology. Lethrinidae; maximum 90 cm TL; reef shelter by day and feeding over sandy seabed at night.</x:v>
      </x:c>
      <x:c r="C237" s="25" t="str">
        <x:v>https://www.fishbase.se/summary/Lethrinus-miniatus.html</x:v>
      </x:c>
      <x:c r="D237" s="1"/>
      <x:c r="E237" s="1"/>
      <x:c r="F237" s="1"/>
      <x:c r="G237" s="1"/>
      <x:c r="H237" s="1"/>
      <x:c r="I237" s="1"/>
      <x:c r="J237" s="1"/>
      <x:c r="K237" s="1"/>
    </x:row>
    <x:row r="238" ht="66" customHeight="1">
      <x:c r="A238" s="16" t="str">
        <x:v>FishBase: Lethrinus species list</x:v>
      </x:c>
      <x:c r="B238" s="16" t="str">
        <x:v>Taxa: Lethrinidae; Lethrinus. Species length/distribution table. Includes small and large emperors; family/genus cannot be assumed entirely &gt; 30 cm TL.</x:v>
      </x:c>
      <x:c r="C238" s="25" t="str">
        <x:v>https://www.fishbase.se/identification/SpeciesList.php?genus=Lethrinus</x:v>
      </x:c>
      <x:c r="D238" s="1"/>
      <x:c r="E238" s="1"/>
      <x:c r="F238" s="1"/>
      <x:c r="G238" s="1"/>
      <x:c r="H238" s="1"/>
      <x:c r="I238" s="1"/>
      <x:c r="J238" s="1"/>
      <x:c r="K238" s="1"/>
    </x:row>
    <x:row r="239" ht="66" customHeight="1">
      <x:c r="A239" s="16" t="str">
        <x:v>WoRMS: Polynemidae</x:v>
      </x:c>
      <x:c r="B239" s="16" t="str">
        <x:v>Taxa: Polynemidae. {"scientificname":"Polynemidae","valid_name":"Polynemidae","status":"accepted","family":"Polynemidae","class":"Teleostei","phylum":"Chordata"}</x:v>
      </x:c>
      <x:c r="C239" s="25" t="str">
        <x:v>https://www.marinespecies.org/aphia.php?p=taxdetails&amp;id=125551</x:v>
      </x:c>
      <x:c r="D239" s="1"/>
      <x:c r="E239" s="1"/>
      <x:c r="F239" s="1"/>
      <x:c r="G239" s="1"/>
      <x:c r="H239" s="1"/>
      <x:c r="I239" s="1"/>
      <x:c r="J239" s="1"/>
      <x:c r="K239" s="1"/>
    </x:row>
    <x:row r="240" ht="66" customHeight="1">
      <x:c r="A240" s="16" t="str">
        <x:v>FAO species catalogue, Polynemidae</x:v>
      </x:c>
      <x:c r="B240" s="16" t="str">
        <x:v>Taxa: Polynemidae. Regional family constituents exceed 30 cm; does not establish their share of the reporting category.</x:v>
      </x:c>
      <x:c r="C240" s="25" t="str">
        <x:v>https://www.fao.org/4/y5398e/y5398e03.pdf</x:v>
      </x:c>
      <x:c r="D240" s="1"/>
      <x:c r="E240" s="1"/>
      <x:c r="F240" s="1"/>
      <x:c r="G240" s="1"/>
      <x:c r="H240" s="1"/>
      <x:c r="I240" s="1"/>
      <x:c r="J240" s="1"/>
      <x:c r="K240" s="1"/>
    </x:row>
    <x:row r="241" ht="66" customHeight="1">
      <x:c r="A241" s="16" t="str">
        <x:v>WoRMS: Tylosurus crocodilus</x:v>
      </x:c>
      <x:c r="B241" s="16" t="str">
        <x:v>Taxa: Tylosurus crocodilus. {"scientificname":"Tylosurus crocodilus","valid_name":"Tylosurus crocodilus","status":"accepted","family":"Belonidae","class":"Teleostei","phylum":"Chordata"}</x:v>
      </x:c>
      <x:c r="C241" s="25" t="str">
        <x:v>https://www.marinespecies.org/aphia.php?p=taxdetails&amp;id=159259</x:v>
      </x:c>
      <x:c r="D241" s="1"/>
      <x:c r="E241" s="1"/>
      <x:c r="F241" s="1"/>
      <x:c r="G241" s="1"/>
      <x:c r="H241" s="1"/>
      <x:c r="I241" s="1"/>
      <x:c r="J241" s="1"/>
      <x:c r="K241" s="1"/>
    </x:row>
    <x:row r="242" ht="66" customHeight="1">
      <x:c r="A242" s="16" t="str">
        <x:v>FishBase: Tylosurus crocodilus</x:v>
      </x:c>
      <x:c r="B242" s="16" t="str">
        <x:v>Taxa: Tylosurus crocodilus. Habitat: Marine;  reef-associated; oceanodromous; first maximum: 150 cm TL. Additional biology checked where material.</x:v>
      </x:c>
      <x:c r="C242" s="25" t="str">
        <x:v>https://www.fishbase.se/summary/Tylosurus-crocodilus.html</x:v>
      </x:c>
      <x:c r="D242" s="1"/>
      <x:c r="E242" s="1"/>
      <x:c r="F242" s="1"/>
      <x:c r="G242" s="1"/>
      <x:c r="H242" s="1"/>
      <x:c r="I242" s="1"/>
      <x:c r="J242" s="1"/>
      <x:c r="K242" s="1"/>
    </x:row>
    <x:row r="243" ht="66" customHeight="1">
      <x:c r="A243" s="16" t="str">
        <x:v>WoRMS: Rastrelliger brachysoma</x:v>
      </x:c>
      <x:c r="B243" s="16" t="str">
        <x:v>Taxa: Rastrelliger brachysoma. {"scientificname":"Rastrelliger brachysoma","valid_name":"Rastrelliger brachysoma","status":"accepted","family":"Scombridae","class":"Teleostei","phylum":"Chordata"}</x:v>
      </x:c>
      <x:c r="C243" s="25" t="str">
        <x:v>https://www.marinespecies.org/aphia.php?p=taxdetails&amp;id=273807</x:v>
      </x:c>
      <x:c r="D243" s="1"/>
      <x:c r="E243" s="1"/>
      <x:c r="F243" s="1"/>
      <x:c r="G243" s="1"/>
      <x:c r="H243" s="1"/>
      <x:c r="I243" s="1"/>
      <x:c r="J243" s="1"/>
      <x:c r="K243" s="1"/>
    </x:row>
    <x:row r="244" ht="66" customHeight="1">
      <x:c r="A244" s="16" t="str">
        <x:v>FishBase: Rastrelliger brachysoma</x:v>
      </x:c>
      <x:c r="B244" s="16" t="str">
        <x:v>Taxa: Rastrelliger brachysoma. Habitat: Marine; brackish;  pelagic-neritic; oceanodromous; first maximum: 34.5 cm FL. Additional biology checked where material.</x:v>
      </x:c>
      <x:c r="C244" s="25" t="str">
        <x:v>https://www.fishbase.se/summary/Rastrelliger-brachysoma.html</x:v>
      </x:c>
      <x:c r="D244" s="1"/>
      <x:c r="E244" s="1"/>
      <x:c r="F244" s="1"/>
      <x:c r="G244" s="1"/>
      <x:c r="H244" s="1"/>
      <x:c r="I244" s="1"/>
      <x:c r="J244" s="1"/>
      <x:c r="K244" s="1"/>
    </x:row>
    <x:row r="245" ht="66" customHeight="1">
      <x:c r="A245" s="16" t="str">
        <x:v>WoRMS: Epinephelus coioides</x:v>
      </x:c>
      <x:c r="B245" s="16" t="str">
        <x:v>Taxa: Epinephelus coioides. {"scientificname":"Epinephelus coioides","valid_name":"Epinephelus coioides","status":"accepted","family":"Epinephelidae","class":"Teleostei","phylum":"Chordata"}</x:v>
      </x:c>
      <x:c r="C245" s="25" t="str">
        <x:v>https://www.marinespecies.org/aphia.php?p=taxdetails&amp;id=218200</x:v>
      </x:c>
      <x:c r="D245" s="1"/>
      <x:c r="E245" s="1"/>
      <x:c r="F245" s="1"/>
      <x:c r="G245" s="1"/>
      <x:c r="H245" s="1"/>
      <x:c r="I245" s="1"/>
      <x:c r="J245" s="1"/>
      <x:c r="K245" s="1"/>
    </x:row>
    <x:row r="246" ht="66" customHeight="1">
      <x:c r="A246" s="16" t="str">
        <x:v>WoRMS: Scyris indica</x:v>
      </x:c>
      <x:c r="B246" s="16" t="str">
        <x:v>Taxa: Scyris indica. {"scientificname":"Scyris indica","valid_name":"Scyris indica","status":"accepted","family":"Carangidae","class":"Teleostei","phylum":"Chordata"}</x:v>
      </x:c>
      <x:c r="C246" s="25" t="str">
        <x:v>https://www.marinespecies.org/aphia.php?p=taxdetails&amp;id=1888072</x:v>
      </x:c>
      <x:c r="D246" s="1"/>
      <x:c r="E246" s="1"/>
      <x:c r="F246" s="1"/>
      <x:c r="G246" s="1"/>
      <x:c r="H246" s="1"/>
      <x:c r="I246" s="1"/>
      <x:c r="J246" s="1"/>
      <x:c r="K246" s="1"/>
    </x:row>
    <x:row r="247" ht="66" customHeight="1">
      <x:c r="A247" s="16" t="str">
        <x:v>FishBase: Scyris indica</x:v>
      </x:c>
      <x:c r="B247" s="16" t="str">
        <x:v>Taxa: Scyris indica. Habitat: Marine; brackish;  reef-associated;; first maximum: 165 cm TL. Additional biology checked where material.</x:v>
      </x:c>
      <x:c r="C247" s="25" t="str">
        <x:v>https://www.fishbase.se/summary/Scyris-indica.html</x:v>
      </x:c>
      <x:c r="D247" s="1"/>
      <x:c r="E247" s="1"/>
      <x:c r="F247" s="1"/>
      <x:c r="G247" s="1"/>
      <x:c r="H247" s="1"/>
      <x:c r="I247" s="1"/>
      <x:c r="J247" s="1"/>
      <x:c r="K247" s="1"/>
    </x:row>
    <x:row r="248" ht="66" customHeight="1">
      <x:c r="A248" s="16" t="str">
        <x:v>WoRMS: Pampus argenteus</x:v>
      </x:c>
      <x:c r="B248" s="16" t="str">
        <x:v>Taxa: Pampus argenteus. {"scientificname":"Pampus argenteus","valid_name":"Pampus argenteus","status":"accepted","family":"Stromateidae","class":"Teleostei","phylum":"Chordata"}</x:v>
      </x:c>
      <x:c r="C248" s="25" t="str">
        <x:v>https://www.marinespecies.org/aphia.php?p=taxdetails&amp;id=127075</x:v>
      </x:c>
      <x:c r="D248" s="1"/>
      <x:c r="E248" s="1"/>
      <x:c r="F248" s="1"/>
      <x:c r="G248" s="1"/>
      <x:c r="H248" s="1"/>
      <x:c r="I248" s="1"/>
      <x:c r="J248" s="1"/>
      <x:c r="K248" s="1"/>
    </x:row>
    <x:row r="249" ht="66" customHeight="1">
      <x:c r="A249" s="16" t="str">
        <x:v>FishBase: Oxyconger leptognathus</x:v>
      </x:c>
      <x:c r="B249" s="16" t="str">
        <x:v>Taxa: Muraenesocidae. Classification; Environment; Size; Biology. Western Pacific muraenesocid; demersal, maximum 60 cm TL.</x:v>
      </x:c>
      <x:c r="C249" s="25" t="str">
        <x:v>https://www.fishbase.se/summary/Oxyconger-leptognathus.html</x:v>
      </x:c>
      <x:c r="D249" s="1"/>
      <x:c r="E249" s="1"/>
      <x:c r="F249" s="1"/>
      <x:c r="G249" s="1"/>
      <x:c r="H249" s="1"/>
      <x:c r="I249" s="1"/>
      <x:c r="J249" s="1"/>
      <x:c r="K249" s="1"/>
    </x:row>
    <x:row r="250" ht="66" customHeight="1">
      <x:c r="A250" s="16" t="str">
        <x:v>WoRMS: Isurus</x:v>
      </x:c>
      <x:c r="B250" s="16" t="str">
        <x:v>Taxa: Isurus. {"scientificname":"Isurus","valid_name":"Isurus","status":"accepted","family":"Lamnidae","class":"Elasmobranchii","phylum":"Chordata"}</x:v>
      </x:c>
      <x:c r="C250" s="25" t="str">
        <x:v>https://www.marinespecies.org/aphia.php?p=taxdetails&amp;id=105743</x:v>
      </x:c>
      <x:c r="D250" s="1"/>
      <x:c r="E250" s="1"/>
      <x:c r="F250" s="1"/>
      <x:c r="G250" s="1"/>
      <x:c r="H250" s="1"/>
      <x:c r="I250" s="1"/>
      <x:c r="J250" s="1"/>
      <x:c r="K250" s="1"/>
    </x:row>
    <x:row r="251" ht="66" customHeight="1">
      <x:c r="A251" s="16" t="str">
        <x:v>FishBase: Isurus paucus</x:v>
      </x:c>
      <x:c r="B251" s="16" t="str">
        <x:v>Taxa: Isurus. Pelagic-oceanic and epipelagic.</x:v>
      </x:c>
      <x:c r="C251" s="25" t="str">
        <x:v>https://www.fishbase.se/summary/Isurus-paucus.html</x:v>
      </x:c>
      <x:c r="D251" s="1"/>
      <x:c r="E251" s="1"/>
      <x:c r="F251" s="1"/>
      <x:c r="G251" s="1"/>
      <x:c r="H251" s="1"/>
      <x:c r="I251" s="1"/>
      <x:c r="J251" s="1"/>
      <x:c r="K251" s="1"/>
    </x:row>
    <x:row r="252" ht="66" customHeight="1">
      <x:c r="A252" s="16" t="str">
        <x:v>FishBase Isurus inventory</x:v>
      </x:c>
      <x:c r="B252" s="16" t="str">
        <x:v>Taxa: Isurus. Two species checked.</x:v>
      </x:c>
      <x:c r="C252" s="25" t="str">
        <x:v>https://www.fishbase.se/identification/SpeciesList.php?genus=Isurus</x:v>
      </x:c>
      <x:c r="D252" s="1"/>
      <x:c r="E252" s="1"/>
      <x:c r="F252" s="1"/>
      <x:c r="G252" s="1"/>
      <x:c r="H252" s="1"/>
      <x:c r="I252" s="1"/>
      <x:c r="J252" s="1"/>
      <x:c r="K252" s="1"/>
    </x:row>
    <x:row r="253" ht="66" customHeight="1">
      <x:c r="A253" s="16" t="str">
        <x:v>WoRMS: Upeneus</x:v>
      </x:c>
      <x:c r="B253" s="16" t="str">
        <x:v>Taxa: Upeneus. {"scientificname":"Upeneus","valid_name":"Upeneus","status":"accepted","family":"Mullidae","class":"Teleostei","phylum":"Chordata"}</x:v>
      </x:c>
      <x:c r="C253" s="25" t="str">
        <x:v>https://www.marinespecies.org/aphia.php?p=taxdetails&amp;id=126036</x:v>
      </x:c>
      <x:c r="D253" s="1"/>
      <x:c r="E253" s="1"/>
      <x:c r="F253" s="1"/>
      <x:c r="G253" s="1"/>
      <x:c r="H253" s="1"/>
      <x:c r="I253" s="1"/>
      <x:c r="J253" s="1"/>
      <x:c r="K253" s="1"/>
    </x:row>
    <x:row r="254" ht="66" customHeight="1">
      <x:c r="A254" s="16" t="str">
        <x:v>FishBase Upeneus inventory</x:v>
      </x:c>
      <x:c r="B254" s="16" t="str">
        <x:v>Taxa: Upeneus. Maximum sizes and length conventions checked across the retrieved inventory.</x:v>
      </x:c>
      <x:c r="C254" s="25" t="str">
        <x:v>https://www.fishbase.se/identification/SpeciesList.php?genus=Upeneus</x:v>
      </x:c>
      <x:c r="D254" s="1"/>
      <x:c r="E254" s="1"/>
      <x:c r="F254" s="1"/>
      <x:c r="G254" s="1"/>
      <x:c r="H254" s="1"/>
      <x:c r="I254" s="1"/>
      <x:c r="J254" s="1"/>
      <x:c r="K254" s="1"/>
    </x:row>
    <x:row r="255" ht="66" customHeight="1">
      <x:c r="A255" s="16" t="str">
        <x:v>FishBase: Upeneus taeniopterus</x:v>
      </x:c>
      <x:c r="B255" s="16" t="str">
        <x:v>Taxa: Upeneus. Taxon-specific boundary evidence described in the rationale.</x:v>
      </x:c>
      <x:c r="C255" s="25" t="str">
        <x:v>https://www.fishbase.se/summary/Upeneus-taeniopterus.html</x:v>
      </x:c>
      <x:c r="D255" s="1"/>
      <x:c r="E255" s="1"/>
      <x:c r="F255" s="1"/>
      <x:c r="G255" s="1"/>
      <x:c r="H255" s="1"/>
      <x:c r="I255" s="1"/>
      <x:c r="J255" s="1"/>
      <x:c r="K255" s="1"/>
    </x:row>
    <x:row r="256" ht="66" customHeight="1">
      <x:c r="A256" s="16" t="str">
        <x:v>FishBase: Pomadasys species list</x:v>
      </x:c>
      <x:c r="B256" s="16" t="str">
        <x:v>Taxa: Pomadasys; Haemulidae. Species table. Regional P. argenteus/argyreus are large, but P. quadrilineatus is a small Northwest Pacific member; small SL is not numerically equated to TL.</x:v>
      </x:c>
      <x:c r="C256" s="25" t="str">
        <x:v>https://www.fishbase.se/identification/SpeciesList.php?genus=Pomadasys</x:v>
      </x:c>
      <x:c r="D256" s="1"/>
      <x:c r="E256" s="1"/>
      <x:c r="F256" s="1"/>
      <x:c r="G256" s="1"/>
      <x:c r="H256" s="1"/>
      <x:c r="I256" s="1"/>
      <x:c r="J256" s="1"/>
      <x:c r="K256" s="1"/>
    </x:row>
    <x:row r="257" ht="66" customHeight="1">
      <x:c r="A257" s="16" t="str">
        <x:v>FishBase: Pomadasys quadrilineatus</x:v>
      </x:c>
      <x:c r="B257" s="16" t="str">
        <x:v>Taxa: Pomadasys; Haemulidae. Classification; Environment; Size; Biology. Haemulidae; East Asian shelf/Taiwan; pelagic-neritic, max 12.3 cm SL. Provides a concrete competing-habitat member; SL is not silently converted to TL.</x:v>
      </x:c>
      <x:c r="C257" s="25" t="str">
        <x:v>https://www.fishbase.se/summary/Pomadasys-quadrilineatus.html</x:v>
      </x:c>
      <x:c r="D257" s="1"/>
      <x:c r="E257" s="1"/>
      <x:c r="F257" s="1"/>
      <x:c r="G257" s="1"/>
      <x:c r="H257" s="1"/>
      <x:c r="I257" s="1"/>
      <x:c r="J257" s="1"/>
      <x:c r="K257" s="1"/>
    </x:row>
    <x:row r="258" ht="66" customHeight="1">
      <x:c r="A258" s="16" t="str">
        <x:v>FishBase: Pomadasys argenteus</x:v>
      </x:c>
      <x:c r="B258" s="16" t="str">
        <x:v>Taxa: Pomadasys; Haemulidae; Pomadasys argenteus. Classification; Environment; Size; Biology. Haemulidae; demersal coastal fish, maximum 70 cm TL; common 25 cm TL must not replace maximum.</x:v>
      </x:c>
      <x:c r="C258" s="25" t="str">
        <x:v>https://www.fishbase.se/summary/Pomadasys-argenteus.html</x:v>
      </x:c>
      <x:c r="D258" s="1"/>
      <x:c r="E258" s="1"/>
      <x:c r="F258" s="1"/>
      <x:c r="G258" s="1"/>
      <x:c r="H258" s="1"/>
      <x:c r="I258" s="1"/>
      <x:c r="J258" s="1"/>
      <x:c r="K258" s="1"/>
    </x:row>
    <x:row r="259" ht="66" customHeight="1">
      <x:c r="A259" s="16" t="str">
        <x:v>Uehara et al. (2021), bigeye scad growth study, Fisheries Oceanography Research</x:v>
      </x:c>
      <x:c r="B259" s="16" t="str">
        <x:v>Taxa: Decapterus maruadsi. Comparative Table 3, printed p. 160. Table gives an observed D. maruadsi Lmax of 35.4 cm from Ohshimo et al. (2006), whose growth analysis uses fork length; the underlying observation is cited through this comparison.</x:v>
      </x:c>
      <x:c r="C259" s="25" t="str">
        <x:v>https://www.jstage.jst.go.jp/article/jsfo/85/3/85_153/_pdf</x:v>
      </x:c>
      <x:c r="D259" s="1"/>
      <x:c r="E259" s="1"/>
      <x:c r="F259" s="1"/>
      <x:c r="G259" s="1"/>
      <x:c r="H259" s="1"/>
      <x:c r="I259" s="1"/>
      <x:c r="J259" s="1"/>
      <x:c r="K259" s="1"/>
    </x:row>
    <x:row r="260" ht="66" customHeight="1">
      <x:c r="A260" s="16" t="str">
        <x:v>WoRMS: Sardinops sagax</x:v>
      </x:c>
      <x:c r="B260" s="16" t="str">
        <x:v>Taxa: Sardinops sagax. {"scientificname":"Sardinops sagax","valid_name":"Sardinops sagax","status":"accepted","family":"Alosidae","class":"Teleostei","phylum":"Chordata"}</x:v>
      </x:c>
      <x:c r="C260" s="25" t="str">
        <x:v>https://www.marinespecies.org/aphia.php?p=taxdetails&amp;id=217452</x:v>
      </x:c>
      <x:c r="D260" s="1"/>
      <x:c r="E260" s="1"/>
      <x:c r="F260" s="1"/>
      <x:c r="G260" s="1"/>
      <x:c r="H260" s="1"/>
      <x:c r="I260" s="1"/>
      <x:c r="J260" s="1"/>
      <x:c r="K260" s="1"/>
    </x:row>
    <x:row r="261" ht="66" customHeight="1">
      <x:c r="A261" s="16" t="str">
        <x:v>FishBase: Sardinops sagax</x:v>
      </x:c>
      <x:c r="B261" s="16" t="str">
        <x:v>Taxa: Sardinops sagax. Habitat: Marine;  pelagic-neritic; oceanodromous; first maximum: 39.5 cm SL. Additional biology checked where material.</x:v>
      </x:c>
      <x:c r="C261" s="25" t="str">
        <x:v>https://www.fishbase.se/summary/Sardinops-sagax.html</x:v>
      </x:c>
      <x:c r="D261" s="1"/>
      <x:c r="E261" s="1"/>
      <x:c r="F261" s="1"/>
      <x:c r="G261" s="1"/>
      <x:c r="H261" s="1"/>
      <x:c r="I261" s="1"/>
      <x:c r="J261" s="1"/>
      <x:c r="K261" s="1"/>
    </x:row>
    <x:row r="262" ht="66" customHeight="1">
      <x:c r="A262" s="16" t="str">
        <x:v>WoRMS: Dussumieria acuta</x:v>
      </x:c>
      <x:c r="B262" s="16" t="str">
        <x:v>Taxa: Dussumieria acuta. {"scientificname":"Dussumieria acuta","valid_name":"Dussumieria acuta","status":"accepted","family":"Dussumieriidae","class":"Teleostei","phylum":"Chordata"}</x:v>
      </x:c>
      <x:c r="C262" s="25" t="str">
        <x:v>https://www.marinespecies.org/aphia.php?p=taxdetails&amp;id=126419</x:v>
      </x:c>
      <x:c r="D262" s="1"/>
      <x:c r="E262" s="1"/>
      <x:c r="F262" s="1"/>
      <x:c r="G262" s="1"/>
      <x:c r="H262" s="1"/>
      <x:c r="I262" s="1"/>
      <x:c r="J262" s="1"/>
      <x:c r="K262" s="1"/>
    </x:row>
    <x:row r="263" ht="66" customHeight="1">
      <x:c r="A263" s="16" t="str">
        <x:v>FishBase: Dussumieria acuta</x:v>
      </x:c>
      <x:c r="B263" s="16" t="str">
        <x:v>Taxa: Dussumieria acuta. Habitat: Marine; freshwater; brackish;  pelagic-neritic;; first maximum: 20 cm SL. Additional biology checked where material.</x:v>
      </x:c>
      <x:c r="C263" s="25" t="str">
        <x:v>https://www.fishbase.se/summary/Dussumieria-acuta.html</x:v>
      </x:c>
      <x:c r="D263" s="1"/>
      <x:c r="E263" s="1"/>
      <x:c r="F263" s="1"/>
      <x:c r="G263" s="1"/>
      <x:c r="H263" s="1"/>
      <x:c r="I263" s="1"/>
      <x:c r="J263" s="1"/>
      <x:c r="K263" s="1"/>
    </x:row>
    <x:row r="264" ht="66" customHeight="1">
      <x:c r="A264" s="16" t="str">
        <x:v>WoRMS: Epinephelus maculatus</x:v>
      </x:c>
      <x:c r="B264" s="16" t="str">
        <x:v>Taxa: Epinephelus maculatus. {"scientificname":"Epinephelus maculatus","valid_name":"Epinephelus maculatus","status":"accepted","family":"Epinephelidae","class":"Teleostei","phylum":"Chordata"}</x:v>
      </x:c>
      <x:c r="C264" s="25" t="str">
        <x:v>https://www.marinespecies.org/aphia.php?p=taxdetails&amp;id=273860</x:v>
      </x:c>
      <x:c r="D264" s="1"/>
      <x:c r="E264" s="1"/>
      <x:c r="F264" s="1"/>
      <x:c r="G264" s="1"/>
      <x:c r="H264" s="1"/>
      <x:c r="I264" s="1"/>
      <x:c r="J264" s="1"/>
      <x:c r="K264" s="1"/>
    </x:row>
    <x:row r="265" ht="66" customHeight="1">
      <x:c r="A265" s="16" t="str">
        <x:v>WoRMS: Apogonidae</x:v>
      </x:c>
      <x:c r="B265" s="16" t="str">
        <x:v>Taxa: Apogonidae. {"scientificname":"Apogonidae","valid_name":"Apogonidae","status":"accepted","family":"Apogonidae","class":"Teleostei","phylum":"Chordata"}</x:v>
      </x:c>
      <x:c r="C265" s="25" t="str">
        <x:v>https://www.marinespecies.org/aphia.php?p=taxdetails&amp;id=125518</x:v>
      </x:c>
      <x:c r="D265" s="1"/>
      <x:c r="E265" s="1"/>
      <x:c r="F265" s="1"/>
      <x:c r="G265" s="1"/>
      <x:c r="H265" s="1"/>
      <x:c r="I265" s="1"/>
      <x:c r="J265" s="1"/>
      <x:c r="K265" s="1"/>
    </x:row>
    <x:row r="266" ht="66" customHeight="1">
      <x:c r="A266" s="16" t="str">
        <x:v>FAO WCP guide: Menidae</x:v>
      </x:c>
      <x:c r="B266" s="16" t="str">
        <x:v>Taxa: Menidae; Mene maculata. p.2791. Single living species Mene maculata; maximum 30 cm TL; coastal schooling near-bottom fish.</x:v>
      </x:c>
      <x:c r="C266" s="25" t="str">
        <x:v>https://www.fao.org/docrep/pdf/009/y0770e/y0770e02.pdf</x:v>
      </x:c>
      <x:c r="D266" s="1"/>
      <x:c r="E266" s="1"/>
      <x:c r="F266" s="1"/>
      <x:c r="G266" s="1"/>
      <x:c r="H266" s="1"/>
      <x:c r="I266" s="1"/>
      <x:c r="J266" s="1"/>
      <x:c r="K266" s="1"/>
    </x:row>
    <x:row r="267" ht="66" customHeight="1">
      <x:c r="A267" s="16" t="str">
        <x:v>Fishes of Australia: Mene maculata</x:v>
      </x:c>
      <x:c r="B267" s="16" t="str">
        <x:v>Taxa: Menidae; Mene maculata. Habitat; Size; Distribution. Museum account explicitly includes coastal/pelagic/benthopelagic habitat and maximum size 30 cm.</x:v>
      </x:c>
      <x:c r="C267" s="25" t="str">
        <x:v>https://fishesofaustralia.net.au/home/species/580</x:v>
      </x:c>
      <x:c r="D267" s="1"/>
      <x:c r="E267" s="1"/>
      <x:c r="F267" s="1"/>
      <x:c r="G267" s="1"/>
      <x:c r="H267" s="1"/>
      <x:c r="I267" s="1"/>
      <x:c r="J267" s="1"/>
      <x:c r="K267" s="1"/>
    </x:row>
    <x:row r="268" ht="66" customHeight="1">
      <x:c r="A268" s="16" t="str">
        <x:v>WoRMS: Clupanodon thrissa</x:v>
      </x:c>
      <x:c r="B268" s="16" t="str">
        <x:v>Taxa: Clupanodon thrissa. {"scientificname":"Clupanodon thrissa","valid_name":"Clupanodon thrissa","status":"accepted","family":"Dorosomatidae","class":"Teleostei","phylum":"Chordata"}</x:v>
      </x:c>
      <x:c r="C268" s="25" t="str">
        <x:v>https://www.marinespecies.org/aphia.php?p=taxdetails&amp;id=280223</x:v>
      </x:c>
      <x:c r="D268" s="1"/>
      <x:c r="E268" s="1"/>
      <x:c r="F268" s="1"/>
      <x:c r="G268" s="1"/>
      <x:c r="H268" s="1"/>
      <x:c r="I268" s="1"/>
      <x:c r="J268" s="1"/>
      <x:c r="K268" s="1"/>
    </x:row>
    <x:row r="269" ht="66" customHeight="1">
      <x:c r="A269" s="16" t="str">
        <x:v>FishBase: Clupanodon thrissa</x:v>
      </x:c>
      <x:c r="B269" s="16" t="str">
        <x:v>Taxa: Clupanodon thrissa. Habitat: Marine; freshwater; brackish;  pelagic-neritic; anadromous; first maximum: 26 cm SL. Additional biology checked where material.</x:v>
      </x:c>
      <x:c r="C269" s="25" t="str">
        <x:v>https://www.fishbase.se/summary/Clupanodon-thrissa.html</x:v>
      </x:c>
      <x:c r="D269" s="1"/>
      <x:c r="E269" s="1"/>
      <x:c r="F269" s="1"/>
      <x:c r="G269" s="1"/>
      <x:c r="H269" s="1"/>
      <x:c r="I269" s="1"/>
      <x:c r="J269" s="1"/>
      <x:c r="K269" s="1"/>
    </x:row>
    <x:row r="270" ht="66" customHeight="1">
      <x:c r="A270" s="16" t="str">
        <x:v>WoRMS: Rastrelliger kanagurta</x:v>
      </x:c>
      <x:c r="B270" s="16" t="str">
        <x:v>Taxa: Rastrelliger kanagurta. {"scientificname":"Rastrelliger kanagurta","valid_name":"Rastrelliger kanagurta","status":"accepted","family":"Scombridae","class":"Teleostei","phylum":"Chordata"}</x:v>
      </x:c>
      <x:c r="C270" s="25" t="str">
        <x:v>https://www.marinespecies.org/aphia.php?p=taxdetails&amp;id=127020</x:v>
      </x:c>
      <x:c r="D270" s="1"/>
      <x:c r="E270" s="1"/>
      <x:c r="F270" s="1"/>
      <x:c r="G270" s="1"/>
      <x:c r="H270" s="1"/>
      <x:c r="I270" s="1"/>
      <x:c r="J270" s="1"/>
      <x:c r="K270" s="1"/>
    </x:row>
    <x:row r="271" ht="66" customHeight="1">
      <x:c r="A271" s="16" t="str">
        <x:v>FishBase: Rastrelliger kanagurta</x:v>
      </x:c>
      <x:c r="B271" s="16" t="str">
        <x:v>Taxa: Rastrelliger kanagurta. Pelagic species; first maximum 36 cm has no specified length convention, while the female maximum is explicitly 42.1 cm TL. Biology checked.</x:v>
      </x:c>
      <x:c r="C271" s="25" t="str">
        <x:v>https://www.fishbase.se/summary/Rastrelliger-kanagurta.html</x:v>
      </x:c>
      <x:c r="D271" s="1"/>
      <x:c r="E271" s="1"/>
      <x:c r="F271" s="1"/>
      <x:c r="G271" s="1"/>
      <x:c r="H271" s="1"/>
      <x:c r="I271" s="1"/>
      <x:c r="J271" s="1"/>
      <x:c r="K271" s="1"/>
    </x:row>
    <x:row r="272" ht="66" customHeight="1">
      <x:c r="A272" s="16" t="str">
        <x:v>FishBase: Parastromateus niger</x:v>
      </x:c>
      <x:c r="B272" s="16" t="str">
        <x:v>Taxa: Parastromateus niger. Classification; Environment; Size; Biology. Carangidae, not Stromateidae; maximum 75 cm TL; bottom by day and surface at night support benthopelagic ecology.</x:v>
      </x:c>
      <x:c r="C272" s="25" t="str">
        <x:v>https://www.fishbase.se/summary/Parastromateus-niger.html</x:v>
      </x:c>
      <x:c r="D272" s="1"/>
      <x:c r="E272" s="1"/>
      <x:c r="F272" s="1"/>
      <x:c r="G272" s="1"/>
      <x:c r="H272" s="1"/>
      <x:c r="I272" s="1"/>
      <x:c r="J272" s="1"/>
      <x:c r="K272" s="1"/>
    </x:row>
    <x:row r="273" ht="66" customHeight="1">
      <x:c r="A273" s="16" t="str">
        <x:v>WoRMS: Pennahia argentata</x:v>
      </x:c>
      <x:c r="B273" s="16" t="str">
        <x:v>Taxa: Pennahia argentata. {"scientificname":"Pennahia argentata","valid_name":"Pennahia argentata","status":"accepted","family":"Sciaenidae","class":"Teleostei","phylum":"Chordata"}</x:v>
      </x:c>
      <x:c r="C273" s="25" t="str">
        <x:v>https://www.marinespecies.org/aphia.php?p=taxdetails&amp;id=282196</x:v>
      </x:c>
      <x:c r="D273" s="1"/>
      <x:c r="E273" s="1"/>
      <x:c r="F273" s="1"/>
      <x:c r="G273" s="1"/>
      <x:c r="H273" s="1"/>
      <x:c r="I273" s="1"/>
      <x:c r="J273" s="1"/>
      <x:c r="K273" s="1"/>
    </x:row>
    <x:row r="274" ht="66" customHeight="1">
      <x:c r="A274" s="16" t="str">
        <x:v>Nakamura (1985), FAO Billfishes of the world</x:v>
      </x:c>
      <x:c r="B274" s="16" t="str">
        <x:v>Taxa: Istiophoridae; Makaira mazara; Istiompax indica; Makaira. Makaira indica, M. mazara and M. nigricans, pp. 27–34. Black and blue marlins exceed the model threshold and are epipelagic; black marlin often approaches land.</x:v>
      </x:c>
      <x:c r="C274" s="25" t="str">
        <x:v>https://www.fao.org/docrep/pdf/009/ac480e/ac480e06.pdf</x:v>
      </x:c>
      <x:c r="D274" s="1"/>
      <x:c r="E274" s="1"/>
      <x:c r="F274" s="1"/>
      <x:c r="G274" s="1"/>
      <x:c r="H274" s="1"/>
      <x:c r="I274" s="1"/>
      <x:c r="J274" s="1"/>
      <x:c r="K274" s="1"/>
    </x:row>
    <x:row r="275" ht="66" customHeight="1">
      <x:c r="A275" s="16" t="str">
        <x:v>Nakamura (1985), FAO Billfishes of the world</x:v>
      </x:c>
      <x:c r="B275" s="16" t="str">
        <x:v>Taxa: Istiophoridae; Tetrapturus angustirostris. Tetrapturus angustirostris, p. 39. Shortbill spearfish is a large oceanic pelagic fish rarely occurring near coasts.</x:v>
      </x:c>
      <x:c r="C275" s="25" t="str">
        <x:v>https://www.fao.org/docrep/pdf/009/ac480e/ac480e07.pdf</x:v>
      </x:c>
      <x:c r="D275" s="1"/>
      <x:c r="E275" s="1"/>
      <x:c r="F275" s="1"/>
      <x:c r="G275" s="1"/>
      <x:c r="H275" s="1"/>
      <x:c r="I275" s="1"/>
      <x:c r="J275" s="1"/>
      <x:c r="K275" s="1"/>
    </x:row>
    <x:row r="276" ht="66" customHeight="1">
      <x:c r="A276" s="16" t="str">
        <x:v>WoRMS: Stromateidae</x:v>
      </x:c>
      <x:c r="B276" s="16" t="str">
        <x:v>Taxa: Stromateidae. {"scientificname":"Stromateidae","valid_name":"Stromateidae","status":"accepted","family":"Stromateidae","class":"Teleostei","phylum":"Chordata"}</x:v>
      </x:c>
      <x:c r="C276" s="25" t="str">
        <x:v>https://www.marinespecies.org/aphia.php?p=taxdetails&amp;id=125567</x:v>
      </x:c>
      <x:c r="D276" s="1"/>
      <x:c r="E276" s="1"/>
      <x:c r="F276" s="1"/>
      <x:c r="G276" s="1"/>
      <x:c r="H276" s="1"/>
      <x:c r="I276" s="1"/>
      <x:c r="J276" s="1"/>
      <x:c r="K276" s="1"/>
    </x:row>
    <x:row r="277" ht="66" customHeight="1">
      <x:c r="A277" s="16" t="str">
        <x:v>WoRMS: Lutjanus quinquelineatus</x:v>
      </x:c>
      <x:c r="B277" s="16" t="str">
        <x:v>Taxa: Lutjanus quinquelineatus. {"scientificname":"Lutjanus quinquelineatus","valid_name":"Lutjanus quinquelineatus","status":"accepted","family":"Lutjanidae","class":"Teleostei","phylum":"Chordata"}</x:v>
      </x:c>
      <x:c r="C277" s="25" t="str">
        <x:v>https://www.marinespecies.org/aphia.php?p=taxdetails&amp;id=218497</x:v>
      </x:c>
      <x:c r="D277" s="1"/>
      <x:c r="E277" s="1"/>
      <x:c r="F277" s="1"/>
      <x:c r="G277" s="1"/>
      <x:c r="H277" s="1"/>
      <x:c r="I277" s="1"/>
      <x:c r="J277" s="1"/>
      <x:c r="K277" s="1"/>
    </x:row>
    <x:row r="278" ht="66" customHeight="1">
      <x:c r="A278" s="16" t="str">
        <x:v>WoRMS: Lutjanidae</x:v>
      </x:c>
      <x:c r="B278" s="16" t="str">
        <x:v>Taxa: Lutjanidae. {"scientificname":"Lutjanidae","valid_name":"Lutjanidae","status":"accepted","family":"Lutjanidae","class":"Teleostei","phylum":"Chordata"}</x:v>
      </x:c>
      <x:c r="C278" s="25" t="str">
        <x:v>https://www.marinespecies.org/aphia.php?p=taxdetails&amp;id=151453</x:v>
      </x:c>
      <x:c r="D278" s="1"/>
      <x:c r="E278" s="1"/>
      <x:c r="F278" s="1"/>
      <x:c r="G278" s="1"/>
      <x:c r="H278" s="1"/>
      <x:c r="I278" s="1"/>
      <x:c r="J278" s="1"/>
      <x:c r="K278" s="1"/>
    </x:row>
    <x:row r="279" ht="66" customHeight="1">
      <x:c r="A279" s="16" t="str">
        <x:v>WoRMS: Upeneus moluccensis</x:v>
      </x:c>
      <x:c r="B279" s="16" t="str">
        <x:v>Taxa: Upeneus moluccensis. {"scientificname":"Upeneus moluccensis","valid_name":"Upeneus moluccensis","status":"accepted","family":"Mullidae","class":"Teleostei","phylum":"Chordata"}</x:v>
      </x:c>
      <x:c r="C279" s="25" t="str">
        <x:v>https://www.marinespecies.org/aphia.php?p=taxdetails&amp;id=126989</x:v>
      </x:c>
      <x:c r="D279" s="1"/>
      <x:c r="E279" s="1"/>
      <x:c r="F279" s="1"/>
      <x:c r="G279" s="1"/>
      <x:c r="H279" s="1"/>
      <x:c r="I279" s="1"/>
      <x:c r="J279" s="1"/>
      <x:c r="K279" s="1"/>
    </x:row>
    <x:row r="280" ht="66" customHeight="1">
      <x:c r="A280" s="16" t="str">
        <x:v>FishBase: Canthigaster rivulata</x:v>
      </x:c>
      <x:c r="B280" s="16" t="str">
        <x:v>Taxa: Tetraodontidae. Classification; Environment; Size; Biology. Tetraodontidae; maximum 18 cm TL; reef/benthopelagic habitat in Indo-Pacific.</x:v>
      </x:c>
      <x:c r="C280" s="25" t="str">
        <x:v>https://www.fishbase.se/summary/Canthigaster-rivulata.html</x:v>
      </x:c>
      <x:c r="D280" s="1"/>
      <x:c r="E280" s="1"/>
      <x:c r="F280" s="1"/>
      <x:c r="G280" s="1"/>
      <x:c r="H280" s="1"/>
      <x:c r="I280" s="1"/>
      <x:c r="J280" s="1"/>
      <x:c r="K280" s="1"/>
    </x:row>
    <x:row r="281" ht="66" customHeight="1">
      <x:c r="A281" s="16" t="str">
        <x:v>FishBase: Mugil cephalus</x:v>
      </x:c>
      <x:c r="B281" s="16" t="str">
        <x:v>Taxa: Mugilidae; Mugil cephalus; Mugil. Classification; Environment; Size; Biology. Mugilidae; benthopelagic, maximum 100 cm SL, schooling coastal sand/mud habitat; historical species complex cautions name transfer.</x:v>
      </x:c>
      <x:c r="C281" s="25" t="str">
        <x:v>https://www.fishbase.se/summary/Mugil-cephalus.html</x:v>
      </x:c>
      <x:c r="D281" s="1"/>
      <x:c r="E281" s="1"/>
      <x:c r="F281" s="1"/>
      <x:c r="G281" s="1"/>
      <x:c r="H281" s="1"/>
      <x:c r="I281" s="1"/>
      <x:c r="J281" s="1"/>
      <x:c r="K281" s="1"/>
    </x:row>
    <x:row r="282" ht="66" customHeight="1">
      <x:c r="A282" s="16" t="str">
        <x:v>FishBase: Planiliza haematocheilus</x:v>
      </x:c>
      <x:c r="B282" s="16" t="str">
        <x:v>Taxa: Mugilidae; Planiliza haematocheilus. Classification; Environment; Size; Biology. Maximum 80 cm TL; coastal/estuarine pelagic-neritic classification competes with current exclusively demersal assignment.</x:v>
      </x:c>
      <x:c r="C282" s="25" t="str">
        <x:v>https://www.fishbase.se/summary/Planiliza-haematocheilus.html</x:v>
      </x:c>
      <x:c r="D282" s="1"/>
      <x:c r="E282" s="1"/>
      <x:c r="F282" s="1"/>
      <x:c r="G282" s="1"/>
      <x:c r="H282" s="1"/>
      <x:c r="I282" s="1"/>
      <x:c r="J282" s="1"/>
      <x:c r="K282" s="1"/>
    </x:row>
    <x:row r="283" ht="66" customHeight="1">
      <x:c r="A283" s="16" t="str">
        <x:v>FishBase: Sorsogona tuberculata</x:v>
      </x:c>
      <x:c r="B283" s="16" t="str">
        <x:v>Taxa: Platycephalidae. Classification; Environment; Size; Biology. Platycephalidae; maximum 14.5 cm TL, bottom-associated Western Pacific fish.</x:v>
      </x:c>
      <x:c r="C283" s="25" t="str">
        <x:v>https://www.fishbase.se/summary/10310</x:v>
      </x:c>
      <x:c r="D283" s="1"/>
      <x:c r="E283" s="1"/>
      <x:c r="F283" s="1"/>
      <x:c r="G283" s="1"/>
      <x:c r="H283" s="1"/>
      <x:c r="I283" s="1"/>
      <x:c r="J283" s="1"/>
      <x:c r="K283" s="1"/>
    </x:row>
    <x:row r="284" ht="66" customHeight="1">
      <x:c r="A284" s="16" t="str">
        <x:v>FishBase: Platycephalus indicus</x:v>
      </x:c>
      <x:c r="B284" s="16" t="str">
        <x:v>Taxa: Platycephalidae; Platycephalus indicus. Classification; Environment; Size; Biology. Platycephalidae; maximum 100 cm TL; sandy/muddy bottoms and estuaries despite broad reef-associated label.</x:v>
      </x:c>
      <x:c r="C284" s="25" t="str">
        <x:v>https://www.fishbase.se/summary/Platycephalus-indicus.html</x:v>
      </x:c>
      <x:c r="D284" s="1"/>
      <x:c r="E284" s="1"/>
      <x:c r="F284" s="1"/>
      <x:c r="G284" s="1"/>
      <x:c r="H284" s="1"/>
      <x:c r="I284" s="1"/>
      <x:c r="J284" s="1"/>
      <x:c r="K284" s="1"/>
    </x:row>
    <x:row r="285" ht="66" customHeight="1">
      <x:c r="A285" s="16" t="str">
        <x:v>FishBase: Pseudorhombus pentophthalmus</x:v>
      </x:c>
      <x:c r="B285" s="16" t="str">
        <x:v>Taxa: Paralichthyidae; Pleuronectiformes. Classification; Size; Biology. Paralichthyidae, demersal mud/sand shelf; maximum 26.8 cm TL.</x:v>
      </x:c>
      <x:c r="C285" s="25" t="str">
        <x:v>https://www.fishbase.se/summary/Pseudorhombus-pentophthalmus.html</x:v>
      </x:c>
      <x:c r="D285" s="1"/>
      <x:c r="E285" s="1"/>
      <x:c r="F285" s="1"/>
      <x:c r="G285" s="1"/>
      <x:c r="H285" s="1"/>
      <x:c r="I285" s="1"/>
      <x:c r="J285" s="1"/>
      <x:c r="K285" s="1"/>
    </x:row>
    <x:row r="286" ht="66" customHeight="1">
      <x:c r="A286" s="16" t="str">
        <x:v>WoRMS: Trachurus japonicus</x:v>
      </x:c>
      <x:c r="B286" s="16" t="str">
        <x:v>Taxa: Trachurus japonicus. {"scientificname":"Trachurus japonicus","valid_name":"Trachurus japonicus","status":"accepted","family":"Carangidae","class":"Teleostei","phylum":"Chordata"}</x:v>
      </x:c>
      <x:c r="C286" s="25" t="str">
        <x:v>https://www.marinespecies.org/aphia.php?p=taxdetails&amp;id=273302</x:v>
      </x:c>
      <x:c r="D286" s="1"/>
      <x:c r="E286" s="1"/>
      <x:c r="F286" s="1"/>
      <x:c r="G286" s="1"/>
      <x:c r="H286" s="1"/>
      <x:c r="I286" s="1"/>
      <x:c r="J286" s="1"/>
      <x:c r="K286" s="1"/>
    </x:row>
    <x:row r="287" ht="66" customHeight="1">
      <x:c r="A287" s="16" t="str">
        <x:v>FishBase: Trachurus japonicus</x:v>
      </x:c>
      <x:c r="B287" s="16" t="str">
        <x:v>Taxa: Trachurus japonicus. Habitat: Marine;  pelagic-neritic; oceanodromous; first maximum: 50 cm TL. Additional biology checked where material.</x:v>
      </x:c>
      <x:c r="C287" s="25" t="str">
        <x:v>https://www.fishbase.se/summary/Trachurus-japonicus.html</x:v>
      </x:c>
      <x:c r="D287" s="1"/>
      <x:c r="E287" s="1"/>
      <x:c r="F287" s="1"/>
      <x:c r="G287" s="1"/>
      <x:c r="H287" s="1"/>
      <x:c r="I287" s="1"/>
      <x:c r="J287" s="1"/>
      <x:c r="K287" s="1"/>
    </x:row>
    <x:row r="288" ht="66" customHeight="1">
      <x:c r="A288" s="16" t="str">
        <x:v>WoRMS: Penaeus indicus</x:v>
      </x:c>
      <x:c r="B288" s="16" t="str">
        <x:v>Taxa: Penaeus indicus. {"scientificname":"Penaeus indicus","valid_name":"Penaeus (Fenneropenaeus) indicus","status":"superseded combination","family":"Penaeidae","class":"Malacostraca","phylum":"Arthropoda"}</x:v>
      </x:c>
      <x:c r="C288" s="25" t="str">
        <x:v>https://www.marinespecies.org/aphia.php?p=taxdetails&amp;id=210375</x:v>
      </x:c>
      <x:c r="D288" s="1"/>
      <x:c r="E288" s="1"/>
      <x:c r="F288" s="1"/>
      <x:c r="G288" s="1"/>
      <x:c r="H288" s="1"/>
      <x:c r="I288" s="1"/>
      <x:c r="J288" s="1"/>
      <x:c r="K288" s="1"/>
    </x:row>
    <x:row r="289" ht="66" customHeight="1">
      <x:c r="A289" s="16" t="str">
        <x:v>WoRMS: Alopias</x:v>
      </x:c>
      <x:c r="B289" s="16" t="str">
        <x:v>Taxa: Alopias. {"scientificname":"Alopias","valid_name":"Alopias","status":"accepted","family":"Alopiidae","class":"Elasmobranchii","phylum":"Chordata"}</x:v>
      </x:c>
      <x:c r="C289" s="25" t="str">
        <x:v>https://www.marinespecies.org/aphia.php?p=taxdetails&amp;id=105740</x:v>
      </x:c>
      <x:c r="D289" s="1"/>
      <x:c r="E289" s="1"/>
      <x:c r="F289" s="1"/>
      <x:c r="G289" s="1"/>
      <x:c r="H289" s="1"/>
      <x:c r="I289" s="1"/>
      <x:c r="J289" s="1"/>
      <x:c r="K289" s="1"/>
    </x:row>
    <x:row r="290" ht="66" customHeight="1">
      <x:c r="A290" s="16" t="str">
        <x:v>FishBase Alopias inventory</x:v>
      </x:c>
      <x:c r="B290" s="16" t="str">
        <x:v>Taxa: Alopias. Genus composition and reported length metrics reviewed.</x:v>
      </x:c>
      <x:c r="C290" s="25" t="str">
        <x:v>https://www.fishbase.se/identification/SpeciesList.php?genus=Alopias</x:v>
      </x:c>
      <x:c r="D290" s="1"/>
      <x:c r="E290" s="1"/>
      <x:c r="F290" s="1"/>
      <x:c r="G290" s="1"/>
      <x:c r="H290" s="1"/>
      <x:c r="I290" s="1"/>
      <x:c r="J290" s="1"/>
      <x:c r="K290" s="1"/>
    </x:row>
    <x:row r="291" ht="66" customHeight="1">
      <x:c r="A291" s="16" t="str">
        <x:v>FishBase: Alopias superciliosus</x:v>
      </x:c>
      <x:c r="B291" s="16" t="str">
        <x:v>Taxa: Alopias. Species-level boundary evidence described in the rationale.</x:v>
      </x:c>
      <x:c r="C291" s="25" t="str">
        <x:v>https://www.fishbase.se/summary/Alopias-superciliosus.html</x:v>
      </x:c>
      <x:c r="D291" s="1"/>
      <x:c r="E291" s="1"/>
      <x:c r="F291" s="1"/>
      <x:c r="G291" s="1"/>
      <x:c r="H291" s="1"/>
      <x:c r="I291" s="1"/>
      <x:c r="J291" s="1"/>
      <x:c r="K291" s="1"/>
    </x:row>
    <x:row r="292" ht="66" customHeight="1">
      <x:c r="A292" s="16" t="str">
        <x:v>FishBase: Alopias pelagicus</x:v>
      </x:c>
      <x:c r="B292" s="16" t="str">
        <x:v>Taxa: Alopias. Species-level boundary evidence described in the rationale.</x:v>
      </x:c>
      <x:c r="C292" s="25" t="str">
        <x:v>https://www.fishbase.se/summary/Alopias-pelagicus.html</x:v>
      </x:c>
      <x:c r="D292" s="1"/>
      <x:c r="E292" s="1"/>
      <x:c r="F292" s="1"/>
      <x:c r="G292" s="1"/>
      <x:c r="H292" s="1"/>
      <x:c r="I292" s="1"/>
      <x:c r="J292" s="1"/>
      <x:c r="K292" s="1"/>
    </x:row>
    <x:row r="293" ht="66" customHeight="1">
      <x:c r="A293" s="16" t="str">
        <x:v>FishBase: Alopias vulpinus</x:v>
      </x:c>
      <x:c r="B293" s="16" t="str">
        <x:v>Taxa: Alopias. Species-level boundary evidence described in the rationale.</x:v>
      </x:c>
      <x:c r="C293" s="25" t="str">
        <x:v>https://www.fishbase.se/summary/Alopias-vulpinus.html</x:v>
      </x:c>
      <x:c r="D293" s="1"/>
      <x:c r="E293" s="1"/>
      <x:c r="F293" s="1"/>
      <x:c r="G293" s="1"/>
      <x:c r="H293" s="1"/>
      <x:c r="I293" s="1"/>
      <x:c r="J293" s="1"/>
      <x:c r="K293" s="1"/>
    </x:row>
    <x:row r="294" ht="66" customHeight="1">
      <x:c r="A294" s="16" t="str">
        <x:v>WoRMS: Seriola dumerili</x:v>
      </x:c>
      <x:c r="B294" s="16" t="str">
        <x:v>Taxa: Seriola dumerili. {"scientificname":"Seriola dumerili","valid_name":"Seriola dumerili","status":"accepted","family":"Carangidae","class":"Teleostei","phylum":"Chordata"}</x:v>
      </x:c>
      <x:c r="C294" s="25" t="str">
        <x:v>https://www.marinespecies.org/aphia.php?p=taxdetails&amp;id=126816</x:v>
      </x:c>
      <x:c r="D294" s="1"/>
      <x:c r="E294" s="1"/>
      <x:c r="F294" s="1"/>
      <x:c r="G294" s="1"/>
      <x:c r="H294" s="1"/>
      <x:c r="I294" s="1"/>
      <x:c r="J294" s="1"/>
      <x:c r="K294" s="1"/>
    </x:row>
    <x:row r="295" ht="66" customHeight="1">
      <x:c r="A295" s="16" t="str">
        <x:v>FishBase: Seriola dumerili</x:v>
      </x:c>
      <x:c r="B295" s="16" t="str">
        <x:v>Taxa: Seriola dumerili. Habitat: Marine;  reef-associated; oceanodromous; first maximum: 190 cm TL. Additional biology checked where material.</x:v>
      </x:c>
      <x:c r="C295" s="25" t="str">
        <x:v>https://www.fishbase.se/summary/Seriola-dumerili.html</x:v>
      </x:c>
      <x:c r="D295" s="1"/>
      <x:c r="E295" s="1"/>
      <x:c r="F295" s="1"/>
      <x:c r="G295" s="1"/>
      <x:c r="H295" s="1"/>
      <x:c r="I295" s="1"/>
      <x:c r="J295" s="1"/>
      <x:c r="K295" s="1"/>
    </x:row>
    <x:row r="296" ht="66" customHeight="1">
      <x:c r="A296" s="16" t="str">
        <x:v>WoRMS: Sardinella lemuru</x:v>
      </x:c>
      <x:c r="B296" s="16" t="str">
        <x:v>Taxa: Sardinella lemuru. {"scientificname":"Sardinella lemuru","valid_name":"Sardinella lemuru","status":"accepted","family":"Dorosomatidae","class":"Teleostei","phylum":"Chordata"}</x:v>
      </x:c>
      <x:c r="C296" s="25" t="str">
        <x:v>https://www.marinespecies.org/aphia.php?p=taxdetails&amp;id=272273</x:v>
      </x:c>
      <x:c r="D296" s="1"/>
      <x:c r="E296" s="1"/>
      <x:c r="F296" s="1"/>
      <x:c r="G296" s="1"/>
      <x:c r="H296" s="1"/>
      <x:c r="I296" s="1"/>
      <x:c r="J296" s="1"/>
      <x:c r="K296" s="1"/>
    </x:row>
    <x:row r="297" ht="66" customHeight="1">
      <x:c r="A297" s="16" t="str">
        <x:v>FishBase: Sardinella lemuru</x:v>
      </x:c>
      <x:c r="B297" s="16" t="str">
        <x:v>Taxa: Sardinella lemuru. Habitat: Marine;  pelagic-neritic; oceanodromous; first maximum: 23 cm SL. Additional biology checked where material.</x:v>
      </x:c>
      <x:c r="C297" s="25" t="str">
        <x:v>https://www.fishbase.se/summary/Sardinella-lemuru.html</x:v>
      </x:c>
      <x:c r="D297" s="1"/>
      <x:c r="E297" s="1"/>
      <x:c r="F297" s="1"/>
      <x:c r="G297" s="1"/>
      <x:c r="H297" s="1"/>
      <x:c r="I297" s="1"/>
      <x:c r="J297" s="1"/>
      <x:c r="K297" s="1"/>
    </x:row>
    <x:row r="298" ht="66" customHeight="1">
      <x:c r="A298" s="16" t="str">
        <x:v>WoRMS: Cypselurus poecilopterus</x:v>
      </x:c>
      <x:c r="B298" s="16" t="str">
        <x:v>Taxa: Cypselurus poecilopterus. {"scientificname":"Cypselurus poecilopterus","valid_name":"Cypselurus poecilopterus","status":"accepted","family":"Exocoetidae","class":"Teleostei","phylum":"Chordata"}</x:v>
      </x:c>
      <x:c r="C298" s="25" t="str">
        <x:v>https://www.marinespecies.org/aphia.php?p=taxdetails&amp;id=217864</x:v>
      </x:c>
      <x:c r="D298" s="1"/>
      <x:c r="E298" s="1"/>
      <x:c r="F298" s="1"/>
      <x:c r="G298" s="1"/>
      <x:c r="H298" s="1"/>
      <x:c r="I298" s="1"/>
      <x:c r="J298" s="1"/>
      <x:c r="K298" s="1"/>
    </x:row>
    <x:row r="299" ht="66" customHeight="1">
      <x:c r="A299" s="16" t="str">
        <x:v>FishBase: Cypselurus poecilopterus</x:v>
      </x:c>
      <x:c r="B299" s="16" t="str">
        <x:v>Taxa: Cypselurus poecilopterus. Habitat: Marine;  pelagic-neritic; oceanodromous; first maximum: 27 cm TL. Additional biology checked where material.</x:v>
      </x:c>
      <x:c r="C299" s="25" t="str">
        <x:v>https://www.fishbase.se/summary/Cypselurus-poecilopterus.html</x:v>
      </x:c>
      <x:c r="D299" s="1"/>
      <x:c r="E299" s="1"/>
      <x:c r="F299" s="1"/>
      <x:c r="G299" s="1"/>
      <x:c r="H299" s="1"/>
      <x:c r="I299" s="1"/>
      <x:c r="J299" s="1"/>
      <x:c r="K299" s="1"/>
    </x:row>
    <x:row r="300" ht="66" customHeight="1">
      <x:c r="A300" s="16" t="str">
        <x:v>WoRMS: Penaeus chinensis</x:v>
      </x:c>
      <x:c r="B300" s="16" t="str">
        <x:v>Taxa: Penaeus chinensis. {"scientificname":"Penaeus chinensis","valid_name":"Penaeus (Fenneropenaeus) chinensis","status":"superseded combination","family":"Penaeidae","class":"Malacostraca","phylum":"Arthropoda"}</x:v>
      </x:c>
      <x:c r="C300" s="25" t="str">
        <x:v>https://www.marinespecies.org/aphia.php?p=taxdetails&amp;id=762806</x:v>
      </x:c>
      <x:c r="D300" s="1"/>
      <x:c r="E300" s="1"/>
      <x:c r="F300" s="1"/>
      <x:c r="G300" s="1"/>
      <x:c r="H300" s="1"/>
      <x:c r="I300" s="1"/>
      <x:c r="J300" s="1"/>
      <x:c r="K300" s="1"/>
    </x:row>
    <x:row r="301" ht="66" customHeight="1">
      <x:c r="A301" s="16" t="str">
        <x:v>WoRMS: Charybdis</x:v>
      </x:c>
      <x:c r="B301" s="16" t="str">
        <x:v>Taxa: Charybdis. {"scientificname":"Charybdis","valid_name":"Charybdis","status":"accepted","family":"Portunidae","class":"Malacostraca","phylum":"Arthropoda"}</x:v>
      </x:c>
      <x:c r="C301" s="25" t="str">
        <x:v>https://www.marinespecies.org/aphia.php?p=taxdetails&amp;id=106923</x:v>
      </x:c>
      <x:c r="D301" s="1"/>
      <x:c r="E301" s="1"/>
      <x:c r="F301" s="1"/>
      <x:c r="G301" s="1"/>
      <x:c r="H301" s="1"/>
      <x:c r="I301" s="1"/>
      <x:c r="J301" s="1"/>
      <x:c r="K301" s="1"/>
    </x:row>
    <x:row r="302" ht="66" customHeight="1">
      <x:c r="A302" s="16" t="str">
        <x:v>FishBase: Terapon species list</x:v>
      </x:c>
      <x:c r="B302" s="16" t="str">
        <x:v>Taxa: Terapon; Terapontidae. Species length table. T. puta maximum 30 cm TL, T. jarbua 36 cm TL and T. theraps 30 cm SL; a single large-species set is incomplete.</x:v>
      </x:c>
      <x:c r="C302" s="25" t="str">
        <x:v>https://www.fishbase.se/identification/SpeciesList.php?genus=Terapon</x:v>
      </x:c>
      <x:c r="D302" s="1"/>
      <x:c r="E302" s="1"/>
      <x:c r="F302" s="1"/>
      <x:c r="G302" s="1"/>
      <x:c r="H302" s="1"/>
      <x:c r="I302" s="1"/>
      <x:c r="J302" s="1"/>
      <x:c r="K302" s="1"/>
    </x:row>
    <x:row r="303" ht="66" customHeight="1">
      <x:c r="A303" s="16" t="str">
        <x:v>WoRMS: Gastropoda</x:v>
      </x:c>
      <x:c r="B303" s="16" t="str">
        <x:v>Taxa: Gastropoda. {"scientificname":"Gastropoda","valid_name":"Gastropoda","status":"accepted","family":null,"class":"Gastropoda","phylum":"Mollusca"}</x:v>
      </x:c>
      <x:c r="C303" s="25" t="str">
        <x:v>https://www.marinespecies.org/aphia.php?p=taxdetails&amp;id=101</x:v>
      </x:c>
      <x:c r="D303" s="1"/>
      <x:c r="E303" s="1"/>
      <x:c r="F303" s="1"/>
      <x:c r="G303" s="1"/>
      <x:c r="H303" s="1"/>
      <x:c r="I303" s="1"/>
      <x:c r="J303" s="1"/>
      <x:c r="K303" s="1"/>
    </x:row>
    <x:row r="304" ht="66" customHeight="1">
      <x:c r="A304" s="16" t="str">
        <x:v>FishBase: Chelidonichthys kumu</x:v>
      </x:c>
      <x:c r="B304" s="16" t="str">
        <x:v>Taxa: Chelidonichthys kumu. Classification; Environment; Size; Biology. Triglidae; demersal sand/shell shelf species reaching 60 cm TL.</x:v>
      </x:c>
      <x:c r="C304" s="25" t="str">
        <x:v>https://www.fishbase.se/summary/Chelidonichthys-kumu.html</x:v>
      </x:c>
      <x:c r="D304" s="1"/>
      <x:c r="E304" s="1"/>
      <x:c r="F304" s="1"/>
      <x:c r="G304" s="1"/>
      <x:c r="H304" s="1"/>
      <x:c r="I304" s="1"/>
      <x:c r="J304" s="1"/>
      <x:c r="K304" s="1"/>
    </x:row>
    <x:row r="305" ht="66" customHeight="1">
      <x:c r="A305" s="16" t="str">
        <x:v>WoRMS: Sardinella fimbriata</x:v>
      </x:c>
      <x:c r="B305" s="16" t="str">
        <x:v>Taxa: Sardinella fimbriata. {"scientificname":"Sardinella fimbriata","valid_name":"Sardinella fimbriata","status":"accepted","family":"Dorosomatidae","class":"Teleostei","phylum":"Chordata"}</x:v>
      </x:c>
      <x:c r="C305" s="25" t="str">
        <x:v>https://www.marinespecies.org/aphia.php?p=taxdetails&amp;id=272269</x:v>
      </x:c>
      <x:c r="D305" s="1"/>
      <x:c r="E305" s="1"/>
      <x:c r="F305" s="1"/>
      <x:c r="G305" s="1"/>
      <x:c r="H305" s="1"/>
      <x:c r="I305" s="1"/>
      <x:c r="J305" s="1"/>
      <x:c r="K305" s="1"/>
    </x:row>
    <x:row r="306" ht="66" customHeight="1">
      <x:c r="A306" s="16" t="str">
        <x:v>FishBase: Sardinella fimbriata</x:v>
      </x:c>
      <x:c r="B306" s="16" t="str">
        <x:v>Taxa: Sardinella fimbriata. Habitat: Marine; brackish;  pelagic-neritic;; first maximum: 19 cm TL. Additional biology checked where material.</x:v>
      </x:c>
      <x:c r="C306" s="25" t="str">
        <x:v>https://www.fishbase.se/summary/Sardinella-fimbriata.html</x:v>
      </x:c>
      <x:c r="D306" s="1"/>
      <x:c r="E306" s="1"/>
      <x:c r="F306" s="1"/>
      <x:c r="G306" s="1"/>
      <x:c r="H306" s="1"/>
      <x:c r="I306" s="1"/>
      <x:c r="J306" s="1"/>
      <x:c r="K306" s="1"/>
    </x:row>
    <x:row r="307" ht="66" customHeight="1">
      <x:c r="A307" s="16" t="str">
        <x:v>WoRMS: Psenopsis anomala</x:v>
      </x:c>
      <x:c r="B307" s="16" t="str">
        <x:v>Taxa: Psenopsis anomala. {"scientificname":"Psenopsis anomala","valid_name":"Psenopsis anomala","status":"accepted","family":"Centrolophidae","class":"Teleostei","phylum":"Chordata"}</x:v>
      </x:c>
      <x:c r="C307" s="25" t="str">
        <x:v>https://www.marinespecies.org/aphia.php?p=taxdetails&amp;id=277902</x:v>
      </x:c>
      <x:c r="D307" s="1"/>
      <x:c r="E307" s="1"/>
      <x:c r="F307" s="1"/>
      <x:c r="G307" s="1"/>
      <x:c r="H307" s="1"/>
      <x:c r="I307" s="1"/>
      <x:c r="J307" s="1"/>
      <x:c r="K307" s="1"/>
    </x:row>
    <x:row r="308" ht="66" customHeight="1">
      <x:c r="A308" s="16" t="str">
        <x:v>FishBase: Plotosus species list</x:v>
      </x:c>
      <x:c r="B308" s="16" t="str">
        <x:v>Taxa: Plotosus; Plotosidae. Species length/distribution table. Western Pacific P. nhatrangensis maximum 24.3 cm TL versus P. lineatus 35.2 cm TL and P. canius 111.1 cm TL.</x:v>
      </x:c>
      <x:c r="C308" s="25" t="str">
        <x:v>https://www.fishbase.se/identification/SpeciesList.php?genus=Plotosus</x:v>
      </x:c>
      <x:c r="D308" s="1"/>
      <x:c r="E308" s="1"/>
      <x:c r="F308" s="1"/>
      <x:c r="G308" s="1"/>
      <x:c r="H308" s="1"/>
      <x:c r="I308" s="1"/>
      <x:c r="J308" s="1"/>
      <x:c r="K308" s="1"/>
    </x:row>
    <x:row r="309" ht="66" customHeight="1">
      <x:c r="A309" s="16" t="str">
        <x:v>FishBase: Plotosus nhatrangensis, citing Prokofiev (2008)</x:v>
      </x:c>
      <x:c r="B309" s="16" t="str">
        <x:v>Taxa: Plotosus; Plotosidae. Size; Distribution; Main reference, Journal of Ichthyology 48(8):671–675. Maximum 24.3 cm TL; Vietnam. Original description is from Nha Trang Bay, South China Sea, establishing regional relevance.</x:v>
      </x:c>
      <x:c r="C309" s="25" t="str">
        <x:v>https://fishbase.se/summary/65357</x:v>
      </x:c>
      <x:c r="D309" s="1"/>
      <x:c r="E309" s="1"/>
      <x:c r="F309" s="1"/>
      <x:c r="G309" s="1"/>
      <x:c r="H309" s="1"/>
      <x:c r="I309" s="1"/>
      <x:c r="J309" s="1"/>
      <x:c r="K309" s="1"/>
    </x:row>
    <x:row r="310" ht="66" customHeight="1">
      <x:c r="A310" s="16" t="str">
        <x:v>WoRMS: Scomber australasicus</x:v>
      </x:c>
      <x:c r="B310" s="16" t="str">
        <x:v>Taxa: Scomber australasicus. {"scientificname":"Scomber australasicus","valid_name":"Scomber australasicus","status":"accepted","family":"Scombridae","class":"Teleostei","phylum":"Chordata"}</x:v>
      </x:c>
      <x:c r="C310" s="25" t="str">
        <x:v>https://www.marinespecies.org/aphia.php?p=taxdetails&amp;id=219715</x:v>
      </x:c>
      <x:c r="D310" s="1"/>
      <x:c r="E310" s="1"/>
      <x:c r="F310" s="1"/>
      <x:c r="G310" s="1"/>
      <x:c r="H310" s="1"/>
      <x:c r="I310" s="1"/>
      <x:c r="J310" s="1"/>
      <x:c r="K310" s="1"/>
    </x:row>
    <x:row r="311" ht="66" customHeight="1">
      <x:c r="A311" s="16" t="str">
        <x:v>FishBase: Scomber australasicus</x:v>
      </x:c>
      <x:c r="B311" s="16" t="str">
        <x:v>Taxa: Scomber australasicus. Habitat: Marine;  pelagic-neritic; oceanodromous; first maximum: 50.2 cm SL. Additional biology checked where material.</x:v>
      </x:c>
      <x:c r="C311" s="25" t="str">
        <x:v>https://www.fishbase.se/summary/Scomber-australasicus.html</x:v>
      </x:c>
      <x:c r="D311" s="1"/>
      <x:c r="E311" s="1"/>
      <x:c r="F311" s="1"/>
      <x:c r="G311" s="1"/>
      <x:c r="H311" s="1"/>
      <x:c r="I311" s="1"/>
      <x:c r="J311" s="1"/>
      <x:c r="K311" s="1"/>
    </x:row>
    <x:row r="312" ht="66" customHeight="1">
      <x:c r="A312" s="16" t="str">
        <x:v>WoRMS: Clupeiformes</x:v>
      </x:c>
      <x:c r="B312" s="16" t="str">
        <x:v>Taxa: Clupeiformes. {"scientificname":"Clupeiformes","valid_name":"Clupeiformes","status":"accepted","family":null,"class":"Teleostei","phylum":"Chordata"}</x:v>
      </x:c>
      <x:c r="C312" s="25" t="str">
        <x:v>https://www.marinespecies.org/aphia.php?p=taxdetails&amp;id=10297</x:v>
      </x:c>
      <x:c r="D312" s="1"/>
      <x:c r="E312" s="1"/>
      <x:c r="F312" s="1"/>
      <x:c r="G312" s="1"/>
      <x:c r="H312" s="1"/>
      <x:c r="I312" s="1"/>
      <x:c r="J312" s="1"/>
      <x:c r="K312" s="1"/>
    </x:row>
    <x:row r="313" ht="66" customHeight="1">
      <x:c r="A313" s="16" t="str">
        <x:v>WoRMS: Mollusca</x:v>
      </x:c>
      <x:c r="B313" s="16" t="str">
        <x:v>Taxa: Mollusca. {"scientificname":"Mollusca","valid_name":"Mollusca","status":"accepted","family":null,"class":null,"phylum":"Mollusca"}</x:v>
      </x:c>
      <x:c r="C313" s="25" t="str">
        <x:v>https://www.marinespecies.org/aphia.php?p=taxdetails&amp;id=51</x:v>
      </x:c>
      <x:c r="D313" s="1"/>
      <x:c r="E313" s="1"/>
      <x:c r="F313" s="1"/>
      <x:c r="G313" s="1"/>
      <x:c r="H313" s="1"/>
      <x:c r="I313" s="1"/>
      <x:c r="J313" s="1"/>
      <x:c r="K313" s="1"/>
    </x:row>
    <x:row r="314" ht="66" customHeight="1">
      <x:c r="A314" s="16" t="str">
        <x:v>WoRMS: Lactarius lactarius</x:v>
      </x:c>
      <x:c r="B314" s="16" t="str">
        <x:v>Taxa: Lactarius lactarius. {"scientificname":"Lactarius lactarius","valid_name":"Lactarius lactarius","status":"accepted","family":"Lactariidae","class":"Teleostei","phylum":"Chordata"}</x:v>
      </x:c>
      <x:c r="C314" s="25" t="str">
        <x:v>https://www.marinespecies.org/aphia.php?p=taxdetails&amp;id=218381</x:v>
      </x:c>
      <x:c r="D314" s="1"/>
      <x:c r="E314" s="1"/>
      <x:c r="F314" s="1"/>
      <x:c r="G314" s="1"/>
      <x:c r="H314" s="1"/>
      <x:c r="I314" s="1"/>
      <x:c r="J314" s="1"/>
      <x:c r="K314" s="1"/>
    </x:row>
    <x:row r="315" ht="66" customHeight="1">
      <x:c r="A315" s="16" t="str">
        <x:v>FishBase: Lactarius lactarius</x:v>
      </x:c>
      <x:c r="B315" s="16" t="str">
        <x:v>Taxa: Lactarius lactarius. Habitat: Marine; brackish;  pelagic-neritic;; first maximum: 40 cm TL. Additional biology checked where material.</x:v>
      </x:c>
      <x:c r="C315" s="25" t="str">
        <x:v>https://www.fishbase.se/summary/Lactarius-lactarius.html</x:v>
      </x:c>
      <x:c r="D315" s="1"/>
      <x:c r="E315" s="1"/>
      <x:c r="F315" s="1"/>
      <x:c r="G315" s="1"/>
      <x:c r="H315" s="1"/>
      <x:c r="I315" s="1"/>
      <x:c r="J315" s="1"/>
      <x:c r="K315" s="1"/>
    </x:row>
    <x:row r="316" ht="66" customHeight="1">
      <x:c r="A316" s="16" t="str">
        <x:v>WoRMS: Metapenaeus</x:v>
      </x:c>
      <x:c r="B316" s="16" t="str">
        <x:v>Taxa: Metapenaeus. {"scientificname":"Metapenaeus","valid_name":"Metapenaeus","status":"accepted","family":"Penaeidae","class":"Malacostraca","phylum":"Arthropoda"}</x:v>
      </x:c>
      <x:c r="C316" s="25" t="str">
        <x:v>https://www.marinespecies.org/aphia.php?p=taxdetails&amp;id=106818</x:v>
      </x:c>
      <x:c r="D316" s="1"/>
      <x:c r="E316" s="1"/>
      <x:c r="F316" s="1"/>
      <x:c r="G316" s="1"/>
      <x:c r="H316" s="1"/>
      <x:c r="I316" s="1"/>
      <x:c r="J316" s="1"/>
      <x:c r="K316" s="1"/>
    </x:row>
    <x:row r="317" ht="66" customHeight="1">
      <x:c r="A317" s="16" t="str">
        <x:v>FishBase: Arnoglossus polyspilus</x:v>
      </x:c>
      <x:c r="B317" s="16" t="str">
        <x:v>Taxa: Bothidae. Classification; Size; Biology. Bothidae, demersal, Western Pacific, maximum 24 cm TL.</x:v>
      </x:c>
      <x:c r="C317" s="25" t="str">
        <x:v>https://www.fishbase.se/summary/12566</x:v>
      </x:c>
      <x:c r="D317" s="1"/>
      <x:c r="E317" s="1"/>
      <x:c r="F317" s="1"/>
      <x:c r="G317" s="1"/>
      <x:c r="H317" s="1"/>
      <x:c r="I317" s="1"/>
      <x:c r="J317" s="1"/>
      <x:c r="K317" s="1"/>
    </x:row>
    <x:row r="318" ht="66" customHeight="1">
      <x:c r="A318" s="16" t="str">
        <x:v>FishBase: Bothus mancus</x:v>
      </x:c>
      <x:c r="B318" s="16" t="str">
        <x:v>Taxa: Bothidae. Classification; Size; Biology. Bothidae; large flatfish reported 51 cm (length type NG, not relabeled TL), bottom-associated reef/sand species.</x:v>
      </x:c>
      <x:c r="C318" s="25" t="str">
        <x:v>https://www.fishbase.se/summary/bothus-mancus</x:v>
      </x:c>
      <x:c r="D318" s="1"/>
      <x:c r="E318" s="1"/>
      <x:c r="F318" s="1"/>
      <x:c r="G318" s="1"/>
      <x:c r="H318" s="1"/>
      <x:c r="I318" s="1"/>
      <x:c r="J318" s="1"/>
      <x:c r="K318" s="1"/>
    </x:row>
    <x:row r="319" ht="66" customHeight="1">
      <x:c r="A319" s="16" t="str">
        <x:v>WoRMS: Nemipterus japonicus</x:v>
      </x:c>
      <x:c r="B319" s="16" t="str">
        <x:v>Taxa: Nemipterus japonicus. {"scientificname":"Nemipterus japonicus","valid_name":"Nemipterus japonicus","status":"accepted","family":"Nemipteridae","class":"Teleostei","phylum":"Chordata"}</x:v>
      </x:c>
      <x:c r="C319" s="25" t="str">
        <x:v>https://www.marinespecies.org/aphia.php?p=taxdetails&amp;id=218515</x:v>
      </x:c>
      <x:c r="D319" s="1"/>
      <x:c r="E319" s="1"/>
      <x:c r="F319" s="1"/>
      <x:c r="G319" s="1"/>
      <x:c r="H319" s="1"/>
      <x:c r="I319" s="1"/>
      <x:c r="J319" s="1"/>
      <x:c r="K319" s="1"/>
    </x:row>
    <x:row r="320" ht="66" customHeight="1">
      <x:c r="A320" s="16" t="str">
        <x:v>WoRMS: Rachycentron canadum</x:v>
      </x:c>
      <x:c r="B320" s="16" t="str">
        <x:v>Taxa: Rachycentron canadum. {"scientificname":"Rachycentron canadum","valid_name":"Rachycentron canadum","status":"accepted","family":"Rachycentridae","class":"Teleostei","phylum":"Chordata"}</x:v>
      </x:c>
      <x:c r="C320" s="25" t="str">
        <x:v>https://www.marinespecies.org/aphia.php?p=taxdetails&amp;id=127006</x:v>
      </x:c>
      <x:c r="D320" s="1"/>
      <x:c r="E320" s="1"/>
      <x:c r="F320" s="1"/>
      <x:c r="G320" s="1"/>
      <x:c r="H320" s="1"/>
      <x:c r="I320" s="1"/>
      <x:c r="J320" s="1"/>
      <x:c r="K320" s="1"/>
    </x:row>
    <x:row r="321" ht="66" customHeight="1">
      <x:c r="A321" s="16" t="str">
        <x:v>FishBase: Rachycentron canadum</x:v>
      </x:c>
      <x:c r="B321" s="16" t="str">
        <x:v>Taxa: Rachycentron canadum. Habitat: Marine; brackish;  reef-associated; oceanodromous; first maximum: 200 cm TL. Additional biology checked where material.</x:v>
      </x:c>
      <x:c r="C321" s="25" t="str">
        <x:v>https://www.fishbase.se/summary/Rachycentron-canadum.html</x:v>
      </x:c>
      <x:c r="D321" s="1"/>
      <x:c r="E321" s="1"/>
      <x:c r="F321" s="1"/>
      <x:c r="G321" s="1"/>
      <x:c r="H321" s="1"/>
      <x:c r="I321" s="1"/>
      <x:c r="J321" s="1"/>
      <x:c r="K321" s="1"/>
    </x:row>
    <x:row r="322" ht="66" customHeight="1">
      <x:c r="A322" s="16" t="str">
        <x:v>FAO field guide, Rachycentridae</x:v>
      </x:c>
      <x:c r="B322" s="16" t="str">
        <x:v>Taxa: Rachycentridae. Rachycentron canadum, p. 92. Cobia is mainly pelagic and reaches 200 cm; reef association does not make it exclusively demersal.</x:v>
      </x:c>
      <x:c r="C322" s="25" t="str">
        <x:v>https://www.fao.org/4/t0438e/t0438e21.pdf</x:v>
      </x:c>
      <x:c r="D322" s="1"/>
      <x:c r="E322" s="1"/>
      <x:c r="F322" s="1"/>
      <x:c r="G322" s="1"/>
      <x:c r="H322" s="1"/>
      <x:c r="I322" s="1"/>
      <x:c r="J322" s="1"/>
      <x:c r="K322" s="1"/>
    </x:row>
    <x:row r="323" ht="66" customHeight="1">
      <x:c r="A323" s="16" t="str">
        <x:v>Shaffer &amp; Nakamura (1989), Synopsis of biological data on cobia; NOAA Technical Report NMFS 82</x:v>
      </x:c>
      <x:c r="B323" s="16" t="str">
        <x:v>Taxa: Rachycentridae. Taxonomy, section 1.2. Rachycentridae contains the single living species Rachycentron canadum.</x:v>
      </x:c>
      <x:c r="C323" s="25" t="str">
        <x:v>https://www.st.nmfs.noaa.gov/spo/SPO/tr82opt.pdf</x:v>
      </x:c>
      <x:c r="D323" s="1"/>
      <x:c r="E323" s="1"/>
      <x:c r="F323" s="1"/>
      <x:c r="G323" s="1"/>
      <x:c r="H323" s="1"/>
      <x:c r="I323" s="1"/>
      <x:c r="J323" s="1"/>
      <x:c r="K323" s="1"/>
    </x:row>
    <x:row r="324" ht="66" customHeight="1">
      <x:c r="A324" s="16" t="str">
        <x:v>Eschmeyer's Catalog of Fishes, Istiophoridae</x:v>
      </x:c>
      <x:c r="B324" s="16" t="str">
        <x:v>Taxa: Makaira mazara; Istiompax indica; Makaira; Kajikia audax. Species and synonym entries. Connects historical Makaira indica/Tetrapturus audax to Istiompax indica/Kajikia audax; Makaira mazara status remains contested.</x:v>
      </x:c>
      <x:c r="C324" s="25" t="str">
        <x:v>https://researcharchive.calacademy.org/research/ichthyology/catalog/fishcatget.asp?family=Istiophoridae&amp;tbl=species</x:v>
      </x:c>
      <x:c r="D324" s="1"/>
      <x:c r="E324" s="1"/>
      <x:c r="F324" s="1"/>
      <x:c r="G324" s="1"/>
      <x:c r="H324" s="1"/>
      <x:c r="I324" s="1"/>
      <x:c r="J324" s="1"/>
      <x:c r="K324" s="1"/>
    </x:row>
    <x:row r="325" ht="66" customHeight="1">
      <x:c r="A325" s="16" t="str">
        <x:v>FishBase: Sebastapistes cyanostigma</x:v>
      </x:c>
      <x:c r="B325" s="16" t="str">
        <x:v>Taxa: Scorpaenidae. Classification; Environment; Size; Biology. Scorpaenidae; maximum 10 cm TL; shallow coral-associated bottom habitat in Indo-Pacific.</x:v>
      </x:c>
      <x:c r="C325" s="25" t="str">
        <x:v>https://www.fishbase.se/summary/Sebastapistes-cyanostigma.html</x:v>
      </x:c>
      <x:c r="D325" s="1"/>
      <x:c r="E325" s="1"/>
      <x:c r="F325" s="1"/>
      <x:c r="G325" s="1"/>
      <x:c r="H325" s="1"/>
      <x:c r="I325" s="1"/>
      <x:c r="J325" s="1"/>
      <x:c r="K325" s="1"/>
    </x:row>
    <x:row r="326" ht="66" customHeight="1">
      <x:c r="A326" s="16" t="str">
        <x:v>WoRMS: Portunus</x:v>
      </x:c>
      <x:c r="B326" s="16" t="str">
        <x:v>Taxa: Portunus. {"scientificname":"Portunus","valid_name":"Portunus","status":"accepted","family":"Portunidae","class":"Malacostraca","phylum":"Arthropoda"}</x:v>
      </x:c>
      <x:c r="C326" s="25" t="str">
        <x:v>https://www.marinespecies.org/aphia.php?p=taxdetails&amp;id=106930</x:v>
      </x:c>
      <x:c r="D326" s="1"/>
      <x:c r="E326" s="1"/>
      <x:c r="F326" s="1"/>
      <x:c r="G326" s="1"/>
      <x:c r="H326" s="1"/>
      <x:c r="I326" s="1"/>
      <x:c r="J326" s="1"/>
      <x:c r="K326" s="1"/>
    </x:row>
    <x:row r="327" ht="66" customHeight="1">
      <x:c r="A327" s="16" t="str">
        <x:v>WoRMS: Gobiidae</x:v>
      </x:c>
      <x:c r="B327" s="16" t="str">
        <x:v>Taxa: Gobiidae. {"scientificname":"Gobiidae","valid_name":"Gobiidae","status":"accepted","family":"Gobiidae","class":"Teleostei","phylum":"Chordata"}</x:v>
      </x:c>
      <x:c r="C327" s="25" t="str">
        <x:v>https://www.marinespecies.org/aphia.php?p=taxdetails&amp;id=125537</x:v>
      </x:c>
      <x:c r="D327" s="1"/>
      <x:c r="E327" s="1"/>
      <x:c r="F327" s="1"/>
      <x:c r="G327" s="1"/>
      <x:c r="H327" s="1"/>
      <x:c r="I327" s="1"/>
      <x:c r="J327" s="1"/>
      <x:c r="K327" s="1"/>
    </x:row>
    <x:row r="328" ht="66" customHeight="1">
      <x:c r="A328" s="16" t="str">
        <x:v>FishBase China checklist</x:v>
      </x:c>
      <x:c r="B328" s="16" t="str">
        <x:v>Taxa: Gobiidae. 50 cm TL maximum.</x:v>
      </x:c>
      <x:c r="C328" s="25" t="str">
        <x:v>https://fishbase.se/Country/CountryChecklist.php?c_code=156&amp;cpresence=Reported&amp;ext_CL=on&amp;ext_pic=on&amp;resultPage=14&amp;sortby=alpha2&amp;trpp=50&amp;vhabitat=fresh&amp;what=list</x:v>
      </x:c>
      <x:c r="D328" s="1"/>
      <x:c r="E328" s="1"/>
      <x:c r="F328" s="1"/>
      <x:c r="G328" s="1"/>
      <x:c r="H328" s="1"/>
      <x:c r="I328" s="1"/>
      <x:c r="J328" s="1"/>
      <x:c r="K328" s="1"/>
    </x:row>
    <x:row r="329" ht="66" customHeight="1">
      <x:c r="A329" s="16" t="str">
        <x:v>Qinzhou Harbor fish assemblage study</x:v>
      </x:c>
      <x:c r="B329" s="16" t="str">
        <x:v>Taxa: Gobiidae. Acanthogobius hasta reported in Guangxi coastal mangrove assemblages; regional relevance, not catch share.</x:v>
      </x:c>
      <x:c r="C329" s="25" t="str">
        <x:v>https://agris.fao.org/search/zh/records/647481a12d3f560f80b1a875</x:v>
      </x:c>
      <x:c r="D329" s="1"/>
      <x:c r="E329" s="1"/>
      <x:c r="F329" s="1"/>
      <x:c r="G329" s="1"/>
      <x:c r="H329" s="1"/>
      <x:c r="I329" s="1"/>
      <x:c r="J329" s="1"/>
      <x:c r="K329" s="1"/>
    </x:row>
    <x:row r="330" ht="66" customHeight="1">
      <x:c r="A330" s="16" t="str">
        <x:v>WoRMS: Penaeus</x:v>
      </x:c>
      <x:c r="B330" s="16" t="str">
        <x:v>Taxa: Penaeus. {"scientificname":"Penaeus","valid_name":"Penaeus","status":"accepted","family":"Penaeidae","class":"Malacostraca","phylum":"Arthropoda"}</x:v>
      </x:c>
      <x:c r="C330" s="25" t="str">
        <x:v>https://www.marinespecies.org/aphia.php?p=taxdetails&amp;id=106822</x:v>
      </x:c>
      <x:c r="D330" s="1"/>
      <x:c r="E330" s="1"/>
      <x:c r="F330" s="1"/>
      <x:c r="G330" s="1"/>
      <x:c r="H330" s="1"/>
      <x:c r="I330" s="1"/>
      <x:c r="J330" s="1"/>
      <x:c r="K330" s="1"/>
    </x:row>
    <x:row r="331" ht="66" customHeight="1">
      <x:c r="A331" s="16" t="str">
        <x:v>FishBase: Cynoglossus species list</x:v>
      </x:c>
      <x:c r="B331" s="16" t="str">
        <x:v>Taxa: Cynoglossus. Species length/distribution table. C. interruptus 19.7 cm TL / C. lighti 22.2 cm TL versus C. arel 40 cm TL and C. lingua 45 cm TL support both small and large guilds.</x:v>
      </x:c>
      <x:c r="C331" s="25" t="str">
        <x:v>https://www.fishbase.se/identification/SpeciesList.php?genus=Cynoglossus</x:v>
      </x:c>
      <x:c r="D331" s="1"/>
      <x:c r="E331" s="1"/>
      <x:c r="F331" s="1"/>
      <x:c r="G331" s="1"/>
      <x:c r="H331" s="1"/>
      <x:c r="I331" s="1"/>
      <x:c r="J331" s="1"/>
      <x:c r="K331" s="1"/>
    </x:row>
    <x:row r="332" ht="66" customHeight="1">
      <x:c r="A332" s="16" t="str">
        <x:v>FishBase: Cynoglossus arel</x:v>
      </x:c>
      <x:c r="B332" s="16" t="str">
        <x:v>Taxa: Cynoglossus. Classification; Environment; Size; Biology. Cynoglossidae, demersal mud/sand shelf; maximum 40 cm TL, benthic invertebrate prey.</x:v>
      </x:c>
      <x:c r="C332" s="25" t="str">
        <x:v>https://www.fishbase.se/summary/Cynoglossus-arel.html</x:v>
      </x:c>
      <x:c r="D332" s="1"/>
      <x:c r="E332" s="1"/>
      <x:c r="F332" s="1"/>
      <x:c r="G332" s="1"/>
      <x:c r="H332" s="1"/>
      <x:c r="I332" s="1"/>
      <x:c r="J332" s="1"/>
      <x:c r="K332" s="1"/>
    </x:row>
    <x:row r="333" ht="66" customHeight="1">
      <x:c r="A333" s="16" t="str">
        <x:v>FAO Western Central Pacific, Hemiramphidae</x:v>
      </x:c>
      <x:c r="B333" s="16" t="str">
        <x:v>Taxa: Hemiramphus; Hemiramphidae; Hyporhamphus. Hemiramphus and Hyporhamphus accounts, pp. 2186–2191. Regional Hemiramphus maxima are 34, 44 and 40 cm TL. Hyporhamphus includes H. limbatus at 22 cm TL and H. quoyi at 31.2 cm SL.</x:v>
      </x:c>
      <x:c r="C333" s="25" t="str">
        <x:v>https://www.fao.org/4/x2400e/x2400e12.pdf</x:v>
      </x:c>
      <x:c r="D333" s="1"/>
      <x:c r="E333" s="1"/>
      <x:c r="F333" s="1"/>
      <x:c r="G333" s="1"/>
      <x:c r="H333" s="1"/>
      <x:c r="I333" s="1"/>
      <x:c r="J333" s="1"/>
      <x:c r="K333" s="1"/>
    </x:row>
    <x:row r="334" ht="66" customHeight="1">
      <x:c r="A334" s="16" t="str">
        <x:v>WoRMS: Seriolina nigrofasciata</x:v>
      </x:c>
      <x:c r="B334" s="16" t="str">
        <x:v>Taxa: Seriolina nigrofasciata. {"scientificname":"Seriolina nigrofasciata","valid_name":"Seriolina nigrofasciata","status":"accepted","family":"Carangidae","class":"Teleostei","phylum":"Chordata"}</x:v>
      </x:c>
      <x:c r="C334" s="25" t="str">
        <x:v>https://www.marinespecies.org/aphia.php?p=taxdetails&amp;id=218438</x:v>
      </x:c>
      <x:c r="D334" s="1"/>
      <x:c r="E334" s="1"/>
      <x:c r="F334" s="1"/>
      <x:c r="G334" s="1"/>
      <x:c r="H334" s="1"/>
      <x:c r="I334" s="1"/>
      <x:c r="J334" s="1"/>
      <x:c r="K334" s="1"/>
    </x:row>
    <x:row r="335" ht="66" customHeight="1">
      <x:c r="A335" s="16" t="str">
        <x:v>FishBase: Seriolina nigrofasciata</x:v>
      </x:c>
      <x:c r="B335" s="16" t="str">
        <x:v>Taxa: Seriolina nigrofasciata. Habitat: Marine; brackish;  reef-associated;; first maximum: 77.5 cm TL. Additional biology checked where material.</x:v>
      </x:c>
      <x:c r="C335" s="25" t="str">
        <x:v>https://www.fishbase.se/summary/Seriolina-nigrofasciata.html</x:v>
      </x:c>
      <x:c r="D335" s="1"/>
      <x:c r="E335" s="1"/>
      <x:c r="F335" s="1"/>
      <x:c r="G335" s="1"/>
      <x:c r="H335" s="1"/>
      <x:c r="I335" s="1"/>
      <x:c r="J335" s="1"/>
      <x:c r="K335" s="1"/>
    </x:row>
    <x:row r="336" ht="66" customHeight="1">
      <x:c r="A336" s="16" t="str">
        <x:v>FishBase: Eleutheronema tetradactylum</x:v>
      </x:c>
      <x:c r="B336" s="16" t="str">
        <x:v>Taxa: Eleutheronema tetradactylum. Classification; Environment; Size; Biology. Polynemidae; maximum 200 cm TL; pelagic-neritic summary label requires interpretation with shallow muddy-bottom adult habitat.</x:v>
      </x:c>
      <x:c r="C336" s="25" t="str">
        <x:v>https://www.fishbase.se/summary/Eleutheronema-tetradactylum.html</x:v>
      </x:c>
      <x:c r="D336" s="1"/>
      <x:c r="E336" s="1"/>
      <x:c r="F336" s="1"/>
      <x:c r="G336" s="1"/>
      <x:c r="H336" s="1"/>
      <x:c r="I336" s="1"/>
      <x:c r="J336" s="1"/>
      <x:c r="K336" s="1"/>
    </x:row>
    <x:row r="337" ht="66" customHeight="1">
      <x:c r="A337" s="16" t="str">
        <x:v>SEAFDEC: fishery resources identification guide</x:v>
      </x:c>
      <x:c r="B337" s="16" t="str">
        <x:v>Taxa: Eleutheronema tetradactylum. p.78, Eleutheronema tetradactylum. Adults use shallow muddy bottoms and coastal waters/rivers; supplies behavior supporting residual demersal assignment.</x:v>
      </x:c>
      <x:c r="C337" s="25" t="str">
        <x:v>https://repository.seafdec.or.th/bitstream/handle/20.500.12067/969/fishery-resources.pdf</x:v>
      </x:c>
      <x:c r="D337" s="1"/>
      <x:c r="E337" s="1"/>
      <x:c r="F337" s="1"/>
      <x:c r="G337" s="1"/>
      <x:c r="H337" s="1"/>
      <x:c r="I337" s="1"/>
      <x:c r="J337" s="1"/>
      <x:c r="K337" s="1"/>
    </x:row>
    <x:row r="338" ht="66" customHeight="1">
      <x:c r="A338" s="16" t="str">
        <x:v>WoRMS: Malacostraca</x:v>
      </x:c>
      <x:c r="B338" s="16" t="str">
        <x:v>Taxa: Malacostraca. {"scientificname":"Malacostraca","valid_name":"Malacostraca","status":"accepted","family":null,"class":"Malacostraca","phylum":"Arthropoda"}</x:v>
      </x:c>
      <x:c r="C338" s="25" t="str">
        <x:v>https://www.marinespecies.org/aphia.php?p=taxdetails&amp;id=1071</x:v>
      </x:c>
      <x:c r="D338" s="1"/>
      <x:c r="E338" s="1"/>
      <x:c r="F338" s="1"/>
      <x:c r="G338" s="1"/>
      <x:c r="H338" s="1"/>
      <x:c r="I338" s="1"/>
      <x:c r="J338" s="1"/>
      <x:c r="K338" s="1"/>
    </x:row>
    <x:row r="339" ht="66" customHeight="1">
      <x:c r="A339" s="16" t="str">
        <x:v>FishBase: Lateolabrax japonicus</x:v>
      </x:c>
      <x:c r="B339" s="16" t="str">
        <x:v>Taxa: Lateolabrax japonicus. Classification; Environment; Size; Biology. Maximum 102 cm TL, rocky inshore habitat; Chinese records must distinguish valid L. maculatus rather than silently synonymizing them.</x:v>
      </x:c>
      <x:c r="C339" s="25" t="str">
        <x:v>https://www.fishbase.se/summary/Lateolabrax-japonicus.html</x:v>
      </x:c>
      <x:c r="D339" s="1"/>
      <x:c r="E339" s="1"/>
      <x:c r="F339" s="1"/>
      <x:c r="G339" s="1"/>
      <x:c r="H339" s="1"/>
      <x:c r="I339" s="1"/>
      <x:c r="J339" s="1"/>
      <x:c r="K339" s="1"/>
    </x:row>
    <x:row r="340" ht="66" customHeight="1">
      <x:c r="A340" s="16" t="str">
        <x:v>FishBase: Pagrus auratus</x:v>
      </x:c>
      <x:c r="B340" s="16" t="str">
        <x:v>Taxa: Pagrus auratus. Classification; Environment; Size; Biology. Sparidae; maximum 130 cm TL, reef and mud/sand habitat, benthic prey; common-name snapper is not Lutjanidae.</x:v>
      </x:c>
      <x:c r="C340" s="25" t="str">
        <x:v>https://www.fishbase.se/summary/Pagrus-auratus.html</x:v>
      </x:c>
      <x:c r="D340" s="1"/>
      <x:c r="E340" s="1"/>
      <x:c r="F340" s="1"/>
      <x:c r="G340" s="1"/>
      <x:c r="H340" s="1"/>
      <x:c r="I340" s="1"/>
      <x:c r="J340" s="1"/>
      <x:c r="K340" s="1"/>
    </x:row>
    <x:row r="341" ht="66" customHeight="1">
      <x:c r="A341" s="16" t="str">
        <x:v>WoRMS: Thryssa</x:v>
      </x:c>
      <x:c r="B341" s="16" t="str">
        <x:v>Taxa: Thryssa. {"scientificname":"Thryssa","valid_name":"Thryssa","status":"temporary name","family":"Engraulidae","class":"Teleostei","phylum":"Chordata"}</x:v>
      </x:c>
      <x:c r="C341" s="25" t="str">
        <x:v>https://www.marinespecies.org/aphia.php?p=taxdetails&amp;id=158703</x:v>
      </x:c>
      <x:c r="D341" s="1"/>
      <x:c r="E341" s="1"/>
      <x:c r="F341" s="1"/>
      <x:c r="G341" s="1"/>
      <x:c r="H341" s="1"/>
      <x:c r="I341" s="1"/>
      <x:c r="J341" s="1"/>
      <x:c r="K341" s="1"/>
    </x:row>
    <x:row r="342" ht="66" customHeight="1">
      <x:c r="A342" s="16" t="str">
        <x:v>FishBase Thryssa inventory</x:v>
      </x:c>
      <x:c r="B342" s="16" t="str">
        <x:v>Taxa: Thryssa. Genus composition and reported length metrics reviewed.</x:v>
      </x:c>
      <x:c r="C342" s="25" t="str">
        <x:v>https://www.fishbase.se/identification/SpeciesList.php?genus=Thryssa</x:v>
      </x:c>
      <x:c r="D342" s="1"/>
      <x:c r="E342" s="1"/>
      <x:c r="F342" s="1"/>
      <x:c r="G342" s="1"/>
      <x:c r="H342" s="1"/>
      <x:c r="I342" s="1"/>
      <x:c r="J342" s="1"/>
      <x:c r="K342" s="1"/>
    </x:row>
    <x:row r="343" ht="66" customHeight="1">
      <x:c r="A343" s="16" t="str">
        <x:v>FishBase: Thryssa hamiltonii</x:v>
      </x:c>
      <x:c r="B343" s="16" t="str">
        <x:v>Taxa: Thryssa. Species-level boundary evidence described in the rationale.</x:v>
      </x:c>
      <x:c r="C343" s="25" t="str">
        <x:v>https://www.fishbase.se/summary/Thryssa-hamiltonii.html</x:v>
      </x:c>
      <x:c r="D343" s="1"/>
      <x:c r="E343" s="1"/>
      <x:c r="F343" s="1"/>
      <x:c r="G343" s="1"/>
      <x:c r="H343" s="1"/>
      <x:c r="I343" s="1"/>
      <x:c r="J343" s="1"/>
      <x:c r="K343" s="1"/>
    </x:row>
    <x:row r="344" ht="66" customHeight="1">
      <x:c r="A344" s="16" t="str">
        <x:v>FishBase: Sillago species list</x:v>
      </x:c>
      <x:c r="B344" s="16" t="str">
        <x:v>Taxa: Sillaginidae; Sillago. Species length/distribution table. Regional species span ≤ 30 cm TL (e.g. S. argentifasciata 14.9, S. japonica 30) and &gt; 30 cm (S. sihama 31 cm SL).</x:v>
      </x:c>
      <x:c r="C344" s="25" t="str">
        <x:v>https://www.fishbase.se/identification/SpeciesList.php?genus=Sillago</x:v>
      </x:c>
      <x:c r="D344" s="1"/>
      <x:c r="E344" s="1"/>
      <x:c r="F344" s="1"/>
      <x:c r="G344" s="1"/>
      <x:c r="H344" s="1"/>
      <x:c r="I344" s="1"/>
      <x:c r="J344" s="1"/>
      <x:c r="K344" s="1"/>
    </x:row>
    <x:row r="345" ht="66" customHeight="1">
      <x:c r="A345" s="16" t="str">
        <x:v>FAO WCP guide: Sillaginidae</x:v>
      </x:c>
      <x:c r="B345" s="16" t="str">
        <x:v>Taxa: Sillaginidae; Sillago; Sillago sihama. p.2614, Habitat. Family consists of inshore bottom-dwelling fishes; their size heterogeneity, not taxonomic rank, creates missing group 24 membership.</x:v>
      </x:c>
      <x:c r="C345" s="25" t="str">
        <x:v>https://www.fao.org/4/x2400e/x2400e48.pdf</x:v>
      </x:c>
      <x:c r="D345" s="1"/>
      <x:c r="E345" s="1"/>
      <x:c r="F345" s="1"/>
      <x:c r="G345" s="1"/>
      <x:c r="H345" s="1"/>
      <x:c r="I345" s="1"/>
      <x:c r="J345" s="1"/>
      <x:c r="K345" s="1"/>
    </x:row>
    <x:row r="346" ht="66" customHeight="1">
      <x:c r="A346" s="16" t="str">
        <x:v>FishBase: Sillago sihama</x:v>
      </x:c>
      <x:c r="B346" s="16" t="str">
        <x:v>Taxa: Sillaginidae; Sillago; Sillago sihama. Classification; Environment; Size; Biology. Sillaginidae; maximum 31 cm SL, already above 30 cm TL; bottom burial and benthic prey support demersal habitat.</x:v>
      </x:c>
      <x:c r="C346" s="25" t="str">
        <x:v>https://www.fishbase.se/summary/Sillago-sihama.html</x:v>
      </x:c>
      <x:c r="D346" s="1"/>
      <x:c r="E346" s="1"/>
      <x:c r="F346" s="1"/>
      <x:c r="G346" s="1"/>
      <x:c r="H346" s="1"/>
      <x:c r="I346" s="1"/>
      <x:c r="J346" s="1"/>
      <x:c r="K346" s="1"/>
    </x:row>
    <x:row r="347" ht="66" customHeight="1">
      <x:c r="A347" s="16" t="str">
        <x:v>WoRMS: Octopus vulgaris</x:v>
      </x:c>
      <x:c r="B347" s="16" t="str">
        <x:v>Taxa: Octopus vulgaris. {"scientificname":"Octopus vulgaris","valid_name":"Octopus vulgaris","status":"accepted","family":"Octopodidae","class":"Cephalopoda","phylum":"Mollusca"}</x:v>
      </x:c>
      <x:c r="C347" s="25" t="str">
        <x:v>https://www.marinespecies.org/aphia.php?p=taxdetails&amp;id=140605</x:v>
      </x:c>
      <x:c r="D347" s="1"/>
      <x:c r="E347" s="1"/>
      <x:c r="F347" s="1"/>
      <x:c r="G347" s="1"/>
      <x:c r="H347" s="1"/>
      <x:c r="I347" s="1"/>
      <x:c r="J347" s="1"/>
      <x:c r="K347" s="1"/>
    </x:row>
    <x:row r="348" ht="66" customHeight="1">
      <x:c r="A348" s="16" t="str">
        <x:v>FishBase: Plectorhinchus species list</x:v>
      </x:c>
      <x:c r="B348" s="16" t="str">
        <x:v>Taxa: Plectorhinchus. Regional species maximum lengths. Regional sweetlips maxima are &gt; 30 cm; values reported as SL are not treated as equal to TL.</x:v>
      </x:c>
      <x:c r="C348" s="25" t="str">
        <x:v>https://www.fishbase.se/identification/SpeciesList.php?genus=Plectorhinchus</x:v>
      </x:c>
      <x:c r="D348" s="1"/>
      <x:c r="E348" s="1"/>
      <x:c r="F348" s="1"/>
      <x:c r="G348" s="1"/>
      <x:c r="H348" s="1"/>
      <x:c r="I348" s="1"/>
      <x:c r="J348" s="1"/>
      <x:c r="K348" s="1"/>
    </x:row>
    <x:row r="349" ht="66" customHeight="1">
      <x:c r="A349" s="16" t="str">
        <x:v>WoRMS: Anodontostoma chacunda</x:v>
      </x:c>
      <x:c r="B349" s="16" t="str">
        <x:v>Taxa: Anodontostoma chacunda. {"scientificname":"Anodontostoma chacunda","valid_name":"Anodontostoma chacunda","status":"accepted","family":"Dorosomatidae","class":"Teleostei","phylum":"Chordata"}</x:v>
      </x:c>
      <x:c r="C349" s="25" t="str">
        <x:v>https://www.marinespecies.org/aphia.php?p=taxdetails&amp;id=279626</x:v>
      </x:c>
      <x:c r="D349" s="1"/>
      <x:c r="E349" s="1"/>
      <x:c r="F349" s="1"/>
      <x:c r="G349" s="1"/>
      <x:c r="H349" s="1"/>
      <x:c r="I349" s="1"/>
      <x:c r="J349" s="1"/>
      <x:c r="K349" s="1"/>
    </x:row>
    <x:row r="350" ht="66" customHeight="1">
      <x:c r="A350" s="16" t="str">
        <x:v>FishBase: Anodontostoma chacunda</x:v>
      </x:c>
      <x:c r="B350" s="16" t="str">
        <x:v>Taxa: Anodontostoma chacunda. Habitat: Marine; freshwater; brackish;  pelagic-neritic; anadromous; first maximum: 22 cm SL. Additional biology checked where material.</x:v>
      </x:c>
      <x:c r="C350" s="25" t="str">
        <x:v>https://www.fishbase.se/summary/Anodontostoma-chacunda.html</x:v>
      </x:c>
      <x:c r="D350" s="1"/>
      <x:c r="E350" s="1"/>
      <x:c r="F350" s="1"/>
      <x:c r="G350" s="1"/>
      <x:c r="H350" s="1"/>
      <x:c r="I350" s="1"/>
      <x:c r="J350" s="1"/>
      <x:c r="K350" s="1"/>
    </x:row>
    <x:row r="351" ht="66" customHeight="1">
      <x:c r="A351" s="16" t="str">
        <x:v>WoRMS: Pampus chinensis</x:v>
      </x:c>
      <x:c r="B351" s="16" t="str">
        <x:v>Taxa: Pampus chinensis. {"scientificname":"Pampus chinensis","valid_name":"Pampus chinensis","status":"accepted","family":"Stromateidae","class":"Teleostei","phylum":"Chordata"}</x:v>
      </x:c>
      <x:c r="C351" s="25" t="str">
        <x:v>https://www.marinespecies.org/aphia.php?p=taxdetails&amp;id=273993</x:v>
      </x:c>
      <x:c r="D351" s="1"/>
      <x:c r="E351" s="1"/>
      <x:c r="F351" s="1"/>
      <x:c r="G351" s="1"/>
      <x:c r="H351" s="1"/>
      <x:c r="I351" s="1"/>
      <x:c r="J351" s="1"/>
      <x:c r="K351" s="1"/>
    </x:row>
    <x:row r="352" ht="66" customHeight="1">
      <x:c r="A352" s="16" t="str">
        <x:v>FishBase: Lobotes surinamensis</x:v>
      </x:c>
      <x:c r="B352" s="16" t="str">
        <x:v>Taxa: Lobotes surinamensis. Classification; Environment; Size; Biology. Lobotidae; benthopelagic, maximum 110 cm TL; bay/estuary and surface-associated behavior.</x:v>
      </x:c>
      <x:c r="C352" s="25" t="str">
        <x:v>https://www.fishbase.se/summary/Lobotes-surinamensis.html</x:v>
      </x:c>
      <x:c r="D352" s="1"/>
      <x:c r="E352" s="1"/>
      <x:c r="F352" s="1"/>
      <x:c r="G352" s="1"/>
      <x:c r="H352" s="1"/>
      <x:c r="I352" s="1"/>
      <x:c r="J352" s="1"/>
      <x:c r="K352" s="1"/>
    </x:row>
    <x:row r="353" ht="66" customHeight="1">
      <x:c r="A353" s="16" t="str">
        <x:v>WoRMS: Acetes</x:v>
      </x:c>
      <x:c r="B353" s="16" t="str">
        <x:v>Taxa: Acetes. {"scientificname":"Acetes","valid_name":"Acetes","status":"accepted","family":"Sergestidae","class":"Malacostraca","phylum":"Arthropoda"}</x:v>
      </x:c>
      <x:c r="C353" s="25" t="str">
        <x:v>https://www.marinespecies.org/aphia.php?p=taxdetails&amp;id=158343</x:v>
      </x:c>
      <x:c r="D353" s="1"/>
      <x:c r="E353" s="1"/>
      <x:c r="F353" s="1"/>
      <x:c r="G353" s="1"/>
      <x:c r="H353" s="1"/>
      <x:c r="I353" s="1"/>
      <x:c r="J353" s="1"/>
      <x:c r="K353" s="1"/>
    </x:row>
    <x:row r="354" ht="66" customHeight="1">
      <x:c r="A354" s="16" t="str">
        <x:v>WoRMS: Scylla serrata</x:v>
      </x:c>
      <x:c r="B354" s="16" t="str">
        <x:v>Taxa: Scylla serrata. {"scientificname":"Scylla serrata","valid_name":"Scylla serrata","status":"accepted","family":"Portunidae","class":"Malacostraca","phylum":"Arthropoda"}</x:v>
      </x:c>
      <x:c r="C354" s="25" t="str">
        <x:v>https://www.marinespecies.org/aphia.php?p=taxdetails&amp;id=208814</x:v>
      </x:c>
      <x:c r="D354" s="1"/>
      <x:c r="E354" s="1"/>
      <x:c r="F354" s="1"/>
      <x:c r="G354" s="1"/>
      <x:c r="H354" s="1"/>
      <x:c r="I354" s="1"/>
      <x:c r="J354" s="1"/>
      <x:c r="K354" s="1"/>
    </x:row>
    <x:row r="355" ht="66" customHeight="1">
      <x:c r="A355" s="16" t="str">
        <x:v>WoRMS: Scolopsis</x:v>
      </x:c>
      <x:c r="B355" s="16" t="str">
        <x:v>Taxa: Scolopsis. {"scientificname":"Scolopsis","valid_name":"Scolopsis","status":"accepted","family":"Nemipteridae","class":"Teleostei","phylum":"Chordata"}</x:v>
      </x:c>
      <x:c r="C355" s="25" t="str">
        <x:v>https://www.marinespecies.org/aphia.php?p=taxdetails&amp;id=203906</x:v>
      </x:c>
      <x:c r="D355" s="1"/>
      <x:c r="E355" s="1"/>
      <x:c r="F355" s="1"/>
      <x:c r="G355" s="1"/>
      <x:c r="H355" s="1"/>
      <x:c r="I355" s="1"/>
      <x:c r="J355" s="1"/>
      <x:c r="K355" s="1"/>
    </x:row>
    <x:row r="356" ht="66" customHeight="1">
      <x:c r="A356" s="16" t="str">
        <x:v>WoRMS: Gazza minuta</x:v>
      </x:c>
      <x:c r="B356" s="16" t="str">
        <x:v>Taxa: Gazza minuta. {"scientificname":"Gazza minuta","valid_name":"Gazza minuta","status":"accepted","family":"Leiognathidae","class":"Teleostei","phylum":"Chordata"}</x:v>
      </x:c>
      <x:c r="C356" s="25" t="str">
        <x:v>https://www.marinespecies.org/aphia.php?p=taxdetails&amp;id=218451</x:v>
      </x:c>
      <x:c r="D356" s="1"/>
      <x:c r="E356" s="1"/>
      <x:c r="F356" s="1"/>
      <x:c r="G356" s="1"/>
      <x:c r="H356" s="1"/>
      <x:c r="I356" s="1"/>
      <x:c r="J356" s="1"/>
      <x:c r="K356" s="1"/>
    </x:row>
    <x:row r="357" ht="66" customHeight="1">
      <x:c r="A357" s="16" t="str">
        <x:v>FishBase: Gazza minuta</x:v>
      </x:c>
      <x:c r="B357" s="16" t="str">
        <x:v>Taxa: Gazza minuta. Habitat: Marine; brackish;  demersal;; first maximum: 21 cm FL. Additional biology checked where material.</x:v>
      </x:c>
      <x:c r="C357" s="25" t="str">
        <x:v>https://www.fishbase.se/summary/Gazza-minuta.html</x:v>
      </x:c>
      <x:c r="D357" s="1"/>
      <x:c r="E357" s="1"/>
      <x:c r="F357" s="1"/>
      <x:c r="G357" s="1"/>
      <x:c r="H357" s="1"/>
      <x:c r="I357" s="1"/>
      <x:c r="J357" s="1"/>
      <x:c r="K357" s="1"/>
    </x:row>
    <x:row r="358" ht="66" customHeight="1">
      <x:c r="A358" s="16" t="str">
        <x:v>WoRMS: Scyllaridae</x:v>
      </x:c>
      <x:c r="B358" s="16" t="str">
        <x:v>Taxa: Scyllaridae. {"scientificname":"Scyllaridae","valid_name":"Scyllaridae","status":"accepted","family":"Scyllaridae","class":"Malacostraca","phylum":"Arthropoda"}</x:v>
      </x:c>
      <x:c r="C358" s="25" t="str">
        <x:v>https://www.marinespecies.org/aphia.php?p=taxdetails&amp;id=106795</x:v>
      </x:c>
      <x:c r="D358" s="1"/>
      <x:c r="E358" s="1"/>
      <x:c r="F358" s="1"/>
      <x:c r="G358" s="1"/>
      <x:c r="H358" s="1"/>
      <x:c r="I358" s="1"/>
      <x:c r="J358" s="1"/>
      <x:c r="K358" s="1"/>
    </x:row>
    <x:row r="359" ht="66" customHeight="1">
      <x:c r="A359" s="16" t="str">
        <x:v>WoRMS: Mola mola</x:v>
      </x:c>
      <x:c r="B359" s="16" t="str">
        <x:v>Taxa: Mola mola. {"scientificname":"Mola mola","valid_name":"Mola mola","status":"accepted","family":"Molidae","class":"Teleostei","phylum":"Chordata"}</x:v>
      </x:c>
      <x:c r="C359" s="25" t="str">
        <x:v>https://www.marinespecies.org/aphia.php?p=taxdetails&amp;id=127405</x:v>
      </x:c>
      <x:c r="D359" s="1"/>
      <x:c r="E359" s="1"/>
      <x:c r="F359" s="1"/>
      <x:c r="G359" s="1"/>
      <x:c r="H359" s="1"/>
      <x:c r="I359" s="1"/>
      <x:c r="J359" s="1"/>
      <x:c r="K359" s="1"/>
    </x:row>
    <x:row r="360" ht="66" customHeight="1">
      <x:c r="A360" s="16" t="str">
        <x:v>FishBase: Mola mola</x:v>
      </x:c>
      <x:c r="B360" s="16" t="str">
        <x:v>Taxa: Mola mola. Habitat: Marine;  pelagic-oceanic; oceanodromous; first maximum: 333 cm TL. Additional biology checked where material.</x:v>
      </x:c>
      <x:c r="C360" s="25" t="str">
        <x:v>https://www.fishbase.se/summary/Mola-mola.html</x:v>
      </x:c>
      <x:c r="D360" s="1"/>
      <x:c r="E360" s="1"/>
      <x:c r="F360" s="1"/>
      <x:c r="G360" s="1"/>
      <x:c r="H360" s="1"/>
      <x:c r="I360" s="1"/>
      <x:c r="J360" s="1"/>
      <x:c r="K360" s="1"/>
    </x:row>
    <x:row r="361" ht="66" customHeight="1">
      <x:c r="A361" s="16" t="str">
        <x:v>FishBase: Gerres limbatus</x:v>
      </x:c>
      <x:c r="B361" s="16" t="str">
        <x:v>Taxa: Gerreidae; Gerres. Classification; Environment; Size; Biology. Gerreidae; demersal, maximum 15 cm TL, explicitly Southeast Asia and South China Sea; mud-sand estuarine habitat.</x:v>
      </x:c>
      <x:c r="C361" s="25" t="str">
        <x:v>https://www.fishbase.se/summary/Gerres-limbatus.html</x:v>
      </x:c>
      <x:c r="D361" s="1"/>
      <x:c r="E361" s="1"/>
      <x:c r="F361" s="1"/>
      <x:c r="G361" s="1"/>
      <x:c r="H361" s="1"/>
      <x:c r="I361" s="1"/>
      <x:c r="J361" s="1"/>
      <x:c r="K361" s="1"/>
    </x:row>
    <x:row r="362" ht="66" customHeight="1">
      <x:c r="A362" s="16" t="str">
        <x:v>FishBase: Gerres filamentosus</x:v>
      </x:c>
      <x:c r="B362" s="16" t="str">
        <x:v>Taxa: Gerreidae; Gerres. Classification; Environment; Size; Biology. Gerreidae; demersal, maximum 39 cm TL, soft-bottom adults.</x:v>
      </x:c>
      <x:c r="C362" s="25" t="str">
        <x:v>https://www.fishbase.se/summary/Gerres-filamentosus.html</x:v>
      </x:c>
      <x:c r="D362" s="1"/>
      <x:c r="E362" s="1"/>
      <x:c r="F362" s="1"/>
      <x:c r="G362" s="1"/>
      <x:c r="H362" s="1"/>
      <x:c r="I362" s="1"/>
      <x:c r="J362" s="1"/>
      <x:c r="K362" s="1"/>
    </x:row>
    <x:row r="363" ht="66" customHeight="1">
      <x:c r="A363" s="16" t="str">
        <x:v>WoRMS: Decapterus russelli</x:v>
      </x:c>
      <x:c r="B363" s="16" t="str">
        <x:v>Taxa: Decapterus russelli. {"scientificname":"Decapterus russelli","valid_name":"Decapterus russelli","status":"accepted","family":"Carangidae","class":"Teleostei","phylum":"Chordata"}</x:v>
      </x:c>
      <x:c r="C363" s="25" t="str">
        <x:v>https://www.marinespecies.org/aphia.php?p=taxdetails&amp;id=218427</x:v>
      </x:c>
      <x:c r="D363" s="1"/>
      <x:c r="E363" s="1"/>
      <x:c r="F363" s="1"/>
      <x:c r="G363" s="1"/>
      <x:c r="H363" s="1"/>
      <x:c r="I363" s="1"/>
      <x:c r="J363" s="1"/>
      <x:c r="K363" s="1"/>
    </x:row>
    <x:row r="364" ht="66" customHeight="1">
      <x:c r="A364" s="16" t="str">
        <x:v>WoRMS: Portunidae</x:v>
      </x:c>
      <x:c r="B364" s="16" t="str">
        <x:v>Taxa: Portunidae. {"scientificname":"Portunidae","valid_name":"Portunidae","status":"accepted","family":"Portunidae","class":"Malacostraca","phylum":"Arthropoda"}</x:v>
      </x:c>
      <x:c r="C364" s="25" t="str">
        <x:v>https://www.marinespecies.org/aphia.php?p=taxdetails&amp;id=106763</x:v>
      </x:c>
      <x:c r="D364" s="1"/>
      <x:c r="E364" s="1"/>
      <x:c r="F364" s="1"/>
      <x:c r="G364" s="1"/>
      <x:c r="H364" s="1"/>
      <x:c r="I364" s="1"/>
      <x:c r="J364" s="1"/>
      <x:c r="K364" s="1"/>
    </x:row>
    <x:row r="365" ht="66" customHeight="1">
      <x:c r="A365" s="16" t="str">
        <x:v>WoRMS: Metapenaeus joyneri</x:v>
      </x:c>
      <x:c r="B365" s="16" t="str">
        <x:v>Taxa: Metapenaeus joyneri. {"scientificname":"Metapenaeus joyneri","valid_name":"Metapenaeus joyneri","status":"accepted","family":"Penaeidae","class":"Malacostraca","phylum":"Arthropoda"}</x:v>
      </x:c>
      <x:c r="C365" s="25" t="str">
        <x:v>https://www.marinespecies.org/aphia.php?p=taxdetails&amp;id=377538</x:v>
      </x:c>
      <x:c r="D365" s="1"/>
      <x:c r="E365" s="1"/>
      <x:c r="F365" s="1"/>
      <x:c r="G365" s="1"/>
      <x:c r="H365" s="1"/>
      <x:c r="I365" s="1"/>
      <x:c r="J365" s="1"/>
      <x:c r="K365" s="1"/>
    </x:row>
    <x:row r="366" ht="66" customHeight="1">
      <x:c r="A366" s="16" t="str">
        <x:v>FishBase: Psammoperca waigiensis</x:v>
      </x:c>
      <x:c r="B366" s="16" t="str">
        <x:v>Taxa: Latidae. Classification; Environment; Size; Biology. Regional marine Latidae, maximum 47 cm TL; reef crevices and benthic-associated coastal habitat.</x:v>
      </x:c>
      <x:c r="C366" s="25" t="str">
        <x:v>https://www.fishbase.se/summary/Psammoperca-waigiensis.html</x:v>
      </x:c>
      <x:c r="D366" s="1"/>
      <x:c r="E366" s="1"/>
      <x:c r="F366" s="1"/>
      <x:c r="G366" s="1"/>
      <x:c r="H366" s="1"/>
      <x:c r="I366" s="1"/>
      <x:c r="J366" s="1"/>
      <x:c r="K366" s="1"/>
    </x:row>
    <x:row r="367" ht="66" customHeight="1">
      <x:c r="A367" s="16" t="str">
        <x:v>WoRMS: Parapenaeopsis</x:v>
      </x:c>
      <x:c r="B367" s="16" t="str">
        <x:v>Taxa: Parapenaeopsis. {"scientificname":"Parapenaeopsis","valid_name":"Parapenaeopsis","status":"accepted","family":"Penaeidae","class":"Malacostraca","phylum":"Arthropoda"}</x:v>
      </x:c>
      <x:c r="C367" s="25" t="str">
        <x:v>https://www.marinespecies.org/aphia.php?p=taxdetails&amp;id=205222</x:v>
      </x:c>
      <x:c r="D367" s="1"/>
      <x:c r="E367" s="1"/>
      <x:c r="F367" s="1"/>
      <x:c r="G367" s="1"/>
      <x:c r="H367" s="1"/>
      <x:c r="I367" s="1"/>
      <x:c r="J367" s="1"/>
      <x:c r="K367" s="1"/>
    </x:row>
    <x:row r="368" ht="66" customHeight="1">
      <x:c r="A368" s="16" t="str">
        <x:v>FishBase: Drepane punctata</x:v>
      </x:c>
      <x:c r="B368" s="16" t="str">
        <x:v>Taxa: Drepane; Drepane punctata. Classification; Environment; Size; Biology. Drepaneidae; maximum 50 cm TL; sand/mud and estuarine bottom feeding despite reef-associated label.</x:v>
      </x:c>
      <x:c r="C368" s="25" t="str">
        <x:v>https://www.fishbase.se/summary/Drepane-punctata.html</x:v>
      </x:c>
      <x:c r="D368" s="1"/>
      <x:c r="E368" s="1"/>
      <x:c r="F368" s="1"/>
      <x:c r="G368" s="1"/>
      <x:c r="H368" s="1"/>
      <x:c r="I368" s="1"/>
      <x:c r="J368" s="1"/>
      <x:c r="K368" s="1"/>
    </x:row>
    <x:row r="369" ht="66" customHeight="1">
      <x:c r="A369" s="16" t="str">
        <x:v>FishBase: Drepane longimana</x:v>
      </x:c>
      <x:c r="B369" s="16" t="str">
        <x:v>Taxa: Drepane. Size; Biology. Regional Drepane species reported 50 cm TL; reef/coastal bottom-associated ecology.</x:v>
      </x:c>
      <x:c r="C369" s="25" t="str">
        <x:v>https://www.fishbase.se/summary/7692</x:v>
      </x:c>
      <x:c r="D369" s="1"/>
      <x:c r="E369" s="1"/>
      <x:c r="F369" s="1"/>
      <x:c r="G369" s="1"/>
      <x:c r="H369" s="1"/>
      <x:c r="I369" s="1"/>
      <x:c r="J369" s="1"/>
      <x:c r="K369" s="1"/>
    </x:row>
    <x:row r="370" ht="66" customHeight="1">
      <x:c r="A370" s="16" t="str">
        <x:v>FAO: marine fish identification guide, Siganidae</x:v>
      </x:c>
      <x:c r="B370" s="16" t="str">
        <x:v>Taxa: Siganus; Siganus canaliculatus; Siganidae. p.99, Siganidae. S. spinus to 21 cm and S. javus to 45 cm; canaliculatus listed to 30 cm in this older guide. Coastal algal/seagrass grazers; size heterogeneous.</x:v>
      </x:c>
      <x:c r="C370" s="25" t="str">
        <x:v>https://www.fao.org/4/r7066e/r7066e21.pdf</x:v>
      </x:c>
      <x:c r="D370" s="1"/>
      <x:c r="E370" s="1"/>
      <x:c r="F370" s="1"/>
      <x:c r="G370" s="1"/>
      <x:c r="H370" s="1"/>
      <x:c r="I370" s="1"/>
      <x:c r="J370" s="1"/>
      <x:c r="K370" s="1"/>
    </x:row>
    <x:row r="371" ht="66" customHeight="1">
      <x:c r="A371" s="16" t="str">
        <x:v>FishBase: Siganus canaliculatus field-guide account</x:v>
      </x:c>
      <x:c r="B371" s="16" t="str">
        <x:v>Taxa: Siganus; Siganus canaliculatus; Siganidae. Size; Habitat; Distribution. Maximum 40 cm TL, reef-associated, South China Sea; contradicts sole assignment to max-TL≤ 30 residual demersal group.</x:v>
      </x:c>
      <x:c r="C371" s="25" t="str">
        <x:v>https://fishbase.se/Fieldguide/FieldGuideSummary.php?c_code=608&amp;genusname=Siganus&amp;speciesname=canaliculatus</x:v>
      </x:c>
      <x:c r="D371" s="1"/>
      <x:c r="E371" s="1"/>
      <x:c r="F371" s="1"/>
      <x:c r="G371" s="1"/>
      <x:c r="H371" s="1"/>
      <x:c r="I371" s="1"/>
      <x:c r="J371" s="1"/>
      <x:c r="K371" s="1"/>
    </x:row>
    <x:row r="372" ht="66" customHeight="1">
      <x:c r="A372" s="16" t="str">
        <x:v>FishBase: Siganus spinus</x:v>
      </x:c>
      <x:c r="B372" s="16" t="str">
        <x:v>Taxa: Siganus; Siganidae. Size; Distribution; Biology. Maximum 28 cm TL; Indo-West Pacific reef-flat algal grazer, a direct small-species total-length datum.</x:v>
      </x:c>
      <x:c r="C372" s="25" t="str">
        <x:v>https://www.fishbase.se/summary/Siganus-spinus.html</x:v>
      </x:c>
      <x:c r="D372" s="1"/>
      <x:c r="E372" s="1"/>
      <x:c r="F372" s="1"/>
      <x:c r="G372" s="1"/>
      <x:c r="H372" s="1"/>
      <x:c r="I372" s="1"/>
      <x:c r="J372" s="1"/>
      <x:c r="K372" s="1"/>
    </x:row>
    <x:row r="373" ht="66" customHeight="1">
      <x:c r="A373" s="16" t="str">
        <x:v>FishBase: Siganus javus</x:v>
      </x:c>
      <x:c r="B373" s="16" t="str">
        <x:v>Taxa: Siganus; Siganidae. Size; Distribution; Biology. Maximum 53 cm TL; Vietnam and southern China; attached and floating algae feeding, with midwater resting behavior.</x:v>
      </x:c>
      <x:c r="C373" s="25" t="str">
        <x:v>https://www.fishbase.se/summary/Siganus-javus.html</x:v>
      </x:c>
      <x:c r="D373" s="1"/>
      <x:c r="E373" s="1"/>
      <x:c r="F373" s="1"/>
      <x:c r="G373" s="1"/>
      <x:c r="H373" s="1"/>
      <x:c r="I373" s="1"/>
      <x:c r="J373" s="1"/>
      <x:c r="K373" s="1"/>
    </x:row>
    <x:row r="374" ht="66" customHeight="1">
      <x:c r="A374" s="16" t="str">
        <x:v>WoRMS: Penaeus japonicus</x:v>
      </x:c>
      <x:c r="B374" s="16" t="str">
        <x:v>Taxa: Penaeus japonicus. {"scientificname":"Penaeus japonicus","valid_name":"Penaeus (Marsupenaeus) japonicus","status":"superseded combination","family":"Penaeidae","class":"Malacostraca","phylum":"Arthropoda"}</x:v>
      </x:c>
      <x:c r="C374" s="25" t="str">
        <x:v>https://www.marinespecies.org/aphia.php?p=taxdetails&amp;id=210371</x:v>
      </x:c>
      <x:c r="D374" s="1"/>
      <x:c r="E374" s="1"/>
      <x:c r="F374" s="1"/>
      <x:c r="G374" s="1"/>
      <x:c r="H374" s="1"/>
      <x:c r="I374" s="1"/>
      <x:c r="J374" s="1"/>
      <x:c r="K374" s="1"/>
    </x:row>
    <x:row r="375" ht="66" customHeight="1">
      <x:c r="A375" s="16" t="str">
        <x:v>FishBase: Atrobucca nibe</x:v>
      </x:c>
      <x:c r="B375" s="16" t="str">
        <x:v>Taxa: Atrobucca nibe. Classification; Environment; Size; Biology. Sciaenidae; demersal, maximum 45 cm SL, therefore exceeds 30 cm TL.</x:v>
      </x:c>
      <x:c r="C375" s="25" t="str">
        <x:v>https://www.fishbase.se/summary/Atrobucca-nibe.html</x:v>
      </x:c>
      <x:c r="D375" s="1"/>
      <x:c r="E375" s="1"/>
      <x:c r="F375" s="1"/>
      <x:c r="G375" s="1"/>
      <x:c r="H375" s="1"/>
      <x:c r="I375" s="1"/>
      <x:c r="J375" s="1"/>
      <x:c r="K375" s="1"/>
    </x:row>
    <x:row r="376" ht="66" customHeight="1">
      <x:c r="A376" s="16" t="str">
        <x:v>WoRMS: Exocoetidae</x:v>
      </x:c>
      <x:c r="B376" s="16" t="str">
        <x:v>Taxa: Exocoetidae. {"scientificname":"Exocoetidae","valid_name":"Exocoetidae","status":"accepted","family":"Exocoetidae","class":"Teleostei","phylum":"Chordata"}</x:v>
      </x:c>
      <x:c r="C376" s="25" t="str">
        <x:v>https://www.marinespecies.org/aphia.php?p=taxdetails&amp;id=125452</x:v>
      </x:c>
      <x:c r="D376" s="1"/>
      <x:c r="E376" s="1"/>
      <x:c r="F376" s="1"/>
      <x:c r="G376" s="1"/>
      <x:c r="H376" s="1"/>
      <x:c r="I376" s="1"/>
      <x:c r="J376" s="1"/>
      <x:c r="K376" s="1"/>
    </x:row>
    <x:row r="377" ht="66" customHeight="1">
      <x:c r="A377" s="16" t="str">
        <x:v>FishBase: Cheilopogon unicolor</x:v>
      </x:c>
      <x:c r="B377" s="16" t="str">
        <x:v>Taxa: Exocoetidae; Cheilopogon unicolor. Taxon-specific boundary evidence described in the rationale. Habitat: Marine;  pelagic-neritic; oceanodromous;; first maximum: 38 cm TL. Additional biology checked where material.</x:v>
      </x:c>
      <x:c r="C377" s="25" t="str">
        <x:v>https://www.fishbase.se/summary/Cheilopogon-unicolor.html</x:v>
      </x:c>
      <x:c r="D377" s="1"/>
      <x:c r="E377" s="1"/>
      <x:c r="F377" s="1"/>
      <x:c r="G377" s="1"/>
      <x:c r="H377" s="1"/>
      <x:c r="I377" s="1"/>
      <x:c r="J377" s="1"/>
      <x:c r="K377" s="1"/>
    </x:row>
    <x:row r="378" ht="66" customHeight="1">
      <x:c r="A378" s="16" t="str">
        <x:v>FishBase: Rhinecanthus verrucosus</x:v>
      </x:c>
      <x:c r="B378" s="16" t="str">
        <x:v>Taxa: Balistidae. Classification; Environment; Size; Biology. Balistidae; maximum 23 cm TL; Indo-West Pacific reef-flat/rubble habitat.</x:v>
      </x:c>
      <x:c r="C378" s="25" t="str">
        <x:v>https://www.fishbase.se/summary/Rhinecanthus-verrucosus.html</x:v>
      </x:c>
      <x:c r="D378" s="1"/>
      <x:c r="E378" s="1"/>
      <x:c r="F378" s="1"/>
      <x:c r="G378" s="1"/>
      <x:c r="H378" s="1"/>
      <x:c r="I378" s="1"/>
      <x:c r="J378" s="1"/>
      <x:c r="K378" s="1"/>
    </x:row>
    <x:row r="379" ht="66" customHeight="1">
      <x:c r="A379" s="16" t="str">
        <x:v>WoRMS: Bivalvia</x:v>
      </x:c>
      <x:c r="B379" s="16" t="str">
        <x:v>Taxa: Bivalvia. {"scientificname":"Bivalvia","valid_name":"Bivalvia","status":"accepted","family":null,"class":"Bivalvia","phylum":"Mollusca"}</x:v>
      </x:c>
      <x:c r="C379" s="25" t="str">
        <x:v>https://www.marinespecies.org/aphia.php?p=taxdetails&amp;id=105</x:v>
      </x:c>
      <x:c r="D379" s="1"/>
      <x:c r="E379" s="1"/>
      <x:c r="F379" s="1"/>
      <x:c r="G379" s="1"/>
      <x:c r="H379" s="1"/>
      <x:c r="I379" s="1"/>
      <x:c r="J379" s="1"/>
      <x:c r="K379" s="1"/>
    </x:row>
    <x:row r="380" ht="66" customHeight="1">
      <x:c r="A380" s="16" t="str">
        <x:v>WoRMS: Platycaranx talamparoides</x:v>
      </x:c>
      <x:c r="B380" s="16" t="str">
        <x:v>Taxa: Platycaranx talamparoides. {"scientificname":"Platycaranx talamparoides","valid_name":"Platycaranx talamparoides","status":"accepted","family":"Carangidae","class":"Teleostei","phylum":"Chordata"}</x:v>
      </x:c>
      <x:c r="C380" s="25" t="str">
        <x:v>https://www.marinespecies.org/aphia.php?p=taxdetails&amp;id=1803656</x:v>
      </x:c>
      <x:c r="D380" s="1"/>
      <x:c r="E380" s="1"/>
      <x:c r="F380" s="1"/>
      <x:c r="G380" s="1"/>
      <x:c r="H380" s="1"/>
      <x:c r="I380" s="1"/>
      <x:c r="J380" s="1"/>
      <x:c r="K380" s="1"/>
    </x:row>
    <x:row r="381" ht="66" customHeight="1">
      <x:c r="A381" s="16" t="str">
        <x:v>FishBase: Platycaranx talamparoides</x:v>
      </x:c>
      <x:c r="B381" s="16" t="str">
        <x:v>Taxa: Platycaranx talamparoides. Habitat: Marine;  reef-associated;; first maximum: 51 cm TL. Additional biology checked where material.</x:v>
      </x:c>
      <x:c r="C381" s="25" t="str">
        <x:v>https://www.fishbase.se/summary/Platycaranx-talamparoides.html</x:v>
      </x:c>
      <x:c r="D381" s="1"/>
      <x:c r="E381" s="1"/>
      <x:c r="F381" s="1"/>
      <x:c r="G381" s="1"/>
      <x:c r="H381" s="1"/>
      <x:c r="I381" s="1"/>
      <x:c r="J381" s="1"/>
      <x:c r="K381" s="1"/>
    </x:row>
    <x:row r="382" ht="66" customHeight="1">
      <x:c r="A382" s="16" t="str">
        <x:v>WoRMS: Sergestidae</x:v>
      </x:c>
      <x:c r="B382" s="16" t="str">
        <x:v>Taxa: Sergestidae. {"scientificname":"Sergestidae","valid_name":"Sergestidae","status":"accepted","family":"Sergestidae","class":"Malacostraca","phylum":"Arthropoda"}</x:v>
      </x:c>
      <x:c r="C382" s="25" t="str">
        <x:v>https://www.marinespecies.org/aphia.php?p=taxdetails&amp;id=106731</x:v>
      </x:c>
      <x:c r="D382" s="1"/>
      <x:c r="E382" s="1"/>
      <x:c r="F382" s="1"/>
      <x:c r="G382" s="1"/>
      <x:c r="H382" s="1"/>
      <x:c r="I382" s="1"/>
      <x:c r="J382" s="1"/>
      <x:c r="K382" s="1"/>
    </x:row>
    <x:row r="383" ht="66" customHeight="1">
      <x:c r="A383" s="16" t="str">
        <x:v>WoRMS: Tegillarca granosa</x:v>
      </x:c>
      <x:c r="B383" s="16" t="str">
        <x:v>Taxa: Tegillarca granosa. {"scientificname":"Tegillarca granosa","valid_name":"Tegillarca granosa","status":"accepted","family":"Arcidae","class":"Bivalvia","phylum":"Mollusca"}</x:v>
      </x:c>
      <x:c r="C383" s="25" t="str">
        <x:v>https://www.marinespecies.org/aphia.php?p=taxdetails&amp;id=504471</x:v>
      </x:c>
      <x:c r="D383" s="1"/>
      <x:c r="E383" s="1"/>
      <x:c r="F383" s="1"/>
      <x:c r="G383" s="1"/>
      <x:c r="H383" s="1"/>
      <x:c r="I383" s="1"/>
      <x:c r="J383" s="1"/>
      <x:c r="K383" s="1"/>
    </x:row>
    <x:row r="384" ht="66" customHeight="1">
      <x:c r="A384" s="16" t="str">
        <x:v>WoRMS: Penaeus latisulcatus</x:v>
      </x:c>
      <x:c r="B384" s="16" t="str">
        <x:v>Taxa: Penaeus latisulcatus. {"scientificname":"Penaeus latisulcatus","valid_name":"Penaeus (Oleopenaeus) latisulcatus","status":"superseded combination","family":"Penaeidae","class":"Malacostraca","phylum":"Arthropoda"}</x:v>
      </x:c>
      <x:c r="C384" s="25" t="str">
        <x:v>https://www.marinespecies.org/aphia.php?p=taxdetails&amp;id=210372</x:v>
      </x:c>
      <x:c r="D384" s="1"/>
      <x:c r="E384" s="1"/>
      <x:c r="F384" s="1"/>
      <x:c r="G384" s="1"/>
      <x:c r="H384" s="1"/>
      <x:c r="I384" s="1"/>
      <x:c r="J384" s="1"/>
      <x:c r="K384" s="1"/>
    </x:row>
    <x:row r="385" ht="66" customHeight="1">
      <x:c r="A385" s="16" t="str">
        <x:v>WoRMS: Palinuridae</x:v>
      </x:c>
      <x:c r="B385" s="16" t="str">
        <x:v>Taxa: Palinuridae. {"scientificname":"Palinuridae","valid_name":"Palinuridae","status":"accepted","family":"Palinuridae","class":"Malacostraca","phylum":"Arthropoda"}</x:v>
      </x:c>
      <x:c r="C385" s="25" t="str">
        <x:v>https://www.marinespecies.org/aphia.php?p=taxdetails&amp;id=106794</x:v>
      </x:c>
      <x:c r="D385" s="1"/>
      <x:c r="E385" s="1"/>
      <x:c r="F385" s="1"/>
      <x:c r="G385" s="1"/>
      <x:c r="H385" s="1"/>
      <x:c r="I385" s="1"/>
      <x:c r="J385" s="1"/>
      <x:c r="K385" s="1"/>
    </x:row>
    <x:row r="386" ht="66" customHeight="1">
      <x:c r="A386" s="16" t="str">
        <x:v>WoRMS: Echinoidea</x:v>
      </x:c>
      <x:c r="B386" s="16" t="str">
        <x:v>Taxa: Echinoidea. {"scientificname":"Echinoidea","valid_name":"Echinoidea","status":"accepted","family":null,"class":"Echinoidea","phylum":"Echinodermata"}</x:v>
      </x:c>
      <x:c r="C386" s="25" t="str">
        <x:v>https://www.marinespecies.org/aphia.php?p=taxdetails&amp;id=123082</x:v>
      </x:c>
      <x:c r="D386" s="1"/>
      <x:c r="E386" s="1"/>
      <x:c r="F386" s="1"/>
      <x:c r="G386" s="1"/>
      <x:c r="H386" s="1"/>
      <x:c r="I386" s="1"/>
      <x:c r="J386" s="1"/>
      <x:c r="K386" s="1"/>
    </x:row>
    <x:row r="387" ht="66" customHeight="1">
      <x:c r="A387" s="16" t="str">
        <x:v>FishBase: Beryx splendens</x:v>
      </x:c>
      <x:c r="B387" s="16" t="str">
        <x:v>Taxa: Berycidae; Beryx. Classification; Environment; Size; Biology. Berycidae; benthopelagic, maximum 70 cm TL; outer shelf/slope, usual depths 400–600 m, moving farther above bottom at night.</x:v>
      </x:c>
      <x:c r="C387" s="25" t="str">
        <x:v>https://www.fishbase.se/summary/Beryx-splendens.html</x:v>
      </x:c>
      <x:c r="D387" s="1"/>
      <x:c r="E387" s="1"/>
      <x:c r="F387" s="1"/>
      <x:c r="G387" s="1"/>
      <x:c r="H387" s="1"/>
      <x:c r="I387" s="1"/>
      <x:c r="J387" s="1"/>
      <x:c r="K387" s="1"/>
    </x:row>
    <x:row r="388" ht="66" customHeight="1">
      <x:c r="A388" s="16" t="str">
        <x:v>WoRMS: Megalops cyprinoides</x:v>
      </x:c>
      <x:c r="B388" s="16" t="str">
        <x:v>Taxa: Megalops cyprinoides. {"scientificname":"Megalops cyprinoides","valid_name":"Megalops cyprinoides","status":"accepted","family":"Megalopidae","class":"Teleostei","phylum":"Chordata"}</x:v>
      </x:c>
      <x:c r="C388" s="25" t="str">
        <x:v>https://www.marinespecies.org/aphia.php?p=taxdetails&amp;id=212253</x:v>
      </x:c>
      <x:c r="D388" s="1"/>
      <x:c r="E388" s="1"/>
      <x:c r="F388" s="1"/>
      <x:c r="G388" s="1"/>
      <x:c r="H388" s="1"/>
      <x:c r="I388" s="1"/>
      <x:c r="J388" s="1"/>
      <x:c r="K388" s="1"/>
    </x:row>
    <x:row r="389" ht="66" customHeight="1">
      <x:c r="A389" s="16" t="str">
        <x:v>FishBase: Megalops cyprinoides</x:v>
      </x:c>
      <x:c r="B389" s="16" t="str">
        <x:v>Taxa: Megalops cyprinoides. Habitat: Marine; freshwater; brackish;  benthopelagic; catadromous; first maximum: 150 cm TL. Additional biology checked where material.</x:v>
      </x:c>
      <x:c r="C389" s="25" t="str">
        <x:v>https://www.fishbase.se/summary/Megalops-cyprinoides.html</x:v>
      </x:c>
      <x:c r="D389" s="1"/>
      <x:c r="E389" s="1"/>
      <x:c r="F389" s="1"/>
      <x:c r="G389" s="1"/>
      <x:c r="H389" s="1"/>
      <x:c r="I389" s="1"/>
      <x:c r="J389" s="1"/>
      <x:c r="K389" s="1"/>
    </x:row>
    <x:row r="390" ht="66" customHeight="1">
      <x:c r="A390" s="16" t="str">
        <x:v>FishBase: Gymnocranius species accounts</x:v>
      </x:c>
      <x:c r="B390" s="16" t="str">
        <x:v>Taxa: Gymnocranius. G. frenatus, Size; Biology; Distribution. 35 cm TL in South China Sea; bottom sand/mud/rubble habitat. With regional griseus/elongatus/euanus/grandoculis accounts supports a large demersal genus.</x:v>
      </x:c>
      <x:c r="C390" s="25" t="str">
        <x:v>https://www.fishbase.se/summary/Gymnocranius-frenatus</x:v>
      </x:c>
      <x:c r="D390" s="1"/>
      <x:c r="E390" s="1"/>
      <x:c r="F390" s="1"/>
      <x:c r="G390" s="1"/>
      <x:c r="H390" s="1"/>
      <x:c r="I390" s="1"/>
      <x:c r="J390" s="1"/>
      <x:c r="K390" s="1"/>
    </x:row>
    <x:row r="391" ht="66" customHeight="1">
      <x:c r="A391" s="16" t="str">
        <x:v>FishBase: Gymnocranius griseus</x:v>
      </x:c>
      <x:c r="B391" s="16" t="str">
        <x:v>Taxa: Gymnocranius. Classification; Environment; Size; Biology. 35 cm TL, coastal bottom invertebrates.</x:v>
      </x:c>
      <x:c r="C391" s="25" t="str">
        <x:v>https://www.fishbase.se/summary/1833</x:v>
      </x:c>
      <x:c r="D391" s="1"/>
      <x:c r="E391" s="1"/>
      <x:c r="F391" s="1"/>
      <x:c r="G391" s="1"/>
      <x:c r="H391" s="1"/>
      <x:c r="I391" s="1"/>
      <x:c r="J391" s="1"/>
      <x:c r="K391" s="1"/>
    </x:row>
    <x:row r="392" ht="66" customHeight="1">
      <x:c r="A392" s="16" t="str">
        <x:v>FishBase: Gymnocranius grandoculis</x:v>
      </x:c>
      <x:c r="B392" s="16" t="str">
        <x:v>Taxa: Gymnocranius. Classification; Environment; Size; Biology. 80 cm TL, regional bottom-associated emperor.</x:v>
      </x:c>
      <x:c r="C392" s="25" t="str">
        <x:v>https://www.fishbase.se/summary/Gymnocranius-grandoculis</x:v>
      </x:c>
      <x:c r="D392" s="1"/>
      <x:c r="E392" s="1"/>
      <x:c r="F392" s="1"/>
      <x:c r="G392" s="1"/>
      <x:c r="H392" s="1"/>
      <x:c r="I392" s="1"/>
      <x:c r="J392" s="1"/>
      <x:c r="K392" s="1"/>
    </x:row>
    <x:row r="393" ht="66" customHeight="1">
      <x:c r="A393" s="16" t="str">
        <x:v>WoRMS: Caranx sexfasciatus</x:v>
      </x:c>
      <x:c r="B393" s="16" t="str">
        <x:v>Taxa: Caranx sexfasciatus. {"scientificname":"Caranx sexfasciatus","valid_name":"Caranx sexfasciatus","status":"accepted","family":"Carangidae","class":"Teleostei","phylum":"Chordata"}</x:v>
      </x:c>
      <x:c r="C393" s="25" t="str">
        <x:v>https://www.marinespecies.org/aphia.php?p=taxdetails&amp;id=218404</x:v>
      </x:c>
      <x:c r="D393" s="1"/>
      <x:c r="E393" s="1"/>
      <x:c r="F393" s="1"/>
      <x:c r="G393" s="1"/>
      <x:c r="H393" s="1"/>
      <x:c r="I393" s="1"/>
      <x:c r="J393" s="1"/>
      <x:c r="K393" s="1"/>
    </x:row>
    <x:row r="394" ht="66" customHeight="1">
      <x:c r="A394" s="16" t="str">
        <x:v>FishBase: Caranx sexfasciatus</x:v>
      </x:c>
      <x:c r="B394" s="16" t="str">
        <x:v>Taxa: Caranx sexfasciatus. Habitat: Marine; freshwater; brackish;  reef-associated; amphidromous;; first maximum: 120 cm TL. Additional biology checked where material.</x:v>
      </x:c>
      <x:c r="C394" s="25" t="str">
        <x:v>https://www.fishbase.se/summary/Caranx-sexfasciatus.html</x:v>
      </x:c>
      <x:c r="D394" s="1"/>
      <x:c r="E394" s="1"/>
      <x:c r="F394" s="1"/>
      <x:c r="G394" s="1"/>
      <x:c r="H394" s="1"/>
      <x:c r="I394" s="1"/>
      <x:c r="J394" s="1"/>
      <x:c r="K394" s="1"/>
    </x:row>
    <x:row r="395" ht="66" customHeight="1">
      <x:c r="A395" s="16" t="str">
        <x:v>FAO Indonesian fishery-resources catalogue</x:v>
      </x:c>
      <x:c r="B395" s="16" t="str">
        <x:v>Taxa: Caranx sexfasciatus. Shallow reef habitat described as benthopelagic.</x:v>
      </x:c>
      <x:c r="C395" s="25" t="str">
        <x:v>https://www.fao.org/4/an020e/an020e.pdf</x:v>
      </x:c>
      <x:c r="D395" s="1"/>
      <x:c r="E395" s="1"/>
      <x:c r="F395" s="1"/>
      <x:c r="G395" s="1"/>
      <x:c r="H395" s="1"/>
      <x:c r="I395" s="1"/>
      <x:c r="J395" s="1"/>
      <x:c r="K395" s="1"/>
    </x:row>
    <x:row r="396" ht="66" customHeight="1">
      <x:c r="A396" s="16" t="str">
        <x:v>WoRMS: Sepioteuthis lessoniana</x:v>
      </x:c>
      <x:c r="B396" s="16" t="str">
        <x:v>Taxa: Sepioteuthis lessoniana. {"scientificname":"Sepioteuthis lessoniana","valid_name":"Sepioteuthis lessoniana","status":"accepted","family":"Loliginidae","class":"Cephalopoda","phylum":"Mollusca"}</x:v>
      </x:c>
      <x:c r="C396" s="25" t="str">
        <x:v>https://www.marinespecies.org/aphia.php?p=taxdetails&amp;id=220317</x:v>
      </x:c>
      <x:c r="D396" s="1"/>
      <x:c r="E396" s="1"/>
      <x:c r="F396" s="1"/>
      <x:c r="G396" s="1"/>
      <x:c r="H396" s="1"/>
      <x:c r="I396" s="1"/>
      <x:c r="J396" s="1"/>
      <x:c r="K396" s="1"/>
    </x:row>
    <x:row r="397" ht="66" customHeight="1">
      <x:c r="A397" s="16" t="str">
        <x:v>WoRMS: Dussumieria elopsoides</x:v>
      </x:c>
      <x:c r="B397" s="16" t="str">
        <x:v>Taxa: Dussumieria elopsoides. {"scientificname":"Dussumieria elopsoides","valid_name":"Dussumieria elopsoides","status":"accepted","family":"Dussumieriidae","class":"Teleostei","phylum":"Chordata"}</x:v>
      </x:c>
      <x:c r="C397" s="25" t="str">
        <x:v>https://www.marinespecies.org/aphia.php?p=taxdetails&amp;id=212259</x:v>
      </x:c>
      <x:c r="D397" s="1"/>
      <x:c r="E397" s="1"/>
      <x:c r="F397" s="1"/>
      <x:c r="G397" s="1"/>
      <x:c r="H397" s="1"/>
      <x:c r="I397" s="1"/>
      <x:c r="J397" s="1"/>
      <x:c r="K397" s="1"/>
    </x:row>
    <x:row r="398" ht="66" customHeight="1">
      <x:c r="A398" s="16" t="str">
        <x:v>FishBase: Dussumieria elopsoides</x:v>
      </x:c>
      <x:c r="B398" s="16" t="str">
        <x:v>Taxa: Dussumieria elopsoides. Habitat: Marine;  pelagic-neritic;; first maximum: 20 cm SL. Additional biology checked where material.</x:v>
      </x:c>
      <x:c r="C398" s="25" t="str">
        <x:v>https://www.fishbase.se/summary/Dussumieria-elopsoides.html</x:v>
      </x:c>
      <x:c r="D398" s="1"/>
      <x:c r="E398" s="1"/>
      <x:c r="F398" s="1"/>
      <x:c r="G398" s="1"/>
      <x:c r="H398" s="1"/>
      <x:c r="I398" s="1"/>
      <x:c r="J398" s="1"/>
      <x:c r="K398" s="1"/>
    </x:row>
    <x:row r="399" ht="66" customHeight="1">
      <x:c r="A399" s="16" t="str">
        <x:v>FishBase: Ariomma indica</x:v>
      </x:c>
      <x:c r="B399" s="16" t="str">
        <x:v>Taxa: Ariomma indica. Classification; Environment; Size; Biology. Ariommatidae; benthopelagic with demersal daytime/pelagic nighttime behavior; maximum reported 25 cm SL does not by itself establish maximum TL ≤ 30.</x:v>
      </x:c>
      <x:c r="C399" s="25" t="str">
        <x:v>https://www.fishbase.se/summary/Ariomma-indica.html</x:v>
      </x:c>
      <x:c r="D399" s="1"/>
      <x:c r="E399" s="1"/>
      <x:c r="F399" s="1"/>
      <x:c r="G399" s="1"/>
      <x:c r="H399" s="1"/>
      <x:c r="I399" s="1"/>
      <x:c r="J399" s="1"/>
      <x:c r="K399" s="1"/>
    </x:row>
    <x:row r="400" ht="66" customHeight="1">
      <x:c r="A400" s="16" t="str">
        <x:v>FAO WCP guide: Ariommatidae</x:v>
      </x:c>
      <x:c r="B400" s="16" t="str">
        <x:v>Taxa: Ariomma indica. Ariomma indicum species account. Reports maximum about 25 cm standard length and mainly demersal shelf behavior; it is not a 25 cm total-length datum.</x:v>
      </x:c>
      <x:c r="C400" s="25" t="str">
        <x:v>https://www.fao.org/4/y0870e/y0870e42.pdf</x:v>
      </x:c>
      <x:c r="D400" s="1"/>
      <x:c r="E400" s="1"/>
      <x:c r="F400" s="1"/>
      <x:c r="G400" s="1"/>
      <x:c r="H400" s="1"/>
      <x:c r="I400" s="1"/>
      <x:c r="J400" s="1"/>
      <x:c r="K400" s="1"/>
    </x:row>
    <x:row r="401" ht="66" customHeight="1">
      <x:c r="A401" s="16" t="str">
        <x:v>WoRMS: Prionace glauca</x:v>
      </x:c>
      <x:c r="B401" s="16" t="str">
        <x:v>Taxa: Prionace glauca. {"scientificname":"Prionace glauca","valid_name":"Prionace glauca","status":"accepted","family":"Carcharhinidae","class":"Elasmobranchii","phylum":"Chordata"}</x:v>
      </x:c>
      <x:c r="C401" s="25" t="str">
        <x:v>https://www.marinespecies.org/aphia.php?p=taxdetails&amp;id=105801</x:v>
      </x:c>
      <x:c r="D401" s="1"/>
      <x:c r="E401" s="1"/>
      <x:c r="F401" s="1"/>
      <x:c r="G401" s="1"/>
      <x:c r="H401" s="1"/>
      <x:c r="I401" s="1"/>
      <x:c r="J401" s="1"/>
      <x:c r="K401" s="1"/>
    </x:row>
    <x:row r="402" ht="66" customHeight="1">
      <x:c r="A402" s="16" t="str">
        <x:v>FishBase: Prionace glauca</x:v>
      </x:c>
      <x:c r="B402" s="16" t="str">
        <x:v>Taxa: Prionace glauca. Habitat: Marine; brackish;  pelagic-oceanic; oceanodromous; first maximum: 400 cm TL. Additional biology checked where material.</x:v>
      </x:c>
      <x:c r="C402" s="25" t="str">
        <x:v>https://www.fishbase.se/summary/Prionace-glauca.html</x:v>
      </x:c>
      <x:c r="D402" s="1"/>
      <x:c r="E402" s="1"/>
      <x:c r="F402" s="1"/>
      <x:c r="G402" s="1"/>
      <x:c r="H402" s="1"/>
      <x:c r="I402" s="1"/>
      <x:c r="J402" s="1"/>
      <x:c r="K402" s="1"/>
    </x:row>
    <x:row r="403" ht="66" customHeight="1">
      <x:c r="A403" s="16" t="str">
        <x:v>WoRMS: Panulirus longipes</x:v>
      </x:c>
      <x:c r="B403" s="16" t="str">
        <x:v>Taxa: Panulirus longipes. {"scientificname":"Panulirus longipes","valid_name":"Panulirus longipes","status":"accepted","family":"Palinuridae","class":"Malacostraca","phylum":"Arthropoda"}</x:v>
      </x:c>
      <x:c r="C403" s="25" t="str">
        <x:v>https://www.marinespecies.org/aphia.php?p=taxdetails&amp;id=210354</x:v>
      </x:c>
      <x:c r="D403" s="1"/>
      <x:c r="E403" s="1"/>
      <x:c r="F403" s="1"/>
      <x:c r="G403" s="1"/>
      <x:c r="H403" s="1"/>
      <x:c r="I403" s="1"/>
      <x:c r="J403" s="1"/>
      <x:c r="K403" s="1"/>
    </x:row>
    <x:row r="404" ht="66" customHeight="1">
      <x:c r="A404" s="16" t="str">
        <x:v>WoRMS: Gnathanodon speciosus</x:v>
      </x:c>
      <x:c r="B404" s="16" t="str">
        <x:v>Taxa: Gnathanodon speciosus. {"scientificname":"Gnathanodon speciosus","valid_name":"Gnathanodon speciosus","status":"accepted","family":"Carangidae","class":"Teleostei","phylum":"Chordata"}</x:v>
      </x:c>
      <x:c r="C404" s="25" t="str">
        <x:v>https://www.marinespecies.org/aphia.php?p=taxdetails&amp;id=218429</x:v>
      </x:c>
      <x:c r="D404" s="1"/>
      <x:c r="E404" s="1"/>
      <x:c r="F404" s="1"/>
      <x:c r="G404" s="1"/>
      <x:c r="H404" s="1"/>
      <x:c r="I404" s="1"/>
      <x:c r="J404" s="1"/>
      <x:c r="K404" s="1"/>
    </x:row>
    <x:row r="405" ht="66" customHeight="1">
      <x:c r="A405" s="16" t="str">
        <x:v>WoRMS: Elops machnata</x:v>
      </x:c>
      <x:c r="B405" s="16" t="str">
        <x:v>Taxa: Elops machnata. {"scientificname":"Elops machnata","valid_name":"Elops machnata","status":"accepted","family":"Elopidae","class":"Teleostei","phylum":"Chordata"}</x:v>
      </x:c>
      <x:c r="C405" s="25" t="str">
        <x:v>https://www.marinespecies.org/aphia.php?p=taxdetails&amp;id=212252</x:v>
      </x:c>
      <x:c r="D405" s="1"/>
      <x:c r="E405" s="1"/>
      <x:c r="F405" s="1"/>
      <x:c r="G405" s="1"/>
      <x:c r="H405" s="1"/>
      <x:c r="I405" s="1"/>
      <x:c r="J405" s="1"/>
      <x:c r="K405" s="1"/>
    </x:row>
    <x:row r="406" ht="66" customHeight="1">
      <x:c r="A406" s="16" t="str">
        <x:v>FishBase: Elops machnata</x:v>
      </x:c>
      <x:c r="B406" s="16" t="str">
        <x:v>Taxa: Elops machnata. Habitat: Marine; brackish;  pelagic-neritic; oceanodromous. Tropical; 38°N -   37°S, 22°E -   153°W; first maximum: 118 cm FL. Additional biology checked where material.</x:v>
      </x:c>
      <x:c r="C406" s="25" t="str">
        <x:v>https://www.fishbase.se/summary/Elops-machnata.html</x:v>
      </x:c>
      <x:c r="D406" s="1"/>
      <x:c r="E406" s="1"/>
      <x:c r="F406" s="1"/>
      <x:c r="G406" s="1"/>
      <x:c r="H406" s="1"/>
      <x:c r="I406" s="1"/>
      <x:c r="J406" s="1"/>
      <x:c r="K406" s="1"/>
    </x:row>
    <x:row r="407" ht="66" customHeight="1">
      <x:c r="A407" s="16" t="str">
        <x:v>WoRMS: Dasyatidae</x:v>
      </x:c>
      <x:c r="B407" s="16" t="str">
        <x:v>Taxa: Dasyatidae. {"scientificname":"Dasyatidae","valid_name":"Dasyatidae","status":"accepted","family":"Dasyatidae","class":"Elasmobranchii","phylum":"Chordata"}</x:v>
      </x:c>
      <x:c r="C407" s="25" t="str">
        <x:v>https://www.marinespecies.org/aphia.php?p=taxdetails&amp;id=105708</x:v>
      </x:c>
      <x:c r="D407" s="1"/>
      <x:c r="E407" s="1"/>
      <x:c r="F407" s="1"/>
      <x:c r="G407" s="1"/>
      <x:c r="H407" s="1"/>
      <x:c r="I407" s="1"/>
      <x:c r="J407" s="1"/>
      <x:c r="K407" s="1"/>
    </x:row>
    <x:row r="408" ht="66" customHeight="1">
      <x:c r="A408" s="16" t="str">
        <x:v>Zacharia et al. (2011), pelagic stingray record</x:v>
      </x:c>
      <x:c r="B408" s="16" t="str">
        <x:v>Taxa: Dasyatidae. Pteroplatytrygon is a pelagic Dasyatidae ray; distribution includes the South China Sea.</x:v>
      </x:c>
      <x:c r="C408" s="25" t="str">
        <x:v>https://eprints.cmfri.org.in/8476/1/IJF_Zacharia_95-98.pdf</x:v>
      </x:c>
      <x:c r="D408" s="1"/>
      <x:c r="E408" s="1"/>
      <x:c r="F408" s="1"/>
      <x:c r="G408" s="1"/>
      <x:c r="H408" s="1"/>
      <x:c r="I408" s="1"/>
      <x:c r="J408" s="1"/>
      <x:c r="K408" s="1"/>
    </x:row>
    <x:row r="409" ht="66" customHeight="1">
      <x:c r="A409" s="16" t="str">
        <x:v>WoRMS: Penaeus monodon</x:v>
      </x:c>
      <x:c r="B409" s="16" t="str">
        <x:v>Taxa: Penaeus monodon. {"scientificname":"Penaeus monodon","valid_name":"Penaeus (Penaeus) monodon","status":"superseded combination","family":"Penaeidae","class":"Malacostraca","phylum":"Arthropoda"}</x:v>
      </x:c>
      <x:c r="C409" s="25" t="str">
        <x:v>https://www.marinespecies.org/aphia.php?p=taxdetails&amp;id=210378</x:v>
      </x:c>
      <x:c r="D409" s="1"/>
      <x:c r="E409" s="1"/>
      <x:c r="F409" s="1"/>
      <x:c r="G409" s="1"/>
      <x:c r="H409" s="1"/>
      <x:c r="I409" s="1"/>
      <x:c r="J409" s="1"/>
      <x:c r="K409" s="1"/>
    </x:row>
    <x:row r="410" ht="66" customHeight="1">
      <x:c r="A410" s="16" t="str">
        <x:v>WoRMS: Mytilidae</x:v>
      </x:c>
      <x:c r="B410" s="16" t="str">
        <x:v>Taxa: Mytilidae. {"scientificname":"Mytilidae","valid_name":"Mytilidae","status":"accepted","family":"Mytilidae","class":"Bivalvia","phylum":"Mollusca"}</x:v>
      </x:c>
      <x:c r="C410" s="25" t="str">
        <x:v>https://www.marinespecies.org/aphia.php?p=taxdetails&amp;id=211</x:v>
      </x:c>
      <x:c r="D410" s="1"/>
      <x:c r="E410" s="1"/>
      <x:c r="F410" s="1"/>
      <x:c r="G410" s="1"/>
      <x:c r="H410" s="1"/>
      <x:c r="I410" s="1"/>
      <x:c r="J410" s="1"/>
      <x:c r="K410" s="1"/>
    </x:row>
    <x:row r="411" ht="66" customHeight="1">
      <x:c r="A411" s="16" t="str">
        <x:v>WoRMS: Octopus</x:v>
      </x:c>
      <x:c r="B411" s="16" t="str">
        <x:v>Taxa: Octopus. {"scientificname":"Octopus","valid_name":"Octopus","status":"accepted","family":"Octopodidae","class":"Cephalopoda","phylum":"Mollusca"}</x:v>
      </x:c>
      <x:c r="C411" s="25" t="str">
        <x:v>https://www.marinespecies.org/aphia.php?p=taxdetails&amp;id=138268</x:v>
      </x:c>
      <x:c r="D411" s="1"/>
      <x:c r="E411" s="1"/>
      <x:c r="F411" s="1"/>
      <x:c r="G411" s="1"/>
      <x:c r="H411" s="1"/>
      <x:c r="I411" s="1"/>
      <x:c r="J411" s="1"/>
      <x:c r="K411" s="1"/>
    </x:row>
    <x:row r="412" ht="66" customHeight="1">
      <x:c r="A412" s="16" t="str">
        <x:v>WoRMS: Platycaranx malabaricus</x:v>
      </x:c>
      <x:c r="B412" s="16" t="str">
        <x:v>Taxa: Platycaranx malabaricus. {"scientificname":"Platycaranx malabaricus","valid_name":"Platycaranx malabaricus","status":"accepted","family":"Carangidae","class":"Teleostei","phylum":"Chordata"}</x:v>
      </x:c>
      <x:c r="C412" s="25" t="str">
        <x:v>https://www.marinespecies.org/aphia.php?p=taxdetails&amp;id=1802012</x:v>
      </x:c>
      <x:c r="D412" s="1"/>
      <x:c r="E412" s="1"/>
      <x:c r="F412" s="1"/>
      <x:c r="G412" s="1"/>
      <x:c r="H412" s="1"/>
      <x:c r="I412" s="1"/>
      <x:c r="J412" s="1"/>
      <x:c r="K412" s="1"/>
    </x:row>
    <x:row r="413" ht="66" customHeight="1">
      <x:c r="A413" s="16" t="str">
        <x:v>FishBase: Platycaranx malabaricus</x:v>
      </x:c>
      <x:c r="B413" s="16" t="str">
        <x:v>Taxa: Platycaranx malabaricus. Habitat: Marine;  reef-associated; amphidromous; first maximum: 60 cm TL. Additional biology checked where material.</x:v>
      </x:c>
      <x:c r="C413" s="25" t="str">
        <x:v>https://www.fishbase.se/summary/Platycaranx-malabaricus.html</x:v>
      </x:c>
      <x:c r="D413" s="1"/>
      <x:c r="E413" s="1"/>
      <x:c r="F413" s="1"/>
      <x:c r="G413" s="1"/>
      <x:c r="H413" s="1"/>
      <x:c r="I413" s="1"/>
      <x:c r="J413" s="1"/>
      <x:c r="K413" s="1"/>
    </x:row>
    <x:row r="414" ht="66" customHeight="1">
      <x:c r="A414" s="16" t="str">
        <x:v>WoRMS: Spratelloides gracilis</x:v>
      </x:c>
      <x:c r="B414" s="16" t="str">
        <x:v>Taxa: Spratelloides gracilis. {"scientificname":"Spratelloides gracilis","valid_name":"Spratelloides gracilis","status":"accepted","family":"Spratelloididae","class":"Teleostei","phylum":"Chordata"}</x:v>
      </x:c>
      <x:c r="C414" s="25" t="str">
        <x:v>https://www.marinespecies.org/aphia.php?p=taxdetails&amp;id=212263</x:v>
      </x:c>
      <x:c r="D414" s="1"/>
      <x:c r="E414" s="1"/>
      <x:c r="F414" s="1"/>
      <x:c r="G414" s="1"/>
      <x:c r="H414" s="1"/>
      <x:c r="I414" s="1"/>
      <x:c r="J414" s="1"/>
      <x:c r="K414" s="1"/>
    </x:row>
    <x:row r="415" ht="66" customHeight="1">
      <x:c r="A415" s="16" t="str">
        <x:v>FishBase: Spratelloides gracilis</x:v>
      </x:c>
      <x:c r="B415" s="16" t="str">
        <x:v>Taxa: Spratelloides gracilis. Habitat: Marine;  pelagic-neritic;; first maximum: 10.5 cm SL. Additional biology checked where material.</x:v>
      </x:c>
      <x:c r="C415" s="25" t="str">
        <x:v>https://www.fishbase.se/summary/Spratelloides-gracilis.html</x:v>
      </x:c>
      <x:c r="D415" s="1"/>
      <x:c r="E415" s="1"/>
      <x:c r="F415" s="1"/>
      <x:c r="G415" s="1"/>
      <x:c r="H415" s="1"/>
      <x:c r="I415" s="1"/>
      <x:c r="J415" s="1"/>
      <x:c r="K415" s="1"/>
    </x:row>
    <x:row r="416" ht="66" customHeight="1">
      <x:c r="A416" s="16" t="str">
        <x:v>WoRMS: Acanthuridae</x:v>
      </x:c>
      <x:c r="B416" s="16" t="str">
        <x:v>Taxa: Acanthuridae. {"scientificname":"Acanthuridae","valid_name":"Acanthuridae","status":"accepted","family":"Acanthuridae","class":"Teleostei","phylum":"Chordata"}</x:v>
      </x:c>
      <x:c r="C416" s="25" t="str">
        <x:v>https://www.marinespecies.org/aphia.php?p=taxdetails&amp;id=125515</x:v>
      </x:c>
      <x:c r="D416" s="1"/>
      <x:c r="E416" s="1"/>
      <x:c r="F416" s="1"/>
      <x:c r="G416" s="1"/>
      <x:c r="H416" s="1"/>
      <x:c r="I416" s="1"/>
      <x:c r="J416" s="1"/>
      <x:c r="K416" s="1"/>
    </x:row>
    <x:row r="417" ht="66" customHeight="1">
      <x:c r="A417" s="16" t="str">
        <x:v>FishBase: Acanthurus xanthopterus</x:v>
      </x:c>
      <x:c r="B417" s="16" t="str">
        <x:v>Taxa: Acanthuridae; Acanthurus. 70 cm TL maximum contradicts unconditional whole-genus/family small-fish containment; actual catch composition remains unknown.</x:v>
      </x:c>
      <x:c r="C417" s="25" t="str">
        <x:v>https://www.fishbase.se/summary/Acanthurus-xanthopterus.html</x:v>
      </x:c>
      <x:c r="D417" s="1"/>
      <x:c r="E417" s="1"/>
      <x:c r="F417" s="1"/>
      <x:c r="G417" s="1"/>
      <x:c r="H417" s="1"/>
      <x:c r="I417" s="1"/>
      <x:c r="J417" s="1"/>
      <x:c r="K417" s="1"/>
    </x:row>
    <x:row r="418" ht="66" customHeight="1">
      <x:c r="A418" s="16" t="str">
        <x:v>FAO WCP guide: Scatophagidae</x:v>
      </x:c>
      <x:c r="B418" s="16" t="str">
        <x:v>Taxa: Scatophagus. p.3623, Remarks. Only Scatophagus argus recognized in the regional genus account. A globally small congener is not automatically a regional component.</x:v>
      </x:c>
      <x:c r="C418" s="25" t="str">
        <x:v>https://www.fao.org/4/y0870e/y0870e26.pdf</x:v>
      </x:c>
      <x:c r="D418" s="1"/>
      <x:c r="E418" s="1"/>
      <x:c r="F418" s="1"/>
      <x:c r="G418" s="1"/>
      <x:c r="H418" s="1"/>
      <x:c r="I418" s="1"/>
      <x:c r="J418" s="1"/>
      <x:c r="K418" s="1"/>
    </x:row>
    <x:row r="419" ht="66" customHeight="1">
      <x:c r="A419" s="16" t="str">
        <x:v>FishBase: Scatophagus argus</x:v>
      </x:c>
      <x:c r="B419" s="16" t="str">
        <x:v>Taxa: Scatophagus; Scatophagus argus. Classification; Environment; Size; Biology. Demersal coastal/estuarine species, maximum 45 cm TL, not its common length of 20 cm TL.</x:v>
      </x:c>
      <x:c r="C419" s="25" t="str">
        <x:v>https://www.fishbase.se/summary/Scatophagus-argus.html</x:v>
      </x:c>
      <x:c r="D419" s="1"/>
      <x:c r="E419" s="1"/>
      <x:c r="F419" s="1"/>
      <x:c r="G419" s="1"/>
      <x:c r="H419" s="1"/>
      <x:c r="I419" s="1"/>
      <x:c r="J419" s="1"/>
      <x:c r="K419" s="1"/>
    </x:row>
    <x:row r="420" ht="66" customHeight="1">
      <x:c r="A420" s="16" t="str">
        <x:v>WoRMS: Solenocera crassicornis</x:v>
      </x:c>
      <x:c r="B420" s="16" t="str">
        <x:v>Taxa: Solenocera crassicornis. {"scientificname":"Solenocera crassicornis","valid_name":"Solenocera crassicornis","status":"accepted","family":"Solenoceridae","class":"Malacostraca","phylum":"Arthropoda"}</x:v>
      </x:c>
      <x:c r="C420" s="25" t="str">
        <x:v>https://www.marinespecies.org/aphia.php?p=taxdetails&amp;id=107119</x:v>
      </x:c>
      <x:c r="D420" s="1"/>
      <x:c r="E420" s="1"/>
      <x:c r="F420" s="1"/>
      <x:c r="G420" s="1"/>
      <x:c r="H420" s="1"/>
      <x:c r="I420" s="1"/>
      <x:c r="J420" s="1"/>
      <x:c r="K420" s="1"/>
    </x:row>
    <x:row r="421" ht="66" customHeight="1">
      <x:c r="A421" s="16" t="str">
        <x:v>WoRMS: Ambassidae</x:v>
      </x:c>
      <x:c r="B421" s="16" t="str">
        <x:v>Taxa: Ambassidae. {"scientificname":"Ambassidae","valid_name":"Ambassidae","status":"accepted","family":"Ambassidae","class":"Teleostei","phylum":"Chordata"}</x:v>
      </x:c>
      <x:c r="C421" s="25" t="str">
        <x:v>https://www.marinespecies.org/aphia.php?p=taxdetails&amp;id=151432</x:v>
      </x:c>
      <x:c r="D421" s="1"/>
      <x:c r="E421" s="1"/>
      <x:c r="F421" s="1"/>
      <x:c r="G421" s="1"/>
      <x:c r="H421" s="1"/>
      <x:c r="I421" s="1"/>
      <x:c r="J421" s="1"/>
      <x:c r="K421" s="1"/>
    </x:row>
    <x:row r="422" ht="66" customHeight="1">
      <x:c r="A422" s="16" t="str">
        <x:v>WoRMS: Stephanolepis cirrhifer</x:v>
      </x:c>
      <x:c r="B422" s="16" t="str">
        <x:v>Taxa: Stephanolepis cirrhifer. {"scientificname":"Stephanolepis cirrhifer","valid_name":"Stephanolepis cirrhifer","status":"accepted","family":"Monacanthidae","class":"Teleostei","phylum":"Chordata"}</x:v>
      </x:c>
      <x:c r="C422" s="25" t="str">
        <x:v>https://www.marinespecies.org/aphia.php?p=taxdetails&amp;id=275247</x:v>
      </x:c>
      <x:c r="D422" s="1"/>
      <x:c r="E422" s="1"/>
      <x:c r="F422" s="1"/>
      <x:c r="G422" s="1"/>
      <x:c r="H422" s="1"/>
      <x:c r="I422" s="1"/>
      <x:c r="J422" s="1"/>
      <x:c r="K422" s="1"/>
    </x:row>
    <x:row r="423" ht="66" customHeight="1">
      <x:c r="A423" s="16" t="str">
        <x:v>FishBase: Stephanolepis cirrhifer</x:v>
      </x:c>
      <x:c r="B423" s="16" t="str">
        <x:v>Taxa: Stephanolepis cirrhifer. Habitat: Marine;  demersal; oceanodromous; first maximum: 30 cm TL. Additional biology checked where material.</x:v>
      </x:c>
      <x:c r="C423" s="25" t="str">
        <x:v>https://www.fishbase.se/summary/Stephanolepis-cirrhifer.html</x:v>
      </x:c>
      <x:c r="D423" s="1"/>
      <x:c r="E423" s="1"/>
      <x:c r="F423" s="1"/>
      <x:c r="G423" s="1"/>
      <x:c r="H423" s="1"/>
      <x:c r="I423" s="1"/>
      <x:c r="J423" s="1"/>
      <x:c r="K423" s="1"/>
    </x:row>
    <x:row r="424" ht="66" customHeight="1">
      <x:c r="A424" s="16" t="str">
        <x:v>WoRMS: Amblygaster sirm</x:v>
      </x:c>
      <x:c r="B424" s="16" t="str">
        <x:v>Taxa: Amblygaster sirm. {"scientificname":"Amblygaster sirm","valid_name":"Amblygaster sirm","status":"accepted","family":"Dorosomatidae","class":"Teleostei","phylum":"Chordata"}</x:v>
      </x:c>
      <x:c r="C424" s="25" t="str">
        <x:v>https://www.marinespecies.org/aphia.php?p=taxdetails&amp;id=217439</x:v>
      </x:c>
      <x:c r="D424" s="1"/>
      <x:c r="E424" s="1"/>
      <x:c r="F424" s="1"/>
      <x:c r="G424" s="1"/>
      <x:c r="H424" s="1"/>
      <x:c r="I424" s="1"/>
      <x:c r="J424" s="1"/>
      <x:c r="K424" s="1"/>
    </x:row>
    <x:row r="425" ht="66" customHeight="1">
      <x:c r="A425" s="16" t="str">
        <x:v>FishBase: Amblygaster sirm</x:v>
      </x:c>
      <x:c r="B425" s="16" t="str">
        <x:v>Taxa: Amblygaster sirm. Habitat: Marine; brackish;  reef-associated;; first maximum: 27 cm SL. Additional biology checked where material.</x:v>
      </x:c>
      <x:c r="C425" s="25" t="str">
        <x:v>https://www.fishbase.se/summary/Amblygaster-sirm.html</x:v>
      </x:c>
      <x:c r="D425" s="1"/>
      <x:c r="E425" s="1"/>
      <x:c r="F425" s="1"/>
      <x:c r="G425" s="1"/>
      <x:c r="H425" s="1"/>
      <x:c r="I425" s="1"/>
      <x:c r="J425" s="1"/>
      <x:c r="K425" s="1"/>
    </x:row>
    <x:row r="426" ht="66" customHeight="1">
      <x:c r="A426" s="16" t="str">
        <x:v>FAO WCP guide: Ephippidae</x:v>
      </x:c>
      <x:c r="B426" s="16" t="str">
        <x:v>Taxa: Ephippidae. pp.3611–3618, species accounts. Ephippus orbis maximum 19 cm TL versus Platax batavianus 65 and P. orbicularis 50 cm TL; family crosses 30.</x:v>
      </x:c>
      <x:c r="C426" s="25" t="str">
        <x:v>https://www.fao.org/docrep/pdf/009/y0870e/y0870e25.pdf</x:v>
      </x:c>
      <x:c r="D426" s="1"/>
      <x:c r="E426" s="1"/>
      <x:c r="F426" s="1"/>
      <x:c r="G426" s="1"/>
      <x:c r="H426" s="1"/>
      <x:c r="I426" s="1"/>
      <x:c r="J426" s="1"/>
      <x:c r="K426" s="1"/>
    </x:row>
    <x:row r="427" ht="66" customHeight="1">
      <x:c r="A427" s="16" t="str">
        <x:v>WoRMS: Hilsa kelee</x:v>
      </x:c>
      <x:c r="B427" s="16" t="str">
        <x:v>Taxa: Hilsa kelee. {"scientificname":"Hilsa kelee","valid_name":"Hilsa kelee","status":"accepted","family":"Dorosomatidae","class":"Teleostei","phylum":"Chordata"}</x:v>
      </x:c>
      <x:c r="C427" s="25" t="str">
        <x:v>https://www.marinespecies.org/aphia.php?p=taxdetails&amp;id=212278</x:v>
      </x:c>
      <x:c r="D427" s="1"/>
      <x:c r="E427" s="1"/>
      <x:c r="F427" s="1"/>
      <x:c r="G427" s="1"/>
      <x:c r="H427" s="1"/>
      <x:c r="I427" s="1"/>
      <x:c r="J427" s="1"/>
      <x:c r="K427" s="1"/>
    </x:row>
    <x:row r="428" ht="66" customHeight="1">
      <x:c r="A428" s="16" t="str">
        <x:v>FishBase: Hilsa kelee</x:v>
      </x:c>
      <x:c r="B428" s="16" t="str">
        <x:v>Taxa: Hilsa kelee. Habitat: Marine; freshwater; brackish;  pelagic-neritic; anadromous; first maximum: 35 cm TL. Additional biology checked where material.</x:v>
      </x:c>
      <x:c r="C428" s="25" t="str">
        <x:v>https://www.fishbase.se/summary/Hilsa-kelee.html</x:v>
      </x:c>
      <x:c r="D428" s="1"/>
      <x:c r="E428" s="1"/>
      <x:c r="F428" s="1"/>
      <x:c r="G428" s="1"/>
      <x:c r="H428" s="1"/>
      <x:c r="I428" s="1"/>
      <x:c r="J428" s="1"/>
      <x:c r="K428" s="1"/>
    </x:row>
    <x:row r="429" ht="66" customHeight="1">
      <x:c r="A429" s="16" t="str">
        <x:v>WoRMS: Acanthurus</x:v>
      </x:c>
      <x:c r="B429" s="16" t="str">
        <x:v>Taxa: Acanthurus. {"scientificname":"Acanthurus","valid_name":"Acanthurus","status":"accepted","family":"Acanthuridae","class":"Teleostei","phylum":"Chordata"}</x:v>
      </x:c>
      <x:c r="C429" s="25" t="str">
        <x:v>https://www.marinespecies.org/aphia.php?p=taxdetails&amp;id=125908</x:v>
      </x:c>
      <x:c r="D429" s="1"/>
      <x:c r="E429" s="1"/>
      <x:c r="F429" s="1"/>
      <x:c r="G429" s="1"/>
      <x:c r="H429" s="1"/>
      <x:c r="I429" s="1"/>
      <x:c r="J429" s="1"/>
      <x:c r="K429" s="1"/>
    </x:row>
    <x:row r="430" ht="66" customHeight="1">
      <x:c r="A430" s="16" t="str">
        <x:v>WoRMS: Cypselurus</x:v>
      </x:c>
      <x:c r="B430" s="16" t="str">
        <x:v>Taxa: Cypselurus. {"scientificname":"Cypselurus","valid_name":"Cypselurus","status":"accepted","family":"Exocoetidae","class":"Teleostei","phylum":"Chordata"}</x:v>
      </x:c>
      <x:c r="C430" s="25" t="str">
        <x:v>https://www.marinespecies.org/aphia.php?p=taxdetails&amp;id=206252</x:v>
      </x:c>
      <x:c r="D430" s="1"/>
      <x:c r="E430" s="1"/>
      <x:c r="F430" s="1"/>
      <x:c r="G430" s="1"/>
      <x:c r="H430" s="1"/>
      <x:c r="I430" s="1"/>
      <x:c r="J430" s="1"/>
      <x:c r="K430" s="1"/>
    </x:row>
    <x:row r="431" ht="66" customHeight="1">
      <x:c r="A431" s="16" t="str">
        <x:v>FishBase Cypselurus inventory</x:v>
      </x:c>
      <x:c r="B431" s="16" t="str">
        <x:v>Taxa: Cypselurus. Genus composition and reported length metrics reviewed.</x:v>
      </x:c>
      <x:c r="C431" s="25" t="str">
        <x:v>https://www.fishbase.se/identification/SpeciesList.php?genus=Cypselurus</x:v>
      </x:c>
      <x:c r="D431" s="1"/>
      <x:c r="E431" s="1"/>
      <x:c r="F431" s="1"/>
      <x:c r="G431" s="1"/>
      <x:c r="H431" s="1"/>
      <x:c r="I431" s="1"/>
      <x:c r="J431" s="1"/>
      <x:c r="K431" s="1"/>
    </x:row>
    <x:row r="432" ht="66" customHeight="1">
      <x:c r="A432" s="16" t="str">
        <x:v>WoRMS: Cephea</x:v>
      </x:c>
      <x:c r="B432" s="16" t="str">
        <x:v>Taxa: Cephea. {"scientificname":"Cephea","valid_name":"Cephea","status":"accepted","family":"Cepheidae","class":"Scyphozoa","phylum":"Cnidaria"}</x:v>
      </x:c>
      <x:c r="C432" s="25" t="str">
        <x:v>https://www.marinespecies.org/aphia.php?p=taxdetails&amp;id=206918</x:v>
      </x:c>
      <x:c r="D432" s="1"/>
      <x:c r="E432" s="1"/>
      <x:c r="F432" s="1"/>
      <x:c r="G432" s="1"/>
      <x:c r="H432" s="1"/>
      <x:c r="I432" s="1"/>
      <x:c r="J432" s="1"/>
      <x:c r="K432" s="1"/>
    </x:row>
    <x:row r="433" ht="66" customHeight="1">
      <x:c r="A433" s="16" t="str">
        <x:v>WoRMS: Hyporhamphus sajori</x:v>
      </x:c>
      <x:c r="B433" s="16" t="str">
        <x:v>Taxa: Hyporhamphus sajori. {"scientificname":"Hyporhamphus sajori","valid_name":"Hyporhamphus sajori","status":"accepted","family":"Hemiramphidae","class":"Teleostei","phylum":"Chordata"}</x:v>
      </x:c>
      <x:c r="C433" s="25" t="str">
        <x:v>https://www.marinespecies.org/aphia.php?p=taxdetails&amp;id=272196</x:v>
      </x:c>
      <x:c r="D433" s="1"/>
      <x:c r="E433" s="1"/>
      <x:c r="F433" s="1"/>
      <x:c r="G433" s="1"/>
      <x:c r="H433" s="1"/>
      <x:c r="I433" s="1"/>
      <x:c r="J433" s="1"/>
      <x:c r="K433" s="1"/>
    </x:row>
    <x:row r="434" ht="66" customHeight="1">
      <x:c r="A434" s="16" t="str">
        <x:v>FishBase: Hyporhamphus sajori</x:v>
      </x:c>
      <x:c r="B434" s="16" t="str">
        <x:v>Taxa: Hyporhamphus sajori. Habitat: Marine; freshwater; brackish;  pelagic-neritic; amphidromous;; first maximum: 40 cm TL. Additional biology checked where material.</x:v>
      </x:c>
      <x:c r="C434" s="25" t="str">
        <x:v>https://www.fishbase.se/summary/Hyporhamphus-sajori.html</x:v>
      </x:c>
      <x:c r="D434" s="1"/>
      <x:c r="E434" s="1"/>
      <x:c r="F434" s="1"/>
      <x:c r="G434" s="1"/>
      <x:c r="H434" s="1"/>
      <x:c r="I434" s="1"/>
      <x:c r="J434" s="1"/>
      <x:c r="K434" s="1"/>
    </x:row>
    <x:row r="435" ht="66" customHeight="1">
      <x:c r="A435" s="16" t="str">
        <x:v>WoRMS: Sardinella zunasi</x:v>
      </x:c>
      <x:c r="B435" s="16" t="str">
        <x:v>Taxa: Sardinella zunasi. {"scientificname":"Sardinella zunasi","valid_name":"Sardinella zunasi","status":"accepted","family":"Dorosomatidae","class":"Teleostei","phylum":"Chordata"}</x:v>
      </x:c>
      <x:c r="C435" s="25" t="str">
        <x:v>https://www.marinespecies.org/aphia.php?p=taxdetails&amp;id=272277</x:v>
      </x:c>
      <x:c r="D435" s="1"/>
      <x:c r="E435" s="1"/>
      <x:c r="F435" s="1"/>
      <x:c r="G435" s="1"/>
      <x:c r="H435" s="1"/>
      <x:c r="I435" s="1"/>
      <x:c r="J435" s="1"/>
      <x:c r="K435" s="1"/>
    </x:row>
    <x:row r="436" ht="66" customHeight="1">
      <x:c r="A436" s="16" t="str">
        <x:v>FishBase: Sardinella zunasi</x:v>
      </x:c>
      <x:c r="B436" s="16" t="str">
        <x:v>Taxa: Sardinella zunasi. Habitat: Marine;  pelagic-neritic; oceanodromous; first maximum: 18 cm TL. Additional biology checked where material.</x:v>
      </x:c>
      <x:c r="C436" s="25" t="str">
        <x:v>https://www.fishbase.se/summary/Sardinella-zunasi.html</x:v>
      </x:c>
      <x:c r="D436" s="1"/>
      <x:c r="E436" s="1"/>
      <x:c r="F436" s="1"/>
      <x:c r="G436" s="1"/>
      <x:c r="H436" s="1"/>
      <x:c r="I436" s="1"/>
      <x:c r="J436" s="1"/>
      <x:c r="K436" s="1"/>
    </x:row>
    <x:row r="437" ht="66" customHeight="1">
      <x:c r="A437" s="16" t="str">
        <x:v>WoRMS: Pellona ditchela</x:v>
      </x:c>
      <x:c r="B437" s="16" t="str">
        <x:v>Taxa: Pellona ditchela. {"scientificname":"Pellona ditchela","valid_name":"Pellona ditchela","status":"accepted","family":"Pristigasteridae","class":"Teleostei","phylum":"Chordata"}</x:v>
      </x:c>
      <x:c r="C437" s="25" t="str">
        <x:v>https://www.marinespecies.org/aphia.php?p=taxdetails&amp;id=212279</x:v>
      </x:c>
      <x:c r="D437" s="1"/>
      <x:c r="E437" s="1"/>
      <x:c r="F437" s="1"/>
      <x:c r="G437" s="1"/>
      <x:c r="H437" s="1"/>
      <x:c r="I437" s="1"/>
      <x:c r="J437" s="1"/>
      <x:c r="K437" s="1"/>
    </x:row>
    <x:row r="438" ht="66" customHeight="1">
      <x:c r="A438" s="16" t="str">
        <x:v>FishBase: Pellona ditchela</x:v>
      </x:c>
      <x:c r="B438" s="16" t="str">
        <x:v>Taxa: Pellona ditchela. Habitat: Marine; freshwater; brackish;  pelagic-neritic; anadromous; first maximum: 16 cm SL. Additional biology checked where material.</x:v>
      </x:c>
      <x:c r="C438" s="25" t="str">
        <x:v>https://www.fishbase.se/summary/Pellona-ditchela.html</x:v>
      </x:c>
      <x:c r="D438" s="1"/>
      <x:c r="E438" s="1"/>
      <x:c r="F438" s="1"/>
      <x:c r="G438" s="1"/>
      <x:c r="H438" s="1"/>
      <x:c r="I438" s="1"/>
      <x:c r="J438" s="1"/>
      <x:c r="K438" s="1"/>
    </x:row>
    <x:row r="439" ht="66" customHeight="1">
      <x:c r="A439" s="16" t="str">
        <x:v>WoRMS: Apostichopus japonicus</x:v>
      </x:c>
      <x:c r="B439" s="16" t="str">
        <x:v>Taxa: Apostichopus japonicus. {"scientificname":"Apostichopus japonicus","valid_name":"Apostichopus japonicus","status":"accepted","family":"Stichopodidae","class":"Holothuroidea","phylum":"Echinodermata"}</x:v>
      </x:c>
      <x:c r="C439" s="25" t="str">
        <x:v>https://www.marinespecies.org/aphia.php?p=taxdetails&amp;id=241776</x:v>
      </x:c>
      <x:c r="D439" s="1"/>
      <x:c r="E439" s="1"/>
      <x:c r="F439" s="1"/>
      <x:c r="G439" s="1"/>
      <x:c r="H439" s="1"/>
      <x:c r="I439" s="1"/>
      <x:c r="J439" s="1"/>
      <x:c r="K439" s="1"/>
    </x:row>
    <x:row r="440" ht="66" customHeight="1">
      <x:c r="A440" s="16" t="str">
        <x:v>WoRMS: Panulirus polyphagus</x:v>
      </x:c>
      <x:c r="B440" s="16" t="str">
        <x:v>Taxa: Panulirus polyphagus. {"scientificname":"Panulirus polyphagus","valid_name":"Panulirus polyphagus","status":"accepted","family":"Palinuridae","class":"Malacostraca","phylum":"Arthropoda"}</x:v>
      </x:c>
      <x:c r="C440" s="25" t="str">
        <x:v>https://www.marinespecies.org/aphia.php?p=taxdetails&amp;id=382902</x:v>
      </x:c>
      <x:c r="D440" s="1"/>
      <x:c r="E440" s="1"/>
      <x:c r="F440" s="1"/>
      <x:c r="G440" s="1"/>
      <x:c r="H440" s="1"/>
      <x:c r="I440" s="1"/>
      <x:c r="J440" s="1"/>
      <x:c r="K440" s="1"/>
    </x:row>
    <x:row r="441" ht="66" customHeight="1">
      <x:c r="A441" s="16" t="str">
        <x:v>WoRMS: Penaeus penicillatus</x:v>
      </x:c>
      <x:c r="B441" s="16" t="str">
        <x:v>Taxa: Penaeus penicillatus. {"scientificname":"Penaeus penicillatus","valid_name":"Penaeus (Fenneropenaeus) penicillatus","status":"superseded combination","family":"Penaeidae","class":"Malacostraca","phylum":"Arthropoda"}</x:v>
      </x:c>
      <x:c r="C441" s="25" t="str">
        <x:v>https://www.marinespecies.org/aphia.php?p=taxdetails&amp;id=210373</x:v>
      </x:c>
      <x:c r="D441" s="1"/>
      <x:c r="E441" s="1"/>
      <x:c r="F441" s="1"/>
      <x:c r="G441" s="1"/>
      <x:c r="H441" s="1"/>
      <x:c r="I441" s="1"/>
      <x:c r="J441" s="1"/>
      <x:c r="K441" s="1"/>
    </x:row>
    <x:row r="442" ht="66" customHeight="1">
      <x:c r="A442" s="16" t="str">
        <x:v>WoRMS: Sardinella albella</x:v>
      </x:c>
      <x:c r="B442" s="16" t="str">
        <x:v>Taxa: Sardinella albella. {"scientificname":"Sardinella albella","valid_name":"Sardinella albella","status":"accepted","family":"Dorosomatidae","class":"Teleostei","phylum":"Chordata"}</x:v>
      </x:c>
      <x:c r="C442" s="25" t="str">
        <x:v>https://www.marinespecies.org/aphia.php?p=taxdetails&amp;id=212268</x:v>
      </x:c>
      <x:c r="D442" s="1"/>
      <x:c r="E442" s="1"/>
      <x:c r="F442" s="1"/>
      <x:c r="G442" s="1"/>
      <x:c r="H442" s="1"/>
      <x:c r="I442" s="1"/>
      <x:c r="J442" s="1"/>
      <x:c r="K442" s="1"/>
    </x:row>
    <x:row r="443" ht="66" customHeight="1">
      <x:c r="A443" s="16" t="str">
        <x:v>FishBase: Sardinella albella</x:v>
      </x:c>
      <x:c r="B443" s="16" t="str">
        <x:v>Taxa: Sardinella albella. Habitat: Marine; brackish;  pelagic-neritic;; first maximum: 15 cm TL. Additional biology checked where material.</x:v>
      </x:c>
      <x:c r="C443" s="25" t="str">
        <x:v>https://www.fishbase.se/summary/Sardinella-albella.html</x:v>
      </x:c>
      <x:c r="D443" s="1"/>
      <x:c r="E443" s="1"/>
      <x:c r="F443" s="1"/>
      <x:c r="G443" s="1"/>
      <x:c r="H443" s="1"/>
      <x:c r="I443" s="1"/>
      <x:c r="J443" s="1"/>
      <x:c r="K443" s="1"/>
    </x:row>
    <x:row r="444" ht="66" customHeight="1">
      <x:c r="A444" s="16" t="str">
        <x:v>WoRMS: Chaetodontidae</x:v>
      </x:c>
      <x:c r="B444" s="16" t="str">
        <x:v>Taxa: Chaetodontidae. {"scientificname":"Chaetodontidae","valid_name":"Chaetodontidae","status":"accepted","family":"Chaetodontidae","class":"Teleostei","phylum":"Chordata"}</x:v>
      </x:c>
      <x:c r="C444" s="25" t="str">
        <x:v>https://www.marinespecies.org/aphia.php?p=taxdetails&amp;id=125528</x:v>
      </x:c>
      <x:c r="D444" s="1"/>
      <x:c r="E444" s="1"/>
      <x:c r="F444" s="1"/>
      <x:c r="G444" s="1"/>
      <x:c r="H444" s="1"/>
      <x:c r="I444" s="1"/>
      <x:c r="J444" s="1"/>
      <x:c r="K444" s="1"/>
    </x:row>
    <x:row r="445" ht="66" customHeight="1">
      <x:c r="A445" s="16" t="str">
        <x:v>FishBase: Halichoeres trimaculatus</x:v>
      </x:c>
      <x:c r="B445" s="16" t="str">
        <x:v>Taxa: Labridae. Classification; Environment; Size; Biology. Labridae; maximum 27 cm TL, sand/rubble-dwelling prey in Indo-Pacific shallow reefs.</x:v>
      </x:c>
      <x:c r="C445" s="25" t="str">
        <x:v>https://www.fishbase.se/summary/Halichoeres-trimaculatus.html</x:v>
      </x:c>
      <x:c r="D445" s="1"/>
      <x:c r="E445" s="1"/>
      <x:c r="F445" s="1"/>
      <x:c r="G445" s="1"/>
      <x:c r="H445" s="1"/>
      <x:c r="I445" s="1"/>
      <x:c r="J445" s="1"/>
      <x:c r="K445" s="1"/>
    </x:row>
    <x:row r="446" ht="66" customHeight="1">
      <x:c r="A446" s="16" t="str">
        <x:v>WoRMS: Batoidea</x:v>
      </x:c>
      <x:c r="B446" s="16" t="str">
        <x:v>Taxa: Batoidea. {"scientificname":"Batoidea","valid_name":"Batoidea","status":"accepted","family":null,"class":"Elasmobranchii","phylum":"Chordata"}</x:v>
      </x:c>
      <x:c r="C446" s="25" t="str">
        <x:v>https://www.marinespecies.org/aphia.php?p=taxdetails&amp;id=368409</x:v>
      </x:c>
      <x:c r="D446" s="1"/>
      <x:c r="E446" s="1"/>
      <x:c r="F446" s="1"/>
      <x:c r="G446" s="1"/>
      <x:c r="H446" s="1"/>
      <x:c r="I446" s="1"/>
      <x:c r="J446" s="1"/>
      <x:c r="K446" s="1"/>
    </x:row>
    <x:row r="447" ht="66" customHeight="1">
      <x:c r="A447" s="16" t="str">
        <x:v>WoRMS: Pteriomorphia</x:v>
      </x:c>
      <x:c r="B447" s="16" t="str">
        <x:v>Taxa: Pteriomorphia. {"scientificname":"Pteriomorphia","valid_name":"Pteriomorphia","status":"accepted","family":null,"class":"Bivalvia","phylum":"Mollusca"}</x:v>
      </x:c>
      <x:c r="C447" s="25" t="str">
        <x:v>https://www.marinespecies.org/aphia.php?p=taxdetails&amp;id=206</x:v>
      </x:c>
      <x:c r="D447" s="1"/>
      <x:c r="E447" s="1"/>
      <x:c r="F447" s="1"/>
      <x:c r="G447" s="1"/>
      <x:c r="H447" s="1"/>
      <x:c r="I447" s="1"/>
      <x:c r="J447" s="1"/>
      <x:c r="K447" s="1"/>
    </x:row>
    <x:row r="448" ht="66" customHeight="1">
      <x:c r="A448" s="16" t="str">
        <x:v>WoRMS: Macolor</x:v>
      </x:c>
      <x:c r="B448" s="16" t="str">
        <x:v>Taxa: Macolor. {"scientificname":"Macolor","valid_name":"Macolor","status":"accepted","family":"Lutjanidae","class":"Teleostei","phylum":"Chordata"}</x:v>
      </x:c>
      <x:c r="C448" s="25" t="str">
        <x:v>https://www.marinespecies.org/aphia.php?p=taxdetails&amp;id=206707</x:v>
      </x:c>
      <x:c r="D448" s="1"/>
      <x:c r="E448" s="1"/>
      <x:c r="F448" s="1"/>
      <x:c r="G448" s="1"/>
      <x:c r="H448" s="1"/>
      <x:c r="I448" s="1"/>
      <x:c r="J448" s="1"/>
      <x:c r="K448" s="1"/>
    </x:row>
    <x:row r="449" ht="66" customHeight="1">
      <x:c r="A449" s="16" t="str">
        <x:v>FishBase: Scarus fuscocaudalis</x:v>
      </x:c>
      <x:c r="B449" s="16" t="str">
        <x:v>Taxa: Scarus; Scaridae. Classification; Environment; Size; Biology. Maximum 25 cm TL; Ryukyus and Philippines. This is a regional small-species counterexample to an all-large Scarus/Scaridae assignment.</x:v>
      </x:c>
      <x:c r="C449" s="25" t="str">
        <x:v>https://www.fishbase.se/summary/Scarus-fuscocaudalis</x:v>
      </x:c>
      <x:c r="D449" s="1"/>
      <x:c r="E449" s="1"/>
      <x:c r="F449" s="1"/>
      <x:c r="G449" s="1"/>
      <x:c r="H449" s="1"/>
      <x:c r="I449" s="1"/>
      <x:c r="J449" s="1"/>
      <x:c r="K449" s="1"/>
    </x:row>
    <x:row r="450" ht="66" customHeight="1">
      <x:c r="A450" s="16" t="str">
        <x:v>FishBase: Scarus species list</x:v>
      </x:c>
      <x:c r="B450" s="16" t="str">
        <x:v>Taxa: Scarus; Scaridae. Species length/distribution table. Species span small and large body sizes.</x:v>
      </x:c>
      <x:c r="C450" s="25" t="str">
        <x:v>https://www.fishbase.se/identification/SpeciesList.php?genus=Scarus</x:v>
      </x:c>
      <x:c r="D450" s="1"/>
      <x:c r="E450" s="1"/>
      <x:c r="F450" s="1"/>
      <x:c r="G450" s="1"/>
      <x:c r="H450" s="1"/>
      <x:c r="I450" s="1"/>
      <x:c r="J450" s="1"/>
      <x:c r="K450" s="1"/>
    </x:row>
    <x:row r="451" ht="66" customHeight="1">
      <x:c r="A451" s="16" t="str">
        <x:v>FishBase: Nibea albiflora</x:v>
      </x:c>
      <x:c r="B451" s="16" t="str">
        <x:v>Taxa: Nibea albiflora. Classification; Environment; Size; Biology. Sciaenidae; maximum 43.5 cm SL; nearshore mud/benthopelagic habitat does not override dedicated croaker pool.</x:v>
      </x:c>
      <x:c r="C451" s="25" t="str">
        <x:v>https://www.fishbase.se/summary/Nibea-albiflora.html</x:v>
      </x:c>
      <x:c r="D451" s="1"/>
      <x:c r="E451" s="1"/>
      <x:c r="F451" s="1"/>
      <x:c r="G451" s="1"/>
      <x:c r="H451" s="1"/>
      <x:c r="I451" s="1"/>
      <x:c r="J451" s="1"/>
      <x:c r="K451" s="1"/>
    </x:row>
    <x:row r="452" ht="66" customHeight="1">
      <x:c r="A452" s="16" t="str">
        <x:v>WoRMS: Carcharhinus longimanus</x:v>
      </x:c>
      <x:c r="B452" s="16" t="str">
        <x:v>Taxa: Carcharhinus longimanus. {"scientificname":"Carcharhinus longimanus","valid_name":"Carcharhinus longimanus","status":"accepted","family":"Carcharhinidae","class":"Elasmobranchii","phylum":"Chordata"}</x:v>
      </x:c>
      <x:c r="C452" s="25" t="str">
        <x:v>https://www.marinespecies.org/aphia.php?p=taxdetails&amp;id=105794</x:v>
      </x:c>
      <x:c r="D452" s="1"/>
      <x:c r="E452" s="1"/>
      <x:c r="F452" s="1"/>
      <x:c r="G452" s="1"/>
      <x:c r="H452" s="1"/>
      <x:c r="I452" s="1"/>
      <x:c r="J452" s="1"/>
      <x:c r="K452" s="1"/>
    </x:row>
    <x:row r="453" ht="66" customHeight="1">
      <x:c r="A453" s="16" t="str">
        <x:v>FishBase: Carcharhinus longimanus</x:v>
      </x:c>
      <x:c r="B453" s="16" t="str">
        <x:v>Taxa: Carcharhinus longimanus. Habitat: Marine;  pelagic-oceanic; oceanodromous; first maximum: 400 cm TL. Additional biology checked where material.</x:v>
      </x:c>
      <x:c r="C453" s="25" t="str">
        <x:v>https://www.fishbase.se/summary/Carcharhinus-longimanus.html</x:v>
      </x:c>
      <x:c r="D453" s="1"/>
      <x:c r="E453" s="1"/>
      <x:c r="F453" s="1"/>
      <x:c r="G453" s="1"/>
      <x:c r="H453" s="1"/>
      <x:c r="I453" s="1"/>
      <x:c r="J453" s="1"/>
      <x:c r="K453" s="1"/>
    </x:row>
    <x:row r="454" ht="66" customHeight="1">
      <x:c r="A454" s="16" t="str">
        <x:v>WoRMS: Panulirus</x:v>
      </x:c>
      <x:c r="B454" s="16" t="str">
        <x:v>Taxa: Panulirus. {"scientificname":"Panulirus","valid_name":"Panulirus","status":"accepted","family":"Palinuridae","class":"Malacostraca","phylum":"Arthropoda"}</x:v>
      </x:c>
      <x:c r="C454" s="25" t="str">
        <x:v>https://www.marinespecies.org/aphia.php?p=taxdetails&amp;id=107060</x:v>
      </x:c>
      <x:c r="D454" s="1"/>
      <x:c r="E454" s="1"/>
      <x:c r="F454" s="1"/>
      <x:c r="G454" s="1"/>
      <x:c r="H454" s="1"/>
      <x:c r="I454" s="1"/>
      <x:c r="J454" s="1"/>
      <x:c r="K454" s="1"/>
    </x:row>
    <x:row r="455" ht="66" customHeight="1">
      <x:c r="A455" s="16" t="str">
        <x:v>Underkoffler et al. (2018), A taxonomic review of Lampris guttatus</x:v>
      </x:c>
      <x:c r="B455" s="16" t="str">
        <x:v>Taxa: Lampris guttatus. Abstract and taxonomic scope. Historical L. guttatus encompassed several species; the catch name cannot be silently reassigned to a newly split species.</x:v>
      </x:c>
      <x:c r="C455" s="25" t="str">
        <x:v>https://pubmed.ncbi.nlm.nih.gov/29690102/</x:v>
      </x:c>
      <x:c r="D455" s="1"/>
      <x:c r="E455" s="1"/>
      <x:c r="F455" s="1"/>
      <x:c r="G455" s="1"/>
      <x:c r="H455" s="1"/>
      <x:c r="I455" s="1"/>
      <x:c r="J455" s="1"/>
      <x:c r="K455" s="1"/>
    </x:row>
    <x:row r="456" ht="66" customHeight="1">
      <x:c r="A456" s="16" t="str">
        <x:v>NOAA Fisheries, Clues from a fish auction reveal several new species of opah</x:v>
      </x:c>
      <x:c r="B456" s="16" t="str">
        <x:v>Taxa: Lampris guttatus. Taxonomy and habitat discussion. Official account describes offshore, deep-living opahs and revision of historical species identification.</x:v>
      </x:c>
      <x:c r="C456" s="25" t="str">
        <x:v>https://www.fisheries.noaa.gov/feature-story/clues-fish-auction-reveal-several-new-species-opah</x:v>
      </x:c>
      <x:c r="D456" s="1"/>
      <x:c r="E456" s="1"/>
      <x:c r="F456" s="1"/>
      <x:c r="G456" s="1"/>
      <x:c r="H456" s="1"/>
      <x:c r="I456" s="1"/>
      <x:c r="J456" s="1"/>
      <x:c r="K456" s="1"/>
    </x:row>
    <x:row r="457" ht="66" customHeight="1">
      <x:c r="A457" s="16" t="str">
        <x:v>WoRMS: Perna viridis</x:v>
      </x:c>
      <x:c r="B457" s="16" t="str">
        <x:v>Taxa: Perna viridis. {"scientificname":"Perna viridis","valid_name":"Perna viridis","status":"accepted","family":"Mytilidae","class":"Bivalvia","phylum":"Mollusca"}</x:v>
      </x:c>
      <x:c r="C457" s="25" t="str">
        <x:v>https://www.marinespecies.org/aphia.php?p=taxdetails&amp;id=367822</x:v>
      </x:c>
      <x:c r="D457" s="1"/>
      <x:c r="E457" s="1"/>
      <x:c r="F457" s="1"/>
      <x:c r="G457" s="1"/>
      <x:c r="H457" s="1"/>
      <x:c r="I457" s="1"/>
      <x:c r="J457" s="1"/>
      <x:c r="K457" s="1"/>
    </x:row>
    <x:row r="458" ht="66" customHeight="1">
      <x:c r="A458" s="16" t="str">
        <x:v>WoRMS: Ruditapes philippinarum</x:v>
      </x:c>
      <x:c r="B458" s="16" t="str">
        <x:v>Taxa: Ruditapes philippinarum. {"scientificname":"Ruditapes philippinarum","valid_name":"Ruditapes philippinarum","status":"accepted","family":"Veneridae","class":"Bivalvia","phylum":"Mollusca"}</x:v>
      </x:c>
      <x:c r="C458" s="25" t="str">
        <x:v>https://www.marinespecies.org/aphia.php?p=taxdetails&amp;id=231750</x:v>
      </x:c>
      <x:c r="D458" s="1"/>
      <x:c r="E458" s="1"/>
      <x:c r="F458" s="1"/>
      <x:c r="G458" s="1"/>
      <x:c r="H458" s="1"/>
      <x:c r="I458" s="1"/>
      <x:c r="J458" s="1"/>
      <x:c r="K458" s="1"/>
    </x:row>
    <x:row r="459" ht="66" customHeight="1">
      <x:c r="A459" s="16" t="str">
        <x:v>FishBase: Aluterus scriptus</x:v>
      </x:c>
      <x:c r="B459" s="16" t="str">
        <x:v>Taxa: Aluterus. Classification; Environment; Size; Biology. 110 cm TL, reef-associated large filefish.</x:v>
      </x:c>
      <x:c r="C459" s="25" t="str">
        <x:v>https://www.fishbase.se/summary/4275</x:v>
      </x:c>
      <x:c r="D459" s="1"/>
      <x:c r="E459" s="1"/>
      <x:c r="F459" s="1"/>
      <x:c r="G459" s="1"/>
      <x:c r="H459" s="1"/>
      <x:c r="I459" s="1"/>
      <x:c r="J459" s="1"/>
      <x:c r="K459" s="1"/>
    </x:row>
    <x:row r="460" ht="66" customHeight="1">
      <x:c r="A460" s="16" t="str">
        <x:v>WoRMS: Ranina ranina</x:v>
      </x:c>
      <x:c r="B460" s="16" t="str">
        <x:v>Taxa: Ranina ranina. {"scientificname":"Ranina ranina","valid_name":"Ranina ranina","status":"accepted","family":"Raninidae","class":"Malacostraca","phylum":"Arthropoda"}</x:v>
      </x:c>
      <x:c r="C460" s="25" t="str">
        <x:v>https://www.marinespecies.org/aphia.php?p=taxdetails&amp;id=209574</x:v>
      </x:c>
      <x:c r="D460" s="1"/>
      <x:c r="E460" s="1"/>
      <x:c r="F460" s="1"/>
      <x:c r="G460" s="1"/>
      <x:c r="H460" s="1"/>
      <x:c r="I460" s="1"/>
      <x:c r="J460" s="1"/>
      <x:c r="K460" s="1"/>
    </x:row>
    <x:row r="461" ht="66" customHeight="1">
      <x:c r="A461" s="16" t="str">
        <x:v>FAO Cultured Aquatic Species Information Programme: Chanos chanos</x:v>
      </x:c>
      <x:c r="B461" s="16" t="str">
        <x:v>Taxa: Chanos chanos. Habitat and biology. Maximum 180 cm SL; uses coastal nurseries and marine waters with ontogenetic shifts, far above 30 cm and not a defined small-benthopelagic species.</x:v>
      </x:c>
      <x:c r="C461" s="25" t="str">
        <x:v>https://www.fao.org/fishery/docs/DOCUMENT/aquaculture/CulturedSpecies/file/en/en_milkfish.htm</x:v>
      </x:c>
      <x:c r="D461" s="1"/>
      <x:c r="E461" s="1"/>
      <x:c r="F461" s="1"/>
      <x:c r="G461" s="1"/>
      <x:c r="H461" s="1"/>
      <x:c r="I461" s="1"/>
      <x:c r="J461" s="1"/>
      <x:c r="K461" s="1"/>
    </x:row>
    <x:row r="462" ht="66" customHeight="1">
      <x:c r="A462" s="16" t="str">
        <x:v>FishBase: Gymnothorax melatremus</x:v>
      </x:c>
      <x:c r="B462" s="16" t="str">
        <x:v>Taxa: Anguilliformes; Muraenidae. Classification; Environment; Size; Biology. Muraenidae; maximum 30 cm TL; benthic reef crevices; Taiwan review is its main reference.</x:v>
      </x:c>
      <x:c r="C462" s="25" t="str">
        <x:v>https://www.fishbase.se/summary/Gymnothorax-melatremus.html</x:v>
      </x:c>
      <x:c r="D462" s="1"/>
      <x:c r="E462" s="1"/>
      <x:c r="F462" s="1"/>
      <x:c r="G462" s="1"/>
      <x:c r="H462" s="1"/>
      <x:c r="I462" s="1"/>
      <x:c r="J462" s="1"/>
      <x:c r="K462" s="1"/>
    </x:row>
    <x:row r="463" ht="66" customHeight="1">
      <x:c r="A463" s="16" t="str">
        <x:v>FishBase: Ariosoma megalops</x:v>
      </x:c>
      <x:c r="B463" s="16" t="str">
        <x:v>Taxa: Anguilliformes; Congridae. Classification; Environment; Size; Biology. Congridae; maximum 20.8 cm TL, demersal Western Central Pacific.</x:v>
      </x:c>
      <x:c r="C463" s="25" t="str">
        <x:v>https://www.fishbase.se/summary/Ariosoma-megalops.html</x:v>
      </x:c>
      <x:c r="D463" s="1"/>
      <x:c r="E463" s="1"/>
      <x:c r="F463" s="1"/>
      <x:c r="G463" s="1"/>
      <x:c r="H463" s="1"/>
      <x:c r="I463" s="1"/>
      <x:c r="J463" s="1"/>
      <x:c r="K463" s="1"/>
    </x:row>
    <x:row r="464" ht="66" customHeight="1">
      <x:c r="A464" s="16" t="str">
        <x:v>WoRMS: Isurus oxyrinchus</x:v>
      </x:c>
      <x:c r="B464" s="16" t="str">
        <x:v>Taxa: Isurus oxyrinchus. {"scientificname":"Isurus oxyrinchus","valid_name":"Isurus oxyrinchus","status":"accepted","family":"Lamnidae","class":"Elasmobranchii","phylum":"Chordata"}</x:v>
      </x:c>
      <x:c r="C464" s="25" t="str">
        <x:v>https://www.marinespecies.org/aphia.php?p=taxdetails&amp;id=105839</x:v>
      </x:c>
      <x:c r="D464" s="1"/>
      <x:c r="E464" s="1"/>
      <x:c r="F464" s="1"/>
      <x:c r="G464" s="1"/>
      <x:c r="H464" s="1"/>
      <x:c r="I464" s="1"/>
      <x:c r="J464" s="1"/>
      <x:c r="K464" s="1"/>
    </x:row>
    <x:row r="465" ht="66" customHeight="1">
      <x:c r="A465" s="16" t="str">
        <x:v>FishBase: Isurus oxyrinchus</x:v>
      </x:c>
      <x:c r="B465" s="16" t="str">
        <x:v>Taxa: Isurus oxyrinchus. Habitat: Marine;  pelagic-oceanic; oceanodromous; first maximum: 445 cm TL. Additional biology checked where material.</x:v>
      </x:c>
      <x:c r="C465" s="25" t="str">
        <x:v>https://www.fishbase.se/summary/Isurus-oxyrinchus.html</x:v>
      </x:c>
      <x:c r="D465" s="1"/>
      <x:c r="E465" s="1"/>
      <x:c r="F465" s="1"/>
      <x:c r="G465" s="1"/>
      <x:c r="H465" s="1"/>
      <x:c r="I465" s="1"/>
      <x:c r="J465" s="1"/>
      <x:c r="K465" s="1"/>
    </x:row>
    <x:row r="466" ht="66" customHeight="1">
      <x:c r="A466" s="16" t="str">
        <x:v>Nakamura (1985), FAO Billfishes of the world</x:v>
      </x:c>
      <x:c r="B466" s="16" t="str">
        <x:v>Taxa: Kajikia audax. Tetrapturus audax, pp. 40–42. Striped marlin is a large epipelagic fish occupying waters above the thermocline.</x:v>
      </x:c>
      <x:c r="C466" s="25" t="str">
        <x:v>https://www.fao.org/docrep/pdf/009/ac480e/ac480e08.pdf</x:v>
      </x:c>
      <x:c r="D466" s="1"/>
      <x:c r="E466" s="1"/>
      <x:c r="F466" s="1"/>
      <x:c r="G466" s="1"/>
      <x:c r="H466" s="1"/>
      <x:c r="I466" s="1"/>
      <x:c r="J466" s="1"/>
      <x:c r="K466" s="1"/>
    </x:row>
    <x:row r="467" ht="66" customHeight="1">
      <x:c r="A467" s="16" t="str">
        <x:v>WoRMS: Haliotidae</x:v>
      </x:c>
      <x:c r="B467" s="16" t="str">
        <x:v>Taxa: Haliotidae. {"scientificname":"Haliotidae","valid_name":"Haliotidae","status":"accepted","family":"Haliotidae","class":"Gastropoda","phylum":"Mollusca"}</x:v>
      </x:c>
      <x:c r="C467" s="25" t="str">
        <x:v>https://www.marinespecies.org/aphia.php?p=taxdetails&amp;id=1727</x:v>
      </x:c>
      <x:c r="D467" s="1"/>
      <x:c r="E467" s="1"/>
      <x:c r="F467" s="1"/>
      <x:c r="G467" s="1"/>
      <x:c r="H467" s="1"/>
      <x:c r="I467" s="1"/>
      <x:c r="J467" s="1"/>
      <x:c r="K467" s="1"/>
    </x:row>
    <x:row r="468" ht="66" customHeight="1">
      <x:c r="A468" s="16" t="str">
        <x:v>WoRMS: Magallana gigas</x:v>
      </x:c>
      <x:c r="B468" s="16" t="str">
        <x:v>Taxa: Magallana gigas. {"scientificname":"Magallana gigas","valid_name":"Magallana gigas","status":"accepted","family":"Ostreidae","class":"Bivalvia","phylum":"Mollusca"}</x:v>
      </x:c>
      <x:c r="C468" s="25" t="str">
        <x:v>https://www.marinespecies.org/aphia.php?p=taxdetails&amp;id=836033</x:v>
      </x:c>
      <x:c r="D468" s="1"/>
      <x:c r="E468" s="1"/>
      <x:c r="F468" s="1"/>
      <x:c r="G468" s="1"/>
      <x:c r="H468" s="1"/>
      <x:c r="I468" s="1"/>
      <x:c r="J468" s="1"/>
      <x:c r="K468" s="1"/>
    </x:row>
    <x:row r="469" ht="66" customHeight="1">
      <x:c r="A469" s="16" t="str">
        <x:v>WoRMS: Acanthocybium solandri</x:v>
      </x:c>
      <x:c r="B469" s="16" t="str">
        <x:v>Taxa: Acanthocybium solandri. {"scientificname":"Acanthocybium solandri","valid_name":"Acanthocybium solandri","status":"accepted","family":"Scombridae","class":"Teleostei","phylum":"Chordata"}</x:v>
      </x:c>
      <x:c r="C469" s="25" t="str">
        <x:v>https://www.marinespecies.org/aphia.php?p=taxdetails&amp;id=127014</x:v>
      </x:c>
      <x:c r="D469" s="1"/>
      <x:c r="E469" s="1"/>
      <x:c r="F469" s="1"/>
      <x:c r="G469" s="1"/>
      <x:c r="H469" s="1"/>
      <x:c r="I469" s="1"/>
      <x:c r="J469" s="1"/>
      <x:c r="K469" s="1"/>
    </x:row>
    <x:row r="470" ht="66" customHeight="1">
      <x:c r="A470" s="16" t="str">
        <x:v>FishBase: Acanthocybium solandri</x:v>
      </x:c>
      <x:c r="B470" s="16" t="str">
        <x:v>Taxa: Acanthocybium solandri. Habitat: Marine;  pelagic-oceanic; oceanodromous; first maximum: 250 cm TL. Additional biology checked where material.</x:v>
      </x:c>
      <x:c r="C470" s="25" t="str">
        <x:v>https://www.fishbase.se/summary/Acanthocybium-solandri.html</x:v>
      </x:c>
      <x:c r="D470" s="1"/>
      <x:c r="E470" s="1"/>
      <x:c r="F470" s="1"/>
      <x:c r="G470" s="1"/>
      <x:c r="H470" s="1"/>
      <x:c r="I470" s="1"/>
      <x:c r="J470" s="1"/>
      <x:c r="K470" s="1"/>
    </x:row>
    <x:row r="471" ht="66" customHeight="1">
      <x:c r="A471" s="16" t="str">
        <x:v>WoRMS: Gymnosarda unicolor</x:v>
      </x:c>
      <x:c r="B471" s="16" t="str">
        <x:v>Taxa: Gymnosarda unicolor. {"scientificname":"Gymnosarda unicolor","valid_name":"Gymnosarda unicolor","status":"accepted","family":"Scombridae","class":"Teleostei","phylum":"Chordata"}</x:v>
      </x:c>
      <x:c r="C471" s="25" t="str">
        <x:v>https://www.marinespecies.org/aphia.php?p=taxdetails&amp;id=219712</x:v>
      </x:c>
      <x:c r="D471" s="1"/>
      <x:c r="E471" s="1"/>
      <x:c r="F471" s="1"/>
      <x:c r="G471" s="1"/>
      <x:c r="H471" s="1"/>
      <x:c r="I471" s="1"/>
      <x:c r="J471" s="1"/>
      <x:c r="K471" s="1"/>
    </x:row>
    <x:row r="472" ht="66" customHeight="1">
      <x:c r="A472" s="16" t="str">
        <x:v>FishBase: Gymnosarda unicolor</x:v>
      </x:c>
      <x:c r="B472" s="16" t="str">
        <x:v>Taxa: Gymnosarda unicolor. Habitat: Marine;  reef-associated; oceanodromous; first maximum: 248 cm FL. Additional biology checked where material.</x:v>
      </x:c>
      <x:c r="C472" s="25" t="str">
        <x:v>https://www.fishbase.se/summary/Gymnosarda-unicolor.html</x:v>
      </x:c>
      <x:c r="D472" s="1"/>
      <x:c r="E472" s="1"/>
      <x:c r="F472" s="1"/>
      <x:c r="G472" s="1"/>
      <x:c r="H472" s="1"/>
      <x:c r="I472" s="1"/>
      <x:c r="J472" s="1"/>
      <x:c r="K472" s="1"/>
    </x:row>
    <x:row r="473" ht="66" customHeight="1">
      <x:c r="A473" s="16" t="str">
        <x:v>WoRMS: Veneridae</x:v>
      </x:c>
      <x:c r="B473" s="16" t="str">
        <x:v>Taxa: Veneridae. {"scientificname":"Veneridae","valid_name":"Veneridae","status":"accepted","family":"Veneridae","class":"Bivalvia","phylum":"Mollusca"}</x:v>
      </x:c>
      <x:c r="C473" s="25" t="str">
        <x:v>https://www.marinespecies.org/aphia.php?p=taxdetails&amp;id=243</x:v>
      </x:c>
      <x:c r="D473" s="1"/>
      <x:c r="E473" s="1"/>
      <x:c r="F473" s="1"/>
      <x:c r="G473" s="1"/>
      <x:c r="H473" s="1"/>
      <x:c r="I473" s="1"/>
      <x:c r="J473" s="1"/>
      <x:c r="K473" s="1"/>
    </x:row>
    <x:row r="474" ht="66" customHeight="1">
      <x:c r="A474" s="16" t="str">
        <x:v>WoRMS: Thunnus alalunga</x:v>
      </x:c>
      <x:c r="B474" s="16" t="str">
        <x:v>Taxa: Thunnus alalunga. {"scientificname":"Thunnus alalunga","valid_name":"Thunnus alalunga","status":"accepted","family":"Scombridae","class":"Teleostei","phylum":"Chordata"}</x:v>
      </x:c>
      <x:c r="C474" s="25" t="str">
        <x:v>https://www.marinespecies.org/aphia.php?p=taxdetails&amp;id=127026</x:v>
      </x:c>
      <x:c r="D474" s="1"/>
      <x:c r="E474" s="1"/>
      <x:c r="F474" s="1"/>
      <x:c r="G474" s="1"/>
      <x:c r="H474" s="1"/>
      <x:c r="I474" s="1"/>
      <x:c r="J474" s="1"/>
      <x:c r="K474" s="1"/>
    </x:row>
    <x:row r="475" ht="66" customHeight="1">
      <x:c r="A475" s="16" t="str">
        <x:v>FishBase: Thunnus alalunga</x:v>
      </x:c>
      <x:c r="B475" s="16" t="str">
        <x:v>Taxa: Thunnus alalunga. Habitat: Marine;  pelagic-oceanic; oceanodromous; first maximum: 140 cm FL. Additional biology checked where material.</x:v>
      </x:c>
      <x:c r="C475" s="25" t="str">
        <x:v>https://www.fishbase.se/summary/Thunnus-alalunga.html</x:v>
      </x:c>
      <x:c r="D475" s="1"/>
      <x:c r="E475" s="1"/>
      <x:c r="F475" s="1"/>
      <x:c r="G475" s="1"/>
      <x:c r="H475" s="1"/>
      <x:c r="I475" s="1"/>
      <x:c r="J475" s="1"/>
      <x:c r="K475" s="1"/>
    </x:row>
    <x:row r="476" ht="66" customHeight="1">
      <x:c r="A476" s="16" t="str">
        <x:v>WoRMS: Penaeus semisulcatus</x:v>
      </x:c>
      <x:c r="B476" s="16" t="str">
        <x:v>Taxa: Penaeus semisulcatus. {"scientificname":"Penaeus semisulcatus","valid_name":"Penaeus (Eopenaeus) semisulcatus","status":"superseded combination","family":"Penaeidae","class":"Malacostraca","phylum":"Arthropoda"}</x:v>
      </x:c>
      <x:c r="C476" s="25" t="str">
        <x:v>https://www.marinespecies.org/aphia.php?p=taxdetails&amp;id=107112</x:v>
      </x:c>
      <x:c r="D476" s="1"/>
      <x:c r="E476" s="1"/>
      <x:c r="F476" s="1"/>
      <x:c r="G476" s="1"/>
      <x:c r="H476" s="1"/>
      <x:c r="I476" s="1"/>
      <x:c r="J476" s="1"/>
      <x:c r="K476" s="1"/>
    </x:row>
    <x:row r="477" ht="66" customHeight="1">
      <x:c r="A477" s="16" t="str">
        <x:v>WoRMS: Mierspenaeopsis hardwickii</x:v>
      </x:c>
      <x:c r="B477" s="16" t="str">
        <x:v>Taxa: Mierspenaeopsis hardwickii. {"scientificname":"Mierspenaeopsis hardwickii","valid_name":"Mierspenaeopsis hardwickii","status":"accepted","family":"Penaeidae","class":"Malacostraca","phylum":"Arthropoda"}</x:v>
      </x:c>
      <x:c r="C477" s="25" t="str">
        <x:v>https://www.marinespecies.org/aphia.php?p=taxdetails&amp;id=585389</x:v>
      </x:c>
      <x:c r="D477" s="1"/>
      <x:c r="E477" s="1"/>
      <x:c r="F477" s="1"/>
      <x:c r="G477" s="1"/>
      <x:c r="H477" s="1"/>
      <x:c r="I477" s="1"/>
      <x:c r="J477" s="1"/>
      <x:c r="K477" s="1"/>
    </x:row>
    <x:row r="478" ht="66" customHeight="1">
      <x:c r="A478" s="16" t="str">
        <x:v>WoRMS: Thenus orientalis</x:v>
      </x:c>
      <x:c r="B478" s="16" t="str">
        <x:v>Taxa: Thenus orientalis. {"scientificname":"Thenus orientalis","valid_name":"Thenus orientalis","status":"accepted","family":"Scyllaridae","class":"Malacostraca","phylum":"Arthropoda"}</x:v>
      </x:c>
      <x:c r="C478" s="25" t="str">
        <x:v>https://www.marinespecies.org/aphia.php?p=taxdetails&amp;id=210362</x:v>
      </x:c>
      <x:c r="D478" s="1"/>
      <x:c r="E478" s="1"/>
      <x:c r="F478" s="1"/>
      <x:c r="G478" s="1"/>
      <x:c r="H478" s="1"/>
      <x:c r="I478" s="1"/>
      <x:c r="J478" s="1"/>
      <x:c r="K478" s="1"/>
    </x:row>
    <x:row r="479" ht="66" customHeight="1">
      <x:c r="A479" s="16" t="str">
        <x:v>WoRMS: Hippocampus</x:v>
      </x:c>
      <x:c r="B479" s="16" t="str">
        <x:v>Taxa: Hippocampus. {"scientificname":"Hippocampus","valid_name":"Hippocampus","status":"accepted","family":"Syngnathidae","class":"Teleostei","phylum":"Chordata"}</x:v>
      </x:c>
      <x:c r="C479" s="25" t="str">
        <x:v>https://www.marinespecies.org/aphia.php?p=taxdetails&amp;id=126224</x:v>
      </x:c>
      <x:c r="D479" s="1"/>
      <x:c r="E479" s="1"/>
      <x:c r="F479" s="1"/>
      <x:c r="G479" s="1"/>
      <x:c r="H479" s="1"/>
      <x:c r="I479" s="1"/>
      <x:c r="J479" s="1"/>
      <x:c r="K479" s="1"/>
    </x:row>
    <x:row r="480" ht="66" customHeight="1">
      <x:c r="A480" s="16" t="str">
        <x:v>FishBase Hippocampus inventory</x:v>
      </x:c>
      <x:c r="B480" s="16" t="str">
        <x:v>Taxa: Hippocampus. Genus composition and reported length metrics reviewed.</x:v>
      </x:c>
      <x:c r="C480" s="25" t="str">
        <x:v>https://www.fishbase.se/identification/SpeciesList.php?genus=Hippocampus</x:v>
      </x:c>
      <x:c r="D480" s="1"/>
      <x:c r="E480" s="1"/>
      <x:c r="F480" s="1"/>
      <x:c r="G480" s="1"/>
      <x:c r="H480" s="1"/>
      <x:c r="I480" s="1"/>
      <x:c r="J480" s="1"/>
      <x:c r="K480" s="1"/>
    </x:row>
    <x:row r="481" ht="66" customHeight="1">
      <x:c r="A481" s="16" t="str">
        <x:v>WoRMS: Meretrix lusoria</x:v>
      </x:c>
      <x:c r="B481" s="16" t="str">
        <x:v>Taxa: Meretrix lusoria. {"scientificname":"Meretrix lusoria","valid_name":"Meretrix lusoria","status":"accepted","family":"Veneridae","class":"Bivalvia","phylum":"Mollusca"}</x:v>
      </x:c>
      <x:c r="C481" s="25" t="str">
        <x:v>https://www.marinespecies.org/aphia.php?p=taxdetails&amp;id=397139</x:v>
      </x:c>
      <x:c r="D481" s="1"/>
      <x:c r="E481" s="1"/>
      <x:c r="F481" s="1"/>
      <x:c r="G481" s="1"/>
      <x:c r="H481" s="1"/>
      <x:c r="I481" s="1"/>
      <x:c r="J481" s="1"/>
      <x:c r="K481" s="1"/>
    </x:row>
    <x:row r="482" ht="66" customHeight="1">
      <x:c r="A482" s="16" t="str">
        <x:v>WoRMS: Thunnus orientalis</x:v>
      </x:c>
      <x:c r="B482" s="16" t="str">
        <x:v>Taxa: Thunnus orientalis. {"scientificname":"Thunnus orientalis","valid_name":"Thunnus orientalis","status":"accepted","family":"Scombridae","class":"Teleostei","phylum":"Chordata"}</x:v>
      </x:c>
      <x:c r="C482" s="25" t="str">
        <x:v>https://www.marinespecies.org/aphia.php?p=taxdetails&amp;id=273823</x:v>
      </x:c>
      <x:c r="D482" s="1"/>
      <x:c r="E482" s="1"/>
      <x:c r="F482" s="1"/>
      <x:c r="G482" s="1"/>
      <x:c r="H482" s="1"/>
      <x:c r="I482" s="1"/>
      <x:c r="J482" s="1"/>
      <x:c r="K482" s="1"/>
    </x:row>
    <x:row r="483" ht="66" customHeight="1">
      <x:c r="A483" s="16" t="str">
        <x:v>FishBase: Thunnus orientalis</x:v>
      </x:c>
      <x:c r="B483" s="16" t="str">
        <x:v>Taxa: Thunnus orientalis. Habitat: Marine; brackish;  pelagic-oceanic; oceanodromous; first maximum: 300 cm FL. Additional biology checked where material.</x:v>
      </x:c>
      <x:c r="C483" s="25" t="str">
        <x:v>https://www.fishbase.se/summary/Thunnus-orientalis.html</x:v>
      </x:c>
      <x:c r="D483" s="1"/>
      <x:c r="E483" s="1"/>
      <x:c r="F483" s="1"/>
      <x:c r="G483" s="1"/>
      <x:c r="H483" s="1"/>
      <x:c r="I483" s="1"/>
      <x:c r="J483" s="1"/>
      <x:c r="K483" s="1"/>
    </x:row>
    <x:row r="484" ht="66" customHeight="1">
      <x:c r="A484" s="16" t="str">
        <x:v>WoRMS: Pomatomus saltatrix</x:v>
      </x:c>
      <x:c r="B484" s="16" t="str">
        <x:v>Taxa: Pomatomus saltatrix. {"scientificname":"Pomatomus saltatrix","valid_name":"Pomatomus saltatrix","status":"accepted","family":"Pomatomidae","class":"Teleostei","phylum":"Chordata"}</x:v>
      </x:c>
      <x:c r="C484" s="25" t="str">
        <x:v>https://www.marinespecies.org/aphia.php?p=taxdetails&amp;id=151482</x:v>
      </x:c>
      <x:c r="D484" s="1"/>
      <x:c r="E484" s="1"/>
      <x:c r="F484" s="1"/>
      <x:c r="G484" s="1"/>
      <x:c r="H484" s="1"/>
      <x:c r="I484" s="1"/>
      <x:c r="J484" s="1"/>
      <x:c r="K484" s="1"/>
    </x:row>
    <x:row r="485" ht="66" customHeight="1">
      <x:c r="A485" s="16" t="str">
        <x:v>FishBase: Pomatomus saltatrix</x:v>
      </x:c>
      <x:c r="B485" s="16" t="str">
        <x:v>Taxa: Pomatomus saltatrix. Habitat: Marine; brackish;  pelagic-oceanic; oceanodromous; first maximum: 130 cm TL. Additional biology checked where material.</x:v>
      </x:c>
      <x:c r="C485" s="25" t="str">
        <x:v>https://www.fishbase.se/summary/Pomatomus-saltatrix.html</x:v>
      </x:c>
      <x:c r="D485" s="1"/>
      <x:c r="E485" s="1"/>
      <x:c r="F485" s="1"/>
      <x:c r="G485" s="1"/>
      <x:c r="H485" s="1"/>
      <x:c r="I485" s="1"/>
      <x:c r="J485" s="1"/>
      <x:c r="K485" s="1"/>
    </x:row>
    <x:row r="486" ht="66" customHeight="1">
      <x:c r="A486" s="16" t="str">
        <x:v>WoRMS: Spongia</x:v>
      </x:c>
      <x:c r="B486" s="16" t="str">
        <x:v>Taxa: Spongia. {"scientificname":"Spongia","valid_name":"Spongia","status":"accepted","family":"Spongiidae","class":"Demospongiae","phylum":"Porifera"}</x:v>
      </x:c>
      <x:c r="C486" s="25" t="str">
        <x:v>https://www.marinespecies.org/aphia.php?p=taxdetails&amp;id=131759</x:v>
      </x:c>
      <x:c r="D486" s="1"/>
      <x:c r="E486" s="1"/>
      <x:c r="F486" s="1"/>
      <x:c r="G486" s="1"/>
      <x:c r="H486" s="1"/>
      <x:c r="I486" s="1"/>
      <x:c r="J486" s="1"/>
      <x:c r="K486" s="1"/>
    </x:row>
    <x:row r="487" ht="66" customHeight="1">
      <x:c r="A487" s="16" t="str">
        <x:v>WoRMS: Mizuhopecten yessoensis</x:v>
      </x:c>
      <x:c r="B487" s="16" t="str">
        <x:v>Taxa: Mizuhopecten yessoensis. {"scientificname":"Mizuhopecten yessoensis","valid_name":"Mizuhopecten yessoensis","status":"accepted","family":"Pectinidae","class":"Bivalvia","phylum":"Mollusca"}</x:v>
      </x:c>
      <x:c r="C487" s="25" t="str">
        <x:v>https://www.marinespecies.org/aphia.php?p=taxdetails&amp;id=393716</x:v>
      </x:c>
      <x:c r="D487" s="1"/>
      <x:c r="E487" s="1"/>
      <x:c r="F487" s="1"/>
      <x:c r="G487" s="1"/>
      <x:c r="H487" s="1"/>
      <x:c r="I487" s="1"/>
      <x:c r="J487" s="1"/>
      <x:c r="K487" s="1"/>
    </x:row>
    <x:row r="488" ht="66" customHeight="1">
      <x:c r="A488" s="16" t="str">
        <x:v>WoRMS: Carcharhinus falciformis</x:v>
      </x:c>
      <x:c r="B488" s="16" t="str">
        <x:v>Taxa: Carcharhinus falciformis. {"scientificname":"Carcharhinus falciformis","valid_name":"Carcharhinus falciformis","status":"accepted","family":"Carcharhinidae","class":"Elasmobranchii","phylum":"Chordata"}</x:v>
      </x:c>
      <x:c r="C488" s="25" t="str">
        <x:v>https://www.marinespecies.org/aphia.php?p=taxdetails&amp;id=105789</x:v>
      </x:c>
      <x:c r="D488" s="1"/>
      <x:c r="E488" s="1"/>
      <x:c r="F488" s="1"/>
      <x:c r="G488" s="1"/>
      <x:c r="H488" s="1"/>
      <x:c r="I488" s="1"/>
      <x:c r="J488" s="1"/>
      <x:c r="K488" s="1"/>
    </x:row>
    <x:row r="489" ht="66" customHeight="1">
      <x:c r="A489" s="16" t="str">
        <x:v>FishBase: Carcharhinus falciformis</x:v>
      </x:c>
      <x:c r="B489" s="16" t="str">
        <x:v>Taxa: Carcharhinus falciformis. Habitat: Marine;  reef-associated; oceanodromous; first maximum: 350 cm TL. Additional biology checked where material.</x:v>
      </x:c>
      <x:c r="C489" s="25" t="str">
        <x:v>https://www.fishbase.se/summary/Carcharhinus-falciformis.html</x:v>
      </x:c>
      <x:c r="D489" s="1"/>
      <x:c r="E489" s="1"/>
      <x:c r="F489" s="1"/>
      <x:c r="G489" s="1"/>
      <x:c r="H489" s="1"/>
      <x:c r="I489" s="1"/>
      <x:c r="J489" s="1"/>
      <x:c r="K489" s="1"/>
    </x:row>
    <x:row r="490" ht="66" customHeight="1">
      <x:c r="A490" s="16" t="str">
        <x:v>WoRMS: Echinodermata</x:v>
      </x:c>
      <x:c r="B490" s="16" t="str">
        <x:v>Taxa: Echinodermata. {"scientificname":"Echinodermata","valid_name":"Echinodermata","status":"accepted","family":null,"class":null,"phylum":"Echinodermata"}</x:v>
      </x:c>
      <x:c r="C490" s="25" t="str">
        <x:v>https://www.marinespecies.org/aphia.php?p=taxdetails&amp;id=1806</x:v>
      </x:c>
      <x:c r="D490" s="1"/>
      <x:c r="E490" s="1"/>
      <x:c r="F490" s="1"/>
      <x:c r="G490" s="1"/>
      <x:c r="H490" s="1"/>
      <x:c r="I490" s="1"/>
      <x:c r="J490" s="1"/>
      <x:c r="K490" s="1"/>
    </x:row>
    <x:row r="491" ht="66" customHeight="1">
      <x:c r="A491" s="16" t="str">
        <x:v>WoRMS: Sphyraena jello</x:v>
      </x:c>
      <x:c r="B491" s="16" t="str">
        <x:v>Taxa: Sphyraena jello. {"scientificname":"Sphyraena jello","valid_name":"Sphyraena jello","status":"accepted","family":"Sphyraenidae","class":"Teleostei","phylum":"Chordata"}</x:v>
      </x:c>
      <x:c r="C491" s="25" t="str">
        <x:v>https://www.marinespecies.org/aphia.php?p=taxdetails&amp;id=212045</x:v>
      </x:c>
      <x:c r="D491" s="1"/>
      <x:c r="E491" s="1"/>
      <x:c r="F491" s="1"/>
      <x:c r="G491" s="1"/>
      <x:c r="H491" s="1"/>
      <x:c r="I491" s="1"/>
      <x:c r="J491" s="1"/>
      <x:c r="K491" s="1"/>
    </x:row>
    <x:row r="492" ht="66" customHeight="1">
      <x:c r="A492" s="16" t="str">
        <x:v>FishBase: Sphyraena jello</x:v>
      </x:c>
      <x:c r="B492" s="16" t="str">
        <x:v>Taxa: Sphyraena jello. Habitat: Marine; brackish;  reef-associated; oceanodromous; first maximum: 150 cm TL. Additional biology checked where material.</x:v>
      </x:c>
      <x:c r="C492" s="25" t="str">
        <x:v>https://www.fishbase.se/summary/Sphyraena-jello.html</x:v>
      </x:c>
      <x:c r="D492" s="1"/>
      <x:c r="E492" s="1"/>
      <x:c r="F492" s="1"/>
      <x:c r="G492" s="1"/>
      <x:c r="H492" s="1"/>
      <x:c r="I492" s="1"/>
      <x:c r="J492" s="1"/>
      <x:c r="K492" s="1"/>
    </x:row>
    <x:row r="493" ht="66" customHeight="1">
      <x:c r="A493" s="16" t="str">
        <x:v>WoRMS: Ibacus ciliatus</x:v>
      </x:c>
      <x:c r="B493" s="16" t="str">
        <x:v>Taxa: Ibacus ciliatus. {"scientificname":"Ibacus ciliatus","valid_name":"Ibacus ciliatus","status":"accepted","family":"Scyllaridae","class":"Malacostraca","phylum":"Arthropoda"}</x:v>
      </x:c>
      <x:c r="C493" s="25" t="str">
        <x:v>https://www.marinespecies.org/aphia.php?p=taxdetails&amp;id=382922</x:v>
      </x:c>
      <x:c r="D493" s="1"/>
      <x:c r="E493" s="1"/>
      <x:c r="F493" s="1"/>
      <x:c r="G493" s="1"/>
      <x:c r="H493" s="1"/>
      <x:c r="I493" s="1"/>
      <x:c r="J493" s="1"/>
      <x:c r="K493" s="1"/>
    </x:row>
    <x:row r="494" ht="66" customHeight="1">
      <x:c r="A494" s="16" t="str">
        <x:v>WoRMS: Ostreidae</x:v>
      </x:c>
      <x:c r="B494" s="16" t="str">
        <x:v>Taxa: Ostreidae. {"scientificname":"Ostreidae","valid_name":"Ostreidae","status":"accepted","family":"Ostreidae","class":"Bivalvia","phylum":"Mollusca"}</x:v>
      </x:c>
      <x:c r="C494" s="25" t="str">
        <x:v>https://www.marinespecies.org/aphia.php?p=taxdetails&amp;id=215</x:v>
      </x:c>
      <x:c r="D494" s="1"/>
      <x:c r="E494" s="1"/>
      <x:c r="F494" s="1"/>
      <x:c r="G494" s="1"/>
      <x:c r="H494" s="1"/>
      <x:c r="I494" s="1"/>
      <x:c r="J494" s="1"/>
      <x:c r="K494" s="1"/>
    </x:row>
    <x:row r="495" ht="66" customHeight="1">
      <x:c r="A495" s="16" t="str">
        <x:v>WoRMS: Sphyrna</x:v>
      </x:c>
      <x:c r="B495" s="16" t="str">
        <x:v>Taxa: Sphyrna. {"scientificname":"Sphyrna","valid_name":"Sphyrna","status":"accepted","family":"Sphyrnidae","class":"Elasmobranchii","phylum":"Chordata"}</x:v>
      </x:c>
      <x:c r="C495" s="25" t="str">
        <x:v>https://www.marinespecies.org/aphia.php?p=taxdetails&amp;id=105730</x:v>
      </x:c>
      <x:c r="D495" s="1"/>
      <x:c r="E495" s="1"/>
      <x:c r="F495" s="1"/>
      <x:c r="G495" s="1"/>
      <x:c r="H495" s="1"/>
      <x:c r="I495" s="1"/>
      <x:c r="J495" s="1"/>
      <x:c r="K495" s="1"/>
    </x:row>
    <x:row r="496" ht="66" customHeight="1">
      <x:c r="A496" s="16" t="str">
        <x:v>FishBase: Sphyrna mokarran</x:v>
      </x:c>
      <x:c r="B496" s="16" t="str">
        <x:v>Taxa: Sphyrna. Species-level boundary evidence described in the rationale.</x:v>
      </x:c>
      <x:c r="C496" s="25" t="str">
        <x:v>https://www.fishbase.se/summary/Sphyrna-mokarran.html</x:v>
      </x:c>
      <x:c r="D496" s="1"/>
      <x:c r="E496" s="1"/>
      <x:c r="F496" s="1"/>
      <x:c r="G496" s="1"/>
      <x:c r="H496" s="1"/>
      <x:c r="I496" s="1"/>
      <x:c r="J496" s="1"/>
      <x:c r="K496" s="1"/>
    </x:row>
    <x:row r="497" ht="66" customHeight="1">
      <x:c r="A497" s="16" t="str">
        <x:v>FishBase: Sphyrna zygaena</x:v>
      </x:c>
      <x:c r="B497" s="16" t="str">
        <x:v>Taxa: Sphyrna. Species-level boundary evidence described in the rationale.</x:v>
      </x:c>
      <x:c r="C497" s="25" t="str">
        <x:v>https://www.fishbase.se/summary/Sphyrna-zygaena.html</x:v>
      </x:c>
      <x:c r="D497" s="1"/>
      <x:c r="E497" s="1"/>
      <x:c r="F497" s="1"/>
      <x:c r="G497" s="1"/>
      <x:c r="H497" s="1"/>
      <x:c r="I497" s="1"/>
      <x:c r="J497" s="1"/>
      <x:c r="K497" s="1"/>
    </x:row>
    <x:row r="498" ht="66" customHeight="1">
      <x:c r="A498" s="16" t="str">
        <x:v>WoRMS: Placuna placenta</x:v>
      </x:c>
      <x:c r="B498" s="16" t="str">
        <x:v>Taxa: Placuna placenta. {"scientificname":"Placuna placenta","valid_name":"Placuna placenta","status":"accepted","family":"Placunidae","class":"Bivalvia","phylum":"Mollusca"}</x:v>
      </x:c>
      <x:c r="C498" s="25" t="str">
        <x:v>https://www.marinespecies.org/aphia.php?p=taxdetails&amp;id=367820</x:v>
      </x:c>
      <x:c r="D498" s="1"/>
      <x:c r="E498" s="1"/>
      <x:c r="F498" s="1"/>
      <x:c r="G498" s="1"/>
      <x:c r="H498" s="1"/>
      <x:c r="I498" s="1"/>
      <x:c r="J498" s="1"/>
      <x:c r="K498" s="1"/>
    </x:row>
    <x:row r="499" ht="66" customHeight="1">
      <x:c r="A499" s="16" t="str">
        <x:v>WoRMS: Amusium pleuronectes</x:v>
      </x:c>
      <x:c r="B499" s="16" t="str">
        <x:v>Taxa: Amusium pleuronectes. {"scientificname":"Amusium pleuronectes","valid_name":"Amusium pleuronectes","status":"accepted","family":"Pectinidae","class":"Bivalvia","phylum":"Mollusca"}</x:v>
      </x:c>
      <x:c r="C499" s="25" t="str">
        <x:v>https://www.marinespecies.org/aphia.php?p=taxdetails&amp;id=215388</x:v>
      </x:c>
      <x:c r="D499" s="1"/>
      <x:c r="E499" s="1"/>
      <x:c r="F499" s="1"/>
      <x:c r="G499" s="1"/>
      <x:c r="H499" s="1"/>
      <x:c r="I499" s="1"/>
      <x:c r="J499" s="1"/>
      <x:c r="K499" s="1"/>
    </x:row>
    <x:row r="500" ht="66" customHeight="1">
      <x:c r="A500" s="16" t="str">
        <x:v>WoRMS: Acetes sibogae</x:v>
      </x:c>
      <x:c r="B500" s="16" t="str">
        <x:v>Taxa: Acetes sibogae. {"scientificname":"Acetes sibogae","valid_name":"Acetes sibogae","status":"accepted","family":"Sergestidae","class":"Malacostraca","phylum":"Arthropoda"}</x:v>
      </x:c>
      <x:c r="C500" s="25" t="str">
        <x:v>https://www.marinespecies.org/aphia.php?p=taxdetails&amp;id=210650</x:v>
      </x:c>
      <x:c r="D500" s="1"/>
      <x:c r="E500" s="1"/>
      <x:c r="F500" s="1"/>
      <x:c r="G500" s="1"/>
      <x:c r="H500" s="1"/>
      <x:c r="I500" s="1"/>
      <x:c r="J500" s="1"/>
      <x:c r="K500" s="1"/>
    </x:row>
    <x:row r="501" ht="66" customHeight="1">
      <x:c r="A501" s="16" t="str">
        <x:v>WoRMS: Atule mate</x:v>
      </x:c>
      <x:c r="B501" s="16" t="str">
        <x:v>Taxa: Atule mate. {"scientificname":"Atule mate","valid_name":"Atule mate","status":"accepted","family":"Carangidae","class":"Teleostei","phylum":"Chordata"}</x:v>
      </x:c>
      <x:c r="C501" s="25" t="str">
        <x:v>https://www.marinespecies.org/aphia.php?p=taxdetails&amp;id=218384</x:v>
      </x:c>
      <x:c r="D501" s="1"/>
      <x:c r="E501" s="1"/>
      <x:c r="F501" s="1"/>
      <x:c r="G501" s="1"/>
      <x:c r="H501" s="1"/>
      <x:c r="I501" s="1"/>
      <x:c r="J501" s="1"/>
      <x:c r="K501" s="1"/>
    </x:row>
    <x:row r="502" ht="66" customHeight="1">
      <x:c r="A502" s="16" t="str">
        <x:v>FishBase: Atule mate</x:v>
      </x:c>
      <x:c r="B502" s="16" t="str">
        <x:v>Taxa: Atule mate. Habitat: Marine; brackish;  reef-associated;; first maximum: 30 cm TL. Additional biology checked where material.</x:v>
      </x:c>
      <x:c r="C502" s="25" t="str">
        <x:v>https://www.fishbase.se/summary/Atule-mate.html</x:v>
      </x:c>
      <x:c r="D502" s="1"/>
      <x:c r="E502" s="1"/>
      <x:c r="F502" s="1"/>
      <x:c r="G502" s="1"/>
      <x:c r="H502" s="1"/>
      <x:c r="I502" s="1"/>
      <x:c r="J502" s="1"/>
      <x:c r="K502" s="1"/>
    </x:row>
    <x:row r="503" ht="66" customHeight="1">
      <x:c r="A503" s="16" t="str">
        <x:v>WoRMS: Auxis rochei</x:v>
      </x:c>
      <x:c r="B503" s="16" t="str">
        <x:v>Taxa: Auxis rochei. {"scientificname":"Auxis rochei","valid_name":"Auxis rochei","status":"accepted","family":"Scombridae","class":"Teleostei","phylum":"Chordata"}</x:v>
      </x:c>
      <x:c r="C503" s="25" t="str">
        <x:v>https://www.marinespecies.org/aphia.php?p=taxdetails&amp;id=127015</x:v>
      </x:c>
      <x:c r="D503" s="1"/>
      <x:c r="E503" s="1"/>
      <x:c r="F503" s="1"/>
      <x:c r="G503" s="1"/>
      <x:c r="H503" s="1"/>
      <x:c r="I503" s="1"/>
      <x:c r="J503" s="1"/>
      <x:c r="K503" s="1"/>
    </x:row>
    <x:row r="504" ht="66" customHeight="1">
      <x:c r="A504" s="16" t="str">
        <x:v>FishBase: Auxis rochei</x:v>
      </x:c>
      <x:c r="B504" s="16" t="str">
        <x:v>Taxa: Auxis rochei. Habitat: Marine; brackish;  pelagic-neritic; oceanodromous; first maximum: 50 cm FL. Additional biology checked where material.</x:v>
      </x:c>
      <x:c r="C504" s="25" t="str">
        <x:v>https://www.fishbase.se/summary/Auxis-rochei.html</x:v>
      </x:c>
      <x:c r="D504" s="1"/>
      <x:c r="E504" s="1"/>
      <x:c r="F504" s="1"/>
      <x:c r="G504" s="1"/>
      <x:c r="H504" s="1"/>
      <x:c r="I504" s="1"/>
      <x:c r="J504" s="1"/>
      <x:c r="K504" s="1"/>
    </x:row>
    <x:row r="505" ht="66" customHeight="1">
      <x:c r="A505" s="16" t="str">
        <x:v>FAO, Worldwide review of bottom fisheries in the high seas</x:v>
      </x:c>
      <x:c r="B505" s="16" t="str">
        <x:v>Taxa: Bramidae. Section 3.3.1, Bramidae. Bramidae contains pelagic, benthopelagic and bathypelagic species.</x:v>
      </x:c>
      <x:c r="C505" s="25" t="str">
        <x:v>https://www.fao.org/4/a0653e/a0653e05.htm</x:v>
      </x:c>
      <x:c r="D505" s="1"/>
      <x:c r="E505" s="1"/>
      <x:c r="F505" s="1"/>
      <x:c r="G505" s="1"/>
      <x:c r="H505" s="1"/>
      <x:c r="I505" s="1"/>
      <x:c r="J505" s="1"/>
      <x:c r="K505" s="1"/>
    </x:row>
    <x:row r="506" ht="66" customHeight="1">
      <x:c r="A506" s="16" t="str">
        <x:v>WoRMS: Carcharhinus amblyrhynchos</x:v>
      </x:c>
      <x:c r="B506" s="16" t="str">
        <x:v>Taxa: Carcharhinus amblyrhynchos. {"scientificname":"Carcharhinus amblyrhynchos","valid_name":"Carcharhinus amblyrhynchos","status":"accepted","family":"Carcharhinidae","class":"Elasmobranchii","phylum":"Chordata"}</x:v>
      </x:c>
      <x:c r="C506" s="25" t="str">
        <x:v>https://www.marinespecies.org/aphia.php?p=taxdetails&amp;id=217337</x:v>
      </x:c>
      <x:c r="D506" s="1"/>
      <x:c r="E506" s="1"/>
      <x:c r="F506" s="1"/>
      <x:c r="G506" s="1"/>
      <x:c r="H506" s="1"/>
      <x:c r="I506" s="1"/>
      <x:c r="J506" s="1"/>
      <x:c r="K506" s="1"/>
    </x:row>
    <x:row r="507" ht="66" customHeight="1">
      <x:c r="A507" s="16" t="str">
        <x:v>FishBase: Carcharhinus amblyrhynchos</x:v>
      </x:c>
      <x:c r="B507" s="16" t="str">
        <x:v>Taxa: Carcharhinus amblyrhynchos. Habitat: Marine;  reef-associated; oceanodromous; first maximum: 255 cm TL. Additional biology checked where material.</x:v>
      </x:c>
      <x:c r="C507" s="25" t="str">
        <x:v>https://www.fishbase.se/summary/Carcharhinus-amblyrhynchos.html</x:v>
      </x:c>
      <x:c r="D507" s="1"/>
      <x:c r="E507" s="1"/>
      <x:c r="F507" s="1"/>
      <x:c r="G507" s="1"/>
      <x:c r="H507" s="1"/>
      <x:c r="I507" s="1"/>
      <x:c r="J507" s="1"/>
      <x:c r="K507" s="1"/>
    </x:row>
    <x:row r="508" ht="66" customHeight="1">
      <x:c r="A508" s="16" t="str">
        <x:v>WoRMS: Charybdis anisodon</x:v>
      </x:c>
      <x:c r="B508" s="16" t="str">
        <x:v>Taxa: Charybdis anisodon. {"scientificname":"Charybdis anisodon","valid_name":"Charybdis (Charybdis) anisodon","status":"superseded combination","family":"Portunidae","class":"Malacostraca","phylum":"Arthropoda"}</x:v>
      </x:c>
      <x:c r="C508" s="25" t="str">
        <x:v>https://www.marinespecies.org/aphia.php?p=taxdetails&amp;id=1671019</x:v>
      </x:c>
      <x:c r="D508" s="1"/>
      <x:c r="E508" s="1"/>
      <x:c r="F508" s="1"/>
      <x:c r="G508" s="1"/>
      <x:c r="H508" s="1"/>
      <x:c r="I508" s="1"/>
      <x:c r="J508" s="1"/>
      <x:c r="K508" s="1"/>
    </x:row>
    <x:row r="509" ht="66" customHeight="1">
      <x:c r="A509" s="16" t="str">
        <x:v>Abelló and Hispano (2006), Charybdis feriata</x:v>
      </x:c>
      <x:c r="B509" s="16" t="str">
        <x:v>Taxa: Charybdis feriatus. Charybdis feriata is explicitly a portunid brachyuran crab; supports the genus-level crab boundary while spelling reconciliation remains separate.</x:v>
      </x:c>
      <x:c r="C509" s="25" t="str">
        <x:v>https://agris.fao.org/search/en/providers/124947/records/679ba40c969e37f4376ecffc</x:v>
      </x:c>
      <x:c r="D509" s="1"/>
      <x:c r="E509" s="1"/>
      <x:c r="F509" s="1"/>
      <x:c r="G509" s="1"/>
      <x:c r="H509" s="1"/>
      <x:c r="I509" s="1"/>
      <x:c r="J509" s="1"/>
      <x:c r="K509" s="1"/>
    </x:row>
    <x:row r="510" ht="66" customHeight="1">
      <x:c r="A510" s="16" t="str">
        <x:v>WoRMS: Cheilopogon unicolor</x:v>
      </x:c>
      <x:c r="B510" s="16" t="str">
        <x:v>Taxa: Cheilopogon unicolor. {"scientificname":"Cheilopogon unicolor","valid_name":"Cheilopogon unicolor","status":"accepted","family":"Exocoetidae","class":"Teleostei","phylum":"Chordata"}</x:v>
      </x:c>
      <x:c r="C510" s="25" t="str">
        <x:v>https://www.marinespecies.org/aphia.php?p=taxdetails&amp;id=217858</x:v>
      </x:c>
      <x:c r="D510" s="1"/>
      <x:c r="E510" s="1"/>
      <x:c r="F510" s="1"/>
      <x:c r="G510" s="1"/>
      <x:c r="H510" s="1"/>
      <x:c r="I510" s="1"/>
      <x:c r="J510" s="1"/>
      <x:c r="K510" s="1"/>
    </x:row>
    <x:row r="511" ht="66" customHeight="1">
      <x:c r="A511" s="16" t="str">
        <x:v>WoRMS: Crassostrea</x:v>
      </x:c>
      <x:c r="B511" s="16" t="str">
        <x:v>Taxa: Crassostrea. {"scientificname":"Crassostrea","valid_name":"Crassostrea","status":"accepted","family":"Ostreidae","class":"Bivalvia","phylum":"Mollusca"}</x:v>
      </x:c>
      <x:c r="C511" s="25" t="str">
        <x:v>https://www.marinespecies.org/aphia.php?p=taxdetails&amp;id=138297</x:v>
      </x:c>
      <x:c r="D511" s="1"/>
      <x:c r="E511" s="1"/>
      <x:c r="F511" s="1"/>
      <x:c r="G511" s="1"/>
      <x:c r="H511" s="1"/>
      <x:c r="I511" s="1"/>
      <x:c r="J511" s="1"/>
      <x:c r="K511" s="1"/>
    </x:row>
    <x:row r="512" ht="66" customHeight="1">
      <x:c r="A512" s="16" t="str">
        <x:v>WoRMS: Echinozoa</x:v>
      </x:c>
      <x:c r="B512" s="16" t="str">
        <x:v>Taxa: Echinozoa. {"scientificname":"Echinozoa","valid_name":"Echinozoa","status":"accepted","family":null,"class":null,"phylum":"Echinodermata"}</x:v>
      </x:c>
      <x:c r="C512" s="25" t="str">
        <x:v>https://www.marinespecies.org/aphia.php?p=taxdetails&amp;id=148744</x:v>
      </x:c>
      <x:c r="D512" s="1"/>
      <x:c r="E512" s="1"/>
      <x:c r="F512" s="1"/>
      <x:c r="G512" s="1"/>
      <x:c r="H512" s="1"/>
      <x:c r="I512" s="1"/>
      <x:c r="J512" s="1"/>
      <x:c r="K512" s="1"/>
    </x:row>
    <x:row r="513" ht="66" customHeight="1">
      <x:c r="A513" s="16" t="str">
        <x:v>WoRMS: Encrasicholina punctifer</x:v>
      </x:c>
      <x:c r="B513" s="16" t="str">
        <x:v>Taxa: Encrasicholina punctifer. {"scientificname":"Encrasicholina punctifer","valid_name":"Encrasicholina punctifer","status":"accepted","family":"Engraulidae","class":"Teleostei","phylum":"Chordata"}</x:v>
      </x:c>
      <x:c r="C513" s="25" t="str">
        <x:v>https://www.marinespecies.org/aphia.php?p=taxdetails&amp;id=219982</x:v>
      </x:c>
      <x:c r="D513" s="1"/>
      <x:c r="E513" s="1"/>
      <x:c r="F513" s="1"/>
      <x:c r="G513" s="1"/>
      <x:c r="H513" s="1"/>
      <x:c r="I513" s="1"/>
      <x:c r="J513" s="1"/>
      <x:c r="K513" s="1"/>
    </x:row>
    <x:row r="514" ht="66" customHeight="1">
      <x:c r="A514" s="16" t="str">
        <x:v>FishBase: Encrasicholina punctifer</x:v>
      </x:c>
      <x:c r="B514" s="16" t="str">
        <x:v>Taxa: Encrasicholina punctifer. Habitat: Marine;  reef-associated; oceanodromous; first maximum: 13 cm TL. Additional biology checked where material.</x:v>
      </x:c>
      <x:c r="C514" s="25" t="str">
        <x:v>https://www.fishbase.se/summary/Encrasicholina-punctifer.html</x:v>
      </x:c>
      <x:c r="D514" s="1"/>
      <x:c r="E514" s="1"/>
      <x:c r="F514" s="1"/>
      <x:c r="G514" s="1"/>
      <x:c r="H514" s="1"/>
      <x:c r="I514" s="1"/>
      <x:c r="J514" s="1"/>
      <x:c r="K514" s="1"/>
    </x:row>
    <x:row r="515" ht="66" customHeight="1">
      <x:c r="A515" s="16" t="str">
        <x:v>WoRMS: Epinephelus malabaricus</x:v>
      </x:c>
      <x:c r="B515" s="16" t="str">
        <x:v>Taxa: Epinephelus malabaricus. {"scientificname":"Epinephelus malabaricus","valid_name":"Epinephelus malabaricus","status":"accepted","family":"Epinephelidae","class":"Teleostei","phylum":"Chordata"}</x:v>
      </x:c>
      <x:c r="C515" s="25" t="str">
        <x:v>https://www.marinespecies.org/aphia.php?p=taxdetails&amp;id=218206</x:v>
      </x:c>
      <x:c r="D515" s="1"/>
      <x:c r="E515" s="1"/>
      <x:c r="F515" s="1"/>
      <x:c r="G515" s="1"/>
      <x:c r="H515" s="1"/>
      <x:c r="I515" s="1"/>
      <x:c r="J515" s="1"/>
      <x:c r="K515" s="1"/>
    </x:row>
    <x:row r="516" ht="66" customHeight="1">
      <x:c r="A516" s="16" t="str">
        <x:v>FishBase: Evynnis tumifrons</x:v>
      </x:c>
      <x:c r="B516" s="16" t="str">
        <x:v>Taxa: Evynnis tumifrons. Classification; Environment; Size; Biology. Sparidae; demersal, maximum 35 cm SL, clearly above 30 cm TL.</x:v>
      </x:c>
      <x:c r="C516" s="25" t="str">
        <x:v>https://www.fishbase.se/summary/Evynnis-tumifrons.html</x:v>
      </x:c>
      <x:c r="D516" s="1"/>
      <x:c r="E516" s="1"/>
      <x:c r="F516" s="1"/>
      <x:c r="G516" s="1"/>
      <x:c r="H516" s="1"/>
      <x:c r="I516" s="1"/>
      <x:c r="J516" s="1"/>
      <x:c r="K516" s="1"/>
    </x:row>
    <x:row r="517" ht="66" customHeight="1">
      <x:c r="A517" s="16" t="str">
        <x:v>Cohen et al. (1990), FAO Gadiform fishes of the world</x:v>
      </x:c>
      <x:c r="B517" s="16" t="str">
        <x:v>Taxa: Gadiformes. Bregmacerotidae account. Gadiformes includes small epipelagic/mesopelagic codlets; order membership alone does not prove benthopelagic containment.</x:v>
      </x:c>
      <x:c r="C517" s="25" t="str">
        <x:v>https://www.fao.org/docrep/009/t0243e/T0243E04.pdf</x:v>
      </x:c>
      <x:c r="D517" s="1"/>
      <x:c r="E517" s="1"/>
      <x:c r="F517" s="1"/>
      <x:c r="G517" s="1"/>
      <x:c r="H517" s="1"/>
      <x:c r="I517" s="1"/>
      <x:c r="J517" s="1"/>
      <x:c r="K517" s="1"/>
    </x:row>
    <x:row r="518" ht="66" customHeight="1">
      <x:c r="A518" s="16" t="str">
        <x:v>FAO Western Central Atlantic guide, Moridae</x:v>
      </x:c>
      <x:c r="B518" s="16" t="str">
        <x:v>Taxa: Gadiformes. Moridae, p. 995. Morids include deep shelf/slope benthopelagic fishes; this supports one possible order component, not all Gadiformes.</x:v>
      </x:c>
      <x:c r="C518" s="25" t="str">
        <x:v>https://www.fao.org/docrep/pdf/009/y4161e/y4161e25.pdf</x:v>
      </x:c>
      <x:c r="D518" s="1"/>
      <x:c r="E518" s="1"/>
      <x:c r="F518" s="1"/>
      <x:c r="G518" s="1"/>
      <x:c r="H518" s="1"/>
      <x:c r="I518" s="1"/>
      <x:c r="J518" s="1"/>
      <x:c r="K518" s="1"/>
    </x:row>
    <x:row r="519" ht="66" customHeight="1">
      <x:c r="A519" s="16" t="str">
        <x:v>WoRMS: Haliotis</x:v>
      </x:c>
      <x:c r="B519" s="16" t="str">
        <x:v>Taxa: Haliotis. {"scientificname":"Haliotis","valid_name":"Haliotis","status":"accepted","family":"Haliotidae","class":"Gastropoda","phylum":"Mollusca"}</x:v>
      </x:c>
      <x:c r="C519" s="25" t="str">
        <x:v>https://www.marinespecies.org/aphia.php?p=taxdetails&amp;id=138050</x:v>
      </x:c>
      <x:c r="D519" s="1"/>
      <x:c r="E519" s="1"/>
      <x:c r="F519" s="1"/>
      <x:c r="G519" s="1"/>
      <x:c r="H519" s="1"/>
      <x:c r="I519" s="1"/>
      <x:c r="J519" s="1"/>
      <x:c r="K519" s="1"/>
    </x:row>
    <x:row r="520" ht="66" customHeight="1">
      <x:c r="A520" s="16" t="str">
        <x:v>WoRMS: Hemitriakis japanica</x:v>
      </x:c>
      <x:c r="B520" s="16" t="str">
        <x:v>Taxa: Hemitriakis japanica. {"scientificname":"Hemitriakis japanica","valid_name":"Hemitriakis japanica","status":"accepted","family":"Triakidae","class":"Elasmobranchii","phylum":"Chordata"}</x:v>
      </x:c>
      <x:c r="C520" s="25" t="str">
        <x:v>https://www.marinespecies.org/aphia.php?p=taxdetails&amp;id=281042</x:v>
      </x:c>
      <x:c r="D520" s="1"/>
      <x:c r="E520" s="1"/>
      <x:c r="F520" s="1"/>
      <x:c r="G520" s="1"/>
      <x:c r="H520" s="1"/>
      <x:c r="I520" s="1"/>
      <x:c r="J520" s="1"/>
      <x:c r="K520" s="1"/>
    </x:row>
    <x:row r="521" ht="66" customHeight="1">
      <x:c r="A521" s="16" t="str">
        <x:v>FishBase: Hemitriakis japanica</x:v>
      </x:c>
      <x:c r="B521" s="16" t="str">
        <x:v>Taxa: Hemitriakis japanica. Habitat: Marine;  demersal;; first maximum: 110 cm TL. Additional biology checked where material.</x:v>
      </x:c>
      <x:c r="C521" s="25" t="str">
        <x:v>https://www.fishbase.se/summary/Hemitriakis-japanica.html</x:v>
      </x:c>
      <x:c r="D521" s="1"/>
      <x:c r="E521" s="1"/>
      <x:c r="F521" s="1"/>
      <x:c r="G521" s="1"/>
      <x:c r="H521" s="1"/>
      <x:c r="I521" s="1"/>
      <x:c r="J521" s="1"/>
      <x:c r="K521" s="1"/>
    </x:row>
    <x:row r="522" ht="66" customHeight="1">
      <x:c r="A522" s="16" t="str">
        <x:v>WoRMS: Hemitrygon akajei</x:v>
      </x:c>
      <x:c r="B522" s="16" t="str">
        <x:v>Taxa: Hemitrygon akajei. {"scientificname":"Hemitrygon akajei","valid_name":"Hemitrygon akajei","status":"accepted","family":"Dasyatidae","class":"Elasmobranchii","phylum":"Chordata"}</x:v>
      </x:c>
      <x:c r="C522" s="25" t="str">
        <x:v>https://www.marinespecies.org/aphia.php?p=taxdetails&amp;id=1042845</x:v>
      </x:c>
      <x:c r="D522" s="1"/>
      <x:c r="E522" s="1"/>
      <x:c r="F522" s="1"/>
      <x:c r="G522" s="1"/>
      <x:c r="H522" s="1"/>
      <x:c r="I522" s="1"/>
      <x:c r="J522" s="1"/>
      <x:c r="K522" s="1"/>
    </x:row>
    <x:row r="523" ht="66" customHeight="1">
      <x:c r="A523" s="16" t="str">
        <x:v>FishBase: Hemitrygon akajei</x:v>
      </x:c>
      <x:c r="B523" s="16" t="str">
        <x:v>Taxa: Hemitrygon akajei. Habitat: Marine; brackish;  demersal; oceanodromous; first maximum: 200 cm TL. Additional biology checked where material.</x:v>
      </x:c>
      <x:c r="C523" s="25" t="str">
        <x:v>https://www.fishbase.se/summary/Hemitrygon-akajei.html</x:v>
      </x:c>
      <x:c r="D523" s="1"/>
      <x:c r="E523" s="1"/>
      <x:c r="F523" s="1"/>
      <x:c r="G523" s="1"/>
      <x:c r="H523" s="1"/>
      <x:c r="I523" s="1"/>
      <x:c r="J523" s="1"/>
      <x:c r="K523" s="1"/>
    </x:row>
    <x:row r="524" ht="66" customHeight="1">
      <x:c r="A524" s="16" t="str">
        <x:v>WoRMS: Holothuriidae</x:v>
      </x:c>
      <x:c r="B524" s="16" t="str">
        <x:v>Taxa: Holothuriidae. {"scientificname":"Holothuriidae","valid_name":"Holothuriidae","status":"accepted","family":"Holothuriidae","class":"Holothuroidea","phylum":"Echinodermata"}</x:v>
      </x:c>
      <x:c r="C524" s="25" t="str">
        <x:v>https://www.marinespecies.org/aphia.php?p=taxdetails&amp;id=731943</x:v>
      </x:c>
      <x:c r="D524" s="1"/>
      <x:c r="E524" s="1"/>
      <x:c r="F524" s="1"/>
      <x:c r="G524" s="1"/>
      <x:c r="H524" s="1"/>
      <x:c r="I524" s="1"/>
      <x:c r="J524" s="1"/>
      <x:c r="K524" s="1"/>
    </x:row>
    <x:row r="525" ht="66" customHeight="1">
      <x:c r="A525" s="16" t="str">
        <x:v>WoRMS: Holothuroidea</x:v>
      </x:c>
      <x:c r="B525" s="16" t="str">
        <x:v>Taxa: Holothuroidea. {"scientificname":"Holothuroidea","valid_name":"Holothuroidea","status":"accepted","family":null,"class":"Holothuroidea","phylum":"Echinodermata"}</x:v>
      </x:c>
      <x:c r="C525" s="25" t="str">
        <x:v>https://www.marinespecies.org/aphia.php?p=taxdetails&amp;id=123083</x:v>
      </x:c>
      <x:c r="D525" s="1"/>
      <x:c r="E525" s="1"/>
      <x:c r="F525" s="1"/>
      <x:c r="G525" s="1"/>
      <x:c r="H525" s="1"/>
      <x:c r="I525" s="1"/>
      <x:c r="J525" s="1"/>
      <x:c r="K525" s="1"/>
    </x:row>
    <x:row r="526" ht="66" customHeight="1">
      <x:c r="A526" s="16" t="str">
        <x:v>Nakamura &amp; Parin (1993), FAO Snake mackerels and cutlassfishes</x:v>
      </x:c>
      <x:c r="B526" s="16" t="str">
        <x:v>Taxa: Lepidocybium flavobrunneum. Lepidocybium flavobrunneum, p. 30. Escolar mostly inhabits continental slopes deeper than 200 m and moves upward at night.</x:v>
      </x:c>
      <x:c r="C526" s="25" t="str">
        <x:v>https://www.fao.org/docrep/pdf/009/t0539e/t0539e06.pdf</x:v>
      </x:c>
      <x:c r="D526" s="1"/>
      <x:c r="E526" s="1"/>
      <x:c r="F526" s="1"/>
      <x:c r="G526" s="1"/>
      <x:c r="H526" s="1"/>
      <x:c r="I526" s="1"/>
      <x:c r="J526" s="1"/>
      <x:c r="K526" s="1"/>
    </x:row>
    <x:row r="527" ht="66" customHeight="1">
      <x:c r="A527" s="16" t="str">
        <x:v>WoRMS: Lutjanus argentimaculatus</x:v>
      </x:c>
      <x:c r="B527" s="16" t="str">
        <x:v>Taxa: Lutjanus argentimaculatus. {"scientificname":"Lutjanus argentimaculatus","valid_name":"Lutjanus argentimaculatus","status":"accepted","family":"Lutjanidae","class":"Teleostei","phylum":"Chordata"}</x:v>
      </x:c>
      <x:c r="C527" s="25" t="str">
        <x:v>https://www.marinespecies.org/aphia.php?p=taxdetails&amp;id=218498</x:v>
      </x:c>
      <x:c r="D527" s="1"/>
      <x:c r="E527" s="1"/>
      <x:c r="F527" s="1"/>
      <x:c r="G527" s="1"/>
      <x:c r="H527" s="1"/>
      <x:c r="I527" s="1"/>
      <x:c r="J527" s="1"/>
      <x:c r="K527" s="1"/>
    </x:row>
    <x:row r="528" ht="66" customHeight="1">
      <x:c r="A528" s="16" t="str">
        <x:v>WoRMS: Lutjanus bohar</x:v>
      </x:c>
      <x:c r="B528" s="16" t="str">
        <x:v>Taxa: Lutjanus bohar. {"scientificname":"Lutjanus bohar","valid_name":"Lutjanus bohar","status":"accepted","family":"Lutjanidae","class":"Teleostei","phylum":"Chordata"}</x:v>
      </x:c>
      <x:c r="C528" s="25" t="str">
        <x:v>https://www.marinespecies.org/aphia.php?p=taxdetails&amp;id=218479</x:v>
      </x:c>
      <x:c r="D528" s="1"/>
      <x:c r="E528" s="1"/>
      <x:c r="F528" s="1"/>
      <x:c r="G528" s="1"/>
      <x:c r="H528" s="1"/>
      <x:c r="I528" s="1"/>
      <x:c r="J528" s="1"/>
      <x:c r="K528" s="1"/>
    </x:row>
    <x:row r="529" ht="66" customHeight="1">
      <x:c r="A529" s="16" t="str">
        <x:v>WoRMS: Melicertus canaliculatus</x:v>
      </x:c>
      <x:c r="B529" s="16" t="str">
        <x:v>Taxa: Melicertus canaliculatus. {"scientificname":"Melicertus canaliculatus","valid_name":"Penaeus (Plagosopenaeus) canaliculatus","status":"unaccepted","family":"Penaeidae","class":"Malacostraca","phylum":"Arthropoda"}</x:v>
      </x:c>
      <x:c r="C529" s="25" t="str">
        <x:v>https://www.marinespecies.org/aphia.php?p=taxdetails&amp;id=377467</x:v>
      </x:c>
      <x:c r="D529" s="1"/>
      <x:c r="E529" s="1"/>
      <x:c r="F529" s="1"/>
      <x:c r="G529" s="1"/>
      <x:c r="H529" s="1"/>
      <x:c r="I529" s="1"/>
      <x:c r="J529" s="1"/>
      <x:c r="K529" s="1"/>
    </x:row>
    <x:row r="530" ht="66" customHeight="1">
      <x:c r="A530" s="16" t="str">
        <x:v>WoRMS: Metapenaeus affinis</x:v>
      </x:c>
      <x:c r="B530" s="16" t="str">
        <x:v>Taxa: Metapenaeus affinis. {"scientificname":"Metapenaeus affinis","valid_name":"Metapenaeus affinis","status":"accepted","family":"Penaeidae","class":"Malacostraca","phylum":"Arthropoda"}</x:v>
      </x:c>
      <x:c r="C530" s="25" t="str">
        <x:v>https://www.marinespecies.org/aphia.php?p=taxdetails&amp;id=210397</x:v>
      </x:c>
      <x:c r="D530" s="1"/>
      <x:c r="E530" s="1"/>
      <x:c r="F530" s="1"/>
      <x:c r="G530" s="1"/>
      <x:c r="H530" s="1"/>
      <x:c r="I530" s="1"/>
      <x:c r="J530" s="1"/>
      <x:c r="K530" s="1"/>
    </x:row>
    <x:row r="531" ht="66" customHeight="1">
      <x:c r="A531" s="16" t="str">
        <x:v>WoRMS: Metapenaeus ensis</x:v>
      </x:c>
      <x:c r="B531" s="16" t="str">
        <x:v>Taxa: Metapenaeus ensis. {"scientificname":"Metapenaeus ensis","valid_name":"Metapenaeus ensis","status":"accepted","family":"Penaeidae","class":"Malacostraca","phylum":"Arthropoda"}</x:v>
      </x:c>
      <x:c r="C531" s="25" t="str">
        <x:v>https://www.marinespecies.org/aphia.php?p=taxdetails&amp;id=210392</x:v>
      </x:c>
      <x:c r="D531" s="1"/>
      <x:c r="E531" s="1"/>
      <x:c r="F531" s="1"/>
      <x:c r="G531" s="1"/>
      <x:c r="H531" s="1"/>
      <x:c r="I531" s="1"/>
      <x:c r="J531" s="1"/>
      <x:c r="K531" s="1"/>
    </x:row>
    <x:row r="532" ht="66" customHeight="1">
      <x:c r="A532" s="16" t="str">
        <x:v>WoRMS: Metapenaeus tenuipes</x:v>
      </x:c>
      <x:c r="B532" s="16" t="str">
        <x:v>Taxa: Metapenaeus tenuipes. {"scientificname":"Metapenaeus tenuipes","valid_name":"Metapenaeus tenuipes","status":"accepted","family":"Penaeidae","class":"Malacostraca","phylum":"Arthropoda"}</x:v>
      </x:c>
      <x:c r="C532" s="25" t="str">
        <x:v>https://www.marinespecies.org/aphia.php?p=taxdetails&amp;id=377544</x:v>
      </x:c>
      <x:c r="D532" s="1"/>
      <x:c r="E532" s="1"/>
      <x:c r="F532" s="1"/>
      <x:c r="G532" s="1"/>
      <x:c r="H532" s="1"/>
      <x:c r="I532" s="1"/>
      <x:c r="J532" s="1"/>
      <x:c r="K532" s="1"/>
    </x:row>
    <x:row r="533" ht="66" customHeight="1">
      <x:c r="A533" s="16" t="str">
        <x:v>WoRMS: Mierspenaeopsis sculptilis</x:v>
      </x:c>
      <x:c r="B533" s="16" t="str">
        <x:v>Taxa: Mierspenaeopsis sculptilis. {"scientificname":"Mierspenaeopsis sculptilis","valid_name":"Mierspenaeopsis sculptilis","status":"accepted","family":"Penaeidae","class":"Malacostraca","phylum":"Arthropoda"}</x:v>
      </x:c>
      <x:c r="C533" s="25" t="str">
        <x:v>https://www.marinespecies.org/aphia.php?p=taxdetails&amp;id=585386</x:v>
      </x:c>
      <x:c r="D533" s="1"/>
      <x:c r="E533" s="1"/>
      <x:c r="F533" s="1"/>
      <x:c r="G533" s="1"/>
      <x:c r="H533" s="1"/>
      <x:c r="I533" s="1"/>
      <x:c r="J533" s="1"/>
      <x:c r="K533" s="1"/>
    </x:row>
    <x:row r="534" ht="66" customHeight="1">
      <x:c r="A534" s="16" t="str">
        <x:v>WoRMS: Modiolus</x:v>
      </x:c>
      <x:c r="B534" s="16" t="str">
        <x:v>Taxa: Modiolus. {"scientificname":"Modiolus","valid_name":"Modiolus","status":"accepted","family":"Modiolidae","class":"Bivalvia","phylum":"Mollusca"}</x:v>
      </x:c>
      <x:c r="C534" s="25" t="str">
        <x:v>https://www.marinespecies.org/aphia.php?p=taxdetails&amp;id=138223</x:v>
      </x:c>
      <x:c r="D534" s="1"/>
      <x:c r="E534" s="1"/>
      <x:c r="F534" s="1"/>
      <x:c r="G534" s="1"/>
      <x:c r="H534" s="1"/>
      <x:c r="I534" s="1"/>
      <x:c r="J534" s="1"/>
      <x:c r="K534" s="1"/>
    </x:row>
    <x:row r="535" ht="66" customHeight="1">
      <x:c r="A535" s="16" t="str">
        <x:v>FishBase: Nibea mitsukurii</x:v>
      </x:c>
      <x:c r="B535" s="16" t="str">
        <x:v>Taxa: Nibea mitsukurii. Classification; Environment; Size; Biology. Sciaenidae; maximum 75 cm SL, sandy/muddy near-bottom habitat; Northwest Pacific/East China Sea distribution is a transfer caveat.</x:v>
      </x:c>
      <x:c r="C535" s="25" t="str">
        <x:v>https://www.fishbase.se/summary/427</x:v>
      </x:c>
      <x:c r="D535" s="1"/>
      <x:c r="E535" s="1"/>
      <x:c r="F535" s="1"/>
      <x:c r="G535" s="1"/>
      <x:c r="H535" s="1"/>
      <x:c r="I535" s="1"/>
      <x:c r="J535" s="1"/>
      <x:c r="K535" s="1"/>
    </x:row>
    <x:row r="536" ht="66" customHeight="1">
      <x:c r="A536" s="16" t="str">
        <x:v>WoRMS: Ommastrephidae</x:v>
      </x:c>
      <x:c r="B536" s="16" t="str">
        <x:v>Taxa: Ommastrephidae. {"scientificname":"Ommastrephidae","valid_name":"Ommastrephidae","status":"accepted","family":"Ommastrephidae","class":"Cephalopoda","phylum":"Mollusca"}</x:v>
      </x:c>
      <x:c r="C536" s="25" t="str">
        <x:v>https://www.marinespecies.org/aphia.php?p=taxdetails&amp;id=11760</x:v>
      </x:c>
      <x:c r="D536" s="1"/>
      <x:c r="E536" s="1"/>
      <x:c r="F536" s="1"/>
      <x:c r="G536" s="1"/>
      <x:c r="H536" s="1"/>
      <x:c r="I536" s="1"/>
      <x:c r="J536" s="1"/>
      <x:c r="K536" s="1"/>
    </x:row>
    <x:row r="537" ht="66" customHeight="1">
      <x:c r="A537" s="16" t="str">
        <x:v>WoRMS: Ozius guttatus</x:v>
      </x:c>
      <x:c r="B537" s="16" t="str">
        <x:v>Taxa: Ozius guttatus. {"scientificname":"Ozius guttatus","valid_name":"Ozius guttatus","status":"accepted","family":"Oziidae","class":"Malacostraca","phylum":"Arthropoda"}</x:v>
      </x:c>
      <x:c r="C537" s="25" t="str">
        <x:v>https://www.marinespecies.org/aphia.php?p=taxdetails&amp;id=209154</x:v>
      </x:c>
      <x:c r="D537" s="1"/>
      <x:c r="E537" s="1"/>
      <x:c r="F537" s="1"/>
      <x:c r="G537" s="1"/>
      <x:c r="H537" s="1"/>
      <x:c r="I537" s="1"/>
      <x:c r="J537" s="1"/>
      <x:c r="K537" s="1"/>
    </x:row>
    <x:row r="538" ht="66" customHeight="1">
      <x:c r="A538" s="16" t="str">
        <x:v>WoRMS: Pectinidae</x:v>
      </x:c>
      <x:c r="B538" s="16" t="str">
        <x:v>Taxa: Pectinidae. {"scientificname":"Pectinidae","valid_name":"Pectinidae","status":"accepted","family":"Pectinidae","class":"Bivalvia","phylum":"Mollusca"}</x:v>
      </x:c>
      <x:c r="C538" s="25" t="str">
        <x:v>https://www.marinespecies.org/aphia.php?p=taxdetails&amp;id=213</x:v>
      </x:c>
      <x:c r="D538" s="1"/>
      <x:c r="E538" s="1"/>
      <x:c r="F538" s="1"/>
      <x:c r="G538" s="1"/>
      <x:c r="H538" s="1"/>
      <x:c r="I538" s="1"/>
      <x:c r="J538" s="1"/>
      <x:c r="K538" s="1"/>
    </x:row>
    <x:row r="539" ht="66" customHeight="1">
      <x:c r="A539" s="16" t="str">
        <x:v>WoRMS: Pinctada</x:v>
      </x:c>
      <x:c r="B539" s="16" t="str">
        <x:v>Taxa: Pinctada. {"scientificname":"Pinctada","valid_name":"Pinctada","status":"accepted","family":"Margaritidae","class":"Bivalvia","phylum":"Mollusca"}</x:v>
      </x:c>
      <x:c r="C539" s="25" t="str">
        <x:v>https://www.marinespecies.org/aphia.php?p=taxdetails&amp;id=138396</x:v>
      </x:c>
      <x:c r="D539" s="1"/>
      <x:c r="E539" s="1"/>
      <x:c r="F539" s="1"/>
      <x:c r="G539" s="1"/>
      <x:c r="H539" s="1"/>
      <x:c r="I539" s="1"/>
      <x:c r="J539" s="1"/>
      <x:c r="K539" s="1"/>
    </x:row>
    <x:row r="540" ht="66" customHeight="1">
      <x:c r="A540" s="16" t="str">
        <x:v>WoRMS: Podophthalmus vigil</x:v>
      </x:c>
      <x:c r="B540" s="16" t="str">
        <x:v>Taxa: Podophthalmus vigil. {"scientificname":"Podophthalmus vigil","valid_name":"Podophthalmus vigil","status":"accepted","family":"Portunidae","class":"Malacostraca","phylum":"Arthropoda"}</x:v>
      </x:c>
      <x:c r="C540" s="25" t="str">
        <x:v>https://www.marinespecies.org/aphia.php?p=taxdetails&amp;id=208884</x:v>
      </x:c>
      <x:c r="D540" s="1"/>
      <x:c r="E540" s="1"/>
      <x:c r="F540" s="1"/>
      <x:c r="G540" s="1"/>
      <x:c r="H540" s="1"/>
      <x:c r="I540" s="1"/>
      <x:c r="J540" s="1"/>
      <x:c r="K540" s="1"/>
    </x:row>
    <x:row r="541" ht="66" customHeight="1">
      <x:c r="A541" s="16" t="str">
        <x:v>FishBase: Polydactylus sexfilis</x:v>
      </x:c>
      <x:c r="B541" s="16" t="str">
        <x:v>Taxa: Polydactylus sexfilis. Classification; Environment; Size; Biology. Polynemidae; maximum 61 cm TL; explicitly benthopelagic on coastal sand/rock/lagoon habitats.</x:v>
      </x:c>
      <x:c r="C541" s="25" t="str">
        <x:v>https://www.fishbase.se/summary/Polydactylus-sexfilis.html</x:v>
      </x:c>
      <x:c r="D541" s="1"/>
      <x:c r="E541" s="1"/>
      <x:c r="F541" s="1"/>
      <x:c r="G541" s="1"/>
      <x:c r="H541" s="1"/>
      <x:c r="I541" s="1"/>
      <x:c r="J541" s="1"/>
      <x:c r="K541" s="1"/>
    </x:row>
    <x:row r="542" ht="66" customHeight="1">
      <x:c r="A542" s="16" t="str">
        <x:v>WoRMS: Rhincodon typus</x:v>
      </x:c>
      <x:c r="B542" s="16" t="str">
        <x:v>Taxa: Rhincodon typus. {"scientificname":"Rhincodon typus","valid_name":"Rhincodon typus","status":"accepted","family":"Rhincodontidae","class":"Elasmobranchii","phylum":"Chordata"}</x:v>
      </x:c>
      <x:c r="C542" s="25" t="str">
        <x:v>https://www.marinespecies.org/aphia.php?p=taxdetails&amp;id=105847</x:v>
      </x:c>
      <x:c r="D542" s="1"/>
      <x:c r="E542" s="1"/>
      <x:c r="F542" s="1"/>
      <x:c r="G542" s="1"/>
      <x:c r="H542" s="1"/>
      <x:c r="I542" s="1"/>
      <x:c r="J542" s="1"/>
      <x:c r="K542" s="1"/>
    </x:row>
    <x:row r="543" ht="66" customHeight="1">
      <x:c r="A543" s="16" t="str">
        <x:v>FishBase: Rhincodon typus</x:v>
      </x:c>
      <x:c r="B543" s="16" t="str">
        <x:v>Taxa: Rhincodon typus. Habitat: Marine;  pelagic-oceanic; oceanodromous; first maximum: 1700 cm TL. Additional biology checked where material.</x:v>
      </x:c>
      <x:c r="C543" s="25" t="str">
        <x:v>https://www.fishbase.se/summary/Rhincodon-typus.html</x:v>
      </x:c>
      <x:c r="D543" s="1"/>
      <x:c r="E543" s="1"/>
      <x:c r="F543" s="1"/>
      <x:c r="G543" s="1"/>
      <x:c r="H543" s="1"/>
      <x:c r="I543" s="1"/>
      <x:c r="J543" s="1"/>
      <x:c r="K543" s="1"/>
    </x:row>
    <x:row r="544" ht="66" customHeight="1">
      <x:c r="A544" s="16" t="str">
        <x:v>WoRMS: Saurida undosquamis</x:v>
      </x:c>
      <x:c r="B544" s="16" t="str">
        <x:v>Taxa: Saurida undosquamis. {"scientificname":"Saurida undosquamis","valid_name":"Saurida undosquamis","status":"accepted","family":"Harpadontidae","class":"Teleostei","phylum":"Chordata"}</x:v>
      </x:c>
      <x:c r="C544" s="25" t="str">
        <x:v>https://www.marinespecies.org/aphia.php?p=taxdetails&amp;id=126371</x:v>
      </x:c>
      <x:c r="D544" s="1"/>
      <x:c r="E544" s="1"/>
      <x:c r="F544" s="1"/>
      <x:c r="G544" s="1"/>
      <x:c r="H544" s="1"/>
      <x:c r="I544" s="1"/>
      <x:c r="J544" s="1"/>
      <x:c r="K544" s="1"/>
    </x:row>
    <x:row r="545" ht="66" customHeight="1">
      <x:c r="A545" s="16" t="str">
        <x:v>WoRMS: Scylla</x:v>
      </x:c>
      <x:c r="B545" s="16" t="str">
        <x:v>Taxa: Scylla. {"scientificname":"Scylla","valid_name":"Scylla","status":"accepted","family":"Portunidae","class":"Malacostraca","phylum":"Arthropoda"}</x:v>
      </x:c>
      <x:c r="C545" s="25" t="str">
        <x:v>https://www.marinespecies.org/aphia.php?p=taxdetails&amp;id=205756</x:v>
      </x:c>
      <x:c r="D545" s="1"/>
      <x:c r="E545" s="1"/>
      <x:c r="F545" s="1"/>
      <x:c r="G545" s="1"/>
      <x:c r="H545" s="1"/>
      <x:c r="I545" s="1"/>
      <x:c r="J545" s="1"/>
      <x:c r="K545" s="1"/>
    </x:row>
    <x:row r="546" ht="66" customHeight="1">
      <x:c r="A546" s="16" t="str">
        <x:v>WoRMS: Sphyraena barracuda</x:v>
      </x:c>
      <x:c r="B546" s="16" t="str">
        <x:v>Taxa: Sphyraena barracuda. {"scientificname":"Sphyraena barracuda","valid_name":"Sphyraena barracuda","status":"accepted","family":"Sphyraenidae","class":"Teleostei","phylum":"Chordata"}</x:v>
      </x:c>
      <x:c r="C546" s="25" t="str">
        <x:v>https://www.marinespecies.org/aphia.php?p=taxdetails&amp;id=345843</x:v>
      </x:c>
      <x:c r="D546" s="1"/>
      <x:c r="E546" s="1"/>
      <x:c r="F546" s="1"/>
      <x:c r="G546" s="1"/>
      <x:c r="H546" s="1"/>
      <x:c r="I546" s="1"/>
      <x:c r="J546" s="1"/>
      <x:c r="K546" s="1"/>
    </x:row>
    <x:row r="547" ht="66" customHeight="1">
      <x:c r="A547" s="16" t="str">
        <x:v>FishBase: Sphyraena barracuda</x:v>
      </x:c>
      <x:c r="B547" s="16" t="str">
        <x:v>Taxa: Sphyraena barracuda. Habitat: Marine; brackish;  reef-associated;; first maximum: 200 cm TL. Additional biology checked where material.</x:v>
      </x:c>
      <x:c r="C547" s="25" t="str">
        <x:v>https://www.fishbase.se/summary/Sphyraena-barracuda.html</x:v>
      </x:c>
      <x:c r="D547" s="1"/>
      <x:c r="E547" s="1"/>
      <x:c r="F547" s="1"/>
      <x:c r="G547" s="1"/>
      <x:c r="H547" s="1"/>
      <x:c r="I547" s="1"/>
      <x:c r="J547" s="1"/>
      <x:c r="K547" s="1"/>
    </x:row>
    <x:row r="548" ht="66" customHeight="1">
      <x:c r="A548" s="16" t="str">
        <x:v>WoRMS: Sphyraena obtusata</x:v>
      </x:c>
      <x:c r="B548" s="16" t="str">
        <x:v>Taxa: Sphyraena obtusata. {"scientificname":"Sphyraena obtusata","valid_name":"Sphyraena obtusata","status":"accepted","family":"Sphyraenidae","class":"Teleostei","phylum":"Chordata"}</x:v>
      </x:c>
      <x:c r="C548" s="25" t="str">
        <x:v>https://www.marinespecies.org/aphia.php?p=taxdetails&amp;id=212056</x:v>
      </x:c>
      <x:c r="D548" s="1"/>
      <x:c r="E548" s="1"/>
      <x:c r="F548" s="1"/>
      <x:c r="G548" s="1"/>
      <x:c r="H548" s="1"/>
      <x:c r="I548" s="1"/>
      <x:c r="J548" s="1"/>
      <x:c r="K548" s="1"/>
    </x:row>
    <x:row r="549" ht="66" customHeight="1">
      <x:c r="A549" s="16" t="str">
        <x:v>FishBase: Sphyraena obtusata</x:v>
      </x:c>
      <x:c r="B549" s="16" t="str">
        <x:v>Taxa: Sphyraena obtusata. Habitat: Marine; brackish;  reef-associated;; first maximum: 55 cm TL. Additional biology checked where material.</x:v>
      </x:c>
      <x:c r="C549" s="25" t="str">
        <x:v>https://www.fishbase.se/summary/Sphyraena-obtusata.html</x:v>
      </x:c>
      <x:c r="D549" s="1"/>
      <x:c r="E549" s="1"/>
      <x:c r="F549" s="1"/>
      <x:c r="G549" s="1"/>
      <x:c r="H549" s="1"/>
      <x:c r="I549" s="1"/>
      <x:c r="J549" s="1"/>
      <x:c r="K549" s="1"/>
    </x:row>
    <x:row r="550" ht="66" customHeight="1">
      <x:c r="A550" s="16" t="str">
        <x:v>WoRMS: Sphyrna lewini</x:v>
      </x:c>
      <x:c r="B550" s="16" t="str">
        <x:v>Taxa: Sphyrna lewini. {"scientificname":"Sphyrna lewini","valid_name":"Sphyrna lewini","status":"accepted","family":"Sphyrnidae","class":"Elasmobranchii","phylum":"Chordata"}</x:v>
      </x:c>
      <x:c r="C550" s="25" t="str">
        <x:v>https://www.marinespecies.org/aphia.php?p=taxdetails&amp;id=105816</x:v>
      </x:c>
      <x:c r="D550" s="1"/>
      <x:c r="E550" s="1"/>
      <x:c r="F550" s="1"/>
      <x:c r="G550" s="1"/>
      <x:c r="H550" s="1"/>
      <x:c r="I550" s="1"/>
      <x:c r="J550" s="1"/>
      <x:c r="K550" s="1"/>
    </x:row>
    <x:row r="551" ht="66" customHeight="1">
      <x:c r="A551" s="16" t="str">
        <x:v>FishBase: Sphyrna lewini</x:v>
      </x:c>
      <x:c r="B551" s="16" t="str">
        <x:v>Taxa: Sphyrna lewini. Habitat: Marine; brackish;  pelagic-oceanic; oceanodromous; first maximum: 430 cm TL. Additional biology checked where material.</x:v>
      </x:c>
      <x:c r="C551" s="25" t="str">
        <x:v>https://www.fishbase.se/summary/Sphyrna-lewini.html</x:v>
      </x:c>
      <x:c r="D551" s="1"/>
      <x:c r="E551" s="1"/>
      <x:c r="F551" s="1"/>
      <x:c r="G551" s="1"/>
      <x:c r="H551" s="1"/>
      <x:c r="I551" s="1"/>
      <x:c r="J551" s="1"/>
      <x:c r="K551" s="1"/>
    </x:row>
    <x:row r="552" ht="66" customHeight="1">
      <x:c r="A552" s="16" t="str">
        <x:v>WoRMS: Sphyrnidae</x:v>
      </x:c>
      <x:c r="B552" s="16" t="str">
        <x:v>Taxa: Sphyrnidae. {"scientificname":"Sphyrnidae","valid_name":"Sphyrnidae","status":"accepted","family":"Sphyrnidae","class":"Elasmobranchii","phylum":"Chordata"}</x:v>
      </x:c>
      <x:c r="C552" s="25" t="str">
        <x:v>https://www.marinespecies.org/aphia.php?p=taxdetails&amp;id=105694</x:v>
      </x:c>
      <x:c r="D552" s="1"/>
      <x:c r="E552" s="1"/>
      <x:c r="F552" s="1"/>
      <x:c r="G552" s="1"/>
      <x:c r="H552" s="1"/>
      <x:c r="I552" s="1"/>
      <x:c r="J552" s="1"/>
      <x:c r="K552" s="1"/>
    </x:row>
    <x:row r="553" ht="66" customHeight="1">
      <x:c r="A553" s="16" t="str">
        <x:v>FishBase: Eusphyra blochii</x:v>
      </x:c>
      <x:c r="B553" s="16" t="str">
        <x:v>Taxa: Sphyrnidae. Taxon-specific boundary evidence described in the rationale.</x:v>
      </x:c>
      <x:c r="C553" s="25" t="str">
        <x:v>https://www.fishbase.se/summary/Eusphyra-blochii.html</x:v>
      </x:c>
      <x:c r="D553" s="1"/>
      <x:c r="E553" s="1"/>
      <x:c r="F553" s="1"/>
      <x:c r="G553" s="1"/>
      <x:c r="H553" s="1"/>
      <x:c r="I553" s="1"/>
      <x:c r="J553" s="1"/>
      <x:c r="K553" s="1"/>
    </x:row>
    <x:row r="554" ht="66" customHeight="1">
      <x:c r="A554" s="16" t="str">
        <x:v>WoRMS: Spratelloides</x:v>
      </x:c>
      <x:c r="B554" s="16" t="str">
        <x:v>Taxa: Spratelloides. {"scientificname":"Spratelloides","valid_name":"Spratelloides","status":"accepted","family":"Spratelloididae","class":"Teleostei","phylum":"Chordata"}</x:v>
      </x:c>
      <x:c r="C554" s="25" t="str">
        <x:v>https://www.marinespecies.org/aphia.php?p=taxdetails&amp;id=125722</x:v>
      </x:c>
      <x:c r="D554" s="1"/>
      <x:c r="E554" s="1"/>
      <x:c r="F554" s="1"/>
      <x:c r="G554" s="1"/>
      <x:c r="H554" s="1"/>
      <x:c r="I554" s="1"/>
      <x:c r="J554" s="1"/>
      <x:c r="K554" s="1"/>
    </x:row>
    <x:row r="555" ht="66" customHeight="1">
      <x:c r="A555" s="16" t="str">
        <x:v>FishBase Spratelloides inventory</x:v>
      </x:c>
      <x:c r="B555" s="16" t="str">
        <x:v>Taxa: Spratelloides. Maximum size and length convention reviewed across the retrieved genus inventory.</x:v>
      </x:c>
      <x:c r="C555" s="25" t="str">
        <x:v>https://www.fishbase.se/identification/SpeciesList.php?genus=Spratelloides</x:v>
      </x:c>
      <x:c r="D555" s="1"/>
      <x:c r="E555" s="1"/>
      <x:c r="F555" s="1"/>
      <x:c r="G555" s="1"/>
      <x:c r="H555" s="1"/>
      <x:c r="I555" s="1"/>
      <x:c r="J555" s="1"/>
      <x:c r="K555" s="1"/>
    </x:row>
    <x:row r="556" ht="66" customHeight="1">
      <x:c r="A556" s="16" t="str">
        <x:v>WoRMS: Tenualosa toli</x:v>
      </x:c>
      <x:c r="B556" s="16" t="str">
        <x:v>Taxa: Tenualosa toli. {"scientificname":"Tenualosa toli","valid_name":"Tenualosa toli","status":"accepted","family":"Dorosomatidae","class":"Teleostei","phylum":"Chordata"}</x:v>
      </x:c>
      <x:c r="C556" s="25" t="str">
        <x:v>https://www.marinespecies.org/aphia.php?p=taxdetails&amp;id=217454</x:v>
      </x:c>
      <x:c r="D556" s="1"/>
      <x:c r="E556" s="1"/>
      <x:c r="F556" s="1"/>
      <x:c r="G556" s="1"/>
      <x:c r="H556" s="1"/>
      <x:c r="I556" s="1"/>
      <x:c r="J556" s="1"/>
      <x:c r="K556" s="1"/>
    </x:row>
    <x:row r="557" ht="66" customHeight="1">
      <x:c r="A557" s="16" t="str">
        <x:v>FishBase: Tenualosa toli</x:v>
      </x:c>
      <x:c r="B557" s="16" t="str">
        <x:v>Taxa: Tenualosa toli. Habitat: Marine; freshwater; brackish;  pelagic-neritic; anadromous; first maximum: 60 cm TL. Additional biology checked where material.</x:v>
      </x:c>
      <x:c r="C557" s="25" t="str">
        <x:v>https://www.fishbase.se/summary/Tenualosa-toli.html</x:v>
      </x:c>
      <x:c r="D557" s="1"/>
      <x:c r="E557" s="1"/>
      <x:c r="F557" s="1"/>
      <x:c r="G557" s="1"/>
      <x:c r="H557" s="1"/>
      <x:c r="I557" s="1"/>
      <x:c r="J557" s="1"/>
      <x:c r="K557" s="1"/>
    </x:row>
    <x:row r="558" ht="66" customHeight="1">
      <x:c r="A558" s="16" t="str">
        <x:v>Collette &amp; Nauen (1983), FAO Scombrids of the world</x:v>
      </x:c>
      <x:c r="B558" s="16" t="str">
        <x:v>Taxa: Thunnus. Thunnus genus and species accounts, pp. 80–93. Regional tunas are large pelagic fishes; epipelagic/mesopelagic and neritic/oceanic distributions differ among species.</x:v>
      </x:c>
      <x:c r="C558" s="25" t="str">
        <x:v>https://www.fao.org/docrep/pdf/009/ac478e/ac478e11.pdf</x:v>
      </x:c>
      <x:c r="D558" s="1"/>
      <x:c r="E558" s="1"/>
      <x:c r="F558" s="1"/>
      <x:c r="G558" s="1"/>
      <x:c r="H558" s="1"/>
      <x:c r="I558" s="1"/>
      <x:c r="J558" s="1"/>
      <x:c r="K558" s="1"/>
    </x:row>
    <x:row r="559" ht="66" customHeight="1">
      <x:c r="A559" s="16" t="str">
        <x:v>WoRMS: Tripneustes gratilla</x:v>
      </x:c>
      <x:c r="B559" s="16" t="str">
        <x:v>Taxa: Tripneustes gratilla. {"scientificname":"Tripneustes gratilla","valid_name":"Tripneustes gratilla","status":"accepted","family":"Toxopneustidae","class":"Echinoidea","phylum":"Echinodermata"}</x:v>
      </x:c>
      <x:c r="C559" s="25" t="str">
        <x:v>https://www.marinespecies.org/aphia.php?p=taxdetails&amp;id=212453</x:v>
      </x:c>
      <x:c r="D559" s="1"/>
      <x:c r="E559" s="1"/>
      <x:c r="F559" s="1"/>
      <x:c r="G559" s="1"/>
      <x:c r="H559" s="1"/>
      <x:c r="I559" s="1"/>
      <x:c r="J559" s="1"/>
      <x:c r="K559" s="1"/>
    </x:row>
    <x:row r="560" ht="66" customHeight="1">
      <x:c r="A560" s="16" t="str">
        <x:v>WoRMS: Trochus niloticus</x:v>
      </x:c>
      <x:c r="B560" s="16" t="str">
        <x:v>Taxa: Trochus niloticus. {"scientificname":"Trochus niloticus","valid_name":"Rochia nilotica","status":"superseded combination","family":"Trochidae","class":"Gastropoda","phylum":"Mollusca"}</x:v>
      </x:c>
      <x:c r="C560" s="25" t="str">
        <x:v>https://www.marinespecies.org/aphia.php?p=taxdetails&amp;id=216345</x:v>
      </x:c>
      <x:c r="D560" s="1"/>
      <x:c r="E560" s="1"/>
      <x:c r="F560" s="1"/>
      <x:c r="G560" s="1"/>
      <x:c r="H560" s="1"/>
      <x:c r="I560" s="1"/>
      <x:c r="J560" s="1"/>
      <x:c r="K560" s="1"/>
    </x:row>
    <x:row r="561" ht="80" customHeight="1">
      <x:c r="A561" s="2" t="inlineStr">
        <x:is>
          <x:t xml:space="preserve">Current proposal review</x:t>
        </x:is>
      </x:c>
      <x:c r="B561" s="2" t="inlineStr">
        <x:is>
          <x:t xml:space="preserve">36 adopted, 42 retained with individual reasons and precise source locators.</x:t>
        </x:is>
      </x:c>
      <x:c r="C561" s="24" t="inlineStr">
        <x:is>
          <x:t xml:space="preserve">validation_reports/36_1_South_China_Sea_SCS-2007_Northern_South_China_Sea_(2000s)/selected_regions_review_20260930/proposal_dispositions.json</x:t>
        </x:is>
      </x:c>
      <x:c r="D561" s="1"/>
      <x:c r="E561" s="1"/>
      <x:c r="F561" s="1"/>
      <x:c r="G561" s="1"/>
      <x:c r="H561" s="1"/>
      <x:c r="I561" s="1"/>
      <x:c r="J561" s="1"/>
      <x:c r="K561" s="1"/>
    </x:row>
    <x:row r="562" ht="80" customHeight="1">
      <x:c r="A562" s="2" t="inlineStr">
        <x:is>
          <x:t xml:space="preserve">Adopted group corrections</x:t>
        </x:is>
      </x:c>
      <x:c r="B562" s="2" t="inlineStr">
        <x:is>
          <x:t xml:space="preserve">Exact old/new canonical group IDs, names, weights and confidence.</x:t>
        </x:is>
      </x:c>
      <x:c r="C562" s="24" t="inlineStr">
        <x:is>
          <x:t xml:space="preserve">validation_reports/36_1_South_China_Sea_SCS-2007_Northern_South_China_Sea_(2000s)/selected_regions_review_20260930/mapping_changes.json</x:t>
        </x:is>
      </x:c>
      <x:c r="D562" s="1"/>
      <x:c r="E562" s="1"/>
      <x:c r="F562" s="1"/>
      <x:c r="G562" s="1"/>
      <x:c r="H562" s="1"/>
      <x:c r="I562" s="1"/>
      <x:c r="J562" s="1"/>
      <x:c r="K562" s="1"/>
    </x:row>
    <x:row r="563" ht="80" customHeight="1">
      <x:c r="A563" s="2" t="inlineStr">
        <x:is>
          <x:t xml:space="preserve">Source catch reconstruction</x:t>
        </x:is>
      </x:c>
      <x:c r="B563" s="2" t="inlineStr">
        <x:is>
          <x:t xml:space="preserve">Table 6.2 PDF pp.193–194: all fleet components and printed totals; canonical export checked against complete source sums.</x:t>
        </x:is>
      </x:c>
      <x:c r="C563" s="24" t="inlineStr">
        <x:is>
          <x:t xml:space="preserve">validation_reports/36_1_South_China_Sea_SCS-2007_Northern_South_China_Sea_(2000s)/source/reconstruction_2000s/SOURCE_CATCH_TOTALS.json</x:t>
        </x:is>
      </x:c>
      <x:c r="D563" s="1"/>
      <x:c r="E563" s="1"/>
      <x:c r="F563" s="1"/>
      <x:c r="G563" s="1"/>
      <x:c r="H563" s="1"/>
      <x:c r="I563" s="1"/>
      <x:c r="J563" s="1"/>
      <x:c r="K563" s="1"/>
    </x:row>
    <x:row r="564" ht="80" customHeight="1">
      <x:c r="A564" s="2" t="inlineStr">
        <x:is>
          <x:t xml:space="preserve">Full direct diagnostic evidence</x:t>
        </x:is>
      </x:c>
      <x:c r="B564" s="2" t="inlineStr">
        <x:is>
          <x:t xml:space="preserve">GE, TE and With Egestion. Full matrices, named axes and explicit masks include all unfished groups. Accepted groups 34–37 remain present.</x:t>
        </x:is>
      </x:c>
      <x:c r="C564" s="24" t="inlineStr">
        <x:is>
          <x:t xml:space="preserve">validation_reports/36_1_South_China_Sea_SCS-2007_Northern_South_China_Sea_(2000s)/selected_regions_review_20260930/direct_diagnostics/lossless_matrix_checks.json</x:t>
        </x:is>
      </x:c>
      <x:c r="D564" s="1"/>
      <x:c r="E564" s="1"/>
      <x:c r="F564" s="1"/>
      <x:c r="G564" s="1"/>
      <x:c r="H564" s="1"/>
      <x:c r="I564" s="1"/>
      <x:c r="J564" s="1"/>
      <x:c r="K564" s="1"/>
    </x:row>
    <x:row r="565" ht="80" customHeight="1">
      <x:c r="A565" s="2" t="inlineStr">
        <x:is>
          <x:t xml:space="preserve">Direct coefficient comparison</x:t>
        </x:is>
      </x:c>
      <x:c r="B565" s="2" t="inlineStr">
        <x:is>
          <x:t xml:space="preserve">All nine method/scope aggregates agree with saved coefficients within 1e-10 relative tolerance; saved group SPPR is preserved exactly.</x:t>
        </x:is>
      </x:c>
      <x:c r="C565" s="24" t="inlineStr">
        <x:is>
          <x:t xml:space="preserve">validation_reports/36_1_South_China_Sea_SCS-2007_Northern_South_China_Sea_(2000s)/selected_regions_review_20260930/direct_diagnostics/coefficient_comparison.json</x:t>
        </x:is>
      </x:c>
      <x:c r="D565" s="1"/>
      <x:c r="E565" s="1"/>
      <x:c r="F565" s="1"/>
      <x:c r="G565" s="1"/>
      <x:c r="H565" s="1"/>
      <x:c r="I565" s="1"/>
      <x:c r="J565" s="1"/>
      <x:c r="K565" s="1"/>
    </x:row>
    <x:row r="566" ht="80" customHeight="1">
      <x:c r="A566" s="2" t="inlineStr">
        <x:is>
          <x:t xml:space="preserve">Current dependent calculation effects</x:t>
        </x:is>
      </x:c>
      <x:c r="B566" s="2" t="inlineStr">
        <x:is>
          <x:t xml:space="preserve">Old/new 2019 estimates by method, scope, catch basis and unidentified treatment; independent simple-chain PPR unchanged.</x:t>
        </x:is>
      </x:c>
      <x:c r="C566" s="24" t="inlineStr">
        <x:is>
          <x:t xml:space="preserve">validation_reports/36_1_South_China_Sea_SCS-2007_Northern_South_China_Sea_(2000s)/selected_regions_review_20260930/dependent_result_changes.json</x:t>
        </x:is>
      </x:c>
      <x:c r="D566" s="1"/>
      <x:c r="E566" s="1"/>
      <x:c r="F566" s="1"/>
      <x:c r="G566" s="1"/>
      <x:c r="H566" s="1"/>
      <x:c r="I566" s="1"/>
      <x:c r="J566" s="1"/>
      <x:c r="K566" s="1"/>
    </x:row>
    <x:row r="567" ht="80" customHeight="1">
      <x:c r="A567" s="2" t="inlineStr">
        <x:is>
          <x:t xml:space="preserve">Source maximum length evidence</x:t>
        </x:is>
      </x:c>
      <x:c r="B567" s="2" t="inlineStr">
        <x:is>
          <x:t xml:space="preserve">Uehara et al. (2021), Table 3, p.160: observed D. maruadsi maximum 35.4 cm cited to the fork-length study Ohshimo et al. (2006); asymptote is separate.</x:t>
        </x:is>
      </x:c>
      <x:c r="C567" s="24" t="inlineStr">
        <x:is>
          <x:t xml:space="preserve">https://www.jstage.jst.go.jp/article/jsfo/85/3/85_153/_pdf</x:t>
        </x:is>
      </x:c>
      <x:c r="D567" s="1"/>
      <x:c r="E567" s="1"/>
      <x:c r="F567" s="1"/>
      <x:c r="G567" s="1"/>
      <x:c r="H567" s="1"/>
      <x:c r="I567" s="1"/>
      <x:c r="J567" s="1"/>
      <x:c r="K567" s="1"/>
    </x:row>
    <x:row r="568" ht="110" customHeight="1">
      <x:c r="A568" s="16" t="inlineStr">
        <x:is>
          <x:t xml:space="preserve">Residual fish reporting scope</x:t>
        </x:is>
      </x:c>
      <x:c r="B568" s="16" t="inlineStr">
        <x:is>
          <x:t xml:space="preserve">Exact retained SAU taxon keys 100039/100139/100239/100339 link to ISSCAAP39. Local definitions, exclusions, complete denominators and protected-input checks; unknown composition remains Very low.</x:t>
        </x:is>
      </x:c>
      <x:c r="C568" s="24" t="inlineStr">
        <x:is>
          <x:t xml:space="preserve">Open reporting-scope evidence</x:t>
        </x:is>
      </x:c>
      <x:c r="D568" s="1"/>
      <x:c r="E568" s="1"/>
      <x:c r="F568" s="1"/>
      <x:c r="G568" s="1"/>
      <x:c r="H568" s="1"/>
      <x:c r="I568" s="1"/>
      <x:c r="J568" s="1"/>
      <x:c r="K568" s="1"/>
    </x:row>
    <x:row r="569" ht="110" customHeight="1">
      <x:c r="A569" s="16" t="inlineStr">
        <x:is>
          <x:t xml:space="preserve">FAO residual bony fish labels</x:t>
        </x:is>
      </x:c>
      <x:c r="B569" s="16" t="inlineStr">
        <x:is>
          <x:t xml:space="preserve">FAO2001 Northeast Atlantic capture table, PDF page3/printed397: four residual fish labels under Osteichthyes/39; sharks/rays/chimaeras separately38. Historical reporting evidence, not observed residual composition.</x:t>
        </x:is>
      </x:c>
      <x:c r="C569" s="24" t="inlineStr">
        <x:is>
          <x:t xml:space="preserve">Open FAO definition (PDF page3)</x:t>
        </x:is>
      </x:c>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C1"/>
    <x:mergeCell ref="A24:C24"/>
    <x:mergeCell ref="A25:C25"/>
    <x:mergeCell ref="A68:C68"/>
    <x:mergeCell ref="A69:C69"/>
  </x:mergeCells>
  <x:hyperlinks>
    <x:hyperlink xmlns:r="http://schemas.openxmlformats.org/officeDocument/2006/relationships" ref="C6" r:id="R67366565818442ce"/>
    <x:hyperlink xmlns:r="http://schemas.openxmlformats.org/officeDocument/2006/relationships" ref="C7" r:id="R2050f87cc8bd4947"/>
    <x:hyperlink xmlns:r="http://schemas.openxmlformats.org/officeDocument/2006/relationships" ref="C8" r:id="R11f116abd05d47be"/>
    <x:hyperlink xmlns:r="http://schemas.openxmlformats.org/officeDocument/2006/relationships" ref="C9" r:id="R8989537fbaae46cd"/>
    <x:hyperlink xmlns:r="http://schemas.openxmlformats.org/officeDocument/2006/relationships" ref="C10" r:id="R6fbbcfc56c6e4e7d"/>
    <x:hyperlink xmlns:r="http://schemas.openxmlformats.org/officeDocument/2006/relationships" ref="C11" r:id="Rf86d47caf5a248e6"/>
    <x:hyperlink xmlns:r="http://schemas.openxmlformats.org/officeDocument/2006/relationships" ref="C12" r:id="Rf4eae972f8764482"/>
    <x:hyperlink xmlns:r="http://schemas.openxmlformats.org/officeDocument/2006/relationships" ref="C13" r:id="R9b5ccf2400cb42f0"/>
    <x:hyperlink xmlns:r="http://schemas.openxmlformats.org/officeDocument/2006/relationships" ref="C14" r:id="Rbb254c2afa924039"/>
    <x:hyperlink xmlns:r="http://schemas.openxmlformats.org/officeDocument/2006/relationships" ref="C15" r:id="R6ebbb121a565464e"/>
    <x:hyperlink xmlns:r="http://schemas.openxmlformats.org/officeDocument/2006/relationships" ref="C16" r:id="Redd377b104fd466b"/>
    <x:hyperlink xmlns:r="http://schemas.openxmlformats.org/officeDocument/2006/relationships" ref="C17" r:id="Rbac30fae7bca4f09"/>
    <x:hyperlink xmlns:r="http://schemas.openxmlformats.org/officeDocument/2006/relationships" ref="C18" r:id="Re18375119fc043c9"/>
    <x:hyperlink xmlns:r="http://schemas.openxmlformats.org/officeDocument/2006/relationships" ref="C19" r:id="Re824c9917bae4606"/>
    <x:hyperlink xmlns:r="http://schemas.openxmlformats.org/officeDocument/2006/relationships" ref="C20" r:id="Rc57e6aaeaef74782"/>
    <x:hyperlink xmlns:r="http://schemas.openxmlformats.org/officeDocument/2006/relationships" ref="C21" r:id="R280a7a622b2f4f34"/>
    <x:hyperlink xmlns:r="http://schemas.openxmlformats.org/officeDocument/2006/relationships" ref="C72" r:id="rIdConfidence72"/>
    <x:hyperlink xmlns:r="http://schemas.openxmlformats.org/officeDocument/2006/relationships" ref="C73" r:id="rIdConfidence73"/>
    <x:hyperlink xmlns:r="http://schemas.openxmlformats.org/officeDocument/2006/relationships" ref="C74" r:id="rIdConfidence74"/>
    <x:hyperlink xmlns:r="http://schemas.openxmlformats.org/officeDocument/2006/relationships" ref="C75" r:id="rIdConfidence75"/>
    <x:hyperlink xmlns:r="http://schemas.openxmlformats.org/officeDocument/2006/relationships" ref="C76" r:id="rIdConfidence76"/>
    <x:hyperlink xmlns:r="http://schemas.openxmlformats.org/officeDocument/2006/relationships" ref="C77" r:id="rIdConfidence77"/>
    <x:hyperlink xmlns:r="http://schemas.openxmlformats.org/officeDocument/2006/relationships" ref="C78" r:id="rIdConfidence78"/>
    <x:hyperlink xmlns:r="http://schemas.openxmlformats.org/officeDocument/2006/relationships" ref="C79" r:id="rIdConfidence79"/>
    <x:hyperlink xmlns:r="http://schemas.openxmlformats.org/officeDocument/2006/relationships" ref="C80" r:id="rIdConfidence80"/>
    <x:hyperlink xmlns:r="http://schemas.openxmlformats.org/officeDocument/2006/relationships" ref="C81" r:id="rIdConfidence81"/>
    <x:hyperlink xmlns:r="http://schemas.openxmlformats.org/officeDocument/2006/relationships" ref="C82" r:id="rIdConfidence82"/>
    <x:hyperlink xmlns:r="http://schemas.openxmlformats.org/officeDocument/2006/relationships" ref="C83" r:id="rIdConfidence83"/>
    <x:hyperlink xmlns:r="http://schemas.openxmlformats.org/officeDocument/2006/relationships" ref="C84" r:id="rIdConfidence84"/>
    <x:hyperlink xmlns:r="http://schemas.openxmlformats.org/officeDocument/2006/relationships" ref="C85" r:id="rIdConfidence85"/>
    <x:hyperlink xmlns:r="http://schemas.openxmlformats.org/officeDocument/2006/relationships" ref="C86" r:id="rIdConfidence86"/>
    <x:hyperlink xmlns:r="http://schemas.openxmlformats.org/officeDocument/2006/relationships" ref="C87" r:id="rIdConfidence87"/>
    <x:hyperlink xmlns:r="http://schemas.openxmlformats.org/officeDocument/2006/relationships" ref="C88" r:id="rIdConfidence88"/>
    <x:hyperlink xmlns:r="http://schemas.openxmlformats.org/officeDocument/2006/relationships" ref="C89" r:id="rIdConfidence89"/>
    <x:hyperlink xmlns:r="http://schemas.openxmlformats.org/officeDocument/2006/relationships" ref="C90" r:id="rIdConfidence90"/>
    <x:hyperlink xmlns:r="http://schemas.openxmlformats.org/officeDocument/2006/relationships" ref="C91" r:id="rIdConfidence91"/>
    <x:hyperlink xmlns:r="http://schemas.openxmlformats.org/officeDocument/2006/relationships" ref="C92" r:id="rIdConfidence92"/>
    <x:hyperlink xmlns:r="http://schemas.openxmlformats.org/officeDocument/2006/relationships" ref="C93" r:id="rIdConfidence93"/>
    <x:hyperlink xmlns:r="http://schemas.openxmlformats.org/officeDocument/2006/relationships" ref="C94" r:id="rIdConfidence94"/>
    <x:hyperlink xmlns:r="http://schemas.openxmlformats.org/officeDocument/2006/relationships" ref="C95" r:id="rIdConfidence95"/>
    <x:hyperlink xmlns:r="http://schemas.openxmlformats.org/officeDocument/2006/relationships" ref="C96" r:id="rIdConfidence96"/>
    <x:hyperlink xmlns:r="http://schemas.openxmlformats.org/officeDocument/2006/relationships" ref="C97" r:id="rIdConfidence97"/>
    <x:hyperlink xmlns:r="http://schemas.openxmlformats.org/officeDocument/2006/relationships" ref="C98" r:id="rIdConfidence98"/>
    <x:hyperlink xmlns:r="http://schemas.openxmlformats.org/officeDocument/2006/relationships" ref="C99" r:id="rIdConfidence99"/>
    <x:hyperlink xmlns:r="http://schemas.openxmlformats.org/officeDocument/2006/relationships" ref="C100" r:id="rIdConfidence100"/>
    <x:hyperlink xmlns:r="http://schemas.openxmlformats.org/officeDocument/2006/relationships" ref="C101" r:id="rIdConfidence101"/>
    <x:hyperlink xmlns:r="http://schemas.openxmlformats.org/officeDocument/2006/relationships" ref="C102" r:id="rIdConfidence102"/>
    <x:hyperlink xmlns:r="http://schemas.openxmlformats.org/officeDocument/2006/relationships" ref="C103" r:id="rIdConfidence103"/>
    <x:hyperlink xmlns:r="http://schemas.openxmlformats.org/officeDocument/2006/relationships" ref="C104" r:id="rIdConfidence104"/>
    <x:hyperlink xmlns:r="http://schemas.openxmlformats.org/officeDocument/2006/relationships" ref="C105" r:id="rIdConfidence105"/>
    <x:hyperlink xmlns:r="http://schemas.openxmlformats.org/officeDocument/2006/relationships" ref="C106" r:id="rIdConfidence106"/>
    <x:hyperlink xmlns:r="http://schemas.openxmlformats.org/officeDocument/2006/relationships" ref="C107" r:id="rIdConfidence107"/>
    <x:hyperlink xmlns:r="http://schemas.openxmlformats.org/officeDocument/2006/relationships" ref="C108" r:id="rIdConfidence108"/>
    <x:hyperlink xmlns:r="http://schemas.openxmlformats.org/officeDocument/2006/relationships" ref="C109" r:id="rIdConfidence109"/>
    <x:hyperlink xmlns:r="http://schemas.openxmlformats.org/officeDocument/2006/relationships" ref="C110" r:id="rIdConfidence110"/>
    <x:hyperlink xmlns:r="http://schemas.openxmlformats.org/officeDocument/2006/relationships" ref="C111" r:id="rIdConfidence111"/>
    <x:hyperlink xmlns:r="http://schemas.openxmlformats.org/officeDocument/2006/relationships" ref="C112" r:id="rIdConfidence112"/>
    <x:hyperlink xmlns:r="http://schemas.openxmlformats.org/officeDocument/2006/relationships" ref="C113" r:id="rIdConfidence113"/>
    <x:hyperlink xmlns:r="http://schemas.openxmlformats.org/officeDocument/2006/relationships" ref="C114" r:id="rIdConfidence114"/>
    <x:hyperlink xmlns:r="http://schemas.openxmlformats.org/officeDocument/2006/relationships" ref="C115" r:id="rIdConfidence115"/>
    <x:hyperlink xmlns:r="http://schemas.openxmlformats.org/officeDocument/2006/relationships" ref="C116" r:id="rIdConfidence116"/>
    <x:hyperlink xmlns:r="http://schemas.openxmlformats.org/officeDocument/2006/relationships" ref="C117" r:id="rIdConfidence117"/>
    <x:hyperlink xmlns:r="http://schemas.openxmlformats.org/officeDocument/2006/relationships" ref="C118" r:id="rIdConfidence118"/>
    <x:hyperlink xmlns:r="http://schemas.openxmlformats.org/officeDocument/2006/relationships" ref="C119" r:id="rIdConfidence119"/>
    <x:hyperlink xmlns:r="http://schemas.openxmlformats.org/officeDocument/2006/relationships" ref="C120" r:id="rIdConfidence120"/>
    <x:hyperlink xmlns:r="http://schemas.openxmlformats.org/officeDocument/2006/relationships" ref="C121" r:id="rIdConfidence121"/>
    <x:hyperlink xmlns:r="http://schemas.openxmlformats.org/officeDocument/2006/relationships" ref="C122" r:id="rIdConfidence122"/>
    <x:hyperlink xmlns:r="http://schemas.openxmlformats.org/officeDocument/2006/relationships" ref="C123" r:id="rIdConfidence123"/>
    <x:hyperlink xmlns:r="http://schemas.openxmlformats.org/officeDocument/2006/relationships" ref="C124" r:id="rIdConfidence124"/>
    <x:hyperlink xmlns:r="http://schemas.openxmlformats.org/officeDocument/2006/relationships" ref="C125" r:id="rIdConfidence125"/>
    <x:hyperlink xmlns:r="http://schemas.openxmlformats.org/officeDocument/2006/relationships" ref="C126" r:id="rIdConfidence126"/>
    <x:hyperlink xmlns:r="http://schemas.openxmlformats.org/officeDocument/2006/relationships" ref="C127" r:id="rIdConfidence127"/>
    <x:hyperlink xmlns:r="http://schemas.openxmlformats.org/officeDocument/2006/relationships" ref="C128" r:id="rIdConfidence128"/>
    <x:hyperlink xmlns:r="http://schemas.openxmlformats.org/officeDocument/2006/relationships" ref="C129" r:id="rIdConfidence129"/>
    <x:hyperlink xmlns:r="http://schemas.openxmlformats.org/officeDocument/2006/relationships" ref="C130" r:id="rIdConfidence130"/>
    <x:hyperlink xmlns:r="http://schemas.openxmlformats.org/officeDocument/2006/relationships" ref="C131" r:id="rIdConfidence131"/>
    <x:hyperlink xmlns:r="http://schemas.openxmlformats.org/officeDocument/2006/relationships" ref="C132" r:id="rIdConfidence132"/>
    <x:hyperlink xmlns:r="http://schemas.openxmlformats.org/officeDocument/2006/relationships" ref="C133" r:id="rIdConfidence133"/>
    <x:hyperlink xmlns:r="http://schemas.openxmlformats.org/officeDocument/2006/relationships" ref="C134" r:id="rIdConfidence134"/>
    <x:hyperlink xmlns:r="http://schemas.openxmlformats.org/officeDocument/2006/relationships" ref="C135" r:id="rIdConfidence135"/>
    <x:hyperlink xmlns:r="http://schemas.openxmlformats.org/officeDocument/2006/relationships" ref="C136" r:id="rIdConfidence136"/>
    <x:hyperlink xmlns:r="http://schemas.openxmlformats.org/officeDocument/2006/relationships" ref="C137" r:id="rIdConfidence137"/>
    <x:hyperlink xmlns:r="http://schemas.openxmlformats.org/officeDocument/2006/relationships" ref="C138" r:id="rIdConfidence138"/>
    <x:hyperlink xmlns:r="http://schemas.openxmlformats.org/officeDocument/2006/relationships" ref="C139" r:id="rIdConfidence139"/>
    <x:hyperlink xmlns:r="http://schemas.openxmlformats.org/officeDocument/2006/relationships" ref="C140" r:id="rIdConfidence140"/>
    <x:hyperlink xmlns:r="http://schemas.openxmlformats.org/officeDocument/2006/relationships" ref="C141" r:id="rIdConfidence141"/>
    <x:hyperlink xmlns:r="http://schemas.openxmlformats.org/officeDocument/2006/relationships" ref="C142" r:id="rIdConfidence142"/>
    <x:hyperlink xmlns:r="http://schemas.openxmlformats.org/officeDocument/2006/relationships" ref="C143" r:id="rIdConfidence143"/>
    <x:hyperlink xmlns:r="http://schemas.openxmlformats.org/officeDocument/2006/relationships" ref="C144" r:id="rIdConfidence144"/>
    <x:hyperlink xmlns:r="http://schemas.openxmlformats.org/officeDocument/2006/relationships" ref="C145" r:id="rIdConfidence145"/>
    <x:hyperlink xmlns:r="http://schemas.openxmlformats.org/officeDocument/2006/relationships" ref="C146" r:id="rIdConfidence146"/>
    <x:hyperlink xmlns:r="http://schemas.openxmlformats.org/officeDocument/2006/relationships" ref="C147" r:id="rIdConfidence147"/>
    <x:hyperlink xmlns:r="http://schemas.openxmlformats.org/officeDocument/2006/relationships" ref="C148" r:id="rIdConfidence148"/>
    <x:hyperlink xmlns:r="http://schemas.openxmlformats.org/officeDocument/2006/relationships" ref="C149" r:id="rIdConfidence149"/>
    <x:hyperlink xmlns:r="http://schemas.openxmlformats.org/officeDocument/2006/relationships" ref="C150" r:id="rIdConfidence150"/>
    <x:hyperlink xmlns:r="http://schemas.openxmlformats.org/officeDocument/2006/relationships" ref="C151" r:id="rIdConfidence151"/>
    <x:hyperlink xmlns:r="http://schemas.openxmlformats.org/officeDocument/2006/relationships" ref="C152" r:id="rIdConfidence152"/>
    <x:hyperlink xmlns:r="http://schemas.openxmlformats.org/officeDocument/2006/relationships" ref="C153" r:id="rIdConfidence153"/>
    <x:hyperlink xmlns:r="http://schemas.openxmlformats.org/officeDocument/2006/relationships" ref="C154" r:id="rIdConfidence154"/>
    <x:hyperlink xmlns:r="http://schemas.openxmlformats.org/officeDocument/2006/relationships" ref="C155" r:id="rIdConfidence155"/>
    <x:hyperlink xmlns:r="http://schemas.openxmlformats.org/officeDocument/2006/relationships" ref="C156" r:id="rIdConfidence156"/>
    <x:hyperlink xmlns:r="http://schemas.openxmlformats.org/officeDocument/2006/relationships" ref="C157" r:id="rIdConfidence157"/>
    <x:hyperlink xmlns:r="http://schemas.openxmlformats.org/officeDocument/2006/relationships" ref="C158" r:id="rIdConfidence158"/>
    <x:hyperlink xmlns:r="http://schemas.openxmlformats.org/officeDocument/2006/relationships" ref="C159" r:id="rIdConfidence159"/>
    <x:hyperlink xmlns:r="http://schemas.openxmlformats.org/officeDocument/2006/relationships" ref="C160" r:id="rIdConfidence160"/>
    <x:hyperlink xmlns:r="http://schemas.openxmlformats.org/officeDocument/2006/relationships" ref="C161" r:id="rIdConfidence161"/>
    <x:hyperlink xmlns:r="http://schemas.openxmlformats.org/officeDocument/2006/relationships" ref="C162" r:id="rIdConfidence162"/>
    <x:hyperlink xmlns:r="http://schemas.openxmlformats.org/officeDocument/2006/relationships" ref="C163" r:id="rIdConfidence163"/>
    <x:hyperlink xmlns:r="http://schemas.openxmlformats.org/officeDocument/2006/relationships" ref="C164" r:id="rIdConfidence164"/>
    <x:hyperlink xmlns:r="http://schemas.openxmlformats.org/officeDocument/2006/relationships" ref="C165" r:id="rIdConfidence165"/>
    <x:hyperlink xmlns:r="http://schemas.openxmlformats.org/officeDocument/2006/relationships" ref="C166" r:id="rIdConfidence166"/>
    <x:hyperlink xmlns:r="http://schemas.openxmlformats.org/officeDocument/2006/relationships" ref="C167" r:id="rIdConfidence167"/>
    <x:hyperlink xmlns:r="http://schemas.openxmlformats.org/officeDocument/2006/relationships" ref="C168" r:id="rIdConfidence168"/>
    <x:hyperlink xmlns:r="http://schemas.openxmlformats.org/officeDocument/2006/relationships" ref="C169" r:id="rIdConfidence169"/>
    <x:hyperlink xmlns:r="http://schemas.openxmlformats.org/officeDocument/2006/relationships" ref="C170" r:id="rIdConfidence170"/>
    <x:hyperlink xmlns:r="http://schemas.openxmlformats.org/officeDocument/2006/relationships" ref="C171" r:id="rIdConfidence171"/>
    <x:hyperlink xmlns:r="http://schemas.openxmlformats.org/officeDocument/2006/relationships" ref="C172" r:id="rIdConfidence172"/>
    <x:hyperlink xmlns:r="http://schemas.openxmlformats.org/officeDocument/2006/relationships" ref="C173" r:id="rIdConfidence173"/>
    <x:hyperlink xmlns:r="http://schemas.openxmlformats.org/officeDocument/2006/relationships" ref="C174" r:id="rIdConfidence174"/>
    <x:hyperlink xmlns:r="http://schemas.openxmlformats.org/officeDocument/2006/relationships" ref="C175" r:id="rIdConfidence175"/>
    <x:hyperlink xmlns:r="http://schemas.openxmlformats.org/officeDocument/2006/relationships" ref="C176" r:id="rIdConfidence176"/>
    <x:hyperlink xmlns:r="http://schemas.openxmlformats.org/officeDocument/2006/relationships" ref="C177" r:id="rIdConfidence177"/>
    <x:hyperlink xmlns:r="http://schemas.openxmlformats.org/officeDocument/2006/relationships" ref="C178" r:id="rIdConfidence178"/>
    <x:hyperlink xmlns:r="http://schemas.openxmlformats.org/officeDocument/2006/relationships" ref="C179" r:id="rIdConfidence179"/>
    <x:hyperlink xmlns:r="http://schemas.openxmlformats.org/officeDocument/2006/relationships" ref="C180" r:id="rIdConfidence180"/>
    <x:hyperlink xmlns:r="http://schemas.openxmlformats.org/officeDocument/2006/relationships" ref="C181" r:id="rIdConfidence181"/>
    <x:hyperlink xmlns:r="http://schemas.openxmlformats.org/officeDocument/2006/relationships" ref="C182" r:id="rIdConfidence182"/>
    <x:hyperlink xmlns:r="http://schemas.openxmlformats.org/officeDocument/2006/relationships" ref="C183" r:id="rIdConfidence183"/>
    <x:hyperlink xmlns:r="http://schemas.openxmlformats.org/officeDocument/2006/relationships" ref="C184" r:id="rIdConfidence184"/>
    <x:hyperlink xmlns:r="http://schemas.openxmlformats.org/officeDocument/2006/relationships" ref="C185" r:id="rIdConfidence185"/>
    <x:hyperlink xmlns:r="http://schemas.openxmlformats.org/officeDocument/2006/relationships" ref="C186" r:id="rIdConfidence186"/>
    <x:hyperlink xmlns:r="http://schemas.openxmlformats.org/officeDocument/2006/relationships" ref="C187" r:id="rIdConfidence187"/>
    <x:hyperlink xmlns:r="http://schemas.openxmlformats.org/officeDocument/2006/relationships" ref="C188" r:id="rIdConfidence188"/>
    <x:hyperlink xmlns:r="http://schemas.openxmlformats.org/officeDocument/2006/relationships" ref="C189" r:id="rIdConfidence189"/>
    <x:hyperlink xmlns:r="http://schemas.openxmlformats.org/officeDocument/2006/relationships" ref="C190" r:id="rIdConfidence190"/>
    <x:hyperlink xmlns:r="http://schemas.openxmlformats.org/officeDocument/2006/relationships" ref="C191" r:id="rIdConfidence191"/>
    <x:hyperlink xmlns:r="http://schemas.openxmlformats.org/officeDocument/2006/relationships" ref="C192" r:id="rIdConfidence192"/>
    <x:hyperlink xmlns:r="http://schemas.openxmlformats.org/officeDocument/2006/relationships" ref="C193" r:id="rIdConfidence193"/>
    <x:hyperlink xmlns:r="http://schemas.openxmlformats.org/officeDocument/2006/relationships" ref="C194" r:id="rIdConfidence194"/>
    <x:hyperlink xmlns:r="http://schemas.openxmlformats.org/officeDocument/2006/relationships" ref="C195" r:id="rIdConfidence195"/>
    <x:hyperlink xmlns:r="http://schemas.openxmlformats.org/officeDocument/2006/relationships" ref="C196" r:id="rIdConfidence196"/>
    <x:hyperlink xmlns:r="http://schemas.openxmlformats.org/officeDocument/2006/relationships" ref="C197" r:id="rIdConfidence197"/>
    <x:hyperlink xmlns:r="http://schemas.openxmlformats.org/officeDocument/2006/relationships" ref="C198" r:id="rIdConfidence198"/>
    <x:hyperlink xmlns:r="http://schemas.openxmlformats.org/officeDocument/2006/relationships" ref="C199" r:id="rIdConfidence199"/>
    <x:hyperlink xmlns:r="http://schemas.openxmlformats.org/officeDocument/2006/relationships" ref="C200" r:id="rIdConfidence200"/>
    <x:hyperlink xmlns:r="http://schemas.openxmlformats.org/officeDocument/2006/relationships" ref="C201" r:id="rIdConfidence201"/>
    <x:hyperlink xmlns:r="http://schemas.openxmlformats.org/officeDocument/2006/relationships" ref="C202" r:id="rIdConfidence202"/>
    <x:hyperlink xmlns:r="http://schemas.openxmlformats.org/officeDocument/2006/relationships" ref="C203" r:id="rIdConfidence203"/>
    <x:hyperlink xmlns:r="http://schemas.openxmlformats.org/officeDocument/2006/relationships" ref="C204" r:id="rIdConfidence204"/>
    <x:hyperlink xmlns:r="http://schemas.openxmlformats.org/officeDocument/2006/relationships" ref="C205" r:id="rIdConfidence205"/>
    <x:hyperlink xmlns:r="http://schemas.openxmlformats.org/officeDocument/2006/relationships" ref="C206" r:id="rIdConfidence206"/>
    <x:hyperlink xmlns:r="http://schemas.openxmlformats.org/officeDocument/2006/relationships" ref="C207" r:id="rIdConfidence207"/>
    <x:hyperlink xmlns:r="http://schemas.openxmlformats.org/officeDocument/2006/relationships" ref="C208" r:id="rIdConfidence208"/>
    <x:hyperlink xmlns:r="http://schemas.openxmlformats.org/officeDocument/2006/relationships" ref="C209" r:id="rIdConfidence209"/>
    <x:hyperlink xmlns:r="http://schemas.openxmlformats.org/officeDocument/2006/relationships" ref="C210" r:id="rIdConfidence210"/>
    <x:hyperlink xmlns:r="http://schemas.openxmlformats.org/officeDocument/2006/relationships" ref="C211" r:id="rIdConfidence211"/>
    <x:hyperlink xmlns:r="http://schemas.openxmlformats.org/officeDocument/2006/relationships" ref="C212" r:id="rIdConfidence212"/>
    <x:hyperlink xmlns:r="http://schemas.openxmlformats.org/officeDocument/2006/relationships" ref="C213" r:id="rIdConfidence213"/>
    <x:hyperlink xmlns:r="http://schemas.openxmlformats.org/officeDocument/2006/relationships" ref="C214" r:id="rIdConfidence214"/>
    <x:hyperlink xmlns:r="http://schemas.openxmlformats.org/officeDocument/2006/relationships" ref="C215" r:id="rIdConfidence215"/>
    <x:hyperlink xmlns:r="http://schemas.openxmlformats.org/officeDocument/2006/relationships" ref="C216" r:id="rIdConfidence216"/>
    <x:hyperlink xmlns:r="http://schemas.openxmlformats.org/officeDocument/2006/relationships" ref="C217" r:id="rIdConfidence217"/>
    <x:hyperlink xmlns:r="http://schemas.openxmlformats.org/officeDocument/2006/relationships" ref="C218" r:id="rIdConfidence218"/>
    <x:hyperlink xmlns:r="http://schemas.openxmlformats.org/officeDocument/2006/relationships" ref="C219" r:id="rIdConfidence219"/>
    <x:hyperlink xmlns:r="http://schemas.openxmlformats.org/officeDocument/2006/relationships" ref="C220" r:id="rIdConfidence220"/>
    <x:hyperlink xmlns:r="http://schemas.openxmlformats.org/officeDocument/2006/relationships" ref="C221" r:id="rIdConfidence221"/>
    <x:hyperlink xmlns:r="http://schemas.openxmlformats.org/officeDocument/2006/relationships" ref="C222" r:id="rIdConfidence222"/>
    <x:hyperlink xmlns:r="http://schemas.openxmlformats.org/officeDocument/2006/relationships" ref="C223" r:id="rIdConfidence223"/>
    <x:hyperlink xmlns:r="http://schemas.openxmlformats.org/officeDocument/2006/relationships" ref="C224" r:id="rIdConfidence224"/>
    <x:hyperlink xmlns:r="http://schemas.openxmlformats.org/officeDocument/2006/relationships" ref="C225" r:id="rIdConfidence225"/>
    <x:hyperlink xmlns:r="http://schemas.openxmlformats.org/officeDocument/2006/relationships" ref="C226" r:id="rIdConfidence226"/>
    <x:hyperlink xmlns:r="http://schemas.openxmlformats.org/officeDocument/2006/relationships" ref="C227" r:id="rIdConfidence227"/>
    <x:hyperlink xmlns:r="http://schemas.openxmlformats.org/officeDocument/2006/relationships" ref="C228" r:id="rIdConfidence228"/>
    <x:hyperlink xmlns:r="http://schemas.openxmlformats.org/officeDocument/2006/relationships" ref="C229" r:id="rIdConfidence229"/>
    <x:hyperlink xmlns:r="http://schemas.openxmlformats.org/officeDocument/2006/relationships" ref="C230" r:id="rIdConfidence230"/>
    <x:hyperlink xmlns:r="http://schemas.openxmlformats.org/officeDocument/2006/relationships" ref="C231" r:id="rIdConfidence231"/>
    <x:hyperlink xmlns:r="http://schemas.openxmlformats.org/officeDocument/2006/relationships" ref="C232" r:id="rIdConfidence232"/>
    <x:hyperlink xmlns:r="http://schemas.openxmlformats.org/officeDocument/2006/relationships" ref="C233" r:id="rIdConfidence233"/>
    <x:hyperlink xmlns:r="http://schemas.openxmlformats.org/officeDocument/2006/relationships" ref="C234" r:id="rIdConfidence234"/>
    <x:hyperlink xmlns:r="http://schemas.openxmlformats.org/officeDocument/2006/relationships" ref="C235" r:id="rIdConfidence235"/>
    <x:hyperlink xmlns:r="http://schemas.openxmlformats.org/officeDocument/2006/relationships" ref="C236" r:id="rIdConfidence236"/>
    <x:hyperlink xmlns:r="http://schemas.openxmlformats.org/officeDocument/2006/relationships" ref="C237" r:id="rIdConfidence237"/>
    <x:hyperlink xmlns:r="http://schemas.openxmlformats.org/officeDocument/2006/relationships" ref="C238" r:id="rIdConfidence238"/>
    <x:hyperlink xmlns:r="http://schemas.openxmlformats.org/officeDocument/2006/relationships" ref="C239" r:id="rIdConfidence239"/>
    <x:hyperlink xmlns:r="http://schemas.openxmlformats.org/officeDocument/2006/relationships" ref="C240" r:id="rIdConfidence240"/>
    <x:hyperlink xmlns:r="http://schemas.openxmlformats.org/officeDocument/2006/relationships" ref="C241" r:id="rIdConfidence241"/>
    <x:hyperlink xmlns:r="http://schemas.openxmlformats.org/officeDocument/2006/relationships" ref="C242" r:id="rIdConfidence242"/>
    <x:hyperlink xmlns:r="http://schemas.openxmlformats.org/officeDocument/2006/relationships" ref="C243" r:id="rIdConfidence243"/>
    <x:hyperlink xmlns:r="http://schemas.openxmlformats.org/officeDocument/2006/relationships" ref="C244" r:id="rIdConfidence244"/>
    <x:hyperlink xmlns:r="http://schemas.openxmlformats.org/officeDocument/2006/relationships" ref="C245" r:id="rIdConfidence245"/>
    <x:hyperlink xmlns:r="http://schemas.openxmlformats.org/officeDocument/2006/relationships" ref="C246" r:id="rIdConfidence246"/>
    <x:hyperlink xmlns:r="http://schemas.openxmlformats.org/officeDocument/2006/relationships" ref="C247" r:id="rIdConfidence247"/>
    <x:hyperlink xmlns:r="http://schemas.openxmlformats.org/officeDocument/2006/relationships" ref="C248" r:id="rIdConfidence248"/>
    <x:hyperlink xmlns:r="http://schemas.openxmlformats.org/officeDocument/2006/relationships" ref="C249" r:id="rIdConfidence249"/>
    <x:hyperlink xmlns:r="http://schemas.openxmlformats.org/officeDocument/2006/relationships" ref="C250" r:id="rIdConfidence250"/>
    <x:hyperlink xmlns:r="http://schemas.openxmlformats.org/officeDocument/2006/relationships" ref="C251" r:id="rIdConfidence251"/>
    <x:hyperlink xmlns:r="http://schemas.openxmlformats.org/officeDocument/2006/relationships" ref="C252" r:id="rIdConfidence252"/>
    <x:hyperlink xmlns:r="http://schemas.openxmlformats.org/officeDocument/2006/relationships" ref="C253" r:id="rIdConfidence253"/>
    <x:hyperlink xmlns:r="http://schemas.openxmlformats.org/officeDocument/2006/relationships" ref="C254" r:id="rIdConfidence254"/>
    <x:hyperlink xmlns:r="http://schemas.openxmlformats.org/officeDocument/2006/relationships" ref="C255" r:id="rIdConfidence255"/>
    <x:hyperlink xmlns:r="http://schemas.openxmlformats.org/officeDocument/2006/relationships" ref="C256" r:id="rIdConfidence256"/>
    <x:hyperlink xmlns:r="http://schemas.openxmlformats.org/officeDocument/2006/relationships" ref="C257" r:id="rIdConfidence257"/>
    <x:hyperlink xmlns:r="http://schemas.openxmlformats.org/officeDocument/2006/relationships" ref="C258" r:id="rIdConfidence258"/>
    <x:hyperlink xmlns:r="http://schemas.openxmlformats.org/officeDocument/2006/relationships" ref="C259" r:id="rIdConfidence259"/>
    <x:hyperlink xmlns:r="http://schemas.openxmlformats.org/officeDocument/2006/relationships" ref="C260" r:id="rIdConfidence260"/>
    <x:hyperlink xmlns:r="http://schemas.openxmlformats.org/officeDocument/2006/relationships" ref="C261" r:id="rIdConfidence261"/>
    <x:hyperlink xmlns:r="http://schemas.openxmlformats.org/officeDocument/2006/relationships" ref="C262" r:id="rIdConfidence262"/>
    <x:hyperlink xmlns:r="http://schemas.openxmlformats.org/officeDocument/2006/relationships" ref="C263" r:id="rIdConfidence263"/>
    <x:hyperlink xmlns:r="http://schemas.openxmlformats.org/officeDocument/2006/relationships" ref="C264" r:id="rIdConfidence264"/>
    <x:hyperlink xmlns:r="http://schemas.openxmlformats.org/officeDocument/2006/relationships" ref="C265" r:id="rIdConfidence265"/>
    <x:hyperlink xmlns:r="http://schemas.openxmlformats.org/officeDocument/2006/relationships" ref="C266" r:id="rIdConfidence266"/>
    <x:hyperlink xmlns:r="http://schemas.openxmlformats.org/officeDocument/2006/relationships" ref="C267" r:id="rIdConfidence267"/>
    <x:hyperlink xmlns:r="http://schemas.openxmlformats.org/officeDocument/2006/relationships" ref="C268" r:id="rIdConfidence268"/>
    <x:hyperlink xmlns:r="http://schemas.openxmlformats.org/officeDocument/2006/relationships" ref="C269" r:id="rIdConfidence269"/>
    <x:hyperlink xmlns:r="http://schemas.openxmlformats.org/officeDocument/2006/relationships" ref="C270" r:id="rIdConfidence270"/>
    <x:hyperlink xmlns:r="http://schemas.openxmlformats.org/officeDocument/2006/relationships" ref="C271" r:id="rIdConfidence271"/>
    <x:hyperlink xmlns:r="http://schemas.openxmlformats.org/officeDocument/2006/relationships" ref="C272" r:id="rIdConfidence272"/>
    <x:hyperlink xmlns:r="http://schemas.openxmlformats.org/officeDocument/2006/relationships" ref="C273" r:id="rIdConfidence273"/>
    <x:hyperlink xmlns:r="http://schemas.openxmlformats.org/officeDocument/2006/relationships" ref="C274" r:id="rIdConfidence274"/>
    <x:hyperlink xmlns:r="http://schemas.openxmlformats.org/officeDocument/2006/relationships" ref="C275" r:id="rIdConfidence275"/>
    <x:hyperlink xmlns:r="http://schemas.openxmlformats.org/officeDocument/2006/relationships" ref="C276" r:id="rIdConfidence276"/>
    <x:hyperlink xmlns:r="http://schemas.openxmlformats.org/officeDocument/2006/relationships" ref="C277" r:id="rIdConfidence277"/>
    <x:hyperlink xmlns:r="http://schemas.openxmlformats.org/officeDocument/2006/relationships" ref="C278" r:id="rIdConfidence278"/>
    <x:hyperlink xmlns:r="http://schemas.openxmlformats.org/officeDocument/2006/relationships" ref="C279" r:id="rIdConfidence279"/>
    <x:hyperlink xmlns:r="http://schemas.openxmlformats.org/officeDocument/2006/relationships" ref="C280" r:id="rIdConfidence280"/>
    <x:hyperlink xmlns:r="http://schemas.openxmlformats.org/officeDocument/2006/relationships" ref="C281" r:id="rIdConfidence281"/>
    <x:hyperlink xmlns:r="http://schemas.openxmlformats.org/officeDocument/2006/relationships" ref="C282" r:id="rIdConfidence282"/>
    <x:hyperlink xmlns:r="http://schemas.openxmlformats.org/officeDocument/2006/relationships" ref="C283" r:id="rIdConfidence283"/>
    <x:hyperlink xmlns:r="http://schemas.openxmlformats.org/officeDocument/2006/relationships" ref="C284" r:id="rIdConfidence284"/>
    <x:hyperlink xmlns:r="http://schemas.openxmlformats.org/officeDocument/2006/relationships" ref="C285" r:id="rIdConfidence285"/>
    <x:hyperlink xmlns:r="http://schemas.openxmlformats.org/officeDocument/2006/relationships" ref="C286" r:id="rIdConfidence286"/>
    <x:hyperlink xmlns:r="http://schemas.openxmlformats.org/officeDocument/2006/relationships" ref="C287" r:id="rIdConfidence287"/>
    <x:hyperlink xmlns:r="http://schemas.openxmlformats.org/officeDocument/2006/relationships" ref="C288" r:id="rIdConfidence288"/>
    <x:hyperlink xmlns:r="http://schemas.openxmlformats.org/officeDocument/2006/relationships" ref="C289" r:id="rIdConfidence289"/>
    <x:hyperlink xmlns:r="http://schemas.openxmlformats.org/officeDocument/2006/relationships" ref="C290" r:id="rIdConfidence290"/>
    <x:hyperlink xmlns:r="http://schemas.openxmlformats.org/officeDocument/2006/relationships" ref="C291" r:id="rIdConfidence291"/>
    <x:hyperlink xmlns:r="http://schemas.openxmlformats.org/officeDocument/2006/relationships" ref="C292" r:id="rIdConfidence292"/>
    <x:hyperlink xmlns:r="http://schemas.openxmlformats.org/officeDocument/2006/relationships" ref="C293" r:id="rIdConfidence293"/>
    <x:hyperlink xmlns:r="http://schemas.openxmlformats.org/officeDocument/2006/relationships" ref="C294" r:id="rIdConfidence294"/>
    <x:hyperlink xmlns:r="http://schemas.openxmlformats.org/officeDocument/2006/relationships" ref="C295" r:id="rIdConfidence295"/>
    <x:hyperlink xmlns:r="http://schemas.openxmlformats.org/officeDocument/2006/relationships" ref="C296" r:id="rIdConfidence296"/>
    <x:hyperlink xmlns:r="http://schemas.openxmlformats.org/officeDocument/2006/relationships" ref="C297" r:id="rIdConfidence297"/>
    <x:hyperlink xmlns:r="http://schemas.openxmlformats.org/officeDocument/2006/relationships" ref="C298" r:id="rIdConfidence298"/>
    <x:hyperlink xmlns:r="http://schemas.openxmlformats.org/officeDocument/2006/relationships" ref="C299" r:id="rIdConfidence299"/>
    <x:hyperlink xmlns:r="http://schemas.openxmlformats.org/officeDocument/2006/relationships" ref="C300" r:id="rIdConfidence300"/>
    <x:hyperlink xmlns:r="http://schemas.openxmlformats.org/officeDocument/2006/relationships" ref="C301" r:id="rIdConfidence301"/>
    <x:hyperlink xmlns:r="http://schemas.openxmlformats.org/officeDocument/2006/relationships" ref="C302" r:id="rIdConfidence302"/>
    <x:hyperlink xmlns:r="http://schemas.openxmlformats.org/officeDocument/2006/relationships" ref="C303" r:id="rIdConfidence303"/>
    <x:hyperlink xmlns:r="http://schemas.openxmlformats.org/officeDocument/2006/relationships" ref="C304" r:id="rIdConfidence304"/>
    <x:hyperlink xmlns:r="http://schemas.openxmlformats.org/officeDocument/2006/relationships" ref="C305" r:id="rIdConfidence305"/>
    <x:hyperlink xmlns:r="http://schemas.openxmlformats.org/officeDocument/2006/relationships" ref="C306" r:id="rIdConfidence306"/>
    <x:hyperlink xmlns:r="http://schemas.openxmlformats.org/officeDocument/2006/relationships" ref="C307" r:id="rIdConfidence307"/>
    <x:hyperlink xmlns:r="http://schemas.openxmlformats.org/officeDocument/2006/relationships" ref="C308" r:id="rIdConfidence308"/>
    <x:hyperlink xmlns:r="http://schemas.openxmlformats.org/officeDocument/2006/relationships" ref="C309" r:id="rIdConfidence309"/>
    <x:hyperlink xmlns:r="http://schemas.openxmlformats.org/officeDocument/2006/relationships" ref="C310" r:id="rIdConfidence310"/>
    <x:hyperlink xmlns:r="http://schemas.openxmlformats.org/officeDocument/2006/relationships" ref="C311" r:id="rIdConfidence311"/>
    <x:hyperlink xmlns:r="http://schemas.openxmlformats.org/officeDocument/2006/relationships" ref="C312" r:id="rIdConfidence312"/>
    <x:hyperlink xmlns:r="http://schemas.openxmlformats.org/officeDocument/2006/relationships" ref="C313" r:id="rIdConfidence313"/>
    <x:hyperlink xmlns:r="http://schemas.openxmlformats.org/officeDocument/2006/relationships" ref="C314" r:id="rIdConfidence314"/>
    <x:hyperlink xmlns:r="http://schemas.openxmlformats.org/officeDocument/2006/relationships" ref="C315" r:id="rIdConfidence315"/>
    <x:hyperlink xmlns:r="http://schemas.openxmlformats.org/officeDocument/2006/relationships" ref="C316" r:id="rIdConfidence316"/>
    <x:hyperlink xmlns:r="http://schemas.openxmlformats.org/officeDocument/2006/relationships" ref="C317" r:id="rIdConfidence317"/>
    <x:hyperlink xmlns:r="http://schemas.openxmlformats.org/officeDocument/2006/relationships" ref="C318" r:id="rIdConfidence318"/>
    <x:hyperlink xmlns:r="http://schemas.openxmlformats.org/officeDocument/2006/relationships" ref="C319" r:id="rIdConfidence319"/>
    <x:hyperlink xmlns:r="http://schemas.openxmlformats.org/officeDocument/2006/relationships" ref="C320" r:id="rIdConfidence320"/>
    <x:hyperlink xmlns:r="http://schemas.openxmlformats.org/officeDocument/2006/relationships" ref="C321" r:id="rIdConfidence321"/>
    <x:hyperlink xmlns:r="http://schemas.openxmlformats.org/officeDocument/2006/relationships" ref="C322" r:id="rIdConfidence322"/>
    <x:hyperlink xmlns:r="http://schemas.openxmlformats.org/officeDocument/2006/relationships" ref="C323" r:id="rIdConfidence323"/>
    <x:hyperlink xmlns:r="http://schemas.openxmlformats.org/officeDocument/2006/relationships" ref="C324" r:id="rIdConfidence324"/>
    <x:hyperlink xmlns:r="http://schemas.openxmlformats.org/officeDocument/2006/relationships" ref="C325" r:id="rIdConfidence325"/>
    <x:hyperlink xmlns:r="http://schemas.openxmlformats.org/officeDocument/2006/relationships" ref="C326" r:id="rIdConfidence326"/>
    <x:hyperlink xmlns:r="http://schemas.openxmlformats.org/officeDocument/2006/relationships" ref="C327" r:id="rIdConfidence327"/>
    <x:hyperlink xmlns:r="http://schemas.openxmlformats.org/officeDocument/2006/relationships" ref="C328" r:id="rIdConfidence328"/>
    <x:hyperlink xmlns:r="http://schemas.openxmlformats.org/officeDocument/2006/relationships" ref="C329" r:id="rIdConfidence329"/>
    <x:hyperlink xmlns:r="http://schemas.openxmlformats.org/officeDocument/2006/relationships" ref="C330" r:id="rIdConfidence330"/>
    <x:hyperlink xmlns:r="http://schemas.openxmlformats.org/officeDocument/2006/relationships" ref="C331" r:id="rIdConfidence331"/>
    <x:hyperlink xmlns:r="http://schemas.openxmlformats.org/officeDocument/2006/relationships" ref="C332" r:id="rIdConfidence332"/>
    <x:hyperlink xmlns:r="http://schemas.openxmlformats.org/officeDocument/2006/relationships" ref="C333" r:id="rIdConfidence333"/>
    <x:hyperlink xmlns:r="http://schemas.openxmlformats.org/officeDocument/2006/relationships" ref="C334" r:id="rIdConfidence334"/>
    <x:hyperlink xmlns:r="http://schemas.openxmlformats.org/officeDocument/2006/relationships" ref="C335" r:id="rIdConfidence335"/>
    <x:hyperlink xmlns:r="http://schemas.openxmlformats.org/officeDocument/2006/relationships" ref="C336" r:id="rIdConfidence336"/>
    <x:hyperlink xmlns:r="http://schemas.openxmlformats.org/officeDocument/2006/relationships" ref="C337" r:id="rIdConfidence337"/>
    <x:hyperlink xmlns:r="http://schemas.openxmlformats.org/officeDocument/2006/relationships" ref="C338" r:id="rIdConfidence338"/>
    <x:hyperlink xmlns:r="http://schemas.openxmlformats.org/officeDocument/2006/relationships" ref="C339" r:id="rIdConfidence339"/>
    <x:hyperlink xmlns:r="http://schemas.openxmlformats.org/officeDocument/2006/relationships" ref="C340" r:id="rIdConfidence340"/>
    <x:hyperlink xmlns:r="http://schemas.openxmlformats.org/officeDocument/2006/relationships" ref="C341" r:id="rIdConfidence341"/>
    <x:hyperlink xmlns:r="http://schemas.openxmlformats.org/officeDocument/2006/relationships" ref="C342" r:id="rIdConfidence342"/>
    <x:hyperlink xmlns:r="http://schemas.openxmlformats.org/officeDocument/2006/relationships" ref="C343" r:id="rIdConfidence343"/>
    <x:hyperlink xmlns:r="http://schemas.openxmlformats.org/officeDocument/2006/relationships" ref="C344" r:id="rIdConfidence344"/>
    <x:hyperlink xmlns:r="http://schemas.openxmlformats.org/officeDocument/2006/relationships" ref="C345" r:id="rIdConfidence345"/>
    <x:hyperlink xmlns:r="http://schemas.openxmlformats.org/officeDocument/2006/relationships" ref="C346" r:id="rIdConfidence346"/>
    <x:hyperlink xmlns:r="http://schemas.openxmlformats.org/officeDocument/2006/relationships" ref="C347" r:id="rIdConfidence347"/>
    <x:hyperlink xmlns:r="http://schemas.openxmlformats.org/officeDocument/2006/relationships" ref="C348" r:id="rIdConfidence348"/>
    <x:hyperlink xmlns:r="http://schemas.openxmlformats.org/officeDocument/2006/relationships" ref="C349" r:id="rIdConfidence349"/>
    <x:hyperlink xmlns:r="http://schemas.openxmlformats.org/officeDocument/2006/relationships" ref="C350" r:id="rIdConfidence350"/>
    <x:hyperlink xmlns:r="http://schemas.openxmlformats.org/officeDocument/2006/relationships" ref="C351" r:id="rIdConfidence351"/>
    <x:hyperlink xmlns:r="http://schemas.openxmlformats.org/officeDocument/2006/relationships" ref="C352" r:id="rIdConfidence352"/>
    <x:hyperlink xmlns:r="http://schemas.openxmlformats.org/officeDocument/2006/relationships" ref="C353" r:id="rIdConfidence353"/>
    <x:hyperlink xmlns:r="http://schemas.openxmlformats.org/officeDocument/2006/relationships" ref="C354" r:id="rIdConfidence354"/>
    <x:hyperlink xmlns:r="http://schemas.openxmlformats.org/officeDocument/2006/relationships" ref="C355" r:id="rIdConfidence355"/>
    <x:hyperlink xmlns:r="http://schemas.openxmlformats.org/officeDocument/2006/relationships" ref="C356" r:id="rIdConfidence356"/>
    <x:hyperlink xmlns:r="http://schemas.openxmlformats.org/officeDocument/2006/relationships" ref="C357" r:id="rIdConfidence357"/>
    <x:hyperlink xmlns:r="http://schemas.openxmlformats.org/officeDocument/2006/relationships" ref="C358" r:id="rIdConfidence358"/>
    <x:hyperlink xmlns:r="http://schemas.openxmlformats.org/officeDocument/2006/relationships" ref="C359" r:id="rIdConfidence359"/>
    <x:hyperlink xmlns:r="http://schemas.openxmlformats.org/officeDocument/2006/relationships" ref="C360" r:id="rIdConfidence360"/>
    <x:hyperlink xmlns:r="http://schemas.openxmlformats.org/officeDocument/2006/relationships" ref="C361" r:id="rIdConfidence361"/>
    <x:hyperlink xmlns:r="http://schemas.openxmlformats.org/officeDocument/2006/relationships" ref="C362" r:id="rIdConfidence362"/>
    <x:hyperlink xmlns:r="http://schemas.openxmlformats.org/officeDocument/2006/relationships" ref="C363" r:id="rIdConfidence363"/>
    <x:hyperlink xmlns:r="http://schemas.openxmlformats.org/officeDocument/2006/relationships" ref="C364" r:id="rIdConfidence364"/>
    <x:hyperlink xmlns:r="http://schemas.openxmlformats.org/officeDocument/2006/relationships" ref="C365" r:id="rIdConfidence365"/>
    <x:hyperlink xmlns:r="http://schemas.openxmlformats.org/officeDocument/2006/relationships" ref="C366" r:id="rIdConfidence366"/>
    <x:hyperlink xmlns:r="http://schemas.openxmlformats.org/officeDocument/2006/relationships" ref="C367" r:id="rIdConfidence367"/>
    <x:hyperlink xmlns:r="http://schemas.openxmlformats.org/officeDocument/2006/relationships" ref="C368" r:id="rIdConfidence368"/>
    <x:hyperlink xmlns:r="http://schemas.openxmlformats.org/officeDocument/2006/relationships" ref="C369" r:id="rIdConfidence369"/>
    <x:hyperlink xmlns:r="http://schemas.openxmlformats.org/officeDocument/2006/relationships" ref="C370" r:id="rIdConfidence370"/>
    <x:hyperlink xmlns:r="http://schemas.openxmlformats.org/officeDocument/2006/relationships" ref="C371" r:id="rIdConfidence371"/>
    <x:hyperlink xmlns:r="http://schemas.openxmlformats.org/officeDocument/2006/relationships" ref="C372" r:id="rIdConfidence372"/>
    <x:hyperlink xmlns:r="http://schemas.openxmlformats.org/officeDocument/2006/relationships" ref="C373" r:id="rIdConfidence373"/>
    <x:hyperlink xmlns:r="http://schemas.openxmlformats.org/officeDocument/2006/relationships" ref="C374" r:id="rIdConfidence374"/>
    <x:hyperlink xmlns:r="http://schemas.openxmlformats.org/officeDocument/2006/relationships" ref="C375" r:id="rIdConfidence375"/>
    <x:hyperlink xmlns:r="http://schemas.openxmlformats.org/officeDocument/2006/relationships" ref="C376" r:id="rIdConfidence376"/>
    <x:hyperlink xmlns:r="http://schemas.openxmlformats.org/officeDocument/2006/relationships" ref="C377" r:id="rIdConfidence377"/>
    <x:hyperlink xmlns:r="http://schemas.openxmlformats.org/officeDocument/2006/relationships" ref="C378" r:id="rIdConfidence378"/>
    <x:hyperlink xmlns:r="http://schemas.openxmlformats.org/officeDocument/2006/relationships" ref="C379" r:id="rIdConfidence379"/>
    <x:hyperlink xmlns:r="http://schemas.openxmlformats.org/officeDocument/2006/relationships" ref="C380" r:id="rIdConfidence380"/>
    <x:hyperlink xmlns:r="http://schemas.openxmlformats.org/officeDocument/2006/relationships" ref="C381" r:id="rIdConfidence381"/>
    <x:hyperlink xmlns:r="http://schemas.openxmlformats.org/officeDocument/2006/relationships" ref="C382" r:id="rIdConfidence382"/>
    <x:hyperlink xmlns:r="http://schemas.openxmlformats.org/officeDocument/2006/relationships" ref="C383" r:id="rIdConfidence383"/>
    <x:hyperlink xmlns:r="http://schemas.openxmlformats.org/officeDocument/2006/relationships" ref="C384" r:id="rIdConfidence384"/>
    <x:hyperlink xmlns:r="http://schemas.openxmlformats.org/officeDocument/2006/relationships" ref="C385" r:id="rIdConfidence385"/>
    <x:hyperlink xmlns:r="http://schemas.openxmlformats.org/officeDocument/2006/relationships" ref="C386" r:id="rIdConfidence386"/>
    <x:hyperlink xmlns:r="http://schemas.openxmlformats.org/officeDocument/2006/relationships" ref="C387" r:id="rIdConfidence387"/>
    <x:hyperlink xmlns:r="http://schemas.openxmlformats.org/officeDocument/2006/relationships" ref="C388" r:id="rIdConfidence388"/>
    <x:hyperlink xmlns:r="http://schemas.openxmlformats.org/officeDocument/2006/relationships" ref="C389" r:id="rIdConfidence389"/>
    <x:hyperlink xmlns:r="http://schemas.openxmlformats.org/officeDocument/2006/relationships" ref="C390" r:id="rIdConfidence390"/>
    <x:hyperlink xmlns:r="http://schemas.openxmlformats.org/officeDocument/2006/relationships" ref="C391" r:id="rIdConfidence391"/>
    <x:hyperlink xmlns:r="http://schemas.openxmlformats.org/officeDocument/2006/relationships" ref="C392" r:id="rIdConfidence392"/>
    <x:hyperlink xmlns:r="http://schemas.openxmlformats.org/officeDocument/2006/relationships" ref="C393" r:id="rIdConfidence393"/>
    <x:hyperlink xmlns:r="http://schemas.openxmlformats.org/officeDocument/2006/relationships" ref="C394" r:id="rIdConfidence394"/>
    <x:hyperlink xmlns:r="http://schemas.openxmlformats.org/officeDocument/2006/relationships" ref="C395" r:id="rIdConfidence395"/>
    <x:hyperlink xmlns:r="http://schemas.openxmlformats.org/officeDocument/2006/relationships" ref="C396" r:id="rIdConfidence396"/>
    <x:hyperlink xmlns:r="http://schemas.openxmlformats.org/officeDocument/2006/relationships" ref="C397" r:id="rIdConfidence397"/>
    <x:hyperlink xmlns:r="http://schemas.openxmlformats.org/officeDocument/2006/relationships" ref="C398" r:id="rIdConfidence398"/>
    <x:hyperlink xmlns:r="http://schemas.openxmlformats.org/officeDocument/2006/relationships" ref="C399" r:id="rIdConfidence399"/>
    <x:hyperlink xmlns:r="http://schemas.openxmlformats.org/officeDocument/2006/relationships" ref="C400" r:id="rIdConfidence400"/>
    <x:hyperlink xmlns:r="http://schemas.openxmlformats.org/officeDocument/2006/relationships" ref="C401" r:id="rIdConfidence401"/>
    <x:hyperlink xmlns:r="http://schemas.openxmlformats.org/officeDocument/2006/relationships" ref="C402" r:id="rIdConfidence402"/>
    <x:hyperlink xmlns:r="http://schemas.openxmlformats.org/officeDocument/2006/relationships" ref="C403" r:id="rIdConfidence403"/>
    <x:hyperlink xmlns:r="http://schemas.openxmlformats.org/officeDocument/2006/relationships" ref="C404" r:id="rIdConfidence404"/>
    <x:hyperlink xmlns:r="http://schemas.openxmlformats.org/officeDocument/2006/relationships" ref="C405" r:id="rIdConfidence405"/>
    <x:hyperlink xmlns:r="http://schemas.openxmlformats.org/officeDocument/2006/relationships" ref="C406" r:id="rIdConfidence406"/>
    <x:hyperlink xmlns:r="http://schemas.openxmlformats.org/officeDocument/2006/relationships" ref="C407" r:id="rIdConfidence407"/>
    <x:hyperlink xmlns:r="http://schemas.openxmlformats.org/officeDocument/2006/relationships" ref="C408" r:id="rIdConfidence408"/>
    <x:hyperlink xmlns:r="http://schemas.openxmlformats.org/officeDocument/2006/relationships" ref="C409" r:id="rIdConfidence409"/>
    <x:hyperlink xmlns:r="http://schemas.openxmlformats.org/officeDocument/2006/relationships" ref="C410" r:id="rIdConfidence410"/>
    <x:hyperlink xmlns:r="http://schemas.openxmlformats.org/officeDocument/2006/relationships" ref="C411" r:id="rIdConfidence411"/>
    <x:hyperlink xmlns:r="http://schemas.openxmlformats.org/officeDocument/2006/relationships" ref="C412" r:id="rIdConfidence412"/>
    <x:hyperlink xmlns:r="http://schemas.openxmlformats.org/officeDocument/2006/relationships" ref="C413" r:id="rIdConfidence413"/>
    <x:hyperlink xmlns:r="http://schemas.openxmlformats.org/officeDocument/2006/relationships" ref="C414" r:id="rIdConfidence414"/>
    <x:hyperlink xmlns:r="http://schemas.openxmlformats.org/officeDocument/2006/relationships" ref="C415" r:id="rIdConfidence415"/>
    <x:hyperlink xmlns:r="http://schemas.openxmlformats.org/officeDocument/2006/relationships" ref="C416" r:id="rIdConfidence416"/>
    <x:hyperlink xmlns:r="http://schemas.openxmlformats.org/officeDocument/2006/relationships" ref="C417" r:id="rIdConfidence417"/>
    <x:hyperlink xmlns:r="http://schemas.openxmlformats.org/officeDocument/2006/relationships" ref="C418" r:id="rIdConfidence418"/>
    <x:hyperlink xmlns:r="http://schemas.openxmlformats.org/officeDocument/2006/relationships" ref="C419" r:id="rIdConfidence419"/>
    <x:hyperlink xmlns:r="http://schemas.openxmlformats.org/officeDocument/2006/relationships" ref="C420" r:id="rIdConfidence420"/>
    <x:hyperlink xmlns:r="http://schemas.openxmlformats.org/officeDocument/2006/relationships" ref="C421" r:id="rIdConfidence421"/>
    <x:hyperlink xmlns:r="http://schemas.openxmlformats.org/officeDocument/2006/relationships" ref="C422" r:id="rIdConfidence422"/>
    <x:hyperlink xmlns:r="http://schemas.openxmlformats.org/officeDocument/2006/relationships" ref="C423" r:id="rIdConfidence423"/>
    <x:hyperlink xmlns:r="http://schemas.openxmlformats.org/officeDocument/2006/relationships" ref="C424" r:id="rIdConfidence424"/>
    <x:hyperlink xmlns:r="http://schemas.openxmlformats.org/officeDocument/2006/relationships" ref="C425" r:id="rIdConfidence425"/>
    <x:hyperlink xmlns:r="http://schemas.openxmlformats.org/officeDocument/2006/relationships" ref="C426" r:id="rIdConfidence426"/>
    <x:hyperlink xmlns:r="http://schemas.openxmlformats.org/officeDocument/2006/relationships" ref="C427" r:id="rIdConfidence427"/>
    <x:hyperlink xmlns:r="http://schemas.openxmlformats.org/officeDocument/2006/relationships" ref="C428" r:id="rIdConfidence428"/>
    <x:hyperlink xmlns:r="http://schemas.openxmlformats.org/officeDocument/2006/relationships" ref="C429" r:id="rIdConfidence429"/>
    <x:hyperlink xmlns:r="http://schemas.openxmlformats.org/officeDocument/2006/relationships" ref="C430" r:id="rIdConfidence430"/>
    <x:hyperlink xmlns:r="http://schemas.openxmlformats.org/officeDocument/2006/relationships" ref="C431" r:id="rIdConfidence431"/>
    <x:hyperlink xmlns:r="http://schemas.openxmlformats.org/officeDocument/2006/relationships" ref="C432" r:id="rIdConfidence432"/>
    <x:hyperlink xmlns:r="http://schemas.openxmlformats.org/officeDocument/2006/relationships" ref="C433" r:id="rIdConfidence433"/>
    <x:hyperlink xmlns:r="http://schemas.openxmlformats.org/officeDocument/2006/relationships" ref="C434" r:id="rIdConfidence434"/>
    <x:hyperlink xmlns:r="http://schemas.openxmlformats.org/officeDocument/2006/relationships" ref="C435" r:id="rIdConfidence435"/>
    <x:hyperlink xmlns:r="http://schemas.openxmlformats.org/officeDocument/2006/relationships" ref="C436" r:id="rIdConfidence436"/>
    <x:hyperlink xmlns:r="http://schemas.openxmlformats.org/officeDocument/2006/relationships" ref="C437" r:id="rIdConfidence437"/>
    <x:hyperlink xmlns:r="http://schemas.openxmlformats.org/officeDocument/2006/relationships" ref="C438" r:id="rIdConfidence438"/>
    <x:hyperlink xmlns:r="http://schemas.openxmlformats.org/officeDocument/2006/relationships" ref="C439" r:id="rIdConfidence439"/>
    <x:hyperlink xmlns:r="http://schemas.openxmlformats.org/officeDocument/2006/relationships" ref="C440" r:id="rIdConfidence440"/>
    <x:hyperlink xmlns:r="http://schemas.openxmlformats.org/officeDocument/2006/relationships" ref="C441" r:id="rIdConfidence441"/>
    <x:hyperlink xmlns:r="http://schemas.openxmlformats.org/officeDocument/2006/relationships" ref="C442" r:id="rIdConfidence442"/>
    <x:hyperlink xmlns:r="http://schemas.openxmlformats.org/officeDocument/2006/relationships" ref="C443" r:id="rIdConfidence443"/>
    <x:hyperlink xmlns:r="http://schemas.openxmlformats.org/officeDocument/2006/relationships" ref="C444" r:id="rIdConfidence444"/>
    <x:hyperlink xmlns:r="http://schemas.openxmlformats.org/officeDocument/2006/relationships" ref="C445" r:id="rIdConfidence445"/>
    <x:hyperlink xmlns:r="http://schemas.openxmlformats.org/officeDocument/2006/relationships" ref="C446" r:id="rIdConfidence446"/>
    <x:hyperlink xmlns:r="http://schemas.openxmlformats.org/officeDocument/2006/relationships" ref="C447" r:id="rIdConfidence447"/>
    <x:hyperlink xmlns:r="http://schemas.openxmlformats.org/officeDocument/2006/relationships" ref="C448" r:id="rIdConfidence448"/>
    <x:hyperlink xmlns:r="http://schemas.openxmlformats.org/officeDocument/2006/relationships" ref="C449" r:id="rIdConfidence449"/>
    <x:hyperlink xmlns:r="http://schemas.openxmlformats.org/officeDocument/2006/relationships" ref="C450" r:id="rIdConfidence450"/>
    <x:hyperlink xmlns:r="http://schemas.openxmlformats.org/officeDocument/2006/relationships" ref="C451" r:id="rIdConfidence451"/>
    <x:hyperlink xmlns:r="http://schemas.openxmlformats.org/officeDocument/2006/relationships" ref="C452" r:id="rIdConfidence452"/>
    <x:hyperlink xmlns:r="http://schemas.openxmlformats.org/officeDocument/2006/relationships" ref="C453" r:id="rIdConfidence453"/>
    <x:hyperlink xmlns:r="http://schemas.openxmlformats.org/officeDocument/2006/relationships" ref="C454" r:id="rIdConfidence454"/>
    <x:hyperlink xmlns:r="http://schemas.openxmlformats.org/officeDocument/2006/relationships" ref="C455" r:id="rIdConfidence455"/>
    <x:hyperlink xmlns:r="http://schemas.openxmlformats.org/officeDocument/2006/relationships" ref="C456" r:id="rIdConfidence456"/>
    <x:hyperlink xmlns:r="http://schemas.openxmlformats.org/officeDocument/2006/relationships" ref="C457" r:id="rIdConfidence457"/>
    <x:hyperlink xmlns:r="http://schemas.openxmlformats.org/officeDocument/2006/relationships" ref="C458" r:id="rIdConfidence458"/>
    <x:hyperlink xmlns:r="http://schemas.openxmlformats.org/officeDocument/2006/relationships" ref="C459" r:id="rIdConfidence459"/>
    <x:hyperlink xmlns:r="http://schemas.openxmlformats.org/officeDocument/2006/relationships" ref="C460" r:id="rIdConfidence460"/>
    <x:hyperlink xmlns:r="http://schemas.openxmlformats.org/officeDocument/2006/relationships" ref="C461" r:id="rIdConfidence461"/>
    <x:hyperlink xmlns:r="http://schemas.openxmlformats.org/officeDocument/2006/relationships" ref="C462" r:id="rIdConfidence462"/>
    <x:hyperlink xmlns:r="http://schemas.openxmlformats.org/officeDocument/2006/relationships" ref="C463" r:id="rIdConfidence463"/>
    <x:hyperlink xmlns:r="http://schemas.openxmlformats.org/officeDocument/2006/relationships" ref="C464" r:id="rIdConfidence464"/>
    <x:hyperlink xmlns:r="http://schemas.openxmlformats.org/officeDocument/2006/relationships" ref="C465" r:id="rIdConfidence465"/>
    <x:hyperlink xmlns:r="http://schemas.openxmlformats.org/officeDocument/2006/relationships" ref="C466" r:id="rIdConfidence466"/>
    <x:hyperlink xmlns:r="http://schemas.openxmlformats.org/officeDocument/2006/relationships" ref="C467" r:id="rIdConfidence467"/>
    <x:hyperlink xmlns:r="http://schemas.openxmlformats.org/officeDocument/2006/relationships" ref="C468" r:id="rIdConfidence468"/>
    <x:hyperlink xmlns:r="http://schemas.openxmlformats.org/officeDocument/2006/relationships" ref="C469" r:id="rIdConfidence469"/>
    <x:hyperlink xmlns:r="http://schemas.openxmlformats.org/officeDocument/2006/relationships" ref="C470" r:id="rIdConfidence470"/>
    <x:hyperlink xmlns:r="http://schemas.openxmlformats.org/officeDocument/2006/relationships" ref="C471" r:id="rIdConfidence471"/>
    <x:hyperlink xmlns:r="http://schemas.openxmlformats.org/officeDocument/2006/relationships" ref="C472" r:id="rIdConfidence472"/>
    <x:hyperlink xmlns:r="http://schemas.openxmlformats.org/officeDocument/2006/relationships" ref="C473" r:id="rIdConfidence473"/>
    <x:hyperlink xmlns:r="http://schemas.openxmlformats.org/officeDocument/2006/relationships" ref="C474" r:id="rIdConfidence474"/>
    <x:hyperlink xmlns:r="http://schemas.openxmlformats.org/officeDocument/2006/relationships" ref="C475" r:id="rIdConfidence475"/>
    <x:hyperlink xmlns:r="http://schemas.openxmlformats.org/officeDocument/2006/relationships" ref="C476" r:id="rIdConfidence476"/>
    <x:hyperlink xmlns:r="http://schemas.openxmlformats.org/officeDocument/2006/relationships" ref="C477" r:id="rIdConfidence477"/>
    <x:hyperlink xmlns:r="http://schemas.openxmlformats.org/officeDocument/2006/relationships" ref="C478" r:id="rIdConfidence478"/>
    <x:hyperlink xmlns:r="http://schemas.openxmlformats.org/officeDocument/2006/relationships" ref="C479" r:id="rIdConfidence479"/>
    <x:hyperlink xmlns:r="http://schemas.openxmlformats.org/officeDocument/2006/relationships" ref="C480" r:id="rIdConfidence480"/>
    <x:hyperlink xmlns:r="http://schemas.openxmlformats.org/officeDocument/2006/relationships" ref="C481" r:id="rIdConfidence481"/>
    <x:hyperlink xmlns:r="http://schemas.openxmlformats.org/officeDocument/2006/relationships" ref="C482" r:id="rIdConfidence482"/>
    <x:hyperlink xmlns:r="http://schemas.openxmlformats.org/officeDocument/2006/relationships" ref="C483" r:id="rIdConfidence483"/>
    <x:hyperlink xmlns:r="http://schemas.openxmlformats.org/officeDocument/2006/relationships" ref="C484" r:id="rIdConfidence484"/>
    <x:hyperlink xmlns:r="http://schemas.openxmlformats.org/officeDocument/2006/relationships" ref="C485" r:id="rIdConfidence485"/>
    <x:hyperlink xmlns:r="http://schemas.openxmlformats.org/officeDocument/2006/relationships" ref="C486" r:id="rIdConfidence486"/>
    <x:hyperlink xmlns:r="http://schemas.openxmlformats.org/officeDocument/2006/relationships" ref="C487" r:id="rIdConfidence487"/>
    <x:hyperlink xmlns:r="http://schemas.openxmlformats.org/officeDocument/2006/relationships" ref="C488" r:id="rIdConfidence488"/>
    <x:hyperlink xmlns:r="http://schemas.openxmlformats.org/officeDocument/2006/relationships" ref="C489" r:id="rIdConfidence489"/>
    <x:hyperlink xmlns:r="http://schemas.openxmlformats.org/officeDocument/2006/relationships" ref="C490" r:id="rIdConfidence490"/>
    <x:hyperlink xmlns:r="http://schemas.openxmlformats.org/officeDocument/2006/relationships" ref="C491" r:id="rIdConfidence491"/>
    <x:hyperlink xmlns:r="http://schemas.openxmlformats.org/officeDocument/2006/relationships" ref="C492" r:id="rIdConfidence492"/>
    <x:hyperlink xmlns:r="http://schemas.openxmlformats.org/officeDocument/2006/relationships" ref="C493" r:id="rIdConfidence493"/>
    <x:hyperlink xmlns:r="http://schemas.openxmlformats.org/officeDocument/2006/relationships" ref="C494" r:id="rIdConfidence494"/>
    <x:hyperlink xmlns:r="http://schemas.openxmlformats.org/officeDocument/2006/relationships" ref="C495" r:id="rIdConfidence495"/>
    <x:hyperlink xmlns:r="http://schemas.openxmlformats.org/officeDocument/2006/relationships" ref="C496" r:id="rIdConfidence496"/>
    <x:hyperlink xmlns:r="http://schemas.openxmlformats.org/officeDocument/2006/relationships" ref="C497" r:id="rIdConfidence497"/>
    <x:hyperlink xmlns:r="http://schemas.openxmlformats.org/officeDocument/2006/relationships" ref="C498" r:id="rIdConfidence498"/>
    <x:hyperlink xmlns:r="http://schemas.openxmlformats.org/officeDocument/2006/relationships" ref="C499" r:id="rIdConfidence499"/>
    <x:hyperlink xmlns:r="http://schemas.openxmlformats.org/officeDocument/2006/relationships" ref="C500" r:id="rIdConfidence500"/>
    <x:hyperlink xmlns:r="http://schemas.openxmlformats.org/officeDocument/2006/relationships" ref="C501" r:id="rIdConfidence501"/>
    <x:hyperlink xmlns:r="http://schemas.openxmlformats.org/officeDocument/2006/relationships" ref="C502" r:id="rIdConfidence502"/>
    <x:hyperlink xmlns:r="http://schemas.openxmlformats.org/officeDocument/2006/relationships" ref="C503" r:id="rIdConfidence503"/>
    <x:hyperlink xmlns:r="http://schemas.openxmlformats.org/officeDocument/2006/relationships" ref="C504" r:id="rIdConfidence504"/>
    <x:hyperlink xmlns:r="http://schemas.openxmlformats.org/officeDocument/2006/relationships" ref="C505" r:id="rIdConfidence505"/>
    <x:hyperlink xmlns:r="http://schemas.openxmlformats.org/officeDocument/2006/relationships" ref="C506" r:id="rIdConfidence506"/>
    <x:hyperlink xmlns:r="http://schemas.openxmlformats.org/officeDocument/2006/relationships" ref="C507" r:id="rIdConfidence507"/>
    <x:hyperlink xmlns:r="http://schemas.openxmlformats.org/officeDocument/2006/relationships" ref="C508" r:id="rIdConfidence508"/>
    <x:hyperlink xmlns:r="http://schemas.openxmlformats.org/officeDocument/2006/relationships" ref="C509" r:id="rIdConfidence509"/>
    <x:hyperlink xmlns:r="http://schemas.openxmlformats.org/officeDocument/2006/relationships" ref="C510" r:id="rIdConfidence510"/>
    <x:hyperlink xmlns:r="http://schemas.openxmlformats.org/officeDocument/2006/relationships" ref="C511" r:id="rIdConfidence511"/>
    <x:hyperlink xmlns:r="http://schemas.openxmlformats.org/officeDocument/2006/relationships" ref="C512" r:id="rIdConfidence512"/>
    <x:hyperlink xmlns:r="http://schemas.openxmlformats.org/officeDocument/2006/relationships" ref="C513" r:id="rIdConfidence513"/>
    <x:hyperlink xmlns:r="http://schemas.openxmlformats.org/officeDocument/2006/relationships" ref="C514" r:id="rIdConfidence514"/>
    <x:hyperlink xmlns:r="http://schemas.openxmlformats.org/officeDocument/2006/relationships" ref="C515" r:id="rIdConfidence515"/>
    <x:hyperlink xmlns:r="http://schemas.openxmlformats.org/officeDocument/2006/relationships" ref="C516" r:id="rIdConfidence516"/>
    <x:hyperlink xmlns:r="http://schemas.openxmlformats.org/officeDocument/2006/relationships" ref="C517" r:id="rIdConfidence517"/>
    <x:hyperlink xmlns:r="http://schemas.openxmlformats.org/officeDocument/2006/relationships" ref="C518" r:id="rIdConfidence518"/>
    <x:hyperlink xmlns:r="http://schemas.openxmlformats.org/officeDocument/2006/relationships" ref="C519" r:id="rIdConfidence519"/>
    <x:hyperlink xmlns:r="http://schemas.openxmlformats.org/officeDocument/2006/relationships" ref="C520" r:id="rIdConfidence520"/>
    <x:hyperlink xmlns:r="http://schemas.openxmlformats.org/officeDocument/2006/relationships" ref="C521" r:id="rIdConfidence521"/>
    <x:hyperlink xmlns:r="http://schemas.openxmlformats.org/officeDocument/2006/relationships" ref="C522" r:id="rIdConfidence522"/>
    <x:hyperlink xmlns:r="http://schemas.openxmlformats.org/officeDocument/2006/relationships" ref="C523" r:id="rIdConfidence523"/>
    <x:hyperlink xmlns:r="http://schemas.openxmlformats.org/officeDocument/2006/relationships" ref="C524" r:id="rIdConfidence524"/>
    <x:hyperlink xmlns:r="http://schemas.openxmlformats.org/officeDocument/2006/relationships" ref="C525" r:id="rIdConfidence525"/>
    <x:hyperlink xmlns:r="http://schemas.openxmlformats.org/officeDocument/2006/relationships" ref="C526" r:id="rIdConfidence526"/>
    <x:hyperlink xmlns:r="http://schemas.openxmlformats.org/officeDocument/2006/relationships" ref="C527" r:id="rIdConfidence527"/>
    <x:hyperlink xmlns:r="http://schemas.openxmlformats.org/officeDocument/2006/relationships" ref="C528" r:id="rIdConfidence528"/>
    <x:hyperlink xmlns:r="http://schemas.openxmlformats.org/officeDocument/2006/relationships" ref="C529" r:id="rIdConfidence529"/>
    <x:hyperlink xmlns:r="http://schemas.openxmlformats.org/officeDocument/2006/relationships" ref="C530" r:id="rIdConfidence530"/>
    <x:hyperlink xmlns:r="http://schemas.openxmlformats.org/officeDocument/2006/relationships" ref="C531" r:id="rIdConfidence531"/>
    <x:hyperlink xmlns:r="http://schemas.openxmlformats.org/officeDocument/2006/relationships" ref="C532" r:id="rIdConfidence532"/>
    <x:hyperlink xmlns:r="http://schemas.openxmlformats.org/officeDocument/2006/relationships" ref="C533" r:id="rIdConfidence533"/>
    <x:hyperlink xmlns:r="http://schemas.openxmlformats.org/officeDocument/2006/relationships" ref="C534" r:id="rIdConfidence534"/>
    <x:hyperlink xmlns:r="http://schemas.openxmlformats.org/officeDocument/2006/relationships" ref="C535" r:id="rIdConfidence535"/>
    <x:hyperlink xmlns:r="http://schemas.openxmlformats.org/officeDocument/2006/relationships" ref="C536" r:id="rIdConfidence536"/>
    <x:hyperlink xmlns:r="http://schemas.openxmlformats.org/officeDocument/2006/relationships" ref="C537" r:id="rIdConfidence537"/>
    <x:hyperlink xmlns:r="http://schemas.openxmlformats.org/officeDocument/2006/relationships" ref="C538" r:id="rIdConfidence538"/>
    <x:hyperlink xmlns:r="http://schemas.openxmlformats.org/officeDocument/2006/relationships" ref="C539" r:id="rIdConfidence539"/>
    <x:hyperlink xmlns:r="http://schemas.openxmlformats.org/officeDocument/2006/relationships" ref="C540" r:id="rIdConfidence540"/>
    <x:hyperlink xmlns:r="http://schemas.openxmlformats.org/officeDocument/2006/relationships" ref="C541" r:id="rIdConfidence541"/>
    <x:hyperlink xmlns:r="http://schemas.openxmlformats.org/officeDocument/2006/relationships" ref="C542" r:id="rIdConfidence542"/>
    <x:hyperlink xmlns:r="http://schemas.openxmlformats.org/officeDocument/2006/relationships" ref="C543" r:id="rIdConfidence543"/>
    <x:hyperlink xmlns:r="http://schemas.openxmlformats.org/officeDocument/2006/relationships" ref="C544" r:id="rIdConfidence544"/>
    <x:hyperlink xmlns:r="http://schemas.openxmlformats.org/officeDocument/2006/relationships" ref="C545" r:id="rIdConfidence545"/>
    <x:hyperlink xmlns:r="http://schemas.openxmlformats.org/officeDocument/2006/relationships" ref="C546" r:id="rIdConfidence546"/>
    <x:hyperlink xmlns:r="http://schemas.openxmlformats.org/officeDocument/2006/relationships" ref="C547" r:id="rIdConfidence547"/>
    <x:hyperlink xmlns:r="http://schemas.openxmlformats.org/officeDocument/2006/relationships" ref="C548" r:id="rIdConfidence548"/>
    <x:hyperlink xmlns:r="http://schemas.openxmlformats.org/officeDocument/2006/relationships" ref="C549" r:id="rIdConfidence549"/>
    <x:hyperlink xmlns:r="http://schemas.openxmlformats.org/officeDocument/2006/relationships" ref="C550" r:id="rIdConfidence550"/>
    <x:hyperlink xmlns:r="http://schemas.openxmlformats.org/officeDocument/2006/relationships" ref="C551" r:id="rIdConfidence551"/>
    <x:hyperlink xmlns:r="http://schemas.openxmlformats.org/officeDocument/2006/relationships" ref="C552" r:id="rIdConfidence552"/>
    <x:hyperlink xmlns:r="http://schemas.openxmlformats.org/officeDocument/2006/relationships" ref="C553" r:id="rIdConfidence553"/>
    <x:hyperlink xmlns:r="http://schemas.openxmlformats.org/officeDocument/2006/relationships" ref="C554" r:id="rIdConfidence554"/>
    <x:hyperlink xmlns:r="http://schemas.openxmlformats.org/officeDocument/2006/relationships" ref="C555" r:id="rIdConfidence555"/>
    <x:hyperlink xmlns:r="http://schemas.openxmlformats.org/officeDocument/2006/relationships" ref="C556" r:id="rIdConfidence556"/>
    <x:hyperlink xmlns:r="http://schemas.openxmlformats.org/officeDocument/2006/relationships" ref="C557" r:id="rIdConfidence557"/>
    <x:hyperlink xmlns:r="http://schemas.openxmlformats.org/officeDocument/2006/relationships" ref="C558" r:id="rIdConfidence558"/>
    <x:hyperlink xmlns:r="http://schemas.openxmlformats.org/officeDocument/2006/relationships" ref="C559" r:id="rIdConfidence559"/>
    <x:hyperlink xmlns:r="http://schemas.openxmlformats.org/officeDocument/2006/relationships" ref="C560" r:id="rIdConfidence560"/>
    <x:hyperlink xmlns:r="http://schemas.openxmlformats.org/officeDocument/2006/relationships" ref="C561" r:id="rIdCurrentReview561"/>
    <x:hyperlink xmlns:r="http://schemas.openxmlformats.org/officeDocument/2006/relationships" ref="C562" r:id="rIdCurrentReview562"/>
    <x:hyperlink xmlns:r="http://schemas.openxmlformats.org/officeDocument/2006/relationships" ref="C563" r:id="rIdCurrentReview563"/>
    <x:hyperlink xmlns:r="http://schemas.openxmlformats.org/officeDocument/2006/relationships" ref="C564" r:id="rIdCurrentReview564"/>
    <x:hyperlink xmlns:r="http://schemas.openxmlformats.org/officeDocument/2006/relationships" ref="C565" r:id="rIdCurrentReview565"/>
    <x:hyperlink xmlns:r="http://schemas.openxmlformats.org/officeDocument/2006/relationships" ref="C566" r:id="rIdCurrentReview566"/>
    <x:hyperlink xmlns:r="http://schemas.openxmlformats.org/officeDocument/2006/relationships" ref="C567" r:id="rIdCurrentReview567"/>
    <x:hyperlink xmlns:r="http://schemas.openxmlformats.org/officeDocument/2006/relationships" ref="C568" r:id="rIdBonyScope568"/>
    <x:hyperlink xmlns:r="http://schemas.openxmlformats.org/officeDocument/2006/relationships" ref="C569" r:id="rIdBonyScope569"/>
  </x:hyperlinks>
  <x:pageMargins left="0.7" right="0.7" top="0.75" bottom="0.75" header="0.3" footer="0.3"/>
  <x:tableParts count="3">
    <x:tablePart xmlns:r="http://schemas.openxmlformats.org/officeDocument/2006/relationships" r:id="Rfbf98ffbb5ca4e7c"/>
    <x:tablePart xmlns:r="http://schemas.openxmlformats.org/officeDocument/2006/relationships" r:id="Rf34b2d7c812d46eb"/>
    <x:tablePart xmlns:r="http://schemas.openxmlformats.org/officeDocument/2006/relationships" r:id="R1812fa5b0d574482"/>
  </x:tableParts>
</x:worksheet>
</file>