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043b4c199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153a1af8bcb4e35"/>
    <x:sheet xmlns:r="http://schemas.openxmlformats.org/officeDocument/2006/relationships" name="Commercial" sheetId="2" r:id="Rb963d87e06f84161"/>
    <x:sheet xmlns:r="http://schemas.openxmlformats.org/officeDocument/2006/relationships" name="Functional" sheetId="3" r:id="Rb7a198209c084e91"/>
    <x:sheet xmlns:r="http://schemas.openxmlformats.org/officeDocument/2006/relationships" name="Missing TL" sheetId="4" r:id="R6015188f115c48e9"/>
    <x:sheet xmlns:r="http://schemas.openxmlformats.org/officeDocument/2006/relationships" name="Validation" sheetId="5" r:id="Rfd9d7c84b34b4aa9"/>
    <x:sheet xmlns:r="http://schemas.openxmlformats.org/officeDocument/2006/relationships" name="Metadata" sheetId="6" r:id="Ra85663f2e3b945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606d9909249f7" /><Relationship Type="http://schemas.openxmlformats.org/officeDocument/2006/relationships/theme" Target="/xl/theme/theme1.xml" Id="R1650e1e258b74966" /><Relationship Type="http://schemas.openxmlformats.org/officeDocument/2006/relationships/sharedStrings" Target="/xl/sharedStrings.xml" Id="R4825147db22f42cb" /><Relationship Type="http://schemas.openxmlformats.org/officeDocument/2006/relationships/worksheet" Target="/xl/worksheets/sheet1.xml" Id="R6153a1af8bcb4e35" /><Relationship Type="http://schemas.openxmlformats.org/officeDocument/2006/relationships/worksheet" Target="/xl/worksheets/sheet2.xml" Id="Rb963d87e06f84161" /><Relationship Type="http://schemas.openxmlformats.org/officeDocument/2006/relationships/worksheet" Target="/xl/worksheets/sheet3.xml" Id="Rb7a198209c084e91" /><Relationship Type="http://schemas.openxmlformats.org/officeDocument/2006/relationships/worksheet" Target="/xl/worksheets/sheet4.xml" Id="R6015188f115c48e9" /><Relationship Type="http://schemas.openxmlformats.org/officeDocument/2006/relationships/worksheet" Target="/xl/worksheets/sheet5.xml" Id="Rfd9d7c84b34b4aa9" /><Relationship Type="http://schemas.openxmlformats.org/officeDocument/2006/relationships/worksheet" Target="/xl/worksheets/sheet6.xml" Id="Ra85663f2e3b9452c" /></Relationships>
</file>

<file path=xl/tables/table1.xml><?xml version="1.0" encoding="utf-8"?>
<x:table xmlns:x="http://schemas.openxmlformats.org/spreadsheetml/2006/main" id="1" name="HS087SpeciesTable" displayName="HS087SpeciesTable" ref="A1:U26" headerRowCount="1" totalsRowCount="0" totalsRowShown="0">
  <x:autoFilter ref="A1:U2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87CommercialTable" displayName="HS087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87FunctionalTable" displayName="HS087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87ValidationTable" displayName="HS08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cb295be4894a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2c5e6839464e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5e41f2a73d140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ec53f2af0d4a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HS_087</x:v>
      </x:c>
      <x:c r="B2" s="46" t="str">
        <x:v>Pacific, Southeast</x:v>
      </x:c>
      <x:c r="C2" s="46" t="str">
        <x:v>High Seas</x:v>
      </x:c>
      <x:c r="D2" s="58" t="n">
        <x:v>2019</x:v>
      </x:c>
      <x:c r="E2" s="46" t="str">
        <x:v>Katsuwonus pelamis</x:v>
      </x:c>
      <x:c r="F2" s="46" t="str">
        <x:v>Skipjack tuna</x:v>
      </x:c>
      <x:c r="G2" s="46" t="str">
        <x:v>Large pelagics (&gt;=90 cm)</x:v>
      </x:c>
      <x:c r="H2" s="46" t="str">
        <x:v>Tuna &amp; billfishes</x:v>
      </x:c>
      <x:c r="I2" s="60" t="n">
        <x:v>142501.5608518861</x:v>
      </x:c>
      <x:c r="J2" s="60" t="n">
        <x:v>141958.19638060822</x:v>
      </x:c>
      <x:c r="K2" s="60" t="n">
        <x:v>543.3644712779</x:v>
      </x:c>
      <x:c r="L2" s="60" t="n">
        <x:v>141958.19638060822</x:v>
      </x:c>
      <x:c r="M2" s="60" t="n">
        <x:v>543.3644712779</x:v>
      </x:c>
      <x:c r="N2" s="46" t="str">
        <x:v>katsuwonus pelamis</x:v>
      </x:c>
      <x:c r="O2" s="62" t="n">
        <x:v>4.43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Katsuwonus pelamis</x:v>
      </x:c>
      <x:c r="T2" s="62" t="n">
        <x:f>IF(O2="","",(1/'Metadata'!$B$5)^(O2-1))</x:f>
        <x:v>29009.008489223597</x:v>
      </x:c>
      <x:c r="U2" s="60" t="n">
        <x:f>IF(T2="","",I2*T2)</x:f>
        <x:v>4133828988.479977</x:v>
      </x:c>
    </x:row>
    <x:row r="3" ht="18" customHeight="1">
      <x:c r="A3" s="46" t="str">
        <x:v>HS_087</x:v>
      </x:c>
      <x:c r="B3" s="46" t="str">
        <x:v>Pacific, Southeast</x:v>
      </x:c>
      <x:c r="C3" s="46" t="str">
        <x:v>High Seas</x:v>
      </x:c>
      <x:c r="D3" s="58" t="n">
        <x:v>2019</x:v>
      </x:c>
      <x:c r="E3" s="46" t="str">
        <x:v>Thunnus albacares</x:v>
      </x:c>
      <x:c r="F3" s="46" t="str">
        <x:v>Yellowfin tuna</x:v>
      </x:c>
      <x:c r="G3" s="46" t="str">
        <x:v>Large pelagics (&gt;=90 cm)</x:v>
      </x:c>
      <x:c r="H3" s="46" t="str">
        <x:v>Tuna &amp; billfishes</x:v>
      </x:c>
      <x:c r="I3" s="60" t="n">
        <x:v>49041.6830071137</x:v>
      </x:c>
      <x:c r="J3" s="60" t="n">
        <x:v>47821.220077188</x:v>
      </x:c>
      <x:c r="K3" s="60" t="n">
        <x:v>1220.4629299256999</x:v>
      </x:c>
      <x:c r="L3" s="60" t="n">
        <x:v>47821.220077188</x:v>
      </x:c>
      <x:c r="M3" s="60" t="n">
        <x:v>1220.4629299256999</x:v>
      </x:c>
      <x:c r="N3" s="46" t="str">
        <x:v>thunnus albacares</x:v>
      </x:c>
      <x:c r="O3" s="62" t="n">
        <x:v>4.41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albacares</x:v>
      </x:c>
      <x:c r="T3" s="62" t="n">
        <x:f>IF(O3="","",(1/'Metadata'!$B$5)^(O3-1))</x:f>
        <x:v>27321.987305427916</x:v>
      </x:c>
      <x:c r="U3" s="60" t="n">
        <x:f>IF(T3="","",I3*T3)</x:f>
        <x:v>1339916240.5571804</x:v>
      </x:c>
    </x:row>
    <x:row r="4" ht="18" customHeight="1">
      <x:c r="A4" s="46" t="str">
        <x:v>HS_087</x:v>
      </x:c>
      <x:c r="B4" s="46" t="str">
        <x:v>Pacific, Southeast</x:v>
      </x:c>
      <x:c r="C4" s="46" t="str">
        <x:v>High Seas</x:v>
      </x:c>
      <x:c r="D4" s="58" t="n">
        <x:v>2019</x:v>
      </x:c>
      <x:c r="E4" s="46" t="str">
        <x:v>Thunnus obesus</x:v>
      </x:c>
      <x:c r="F4" s="46" t="str">
        <x:v>Bigeye tuna</x:v>
      </x:c>
      <x:c r="G4" s="46" t="str">
        <x:v>Large pelagics (&gt;=90 cm)</x:v>
      </x:c>
      <x:c r="H4" s="46" t="str">
        <x:v>Tuna &amp; billfishes</x:v>
      </x:c>
      <x:c r="I4" s="60" t="n">
        <x:v>33526.54556593</x:v>
      </x:c>
      <x:c r="J4" s="60" t="n">
        <x:v>33417.892253423</x:v>
      </x:c>
      <x:c r="K4" s="60" t="n">
        <x:v>108.653312507</x:v>
      </x:c>
      <x:c r="L4" s="60" t="n">
        <x:v>33417.892253423</x:v>
      </x:c>
      <x:c r="M4" s="60" t="n">
        <x:v>108.653312507</x:v>
      </x:c>
      <x:c r="N4" s="46" t="str">
        <x:v>thunnus obesus</x:v>
      </x:c>
      <x:c r="O4" s="62" t="n">
        <x:v>4.49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Thunnus obesus</x:v>
      </x:c>
      <x:c r="T4" s="62" t="n">
        <x:f>IF(O4="","",(1/'Metadata'!$B$5)^(O4-1))</x:f>
        <x:v>34721.19667768202</x:v>
      </x:c>
      <x:c r="U4" s="60" t="n">
        <x:f>IF(T4="","",I4*T4)</x:f>
        <x:v>1164081782.5179236</x:v>
      </x:c>
    </x:row>
    <x:row r="5" ht="18" customHeight="1">
      <x:c r="A5" s="46" t="str">
        <x:v>HS_087</x:v>
      </x:c>
      <x:c r="B5" s="46" t="str">
        <x:v>Pacific, Southeast</x:v>
      </x:c>
      <x:c r="C5" s="46" t="str">
        <x:v>High Seas</x:v>
      </x:c>
      <x:c r="D5" s="58" t="n">
        <x:v>2019</x:v>
      </x:c>
      <x:c r="E5" s="46" t="str">
        <x:v>Xiphias gladius</x:v>
      </x:c>
      <x:c r="F5" s="46" t="str">
        <x:v>Swordfish</x:v>
      </x:c>
      <x:c r="G5" s="46" t="str">
        <x:v>Large pelagics (&gt;=90 cm)</x:v>
      </x:c>
      <x:c r="H5" s="46" t="str">
        <x:v>Tuna &amp; billfishes</x:v>
      </x:c>
      <x:c r="I5" s="60" t="n">
        <x:v>4496.1807411462005</x:v>
      </x:c>
      <x:c r="J5" s="60" t="n">
        <x:v>4278.9458162182</x:v>
      </x:c>
      <x:c r="K5" s="60" t="n">
        <x:v>217.234924928</x:v>
      </x:c>
      <x:c r="L5" s="60" t="n">
        <x:v>4278.9458162182</x:v>
      </x:c>
      <x:c r="M5" s="60" t="n">
        <x:v>217.234924928</x:v>
      </x:c>
      <x:c r="N5" s="46" t="str">
        <x:v>xiphias gladius</x:v>
      </x:c>
      <x:c r="O5" s="62" t="n">
        <x:v>4.53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Xiphias gladius</x:v>
      </x:c>
      <x:c r="T5" s="62" t="n">
        <x:f>IF(O5="","",(1/'Metadata'!$B$5)^(O5-1))</x:f>
        <x:v>39141.35758252625</x:v>
      </x:c>
      <x:c r="U5" s="60" t="n">
        <x:f>IF(T5="","",I5*T5)</x:f>
        <x:v>175986618.14487135</x:v>
      </x:c>
    </x:row>
    <x:row r="6" ht="18" customHeight="1">
      <x:c r="A6" s="46" t="str">
        <x:v>HS_087</x:v>
      </x:c>
      <x:c r="B6" s="46" t="str">
        <x:v>Pacific, Southeast</x:v>
      </x:c>
      <x:c r="C6" s="46" t="str">
        <x:v>High Seas</x:v>
      </x:c>
      <x:c r="D6" s="58" t="n">
        <x:v>2019</x:v>
      </x:c>
      <x:c r="E6" s="46" t="str">
        <x:v>Thunnus alalunga</x:v>
      </x:c>
      <x:c r="F6" s="46" t="str">
        <x:v>Albacore</x:v>
      </x:c>
      <x:c r="G6" s="46" t="str">
        <x:v>Large pelagics (&gt;=90 cm)</x:v>
      </x:c>
      <x:c r="H6" s="46" t="str">
        <x:v>Tuna &amp; billfishes</x:v>
      </x:c>
      <x:c r="I6" s="60" t="n">
        <x:v>3850.6003997620996</x:v>
      </x:c>
      <x:c r="J6" s="60" t="n">
        <x:v>3849.4567211876997</x:v>
      </x:c>
      <x:c r="K6" s="60" t="n">
        <x:v>1.1436785744</x:v>
      </x:c>
      <x:c r="L6" s="60" t="n">
        <x:v>3849.4567211876997</x:v>
      </x:c>
      <x:c r="M6" s="60" t="n">
        <x:v>1.1436785744</x:v>
      </x:c>
      <x:c r="N6" s="46" t="str">
        <x:v>thunnus alalunga</x:v>
      </x:c>
      <x:c r="O6" s="62" t="n">
        <x:v>4.3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Thunnus alalunga</x:v>
      </x:c>
      <x:c r="T6" s="62" t="n">
        <x:f>IF(O6="","",(1/'Metadata'!$B$5)^(O6-1))</x:f>
        <x:v>19651.648417852637</x:v>
      </x:c>
      <x:c r="U6" s="60" t="n">
        <x:f>IF(T6="","",I6*T6)</x:f>
        <x:v>75670645.2537676</x:v>
      </x:c>
    </x:row>
    <x:row r="7" ht="18" customHeight="1">
      <x:c r="A7" s="46" t="str">
        <x:v>HS_087</x:v>
      </x:c>
      <x:c r="B7" s="46" t="str">
        <x:v>Pacific, Southeast</x:v>
      </x:c>
      <x:c r="C7" s="46" t="str">
        <x:v>High Seas</x:v>
      </x:c>
      <x:c r="D7" s="58" t="n">
        <x:v>2019</x:v>
      </x:c>
      <x:c r="E7" s="46" t="str">
        <x:v>Prionace glauca</x:v>
      </x:c>
      <x:c r="F7" s="46" t="str">
        <x:v>Blue shark</x:v>
      </x:c>
      <x:c r="G7" s="46" t="str">
        <x:v>Large sharks (&gt;=90 cm)</x:v>
      </x:c>
      <x:c r="H7" s="46" t="str">
        <x:v>Sharks &amp; rays</x:v>
      </x:c>
      <x:c r="I7" s="60" t="n">
        <x:v>2449.8344272198</x:v>
      </x:c>
      <x:c r="J7" s="60" t="n">
        <x:v>0</x:v>
      </x:c>
      <x:c r="K7" s="60" t="n">
        <x:v>2449.8344272198</x:v>
      </x:c>
      <x:c r="L7" s="60" t="n">
        <x:v>0</x:v>
      </x:c>
      <x:c r="M7" s="60" t="n">
        <x:v>2449.8344272198</x:v>
      </x:c>
      <x:c r="N7" s="46" t="str">
        <x:v>prionace glauca</x:v>
      </x:c>
      <x:c r="O7" s="62" t="n">
        <x:v>4.35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Prionace glauca</x:v>
      </x:c>
      <x:c r="T7" s="62" t="n">
        <x:f>IF(O7="","",(1/'Metadata'!$B$5)^(O7-1))</x:f>
        <x:v>22827.086550132422</x:v>
      </x:c>
      <x:c r="U7" s="60" t="n">
        <x:f>IF(T7="","",I7*T7)</x:f>
        <x:v>55922582.503640465</x:v>
      </x:c>
    </x:row>
    <x:row r="8" ht="18" customHeight="1">
      <x:c r="A8" s="46" t="str">
        <x:v>HS_087</x:v>
      </x:c>
      <x:c r="B8" s="46" t="str">
        <x:v>Pacific, Southeast</x:v>
      </x:c>
      <x:c r="C8" s="46" t="str">
        <x:v>High Seas</x:v>
      </x:c>
      <x:c r="D8" s="58" t="n">
        <x:v>2019</x:v>
      </x:c>
      <x:c r="E8" s="46" t="str">
        <x:v>Elasmobranchii</x:v>
      </x:c>
      <x:c r="F8" s="46" t="str">
        <x:v>Sharks, rays, skates</x:v>
      </x:c>
      <x:c r="G8" s="46" t="str">
        <x:v>Large sharks (&gt;=90 cm)</x:v>
      </x:c>
      <x:c r="H8" s="46" t="str">
        <x:v>Sharks &amp; rays</x:v>
      </x:c>
      <x:c r="I8" s="60" t="n">
        <x:v>2230.4557003566</x:v>
      </x:c>
      <x:c r="J8" s="60" t="n">
        <x:v>1558.8926450773</x:v>
      </x:c>
      <x:c r="K8" s="60" t="n">
        <x:v>671.5630552793</x:v>
      </x:c>
      <x:c r="L8" s="60" t="n">
        <x:v>1558.8926450773</x:v>
      </x:c>
      <x:c r="M8" s="60" t="n">
        <x:v>671.5630552793</x:v>
      </x:c>
      <x:c r="N8" s="46" t="str">
        <x:v>elasmobranchii</x:v>
      </x:c>
      <x:c r="O8" s="62" t="n">
        <x:v>4.05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Elasmobranchii</x:v>
      </x:c>
      <x:c r="T8" s="62" t="n">
        <x:f>IF(O8="","",(1/'Metadata'!$B$5)^(O8-1))</x:f>
        <x:v>9292.690797132333</x:v>
      </x:c>
      <x:c r="U8" s="60" t="n">
        <x:f>IF(T8="","",I8*T8)</x:f>
        <x:v>20726935.16011513</x:v>
      </x:c>
    </x:row>
    <x:row r="9" ht="18" customHeight="1">
      <x:c r="A9" s="46" t="str">
        <x:v>HS_087</x:v>
      </x:c>
      <x:c r="B9" s="46" t="str">
        <x:v>Pacific, Southeast</x:v>
      </x:c>
      <x:c r="C9" s="46" t="str">
        <x:v>High Seas</x:v>
      </x:c>
      <x:c r="D9" s="58" t="n">
        <x:v>2019</x:v>
      </x:c>
      <x:c r="E9" s="46" t="str">
        <x:v>Marine fishes not identified</x:v>
      </x:c>
      <x:c r="F9" s="46" t="str">
        <x:v>Marine fishes nei</x:v>
      </x:c>
      <x:c r="G9" s="46" t="str">
        <x:v>Medium demersals (30 - 89 cm)</x:v>
      </x:c>
      <x:c r="H9" s="46" t="str">
        <x:v>Other fishes &amp; inverts</x:v>
      </x:c>
      <x:c r="I9" s="60" t="n">
        <x:v>2057.6531137176</x:v>
      </x:c>
      <x:c r="J9" s="60" t="n">
        <x:v>0</x:v>
      </x:c>
      <x:c r="K9" s="60" t="n">
        <x:v>2057.6531137176</x:v>
      </x:c>
      <x:c r="L9" s="60" t="n">
        <x:v>0</x:v>
      </x:c>
      <x:c r="M9" s="60" t="n">
        <x:v>2057.6531137176</x:v>
      </x:c>
      <x:c r="N9" s="46" t="str">
        <x:v>marine fishes not identified</x:v>
      </x:c>
      <x:c r="O9" s="62" t="n">
        <x:v>3.28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Marine fishes not identified</x:v>
      </x:c>
      <x:c r="T9" s="62" t="n">
        <x:f>IF(O9="","",(1/'Metadata'!$B$5)^(O9-1))</x:f>
        <x:v>925.4402624666747</x:v>
      </x:c>
      <x:c r="U9" s="60" t="n">
        <x:f>IF(T9="","",I9*T9)</x:f>
        <x:v>1904235.037624186</x:v>
      </x:c>
    </x:row>
    <x:row r="10" ht="18" customHeight="1">
      <x:c r="A10" s="46" t="str">
        <x:v>HS_087</x:v>
      </x:c>
      <x:c r="B10" s="46" t="str">
        <x:v>Pacific, Southeast</x:v>
      </x:c>
      <x:c r="C10" s="46" t="str">
        <x:v>High Seas</x:v>
      </x:c>
      <x:c r="D10" s="58" t="n">
        <x:v>2019</x:v>
      </x:c>
      <x:c r="E10" s="46" t="str">
        <x:v>Marine pelagic fishes not identified</x:v>
      </x:c>
      <x:c r="F10" s="46" t="str">
        <x:v>Pelagic fishes</x:v>
      </x:c>
      <x:c r="G10" s="46" t="str">
        <x:v>Medium pelagics (30 - 89 cm)</x:v>
      </x:c>
      <x:c r="H10" s="46" t="str">
        <x:v>Other fishes &amp; inverts</x:v>
      </x:c>
      <x:c r="I10" s="60" t="n">
        <x:v>1045.8807369423</x:v>
      </x:c>
      <x:c r="J10" s="60" t="n">
        <x:v>950.8786498253</x:v>
      </x:c>
      <x:c r="K10" s="60" t="n">
        <x:v>95.002087117</x:v>
      </x:c>
      <x:c r="L10" s="60" t="n">
        <x:v>950.8786498253</x:v>
      </x:c>
      <x:c r="M10" s="60" t="n">
        <x:v>95.002087117</x:v>
      </x:c>
      <x:c r="N10" s="46" t="str">
        <x:v>marine pelagic fishes not identified</x:v>
      </x:c>
      <x:c r="O10" s="62" t="n">
        <x:v>3.35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Marine pelagic fishes not identified</x:v>
      </x:c>
      <x:c r="T10" s="62" t="n">
        <x:f>IF(O10="","",(1/'Metadata'!$B$5)^(O10-1))</x:f>
        <x:v>1141.3543275066227</x:v>
      </x:c>
      <x:c r="U10" s="60" t="n">
        <x:f>IF(T10="","",I10*T10)</x:f>
        <x:v>1193720.5051649099</x:v>
      </x:c>
    </x:row>
    <x:row r="11" ht="18" customHeight="1">
      <x:c r="A11" s="46" t="str">
        <x:v>HS_087</x:v>
      </x:c>
      <x:c r="B11" s="46" t="str">
        <x:v>Pacific, Southeast</x:v>
      </x:c>
      <x:c r="C11" s="46" t="str">
        <x:v>High Seas</x:v>
      </x:c>
      <x:c r="D11" s="58" t="n">
        <x:v>2019</x:v>
      </x:c>
      <x:c r="E11" s="46" t="str">
        <x:v>Coryphaena</x:v>
      </x:c>
      <x:c r="F11" s="46" t="str">
        <x:v>Dolphinfishes</x:v>
      </x:c>
      <x:c r="G11" s="46" t="str">
        <x:v>Large pelagics (&gt;=90 cm)</x:v>
      </x:c>
      <x:c r="H11" s="46" t="str">
        <x:v>Perch-likes</x:v>
      </x:c>
      <x:c r="I11" s="60" t="n">
        <x:v>1032.4228624909</x:v>
      </x:c>
      <x:c r="J11" s="60" t="n">
        <x:v>1032.4228624909</x:v>
      </x:c>
      <x:c r="K11" s="60" t="n">
        <x:v>0</x:v>
      </x:c>
      <x:c r="L11" s="60" t="n">
        <x:v>1032.4228624909</x:v>
      </x:c>
      <x:c r="M11" s="60" t="n">
        <x:v>0</x:v>
      </x:c>
      <x:c r="N11" s="46" t="str">
        <x:v>coryphaena</x:v>
      </x:c>
      <x:c r="O11" s="62" t="n">
        <x:v>4.49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Coryphaena</x:v>
      </x:c>
      <x:c r="T11" s="62" t="n">
        <x:f>IF(O11="","",(1/'Metadata'!$B$5)^(O11-1))</x:f>
        <x:v>34721.19667768202</x:v>
      </x:c>
      <x:c r="U11" s="60" t="n">
        <x:f>IF(T11="","",I11*T11)</x:f>
        <x:v>35846957.26308199</x:v>
      </x:c>
    </x:row>
    <x:row r="12" ht="18" customHeight="1">
      <x:c r="A12" s="46" t="str">
        <x:v>HS_087</x:v>
      </x:c>
      <x:c r="B12" s="46" t="str">
        <x:v>Pacific, Southeast</x:v>
      </x:c>
      <x:c r="C12" s="46" t="str">
        <x:v>High Seas</x:v>
      </x:c>
      <x:c r="D12" s="58" t="n">
        <x:v>2019</x:v>
      </x:c>
      <x:c r="E12" s="46" t="str">
        <x:v>Scombridae</x:v>
      </x:c>
      <x:c r="F12" s="46" t="str">
        <x:v>Mackerels, tunas, bonitos</x:v>
      </x:c>
      <x:c r="G12" s="46" t="str">
        <x:v>Medium pelagics (30 - 89 cm)</x:v>
      </x:c>
      <x:c r="H12" s="46" t="str">
        <x:v>Perch-likes</x:v>
      </x:c>
      <x:c r="I12" s="60" t="n">
        <x:v>909.6263602775</x:v>
      </x:c>
      <x:c r="J12" s="60" t="n">
        <x:v>1.7592399531999998</x:v>
      </x:c>
      <x:c r="K12" s="60" t="n">
        <x:v>907.8671203243</x:v>
      </x:c>
      <x:c r="L12" s="60" t="n">
        <x:v>1.7592399531999998</x:v>
      </x:c>
      <x:c r="M12" s="60" t="n">
        <x:v>907.8671203243</x:v>
      </x:c>
      <x:c r="N12" s="46" t="str">
        <x:v>scombridae</x:v>
      </x:c>
      <x:c r="O12" s="62" t="n">
        <x:v>4.26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Scombridae</x:v>
      </x:c>
      <x:c r="T12" s="62" t="n">
        <x:f>IF(O12="","",(1/'Metadata'!$B$5)^(O12-1))</x:f>
        <x:v>17432.42421569787</x:v>
      </x:c>
      <x:c r="U12" s="60" t="n">
        <x:f>IF(T12="","",I12*T12)</x:f>
        <x:v>15856992.590138605</x:v>
      </x:c>
    </x:row>
    <x:row r="13" ht="18" customHeight="1">
      <x:c r="A13" s="46" t="str">
        <x:v>HS_087</x:v>
      </x:c>
      <x:c r="B13" s="46" t="str">
        <x:v>Pacific, Southeast</x:v>
      </x:c>
      <x:c r="C13" s="46" t="str">
        <x:v>High Seas</x:v>
      </x:c>
      <x:c r="D13" s="58" t="n">
        <x:v>2019</x:v>
      </x:c>
      <x:c r="E13" s="46" t="str">
        <x:v>Coryphaena hippurus</x:v>
      </x:c>
      <x:c r="F13" s="46" t="str">
        <x:v>Common dolphinfish</x:v>
      </x:c>
      <x:c r="G13" s="46" t="str">
        <x:v>Large pelagics (&gt;=90 cm)</x:v>
      </x:c>
      <x:c r="H13" s="46" t="str">
        <x:v>Perch-likes</x:v>
      </x:c>
      <x:c r="I13" s="60" t="n">
        <x:v>803.7193193481</x:v>
      </x:c>
      <x:c r="J13" s="60" t="n">
        <x:v>0</x:v>
      </x:c>
      <x:c r="K13" s="60" t="n">
        <x:v>803.7193193481</x:v>
      </x:c>
      <x:c r="L13" s="60" t="n">
        <x:v>0</x:v>
      </x:c>
      <x:c r="M13" s="60" t="n">
        <x:v>803.7193193481</x:v>
      </x:c>
      <x:c r="N13" s="46" t="str">
        <x:v>coryphaena hippurus</x:v>
      </x:c>
      <x:c r="O13" s="62" t="n">
        <x:v>4.37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Coryphaena hippurus</x:v>
      </x:c>
      <x:c r="T13" s="62" t="n">
        <x:f>IF(O13="","",(1/'Metadata'!$B$5)^(O13-1))</x:f>
        <x:v>24236.56596112542</x:v>
      </x:c>
      <x:c r="U13" s="60" t="n">
        <x:f>IF(T13="","",I13*T13)</x:f>
        <x:v>19479396.297611054</x:v>
      </x:c>
    </x:row>
    <x:row r="14" ht="18" customHeight="1">
      <x:c r="A14" s="46" t="str">
        <x:v>HS_087</x:v>
      </x:c>
      <x:c r="B14" s="46" t="str">
        <x:v>Pacific, Southeast</x:v>
      </x:c>
      <x:c r="C14" s="46" t="str">
        <x:v>High Seas</x:v>
      </x:c>
      <x:c r="D14" s="58" t="n">
        <x:v>2019</x:v>
      </x:c>
      <x:c r="E14" s="46" t="str">
        <x:v>Kajikia audax</x:v>
      </x:c>
      <x:c r="F14" s="46" t="str">
        <x:v>Striped marlin</x:v>
      </x:c>
      <x:c r="G14" s="46" t="str">
        <x:v>Large pelagics (&gt;=90 cm)</x:v>
      </x:c>
      <x:c r="H14" s="46" t="str">
        <x:v>Tuna &amp; billfishes</x:v>
      </x:c>
      <x:c r="I14" s="60" t="n">
        <x:v>474.6620599145</x:v>
      </x:c>
      <x:c r="J14" s="60" t="n">
        <x:v>474.6620599145</x:v>
      </x:c>
      <x:c r="K14" s="60" t="n">
        <x:v>0</x:v>
      </x:c>
      <x:c r="L14" s="60" t="n">
        <x:v>474.6620599145</x:v>
      </x:c>
      <x:c r="M14" s="60" t="n">
        <x:v>0</x:v>
      </x:c>
      <x:c r="N14" s="46" t="str">
        <x:v>kajikia audax</x:v>
      </x:c>
      <x:c r="O14" s="62" t="n">
        <x:v>4.58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Kajikia audax</x:v>
      </x:c>
      <x:c r="T14" s="62" t="n">
        <x:f>IF(O14="","",(1/'Metadata'!$B$5)^(O14-1))</x:f>
        <x:v>45466.06667430095</x:v>
      </x:c>
      <x:c r="U14" s="60" t="n">
        <x:f>IF(T14="","",I14*T14)</x:f>
        <x:v>21581016.86383369</x:v>
      </x:c>
    </x:row>
    <x:row r="15" ht="18" customHeight="1">
      <x:c r="A15" s="46" t="str">
        <x:v>HS_087</x:v>
      </x:c>
      <x:c r="B15" s="46" t="str">
        <x:v>Pacific, Southeast</x:v>
      </x:c>
      <x:c r="C15" s="46" t="str">
        <x:v>High Seas</x:v>
      </x:c>
      <x:c r="D15" s="58" t="n">
        <x:v>2019</x:v>
      </x:c>
      <x:c r="E15" s="46" t="str">
        <x:v>Istiophoridae</x:v>
      </x:c>
      <x:c r="F15" s="46" t="str">
        <x:v>Billfishes</x:v>
      </x:c>
      <x:c r="G15" s="46" t="str">
        <x:v>Large pelagics (&gt;=90 cm)</x:v>
      </x:c>
      <x:c r="H15" s="46" t="str">
        <x:v>Tuna &amp; billfishes</x:v>
      </x:c>
      <x:c r="I15" s="60" t="n">
        <x:v>263.2648242856</x:v>
      </x:c>
      <x:c r="J15" s="60" t="n">
        <x:v>152.6615068956</x:v>
      </x:c>
      <x:c r="K15" s="60" t="n">
        <x:v>110.60331739</x:v>
      </x:c>
      <x:c r="L15" s="60" t="n">
        <x:v>152.6615068956</x:v>
      </x:c>
      <x:c r="M15" s="60" t="n">
        <x:v>110.60331739</x:v>
      </x:c>
      <x:c r="N15" s="46" t="str">
        <x:v>istiophoridae</x:v>
      </x:c>
      <x:c r="O15" s="62" t="n">
        <x:v>4.48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Istiophoridae</x:v>
      </x:c>
      <x:c r="T15" s="62" t="n">
        <x:f>IF(O15="","",(1/'Metadata'!$B$5)^(O15-1))</x:f>
        <x:v>33696.468277717824</x:v>
      </x:c>
      <x:c r="U15" s="60" t="n">
        <x:f>IF(T15="","",I15*T15)</x:f>
        <x:v>8871094.800178679</x:v>
      </x:c>
    </x:row>
    <x:row r="16" ht="18" customHeight="1">
      <x:c r="A16" s="46" t="str">
        <x:v>HS_087</x:v>
      </x:c>
      <x:c r="B16" s="46" t="str">
        <x:v>Pacific, Southeast</x:v>
      </x:c>
      <x:c r="C16" s="46" t="str">
        <x:v>High Seas</x:v>
      </x:c>
      <x:c r="D16" s="58" t="n">
        <x:v>2019</x:v>
      </x:c>
      <x:c r="E16" s="46" t="str">
        <x:v>Tetrapturus angustirostris</x:v>
      </x:c>
      <x:c r="F16" s="46" t="str">
        <x:v>Shortbill spearfish</x:v>
      </x:c>
      <x:c r="G16" s="46" t="str">
        <x:v>Large pelagics (&gt;=90 cm)</x:v>
      </x:c>
      <x:c r="H16" s="46" t="str">
        <x:v>Tuna &amp; billfishes</x:v>
      </x:c>
      <x:c r="I16" s="60" t="n">
        <x:v>235.8001358514</x:v>
      </x:c>
      <x:c r="J16" s="60" t="n">
        <x:v>235.8001358514</x:v>
      </x:c>
      <x:c r="K16" s="60" t="n">
        <x:v>0</x:v>
      </x:c>
      <x:c r="L16" s="60" t="n">
        <x:v>235.8001358514</x:v>
      </x:c>
      <x:c r="M16" s="60" t="n">
        <x:v>0</x:v>
      </x:c>
      <x:c r="N16" s="46" t="str">
        <x:v>tetrapturus angustirostris</x:v>
      </x:c>
      <x:c r="O16" s="62" t="n">
        <x:v>4.5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Tetrapturus angustirostris</x:v>
      </x:c>
      <x:c r="T16" s="62" t="n">
        <x:f>IF(O16="","",(1/'Metadata'!$B$5)^(O16-1))</x:f>
        <x:v>35777.08763999664</x:v>
      </x:c>
      <x:c r="U16" s="60" t="n">
        <x:f>IF(T16="","",I16*T16)</x:f>
        <x:v>8436242.12587865</x:v>
      </x:c>
    </x:row>
    <x:row r="17" ht="18" customHeight="1">
      <x:c r="A17" s="46" t="str">
        <x:v>HS_087</x:v>
      </x:c>
      <x:c r="B17" s="46" t="str">
        <x:v>Pacific, Southeast</x:v>
      </x:c>
      <x:c r="C17" s="46" t="str">
        <x:v>High Seas</x:v>
      </x:c>
      <x:c r="D17" s="58" t="n">
        <x:v>2019</x:v>
      </x:c>
      <x:c r="E17" s="46" t="str">
        <x:v>Carangidae</x:v>
      </x:c>
      <x:c r="F17" s="46" t="str">
        <x:v>Jacks, pompanos</x:v>
      </x:c>
      <x:c r="G17" s="46" t="str">
        <x:v>Medium pelagics (30 - 89 cm)</x:v>
      </x:c>
      <x:c r="H17" s="46" t="str">
        <x:v>Perch-likes</x:v>
      </x:c>
      <x:c r="I17" s="60" t="n">
        <x:v>232.529247233</x:v>
      </x:c>
      <x:c r="J17" s="60" t="n">
        <x:v>8.879836690800001</x:v>
      </x:c>
      <x:c r="K17" s="60" t="n">
        <x:v>223.6494105422</x:v>
      </x:c>
      <x:c r="L17" s="60" t="n">
        <x:v>8.879836690800001</x:v>
      </x:c>
      <x:c r="M17" s="60" t="n">
        <x:v>223.6494105422</x:v>
      </x:c>
      <x:c r="N17" s="46" t="str">
        <x:v>carangidae</x:v>
      </x:c>
      <x:c r="O17" s="62" t="n">
        <x:v>4.05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Carangidae</x:v>
      </x:c>
      <x:c r="T17" s="62" t="n">
        <x:f>IF(O17="","",(1/'Metadata'!$B$5)^(O17-1))</x:f>
        <x:v>9292.690797132333</x:v>
      </x:c>
      <x:c r="U17" s="60" t="n">
        <x:f>IF(T17="","",I17*T17)</x:f>
        <x:v>2160822.395826208</x:v>
      </x:c>
    </x:row>
    <x:row r="18" ht="18" customHeight="1">
      <x:c r="A18" s="46" t="str">
        <x:v>HS_087</x:v>
      </x:c>
      <x:c r="B18" s="46" t="str">
        <x:v>Pacific, Southeast</x:v>
      </x:c>
      <x:c r="C18" s="46" t="str">
        <x:v>High Seas</x:v>
      </x:c>
      <x:c r="D18" s="58" t="n">
        <x:v>2019</x:v>
      </x:c>
      <x:c r="E18" s="46" t="str">
        <x:v>Istiophorus platypterus</x:v>
      </x:c>
      <x:c r="F18" s="46" t="str">
        <x:v>Indo-Pacific sailfish</x:v>
      </x:c>
      <x:c r="G18" s="46" t="str">
        <x:v>Large pelagics (&gt;=90 cm)</x:v>
      </x:c>
      <x:c r="H18" s="46" t="str">
        <x:v>Tuna &amp; billfishes</x:v>
      </x:c>
      <x:c r="I18" s="60" t="n">
        <x:v>207.9397164966</x:v>
      </x:c>
      <x:c r="J18" s="60" t="n">
        <x:v>207.9397164966</x:v>
      </x:c>
      <x:c r="K18" s="60" t="n">
        <x:v>0</x:v>
      </x:c>
      <x:c r="L18" s="60" t="n">
        <x:v>207.9397164966</x:v>
      </x:c>
      <x:c r="M18" s="60" t="n">
        <x:v>0</x:v>
      </x:c>
      <x:c r="N18" s="46" t="str">
        <x:v>istiophorus platypterus</x:v>
      </x:c>
      <x:c r="O18" s="62" t="n">
        <x:v>4.5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Istiophorus platypterus</x:v>
      </x:c>
      <x:c r="T18" s="62" t="n">
        <x:f>IF(O18="","",(1/'Metadata'!$B$5)^(O18-1))</x:f>
        <x:v>35777.08763999664</x:v>
      </x:c>
      <x:c r="U18" s="60" t="n">
        <x:f>IF(T18="","",I18*T18)</x:f>
        <x:v>7439477.460934913</x:v>
      </x:c>
    </x:row>
    <x:row r="19" ht="18" customHeight="1">
      <x:c r="A19" s="46" t="str">
        <x:v>HS_087</x:v>
      </x:c>
      <x:c r="B19" s="46" t="str">
        <x:v>Pacific, Southeast</x:v>
      </x:c>
      <x:c r="C19" s="46" t="str">
        <x:v>High Seas</x:v>
      </x:c>
      <x:c r="D19" s="58" t="n">
        <x:v>2019</x:v>
      </x:c>
      <x:c r="E19" s="46" t="str">
        <x:v>Isurus</x:v>
      </x:c>
      <x:c r="F19" s="46" t="str">
        <x:v>Mako sharks</x:v>
      </x:c>
      <x:c r="G19" s="46" t="str">
        <x:v>Large sharks (&gt;=90 cm)</x:v>
      </x:c>
      <x:c r="H19" s="46" t="str">
        <x:v>Sharks &amp; rays</x:v>
      </x:c>
      <x:c r="I19" s="60" t="n">
        <x:v>159.2384104805</x:v>
      </x:c>
      <x:c r="J19" s="60" t="n">
        <x:v>0</x:v>
      </x:c>
      <x:c r="K19" s="60" t="n">
        <x:v>159.2384104805</x:v>
      </x:c>
      <x:c r="L19" s="60" t="n">
        <x:v>0</x:v>
      </x:c>
      <x:c r="M19" s="60" t="n">
        <x:v>159.2384104805</x:v>
      </x:c>
      <x:c r="N19" s="46" t="str">
        <x:v>isurus</x:v>
      </x:c>
      <x:c r="O19" s="62" t="n">
        <x:v>4.5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Isurus</x:v>
      </x:c>
      <x:c r="T19" s="62" t="n">
        <x:f>IF(O19="","",(1/'Metadata'!$B$5)^(O19-1))</x:f>
        <x:v>35777.08763999664</x:v>
      </x:c>
      <x:c r="U19" s="60" t="n">
        <x:f>IF(T19="","",I19*T19)</x:f>
        <x:v>5697086.567414607</x:v>
      </x:c>
    </x:row>
    <x:row r="20" ht="18" customHeight="1">
      <x:c r="A20" s="46" t="str">
        <x:v>HS_087</x:v>
      </x:c>
      <x:c r="B20" s="46" t="str">
        <x:v>Pacific, Southeast</x:v>
      </x:c>
      <x:c r="C20" s="46" t="str">
        <x:v>High Seas</x:v>
      </x:c>
      <x:c r="D20" s="58" t="n">
        <x:v>2019</x:v>
      </x:c>
      <x:c r="E20" s="46" t="str">
        <x:v>Carcharhinus falciformis</x:v>
      </x:c>
      <x:c r="F20" s="46" t="str">
        <x:v>Silky shark</x:v>
      </x:c>
      <x:c r="G20" s="46" t="str">
        <x:v>Large sharks (&gt;=90 cm)</x:v>
      </x:c>
      <x:c r="H20" s="46" t="str">
        <x:v>Sharks &amp; rays</x:v>
      </x:c>
      <x:c r="I20" s="60" t="n">
        <x:v>134.952548412</x:v>
      </x:c>
      <x:c r="J20" s="60" t="n">
        <x:v>0</x:v>
      </x:c>
      <x:c r="K20" s="60" t="n">
        <x:v>134.952548412</x:v>
      </x:c>
      <x:c r="L20" s="60" t="n">
        <x:v>0</x:v>
      </x:c>
      <x:c r="M20" s="60" t="n">
        <x:v>134.952548412</x:v>
      </x:c>
      <x:c r="N20" s="46" t="str">
        <x:v>carcharhinus falciformis</x:v>
      </x:c>
      <x:c r="O20" s="62" t="n">
        <x:v>4.51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Carcharhinus falciformis</x:v>
      </x:c>
      <x:c r="T20" s="62" t="n">
        <x:f>IF(O20="","",(1/'Metadata'!$B$5)^(O20-1))</x:f>
        <x:v>36865.088835568684</x:v>
      </x:c>
      <x:c r="U20" s="60" t="n">
        <x:f>IF(T20="","",I20*T20)</x:f>
        <x:v>4975037.685794763</x:v>
      </x:c>
    </x:row>
    <x:row r="21" ht="18" customHeight="1">
      <x:c r="A21" s="46" t="str">
        <x:v>HS_087</x:v>
      </x:c>
      <x:c r="B21" s="46" t="str">
        <x:v>Pacific, Southeast</x:v>
      </x:c>
      <x:c r="C21" s="46" t="str">
        <x:v>High Seas</x:v>
      </x:c>
      <x:c r="D21" s="58" t="n">
        <x:v>2019</x:v>
      </x:c>
      <x:c r="E21" s="46" t="str">
        <x:v>Istiompax indica</x:v>
      </x:c>
      <x:c r="F21" s="46" t="str">
        <x:v>Black marlin</x:v>
      </x:c>
      <x:c r="G21" s="46" t="str">
        <x:v>Large pelagics (&gt;=90 cm)</x:v>
      </x:c>
      <x:c r="H21" s="46" t="str">
        <x:v>Tuna &amp; billfishes</x:v>
      </x:c>
      <x:c r="I21" s="60" t="n">
        <x:v>104.8866112243</x:v>
      </x:c>
      <x:c r="J21" s="60" t="n">
        <x:v>104.8866112243</x:v>
      </x:c>
      <x:c r="K21" s="60" t="n">
        <x:v>0</x:v>
      </x:c>
      <x:c r="L21" s="60" t="n">
        <x:v>104.8866112243</x:v>
      </x:c>
      <x:c r="M21" s="60" t="n">
        <x:v>0</x:v>
      </x:c>
      <x:c r="N21" s="46" t="str">
        <x:v>istiompax indica</x:v>
      </x:c>
      <x:c r="O21" s="62" t="n">
        <x:v>4.5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Istiompax indica</x:v>
      </x:c>
      <x:c r="T21" s="62" t="n">
        <x:f>IF(O21="","",(1/'Metadata'!$B$5)^(O21-1))</x:f>
        <x:v>35777.08763999664</x:v>
      </x:c>
      <x:c r="U21" s="60" t="n">
        <x:f>IF(T21="","",I21*T21)</x:f>
        <x:v>3752537.482034036</x:v>
      </x:c>
    </x:row>
    <x:row r="22" ht="18" customHeight="1">
      <x:c r="A22" s="46" t="str">
        <x:v>HS_087</x:v>
      </x:c>
      <x:c r="B22" s="46" t="str">
        <x:v>Pacific, Southeast</x:v>
      </x:c>
      <x:c r="C22" s="46" t="str">
        <x:v>High Seas</x:v>
      </x:c>
      <x:c r="D22" s="58" t="n">
        <x:v>2019</x:v>
      </x:c>
      <x:c r="E22" s="46" t="str">
        <x:v>Carcharhinus longimanus</x:v>
      </x:c>
      <x:c r="F22" s="46" t="str">
        <x:v>Oceanic whitetip shark</x:v>
      </x:c>
      <x:c r="G22" s="46" t="str">
        <x:v>Large sharks (&gt;=90 cm)</x:v>
      </x:c>
      <x:c r="H22" s="46" t="str">
        <x:v>Sharks &amp; rays</x:v>
      </x:c>
      <x:c r="I22" s="60" t="n">
        <x:v>59.4494309183</x:v>
      </x:c>
      <x:c r="J22" s="60" t="n">
        <x:v>0</x:v>
      </x:c>
      <x:c r="K22" s="60" t="n">
        <x:v>59.4494309183</x:v>
      </x:c>
      <x:c r="L22" s="60" t="n">
        <x:v>0</x:v>
      </x:c>
      <x:c r="M22" s="60" t="n">
        <x:v>59.4494309183</x:v>
      </x:c>
      <x:c r="N22" s="46" t="str">
        <x:v>carcharhinus longimanus</x:v>
      </x:c>
      <x:c r="O22" s="62" t="n">
        <x:v>4.16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Carcharhinus longimanus</x:v>
      </x:c>
      <x:c r="T22" s="62" t="n">
        <x:f>IF(O22="","",(1/'Metadata'!$B$5)^(O22-1))</x:f>
        <x:v>12919.77011769987</x:v>
      </x:c>
      <x:c r="U22" s="60" t="n">
        <x:f>IF(T22="","",I22*T22)</x:f>
        <x:v>768072.9810925152</x:v>
      </x:c>
    </x:row>
    <x:row r="23" ht="18" customHeight="1">
      <x:c r="A23" s="46" t="str">
        <x:v>HS_087</x:v>
      </x:c>
      <x:c r="B23" s="46" t="str">
        <x:v>Pacific, Southeast</x:v>
      </x:c>
      <x:c r="C23" s="46" t="str">
        <x:v>High Seas</x:v>
      </x:c>
      <x:c r="D23" s="58" t="n">
        <x:v>2019</x:v>
      </x:c>
      <x:c r="E23" s="46" t="str">
        <x:v>Alopias</x:v>
      </x:c>
      <x:c r="F23" s="46" t="str">
        <x:v>Thresher sharks</x:v>
      </x:c>
      <x:c r="G23" s="46" t="str">
        <x:v>Large sharks (&gt;=90 cm)</x:v>
      </x:c>
      <x:c r="H23" s="46" t="str">
        <x:v>Sharks &amp; rays</x:v>
      </x:c>
      <x:c r="I23" s="60" t="n">
        <x:v>45.6501677667</x:v>
      </x:c>
      <x:c r="J23" s="60" t="n">
        <x:v>0</x:v>
      </x:c>
      <x:c r="K23" s="60" t="n">
        <x:v>45.6501677667</x:v>
      </x:c>
      <x:c r="L23" s="60" t="n">
        <x:v>0</x:v>
      </x:c>
      <x:c r="M23" s="60" t="n">
        <x:v>45.6501677667</x:v>
      </x:c>
      <x:c r="N23" s="46" t="str">
        <x:v>alopias</x:v>
      </x:c>
      <x:c r="O23" s="62" t="n">
        <x:v>4.5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Alopias</x:v>
      </x:c>
      <x:c r="T23" s="62" t="n">
        <x:f>IF(O23="","",(1/'Metadata'!$B$5)^(O23-1))</x:f>
        <x:v>35777.08763999664</x:v>
      </x:c>
      <x:c r="U23" s="60" t="n">
        <x:f>IF(T23="","",I23*T23)</x:f>
        <x:v>1633230.0529697754</x:v>
      </x:c>
    </x:row>
    <x:row r="24" ht="18" customHeight="1">
      <x:c r="A24" s="46" t="str">
        <x:v>HS_087</x:v>
      </x:c>
      <x:c r="B24" s="46" t="str">
        <x:v>Pacific, Southeast</x:v>
      </x:c>
      <x:c r="C24" s="46" t="str">
        <x:v>High Seas</x:v>
      </x:c>
      <x:c r="D24" s="58" t="n">
        <x:v>2019</x:v>
      </x:c>
      <x:c r="E24" s="46" t="str">
        <x:v>Acanthocybium solandri</x:v>
      </x:c>
      <x:c r="F24" s="46" t="str">
        <x:v>Wahoo</x:v>
      </x:c>
      <x:c r="G24" s="46" t="str">
        <x:v>Large pelagics (&gt;=90 cm)</x:v>
      </x:c>
      <x:c r="H24" s="46" t="str">
        <x:v>Perch-likes</x:v>
      </x:c>
      <x:c r="I24" s="60" t="n">
        <x:v>17.5504447888</x:v>
      </x:c>
      <x:c r="J24" s="60" t="n">
        <x:v>0</x:v>
      </x:c>
      <x:c r="K24" s="60" t="n">
        <x:v>17.5504447888</x:v>
      </x:c>
      <x:c r="L24" s="60" t="n">
        <x:v>0</x:v>
      </x:c>
      <x:c r="M24" s="60" t="n">
        <x:v>17.5504447888</x:v>
      </x:c>
      <x:c r="N24" s="46" t="str">
        <x:v>acanthocybium solandri</x:v>
      </x:c>
      <x:c r="O24" s="62" t="n">
        <x:v>4.26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Acanthocybium solandri</x:v>
      </x:c>
      <x:c r="T24" s="62" t="n">
        <x:f>IF(O24="","",(1/'Metadata'!$B$5)^(O24-1))</x:f>
        <x:v>17432.42421569787</x:v>
      </x:c>
      <x:c r="U24" s="60" t="n">
        <x:f>IF(T24="","",I24*T24)</x:f>
        <x:v>305946.7987325456</x:v>
      </x:c>
    </x:row>
    <x:row r="25" ht="18" customHeight="1">
      <x:c r="A25" s="46" t="str">
        <x:v>HS_087</x:v>
      </x:c>
      <x:c r="B25" s="46" t="str">
        <x:v>Pacific, Southeast</x:v>
      </x:c>
      <x:c r="C25" s="46" t="str">
        <x:v>High Seas</x:v>
      </x:c>
      <x:c r="D25" s="58" t="n">
        <x:v>2019</x:v>
      </x:c>
      <x:c r="E25" s="46" t="str">
        <x:v>Thunnus orientalis</x:v>
      </x:c>
      <x:c r="F25" s="46" t="str">
        <x:v>Pacific bluefin tuna</x:v>
      </x:c>
      <x:c r="G25" s="46" t="str">
        <x:v>Large pelagics (&gt;=90 cm)</x:v>
      </x:c>
      <x:c r="H25" s="46" t="str">
        <x:v>Tuna &amp; billfishes</x:v>
      </x:c>
      <x:c r="I25" s="60" t="n">
        <x:v>0.2225470008</x:v>
      </x:c>
      <x:c r="J25" s="60" t="n">
        <x:v>0</x:v>
      </x:c>
      <x:c r="K25" s="60" t="n">
        <x:v>0.2225470008</x:v>
      </x:c>
      <x:c r="L25" s="60" t="n">
        <x:v>0</x:v>
      </x:c>
      <x:c r="M25" s="60" t="n">
        <x:v>0.2225470008</x:v>
      </x:c>
      <x:c r="N25" s="46" t="str">
        <x:v>thunnus orientalis</x:v>
      </x:c>
      <x:c r="O25" s="62" t="n">
        <x:v>4.05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Thunnus orientalis</x:v>
      </x:c>
      <x:c r="T25" s="62" t="n">
        <x:f>IF(O25="","",(1/'Metadata'!$B$5)^(O25-1))</x:f>
        <x:v>9292.690797132333</x:v>
      </x:c>
      <x:c r="U25" s="60" t="n">
        <x:f>IF(T25="","",I25*T25)</x:f>
        <x:v>2068.060466263562</x:v>
      </x:c>
    </x:row>
    <x:row r="26" ht="18" customHeight="1">
      <x:c r="A26" s="46" t="str">
        <x:v>HS_087</x:v>
      </x:c>
      <x:c r="B26" s="46" t="str">
        <x:v>Pacific, Southeast</x:v>
      </x:c>
      <x:c r="C26" s="46" t="str">
        <x:v>High Seas</x:v>
      </x:c>
      <x:c r="D26" s="58" t="n">
        <x:v>2019</x:v>
      </x:c>
      <x:c r="E26" s="46" t="str">
        <x:v>Thunnus maccoyii</x:v>
      </x:c>
      <x:c r="F26" s="46" t="str">
        <x:v>Southern bluefin tuna</x:v>
      </x:c>
      <x:c r="G26" s="46" t="str">
        <x:v>Large pelagics (&gt;=90 cm)</x:v>
      </x:c>
      <x:c r="H26" s="46" t="str">
        <x:v>Tuna &amp; billfishes</x:v>
      </x:c>
      <x:c r="I26" s="60" t="n">
        <x:v>0.1084429792</x:v>
      </x:c>
      <x:c r="J26" s="60" t="n">
        <x:v>0</x:v>
      </x:c>
      <x:c r="K26" s="60" t="n">
        <x:v>0.1084429792</x:v>
      </x:c>
      <x:c r="L26" s="60" t="n">
        <x:v>0</x:v>
      </x:c>
      <x:c r="M26" s="60" t="n">
        <x:v>0.1084429792</x:v>
      </x:c>
      <x:c r="N26" s="46" t="str">
        <x:v>thunnus maccoyii</x:v>
      </x:c>
      <x:c r="O26" s="62" t="n">
        <x:v>3.93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Thunnus maccoyii</x:v>
      </x:c>
      <x:c r="T26" s="62" t="n">
        <x:f>IF(O26="","",(1/'Metadata'!$B$5)^(O26-1))</x:f>
        <x:v>6486.611494177253</x:v>
      </x:c>
      <x:c r="U26" s="60" t="n">
        <x:f>IF(T26="","",I26*T26)</x:f>
        <x:v>703.4274753415448</x:v>
      </x:c>
    </x:row>
  </x:sheetData>
  <x:conditionalFormatting sqref="R2:R2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3cb295be4894a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3103.5338506599</x:v>
      </x:c>
      <x:c r="E2" s="60" t="n">
        <x:v>3103.5338506599</x:v>
      </x:c>
      <x:c r="F2" s="62" t="n">
        <x:v>0</x:v>
      </x:c>
      <x:c r="G2" s="66" t="n">
        <x:v>1</x:v>
      </x:c>
      <x:c r="H2" s="62" t="n">
        <x:f>IF(E2=0,"",I2/E2)</x:f>
        <x:v>998.2025948034632</x:v>
      </x:c>
      <x:c r="I2" s="60" t="n">
        <x:f>SUMIF('Species'!$H$2:$H$26,A2,'Species'!$U$2:$U$26)</x:f>
        <x:v>3097955.542789096</x:v>
      </x:c>
      <x:c r="J2" s="62" t="n">
        <x:v>3.303589770599858</x:v>
      </x:c>
      <x:c r="K2" s="62" t="n">
        <x:f>IF(J2="","",(1/'Metadata'!$B$5)^(J2-1))</x:f>
        <x:v>993.2061252628753</x:v>
      </x:c>
      <x:c r="L2" s="60" t="n">
        <x:f>IF(E2=0,"",E2*K2)</x:f>
        <x:v>3082448.8304360905</x:v>
      </x:c>
      <x:c r="M2" s="60" t="n">
        <x:f>I2-L2</x:f>
        <x:v>15506.71235300554</x:v>
      </x:c>
      <x:c r="N2" s="62" t="n">
        <x:f>IF(L2=0,"",I2/L2)</x:f>
        <x:v>1.0050306471270154</x:v>
      </x:c>
      <x:c r="O2" s="66" t="n">
        <x:f>IF(L2=0,"",M2/L2)</x:f>
        <x:v>0.005030647127015478</x:v>
      </x:c>
    </x:row>
    <x:row r="3" ht="18" customHeight="1">
      <x:c r="A3" s="46" t="str">
        <x:v>Perch-likes</x:v>
      </x:c>
      <x:c r="B3" s="64" t="n">
        <x:v>5</x:v>
      </x:c>
      <x:c r="C3" s="64" t="n">
        <x:v>5</x:v>
      </x:c>
      <x:c r="D3" s="60" t="n">
        <x:v>2995.8482341383</x:v>
      </x:c>
      <x:c r="E3" s="60" t="n">
        <x:v>2995.8482341383</x:v>
      </x:c>
      <x:c r="F3" s="62" t="n">
        <x:v>0</x:v>
      </x:c>
      <x:c r="G3" s="66" t="n">
        <x:v>1</x:v>
      </x:c>
      <x:c r="H3" s="62" t="n">
        <x:f>IF(E3=0,"",I3/E3)</x:f>
        <x:v>24584.0608700175</x:v>
      </x:c>
      <x:c r="I3" s="60" t="n">
        <x:f>SUMIF('Species'!$H$2:$H$26,A3,'Species'!$U$2:$U$26)</x:f>
        <x:v>73650115.34539041</x:v>
      </x:c>
      <x:c r="J3" s="62" t="n">
        <x:v>4.352473056019792</x:v>
      </x:c>
      <x:c r="K3" s="62" t="n">
        <x:f>IF(J3="","",(1/'Metadata'!$B$5)^(J3-1))</x:f>
        <x:v>22996.831628479777</x:v>
      </x:c>
      <x:c r="L3" s="60" t="n">
        <x:f>IF(E3=0,"",E3*K3)</x:f>
        <x:v>68895017.42495695</x:v>
      </x:c>
      <x:c r="M3" s="60" t="n">
        <x:f>I3-L3</x:f>
        <x:v>4755097.920433462</x:v>
      </x:c>
      <x:c r="N3" s="62" t="n">
        <x:f>IF(L3=0,"",I3/L3)</x:f>
        <x:v>1.0690194748206994</x:v>
      </x:c>
      <x:c r="O3" s="66" t="n">
        <x:f>IF(L3=0,"",M3/L3)</x:f>
        <x:v>0.0690194748206994</x:v>
      </x:c>
    </x:row>
    <x:row r="4" ht="18" customHeight="1">
      <x:c r="A4" s="46" t="str">
        <x:v>Sharks &amp; rays</x:v>
      </x:c>
      <x:c r="B4" s="64" t="n">
        <x:v>6</x:v>
      </x:c>
      <x:c r="C4" s="64" t="n">
        <x:v>6</x:v>
      </x:c>
      <x:c r="D4" s="60" t="n">
        <x:v>5079.5806851539</x:v>
      </x:c>
      <x:c r="E4" s="60" t="n">
        <x:v>5079.5806851539</x:v>
      </x:c>
      <x:c r="F4" s="62" t="n">
        <x:v>0</x:v>
      </x:c>
      <x:c r="G4" s="66" t="n">
        <x:v>1</x:v>
      </x:c>
      <x:c r="H4" s="62" t="n">
        <x:f>IF(E4=0,"",I4/E4)</x:f>
        <x:v>17663.455019675283</x:v>
      </x:c>
      <x:c r="I4" s="60" t="n">
        <x:f>SUMIF('Species'!$H$2:$H$26,A4,'Species'!$U$2:$U$26)</x:f>
        <x:v>89722944.95102726</x:v>
      </x:c>
      <x:c r="J4" s="62" t="n">
        <x:v>4.226346799779315</x:v>
      </x:c>
      <x:c r="K4" s="62" t="n">
        <x:f>IF(J4="","",(1/'Metadata'!$B$5)^(J4-1))</x:f>
        <x:v>15760.644130109878</x:v>
      </x:c>
      <x:c r="L4" s="60" t="n">
        <x:f>IF(E4=0,"",E4*K4)</x:f>
        <x:v>80057463.50889033</x:v>
      </x:c>
      <x:c r="M4" s="60" t="n">
        <x:f>I4-L4</x:f>
        <x:v>9665481.442136928</x:v>
      </x:c>
      <x:c r="N4" s="62" t="n">
        <x:f>IF(L4=0,"",I4/L4)</x:f>
        <x:v>1.1207317971179986</x:v>
      </x:c>
      <x:c r="O4" s="66" t="n">
        <x:f>IF(L4=0,"",M4/L4)</x:f>
        <x:v>0.12073179711799865</x:v>
      </x:c>
    </x:row>
    <x:row r="5" ht="18" customHeight="1">
      <x:c r="A5" s="46" t="str">
        <x:v>Tuna &amp; billfishes</x:v>
      </x:c>
      <x:c r="B5" s="64" t="n">
        <x:v>12</x:v>
      </x:c>
      <x:c r="C5" s="64" t="n">
        <x:v>12</x:v>
      </x:c>
      <x:c r="D5" s="60" t="n">
        <x:v>234703.4549035905</x:v>
      </x:c>
      <x:c r="E5" s="60" t="n">
        <x:v>234703.4549035905</x:v>
      </x:c>
      <x:c r="F5" s="62" t="n">
        <x:v>0</x:v>
      </x:c>
      <x:c r="G5" s="66" t="n">
        <x:v>1</x:v>
      </x:c>
      <x:c r="H5" s="62" t="n">
        <x:f>IF(E5=0,"",I5/E5)</x:f>
        <x:v>29567.3850136765</x:v>
      </x:c>
      <x:c r="I5" s="60" t="n">
        <x:f>SUMIF('Species'!$H$2:$H$26,A5,'Species'!$U$2:$U$26)</x:f>
        <x:v>6939567415.17452</x:v>
      </x:c>
      <x:c r="J5" s="62" t="n">
        <x:v>4.434697104734626</x:v>
      </x:c>
      <x:c r="K5" s="62" t="n">
        <x:f>IF(J5="","",(1/'Metadata'!$B$5)^(J5-1))</x:f>
        <x:v>29420.087447565555</x:v>
      </x:c>
      <x:c r="L5" s="60" t="n">
        <x:f>IF(E5=0,"",E5*K5)</x:f>
        <x:v>6904996167.509391</x:v>
      </x:c>
      <x:c r="M5" s="60" t="n">
        <x:f>I5-L5</x:f>
        <x:v>34571247.66512871</x:v>
      </x:c>
      <x:c r="N5" s="62" t="n">
        <x:f>IF(L5=0,"",I5/L5)</x:f>
        <x:v>1.005006700485628</x:v>
      </x:c>
      <x:c r="O5" s="66" t="n">
        <x:f>IF(L5=0,"",M5/L5)</x:f>
        <x:v>0.005006700485627995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f2c5e6839464e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15</x:v>
      </x:c>
      <x:c r="C2" s="64" t="n">
        <x:v>15</x:v>
      </x:c>
      <x:c r="D2" s="60" t="n">
        <x:v>236557.1475302183</x:v>
      </x:c>
      <x:c r="E2" s="60" t="n">
        <x:v>236557.1475302183</x:v>
      </x:c>
      <x:c r="F2" s="62" t="n">
        <x:v>0</x:v>
      </x:c>
      <x:c r="G2" s="66" t="n">
        <x:v>1</x:v>
      </x:c>
      <x:c r="H2" s="62" t="n">
        <x:f>IF(E2=0,"",I2/E2)</x:f>
        <x:v>29570.866019342593</x:v>
      </x:c>
      <x:c r="I2" s="60" t="n">
        <x:f>SUMIF('Species'!$G$2:$G$26,A2,'Species'!$U$2:$U$26)</x:f>
        <x:v>6995199715.533945</x:v>
      </x:c>
      <x:c r="J2" s="62" t="n">
        <x:v>4.434705693139511</x:v>
      </x:c>
      <x:c r="K2" s="62" t="n">
        <x:f>IF(J2="","",(1/'Metadata'!$B$5)^(J2-1))</x:f>
        <x:v>29420.844393837975</x:v>
      </x:c>
      <x:c r="L2" s="60" t="n">
        <x:f>IF(E2=0,"",E2*K2)</x:f>
        <x:v>6959711027.736726</x:v>
      </x:c>
      <x:c r="M2" s="60" t="n">
        <x:f>I2-L2</x:f>
        <x:v>35488687.79721928</x:v>
      </x:c>
      <x:c r="N2" s="62" t="n">
        <x:f>IF(L2=0,"",I2/L2)</x:f>
        <x:v>1.0050991611082394</x:v>
      </x:c>
      <x:c r="O2" s="66" t="n">
        <x:f>IF(L2=0,"",M2/L2)</x:f>
        <x:v>0.005099161108239299</x:v>
      </x:c>
    </x:row>
    <x:row r="3" ht="18" customHeight="1">
      <x:c r="A3" s="46" t="str">
        <x:v>Large sharks (&gt;=90 cm)</x:v>
      </x:c>
      <x:c r="B3" s="64" t="n">
        <x:v>6</x:v>
      </x:c>
      <x:c r="C3" s="64" t="n">
        <x:v>6</x:v>
      </x:c>
      <x:c r="D3" s="60" t="n">
        <x:v>5079.5806851539</x:v>
      </x:c>
      <x:c r="E3" s="60" t="n">
        <x:v>5079.5806851539</x:v>
      </x:c>
      <x:c r="F3" s="62" t="n">
        <x:v>0</x:v>
      </x:c>
      <x:c r="G3" s="66" t="n">
        <x:v>1</x:v>
      </x:c>
      <x:c r="H3" s="62" t="n">
        <x:f>IF(E3=0,"",I3/E3)</x:f>
        <x:v>17663.455019675283</x:v>
      </x:c>
      <x:c r="I3" s="60" t="n">
        <x:f>SUMIF('Species'!$G$2:$G$26,A3,'Species'!$U$2:$U$26)</x:f>
        <x:v>89722944.95102726</x:v>
      </x:c>
      <x:c r="J3" s="62" t="n">
        <x:v>4.226346799779315</x:v>
      </x:c>
      <x:c r="K3" s="62" t="n">
        <x:f>IF(J3="","",(1/'Metadata'!$B$5)^(J3-1))</x:f>
        <x:v>15760.644130109878</x:v>
      </x:c>
      <x:c r="L3" s="60" t="n">
        <x:f>IF(E3=0,"",E3*K3)</x:f>
        <x:v>80057463.50889033</x:v>
      </x:c>
      <x:c r="M3" s="60" t="n">
        <x:f>I3-L3</x:f>
        <x:v>9665481.442136928</x:v>
      </x:c>
      <x:c r="N3" s="62" t="n">
        <x:f>IF(L3=0,"",I3/L3)</x:f>
        <x:v>1.1207317971179986</x:v>
      </x:c>
      <x:c r="O3" s="66" t="n">
        <x:f>IF(L3=0,"",M3/L3)</x:f>
        <x:v>0.12073179711799865</x:v>
      </x:c>
    </x:row>
    <x:row r="4" ht="18" customHeight="1">
      <x:c r="A4" s="46" t="str">
        <x:v>Medium demersals (30 - 89 cm)</x:v>
      </x:c>
      <x:c r="B4" s="64" t="n">
        <x:v>1</x:v>
      </x:c>
      <x:c r="C4" s="64" t="n">
        <x:v>1</x:v>
      </x:c>
      <x:c r="D4" s="60" t="n">
        <x:v>2057.6531137176</x:v>
      </x:c>
      <x:c r="E4" s="60" t="n">
        <x:v>2057.6531137176</x:v>
      </x:c>
      <x:c r="F4" s="62" t="n">
        <x:v>0</x:v>
      </x:c>
      <x:c r="G4" s="66" t="n">
        <x:v>1</x:v>
      </x:c>
      <x:c r="H4" s="62" t="n">
        <x:f>IF(E4=0,"",I4/E4)</x:f>
        <x:v>925.4402624666747</x:v>
      </x:c>
      <x:c r="I4" s="60" t="n">
        <x:f>SUMIF('Species'!$G$2:$G$26,A4,'Species'!$U$2:$U$26)</x:f>
        <x:v>1904235.037624186</x:v>
      </x:c>
      <x:c r="J4" s="62" t="n">
        <x:v>3.28</x:v>
      </x:c>
      <x:c r="K4" s="62" t="n">
        <x:f>IF(J4="","",(1/'Metadata'!$B$5)^(J4-1))</x:f>
        <x:v>925.4402624666747</x:v>
      </x:c>
      <x:c r="L4" s="60" t="n">
        <x:f>IF(E4=0,"",E4*K4)</x:f>
        <x:v>1904235.037624186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pelagics (30 - 89 cm)</x:v>
      </x:c>
      <x:c r="B5" s="64" t="n">
        <x:v>3</x:v>
      </x:c>
      <x:c r="C5" s="64" t="n">
        <x:v>3</x:v>
      </x:c>
      <x:c r="D5" s="60" t="n">
        <x:v>2188.0363444528</x:v>
      </x:c>
      <x:c r="E5" s="60" t="n">
        <x:v>2188.0363444528</x:v>
      </x:c>
      <x:c r="F5" s="62" t="n">
        <x:v>0</x:v>
      </x:c>
      <x:c r="G5" s="66" t="n">
        <x:v>1</x:v>
      </x:c>
      <x:c r="H5" s="62" t="n">
        <x:f>IF(E5=0,"",I5/E5)</x:f>
        <x:v>8780.263426535668</x:v>
      </x:c>
      <x:c r="I5" s="60" t="n">
        <x:f>SUMIF('Species'!$G$2:$G$26,A5,'Species'!$U$2:$U$26)</x:f>
        <x:v>19211535.491129722</x:v>
      </x:c>
      <x:c r="J5" s="62" t="n">
        <x:v>3.8027029285536584</x:v>
      </x:c>
      <x:c r="K5" s="62" t="n">
        <x:f>IF(J5="","",(1/'Metadata'!$B$5)^(J5-1))</x:f>
        <x:v>4429.967896851235</x:v>
      </x:c>
      <x:c r="L5" s="60" t="n">
        <x:f>IF(E5=0,"",E5*K5)</x:f>
        <x:v>9692930.763069637</x:v>
      </x:c>
      <x:c r="M5" s="60" t="n">
        <x:f>I5-L5</x:f>
        <x:v>9518604.728060085</x:v>
      </x:c>
      <x:c r="N5" s="62" t="n">
        <x:f>IF(L5=0,"",I5/L5)</x:f>
        <x:v>1.9820151366732404</x:v>
      </x:c>
      <x:c r="O5" s="66" t="n">
        <x:f>IF(L5=0,"",M5/L5)</x:f>
        <x:v>0.9820151366732404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5e41f2a73d140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HS_087</x:v>
      </x:c>
      <x:c r="B2" s="46" t="str">
        <x:v>raw_filtered_tonnes</x:v>
      </x:c>
      <x:c r="C2" s="46" t="n">
        <x:v>245882.4176735426</x:v>
      </x:c>
      <x:c r="D2" s="46" t="str">
        <x:v>tonnes</x:v>
      </x:c>
    </x:row>
    <x:row r="3" ht="18" customHeight="1">
      <x:c r="A3" s="46" t="str">
        <x:v>HS_087</x:v>
      </x:c>
      <x:c r="B3" s="46" t="str">
        <x:v>species_catch_tonnes</x:v>
      </x:c>
      <x:c r="C3" s="46" t="n">
        <x:v>245882.41767354257</x:v>
      </x:c>
      <x:c r="D3" s="46" t="str">
        <x:v>tonnes</x:v>
      </x:c>
    </x:row>
    <x:row r="4" ht="18" customHeight="1">
      <x:c r="A4" s="46" t="str">
        <x:v>HS_087</x:v>
      </x:c>
      <x:c r="B4" s="46" t="str">
        <x:v>catch_difference_tonnes</x:v>
      </x:c>
      <x:c r="C4" s="46" t="n">
        <x:v>-2.9103830456733704e-11</x:v>
      </x:c>
      <x:c r="D4" s="46" t="str">
        <x:v>tonnes</x:v>
      </x:c>
    </x:row>
    <x:row r="5" ht="18" customHeight="1">
      <x:c r="A5" s="46" t="str">
        <x:v>HS_087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HS_087</x:v>
      </x:c>
      <x:c r="B6" s="46" t="str">
        <x:v>matched_catch_tonnes</x:v>
      </x:c>
      <x:c r="C6" s="46" t="n">
        <x:v>245882.41767354257</x:v>
      </x:c>
      <x:c r="D6" s="46" t="str">
        <x:v>tonnes</x:v>
      </x:c>
    </x:row>
    <x:row r="7" ht="18" customHeight="1">
      <x:c r="A7" s="46" t="str">
        <x:v>HS_087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HS_087</x:v>
      </x:c>
      <x:c r="B8" s="46" t="str">
        <x:v>taxa_count</x:v>
      </x:c>
      <x:c r="C8" s="46" t="n">
        <x:v>25</x:v>
      </x:c>
      <x:c r="D8" s="46" t="str">
        <x:v>count</x:v>
      </x:c>
    </x:row>
    <x:row r="9" ht="18" customHeight="1">
      <x:c r="A9" s="46" t="str">
        <x:v>HS_087</x:v>
      </x:c>
      <x:c r="B9" s="46" t="str">
        <x:v>matched_taxa_count</x:v>
      </x:c>
      <x:c r="C9" s="46" t="n">
        <x:v>25</x:v>
      </x:c>
      <x:c r="D9" s="46" t="str">
        <x:v>count</x:v>
      </x:c>
    </x:row>
    <x:row r="10" ht="18" customHeight="1">
      <x:c r="A10" s="46" t="str">
        <x:v>HS_087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HS_087</x:v>
      </x:c>
      <x:c r="B11" s="46" t="str">
        <x:v>species_ppr</x:v>
      </x:c>
      <x:c r="C11" s="46" t="n">
        <x:v>7106038431.013728</x:v>
      </x:c>
      <x:c r="D11" s="46" t="str">
        <x:v>tonnes_primary_production_equivalent</x:v>
      </x:c>
    </x:row>
    <x:row r="12" ht="18" customHeight="1">
      <x:c r="A12" s="46" t="str">
        <x:v>HS_087</x:v>
      </x:c>
      <x:c r="B12" s="46" t="str">
        <x:v>commercial_ppr</x:v>
      </x:c>
      <x:c r="C12" s="46" t="n">
        <x:v>7106038431.013726</x:v>
      </x:c>
      <x:c r="D12" s="46" t="str">
        <x:v>tonnes_primary_production_equivalent</x:v>
      </x:c>
    </x:row>
    <x:row r="13" ht="18" customHeight="1">
      <x:c r="A13" s="46" t="str">
        <x:v>HS_087</x:v>
      </x:c>
      <x:c r="B13" s="46" t="str">
        <x:v>functional_ppr</x:v>
      </x:c>
      <x:c r="C13" s="46" t="n">
        <x:v>7106038431.013726</x:v>
      </x:c>
      <x:c r="D13" s="46" t="str">
        <x:v>tonnes_primary_production_equivalent</x:v>
      </x:c>
    </x:row>
    <x:row r="14" ht="18" customHeight="1">
      <x:c r="A14" s="46" t="str">
        <x:v>HS_087</x:v>
      </x:c>
      <x:c r="B14" s="46" t="str">
        <x:v>commercial_ppr_difference</x:v>
      </x:c>
      <x:c r="C14" s="46" t="n">
        <x:v>-0.0000019073486328125</x:v>
      </x:c>
      <x:c r="D14" s="46" t="str">
        <x:v>tonnes_primary_production_equivalent</x:v>
      </x:c>
    </x:row>
    <x:row r="15" ht="18" customHeight="1">
      <x:c r="A15" s="46" t="str">
        <x:v>HS_087</x:v>
      </x:c>
      <x:c r="B15" s="46" t="str">
        <x:v>functional_ppr_difference</x:v>
      </x:c>
      <x:c r="C15" s="46" t="n">
        <x:v>-0.0000019073486328125</x:v>
      </x:c>
      <x:c r="D15" s="46" t="str">
        <x:v>tonnes_primary_production_equivalent</x:v>
      </x:c>
    </x:row>
    <x:row r="16" ht="18" customHeight="1">
      <x:c r="A16" s="46" t="str">
        <x:v>HS_087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HS_087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HS_087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HS_087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8ec53f2af0d4a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HS_087 - Pacific, Southeast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HS_087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raw_data/SAU_downloads/HS_087-catch.zip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